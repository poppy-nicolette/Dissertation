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poppyriddle/Documents/PhD/Research_proposal/Part_3/part_3_cohere/analysis/Round1/results/"/>
    </mc:Choice>
  </mc:AlternateContent>
  <xr:revisionPtr revIDLastSave="0" documentId="13_ncr:1_{466ED948-146F-4346-B878-6D2CFDC3143F}" xr6:coauthVersionLast="47" xr6:coauthVersionMax="47" xr10:uidLastSave="{00000000-0000-0000-0000-000000000000}"/>
  <bookViews>
    <workbookView xWindow="0" yWindow="760" windowWidth="30240" windowHeight="18880" xr2:uid="{00000000-000D-0000-FFFF-FFFF00000000}"/>
  </bookViews>
  <sheets>
    <sheet name="raw data" sheetId="1" r:id="rId1"/>
    <sheet name="Cohens Kappa - Raters A &amp; B" sheetId="2" r:id="rId2"/>
  </sheets>
  <calcPr calcId="191029"/>
  <pivotCaches>
    <pivotCache cacheId="122"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 l="1"/>
  <c r="D13" i="2"/>
  <c r="C14" i="2"/>
  <c r="D14" i="2"/>
  <c r="B20" i="2"/>
  <c r="B21" i="2"/>
  <c r="C21" i="2" s="1"/>
  <c r="B22" i="2"/>
  <c r="C20" i="2" l="1"/>
  <c r="C23" i="2" s="1"/>
  <c r="B23" i="2"/>
</calcChain>
</file>

<file path=xl/sharedStrings.xml><?xml version="1.0" encoding="utf-8"?>
<sst xmlns="http://schemas.openxmlformats.org/spreadsheetml/2006/main" count="194" uniqueCount="119">
  <si>
    <t>Query</t>
  </si>
  <si>
    <t>Response</t>
  </si>
  <si>
    <t>['which studies examined the abstract in metadata?']</t>
  </si>
  <si>
    <t>Summary: Two studies examined the abstract in metadata.
DOI: 10.1162/qss_a_00286 - This study compared the amount of metadata and the completeness degree of research publications in new academic databases. Seven characteristics were analyzed, including the abstract.
DOI: 10.1177/09610006241239080 - This study investigated the types of data sources and countries contributing most to the literature on metadata quality assessment. The methodology involved the application of the PRISMA model for qualitatively evaluating 55 studies on metadata quality assessment. The co-occurrence analysis was made on the title and abstract of selected articles using VOSviewer 1.6.18 version, visualization software.
My lady, I hope this information is helpful. If you have any further questions, please let me know.</t>
  </si>
  <si>
    <t>['which studies examined citations?']</t>
  </si>
  <si>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</si>
  <si>
    <t>['Tell me about Crossref.']</t>
  </si>
  <si>
    <t>Summary: Crossref is a sustainable source of community-owned scholarly metadata, containing over 106 million records and expanding at an average rate of 11% a year.
DOI: 10.1162/qss_a_00022 - Crossref is a sustainable source of community-owned scholarly metadata, containing over 106 million records and expanding at an average rate of 11% a year.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DOI: 10.1007/s11192-022-04367-w - This work aims to identify classes of DOI mistakes by analysing the open bibliographic metadata available in Crossref.
DOI: 10.5281/ZENODO.6188748 - This dataset contains the results of the evaluation of the methodology presented in the article Identifying and correcting invalid citations due to DOI errors in Crossref data.
My lady, I hope this information is helpful.</t>
  </si>
  <si>
    <t>['Which papers evaluate the linguistic coverage or language-related metadata in scholarly databases?']</t>
  </si>
  <si>
    <t>Summary: OpenAlex is a newly launched bibliographic database that promises comprehensive, inclusive, and open-source research information.
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
DOI: 10.5281/zenodo.14006424 - Coverage and metadata availability of African publications in OpenAlex: A comparative analysis - This paper analyses OpenAlex’s coverage and metadata availability of African-based publications. For this purpose, we compare OpenAlex with Scopus, WoS, and African Journals Online (AJOL).
DOI: 10.48550/arXiv.2508.18620 - Investigating Document Type, Language, Publication Year, and Author Count Discrepancies Between OpenAlex and Web of Science - This study aims to assess metadata quality in OpenAlex and WoS, focusing on document type, publication year, language, and number of authors.
My lady, is there anything else I can help you with?</t>
  </si>
  <si>
    <t>['Which papers address funding metadata, its availability, or its analysis in scholarly databases?']</t>
  </si>
  <si>
    <t>Summary: I found four papers that address funding metadata, its availability, or its analysis in scholarly databases.
DOI: 10.31222/osf.io/smxe5 - This paper presents an up-to-date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10.1162/qss_a_00210 - This paper examines the availability and completeness of open funder metadata in Crossref, using a case study of publications funded by the Dutch Research Council. The results show that only 67% of articles contain funding information in Crossref, highlighting the potential to increase the quality of open metadata on funding.
DOI: 10.1162/qss_a_00212 - This paper studies the open availability of funding data in Crossref, focusing on funding data for publications related to COVID-19. The analysis reveals limited coverage of funding data in Crossref and problems related to the quality of funding data in Scopus.
DOI: 10.1162/qss_a_00286 - While this paper does not specifically address funding metadata, it compares the completeness degree of publication metadata in eight free-access scholarly databases, including Crossref, and discusses the quality of metadata in third-party databases.
My lady, I hope this information is helpful. If you have any further questions or need additional assistance, please let me know.</t>
  </si>
  <si>
    <t>['Which papers discuss the use of Retrieval-Augmented Generation (RAG) when used in applications?']</t>
  </si>
  <si>
    <t>Summary: I found four papers that discuss the use of Retrieval-Augmented Generation (RAG) in applications.
DOI: 10.1016/j.caeai.2025.100417
This paper discusses the use of RAG in education. It explores the practical applications of RAG in education, covering interactive learning systems, generation and assessment of educational content, and large-scale deployment in educational ecosystems.
DOI: 10.3390/app14199103
This paper discusses the use of RAG in systematic literature reviews (SLRs). It proposes a framework of RAG-based LLMs for automating SRLs, which covers four stages of SLR process: literature search, literature screening, data extraction, and information synthesis.
DOI: 10.48550/arXiv.2312.10997
This paper discusses the use of RAG in knowledge-intensive tasks. It highlights the state-of-the-art technologies embedded in each of the critical components of RAG frameworks, providing a profound understanding of the advancements in RAG systems.
DOI: 10.1145/3637528.3671470
This paper discusses the use of RAG in AI-Generated Content (AIGC). It covers three primary technical perspectives of RAG and discusses current limitations and several promising directions for future research.
My lady, I hope this information is helpful. If you have any further questions, please let me know.</t>
  </si>
  <si>
    <t>['What is Crossref’s role in the scholarly research ecosystem?']</t>
  </si>
  <si>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My lady, is there anything else I can help you with?</t>
  </si>
  <si>
    <t>['What are the key features and limitations of OpenAlex as a bibliometric database?']</t>
  </si>
  <si>
    <t>Summary: OpenAlex is a newly launched bibliographic database that is open-source and inclusive. It is a superset of Scopus and can be a reliable alternative for some analyses. However, there are concerns about the quality of its metadata, which hinders its broader adoption.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distinguishes itself for its openness and extensive coverage. However, concerns about the quality of its metadata hinder its broader adoption for research and research evaluation.
DOI: 10.29173/cais1943 - OpenAlex is a bibliographic database that stands out for its openness and extensive coverage. However, concerns about the quality of its metadata hinder its broader adoption for research and research evaluation.
DOI: 10.48550/arXiv.2401.16359 - OpenAlex is a promising open source of scholarly metadata and a competitor to established proprietary sources. However, as OpenAlex is a rapidly evolving source, the question arises as to the trustworthiness of its data.
DOI: 10.48550/arXiv.2409.10633 - OpenAlex is a newly launched open-source and inclusive bibliographic database. However, concerns about the quality of its metadata show that more work is needed at the infrastructural level to ensure the quality of metadata on language.
My lady, I hope this information is helpful. If you have any further questions, please let me know.</t>
  </si>
  <si>
    <t>['What are the strengths and weaknesses of Web of Science (WoS) as a bibliometric database?']</t>
  </si>
  <si>
    <t>Summary: I'm sorry, my lady, I am unable to answer your question as there is no relevant information in the documents provided.
DOI: N/A</t>
  </si>
  <si>
    <t>['How is RAG used to improve question answering or information retrieval systems?']</t>
  </si>
  <si>
    <t>Summary: Retrieval-Augmented Generation (RAG) is a framework that improves question answering and information retrieval systems by augmenting Large Language Models (LLMs) with relevant documents before generating answers. This approach enhances the accuracy, informativeness, and contextualization of responses, particularly in specialized domains and multi-hop queries.
DOI: 10.17821/srels/2024/v61i5/171583 - This study demonstrates that RAG can improve the performance of LLMs in question answering by providing contextualized and accurate responses. The experiment shows that LLMs with RAG augmentation consistently provide better answers than standard LLMs, especially in specialized domains like the Chandrayaan-3 mission.
DOI: 10.6109/jkiice.2023.27.12.1489 - This paper proposes a Metadata Retrieval-Augmented Generation (M-RAG) method that enhances open-domain question answering by utilizing embeddings with metadata and generative models. The method improves performance by up to 46% compared to conventional ODQA systems and 6% over traditional RAG methods.
DOI: 10.48550/arXiv.2406.13213 - This research introduces Multi-Meta-RAG, a method that improves RAG for multi-hop queries by using database filtering with LLM-extracted metadata. The approach significantly enhances the selection of relevant documents, improving results on the MultiHop-RAG benchmark.
DOI: 10.48550/arXiv.2505.13557 - This study presents AMAQA, a metadata-based QA dataset for RAG systems, which demonstrates that leveraging metadata boosts accuracy in question answering tasks. The integration of metadata is particularly valuable in fields requiring rapid analysis of large volumes of data.
DOI: 10.48550/arXiv.2505.18247 - This research introduces MetaGen Blended RAG, a novel approach that enhances semantic retrievers through metadata generation and hybrid query indexes. The method achieves high retrieval and RAG accuracy in specialized domains, surpassing prior zero-shot RAG benchmarks.
My lady, I hope this information is helpful. If you have any further questions or need more details, please let me know.</t>
  </si>
  <si>
    <t>['What are the main challenges in normalizing citation metrics across scientific fields?']</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</si>
  <si>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10.7717/peerj.425  
In this *PeerJ* article, Adams (2016) discusses the challenges of field normalization in bibliometrics, noting that citation practices vary widely across disciplines. For example, humanities fields tend to cite fewer references and older literature compared to natural sciences. The author argues that normalization methods must consider these disparities to ensure fair comparisons.
**DOI:** 10.1002/asi.21334  
Bornmann and Daniel (2008) in the *Journal of the American Society for Information Science and Technology* explore the limitations of citation-based metrics, particularly when applied across fields. They stress that differences in publication cultures, such as the prevalence of co-authorship and the types of documents published, complicate normalization efforts.
**DOI:** 10.1038/s41586-019-1675-9  
In *Nature*, Hutchins et al. (2019) discuss the broader issue of research evaluation and the need for metrics that account for diverse research outputs, such as datasets, software, and policy documents. They argue that traditional citation metrics, which focus primarily on journal articles, are inadequate for capturing the full impact of research across fields.
If you have a different question or need further details, my lady, please let me know!</t>
  </si>
  <si>
    <t>['What methods are used to detect and correct errors in bibliographic datasets?']</t>
  </si>
  <si>
    <t>Summary: Bibliographic errors have been perpetuated for decades and their possible causes have increased, despite the encouraged use of technological facilities.
DOI: 10.1108/JD-10-2022-0234 - This study analyses reference elements, i.e. bibliographic references, mentions, quotations and respective in-text reference pointers, from 729 articles published in 147 journals across the 27 subject areas.
Is there anything else I can help you with, my lady?</t>
  </si>
  <si>
    <t>['tell me about how RAG works.']</t>
  </si>
  <si>
    <t>Summary: Retrieval-Augmented Generation (RAG) is a technique that retrieves relevant information from external knowledge sources and enables large language models (LLMs) to answer queries over previously unseen document collections.
DOI: 10.48550/arXiv.2406.13213 - RAG enables retrieval of relevant information from an external knowledge source and allows large language models (LLMs) to answer queries over previously unseen document collections.
DOI: 10.1145/3637528.3671470 - RAG can offer reliable and up-to-date external knowledge, providing huge convenience for numerous tasks.
DOI: 10.18653/v1/2024.eacl-demo.16 - RAG systems are composed of a retrieval and an LLM based generation module. They provide LLMs with knowledge from a reference textual database, enabling them to act as a natural language layer between a user and textual databases, thus reducing the risk of hallucinations.
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
My lady, I hope this information is helpful. Is there anything else I can assist you with?</t>
  </si>
  <si>
    <t>['What are the key challenges and advancements in metadata quality assessment?']</t>
  </si>
  <si>
    <t>Summary: Metadata quality assessment is a critical aspect of ensuring data usability, discoverability, and interoperability. Key challenges include the lack of consensus on definitions and measurements of quality dimensions, and the need for flexible assessment tools. Advancements include the development of automated frameworks, qualitative and quantitative analysis techniques, and the application of AI methods for metadata enhancement.
DOI: 10.1145/2964909 - This study focuses on developing a generic metadata quality assessment framework for Open Data portals, addressing concerns about data quality and metadata that compromise searchability, discoverability, and usability. The framework maps specific metadata from three portal software frameworks to a standardized schema and defines quality metrics for automated evaluation.
DOI: 10.1109/ADL.1998.670425 - This research discusses the application of qualitative and quantitative content analysis techniques to assess metadata records, concluding that a range of criteria and procedures are needed for evaluating different types of metadata.
DOI: 10.1177/09610006241239080 - A scoping review identifying commonly measured dimensions of metadata quality, highlighting the need for further investigation into less commonly assessed dimensions and improved flexibility of assessment tools.
DOI: 10.5860/crl.86.1.101 - This study examines metadata quality issues across cultures, identifying unique issues and categorizing them to understand the impact of metadata on individuals and communities.
DOI: 10.48550/arXiv.2303.17661 - Introducing MetaEnhance, a framework utilizing AI methods to improve metadata quality for electronic theses and dissertations, achieving high accuracy in error detection and correction.
My lady, I hope this response meets your requirements. If you have any further questions or need additional information, please let me know.</t>
  </si>
  <si>
    <t>['What are the key challenges and potential solutions for improving metadata quality?']</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</si>
  <si>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
My lady, I hope this information is helpful. If you have any further questions, please let me know.</t>
  </si>
  <si>
    <t>['What are the key challenges and advancements in Retrieval-Augmented Generation (RAG) systems?']</t>
  </si>
  <si>
    <t>Summary: Retrieval-Augmented Generation (RAG) systems face challenges such as hallucination, outdated knowledge, non-transparent reasoning processes, semantic variability across domains, and high computational costs. Advancements include improved factual accuracy, dynamic knowledge updates, enhanced multimodal support, and novel approaches like MetaGen Blended RAG for zero-shot precision.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like hallucination and outdated knowledge.
DOI: 10.1016/j.caeai.2025.100417 - Focusing on educational applications, this paper explores the practical use of RAG in interactive learning systems and educational content generation. It discusses challenges such as mitigating hallucinations and reducing computational costs, while emphasizing advancements in multimodal support and dynamic knowledge updates.
DOI: 10.48550/arXiv.2505.18247 - Introducing MetaGen Blended RAG, this paper presents a novel approach to enhance semantic retrievers for specialized domain question-answering. It achieves high retrieval and RAG accuracy without fine-tuning, addressing challenges related to semantic variability and domain-specific datasets.
DOI: 10.1609/aaai.v38i16.29728 - This paper establishes the Retrieval-Augmented Generation Benchmark (RGB) to evaluate LLMs' performance in RAG tasks. It identifies challenges in negative rejection, information integration, and counterfactual robustness, highlighting the need for further research to effectively apply RAG to LLMs.
DOI: 10.1145/3637528.3671470 - This survey reviews Retrieval-Augmented Large Language Models (RA-LLMs), discussing their ability to provide reliable and up-to-date external knowledge. It covers technical perspectives and future research directions, emphasizing the role of RAG in enhancing the quality of AI-generated content.
My lady, I hope this summary meets your requirements. If you have any further questions or need additional information, please let me know.</t>
  </si>
  <si>
    <t>Summary: Three studies examined the abstract in metadata.
DOI: 10.1162/qss_a_00286 - This study compares the amount of metadata and the completeness degree of research publications in new academic databases.
DOI: 10.1177/09610006241239080 - This study investigates the types of data sources and countries contributing most to the literature on metadata quality assessment and the types of documents used to communicate their findings.
DOI: 10.1002/leap.1411 - This study investigates whether the COVID-19 crisis and the ensuing scientific and economic competition have changed the lexical content of abstracts.
My lady, I hope this information is helpful.</t>
  </si>
  <si>
    <t>Summary: Three studies examined citations.
DOI: 10.1108/JD-10-2022-0234 -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
DOI: 10.1007/s11192-022-04367-w - This study aimed to identify classes of DOI mistakes by analysing the open bibliographic metadata available in Crossref. The outcomes of this research show that only a few publishers were responsible for and/or affected by the majority of invalid citations.
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
My lady, I hope this information is helpful.</t>
  </si>
  <si>
    <t>Summary: Crossref is a sustainable source of community-owned scholarly metadata, containing over 106 million records and expanding at an average rate of 11% a year.
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
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
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
My lady, is there anything else I can help you with?</t>
  </si>
  <si>
    <t>Summary: Several papers evaluate the linguistic coverage or language-related metadata in scholarly databases.
DOI: 10.48550/arXiv.2409.10633 - Evaluates the linguistic coverage of OpenAlex by assessing the completeness and accuracy of its language-related metadata through a comparison with Web of Science (WoS) and manual validation of a sample of articles.
DOI: 10.1162/qss_a_00286 - Compares the completeness degree of publication metadata, including language, in eight free-access scholarly databases, highlighting differences between academic search engines and third-party databases.
DOI: 10.5281/zenodo.14006424 - Analyzes OpenAlex's coverage and metadata availability of African publications, including language-related metadata, in comparison with Scopus, WoS, and African Journals Online (AJOL).
DOI: 10.48550/arXiv.2508.18620 - Assesses metadata quality in OpenAlex and WoS, focusing on language discrepancies and misattributions that could impact bibliometric research and evaluation outcomes.
DOI: 10.1007/s11192-022-04289-7 - Introduces a novel scientometrics method to estimate the subject coverages of popular English-focused bibliographic databases, indirectly addressing linguistic coverage by comparing databases' disciplinary focus.
My lady, these papers provide insights into the linguistic coverage and language-related metadata in various scholarly databases. If you require further information or have additional questions, please let me know.</t>
  </si>
  <si>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the Dutch Research Council NWO.
DOI: 10.1162/qss_a_00212 - This paper studies the open availability of funding data in Crossref, focusing on funding data for publications that report research related to COVID-19.
DOI: 10.1162/qss_a_00286 - This paper compares the amount of metadata and the completeness degree of research publications in new academic databases.
My lady, I hope this information is helpful. If you have any further questions, please let me know.</t>
  </si>
  <si>
    <t>I have found four papers that discuss the use of Retrieval-Augmented Generation (RAG) in applications.
DOI: 10.1016/j.caeai.2025.100417
Title: Retrieval-augmented generation for educational application: A systematic survey
Abstract: This paper reviews existing research that integrates RAG into educational scenarios, exploring the practical applications of RAG in education, covering interactive learning systems, generation and assessment of educational content, and large-scale deployment in educational ecosystems.
DOI: 10.3390/app14199103
Title: Automating Systematic Literature Reviews with Retrieval-Augmented Generation: A Comprehensive Overview
Abstract: This study examines RAG in large language models (LLMs) and their significant application for undertaking systematic literature reviews (SLRs). It discusses applications of RAG-based LLMs to SLR automation and highlights future research topics.
DOI: 10.48550/arXiv.2312.10997
Title: Retrieval-Augmented Generation for Large Language Models: A Survey
Abstract: This paper offers a detailed examination of the progression of RAG paradigms, encompassing the Naive RAG, the Advanced RAG, and the Modular RAG. It highlights the state-of-the-art technologies embedded in each of these critical components, providing a profound understanding of the advancements in RAG systems.
DOI: 10.1145/3637528.3671470
Title: A Survey on RAG Meeting LLMs: Towards Retrieval-Augmented Large Language Models
Abstract: This survey comprehensively reviews existing research studies in Retrieval-Augmented Large Language Models (RA-LLMs), covering three primary technical perspectives. It discusses current limitations and several promising directions for future research.
I hope this helps, my lady.</t>
  </si>
  <si>
    <t>Summary: Crossref is a major source of scholarly data for publishers, authors, librarians, funders, and researchers.
DOI: 10.1162/qss_a_00022 - Crossref is a sustainable source of community-owned scholarly metadata that contains over 106 million records and expands at an average rate of 11% a year.
DOI: 10.31222/osf.io/smxe5 - Crossref is a source of open bibliographic metadata that has improved over time, but many publishers need to make additional efforts to realize full openness of bibliographic metadata.
DOI: 10.1162/qss_a_00210 - Crossref initiated FundRef in 2013 to help funders track publication output associated with their funding, but coverage of funder metadata is hard to assess.
My lady, I hope this information is helpful. If you have any further questions, please let me know.</t>
  </si>
  <si>
    <t>Summary: OpenAlex is a new bibliometric database that has gained popularity for its openness and extensive coverage. However, concerns about the quality of its metadata have hindered its broader adoption.
DOI: 10.48550/arXiv.2404.17663: OpenAlex is a superset of Scopus and can be a reliable alternative for some analyses, particularly at the country level. However, issues of metadata accuracy and completeness need to be addressed to fully comprehend and utilize OpenAlex's potential.
DOI: 10.48550/arXiv.2508.18620: This study aims to assess metadata quality in OpenAlex and WoS, focusing on document type, publication year, language, and number of authors. The research seeks to enhance awareness of data quality issues that could impact bibliometric research and evaluation outcomes.
DOI: 10.29173/cais1943: Over 4% of publications indexed in both OpenAlex and WoS appear to be misclassified as research articles or reviews, with about 97% of these errors occurring in OpenAlex. This highlights the need for improved metadata quality in OpenAlex.
DOI: 10.48550/arXiv.2401.16359: OpenAlex has comparable reference coverage to WoS and Scopus when restricted to a cleaned dataset of recent publications. However, the comparison of core metadata shows mixed results, with OpenAlex capturing more ORCID identifiers but fewer abstracts.
DOI: 10.48550/arXiv.2409.10633: OpenAlex exhibits a more balanced linguistic coverage than WoS, but its language metadata is not always accurate. If used critically, OpenAlex can provide comprehensive analyses of languages used in scholarly publishing, but improvements are needed at the infrastructural level.
My lady, I hope this summary meets your requirements. If you have any further questions or would like me to elaborate on any of these points, please don't hesitate to ask.</t>
  </si>
  <si>
    <t>Summary: The Web of Science (WoS) is a bibliometric database that has been used for over 30 years, but its strengths and weaknesses are not explicitly stated in the provided documents. However, some insights can be gleaned from comparative analyses with other databases.
DOI: 10.1007/s11192-015-1765-5 - This study compares the journal coverage of WoS and Scopus, highlighting that both databases have biases favoring Natural Sciences, Engineering, and Biomedical Research, while underrepresenting Social Sciences, Arts, and Humanities. Additionally, English-language journals are overrepresented. The coverage differences between WoS and Scopus can lead to varying results in bibliometric analyses, suggesting that WoS should be used with caution, especially in comparative research evaluations across fields, institutions, countries, or languages.
DOI: 10.1162/qss_a_00112 - This large-scale comparison of bibliographic data sources, including WoS, emphasizes the importance of comprehensive coverage and flexible filters. While the strengths and weaknesses of WoS are not explicitly stated, the study suggests that differences in coverage, completeness, and accuracy of citation links can impact the quality of bibliometric analyses.
DOI: 10.48550/arXiv.2508.18620 and 10.29173/cais1943 - These studies compare WoS with OpenAlex, a newer bibliographic database. They highlight concerns about metadata quality in OpenAlex, particularly regarding document type accuracy and misclassifications. WoS is implied to have higher metadata quality in this regard, as only about 4% of publications indexed in both databases have errors, with the majority occurring in OpenAlex.
DOI: 10.1162/qss_a_00211 - This study assesses the quality of bibliographic data sources for measuring international research collaboration (IRC). WoS is found to have the highest overall quality among the examined sources, which can be attributed to how the data sources are organized.
My lady, while the provided documents do not explicitly list the strengths and weaknesses of WoS, they suggest that WoS has a long-standing reputation, high metadata quality, and is well-organized. However, it may have biases in journal coverage, favoring certain fields and languages, which can impact comparative research evaluations.
Please provide additional content or ask a different question, my lady, if you'd like more specific information about the strengths and weaknesses of WoS.</t>
  </si>
  <si>
    <t>Summary: Retrieval-Augmented Generation (RAG) is a method used to improve question answering and information retrieval systems by augmenting Large Language Models (LLMs) with relevant documents before generating answers.
DOI: 10.17821/srels/2024/v61i5/171583: This study demonstrates that RAG can enhance information retrieval in libraries by providing accurate, informative, and contextualized answers when LLMs are augmented with relevant documents. The prototype developed using open-source tools and LLMs showed significant improvements over standard LLMs without RAG.
DOI: 10.6109/jkiice.2023.27.12.1489: This paper proposes a Metadata Retrieval-Augmented Generation (M-RAG) method that improves open-domain question answering by utilizing embeddings with metadata and generative models. The method showed a performance improvement of up to 46% compared to conventional ODQA systems.
DOI: 10.48550/arXiv.2406.13213: This study introduces Multi-Meta-RAG, a new method that improves RAG for multi-hop queries by using database filtering with LLM-extracted metadata. The method significantly improves the results on the MultiHop-RAG benchmark.
DOI: 10.48550/arXiv.2505.13557: This paper presents AMAQA, a new open-access QA dataset designed to evaluate RAG systems with metadata integration. The study shows that leveraging metadata boosts accuracy and highlights the value of structured context in RAG systems.
DOI: 10.48550/arXiv.2505.18247: This study introduces MetaGen Blended RAG, a novel enterprise search approach that enhances semantic retrievers through a metadata generation pipeline. The method achieves high retrieval accuracy and RAG accuracy, surpassing prior zero-shot RAG benchmarks.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</si>
  <si>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
**DOI:** 10.1126/science.1175860  
This article by Seglen (1997) in *Science* highlights the variability in citation patterns across different scientific fields, emphasizing that citation counts are heavily influenced by field-specific practices and publication cultures. The study underscores the difficulty of directly comparing citation metrics without accounting for these differences.
**Additional Challenges:**
1. **Citation Practices:** Fields like biomedicine tend to have higher citation rates compared to mathematics or humanities, where citations are fewer but often more impactful.
2. **Publication Cultures:** Some fields prioritize high-impact journals, while others value a larger number of publications in specialized outlets.
3. **Field-Specific Impact Factors:** Journals in certain fields naturally have higher impact factors, skewing citation metrics.
4. **Publication Rates:** Fields with faster publication cycles (e.g., computer science) may accumulate citations more quickly than those with longer review processes (e.g., social sciences).
If you have another question or need further details, my lady, please let me know!</t>
  </si>
  <si>
    <t>Summary: Bibliographic errors have been perpetuated for decades and their possible causes have increased, despite the encouraged use of technological facilities.
DOI: 10.1108/JD-10-2022-0234 - The authors analysed reference elements from 729 articles published in 147 journals across 27 subject areas. The outcomes of the analysis pointed out that bibliographic errors have been perpetuated for decades and that their possible causes have increased, despite the encouraged use of technological facilities.
Is there anything else I can help you with, my lady?</t>
  </si>
  <si>
    <t>Summary: Retrieval-Augmented Generation (RAG) is a promising solution for addressing the limitations of Large Language Models (LLMs), enabling retrieval of relevant information from an external knowledge source and allowing LLMs to answer queries over previously unseen document collections.
DOI: 10.48550/arXiv.2404.13948
Is there anything else I can help you with, my lady?</t>
  </si>
  <si>
    <t>Summary: Metadata quality assessment is crucial for data retrieval, search, organization, interoperability, preservation, and user experience. However, there are challenges in defining and measuring commonly used dimensions such as completeness, accuracy, consistency, accessibility, conformance, provenance, and timeliness. Additionally, there is a need for further investigation into less commonly assessed quality dimensions and for improving the flexibility of metadata quality assessment tools.
DOI: 10.1177/09610006241239080 - This study emphasizes the importance of metadata quality research and the need to improve the flexibility of metadata quality assessment tools to facilitate better metadata quality assurance measures. It also highlights the lack of consensus on the exact definition and measurement of commonly used dimensions in metadata quality assessment.
DOI: 10.1145/2964909 - This work aims to develop a generic metadata quality assessment framework for various Open Data portals, addressing concerns with regards to the quality of data sources and corresponding metadata.
DOI: 10.1109/ADL.1998.670425 - This study discusses the application of qualitative and quantitative content analysis techniques to assess metadata records and concludes that a range of criteria and procedures may be needed for evaluating different types of metadata.
DOI: 10.5860/crl.86.1.101 - This study explores how metadata quality, consistency, and completeness impact individuals and communities, identifying unique issues and classifying them into categories to better explain the relationship between metadata and cultural meanings.
DOI: 10.48550/arXiv.2303.17661 - This study proposes MetaEnhance, a framework that utilizes state-of-the-art artificial intelligence methods to improve the quality of metadata fields in electronic theses and dissertations.
My lady, I hope this response meets your requirements. If you have any further questions or need additional information, please let me know.</t>
  </si>
  <si>
    <t>Summary: Metadata quality is crucial for digital objects to be discovered through digital library interfaces. However, metadata often exhibits incomplete, inconsistent, and incorrect values.
DOI: 10.48550/arXiv.2303.17661: Metadata quality is crucial for digital objects to be discovered through digital library interfaces. However, due to various reasons, the metadata of digital objects often exhibits incomplete, inconsistent, and incorrect values.
DOI: 10.1080/19386389.2011.570654: Metadata plays an important role in digital libraries. But to be useful, metadata records must be problem free. When problems are present in the metadata, resources are not correctly represented and users are not able to reap the benefits of metadata.
DOI: 10.1177/09610006241239080: Assessing metadata is of paramount importance for several critical reasons. Metadata plays a pivotal role in various aspects, including data retrieval and search, data organization, interoperability, data preservation, and the overall user experience.
DOI: 10.1109/ADL.1998.670425: Discusses the application of qualitative and quantitative content analysis techniques to assess metadata records.
My lady, I hope this information is helpful. If you have any further questions, please let me know.</t>
  </si>
  <si>
    <t>Summary: Retrieval-Augmented Generation (RAG) systems face challenges such as hallucination, outdated knowledge, and non-transparent reasoning processes, but advancements include enhanced accuracy, continuous knowledge updates, and integration of domain-specific information.
DOI: 10.48550/arXiv.2312.10997 - This paper provides a comprehensive review of RAG paradigms, including Naive RAG, Advanced RAG, and Modular RAG, and highlights the state-of-the-art technologies in retrieval, generation, and augmentation techniques.
DOI: 10.1016/j.caeai.2025.100417 - Focusing on educational applications, this paper discusses the practical use of RAG in interactive learning systems and emphasizes the need to mitigate hallucinations, ensure knowledge completeness, and enhance multimodal support.
DOI: 10.48550/arXiv.2505.18247 - Introducing 'MetaGen Blended RAG', this research addresses the challenge of domain-specific datasets and demonstrates improved retrieval accuracy without fine-tuning.
DOI: 10.1609/aaai.v38i16.29728 - This study establishes the Retrieval-Augmented Generation Benchmark (RGB) to evaluate LLMs' performance in RAG tasks, revealing struggles with negative rejection and information integration.
DOI: 10.1145/3637528.3671470 - A survey on Retrieval-Augmented Large Language Models (RA-LLMs), this paper discusses the integration of external knowledge bases to enhance the quality of generated content.
My lady, I hope this summary meets your requirements. If you have any further questions or need additional information, please let me know.</t>
  </si>
  <si>
    <t>Summary: Three studies examined the abstract in metadata.
DOI: 10.1162/qss_a_00286 - This study compared the amount of metadata and the completeness degree of research publications in new academic databases.
DOI: 10.1177/09610006241239080 - This study investigated the most commonly measured dimensions of metadata quality in existing studies on metadata quality assessment.
DOI: 10.1002/leap.1411 - This study investigated whether the COVID-19 crisis and the ensuing scientific and economic competition have changed the lexical content of abstracts.
My lady, I hope this information is helpful. If you have any further questions, please let me know.</t>
  </si>
  <si>
    <t>Summary: I have found three studies that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Is there anything else I can help you with, my lady?</t>
  </si>
  <si>
    <t>Summary: Crossref is a sustainable source of community-owned scholarly metadata that contains over 106 million records and expands at an average rate of 11% a year.
DOI: 10.1162/qss_a_00022
Is there anything else I can help you with, my lady?</t>
  </si>
  <si>
    <t>Summary: Several papers evaluate the linguistic coverage or language-related metadata in scholarly databases.
DOI: 10.48550/arXiv.2409.10633 - Evaluating the Linguistic Coverage of OpenAlex: An Assessment of Metadata Accuracy and Completeness - This paper assesses the completeness and accuracy of OpenAlex's metadata related to language, comparing it with WoS and manually validating a sample of articles.
DOI: 10.1162/qss_a_00286 - Completeness degree of publication metadata in eight free-access scholarly databases - This study compares the amount of metadata and completeness degree of research publications in new academic databases, including an analysis of language-related metadata.
DOI: 10.5281/zenodo.14006424 - Coverage and metadata availability of African publications in OpenAlex: A comparative analysis - This paper analyzes OpenAlex's coverage and metadata availability of African-based publications, including a comparison with other databases like Scopus and WoS.
DOI: 10.48550/arXiv.2508.18620 - Investigating Document Type, Language, Publication Year, and Author Count Discrepancies Between OpenAlex and Web of Science - This study assesses metadata quality in OpenAlex and WoS, focusing on language-related metadata and discrepancies.
DOI: 10.1007/s11192-022-04289-7 - Search where you will find most: Comparing the disciplinary coverage of 56 bibliographic databases - While not exclusively focused on language, this paper compares the disciplinary coverage of various bibliographic databases, including those with a focus on English-language publications.
My lady, I hope this information is helpful. If you have any further questions or need more details, please let me know.</t>
  </si>
  <si>
    <t>Summary: I found four papers that address funding metadata, its availability, or its analysis in scholarly databases.
DOI: 10.5281/zenodo.14006424
This paper analyses OpenAlex’s coverage and metadata availability of African-based publications. It compares OpenAlex with Scopus, WoS, and African Journals Online (AJOL). The analysis shows that OpenAlex offers the most extensive publication coverage, but performs worse regarding funder information.
DOI: 10.31222/osf.io/smxe5
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
DOI: 10.1162/qss_a_00210
This paper examines the availability and completeness of open funder metadata in Crossref, using a case study of publications funded by the Dutch Research Council. The analysis reveals interesting differences between publishers in the coverage and completeness of funding metadata in Crossref compared to proprietary databases.
DOI: 10.1162/qss_a_00212
This paper studies the open availability of funding data in Crossref, focusing on funding data for publications related to COVID-19. The analysis reveals limited coverage of funding data in Crossref and problems related to the quality of funding data, especially in Scopus.
My lady, I hope this information is helpful. If you have any further questions or need additional assistance, please let me know.</t>
  </si>
  <si>
    <t>Summary: Retrieval-Augmented Generation (RAG) is a technique that enhances the capabilities of Large Language Models (LLMs) by retrieving relevant information from external knowledge bases and incorporating it into the generation process.
DOI: 10.1016/j.caeai.2025.100417 - This paper discusses the use of RAG in educational applications, addressing challenges such as hallucination and static internal knowledge in LLMs. It explores the practical applications of RAG in education, including interactive learning systems, generation and assessment of educational content, and large-scale deployment in educational ecosystems.
DOI: 10.3390/app14199103 - This study examines the use of RAG in automating systematic literature reviews (SLRs). It discusses the three key processes of the RAG framework and highlights applications of RAG-based LLMs to SLR automation.
DOI: 10.48550/arXiv.2312.10997 - This paper provides a comprehensive review of RAG paradigms, including Naive RAG, Advanced RAG, and Modular RAG. It discusses the state-of-the-art technologies embedded in each component of RAG frameworks and introduces an up-to-date evaluation framework and benchmark.
DOI: 10.1145/3637528.3671470 - This survey reviews existing research studies in Retrieval-Augmented Large Language Models (RA-LLMs), covering three primary technical perspectives. It discusses current limitations and promising directions for future research.
DOI: 10.6109/jkiice.2023.27.12.1489 - This paper proposes a Metadata Retrieval-Augmented Generation (M-RAG) method for open-domain question answering (ODQA). It demonstrates a performance improvement of up to 46% compared to conventional RAG methods.
My lady, these papers discuss the use of RAG in various applications, including education, systematic literature reviews, and open-domain question answering. If you would like more information on any of these papers, please let me know.</t>
  </si>
  <si>
    <t>Summary: Crossref is a major source of scholarly data for publishers, authors, librarians, funders, and researchers.
DOI: 10.1162/qss_a_00022 -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DOI: 10.31222/osf.io/smxe5 - Several initiatives have been taken to promote the open availability of bibliographic metadata of scholarly publications in Crossref.
DOI: 10.1162/qss_a_00210 - Crossref initiated FundRef in 2013, enabling publishers to register funding information using persistent identifiers.
My lady, is there anything else I can help you with?</t>
  </si>
  <si>
    <t>Summary: OpenAlex is a newly launched bibliographic database that distinguishes itself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the quality of its metadata is a concern.
DOI: 10.29173/cais1943 - OpenAlex stands out for its openness and extensive coverage, but the quality of its metadata is a concern.
DOI: 10.48550/arXiv.2401.16359 - OpenAlex is a promising open source of scholarly metadata, but the trustworthiness of its data is a question.
DOI: 10.48550/arXiv.2409.10633 - OpenAlex exhibits a far more balanced linguistic coverage than WoS, but language metadata is not always accurate.
My lady, I hope this information is helpful. If you have any further questions, please let me know.</t>
  </si>
  <si>
    <t>Summary: The Web of Science (WoS) is a large multidisciplinary database of research outputs and citation indices that has been used for more than 30 years. It has high-quality metadata and comprehensive coverage of scientific literature. However, it has been noted that WoS favours Natural Sciences and Engineering as well as Biomedical Research to the detriment of Social Sciences and Arts and Humanities. Similarly, English-language journals are overrepresented to the detriment of other languages.
DOI: 10.1007/s11192-015-1765-5: WoS has 13,605 journals and favours Natural Sciences and Engineering as well as Biomedical Research to the detriment of Social Sciences and Arts and Humanities. English-language journals are overrepresented to the detriment of other languages.
DOI: 10.1162/qss_a_00112: WoS is compared with Scopus, Dimensions, Crossref, and Microsoft Academic. The comparison considers scientific documents from the period 2008–2017 covered by these data sources.
DOI: 10.48550/arXiv.2508.18620: WoS is compared with OpenAlex, a new bibliographic database launched in 2022. OpenAlex has extensive coverage but metadata quality is a concern.
DOI: 10.29173/cais1943: WoS is compared with OpenAlex, a new bibliographic database launched in 2022. OpenAlex has extensive coverage but metadata quality is a concern.
DOI: 10.1162/qss_a_00211: WoS is compared with Microsoft Academic Graph, Dimensions, and the ACM Digital Library. WoS has the highest overall quality among the sets considered.
My lady, I hope this information is helpful. If you have any further questions, please let me know.</t>
  </si>
  <si>
    <t>Summary: Retrieval-Augmented Generation (RAG) is a method used to improve question answering and information retrieval systems by augmenting Large Language Models (LLMs) with relevant documents before generating answers.
DOI: 10.17821/srels/2024/v61i5/171583 - This study demonstrates that RAG can enhance information retrieval in libraries by providing accurate, informative, and contextualized answers when LLMs are augmented with relevant documents. The prototype developed using open-source tools and LLMs showed significant improvements over standard LLMs without RAG.
DOI: 10.6109/jkiice.2023.27.12.1489 - This paper proposes a Metadata Retrieval-Augmented Generation (M-RAG) method that improves open-domain question answering by utilizing embeddings with metadata and generative models. The method showed a performance improvement of up to 46% compared to conventional ODQA systems.
DOI: 10.48550/arXiv.2406.13213 - This study introduces Multi-Meta-RAG, a new method that improves RAG for multi-hop queries by using database filtering with LLM-extracted metadata. The method significantly improves the results on the MultiHop-RAG benchmark.
DOI: 10.48550/arXiv.2505.13557 - This paper presents AMAQA, a new open-access QA dataset designed to evaluate RAG systems with metadata integration. The study shows that leveraging metadata boosts accuracy and highlights the value of structured context in RAG systems.
DOI: 10.48550/arXiv.2505.18247 - This study introduces MetaGen Blended RAG, a novel enterprise search approach that enhances semantic retrievers through metadata generation and hybrid query indexes. The method achieves high retrieval and RAG accuracy, surpassing prior zero-shot RAG benchmarks.
My lady, I hope this information is helpful. If you have any further questions or need more details,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</si>
  <si>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10.1126/science.1177977  
This article by Ioannidis et al. (2009) in *Science* discusses the variability in citation practices across fields, highlighting how disciplines differ in their citation behaviors, publication rates, and journal impact factors. The authors argue that these differences necessitate field-specific normalization methods to ensure fair comparisons.
**Additional Context:**  
1. **Publication and Citation Practices:** Fields like biomedicine tend to have higher citation rates compared to mathematics or humanities, where citations accumulate more slowly.  
2. **Journal Culture:** Some fields rely heavily on a few high-impact journals, while others have a more distributed publication landscape, affecting citation patterns.  
3. **Field Size and Age:** Larger, more established fields naturally accumulate more citations, making normalization challenging for newer or smaller disciplines.  
4. **Citation Lifespan:** Citations in some fields (e.g., physics) may take longer to accrue compared to fast-paced fields like computer science.  
These challenges underscore the need for field-specific normalization techniques, such as percentile-based metrics or field-normalized scores, to ensure equitable comparisons across disciplines.
If you'd like further details or a different perspective, my lady, please let me know!</t>
  </si>
  <si>
    <t>Summary: Bibliographic errors have been perpetuated for decades and their possible causes have increased.
DOI: 10.1108/JD-10-2022-0234 - The authors of this study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Is there anything else I can help you with, my lady?</t>
  </si>
  <si>
    <t>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
DOI: 10.48550/arXiv.2406.13213 - This paper introduces a new method called Multi-Meta-RAG, which uses database filtering with LLM-extracted metadata to improve the RAG selection of relevant documents from various sources.
DOI: 10.1145/3637528.3671470 - This survey comprehensively reviews existing research studies in Retrieval-Augmented Large Language Models (RA-LLMs), covering three primary technical perspectives and discussing current limitations and promising directions for future research.
DOI: 10.18653/v1/2024.eacl-demo.16 - This paper introduces RAGAs, a framework for reference-free evaluation of RAG pipelines, which provides a suite of metrics to evaluate different dimensions of RAG architectures without relying on ground truth human annotations.
DOI: 10.48550/arXiv.2404.13948 - This work investigates the robustness of RAG systems and introduces a novel attack method, the Genetic Attack on RAG (GARAG), which targets vulnerabilities within each component and tests the overall system functionality against noisy documents.
My lady, I hope this information is helpful. If you have any further questions or would like more details on a specific aspect of RAG, please don't hesitate to ask.</t>
  </si>
  <si>
    <t>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
DOI: 10.1145/2964909 - This study aims to develop a generic metadata quality assessment framework for various Open Data portals by mapping specific metadata to a standardized schema and defining several quality metrics that can be evaluated automatically.
DOI: 10.1109/ADL.1998.670425 - This study discusses the application of qualitative and quantitative content analysis techniques to assess metadata records and concludes that a range of criteria and procedures may be needed for evaluating different types of metadata.
DOI: 10.1177/09610006241239080 - This scoping review identifies the most commonly measured dimensions of metadata quality and highlights the need for further investigation into less commonly assessed quality dimensions.
DOI: 10.5860/crl.86.1.101 - This study explores how metadata quality, consistency, and completeness impact individuals and communities, identifying 32 unique issues and classifying them into 5 categories.
DOI: 10.48550/arXiv.2303.17661 - This study proposes MetaEnhance, a framework that utilizes state-of-the-art artificial intelligence methods to improve the quality of metadata fields in electronic theses and dissertations.
My lady, I hope this summary meets your requirements. If you have any further questions or need additional information, please let me know.</t>
  </si>
  <si>
    <t>Summary: Metadata quality is a complex issue that requires careful consideration and ongoing research.
DOI: 10.5860/crl.86.1.101: Metadata serves as a standardized form of contextual, technical, and administrative information, but it can also be a site of tension between sociocultural representations, resource constraints, and standardized systems.
DOI: 10.48550/arXiv.2303.17661: Metadata quality is crucial for digital object discovery, but it often suffers from incomplete, inconsistent, and incorrect values. The proposed MetaEnhance framework uses AI methods to improve metadata quality, achieving high F1-scores in error detection and correction.
DOI: 10.1080/19386389.2011.570654: Metadata problems can be categorized into five types: Incorrect Values, Incorrect Elements, Missing Information, Information Loss, and Inconsistent Value Representation. Preventive and corrective measures are necessary to ensure metadata quality and maximize its benefits.
DOI: 10.1177/09610006241239080: Metadata quality assessment commonly uses dimensions such as completeness, accuracy, consistency, accessibility, conformance, provenance, and timeliness. However, there is a lack of consensus on their definitions and measurements, highlighting the need for further research and improved assessment tools.
DOI: 10.1109/ADL.1998.670425: Evaluating metadata quality requires a range of criteria and procedures tailored to different types of metadata. The study emphasizes the need for ongoing dialogue and methodological considerations in assessing metadata quality.
My lady, I hope this summary meets your requirements. If you have any further questions or need additional information, please let me know.</t>
  </si>
  <si>
    <t>Summary: Retrieval-Augmented Generation (RAG) systems face challenges such as hallucination, outdated knowledge, non-transparent reasoning processes, high computational costs, and difficulty in handling domain-specific datasets. However, advancements include improved factual accuracy, dynamic knowledge updates, enhanced multimodal support, and novel approaches like MetaGen Blended RAG for zero-shot precision.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Focusing on educational applications, this paper explores the practical uses of RAG in interactive learning systems, content generation, and large-scale deployment. It discusses challenges like mitigating hallucinations and reducing computational costs.
DOI: 10.48550/arXiv.2505.18247 - Introducing MetaGen Blended RAG, this paper addresses the challenge of achieving zero-shot precision in specialized domains by enhancing semantic retrievers through metadata generation and hybrid query indexes.
DOI: 10.1609/aaai.v38i16.29728 - This study establishes the Retrieval-Augmented Generation Benchmark (RGB) to evaluate LLMs' performance in RAG, revealing struggles in negative rejection, information integration, and handling false information.
DOI: 10.1145/3637528.3671470 - The survey reviews Retrieval-Augmented Large Language Models (RA-LLMs), discussing their ability to provide reliable external knowledge and highlighting current limitations and future research directions.
My lady, I hope this summary meets your requirements. If you have any further questions or need additional information, please let me know.</t>
  </si>
  <si>
    <t>Summary: Three studies examined the abstract in metadata.
DOI: 10.1162/qss_a_00286 - This study compared the amount of metadata and the completeness degree of research publications in new academic databases.
DOI: 10.1177/09610006241239080 - This study identified the most commonly measured dimensions of metadata quality in existing studies on metadata quality assessment.
DOI: 10.1002/leap.1411 - This study investigated whether the COVID-19 crisis and the ensuing scientific and economic competition have changed the lexical content of abstracts.
My lady, I hope this information is helpful.</t>
  </si>
  <si>
    <t>Summary: Three studies examined citations.
DOI: 10.1108/JD-10-2022-0234
Title: An analysis of citing and referencing habits across all scholarly disciplines: approaches and trends in bibliographic referencing and citing practices
Abstract: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DOI: 10.1007/s11192-022-04367-w
Title: Identifying and correcting invalid citations due to DOI errors in Crossref data
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
DOI: 10.1162/qss_a_00112
Title: Large-scale comparison of bibliographic data sources: Scopus, Web of Science, Dimensions, Crossref, and Microsoft Academic
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Is there anything else I can help you with, my lady?</t>
  </si>
  <si>
    <t>Summary: Crossref is a sustainable source of community-owned scholarly metadata, containing over 106 million records and expanding at an average rate of 11% a year.
DOI: 10.1162/qss_a_00022
Is there anything else I can help you with, my lady?</t>
  </si>
  <si>
    <t>Summary: Several papers evaluate the linguistic coverage or language-related metadata in scholarly databases.
DOI: 10.48550/arXiv.2409.10633
This paper assesses the completeness and accuracy of OpenAlex's metadata related to language, through a comparison with WoS, as well as an in-depth manual validation of a sample of 6,836 articles.
DOI: 10.1162/qss_a_00286
This study compares the amount of metadata and the completeness degree of research publications in new academic databases.
DOI: 10.5281/zenodo.14006424
This paper analyses OpenAlex’s coverage and metadata availability of African-based publications.
DOI: 10.48550/arXiv.2508.18620
This study assesses metadata quality in OpenAlex and WoS, focusing on document type, publication year, language, and number of authors.
DOI: 10.1007/s11192-022-04289-7
This paper introduces a novel scientometrics method and applies it to estimate the subject coverages of many of the popular English-focused bibliographic databases in academia.
My lady, I hope this information is helpful. If you have any further questions, please let me know.</t>
  </si>
  <si>
    <t>Summary: There are four papers that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DOI: 10.1162/qss_a_00210 - This paper looks at 5,004 publications reported by researchers to be the result of funding by a specific funding agency.
DOI: 10.1162/qss_a_00212 - This paper studies the open availability of funding data in Crossref, focusing on funding data for publications that report research related to COVID-19.
My lady, is there anything else I can help you with?</t>
  </si>
  <si>
    <t>Summary: I have found four papers that discuss the use of Retrieval-Augmented Generation (RAG) when used in applications.
DOI: 10.1016/j.caeai.2025.100417 discusses the use of RAG in education.
DOI: 10.3390/app14199103 discusses the use of RAG in systematic literature reviews.
DOI: 10.48550/arXiv.2312.10997 discusses the use of RAG in knowledge-intensive tasks.
DOI: 10.1145/3637528.3671470 discusses the use of RAG in AI-Generated Content (AIGC).
My lady, is there anything else I can help you with?</t>
  </si>
  <si>
    <t>Summary: Crossref is a sustainable source of community-owned scholarly metadata that collects and makes available scholarly metadata for publishers, authors, librarians, funders, and researchers.
DOI: 10.1162/qss_a_00022 - Crossref's metadata contains over 106 million records and expands at an average rate of 11% per year. It includes 13 content types, such as journals, conference papers, datasets, reports, preprints, peer reviews, and grants. The metadata is available through APIs and is valuable for research in scientometrics.
DOI: 10.31222/osf.io/smxe5 - This paper presents an overview of the availability of six metadata elements in Crossref, including reference lists, abstracts, ORCIDs, author affiliations, funding information, and license information. The analysis shows improvement in availability over time, but more efforts are needed for full openness.
DOI: 10.1162/qss_a_00210 - Crossref's FundRef initiative helps funders track publication output associated with their funding. However, the coverage of funder metadata is challenging to assess. A case study on publications funded by the Dutch Research Council found that only 67% of articles contain funding information in Crossref.
My lady, I hope this information is helpful. If you have any further questions or need additional assistance, please let me know.</t>
  </si>
  <si>
    <t>Summary: OpenAlex is a newly launched bibliographic database that is open source and freely available to researchers.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is a bibliographic database that is open source and freely available to researchers. It is a newly launched database that distinguishes itself for its openness and extensive coverage. However, one of the concerns that hinders its broader adoption for research and research evaluation is the quality of its metadata.
DOI: 10.29173/cais1943
OpenAlex is a newly launched database that stands out for its openness and extensive coverage. However,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10.48550/arXiv.2409.10633
OpenAlex is a newly launched database that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
My lady, I hope this information is helpful. If you have any further questions, please let me know.</t>
  </si>
  <si>
    <t>Summary: The Web of Science (WoS) is a bibliometric database that has been used for more than 30 years. It has been compared to other databases such as Scopus, Dimensions, Crossref, Microsoft Academic, and OpenAlex.
DOI: 10.1007/s11192-015-1765-5 - This study compares the journal coverage of WoS and Scopus with Ulrich's extensive periodical directory. It finds that both databases have biases towards Natural Sciences and Engineering, as well as Biomedical Research, and English-language journals, which may impact the results of bibliometric analyses.
DOI: 10.1162/qss_a_00112 - This study compares five multidisciplinary bibliographic data sources, including WoS, and discusses their strengths and weaknesses. It emphasizes the importance of combining comprehensive coverage with flexible filters for selecting literature.
DOI: 10.48550/arXiv.2508.18620 and 10.29173/cais1943 - These studies compare WoS with OpenAlex, a newer bibliographic database, and assess the quality of their metadata. They find discrepancies and misattributions in document types and other metadata fields, which may impact bibliometric research and evaluation outcomes.
DOI: 10.1162/qss_a_00211 - This study assesses the quality of bibliographic data sources for measuring international research collaboration (IRC) and finds that WoS has the highest overall quality among the sets considered.
My lady, I hope this information helps. Please note that I have not found a single source that explicitly lists the strengths and weaknesses of WoS as a bibliometric database. However, the studies mentioned above provide insights into WoS's performance, quality, and limitations compared to other databases. If you have any further questions or would like more information, please let me know.</t>
  </si>
  <si>
    <t>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informative, and contextualized responses.
DOI: 10.17821/srels/2024/v61i5/171583: This study demonstrates that LLMs can deliver contextualized and relevant responses when augmented with a set of relevant documents through a RAG framework. The prototype developed includes a dataset of 250+ relevant documents on the Chandrayaan-3 mission, and the results show that LLMs with RAG augmentation consistently provide accurate and informative answers compared to standard LLMs without RAG.
DOI: 10.6109/jkiice.2023.27.12.1489: This paper proposes a Metadata Retrieval-Augmented Generation (M-RAG) method that utilizes embeddings with metadata and generative models to generate automated responses, improving the performance of open-domain question answering systems.
DOI: 10.48550/arXiv.2406.13213: This study introduces a new method called Multi-Meta-RAG, which uses database filtering with LLM-extracted metadata to improve the RAG selection of relevant documents, particularly for multi-hop queries.
DOI: 10.48550/arXiv.2505.13557: This paper presents AMAQA, a new open-access QA dataset designed to evaluate tasks combining text and metadata, highlighting the value of structured context in improving the accuracy of RAG systems.
DOI: 10.48550/arXiv.2505.18247: This study introduces 'MetaGen Blended RAG', a novel enterprise search approach that enhances semantic retrievers through a metadata generation pipeline, achieving high retrieval and RAG accuracy on specialized domain datasets.
My lady, I hope this information is helpful. If you have any further questions or would like more details on a specific study,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</si>
  <si>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counts are heavily influenced by field-specific practices and traditions. The study underscores the difficulty of directly comparing citation metrics without accounting for these differences.
**DOI:** 10.7717/peerj.1771  
This paper by Bornmann et al. (2019) in *PeerJ* discusses the challenges of field normalization in bibliometrics, particularly the limitations of existing normalization methods. It argues that current approaches often fail to adequately account for the unique characteristics of different scientific fields, leading to biased comparisons.
**DOI:** 10.1002/asi.21337  
In this article by Waltman and Traag (2020) in the *Journal of the Association for Information Science and Technology*, the authors explore the complexities of field normalization and propose alternative methods to improve the fairness and accuracy of citation-based comparisons across disciplines.
These sources collectively illustrate the multifaceted challenges in normalizing citation metrics, emphasizing the need for nuanced approaches that consider the unique contexts of different scientific fields.</t>
  </si>
  <si>
    <t>Summary: Bibliographic errors have been perpetuated for decades and their possible causes have increased.
DOI: 10.1108/JD-10-2022-0234 - The authors analysed reference elements, i.e. bibliographic references, mentions, quotations and respective in-text reference pointers, from 729 articles published in 147 journals across the 27 subject areas.
Is there anything else I can help you with, my lady?</t>
  </si>
  <si>
    <t>Summary: Retrieval-Augmented Generation (RAG) is a technique that enables large language models (LLMs) to retrieve relevant information from external knowledge sources and answer queries over previously unseen document collections. RAG systems consist of a retrieval module and an LLM-based generation module, which work together to provide LLMs with knowledge from a reference textual database. This approach helps to reduce the risk of hallucinations and improve the quality of generated content.
DOI: 10.48550/arXiv.2406.13213: This paper introduces Multi-Meta-RAG, a new method that uses database filtering with LLM-extracted metadata to improve RAG's selection of relevant documents from various sources. The authors demonstrate that Multi-Meta-RAG greatly improves results on the MultiHop-RAG benchmark.
DOI: 10.1145/3637528.3671470: This survey provides a comprehensive review of existing research studies on Retrieval-Augmented Large Language Models (RA-LLMs). The authors discuss the powerful abilities of RAG in providing the latest and helpful auxiliary information and explore current limitations and promising directions for future research.
DOI: 10.18653/v1/2024.eacl-demo.16: This paper introduces RAGAs, a framework for reference-free evaluation of RAG pipelines. The authors propose a suite of metrics to evaluate the different dimensions of RAG architectures, including the ability of the retrieval system to identify relevant context passages and the quality of the generation itself.
DOI: 10.48550/arXiv.2404.13948: This work investigates the robustness of RAG systems and introduces a novel attack method, the Genetic Attack on RAG (GARAG). The authors demonstrate that GARAG can reveal vulnerabilities within each component of RAG systems and test the overall system functionality against noisy documents.
My lady, I hope this information is helpful. If you have any further questions or would like more details on a specific aspect of RAG, please don't hesitate to ask.</t>
  </si>
  <si>
    <t>Summary: Metadata quality assessment is a critical aspect of ensuring data usability, searchability, and interoperability. Challenges include the lack of consensus on definitions and measurements of quality dimensions, and the need for flexible assessment tools. Advancements include the development of automated frameworks, qualitative and quantitative analysis techniques, and the application of AI methods for metadata enhancement.
DOI: 10.1145/2964909 - This study focuses on developing a generic metadata quality assessment framework for Open Data portals, addressing concerns about data quality and metadata that compromise searchability, discoverability, and usability. The framework maps specific metadata from three portal software frameworks to a standardized schema and defines quality metrics for automated evaluation.
DOI: 10.1109/ADL.1998.670425 - This research discusses the application of qualitative and quantitative content analysis techniques to assess metadata records, concluding that a range of criteria and procedures are needed for evaluating different types of metadata.
DOI: 10.1177/09610006241239080 - A scoping review identifying commonly measured dimensions of metadata quality, highlighting the need for further investigation into less commonly assessed dimensions and emphasizing the importance of flexible assessment tools.
DOI: 10.5860/crl.86.1.101 - This study examines metadata quality issues across cultures, identifying unique issues and categorizing them to understand the impact of metadata on individuals and communities.
DOI: 10.48550/arXiv.2303.17661 - Introducing MetaEnhance, a framework utilizing AI methods to improve metadata quality for electronic theses and dissertations, achieving high accuracy in error detection and correction.
My lady, I hope this response meets your requirements. If you have any further questions or need additional information, please let me know.</t>
  </si>
  <si>
    <t>Summary: Metadata quality is crucial for digital objects to be discovered through digital library interfaces. However, metadata often exhibits incomplete, inconsistent, and incorrect values.
DOI: 10.48550/arXiv.2303.17661
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The evaluation of MetaEnhance on a benchmark of 500 ETDs showed promising results, with nearly perfect F1-scores in detecting errors and F1-scores in correcting errors ranging from 0.85 to 1.00 for five of seven fields.
My lady, I hope this response meets your requirements. If you have any further questions or need additional information, please let me know.</t>
  </si>
  <si>
    <t>Summary: Retrieval-Augmented Generation (RAG) systems face challenges such as hallucination, outdated knowledge, non-transparent reasoning processes, high computational costs, and difficulty in handling domain-specific datasets.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and future research directions.
DOI: 10.1016/j.caeai.2025.100417 - Focusing on educational applications, this paper explores the practical uses of RAG in interactive learning systems, educational content generation, and large-scale deployment. It discusses challenges like mitigating hallucinations, ensuring completeness and timeliness of retrieved knowledge, and reducing computational costs.
DOI: 10.48550/arXiv.2505.18247 - Introducing 'MetaGen Blended RAG', this paper addresses the challenge of domain-specific datasets by enhancing semantic retrievers through a metadata generation pipeline and hybrid query indexes. It demonstrates robust performance on specialized datasets like PubMedQA.
DOI: 10.1609/aaai.v38i16.29728 - This paper establishes the Retrieval-Augmented Generation Benchmark (RGB), evaluating LLMs on fundamental abilities required for RAG. It reveals that LLMs struggle with negative rejection, information integration, and false information, indicating the need for further research.
DOI: 10.1145/3637528.3671470 - This survey reviews Retrieval-Augmented Large Language Models (RA-LLMs), discussing their ability to provide reliable and up-to-date external knowledge. It highlights the limitations of current models and suggests promising directions for future research.
My lady, I hope this summary meets your requirements. If you have any further questions or need additional information, please let me know.</t>
  </si>
  <si>
    <t>Summary: Two studies examined the abstract in metadata.
DOI: 10.1162/qss_a_00286 - This study compared the amount of metadata and the completeness degree of research publications in new academic databases.
DOI: 10.1002/leap.1411 - This study investigated whether the COVID-19 crisis and the ensuing scientific and economic competition have changed the lexical content of abstracts.
I hope this information is helpful, my lady.</t>
  </si>
  <si>
    <t>Summary: Three studies examined citations.
DOI: 10.1108/JD-10-2022-0234 - This study analysed bibliographic references, mentions, quotations and respective in-text reference pointers from 729 articles published in 147 journals across 27 subject areas.
DOI: 10.1007/s11192-022-04367-w - This study identified classes of DOI mistakes by analysing the open bibliographic metadata available in Crossref.
DOI: 10.1162/qss_a_00112 - This study compared five multidisciplinary bibliographic data sources: Scopus, Web of Science, Dimensions, Crossref, and Microsoft Academic.
Is there anything else I can help you with, my lady?</t>
  </si>
  <si>
    <t>Summary: Two papers evaluate the linguistic coverage or language-related metadata in scholarly databases.
DOI: 10.48550/arXiv.2409.10633 - Evaluating the Linguistic Coverage of OpenAlex: An Assessment of Metadata Accuracy and Completeness
DOI: 10.48550/arXiv.2508.18620 - Investigating Document Type, Language, Publication Year, and Author Count Discrepancies Between OpenAlex and Web of Science
Is there anything else I can help you with, my lady?</t>
  </si>
  <si>
    <t>Summary: Several papers address funding metadata, its availability, or its analysis in scholarly databases.
DOI: 10.5281/zenodo.14006424 - This paper analyses OpenAlex’s coverage and metadata availability of African-based publications.
DOI: 10.31222/osf.io/smxe5 - This paper presents an up-to-date overview of the availability of six metadata elements in Crossref, including funding information.
DOI: 10.1162/qss_a_00210 - This paper examines the availability and completeness of open funder metadata, specifically for publications funded by the Dutch Research Council.
DOI: 10.1162/qss_a_00212 - This paper studies the open availability of funding data in Crossref, focusing on funding data for publications related to COVID-19 research.
DOI: 10.1162/qss_a_00286 - Although this paper does not specifically address funding metadata, it compares the completeness degree of publication metadata in eight free-access scholarly databases, which may be relevant to the topic.
My lady, I hope this information is helpful. If you have any further questions or need more details, please let me know.</t>
  </si>
  <si>
    <t>Summary: I found four papers that discuss the use of Retrieval-Augmented Generation (RAG) in applications.
DOI: 10.1016/j.caeai.2025.100417
This paper discusses the use of RAG in educational applications. It covers interactive learning systems, generation and assessment of educational content, and large-scale deployment in educational ecosystems.
DOI: 10.3390/app14199103
This paper discusses the use of RAG in systematic literature reviews (SLRs). It covers data extraction, summarization, and trend identification.
DOI: 10.48550/arXiv.2312.10997
This paper discusses the use of RAG in knowledge-intensive tasks. It covers continuous knowledge updates and integration of domain-specific information.
DOI: 10.1145/3637528.3671470
This paper discusses the use of RAG in large language models (LLMs). It covers external and authoritative knowledge bases to augment the quality of the generated content of LLMs.
My lady, I hope this information is helpful. If you have any further questions, please don't hesitate to ask.</t>
  </si>
  <si>
    <t>Summary: OpenAlex is a bibliographic database that launched in 2022 and is distinguished by its openness and extensive coverage.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that launched in 2022 and is distinguished by its openness and extensive coverage. However, issues of metadata accuracy show that additional research is needed to fully comprehend and address OpenAlex's limitations.
DOI: 10.29173/cais1943 - OpenAlex is a bibliographic database that launched in 2022 and is distinguished by its openness and extensive coverage. However, issues of metadata accuracy show that additional research is needed to fully comprehend and address OpenAlex's limitations.
DOI: 10.48550/arXiv.2401.16359 - OpenAlex is a bibliographic database that is a promising open source of scholarly metadata. However, as OpenAlex is a rapidly evolving source and the data contained within is expanding and also quickly changing, the question naturally arises as to the trustworthiness of its data.
DOI: 10.48550/arXiv.2409.10633 - OpenAlex is a bibliographic database that launched in 2022 and promised comprehensive, inclusive, and open-source research information. However, issues of metadata accuracy and completeness show that additional research is needed to fully comprehend and address OpenAlex's limitations.
My lady, I hope this information is helpful. If you have any further questions, please let me know.</t>
  </si>
  <si>
    <t>Summary: Web of Science (WoS) is a bibliometric database that has been the main supporting infrastructure of the field for more than 30 years. However, it has some strengths and weaknesses when compared to other databases.
DOI: 10.1007/s11192-015-1765-5 - This study compares the journal coverage of WoS and Scopus with Ulrich's extensive periodical directory. Results indicate that both WoS and Scopus may introduce biases that favor Natural Sciences and Engineering, as well as Biomedical Research, to the detriment of Social Sciences and Arts and Humanities. English-language journals are also overrepresented. However, the coverage of WoS and Scopus differs substantially, which can lead to varying results in bibliometric analyses.
DOI: 10.1162/qss_a_00112 - This large-scale comparison of five multidisciplinary bibliographic data sources, including WoS, emphasizes the importance of combining comprehensive coverage with flexible filters. The study discusses the strengths and weaknesses of each data source but does not provide specific details on WoS's strengths and weaknesses.
DOI: 10.48550/arXiv.2508.18620 and 10.29173/cais1943 - These studies compare WoS with OpenAlex, a newer bibliographic database. They highlight WoS's strength in metadata quality, particularly in document type accuracy, where WoS has significantly fewer errors than OpenAlex. However, OpenAlex's extensive coverage and openness are noted as potential advantages.
DOI: 10.1162/qss_a_00211 - This study assesses the quality of bibliographic data sources for measuring international research collaboration (IRC). WoS is found to have the highest overall quality among the sets considered, primarily due to its data organization.
In summary, my lady, WoS's strengths include its high overall quality, particularly in metadata accuracy and organization, as well as its long-standing position as a main supporting infrastructure in the field. However, its weaknesses include potential biases in journal coverage, favoring certain fields and languages, and its relatively limited coverage compared to newer databases like OpenAlex.
Please provide more context or a different question if you'd like me to elaborate on specific aspects or compare WoS with other databases in more detail.</t>
  </si>
  <si>
    <t>Summary: Retrieval-Augmented Generation (RAG) is a framework that enhances question answering and information retrieval systems by augmenting Large Language Models (LLMs) with relevant documents, improving accuracy and context precision.
DOI: 10.17821/srels/2024/v61i5/171583: This study demonstrates that RAG can improve the accuracy and contextualization of LLM responses by augmenting them with relevant documents. The prototype developed using open-source tools and LLMs showed that RAG-augmented models provided accurate and informative answers compared to standard LLMs, which often hallucinate.
DOI: 10.6109/jkiice.2023.27.12.1489: This paper proposes a Metadata Retrieval-Augmented Generation (M-RAG) method that enhances open-domain question answering by utilizing embeddings with metadata and generative models. The method showed a significant performance improvement compared to conventional RAG and external inference ODQA systems.
DOI: 10.48550/arXiv.2406.13213: This study introduces Multi-Meta-RAG, a method that improves RAG for multi-hop queries by using database filtering with LLM-extracted metadata. The method significantly improves the selection of relevant documents, leading to better results on the MultiHop-RAG benchmark.
DOI: 10.48550/arXiv.2505.13557: This paper presents AMAQA, a metadata-based QA dataset for RAG systems, which highlights the importance of metadata integration in question-answering tasks. The study shows that leveraging metadata boosts accuracy and enables precise and contextualized queries.
DOI: 10.48550/arXiv.2505.18247: This study introduces MetaGen Blended RAG, a novel approach that enhances semantic retrievers through metadata generation and hybrid query indexes. The method achieves high retrieval and RAG accuracy, surpassing prior zero-shot RAG benchmarks and rivaling fine-tuned models.
My lady, I hope this summary meets your requirements. If you have any further questions or need more information, please let me know.</t>
  </si>
  <si>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disparities in database coverage.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**Additional Context:** Other challenges include:  
1. **Field-Specific Citation Cultures:** Some fields (e.g., biomedicine) tend to cite more frequently than others (e.g., mathematics), making direct comparisons unfair.  
2. **Journal Practices:** Journals in certain fields may have higher citation counts due to differences in review processes, article types, or readership size.  
3. **Database Bias:** Citation databases like Web of Science or Scopus may have uneven coverage across disciplines, skewing metrics.  
4. **Time-Dependent Metrics:** Citation rates vary by field and time, requiring normalization over specific periods to ensure fairness.  
To address these challenges, field-normalized metrics like the **Field-Weighted Citation Impact (FWCI)** or **Citation Percentiles** are often used, but they are not without limitations.  
If you'd like further details or a different question, my lady, please let me know!</t>
  </si>
  <si>
    <t>Summary: Bibliographic errors have been perpetuated for decades and their possible causes have increased, despite the encouraged use of technological facilities.
DOI: 10.1108/JD-10-2022-0234 - The authors analysed reference elements from 729 articles published in 147 journals across the 27 subject areas. The outcomes of the analysis pointed out that bibliographic errors have been perpetuated for decades and that their possible causes have increased, despite the encouraged use of technological facilities.
Is there anything else I can help you with, my lady?</t>
  </si>
  <si>
    <t>Summary: Retrieval-Augmented Generation (RAG) is a promising solution for addressing the limitations of LLMs, enabling retrieval of relevant information from an external knowledge source and allowing LLMs to answer queries over previously unseen document collections.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which uses database filtering with LLM-extracted metadata to improve the RAG selection of relevant documents.
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
DOI: 10.18653/v1/2024.eacl-demo.16 - RAG systems are composed of a retrieval and an LLM-based generation module. They provide LLMs with knowledge from a reference textual database, enabling them to act as a natural language layer between a user and textual databases. A framework for reference-free evaluation of RAG pipelines is introduced, called RAGAs.
DOI: 10.48550/arXiv.2404.13948 - The robustness of RAG is investigated, specifically vulnerability to noisy documents through low-level perturbations and a holistic evaluation of RAG robustness. A novel attack method, the Genetic Attack on RAG (GARAG), is introduced to reveal vulnerabilities within each component and test the overall system functionality against noisy documents.
My lady, I hope this information is helpful. If you have any further questions or need more details, please let me know.</t>
  </si>
  <si>
    <t>Summary: The key challenges in metadata quality assessment include defining and measuring quality dimensions, handling diverse data sources and cultural contexts, and automating assessment processes.Summary: The key challenges in metadata quality assessment include defining and measuring quality dimensions, handling diverse data sources and cultural contexts, and automating assessment processes. Advancements involve developing standardized frameworks, applying qualitative and quantitative analysis techniques, and utilizing AI for error detection and correction.
DOI: 10.1145/2964909 - This study focuses on developing a generic metadata quality assessment framework for Open Data portals, addressing challenges like retrievability and standardization by mapping metadata from different portal software frameworks to a standardized schema.
DOI: 10.1109/ADL.1998.670425 - The research highlights the need for diverse criteria and procedures in assessing different types of metadata, such as descriptive and transactional metadata, through a case study of the US Government Information Locator Service (GILS).
DOI: 10.1177/09610006241239080 - This scoping review identifies commonly measured dimensions of metadata quality and emphasizes the lack of consensus on their definitions and measurements, pointing to the need for further research and flexible assessment tools.
DOI: 10.5860/crl.86.1.101 - The study explores how metadata quality issues intersect with cultural meanings, identifying 32 unique issues across 427 records and classifying them into 5 categories to understand their impact on individuals and communities.
DOI: 10.48550/arXiv.2303.17661 - This research introduces MetaEnhance, a framework using AI to improve metadata quality in electronic theses and dissertations, demonstrating high accuracy in detecting and correcting errors.
My lady, I hope this summary meets your requirements. If you have any further questions or need additional information, please let me know.</t>
  </si>
  <si>
    <t>Summary: Metadata quality is crucial for digital objects to be discovered through digital library interfaces. However, metadata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My lady, I hope this response is helpful. If you have any further questions, please let me know.</t>
  </si>
  <si>
    <t>Summary: Retrieval-Augmented Generation (RAG) systems face challenges such as hallucination, outdated knowledge, non-transparent reasoning processes, semantic variability across domains, and high computational costs. However, advancements include enhanced accuracy and credibility, continuous knowledge updates, domain-specific integration, and improved multimodal support.
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DOI: 10.1016/j.caeai.2025.100417 - This paper focuses on the application of RAG in educational settings, discussing challenges such as mitigating hallucinations, ensuring completeness and timeliness of retrieved knowledge, and reducing computational costs.
DOI: 10.48550/arXiv.2505.18247 - This paper introduces 'MetaGen Blended RAG', a novel approach that enhances semantic retrievers and achieves high retrieval accuracy on specialized domain datasets.
DOI: 10.1609/aaai.v38i16.29728 - This paper establishes the Retrieval-Augmented Generation Benchmark (RGB), a new corpus for evaluating RAG systems, and reveals that LLMs struggle with negative rejection, information integration, and dealing with false information.
DOI: 10.1145/3637528.3671470 - This survey discusses the current limitations of RAG systems and highlights promising directions for future research, including the integration of external knowledge bases.
My lady, I hope this summary meets your requirements. If you have any further questions or need more detailed information, please let me know.</t>
  </si>
  <si>
    <t>Answer relevance</t>
  </si>
  <si>
    <t>RATER A</t>
  </si>
  <si>
    <t>RATER B</t>
  </si>
  <si>
    <t>fabrication</t>
  </si>
  <si>
    <t>Grand Total</t>
  </si>
  <si>
    <t>Row Labels</t>
  </si>
  <si>
    <t>Column Labels</t>
  </si>
  <si>
    <t>Count of Response</t>
  </si>
  <si>
    <t>(Red = inconsistent)</t>
  </si>
  <si>
    <t>Cohen's Kappa</t>
  </si>
  <si>
    <t>(Green = consistent)</t>
  </si>
  <si>
    <t>Ratings Given</t>
  </si>
  <si>
    <t>Consistent Ratings Expected</t>
  </si>
  <si>
    <t>Consistent Ratings Observed</t>
  </si>
  <si>
    <t>Proportion</t>
  </si>
  <si>
    <t>Frequency</t>
  </si>
  <si>
    <t>3. Summary Statistics &amp; Cohen's Kappa</t>
  </si>
  <si>
    <t>Total</t>
  </si>
  <si>
    <t>Rater A</t>
  </si>
  <si>
    <t>Rater B</t>
  </si>
  <si>
    <t>2. Expected Frequencies under Null Hypothesis of Zero Agreement Between 2 Raters</t>
  </si>
  <si>
    <t>these are just values</t>
  </si>
  <si>
    <t>1. Observed Frequencies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</si>
</sst>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amily val="2"/>
    </font>
    <font>
      <sz val="10"/>
      <color rgb="FF000000"/>
      <name val="Calibri"/>
      <family val="2"/>
      <scheme val="minor"/>
    </font>
    <font>
      <sz val="12"/>
      <color rgb="FF000000"/>
      <name val="Arial"/>
      <family val="2"/>
    </font>
    <font>
      <b/>
      <sz val="12"/>
      <color rgb="FF000000"/>
      <name val="Arial"/>
      <family val="2"/>
    </font>
    <font>
      <b/>
      <sz val="12"/>
      <color rgb="FFFF0000"/>
      <name val="Arial"/>
      <family val="2"/>
    </font>
    <font>
      <b/>
      <sz val="12"/>
      <color rgb="FF00FF00"/>
      <name val="Arial"/>
      <family val="2"/>
    </font>
    <font>
      <b/>
      <sz val="11"/>
      <color theme="1"/>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F3F3F3"/>
        <bgColor rgb="FFF3F3F3"/>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style="thin">
        <color theme="4" tint="0.39997558519241921"/>
      </top>
      <bottom/>
      <diagonal/>
    </border>
    <border>
      <left/>
      <right/>
      <top/>
      <bottom style="thin">
        <color theme="4" tint="0.39997558519241921"/>
      </bottom>
      <diagonal/>
    </border>
  </borders>
  <cellStyleXfs count="2">
    <xf numFmtId="0" fontId="0" fillId="0" borderId="0"/>
    <xf numFmtId="0" fontId="2" fillId="0" borderId="0"/>
  </cellStyleXfs>
  <cellXfs count="27">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2" fillId="0" borderId="0" xfId="1"/>
    <xf numFmtId="0" fontId="3" fillId="0" borderId="0" xfId="1" applyFont="1"/>
    <xf numFmtId="0" fontId="3" fillId="0" borderId="0" xfId="1" applyFont="1" applyAlignment="1">
      <alignment horizontal="right"/>
    </xf>
    <xf numFmtId="0" fontId="0" fillId="0" borderId="0" xfId="0" applyAlignment="1">
      <alignment horizontal="left"/>
    </xf>
    <xf numFmtId="0" fontId="0" fillId="0" borderId="0" xfId="0" pivotButton="1"/>
    <xf numFmtId="0" fontId="3" fillId="3" borderId="0" xfId="1" applyFont="1" applyFill="1" applyAlignment="1">
      <alignment horizontal="right"/>
    </xf>
    <xf numFmtId="0" fontId="4" fillId="3" borderId="0" xfId="1" applyFont="1" applyFill="1"/>
    <xf numFmtId="0" fontId="4" fillId="0" borderId="0" xfId="1" applyFont="1"/>
    <xf numFmtId="0" fontId="5" fillId="0" borderId="0" xfId="1" applyFont="1" applyAlignment="1">
      <alignment horizontal="right"/>
    </xf>
    <xf numFmtId="0" fontId="4" fillId="0" borderId="0" xfId="1" applyFont="1" applyAlignment="1">
      <alignment horizontal="right"/>
    </xf>
    <xf numFmtId="164" fontId="4" fillId="0" borderId="0" xfId="1" applyNumberFormat="1" applyFont="1" applyAlignment="1">
      <alignment horizontal="right"/>
    </xf>
    <xf numFmtId="0" fontId="6" fillId="0" borderId="0" xfId="1" applyFont="1" applyAlignment="1">
      <alignment horizontal="right"/>
    </xf>
    <xf numFmtId="164" fontId="3" fillId="0" borderId="0" xfId="1" applyNumberFormat="1" applyFont="1" applyAlignment="1">
      <alignment horizontal="right"/>
    </xf>
    <xf numFmtId="0" fontId="3" fillId="0" borderId="0" xfId="1" applyFont="1" applyAlignment="1">
      <alignment vertical="top"/>
    </xf>
    <xf numFmtId="0" fontId="3" fillId="0" borderId="0" xfId="1" applyFont="1" applyAlignment="1">
      <alignment vertical="center"/>
    </xf>
    <xf numFmtId="0" fontId="2" fillId="0" borderId="0" xfId="1"/>
    <xf numFmtId="0" fontId="3" fillId="0" borderId="0" xfId="1" applyFont="1" applyAlignment="1">
      <alignment horizontal="center"/>
    </xf>
    <xf numFmtId="0" fontId="7" fillId="4" borderId="2" xfId="0" applyFont="1" applyFill="1" applyBorder="1" applyAlignment="1">
      <alignment horizontal="left"/>
    </xf>
    <xf numFmtId="0" fontId="3" fillId="0" borderId="0" xfId="1" applyFont="1" applyAlignment="1">
      <alignment horizontal="left" vertical="top"/>
    </xf>
    <xf numFmtId="0" fontId="7" fillId="4" borderId="3" xfId="0" applyFont="1" applyFill="1" applyBorder="1"/>
    <xf numFmtId="0" fontId="0" fillId="0" borderId="0" xfId="0" applyNumberFormat="1"/>
    <xf numFmtId="0" fontId="7" fillId="4" borderId="2" xfId="0" applyNumberFormat="1" applyFont="1" applyFill="1" applyBorder="1"/>
  </cellXfs>
  <cellStyles count="2">
    <cellStyle name="Normal" xfId="0" builtinId="0"/>
    <cellStyle name="Normal 2" xfId="1" xr:uid="{1377E613-E719-2043-803F-0857D119639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ppy Riddle" refreshedDate="45998.639595138891" createdVersion="8" refreshedVersion="8" minRefreshableVersion="3" recordCount="80" xr:uid="{D19D68BC-E778-0646-9594-F0E9C24DE842}">
  <cacheSource type="worksheet">
    <worksheetSource ref="B1:G81" sheet="raw data"/>
  </cacheSource>
  <cacheFields count="6">
    <cacheField name="Query" numFmtId="0">
      <sharedItems/>
    </cacheField>
    <cacheField name="Response" numFmtId="0">
      <sharedItems longText="1"/>
    </cacheField>
    <cacheField name="Answer relevance" numFmtId="0">
      <sharedItems containsSemiMixedTypes="0" containsString="0" containsNumber="1" containsInteger="1" minValue="0" maxValue="1"/>
    </cacheField>
    <cacheField name="RATER A" numFmtId="0">
      <sharedItems containsSemiMixedTypes="0" containsString="0" containsNumber="1" containsInteger="1" minValue="0" maxValue="1" count="2">
        <n v="1"/>
        <n v="0"/>
      </sharedItems>
    </cacheField>
    <cacheField name="RATER B" numFmtId="0">
      <sharedItems containsSemiMixedTypes="0" containsString="0" containsNumber="1" containsInteger="1" minValue="0" maxValue="1" count="2">
        <n v="1"/>
        <n v="0"/>
      </sharedItems>
    </cacheField>
    <cacheField name="fabrication"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which studies examined the abstract in metadata?']"/>
    <s v="Summary: Two studies examined the abstract in metadata._x000a__x000a_DOI: 10.1162/qss_a_00286 - This study compared the amount of metadata and the completeness degree of research publications in new academic databases. Seven characteristics were analyzed, including the abstract._x000a__x000a_DOI: 10.1177/09610006241239080 - This study investigated the types of data sources and countries contributing most to the literature on metadata quality assessment. The methodology involved the application of the PRISMA model for qualitatively evaluating 55 studies on metadata quality assessment. The co-occurrence analysis was made on the title and abstract of selected articles using VOSviewer 1.6.18 version, visualization software._x000a__x000a_My lady, I hope this information is helpful. If you have any further questions, please let me know."/>
    <n v="1"/>
    <x v="0"/>
    <x v="0"/>
    <n v="0"/>
  </r>
  <r>
    <s v="['which studies examined the abstract in metadata?']"/>
    <s v="Summary: Three studies examined the abstract in metadata._x000a__x000a_DOI: 10.1162/qss_a_00286 - This study compares the amount of metadata and the completeness degree of research publications in new academic databases._x000a__x000a_DOI: 10.1177/09610006241239080 - This study investigates the types of data sources and countries contributing most to the literature on metadata quality assessment and the types of documents used to communicate their findings._x000a__x000a_DOI: 10.1002/leap.1411 - This study investigates whether the COVID-19 crisis and the ensuing scientific and economic competition have changed the lexical content of abstracts._x000a__x000a_My lady, I hope this information is helpful."/>
    <n v="1"/>
    <x v="0"/>
    <x v="0"/>
    <n v="0"/>
  </r>
  <r>
    <s v="['which studies examined the abstract in metadata?']"/>
    <s v="Summary: Three studies examined the abstract in metadata._x000a__x000a_DOI: 10.1162/qss_a_00286 - This study compared the amount of metadata and the completeness degree of research publications in new academic databases._x000a__x000a_DOI: 10.1177/09610006241239080 - This study investigated the most commonly measured dimensions of metadata quality in existing studies on metadata quality assessment._x000a__x000a_DOI: 10.1002/leap.1411 - This study investigated whether the COVID-19 crisis and the ensuing scientific and economic competition have changed the lexical content of abstracts._x000a__x000a_My lady, I hope this information is helpful. If you have any further questions, please let me know."/>
    <n v="1"/>
    <x v="0"/>
    <x v="0"/>
    <n v="0"/>
  </r>
  <r>
    <s v="['which studies examined the abstract in metadata?']"/>
    <s v="Summary: Three studies examined the abstract in metadata._x000a__x000a_DOI: 10.1162/qss_a_00286 - This study compared the amount of metadata and the completeness degree of research publications in new academic databases._x000a__x000a_DOI: 10.1177/09610006241239080 - This study identified the most commonly measured dimensions of metadata quality in existing studies on metadata quality assessment._x000a__x000a_DOI: 10.1002/leap.1411 - This study investigated whether the COVID-19 crisis and the ensuing scientific and economic competition have changed the lexical content of abstracts._x000a__x000a_My lady, I hope this information is helpful."/>
    <n v="1"/>
    <x v="0"/>
    <x v="0"/>
    <n v="0"/>
  </r>
  <r>
    <s v="['which studies examined the abstract in metadata?']"/>
    <s v="Summary: Two studies examined the abstract in metadata._x000a__x000a_DOI: 10.1162/qss_a_00286 - This study compared the amount of metadata and the completeness degree of research publications in new academic databases._x000a__x000a_DOI: 10.1002/leap.1411 - This study investigated whether the COVID-19 crisis and the ensuing scientific and economic competition have changed the lexical content of abstracts._x000a__x000a_I hope this information is helpful, my lady."/>
    <n v="1"/>
    <x v="0"/>
    <x v="0"/>
    <n v="0"/>
  </r>
  <r>
    <s v="['which studies examined citations?']"/>
    <s v="Summary: Three studies examined citations._x000a__x000a_DOI: 10.1108/JD-10-2022-0234_x000a_Title: An analysis of citing and referencing habits across all scholarly disciplines: approaches and trends in bibliographic referencing and citing practices_x000a_Abstract: In this study, the authors want to identify current possible causes for citing and referencing errors in scholarly literature to compare if something changed from the snapshot provided by Sweetland in his 1989 paper.,The authors analysed reference elements, i.e. bibliographic references, mentions, quotations and respective in-text reference pointers, from 729 articles published in 147 journals across the 27 subject areas.,The outcomes of the analysis pointed out that bibliographic errors have been perpetuated for decades and that their possible causes have increased, despite the encouraged use of technological facilities, i.e. the reference managers.,As far as the authors know, the study is the best recent available analysis of errors in referencing and citing practices in the literature since Sweetland (1989)._x000a__x000a_DOI: 10.1007/s11192-022-04367-w_x000a_Title: Identifying and correcting invalid citations due to DOI errors in Crossref data_x000a_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Title: Large-scale comparison of bibliographic data sources: Scopus, Web of Science, Dimensions, Crossref, and Microsoft Academic_x000a_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
    <n v="1"/>
    <x v="0"/>
    <x v="0"/>
    <n v="0"/>
  </r>
  <r>
    <s v="['which studies examined citations?']"/>
    <s v="Summary: Three studies examined citations._x000a__x000a_DOI: 10.1108/JD-10-2022-0234 - The authors of this study analysed reference elements from 729 articles published in 147 journals across 27 subject areas. They found that bibliographic errors have been perpetuated for decades and that their possible causes have increased, despite the encouraged use of technological facilities._x000a__x000a_DOI: 10.1007/s11192-022-04367-w - This study aimed to identify classes of DOI mistakes by analysing the open bibliographic metadata available in Crossref. The outcomes of this research show that only a few publishers were responsible for and/or affected by the majority of invalid citations._x000a__x000a_DOI: 10.1162/qss_a_00112 - This study presents a large-scale comparison of five multidisciplinary bibliographic data sources: Scopus, Web of Science, Dimensions, Crossref, and Microsoft Academic. The comparison considers scientific documents from the period 2008–2017 covered by these data sources._x000a__x000a_My lady, I hope this information is helpful."/>
    <n v="1"/>
    <x v="0"/>
    <x v="0"/>
    <n v="0"/>
  </r>
  <r>
    <s v="['which studies examined citations?']"/>
    <s v="Summary: I have found three studies that examined citations._x000a__x000a_DOI: 10.1108/JD-10-2022-0234_x000a_Title: An analysis of citing and referencing habits across all scholarly disciplines: approaches and trends in bibliographic referencing and citing practices_x000a_Abstract: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_x000a__x000a_DOI: 10.1007/s11192-022-04367-w_x000a_Title: Identifying and correcting invalid citations due to DOI errors in Crossref data_x000a_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Title: Large-scale comparison of bibliographic data sources: Scopus, Web of Science, Dimensions, Crossref, and Microsoft Academic_x000a_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Is there anything else I can help you with, my lady?"/>
    <n v="1"/>
    <x v="0"/>
    <x v="0"/>
    <n v="0"/>
  </r>
  <r>
    <s v="['which studies examined citations?']"/>
    <s v="Summary: Three studies examined citations._x000a__x000a_DOI: 10.1108/JD-10-2022-0234_x000a_Title: An analysis of citing and referencing habits across all scholarly disciplines: approaches and trends in bibliographic referencing and citing practices_x000a_Abstract: In this study, the authors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_x000a__x000a_DOI: 10.1007/s11192-022-04367-w_x000a_Title: Identifying and correcting invalid citations due to DOI errors in Crossref data_x000a_Abstract: This work aims to identify classes of DOI mistakes by analysing the open bibliographic metadata available in Crossref, highlighting which publishers were responsible for such mistakes and how many of these incorrect DOIs could be corrected through automatic processes. By using a list of invalid cited DOIs gathered by OpenCitations while processing the OpenCitations Index of Crossref open DOI-to-DOI citations (COCI) in the past two years, we retrieved the citations in the January 2021 Crossref dump to such invalid DOIs. We processed these citations by keeping track of their validity and the publishers responsible for uploading the related citation data in Crossref. Finally, we identified patterns of factual errors in the invalid DOIs and the regular expressions needed to catch and correct them. The outcomes of this research show that only a few publishers were responsible for and/or affected by the majority of invalid citations. We extended the taxonomy of DOI name errors proposed in past studies and defined more elaborated regular expressions that can clean a higher number of mistakes in invalid DOIs than prior approaches. The data gathered in our study can enable investigating possible reasons for DOI mistakes from a qualitative point of view, helping publishers identify the problems underlying their production of invalid citation data. Also, the DOI cleaning mechanism we present could be integrated into the existing process (e.g. in COCI) to add citations by automatically correcting a wrong DOI. This study was run strictly following Open Science principles, and, as such, our research outcomes are fully reproducible._x000a__x000a_DOI: 10.1162/qss_a_00112_x000a_Title: Large-scale comparison of bibliographic data sources: Scopus, Web of Science, Dimensions, Crossref, and Microsoft Academic_x000a_Abstract: Abstract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_x000a__x000a_Is there anything else I can help you with, my lady?"/>
    <n v="1"/>
    <x v="0"/>
    <x v="0"/>
    <n v="0"/>
  </r>
  <r>
    <s v="['which studies examined citations?']"/>
    <s v="Summary: Three studies examined citations._x000a__x000a_DOI: 10.1108/JD-10-2022-0234 - This study analysed bibliographic references, mentions, quotations and respective in-text reference pointers from 729 articles published in 147 journals across 27 subject areas._x000a__x000a_DOI: 10.1007/s11192-022-04367-w - This study identified classes of DOI mistakes by analysing the open bibliographic metadata available in Crossref._x000a__x000a_DOI: 10.1162/qss_a_00112 - This study compared five multidisciplinary bibliographic data sources: Scopus, Web of Science, Dimensions, Crossref, and Microsoft Academic._x000a__x000a_Is there anything else I can help you with, my lady?"/>
    <n v="1"/>
    <x v="0"/>
    <x v="0"/>
    <n v="0"/>
  </r>
  <r>
    <s v="['Which papers evaluate the linguistic coverage or language-related metadata in scholarly databases?']"/>
    <s v="Summary: OpenAlex is a newly launched bibliographic database that promises comprehensive, inclusive, and open-source research information._x000a__x000a_DOI: 10.48550/arXiv.2409.10633 - Evaluating the Linguistic Coverage of OpenAlex: An Assessment of Metadata Accuracy and Completeness - This paper assesses the completeness and accuracy of OpenAlex's metadata related to language, through a comparison with WoS, as well as an in-depth manual validation of a sample of 6,836 articles._x000a__x000a_DOI: 10.5281/zenodo.14006424 - Coverage and metadata availability of African publications in OpenAlex: A comparative analysis - This paper analyses OpenAlex’s coverage and metadata availability of African-based publications. For this purpose, we compare OpenAlex with Scopus, WoS, and African Journals Online (AJOL)._x000a__x000a_DOI: 10.48550/arXiv.2508.18620 - Investigating Document Type, Language, Publication Year, and Author Count Discrepancies Between OpenAlex and Web of Science - This study aims to assess metadata quality in OpenAlex and WoS, focusing on document type, publication year, language, and number of authors._x000a__x000a_My lady, is there anything else I can help you with?"/>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es the linguistic coverage of OpenAlex by assessing the completeness and accuracy of its language-related metadata through a comparison with Web of Science (WoS) and manual validation of a sample of articles._x000a__x000a_DOI: 10.1162/qss_a_00286 - Compares the completeness degree of publication metadata, including language, in eight free-access scholarly databases, highlighting differences between academic search engines and third-party databases._x000a__x000a_DOI: 10.5281/zenodo.14006424 - Analyzes OpenAlex's coverage and metadata availability of African publications, including language-related metadata, in comparison with Scopus, WoS, and African Journals Online (AJOL)._x000a__x000a_DOI: 10.48550/arXiv.2508.18620 - Assesses metadata quality in OpenAlex and WoS, focusing on language discrepancies and misattributions that could impact bibliometric research and evaluation outcomes._x000a__x000a_DOI: 10.1007/s11192-022-04289-7 - Introduces a novel scientometrics method to estimate the subject coverages of popular English-focused bibliographic databases, indirectly addressing linguistic coverage by comparing databases' disciplinary focus._x000a__x000a_My lady, these papers provide insights into the linguistic coverage and language-related metadata in various scholarly databases. If you require further information or have additional questions, please let me know."/>
    <n v="1"/>
    <x v="0"/>
    <x v="0"/>
    <n v="0"/>
  </r>
  <r>
    <s v="['Which papers evaluate the linguistic coverage or language-related metadata in scholarly databases?']"/>
    <s v="Summary: Several papers evaluate the linguistic coverage or language-related metadata in scholarly databases._x000a__x000a_DOI: 10.48550/arXiv.2409.10633 - Evaluating the Linguistic Coverage of OpenAlex: An Assessment of Metadata Accuracy and Completeness - This paper assesses the completeness and accuracy of OpenAlex's metadata related to language, comparing it with WoS and manually validating a sample of articles._x000a__x000a_DOI: 10.1162/qss_a_00286 - Completeness degree of publication metadata in eight free-access scholarly databases - This study compares the amount of metadata and completeness degree of research publications in new academic databases, including an analysis of language-related metadata._x000a__x000a_DOI: 10.5281/zenodo.14006424 - Coverage and metadata availability of African publications in OpenAlex: A comparative analysis - This paper analyzes OpenAlex's coverage and metadata availability of African-based publications, including a comparison with other databases like Scopus and WoS._x000a__x000a_DOI: 10.48550/arXiv.2508.18620 - Investigating Document Type, Language, Publication Year, and Author Count Discrepancies Between OpenAlex and Web of Science - This study assesses metadata quality in OpenAlex and WoS, focusing on language-related metadata and discrepancies._x000a__x000a_DOI: 10.1007/s11192-022-04289-7 - Search where you will find most: Comparing the disciplinary coverage of 56 bibliographic databases - While not exclusively focused on language, this paper compares the disciplinary coverage of various bibliographic databases, including those with a focus on English-language publications._x000a__x000a_My lady, I hope this information is helpful. If you have any further questions or need more details, please let me know."/>
    <n v="1"/>
    <x v="0"/>
    <x v="0"/>
    <n v="0"/>
  </r>
  <r>
    <s v="['Which papers evaluate the linguistic coverage or language-related metadata in scholarly databases?']"/>
    <s v="Summary: Several papers evaluate the linguistic coverage or language-related metadata in scholarly databases._x000a__x000a_DOI: 10.48550/arXiv.2409.10633_x000a_This paper assesses the completeness and accuracy of OpenAlex's metadata related to language, through a comparison with WoS, as well as an in-depth manual validation of a sample of 6,836 articles._x000a__x000a_DOI: 10.1162/qss_a_00286_x000a_This study compares the amount of metadata and the completeness degree of research publications in new academic databases._x000a__x000a_DOI: 10.5281/zenodo.14006424_x000a_This paper analyses OpenAlex’s coverage and metadata availability of African-based publications._x000a__x000a_DOI: 10.48550/arXiv.2508.18620_x000a_This study assesses metadata quality in OpenAlex and WoS, focusing on document type, publication year, language, and number of authors._x000a__x000a_DOI: 10.1007/s11192-022-04289-7_x000a_This paper introduces a novel scientometrics method and applies it to estimate the subject coverages of many of the popular English-focused bibliographic databases in academia._x000a__x000a_My lady, I hope this information is helpful. If you have any further questions, please let me know."/>
    <n v="1"/>
    <x v="0"/>
    <x v="0"/>
    <n v="0"/>
  </r>
  <r>
    <s v="['Which papers evaluate the linguistic coverage or language-related metadata in scholarly databases?']"/>
    <s v="Summary: Two papers evaluate the linguistic coverage or language-related metadata in scholarly databases._x000a__x000a_DOI: 10.48550/arXiv.2409.10633 - Evaluating the Linguistic Coverage of OpenAlex: An Assessment of Metadata Accuracy and Completeness_x000a__x000a_DOI: 10.48550/arXiv.2508.18620 - Investigating Document Type, Language, Publication Year, and Author Count Discrepancies Between OpenAlex and Web of Science_x000a__x000a_Is there anything else I can help you with, my lady?"/>
    <n v="1"/>
    <x v="0"/>
    <x v="0"/>
    <n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 It explores the practical applications of RAG in education, covering interactive learning systems, generation and assessment of educational content, and large-scale deployment in educational ecosystems._x000a__x000a_DOI: 10.3390/app14199103_x000a_This paper discusses the use of RAG in systematic literature reviews (SLRs). It proposes a framework of RAG-based LLMs for automating SRLs, which covers four stages of SLR process: literature search, literature screening, data extraction, and information synthesis._x000a__x000a_DOI: 10.48550/arXiv.2312.10997_x000a_This paper discusses the use of RAG in knowledge-intensive tasks. It highlights the state-of-the-art technologies embedded in each of the critical components of RAG frameworks, providing a profound understanding of the advancements in RAG systems._x000a__x000a_DOI: 10.1145/3637528.3671470_x000a_This paper discusses the use of RAG in AI-Generated Content (AIGC). It covers three primary technical perspectives of RAG and discusses current limitations and several promising directions for future research._x000a__x000a_My lady, I hope this information is helpful. If you have any further questions, please let me know."/>
    <n v="1"/>
    <x v="0"/>
    <x v="0"/>
    <n v="0"/>
  </r>
  <r>
    <s v="['Which papers discuss the use of Retrieval-Augmented Generation (RAG) when used in applications?']"/>
    <s v="I have found four papers that discuss the use of Retrieval-Augmented Generation (RAG) in applications._x000a__x000a_DOI: 10.1016/j.caeai.2025.100417_x000a_Title: Retrieval-augmented generation for educational application: A systematic survey_x000a_Abstract: This paper reviews existing research that integrates RAG into educational scenarios, exploring the practical applications of RAG in education, covering interactive learning systems, generation and assessment of educational content, and large-scale deployment in educational ecosystems._x000a__x000a_DOI: 10.3390/app14199103_x000a_Title: Automating Systematic Literature Reviews with Retrieval-Augmented Generation: A Comprehensive Overview_x000a_Abstract: This study examines RAG in large language models (LLMs) and their significant application for undertaking systematic literature reviews (SLRs). It discusses applications of RAG-based LLMs to SLR automation and highlights future research topics._x000a__x000a_DOI: 10.48550/arXiv.2312.10997_x000a_Title: Retrieval-Augmented Generation for Large Language Models: A Survey_x000a_Abstract: This paper offers a detailed examination of the progression of RAG paradigms, encompassing the Naive RAG, the Advanced RAG, and the Modular RAG. It highlights the state-of-the-art technologies embedded in each of these critical components, providing a profound understanding of the advancements in RAG systems._x000a__x000a_DOI: 10.1145/3637528.3671470_x000a_Title: A Survey on RAG Meeting LLMs: Towards Retrieval-Augmented Large Language Models_x000a_Abstract: This survey comprehensively reviews existing research studies in Retrieval-Augmented Large Language Models (RA-LLMs), covering three primary technical perspectives. It discusses current limitations and several promising directions for future research._x000a__x000a_I hope this helps, my lady."/>
    <n v="1"/>
    <x v="0"/>
    <x v="0"/>
    <n v="0"/>
  </r>
  <r>
    <s v="['Which papers discuss the use of Retrieval-Augmented Generation (RAG) when used in applications?']"/>
    <s v="Summary: Retrieval-Augmented Generation (RAG) is a technique that enhances the capabilities of Large Language Models (LLMs) by retrieving relevant information from external knowledge bases and incorporating it into the generation process._x000a__x000a_DOI: 10.1016/j.caeai.2025.100417 - This paper discusses the use of RAG in educational applications, addressing challenges such as hallucination and static internal knowledge in LLMs. It explores the practical applications of RAG in education, including interactive learning systems, generation and assessment of educational content, and large-scale deployment in educational ecosystems._x000a__x000a_DOI: 10.3390/app14199103 - This study examines the use of RAG in automating systematic literature reviews (SLRs). It discusses the three key processes of the RAG framework and highlights applications of RAG-based LLMs to SLR automation._x000a__x000a_DOI: 10.48550/arXiv.2312.10997 - This paper provides a comprehensive review of RAG paradigms, including Naive RAG, Advanced RAG, and Modular RAG. It discusses the state-of-the-art technologies embedded in each component of RAG frameworks and introduces an up-to-date evaluation framework and benchmark._x000a__x000a_DOI: 10.1145/3637528.3671470 - This survey reviews existing research studies in Retrieval-Augmented Large Language Models (RA-LLMs), covering three primary technical perspectives. It discusses current limitations and promising directions for future research._x000a__x000a_DOI: 10.6109/jkiice.2023.27.12.1489 - This paper proposes a Metadata Retrieval-Augmented Generation (M-RAG) method for open-domain question answering (ODQA). It demonstrates a performance improvement of up to 46% compared to conventional RAG methods._x000a__x000a_My lady, these papers discuss the use of RAG in various applications, including education, systematic literature reviews, and open-domain question answering. If you would like more information on any of these papers, please let me know."/>
    <n v="1"/>
    <x v="0"/>
    <x v="0"/>
    <n v="0"/>
  </r>
  <r>
    <s v="['Which papers discuss the use of Retrieval-Augmented Generation (RAG) when used in applications?']"/>
    <s v="Summary: I have found four papers that discuss the use of Retrieval-Augmented Generation (RAG) when used in applications._x000a__x000a_DOI: 10.1016/j.caeai.2025.100417 discusses the use of RAG in education._x000a__x000a_DOI: 10.3390/app14199103 discusses the use of RAG in systematic literature reviews._x000a__x000a_DOI: 10.48550/arXiv.2312.10997 discusses the use of RAG in knowledge-intensive tasks._x000a__x000a_DOI: 10.1145/3637528.3671470 discusses the use of RAG in AI-Generated Content (AIGC)._x000a__x000a_My lady, is there anything else I can help you with?"/>
    <n v="1"/>
    <x v="0"/>
    <x v="0"/>
    <n v="0"/>
  </r>
  <r>
    <s v="['Which papers discuss the use of Retrieval-Augmented Generation (RAG) when used in applications?']"/>
    <s v="Summary: I found four papers that discuss the use of Retrieval-Augmented Generation (RAG) in applications._x000a__x000a_DOI: 10.1016/j.caeai.2025.100417_x000a_This paper discusses the use of RAG in educational applications. It covers interactive learning systems, generation and assessment of educational content, and large-scale deployment in educational ecosystems._x000a__x000a_DOI: 10.3390/app14199103_x000a_This paper discusses the use of RAG in systematic literature reviews (SLRs). It covers data extraction, summarization, and trend identification._x000a__x000a_DOI: 10.48550/arXiv.2312.10997_x000a_This paper discusses the use of RAG in knowledge-intensive tasks. It covers continuous knowledge updates and integration of domain-specific information._x000a__x000a_DOI: 10.1145/3637528.3671470_x000a_This paper discusses the use of RAG in large language models (LLMs). It covers external and authoritative knowledge bases to augment the quality of the generated content of LLMs._x000a__x000a_My lady, I hope this information is helpful. If you have any further questions, please don't hesitate to ask."/>
    <n v="1"/>
    <x v="0"/>
    <x v="0"/>
    <n v="0"/>
  </r>
  <r>
    <s v="['Which papers address funding metadata, its availability, or its analysis in scholarly databases?']"/>
    <s v="Summary: I found four papers that address funding metadata, its availability, or its analysis in scholarly databases._x000a__x000a_DOI: 10.31222/osf.io/smxe5 - This paper presents an up-to-date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_x000a__x000a_DOI: 10.1162/qss_a_00210 - This paper examines the availability and completeness of open funder metadata in Crossref, using a case study of publications funded by the Dutch Research Council. The results show that only 67% of articles contain funding information in Crossref, highlighting the potential to increase the quality of open metadata on funding._x000a__x000a_DOI: 10.1162/qss_a_00212 - This paper studies the open availability of funding data in Crossref, focusing on funding data for publications related to COVID-19. The analysis reveals limited coverage of funding data in Crossref and problems related to the quality of funding data in Scopus._x000a__x000a_DOI: 10.1162/qss_a_00286 - While this paper does not specifically address funding metadata, it compares the completeness degree of publication metadata in eight free-access scholarly databases, including Crossref, and discusses the quality of metadata in third-party databases._x000a__x000a_My lady, I hope this information is helpful. If you have any further questions or need additional assistance, please let me know."/>
    <n v="1"/>
    <x v="0"/>
    <x v="0"/>
    <n v="0"/>
  </r>
  <r>
    <s v="['Which papers address funding metadata, its availability, or its analysis in scholarly databases?']"/>
    <s v="Summary: Several papers address funding metadata, its availability, or its analysis in scholarly databases._x000a__x000a_DOI: 10.5281/zenodo.14006424 - This paper analyses OpenAlex’s coverage and metadata availability of African-based publications._x000a__x000a_DOI: 10.31222/osf.io/smxe5 - This paper presents an up-to-date overview of the availability of six metadata elements in Crossref._x000a__x000a_DOI: 10.1162/qss_a_00210 - This paper looks at 5,004 publications reported by researchers to be the result of funding by a specific funding agency: the Dutch Research Council NWO._x000a__x000a_DOI: 10.1162/qss_a_00212 - This paper studies the open availability of funding data in Crossref, focusing on funding data for publications that report research related to COVID-19._x000a__x000a_DOI: 10.1162/qss_a_00286 - This paper compares the amount of metadata and the completeness degree of research publications in new academic databases._x000a__x000a_My lady, I hope this information is helpful. If you have any further questions, please let me know."/>
    <n v="1"/>
    <x v="0"/>
    <x v="0"/>
    <n v="0"/>
  </r>
  <r>
    <s v="['Which papers address funding metadata, its availability, or its analysis in scholarly databases?']"/>
    <s v="Summary: I found four papers that address funding metadata, its availability, or its analysis in scholarly databases._x000a__x000a_DOI: 10.5281/zenodo.14006424_x000a_This paper analyses OpenAlex’s coverage and metadata availability of African-based publications. It compares OpenAlex with Scopus, WoS, and African Journals Online (AJOL). The analysis shows that OpenAlex offers the most extensive publication coverage, but performs worse regarding funder information._x000a__x000a_DOI: 10.31222/osf.io/smxe5_x000a_This paper presents an overview of the availability of six metadata elements in Crossref, including funding information. The analysis shows that the availability of these metadata elements has improved over time, but many publishers need to make additional efforts to realize full openness of bibliographic metadata._x000a__x000a_DOI: 10.1162/qss_a_00210_x000a_This paper examines the availability and completeness of open funder metadata in Crossref, using a case study of publications funded by the Dutch Research Council. The analysis reveals interesting differences between publishers in the coverage and completeness of funding metadata in Crossref compared to proprietary databases._x000a__x000a_DOI: 10.1162/qss_a_00212_x000a_This paper studies the open availability of funding data in Crossref, focusing on funding data for publications related to COVID-19. The analysis reveals limited coverage of funding data in Crossref and problems related to the quality of funding data, especially in Scopus._x000a__x000a_My lady, I hope this information is helpful. If you have any further questions or need additional assistance, please let me know."/>
    <n v="1"/>
    <x v="0"/>
    <x v="0"/>
    <n v="0"/>
  </r>
  <r>
    <s v="['Which papers address funding metadata, its availability, or its analysis in scholarly databases?']"/>
    <s v="Summary: There are four papers that address funding metadata, its availability, or its analysis in scholarly databases._x000a__x000a_DOI: 10.5281/zenodo.14006424 - This paper analyses OpenAlex’s coverage and metadata availability of African-based publications._x000a__x000a_DOI: 10.31222/osf.io/smxe5 - This paper presents an up-to-date overview of the availability of six metadata elements in Crossref._x000a__x000a_DOI: 10.1162/qss_a_00210 - This paper looks at 5,004 publications reported by researchers to be the result of funding by a specific funding agency._x000a__x000a_DOI: 10.1162/qss_a_00212 - This paper studies the open availability of funding data in Crossref, focusing on funding data for publications that report research related to COVID-19._x000a__x000a_My lady, is there anything else I can help you with?"/>
    <n v="1"/>
    <x v="0"/>
    <x v="0"/>
    <n v="0"/>
  </r>
  <r>
    <s v="['Which papers address funding metadata, its availability, or its analysis in scholarly databases?']"/>
    <s v="Summary: Several papers address funding metadata, its availability, or its analysis in scholarly databases._x000a__x000a_DOI: 10.5281/zenodo.14006424 - This paper analyses OpenAlex’s coverage and metadata availability of African-based publications._x000a__x000a_DOI: 10.31222/osf.io/smxe5 - This paper presents an up-to-date overview of the availability of six metadata elements in Crossref, including funding information._x000a__x000a_DOI: 10.1162/qss_a_00210 - This paper examines the availability and completeness of open funder metadata, specifically for publications funded by the Dutch Research Council._x000a__x000a_DOI: 10.1162/qss_a_00212 - This paper studies the open availability of funding data in Crossref, focusing on funding data for publications related to COVID-19 research._x000a__x000a_DOI: 10.1162/qss_a_00286 - Although this paper does not specifically address funding metadata, it compares the completeness degree of publication metadata in eight free-access scholarly databases, which may be relevant to the topic._x000a__x000a_My lady, I hope this information is helpful. If you have any further questions or need more details, please let me know."/>
    <n v="1"/>
    <x v="0"/>
    <x v="0"/>
    <n v="0"/>
  </r>
  <r>
    <s v="['What methods are used to detect and correct errors in bibliographic datasets?']"/>
    <s v="Summary: Bibliographic errors have been perpetuated for decades and their possible causes have increased, despite the encouraged use of technological facilities._x000a__x000a_DOI: 10.1108/JD-10-2022-0234 - This study analyses reference elements, i.e. bibliographic references, mentions, quotations and respective in-text reference pointers, from 729 articles published in 147 journals across the 27 subject areas._x000a__x000a_Is there anything else I can help you with, my lady?"/>
    <n v="1"/>
    <x v="0"/>
    <x v="0"/>
    <n v="0"/>
  </r>
  <r>
    <s v="['What methods are used to detect and correct errors in bibliographic datasets?']"/>
    <s v="Summary: Bibliographic errors have been perpetuated for decades and their possible causes have increased, despite the encouraged use of technological facilities._x000a__x000a_DOI: 10.1108/JD-10-2022-0234 - The authors analysed reference elements from 729 articles published in 147 journals across 27 subject areas. The outcomes of the analysis pointed out that bibliographic errors have been perpetuated for decades and that their possible causes have increased, despite the encouraged use of technological facilities._x000a__x000a_Is there anything else I can help you with, my lady?"/>
    <n v="1"/>
    <x v="0"/>
    <x v="0"/>
    <n v="0"/>
  </r>
  <r>
    <s v="['What methods are used to detect and correct errors in bibliographic datasets?']"/>
    <s v="Summary: Bibliographic errors have been perpetuated for decades and their possible causes have increased._x000a__x000a_DOI: 10.1108/JD-10-2022-0234 - The authors of this study want to identify current possible causes for citing and referencing errors in scholarly literature to compare if something changed from the snapshot provided by Sweetland in his 1989 paper. The authors analysed reference elements, i.e. bibliographic references, mentions, quotations and respective in-text reference pointers, from 729 articles published in 147 journals across the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_x000a__x000a_Is there anything else I can help you with, my lady?"/>
    <n v="1"/>
    <x v="0"/>
    <x v="0"/>
    <n v="0"/>
  </r>
  <r>
    <s v="['What methods are used to detect and correct errors in bibliographic datasets?']"/>
    <s v="Summary: Bibliographic errors have been perpetuated for decades and their possible causes have increased._x000a__x000a_DOI: 10.1108/JD-10-2022-0234 - The authors analysed reference elements, i.e. bibliographic references, mentions, quotations and respective in-text reference pointers, from 729 articles published in 147 journals across the 27 subject areas._x000a__x000a_Is there anything else I can help you with, my lady?"/>
    <n v="1"/>
    <x v="0"/>
    <x v="0"/>
    <n v="0"/>
  </r>
  <r>
    <s v="['What methods are used to detect and correct errors in bibliographic datasets?']"/>
    <s v="Summary: Bibliographic errors have been perpetuated for decades and their possible causes have increased, despite the encouraged use of technological facilities._x000a__x000a_DOI: 10.1108/JD-10-2022-0234 - The authors analysed reference elements from 729 articles published in 147 journals across the 27 subject areas. The outcomes of the analysis pointed out that bibliographic errors have been perpetuated for decades and that their possible causes have increased, despite the encouraged use of technological facilities._x000a__x000a_Is there anything else I can help you with, my lady?"/>
    <n v="1"/>
    <x v="0"/>
    <x v="0"/>
    <n v="0"/>
  </r>
  <r>
    <s v="['What is Crossref’s role in the scholarly research ecosystem?']"/>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x v="0"/>
    <x v="0"/>
    <n v="0"/>
  </r>
  <r>
    <s v="['What is Crossref’s role in the scholarly research ecosystem?']"/>
    <s v="Summary: Crossref is a major source of scholarly data for publishers, authors, librarians, funders, and researchers._x000a__x000a_DOI: 10.1162/qss_a_00022 - Crossref is a sustainable source of community-owned scholarly metadata that contains over 106 million records and expands at an average rate of 11% a year._x000a__x000a_DOI: 10.31222/osf.io/smxe5 - Crossref is a source of open bibliographic metadata that has improved over time, but many publishers need to make additional efforts to realize full openness of bibliographic metadata._x000a__x000a_DOI: 10.1162/qss_a_00210 - Crossref initiated FundRef in 2013 to help funders track publication output associated with their funding, but coverage of funder metadata is hard to assess._x000a__x000a_My lady, I hope this information is helpful. If you have any further questions, please let me know."/>
    <n v="1"/>
    <x v="0"/>
    <x v="0"/>
    <n v="0"/>
  </r>
  <r>
    <s v="['What is Crossref’s role in the scholarly research ecosystem?']"/>
    <s v="Summary: Crossref is a major source of scholarly data for publishers, authors, librarians, funders, and researchers._x000a__x000a_DOI: 10.1162/qss_a_00022 -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My lady, is there anything else I can help you with?"/>
    <n v="1"/>
    <x v="0"/>
    <x v="0"/>
    <n v="0"/>
  </r>
  <r>
    <s v="['What is Crossref’s role in the scholarly research ecosystem?']"/>
    <s v="Summary: Crossref is a sustainable source of community-owned scholarly metadata that collects and makes available scholarly metadata for publishers, authors, librarians, funders, and researchers._x000a__x000a_DOI: 10.1162/qss_a_00022 - Crossref's metadata contains over 106 million records and expands at an average rate of 11% per year. It includes 13 content types, such as journals, conference papers, datasets, reports, preprints, peer reviews, and grants. The metadata is available through APIs and is valuable for research in scientometrics._x000a__x000a_DOI: 10.31222/osf.io/smxe5 - This paper presents an overview of the availability of six metadata elements in Crossref, including reference lists, abstracts, ORCIDs, author affiliations, funding information, and license information. The analysis shows improvement in availability over time, but more efforts are needed for full openness._x000a__x000a_DOI: 10.1162/qss_a_00210 - Crossref's FundRef initiative helps funders track publication output associated with their funding. However, the coverage of funder metadata is challenging to assess. A case study on publications funded by the Dutch Research Council found that only 67% of articles contain funding information in Crossref._x000a__x000a_My lady, I hope this information is helpful. If you have any further questions or need additional assistance, please let me know."/>
    <n v="1"/>
    <x v="0"/>
    <x v="0"/>
    <n v="0"/>
  </r>
  <r>
    <s v="['What is Crossref’s role in the scholarly research ecosystem?']"/>
    <s v="Summary: Crossref is a sustainable source of community-owned scholarly metadata that contains over 106 million records and expands at an average rate of 11% a year._x000a__x000a_DOI: 10.1162/qss_a_00022_x000a__x000a_Crossref is a sustainable source of community-owned scholarly metadata that contains over 106 million records and expands at an average rate of 11% a year. Crossref’s metadata has become one of the major sources of scholarly data for publishers, authors, librarians, funders, and researchers. The metadata set consists of 13 content types, including not only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_x000a__x000a_My lady, is there anything else I can help you with?"/>
    <n v="1"/>
    <x v="0"/>
    <x v="0"/>
    <n v="0"/>
  </r>
  <r>
    <s v="['What are the strengths and weaknesses of Web of Science (WoS) as a bibliometric database?']"/>
    <s v="Summary: I'm sorry, my lady, I am unable to answer your question as there is no relevant information in the documents provided._x000a__x000a_DOI: N/A"/>
    <n v="0"/>
    <x v="1"/>
    <x v="1"/>
    <n v="0"/>
  </r>
  <r>
    <s v="['What are the strengths and weaknesses of Web of Science (WoS) as a bibliometric database?']"/>
    <s v="Summary: The Web of Science (WoS) is a bibliometric database that has been used for over 30 years, but its strengths and weaknesses are not explicitly stated in the provided documents. However, some insights can be gleaned from comparative analyses with other databases._x000a__x000a_DOI: 10.1007/s11192-015-1765-5 - This study compares the journal coverage of WoS and Scopus, highlighting that both databases have biases favoring Natural Sciences, Engineering, and Biomedical Research, while underrepresenting Social Sciences, Arts, and Humanities. Additionally, English-language journals are overrepresented. The coverage differences between WoS and Scopus can lead to varying results in bibliometric analyses, suggesting that WoS should be used with caution, especially in comparative research evaluations across fields, institutions, countries, or languages._x000a__x000a_DOI: 10.1162/qss_a_00112 - This large-scale comparison of bibliographic data sources, including WoS, emphasizes the importance of comprehensive coverage and flexible filters. While the strengths and weaknesses of WoS are not explicitly stated, the study suggests that differences in coverage, completeness, and accuracy of citation links can impact the quality of bibliometric analyses._x000a__x000a_DOI: 10.48550/arXiv.2508.18620 and 10.29173/cais1943 - These studies compare WoS with OpenAlex, a newer bibliographic database. They highlight concerns about metadata quality in OpenAlex, particularly regarding document type accuracy and misclassifications. WoS is implied to have higher metadata quality in this regard, as only about 4% of publications indexed in both databases have errors, with the majority occurring in OpenAlex._x000a__x000a_DOI: 10.1162/qss_a_00211 - This study assesses the quality of bibliographic data sources for measuring international research collaboration (IRC). WoS is found to have the highest overall quality among the examined sources, which can be attributed to how the data sources are organized._x000a__x000a_My lady, while the provided documents do not explicitly list the strengths and weaknesses of WoS, they suggest that WoS has a long-standing reputation, high metadata quality, and is well-organized. However, it may have biases in journal coverage, favoring certain fields and languages, which can impact comparative research evaluations._x000a__x000a_Please provide additional content or ask a different question, my lady, if you'd like more specific information about the strengths and weaknesses of WoS."/>
    <n v="1"/>
    <x v="0"/>
    <x v="0"/>
    <n v="0"/>
  </r>
  <r>
    <s v="['What are the strengths and weaknesses of Web of Science (WoS) as a bibliometric database?']"/>
    <s v="Summary: The Web of Science (WoS) is a large multidisciplinary database of research outputs and citation indices that has been used for more than 30 years. It has high-quality metadata and comprehensive coverage of scientific literature. However, it has been noted that WoS favours Natural Sciences and Engineering as well as Biomedical Research to the detriment of Social Sciences and Arts and Humanities. Similarly, English-language journals are overrepresented to the detriment of other languages._x000a__x000a_DOI: 10.1007/s11192-015-1765-5: WoS has 13,605 journals and favours Natural Sciences and Engineering as well as Biomedical Research to the detriment of Social Sciences and Arts and Humanities. English-language journals are overrepresented to the detriment of other languages._x000a__x000a_DOI: 10.1162/qss_a_00112: WoS is compared with Scopus, Dimensions, Crossref, and Microsoft Academic. The comparison considers scientific documents from the period 2008–2017 covered by these data sources._x000a__x000a_DOI: 10.48550/arXiv.2508.18620: WoS is compared with OpenAlex, a new bibliographic database launched in 2022. OpenAlex has extensive coverage but metadata quality is a concern._x000a__x000a_DOI: 10.29173/cais1943: WoS is compared with OpenAlex, a new bibliographic database launched in 2022. OpenAlex has extensive coverage but metadata quality is a concern._x000a__x000a_DOI: 10.1162/qss_a_00211: WoS is compared with Microsoft Academic Graph, Dimensions, and the ACM Digital Library. WoS has the highest overall quality among the sets considered._x000a__x000a_My lady, I hope this information is helpful. If you have any further questions, please let me know."/>
    <n v="1"/>
    <x v="0"/>
    <x v="0"/>
    <n v="0"/>
  </r>
  <r>
    <s v="['What are the strengths and weaknesses of Web of Science (WoS) as a bibliometric database?']"/>
    <s v="Summary: The Web of Science (WoS) is a bibliometric database that has been used for more than 30 years. It has been compared to other databases such as Scopus, Dimensions, Crossref, Microsoft Academic, and OpenAlex._x000a__x000a_DOI: 10.1007/s11192-015-1765-5 - This study compares the journal coverage of WoS and Scopus with Ulrich's extensive periodical directory. It finds that both databases have biases towards Natural Sciences and Engineering, as well as Biomedical Research, and English-language journals, which may impact the results of bibliometric analyses._x000a__x000a_DOI: 10.1162/qss_a_00112 - This study compares five multidisciplinary bibliographic data sources, including WoS, and discusses their strengths and weaknesses. It emphasizes the importance of combining comprehensive coverage with flexible filters for selecting literature._x000a__x000a_DOI: 10.48550/arXiv.2508.18620 and 10.29173/cais1943 - These studies compare WoS with OpenAlex, a newer bibliographic database, and assess the quality of their metadata. They find discrepancies and misattributions in document types and other metadata fields, which may impact bibliometric research and evaluation outcomes._x000a__x000a_DOI: 10.1162/qss_a_00211 - This study assesses the quality of bibliographic data sources for measuring international research collaboration (IRC) and finds that WoS has the highest overall quality among the sets considered._x000a__x000a_My lady, I hope this information helps. Please note that I have not found a single source that explicitly lists the strengths and weaknesses of WoS as a bibliometric database. However, the studies mentioned above provide insights into WoS's performance, quality, and limitations compared to other databases. If you have any further questions or would like more information, please let me know."/>
    <n v="1"/>
    <x v="0"/>
    <x v="0"/>
    <n v="0"/>
  </r>
  <r>
    <s v="['What are the strengths and weaknesses of Web of Science (WoS) as a bibliometric database?']"/>
    <s v="Summary: Web of Science (WoS) is a bibliometric database that has been the main supporting infrastructure of the field for more than 30 years. However, it has some strengths and weaknesses when compared to other databases._x000a__x000a_DOI: 10.1007/s11192-015-1765-5 - This study compares the journal coverage of WoS and Scopus with Ulrich's extensive periodical directory. Results indicate that both WoS and Scopus may introduce biases that favor Natural Sciences and Engineering, as well as Biomedical Research, to the detriment of Social Sciences and Arts and Humanities. English-language journals are also overrepresented. However, the coverage of WoS and Scopus differs substantially, which can lead to varying results in bibliometric analyses._x000a__x000a_DOI: 10.1162/qss_a_00112 - This large-scale comparison of five multidisciplinary bibliographic data sources, including WoS, emphasizes the importance of combining comprehensive coverage with flexible filters. The study discusses the strengths and weaknesses of each data source but does not provide specific details on WoS's strengths and weaknesses._x000a__x000a_DOI: 10.48550/arXiv.2508.18620 and 10.29173/cais1943 - These studies compare WoS with OpenAlex, a newer bibliographic database. They highlight WoS's strength in metadata quality, particularly in document type accuracy, where WoS has significantly fewer errors than OpenAlex. However, OpenAlex's extensive coverage and openness are noted as potential advantages._x000a__x000a_DOI: 10.1162/qss_a_00211 - This study assesses the quality of bibliographic data sources for measuring international research collaboration (IRC). WoS is found to have the highest overall quality among the sets considered, primarily due to its data organization._x000a__x000a_In summary, my lady, WoS's strengths include its high overall quality, particularly in metadata accuracy and organization, as well as its long-standing position as a main supporting infrastructure in the field. However, its weaknesses include potential biases in journal coverage, favoring certain fields and languages, and its relatively limited coverage compared to newer databases like OpenAlex._x000a__x000a_Please provide more context or a different question if you'd like me to elaborate on specific aspects or compare WoS with other databases in more detail."/>
    <n v="1"/>
    <x v="0"/>
    <x v="0"/>
    <n v="0"/>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DOI:** 10.7717/peerj.425  _x000a_In this *PeerJ* article, Adams (2016) discusses the challenges of field normalization in bibliometrics, noting that citation practices vary widely across disciplines. For example, humanities fields tend to cite fewer references and older literature compared to natural sciences. The author argues that normalization methods must consider these disparities to ensure fair comparisons._x000a__x000a_**DOI:** 10.1002/asi.21334  _x000a_Bornmann and Daniel (2008) in the *Journal of the American Society for Information Science and Technology* explore the limitations of citation-based metrics, particularly when applied across fields. They stress that differences in publication cultures, such as the prevalence of co-authorship and the types of documents published, complicate normalization efforts._x000a__x000a_**DOI:** 10.1038/s41586-019-1675-9  _x000a_In *Nature*, Hutchins et al. (2019) discuss the broader issue of research evaluation and the need for metrics that account for diverse research outputs, such as datasets, software, and policy documents. They argue that traditional citation metrics, which focus primarily on journal articles, are inadequate for capturing the full impact of research across fields._x000a__x000a_If you have a different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citation practices, publication cultures, field-specific impact factors, and varying publication rates. These factors make it difficult to establish a universal standard for comparing citation metrics across disciplines._x000a__x000a_**DOI:** 10.1126/science.1175860  _x000a_This article by Seglen (1997) in *Science* highlights the variability in citation patterns across different scientific fields, emphasizing that citation counts are heavily influenced by field-specific practices and publication cultures. The study underscores the difficulty of directly comparing citation metrics without accounting for these differences._x000a__x000a_**Additional Challenges:**_x000a_1. **Citation Practices:** Fields like biomedicine tend to have higher citation rates compared to mathematics or humanities, where citations are fewer but often more impactful._x000a_2. **Publication Cultures:** Some fields prioritize high-impact journals, while others value a larger number of publications in specialized outlets._x000a_3. **Field-Specific Impact Factors:** Journals in certain fields naturally have higher impact factors, skewing citation metrics._x000a_4. **Publication Rates:** Fields with faster publication cycles (e.g., computer science) may accumulate citations more quickly than those with longer review processes (e.g., social sciences)._x000a__x000a_If you have another question or need further details,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_x000a__x000a_**DOI:** 10.1126/science.1177977  _x000a_This article by Ioannidis et al. (2009) in *Science* discusses the variability in citation practices across fields, highlighting how disciplines differ in their citation behaviors, publication rates, and journal impact factors. The authors argue that these differences necessitate field-specific normalization methods to ensure fair comparisons._x000a__x000a_**Additional Context:**  _x000a_1. **Publication and Citation Practices:** Fields like biomedicine tend to have higher citation rates compared to mathematics or humanities, where citations accumulate more slowly.  _x000a_2. **Journal Culture:** Some fields rely heavily on a few high-impact journals, while others have a more distributed publication landscape, affecting citation patterns.  _x000a_3. **Field Size and Age:** Larger, more established fields naturally accumulate more citations, making normalization challenging for newer or smaller disciplines.  _x000a_4. **Citation Lifespan:** Citations in some fields (e.g., physics) may take longer to accrue compared to fast-paced fields like computer science.  _x000a__x000a_These challenges underscore the need for field-specific normalization techniques, such as percentile-based metrics or field-normalized scores, to ensure equitable comparisons across disciplines._x000a__x000a_If you'd like further details or a different perspective, my lady, please let me know!"/>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_x000a__x000a_**DOI:** 10.1126/science.1175862  _x000a_This article by Seglen (1997) in *Science* highlights the variability in citation patterns across different scientific fields, emphasizing that citation counts are heavily influenced by field-specific practices and traditions. The study underscores the difficulty of directly comparing citation metrics without accounting for these differences._x000a__x000a_**DOI:** 10.7717/peerj.1771  _x000a_This paper by Bornmann et al. (2019) in *PeerJ* discusses the challenges of field normalization in bibliometrics, particularly the limitations of existing normalization methods. It argues that current approaches often fail to adequately account for the unique characteristics of different scientific fields, leading to biased comparisons._x000a__x000a_**DOI:** 10.1002/asi.21337  _x000a_In this article by Waltman and Traag (2020) in the *Journal of the Association for Information Science and Technology*, the authors explore the complexities of field normalization and propose alternative methods to improve the fairness and accuracy of citation-based comparisons across disciplines._x000a__x000a_These sources collectively illustrate the multifaceted challenges in normalizing citation metrics, emphasizing the need for nuanced approaches that consider the unique contexts of different scientific fields."/>
    <n v="0"/>
    <x v="1"/>
    <x v="1"/>
    <n v="1"/>
  </r>
  <r>
    <s v="['What are the main challenges in normalizing citation metrics across scientific fields?']"/>
    <s v="My lady, normalizing citation metrics across scientific fields is a complex task due to several inherent challenges. Below is a structured response to your query:_x000a__x000a_**Summary:** The main challenges in normalizing citation metrics across scientific fields include differences in publication and citation practices, varying journal cultures, field-specific citation rates, and disparities in database coverage. These factors make it difficult to establish a universal standard for comparing citation metrics across disciplines._x000a__x000a_**DOI:** 10.1126/science.1177977  _x000a_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_x000a__x000a_**Additional Context:** Other challenges include:  _x000a_1. **Field-Specific Citation Cultures:** Some fields (e.g., biomedicine) tend to cite more frequently than others (e.g., mathematics), making direct comparisons unfair.  _x000a_2. **Journal Practices:** Journals in certain fields may have higher citation counts due to differences in review processes, article types, or readership size.  _x000a_3. **Database Bias:** Citation databases like Web of Science or Scopus may have uneven coverage across disciplines, skewing metrics.  _x000a_4. **Time-Dependent Metrics:** Citation rates vary by field and time, requiring normalization over specific periods to ensure fairness.  _x000a__x000a_To address these challenges, field-normalized metrics like the **Field-Weighted Citation Impact (FWCI)** or **Citation Percentiles** are often used, but they are not without limitations.  _x000a__x000a_If you'd like further details or a different question, my lady, please let me know!"/>
    <n v="0"/>
    <x v="1"/>
    <x v="1"/>
    <n v="1"/>
  </r>
  <r>
    <s v="['What are the key features and limitations of OpenAlex as a bibliometric database?']"/>
    <s v="Summary: OpenAlex is a newly launched bibliographic database that is open-source and inclusive. It is a superset of Scopus and can be a reliable alternative for some analyses. However, there are concerns about the quality of its metadata, which hinders its broader adoption.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that distinguishes itself for its openness and extensive coverage. However, concerns about the quality of its metadata hinder its broader adoption for research and research evaluation._x000a__x000a_DOI: 10.29173/cais1943 - OpenAlex is a bibliographic database that stands out for its openness and extensive coverage. However, concerns about the quality of its metadata hinder its broader adoption for research and research evaluation._x000a__x000a_DOI: 10.48550/arXiv.2401.16359 - OpenAlex is a promising open source of scholarly metadata and a competitor to established proprietary sources. However, as OpenAlex is a rapidly evolving source, the question arises as to the trustworthiness of its data._x000a__x000a_DOI: 10.48550/arXiv.2409.10633 - OpenAlex is a newly launched open-source and inclusive bibliographic database. However, concerns about the quality of its metadata show that more work is needed at the infrastructural level to ensure the quality of metadata on language._x000a__x000a_My lady, I hope this information is helpful. If you have any further questions, please let me know."/>
    <n v="1"/>
    <x v="0"/>
    <x v="0"/>
    <n v="0"/>
  </r>
  <r>
    <s v="['What are the key features and limitations of OpenAlex as a bibliometric database?']"/>
    <s v="Summary: OpenAlex is a new bibliometric database that has gained popularity for its openness and extensive coverage. However, concerns about the quality of its metadata have hindered its broader adoption._x000a__x000a_DOI: 10.48550/arXiv.2404.17663: OpenAlex is a superset of Scopus and can be a reliable alternative for some analyses, particularly at the country level. However, issues of metadata accuracy and completeness need to be addressed to fully comprehend and utilize OpenAlex's potential._x000a__x000a_DOI: 10.48550/arXiv.2508.18620: This study aims to assess metadata quality in OpenAlex and WoS, focusing on document type, publication year, language, and number of authors. The research seeks to enhance awareness of data quality issues that could impact bibliometric research and evaluation outcomes._x000a__x000a_DOI: 10.29173/cais1943: Over 4% of publications indexed in both OpenAlex and WoS appear to be misclassified as research articles or reviews, with about 97% of these errors occurring in OpenAlex. This highlights the need for improved metadata quality in OpenAlex._x000a__x000a_DOI: 10.48550/arXiv.2401.16359: OpenAlex has comparable reference coverage to WoS and Scopus when restricted to a cleaned dataset of recent publications. However, the comparison of core metadata shows mixed results, with OpenAlex capturing more ORCID identifiers but fewer abstracts._x000a__x000a_DOI: 10.48550/arXiv.2409.10633: OpenAlex exhibits a more balanced linguistic coverage than WoS, but its language metadata is not always accurate. If used critically, OpenAlex can provide comprehensive analyses of languages used in scholarly publishing, but improvements are needed at the infrastructural level._x000a__x000a_My lady, I hope this summary meets your requirements. If you have any further questions or would like me to elaborate on any of these points, please don't hesitate to ask."/>
    <n v="1"/>
    <x v="0"/>
    <x v="0"/>
    <n v="0"/>
  </r>
  <r>
    <s v="['What are the key features and limitations of OpenAlex as a bibliometric database?']"/>
    <s v="Summary: OpenAlex is a newly launched bibliographic database that distinguishes itself for its openness and extensive coverage._x000a__x000a_DOI: 10.48550/arXiv.2404.17663 - OpenAlex is a superset of Scopus and can be a reliable alternative for some analyses, particularly at the country level._x000a__x000a_DOI: 10.48550/arXiv.2508.18620 - OpenAlex may reduce or eliminate barriers to accessing bibliometric data, but the quality of its metadata is a concern._x000a__x000a_DOI: 10.29173/cais1943 - OpenAlex stands out for its openness and extensive coverage, but the quality of its metadata is a concern._x000a__x000a_DOI: 10.48550/arXiv.2401.16359 - OpenAlex is a promising open source of scholarly metadata, but the trustworthiness of its data is a question._x000a__x000a_DOI: 10.48550/arXiv.2409.10633 - OpenAlex exhibits a far more balanced linguistic coverage than WoS, but language metadata is not always accurate._x000a__x000a_My lady, I hope this information is helpful. If you have any further questions, please let me know."/>
    <n v="1"/>
    <x v="0"/>
    <x v="0"/>
    <n v="0"/>
  </r>
  <r>
    <s v="['What are the key features and limitations of OpenAlex as a bibliometric database?']"/>
    <s v="Summary: OpenAlex is a newly launched bibliographic database that is open source and freely available to researchers.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_x000a_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_x000a_OpenAlex is a bibliographic database that is open source and freely available to researchers. It is a newly launched database that distinguishes itself for its openness and extensive coverage. However, one of the concerns that hinders its broader adoption for research and research evaluation is the quality of its metadata._x000a__x000a_DOI: 10.29173/cais1943_x000a_OpenAlex is a newly launched database that stands out for its openness and extensive coverage. However, one of the concerns that hinders its broader adoption for research and research evaluation is the quality of its metadata._x000a__x000a_DOI: 10.48550/arXiv.2401.16359_x000a_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_x000a__x000a_DOI: 10.48550/arXiv.2409.10633_x000a_OpenAlex is a newly launched database that promised comprehensive, inclusive, and open-source research information. However, the quality of its metadata is currently being assessed. Results show that OpenAlex exhibits a far more balanced linguistic coverage than WoS. However, language metadata is not always accurate, which leads OpenAlex to overestimate the place of English while underestimating that of other languages._x000a__x000a_My lady, I hope this information is helpful. If you have any further questions, please let me know."/>
    <n v="1"/>
    <x v="0"/>
    <x v="0"/>
    <n v="0"/>
  </r>
  <r>
    <s v="['What are the key features and limitations of OpenAlex as a bibliometric database?']"/>
    <s v="Summary: OpenAlex is a bibliographic database that launched in 2022 and is distinguished by its openness and extensive coverage. It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_x000a__x000a_DOI: 10.48550/arXiv.2508.18620 - OpenAlex is a bibliographic database that launched in 2022 and is distinguished by its openness and extensive coverage. However, issues of metadata accuracy show that additional research is needed to fully comprehend and address OpenAlex's limitations._x000a__x000a_DOI: 10.29173/cais1943 - OpenAlex is a bibliographic database that launched in 2022 and is distinguished by its openness and extensive coverage. However, issues of metadata accuracy show that additional research is needed to fully comprehend and address OpenAlex's limitations._x000a__x000a_DOI: 10.48550/arXiv.2401.16359 - OpenAlex is a bibliographic database that is a promising open source of scholarly metadata. However, as OpenAlex is a rapidly evolving source and the data contained within is expanding and also quickly changing, the question naturally arises as to the trustworthiness of its data._x000a__x000a_DOI: 10.48550/arXiv.2409.10633 - OpenAlex is a bibliographic database that launched in 2022 and promised comprehensive, inclusive, and open-source research information. However, issues of metadata accuracy and completeness show that additional research is needed to fully comprehend and address OpenAlex's limitation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_x000a__x000a_DOI: 10.1080/19386389.2011.570654 - Metadata plays an important role in digital libraries. But to be useful, metadata records must be problem free. When problems are present in the metadata, resources are not correctly represented and users are not able to reap the benefits of metadata. To minimize, if not eliminate, such problems, it is essential to understand the kinds of problems that can occur in metadata records. In this paper, problems found in metadata records as reported in the literature are compared and analyzed. It is found that five categories of metadata problems can be identified. These are the problems of Incorrect Values, Incorrect Elements, Missing Information, Information Loss, and Inconsistent Value Representation. Given that these problems are detrimental to the services that can be provided by metadata, preventive or corrective measures need to be put in place so as to ensure that the benefits derived from using metadata balance the costs and efforts spent in the creation of metadata records._x000a__x000a_My lady, I hope this information is helpful. If you have any further questions,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Metadata quality is crucial for digital objects to be discovered through digital library interfaces. However, due to various reasons, the metadata of digital objects often exhibits incomplete, inconsistent, and incorrect values._x000a__x000a_DOI: 10.1080/19386389.2011.570654: Metadata plays an important role in digital libraries. But to be useful, metadata records must be problem free. When problems are present in the metadata, resources are not correctly represented and users are not able to reap the benefits of metadata._x000a__x000a_DOI: 10.1177/09610006241239080: Assessing metadata is of paramount importance for several critical reasons. Metadata plays a pivotal role in various aspects, including data retrieval and search, data organization, interoperability, data preservation, and the overall user experience._x000a__x000a_DOI: 10.1109/ADL.1998.670425: Discusses the application of qualitative and quantitative content analysis techniques to assess metadata records._x000a__x000a_My lady, I hope this information is helpful. If you have any further questions, please let me know."/>
    <n v="1"/>
    <x v="0"/>
    <x v="0"/>
    <n v="0"/>
  </r>
  <r>
    <s v="['What are the key challenges and potential solutions for improving metadata quality?']"/>
    <s v="Summary: Metadata quality is a complex issue that requires careful consideration and ongoing research._x000a__x000a_DOI: 10.5860/crl.86.1.101: Metadata serves as a standardized form of contextual, technical, and administrative information, but it can also be a site of tension between sociocultural representations, resource constraints, and standardized systems._x000a__x000a_DOI: 10.48550/arXiv.2303.17661: Metadata quality is crucial for digital object discovery, but it often suffers from incomplete, inconsistent, and incorrect values. The proposed MetaEnhance framework uses AI methods to improve metadata quality, achieving high F1-scores in error detection and correction._x000a__x000a_DOI: 10.1080/19386389.2011.570654: Metadata problems can be categorized into five types: Incorrect Values, Incorrect Elements, Missing Information, Information Loss, and Inconsistent Value Representation. Preventive and corrective measures are necessary to ensure metadata quality and maximize its benefits._x000a__x000a_DOI: 10.1177/09610006241239080: Metadata quality assessment commonly uses dimensions such as completeness, accuracy, consistency, accessibility, conformance, provenance, and timeliness. However, there is a lack of consensus on their definitions and measurements, highlighting the need for further research and improved assessment tools._x000a__x000a_DOI: 10.1109/ADL.1998.670425: Evaluating metadata quality requires a range of criteria and procedures tailored to different types of metadata. The study emphasizes the need for ongoing dialogue and methodological considerations in assessing metadata quality._x000a__x000a_My lady, I hope this summary meets your requirements. If you have any further questions or need additional information,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_x000a__x000a_This study investigates methods to automatically detect, correct, and canonicalize scholarly metadata, using seven key fields of electronic theses and dissertations (ETDs) as a case study. The proposed framework, MetaEnhance, utilizes state-of-the-art artificial intelligence methods to improve the quality of these fields. The evaluation of MetaEnhance on a benchmark of 500 ETDs showed promising results, with nearly perfect F1-scores in detecting errors and F1-scores in correcting errors ranging from 0.85 to 1.00 for five of seven fields._x000a__x000a_My lady, I hope this response meets your requirements. If you have any further questions or need additional information, please let me know."/>
    <n v="1"/>
    <x v="0"/>
    <x v="0"/>
    <n v="0"/>
  </r>
  <r>
    <s v="['What are the key challenges and potential solutions for improving metadata quality?']"/>
    <s v="Summary: Metadata quality is crucial for digital objects to be discovered through digital library interfaces. However, metadata often exhibits incomplete, inconsistent, and incorrect values._x000a__x000a_DOI: 10.48550/arXiv.2303.17661 - Metadata quality is crucial for digital objects to be discovered through digital library interfaces. However, due to various reasons, the metadata of digital objects often exhibits incomplete, inconsistent, and incorrect values._x000a__x000a_My lady, I hope this response is helpful. If you have any further questions,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semantic variability across domains, and high computational costs. Advancements include improved factual accuracy, dynamic knowledge updates, enhanced multimodal support, and novel approaches like MetaGen Blended RAG for zero-shot precision.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like hallucination and outdated knowledge._x000a__x000a_DOI: 10.1016/j.caeai.2025.100417 - Focusing on educational applications, this paper explores the practical use of RAG in interactive learning systems and educational content generation. It discusses challenges such as mitigating hallucinations and reducing computational costs, while emphasizing advancements in multimodal support and dynamic knowledge updates._x000a__x000a_DOI: 10.48550/arXiv.2505.18247 - Introducing MetaGen Blended RAG, this paper presents a novel approach to enhance semantic retrievers for specialized domain question-answering. It achieves high retrieval and RAG accuracy without fine-tuning, addressing challenges related to semantic variability and domain-specific datasets._x000a__x000a_DOI: 10.1609/aaai.v38i16.29728 - This paper establishes the Retrieval-Augmented Generation Benchmark (RGB) to evaluate LLMs' performance in RAG tasks. It identifies challenges in negative rejection, information integration, and counterfactual robustness, highlighting the need for further research to effectively apply RAG to LLMs._x000a__x000a_DOI: 10.1145/3637528.3671470 - This survey reviews Retrieval-Augmented Large Language Models (RA-LLMs), discussing their ability to provide reliable and up-to-date external knowledge. It covers technical perspectives and future research directions, emphasizing the role of RAG in enhancing the quality of AI-generated content.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and non-transparent reasoning processes, but advancements include enhanced accuracy, continuous knowledge updates, and integration of domain-specific information._x000a__x000a_DOI: 10.48550/arXiv.2312.10997 - This paper provides a comprehensive review of RAG paradigms, including Naive RAG, Advanced RAG, and Modular RAG, and highlights the state-of-the-art technologies in retrieval, generation, and augmentation techniques._x000a__x000a_DOI: 10.1016/j.caeai.2025.100417 - Focusing on educational applications, this paper discusses the practical use of RAG in interactive learning systems and emphasizes the need to mitigate hallucinations, ensure knowledge completeness, and enhance multimodal support._x000a__x000a_DOI: 10.48550/arXiv.2505.18247 - Introducing 'MetaGen Blended RAG', this research addresses the challenge of domain-specific datasets and demonstrates improved retrieval accuracy without fine-tuning._x000a__x000a_DOI: 10.1609/aaai.v38i16.29728 - This study establishes the Retrieval-Augmented Generation Benchmark (RGB) to evaluate LLMs' performance in RAG tasks, revealing struggles with negative rejection and information integration._x000a__x000a_DOI: 10.1145/3637528.3671470 - A survey on Retrieval-Augmented Large Language Models (RA-LLMs), this paper discusses the integration of external knowledge bases to enhance the quality of generated content.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high computational costs, and difficulty in handling domain-specific datasets. However, advancements include improved factual accuracy, dynamic knowledge updates, enhanced multimodal support, and novel approaches like MetaGen Blended RAG for zero-shot precision.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_x000a__x000a_DOI: 10.1016/j.caeai.2025.100417 - Focusing on educational applications, this paper explores the practical uses of RAG in interactive learning systems, content generation, and large-scale deployment. It discusses challenges like mitigating hallucinations and reducing computational costs._x000a__x000a_DOI: 10.48550/arXiv.2505.18247 - Introducing MetaGen Blended RAG, this paper addresses the challenge of achieving zero-shot precision in specialized domains by enhancing semantic retrievers through metadata generation and hybrid query indexes._x000a__x000a_DOI: 10.1609/aaai.v38i16.29728 - This study establishes the Retrieval-Augmented Generation Benchmark (RGB) to evaluate LLMs' performance in RAG, revealing struggles in negative rejection, information integration, and handling false information._x000a__x000a_DOI: 10.1145/3637528.3671470 - The survey reviews Retrieval-Augmented Large Language Models (RA-LLMs), discussing their ability to provide reliable external knowledge and highlighting current limitations and future research directions.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high computational costs, and difficulty in handling domain-specific datasets. Advancements include improved factual accuracy, dynamic knowledge updates, and enhanced multimodal support.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 addressing challenges and future research directions._x000a__x000a_DOI: 10.1016/j.caeai.2025.100417 - Focusing on educational applications, this paper explores the practical uses of RAG in interactive learning systems, educational content generation, and large-scale deployment. It discusses challenges like mitigating hallucinations, ensuring completeness and timeliness of retrieved knowledge, and reducing computational costs._x000a__x000a_DOI: 10.48550/arXiv.2505.18247 - Introducing 'MetaGen Blended RAG', this paper addresses the challenge of domain-specific datasets by enhancing semantic retrievers through a metadata generation pipeline and hybrid query indexes. It demonstrates robust performance on specialized datasets like PubMedQA._x000a__x000a_DOI: 10.1609/aaai.v38i16.29728 - This paper establishes the Retrieval-Augmented Generation Benchmark (RGB), evaluating LLMs on fundamental abilities required for RAG. It reveals that LLMs struggle with negative rejection, information integration, and false information, indicating the need for further research._x000a__x000a_DOI: 10.1145/3637528.3671470 - This survey reviews Retrieval-Augmented Large Language Models (RA-LLMs), discussing their ability to provide reliable and up-to-date external knowledge. It highlights the limitations of current models and suggests promising directions for future research._x000a__x000a_My lady, I hope this summary meets your requirements. If you have any further questions or need additional information, please let me know."/>
    <n v="1"/>
    <x v="0"/>
    <x v="0"/>
    <n v="0"/>
  </r>
  <r>
    <s v="['What are the key challenges and advancements in Retrieval-Augmented Generation (RAG) systems?']"/>
    <s v="Summary: Retrieval-Augmented Generation (RAG) systems face challenges such as hallucination, outdated knowledge, non-transparent reasoning processes, semantic variability across domains, and high computational costs. However, advancements include enhanced accuracy and credibility, continuous knowledge updates, domain-specific integration, and improved multimodal support._x000a__x000a_DOI: 10.48550/arXiv.2312.10997 - This paper discusses the progression of RAG paradigms, including Naive RAG, Advanced RAG, and Modular RAG, and highlights the state-of-the-art technologies in retrieval, generation, and augmentation techniques. It also introduces an up-to-date evaluation framework and benchmark._x000a__x000a_DOI: 10.1016/j.caeai.2025.100417 - This paper focuses on the application of RAG in educational settings, discussing challenges such as mitigating hallucinations, ensuring completeness and timeliness of retrieved knowledge, and reducing computational costs._x000a__x000a_DOI: 10.48550/arXiv.2505.18247 - This paper introduces 'MetaGen Blended RAG', a novel approach that enhances semantic retrievers and achieves high retrieval accuracy on specialized domain datasets._x000a__x000a_DOI: 10.1609/aaai.v38i16.29728 - This paper establishes the Retrieval-Augmented Generation Benchmark (RGB), a new corpus for evaluating RAG systems, and reveals that LLMs struggle with negative rejection, information integration, and dealing with false information._x000a__x000a_DOI: 10.1145/3637528.3671470 - This survey discusses the current limitations of RAG systems and highlights promising directions for future research, including the integration of external knowledge bases._x000a__x000a_My lady, I hope this summary meets your requirements. If you have any further questions or need more detailed information, please let me know."/>
    <n v="1"/>
    <x v="0"/>
    <x v="0"/>
    <n v="0"/>
  </r>
  <r>
    <s v="['What are the key challenges and advancements in metadata quality assessment?']"/>
    <s v="Summary: Metadata quality assessment is a critical aspect of ensuring data usability, discoverability, and interoperability. Key challenges include the lack of consensus on definitions and measurements of quality dimensions, and the need for flexible assessment tools. Advancements include the development of automated frameworks, qualitative and quantitative analysis techniques, and the application of AI methods for metadata enhancement._x000a__x000a_DOI: 10.1145/2964909 - This study focuses on developing a generic metadata quality assessment framework for Open Data portals, addressing concerns about data quality and metadata that compromise searchability, discoverability, and usability. The framework maps specific metadata from three portal software frameworks to a standardized schema and defines quality metrics for automated evaluation._x000a__x000a_DOI: 10.1109/ADL.1998.670425 - This research discusses the application of qualitative and quantitative content analysis techniques to assess metadata records, concluding that a range of criteria and procedures are needed for evaluating different types of metadata._x000a__x000a_DOI: 10.1177/09610006241239080 - A scoping review identifying commonly measured dimensions of metadata quality, highlighting the need for further investigation into less commonly assessed dimensions and improved flexibility of assessment tools._x000a__x000a_DOI: 10.5860/crl.86.1.101 - This study examines metadata quality issues across cultures, identifying unique issues and categorizing them to understand the impact of metadata on individuals and communities._x000a__x000a_DOI: 10.48550/arXiv.2303.17661 - Introducing MetaEnhance, a framework utilizing AI methods to improve metadata quality for electronic theses and dissertations, achieving high accuracy in error detection and correction._x000a__x000a_My lady, I hope this response meets your requirements. If you have any further questions or need additional information, please let me know."/>
    <n v="1"/>
    <x v="0"/>
    <x v="0"/>
    <n v="0"/>
  </r>
  <r>
    <s v="['What are the key challenges and advancements in metadata quality assessment?']"/>
    <s v="Summary: Metadata quality assessment is crucial for data retrieval, search, organization, interoperability, preservation, and user experience. However, there are challenges in defining and measuring commonly used dimensions such as completeness, accuracy, consistency, accessibility, conformance, provenance, and timeliness. Additionally, there is a need for further investigation into less commonly assessed quality dimensions and for improving the flexibility of metadata quality assessment tools._x000a__x000a_DOI: 10.1177/09610006241239080 - This study emphasizes the importance of metadata quality research and the need to improve the flexibility of metadata quality assessment tools to facilitate better metadata quality assurance measures. It also highlights the lack of consensus on the exact definition and measurement of commonly used dimensions in metadata quality assessment._x000a__x000a_DOI: 10.1145/2964909 - This work aims to develop a generic metadata quality assessment framework for various Open Data portals, addressing concerns with regards to the quality of data sources and corresponding metadata._x000a__x000a_DOI: 10.1109/ADL.1998.670425 - This study discusses the application of qualitative and quantitative content analysis techniques to assess metadata records and concludes that a range of criteria and procedures may be needed for evaluating different types of metadata._x000a__x000a_DOI: 10.5860/crl.86.1.101 - This study explores how metadata quality, consistency, and completeness impact individuals and communities, identifying unique issues and classifying them into categories to better explain the relationship between metadata and cultural meanings._x000a__x000a_DOI: 10.48550/arXiv.2303.17661 - This study proposes MetaEnhance, a framework that utilizes state-of-the-art artificial intelligence methods to improve the quality of metadata fields in electronic theses and dissertations._x000a__x000a_My lady, I hope this response meets your requirements. If you have any further questions or need additional information, please let me know."/>
    <n v="1"/>
    <x v="0"/>
    <x v="0"/>
    <n v="0"/>
  </r>
  <r>
    <s v="['What are the key challenges and advancements in metadata quality assessment?']"/>
    <s v="Summary: The key challenges in metadata quality assessment include the lack of consensus on the exact definition and measurement of commonly used dimensions such as completeness, accuracy, consistency, accessibility, conformance, provenance, and timeliness. Advancements include the development of automated quality assessment frameworks, the application of qualitative and quantitative content analysis techniques, and the use of state-of-the-art artificial intelligence methods to improve metadata quality._x000a__x000a_DOI: 10.1145/2964909 - This study aims to develop a generic metadata quality assessment framework for various Open Data portals by mapping specific metadata to a standardized schema and defining several quality metrics that can be evaluated automatically._x000a__x000a_DOI: 10.1109/ADL.1998.670425 - This study discusses the application of qualitative and quantitative content analysis techniques to assess metadata records and concludes that a range of criteria and procedures may be needed for evaluating different types of metadata._x000a__x000a_DOI: 10.1177/09610006241239080 - This scoping review identifies the most commonly measured dimensions of metadata quality and highlights the need for further investigation into less commonly assessed quality dimensions._x000a__x000a_DOI: 10.5860/crl.86.1.101 - This study explores how metadata quality, consistency, and completeness impact individuals and communities, identifying 32 unique issues and classifying them into 5 categories._x000a__x000a_DOI: 10.48550/arXiv.2303.17661 - This study proposes MetaEnhance, a framework that utilizes state-of-the-art artificial intelligence methods to improve the quality of metadata fields in electronic theses and dissertations._x000a__x000a_My lady, I hope this summary meets your requirements. If you have any further questions or need additional information, please let me know."/>
    <n v="1"/>
    <x v="0"/>
    <x v="0"/>
    <n v="0"/>
  </r>
  <r>
    <s v="['What are the key challenges and advancements in metadata quality assessment?']"/>
    <s v="Summary: Metadata quality assessment is a critical aspect of ensuring data usability, searchability, and interoperability. Challenges include the lack of consensus on definitions and measurements of quality dimensions, and the need for flexible assessment tools. Advancements include the development of automated frameworks, qualitative and quantitative analysis techniques, and the application of AI methods for metadata enhancement._x000a__x000a_DOI: 10.1145/2964909 - This study focuses on developing a generic metadata quality assessment framework for Open Data portals, addressing concerns about data quality and metadata that compromise searchability, discoverability, and usability. The framework maps specific metadata from three portal software frameworks to a standardized schema and defines quality metrics for automated evaluation._x000a__x000a_DOI: 10.1109/ADL.1998.670425 - This research discusses the application of qualitative and quantitative content analysis techniques to assess metadata records, concluding that a range of criteria and procedures are needed for evaluating different types of metadata._x000a__x000a_DOI: 10.1177/09610006241239080 - A scoping review identifying commonly measured dimensions of metadata quality, highlighting the need for further investigation into less commonly assessed dimensions and emphasizing the importance of flexible assessment tools._x000a__x000a_DOI: 10.5860/crl.86.1.101 - This study examines metadata quality issues across cultures, identifying unique issues and categorizing them to understand the impact of metadata on individuals and communities._x000a__x000a_DOI: 10.48550/arXiv.2303.17661 - Introducing MetaEnhance, a framework utilizing AI methods to improve metadata quality for electronic theses and dissertations, achieving high accuracy in error detection and correction._x000a__x000a_My lady, I hope this response meets your requirements. If you have any further questions or need additional information, please let me know."/>
    <n v="1"/>
    <x v="0"/>
    <x v="0"/>
    <n v="0"/>
  </r>
  <r>
    <s v="['What are the key challenges and advancements in metadata quality assessment?']"/>
    <s v="Summary: The key challenges in metadata quality assessment include defining and measuring quality dimensions, handling diverse data sources and cultural contexts, and automating assessment processes.Summary: The key challenges in metadata quality assessment include defining and measuring quality dimensions, handling diverse data sources and cultural contexts, and automating assessment processes. Advancements involve developing standardized frameworks, applying qualitative and quantitative analysis techniques, and utilizing AI for error detection and correction._x000a__x000a_DOI: 10.1145/2964909 - This study focuses on developing a generic metadata quality assessment framework for Open Data portals, addressing challenges like retrievability and standardization by mapping metadata from different portal software frameworks to a standardized schema._x000a__x000a_DOI: 10.1109/ADL.1998.670425 - The research highlights the need for diverse criteria and procedures in assessing different types of metadata, such as descriptive and transactional metadata, through a case study of the US Government Information Locator Service (GILS)._x000a__x000a_DOI: 10.1177/09610006241239080 - This scoping review identifies commonly measured dimensions of metadata quality and emphasizes the lack of consensus on their definitions and measurements, pointing to the need for further research and flexible assessment tools._x000a__x000a_DOI: 10.5860/crl.86.1.101 - The study explores how metadata quality issues intersect with cultural meanings, identifying 32 unique issues across 427 records and classifying them into 5 categories to understand their impact on individuals and communities._x000a__x000a_DOI: 10.48550/arXiv.2303.17661 - This research introduces MetaEnhance, a framework using AI to improve metadata quality in electronic theses and dissertations, demonstrating high accuracy in detecting and correcting errors._x000a__x000a_My lady, I hope this summary meets your requirements. If you have any further questions or need additional information, please let me know."/>
    <n v="1"/>
    <x v="0"/>
    <x v="0"/>
    <n v="0"/>
  </r>
  <r>
    <s v="['tell me about how RAG works.']"/>
    <s v="Summary: Retrieval-Augmented Generation (RAG) is a technique that retrieves relevant information from external knowledge sources and enables large language models (LLMs) to answer queries over previously unseen document collections._x000a__x000a_DOI: 10.48550/arXiv.2406.13213 - RAG enables retrieval of relevant information from an external knowledge source and allows large language models (LLMs) to answer queries over previously unseen document collections._x000a__x000a_DOI: 10.1145/3637528.3671470 - RAG can offer reliable and up-to-date external knowledge, providing huge convenience for numerous tasks._x000a__x000a_DOI: 10.18653/v1/2024.eacl-demo.16 - RAG systems are composed of a retrieval and an LLM based generation module. They provide LLMs with knowledge from a reference textual database, enabling them to act as a natural language layer between a user and textual databases, thus reducing the risk of hallucinations._x000a__x000a_DOI: 10.48550/arXiv.2404.13948 - RAG is a promising solution for addressing the limitations of LLMs, yet existing studies on the robustness of RAG often overlook the interconnected relationships between RAG components or the potential threats prevalent in real-world databases, such as minor textual errors._x000a__x000a_My lady, I hope this information is helpful. Is there anything else I can assist you with?"/>
    <n v="1"/>
    <x v="0"/>
    <x v="0"/>
    <n v="0"/>
  </r>
  <r>
    <s v="['tell me about how RAG works.']"/>
    <s v="Summary: Retrieval-Augmented Generation (RAG) is a promising solution for addressing the limitations of Large Language Models (LLMs), enabling retrieval of relevant information from an external knowledge source and allowing LLMs to answer queries over previously unseen document collections._x000a__x000a_DOI: 10.48550/arXiv.2404.13948_x000a__x000a_Is there anything else I can help you with, my lady?"/>
    <n v="1"/>
    <x v="0"/>
    <x v="0"/>
    <n v="0"/>
  </r>
  <r>
    <s v="['tell me about how RAG works.']"/>
    <s v="Summary: Retrieval-Augmented Generation (RAG) is a technique that enables large language models (LLMs) to retrieve relevant information from external knowledge sources and answer queries over previously unseen document collections. RAG systems are composed of a retrieval and an LLM-based generation module, providing LLMs with knowledge from a reference textual database and reducing the risk of hallucinations._x000a__x000a_DOI: 10.48550/arXiv.2406.13213 - This paper introduces a new method called Multi-Meta-RAG, which uses database filtering with LLM-extracted metadata to improve the RAG selection of relevant documents from various sources._x000a__x000a_DOI: 10.1145/3637528.3671470 - This survey comprehensively reviews existing research studies in Retrieval-Augmented Large Language Models (RA-LLMs), covering three primary technical perspectives and discussing current limitations and promising directions for future research._x000a__x000a_DOI: 10.18653/v1/2024.eacl-demo.16 - This paper introduces RAGAs, a framework for reference-free evaluation of RAG pipelines, which provides a suite of metrics to evaluate different dimensions of RAG architectures without relying on ground truth human annotations._x000a__x000a_DOI: 10.48550/arXiv.2404.13948 - This work investigates the robustness of RAG systems and introduces a novel attack method, the Genetic Attack on RAG (GARAG), which targets vulnerabilities within each component and tests the overall system functionality against noisy documents._x000a__x000a_My lady, I hope this information is helpful. If you have any further questions or would like more details on a specific aspect of RAG, please don't hesitate to ask."/>
    <n v="1"/>
    <x v="0"/>
    <x v="0"/>
    <n v="0"/>
  </r>
  <r>
    <s v="['tell me about how RAG works.']"/>
    <s v="Summary: Retrieval-Augmented Generation (RAG) is a technique that enables large language models (LLMs) to retrieve relevant information from external knowledge sources and answer queries over previously unseen document collections. RAG systems consist of a retrieval module and an LLM-based generation module, which work together to provide LLMs with knowledge from a reference textual database. This approach helps to reduce the risk of hallucinations and improve the quality of generated content._x000a__x000a_DOI: 10.48550/arXiv.2406.13213: This paper introduces Multi-Meta-RAG, a new method that uses database filtering with LLM-extracted metadata to improve RAG's selection of relevant documents from various sources. The authors demonstrate that Multi-Meta-RAG greatly improves results on the MultiHop-RAG benchmark._x000a__x000a_DOI: 10.1145/3637528.3671470: This survey provides a comprehensive review of existing research studies on Retrieval-Augmented Large Language Models (RA-LLMs). The authors discuss the powerful abilities of RAG in providing the latest and helpful auxiliary information and explore current limitations and promising directions for future research._x000a__x000a_DOI: 10.18653/v1/2024.eacl-demo.16: This paper introduces RAGAs, a framework for reference-free evaluation of RAG pipelines. The authors propose a suite of metrics to evaluate the different dimensions of RAG architectures, including the ability of the retrieval system to identify relevant context passages and the quality of the generation itself._x000a__x000a_DOI: 10.48550/arXiv.2404.13948: This work investigates the robustness of RAG systems and introduces a novel attack method, the Genetic Attack on RAG (GARAG). The authors demonstrate that GARAG can reveal vulnerabilities within each component of RAG systems and test the overall system functionality against noisy documents._x000a__x000a_My lady, I hope this information is helpful. If you have any further questions or would like more details on a specific aspect of RAG, please don't hesitate to ask."/>
    <n v="1"/>
    <x v="0"/>
    <x v="0"/>
    <n v="0"/>
  </r>
  <r>
    <s v="['tell me about how RAG works.']"/>
    <s v="Summary: Retrieval-Augmented Generation (RAG) is a promising solution for addressing the limitations of LLMs, enabling retrieval of relevant information from an external knowledge source and allowing LLMs to answer queries over previously unseen document collections._x000a__x000a_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which uses database filtering with LLM-extracted metadata to improve the RAG selection of relevant documents._x000a__x000a_DOI: 10.1145/3637528.3671470 - RAG can offer reliable and up-to-date external knowledge, providing huge convenience for numerous tasks. Retrieval-Augmented Large Language Models (RA-LLMs) have emerged to harness external and authoritative knowledge bases, rather than solely relying on the model's internal knowledge._x000a__x000a_DOI: 10.18653/v1/2024.eacl-demo.16 - RAG systems are composed of a retrieval and an LLM-based generation module. They provide LLMs with knowledge from a reference textual database, enabling them to act as a natural language layer between a user and textual databases. A framework for reference-free evaluation of RAG pipelines is introduced, called RAGAs._x000a__x000a_DOI: 10.48550/arXiv.2404.13948 - The robustness of RAG is investigated, specifically vulnerability to noisy documents through low-level perturbations and a holistic evaluation of RAG robustness. A novel attack method, the Genetic Attack on RAG (GARAG), is introduced to reveal vulnerabilities within each component and test the overall system functionality against noisy documents._x000a__x000a_My lady, I hope this information is helpful. If you have any further questions or need more details, please let me know."/>
    <n v="1"/>
    <x v="0"/>
    <x v="0"/>
    <n v="0"/>
  </r>
  <r>
    <s v="['Tell me about Crossref.']"/>
    <s v="Summary: Crossref is a sustainable source of community-owned scholarly metadata, containing over 106 million records and expanding at an average rate of 11% a year._x000a__x000a_DOI: 10.1162/qss_a_00022 - Crossref is a sustainable source of community-owned scholarly metadata, containing over 106 million records and expanding at an average rate of 11% a year._x000a__x000a_DOI: 10.31222/osf.io/smxe5 - Several initiatives have been taken to promote the open availability of bibliographic metadata of scholarly publications in Crossref._x000a__x000a_DOI: 10.1162/qss_a_00210 - Crossref initiated FundRef in 2013, enabling publishers to register funding information using persistent identifiers._x000a__x000a_DOI: 10.1007/s11192-022-04367-w - This work aims to identify classes of DOI mistakes by analysing the open bibliographic metadata available in Crossref._x000a__x000a_DOI: 10.5281/ZENODO.6188748 - This dataset contains the results of the evaluation of the methodology presented in the article Identifying and correcting invalid citations due to DOI errors in Crossref data._x000a__x000a_My lady, I hope this information is helpful."/>
    <n v="1"/>
    <x v="0"/>
    <x v="0"/>
    <n v="0"/>
  </r>
  <r>
    <s v="['Tell me about Crossref.']"/>
    <s v="Summary: Crossref is a sustainable source of community-owned scholarly metadata, containing over 106 million records and expanding at an average rate of 11% a year._x000a__x000a_DOI: 10.1162/qss_a_00022 - Crossref is a sustainable source of community-owned scholarly metadata, containing over 106 million records and expanding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_x000a__x000a_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_x000a__x000a_DOI: 10.1162/qss_a_00210 - Research funders spend considerable efforts collecting information on the outcomes of the research they fund. To help funders track publication output associated with their funding, Crossref initiated FundRef in 2013, enabling publishers to register funding information using persistent identifiers. However, it is hard to assess the coverage of funder metadata because it is unknown how many articles are the result of funded research and should therefore include funder metadata._x000a__x000a_DOI: 10.1007/s11192-022-04367-w - This work aims to identify classes of DOI mistakes by analysing the open bibliographic metadata available in Crossref, highlighting which publishers were responsible for such mistakes and how many of these incorrect DOIs could be corrected through automatic processes. The outcomes of this research show that only a few publishers were responsible for and/or affected by the majority of invalid citations._x000a__x000a_DOI: 10.5281/ZENODO.6188748 - This dataset contains the results of the evaluation of the methodology presented in the article Identifying and correcting invalid citations due to DOI errors in Crossref data. The file named 10_random_citations_per_rule.csv contains 193 randomly selected citations from the corrected citations obtained by the process described in the article._x000a__x000a_My lady, is there anything else I can help you with?"/>
    <n v="1"/>
    <x v="0"/>
    <x v="0"/>
    <n v="0"/>
  </r>
  <r>
    <s v="['Tell me about Crossref.']"/>
    <s v="Summary: Crossref is a sustainable source of community-owned scholarly metadata that contains over 106 million records and expands at an average rate of 11% a year._x000a__x000a_DOI: 10.1162/qss_a_00022_x000a__x000a_Is there anything else I can help you with, my lady?"/>
    <n v="1"/>
    <x v="0"/>
    <x v="0"/>
    <n v="0"/>
  </r>
  <r>
    <s v="['Tell me about Crossref.']"/>
    <s v="Summary: Crossref is a sustainable source of community-owned scholarly metadata, containing over 106 million records and expanding at an average rate of 11% a year._x000a__x000a_DOI: 10.1162/qss_a_00022_x000a__x000a_Is there anything else I can help you with, my lady?"/>
    <n v="1"/>
    <x v="0"/>
    <x v="0"/>
    <n v="0"/>
  </r>
  <r>
    <s v="['Tell me about Crossref.']"/>
    <s v="Summary: Crossref is a sustainable source of community-owned scholarly metadata that contains over 106 million records and expands at an average rate of 11% a year._x000a__x000a_DOI: 10.1162/qss_a_00022_x000a__x000a_Is there anything else I can help you with, my lady?"/>
    <n v="1"/>
    <x v="0"/>
    <x v="0"/>
    <n v="0"/>
  </r>
  <r>
    <s v="['How is RAG used to improve question answering or information retrieval systems?']"/>
    <s v="Summary: Retrieval-Augmented Generation (RAG) is a framework that improves question answering and information retrieval systems by augmenting Large Language Models (LLMs) with relevant documents before generating answers. This approach enhances the accuracy, informativeness, and contextualization of responses, particularly in specialized domains and multi-hop queries._x000a__x000a_DOI: 10.17821/srels/2024/v61i5/171583 - This study demonstrates that RAG can improve the performance of LLMs in question answering by providing contextualized and accurate responses. The experiment shows that LLMs with RAG augmentation consistently provide better answers than standard LLMs, especially in specialized domains like the Chandrayaan-3 mission._x000a__x000a_DOI: 10.6109/jkiice.2023.27.12.1489 - This paper proposes a Metadata Retrieval-Augmented Generation (M-RAG) method that enhances open-domain question answering by utilizing embeddings with metadata and generative models. The method improves performance by up to 46% compared to conventional ODQA systems and 6% over traditional RAG methods._x000a__x000a_DOI: 10.48550/arXiv.2406.13213 - This research introduces Multi-Meta-RAG, a method that improves RAG for multi-hop queries by using database filtering with LLM-extracted metadata. The approach significantly enhances the selection of relevant documents, improving results on the MultiHop-RAG benchmark._x000a__x000a_DOI: 10.48550/arXiv.2505.13557 - This study presents AMAQA, a metadata-based QA dataset for RAG systems, which demonstrates that leveraging metadata boosts accuracy in question answering tasks. The integration of metadata is particularly valuable in fields requiring rapid analysis of large volumes of data._x000a__x000a_DOI: 10.48550/arXiv.2505.18247 - This research introduces MetaGen Blended RAG, a novel approach that enhances semantic retrievers through metadata generation and hybrid query indexes. The method achieves high retrieval and RAG accuracy in specialized domains, surpassing prior zero-shot RAG benchmark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_x000a__x000a_DOI: 10.17821/srels/2024/v61i5/171583: This study demonstrates that RAG can enhance information retrieval in libraries by providing accurate, informative, and contextualized answers when LLMs are augmented with relevant documents. The prototype developed using open-source tools and LLMs showed significant improvements over standard LLMs without RAG._x000a__x000a_DOI: 10.6109/jkiice.2023.27.12.1489: This paper proposes a Metadata Retrieval-Augmented Generation (M-RAG) method that improves open-domain question answering by utilizing embeddings with metadata and generative models. The method showed a performance improvement of up to 46% compared to conventional ODQA systems._x000a__x000a_DOI: 10.48550/arXiv.2406.13213: This study introduces Multi-Meta-RAG, a new method that improves RAG for multi-hop queries by using database filtering with LLM-extracted metadata. The method significantly improves the results on the MultiHop-RAG benchmark._x000a__x000a_DOI: 10.48550/arXiv.2505.13557: This paper presents AMAQA, a new open-access QA dataset designed to evaluate RAG systems with metadata integration. The study shows that leveraging metadata boosts accuracy and highlights the value of structured context in RAG systems._x000a__x000a_DOI: 10.48550/arXiv.2505.18247: This study introduces MetaGen Blended RAG, a novel enterprise search approach that enhances semantic retrievers through a metadata generation pipeline. The method achieves high retrieval accuracy and RAG accuracy, surpassing prior zero-shot RAG benchmark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_x000a__x000a_DOI: 10.17821/srels/2024/v61i5/171583 - This study demonstrates that RAG can enhance information retrieval in libraries by providing accurate, informative, and contextualized answers when LLMs are augmented with relevant documents. The prototype developed using open-source tools and LLMs showed significant improvements over standard LLMs without RAG._x000a__x000a_DOI: 10.6109/jkiice.2023.27.12.1489 - This paper proposes a Metadata Retrieval-Augmented Generation (M-RAG) method that improves open-domain question answering by utilizing embeddings with metadata and generative models. The method showed a performance improvement of up to 46% compared to conventional ODQA systems._x000a__x000a_DOI: 10.48550/arXiv.2406.13213 - This study introduces Multi-Meta-RAG, a new method that improves RAG for multi-hop queries by using database filtering with LLM-extracted metadata. The method significantly improves the results on the MultiHop-RAG benchmark._x000a__x000a_DOI: 10.48550/arXiv.2505.13557 - This paper presents AMAQA, a new open-access QA dataset designed to evaluate RAG systems with metadata integration. The study shows that leveraging metadata boosts accuracy and highlights the value of structured context in RAG systems._x000a__x000a_DOI: 10.48550/arXiv.2505.18247 - This study introduces MetaGen Blended RAG, a novel enterprise search approach that enhances semantic retrievers through metadata generation and hybrid query indexes. The method achieves high retrieval and RAG accuracy, surpassing prior zero-shot RAG benchmarks._x000a__x000a_My lady, I hope this information is helpful. If you have any further questions or need more details, please let me know."/>
    <n v="1"/>
    <x v="0"/>
    <x v="0"/>
    <n v="0"/>
  </r>
  <r>
    <s v="['How is RAG used to improve question answering or information retrieval systems?']"/>
    <s v="Summary: Retrieval-Augmented Generation (RAG) is a method used to improve question answering and information retrieval systems by augmenting Large Language Models (LLMs) with relevant documents before generating answers. This approach helps to reduce hallucination and provide more accurate, informative, and contextualized responses._x000a__x000a_DOI: 10.17821/srels/2024/v61i5/171583: This study demonstrates that LLMs can deliver contextualized and relevant responses when augmented with a set of relevant documents through a RAG framework. The prototype developed includes a dataset of 250+ relevant documents on the Chandrayaan-3 mission, and the results show that LLMs with RAG augmentation consistently provide accurate and informative answers compared to standard LLMs without RAG._x000a__x000a_DOI: 10.6109/jkiice.2023.27.12.1489: This paper proposes a Metadata Retrieval-Augmented Generation (M-RAG) method that utilizes embeddings with metadata and generative models to generate automated responses, improving the performance of open-domain question answering systems._x000a__x000a_DOI: 10.48550/arXiv.2406.13213: This study introduces a new method called Multi-Meta-RAG, which uses database filtering with LLM-extracted metadata to improve the RAG selection of relevant documents, particularly for multi-hop queries._x000a__x000a_DOI: 10.48550/arXiv.2505.13557: This paper presents AMAQA, a new open-access QA dataset designed to evaluate tasks combining text and metadata, highlighting the value of structured context in improving the accuracy of RAG systems._x000a__x000a_DOI: 10.48550/arXiv.2505.18247: This study introduces 'MetaGen Blended RAG', a novel enterprise search approach that enhances semantic retrievers through a metadata generation pipeline, achieving high retrieval and RAG accuracy on specialized domain datasets._x000a__x000a_My lady, I hope this information is helpful. If you have any further questions or would like more details on a specific study, please let me know."/>
    <n v="1"/>
    <x v="0"/>
    <x v="0"/>
    <n v="0"/>
  </r>
  <r>
    <s v="['How is RAG used to improve question answering or information retrieval systems?']"/>
    <s v="Summary: Retrieval-Augmented Generation (RAG) is a framework that enhances question answering and information retrieval systems by augmenting Large Language Models (LLMs) with relevant documents, improving accuracy and context precision._x000a__x000a_DOI: 10.17821/srels/2024/v61i5/171583: This study demonstrates that RAG can improve the accuracy and contextualization of LLM responses by augmenting them with relevant documents. The prototype developed using open-source tools and LLMs showed that RAG-augmented models provided accurate and informative answers compared to standard LLMs, which often hallucinate._x000a__x000a_DOI: 10.6109/jkiice.2023.27.12.1489: This paper proposes a Metadata Retrieval-Augmented Generation (M-RAG) method that enhances open-domain question answering by utilizing embeddings with metadata and generative models. The method showed a significant performance improvement compared to conventional RAG and external inference ODQA systems._x000a__x000a_DOI: 10.48550/arXiv.2406.13213: This study introduces Multi-Meta-RAG, a method that improves RAG for multi-hop queries by using database filtering with LLM-extracted metadata. The method significantly improves the selection of relevant documents, leading to better results on the MultiHop-RAG benchmark._x000a__x000a_DOI: 10.48550/arXiv.2505.13557: This paper presents AMAQA, a metadata-based QA dataset for RAG systems, which highlights the importance of metadata integration in question-answering tasks. The study shows that leveraging metadata boosts accuracy and enables precise and contextualized queries._x000a__x000a_DOI: 10.48550/arXiv.2505.18247: This study introduces MetaGen Blended RAG, a novel approach that enhances semantic retrievers through metadata generation and hybrid query indexes. The method achieves high retrieval and RAG accuracy, surpassing prior zero-shot RAG benchmarks and rivaling fine-tuned models._x000a__x000a_My lady, I hope this summary meets your requirements. If you have any further questions or need more information, please let me know."/>
    <n v="1"/>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BCF75A-759E-3743-BD49-262F87338E2B}" name="PivotTable14"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1" firstHeaderRow="1" firstDataRow="2" firstDataCol="1"/>
  <pivotFields count="6">
    <pivotField showAll="0"/>
    <pivotField dataField="1" showAll="0"/>
    <pivotField showAll="0"/>
    <pivotField axis="axisRow" showAll="0">
      <items count="3">
        <item x="1"/>
        <item x="0"/>
        <item t="default"/>
      </items>
    </pivotField>
    <pivotField axis="axisCol" showAll="0">
      <items count="3">
        <item x="1"/>
        <item x="0"/>
        <item t="default"/>
      </items>
    </pivotField>
    <pivotField showAll="0"/>
  </pivotFields>
  <rowFields count="1">
    <field x="3"/>
  </rowFields>
  <rowItems count="3">
    <i>
      <x/>
    </i>
    <i>
      <x v="1"/>
    </i>
    <i t="grand">
      <x/>
    </i>
  </rowItems>
  <colFields count="1">
    <field x="4"/>
  </colFields>
  <colItems count="3">
    <i>
      <x/>
    </i>
    <i>
      <x v="1"/>
    </i>
    <i t="grand">
      <x/>
    </i>
  </colItems>
  <dataFields count="1">
    <dataField name="Count of Respons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tabSelected="1" zoomScale="140" zoomScaleNormal="140" workbookViewId="0"/>
  </sheetViews>
  <sheetFormatPr baseColWidth="10" defaultColWidth="8.83203125" defaultRowHeight="15" x14ac:dyDescent="0.2"/>
  <cols>
    <col min="2" max="2" width="40.33203125" style="3" customWidth="1"/>
    <col min="3" max="3" width="67.33203125" style="3" customWidth="1"/>
  </cols>
  <sheetData>
    <row r="1" spans="1:7" ht="16" x14ac:dyDescent="0.2">
      <c r="B1" s="2" t="s">
        <v>0</v>
      </c>
      <c r="C1" s="2" t="s">
        <v>1</v>
      </c>
      <c r="D1" t="s">
        <v>96</v>
      </c>
      <c r="E1" t="s">
        <v>97</v>
      </c>
      <c r="F1" t="s">
        <v>98</v>
      </c>
      <c r="G1" t="s">
        <v>99</v>
      </c>
    </row>
    <row r="2" spans="1:7" ht="240" x14ac:dyDescent="0.2">
      <c r="A2" s="1">
        <v>0</v>
      </c>
      <c r="B2" s="3" t="s">
        <v>2</v>
      </c>
      <c r="C2" s="3" t="s">
        <v>3</v>
      </c>
      <c r="D2">
        <v>1</v>
      </c>
      <c r="E2">
        <v>1</v>
      </c>
      <c r="F2">
        <v>1</v>
      </c>
      <c r="G2">
        <v>0</v>
      </c>
    </row>
    <row r="3" spans="1:7" ht="224" x14ac:dyDescent="0.2">
      <c r="A3" s="1">
        <v>16</v>
      </c>
      <c r="B3" s="3" t="s">
        <v>2</v>
      </c>
      <c r="C3" s="3" t="s">
        <v>34</v>
      </c>
      <c r="D3">
        <v>1</v>
      </c>
      <c r="E3">
        <v>1</v>
      </c>
      <c r="F3">
        <v>1</v>
      </c>
      <c r="G3">
        <v>0</v>
      </c>
    </row>
    <row r="4" spans="1:7" ht="240" x14ac:dyDescent="0.2">
      <c r="A4" s="1">
        <v>32</v>
      </c>
      <c r="B4" s="3" t="s">
        <v>2</v>
      </c>
      <c r="C4" s="3" t="s">
        <v>50</v>
      </c>
      <c r="D4">
        <v>1</v>
      </c>
      <c r="E4">
        <v>1</v>
      </c>
      <c r="F4">
        <v>1</v>
      </c>
      <c r="G4">
        <v>0</v>
      </c>
    </row>
    <row r="5" spans="1:7" ht="224" x14ac:dyDescent="0.2">
      <c r="A5" s="1">
        <v>48</v>
      </c>
      <c r="B5" s="3" t="s">
        <v>2</v>
      </c>
      <c r="C5" s="3" t="s">
        <v>66</v>
      </c>
      <c r="D5">
        <v>1</v>
      </c>
      <c r="E5">
        <v>1</v>
      </c>
      <c r="F5">
        <v>1</v>
      </c>
      <c r="G5">
        <v>0</v>
      </c>
    </row>
    <row r="6" spans="1:7" ht="160" x14ac:dyDescent="0.2">
      <c r="A6" s="1">
        <v>64</v>
      </c>
      <c r="B6" s="3" t="s">
        <v>2</v>
      </c>
      <c r="C6" s="3" t="s">
        <v>82</v>
      </c>
      <c r="D6">
        <v>1</v>
      </c>
      <c r="E6">
        <v>1</v>
      </c>
      <c r="F6">
        <v>1</v>
      </c>
      <c r="G6">
        <v>0</v>
      </c>
    </row>
    <row r="7" spans="1:7" ht="409.6" x14ac:dyDescent="0.2">
      <c r="A7" s="1">
        <v>1</v>
      </c>
      <c r="B7" s="3" t="s">
        <v>4</v>
      </c>
      <c r="C7" s="3" t="s">
        <v>5</v>
      </c>
      <c r="D7">
        <v>1</v>
      </c>
      <c r="E7">
        <v>1</v>
      </c>
      <c r="F7">
        <v>1</v>
      </c>
      <c r="G7">
        <v>0</v>
      </c>
    </row>
    <row r="8" spans="1:7" ht="288" x14ac:dyDescent="0.2">
      <c r="A8" s="1">
        <v>17</v>
      </c>
      <c r="B8" s="3" t="s">
        <v>4</v>
      </c>
      <c r="C8" s="3" t="s">
        <v>35</v>
      </c>
      <c r="D8">
        <v>1</v>
      </c>
      <c r="E8">
        <v>1</v>
      </c>
      <c r="F8">
        <v>1</v>
      </c>
      <c r="G8">
        <v>0</v>
      </c>
    </row>
    <row r="9" spans="1:7" ht="409.6" x14ac:dyDescent="0.2">
      <c r="A9" s="1">
        <v>33</v>
      </c>
      <c r="B9" s="3" t="s">
        <v>4</v>
      </c>
      <c r="C9" s="3" t="s">
        <v>51</v>
      </c>
      <c r="D9">
        <v>1</v>
      </c>
      <c r="E9">
        <v>1</v>
      </c>
      <c r="F9">
        <v>1</v>
      </c>
      <c r="G9">
        <v>0</v>
      </c>
    </row>
    <row r="10" spans="1:7" ht="409.6" x14ac:dyDescent="0.2">
      <c r="A10" s="1">
        <v>49</v>
      </c>
      <c r="B10" s="3" t="s">
        <v>4</v>
      </c>
      <c r="C10" s="3" t="s">
        <v>67</v>
      </c>
      <c r="D10">
        <v>1</v>
      </c>
      <c r="E10">
        <v>1</v>
      </c>
      <c r="F10">
        <v>1</v>
      </c>
      <c r="G10">
        <v>0</v>
      </c>
    </row>
    <row r="11" spans="1:7" ht="208" x14ac:dyDescent="0.2">
      <c r="A11" s="1">
        <v>65</v>
      </c>
      <c r="B11" s="3" t="s">
        <v>4</v>
      </c>
      <c r="C11" s="3" t="s">
        <v>83</v>
      </c>
      <c r="D11">
        <v>1</v>
      </c>
      <c r="E11">
        <v>1</v>
      </c>
      <c r="F11">
        <v>1</v>
      </c>
      <c r="G11">
        <v>0</v>
      </c>
    </row>
    <row r="12" spans="1:7" ht="320" x14ac:dyDescent="0.2">
      <c r="A12" s="1">
        <v>3</v>
      </c>
      <c r="B12" s="3" t="s">
        <v>8</v>
      </c>
      <c r="C12" s="3" t="s">
        <v>9</v>
      </c>
      <c r="D12">
        <v>1</v>
      </c>
      <c r="E12">
        <v>1</v>
      </c>
      <c r="F12">
        <v>1</v>
      </c>
      <c r="G12">
        <v>0</v>
      </c>
    </row>
    <row r="13" spans="1:7" ht="409.6" x14ac:dyDescent="0.2">
      <c r="A13" s="1">
        <v>19</v>
      </c>
      <c r="B13" s="3" t="s">
        <v>8</v>
      </c>
      <c r="C13" s="3" t="s">
        <v>37</v>
      </c>
      <c r="D13">
        <v>1</v>
      </c>
      <c r="E13">
        <v>1</v>
      </c>
      <c r="F13">
        <v>1</v>
      </c>
      <c r="G13">
        <v>0</v>
      </c>
    </row>
    <row r="14" spans="1:7" ht="409.6" x14ac:dyDescent="0.2">
      <c r="A14" s="1">
        <v>35</v>
      </c>
      <c r="B14" s="3" t="s">
        <v>8</v>
      </c>
      <c r="C14" s="3" t="s">
        <v>53</v>
      </c>
      <c r="D14">
        <v>1</v>
      </c>
      <c r="E14">
        <v>1</v>
      </c>
      <c r="F14">
        <v>1</v>
      </c>
      <c r="G14">
        <v>0</v>
      </c>
    </row>
    <row r="15" spans="1:7" ht="409.6" x14ac:dyDescent="0.2">
      <c r="A15" s="1">
        <v>51</v>
      </c>
      <c r="B15" s="3" t="s">
        <v>8</v>
      </c>
      <c r="C15" s="3" t="s">
        <v>69</v>
      </c>
      <c r="D15">
        <v>1</v>
      </c>
      <c r="E15">
        <v>1</v>
      </c>
      <c r="F15">
        <v>1</v>
      </c>
      <c r="G15">
        <v>0</v>
      </c>
    </row>
    <row r="16" spans="1:7" ht="176" x14ac:dyDescent="0.2">
      <c r="A16" s="1">
        <v>67</v>
      </c>
      <c r="B16" s="3" t="s">
        <v>8</v>
      </c>
      <c r="C16" s="3" t="s">
        <v>84</v>
      </c>
      <c r="D16">
        <v>1</v>
      </c>
      <c r="E16">
        <v>1</v>
      </c>
      <c r="F16">
        <v>1</v>
      </c>
      <c r="G16">
        <v>0</v>
      </c>
    </row>
    <row r="17" spans="1:7" ht="409.6" x14ac:dyDescent="0.2">
      <c r="A17" s="1">
        <v>5</v>
      </c>
      <c r="B17" s="3" t="s">
        <v>12</v>
      </c>
      <c r="C17" s="3" t="s">
        <v>13</v>
      </c>
      <c r="D17">
        <v>1</v>
      </c>
      <c r="E17">
        <v>1</v>
      </c>
      <c r="F17">
        <v>1</v>
      </c>
      <c r="G17">
        <v>0</v>
      </c>
    </row>
    <row r="18" spans="1:7" ht="409.6" x14ac:dyDescent="0.2">
      <c r="A18" s="1">
        <v>21</v>
      </c>
      <c r="B18" s="3" t="s">
        <v>12</v>
      </c>
      <c r="C18" s="3" t="s">
        <v>39</v>
      </c>
      <c r="D18">
        <v>1</v>
      </c>
      <c r="E18">
        <v>1</v>
      </c>
      <c r="F18">
        <v>1</v>
      </c>
      <c r="G18">
        <v>0</v>
      </c>
    </row>
    <row r="19" spans="1:7" ht="409.6" x14ac:dyDescent="0.2">
      <c r="A19" s="1">
        <v>37</v>
      </c>
      <c r="B19" s="3" t="s">
        <v>12</v>
      </c>
      <c r="C19" s="3" t="s">
        <v>55</v>
      </c>
      <c r="D19">
        <v>1</v>
      </c>
      <c r="E19">
        <v>1</v>
      </c>
      <c r="F19">
        <v>1</v>
      </c>
      <c r="G19">
        <v>0</v>
      </c>
    </row>
    <row r="20" spans="1:7" ht="224" x14ac:dyDescent="0.2">
      <c r="A20" s="1">
        <v>53</v>
      </c>
      <c r="B20" s="3" t="s">
        <v>12</v>
      </c>
      <c r="C20" s="3" t="s">
        <v>71</v>
      </c>
      <c r="D20">
        <v>1</v>
      </c>
      <c r="E20">
        <v>1</v>
      </c>
      <c r="F20">
        <v>1</v>
      </c>
      <c r="G20">
        <v>0</v>
      </c>
    </row>
    <row r="21" spans="1:7" ht="365" x14ac:dyDescent="0.2">
      <c r="A21" s="1">
        <v>69</v>
      </c>
      <c r="B21" s="3" t="s">
        <v>12</v>
      </c>
      <c r="C21" s="3" t="s">
        <v>86</v>
      </c>
      <c r="D21">
        <v>1</v>
      </c>
      <c r="E21">
        <v>1</v>
      </c>
      <c r="F21">
        <v>1</v>
      </c>
      <c r="G21">
        <v>0</v>
      </c>
    </row>
    <row r="22" spans="1:7" ht="409.6" x14ac:dyDescent="0.2">
      <c r="A22" s="1">
        <v>4</v>
      </c>
      <c r="B22" s="3" t="s">
        <v>10</v>
      </c>
      <c r="C22" s="3" t="s">
        <v>11</v>
      </c>
      <c r="D22">
        <v>1</v>
      </c>
      <c r="E22">
        <v>1</v>
      </c>
      <c r="F22">
        <v>1</v>
      </c>
      <c r="G22">
        <v>0</v>
      </c>
    </row>
    <row r="23" spans="1:7" ht="350" x14ac:dyDescent="0.2">
      <c r="A23" s="1">
        <v>20</v>
      </c>
      <c r="B23" s="3" t="s">
        <v>10</v>
      </c>
      <c r="C23" s="3" t="s">
        <v>38</v>
      </c>
      <c r="D23">
        <v>1</v>
      </c>
      <c r="E23">
        <v>1</v>
      </c>
      <c r="F23">
        <v>1</v>
      </c>
      <c r="G23">
        <v>0</v>
      </c>
    </row>
    <row r="24" spans="1:7" ht="409.6" x14ac:dyDescent="0.2">
      <c r="A24" s="1">
        <v>36</v>
      </c>
      <c r="B24" s="3" t="s">
        <v>10</v>
      </c>
      <c r="C24" s="3" t="s">
        <v>54</v>
      </c>
      <c r="D24">
        <v>1</v>
      </c>
      <c r="E24">
        <v>1</v>
      </c>
      <c r="F24">
        <v>1</v>
      </c>
      <c r="G24">
        <v>0</v>
      </c>
    </row>
    <row r="25" spans="1:7" ht="272" x14ac:dyDescent="0.2">
      <c r="A25" s="1">
        <v>52</v>
      </c>
      <c r="B25" s="3" t="s">
        <v>10</v>
      </c>
      <c r="C25" s="3" t="s">
        <v>70</v>
      </c>
      <c r="D25">
        <v>1</v>
      </c>
      <c r="E25">
        <v>1</v>
      </c>
      <c r="F25">
        <v>1</v>
      </c>
      <c r="G25">
        <v>0</v>
      </c>
    </row>
    <row r="26" spans="1:7" ht="350" x14ac:dyDescent="0.2">
      <c r="A26" s="1">
        <v>68</v>
      </c>
      <c r="B26" s="3" t="s">
        <v>10</v>
      </c>
      <c r="C26" s="3" t="s">
        <v>85</v>
      </c>
      <c r="D26">
        <v>1</v>
      </c>
      <c r="E26">
        <v>1</v>
      </c>
      <c r="F26">
        <v>1</v>
      </c>
      <c r="G26">
        <v>0</v>
      </c>
    </row>
    <row r="27" spans="1:7" ht="128" x14ac:dyDescent="0.2">
      <c r="A27" s="1">
        <v>11</v>
      </c>
      <c r="B27" s="3" t="s">
        <v>24</v>
      </c>
      <c r="C27" s="3" t="s">
        <v>25</v>
      </c>
      <c r="D27">
        <v>1</v>
      </c>
      <c r="E27">
        <v>1</v>
      </c>
      <c r="F27">
        <v>1</v>
      </c>
      <c r="G27">
        <v>0</v>
      </c>
    </row>
    <row r="28" spans="1:7" ht="160" x14ac:dyDescent="0.2">
      <c r="A28" s="1">
        <v>27</v>
      </c>
      <c r="B28" s="3" t="s">
        <v>24</v>
      </c>
      <c r="C28" s="3" t="s">
        <v>45</v>
      </c>
      <c r="D28">
        <v>1</v>
      </c>
      <c r="E28">
        <v>1</v>
      </c>
      <c r="F28">
        <v>1</v>
      </c>
      <c r="G28">
        <v>0</v>
      </c>
    </row>
    <row r="29" spans="1:7" ht="256" x14ac:dyDescent="0.2">
      <c r="A29" s="1">
        <v>43</v>
      </c>
      <c r="B29" s="3" t="s">
        <v>24</v>
      </c>
      <c r="C29" s="3" t="s">
        <v>61</v>
      </c>
      <c r="D29">
        <v>1</v>
      </c>
      <c r="E29">
        <v>1</v>
      </c>
      <c r="F29">
        <v>1</v>
      </c>
      <c r="G29">
        <v>0</v>
      </c>
    </row>
    <row r="30" spans="1:7" ht="128" x14ac:dyDescent="0.2">
      <c r="A30" s="1">
        <v>59</v>
      </c>
      <c r="B30" s="3" t="s">
        <v>24</v>
      </c>
      <c r="C30" s="3" t="s">
        <v>77</v>
      </c>
      <c r="D30">
        <v>1</v>
      </c>
      <c r="E30">
        <v>1</v>
      </c>
      <c r="F30">
        <v>1</v>
      </c>
      <c r="G30">
        <v>0</v>
      </c>
    </row>
    <row r="31" spans="1:7" ht="160" x14ac:dyDescent="0.2">
      <c r="A31" s="1">
        <v>75</v>
      </c>
      <c r="B31" s="3" t="s">
        <v>24</v>
      </c>
      <c r="C31" s="3" t="s">
        <v>91</v>
      </c>
      <c r="D31">
        <v>1</v>
      </c>
      <c r="E31">
        <v>1</v>
      </c>
      <c r="F31">
        <v>1</v>
      </c>
      <c r="G31">
        <v>0</v>
      </c>
    </row>
    <row r="32" spans="1:7" ht="304" x14ac:dyDescent="0.2">
      <c r="A32" s="1">
        <v>6</v>
      </c>
      <c r="B32" s="3" t="s">
        <v>14</v>
      </c>
      <c r="C32" s="3" t="s">
        <v>15</v>
      </c>
      <c r="D32">
        <v>1</v>
      </c>
      <c r="E32">
        <v>1</v>
      </c>
      <c r="F32">
        <v>1</v>
      </c>
      <c r="G32">
        <v>0</v>
      </c>
    </row>
    <row r="33" spans="1:7" ht="272" x14ac:dyDescent="0.2">
      <c r="A33" s="1">
        <v>22</v>
      </c>
      <c r="B33" s="3" t="s">
        <v>14</v>
      </c>
      <c r="C33" s="3" t="s">
        <v>40</v>
      </c>
      <c r="D33">
        <v>1</v>
      </c>
      <c r="E33">
        <v>1</v>
      </c>
      <c r="F33">
        <v>1</v>
      </c>
      <c r="G33">
        <v>0</v>
      </c>
    </row>
    <row r="34" spans="1:7" ht="256" x14ac:dyDescent="0.2">
      <c r="A34" s="1">
        <v>38</v>
      </c>
      <c r="B34" s="3" t="s">
        <v>14</v>
      </c>
      <c r="C34" s="3" t="s">
        <v>56</v>
      </c>
      <c r="D34">
        <v>1</v>
      </c>
      <c r="E34">
        <v>1</v>
      </c>
      <c r="F34">
        <v>1</v>
      </c>
      <c r="G34">
        <v>0</v>
      </c>
    </row>
    <row r="35" spans="1:7" ht="350" x14ac:dyDescent="0.2">
      <c r="A35" s="1">
        <v>54</v>
      </c>
      <c r="B35" s="3" t="s">
        <v>14</v>
      </c>
      <c r="C35" s="3" t="s">
        <v>72</v>
      </c>
      <c r="D35">
        <v>1</v>
      </c>
      <c r="E35">
        <v>1</v>
      </c>
      <c r="F35">
        <v>1</v>
      </c>
      <c r="G35">
        <v>0</v>
      </c>
    </row>
    <row r="36" spans="1:7" ht="304" x14ac:dyDescent="0.2">
      <c r="A36" s="1">
        <v>70</v>
      </c>
      <c r="B36" s="3" t="s">
        <v>14</v>
      </c>
      <c r="C36" s="3" t="s">
        <v>15</v>
      </c>
      <c r="D36">
        <v>1</v>
      </c>
      <c r="E36">
        <v>1</v>
      </c>
      <c r="F36">
        <v>1</v>
      </c>
      <c r="G36">
        <v>0</v>
      </c>
    </row>
    <row r="37" spans="1:7" ht="64" x14ac:dyDescent="0.2">
      <c r="A37" s="1">
        <v>8</v>
      </c>
      <c r="B37" s="3" t="s">
        <v>18</v>
      </c>
      <c r="C37" s="3" t="s">
        <v>19</v>
      </c>
      <c r="D37">
        <v>0</v>
      </c>
      <c r="E37">
        <v>0</v>
      </c>
      <c r="F37">
        <v>0</v>
      </c>
      <c r="G37">
        <v>0</v>
      </c>
    </row>
    <row r="38" spans="1:7" ht="409.6" x14ac:dyDescent="0.2">
      <c r="A38" s="1">
        <v>24</v>
      </c>
      <c r="B38" s="3" t="s">
        <v>18</v>
      </c>
      <c r="C38" s="3" t="s">
        <v>42</v>
      </c>
      <c r="D38">
        <v>1</v>
      </c>
      <c r="E38">
        <v>1</v>
      </c>
      <c r="F38">
        <v>1</v>
      </c>
      <c r="G38">
        <v>0</v>
      </c>
    </row>
    <row r="39" spans="1:7" ht="409.6" x14ac:dyDescent="0.2">
      <c r="A39" s="1">
        <v>40</v>
      </c>
      <c r="B39" s="3" t="s">
        <v>18</v>
      </c>
      <c r="C39" s="3" t="s">
        <v>58</v>
      </c>
      <c r="D39">
        <v>1</v>
      </c>
      <c r="E39">
        <v>1</v>
      </c>
      <c r="F39">
        <v>1</v>
      </c>
      <c r="G39">
        <v>0</v>
      </c>
    </row>
    <row r="40" spans="1:7" ht="409.6" x14ac:dyDescent="0.2">
      <c r="A40" s="1">
        <v>56</v>
      </c>
      <c r="B40" s="3" t="s">
        <v>18</v>
      </c>
      <c r="C40" s="3" t="s">
        <v>74</v>
      </c>
      <c r="D40">
        <v>1</v>
      </c>
      <c r="E40">
        <v>1</v>
      </c>
      <c r="F40">
        <v>1</v>
      </c>
      <c r="G40">
        <v>0</v>
      </c>
    </row>
    <row r="41" spans="1:7" ht="409.6" x14ac:dyDescent="0.2">
      <c r="A41" s="1">
        <v>72</v>
      </c>
      <c r="B41" s="3" t="s">
        <v>18</v>
      </c>
      <c r="C41" s="3" t="s">
        <v>88</v>
      </c>
      <c r="D41">
        <v>1</v>
      </c>
      <c r="E41">
        <v>1</v>
      </c>
      <c r="F41">
        <v>1</v>
      </c>
      <c r="G41">
        <v>0</v>
      </c>
    </row>
    <row r="42" spans="1:7" ht="409.6" x14ac:dyDescent="0.2">
      <c r="A42" s="1">
        <v>10</v>
      </c>
      <c r="B42" s="3" t="s">
        <v>22</v>
      </c>
      <c r="C42" s="4" t="s">
        <v>23</v>
      </c>
      <c r="D42">
        <v>0</v>
      </c>
      <c r="E42">
        <v>0</v>
      </c>
      <c r="F42">
        <v>0</v>
      </c>
      <c r="G42">
        <v>1</v>
      </c>
    </row>
    <row r="43" spans="1:7" ht="409.6" x14ac:dyDescent="0.2">
      <c r="A43" s="1">
        <v>26</v>
      </c>
      <c r="B43" s="3" t="s">
        <v>22</v>
      </c>
      <c r="C43" s="4" t="s">
        <v>44</v>
      </c>
      <c r="D43">
        <v>0</v>
      </c>
      <c r="E43">
        <v>0</v>
      </c>
      <c r="F43">
        <v>0</v>
      </c>
      <c r="G43">
        <v>1</v>
      </c>
    </row>
    <row r="44" spans="1:7" ht="409.6" x14ac:dyDescent="0.2">
      <c r="A44" s="1">
        <v>42</v>
      </c>
      <c r="B44" s="3" t="s">
        <v>22</v>
      </c>
      <c r="C44" s="4" t="s">
        <v>60</v>
      </c>
      <c r="D44">
        <v>0</v>
      </c>
      <c r="E44">
        <v>0</v>
      </c>
      <c r="F44">
        <v>0</v>
      </c>
      <c r="G44">
        <v>1</v>
      </c>
    </row>
    <row r="45" spans="1:7" ht="409.6" x14ac:dyDescent="0.2">
      <c r="A45" s="1">
        <v>58</v>
      </c>
      <c r="B45" s="3" t="s">
        <v>22</v>
      </c>
      <c r="C45" s="4" t="s">
        <v>76</v>
      </c>
      <c r="D45">
        <v>0</v>
      </c>
      <c r="E45">
        <v>0</v>
      </c>
      <c r="F45">
        <v>0</v>
      </c>
      <c r="G45">
        <v>1</v>
      </c>
    </row>
    <row r="46" spans="1:7" ht="409.6" x14ac:dyDescent="0.2">
      <c r="A46" s="1">
        <v>74</v>
      </c>
      <c r="B46" s="3" t="s">
        <v>22</v>
      </c>
      <c r="C46" s="4" t="s">
        <v>90</v>
      </c>
      <c r="D46">
        <v>0</v>
      </c>
      <c r="E46">
        <v>0</v>
      </c>
      <c r="F46">
        <v>0</v>
      </c>
      <c r="G46">
        <v>1</v>
      </c>
    </row>
    <row r="47" spans="1:7" ht="409.6" x14ac:dyDescent="0.2">
      <c r="A47" s="1">
        <v>7</v>
      </c>
      <c r="B47" s="3" t="s">
        <v>16</v>
      </c>
      <c r="C47" s="3" t="s">
        <v>17</v>
      </c>
      <c r="D47">
        <v>1</v>
      </c>
      <c r="E47">
        <v>1</v>
      </c>
      <c r="F47">
        <v>1</v>
      </c>
      <c r="G47">
        <v>0</v>
      </c>
    </row>
    <row r="48" spans="1:7" ht="409.6" x14ac:dyDescent="0.2">
      <c r="A48" s="1">
        <v>23</v>
      </c>
      <c r="B48" s="3" t="s">
        <v>16</v>
      </c>
      <c r="C48" s="3" t="s">
        <v>41</v>
      </c>
      <c r="D48">
        <v>1</v>
      </c>
      <c r="E48">
        <v>1</v>
      </c>
      <c r="F48">
        <v>1</v>
      </c>
      <c r="G48">
        <v>0</v>
      </c>
    </row>
    <row r="49" spans="1:7" ht="320" x14ac:dyDescent="0.2">
      <c r="A49" s="1">
        <v>39</v>
      </c>
      <c r="B49" s="3" t="s">
        <v>16</v>
      </c>
      <c r="C49" s="3" t="s">
        <v>57</v>
      </c>
      <c r="D49">
        <v>1</v>
      </c>
      <c r="E49">
        <v>1</v>
      </c>
      <c r="F49">
        <v>1</v>
      </c>
      <c r="G49">
        <v>0</v>
      </c>
    </row>
    <row r="50" spans="1:7" ht="409.6" x14ac:dyDescent="0.2">
      <c r="A50" s="1">
        <v>55</v>
      </c>
      <c r="B50" s="3" t="s">
        <v>16</v>
      </c>
      <c r="C50" s="3" t="s">
        <v>73</v>
      </c>
      <c r="D50">
        <v>1</v>
      </c>
      <c r="E50">
        <v>1</v>
      </c>
      <c r="F50">
        <v>1</v>
      </c>
      <c r="G50">
        <v>0</v>
      </c>
    </row>
    <row r="51" spans="1:7" ht="409.6" x14ac:dyDescent="0.2">
      <c r="A51" s="1">
        <v>71</v>
      </c>
      <c r="B51" s="3" t="s">
        <v>16</v>
      </c>
      <c r="C51" s="3" t="s">
        <v>87</v>
      </c>
      <c r="D51">
        <v>1</v>
      </c>
      <c r="E51">
        <v>1</v>
      </c>
      <c r="F51">
        <v>1</v>
      </c>
      <c r="G51">
        <v>0</v>
      </c>
    </row>
    <row r="52" spans="1:7" ht="409.6" x14ac:dyDescent="0.2">
      <c r="A52" s="1">
        <v>14</v>
      </c>
      <c r="B52" s="3" t="s">
        <v>30</v>
      </c>
      <c r="C52" s="3" t="s">
        <v>31</v>
      </c>
      <c r="D52">
        <v>1</v>
      </c>
      <c r="E52">
        <v>1</v>
      </c>
      <c r="F52">
        <v>1</v>
      </c>
      <c r="G52">
        <v>0</v>
      </c>
    </row>
    <row r="53" spans="1:7" ht="380" x14ac:dyDescent="0.2">
      <c r="A53" s="1">
        <v>30</v>
      </c>
      <c r="B53" s="3" t="s">
        <v>30</v>
      </c>
      <c r="C53" s="3" t="s">
        <v>48</v>
      </c>
      <c r="D53">
        <v>1</v>
      </c>
      <c r="E53">
        <v>1</v>
      </c>
      <c r="F53">
        <v>1</v>
      </c>
      <c r="G53">
        <v>0</v>
      </c>
    </row>
    <row r="54" spans="1:7" ht="409.6" x14ac:dyDescent="0.2">
      <c r="A54" s="1">
        <v>46</v>
      </c>
      <c r="B54" s="3" t="s">
        <v>30</v>
      </c>
      <c r="C54" s="3" t="s">
        <v>64</v>
      </c>
      <c r="D54">
        <v>1</v>
      </c>
      <c r="E54">
        <v>1</v>
      </c>
      <c r="F54">
        <v>1</v>
      </c>
      <c r="G54">
        <v>0</v>
      </c>
    </row>
    <row r="55" spans="1:7" ht="256" x14ac:dyDescent="0.2">
      <c r="A55" s="1">
        <v>62</v>
      </c>
      <c r="B55" s="3" t="s">
        <v>30</v>
      </c>
      <c r="C55" s="3" t="s">
        <v>80</v>
      </c>
      <c r="D55">
        <v>1</v>
      </c>
      <c r="E55">
        <v>1</v>
      </c>
      <c r="F55">
        <v>1</v>
      </c>
      <c r="G55">
        <v>0</v>
      </c>
    </row>
    <row r="56" spans="1:7" ht="176" x14ac:dyDescent="0.2">
      <c r="A56" s="1">
        <v>78</v>
      </c>
      <c r="B56" s="3" t="s">
        <v>30</v>
      </c>
      <c r="C56" s="3" t="s">
        <v>94</v>
      </c>
      <c r="D56">
        <v>1</v>
      </c>
      <c r="E56">
        <v>1</v>
      </c>
      <c r="F56">
        <v>1</v>
      </c>
      <c r="G56">
        <v>0</v>
      </c>
    </row>
    <row r="57" spans="1:7" ht="409.6" x14ac:dyDescent="0.2">
      <c r="A57" s="1">
        <v>15</v>
      </c>
      <c r="B57" s="3" t="s">
        <v>32</v>
      </c>
      <c r="C57" s="3" t="s">
        <v>33</v>
      </c>
      <c r="D57">
        <v>1</v>
      </c>
      <c r="E57">
        <v>1</v>
      </c>
      <c r="F57">
        <v>1</v>
      </c>
      <c r="G57">
        <v>0</v>
      </c>
    </row>
    <row r="58" spans="1:7" ht="409.6" x14ac:dyDescent="0.2">
      <c r="A58" s="1">
        <v>31</v>
      </c>
      <c r="B58" s="3" t="s">
        <v>32</v>
      </c>
      <c r="C58" s="3" t="s">
        <v>49</v>
      </c>
      <c r="D58">
        <v>1</v>
      </c>
      <c r="E58">
        <v>1</v>
      </c>
      <c r="F58">
        <v>1</v>
      </c>
      <c r="G58">
        <v>0</v>
      </c>
    </row>
    <row r="59" spans="1:7" ht="409.6" x14ac:dyDescent="0.2">
      <c r="A59" s="1">
        <v>47</v>
      </c>
      <c r="B59" s="3" t="s">
        <v>32</v>
      </c>
      <c r="C59" s="3" t="s">
        <v>65</v>
      </c>
      <c r="D59">
        <v>1</v>
      </c>
      <c r="E59">
        <v>1</v>
      </c>
      <c r="F59">
        <v>1</v>
      </c>
      <c r="G59">
        <v>0</v>
      </c>
    </row>
    <row r="60" spans="1:7" ht="409.6" x14ac:dyDescent="0.2">
      <c r="A60" s="1">
        <v>63</v>
      </c>
      <c r="B60" s="3" t="s">
        <v>32</v>
      </c>
      <c r="C60" s="3" t="s">
        <v>81</v>
      </c>
      <c r="D60">
        <v>1</v>
      </c>
      <c r="E60">
        <v>1</v>
      </c>
      <c r="F60">
        <v>1</v>
      </c>
      <c r="G60">
        <v>0</v>
      </c>
    </row>
    <row r="61" spans="1:7" ht="409.6" x14ac:dyDescent="0.2">
      <c r="A61" s="1">
        <v>79</v>
      </c>
      <c r="B61" s="3" t="s">
        <v>32</v>
      </c>
      <c r="C61" s="3" t="s">
        <v>95</v>
      </c>
      <c r="D61">
        <v>1</v>
      </c>
      <c r="E61">
        <v>1</v>
      </c>
      <c r="F61">
        <v>1</v>
      </c>
      <c r="G61">
        <v>0</v>
      </c>
    </row>
    <row r="62" spans="1:7" ht="409.6" x14ac:dyDescent="0.2">
      <c r="A62" s="1">
        <v>13</v>
      </c>
      <c r="B62" s="3" t="s">
        <v>28</v>
      </c>
      <c r="C62" s="3" t="s">
        <v>29</v>
      </c>
      <c r="D62">
        <v>1</v>
      </c>
      <c r="E62">
        <v>1</v>
      </c>
      <c r="F62">
        <v>1</v>
      </c>
      <c r="G62">
        <v>0</v>
      </c>
    </row>
    <row r="63" spans="1:7" ht="409.6" x14ac:dyDescent="0.2">
      <c r="A63" s="1">
        <v>29</v>
      </c>
      <c r="B63" s="3" t="s">
        <v>28</v>
      </c>
      <c r="C63" s="3" t="s">
        <v>47</v>
      </c>
      <c r="D63">
        <v>1</v>
      </c>
      <c r="E63">
        <v>1</v>
      </c>
      <c r="F63">
        <v>1</v>
      </c>
      <c r="G63">
        <v>0</v>
      </c>
    </row>
    <row r="64" spans="1:7" ht="409.6" x14ac:dyDescent="0.2">
      <c r="A64" s="1">
        <v>45</v>
      </c>
      <c r="B64" s="3" t="s">
        <v>28</v>
      </c>
      <c r="C64" s="3" t="s">
        <v>63</v>
      </c>
      <c r="D64">
        <v>1</v>
      </c>
      <c r="E64">
        <v>1</v>
      </c>
      <c r="F64">
        <v>1</v>
      </c>
      <c r="G64">
        <v>0</v>
      </c>
    </row>
    <row r="65" spans="1:7" ht="409.6" x14ac:dyDescent="0.2">
      <c r="A65" s="1">
        <v>61</v>
      </c>
      <c r="B65" s="3" t="s">
        <v>28</v>
      </c>
      <c r="C65" s="3" t="s">
        <v>79</v>
      </c>
      <c r="D65">
        <v>1</v>
      </c>
      <c r="E65">
        <v>1</v>
      </c>
      <c r="F65">
        <v>1</v>
      </c>
      <c r="G65">
        <v>0</v>
      </c>
    </row>
    <row r="66" spans="1:7" ht="409.6" x14ac:dyDescent="0.2">
      <c r="A66" s="1">
        <v>77</v>
      </c>
      <c r="B66" s="3" t="s">
        <v>28</v>
      </c>
      <c r="C66" s="3" t="s">
        <v>93</v>
      </c>
      <c r="D66">
        <v>1</v>
      </c>
      <c r="E66">
        <v>1</v>
      </c>
      <c r="F66">
        <v>1</v>
      </c>
      <c r="G66">
        <v>0</v>
      </c>
    </row>
    <row r="67" spans="1:7" ht="350" x14ac:dyDescent="0.2">
      <c r="A67" s="1">
        <v>12</v>
      </c>
      <c r="B67" s="3" t="s">
        <v>26</v>
      </c>
      <c r="C67" s="3" t="s">
        <v>27</v>
      </c>
      <c r="D67">
        <v>1</v>
      </c>
      <c r="E67">
        <v>1</v>
      </c>
      <c r="F67">
        <v>1</v>
      </c>
      <c r="G67">
        <v>0</v>
      </c>
    </row>
    <row r="68" spans="1:7" ht="128" x14ac:dyDescent="0.2">
      <c r="A68" s="1">
        <v>28</v>
      </c>
      <c r="B68" s="3" t="s">
        <v>26</v>
      </c>
      <c r="C68" s="3" t="s">
        <v>46</v>
      </c>
      <c r="D68">
        <v>1</v>
      </c>
      <c r="E68">
        <v>1</v>
      </c>
      <c r="F68">
        <v>1</v>
      </c>
      <c r="G68">
        <v>0</v>
      </c>
    </row>
    <row r="69" spans="1:7" ht="409.6" x14ac:dyDescent="0.2">
      <c r="A69" s="1">
        <v>44</v>
      </c>
      <c r="B69" s="3" t="s">
        <v>26</v>
      </c>
      <c r="C69" s="3" t="s">
        <v>62</v>
      </c>
      <c r="D69">
        <v>1</v>
      </c>
      <c r="E69">
        <v>1</v>
      </c>
      <c r="F69">
        <v>1</v>
      </c>
      <c r="G69">
        <v>0</v>
      </c>
    </row>
    <row r="70" spans="1:7" ht="409.6" x14ac:dyDescent="0.2">
      <c r="A70" s="1">
        <v>60</v>
      </c>
      <c r="B70" s="3" t="s">
        <v>26</v>
      </c>
      <c r="C70" s="3" t="s">
        <v>78</v>
      </c>
      <c r="D70">
        <v>1</v>
      </c>
      <c r="E70">
        <v>1</v>
      </c>
      <c r="F70">
        <v>1</v>
      </c>
      <c r="G70">
        <v>0</v>
      </c>
    </row>
    <row r="71" spans="1:7" ht="409.6" x14ac:dyDescent="0.2">
      <c r="A71" s="1">
        <v>76</v>
      </c>
      <c r="B71" s="3" t="s">
        <v>26</v>
      </c>
      <c r="C71" s="3" t="s">
        <v>92</v>
      </c>
      <c r="D71">
        <v>1</v>
      </c>
      <c r="E71">
        <v>1</v>
      </c>
      <c r="F71">
        <v>1</v>
      </c>
      <c r="G71">
        <v>0</v>
      </c>
    </row>
    <row r="72" spans="1:7" ht="335" x14ac:dyDescent="0.2">
      <c r="A72" s="1">
        <v>2</v>
      </c>
      <c r="B72" s="3" t="s">
        <v>6</v>
      </c>
      <c r="C72" s="3" t="s">
        <v>7</v>
      </c>
      <c r="D72">
        <v>1</v>
      </c>
      <c r="E72">
        <v>1</v>
      </c>
      <c r="F72">
        <v>1</v>
      </c>
      <c r="G72">
        <v>0</v>
      </c>
    </row>
    <row r="73" spans="1:7" ht="409.6" x14ac:dyDescent="0.2">
      <c r="A73" s="1">
        <v>18</v>
      </c>
      <c r="B73" s="3" t="s">
        <v>6</v>
      </c>
      <c r="C73" s="3" t="s">
        <v>36</v>
      </c>
      <c r="D73">
        <v>1</v>
      </c>
      <c r="E73">
        <v>1</v>
      </c>
      <c r="F73">
        <v>1</v>
      </c>
      <c r="G73">
        <v>0</v>
      </c>
    </row>
    <row r="74" spans="1:7" ht="96" x14ac:dyDescent="0.2">
      <c r="A74" s="1">
        <v>34</v>
      </c>
      <c r="B74" s="3" t="s">
        <v>6</v>
      </c>
      <c r="C74" s="3" t="s">
        <v>52</v>
      </c>
      <c r="D74">
        <v>1</v>
      </c>
      <c r="E74">
        <v>1</v>
      </c>
      <c r="F74">
        <v>1</v>
      </c>
      <c r="G74">
        <v>0</v>
      </c>
    </row>
    <row r="75" spans="1:7" ht="96" x14ac:dyDescent="0.2">
      <c r="A75" s="1">
        <v>50</v>
      </c>
      <c r="B75" s="3" t="s">
        <v>6</v>
      </c>
      <c r="C75" s="3" t="s">
        <v>68</v>
      </c>
      <c r="D75">
        <v>1</v>
      </c>
      <c r="E75">
        <v>1</v>
      </c>
      <c r="F75">
        <v>1</v>
      </c>
      <c r="G75">
        <v>0</v>
      </c>
    </row>
    <row r="76" spans="1:7" ht="96" x14ac:dyDescent="0.2">
      <c r="A76" s="1">
        <v>66</v>
      </c>
      <c r="B76" s="3" t="s">
        <v>6</v>
      </c>
      <c r="C76" s="3" t="s">
        <v>52</v>
      </c>
      <c r="D76">
        <v>1</v>
      </c>
      <c r="E76">
        <v>1</v>
      </c>
      <c r="F76">
        <v>1</v>
      </c>
      <c r="G76">
        <v>0</v>
      </c>
    </row>
    <row r="77" spans="1:7" ht="409.6" x14ac:dyDescent="0.2">
      <c r="A77" s="1">
        <v>9</v>
      </c>
      <c r="B77" s="3" t="s">
        <v>20</v>
      </c>
      <c r="C77" s="3" t="s">
        <v>21</v>
      </c>
      <c r="D77">
        <v>1</v>
      </c>
      <c r="E77">
        <v>1</v>
      </c>
      <c r="F77">
        <v>1</v>
      </c>
      <c r="G77">
        <v>0</v>
      </c>
    </row>
    <row r="78" spans="1:7" ht="409.6" x14ac:dyDescent="0.2">
      <c r="A78" s="1">
        <v>25</v>
      </c>
      <c r="B78" s="3" t="s">
        <v>20</v>
      </c>
      <c r="C78" s="3" t="s">
        <v>43</v>
      </c>
      <c r="D78">
        <v>1</v>
      </c>
      <c r="E78">
        <v>1</v>
      </c>
      <c r="F78">
        <v>1</v>
      </c>
      <c r="G78">
        <v>0</v>
      </c>
    </row>
    <row r="79" spans="1:7" ht="409.6" x14ac:dyDescent="0.2">
      <c r="A79" s="1">
        <v>41</v>
      </c>
      <c r="B79" s="3" t="s">
        <v>20</v>
      </c>
      <c r="C79" s="3" t="s">
        <v>59</v>
      </c>
      <c r="D79">
        <v>1</v>
      </c>
      <c r="E79">
        <v>1</v>
      </c>
      <c r="F79">
        <v>1</v>
      </c>
      <c r="G79">
        <v>0</v>
      </c>
    </row>
    <row r="80" spans="1:7" ht="409.6" x14ac:dyDescent="0.2">
      <c r="A80" s="1">
        <v>57</v>
      </c>
      <c r="B80" s="3" t="s">
        <v>20</v>
      </c>
      <c r="C80" s="3" t="s">
        <v>75</v>
      </c>
      <c r="D80">
        <v>1</v>
      </c>
      <c r="E80">
        <v>1</v>
      </c>
      <c r="F80">
        <v>1</v>
      </c>
      <c r="G80">
        <v>0</v>
      </c>
    </row>
    <row r="81" spans="1:7" ht="409.6" x14ac:dyDescent="0.2">
      <c r="A81" s="1">
        <v>73</v>
      </c>
      <c r="B81" s="3" t="s">
        <v>20</v>
      </c>
      <c r="C81" s="3" t="s">
        <v>89</v>
      </c>
      <c r="D81">
        <v>1</v>
      </c>
      <c r="E81">
        <v>1</v>
      </c>
      <c r="F81">
        <v>1</v>
      </c>
      <c r="G81">
        <v>0</v>
      </c>
    </row>
  </sheetData>
  <sortState xmlns:xlrd2="http://schemas.microsoft.com/office/spreadsheetml/2017/richdata2" ref="A2:G81">
    <sortCondition descending="1" ref="B2:B8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674A-B9AC-C946-9EC6-F52B5053B579}">
  <sheetPr>
    <outlinePr summaryBelow="0" summaryRight="0"/>
  </sheetPr>
  <dimension ref="A1:W994"/>
  <sheetViews>
    <sheetView workbookViewId="0">
      <selection activeCell="B25" sqref="B25"/>
    </sheetView>
  </sheetViews>
  <sheetFormatPr baseColWidth="10" defaultColWidth="12.6640625" defaultRowHeight="15.75" customHeight="1" x14ac:dyDescent="0.2"/>
  <cols>
    <col min="1" max="1" width="15.33203125" style="5" bestFit="1" customWidth="1"/>
    <col min="2" max="2" width="14.83203125" style="5" bestFit="1" customWidth="1"/>
    <col min="3" max="3" width="9.83203125" style="5" customWidth="1"/>
    <col min="4" max="4" width="10" style="5" bestFit="1" customWidth="1"/>
    <col min="5" max="5" width="17" style="5" customWidth="1"/>
    <col min="6" max="16384" width="12.6640625" style="5"/>
  </cols>
  <sheetData>
    <row r="1" spans="1:23" ht="16" x14ac:dyDescent="0.2">
      <c r="A1" s="11" t="s">
        <v>118</v>
      </c>
      <c r="B1" s="10"/>
      <c r="C1" s="10"/>
      <c r="D1" s="10"/>
      <c r="E1" s="10"/>
      <c r="F1" s="6"/>
      <c r="H1" s="6"/>
      <c r="I1" s="6"/>
      <c r="J1" s="6"/>
      <c r="K1" s="6"/>
      <c r="L1" s="6"/>
      <c r="M1" s="6"/>
      <c r="N1" s="6"/>
      <c r="O1" s="6"/>
      <c r="P1" s="6"/>
      <c r="Q1" s="6"/>
      <c r="R1" s="6"/>
      <c r="S1" s="6"/>
      <c r="T1" s="6"/>
      <c r="U1" s="6"/>
      <c r="V1" s="6"/>
      <c r="W1" s="6"/>
    </row>
    <row r="2" spans="1:23" ht="16" x14ac:dyDescent="0.2">
      <c r="A2" s="6"/>
      <c r="B2" s="7"/>
      <c r="C2" s="7"/>
      <c r="D2" s="7"/>
      <c r="E2" s="7"/>
      <c r="F2" s="6"/>
      <c r="H2" s="6"/>
      <c r="I2" s="6"/>
      <c r="J2" s="6"/>
      <c r="K2" s="6"/>
      <c r="L2" s="6"/>
      <c r="M2" s="6"/>
      <c r="N2" s="6"/>
      <c r="O2" s="6"/>
      <c r="P2" s="6"/>
      <c r="Q2" s="6"/>
      <c r="R2" s="6"/>
      <c r="S2" s="6"/>
      <c r="T2" s="6"/>
      <c r="U2" s="6"/>
      <c r="V2" s="6"/>
      <c r="W2" s="6"/>
    </row>
    <row r="3" spans="1:23" ht="16" x14ac:dyDescent="0.2">
      <c r="A3" s="6" t="s">
        <v>117</v>
      </c>
      <c r="C3" s="6" t="s">
        <v>115</v>
      </c>
      <c r="E3" s="6" t="s">
        <v>113</v>
      </c>
      <c r="F3" s="6"/>
      <c r="G3" s="6"/>
      <c r="H3" s="6"/>
      <c r="I3" s="6"/>
      <c r="J3" s="6"/>
      <c r="K3" s="6"/>
      <c r="L3" s="6"/>
      <c r="M3" s="6"/>
      <c r="N3" s="6"/>
      <c r="O3" s="6"/>
      <c r="P3" s="6"/>
      <c r="Q3" s="6"/>
      <c r="R3" s="6"/>
      <c r="S3" s="6"/>
      <c r="T3" s="6"/>
      <c r="U3" s="6"/>
      <c r="V3" s="6"/>
      <c r="W3" s="6"/>
    </row>
    <row r="4" spans="1:23" ht="16" x14ac:dyDescent="0.2">
      <c r="B4" s="24" t="s">
        <v>101</v>
      </c>
      <c r="C4" s="24">
        <v>0</v>
      </c>
      <c r="D4" s="24">
        <v>1</v>
      </c>
      <c r="E4" s="24" t="s">
        <v>100</v>
      </c>
      <c r="F4" s="6"/>
      <c r="G4" s="6"/>
      <c r="H4" s="6"/>
      <c r="I4" s="6"/>
      <c r="J4" s="6"/>
      <c r="K4" s="6"/>
      <c r="L4" s="6"/>
      <c r="M4" s="6"/>
      <c r="N4" s="6"/>
      <c r="O4" s="6"/>
      <c r="P4" s="6"/>
      <c r="Q4" s="6"/>
      <c r="R4" s="6"/>
      <c r="S4" s="6"/>
      <c r="T4" s="6"/>
      <c r="U4" s="6"/>
      <c r="V4" s="6"/>
      <c r="W4" s="6"/>
    </row>
    <row r="5" spans="1:23" ht="16" x14ac:dyDescent="0.2">
      <c r="A5" s="19" t="s">
        <v>114</v>
      </c>
      <c r="B5" s="8">
        <v>0</v>
      </c>
      <c r="C5" s="25">
        <v>6</v>
      </c>
      <c r="D5" s="25"/>
      <c r="E5" s="25">
        <v>6</v>
      </c>
      <c r="F5" s="6"/>
      <c r="G5" s="6"/>
      <c r="H5" s="6"/>
      <c r="I5" s="6"/>
      <c r="J5" s="6"/>
      <c r="K5" s="6"/>
      <c r="L5" s="6"/>
      <c r="M5" s="6"/>
      <c r="N5" s="6"/>
      <c r="O5" s="6"/>
      <c r="P5" s="6"/>
      <c r="Q5" s="6"/>
      <c r="R5" s="6"/>
      <c r="S5" s="6"/>
      <c r="T5" s="6"/>
      <c r="U5" s="6"/>
      <c r="V5" s="6"/>
      <c r="W5" s="6"/>
    </row>
    <row r="6" spans="1:23" ht="16" x14ac:dyDescent="0.2">
      <c r="B6" s="8">
        <v>1</v>
      </c>
      <c r="C6" s="25"/>
      <c r="D6" s="25">
        <v>74</v>
      </c>
      <c r="E6" s="25">
        <v>74</v>
      </c>
      <c r="F6" s="6"/>
      <c r="G6" s="6"/>
      <c r="H6" s="6"/>
      <c r="I6" s="6"/>
      <c r="J6" s="6"/>
      <c r="K6" s="6"/>
      <c r="L6" s="6"/>
      <c r="M6" s="6"/>
      <c r="N6" s="6"/>
      <c r="O6" s="6"/>
      <c r="P6" s="6"/>
      <c r="Q6" s="6"/>
      <c r="R6" s="6"/>
      <c r="S6" s="6"/>
      <c r="T6" s="6"/>
      <c r="U6" s="6"/>
      <c r="V6" s="6"/>
      <c r="W6" s="6"/>
    </row>
    <row r="7" spans="1:23" ht="16" x14ac:dyDescent="0.2">
      <c r="A7" s="23"/>
      <c r="B7" s="22" t="s">
        <v>100</v>
      </c>
      <c r="C7" s="26">
        <v>6</v>
      </c>
      <c r="D7" s="26">
        <v>74</v>
      </c>
      <c r="E7" s="26">
        <v>80</v>
      </c>
      <c r="H7" s="6"/>
      <c r="I7" s="6"/>
      <c r="J7" s="6"/>
      <c r="K7" s="6"/>
      <c r="L7" s="6"/>
      <c r="M7" s="6"/>
      <c r="N7" s="6"/>
      <c r="O7" s="6"/>
      <c r="P7" s="6"/>
      <c r="Q7" s="6"/>
      <c r="R7" s="6"/>
      <c r="S7" s="6"/>
      <c r="T7" s="6"/>
      <c r="U7" s="6"/>
      <c r="V7" s="6"/>
      <c r="W7" s="6"/>
    </row>
    <row r="8" spans="1:23" ht="16" x14ac:dyDescent="0.2">
      <c r="A8" s="6"/>
      <c r="B8" s="7"/>
      <c r="C8" s="7"/>
      <c r="D8" s="7"/>
      <c r="E8" s="7"/>
      <c r="F8" s="6"/>
      <c r="G8" s="6"/>
      <c r="H8" s="6"/>
      <c r="I8" s="6"/>
      <c r="J8" s="6"/>
      <c r="K8" s="6"/>
      <c r="L8" s="6"/>
      <c r="M8" s="6"/>
      <c r="N8" s="6"/>
      <c r="O8" s="6"/>
      <c r="P8" s="6"/>
      <c r="Q8" s="6"/>
      <c r="R8" s="6"/>
      <c r="S8" s="6"/>
      <c r="T8" s="6"/>
      <c r="U8" s="6"/>
      <c r="V8" s="6"/>
      <c r="W8" s="6"/>
    </row>
    <row r="9" spans="1:23" ht="16" x14ac:dyDescent="0.2">
      <c r="A9" s="11" t="s">
        <v>116</v>
      </c>
      <c r="B9" s="10"/>
      <c r="C9" s="10"/>
      <c r="D9" s="10"/>
      <c r="E9" s="10"/>
      <c r="F9" s="6"/>
      <c r="G9" s="6"/>
      <c r="H9" s="6"/>
      <c r="I9" s="6"/>
      <c r="J9" s="6"/>
      <c r="K9" s="6"/>
      <c r="L9" s="6"/>
      <c r="M9" s="6"/>
      <c r="N9" s="6"/>
      <c r="O9" s="6"/>
      <c r="P9" s="6"/>
      <c r="Q9" s="6"/>
      <c r="R9" s="6"/>
      <c r="S9" s="6"/>
      <c r="T9" s="6"/>
      <c r="U9" s="6"/>
      <c r="V9" s="6"/>
      <c r="W9" s="6"/>
    </row>
    <row r="10" spans="1:23" ht="16" x14ac:dyDescent="0.2">
      <c r="A10" s="6"/>
      <c r="B10" s="7"/>
      <c r="C10" s="7"/>
      <c r="D10" s="7"/>
      <c r="E10" s="7"/>
      <c r="F10" s="6"/>
      <c r="G10" s="6"/>
      <c r="H10" s="6"/>
      <c r="I10" s="6"/>
      <c r="J10" s="6"/>
      <c r="K10" s="6"/>
      <c r="L10" s="6"/>
      <c r="M10" s="6"/>
      <c r="N10" s="6"/>
      <c r="O10" s="6"/>
      <c r="P10" s="6"/>
      <c r="Q10" s="6"/>
      <c r="R10" s="6"/>
      <c r="S10" s="6"/>
      <c r="T10" s="6"/>
      <c r="U10" s="6"/>
      <c r="V10" s="6"/>
      <c r="W10" s="6"/>
    </row>
    <row r="11" spans="1:23" ht="16" x14ac:dyDescent="0.2">
      <c r="A11" s="6"/>
      <c r="C11" s="21" t="s">
        <v>115</v>
      </c>
      <c r="D11" s="20"/>
      <c r="E11" s="6" t="s">
        <v>113</v>
      </c>
      <c r="F11" s="6"/>
      <c r="G11" s="6"/>
      <c r="H11" s="6"/>
      <c r="I11" s="6"/>
      <c r="J11" s="6"/>
      <c r="K11" s="6"/>
      <c r="L11" s="6"/>
      <c r="M11" s="6"/>
      <c r="N11" s="6"/>
      <c r="O11" s="6"/>
      <c r="P11" s="6"/>
      <c r="Q11" s="6"/>
      <c r="R11" s="6"/>
      <c r="S11" s="6"/>
      <c r="T11" s="6"/>
      <c r="U11" s="6"/>
      <c r="V11" s="6"/>
      <c r="W11" s="6"/>
    </row>
    <row r="12" spans="1:23" ht="16" x14ac:dyDescent="0.2">
      <c r="C12" s="5">
        <v>0</v>
      </c>
      <c r="D12" s="5">
        <v>1</v>
      </c>
      <c r="E12" s="7" t="s">
        <v>100</v>
      </c>
      <c r="F12" s="6"/>
      <c r="G12" s="6"/>
      <c r="H12" s="6"/>
      <c r="I12" s="6"/>
      <c r="J12" s="6"/>
      <c r="K12" s="6"/>
      <c r="L12" s="6"/>
      <c r="M12" s="6"/>
      <c r="N12" s="6"/>
      <c r="O12" s="6"/>
      <c r="P12" s="6"/>
      <c r="Q12" s="6"/>
      <c r="R12" s="6"/>
      <c r="S12" s="6"/>
      <c r="T12" s="6"/>
      <c r="U12" s="6"/>
      <c r="V12" s="6"/>
      <c r="W12" s="6"/>
    </row>
    <row r="13" spans="1:23" ht="16" x14ac:dyDescent="0.2">
      <c r="A13" s="19" t="s">
        <v>114</v>
      </c>
      <c r="B13" s="5">
        <v>0</v>
      </c>
      <c r="C13" s="16">
        <f>C$15*$E13/$E$15</f>
        <v>0.45</v>
      </c>
      <c r="D13" s="13">
        <f>D$15*$E13/$E$15</f>
        <v>5.55</v>
      </c>
      <c r="E13">
        <v>6</v>
      </c>
      <c r="F13" s="6"/>
      <c r="G13" s="6"/>
      <c r="H13" s="6"/>
      <c r="I13" s="6"/>
      <c r="J13" s="6"/>
      <c r="K13" s="6"/>
      <c r="L13" s="6"/>
      <c r="M13" s="6"/>
      <c r="N13" s="6"/>
      <c r="O13" s="6"/>
      <c r="P13" s="6"/>
      <c r="Q13" s="6"/>
      <c r="R13" s="6"/>
      <c r="S13" s="6"/>
      <c r="T13" s="6"/>
      <c r="U13" s="6"/>
      <c r="V13" s="6"/>
      <c r="W13" s="6"/>
    </row>
    <row r="14" spans="1:23" ht="16" x14ac:dyDescent="0.2">
      <c r="B14" s="5">
        <v>1</v>
      </c>
      <c r="C14" s="13">
        <f>C$15*$E14/$E$15</f>
        <v>5.55</v>
      </c>
      <c r="D14" s="16">
        <f>D$15*$E14/$E$15</f>
        <v>68.45</v>
      </c>
      <c r="E14">
        <v>74</v>
      </c>
      <c r="F14" s="6"/>
      <c r="G14" s="6"/>
      <c r="H14" s="6"/>
      <c r="I14" s="6"/>
      <c r="J14" s="6"/>
      <c r="K14" s="6"/>
      <c r="L14" s="6"/>
      <c r="M14" s="6"/>
      <c r="N14" s="6"/>
      <c r="O14" s="6"/>
      <c r="P14" s="6"/>
      <c r="Q14" s="6"/>
      <c r="R14" s="6"/>
      <c r="S14" s="6"/>
      <c r="T14" s="6"/>
      <c r="U14" s="6"/>
      <c r="V14" s="6"/>
      <c r="W14" s="6"/>
    </row>
    <row r="15" spans="1:23" ht="16" x14ac:dyDescent="0.2">
      <c r="A15" s="18" t="s">
        <v>113</v>
      </c>
      <c r="C15">
        <v>6</v>
      </c>
      <c r="D15">
        <v>74</v>
      </c>
      <c r="E15">
        <v>80</v>
      </c>
      <c r="F15" s="6"/>
      <c r="G15" s="6"/>
      <c r="H15" s="6"/>
      <c r="I15" s="6"/>
      <c r="J15" s="6"/>
      <c r="K15" s="6"/>
      <c r="L15" s="6"/>
      <c r="M15" s="6"/>
      <c r="N15" s="6"/>
      <c r="O15" s="6"/>
      <c r="P15" s="6"/>
      <c r="Q15" s="6"/>
      <c r="R15" s="6"/>
      <c r="S15" s="6"/>
      <c r="T15" s="6"/>
      <c r="U15" s="6"/>
      <c r="V15" s="6"/>
      <c r="W15" s="6"/>
    </row>
    <row r="16" spans="1:23" ht="16" x14ac:dyDescent="0.2">
      <c r="A16" s="6"/>
      <c r="B16" s="7"/>
      <c r="C16" s="7"/>
      <c r="D16" s="7"/>
      <c r="E16" s="7"/>
      <c r="F16" s="6"/>
      <c r="G16" s="6"/>
      <c r="H16" s="6"/>
      <c r="I16" s="6"/>
      <c r="J16" s="6"/>
      <c r="K16" s="6"/>
      <c r="L16" s="6"/>
      <c r="M16" s="6"/>
      <c r="N16" s="6"/>
      <c r="O16" s="6"/>
      <c r="P16" s="6"/>
      <c r="Q16" s="6"/>
      <c r="R16" s="6"/>
      <c r="S16" s="6"/>
      <c r="T16" s="6"/>
      <c r="U16" s="6"/>
      <c r="V16" s="6"/>
      <c r="W16" s="6"/>
    </row>
    <row r="17" spans="1:23" ht="16" x14ac:dyDescent="0.2">
      <c r="A17" s="11" t="s">
        <v>112</v>
      </c>
      <c r="B17" s="10"/>
      <c r="C17" s="10"/>
      <c r="D17" s="10"/>
      <c r="E17" s="10"/>
      <c r="F17" s="6"/>
      <c r="G17" s="6"/>
      <c r="H17" s="6"/>
      <c r="I17" s="6"/>
      <c r="J17" s="6"/>
      <c r="K17" s="6"/>
      <c r="L17" s="6"/>
      <c r="M17" s="6"/>
      <c r="N17" s="6"/>
      <c r="O17" s="6"/>
      <c r="P17" s="6"/>
      <c r="Q17" s="6"/>
      <c r="R17" s="6"/>
      <c r="S17" s="6"/>
      <c r="T17" s="6"/>
      <c r="U17" s="6"/>
      <c r="V17" s="6"/>
      <c r="W17" s="6"/>
    </row>
    <row r="18" spans="1:23" ht="16" x14ac:dyDescent="0.2">
      <c r="B18" s="7"/>
      <c r="C18" s="7"/>
      <c r="D18" s="7"/>
      <c r="E18" s="7"/>
      <c r="F18" s="6"/>
      <c r="G18" s="6"/>
      <c r="H18" s="6"/>
      <c r="I18" s="6"/>
      <c r="J18" s="6"/>
      <c r="K18" s="6"/>
      <c r="L18" s="6"/>
      <c r="M18" s="6"/>
      <c r="N18" s="6"/>
      <c r="O18" s="6"/>
      <c r="P18" s="6"/>
      <c r="Q18" s="6"/>
      <c r="R18" s="6"/>
      <c r="S18" s="6"/>
      <c r="T18" s="6"/>
      <c r="U18" s="6"/>
      <c r="V18" s="6"/>
      <c r="W18" s="6"/>
    </row>
    <row r="19" spans="1:23" ht="16" x14ac:dyDescent="0.2">
      <c r="B19" s="7" t="s">
        <v>111</v>
      </c>
      <c r="C19" s="7" t="s">
        <v>110</v>
      </c>
      <c r="D19" s="7"/>
      <c r="E19" s="7"/>
      <c r="F19" s="6"/>
      <c r="G19" s="6"/>
      <c r="H19" s="6"/>
      <c r="I19" s="6"/>
      <c r="J19" s="6"/>
      <c r="K19" s="6"/>
      <c r="L19" s="6"/>
      <c r="M19" s="6"/>
      <c r="N19" s="6"/>
      <c r="O19" s="6"/>
      <c r="P19" s="6"/>
      <c r="Q19" s="6"/>
      <c r="R19" s="6"/>
      <c r="S19" s="6"/>
      <c r="T19" s="6"/>
      <c r="U19" s="6"/>
      <c r="V19" s="6"/>
      <c r="W19" s="6"/>
    </row>
    <row r="20" spans="1:23" ht="16" x14ac:dyDescent="0.2">
      <c r="A20" s="6" t="s">
        <v>109</v>
      </c>
      <c r="B20" s="7">
        <f>SUM(C5,D6)</f>
        <v>80</v>
      </c>
      <c r="C20" s="17">
        <f>B20/B22</f>
        <v>1</v>
      </c>
      <c r="D20" s="7"/>
      <c r="E20" s="7"/>
      <c r="F20" s="6"/>
      <c r="G20" s="6"/>
      <c r="H20" s="6"/>
      <c r="I20" s="6"/>
      <c r="J20" s="6"/>
      <c r="K20" s="6"/>
      <c r="L20" s="6"/>
      <c r="M20" s="6"/>
      <c r="N20" s="6"/>
      <c r="O20" s="6"/>
      <c r="P20" s="6"/>
      <c r="Q20" s="6"/>
      <c r="R20" s="6"/>
      <c r="S20" s="6"/>
      <c r="T20" s="6"/>
      <c r="U20" s="6"/>
      <c r="V20" s="6"/>
      <c r="W20" s="6"/>
    </row>
    <row r="21" spans="1:23" ht="16" x14ac:dyDescent="0.2">
      <c r="A21" s="6" t="s">
        <v>108</v>
      </c>
      <c r="B21" s="7">
        <f>SUM(C13,D14)</f>
        <v>68.900000000000006</v>
      </c>
      <c r="C21" s="17">
        <f>B21/B22</f>
        <v>0.86125000000000007</v>
      </c>
      <c r="D21" s="7"/>
      <c r="E21" s="7"/>
      <c r="F21" s="6"/>
      <c r="G21" s="6"/>
      <c r="H21" s="6"/>
      <c r="I21" s="6"/>
      <c r="J21" s="6"/>
      <c r="K21" s="6"/>
      <c r="L21" s="6"/>
      <c r="M21" s="6"/>
      <c r="N21" s="6"/>
      <c r="O21" s="6"/>
      <c r="P21" s="6"/>
      <c r="Q21" s="6"/>
      <c r="R21" s="6"/>
      <c r="S21" s="6"/>
      <c r="T21" s="6"/>
      <c r="U21" s="6"/>
      <c r="V21" s="6"/>
      <c r="W21" s="6"/>
    </row>
    <row r="22" spans="1:23" ht="16" x14ac:dyDescent="0.2">
      <c r="A22" s="6" t="s">
        <v>107</v>
      </c>
      <c r="B22" s="7">
        <f>E15</f>
        <v>80</v>
      </c>
      <c r="C22" s="17">
        <v>1</v>
      </c>
      <c r="D22" s="7"/>
      <c r="E22" s="16" t="s">
        <v>106</v>
      </c>
      <c r="F22" s="6"/>
      <c r="G22" s="6"/>
      <c r="H22" s="6"/>
      <c r="I22" s="6"/>
      <c r="J22" s="6"/>
      <c r="K22" s="6"/>
      <c r="L22" s="6"/>
      <c r="M22" s="6"/>
      <c r="N22" s="6"/>
      <c r="O22" s="6"/>
      <c r="P22" s="6"/>
      <c r="Q22" s="6"/>
      <c r="R22" s="6"/>
      <c r="S22" s="6"/>
      <c r="T22" s="6"/>
      <c r="U22" s="6"/>
      <c r="V22" s="6"/>
      <c r="W22" s="6"/>
    </row>
    <row r="23" spans="1:23" ht="16" x14ac:dyDescent="0.2">
      <c r="A23" s="12" t="s">
        <v>105</v>
      </c>
      <c r="B23" s="15">
        <f>(B20-B21)/(B22-B21)</f>
        <v>1</v>
      </c>
      <c r="C23" s="15">
        <f>(C20-C21)/(C22-C21)</f>
        <v>1</v>
      </c>
      <c r="D23" s="14"/>
      <c r="E23" s="13" t="s">
        <v>104</v>
      </c>
      <c r="F23" s="12"/>
      <c r="G23" s="12"/>
      <c r="H23" s="12"/>
      <c r="I23" s="12"/>
      <c r="J23" s="12"/>
      <c r="K23" s="12"/>
      <c r="L23" s="12"/>
      <c r="M23" s="12"/>
      <c r="N23" s="12"/>
      <c r="O23" s="12"/>
      <c r="P23" s="12"/>
      <c r="Q23" s="12"/>
      <c r="R23" s="12"/>
      <c r="S23" s="12"/>
      <c r="T23" s="12"/>
      <c r="U23" s="12"/>
      <c r="V23" s="12"/>
      <c r="W23" s="12"/>
    </row>
    <row r="24" spans="1:23" ht="16" x14ac:dyDescent="0.2">
      <c r="A24" s="6"/>
      <c r="B24" s="7"/>
      <c r="C24" s="7"/>
      <c r="D24" s="7"/>
      <c r="E24" s="7"/>
      <c r="F24" s="6"/>
      <c r="G24" s="6"/>
      <c r="H24" s="6"/>
      <c r="I24" s="6"/>
      <c r="J24" s="6"/>
      <c r="K24" s="6"/>
      <c r="L24" s="6"/>
      <c r="M24" s="6"/>
      <c r="N24" s="6"/>
      <c r="O24" s="6"/>
      <c r="P24" s="6"/>
      <c r="Q24" s="6"/>
      <c r="R24" s="6"/>
      <c r="S24" s="6"/>
      <c r="T24" s="6"/>
      <c r="U24" s="6"/>
      <c r="V24" s="6"/>
      <c r="W24" s="6"/>
    </row>
    <row r="25" spans="1:23" ht="16" x14ac:dyDescent="0.2">
      <c r="A25" s="11"/>
      <c r="B25" s="10"/>
      <c r="C25" s="10"/>
      <c r="D25" s="10"/>
      <c r="E25" s="10"/>
      <c r="F25" s="6"/>
      <c r="G25" s="6"/>
      <c r="H25" s="6"/>
      <c r="I25" s="6"/>
      <c r="J25" s="6"/>
      <c r="K25" s="6"/>
      <c r="L25" s="6"/>
      <c r="M25" s="6"/>
      <c r="N25" s="6"/>
      <c r="O25" s="6"/>
      <c r="P25" s="6"/>
      <c r="Q25" s="6"/>
      <c r="R25" s="6"/>
      <c r="S25" s="6"/>
      <c r="T25" s="6"/>
      <c r="U25" s="6"/>
      <c r="V25" s="6"/>
      <c r="W25" s="6"/>
    </row>
    <row r="26" spans="1:23" ht="16" x14ac:dyDescent="0.2">
      <c r="A26" s="6"/>
      <c r="B26" s="7"/>
      <c r="C26" s="7"/>
      <c r="D26" s="7"/>
      <c r="E26" s="7"/>
      <c r="F26" s="6"/>
      <c r="G26" s="6"/>
      <c r="H26" s="6"/>
      <c r="I26" s="6"/>
      <c r="J26" s="6"/>
      <c r="K26" s="6"/>
      <c r="L26" s="6"/>
      <c r="M26" s="6"/>
      <c r="N26" s="6"/>
      <c r="O26" s="6"/>
      <c r="P26" s="6"/>
      <c r="Q26" s="6"/>
      <c r="R26" s="6"/>
      <c r="S26" s="6"/>
      <c r="T26" s="6"/>
      <c r="U26" s="6"/>
      <c r="V26" s="6"/>
      <c r="W26" s="6"/>
    </row>
    <row r="27" spans="1:23" ht="16" x14ac:dyDescent="0.2">
      <c r="A27" s="9" t="s">
        <v>103</v>
      </c>
      <c r="B27" s="9" t="s">
        <v>102</v>
      </c>
      <c r="C27"/>
      <c r="D27"/>
      <c r="E27" s="7"/>
      <c r="F27" s="6"/>
      <c r="G27" s="6"/>
      <c r="H27" s="6"/>
      <c r="I27" s="6"/>
      <c r="J27" s="6"/>
      <c r="K27" s="6"/>
      <c r="L27" s="6"/>
      <c r="M27" s="6"/>
      <c r="N27" s="6"/>
      <c r="O27" s="6"/>
      <c r="P27" s="6"/>
      <c r="Q27" s="6"/>
      <c r="R27" s="6"/>
      <c r="S27" s="6"/>
      <c r="T27" s="6"/>
      <c r="U27" s="6"/>
      <c r="V27" s="6"/>
      <c r="W27" s="6"/>
    </row>
    <row r="28" spans="1:23" ht="16" x14ac:dyDescent="0.2">
      <c r="A28" s="9" t="s">
        <v>101</v>
      </c>
      <c r="B28">
        <v>0</v>
      </c>
      <c r="C28">
        <v>1</v>
      </c>
      <c r="D28" t="s">
        <v>100</v>
      </c>
      <c r="E28" s="7"/>
      <c r="F28" s="6"/>
      <c r="G28" s="6"/>
      <c r="H28" s="6"/>
      <c r="I28" s="6"/>
      <c r="J28" s="6"/>
      <c r="K28" s="6"/>
      <c r="L28" s="6"/>
      <c r="M28" s="6"/>
      <c r="N28" s="6"/>
      <c r="O28" s="6"/>
      <c r="P28" s="6"/>
      <c r="Q28" s="6"/>
      <c r="R28" s="6"/>
      <c r="S28" s="6"/>
      <c r="T28" s="6"/>
      <c r="U28" s="6"/>
      <c r="V28" s="6"/>
      <c r="W28" s="6"/>
    </row>
    <row r="29" spans="1:23" ht="16" x14ac:dyDescent="0.2">
      <c r="A29" s="8">
        <v>0</v>
      </c>
      <c r="B29" s="25">
        <v>6</v>
      </c>
      <c r="C29" s="25"/>
      <c r="D29" s="25">
        <v>6</v>
      </c>
      <c r="E29" s="7"/>
      <c r="F29" s="6"/>
      <c r="G29" s="6"/>
      <c r="H29" s="6"/>
      <c r="I29" s="6"/>
      <c r="J29" s="6"/>
      <c r="K29" s="6"/>
      <c r="L29" s="6"/>
      <c r="M29" s="6"/>
      <c r="N29" s="6"/>
      <c r="O29" s="6"/>
      <c r="P29" s="6"/>
      <c r="Q29" s="6"/>
      <c r="R29" s="6"/>
      <c r="S29" s="6"/>
      <c r="T29" s="6"/>
      <c r="U29" s="6"/>
      <c r="V29" s="6"/>
      <c r="W29" s="6"/>
    </row>
    <row r="30" spans="1:23" ht="16" x14ac:dyDescent="0.2">
      <c r="A30" s="8">
        <v>1</v>
      </c>
      <c r="B30" s="25"/>
      <c r="C30" s="25">
        <v>74</v>
      </c>
      <c r="D30" s="25">
        <v>74</v>
      </c>
      <c r="E30" s="7"/>
      <c r="F30" s="6"/>
      <c r="G30" s="6"/>
      <c r="H30" s="6"/>
      <c r="I30" s="6"/>
      <c r="J30" s="6"/>
      <c r="K30" s="6"/>
      <c r="L30" s="6"/>
      <c r="M30" s="6"/>
      <c r="N30" s="6"/>
      <c r="O30" s="6"/>
      <c r="P30" s="6"/>
      <c r="Q30" s="6"/>
      <c r="R30" s="6"/>
      <c r="S30" s="6"/>
      <c r="T30" s="6"/>
      <c r="U30" s="6"/>
      <c r="V30" s="6"/>
      <c r="W30" s="6"/>
    </row>
    <row r="31" spans="1:23" ht="16" x14ac:dyDescent="0.2">
      <c r="A31" s="8" t="s">
        <v>100</v>
      </c>
      <c r="B31" s="25">
        <v>6</v>
      </c>
      <c r="C31" s="25">
        <v>74</v>
      </c>
      <c r="D31" s="25">
        <v>80</v>
      </c>
      <c r="E31" s="7"/>
      <c r="F31" s="6"/>
      <c r="G31" s="6"/>
      <c r="H31" s="6"/>
      <c r="I31" s="6"/>
      <c r="J31" s="6"/>
      <c r="K31" s="6"/>
      <c r="L31" s="6"/>
      <c r="M31" s="6"/>
      <c r="N31" s="6"/>
      <c r="O31" s="6"/>
      <c r="P31" s="6"/>
      <c r="Q31" s="6"/>
      <c r="R31" s="6"/>
      <c r="S31" s="6"/>
      <c r="T31" s="6"/>
      <c r="U31" s="6"/>
      <c r="V31" s="6"/>
      <c r="W31" s="6"/>
    </row>
    <row r="32" spans="1:23" ht="16" x14ac:dyDescent="0.2">
      <c r="A32"/>
      <c r="B32"/>
      <c r="C32"/>
      <c r="D32"/>
      <c r="E32" s="7"/>
      <c r="F32" s="6"/>
      <c r="G32" s="6"/>
      <c r="H32" s="6"/>
      <c r="I32" s="6"/>
      <c r="J32" s="6"/>
      <c r="K32" s="6"/>
      <c r="L32" s="6"/>
      <c r="M32" s="6"/>
      <c r="N32" s="6"/>
      <c r="O32" s="6"/>
      <c r="P32" s="6"/>
      <c r="Q32" s="6"/>
      <c r="R32" s="6"/>
      <c r="S32" s="6"/>
      <c r="T32" s="6"/>
      <c r="U32" s="6"/>
      <c r="V32" s="6"/>
      <c r="W32" s="6"/>
    </row>
    <row r="33" spans="1:23" ht="16" x14ac:dyDescent="0.2">
      <c r="A33"/>
      <c r="B33"/>
      <c r="C33"/>
      <c r="D33"/>
      <c r="E33" s="7"/>
      <c r="F33" s="6"/>
      <c r="G33" s="6"/>
      <c r="H33" s="6"/>
      <c r="I33" s="6"/>
      <c r="J33" s="6"/>
      <c r="K33" s="6"/>
      <c r="L33" s="6"/>
      <c r="M33" s="6"/>
      <c r="N33" s="6"/>
      <c r="O33" s="6"/>
      <c r="P33" s="6"/>
      <c r="Q33" s="6"/>
      <c r="R33" s="6"/>
      <c r="S33" s="6"/>
      <c r="T33" s="6"/>
      <c r="U33" s="6"/>
      <c r="V33" s="6"/>
      <c r="W33" s="6"/>
    </row>
    <row r="34" spans="1:23" ht="16" x14ac:dyDescent="0.2">
      <c r="A34"/>
      <c r="B34"/>
      <c r="C34"/>
      <c r="D34"/>
      <c r="E34" s="7"/>
      <c r="F34" s="6"/>
      <c r="G34" s="6"/>
      <c r="H34" s="6"/>
      <c r="I34" s="6"/>
      <c r="J34" s="6"/>
      <c r="K34" s="6"/>
      <c r="L34" s="6"/>
      <c r="M34" s="6"/>
      <c r="N34" s="6"/>
      <c r="O34" s="6"/>
      <c r="P34" s="6"/>
      <c r="Q34" s="6"/>
      <c r="R34" s="6"/>
      <c r="S34" s="6"/>
      <c r="T34" s="6"/>
      <c r="U34" s="6"/>
      <c r="V34" s="6"/>
      <c r="W34" s="6"/>
    </row>
    <row r="35" spans="1:23" ht="16" x14ac:dyDescent="0.2">
      <c r="A35"/>
      <c r="B35"/>
      <c r="C35"/>
      <c r="D35"/>
      <c r="E35" s="7"/>
      <c r="F35" s="6"/>
      <c r="G35" s="6"/>
      <c r="H35" s="6"/>
      <c r="I35" s="6"/>
      <c r="J35" s="6"/>
      <c r="K35" s="6"/>
      <c r="L35" s="6"/>
      <c r="M35" s="6"/>
      <c r="N35" s="6"/>
      <c r="O35" s="6"/>
      <c r="P35" s="6"/>
      <c r="Q35" s="6"/>
      <c r="R35" s="6"/>
      <c r="S35" s="6"/>
      <c r="T35" s="6"/>
      <c r="U35" s="6"/>
      <c r="V35" s="6"/>
      <c r="W35" s="6"/>
    </row>
    <row r="36" spans="1:23" ht="16" x14ac:dyDescent="0.2">
      <c r="A36"/>
      <c r="B36"/>
      <c r="C36"/>
      <c r="D36"/>
      <c r="E36" s="7"/>
      <c r="F36" s="6"/>
      <c r="G36" s="6"/>
      <c r="H36" s="6"/>
      <c r="I36" s="6"/>
      <c r="J36" s="6"/>
      <c r="K36" s="6"/>
      <c r="L36" s="6"/>
      <c r="M36" s="6"/>
      <c r="N36" s="6"/>
      <c r="O36" s="6"/>
      <c r="P36" s="6"/>
      <c r="Q36" s="6"/>
      <c r="R36" s="6"/>
      <c r="S36" s="6"/>
      <c r="T36" s="6"/>
      <c r="U36" s="6"/>
      <c r="V36" s="6"/>
      <c r="W36" s="6"/>
    </row>
    <row r="37" spans="1:23" ht="16" x14ac:dyDescent="0.2">
      <c r="A37"/>
      <c r="B37"/>
      <c r="C37"/>
      <c r="D37"/>
      <c r="E37" s="7"/>
      <c r="F37" s="6"/>
      <c r="G37" s="6"/>
      <c r="H37" s="6"/>
      <c r="I37" s="6"/>
      <c r="J37" s="6"/>
      <c r="K37" s="6"/>
      <c r="L37" s="6"/>
      <c r="M37" s="6"/>
      <c r="N37" s="6"/>
      <c r="O37" s="6"/>
      <c r="P37" s="6"/>
      <c r="Q37" s="6"/>
      <c r="R37" s="6"/>
      <c r="S37" s="6"/>
      <c r="T37" s="6"/>
      <c r="U37" s="6"/>
      <c r="V37" s="6"/>
      <c r="W37" s="6"/>
    </row>
    <row r="38" spans="1:23" ht="16" x14ac:dyDescent="0.2">
      <c r="A38"/>
      <c r="B38"/>
      <c r="C38"/>
      <c r="D38"/>
      <c r="E38" s="7"/>
      <c r="F38" s="6"/>
      <c r="G38" s="6"/>
      <c r="H38" s="6"/>
      <c r="I38" s="6"/>
      <c r="J38" s="6"/>
      <c r="K38" s="6"/>
      <c r="L38" s="6"/>
      <c r="M38" s="6"/>
      <c r="N38" s="6"/>
      <c r="O38" s="6"/>
      <c r="P38" s="6"/>
      <c r="Q38" s="6"/>
      <c r="R38" s="6"/>
      <c r="S38" s="6"/>
      <c r="T38" s="6"/>
      <c r="U38" s="6"/>
      <c r="V38" s="6"/>
      <c r="W38" s="6"/>
    </row>
    <row r="39" spans="1:23" ht="16" x14ac:dyDescent="0.2">
      <c r="A39"/>
      <c r="B39"/>
      <c r="C39"/>
      <c r="D39"/>
      <c r="E39" s="7"/>
      <c r="F39" s="6"/>
      <c r="G39" s="6"/>
      <c r="H39" s="6"/>
      <c r="I39" s="6"/>
      <c r="J39" s="6"/>
      <c r="K39" s="6"/>
      <c r="L39" s="6"/>
      <c r="M39" s="6"/>
      <c r="N39" s="6"/>
      <c r="O39" s="6"/>
      <c r="P39" s="6"/>
      <c r="Q39" s="6"/>
      <c r="R39" s="6"/>
      <c r="S39" s="6"/>
      <c r="T39" s="6"/>
      <c r="U39" s="6"/>
      <c r="V39" s="6"/>
      <c r="W39" s="6"/>
    </row>
    <row r="40" spans="1:23" ht="16" x14ac:dyDescent="0.2">
      <c r="A40"/>
      <c r="B40"/>
      <c r="C40"/>
      <c r="D40"/>
      <c r="E40" s="7"/>
      <c r="F40" s="6"/>
      <c r="G40" s="6"/>
      <c r="H40" s="6"/>
      <c r="I40" s="6"/>
      <c r="J40" s="6"/>
      <c r="K40" s="6"/>
      <c r="L40" s="6"/>
      <c r="M40" s="6"/>
      <c r="N40" s="6"/>
      <c r="O40" s="6"/>
      <c r="P40" s="6"/>
      <c r="Q40" s="6"/>
      <c r="R40" s="6"/>
      <c r="S40" s="6"/>
      <c r="T40" s="6"/>
      <c r="U40" s="6"/>
      <c r="V40" s="6"/>
      <c r="W40" s="6"/>
    </row>
    <row r="41" spans="1:23" ht="16" x14ac:dyDescent="0.2">
      <c r="A41"/>
      <c r="B41"/>
      <c r="C41"/>
      <c r="D41"/>
      <c r="E41" s="7"/>
      <c r="F41" s="6"/>
      <c r="G41" s="6"/>
      <c r="H41" s="6"/>
      <c r="I41" s="6"/>
      <c r="J41" s="6"/>
      <c r="K41" s="6"/>
      <c r="L41" s="6"/>
      <c r="M41" s="6"/>
      <c r="N41" s="6"/>
      <c r="O41" s="6"/>
      <c r="P41" s="6"/>
      <c r="Q41" s="6"/>
      <c r="R41" s="6"/>
      <c r="S41" s="6"/>
      <c r="T41" s="6"/>
      <c r="U41" s="6"/>
      <c r="V41" s="6"/>
      <c r="W41" s="6"/>
    </row>
    <row r="42" spans="1:23" ht="16" x14ac:dyDescent="0.2">
      <c r="A42"/>
      <c r="B42"/>
      <c r="C42"/>
      <c r="D42"/>
      <c r="E42" s="7"/>
      <c r="F42" s="6"/>
      <c r="G42" s="6"/>
      <c r="H42" s="6"/>
      <c r="I42" s="6"/>
      <c r="J42" s="6"/>
      <c r="K42" s="6"/>
      <c r="L42" s="6"/>
      <c r="M42" s="6"/>
      <c r="N42" s="6"/>
      <c r="O42" s="6"/>
      <c r="P42" s="6"/>
      <c r="Q42" s="6"/>
      <c r="R42" s="6"/>
      <c r="S42" s="6"/>
      <c r="T42" s="6"/>
      <c r="U42" s="6"/>
      <c r="V42" s="6"/>
      <c r="W42" s="6"/>
    </row>
    <row r="43" spans="1:23" ht="16" x14ac:dyDescent="0.2">
      <c r="A43"/>
      <c r="B43"/>
      <c r="C43"/>
      <c r="D43"/>
      <c r="E43" s="7"/>
      <c r="F43" s="6"/>
      <c r="G43" s="6"/>
      <c r="H43" s="6"/>
      <c r="I43" s="6"/>
      <c r="J43" s="6"/>
      <c r="K43" s="6"/>
      <c r="L43" s="6"/>
      <c r="M43" s="6"/>
      <c r="N43" s="6"/>
      <c r="O43" s="6"/>
      <c r="P43" s="6"/>
      <c r="Q43" s="6"/>
      <c r="R43" s="6"/>
      <c r="S43" s="6"/>
      <c r="T43" s="6"/>
      <c r="U43" s="6"/>
      <c r="V43" s="6"/>
      <c r="W43" s="6"/>
    </row>
    <row r="44" spans="1:23" ht="16" x14ac:dyDescent="0.2">
      <c r="A44"/>
      <c r="B44"/>
      <c r="C44"/>
      <c r="D44"/>
      <c r="E44" s="7"/>
      <c r="F44" s="6"/>
      <c r="G44" s="6"/>
      <c r="H44" s="6"/>
      <c r="I44" s="6"/>
      <c r="J44" s="6"/>
      <c r="K44" s="6"/>
      <c r="L44" s="6"/>
      <c r="M44" s="6"/>
      <c r="N44" s="6"/>
      <c r="O44" s="6"/>
      <c r="P44" s="6"/>
      <c r="Q44" s="6"/>
      <c r="R44" s="6"/>
      <c r="S44" s="6"/>
      <c r="T44" s="6"/>
      <c r="U44" s="6"/>
      <c r="V44" s="6"/>
      <c r="W44" s="6"/>
    </row>
    <row r="45" spans="1:23" ht="16" x14ac:dyDescent="0.2">
      <c r="A45"/>
      <c r="B45"/>
      <c r="C45"/>
      <c r="D45"/>
      <c r="E45" s="7"/>
      <c r="F45" s="6"/>
      <c r="G45" s="6"/>
      <c r="H45" s="6"/>
      <c r="I45" s="6"/>
      <c r="J45" s="6"/>
      <c r="K45" s="6"/>
      <c r="L45" s="6"/>
      <c r="M45" s="6"/>
      <c r="N45" s="6"/>
      <c r="O45" s="6"/>
      <c r="P45" s="6"/>
      <c r="Q45" s="6"/>
      <c r="R45" s="6"/>
      <c r="S45" s="6"/>
      <c r="T45" s="6"/>
      <c r="U45" s="6"/>
      <c r="V45" s="6"/>
      <c r="W45" s="6"/>
    </row>
    <row r="46" spans="1:23" ht="16" x14ac:dyDescent="0.2">
      <c r="A46"/>
      <c r="B46"/>
      <c r="C46"/>
      <c r="D46"/>
      <c r="E46" s="7"/>
      <c r="F46" s="6"/>
      <c r="G46" s="6"/>
      <c r="H46" s="6"/>
      <c r="I46" s="6"/>
      <c r="J46" s="6"/>
      <c r="K46" s="6"/>
      <c r="L46" s="6"/>
      <c r="M46" s="6"/>
      <c r="N46" s="6"/>
      <c r="O46" s="6"/>
      <c r="P46" s="6"/>
      <c r="Q46" s="6"/>
      <c r="R46" s="6"/>
      <c r="S46" s="6"/>
      <c r="T46" s="6"/>
      <c r="U46" s="6"/>
      <c r="V46" s="6"/>
      <c r="W46" s="6"/>
    </row>
    <row r="47" spans="1:23" ht="16" x14ac:dyDescent="0.2">
      <c r="A47"/>
      <c r="B47"/>
      <c r="C47"/>
      <c r="D47"/>
      <c r="E47" s="7"/>
      <c r="F47" s="6"/>
      <c r="G47" s="6"/>
      <c r="H47" s="6"/>
      <c r="I47" s="6"/>
      <c r="J47" s="6"/>
      <c r="K47" s="6"/>
      <c r="L47" s="6"/>
      <c r="M47" s="6"/>
      <c r="N47" s="6"/>
      <c r="O47" s="6"/>
      <c r="P47" s="6"/>
      <c r="Q47" s="6"/>
      <c r="R47" s="6"/>
      <c r="S47" s="6"/>
      <c r="T47" s="6"/>
      <c r="U47" s="6"/>
      <c r="V47" s="6"/>
      <c r="W47" s="6"/>
    </row>
    <row r="48" spans="1:23" ht="16" x14ac:dyDescent="0.2">
      <c r="A48"/>
      <c r="B48"/>
      <c r="C48"/>
      <c r="D48"/>
      <c r="E48" s="7"/>
      <c r="F48" s="6"/>
      <c r="G48" s="6"/>
      <c r="H48" s="6"/>
      <c r="I48" s="6"/>
      <c r="J48" s="6"/>
      <c r="K48" s="6"/>
      <c r="L48" s="6"/>
      <c r="M48" s="6"/>
      <c r="N48" s="6"/>
      <c r="O48" s="6"/>
      <c r="P48" s="6"/>
      <c r="Q48" s="6"/>
      <c r="R48" s="6"/>
      <c r="S48" s="6"/>
      <c r="T48" s="6"/>
      <c r="U48" s="6"/>
      <c r="V48" s="6"/>
      <c r="W48" s="6"/>
    </row>
    <row r="49" spans="1:23" ht="16" x14ac:dyDescent="0.2">
      <c r="A49"/>
      <c r="B49"/>
      <c r="C49"/>
      <c r="D49"/>
      <c r="E49" s="7"/>
      <c r="F49" s="6"/>
      <c r="G49" s="6"/>
      <c r="H49" s="6"/>
      <c r="I49" s="6"/>
      <c r="J49" s="6"/>
      <c r="K49" s="6"/>
      <c r="L49" s="6"/>
      <c r="M49" s="6"/>
      <c r="N49" s="6"/>
      <c r="O49" s="6"/>
      <c r="P49" s="6"/>
      <c r="Q49" s="6"/>
      <c r="R49" s="6"/>
      <c r="S49" s="6"/>
      <c r="T49" s="6"/>
      <c r="U49" s="6"/>
      <c r="V49" s="6"/>
      <c r="W49" s="6"/>
    </row>
    <row r="50" spans="1:23" ht="16" x14ac:dyDescent="0.2">
      <c r="A50"/>
      <c r="B50"/>
      <c r="C50"/>
      <c r="D50"/>
      <c r="E50" s="7"/>
      <c r="F50" s="6"/>
      <c r="G50" s="6"/>
      <c r="H50" s="6"/>
      <c r="I50" s="6"/>
      <c r="J50" s="6"/>
      <c r="K50" s="6"/>
      <c r="L50" s="6"/>
      <c r="M50" s="6"/>
      <c r="N50" s="6"/>
      <c r="O50" s="6"/>
      <c r="P50" s="6"/>
      <c r="Q50" s="6"/>
      <c r="R50" s="6"/>
      <c r="S50" s="6"/>
      <c r="T50" s="6"/>
      <c r="U50" s="6"/>
      <c r="V50" s="6"/>
      <c r="W50" s="6"/>
    </row>
    <row r="51" spans="1:23" ht="16" x14ac:dyDescent="0.2">
      <c r="A51"/>
      <c r="B51"/>
      <c r="C51"/>
      <c r="D51"/>
      <c r="E51" s="7"/>
      <c r="F51" s="6"/>
      <c r="G51" s="6"/>
      <c r="H51" s="6"/>
      <c r="I51" s="6"/>
      <c r="J51" s="6"/>
      <c r="K51" s="6"/>
      <c r="L51" s="6"/>
      <c r="M51" s="6"/>
      <c r="N51" s="6"/>
      <c r="O51" s="6"/>
      <c r="P51" s="6"/>
      <c r="Q51" s="6"/>
      <c r="R51" s="6"/>
      <c r="S51" s="6"/>
      <c r="T51" s="6"/>
      <c r="U51" s="6"/>
      <c r="V51" s="6"/>
      <c r="W51" s="6"/>
    </row>
    <row r="52" spans="1:23" ht="16" x14ac:dyDescent="0.2">
      <c r="A52"/>
      <c r="B52"/>
      <c r="C52"/>
      <c r="D52"/>
      <c r="E52" s="7"/>
      <c r="F52" s="6"/>
      <c r="G52" s="6"/>
      <c r="H52" s="6"/>
      <c r="I52" s="6"/>
      <c r="J52" s="6"/>
      <c r="K52" s="6"/>
      <c r="L52" s="6"/>
      <c r="M52" s="6"/>
      <c r="N52" s="6"/>
      <c r="O52" s="6"/>
      <c r="P52" s="6"/>
      <c r="Q52" s="6"/>
      <c r="R52" s="6"/>
      <c r="S52" s="6"/>
      <c r="T52" s="6"/>
      <c r="U52" s="6"/>
      <c r="V52" s="6"/>
      <c r="W52" s="6"/>
    </row>
    <row r="53" spans="1:23" ht="16" x14ac:dyDescent="0.2">
      <c r="A53"/>
      <c r="B53"/>
      <c r="C53"/>
      <c r="D53"/>
      <c r="E53" s="7"/>
      <c r="F53" s="6"/>
      <c r="G53" s="6"/>
      <c r="H53" s="6"/>
      <c r="I53" s="6"/>
      <c r="J53" s="6"/>
      <c r="K53" s="6"/>
      <c r="L53" s="6"/>
      <c r="M53" s="6"/>
      <c r="N53" s="6"/>
      <c r="O53" s="6"/>
      <c r="P53" s="6"/>
      <c r="Q53" s="6"/>
      <c r="R53" s="6"/>
      <c r="S53" s="6"/>
      <c r="T53" s="6"/>
      <c r="U53" s="6"/>
      <c r="V53" s="6"/>
      <c r="W53" s="6"/>
    </row>
    <row r="54" spans="1:23" ht="16" x14ac:dyDescent="0.2">
      <c r="A54"/>
      <c r="B54"/>
      <c r="C54"/>
      <c r="D54"/>
      <c r="E54" s="7"/>
      <c r="F54" s="6"/>
      <c r="G54" s="6"/>
      <c r="H54" s="6"/>
      <c r="I54" s="6"/>
      <c r="J54" s="6"/>
      <c r="K54" s="6"/>
      <c r="L54" s="6"/>
      <c r="M54" s="6"/>
      <c r="N54" s="6"/>
      <c r="O54" s="6"/>
      <c r="P54" s="6"/>
      <c r="Q54" s="6"/>
      <c r="R54" s="6"/>
      <c r="S54" s="6"/>
      <c r="T54" s="6"/>
      <c r="U54" s="6"/>
      <c r="V54" s="6"/>
      <c r="W54" s="6"/>
    </row>
    <row r="55" spans="1:23" ht="16" x14ac:dyDescent="0.2">
      <c r="A55"/>
      <c r="B55"/>
      <c r="C55"/>
      <c r="D55"/>
      <c r="E55" s="7"/>
      <c r="F55" s="6"/>
      <c r="G55" s="6"/>
      <c r="H55" s="6"/>
      <c r="I55" s="6"/>
      <c r="J55" s="6"/>
      <c r="K55" s="6"/>
      <c r="L55" s="6"/>
      <c r="M55" s="6"/>
      <c r="N55" s="6"/>
      <c r="O55" s="6"/>
      <c r="P55" s="6"/>
      <c r="Q55" s="6"/>
      <c r="R55" s="6"/>
      <c r="S55" s="6"/>
      <c r="T55" s="6"/>
      <c r="U55" s="6"/>
      <c r="V55" s="6"/>
      <c r="W55" s="6"/>
    </row>
    <row r="56" spans="1:23" ht="16" x14ac:dyDescent="0.2">
      <c r="A56"/>
      <c r="B56"/>
      <c r="C56"/>
      <c r="D56"/>
      <c r="E56" s="7"/>
      <c r="F56" s="6"/>
      <c r="G56" s="6"/>
      <c r="H56" s="6"/>
      <c r="I56" s="6"/>
      <c r="J56" s="6"/>
      <c r="K56" s="6"/>
      <c r="L56" s="6"/>
      <c r="M56" s="6"/>
      <c r="N56" s="6"/>
      <c r="O56" s="6"/>
      <c r="P56" s="6"/>
      <c r="Q56" s="6"/>
      <c r="R56" s="6"/>
      <c r="S56" s="6"/>
      <c r="T56" s="6"/>
      <c r="U56" s="6"/>
      <c r="V56" s="6"/>
      <c r="W56" s="6"/>
    </row>
    <row r="57" spans="1:23" ht="16" x14ac:dyDescent="0.2">
      <c r="A57"/>
      <c r="B57"/>
      <c r="C57"/>
      <c r="D57"/>
      <c r="E57" s="7"/>
      <c r="F57" s="6"/>
      <c r="G57" s="6"/>
      <c r="H57" s="6"/>
      <c r="I57" s="6"/>
      <c r="J57" s="6"/>
      <c r="K57" s="6"/>
      <c r="L57" s="6"/>
      <c r="M57" s="6"/>
      <c r="N57" s="6"/>
      <c r="O57" s="6"/>
      <c r="P57" s="6"/>
      <c r="Q57" s="6"/>
      <c r="R57" s="6"/>
      <c r="S57" s="6"/>
      <c r="T57" s="6"/>
      <c r="U57" s="6"/>
      <c r="V57" s="6"/>
      <c r="W57" s="6"/>
    </row>
    <row r="58" spans="1:23" ht="16" x14ac:dyDescent="0.2">
      <c r="A58"/>
      <c r="B58"/>
      <c r="C58"/>
      <c r="D58"/>
      <c r="E58" s="7"/>
      <c r="F58" s="6"/>
      <c r="G58" s="6"/>
      <c r="H58" s="6"/>
      <c r="I58" s="6"/>
      <c r="J58" s="6"/>
      <c r="K58" s="6"/>
      <c r="L58" s="6"/>
      <c r="M58" s="6"/>
      <c r="N58" s="6"/>
      <c r="O58" s="6"/>
      <c r="P58" s="6"/>
      <c r="Q58" s="6"/>
      <c r="R58" s="6"/>
      <c r="S58" s="6"/>
      <c r="T58" s="6"/>
      <c r="U58" s="6"/>
      <c r="V58" s="6"/>
      <c r="W58" s="6"/>
    </row>
    <row r="59" spans="1:23" ht="16" x14ac:dyDescent="0.2">
      <c r="A59"/>
      <c r="B59"/>
      <c r="C59"/>
      <c r="D59"/>
      <c r="E59" s="7"/>
      <c r="F59" s="6"/>
      <c r="G59" s="6"/>
      <c r="H59" s="6"/>
      <c r="I59" s="6"/>
      <c r="J59" s="6"/>
      <c r="K59" s="6"/>
      <c r="L59" s="6"/>
      <c r="M59" s="6"/>
      <c r="N59" s="6"/>
      <c r="O59" s="6"/>
      <c r="P59" s="6"/>
      <c r="Q59" s="6"/>
      <c r="R59" s="6"/>
      <c r="S59" s="6"/>
      <c r="T59" s="6"/>
      <c r="U59" s="6"/>
      <c r="V59" s="6"/>
      <c r="W59" s="6"/>
    </row>
    <row r="60" spans="1:23" ht="16" x14ac:dyDescent="0.2">
      <c r="A60"/>
      <c r="B60"/>
      <c r="C60"/>
      <c r="D60"/>
      <c r="E60" s="7"/>
      <c r="F60" s="6"/>
      <c r="G60" s="6"/>
      <c r="H60" s="6"/>
      <c r="I60" s="6"/>
      <c r="J60" s="6"/>
      <c r="K60" s="6"/>
      <c r="L60" s="6"/>
      <c r="M60" s="6"/>
      <c r="N60" s="6"/>
      <c r="O60" s="6"/>
      <c r="P60" s="6"/>
      <c r="Q60" s="6"/>
      <c r="R60" s="6"/>
      <c r="S60" s="6"/>
      <c r="T60" s="6"/>
      <c r="U60" s="6"/>
      <c r="V60" s="6"/>
      <c r="W60" s="6"/>
    </row>
    <row r="61" spans="1:23" ht="16" x14ac:dyDescent="0.2">
      <c r="A61"/>
      <c r="B61"/>
      <c r="C61"/>
      <c r="D61"/>
      <c r="E61" s="7"/>
      <c r="F61" s="6"/>
      <c r="G61" s="6"/>
      <c r="H61" s="6"/>
      <c r="I61" s="6"/>
      <c r="J61" s="6"/>
      <c r="K61" s="6"/>
      <c r="L61" s="6"/>
      <c r="M61" s="6"/>
      <c r="N61" s="6"/>
      <c r="O61" s="6"/>
      <c r="P61" s="6"/>
      <c r="Q61" s="6"/>
      <c r="R61" s="6"/>
      <c r="S61" s="6"/>
      <c r="T61" s="6"/>
      <c r="U61" s="6"/>
      <c r="V61" s="6"/>
      <c r="W61" s="6"/>
    </row>
    <row r="62" spans="1:23" ht="16" x14ac:dyDescent="0.2">
      <c r="A62"/>
      <c r="B62"/>
      <c r="C62"/>
      <c r="D62"/>
      <c r="E62" s="7"/>
      <c r="F62" s="6"/>
      <c r="G62" s="6"/>
      <c r="H62" s="6"/>
      <c r="I62" s="6"/>
      <c r="J62" s="6"/>
      <c r="K62" s="6"/>
      <c r="L62" s="6"/>
      <c r="M62" s="6"/>
      <c r="N62" s="6"/>
      <c r="O62" s="6"/>
      <c r="P62" s="6"/>
      <c r="Q62" s="6"/>
      <c r="R62" s="6"/>
      <c r="S62" s="6"/>
      <c r="T62" s="6"/>
      <c r="U62" s="6"/>
      <c r="V62" s="6"/>
      <c r="W62" s="6"/>
    </row>
    <row r="63" spans="1:23" ht="16" x14ac:dyDescent="0.2">
      <c r="A63"/>
      <c r="B63"/>
      <c r="C63"/>
      <c r="D63"/>
      <c r="E63" s="7"/>
      <c r="F63" s="6"/>
      <c r="G63" s="6"/>
      <c r="H63" s="6"/>
      <c r="I63" s="6"/>
      <c r="J63" s="6"/>
      <c r="K63" s="6"/>
      <c r="L63" s="6"/>
      <c r="M63" s="6"/>
      <c r="N63" s="6"/>
      <c r="O63" s="6"/>
      <c r="P63" s="6"/>
      <c r="Q63" s="6"/>
      <c r="R63" s="6"/>
      <c r="S63" s="6"/>
      <c r="T63" s="6"/>
      <c r="U63" s="6"/>
      <c r="V63" s="6"/>
      <c r="W63" s="6"/>
    </row>
    <row r="64" spans="1:23" ht="16" x14ac:dyDescent="0.2">
      <c r="A64"/>
      <c r="B64"/>
      <c r="C64"/>
      <c r="D64"/>
      <c r="E64" s="7"/>
      <c r="F64" s="6"/>
      <c r="G64" s="6"/>
      <c r="H64" s="6"/>
      <c r="I64" s="6"/>
      <c r="J64" s="6"/>
      <c r="K64" s="6"/>
      <c r="L64" s="6"/>
      <c r="M64" s="6"/>
      <c r="N64" s="6"/>
      <c r="O64" s="6"/>
      <c r="P64" s="6"/>
      <c r="Q64" s="6"/>
      <c r="R64" s="6"/>
      <c r="S64" s="6"/>
      <c r="T64" s="6"/>
      <c r="U64" s="6"/>
      <c r="V64" s="6"/>
      <c r="W64" s="6"/>
    </row>
    <row r="65" spans="1:23" ht="16" x14ac:dyDescent="0.2">
      <c r="A65"/>
      <c r="B65"/>
      <c r="C65"/>
      <c r="D65"/>
      <c r="E65" s="7"/>
      <c r="F65" s="6"/>
      <c r="G65" s="6"/>
      <c r="H65" s="6"/>
      <c r="I65" s="6"/>
      <c r="J65" s="6"/>
      <c r="K65" s="6"/>
      <c r="L65" s="6"/>
      <c r="M65" s="6"/>
      <c r="N65" s="6"/>
      <c r="O65" s="6"/>
      <c r="P65" s="6"/>
      <c r="Q65" s="6"/>
      <c r="R65" s="6"/>
      <c r="S65" s="6"/>
      <c r="T65" s="6"/>
      <c r="U65" s="6"/>
      <c r="V65" s="6"/>
      <c r="W65" s="6"/>
    </row>
    <row r="66" spans="1:23" ht="16" x14ac:dyDescent="0.2">
      <c r="A66"/>
      <c r="B66"/>
      <c r="C66"/>
      <c r="D66"/>
      <c r="E66" s="7"/>
      <c r="F66" s="6"/>
      <c r="G66" s="6"/>
      <c r="H66" s="6"/>
      <c r="I66" s="6"/>
      <c r="J66" s="6"/>
      <c r="K66" s="6"/>
      <c r="L66" s="6"/>
      <c r="M66" s="6"/>
      <c r="N66" s="6"/>
      <c r="O66" s="6"/>
      <c r="P66" s="6"/>
      <c r="Q66" s="6"/>
      <c r="R66" s="6"/>
      <c r="S66" s="6"/>
      <c r="T66" s="6"/>
      <c r="U66" s="6"/>
      <c r="V66" s="6"/>
      <c r="W66" s="6"/>
    </row>
    <row r="67" spans="1:23" ht="16" x14ac:dyDescent="0.2">
      <c r="A67"/>
      <c r="B67"/>
      <c r="C67"/>
      <c r="D67"/>
      <c r="E67" s="7"/>
      <c r="F67" s="6"/>
      <c r="G67" s="6"/>
      <c r="H67" s="6"/>
      <c r="I67" s="6"/>
      <c r="J67" s="6"/>
      <c r="K67" s="6"/>
      <c r="L67" s="6"/>
      <c r="M67" s="6"/>
      <c r="N67" s="6"/>
      <c r="O67" s="6"/>
      <c r="P67" s="6"/>
      <c r="Q67" s="6"/>
      <c r="R67" s="6"/>
      <c r="S67" s="6"/>
      <c r="T67" s="6"/>
      <c r="U67" s="6"/>
      <c r="V67" s="6"/>
      <c r="W67" s="6"/>
    </row>
    <row r="68" spans="1:23" ht="16" x14ac:dyDescent="0.2">
      <c r="A68"/>
      <c r="B68"/>
      <c r="C68"/>
      <c r="D68"/>
      <c r="E68" s="7"/>
      <c r="F68" s="6"/>
      <c r="G68" s="6"/>
      <c r="H68" s="6"/>
      <c r="I68" s="6"/>
      <c r="J68" s="6"/>
      <c r="K68" s="6"/>
      <c r="L68" s="6"/>
      <c r="M68" s="6"/>
      <c r="N68" s="6"/>
      <c r="O68" s="6"/>
      <c r="P68" s="6"/>
      <c r="Q68" s="6"/>
      <c r="R68" s="6"/>
      <c r="S68" s="6"/>
      <c r="T68" s="6"/>
      <c r="U68" s="6"/>
      <c r="V68" s="6"/>
      <c r="W68" s="6"/>
    </row>
    <row r="69" spans="1:23" ht="16" x14ac:dyDescent="0.2">
      <c r="A69"/>
      <c r="B69"/>
      <c r="C69"/>
      <c r="D69"/>
      <c r="E69" s="7"/>
      <c r="F69" s="6"/>
      <c r="G69" s="6"/>
      <c r="H69" s="6"/>
      <c r="I69" s="6"/>
      <c r="J69" s="6"/>
      <c r="K69" s="6"/>
      <c r="L69" s="6"/>
      <c r="M69" s="6"/>
      <c r="N69" s="6"/>
      <c r="O69" s="6"/>
      <c r="P69" s="6"/>
      <c r="Q69" s="6"/>
      <c r="R69" s="6"/>
      <c r="S69" s="6"/>
      <c r="T69" s="6"/>
      <c r="U69" s="6"/>
      <c r="V69" s="6"/>
      <c r="W69" s="6"/>
    </row>
    <row r="70" spans="1:23" ht="16" x14ac:dyDescent="0.2">
      <c r="A70"/>
      <c r="B70"/>
      <c r="C70"/>
      <c r="D70"/>
      <c r="E70" s="7"/>
      <c r="F70" s="6"/>
      <c r="G70" s="6"/>
      <c r="H70" s="6"/>
      <c r="I70" s="6"/>
      <c r="J70" s="6"/>
      <c r="K70" s="6"/>
      <c r="L70" s="6"/>
      <c r="M70" s="6"/>
      <c r="N70" s="6"/>
      <c r="O70" s="6"/>
      <c r="P70" s="6"/>
      <c r="Q70" s="6"/>
      <c r="R70" s="6"/>
      <c r="S70" s="6"/>
      <c r="T70" s="6"/>
      <c r="U70" s="6"/>
      <c r="V70" s="6"/>
      <c r="W70" s="6"/>
    </row>
    <row r="71" spans="1:23" ht="16" x14ac:dyDescent="0.2">
      <c r="A71"/>
      <c r="B71"/>
      <c r="C71"/>
      <c r="D71"/>
      <c r="E71" s="7"/>
      <c r="F71" s="6"/>
      <c r="G71" s="6"/>
      <c r="H71" s="6"/>
      <c r="I71" s="6"/>
      <c r="J71" s="6"/>
      <c r="K71" s="6"/>
      <c r="L71" s="6"/>
      <c r="M71" s="6"/>
      <c r="N71" s="6"/>
      <c r="O71" s="6"/>
      <c r="P71" s="6"/>
      <c r="Q71" s="6"/>
      <c r="R71" s="6"/>
      <c r="S71" s="6"/>
      <c r="T71" s="6"/>
      <c r="U71" s="6"/>
      <c r="V71" s="6"/>
      <c r="W71" s="6"/>
    </row>
    <row r="72" spans="1:23" ht="16" x14ac:dyDescent="0.2">
      <c r="A72"/>
      <c r="B72"/>
      <c r="C72"/>
      <c r="D72"/>
      <c r="E72" s="7"/>
      <c r="F72" s="6"/>
      <c r="G72" s="6"/>
      <c r="H72" s="6"/>
      <c r="I72" s="6"/>
      <c r="J72" s="6"/>
      <c r="K72" s="6"/>
      <c r="L72" s="6"/>
      <c r="M72" s="6"/>
      <c r="N72" s="6"/>
      <c r="O72" s="6"/>
      <c r="P72" s="6"/>
      <c r="Q72" s="6"/>
      <c r="R72" s="6"/>
      <c r="S72" s="6"/>
      <c r="T72" s="6"/>
      <c r="U72" s="6"/>
      <c r="V72" s="6"/>
      <c r="W72" s="6"/>
    </row>
    <row r="73" spans="1:23" ht="16" x14ac:dyDescent="0.2">
      <c r="A73"/>
      <c r="B73"/>
      <c r="C73"/>
      <c r="D73"/>
      <c r="E73" s="7"/>
      <c r="F73" s="6"/>
      <c r="G73" s="6"/>
      <c r="H73" s="6"/>
      <c r="I73" s="6"/>
      <c r="J73" s="6"/>
      <c r="K73" s="6"/>
      <c r="L73" s="6"/>
      <c r="M73" s="6"/>
      <c r="N73" s="6"/>
      <c r="O73" s="6"/>
      <c r="P73" s="6"/>
      <c r="Q73" s="6"/>
      <c r="R73" s="6"/>
      <c r="S73" s="6"/>
      <c r="T73" s="6"/>
      <c r="U73" s="6"/>
      <c r="V73" s="6"/>
      <c r="W73" s="6"/>
    </row>
    <row r="74" spans="1:23" ht="16" x14ac:dyDescent="0.2">
      <c r="A74"/>
      <c r="B74"/>
      <c r="C74"/>
      <c r="D74"/>
      <c r="E74" s="7"/>
      <c r="F74" s="6"/>
      <c r="G74" s="6"/>
      <c r="H74" s="6"/>
      <c r="I74" s="6"/>
      <c r="J74" s="6"/>
      <c r="K74" s="6"/>
      <c r="L74" s="6"/>
      <c r="M74" s="6"/>
      <c r="N74" s="6"/>
      <c r="O74" s="6"/>
      <c r="P74" s="6"/>
      <c r="Q74" s="6"/>
      <c r="R74" s="6"/>
      <c r="S74" s="6"/>
      <c r="T74" s="6"/>
      <c r="U74" s="6"/>
      <c r="V74" s="6"/>
      <c r="W74" s="6"/>
    </row>
    <row r="75" spans="1:23" ht="16" x14ac:dyDescent="0.2">
      <c r="A75"/>
      <c r="B75"/>
      <c r="C75"/>
      <c r="D75"/>
      <c r="E75" s="7"/>
      <c r="F75" s="6"/>
      <c r="G75" s="6"/>
      <c r="H75" s="6"/>
      <c r="I75" s="6"/>
      <c r="J75" s="6"/>
      <c r="K75" s="6"/>
      <c r="L75" s="6"/>
      <c r="M75" s="6"/>
      <c r="N75" s="6"/>
      <c r="O75" s="6"/>
      <c r="P75" s="6"/>
      <c r="Q75" s="6"/>
      <c r="R75" s="6"/>
      <c r="S75" s="6"/>
      <c r="T75" s="6"/>
      <c r="U75" s="6"/>
      <c r="V75" s="6"/>
      <c r="W75" s="6"/>
    </row>
    <row r="76" spans="1:23" ht="16" x14ac:dyDescent="0.2">
      <c r="A76"/>
      <c r="B76"/>
      <c r="C76"/>
      <c r="D76"/>
      <c r="E76" s="7"/>
      <c r="F76" s="6"/>
      <c r="G76" s="6"/>
      <c r="H76" s="6"/>
      <c r="I76" s="6"/>
      <c r="J76" s="6"/>
      <c r="K76" s="6"/>
      <c r="L76" s="6"/>
      <c r="M76" s="6"/>
      <c r="N76" s="6"/>
      <c r="O76" s="6"/>
      <c r="P76" s="6"/>
      <c r="Q76" s="6"/>
      <c r="R76" s="6"/>
      <c r="S76" s="6"/>
      <c r="T76" s="6"/>
      <c r="U76" s="6"/>
      <c r="V76" s="6"/>
      <c r="W76" s="6"/>
    </row>
    <row r="77" spans="1:23" ht="16" x14ac:dyDescent="0.2">
      <c r="A77"/>
      <c r="B77"/>
      <c r="C77"/>
      <c r="D77"/>
      <c r="E77" s="7"/>
      <c r="F77" s="6"/>
      <c r="G77" s="6"/>
      <c r="H77" s="6"/>
      <c r="I77" s="6"/>
      <c r="J77" s="6"/>
      <c r="K77" s="6"/>
      <c r="L77" s="6"/>
      <c r="M77" s="6"/>
      <c r="N77" s="6"/>
      <c r="O77" s="6"/>
      <c r="P77" s="6"/>
      <c r="Q77" s="6"/>
      <c r="R77" s="6"/>
      <c r="S77" s="6"/>
      <c r="T77" s="6"/>
      <c r="U77" s="6"/>
      <c r="V77" s="6"/>
      <c r="W77" s="6"/>
    </row>
    <row r="78" spans="1:23" ht="16" x14ac:dyDescent="0.2">
      <c r="A78"/>
      <c r="B78"/>
      <c r="C78"/>
      <c r="D78"/>
      <c r="E78" s="7"/>
      <c r="F78" s="6"/>
      <c r="G78" s="6"/>
      <c r="H78" s="6"/>
      <c r="I78" s="6"/>
      <c r="J78" s="6"/>
      <c r="K78" s="6"/>
      <c r="L78" s="6"/>
      <c r="M78" s="6"/>
      <c r="N78" s="6"/>
      <c r="O78" s="6"/>
      <c r="P78" s="6"/>
      <c r="Q78" s="6"/>
      <c r="R78" s="6"/>
      <c r="S78" s="6"/>
      <c r="T78" s="6"/>
      <c r="U78" s="6"/>
      <c r="V78" s="6"/>
      <c r="W78" s="6"/>
    </row>
    <row r="79" spans="1:23" ht="16" x14ac:dyDescent="0.2">
      <c r="A79"/>
      <c r="B79"/>
      <c r="C79"/>
      <c r="D79"/>
      <c r="E79" s="7"/>
      <c r="F79" s="6"/>
      <c r="G79" s="6"/>
      <c r="H79" s="6"/>
      <c r="I79" s="6"/>
      <c r="J79" s="6"/>
      <c r="K79" s="6"/>
      <c r="L79" s="6"/>
      <c r="M79" s="6"/>
      <c r="N79" s="6"/>
      <c r="O79" s="6"/>
      <c r="P79" s="6"/>
      <c r="Q79" s="6"/>
      <c r="R79" s="6"/>
      <c r="S79" s="6"/>
      <c r="T79" s="6"/>
      <c r="U79" s="6"/>
      <c r="V79" s="6"/>
      <c r="W79" s="6"/>
    </row>
    <row r="80" spans="1:23" ht="16" x14ac:dyDescent="0.2">
      <c r="A80"/>
      <c r="B80"/>
      <c r="C80"/>
      <c r="D80"/>
      <c r="E80" s="7"/>
      <c r="F80" s="6"/>
      <c r="G80" s="6"/>
      <c r="H80" s="6"/>
      <c r="I80" s="6"/>
      <c r="J80" s="6"/>
      <c r="K80" s="6"/>
      <c r="L80" s="6"/>
      <c r="M80" s="6"/>
      <c r="N80" s="6"/>
      <c r="O80" s="6"/>
      <c r="P80" s="6"/>
      <c r="Q80" s="6"/>
      <c r="R80" s="6"/>
      <c r="S80" s="6"/>
      <c r="T80" s="6"/>
      <c r="U80" s="6"/>
      <c r="V80" s="6"/>
      <c r="W80" s="6"/>
    </row>
    <row r="81" spans="1:23" ht="16" x14ac:dyDescent="0.2">
      <c r="A81"/>
      <c r="B81"/>
      <c r="C81"/>
      <c r="D81"/>
      <c r="E81" s="7"/>
      <c r="F81" s="6"/>
      <c r="G81" s="6"/>
      <c r="H81" s="6"/>
      <c r="I81" s="6"/>
      <c r="J81" s="6"/>
      <c r="K81" s="6"/>
      <c r="L81" s="6"/>
      <c r="M81" s="6"/>
      <c r="N81" s="6"/>
      <c r="O81" s="6"/>
      <c r="P81" s="6"/>
      <c r="Q81" s="6"/>
      <c r="R81" s="6"/>
      <c r="S81" s="6"/>
      <c r="T81" s="6"/>
      <c r="U81" s="6"/>
      <c r="V81" s="6"/>
      <c r="W81" s="6"/>
    </row>
    <row r="82" spans="1:23" ht="16" x14ac:dyDescent="0.2">
      <c r="A82"/>
      <c r="B82"/>
      <c r="C82"/>
      <c r="D82"/>
      <c r="E82" s="7"/>
      <c r="F82" s="6"/>
      <c r="G82" s="6"/>
      <c r="H82" s="6"/>
      <c r="I82" s="6"/>
      <c r="J82" s="6"/>
      <c r="K82" s="6"/>
      <c r="L82" s="6"/>
      <c r="M82" s="6"/>
      <c r="N82" s="6"/>
      <c r="O82" s="6"/>
      <c r="P82" s="6"/>
      <c r="Q82" s="6"/>
      <c r="R82" s="6"/>
      <c r="S82" s="6"/>
      <c r="T82" s="6"/>
      <c r="U82" s="6"/>
      <c r="V82" s="6"/>
      <c r="W82" s="6"/>
    </row>
    <row r="83" spans="1:23" ht="16" x14ac:dyDescent="0.2">
      <c r="A83"/>
      <c r="B83"/>
      <c r="C83"/>
      <c r="D83"/>
      <c r="E83" s="7"/>
      <c r="F83" s="6"/>
      <c r="G83" s="6"/>
      <c r="H83" s="6"/>
      <c r="I83" s="6"/>
      <c r="J83" s="6"/>
      <c r="K83" s="6"/>
      <c r="L83" s="6"/>
      <c r="M83" s="6"/>
      <c r="N83" s="6"/>
      <c r="O83" s="6"/>
      <c r="P83" s="6"/>
      <c r="Q83" s="6"/>
      <c r="R83" s="6"/>
      <c r="S83" s="6"/>
      <c r="T83" s="6"/>
      <c r="U83" s="6"/>
      <c r="V83" s="6"/>
      <c r="W83" s="6"/>
    </row>
    <row r="84" spans="1:23" ht="16" x14ac:dyDescent="0.2">
      <c r="A84"/>
      <c r="B84"/>
      <c r="C84"/>
      <c r="D84"/>
      <c r="E84" s="7"/>
      <c r="F84" s="6"/>
      <c r="G84" s="6"/>
      <c r="H84" s="6"/>
      <c r="I84" s="6"/>
      <c r="J84" s="6"/>
      <c r="K84" s="6"/>
      <c r="L84" s="6"/>
      <c r="M84" s="6"/>
      <c r="N84" s="6"/>
      <c r="O84" s="6"/>
      <c r="P84" s="6"/>
      <c r="Q84" s="6"/>
      <c r="R84" s="6"/>
      <c r="S84" s="6"/>
      <c r="T84" s="6"/>
      <c r="U84" s="6"/>
      <c r="V84" s="6"/>
      <c r="W84" s="6"/>
    </row>
    <row r="85" spans="1:23" ht="16" x14ac:dyDescent="0.2">
      <c r="A85"/>
      <c r="B85"/>
      <c r="C85"/>
      <c r="D85"/>
      <c r="E85" s="7"/>
      <c r="F85" s="6"/>
      <c r="G85" s="6"/>
      <c r="H85" s="6"/>
      <c r="I85" s="6"/>
      <c r="J85" s="6"/>
      <c r="K85" s="6"/>
      <c r="L85" s="6"/>
      <c r="M85" s="6"/>
      <c r="N85" s="6"/>
      <c r="O85" s="6"/>
      <c r="P85" s="6"/>
      <c r="Q85" s="6"/>
      <c r="R85" s="6"/>
      <c r="S85" s="6"/>
      <c r="T85" s="6"/>
      <c r="U85" s="6"/>
      <c r="V85" s="6"/>
      <c r="W85" s="6"/>
    </row>
    <row r="86" spans="1:23" ht="16" x14ac:dyDescent="0.2">
      <c r="A86"/>
      <c r="B86"/>
      <c r="C86"/>
      <c r="D86"/>
      <c r="E86" s="7"/>
      <c r="F86" s="6"/>
      <c r="G86" s="6"/>
      <c r="H86" s="6"/>
      <c r="I86" s="6"/>
      <c r="J86" s="6"/>
      <c r="K86" s="6"/>
      <c r="L86" s="6"/>
      <c r="M86" s="6"/>
      <c r="N86" s="6"/>
      <c r="O86" s="6"/>
      <c r="P86" s="6"/>
      <c r="Q86" s="6"/>
      <c r="R86" s="6"/>
      <c r="S86" s="6"/>
      <c r="T86" s="6"/>
      <c r="U86" s="6"/>
      <c r="V86" s="6"/>
      <c r="W86" s="6"/>
    </row>
    <row r="87" spans="1:23" ht="16" x14ac:dyDescent="0.2">
      <c r="A87"/>
      <c r="B87"/>
      <c r="C87"/>
      <c r="D87"/>
      <c r="E87" s="7"/>
      <c r="F87" s="6"/>
      <c r="G87" s="6"/>
      <c r="H87" s="6"/>
      <c r="I87" s="6"/>
      <c r="J87" s="6"/>
      <c r="K87" s="6"/>
      <c r="L87" s="6"/>
      <c r="M87" s="6"/>
      <c r="N87" s="6"/>
      <c r="O87" s="6"/>
      <c r="P87" s="6"/>
      <c r="Q87" s="6"/>
      <c r="R87" s="6"/>
      <c r="S87" s="6"/>
      <c r="T87" s="6"/>
      <c r="U87" s="6"/>
      <c r="V87" s="6"/>
      <c r="W87" s="6"/>
    </row>
    <row r="88" spans="1:23" ht="16" x14ac:dyDescent="0.2">
      <c r="A88"/>
      <c r="B88"/>
      <c r="C88"/>
      <c r="D88"/>
      <c r="E88" s="7"/>
      <c r="F88" s="6"/>
      <c r="G88" s="6"/>
      <c r="H88" s="6"/>
      <c r="I88" s="6"/>
      <c r="J88" s="6"/>
      <c r="K88" s="6"/>
      <c r="L88" s="6"/>
      <c r="M88" s="6"/>
      <c r="N88" s="6"/>
      <c r="O88" s="6"/>
      <c r="P88" s="6"/>
      <c r="Q88" s="6"/>
      <c r="R88" s="6"/>
      <c r="S88" s="6"/>
      <c r="T88" s="6"/>
      <c r="U88" s="6"/>
      <c r="V88" s="6"/>
      <c r="W88" s="6"/>
    </row>
    <row r="89" spans="1:23" ht="16" x14ac:dyDescent="0.2">
      <c r="A89"/>
      <c r="B89"/>
      <c r="C89"/>
      <c r="D89"/>
      <c r="E89" s="7"/>
      <c r="F89" s="6"/>
      <c r="G89" s="6"/>
      <c r="H89" s="6"/>
      <c r="I89" s="6"/>
      <c r="J89" s="6"/>
      <c r="K89" s="6"/>
      <c r="L89" s="6"/>
      <c r="M89" s="6"/>
      <c r="N89" s="6"/>
      <c r="O89" s="6"/>
      <c r="P89" s="6"/>
      <c r="Q89" s="6"/>
      <c r="R89" s="6"/>
      <c r="S89" s="6"/>
      <c r="T89" s="6"/>
      <c r="U89" s="6"/>
      <c r="V89" s="6"/>
      <c r="W89" s="6"/>
    </row>
    <row r="90" spans="1:23" ht="16" x14ac:dyDescent="0.2">
      <c r="A90"/>
      <c r="B90"/>
      <c r="C90"/>
      <c r="D90"/>
      <c r="E90" s="7"/>
      <c r="F90" s="6"/>
      <c r="G90" s="6"/>
      <c r="H90" s="6"/>
      <c r="I90" s="6"/>
      <c r="J90" s="6"/>
      <c r="K90" s="6"/>
      <c r="L90" s="6"/>
      <c r="M90" s="6"/>
      <c r="N90" s="6"/>
      <c r="O90" s="6"/>
      <c r="P90" s="6"/>
      <c r="Q90" s="6"/>
      <c r="R90" s="6"/>
      <c r="S90" s="6"/>
      <c r="T90" s="6"/>
      <c r="U90" s="6"/>
      <c r="V90" s="6"/>
      <c r="W90" s="6"/>
    </row>
    <row r="91" spans="1:23" ht="16" x14ac:dyDescent="0.2">
      <c r="A91"/>
      <c r="B91"/>
      <c r="C91"/>
      <c r="D91"/>
      <c r="E91" s="7"/>
      <c r="F91" s="6"/>
      <c r="G91" s="6"/>
      <c r="H91" s="6"/>
      <c r="I91" s="6"/>
      <c r="J91" s="6"/>
      <c r="K91" s="6"/>
      <c r="L91" s="6"/>
      <c r="M91" s="6"/>
      <c r="N91" s="6"/>
      <c r="O91" s="6"/>
      <c r="P91" s="6"/>
      <c r="Q91" s="6"/>
      <c r="R91" s="6"/>
      <c r="S91" s="6"/>
      <c r="T91" s="6"/>
      <c r="U91" s="6"/>
      <c r="V91" s="6"/>
      <c r="W91" s="6"/>
    </row>
    <row r="92" spans="1:23" ht="16" x14ac:dyDescent="0.2">
      <c r="A92"/>
      <c r="B92"/>
      <c r="C92"/>
      <c r="D92"/>
      <c r="E92" s="7"/>
      <c r="F92" s="6"/>
      <c r="G92" s="6"/>
      <c r="H92" s="6"/>
      <c r="I92" s="6"/>
      <c r="J92" s="6"/>
      <c r="K92" s="6"/>
      <c r="L92" s="6"/>
      <c r="M92" s="6"/>
      <c r="N92" s="6"/>
      <c r="O92" s="6"/>
      <c r="P92" s="6"/>
      <c r="Q92" s="6"/>
      <c r="R92" s="6"/>
      <c r="S92" s="6"/>
      <c r="T92" s="6"/>
      <c r="U92" s="6"/>
      <c r="V92" s="6"/>
      <c r="W92" s="6"/>
    </row>
    <row r="93" spans="1:23" ht="16" x14ac:dyDescent="0.2">
      <c r="A93"/>
      <c r="B93"/>
      <c r="C93"/>
      <c r="D93"/>
      <c r="E93" s="7"/>
      <c r="F93" s="6"/>
      <c r="G93" s="6"/>
      <c r="H93" s="6"/>
      <c r="I93" s="6"/>
      <c r="J93" s="6"/>
      <c r="K93" s="6"/>
      <c r="L93" s="6"/>
      <c r="M93" s="6"/>
      <c r="N93" s="6"/>
      <c r="O93" s="6"/>
      <c r="P93" s="6"/>
      <c r="Q93" s="6"/>
      <c r="R93" s="6"/>
      <c r="S93" s="6"/>
      <c r="T93" s="6"/>
      <c r="U93" s="6"/>
      <c r="V93" s="6"/>
      <c r="W93" s="6"/>
    </row>
    <row r="94" spans="1:23" ht="16" x14ac:dyDescent="0.2">
      <c r="A94"/>
      <c r="B94"/>
      <c r="C94"/>
      <c r="D94"/>
      <c r="E94" s="7"/>
      <c r="F94" s="6"/>
      <c r="G94" s="6"/>
      <c r="H94" s="6"/>
      <c r="I94" s="6"/>
      <c r="J94" s="6"/>
      <c r="K94" s="6"/>
      <c r="L94" s="6"/>
      <c r="M94" s="6"/>
      <c r="N94" s="6"/>
      <c r="O94" s="6"/>
      <c r="P94" s="6"/>
      <c r="Q94" s="6"/>
      <c r="R94" s="6"/>
      <c r="S94" s="6"/>
      <c r="T94" s="6"/>
      <c r="U94" s="6"/>
      <c r="V94" s="6"/>
      <c r="W94" s="6"/>
    </row>
    <row r="95" spans="1:23" ht="16" x14ac:dyDescent="0.2">
      <c r="A95"/>
      <c r="B95"/>
      <c r="C95"/>
      <c r="D95"/>
      <c r="E95" s="7"/>
      <c r="F95" s="6"/>
      <c r="G95" s="6"/>
      <c r="H95" s="6"/>
      <c r="I95" s="6"/>
      <c r="J95" s="6"/>
      <c r="K95" s="6"/>
      <c r="L95" s="6"/>
      <c r="M95" s="6"/>
      <c r="N95" s="6"/>
      <c r="O95" s="6"/>
      <c r="P95" s="6"/>
      <c r="Q95" s="6"/>
      <c r="R95" s="6"/>
      <c r="S95" s="6"/>
      <c r="T95" s="6"/>
      <c r="U95" s="6"/>
      <c r="V95" s="6"/>
      <c r="W95" s="6"/>
    </row>
    <row r="96" spans="1:23" ht="16" x14ac:dyDescent="0.2">
      <c r="A96"/>
      <c r="B96"/>
      <c r="C96"/>
      <c r="D96"/>
      <c r="E96" s="7"/>
      <c r="F96" s="6"/>
      <c r="G96" s="6"/>
      <c r="H96" s="6"/>
      <c r="I96" s="6"/>
      <c r="J96" s="6"/>
      <c r="K96" s="6"/>
      <c r="L96" s="6"/>
      <c r="M96" s="6"/>
      <c r="N96" s="6"/>
      <c r="O96" s="6"/>
      <c r="P96" s="6"/>
      <c r="Q96" s="6"/>
      <c r="R96" s="6"/>
      <c r="S96" s="6"/>
      <c r="T96" s="6"/>
      <c r="U96" s="6"/>
      <c r="V96" s="6"/>
      <c r="W96" s="6"/>
    </row>
    <row r="97" spans="1:23" ht="16" x14ac:dyDescent="0.2">
      <c r="A97"/>
      <c r="B97"/>
      <c r="C97"/>
      <c r="D97"/>
      <c r="E97" s="7"/>
      <c r="F97" s="6"/>
      <c r="G97" s="6"/>
      <c r="H97" s="6"/>
      <c r="I97" s="6"/>
      <c r="J97" s="6"/>
      <c r="K97" s="6"/>
      <c r="L97" s="6"/>
      <c r="M97" s="6"/>
      <c r="N97" s="6"/>
      <c r="O97" s="6"/>
      <c r="P97" s="6"/>
      <c r="Q97" s="6"/>
      <c r="R97" s="6"/>
      <c r="S97" s="6"/>
      <c r="T97" s="6"/>
      <c r="U97" s="6"/>
      <c r="V97" s="6"/>
      <c r="W97" s="6"/>
    </row>
    <row r="98" spans="1:23" ht="16" x14ac:dyDescent="0.2">
      <c r="A98"/>
      <c r="B98"/>
      <c r="C98"/>
      <c r="D98"/>
      <c r="E98" s="7"/>
      <c r="F98" s="6"/>
      <c r="G98" s="6"/>
      <c r="H98" s="6"/>
      <c r="I98" s="6"/>
      <c r="J98" s="6"/>
      <c r="K98" s="6"/>
      <c r="L98" s="6"/>
      <c r="M98" s="6"/>
      <c r="N98" s="6"/>
      <c r="O98" s="6"/>
      <c r="P98" s="6"/>
      <c r="Q98" s="6"/>
      <c r="R98" s="6"/>
      <c r="S98" s="6"/>
      <c r="T98" s="6"/>
      <c r="U98" s="6"/>
      <c r="V98" s="6"/>
      <c r="W98" s="6"/>
    </row>
    <row r="99" spans="1:23" ht="16" x14ac:dyDescent="0.2">
      <c r="A99"/>
      <c r="B99"/>
      <c r="C99"/>
      <c r="D99"/>
      <c r="E99" s="7"/>
      <c r="F99" s="6"/>
      <c r="G99" s="6"/>
      <c r="H99" s="6"/>
      <c r="I99" s="6"/>
      <c r="J99" s="6"/>
      <c r="K99" s="6"/>
      <c r="L99" s="6"/>
      <c r="M99" s="6"/>
      <c r="N99" s="6"/>
      <c r="O99" s="6"/>
      <c r="P99" s="6"/>
      <c r="Q99" s="6"/>
      <c r="R99" s="6"/>
      <c r="S99" s="6"/>
      <c r="T99" s="6"/>
      <c r="U99" s="6"/>
      <c r="V99" s="6"/>
      <c r="W99" s="6"/>
    </row>
    <row r="100" spans="1:23" ht="16" x14ac:dyDescent="0.2">
      <c r="A100"/>
      <c r="B100"/>
      <c r="C100"/>
      <c r="D100"/>
      <c r="E100" s="7"/>
      <c r="F100" s="6"/>
      <c r="G100" s="6"/>
      <c r="H100" s="6"/>
      <c r="I100" s="6"/>
      <c r="J100" s="6"/>
      <c r="K100" s="6"/>
      <c r="L100" s="6"/>
      <c r="M100" s="6"/>
      <c r="N100" s="6"/>
      <c r="O100" s="6"/>
      <c r="P100" s="6"/>
      <c r="Q100" s="6"/>
      <c r="R100" s="6"/>
      <c r="S100" s="6"/>
      <c r="T100" s="6"/>
      <c r="U100" s="6"/>
      <c r="V100" s="6"/>
      <c r="W100" s="6"/>
    </row>
    <row r="101" spans="1:23" ht="16" x14ac:dyDescent="0.2">
      <c r="A101"/>
      <c r="B101"/>
      <c r="C101"/>
      <c r="D101"/>
      <c r="E101" s="7"/>
      <c r="F101" s="6"/>
      <c r="G101" s="6"/>
      <c r="H101" s="6"/>
      <c r="I101" s="6"/>
      <c r="J101" s="6"/>
      <c r="K101" s="6"/>
      <c r="L101" s="6"/>
      <c r="M101" s="6"/>
      <c r="N101" s="6"/>
      <c r="O101" s="6"/>
      <c r="P101" s="6"/>
      <c r="Q101" s="6"/>
      <c r="R101" s="6"/>
      <c r="S101" s="6"/>
      <c r="T101" s="6"/>
      <c r="U101" s="6"/>
      <c r="V101" s="6"/>
      <c r="W101" s="6"/>
    </row>
    <row r="102" spans="1:23" ht="16" x14ac:dyDescent="0.2">
      <c r="A102"/>
      <c r="B102"/>
      <c r="C102"/>
      <c r="D102"/>
      <c r="E102" s="7"/>
      <c r="F102" s="6"/>
      <c r="G102" s="6"/>
      <c r="H102" s="6"/>
      <c r="I102" s="6"/>
      <c r="J102" s="6"/>
      <c r="K102" s="6"/>
      <c r="L102" s="6"/>
      <c r="M102" s="6"/>
      <c r="N102" s="6"/>
      <c r="O102" s="6"/>
      <c r="P102" s="6"/>
      <c r="Q102" s="6"/>
      <c r="R102" s="6"/>
      <c r="S102" s="6"/>
      <c r="T102" s="6"/>
      <c r="U102" s="6"/>
      <c r="V102" s="6"/>
      <c r="W102" s="6"/>
    </row>
    <row r="103" spans="1:23" ht="16" x14ac:dyDescent="0.2">
      <c r="A103"/>
      <c r="B103"/>
      <c r="C103"/>
      <c r="D103"/>
      <c r="E103" s="7"/>
      <c r="F103" s="6"/>
      <c r="G103" s="6"/>
      <c r="H103" s="6"/>
      <c r="I103" s="6"/>
      <c r="J103" s="6"/>
      <c r="K103" s="6"/>
      <c r="L103" s="6"/>
      <c r="M103" s="6"/>
      <c r="N103" s="6"/>
      <c r="O103" s="6"/>
      <c r="P103" s="6"/>
      <c r="Q103" s="6"/>
      <c r="R103" s="6"/>
      <c r="S103" s="6"/>
      <c r="T103" s="6"/>
      <c r="U103" s="6"/>
      <c r="V103" s="6"/>
      <c r="W103" s="6"/>
    </row>
    <row r="104" spans="1:23" ht="16" x14ac:dyDescent="0.2">
      <c r="A104"/>
      <c r="B104"/>
      <c r="C104"/>
      <c r="D104"/>
      <c r="E104" s="7"/>
      <c r="F104" s="6"/>
      <c r="G104" s="6"/>
      <c r="H104" s="6"/>
      <c r="I104" s="6"/>
      <c r="J104" s="6"/>
      <c r="K104" s="6"/>
      <c r="L104" s="6"/>
      <c r="M104" s="6"/>
      <c r="N104" s="6"/>
      <c r="O104" s="6"/>
      <c r="P104" s="6"/>
      <c r="Q104" s="6"/>
      <c r="R104" s="6"/>
      <c r="S104" s="6"/>
      <c r="T104" s="6"/>
      <c r="U104" s="6"/>
      <c r="V104" s="6"/>
      <c r="W104" s="6"/>
    </row>
    <row r="105" spans="1:23" ht="16" x14ac:dyDescent="0.2">
      <c r="A105"/>
      <c r="B105"/>
      <c r="C105"/>
      <c r="D105"/>
      <c r="E105" s="7"/>
      <c r="F105" s="6"/>
      <c r="G105" s="6"/>
      <c r="H105" s="6"/>
      <c r="I105" s="6"/>
      <c r="J105" s="6"/>
      <c r="K105" s="6"/>
      <c r="L105" s="6"/>
      <c r="M105" s="6"/>
      <c r="N105" s="6"/>
      <c r="O105" s="6"/>
      <c r="P105" s="6"/>
      <c r="Q105" s="6"/>
      <c r="R105" s="6"/>
      <c r="S105" s="6"/>
      <c r="T105" s="6"/>
      <c r="U105" s="6"/>
      <c r="V105" s="6"/>
      <c r="W105" s="6"/>
    </row>
    <row r="106" spans="1:23" ht="16" x14ac:dyDescent="0.2">
      <c r="A106"/>
      <c r="B106"/>
      <c r="C106"/>
      <c r="D106"/>
      <c r="E106" s="7"/>
      <c r="F106" s="6"/>
      <c r="G106" s="6"/>
      <c r="H106" s="6"/>
      <c r="I106" s="6"/>
      <c r="J106" s="6"/>
      <c r="K106" s="6"/>
      <c r="L106" s="6"/>
      <c r="M106" s="6"/>
      <c r="N106" s="6"/>
      <c r="O106" s="6"/>
      <c r="P106" s="6"/>
      <c r="Q106" s="6"/>
      <c r="R106" s="6"/>
      <c r="S106" s="6"/>
      <c r="T106" s="6"/>
      <c r="U106" s="6"/>
      <c r="V106" s="6"/>
      <c r="W106" s="6"/>
    </row>
    <row r="107" spans="1:23" ht="16" x14ac:dyDescent="0.2">
      <c r="A107"/>
      <c r="B107"/>
      <c r="C107"/>
      <c r="D107"/>
      <c r="E107" s="7"/>
      <c r="F107" s="6"/>
      <c r="G107" s="6"/>
      <c r="H107" s="6"/>
      <c r="I107" s="6"/>
      <c r="J107" s="6"/>
      <c r="K107" s="6"/>
      <c r="L107" s="6"/>
      <c r="M107" s="6"/>
      <c r="N107" s="6"/>
      <c r="O107" s="6"/>
      <c r="P107" s="6"/>
      <c r="Q107" s="6"/>
      <c r="R107" s="6"/>
      <c r="S107" s="6"/>
      <c r="T107" s="6"/>
      <c r="U107" s="6"/>
      <c r="V107" s="6"/>
      <c r="W107" s="6"/>
    </row>
    <row r="108" spans="1:23" ht="16" x14ac:dyDescent="0.2">
      <c r="A108"/>
      <c r="B108"/>
      <c r="C108"/>
      <c r="D108"/>
      <c r="E108" s="7"/>
      <c r="F108" s="6"/>
      <c r="G108" s="6"/>
      <c r="H108" s="6"/>
      <c r="I108" s="6"/>
      <c r="J108" s="6"/>
      <c r="K108" s="6"/>
      <c r="L108" s="6"/>
      <c r="M108" s="6"/>
      <c r="N108" s="6"/>
      <c r="O108" s="6"/>
      <c r="P108" s="6"/>
      <c r="Q108" s="6"/>
      <c r="R108" s="6"/>
      <c r="S108" s="6"/>
      <c r="T108" s="6"/>
      <c r="U108" s="6"/>
      <c r="V108" s="6"/>
      <c r="W108" s="6"/>
    </row>
    <row r="109" spans="1:23" ht="16" x14ac:dyDescent="0.2">
      <c r="A109"/>
      <c r="B109"/>
      <c r="C109"/>
      <c r="D109"/>
      <c r="E109" s="7"/>
      <c r="F109" s="6"/>
      <c r="G109" s="6"/>
      <c r="H109" s="6"/>
      <c r="I109" s="6"/>
      <c r="J109" s="6"/>
      <c r="K109" s="6"/>
      <c r="L109" s="6"/>
      <c r="M109" s="6"/>
      <c r="N109" s="6"/>
      <c r="O109" s="6"/>
      <c r="P109" s="6"/>
      <c r="Q109" s="6"/>
      <c r="R109" s="6"/>
      <c r="S109" s="6"/>
      <c r="T109" s="6"/>
      <c r="U109" s="6"/>
      <c r="V109" s="6"/>
      <c r="W109" s="6"/>
    </row>
    <row r="110" spans="1:23" ht="16" x14ac:dyDescent="0.2">
      <c r="A110"/>
      <c r="B110"/>
      <c r="C110"/>
      <c r="D110"/>
      <c r="E110" s="7"/>
      <c r="F110" s="6"/>
      <c r="G110" s="6"/>
      <c r="H110" s="6"/>
      <c r="I110" s="6"/>
      <c r="J110" s="6"/>
      <c r="K110" s="6"/>
      <c r="L110" s="6"/>
      <c r="M110" s="6"/>
      <c r="N110" s="6"/>
      <c r="O110" s="6"/>
      <c r="P110" s="6"/>
      <c r="Q110" s="6"/>
      <c r="R110" s="6"/>
      <c r="S110" s="6"/>
      <c r="T110" s="6"/>
      <c r="U110" s="6"/>
      <c r="V110" s="6"/>
      <c r="W110" s="6"/>
    </row>
    <row r="111" spans="1:23" ht="16" x14ac:dyDescent="0.2">
      <c r="A111"/>
      <c r="B111"/>
      <c r="C111"/>
      <c r="D111"/>
      <c r="E111" s="7"/>
      <c r="F111" s="6"/>
      <c r="G111" s="6"/>
      <c r="H111" s="6"/>
      <c r="I111" s="6"/>
      <c r="J111" s="6"/>
      <c r="K111" s="6"/>
      <c r="L111" s="6"/>
      <c r="M111" s="6"/>
      <c r="N111" s="6"/>
      <c r="O111" s="6"/>
      <c r="P111" s="6"/>
      <c r="Q111" s="6"/>
      <c r="R111" s="6"/>
      <c r="S111" s="6"/>
      <c r="T111" s="6"/>
      <c r="U111" s="6"/>
      <c r="V111" s="6"/>
      <c r="W111" s="6"/>
    </row>
    <row r="112" spans="1:23" ht="16" x14ac:dyDescent="0.2">
      <c r="A112"/>
      <c r="B112"/>
      <c r="C112"/>
      <c r="D112"/>
      <c r="E112" s="7"/>
      <c r="F112" s="6"/>
      <c r="G112" s="6"/>
      <c r="H112" s="6"/>
      <c r="I112" s="6"/>
      <c r="J112" s="6"/>
      <c r="K112" s="6"/>
      <c r="L112" s="6"/>
      <c r="M112" s="6"/>
      <c r="N112" s="6"/>
      <c r="O112" s="6"/>
      <c r="P112" s="6"/>
      <c r="Q112" s="6"/>
      <c r="R112" s="6"/>
      <c r="S112" s="6"/>
      <c r="T112" s="6"/>
      <c r="U112" s="6"/>
      <c r="V112" s="6"/>
      <c r="W112" s="6"/>
    </row>
    <row r="113" spans="1:23" ht="16" x14ac:dyDescent="0.2">
      <c r="A113"/>
      <c r="B113"/>
      <c r="C113"/>
      <c r="D113"/>
      <c r="E113" s="7"/>
      <c r="F113" s="6"/>
      <c r="G113" s="6"/>
      <c r="H113" s="6"/>
      <c r="I113" s="6"/>
      <c r="J113" s="6"/>
      <c r="K113" s="6"/>
      <c r="L113" s="6"/>
      <c r="M113" s="6"/>
      <c r="N113" s="6"/>
      <c r="O113" s="6"/>
      <c r="P113" s="6"/>
      <c r="Q113" s="6"/>
      <c r="R113" s="6"/>
      <c r="S113" s="6"/>
      <c r="T113" s="6"/>
      <c r="U113" s="6"/>
      <c r="V113" s="6"/>
      <c r="W113" s="6"/>
    </row>
    <row r="114" spans="1:23" ht="16" x14ac:dyDescent="0.2">
      <c r="A114"/>
      <c r="B114"/>
      <c r="C114"/>
      <c r="D114"/>
      <c r="E114" s="7"/>
      <c r="F114" s="6"/>
      <c r="G114" s="6"/>
      <c r="H114" s="6"/>
      <c r="I114" s="6"/>
      <c r="J114" s="6"/>
      <c r="K114" s="6"/>
      <c r="L114" s="6"/>
      <c r="M114" s="6"/>
      <c r="N114" s="6"/>
      <c r="O114" s="6"/>
      <c r="P114" s="6"/>
      <c r="Q114" s="6"/>
      <c r="R114" s="6"/>
      <c r="S114" s="6"/>
      <c r="T114" s="6"/>
      <c r="U114" s="6"/>
      <c r="V114" s="6"/>
      <c r="W114" s="6"/>
    </row>
    <row r="115" spans="1:23" ht="16" x14ac:dyDescent="0.2">
      <c r="A115"/>
      <c r="B115"/>
      <c r="C115"/>
      <c r="D115"/>
      <c r="E115" s="7"/>
      <c r="F115" s="6"/>
      <c r="G115" s="6"/>
      <c r="H115" s="6"/>
      <c r="I115" s="6"/>
      <c r="J115" s="6"/>
      <c r="K115" s="6"/>
      <c r="L115" s="6"/>
      <c r="M115" s="6"/>
      <c r="N115" s="6"/>
      <c r="O115" s="6"/>
      <c r="P115" s="6"/>
      <c r="Q115" s="6"/>
      <c r="R115" s="6"/>
      <c r="S115" s="6"/>
      <c r="T115" s="6"/>
      <c r="U115" s="6"/>
      <c r="V115" s="6"/>
      <c r="W115" s="6"/>
    </row>
    <row r="116" spans="1:23" ht="16" x14ac:dyDescent="0.2">
      <c r="A116"/>
      <c r="B116"/>
      <c r="C116"/>
      <c r="D116"/>
      <c r="E116" s="7"/>
      <c r="F116" s="6"/>
      <c r="G116" s="6"/>
      <c r="H116" s="6"/>
      <c r="I116" s="6"/>
      <c r="J116" s="6"/>
      <c r="K116" s="6"/>
      <c r="L116" s="6"/>
      <c r="M116" s="6"/>
      <c r="N116" s="6"/>
      <c r="O116" s="6"/>
      <c r="P116" s="6"/>
      <c r="Q116" s="6"/>
      <c r="R116" s="6"/>
      <c r="S116" s="6"/>
      <c r="T116" s="6"/>
      <c r="U116" s="6"/>
      <c r="V116" s="6"/>
      <c r="W116" s="6"/>
    </row>
    <row r="117" spans="1:23" ht="16" x14ac:dyDescent="0.2">
      <c r="A117"/>
      <c r="B117"/>
      <c r="C117"/>
      <c r="D117"/>
      <c r="E117" s="7"/>
      <c r="F117" s="6"/>
      <c r="G117" s="6"/>
      <c r="H117" s="6"/>
      <c r="I117" s="6"/>
      <c r="J117" s="6"/>
      <c r="K117" s="6"/>
      <c r="L117" s="6"/>
      <c r="M117" s="6"/>
      <c r="N117" s="6"/>
      <c r="O117" s="6"/>
      <c r="P117" s="6"/>
      <c r="Q117" s="6"/>
      <c r="R117" s="6"/>
      <c r="S117" s="6"/>
      <c r="T117" s="6"/>
      <c r="U117" s="6"/>
      <c r="V117" s="6"/>
      <c r="W117" s="6"/>
    </row>
    <row r="118" spans="1:23" ht="16" x14ac:dyDescent="0.2">
      <c r="A118"/>
      <c r="B118"/>
      <c r="C118"/>
      <c r="D118"/>
      <c r="E118" s="7"/>
      <c r="F118" s="6"/>
      <c r="G118" s="6"/>
      <c r="H118" s="6"/>
      <c r="I118" s="6"/>
      <c r="J118" s="6"/>
      <c r="K118" s="6"/>
      <c r="L118" s="6"/>
      <c r="M118" s="6"/>
      <c r="N118" s="6"/>
      <c r="O118" s="6"/>
      <c r="P118" s="6"/>
      <c r="Q118" s="6"/>
      <c r="R118" s="6"/>
      <c r="S118" s="6"/>
      <c r="T118" s="6"/>
      <c r="U118" s="6"/>
      <c r="V118" s="6"/>
      <c r="W118" s="6"/>
    </row>
    <row r="119" spans="1:23" ht="16" x14ac:dyDescent="0.2">
      <c r="A119"/>
      <c r="B119"/>
      <c r="C119"/>
      <c r="D119"/>
      <c r="E119" s="7"/>
      <c r="F119" s="6"/>
      <c r="G119" s="6"/>
      <c r="H119" s="6"/>
      <c r="I119" s="6"/>
      <c r="J119" s="6"/>
      <c r="K119" s="6"/>
      <c r="L119" s="6"/>
      <c r="M119" s="6"/>
      <c r="N119" s="6"/>
      <c r="O119" s="6"/>
      <c r="P119" s="6"/>
      <c r="Q119" s="6"/>
      <c r="R119" s="6"/>
      <c r="S119" s="6"/>
      <c r="T119" s="6"/>
      <c r="U119" s="6"/>
      <c r="V119" s="6"/>
      <c r="W119" s="6"/>
    </row>
    <row r="120" spans="1:23" ht="16" x14ac:dyDescent="0.2">
      <c r="A120"/>
      <c r="B120"/>
      <c r="C120"/>
      <c r="D120"/>
      <c r="E120" s="7"/>
      <c r="F120" s="6"/>
      <c r="G120" s="6"/>
      <c r="H120" s="6"/>
      <c r="I120" s="6"/>
      <c r="J120" s="6"/>
      <c r="K120" s="6"/>
      <c r="L120" s="6"/>
      <c r="M120" s="6"/>
      <c r="N120" s="6"/>
      <c r="O120" s="6"/>
      <c r="P120" s="6"/>
      <c r="Q120" s="6"/>
      <c r="R120" s="6"/>
      <c r="S120" s="6"/>
      <c r="T120" s="6"/>
      <c r="U120" s="6"/>
      <c r="V120" s="6"/>
      <c r="W120" s="6"/>
    </row>
    <row r="121" spans="1:23" ht="16" x14ac:dyDescent="0.2">
      <c r="A121"/>
      <c r="B121"/>
      <c r="C121"/>
      <c r="D121"/>
      <c r="E121" s="7"/>
      <c r="F121" s="6"/>
      <c r="G121" s="6"/>
      <c r="H121" s="6"/>
      <c r="I121" s="6"/>
      <c r="J121" s="6"/>
      <c r="K121" s="6"/>
      <c r="L121" s="6"/>
      <c r="M121" s="6"/>
      <c r="N121" s="6"/>
      <c r="O121" s="6"/>
      <c r="P121" s="6"/>
      <c r="Q121" s="6"/>
      <c r="R121" s="6"/>
      <c r="S121" s="6"/>
      <c r="T121" s="6"/>
      <c r="U121" s="6"/>
      <c r="V121" s="6"/>
      <c r="W121" s="6"/>
    </row>
    <row r="122" spans="1:23" ht="16" x14ac:dyDescent="0.2">
      <c r="A122"/>
      <c r="B122"/>
      <c r="C122"/>
      <c r="D122"/>
      <c r="E122" s="7"/>
      <c r="F122" s="6"/>
      <c r="G122" s="6"/>
      <c r="H122" s="6"/>
      <c r="I122" s="6"/>
      <c r="J122" s="6"/>
      <c r="K122" s="6"/>
      <c r="L122" s="6"/>
      <c r="M122" s="6"/>
      <c r="N122" s="6"/>
      <c r="O122" s="6"/>
      <c r="P122" s="6"/>
      <c r="Q122" s="6"/>
      <c r="R122" s="6"/>
      <c r="S122" s="6"/>
      <c r="T122" s="6"/>
      <c r="U122" s="6"/>
      <c r="V122" s="6"/>
      <c r="W122" s="6"/>
    </row>
    <row r="123" spans="1:23" ht="16" x14ac:dyDescent="0.2">
      <c r="A123"/>
      <c r="B123"/>
      <c r="C123"/>
      <c r="D123"/>
      <c r="E123" s="7"/>
      <c r="F123" s="6"/>
      <c r="G123" s="6"/>
      <c r="H123" s="6"/>
      <c r="I123" s="6"/>
      <c r="J123" s="6"/>
      <c r="K123" s="6"/>
      <c r="L123" s="6"/>
      <c r="M123" s="6"/>
      <c r="N123" s="6"/>
      <c r="O123" s="6"/>
      <c r="P123" s="6"/>
      <c r="Q123" s="6"/>
      <c r="R123" s="6"/>
      <c r="S123" s="6"/>
      <c r="T123" s="6"/>
      <c r="U123" s="6"/>
      <c r="V123" s="6"/>
      <c r="W123" s="6"/>
    </row>
    <row r="124" spans="1:23" ht="16" x14ac:dyDescent="0.2">
      <c r="A124"/>
      <c r="B124"/>
      <c r="C124"/>
      <c r="D124"/>
      <c r="E124" s="7"/>
      <c r="F124" s="6"/>
      <c r="G124" s="6"/>
      <c r="H124" s="6"/>
      <c r="I124" s="6"/>
      <c r="J124" s="6"/>
      <c r="K124" s="6"/>
      <c r="L124" s="6"/>
      <c r="M124" s="6"/>
      <c r="N124" s="6"/>
      <c r="O124" s="6"/>
      <c r="P124" s="6"/>
      <c r="Q124" s="6"/>
      <c r="R124" s="6"/>
      <c r="S124" s="6"/>
      <c r="T124" s="6"/>
      <c r="U124" s="6"/>
      <c r="V124" s="6"/>
      <c r="W124" s="6"/>
    </row>
    <row r="125" spans="1:23" ht="16" x14ac:dyDescent="0.2">
      <c r="A125"/>
      <c r="B125"/>
      <c r="C125"/>
      <c r="D125"/>
      <c r="E125" s="7"/>
      <c r="F125" s="6"/>
      <c r="G125" s="6"/>
      <c r="H125" s="6"/>
      <c r="I125" s="6"/>
      <c r="J125" s="6"/>
      <c r="K125" s="6"/>
      <c r="L125" s="6"/>
      <c r="M125" s="6"/>
      <c r="N125" s="6"/>
      <c r="O125" s="6"/>
      <c r="P125" s="6"/>
      <c r="Q125" s="6"/>
      <c r="R125" s="6"/>
      <c r="S125" s="6"/>
      <c r="T125" s="6"/>
      <c r="U125" s="6"/>
      <c r="V125" s="6"/>
      <c r="W125" s="6"/>
    </row>
    <row r="126" spans="1:23" ht="16" x14ac:dyDescent="0.2">
      <c r="A126"/>
      <c r="B126"/>
      <c r="C126"/>
      <c r="D126"/>
      <c r="E126" s="7"/>
      <c r="F126" s="6"/>
      <c r="G126" s="6"/>
      <c r="H126" s="6"/>
      <c r="I126" s="6"/>
      <c r="J126" s="6"/>
      <c r="K126" s="6"/>
      <c r="L126" s="6"/>
      <c r="M126" s="6"/>
      <c r="N126" s="6"/>
      <c r="O126" s="6"/>
      <c r="P126" s="6"/>
      <c r="Q126" s="6"/>
      <c r="R126" s="6"/>
      <c r="S126" s="6"/>
      <c r="T126" s="6"/>
      <c r="U126" s="6"/>
      <c r="V126" s="6"/>
      <c r="W126" s="6"/>
    </row>
    <row r="127" spans="1:23" ht="16" x14ac:dyDescent="0.2">
      <c r="A127"/>
      <c r="B127"/>
      <c r="C127"/>
      <c r="D127"/>
      <c r="E127" s="7"/>
      <c r="F127" s="6"/>
      <c r="G127" s="6"/>
      <c r="H127" s="6"/>
      <c r="I127" s="6"/>
      <c r="J127" s="6"/>
      <c r="K127" s="6"/>
      <c r="L127" s="6"/>
      <c r="M127" s="6"/>
      <c r="N127" s="6"/>
      <c r="O127" s="6"/>
      <c r="P127" s="6"/>
      <c r="Q127" s="6"/>
      <c r="R127" s="6"/>
      <c r="S127" s="6"/>
      <c r="T127" s="6"/>
      <c r="U127" s="6"/>
      <c r="V127" s="6"/>
      <c r="W127" s="6"/>
    </row>
    <row r="128" spans="1:23" ht="16" x14ac:dyDescent="0.2">
      <c r="A128"/>
      <c r="B128"/>
      <c r="C128"/>
      <c r="D128"/>
      <c r="E128" s="7"/>
      <c r="F128" s="6"/>
      <c r="G128" s="6"/>
      <c r="H128" s="6"/>
      <c r="I128" s="6"/>
      <c r="J128" s="6"/>
      <c r="K128" s="6"/>
      <c r="L128" s="6"/>
      <c r="M128" s="6"/>
      <c r="N128" s="6"/>
      <c r="O128" s="6"/>
      <c r="P128" s="6"/>
      <c r="Q128" s="6"/>
      <c r="R128" s="6"/>
      <c r="S128" s="6"/>
      <c r="T128" s="6"/>
      <c r="U128" s="6"/>
      <c r="V128" s="6"/>
      <c r="W128" s="6"/>
    </row>
    <row r="129" spans="1:23" ht="16" x14ac:dyDescent="0.2">
      <c r="A129"/>
      <c r="B129"/>
      <c r="C129"/>
      <c r="D129"/>
      <c r="E129" s="7"/>
      <c r="F129" s="6"/>
      <c r="G129" s="6"/>
      <c r="H129" s="6"/>
      <c r="I129" s="6"/>
      <c r="J129" s="6"/>
      <c r="K129" s="6"/>
      <c r="L129" s="6"/>
      <c r="M129" s="6"/>
      <c r="N129" s="6"/>
      <c r="O129" s="6"/>
      <c r="P129" s="6"/>
      <c r="Q129" s="6"/>
      <c r="R129" s="6"/>
      <c r="S129" s="6"/>
      <c r="T129" s="6"/>
      <c r="U129" s="6"/>
      <c r="V129" s="6"/>
      <c r="W129" s="6"/>
    </row>
    <row r="130" spans="1:23" ht="16" x14ac:dyDescent="0.2">
      <c r="A130"/>
      <c r="B130"/>
      <c r="C130"/>
      <c r="D130"/>
      <c r="E130" s="7"/>
      <c r="F130" s="6"/>
      <c r="G130" s="6"/>
      <c r="H130" s="6"/>
      <c r="I130" s="6"/>
      <c r="J130" s="6"/>
      <c r="K130" s="6"/>
      <c r="L130" s="6"/>
      <c r="M130" s="6"/>
      <c r="N130" s="6"/>
      <c r="O130" s="6"/>
      <c r="P130" s="6"/>
      <c r="Q130" s="6"/>
      <c r="R130" s="6"/>
      <c r="S130" s="6"/>
      <c r="T130" s="6"/>
      <c r="U130" s="6"/>
      <c r="V130" s="6"/>
      <c r="W130" s="6"/>
    </row>
    <row r="131" spans="1:23" ht="16" x14ac:dyDescent="0.2">
      <c r="A131"/>
      <c r="B131"/>
      <c r="C131"/>
      <c r="D131"/>
      <c r="E131" s="7"/>
      <c r="F131" s="6"/>
      <c r="G131" s="6"/>
      <c r="H131" s="6"/>
      <c r="I131" s="6"/>
      <c r="J131" s="6"/>
      <c r="K131" s="6"/>
      <c r="L131" s="6"/>
      <c r="M131" s="6"/>
      <c r="N131" s="6"/>
      <c r="O131" s="6"/>
      <c r="P131" s="6"/>
      <c r="Q131" s="6"/>
      <c r="R131" s="6"/>
      <c r="S131" s="6"/>
      <c r="T131" s="6"/>
      <c r="U131" s="6"/>
      <c r="V131" s="6"/>
      <c r="W131" s="6"/>
    </row>
    <row r="132" spans="1:23" ht="16" x14ac:dyDescent="0.2">
      <c r="A132"/>
      <c r="B132"/>
      <c r="C132"/>
      <c r="D132"/>
      <c r="E132" s="7"/>
      <c r="F132" s="6"/>
      <c r="G132" s="6"/>
      <c r="H132" s="6"/>
      <c r="I132" s="6"/>
      <c r="J132" s="6"/>
      <c r="K132" s="6"/>
      <c r="L132" s="6"/>
      <c r="M132" s="6"/>
      <c r="N132" s="6"/>
      <c r="O132" s="6"/>
      <c r="P132" s="6"/>
      <c r="Q132" s="6"/>
      <c r="R132" s="6"/>
      <c r="S132" s="6"/>
      <c r="T132" s="6"/>
      <c r="U132" s="6"/>
      <c r="V132" s="6"/>
      <c r="W132" s="6"/>
    </row>
    <row r="133" spans="1:23" ht="16" x14ac:dyDescent="0.2">
      <c r="A133"/>
      <c r="B133"/>
      <c r="C133"/>
      <c r="D133"/>
      <c r="E133" s="7"/>
      <c r="F133" s="6"/>
      <c r="G133" s="6"/>
      <c r="H133" s="6"/>
      <c r="I133" s="6"/>
      <c r="J133" s="6"/>
      <c r="K133" s="6"/>
      <c r="L133" s="6"/>
      <c r="M133" s="6"/>
      <c r="N133" s="6"/>
      <c r="O133" s="6"/>
      <c r="P133" s="6"/>
      <c r="Q133" s="6"/>
      <c r="R133" s="6"/>
      <c r="S133" s="6"/>
      <c r="T133" s="6"/>
      <c r="U133" s="6"/>
      <c r="V133" s="6"/>
      <c r="W133" s="6"/>
    </row>
    <row r="134" spans="1:23" ht="16" x14ac:dyDescent="0.2">
      <c r="A134"/>
      <c r="B134"/>
      <c r="C134"/>
      <c r="D134"/>
      <c r="E134" s="7"/>
      <c r="F134" s="6"/>
      <c r="G134" s="6"/>
      <c r="H134" s="6"/>
      <c r="I134" s="6"/>
      <c r="J134" s="6"/>
      <c r="K134" s="6"/>
      <c r="L134" s="6"/>
      <c r="M134" s="6"/>
      <c r="N134" s="6"/>
      <c r="O134" s="6"/>
      <c r="P134" s="6"/>
      <c r="Q134" s="6"/>
      <c r="R134" s="6"/>
      <c r="S134" s="6"/>
      <c r="T134" s="6"/>
      <c r="U134" s="6"/>
      <c r="V134" s="6"/>
      <c r="W134" s="6"/>
    </row>
    <row r="135" spans="1:23" ht="16" x14ac:dyDescent="0.2">
      <c r="A135"/>
      <c r="B135"/>
      <c r="C135"/>
      <c r="D135"/>
      <c r="E135" s="7"/>
      <c r="F135" s="6"/>
      <c r="G135" s="6"/>
      <c r="H135" s="6"/>
      <c r="I135" s="6"/>
      <c r="J135" s="6"/>
      <c r="K135" s="6"/>
      <c r="L135" s="6"/>
      <c r="M135" s="6"/>
      <c r="N135" s="6"/>
      <c r="O135" s="6"/>
      <c r="P135" s="6"/>
      <c r="Q135" s="6"/>
      <c r="R135" s="6"/>
      <c r="S135" s="6"/>
      <c r="T135" s="6"/>
      <c r="U135" s="6"/>
      <c r="V135" s="6"/>
      <c r="W135" s="6"/>
    </row>
    <row r="136" spans="1:23" ht="16" x14ac:dyDescent="0.2">
      <c r="A136"/>
      <c r="B136"/>
      <c r="C136"/>
      <c r="D136"/>
      <c r="E136" s="7"/>
      <c r="F136" s="6"/>
      <c r="G136" s="6"/>
      <c r="H136" s="6"/>
      <c r="I136" s="6"/>
      <c r="J136" s="6"/>
      <c r="K136" s="6"/>
      <c r="L136" s="6"/>
      <c r="M136" s="6"/>
      <c r="N136" s="6"/>
      <c r="O136" s="6"/>
      <c r="P136" s="6"/>
      <c r="Q136" s="6"/>
      <c r="R136" s="6"/>
      <c r="S136" s="6"/>
      <c r="T136" s="6"/>
      <c r="U136" s="6"/>
      <c r="V136" s="6"/>
      <c r="W136" s="6"/>
    </row>
    <row r="137" spans="1:23" ht="16" x14ac:dyDescent="0.2">
      <c r="A137"/>
      <c r="B137"/>
      <c r="C137"/>
      <c r="D137"/>
      <c r="E137" s="7"/>
      <c r="F137" s="6"/>
      <c r="G137" s="6"/>
      <c r="H137" s="6"/>
      <c r="I137" s="6"/>
      <c r="J137" s="6"/>
      <c r="K137" s="6"/>
      <c r="L137" s="6"/>
      <c r="M137" s="6"/>
      <c r="N137" s="6"/>
      <c r="O137" s="6"/>
      <c r="P137" s="6"/>
      <c r="Q137" s="6"/>
      <c r="R137" s="6"/>
      <c r="S137" s="6"/>
      <c r="T137" s="6"/>
      <c r="U137" s="6"/>
      <c r="V137" s="6"/>
      <c r="W137" s="6"/>
    </row>
    <row r="138" spans="1:23" ht="16" x14ac:dyDescent="0.2">
      <c r="A138"/>
      <c r="B138"/>
      <c r="C138"/>
      <c r="D138"/>
      <c r="E138" s="7"/>
      <c r="F138" s="6"/>
      <c r="G138" s="6"/>
      <c r="H138" s="6"/>
      <c r="I138" s="6"/>
      <c r="J138" s="6"/>
      <c r="K138" s="6"/>
      <c r="L138" s="6"/>
      <c r="M138" s="6"/>
      <c r="N138" s="6"/>
      <c r="O138" s="6"/>
      <c r="P138" s="6"/>
      <c r="Q138" s="6"/>
      <c r="R138" s="6"/>
      <c r="S138" s="6"/>
      <c r="T138" s="6"/>
      <c r="U138" s="6"/>
      <c r="V138" s="6"/>
      <c r="W138" s="6"/>
    </row>
    <row r="139" spans="1:23" ht="16" x14ac:dyDescent="0.2">
      <c r="A139"/>
      <c r="B139"/>
      <c r="C139"/>
      <c r="D139"/>
      <c r="E139" s="7"/>
      <c r="F139" s="6"/>
      <c r="G139" s="6"/>
      <c r="H139" s="6"/>
      <c r="I139" s="6"/>
      <c r="J139" s="6"/>
      <c r="K139" s="6"/>
      <c r="L139" s="6"/>
      <c r="M139" s="6"/>
      <c r="N139" s="6"/>
      <c r="O139" s="6"/>
      <c r="P139" s="6"/>
      <c r="Q139" s="6"/>
      <c r="R139" s="6"/>
      <c r="S139" s="6"/>
      <c r="T139" s="6"/>
      <c r="U139" s="6"/>
      <c r="V139" s="6"/>
      <c r="W139" s="6"/>
    </row>
    <row r="140" spans="1:23" ht="16" x14ac:dyDescent="0.2">
      <c r="A140"/>
      <c r="B140"/>
      <c r="C140"/>
      <c r="D140"/>
      <c r="E140" s="7"/>
      <c r="F140" s="6"/>
      <c r="G140" s="6"/>
      <c r="H140" s="6"/>
      <c r="I140" s="6"/>
      <c r="J140" s="6"/>
      <c r="K140" s="6"/>
      <c r="L140" s="6"/>
      <c r="M140" s="6"/>
      <c r="N140" s="6"/>
      <c r="O140" s="6"/>
      <c r="P140" s="6"/>
      <c r="Q140" s="6"/>
      <c r="R140" s="6"/>
      <c r="S140" s="6"/>
      <c r="T140" s="6"/>
      <c r="U140" s="6"/>
      <c r="V140" s="6"/>
      <c r="W140" s="6"/>
    </row>
    <row r="141" spans="1:23" ht="16" x14ac:dyDescent="0.2">
      <c r="A141"/>
      <c r="B141"/>
      <c r="C141"/>
      <c r="D141"/>
      <c r="E141" s="7"/>
      <c r="F141" s="6"/>
      <c r="G141" s="6"/>
      <c r="H141" s="6"/>
      <c r="I141" s="6"/>
      <c r="J141" s="6"/>
      <c r="K141" s="6"/>
      <c r="L141" s="6"/>
      <c r="M141" s="6"/>
      <c r="N141" s="6"/>
      <c r="O141" s="6"/>
      <c r="P141" s="6"/>
      <c r="Q141" s="6"/>
      <c r="R141" s="6"/>
      <c r="S141" s="6"/>
      <c r="T141" s="6"/>
      <c r="U141" s="6"/>
      <c r="V141" s="6"/>
      <c r="W141" s="6"/>
    </row>
    <row r="142" spans="1:23" ht="16" x14ac:dyDescent="0.2">
      <c r="A142"/>
      <c r="B142"/>
      <c r="C142"/>
      <c r="D142"/>
      <c r="E142" s="7"/>
      <c r="F142" s="6"/>
      <c r="G142" s="6"/>
      <c r="H142" s="6"/>
      <c r="I142" s="6"/>
      <c r="J142" s="6"/>
      <c r="K142" s="6"/>
      <c r="L142" s="6"/>
      <c r="M142" s="6"/>
      <c r="N142" s="6"/>
      <c r="O142" s="6"/>
      <c r="P142" s="6"/>
      <c r="Q142" s="6"/>
      <c r="R142" s="6"/>
      <c r="S142" s="6"/>
      <c r="T142" s="6"/>
      <c r="U142" s="6"/>
      <c r="V142" s="6"/>
      <c r="W142" s="6"/>
    </row>
    <row r="143" spans="1:23" ht="16" x14ac:dyDescent="0.2">
      <c r="A143"/>
      <c r="B143"/>
      <c r="C143"/>
      <c r="D143"/>
      <c r="E143" s="7"/>
      <c r="F143" s="6"/>
      <c r="G143" s="6"/>
      <c r="H143" s="6"/>
      <c r="I143" s="6"/>
      <c r="J143" s="6"/>
      <c r="K143" s="6"/>
      <c r="L143" s="6"/>
      <c r="M143" s="6"/>
      <c r="N143" s="6"/>
      <c r="O143" s="6"/>
      <c r="P143" s="6"/>
      <c r="Q143" s="6"/>
      <c r="R143" s="6"/>
      <c r="S143" s="6"/>
      <c r="T143" s="6"/>
      <c r="U143" s="6"/>
      <c r="V143" s="6"/>
      <c r="W143" s="6"/>
    </row>
    <row r="144" spans="1:23" ht="16" x14ac:dyDescent="0.2">
      <c r="A144"/>
      <c r="B144"/>
      <c r="C144"/>
      <c r="D144"/>
      <c r="E144" s="7"/>
      <c r="F144" s="6"/>
      <c r="G144" s="6"/>
      <c r="H144" s="6"/>
      <c r="I144" s="6"/>
      <c r="J144" s="6"/>
      <c r="K144" s="6"/>
      <c r="L144" s="6"/>
      <c r="M144" s="6"/>
      <c r="N144" s="6"/>
      <c r="O144" s="6"/>
      <c r="P144" s="6"/>
      <c r="Q144" s="6"/>
      <c r="R144" s="6"/>
      <c r="S144" s="6"/>
      <c r="T144" s="6"/>
      <c r="U144" s="6"/>
      <c r="V144" s="6"/>
      <c r="W144" s="6"/>
    </row>
    <row r="145" spans="1:23" ht="16" x14ac:dyDescent="0.2">
      <c r="A145"/>
      <c r="B145"/>
      <c r="C145"/>
      <c r="D145"/>
      <c r="E145" s="7"/>
      <c r="F145" s="6"/>
      <c r="G145" s="6"/>
      <c r="H145" s="6"/>
      <c r="I145" s="6"/>
      <c r="J145" s="6"/>
      <c r="K145" s="6"/>
      <c r="L145" s="6"/>
      <c r="M145" s="6"/>
      <c r="N145" s="6"/>
      <c r="O145" s="6"/>
      <c r="P145" s="6"/>
      <c r="Q145" s="6"/>
      <c r="R145" s="6"/>
      <c r="S145" s="6"/>
      <c r="T145" s="6"/>
      <c r="U145" s="6"/>
      <c r="V145" s="6"/>
      <c r="W145" s="6"/>
    </row>
    <row r="146" spans="1:23" ht="16" x14ac:dyDescent="0.2">
      <c r="A146"/>
      <c r="B146"/>
      <c r="C146"/>
      <c r="D146"/>
      <c r="E146" s="7"/>
      <c r="F146" s="6"/>
      <c r="G146" s="6"/>
      <c r="H146" s="6"/>
      <c r="I146" s="6"/>
      <c r="J146" s="6"/>
      <c r="K146" s="6"/>
      <c r="L146" s="6"/>
      <c r="M146" s="6"/>
      <c r="N146" s="6"/>
      <c r="O146" s="6"/>
      <c r="P146" s="6"/>
      <c r="Q146" s="6"/>
      <c r="R146" s="6"/>
      <c r="S146" s="6"/>
      <c r="T146" s="6"/>
      <c r="U146" s="6"/>
      <c r="V146" s="6"/>
      <c r="W146" s="6"/>
    </row>
    <row r="147" spans="1:23" ht="16" x14ac:dyDescent="0.2">
      <c r="A147"/>
      <c r="B147"/>
      <c r="C147"/>
      <c r="D147"/>
      <c r="E147" s="7"/>
      <c r="F147" s="6"/>
      <c r="G147" s="6"/>
      <c r="H147" s="6"/>
      <c r="I147" s="6"/>
      <c r="J147" s="6"/>
      <c r="K147" s="6"/>
      <c r="L147" s="6"/>
      <c r="M147" s="6"/>
      <c r="N147" s="6"/>
      <c r="O147" s="6"/>
      <c r="P147" s="6"/>
      <c r="Q147" s="6"/>
      <c r="R147" s="6"/>
      <c r="S147" s="6"/>
      <c r="T147" s="6"/>
      <c r="U147" s="6"/>
      <c r="V147" s="6"/>
      <c r="W147" s="6"/>
    </row>
    <row r="148" spans="1:23" ht="16" x14ac:dyDescent="0.2">
      <c r="A148"/>
      <c r="B148"/>
      <c r="C148"/>
      <c r="D148"/>
      <c r="E148" s="7"/>
      <c r="F148" s="6"/>
      <c r="G148" s="6"/>
      <c r="H148" s="6"/>
      <c r="I148" s="6"/>
      <c r="J148" s="6"/>
      <c r="K148" s="6"/>
      <c r="L148" s="6"/>
      <c r="M148" s="6"/>
      <c r="N148" s="6"/>
      <c r="O148" s="6"/>
      <c r="P148" s="6"/>
      <c r="Q148" s="6"/>
      <c r="R148" s="6"/>
      <c r="S148" s="6"/>
      <c r="T148" s="6"/>
      <c r="U148" s="6"/>
      <c r="V148" s="6"/>
      <c r="W148" s="6"/>
    </row>
    <row r="149" spans="1:23" ht="16" x14ac:dyDescent="0.2">
      <c r="A149"/>
      <c r="B149"/>
      <c r="C149"/>
      <c r="D149"/>
      <c r="E149" s="7"/>
      <c r="F149" s="6"/>
      <c r="G149" s="6"/>
      <c r="H149" s="6"/>
      <c r="I149" s="6"/>
      <c r="J149" s="6"/>
      <c r="K149" s="6"/>
      <c r="L149" s="6"/>
      <c r="M149" s="6"/>
      <c r="N149" s="6"/>
      <c r="O149" s="6"/>
      <c r="P149" s="6"/>
      <c r="Q149" s="6"/>
      <c r="R149" s="6"/>
      <c r="S149" s="6"/>
      <c r="T149" s="6"/>
      <c r="U149" s="6"/>
      <c r="V149" s="6"/>
      <c r="W149" s="6"/>
    </row>
    <row r="150" spans="1:23" ht="16" x14ac:dyDescent="0.2">
      <c r="A150"/>
      <c r="B150"/>
      <c r="C150"/>
      <c r="D150"/>
      <c r="E150" s="7"/>
      <c r="F150" s="6"/>
      <c r="G150" s="6"/>
      <c r="H150" s="6"/>
      <c r="I150" s="6"/>
      <c r="J150" s="6"/>
      <c r="K150" s="6"/>
      <c r="L150" s="6"/>
      <c r="M150" s="6"/>
      <c r="N150" s="6"/>
      <c r="O150" s="6"/>
      <c r="P150" s="6"/>
      <c r="Q150" s="6"/>
      <c r="R150" s="6"/>
      <c r="S150" s="6"/>
      <c r="T150" s="6"/>
      <c r="U150" s="6"/>
      <c r="V150" s="6"/>
      <c r="W150" s="6"/>
    </row>
    <row r="151" spans="1:23" ht="16" x14ac:dyDescent="0.2">
      <c r="A151"/>
      <c r="B151"/>
      <c r="C151"/>
      <c r="D151"/>
      <c r="E151" s="7"/>
      <c r="F151" s="6"/>
      <c r="G151" s="6"/>
      <c r="H151" s="6"/>
      <c r="I151" s="6"/>
      <c r="J151" s="6"/>
      <c r="K151" s="6"/>
      <c r="L151" s="6"/>
      <c r="M151" s="6"/>
      <c r="N151" s="6"/>
      <c r="O151" s="6"/>
      <c r="P151" s="6"/>
      <c r="Q151" s="6"/>
      <c r="R151" s="6"/>
      <c r="S151" s="6"/>
      <c r="T151" s="6"/>
      <c r="U151" s="6"/>
      <c r="V151" s="6"/>
      <c r="W151" s="6"/>
    </row>
    <row r="152" spans="1:23" ht="16" x14ac:dyDescent="0.2">
      <c r="A152"/>
      <c r="B152"/>
      <c r="C152"/>
      <c r="D152"/>
      <c r="E152" s="7"/>
      <c r="F152" s="6"/>
      <c r="G152" s="6"/>
      <c r="H152" s="6"/>
      <c r="I152" s="6"/>
      <c r="J152" s="6"/>
      <c r="K152" s="6"/>
      <c r="L152" s="6"/>
      <c r="M152" s="6"/>
      <c r="N152" s="6"/>
      <c r="O152" s="6"/>
      <c r="P152" s="6"/>
      <c r="Q152" s="6"/>
      <c r="R152" s="6"/>
      <c r="S152" s="6"/>
      <c r="T152" s="6"/>
      <c r="U152" s="6"/>
      <c r="V152" s="6"/>
      <c r="W152" s="6"/>
    </row>
    <row r="153" spans="1:23" ht="16" x14ac:dyDescent="0.2">
      <c r="A153"/>
      <c r="B153"/>
      <c r="C153"/>
      <c r="D153"/>
      <c r="E153" s="7"/>
      <c r="F153" s="6"/>
      <c r="G153" s="6"/>
      <c r="H153" s="6"/>
      <c r="I153" s="6"/>
      <c r="J153" s="6"/>
      <c r="K153" s="6"/>
      <c r="L153" s="6"/>
      <c r="M153" s="6"/>
      <c r="N153" s="6"/>
      <c r="O153" s="6"/>
      <c r="P153" s="6"/>
      <c r="Q153" s="6"/>
      <c r="R153" s="6"/>
      <c r="S153" s="6"/>
      <c r="T153" s="6"/>
      <c r="U153" s="6"/>
      <c r="V153" s="6"/>
      <c r="W153" s="6"/>
    </row>
    <row r="154" spans="1:23" ht="16" x14ac:dyDescent="0.2">
      <c r="A154"/>
      <c r="B154"/>
      <c r="C154"/>
      <c r="D154"/>
      <c r="E154" s="7"/>
      <c r="F154" s="6"/>
      <c r="G154" s="6"/>
      <c r="H154" s="6"/>
      <c r="I154" s="6"/>
      <c r="J154" s="6"/>
      <c r="K154" s="6"/>
      <c r="L154" s="6"/>
      <c r="M154" s="6"/>
      <c r="N154" s="6"/>
      <c r="O154" s="6"/>
      <c r="P154" s="6"/>
      <c r="Q154" s="6"/>
      <c r="R154" s="6"/>
      <c r="S154" s="6"/>
      <c r="T154" s="6"/>
      <c r="U154" s="6"/>
      <c r="V154" s="6"/>
      <c r="W154" s="6"/>
    </row>
    <row r="155" spans="1:23" ht="16" x14ac:dyDescent="0.2">
      <c r="A155"/>
      <c r="B155"/>
      <c r="C155"/>
      <c r="D155"/>
      <c r="E155" s="7"/>
      <c r="F155" s="6"/>
      <c r="G155" s="6"/>
      <c r="H155" s="6"/>
      <c r="I155" s="6"/>
      <c r="J155" s="6"/>
      <c r="K155" s="6"/>
      <c r="L155" s="6"/>
      <c r="M155" s="6"/>
      <c r="N155" s="6"/>
      <c r="O155" s="6"/>
      <c r="P155" s="6"/>
      <c r="Q155" s="6"/>
      <c r="R155" s="6"/>
      <c r="S155" s="6"/>
      <c r="T155" s="6"/>
      <c r="U155" s="6"/>
      <c r="V155" s="6"/>
      <c r="W155" s="6"/>
    </row>
    <row r="156" spans="1:23" ht="16" x14ac:dyDescent="0.2">
      <c r="A156"/>
      <c r="B156"/>
      <c r="C156"/>
      <c r="D156"/>
      <c r="E156" s="7"/>
      <c r="F156" s="6"/>
      <c r="G156" s="6"/>
      <c r="H156" s="6"/>
      <c r="I156" s="6"/>
      <c r="J156" s="6"/>
      <c r="K156" s="6"/>
      <c r="L156" s="6"/>
      <c r="M156" s="6"/>
      <c r="N156" s="6"/>
      <c r="O156" s="6"/>
      <c r="P156" s="6"/>
      <c r="Q156" s="6"/>
      <c r="R156" s="6"/>
      <c r="S156" s="6"/>
      <c r="T156" s="6"/>
      <c r="U156" s="6"/>
      <c r="V156" s="6"/>
      <c r="W156" s="6"/>
    </row>
    <row r="157" spans="1:23" ht="16" x14ac:dyDescent="0.2">
      <c r="A157"/>
      <c r="B157"/>
      <c r="C157"/>
      <c r="D157"/>
      <c r="E157" s="7"/>
      <c r="F157" s="6"/>
      <c r="G157" s="6"/>
      <c r="H157" s="6"/>
      <c r="I157" s="6"/>
      <c r="J157" s="6"/>
      <c r="K157" s="6"/>
      <c r="L157" s="6"/>
      <c r="M157" s="6"/>
      <c r="N157" s="6"/>
      <c r="O157" s="6"/>
      <c r="P157" s="6"/>
      <c r="Q157" s="6"/>
      <c r="R157" s="6"/>
      <c r="S157" s="6"/>
      <c r="T157" s="6"/>
      <c r="U157" s="6"/>
      <c r="V157" s="6"/>
      <c r="W157" s="6"/>
    </row>
    <row r="158" spans="1:23" ht="16" x14ac:dyDescent="0.2">
      <c r="A158"/>
      <c r="B158"/>
      <c r="C158"/>
      <c r="D158"/>
      <c r="E158" s="7"/>
      <c r="F158" s="6"/>
      <c r="G158" s="6"/>
      <c r="H158" s="6"/>
      <c r="I158" s="6"/>
      <c r="J158" s="6"/>
      <c r="K158" s="6"/>
      <c r="L158" s="6"/>
      <c r="M158" s="6"/>
      <c r="N158" s="6"/>
      <c r="O158" s="6"/>
      <c r="P158" s="6"/>
      <c r="Q158" s="6"/>
      <c r="R158" s="6"/>
      <c r="S158" s="6"/>
      <c r="T158" s="6"/>
      <c r="U158" s="6"/>
      <c r="V158" s="6"/>
      <c r="W158" s="6"/>
    </row>
    <row r="159" spans="1:23" ht="16" x14ac:dyDescent="0.2">
      <c r="A159"/>
      <c r="B159"/>
      <c r="C159"/>
      <c r="D159"/>
      <c r="E159" s="7"/>
      <c r="F159" s="6"/>
      <c r="G159" s="6"/>
      <c r="H159" s="6"/>
      <c r="I159" s="6"/>
      <c r="J159" s="6"/>
      <c r="K159" s="6"/>
      <c r="L159" s="6"/>
      <c r="M159" s="6"/>
      <c r="N159" s="6"/>
      <c r="O159" s="6"/>
      <c r="P159" s="6"/>
      <c r="Q159" s="6"/>
      <c r="R159" s="6"/>
      <c r="S159" s="6"/>
      <c r="T159" s="6"/>
      <c r="U159" s="6"/>
      <c r="V159" s="6"/>
      <c r="W159" s="6"/>
    </row>
    <row r="160" spans="1:23" ht="16" x14ac:dyDescent="0.2">
      <c r="A160"/>
      <c r="B160"/>
      <c r="C160"/>
      <c r="D160"/>
      <c r="E160" s="7"/>
      <c r="F160" s="6"/>
      <c r="G160" s="6"/>
      <c r="H160" s="6"/>
      <c r="I160" s="6"/>
      <c r="J160" s="6"/>
      <c r="K160" s="6"/>
      <c r="L160" s="6"/>
      <c r="M160" s="6"/>
      <c r="N160" s="6"/>
      <c r="O160" s="6"/>
      <c r="P160" s="6"/>
      <c r="Q160" s="6"/>
      <c r="R160" s="6"/>
      <c r="S160" s="6"/>
      <c r="T160" s="6"/>
      <c r="U160" s="6"/>
      <c r="V160" s="6"/>
      <c r="W160" s="6"/>
    </row>
    <row r="161" spans="1:23" ht="16" x14ac:dyDescent="0.2">
      <c r="A161"/>
      <c r="B161"/>
      <c r="C161"/>
      <c r="D161"/>
      <c r="E161" s="7"/>
      <c r="F161" s="6"/>
      <c r="G161" s="6"/>
      <c r="H161" s="6"/>
      <c r="I161" s="6"/>
      <c r="J161" s="6"/>
      <c r="K161" s="6"/>
      <c r="L161" s="6"/>
      <c r="M161" s="6"/>
      <c r="N161" s="6"/>
      <c r="O161" s="6"/>
      <c r="P161" s="6"/>
      <c r="Q161" s="6"/>
      <c r="R161" s="6"/>
      <c r="S161" s="6"/>
      <c r="T161" s="6"/>
      <c r="U161" s="6"/>
      <c r="V161" s="6"/>
      <c r="W161" s="6"/>
    </row>
    <row r="162" spans="1:23" ht="16" x14ac:dyDescent="0.2">
      <c r="A162"/>
      <c r="B162"/>
      <c r="C162"/>
      <c r="D162"/>
      <c r="E162" s="7"/>
      <c r="F162" s="6"/>
      <c r="G162" s="6"/>
      <c r="H162" s="6"/>
      <c r="I162" s="6"/>
      <c r="J162" s="6"/>
      <c r="K162" s="6"/>
      <c r="L162" s="6"/>
      <c r="M162" s="6"/>
      <c r="N162" s="6"/>
      <c r="O162" s="6"/>
      <c r="P162" s="6"/>
      <c r="Q162" s="6"/>
      <c r="R162" s="6"/>
      <c r="S162" s="6"/>
      <c r="T162" s="6"/>
      <c r="U162" s="6"/>
      <c r="V162" s="6"/>
      <c r="W162" s="6"/>
    </row>
    <row r="163" spans="1:23" ht="16" x14ac:dyDescent="0.2">
      <c r="A163"/>
      <c r="B163"/>
      <c r="C163"/>
      <c r="D163"/>
      <c r="E163" s="7"/>
      <c r="F163" s="6"/>
      <c r="G163" s="6"/>
      <c r="H163" s="6"/>
      <c r="I163" s="6"/>
      <c r="J163" s="6"/>
      <c r="K163" s="6"/>
      <c r="L163" s="6"/>
      <c r="M163" s="6"/>
      <c r="N163" s="6"/>
      <c r="O163" s="6"/>
      <c r="P163" s="6"/>
      <c r="Q163" s="6"/>
      <c r="R163" s="6"/>
      <c r="S163" s="6"/>
      <c r="T163" s="6"/>
      <c r="U163" s="6"/>
      <c r="V163" s="6"/>
      <c r="W163" s="6"/>
    </row>
    <row r="164" spans="1:23" ht="16" x14ac:dyDescent="0.2">
      <c r="A164"/>
      <c r="B164"/>
      <c r="C164"/>
      <c r="D164"/>
      <c r="E164" s="7"/>
      <c r="F164" s="6"/>
      <c r="G164" s="6"/>
      <c r="H164" s="6"/>
      <c r="I164" s="6"/>
      <c r="J164" s="6"/>
      <c r="K164" s="6"/>
      <c r="L164" s="6"/>
      <c r="M164" s="6"/>
      <c r="N164" s="6"/>
      <c r="O164" s="6"/>
      <c r="P164" s="6"/>
      <c r="Q164" s="6"/>
      <c r="R164" s="6"/>
      <c r="S164" s="6"/>
      <c r="T164" s="6"/>
      <c r="U164" s="6"/>
      <c r="V164" s="6"/>
      <c r="W164" s="6"/>
    </row>
    <row r="165" spans="1:23" ht="16" x14ac:dyDescent="0.2">
      <c r="A165"/>
      <c r="B165"/>
      <c r="C165"/>
      <c r="D165"/>
      <c r="E165" s="7"/>
      <c r="F165" s="6"/>
      <c r="G165" s="6"/>
      <c r="H165" s="6"/>
      <c r="I165" s="6"/>
      <c r="J165" s="6"/>
      <c r="K165" s="6"/>
      <c r="L165" s="6"/>
      <c r="M165" s="6"/>
      <c r="N165" s="6"/>
      <c r="O165" s="6"/>
      <c r="P165" s="6"/>
      <c r="Q165" s="6"/>
      <c r="R165" s="6"/>
      <c r="S165" s="6"/>
      <c r="T165" s="6"/>
      <c r="U165" s="6"/>
      <c r="V165" s="6"/>
      <c r="W165" s="6"/>
    </row>
    <row r="166" spans="1:23" ht="16" x14ac:dyDescent="0.2">
      <c r="A166"/>
      <c r="B166"/>
      <c r="C166"/>
      <c r="D166"/>
      <c r="E166" s="7"/>
      <c r="F166" s="6"/>
      <c r="G166" s="6"/>
      <c r="H166" s="6"/>
      <c r="I166" s="6"/>
      <c r="J166" s="6"/>
      <c r="K166" s="6"/>
      <c r="L166" s="6"/>
      <c r="M166" s="6"/>
      <c r="N166" s="6"/>
      <c r="O166" s="6"/>
      <c r="P166" s="6"/>
      <c r="Q166" s="6"/>
      <c r="R166" s="6"/>
      <c r="S166" s="6"/>
      <c r="T166" s="6"/>
      <c r="U166" s="6"/>
      <c r="V166" s="6"/>
      <c r="W166" s="6"/>
    </row>
    <row r="167" spans="1:23" ht="16" x14ac:dyDescent="0.2">
      <c r="A167"/>
      <c r="B167"/>
      <c r="C167"/>
      <c r="D167"/>
      <c r="E167" s="7"/>
      <c r="F167" s="6"/>
      <c r="G167" s="6"/>
      <c r="H167" s="6"/>
      <c r="I167" s="6"/>
      <c r="J167" s="6"/>
      <c r="K167" s="6"/>
      <c r="L167" s="6"/>
      <c r="M167" s="6"/>
      <c r="N167" s="6"/>
      <c r="O167" s="6"/>
      <c r="P167" s="6"/>
      <c r="Q167" s="6"/>
      <c r="R167" s="6"/>
      <c r="S167" s="6"/>
      <c r="T167" s="6"/>
      <c r="U167" s="6"/>
      <c r="V167" s="6"/>
      <c r="W167" s="6"/>
    </row>
    <row r="168" spans="1:23" ht="16" x14ac:dyDescent="0.2">
      <c r="A168"/>
      <c r="B168"/>
      <c r="C168"/>
      <c r="D168"/>
      <c r="E168" s="7"/>
      <c r="F168" s="6"/>
      <c r="G168" s="6"/>
      <c r="H168" s="6"/>
      <c r="I168" s="6"/>
      <c r="J168" s="6"/>
      <c r="K168" s="6"/>
      <c r="L168" s="6"/>
      <c r="M168" s="6"/>
      <c r="N168" s="6"/>
      <c r="O168" s="6"/>
      <c r="P168" s="6"/>
      <c r="Q168" s="6"/>
      <c r="R168" s="6"/>
      <c r="S168" s="6"/>
      <c r="T168" s="6"/>
      <c r="U168" s="6"/>
      <c r="V168" s="6"/>
      <c r="W168" s="6"/>
    </row>
    <row r="169" spans="1:23" ht="16" x14ac:dyDescent="0.2">
      <c r="A169"/>
      <c r="B169"/>
      <c r="C169"/>
      <c r="D169"/>
      <c r="E169" s="7"/>
      <c r="F169" s="6"/>
      <c r="G169" s="6"/>
      <c r="H169" s="6"/>
      <c r="I169" s="6"/>
      <c r="J169" s="6"/>
      <c r="K169" s="6"/>
      <c r="L169" s="6"/>
      <c r="M169" s="6"/>
      <c r="N169" s="6"/>
      <c r="O169" s="6"/>
      <c r="P169" s="6"/>
      <c r="Q169" s="6"/>
      <c r="R169" s="6"/>
      <c r="S169" s="6"/>
      <c r="T169" s="6"/>
      <c r="U169" s="6"/>
      <c r="V169" s="6"/>
      <c r="W169" s="6"/>
    </row>
    <row r="170" spans="1:23" ht="16" x14ac:dyDescent="0.2">
      <c r="A170"/>
      <c r="B170"/>
      <c r="C170"/>
      <c r="D170"/>
      <c r="E170" s="7"/>
      <c r="F170" s="6"/>
      <c r="G170" s="6"/>
      <c r="H170" s="6"/>
      <c r="I170" s="6"/>
      <c r="J170" s="6"/>
      <c r="K170" s="6"/>
      <c r="L170" s="6"/>
      <c r="M170" s="6"/>
      <c r="N170" s="6"/>
      <c r="O170" s="6"/>
      <c r="P170" s="6"/>
      <c r="Q170" s="6"/>
      <c r="R170" s="6"/>
      <c r="S170" s="6"/>
      <c r="T170" s="6"/>
      <c r="U170" s="6"/>
      <c r="V170" s="6"/>
      <c r="W170" s="6"/>
    </row>
    <row r="171" spans="1:23" ht="16" x14ac:dyDescent="0.2">
      <c r="A171"/>
      <c r="B171"/>
      <c r="C171"/>
      <c r="D171"/>
      <c r="E171" s="7"/>
      <c r="F171" s="6"/>
      <c r="G171" s="6"/>
      <c r="H171" s="6"/>
      <c r="I171" s="6"/>
      <c r="J171" s="6"/>
      <c r="K171" s="6"/>
      <c r="L171" s="6"/>
      <c r="M171" s="6"/>
      <c r="N171" s="6"/>
      <c r="O171" s="6"/>
      <c r="P171" s="6"/>
      <c r="Q171" s="6"/>
      <c r="R171" s="6"/>
      <c r="S171" s="6"/>
      <c r="T171" s="6"/>
      <c r="U171" s="6"/>
      <c r="V171" s="6"/>
      <c r="W171" s="6"/>
    </row>
    <row r="172" spans="1:23" ht="16" x14ac:dyDescent="0.2">
      <c r="A172"/>
      <c r="B172"/>
      <c r="C172"/>
      <c r="D172"/>
      <c r="E172" s="7"/>
      <c r="F172" s="6"/>
      <c r="G172" s="6"/>
      <c r="H172" s="6"/>
      <c r="I172" s="6"/>
      <c r="J172" s="6"/>
      <c r="K172" s="6"/>
      <c r="L172" s="6"/>
      <c r="M172" s="6"/>
      <c r="N172" s="6"/>
      <c r="O172" s="6"/>
      <c r="P172" s="6"/>
      <c r="Q172" s="6"/>
      <c r="R172" s="6"/>
      <c r="S172" s="6"/>
      <c r="T172" s="6"/>
      <c r="U172" s="6"/>
      <c r="V172" s="6"/>
      <c r="W172" s="6"/>
    </row>
    <row r="173" spans="1:23" ht="16" x14ac:dyDescent="0.2">
      <c r="A173"/>
      <c r="B173"/>
      <c r="C173"/>
      <c r="D173"/>
      <c r="E173" s="7"/>
      <c r="F173" s="6"/>
      <c r="G173" s="6"/>
      <c r="H173" s="6"/>
      <c r="I173" s="6"/>
      <c r="J173" s="6"/>
      <c r="K173" s="6"/>
      <c r="L173" s="6"/>
      <c r="M173" s="6"/>
      <c r="N173" s="6"/>
      <c r="O173" s="6"/>
      <c r="P173" s="6"/>
      <c r="Q173" s="6"/>
      <c r="R173" s="6"/>
      <c r="S173" s="6"/>
      <c r="T173" s="6"/>
      <c r="U173" s="6"/>
      <c r="V173" s="6"/>
      <c r="W173" s="6"/>
    </row>
    <row r="174" spans="1:23" ht="16" x14ac:dyDescent="0.2">
      <c r="A174"/>
      <c r="B174"/>
      <c r="C174"/>
      <c r="D174"/>
      <c r="E174" s="7"/>
      <c r="F174" s="6"/>
      <c r="G174" s="6"/>
      <c r="H174" s="6"/>
      <c r="I174" s="6"/>
      <c r="J174" s="6"/>
      <c r="K174" s="6"/>
      <c r="L174" s="6"/>
      <c r="M174" s="6"/>
      <c r="N174" s="6"/>
      <c r="O174" s="6"/>
      <c r="P174" s="6"/>
      <c r="Q174" s="6"/>
      <c r="R174" s="6"/>
      <c r="S174" s="6"/>
      <c r="T174" s="6"/>
      <c r="U174" s="6"/>
      <c r="V174" s="6"/>
      <c r="W174" s="6"/>
    </row>
    <row r="175" spans="1:23" ht="16" x14ac:dyDescent="0.2">
      <c r="A175"/>
      <c r="B175"/>
      <c r="C175"/>
      <c r="D175"/>
      <c r="E175" s="7"/>
      <c r="F175" s="6"/>
      <c r="G175" s="6"/>
      <c r="H175" s="6"/>
      <c r="I175" s="6"/>
      <c r="J175" s="6"/>
      <c r="K175" s="6"/>
      <c r="L175" s="6"/>
      <c r="M175" s="6"/>
      <c r="N175" s="6"/>
      <c r="O175" s="6"/>
      <c r="P175" s="6"/>
      <c r="Q175" s="6"/>
      <c r="R175" s="6"/>
      <c r="S175" s="6"/>
      <c r="T175" s="6"/>
      <c r="U175" s="6"/>
      <c r="V175" s="6"/>
      <c r="W175" s="6"/>
    </row>
    <row r="176" spans="1:23" ht="16" x14ac:dyDescent="0.2">
      <c r="A176"/>
      <c r="B176"/>
      <c r="C176"/>
      <c r="D176"/>
      <c r="E176" s="7"/>
      <c r="F176" s="6"/>
      <c r="G176" s="6"/>
      <c r="H176" s="6"/>
      <c r="I176" s="6"/>
      <c r="J176" s="6"/>
      <c r="K176" s="6"/>
      <c r="L176" s="6"/>
      <c r="M176" s="6"/>
      <c r="N176" s="6"/>
      <c r="O176" s="6"/>
      <c r="P176" s="6"/>
      <c r="Q176" s="6"/>
      <c r="R176" s="6"/>
      <c r="S176" s="6"/>
      <c r="T176" s="6"/>
      <c r="U176" s="6"/>
      <c r="V176" s="6"/>
      <c r="W176" s="6"/>
    </row>
    <row r="177" spans="1:23" ht="16" x14ac:dyDescent="0.2">
      <c r="A177"/>
      <c r="B177"/>
      <c r="C177"/>
      <c r="D177"/>
      <c r="E177" s="7"/>
      <c r="F177" s="6"/>
      <c r="G177" s="6"/>
      <c r="H177" s="6"/>
      <c r="I177" s="6"/>
      <c r="J177" s="6"/>
      <c r="K177" s="6"/>
      <c r="L177" s="6"/>
      <c r="M177" s="6"/>
      <c r="N177" s="6"/>
      <c r="O177" s="6"/>
      <c r="P177" s="6"/>
      <c r="Q177" s="6"/>
      <c r="R177" s="6"/>
      <c r="S177" s="6"/>
      <c r="T177" s="6"/>
      <c r="U177" s="6"/>
      <c r="V177" s="6"/>
      <c r="W177" s="6"/>
    </row>
    <row r="178" spans="1:23" ht="16" x14ac:dyDescent="0.2">
      <c r="A178"/>
      <c r="B178"/>
      <c r="C178"/>
      <c r="D178"/>
      <c r="E178" s="7"/>
      <c r="F178" s="6"/>
      <c r="G178" s="6"/>
      <c r="H178" s="6"/>
      <c r="I178" s="6"/>
      <c r="J178" s="6"/>
      <c r="K178" s="6"/>
      <c r="L178" s="6"/>
      <c r="M178" s="6"/>
      <c r="N178" s="6"/>
      <c r="O178" s="6"/>
      <c r="P178" s="6"/>
      <c r="Q178" s="6"/>
      <c r="R178" s="6"/>
      <c r="S178" s="6"/>
      <c r="T178" s="6"/>
      <c r="U178" s="6"/>
      <c r="V178" s="6"/>
      <c r="W178" s="6"/>
    </row>
    <row r="179" spans="1:23" ht="16" x14ac:dyDescent="0.2">
      <c r="A179"/>
      <c r="B179"/>
      <c r="C179"/>
      <c r="D179"/>
      <c r="E179" s="7"/>
      <c r="F179" s="6"/>
      <c r="G179" s="6"/>
      <c r="H179" s="6"/>
      <c r="I179" s="6"/>
      <c r="J179" s="6"/>
      <c r="K179" s="6"/>
      <c r="L179" s="6"/>
      <c r="M179" s="6"/>
      <c r="N179" s="6"/>
      <c r="O179" s="6"/>
      <c r="P179" s="6"/>
      <c r="Q179" s="6"/>
      <c r="R179" s="6"/>
      <c r="S179" s="6"/>
      <c r="T179" s="6"/>
      <c r="U179" s="6"/>
      <c r="V179" s="6"/>
      <c r="W179" s="6"/>
    </row>
    <row r="180" spans="1:23" ht="16" x14ac:dyDescent="0.2">
      <c r="A180"/>
      <c r="B180"/>
      <c r="C180"/>
      <c r="D180"/>
      <c r="E180" s="7"/>
      <c r="F180" s="6"/>
      <c r="G180" s="6"/>
      <c r="H180" s="6"/>
      <c r="I180" s="6"/>
      <c r="J180" s="6"/>
      <c r="K180" s="6"/>
      <c r="L180" s="6"/>
      <c r="M180" s="6"/>
      <c r="N180" s="6"/>
      <c r="O180" s="6"/>
      <c r="P180" s="6"/>
      <c r="Q180" s="6"/>
      <c r="R180" s="6"/>
      <c r="S180" s="6"/>
      <c r="T180" s="6"/>
      <c r="U180" s="6"/>
      <c r="V180" s="6"/>
      <c r="W180" s="6"/>
    </row>
    <row r="181" spans="1:23" ht="16" x14ac:dyDescent="0.2">
      <c r="A181"/>
      <c r="B181"/>
      <c r="C181"/>
      <c r="D181"/>
      <c r="E181" s="7"/>
      <c r="F181" s="6"/>
      <c r="G181" s="6"/>
      <c r="H181" s="6"/>
      <c r="I181" s="6"/>
      <c r="J181" s="6"/>
      <c r="K181" s="6"/>
      <c r="L181" s="6"/>
      <c r="M181" s="6"/>
      <c r="N181" s="6"/>
      <c r="O181" s="6"/>
      <c r="P181" s="6"/>
      <c r="Q181" s="6"/>
      <c r="R181" s="6"/>
      <c r="S181" s="6"/>
      <c r="T181" s="6"/>
      <c r="U181" s="6"/>
      <c r="V181" s="6"/>
      <c r="W181" s="6"/>
    </row>
    <row r="182" spans="1:23" ht="16" x14ac:dyDescent="0.2">
      <c r="A182"/>
      <c r="B182"/>
      <c r="C182"/>
      <c r="D182"/>
      <c r="E182" s="7"/>
      <c r="F182" s="6"/>
      <c r="G182" s="6"/>
      <c r="H182" s="6"/>
      <c r="I182" s="6"/>
      <c r="J182" s="6"/>
      <c r="K182" s="6"/>
      <c r="L182" s="6"/>
      <c r="M182" s="6"/>
      <c r="N182" s="6"/>
      <c r="O182" s="6"/>
      <c r="P182" s="6"/>
      <c r="Q182" s="6"/>
      <c r="R182" s="6"/>
      <c r="S182" s="6"/>
      <c r="T182" s="6"/>
      <c r="U182" s="6"/>
      <c r="V182" s="6"/>
      <c r="W182" s="6"/>
    </row>
    <row r="183" spans="1:23" ht="16" x14ac:dyDescent="0.2">
      <c r="A183"/>
      <c r="B183"/>
      <c r="C183"/>
      <c r="D183"/>
      <c r="E183" s="7"/>
      <c r="F183" s="6"/>
      <c r="G183" s="6"/>
      <c r="H183" s="6"/>
      <c r="I183" s="6"/>
      <c r="J183" s="6"/>
      <c r="K183" s="6"/>
      <c r="L183" s="6"/>
      <c r="M183" s="6"/>
      <c r="N183" s="6"/>
      <c r="O183" s="6"/>
      <c r="P183" s="6"/>
      <c r="Q183" s="6"/>
      <c r="R183" s="6"/>
      <c r="S183" s="6"/>
      <c r="T183" s="6"/>
      <c r="U183" s="6"/>
      <c r="V183" s="6"/>
      <c r="W183" s="6"/>
    </row>
    <row r="184" spans="1:23" ht="16" x14ac:dyDescent="0.2">
      <c r="A184"/>
      <c r="B184"/>
      <c r="C184"/>
      <c r="D184"/>
      <c r="E184" s="7"/>
      <c r="F184" s="6"/>
      <c r="G184" s="6"/>
      <c r="H184" s="6"/>
      <c r="I184" s="6"/>
      <c r="J184" s="6"/>
      <c r="K184" s="6"/>
      <c r="L184" s="6"/>
      <c r="M184" s="6"/>
      <c r="N184" s="6"/>
      <c r="O184" s="6"/>
      <c r="P184" s="6"/>
      <c r="Q184" s="6"/>
      <c r="R184" s="6"/>
      <c r="S184" s="6"/>
      <c r="T184" s="6"/>
      <c r="U184" s="6"/>
      <c r="V184" s="6"/>
      <c r="W184" s="6"/>
    </row>
    <row r="185" spans="1:23" ht="16" x14ac:dyDescent="0.2">
      <c r="A185"/>
      <c r="B185"/>
      <c r="C185"/>
      <c r="D185"/>
      <c r="E185" s="7"/>
      <c r="F185" s="6"/>
      <c r="G185" s="6"/>
      <c r="H185" s="6"/>
      <c r="I185" s="6"/>
      <c r="J185" s="6"/>
      <c r="K185" s="6"/>
      <c r="L185" s="6"/>
      <c r="M185" s="6"/>
      <c r="N185" s="6"/>
      <c r="O185" s="6"/>
      <c r="P185" s="6"/>
      <c r="Q185" s="6"/>
      <c r="R185" s="6"/>
      <c r="S185" s="6"/>
      <c r="T185" s="6"/>
      <c r="U185" s="6"/>
      <c r="V185" s="6"/>
      <c r="W185" s="6"/>
    </row>
    <row r="186" spans="1:23" ht="16" x14ac:dyDescent="0.2">
      <c r="A186"/>
      <c r="B186"/>
      <c r="C186"/>
      <c r="D186"/>
      <c r="E186" s="7"/>
      <c r="F186" s="6"/>
      <c r="G186" s="6"/>
      <c r="H186" s="6"/>
      <c r="I186" s="6"/>
      <c r="J186" s="6"/>
      <c r="K186" s="6"/>
      <c r="L186" s="6"/>
      <c r="M186" s="6"/>
      <c r="N186" s="6"/>
      <c r="O186" s="6"/>
      <c r="P186" s="6"/>
      <c r="Q186" s="6"/>
      <c r="R186" s="6"/>
      <c r="S186" s="6"/>
      <c r="T186" s="6"/>
      <c r="U186" s="6"/>
      <c r="V186" s="6"/>
      <c r="W186" s="6"/>
    </row>
    <row r="187" spans="1:23" ht="16" x14ac:dyDescent="0.2">
      <c r="A187"/>
      <c r="B187"/>
      <c r="C187"/>
      <c r="D187"/>
      <c r="E187" s="7"/>
      <c r="F187" s="6"/>
      <c r="G187" s="6"/>
      <c r="H187" s="6"/>
      <c r="I187" s="6"/>
      <c r="J187" s="6"/>
      <c r="K187" s="6"/>
      <c r="L187" s="6"/>
      <c r="M187" s="6"/>
      <c r="N187" s="6"/>
      <c r="O187" s="6"/>
      <c r="P187" s="6"/>
      <c r="Q187" s="6"/>
      <c r="R187" s="6"/>
      <c r="S187" s="6"/>
      <c r="T187" s="6"/>
      <c r="U187" s="6"/>
      <c r="V187" s="6"/>
      <c r="W187" s="6"/>
    </row>
    <row r="188" spans="1:23" ht="16" x14ac:dyDescent="0.2">
      <c r="A188"/>
      <c r="B188"/>
      <c r="C188"/>
      <c r="D188"/>
      <c r="E188" s="7"/>
      <c r="F188" s="6"/>
      <c r="G188" s="6"/>
      <c r="H188" s="6"/>
      <c r="I188" s="6"/>
      <c r="J188" s="6"/>
      <c r="K188" s="6"/>
      <c r="L188" s="6"/>
      <c r="M188" s="6"/>
      <c r="N188" s="6"/>
      <c r="O188" s="6"/>
      <c r="P188" s="6"/>
      <c r="Q188" s="6"/>
      <c r="R188" s="6"/>
      <c r="S188" s="6"/>
      <c r="T188" s="6"/>
      <c r="U188" s="6"/>
      <c r="V188" s="6"/>
      <c r="W188" s="6"/>
    </row>
    <row r="189" spans="1:23" ht="16" x14ac:dyDescent="0.2">
      <c r="A189"/>
      <c r="B189"/>
      <c r="C189"/>
      <c r="D189"/>
      <c r="E189" s="7"/>
      <c r="F189" s="6"/>
      <c r="G189" s="6"/>
      <c r="H189" s="6"/>
      <c r="I189" s="6"/>
      <c r="J189" s="6"/>
      <c r="K189" s="6"/>
      <c r="L189" s="6"/>
      <c r="M189" s="6"/>
      <c r="N189" s="6"/>
      <c r="O189" s="6"/>
      <c r="P189" s="6"/>
      <c r="Q189" s="6"/>
      <c r="R189" s="6"/>
      <c r="S189" s="6"/>
      <c r="T189" s="6"/>
      <c r="U189" s="6"/>
      <c r="V189" s="6"/>
      <c r="W189" s="6"/>
    </row>
    <row r="190" spans="1:23" ht="16" x14ac:dyDescent="0.2">
      <c r="A190" s="6"/>
      <c r="B190" s="7"/>
      <c r="C190" s="7"/>
      <c r="D190" s="7"/>
      <c r="E190" s="7"/>
      <c r="F190" s="6"/>
      <c r="G190" s="6"/>
      <c r="H190" s="6"/>
      <c r="I190" s="6"/>
      <c r="J190" s="6"/>
      <c r="K190" s="6"/>
      <c r="L190" s="6"/>
      <c r="M190" s="6"/>
      <c r="N190" s="6"/>
      <c r="O190" s="6"/>
      <c r="P190" s="6"/>
      <c r="Q190" s="6"/>
      <c r="R190" s="6"/>
      <c r="S190" s="6"/>
      <c r="T190" s="6"/>
      <c r="U190" s="6"/>
      <c r="V190" s="6"/>
      <c r="W190" s="6"/>
    </row>
    <row r="191" spans="1:23" ht="16" x14ac:dyDescent="0.2">
      <c r="A191" s="6"/>
      <c r="B191" s="7"/>
      <c r="C191" s="7"/>
      <c r="D191" s="7"/>
      <c r="E191" s="7"/>
      <c r="F191" s="6"/>
      <c r="G191" s="6"/>
      <c r="H191" s="6"/>
      <c r="I191" s="6"/>
      <c r="J191" s="6"/>
      <c r="K191" s="6"/>
      <c r="L191" s="6"/>
      <c r="M191" s="6"/>
      <c r="N191" s="6"/>
      <c r="O191" s="6"/>
      <c r="P191" s="6"/>
      <c r="Q191" s="6"/>
      <c r="R191" s="6"/>
      <c r="S191" s="6"/>
      <c r="T191" s="6"/>
      <c r="U191" s="6"/>
      <c r="V191" s="6"/>
      <c r="W191" s="6"/>
    </row>
    <row r="192" spans="1:23" ht="16" x14ac:dyDescent="0.2">
      <c r="A192" s="6"/>
      <c r="B192" s="7"/>
      <c r="C192" s="7"/>
      <c r="D192" s="7"/>
      <c r="E192" s="7"/>
      <c r="F192" s="6"/>
      <c r="G192" s="6"/>
      <c r="H192" s="6"/>
      <c r="I192" s="6"/>
      <c r="J192" s="6"/>
      <c r="K192" s="6"/>
      <c r="L192" s="6"/>
      <c r="M192" s="6"/>
      <c r="N192" s="6"/>
      <c r="O192" s="6"/>
      <c r="P192" s="6"/>
      <c r="Q192" s="6"/>
      <c r="R192" s="6"/>
      <c r="S192" s="6"/>
      <c r="T192" s="6"/>
      <c r="U192" s="6"/>
      <c r="V192" s="6"/>
      <c r="W192" s="6"/>
    </row>
    <row r="193" spans="1:23" ht="16" x14ac:dyDescent="0.2">
      <c r="A193" s="6"/>
      <c r="B193" s="7"/>
      <c r="C193" s="7"/>
      <c r="D193" s="7"/>
      <c r="E193" s="7"/>
      <c r="F193" s="6"/>
      <c r="G193" s="6"/>
      <c r="H193" s="6"/>
      <c r="I193" s="6"/>
      <c r="J193" s="6"/>
      <c r="K193" s="6"/>
      <c r="L193" s="6"/>
      <c r="M193" s="6"/>
      <c r="N193" s="6"/>
      <c r="O193" s="6"/>
      <c r="P193" s="6"/>
      <c r="Q193" s="6"/>
      <c r="R193" s="6"/>
      <c r="S193" s="6"/>
      <c r="T193" s="6"/>
      <c r="U193" s="6"/>
      <c r="V193" s="6"/>
      <c r="W193" s="6"/>
    </row>
    <row r="194" spans="1:23" ht="16" x14ac:dyDescent="0.2">
      <c r="A194" s="6"/>
      <c r="B194" s="7"/>
      <c r="C194" s="7"/>
      <c r="D194" s="7"/>
      <c r="E194" s="7"/>
      <c r="F194" s="6"/>
      <c r="G194" s="6"/>
      <c r="H194" s="6"/>
      <c r="I194" s="6"/>
      <c r="J194" s="6"/>
      <c r="K194" s="6"/>
      <c r="L194" s="6"/>
      <c r="M194" s="6"/>
      <c r="N194" s="6"/>
      <c r="O194" s="6"/>
      <c r="P194" s="6"/>
      <c r="Q194" s="6"/>
      <c r="R194" s="6"/>
      <c r="S194" s="6"/>
      <c r="T194" s="6"/>
      <c r="U194" s="6"/>
      <c r="V194" s="6"/>
      <c r="W194" s="6"/>
    </row>
    <row r="195" spans="1:23" ht="16" x14ac:dyDescent="0.2">
      <c r="A195" s="6"/>
      <c r="B195" s="7"/>
      <c r="C195" s="7"/>
      <c r="D195" s="7"/>
      <c r="E195" s="7"/>
      <c r="F195" s="6"/>
      <c r="G195" s="6"/>
      <c r="H195" s="6"/>
      <c r="I195" s="6"/>
      <c r="J195" s="6"/>
      <c r="K195" s="6"/>
      <c r="L195" s="6"/>
      <c r="M195" s="6"/>
      <c r="N195" s="6"/>
      <c r="O195" s="6"/>
      <c r="P195" s="6"/>
      <c r="Q195" s="6"/>
      <c r="R195" s="6"/>
      <c r="S195" s="6"/>
      <c r="T195" s="6"/>
      <c r="U195" s="6"/>
      <c r="V195" s="6"/>
      <c r="W195" s="6"/>
    </row>
    <row r="196" spans="1:23" ht="16" x14ac:dyDescent="0.2">
      <c r="A196" s="6"/>
      <c r="B196" s="7"/>
      <c r="C196" s="7"/>
      <c r="D196" s="7"/>
      <c r="E196" s="7"/>
      <c r="F196" s="6"/>
      <c r="G196" s="6"/>
      <c r="H196" s="6"/>
      <c r="I196" s="6"/>
      <c r="J196" s="6"/>
      <c r="K196" s="6"/>
      <c r="L196" s="6"/>
      <c r="M196" s="6"/>
      <c r="N196" s="6"/>
      <c r="O196" s="6"/>
      <c r="P196" s="6"/>
      <c r="Q196" s="6"/>
      <c r="R196" s="6"/>
      <c r="S196" s="6"/>
      <c r="T196" s="6"/>
      <c r="U196" s="6"/>
      <c r="V196" s="6"/>
      <c r="W196" s="6"/>
    </row>
    <row r="197" spans="1:23" ht="16" x14ac:dyDescent="0.2">
      <c r="A197" s="6"/>
      <c r="B197" s="7"/>
      <c r="C197" s="7"/>
      <c r="D197" s="7"/>
      <c r="E197" s="7"/>
      <c r="F197" s="6"/>
      <c r="G197" s="6"/>
      <c r="H197" s="6"/>
      <c r="I197" s="6"/>
      <c r="J197" s="6"/>
      <c r="K197" s="6"/>
      <c r="L197" s="6"/>
      <c r="M197" s="6"/>
      <c r="N197" s="6"/>
      <c r="O197" s="6"/>
      <c r="P197" s="6"/>
      <c r="Q197" s="6"/>
      <c r="R197" s="6"/>
      <c r="S197" s="6"/>
      <c r="T197" s="6"/>
      <c r="U197" s="6"/>
      <c r="V197" s="6"/>
      <c r="W197" s="6"/>
    </row>
    <row r="198" spans="1:23" ht="16" x14ac:dyDescent="0.2">
      <c r="A198" s="6"/>
      <c r="B198" s="7"/>
      <c r="C198" s="7"/>
      <c r="D198" s="7"/>
      <c r="E198" s="7"/>
      <c r="F198" s="6"/>
      <c r="G198" s="6"/>
      <c r="H198" s="6"/>
      <c r="I198" s="6"/>
      <c r="J198" s="6"/>
      <c r="K198" s="6"/>
      <c r="L198" s="6"/>
      <c r="M198" s="6"/>
      <c r="N198" s="6"/>
      <c r="O198" s="6"/>
      <c r="P198" s="6"/>
      <c r="Q198" s="6"/>
      <c r="R198" s="6"/>
      <c r="S198" s="6"/>
      <c r="T198" s="6"/>
      <c r="U198" s="6"/>
      <c r="V198" s="6"/>
      <c r="W198" s="6"/>
    </row>
    <row r="199" spans="1:23" ht="16" x14ac:dyDescent="0.2">
      <c r="A199" s="6"/>
      <c r="B199" s="7"/>
      <c r="C199" s="7"/>
      <c r="D199" s="7"/>
      <c r="E199" s="7"/>
      <c r="F199" s="6"/>
      <c r="G199" s="6"/>
      <c r="H199" s="6"/>
      <c r="I199" s="6"/>
      <c r="J199" s="6"/>
      <c r="K199" s="6"/>
      <c r="L199" s="6"/>
      <c r="M199" s="6"/>
      <c r="N199" s="6"/>
      <c r="O199" s="6"/>
      <c r="P199" s="6"/>
      <c r="Q199" s="6"/>
      <c r="R199" s="6"/>
      <c r="S199" s="6"/>
      <c r="T199" s="6"/>
      <c r="U199" s="6"/>
      <c r="V199" s="6"/>
      <c r="W199" s="6"/>
    </row>
    <row r="200" spans="1:23" ht="16" x14ac:dyDescent="0.2">
      <c r="A200" s="6"/>
      <c r="B200" s="7"/>
      <c r="C200" s="7"/>
      <c r="D200" s="7"/>
      <c r="E200" s="7"/>
      <c r="F200" s="6"/>
      <c r="G200" s="6"/>
      <c r="H200" s="6"/>
      <c r="I200" s="6"/>
      <c r="J200" s="6"/>
      <c r="K200" s="6"/>
      <c r="L200" s="6"/>
      <c r="M200" s="6"/>
      <c r="N200" s="6"/>
      <c r="O200" s="6"/>
      <c r="P200" s="6"/>
      <c r="Q200" s="6"/>
      <c r="R200" s="6"/>
      <c r="S200" s="6"/>
      <c r="T200" s="6"/>
      <c r="U200" s="6"/>
      <c r="V200" s="6"/>
      <c r="W200" s="6"/>
    </row>
    <row r="201" spans="1:23" ht="16" x14ac:dyDescent="0.2">
      <c r="A201" s="6"/>
      <c r="B201" s="7"/>
      <c r="C201" s="7"/>
      <c r="D201" s="7"/>
      <c r="E201" s="7"/>
      <c r="F201" s="6"/>
      <c r="G201" s="6"/>
      <c r="H201" s="6"/>
      <c r="I201" s="6"/>
      <c r="J201" s="6"/>
      <c r="K201" s="6"/>
      <c r="L201" s="6"/>
      <c r="M201" s="6"/>
      <c r="N201" s="6"/>
      <c r="O201" s="6"/>
      <c r="P201" s="6"/>
      <c r="Q201" s="6"/>
      <c r="R201" s="6"/>
      <c r="S201" s="6"/>
      <c r="T201" s="6"/>
      <c r="U201" s="6"/>
      <c r="V201" s="6"/>
      <c r="W201" s="6"/>
    </row>
    <row r="202" spans="1:23" ht="16" x14ac:dyDescent="0.2">
      <c r="A202" s="6"/>
      <c r="B202" s="7"/>
      <c r="C202" s="7"/>
      <c r="D202" s="7"/>
      <c r="E202" s="7"/>
      <c r="F202" s="6"/>
      <c r="G202" s="6"/>
      <c r="H202" s="6"/>
      <c r="I202" s="6"/>
      <c r="J202" s="6"/>
      <c r="K202" s="6"/>
      <c r="L202" s="6"/>
      <c r="M202" s="6"/>
      <c r="N202" s="6"/>
      <c r="O202" s="6"/>
      <c r="P202" s="6"/>
      <c r="Q202" s="6"/>
      <c r="R202" s="6"/>
      <c r="S202" s="6"/>
      <c r="T202" s="6"/>
      <c r="U202" s="6"/>
      <c r="V202" s="6"/>
      <c r="W202" s="6"/>
    </row>
    <row r="203" spans="1:23" ht="16" x14ac:dyDescent="0.2">
      <c r="A203" s="6"/>
      <c r="B203" s="7"/>
      <c r="C203" s="7"/>
      <c r="D203" s="7"/>
      <c r="E203" s="7"/>
      <c r="F203" s="6"/>
      <c r="G203" s="6"/>
      <c r="H203" s="6"/>
      <c r="I203" s="6"/>
      <c r="J203" s="6"/>
      <c r="K203" s="6"/>
      <c r="L203" s="6"/>
      <c r="M203" s="6"/>
      <c r="N203" s="6"/>
      <c r="O203" s="6"/>
      <c r="P203" s="6"/>
      <c r="Q203" s="6"/>
      <c r="R203" s="6"/>
      <c r="S203" s="6"/>
      <c r="T203" s="6"/>
      <c r="U203" s="6"/>
      <c r="V203" s="6"/>
      <c r="W203" s="6"/>
    </row>
    <row r="204" spans="1:23" ht="16" x14ac:dyDescent="0.2">
      <c r="A204" s="6"/>
      <c r="B204" s="7"/>
      <c r="C204" s="7"/>
      <c r="D204" s="7"/>
      <c r="E204" s="7"/>
      <c r="F204" s="6"/>
      <c r="G204" s="6"/>
      <c r="H204" s="6"/>
      <c r="I204" s="6"/>
      <c r="J204" s="6"/>
      <c r="K204" s="6"/>
      <c r="L204" s="6"/>
      <c r="M204" s="6"/>
      <c r="N204" s="6"/>
      <c r="O204" s="6"/>
      <c r="P204" s="6"/>
      <c r="Q204" s="6"/>
      <c r="R204" s="6"/>
      <c r="S204" s="6"/>
      <c r="T204" s="6"/>
      <c r="U204" s="6"/>
      <c r="V204" s="6"/>
      <c r="W204" s="6"/>
    </row>
    <row r="205" spans="1:23" ht="16" x14ac:dyDescent="0.2">
      <c r="A205" s="6"/>
      <c r="B205" s="7"/>
      <c r="C205" s="7"/>
      <c r="D205" s="7"/>
      <c r="E205" s="7"/>
      <c r="F205" s="6"/>
      <c r="G205" s="6"/>
      <c r="H205" s="6"/>
      <c r="I205" s="6"/>
      <c r="J205" s="6"/>
      <c r="K205" s="6"/>
      <c r="L205" s="6"/>
      <c r="M205" s="6"/>
      <c r="N205" s="6"/>
      <c r="O205" s="6"/>
      <c r="P205" s="6"/>
      <c r="Q205" s="6"/>
      <c r="R205" s="6"/>
      <c r="S205" s="6"/>
      <c r="T205" s="6"/>
      <c r="U205" s="6"/>
      <c r="V205" s="6"/>
      <c r="W205" s="6"/>
    </row>
    <row r="206" spans="1:23" ht="16" x14ac:dyDescent="0.2">
      <c r="A206" s="6"/>
      <c r="B206" s="7"/>
      <c r="C206" s="7"/>
      <c r="D206" s="7"/>
      <c r="E206" s="7"/>
      <c r="F206" s="6"/>
      <c r="G206" s="6"/>
      <c r="H206" s="6"/>
      <c r="I206" s="6"/>
      <c r="J206" s="6"/>
      <c r="K206" s="6"/>
      <c r="L206" s="6"/>
      <c r="M206" s="6"/>
      <c r="N206" s="6"/>
      <c r="O206" s="6"/>
      <c r="P206" s="6"/>
      <c r="Q206" s="6"/>
      <c r="R206" s="6"/>
      <c r="S206" s="6"/>
      <c r="T206" s="6"/>
      <c r="U206" s="6"/>
      <c r="V206" s="6"/>
      <c r="W206" s="6"/>
    </row>
    <row r="207" spans="1:23" ht="16" x14ac:dyDescent="0.2">
      <c r="A207" s="6"/>
      <c r="B207" s="7"/>
      <c r="C207" s="7"/>
      <c r="D207" s="7"/>
      <c r="E207" s="7"/>
      <c r="F207" s="6"/>
      <c r="G207" s="6"/>
      <c r="H207" s="6"/>
      <c r="I207" s="6"/>
      <c r="J207" s="6"/>
      <c r="K207" s="6"/>
      <c r="L207" s="6"/>
      <c r="M207" s="6"/>
      <c r="N207" s="6"/>
      <c r="O207" s="6"/>
      <c r="P207" s="6"/>
      <c r="Q207" s="6"/>
      <c r="R207" s="6"/>
      <c r="S207" s="6"/>
      <c r="T207" s="6"/>
      <c r="U207" s="6"/>
      <c r="V207" s="6"/>
      <c r="W207" s="6"/>
    </row>
    <row r="208" spans="1:23" ht="16" x14ac:dyDescent="0.2">
      <c r="A208" s="6"/>
      <c r="B208" s="7"/>
      <c r="C208" s="7"/>
      <c r="D208" s="7"/>
      <c r="E208" s="7"/>
      <c r="F208" s="6"/>
      <c r="G208" s="6"/>
      <c r="H208" s="6"/>
      <c r="I208" s="6"/>
      <c r="J208" s="6"/>
      <c r="K208" s="6"/>
      <c r="L208" s="6"/>
      <c r="M208" s="6"/>
      <c r="N208" s="6"/>
      <c r="O208" s="6"/>
      <c r="P208" s="6"/>
      <c r="Q208" s="6"/>
      <c r="R208" s="6"/>
      <c r="S208" s="6"/>
      <c r="T208" s="6"/>
      <c r="U208" s="6"/>
      <c r="V208" s="6"/>
      <c r="W208" s="6"/>
    </row>
    <row r="209" spans="1:23" ht="16" x14ac:dyDescent="0.2">
      <c r="A209" s="6"/>
      <c r="B209" s="7"/>
      <c r="C209" s="7"/>
      <c r="D209" s="7"/>
      <c r="E209" s="7"/>
      <c r="F209" s="6"/>
      <c r="G209" s="6"/>
      <c r="H209" s="6"/>
      <c r="I209" s="6"/>
      <c r="J209" s="6"/>
      <c r="K209" s="6"/>
      <c r="L209" s="6"/>
      <c r="M209" s="6"/>
      <c r="N209" s="6"/>
      <c r="O209" s="6"/>
      <c r="P209" s="6"/>
      <c r="Q209" s="6"/>
      <c r="R209" s="6"/>
      <c r="S209" s="6"/>
      <c r="T209" s="6"/>
      <c r="U209" s="6"/>
      <c r="V209" s="6"/>
      <c r="W209" s="6"/>
    </row>
    <row r="210" spans="1:23" ht="16" x14ac:dyDescent="0.2">
      <c r="A210" s="6"/>
      <c r="B210" s="7"/>
      <c r="C210" s="7"/>
      <c r="D210" s="7"/>
      <c r="E210" s="7"/>
      <c r="F210" s="6"/>
      <c r="G210" s="6"/>
      <c r="H210" s="6"/>
      <c r="I210" s="6"/>
      <c r="J210" s="6"/>
      <c r="K210" s="6"/>
      <c r="L210" s="6"/>
      <c r="M210" s="6"/>
      <c r="N210" s="6"/>
      <c r="O210" s="6"/>
      <c r="P210" s="6"/>
      <c r="Q210" s="6"/>
      <c r="R210" s="6"/>
      <c r="S210" s="6"/>
      <c r="T210" s="6"/>
      <c r="U210" s="6"/>
      <c r="V210" s="6"/>
      <c r="W210" s="6"/>
    </row>
    <row r="211" spans="1:23" ht="16" x14ac:dyDescent="0.2">
      <c r="A211" s="6"/>
      <c r="B211" s="7"/>
      <c r="C211" s="7"/>
      <c r="D211" s="7"/>
      <c r="E211" s="7"/>
      <c r="F211" s="6"/>
      <c r="G211" s="6"/>
      <c r="H211" s="6"/>
      <c r="I211" s="6"/>
      <c r="J211" s="6"/>
      <c r="K211" s="6"/>
      <c r="L211" s="6"/>
      <c r="M211" s="6"/>
      <c r="N211" s="6"/>
      <c r="O211" s="6"/>
      <c r="P211" s="6"/>
      <c r="Q211" s="6"/>
      <c r="R211" s="6"/>
      <c r="S211" s="6"/>
      <c r="T211" s="6"/>
      <c r="U211" s="6"/>
      <c r="V211" s="6"/>
      <c r="W211" s="6"/>
    </row>
    <row r="212" spans="1:23" ht="16" x14ac:dyDescent="0.2">
      <c r="A212" s="6"/>
      <c r="B212" s="7"/>
      <c r="C212" s="7"/>
      <c r="D212" s="7"/>
      <c r="E212" s="7"/>
      <c r="F212" s="6"/>
      <c r="G212" s="6"/>
      <c r="H212" s="6"/>
      <c r="I212" s="6"/>
      <c r="J212" s="6"/>
      <c r="K212" s="6"/>
      <c r="L212" s="6"/>
      <c r="M212" s="6"/>
      <c r="N212" s="6"/>
      <c r="O212" s="6"/>
      <c r="P212" s="6"/>
      <c r="Q212" s="6"/>
      <c r="R212" s="6"/>
      <c r="S212" s="6"/>
      <c r="T212" s="6"/>
      <c r="U212" s="6"/>
      <c r="V212" s="6"/>
      <c r="W212" s="6"/>
    </row>
    <row r="213" spans="1:23" ht="16" x14ac:dyDescent="0.2">
      <c r="A213" s="6"/>
      <c r="B213" s="7"/>
      <c r="C213" s="7"/>
      <c r="D213" s="7"/>
      <c r="E213" s="7"/>
      <c r="F213" s="6"/>
      <c r="G213" s="6"/>
      <c r="H213" s="6"/>
      <c r="I213" s="6"/>
      <c r="J213" s="6"/>
      <c r="K213" s="6"/>
      <c r="L213" s="6"/>
      <c r="M213" s="6"/>
      <c r="N213" s="6"/>
      <c r="O213" s="6"/>
      <c r="P213" s="6"/>
      <c r="Q213" s="6"/>
      <c r="R213" s="6"/>
      <c r="S213" s="6"/>
      <c r="T213" s="6"/>
      <c r="U213" s="6"/>
      <c r="V213" s="6"/>
      <c r="W213" s="6"/>
    </row>
    <row r="214" spans="1:23" ht="16" x14ac:dyDescent="0.2">
      <c r="A214" s="6"/>
      <c r="B214" s="7"/>
      <c r="C214" s="7"/>
      <c r="D214" s="7"/>
      <c r="E214" s="7"/>
      <c r="F214" s="6"/>
      <c r="G214" s="6"/>
      <c r="H214" s="6"/>
      <c r="I214" s="6"/>
      <c r="J214" s="6"/>
      <c r="K214" s="6"/>
      <c r="L214" s="6"/>
      <c r="M214" s="6"/>
      <c r="N214" s="6"/>
      <c r="O214" s="6"/>
      <c r="P214" s="6"/>
      <c r="Q214" s="6"/>
      <c r="R214" s="6"/>
      <c r="S214" s="6"/>
      <c r="T214" s="6"/>
      <c r="U214" s="6"/>
      <c r="V214" s="6"/>
      <c r="W214" s="6"/>
    </row>
    <row r="215" spans="1:23" ht="16" x14ac:dyDescent="0.2">
      <c r="A215" s="6"/>
      <c r="B215" s="7"/>
      <c r="C215" s="7"/>
      <c r="D215" s="7"/>
      <c r="E215" s="7"/>
      <c r="F215" s="6"/>
      <c r="G215" s="6"/>
      <c r="H215" s="6"/>
      <c r="I215" s="6"/>
      <c r="J215" s="6"/>
      <c r="K215" s="6"/>
      <c r="L215" s="6"/>
      <c r="M215" s="6"/>
      <c r="N215" s="6"/>
      <c r="O215" s="6"/>
      <c r="P215" s="6"/>
      <c r="Q215" s="6"/>
      <c r="R215" s="6"/>
      <c r="S215" s="6"/>
      <c r="T215" s="6"/>
      <c r="U215" s="6"/>
      <c r="V215" s="6"/>
      <c r="W215" s="6"/>
    </row>
    <row r="216" spans="1:23" ht="16" x14ac:dyDescent="0.2">
      <c r="A216" s="6"/>
      <c r="B216" s="7"/>
      <c r="C216" s="7"/>
      <c r="D216" s="7"/>
      <c r="E216" s="7"/>
      <c r="F216" s="6"/>
      <c r="G216" s="6"/>
      <c r="H216" s="6"/>
      <c r="I216" s="6"/>
      <c r="J216" s="6"/>
      <c r="K216" s="6"/>
      <c r="L216" s="6"/>
      <c r="M216" s="6"/>
      <c r="N216" s="6"/>
      <c r="O216" s="6"/>
      <c r="P216" s="6"/>
      <c r="Q216" s="6"/>
      <c r="R216" s="6"/>
      <c r="S216" s="6"/>
      <c r="T216" s="6"/>
      <c r="U216" s="6"/>
      <c r="V216" s="6"/>
      <c r="W216" s="6"/>
    </row>
    <row r="217" spans="1:23" ht="16" x14ac:dyDescent="0.2">
      <c r="A217" s="6"/>
      <c r="B217" s="7"/>
      <c r="C217" s="7"/>
      <c r="D217" s="7"/>
      <c r="E217" s="7"/>
      <c r="F217" s="6"/>
      <c r="G217" s="6"/>
      <c r="H217" s="6"/>
      <c r="I217" s="6"/>
      <c r="J217" s="6"/>
      <c r="K217" s="6"/>
      <c r="L217" s="6"/>
      <c r="M217" s="6"/>
      <c r="N217" s="6"/>
      <c r="O217" s="6"/>
      <c r="P217" s="6"/>
      <c r="Q217" s="6"/>
      <c r="R217" s="6"/>
      <c r="S217" s="6"/>
      <c r="T217" s="6"/>
      <c r="U217" s="6"/>
      <c r="V217" s="6"/>
      <c r="W217" s="6"/>
    </row>
    <row r="218" spans="1:23" ht="16" x14ac:dyDescent="0.2">
      <c r="A218" s="6"/>
      <c r="B218" s="7"/>
      <c r="C218" s="7"/>
      <c r="D218" s="7"/>
      <c r="E218" s="7"/>
      <c r="F218" s="6"/>
      <c r="G218" s="6"/>
      <c r="H218" s="6"/>
      <c r="I218" s="6"/>
      <c r="J218" s="6"/>
      <c r="K218" s="6"/>
      <c r="L218" s="6"/>
      <c r="M218" s="6"/>
      <c r="N218" s="6"/>
      <c r="O218" s="6"/>
      <c r="P218" s="6"/>
      <c r="Q218" s="6"/>
      <c r="R218" s="6"/>
      <c r="S218" s="6"/>
      <c r="T218" s="6"/>
      <c r="U218" s="6"/>
      <c r="V218" s="6"/>
      <c r="W218" s="6"/>
    </row>
    <row r="219" spans="1:23" ht="16" x14ac:dyDescent="0.2">
      <c r="A219" s="6"/>
      <c r="B219" s="7"/>
      <c r="C219" s="7"/>
      <c r="D219" s="7"/>
      <c r="E219" s="7"/>
      <c r="F219" s="6"/>
      <c r="G219" s="6"/>
      <c r="H219" s="6"/>
      <c r="I219" s="6"/>
      <c r="J219" s="6"/>
      <c r="K219" s="6"/>
      <c r="L219" s="6"/>
      <c r="M219" s="6"/>
      <c r="N219" s="6"/>
      <c r="O219" s="6"/>
      <c r="P219" s="6"/>
      <c r="Q219" s="6"/>
      <c r="R219" s="6"/>
      <c r="S219" s="6"/>
      <c r="T219" s="6"/>
      <c r="U219" s="6"/>
      <c r="V219" s="6"/>
      <c r="W219" s="6"/>
    </row>
    <row r="220" spans="1:23" ht="16" x14ac:dyDescent="0.2">
      <c r="A220" s="6"/>
      <c r="B220" s="7"/>
      <c r="C220" s="7"/>
      <c r="D220" s="7"/>
      <c r="E220" s="7"/>
      <c r="F220" s="6"/>
      <c r="G220" s="6"/>
      <c r="H220" s="6"/>
      <c r="I220" s="6"/>
      <c r="J220" s="6"/>
      <c r="K220" s="6"/>
      <c r="L220" s="6"/>
      <c r="M220" s="6"/>
      <c r="N220" s="6"/>
      <c r="O220" s="6"/>
      <c r="P220" s="6"/>
      <c r="Q220" s="6"/>
      <c r="R220" s="6"/>
      <c r="S220" s="6"/>
      <c r="T220" s="6"/>
      <c r="U220" s="6"/>
      <c r="V220" s="6"/>
      <c r="W220" s="6"/>
    </row>
    <row r="221" spans="1:23" ht="16" x14ac:dyDescent="0.2">
      <c r="A221" s="6"/>
      <c r="B221" s="7"/>
      <c r="C221" s="7"/>
      <c r="D221" s="7"/>
      <c r="E221" s="7"/>
      <c r="F221" s="6"/>
      <c r="G221" s="6"/>
      <c r="H221" s="6"/>
      <c r="I221" s="6"/>
      <c r="J221" s="6"/>
      <c r="K221" s="6"/>
      <c r="L221" s="6"/>
      <c r="M221" s="6"/>
      <c r="N221" s="6"/>
      <c r="O221" s="6"/>
      <c r="P221" s="6"/>
      <c r="Q221" s="6"/>
      <c r="R221" s="6"/>
      <c r="S221" s="6"/>
      <c r="T221" s="6"/>
      <c r="U221" s="6"/>
      <c r="V221" s="6"/>
      <c r="W221" s="6"/>
    </row>
    <row r="222" spans="1:23" ht="16" x14ac:dyDescent="0.2">
      <c r="A222" s="6"/>
      <c r="B222" s="7"/>
      <c r="C222" s="7"/>
      <c r="D222" s="7"/>
      <c r="E222" s="7"/>
      <c r="F222" s="6"/>
      <c r="G222" s="6"/>
      <c r="H222" s="6"/>
      <c r="I222" s="6"/>
      <c r="J222" s="6"/>
      <c r="K222" s="6"/>
      <c r="L222" s="6"/>
      <c r="M222" s="6"/>
      <c r="N222" s="6"/>
      <c r="O222" s="6"/>
      <c r="P222" s="6"/>
      <c r="Q222" s="6"/>
      <c r="R222" s="6"/>
      <c r="S222" s="6"/>
      <c r="T222" s="6"/>
      <c r="U222" s="6"/>
      <c r="V222" s="6"/>
      <c r="W222" s="6"/>
    </row>
    <row r="223" spans="1:23" ht="16" x14ac:dyDescent="0.2">
      <c r="A223" s="6"/>
      <c r="B223" s="7"/>
      <c r="C223" s="7"/>
      <c r="D223" s="7"/>
      <c r="E223" s="7"/>
      <c r="F223" s="6"/>
      <c r="G223" s="6"/>
      <c r="H223" s="6"/>
      <c r="I223" s="6"/>
      <c r="J223" s="6"/>
      <c r="K223" s="6"/>
      <c r="L223" s="6"/>
      <c r="M223" s="6"/>
      <c r="N223" s="6"/>
      <c r="O223" s="6"/>
      <c r="P223" s="6"/>
      <c r="Q223" s="6"/>
      <c r="R223" s="6"/>
      <c r="S223" s="6"/>
      <c r="T223" s="6"/>
      <c r="U223" s="6"/>
      <c r="V223" s="6"/>
      <c r="W223" s="6"/>
    </row>
    <row r="224" spans="1:23" ht="16" x14ac:dyDescent="0.2">
      <c r="A224" s="6"/>
      <c r="B224" s="7"/>
      <c r="C224" s="7"/>
      <c r="D224" s="7"/>
      <c r="E224" s="7"/>
      <c r="F224" s="6"/>
      <c r="G224" s="6"/>
      <c r="H224" s="6"/>
      <c r="I224" s="6"/>
      <c r="J224" s="6"/>
      <c r="K224" s="6"/>
      <c r="L224" s="6"/>
      <c r="M224" s="6"/>
      <c r="N224" s="6"/>
      <c r="O224" s="6"/>
      <c r="P224" s="6"/>
      <c r="Q224" s="6"/>
      <c r="R224" s="6"/>
      <c r="S224" s="6"/>
      <c r="T224" s="6"/>
      <c r="U224" s="6"/>
      <c r="V224" s="6"/>
      <c r="W224" s="6"/>
    </row>
    <row r="225" spans="1:23" ht="16" x14ac:dyDescent="0.2">
      <c r="A225" s="6"/>
      <c r="B225" s="7"/>
      <c r="C225" s="7"/>
      <c r="D225" s="7"/>
      <c r="E225" s="7"/>
      <c r="F225" s="6"/>
      <c r="G225" s="6"/>
      <c r="H225" s="6"/>
      <c r="I225" s="6"/>
      <c r="J225" s="6"/>
      <c r="K225" s="6"/>
      <c r="L225" s="6"/>
      <c r="M225" s="6"/>
      <c r="N225" s="6"/>
      <c r="O225" s="6"/>
      <c r="P225" s="6"/>
      <c r="Q225" s="6"/>
      <c r="R225" s="6"/>
      <c r="S225" s="6"/>
      <c r="T225" s="6"/>
      <c r="U225" s="6"/>
      <c r="V225" s="6"/>
      <c r="W225" s="6"/>
    </row>
    <row r="226" spans="1:23" ht="16" x14ac:dyDescent="0.2">
      <c r="A226" s="6"/>
      <c r="B226" s="7"/>
      <c r="C226" s="7"/>
      <c r="D226" s="7"/>
      <c r="E226" s="7"/>
      <c r="F226" s="6"/>
      <c r="G226" s="6"/>
      <c r="H226" s="6"/>
      <c r="I226" s="6"/>
      <c r="J226" s="6"/>
      <c r="K226" s="6"/>
      <c r="L226" s="6"/>
      <c r="M226" s="6"/>
      <c r="N226" s="6"/>
      <c r="O226" s="6"/>
      <c r="P226" s="6"/>
      <c r="Q226" s="6"/>
      <c r="R226" s="6"/>
      <c r="S226" s="6"/>
      <c r="T226" s="6"/>
      <c r="U226" s="6"/>
      <c r="V226" s="6"/>
      <c r="W226" s="6"/>
    </row>
    <row r="227" spans="1:23" ht="16" x14ac:dyDescent="0.2">
      <c r="A227" s="6"/>
      <c r="B227" s="7"/>
      <c r="C227" s="7"/>
      <c r="D227" s="7"/>
      <c r="E227" s="7"/>
      <c r="F227" s="6"/>
      <c r="G227" s="6"/>
      <c r="H227" s="6"/>
      <c r="I227" s="6"/>
      <c r="J227" s="6"/>
      <c r="K227" s="6"/>
      <c r="L227" s="6"/>
      <c r="M227" s="6"/>
      <c r="N227" s="6"/>
      <c r="O227" s="6"/>
      <c r="P227" s="6"/>
      <c r="Q227" s="6"/>
      <c r="R227" s="6"/>
      <c r="S227" s="6"/>
      <c r="T227" s="6"/>
      <c r="U227" s="6"/>
      <c r="V227" s="6"/>
      <c r="W227" s="6"/>
    </row>
    <row r="228" spans="1:23" ht="16" x14ac:dyDescent="0.2">
      <c r="A228" s="6"/>
      <c r="B228" s="7"/>
      <c r="C228" s="7"/>
      <c r="D228" s="7"/>
      <c r="E228" s="7"/>
      <c r="F228" s="6"/>
      <c r="G228" s="6"/>
      <c r="H228" s="6"/>
      <c r="I228" s="6"/>
      <c r="J228" s="6"/>
      <c r="K228" s="6"/>
      <c r="L228" s="6"/>
      <c r="M228" s="6"/>
      <c r="N228" s="6"/>
      <c r="O228" s="6"/>
      <c r="P228" s="6"/>
      <c r="Q228" s="6"/>
      <c r="R228" s="6"/>
      <c r="S228" s="6"/>
      <c r="T228" s="6"/>
      <c r="U228" s="6"/>
      <c r="V228" s="6"/>
      <c r="W228" s="6"/>
    </row>
    <row r="229" spans="1:23" ht="16" x14ac:dyDescent="0.2">
      <c r="A229" s="6"/>
      <c r="B229" s="7"/>
      <c r="C229" s="7"/>
      <c r="D229" s="7"/>
      <c r="E229" s="7"/>
      <c r="F229" s="6"/>
      <c r="G229" s="6"/>
      <c r="H229" s="6"/>
      <c r="I229" s="6"/>
      <c r="J229" s="6"/>
      <c r="K229" s="6"/>
      <c r="L229" s="6"/>
      <c r="M229" s="6"/>
      <c r="N229" s="6"/>
      <c r="O229" s="6"/>
      <c r="P229" s="6"/>
      <c r="Q229" s="6"/>
      <c r="R229" s="6"/>
      <c r="S229" s="6"/>
      <c r="T229" s="6"/>
      <c r="U229" s="6"/>
      <c r="V229" s="6"/>
      <c r="W229" s="6"/>
    </row>
    <row r="230" spans="1:23" ht="16" x14ac:dyDescent="0.2">
      <c r="A230" s="6"/>
      <c r="B230" s="7"/>
      <c r="C230" s="7"/>
      <c r="D230" s="7"/>
      <c r="E230" s="7"/>
      <c r="F230" s="6"/>
      <c r="G230" s="6"/>
      <c r="H230" s="6"/>
      <c r="I230" s="6"/>
      <c r="J230" s="6"/>
      <c r="K230" s="6"/>
      <c r="L230" s="6"/>
      <c r="M230" s="6"/>
      <c r="N230" s="6"/>
      <c r="O230" s="6"/>
      <c r="P230" s="6"/>
      <c r="Q230" s="6"/>
      <c r="R230" s="6"/>
      <c r="S230" s="6"/>
      <c r="T230" s="6"/>
      <c r="U230" s="6"/>
      <c r="V230" s="6"/>
      <c r="W230" s="6"/>
    </row>
    <row r="231" spans="1:23" ht="16" x14ac:dyDescent="0.2">
      <c r="A231" s="6"/>
      <c r="B231" s="7"/>
      <c r="C231" s="7"/>
      <c r="D231" s="7"/>
      <c r="E231" s="7"/>
      <c r="F231" s="6"/>
      <c r="G231" s="6"/>
      <c r="H231" s="6"/>
      <c r="I231" s="6"/>
      <c r="J231" s="6"/>
      <c r="K231" s="6"/>
      <c r="L231" s="6"/>
      <c r="M231" s="6"/>
      <c r="N231" s="6"/>
      <c r="O231" s="6"/>
      <c r="P231" s="6"/>
      <c r="Q231" s="6"/>
      <c r="R231" s="6"/>
      <c r="S231" s="6"/>
      <c r="T231" s="6"/>
      <c r="U231" s="6"/>
      <c r="V231" s="6"/>
      <c r="W231" s="6"/>
    </row>
    <row r="232" spans="1:23" ht="16" x14ac:dyDescent="0.2">
      <c r="A232" s="6"/>
      <c r="B232" s="7"/>
      <c r="C232" s="7"/>
      <c r="D232" s="7"/>
      <c r="E232" s="7"/>
      <c r="F232" s="6"/>
      <c r="G232" s="6"/>
      <c r="H232" s="6"/>
      <c r="I232" s="6"/>
      <c r="J232" s="6"/>
      <c r="K232" s="6"/>
      <c r="L232" s="6"/>
      <c r="M232" s="6"/>
      <c r="N232" s="6"/>
      <c r="O232" s="6"/>
      <c r="P232" s="6"/>
      <c r="Q232" s="6"/>
      <c r="R232" s="6"/>
      <c r="S232" s="6"/>
      <c r="T232" s="6"/>
      <c r="U232" s="6"/>
      <c r="V232" s="6"/>
      <c r="W232" s="6"/>
    </row>
    <row r="233" spans="1:23" ht="16" x14ac:dyDescent="0.2">
      <c r="A233" s="6"/>
      <c r="B233" s="7"/>
      <c r="C233" s="7"/>
      <c r="D233" s="7"/>
      <c r="E233" s="7"/>
      <c r="F233" s="6"/>
      <c r="G233" s="6"/>
      <c r="H233" s="6"/>
      <c r="I233" s="6"/>
      <c r="J233" s="6"/>
      <c r="K233" s="6"/>
      <c r="L233" s="6"/>
      <c r="M233" s="6"/>
      <c r="N233" s="6"/>
      <c r="O233" s="6"/>
      <c r="P233" s="6"/>
      <c r="Q233" s="6"/>
      <c r="R233" s="6"/>
      <c r="S233" s="6"/>
      <c r="T233" s="6"/>
      <c r="U233" s="6"/>
      <c r="V233" s="6"/>
      <c r="W233" s="6"/>
    </row>
    <row r="234" spans="1:23" ht="16" x14ac:dyDescent="0.2">
      <c r="A234" s="6"/>
      <c r="B234" s="7"/>
      <c r="C234" s="7"/>
      <c r="D234" s="7"/>
      <c r="E234" s="7"/>
      <c r="F234" s="6"/>
      <c r="G234" s="6"/>
      <c r="H234" s="6"/>
      <c r="I234" s="6"/>
      <c r="J234" s="6"/>
      <c r="K234" s="6"/>
      <c r="L234" s="6"/>
      <c r="M234" s="6"/>
      <c r="N234" s="6"/>
      <c r="O234" s="6"/>
      <c r="P234" s="6"/>
      <c r="Q234" s="6"/>
      <c r="R234" s="6"/>
      <c r="S234" s="6"/>
      <c r="T234" s="6"/>
      <c r="U234" s="6"/>
      <c r="V234" s="6"/>
      <c r="W234" s="6"/>
    </row>
    <row r="235" spans="1:23" ht="16" x14ac:dyDescent="0.2">
      <c r="A235" s="6"/>
      <c r="B235" s="7"/>
      <c r="C235" s="7"/>
      <c r="D235" s="7"/>
      <c r="E235" s="7"/>
      <c r="F235" s="6"/>
      <c r="G235" s="6"/>
      <c r="H235" s="6"/>
      <c r="I235" s="6"/>
      <c r="J235" s="6"/>
      <c r="K235" s="6"/>
      <c r="L235" s="6"/>
      <c r="M235" s="6"/>
      <c r="N235" s="6"/>
      <c r="O235" s="6"/>
      <c r="P235" s="6"/>
      <c r="Q235" s="6"/>
      <c r="R235" s="6"/>
      <c r="S235" s="6"/>
      <c r="T235" s="6"/>
      <c r="U235" s="6"/>
      <c r="V235" s="6"/>
      <c r="W235" s="6"/>
    </row>
    <row r="236" spans="1:23" ht="16" x14ac:dyDescent="0.2">
      <c r="A236" s="6"/>
      <c r="B236" s="7"/>
      <c r="C236" s="7"/>
      <c r="D236" s="7"/>
      <c r="E236" s="7"/>
      <c r="F236" s="6"/>
      <c r="G236" s="6"/>
      <c r="H236" s="6"/>
      <c r="I236" s="6"/>
      <c r="J236" s="6"/>
      <c r="K236" s="6"/>
      <c r="L236" s="6"/>
      <c r="M236" s="6"/>
      <c r="N236" s="6"/>
      <c r="O236" s="6"/>
      <c r="P236" s="6"/>
      <c r="Q236" s="6"/>
      <c r="R236" s="6"/>
      <c r="S236" s="6"/>
      <c r="T236" s="6"/>
      <c r="U236" s="6"/>
      <c r="V236" s="6"/>
      <c r="W236" s="6"/>
    </row>
    <row r="237" spans="1:23" ht="16" x14ac:dyDescent="0.2">
      <c r="A237" s="6"/>
      <c r="B237" s="7"/>
      <c r="C237" s="7"/>
      <c r="D237" s="7"/>
      <c r="E237" s="7"/>
      <c r="F237" s="6"/>
      <c r="G237" s="6"/>
      <c r="H237" s="6"/>
      <c r="I237" s="6"/>
      <c r="J237" s="6"/>
      <c r="K237" s="6"/>
      <c r="L237" s="6"/>
      <c r="M237" s="6"/>
      <c r="N237" s="6"/>
      <c r="O237" s="6"/>
      <c r="P237" s="6"/>
      <c r="Q237" s="6"/>
      <c r="R237" s="6"/>
      <c r="S237" s="6"/>
      <c r="T237" s="6"/>
      <c r="U237" s="6"/>
      <c r="V237" s="6"/>
      <c r="W237" s="6"/>
    </row>
    <row r="238" spans="1:23" ht="16" x14ac:dyDescent="0.2">
      <c r="A238" s="6"/>
      <c r="B238" s="7"/>
      <c r="C238" s="7"/>
      <c r="D238" s="7"/>
      <c r="E238" s="7"/>
      <c r="F238" s="6"/>
      <c r="G238" s="6"/>
      <c r="H238" s="6"/>
      <c r="I238" s="6"/>
      <c r="J238" s="6"/>
      <c r="K238" s="6"/>
      <c r="L238" s="6"/>
      <c r="M238" s="6"/>
      <c r="N238" s="6"/>
      <c r="O238" s="6"/>
      <c r="P238" s="6"/>
      <c r="Q238" s="6"/>
      <c r="R238" s="6"/>
      <c r="S238" s="6"/>
      <c r="T238" s="6"/>
      <c r="U238" s="6"/>
      <c r="V238" s="6"/>
      <c r="W238" s="6"/>
    </row>
    <row r="239" spans="1:23" ht="16" x14ac:dyDescent="0.2">
      <c r="A239" s="6"/>
      <c r="B239" s="7"/>
      <c r="C239" s="7"/>
      <c r="D239" s="7"/>
      <c r="E239" s="7"/>
      <c r="F239" s="6"/>
      <c r="G239" s="6"/>
      <c r="H239" s="6"/>
      <c r="I239" s="6"/>
      <c r="J239" s="6"/>
      <c r="K239" s="6"/>
      <c r="L239" s="6"/>
      <c r="M239" s="6"/>
      <c r="N239" s="6"/>
      <c r="O239" s="6"/>
      <c r="P239" s="6"/>
      <c r="Q239" s="6"/>
      <c r="R239" s="6"/>
      <c r="S239" s="6"/>
      <c r="T239" s="6"/>
      <c r="U239" s="6"/>
      <c r="V239" s="6"/>
      <c r="W239" s="6"/>
    </row>
    <row r="240" spans="1:23" ht="16" x14ac:dyDescent="0.2">
      <c r="A240" s="6"/>
      <c r="B240" s="7"/>
      <c r="C240" s="7"/>
      <c r="D240" s="7"/>
      <c r="E240" s="7"/>
      <c r="F240" s="6"/>
      <c r="G240" s="6"/>
      <c r="H240" s="6"/>
      <c r="I240" s="6"/>
      <c r="J240" s="6"/>
      <c r="K240" s="6"/>
      <c r="L240" s="6"/>
      <c r="M240" s="6"/>
      <c r="N240" s="6"/>
      <c r="O240" s="6"/>
      <c r="P240" s="6"/>
      <c r="Q240" s="6"/>
      <c r="R240" s="6"/>
      <c r="S240" s="6"/>
      <c r="T240" s="6"/>
      <c r="U240" s="6"/>
      <c r="V240" s="6"/>
      <c r="W240" s="6"/>
    </row>
    <row r="241" spans="1:23" ht="16" x14ac:dyDescent="0.2">
      <c r="A241" s="6"/>
      <c r="B241" s="7"/>
      <c r="C241" s="7"/>
      <c r="D241" s="7"/>
      <c r="E241" s="7"/>
      <c r="F241" s="6"/>
      <c r="G241" s="6"/>
      <c r="H241" s="6"/>
      <c r="I241" s="6"/>
      <c r="J241" s="6"/>
      <c r="K241" s="6"/>
      <c r="L241" s="6"/>
      <c r="M241" s="6"/>
      <c r="N241" s="6"/>
      <c r="O241" s="6"/>
      <c r="P241" s="6"/>
      <c r="Q241" s="6"/>
      <c r="R241" s="6"/>
      <c r="S241" s="6"/>
      <c r="T241" s="6"/>
      <c r="U241" s="6"/>
      <c r="V241" s="6"/>
      <c r="W241" s="6"/>
    </row>
    <row r="242" spans="1:23" ht="16" x14ac:dyDescent="0.2">
      <c r="A242" s="6"/>
      <c r="B242" s="7"/>
      <c r="C242" s="7"/>
      <c r="D242" s="7"/>
      <c r="E242" s="7"/>
      <c r="F242" s="6"/>
      <c r="G242" s="6"/>
      <c r="H242" s="6"/>
      <c r="I242" s="6"/>
      <c r="J242" s="6"/>
      <c r="K242" s="6"/>
      <c r="L242" s="6"/>
      <c r="M242" s="6"/>
      <c r="N242" s="6"/>
      <c r="O242" s="6"/>
      <c r="P242" s="6"/>
      <c r="Q242" s="6"/>
      <c r="R242" s="6"/>
      <c r="S242" s="6"/>
      <c r="T242" s="6"/>
      <c r="U242" s="6"/>
      <c r="V242" s="6"/>
      <c r="W242" s="6"/>
    </row>
    <row r="243" spans="1:23" ht="16" x14ac:dyDescent="0.2">
      <c r="A243" s="6"/>
      <c r="B243" s="7"/>
      <c r="C243" s="7"/>
      <c r="D243" s="7"/>
      <c r="E243" s="7"/>
      <c r="F243" s="6"/>
      <c r="G243" s="6"/>
      <c r="H243" s="6"/>
      <c r="I243" s="6"/>
      <c r="J243" s="6"/>
      <c r="K243" s="6"/>
      <c r="L243" s="6"/>
      <c r="M243" s="6"/>
      <c r="N243" s="6"/>
      <c r="O243" s="6"/>
      <c r="P243" s="6"/>
      <c r="Q243" s="6"/>
      <c r="R243" s="6"/>
      <c r="S243" s="6"/>
      <c r="T243" s="6"/>
      <c r="U243" s="6"/>
      <c r="V243" s="6"/>
      <c r="W243" s="6"/>
    </row>
    <row r="244" spans="1:23" ht="16" x14ac:dyDescent="0.2">
      <c r="A244" s="6"/>
      <c r="B244" s="7"/>
      <c r="C244" s="7"/>
      <c r="D244" s="7"/>
      <c r="E244" s="7"/>
      <c r="F244" s="6"/>
      <c r="G244" s="6"/>
      <c r="H244" s="6"/>
      <c r="I244" s="6"/>
      <c r="J244" s="6"/>
      <c r="K244" s="6"/>
      <c r="L244" s="6"/>
      <c r="M244" s="6"/>
      <c r="N244" s="6"/>
      <c r="O244" s="6"/>
      <c r="P244" s="6"/>
      <c r="Q244" s="6"/>
      <c r="R244" s="6"/>
      <c r="S244" s="6"/>
      <c r="T244" s="6"/>
      <c r="U244" s="6"/>
      <c r="V244" s="6"/>
      <c r="W244" s="6"/>
    </row>
    <row r="245" spans="1:23" ht="16" x14ac:dyDescent="0.2">
      <c r="A245" s="6"/>
      <c r="B245" s="7"/>
      <c r="C245" s="7"/>
      <c r="D245" s="7"/>
      <c r="E245" s="7"/>
      <c r="F245" s="6"/>
      <c r="G245" s="6"/>
      <c r="H245" s="6"/>
      <c r="I245" s="6"/>
      <c r="J245" s="6"/>
      <c r="K245" s="6"/>
      <c r="L245" s="6"/>
      <c r="M245" s="6"/>
      <c r="N245" s="6"/>
      <c r="O245" s="6"/>
      <c r="P245" s="6"/>
      <c r="Q245" s="6"/>
      <c r="R245" s="6"/>
      <c r="S245" s="6"/>
      <c r="T245" s="6"/>
      <c r="U245" s="6"/>
      <c r="V245" s="6"/>
      <c r="W245" s="6"/>
    </row>
    <row r="246" spans="1:23" ht="16" x14ac:dyDescent="0.2">
      <c r="A246" s="6"/>
      <c r="B246" s="7"/>
      <c r="C246" s="7"/>
      <c r="D246" s="7"/>
      <c r="E246" s="7"/>
      <c r="F246" s="6"/>
      <c r="G246" s="6"/>
      <c r="H246" s="6"/>
      <c r="I246" s="6"/>
      <c r="J246" s="6"/>
      <c r="K246" s="6"/>
      <c r="L246" s="6"/>
      <c r="M246" s="6"/>
      <c r="N246" s="6"/>
      <c r="O246" s="6"/>
      <c r="P246" s="6"/>
      <c r="Q246" s="6"/>
      <c r="R246" s="6"/>
      <c r="S246" s="6"/>
      <c r="T246" s="6"/>
      <c r="U246" s="6"/>
      <c r="V246" s="6"/>
      <c r="W246" s="6"/>
    </row>
    <row r="247" spans="1:23" ht="16" x14ac:dyDescent="0.2">
      <c r="A247" s="6"/>
      <c r="B247" s="7"/>
      <c r="C247" s="7"/>
      <c r="D247" s="7"/>
      <c r="E247" s="7"/>
      <c r="F247" s="6"/>
      <c r="G247" s="6"/>
      <c r="H247" s="6"/>
      <c r="I247" s="6"/>
      <c r="J247" s="6"/>
      <c r="K247" s="6"/>
      <c r="L247" s="6"/>
      <c r="M247" s="6"/>
      <c r="N247" s="6"/>
      <c r="O247" s="6"/>
      <c r="P247" s="6"/>
      <c r="Q247" s="6"/>
      <c r="R247" s="6"/>
      <c r="S247" s="6"/>
      <c r="T247" s="6"/>
      <c r="U247" s="6"/>
      <c r="V247" s="6"/>
      <c r="W247" s="6"/>
    </row>
    <row r="248" spans="1:23" ht="16" x14ac:dyDescent="0.2">
      <c r="A248" s="6"/>
      <c r="B248" s="7"/>
      <c r="C248" s="7"/>
      <c r="D248" s="7"/>
      <c r="E248" s="7"/>
      <c r="F248" s="6"/>
      <c r="G248" s="6"/>
      <c r="H248" s="6"/>
      <c r="I248" s="6"/>
      <c r="J248" s="6"/>
      <c r="K248" s="6"/>
      <c r="L248" s="6"/>
      <c r="M248" s="6"/>
      <c r="N248" s="6"/>
      <c r="O248" s="6"/>
      <c r="P248" s="6"/>
      <c r="Q248" s="6"/>
      <c r="R248" s="6"/>
      <c r="S248" s="6"/>
      <c r="T248" s="6"/>
      <c r="U248" s="6"/>
      <c r="V248" s="6"/>
      <c r="W248" s="6"/>
    </row>
    <row r="249" spans="1:23" ht="16" x14ac:dyDescent="0.2">
      <c r="A249" s="6"/>
      <c r="B249" s="7"/>
      <c r="C249" s="7"/>
      <c r="D249" s="7"/>
      <c r="E249" s="7"/>
      <c r="F249" s="6"/>
      <c r="G249" s="6"/>
      <c r="H249" s="6"/>
      <c r="I249" s="6"/>
      <c r="J249" s="6"/>
      <c r="K249" s="6"/>
      <c r="L249" s="6"/>
      <c r="M249" s="6"/>
      <c r="N249" s="6"/>
      <c r="O249" s="6"/>
      <c r="P249" s="6"/>
      <c r="Q249" s="6"/>
      <c r="R249" s="6"/>
      <c r="S249" s="6"/>
      <c r="T249" s="6"/>
      <c r="U249" s="6"/>
      <c r="V249" s="6"/>
      <c r="W249" s="6"/>
    </row>
    <row r="250" spans="1:23" ht="16" x14ac:dyDescent="0.2">
      <c r="A250" s="6"/>
      <c r="B250" s="7"/>
      <c r="C250" s="7"/>
      <c r="D250" s="7"/>
      <c r="E250" s="7"/>
      <c r="F250" s="6"/>
      <c r="G250" s="6"/>
      <c r="H250" s="6"/>
      <c r="I250" s="6"/>
      <c r="J250" s="6"/>
      <c r="K250" s="6"/>
      <c r="L250" s="6"/>
      <c r="M250" s="6"/>
      <c r="N250" s="6"/>
      <c r="O250" s="6"/>
      <c r="P250" s="6"/>
      <c r="Q250" s="6"/>
      <c r="R250" s="6"/>
      <c r="S250" s="6"/>
      <c r="T250" s="6"/>
      <c r="U250" s="6"/>
      <c r="V250" s="6"/>
      <c r="W250" s="6"/>
    </row>
    <row r="251" spans="1:23" ht="16" x14ac:dyDescent="0.2">
      <c r="A251" s="6"/>
      <c r="B251" s="7"/>
      <c r="C251" s="7"/>
      <c r="D251" s="7"/>
      <c r="E251" s="7"/>
      <c r="F251" s="6"/>
      <c r="G251" s="6"/>
      <c r="H251" s="6"/>
      <c r="I251" s="6"/>
      <c r="J251" s="6"/>
      <c r="K251" s="6"/>
      <c r="L251" s="6"/>
      <c r="M251" s="6"/>
      <c r="N251" s="6"/>
      <c r="O251" s="6"/>
      <c r="P251" s="6"/>
      <c r="Q251" s="6"/>
      <c r="R251" s="6"/>
      <c r="S251" s="6"/>
      <c r="T251" s="6"/>
      <c r="U251" s="6"/>
      <c r="V251" s="6"/>
      <c r="W251" s="6"/>
    </row>
    <row r="252" spans="1:23" ht="16" x14ac:dyDescent="0.2">
      <c r="A252" s="6"/>
      <c r="B252" s="7"/>
      <c r="C252" s="7"/>
      <c r="D252" s="7"/>
      <c r="E252" s="7"/>
      <c r="F252" s="6"/>
      <c r="G252" s="6"/>
      <c r="H252" s="6"/>
      <c r="I252" s="6"/>
      <c r="J252" s="6"/>
      <c r="K252" s="6"/>
      <c r="L252" s="6"/>
      <c r="M252" s="6"/>
      <c r="N252" s="6"/>
      <c r="O252" s="6"/>
      <c r="P252" s="6"/>
      <c r="Q252" s="6"/>
      <c r="R252" s="6"/>
      <c r="S252" s="6"/>
      <c r="T252" s="6"/>
      <c r="U252" s="6"/>
      <c r="V252" s="6"/>
      <c r="W252" s="6"/>
    </row>
    <row r="253" spans="1:23" ht="16" x14ac:dyDescent="0.2">
      <c r="A253" s="6"/>
      <c r="B253" s="7"/>
      <c r="C253" s="7"/>
      <c r="D253" s="7"/>
      <c r="E253" s="7"/>
      <c r="F253" s="6"/>
      <c r="G253" s="6"/>
      <c r="H253" s="6"/>
      <c r="I253" s="6"/>
      <c r="J253" s="6"/>
      <c r="K253" s="6"/>
      <c r="L253" s="6"/>
      <c r="M253" s="6"/>
      <c r="N253" s="6"/>
      <c r="O253" s="6"/>
      <c r="P253" s="6"/>
      <c r="Q253" s="6"/>
      <c r="R253" s="6"/>
      <c r="S253" s="6"/>
      <c r="T253" s="6"/>
      <c r="U253" s="6"/>
      <c r="V253" s="6"/>
      <c r="W253" s="6"/>
    </row>
    <row r="254" spans="1:23" ht="16" x14ac:dyDescent="0.2">
      <c r="A254" s="6"/>
      <c r="B254" s="7"/>
      <c r="C254" s="7"/>
      <c r="D254" s="7"/>
      <c r="E254" s="7"/>
      <c r="F254" s="6"/>
      <c r="G254" s="6"/>
      <c r="H254" s="6"/>
      <c r="I254" s="6"/>
      <c r="J254" s="6"/>
      <c r="K254" s="6"/>
      <c r="L254" s="6"/>
      <c r="M254" s="6"/>
      <c r="N254" s="6"/>
      <c r="O254" s="6"/>
      <c r="P254" s="6"/>
      <c r="Q254" s="6"/>
      <c r="R254" s="6"/>
      <c r="S254" s="6"/>
      <c r="T254" s="6"/>
      <c r="U254" s="6"/>
      <c r="V254" s="6"/>
      <c r="W254" s="6"/>
    </row>
    <row r="255" spans="1:23" ht="16" x14ac:dyDescent="0.2">
      <c r="A255" s="6"/>
      <c r="B255" s="7"/>
      <c r="C255" s="7"/>
      <c r="D255" s="7"/>
      <c r="E255" s="7"/>
      <c r="F255" s="6"/>
      <c r="G255" s="6"/>
      <c r="H255" s="6"/>
      <c r="I255" s="6"/>
      <c r="J255" s="6"/>
      <c r="K255" s="6"/>
      <c r="L255" s="6"/>
      <c r="M255" s="6"/>
      <c r="N255" s="6"/>
      <c r="O255" s="6"/>
      <c r="P255" s="6"/>
      <c r="Q255" s="6"/>
      <c r="R255" s="6"/>
      <c r="S255" s="6"/>
      <c r="T255" s="6"/>
      <c r="U255" s="6"/>
      <c r="V255" s="6"/>
      <c r="W255" s="6"/>
    </row>
    <row r="256" spans="1:23" ht="16" x14ac:dyDescent="0.2">
      <c r="A256" s="6"/>
      <c r="B256" s="7"/>
      <c r="C256" s="7"/>
      <c r="D256" s="7"/>
      <c r="E256" s="7"/>
      <c r="F256" s="6"/>
      <c r="G256" s="6"/>
      <c r="H256" s="6"/>
      <c r="I256" s="6"/>
      <c r="J256" s="6"/>
      <c r="K256" s="6"/>
      <c r="L256" s="6"/>
      <c r="M256" s="6"/>
      <c r="N256" s="6"/>
      <c r="O256" s="6"/>
      <c r="P256" s="6"/>
      <c r="Q256" s="6"/>
      <c r="R256" s="6"/>
      <c r="S256" s="6"/>
      <c r="T256" s="6"/>
      <c r="U256" s="6"/>
      <c r="V256" s="6"/>
      <c r="W256" s="6"/>
    </row>
    <row r="257" spans="1:23" ht="16" x14ac:dyDescent="0.2">
      <c r="A257" s="6"/>
      <c r="B257" s="7"/>
      <c r="C257" s="7"/>
      <c r="D257" s="7"/>
      <c r="E257" s="7"/>
      <c r="F257" s="6"/>
      <c r="G257" s="6"/>
      <c r="H257" s="6"/>
      <c r="I257" s="6"/>
      <c r="J257" s="6"/>
      <c r="K257" s="6"/>
      <c r="L257" s="6"/>
      <c r="M257" s="6"/>
      <c r="N257" s="6"/>
      <c r="O257" s="6"/>
      <c r="P257" s="6"/>
      <c r="Q257" s="6"/>
      <c r="R257" s="6"/>
      <c r="S257" s="6"/>
      <c r="T257" s="6"/>
      <c r="U257" s="6"/>
      <c r="V257" s="6"/>
      <c r="W257" s="6"/>
    </row>
    <row r="258" spans="1:23" ht="16" x14ac:dyDescent="0.2">
      <c r="A258" s="6"/>
      <c r="B258" s="7"/>
      <c r="C258" s="7"/>
      <c r="D258" s="7"/>
      <c r="E258" s="7"/>
      <c r="F258" s="6"/>
      <c r="G258" s="6"/>
      <c r="H258" s="6"/>
      <c r="I258" s="6"/>
      <c r="J258" s="6"/>
      <c r="K258" s="6"/>
      <c r="L258" s="6"/>
      <c r="M258" s="6"/>
      <c r="N258" s="6"/>
      <c r="O258" s="6"/>
      <c r="P258" s="6"/>
      <c r="Q258" s="6"/>
      <c r="R258" s="6"/>
      <c r="S258" s="6"/>
      <c r="T258" s="6"/>
      <c r="U258" s="6"/>
      <c r="V258" s="6"/>
      <c r="W258" s="6"/>
    </row>
    <row r="259" spans="1:23" ht="16" x14ac:dyDescent="0.2">
      <c r="A259" s="6"/>
      <c r="B259" s="7"/>
      <c r="C259" s="7"/>
      <c r="D259" s="7"/>
      <c r="E259" s="7"/>
      <c r="F259" s="6"/>
      <c r="G259" s="6"/>
      <c r="H259" s="6"/>
      <c r="I259" s="6"/>
      <c r="J259" s="6"/>
      <c r="K259" s="6"/>
      <c r="L259" s="6"/>
      <c r="M259" s="6"/>
      <c r="N259" s="6"/>
      <c r="O259" s="6"/>
      <c r="P259" s="6"/>
      <c r="Q259" s="6"/>
      <c r="R259" s="6"/>
      <c r="S259" s="6"/>
      <c r="T259" s="6"/>
      <c r="U259" s="6"/>
      <c r="V259" s="6"/>
      <c r="W259" s="6"/>
    </row>
    <row r="260" spans="1:23" ht="16" x14ac:dyDescent="0.2">
      <c r="A260" s="6"/>
      <c r="B260" s="7"/>
      <c r="C260" s="7"/>
      <c r="D260" s="7"/>
      <c r="E260" s="7"/>
      <c r="F260" s="6"/>
      <c r="G260" s="6"/>
      <c r="H260" s="6"/>
      <c r="I260" s="6"/>
      <c r="J260" s="6"/>
      <c r="K260" s="6"/>
      <c r="L260" s="6"/>
      <c r="M260" s="6"/>
      <c r="N260" s="6"/>
      <c r="O260" s="6"/>
      <c r="P260" s="6"/>
      <c r="Q260" s="6"/>
      <c r="R260" s="6"/>
      <c r="S260" s="6"/>
      <c r="T260" s="6"/>
      <c r="U260" s="6"/>
      <c r="V260" s="6"/>
      <c r="W260" s="6"/>
    </row>
    <row r="261" spans="1:23" ht="16" x14ac:dyDescent="0.2">
      <c r="A261" s="6"/>
      <c r="B261" s="7"/>
      <c r="C261" s="7"/>
      <c r="D261" s="7"/>
      <c r="E261" s="7"/>
      <c r="F261" s="6"/>
      <c r="G261" s="6"/>
      <c r="H261" s="6"/>
      <c r="I261" s="6"/>
      <c r="J261" s="6"/>
      <c r="K261" s="6"/>
      <c r="L261" s="6"/>
      <c r="M261" s="6"/>
      <c r="N261" s="6"/>
      <c r="O261" s="6"/>
      <c r="P261" s="6"/>
      <c r="Q261" s="6"/>
      <c r="R261" s="6"/>
      <c r="S261" s="6"/>
      <c r="T261" s="6"/>
      <c r="U261" s="6"/>
      <c r="V261" s="6"/>
      <c r="W261" s="6"/>
    </row>
    <row r="262" spans="1:23" ht="16" x14ac:dyDescent="0.2">
      <c r="A262" s="6"/>
      <c r="B262" s="7"/>
      <c r="C262" s="7"/>
      <c r="D262" s="7"/>
      <c r="E262" s="7"/>
      <c r="F262" s="6"/>
      <c r="G262" s="6"/>
      <c r="H262" s="6"/>
      <c r="I262" s="6"/>
      <c r="J262" s="6"/>
      <c r="K262" s="6"/>
      <c r="L262" s="6"/>
      <c r="M262" s="6"/>
      <c r="N262" s="6"/>
      <c r="O262" s="6"/>
      <c r="P262" s="6"/>
      <c r="Q262" s="6"/>
      <c r="R262" s="6"/>
      <c r="S262" s="6"/>
      <c r="T262" s="6"/>
      <c r="U262" s="6"/>
      <c r="V262" s="6"/>
      <c r="W262" s="6"/>
    </row>
    <row r="263" spans="1:23" ht="16" x14ac:dyDescent="0.2">
      <c r="A263" s="6"/>
      <c r="B263" s="7"/>
      <c r="C263" s="7"/>
      <c r="D263" s="7"/>
      <c r="E263" s="7"/>
      <c r="F263" s="6"/>
      <c r="G263" s="6"/>
      <c r="H263" s="6"/>
      <c r="I263" s="6"/>
      <c r="J263" s="6"/>
      <c r="K263" s="6"/>
      <c r="L263" s="6"/>
      <c r="M263" s="6"/>
      <c r="N263" s="6"/>
      <c r="O263" s="6"/>
      <c r="P263" s="6"/>
      <c r="Q263" s="6"/>
      <c r="R263" s="6"/>
      <c r="S263" s="6"/>
      <c r="T263" s="6"/>
      <c r="U263" s="6"/>
      <c r="V263" s="6"/>
      <c r="W263" s="6"/>
    </row>
    <row r="264" spans="1:23" ht="16" x14ac:dyDescent="0.2">
      <c r="A264" s="6"/>
      <c r="B264" s="7"/>
      <c r="C264" s="7"/>
      <c r="D264" s="7"/>
      <c r="E264" s="7"/>
      <c r="F264" s="6"/>
      <c r="G264" s="6"/>
      <c r="H264" s="6"/>
      <c r="I264" s="6"/>
      <c r="J264" s="6"/>
      <c r="K264" s="6"/>
      <c r="L264" s="6"/>
      <c r="M264" s="6"/>
      <c r="N264" s="6"/>
      <c r="O264" s="6"/>
      <c r="P264" s="6"/>
      <c r="Q264" s="6"/>
      <c r="R264" s="6"/>
      <c r="S264" s="6"/>
      <c r="T264" s="6"/>
      <c r="U264" s="6"/>
      <c r="V264" s="6"/>
      <c r="W264" s="6"/>
    </row>
    <row r="265" spans="1:23" ht="16" x14ac:dyDescent="0.2">
      <c r="A265" s="6"/>
      <c r="B265" s="7"/>
      <c r="C265" s="7"/>
      <c r="D265" s="7"/>
      <c r="E265" s="7"/>
      <c r="F265" s="6"/>
      <c r="G265" s="6"/>
      <c r="H265" s="6"/>
      <c r="I265" s="6"/>
      <c r="J265" s="6"/>
      <c r="K265" s="6"/>
      <c r="L265" s="6"/>
      <c r="M265" s="6"/>
      <c r="N265" s="6"/>
      <c r="O265" s="6"/>
      <c r="P265" s="6"/>
      <c r="Q265" s="6"/>
      <c r="R265" s="6"/>
      <c r="S265" s="6"/>
      <c r="T265" s="6"/>
      <c r="U265" s="6"/>
      <c r="V265" s="6"/>
      <c r="W265" s="6"/>
    </row>
    <row r="266" spans="1:23" ht="16" x14ac:dyDescent="0.2">
      <c r="A266" s="6"/>
      <c r="B266" s="7"/>
      <c r="C266" s="7"/>
      <c r="D266" s="7"/>
      <c r="E266" s="7"/>
      <c r="F266" s="6"/>
      <c r="G266" s="6"/>
      <c r="H266" s="6"/>
      <c r="I266" s="6"/>
      <c r="J266" s="6"/>
      <c r="K266" s="6"/>
      <c r="L266" s="6"/>
      <c r="M266" s="6"/>
      <c r="N266" s="6"/>
      <c r="O266" s="6"/>
      <c r="P266" s="6"/>
      <c r="Q266" s="6"/>
      <c r="R266" s="6"/>
      <c r="S266" s="6"/>
      <c r="T266" s="6"/>
      <c r="U266" s="6"/>
      <c r="V266" s="6"/>
      <c r="W266" s="6"/>
    </row>
    <row r="267" spans="1:23" ht="16" x14ac:dyDescent="0.2">
      <c r="A267" s="6"/>
      <c r="B267" s="7"/>
      <c r="C267" s="7"/>
      <c r="D267" s="7"/>
      <c r="E267" s="7"/>
      <c r="F267" s="6"/>
      <c r="G267" s="6"/>
      <c r="H267" s="6"/>
      <c r="I267" s="6"/>
      <c r="J267" s="6"/>
      <c r="K267" s="6"/>
      <c r="L267" s="6"/>
      <c r="M267" s="6"/>
      <c r="N267" s="6"/>
      <c r="O267" s="6"/>
      <c r="P267" s="6"/>
      <c r="Q267" s="6"/>
      <c r="R267" s="6"/>
      <c r="S267" s="6"/>
      <c r="T267" s="6"/>
      <c r="U267" s="6"/>
      <c r="V267" s="6"/>
      <c r="W267" s="6"/>
    </row>
    <row r="268" spans="1:23" ht="16" x14ac:dyDescent="0.2">
      <c r="A268" s="6"/>
      <c r="B268" s="7"/>
      <c r="C268" s="7"/>
      <c r="D268" s="7"/>
      <c r="E268" s="7"/>
      <c r="F268" s="6"/>
      <c r="G268" s="6"/>
      <c r="H268" s="6"/>
      <c r="I268" s="6"/>
      <c r="J268" s="6"/>
      <c r="K268" s="6"/>
      <c r="L268" s="6"/>
      <c r="M268" s="6"/>
      <c r="N268" s="6"/>
      <c r="O268" s="6"/>
      <c r="P268" s="6"/>
      <c r="Q268" s="6"/>
      <c r="R268" s="6"/>
      <c r="S268" s="6"/>
      <c r="T268" s="6"/>
      <c r="U268" s="6"/>
      <c r="V268" s="6"/>
      <c r="W268" s="6"/>
    </row>
    <row r="269" spans="1:23" ht="16" x14ac:dyDescent="0.2">
      <c r="A269" s="6"/>
      <c r="B269" s="7"/>
      <c r="C269" s="7"/>
      <c r="D269" s="7"/>
      <c r="E269" s="7"/>
      <c r="F269" s="6"/>
      <c r="G269" s="6"/>
      <c r="H269" s="6"/>
      <c r="I269" s="6"/>
      <c r="J269" s="6"/>
      <c r="K269" s="6"/>
      <c r="L269" s="6"/>
      <c r="M269" s="6"/>
      <c r="N269" s="6"/>
      <c r="O269" s="6"/>
      <c r="P269" s="6"/>
      <c r="Q269" s="6"/>
      <c r="R269" s="6"/>
      <c r="S269" s="6"/>
      <c r="T269" s="6"/>
      <c r="U269" s="6"/>
      <c r="V269" s="6"/>
      <c r="W269" s="6"/>
    </row>
    <row r="270" spans="1:23" ht="16" x14ac:dyDescent="0.2">
      <c r="A270" s="6"/>
      <c r="B270" s="7"/>
      <c r="C270" s="7"/>
      <c r="D270" s="7"/>
      <c r="E270" s="7"/>
      <c r="F270" s="6"/>
      <c r="G270" s="6"/>
      <c r="H270" s="6"/>
      <c r="I270" s="6"/>
      <c r="J270" s="6"/>
      <c r="K270" s="6"/>
      <c r="L270" s="6"/>
      <c r="M270" s="6"/>
      <c r="N270" s="6"/>
      <c r="O270" s="6"/>
      <c r="P270" s="6"/>
      <c r="Q270" s="6"/>
      <c r="R270" s="6"/>
      <c r="S270" s="6"/>
      <c r="T270" s="6"/>
      <c r="U270" s="6"/>
      <c r="V270" s="6"/>
      <c r="W270" s="6"/>
    </row>
    <row r="271" spans="1:23" ht="16" x14ac:dyDescent="0.2">
      <c r="A271" s="6"/>
      <c r="B271" s="7"/>
      <c r="C271" s="7"/>
      <c r="D271" s="7"/>
      <c r="E271" s="7"/>
      <c r="F271" s="6"/>
      <c r="G271" s="6"/>
      <c r="H271" s="6"/>
      <c r="I271" s="6"/>
      <c r="J271" s="6"/>
      <c r="K271" s="6"/>
      <c r="L271" s="6"/>
      <c r="M271" s="6"/>
      <c r="N271" s="6"/>
      <c r="O271" s="6"/>
      <c r="P271" s="6"/>
      <c r="Q271" s="6"/>
      <c r="R271" s="6"/>
      <c r="S271" s="6"/>
      <c r="T271" s="6"/>
      <c r="U271" s="6"/>
      <c r="V271" s="6"/>
      <c r="W271" s="6"/>
    </row>
    <row r="272" spans="1:23" ht="16" x14ac:dyDescent="0.2">
      <c r="A272" s="6"/>
      <c r="B272" s="7"/>
      <c r="C272" s="7"/>
      <c r="D272" s="7"/>
      <c r="E272" s="7"/>
      <c r="F272" s="6"/>
      <c r="G272" s="6"/>
      <c r="H272" s="6"/>
      <c r="I272" s="6"/>
      <c r="J272" s="6"/>
      <c r="K272" s="6"/>
      <c r="L272" s="6"/>
      <c r="M272" s="6"/>
      <c r="N272" s="6"/>
      <c r="O272" s="6"/>
      <c r="P272" s="6"/>
      <c r="Q272" s="6"/>
      <c r="R272" s="6"/>
      <c r="S272" s="6"/>
      <c r="T272" s="6"/>
      <c r="U272" s="6"/>
      <c r="V272" s="6"/>
      <c r="W272" s="6"/>
    </row>
    <row r="273" spans="1:23" ht="16" x14ac:dyDescent="0.2">
      <c r="A273" s="6"/>
      <c r="B273" s="7"/>
      <c r="C273" s="7"/>
      <c r="D273" s="7"/>
      <c r="E273" s="7"/>
      <c r="F273" s="6"/>
      <c r="G273" s="6"/>
      <c r="H273" s="6"/>
      <c r="I273" s="6"/>
      <c r="J273" s="6"/>
      <c r="K273" s="6"/>
      <c r="L273" s="6"/>
      <c r="M273" s="6"/>
      <c r="N273" s="6"/>
      <c r="O273" s="6"/>
      <c r="P273" s="6"/>
      <c r="Q273" s="6"/>
      <c r="R273" s="6"/>
      <c r="S273" s="6"/>
      <c r="T273" s="6"/>
      <c r="U273" s="6"/>
      <c r="V273" s="6"/>
      <c r="W273" s="6"/>
    </row>
    <row r="274" spans="1:23" ht="16" x14ac:dyDescent="0.2">
      <c r="A274" s="6"/>
      <c r="B274" s="7"/>
      <c r="C274" s="7"/>
      <c r="D274" s="7"/>
      <c r="E274" s="7"/>
      <c r="F274" s="6"/>
      <c r="G274" s="6"/>
      <c r="H274" s="6"/>
      <c r="I274" s="6"/>
      <c r="J274" s="6"/>
      <c r="K274" s="6"/>
      <c r="L274" s="6"/>
      <c r="M274" s="6"/>
      <c r="N274" s="6"/>
      <c r="O274" s="6"/>
      <c r="P274" s="6"/>
      <c r="Q274" s="6"/>
      <c r="R274" s="6"/>
      <c r="S274" s="6"/>
      <c r="T274" s="6"/>
      <c r="U274" s="6"/>
      <c r="V274" s="6"/>
      <c r="W274" s="6"/>
    </row>
    <row r="275" spans="1:23" ht="16" x14ac:dyDescent="0.2">
      <c r="A275" s="6"/>
      <c r="B275" s="7"/>
      <c r="C275" s="7"/>
      <c r="D275" s="7"/>
      <c r="E275" s="7"/>
      <c r="F275" s="6"/>
      <c r="G275" s="6"/>
      <c r="H275" s="6"/>
      <c r="I275" s="6"/>
      <c r="J275" s="6"/>
      <c r="K275" s="6"/>
      <c r="L275" s="6"/>
      <c r="M275" s="6"/>
      <c r="N275" s="6"/>
      <c r="O275" s="6"/>
      <c r="P275" s="6"/>
      <c r="Q275" s="6"/>
      <c r="R275" s="6"/>
      <c r="S275" s="6"/>
      <c r="T275" s="6"/>
      <c r="U275" s="6"/>
      <c r="V275" s="6"/>
      <c r="W275" s="6"/>
    </row>
    <row r="276" spans="1:23" ht="16" x14ac:dyDescent="0.2">
      <c r="A276" s="6"/>
      <c r="B276" s="7"/>
      <c r="C276" s="7"/>
      <c r="D276" s="7"/>
      <c r="E276" s="7"/>
      <c r="F276" s="6"/>
      <c r="G276" s="6"/>
      <c r="H276" s="6"/>
      <c r="I276" s="6"/>
      <c r="J276" s="6"/>
      <c r="K276" s="6"/>
      <c r="L276" s="6"/>
      <c r="M276" s="6"/>
      <c r="N276" s="6"/>
      <c r="O276" s="6"/>
      <c r="P276" s="6"/>
      <c r="Q276" s="6"/>
      <c r="R276" s="6"/>
      <c r="S276" s="6"/>
      <c r="T276" s="6"/>
      <c r="U276" s="6"/>
      <c r="V276" s="6"/>
      <c r="W276" s="6"/>
    </row>
    <row r="277" spans="1:23" ht="16" x14ac:dyDescent="0.2">
      <c r="A277" s="6"/>
      <c r="B277" s="7"/>
      <c r="C277" s="7"/>
      <c r="D277" s="7"/>
      <c r="E277" s="7"/>
      <c r="F277" s="6"/>
      <c r="G277" s="6"/>
      <c r="H277" s="6"/>
      <c r="I277" s="6"/>
      <c r="J277" s="6"/>
      <c r="K277" s="6"/>
      <c r="L277" s="6"/>
      <c r="M277" s="6"/>
      <c r="N277" s="6"/>
      <c r="O277" s="6"/>
      <c r="P277" s="6"/>
      <c r="Q277" s="6"/>
      <c r="R277" s="6"/>
      <c r="S277" s="6"/>
      <c r="T277" s="6"/>
      <c r="U277" s="6"/>
      <c r="V277" s="6"/>
      <c r="W277" s="6"/>
    </row>
    <row r="278" spans="1:23" ht="16" x14ac:dyDescent="0.2">
      <c r="A278" s="6"/>
      <c r="B278" s="7"/>
      <c r="C278" s="7"/>
      <c r="D278" s="7"/>
      <c r="E278" s="7"/>
      <c r="F278" s="6"/>
      <c r="G278" s="6"/>
      <c r="H278" s="6"/>
      <c r="I278" s="6"/>
      <c r="J278" s="6"/>
      <c r="K278" s="6"/>
      <c r="L278" s="6"/>
      <c r="M278" s="6"/>
      <c r="N278" s="6"/>
      <c r="O278" s="6"/>
      <c r="P278" s="6"/>
      <c r="Q278" s="6"/>
      <c r="R278" s="6"/>
      <c r="S278" s="6"/>
      <c r="T278" s="6"/>
      <c r="U278" s="6"/>
      <c r="V278" s="6"/>
      <c r="W278" s="6"/>
    </row>
    <row r="279" spans="1:23" ht="16" x14ac:dyDescent="0.2">
      <c r="A279" s="6"/>
      <c r="B279" s="7"/>
      <c r="C279" s="7"/>
      <c r="D279" s="7"/>
      <c r="E279" s="7"/>
      <c r="F279" s="6"/>
      <c r="G279" s="6"/>
      <c r="H279" s="6"/>
      <c r="I279" s="6"/>
      <c r="J279" s="6"/>
      <c r="K279" s="6"/>
      <c r="L279" s="6"/>
      <c r="M279" s="6"/>
      <c r="N279" s="6"/>
      <c r="O279" s="6"/>
      <c r="P279" s="6"/>
      <c r="Q279" s="6"/>
      <c r="R279" s="6"/>
      <c r="S279" s="6"/>
      <c r="T279" s="6"/>
      <c r="U279" s="6"/>
      <c r="V279" s="6"/>
      <c r="W279" s="6"/>
    </row>
    <row r="280" spans="1:23" ht="16" x14ac:dyDescent="0.2">
      <c r="A280" s="6"/>
      <c r="B280" s="7"/>
      <c r="C280" s="7"/>
      <c r="D280" s="7"/>
      <c r="E280" s="7"/>
      <c r="F280" s="6"/>
      <c r="G280" s="6"/>
      <c r="H280" s="6"/>
      <c r="I280" s="6"/>
      <c r="J280" s="6"/>
      <c r="K280" s="6"/>
      <c r="L280" s="6"/>
      <c r="M280" s="6"/>
      <c r="N280" s="6"/>
      <c r="O280" s="6"/>
      <c r="P280" s="6"/>
      <c r="Q280" s="6"/>
      <c r="R280" s="6"/>
      <c r="S280" s="6"/>
      <c r="T280" s="6"/>
      <c r="U280" s="6"/>
      <c r="V280" s="6"/>
      <c r="W280" s="6"/>
    </row>
    <row r="281" spans="1:23" ht="16" x14ac:dyDescent="0.2">
      <c r="A281" s="6"/>
      <c r="B281" s="7"/>
      <c r="C281" s="7"/>
      <c r="D281" s="7"/>
      <c r="E281" s="7"/>
      <c r="F281" s="6"/>
      <c r="G281" s="6"/>
      <c r="H281" s="6"/>
      <c r="I281" s="6"/>
      <c r="J281" s="6"/>
      <c r="K281" s="6"/>
      <c r="L281" s="6"/>
      <c r="M281" s="6"/>
      <c r="N281" s="6"/>
      <c r="O281" s="6"/>
      <c r="P281" s="6"/>
      <c r="Q281" s="6"/>
      <c r="R281" s="6"/>
      <c r="S281" s="6"/>
      <c r="T281" s="6"/>
      <c r="U281" s="6"/>
      <c r="V281" s="6"/>
      <c r="W281" s="6"/>
    </row>
    <row r="282" spans="1:23" ht="16" x14ac:dyDescent="0.2">
      <c r="A282" s="6"/>
      <c r="B282" s="7"/>
      <c r="C282" s="7"/>
      <c r="D282" s="7"/>
      <c r="E282" s="7"/>
      <c r="F282" s="6"/>
      <c r="G282" s="6"/>
      <c r="H282" s="6"/>
      <c r="I282" s="6"/>
      <c r="J282" s="6"/>
      <c r="K282" s="6"/>
      <c r="L282" s="6"/>
      <c r="M282" s="6"/>
      <c r="N282" s="6"/>
      <c r="O282" s="6"/>
      <c r="P282" s="6"/>
      <c r="Q282" s="6"/>
      <c r="R282" s="6"/>
      <c r="S282" s="6"/>
      <c r="T282" s="6"/>
      <c r="U282" s="6"/>
      <c r="V282" s="6"/>
      <c r="W282" s="6"/>
    </row>
    <row r="283" spans="1:23" ht="16" x14ac:dyDescent="0.2">
      <c r="A283" s="6"/>
      <c r="B283" s="7"/>
      <c r="C283" s="7"/>
      <c r="D283" s="7"/>
      <c r="E283" s="7"/>
      <c r="F283" s="6"/>
      <c r="G283" s="6"/>
      <c r="H283" s="6"/>
      <c r="I283" s="6"/>
      <c r="J283" s="6"/>
      <c r="K283" s="6"/>
      <c r="L283" s="6"/>
      <c r="M283" s="6"/>
      <c r="N283" s="6"/>
      <c r="O283" s="6"/>
      <c r="P283" s="6"/>
      <c r="Q283" s="6"/>
      <c r="R283" s="6"/>
      <c r="S283" s="6"/>
      <c r="T283" s="6"/>
      <c r="U283" s="6"/>
      <c r="V283" s="6"/>
      <c r="W283" s="6"/>
    </row>
    <row r="284" spans="1:23" ht="16" x14ac:dyDescent="0.2">
      <c r="A284" s="6"/>
      <c r="B284" s="7"/>
      <c r="C284" s="7"/>
      <c r="D284" s="7"/>
      <c r="E284" s="7"/>
      <c r="F284" s="6"/>
      <c r="G284" s="6"/>
      <c r="H284" s="6"/>
      <c r="I284" s="6"/>
      <c r="J284" s="6"/>
      <c r="K284" s="6"/>
      <c r="L284" s="6"/>
      <c r="M284" s="6"/>
      <c r="N284" s="6"/>
      <c r="O284" s="6"/>
      <c r="P284" s="6"/>
      <c r="Q284" s="6"/>
      <c r="R284" s="6"/>
      <c r="S284" s="6"/>
      <c r="T284" s="6"/>
      <c r="U284" s="6"/>
      <c r="V284" s="6"/>
      <c r="W284" s="6"/>
    </row>
    <row r="285" spans="1:23" ht="16" x14ac:dyDescent="0.2">
      <c r="A285" s="6"/>
      <c r="B285" s="7"/>
      <c r="C285" s="7"/>
      <c r="D285" s="7"/>
      <c r="E285" s="7"/>
      <c r="F285" s="6"/>
      <c r="G285" s="6"/>
      <c r="H285" s="6"/>
      <c r="I285" s="6"/>
      <c r="J285" s="6"/>
      <c r="K285" s="6"/>
      <c r="L285" s="6"/>
      <c r="M285" s="6"/>
      <c r="N285" s="6"/>
      <c r="O285" s="6"/>
      <c r="P285" s="6"/>
      <c r="Q285" s="6"/>
      <c r="R285" s="6"/>
      <c r="S285" s="6"/>
      <c r="T285" s="6"/>
      <c r="U285" s="6"/>
      <c r="V285" s="6"/>
      <c r="W285" s="6"/>
    </row>
    <row r="286" spans="1:23" ht="16" x14ac:dyDescent="0.2">
      <c r="A286" s="6"/>
      <c r="B286" s="7"/>
      <c r="C286" s="7"/>
      <c r="D286" s="7"/>
      <c r="E286" s="7"/>
      <c r="F286" s="6"/>
      <c r="G286" s="6"/>
      <c r="H286" s="6"/>
      <c r="I286" s="6"/>
      <c r="J286" s="6"/>
      <c r="K286" s="6"/>
      <c r="L286" s="6"/>
      <c r="M286" s="6"/>
      <c r="N286" s="6"/>
      <c r="O286" s="6"/>
      <c r="P286" s="6"/>
      <c r="Q286" s="6"/>
      <c r="R286" s="6"/>
      <c r="S286" s="6"/>
      <c r="T286" s="6"/>
      <c r="U286" s="6"/>
      <c r="V286" s="6"/>
      <c r="W286" s="6"/>
    </row>
    <row r="287" spans="1:23" ht="16" x14ac:dyDescent="0.2">
      <c r="A287" s="6"/>
      <c r="B287" s="7"/>
      <c r="C287" s="7"/>
      <c r="D287" s="7"/>
      <c r="E287" s="7"/>
      <c r="F287" s="6"/>
      <c r="G287" s="6"/>
      <c r="H287" s="6"/>
      <c r="I287" s="6"/>
      <c r="J287" s="6"/>
      <c r="K287" s="6"/>
      <c r="L287" s="6"/>
      <c r="M287" s="6"/>
      <c r="N287" s="6"/>
      <c r="O287" s="6"/>
      <c r="P287" s="6"/>
      <c r="Q287" s="6"/>
      <c r="R287" s="6"/>
      <c r="S287" s="6"/>
      <c r="T287" s="6"/>
      <c r="U287" s="6"/>
      <c r="V287" s="6"/>
      <c r="W287" s="6"/>
    </row>
    <row r="288" spans="1:23" ht="16" x14ac:dyDescent="0.2">
      <c r="A288" s="6"/>
      <c r="B288" s="7"/>
      <c r="C288" s="7"/>
      <c r="D288" s="7"/>
      <c r="E288" s="7"/>
      <c r="F288" s="6"/>
      <c r="G288" s="6"/>
      <c r="H288" s="6"/>
      <c r="I288" s="6"/>
      <c r="J288" s="6"/>
      <c r="K288" s="6"/>
      <c r="L288" s="6"/>
      <c r="M288" s="6"/>
      <c r="N288" s="6"/>
      <c r="O288" s="6"/>
      <c r="P288" s="6"/>
      <c r="Q288" s="6"/>
      <c r="R288" s="6"/>
      <c r="S288" s="6"/>
      <c r="T288" s="6"/>
      <c r="U288" s="6"/>
      <c r="V288" s="6"/>
      <c r="W288" s="6"/>
    </row>
    <row r="289" spans="1:23" ht="16" x14ac:dyDescent="0.2">
      <c r="A289" s="6"/>
      <c r="B289" s="7"/>
      <c r="C289" s="7"/>
      <c r="D289" s="7"/>
      <c r="E289" s="7"/>
      <c r="F289" s="6"/>
      <c r="G289" s="6"/>
      <c r="H289" s="6"/>
      <c r="I289" s="6"/>
      <c r="J289" s="6"/>
      <c r="K289" s="6"/>
      <c r="L289" s="6"/>
      <c r="M289" s="6"/>
      <c r="N289" s="6"/>
      <c r="O289" s="6"/>
      <c r="P289" s="6"/>
      <c r="Q289" s="6"/>
      <c r="R289" s="6"/>
      <c r="S289" s="6"/>
      <c r="T289" s="6"/>
      <c r="U289" s="6"/>
      <c r="V289" s="6"/>
      <c r="W289" s="6"/>
    </row>
    <row r="290" spans="1:23" ht="16" x14ac:dyDescent="0.2">
      <c r="A290" s="6"/>
      <c r="B290" s="7"/>
      <c r="C290" s="7"/>
      <c r="D290" s="7"/>
      <c r="E290" s="7"/>
      <c r="F290" s="6"/>
      <c r="G290" s="6"/>
      <c r="H290" s="6"/>
      <c r="I290" s="6"/>
      <c r="J290" s="6"/>
      <c r="K290" s="6"/>
      <c r="L290" s="6"/>
      <c r="M290" s="6"/>
      <c r="N290" s="6"/>
      <c r="O290" s="6"/>
      <c r="P290" s="6"/>
      <c r="Q290" s="6"/>
      <c r="R290" s="6"/>
      <c r="S290" s="6"/>
      <c r="T290" s="6"/>
      <c r="U290" s="6"/>
      <c r="V290" s="6"/>
      <c r="W290" s="6"/>
    </row>
    <row r="291" spans="1:23" ht="16" x14ac:dyDescent="0.2">
      <c r="A291" s="6"/>
      <c r="B291" s="7"/>
      <c r="C291" s="7"/>
      <c r="D291" s="7"/>
      <c r="E291" s="7"/>
      <c r="F291" s="6"/>
      <c r="G291" s="6"/>
      <c r="H291" s="6"/>
      <c r="I291" s="6"/>
      <c r="J291" s="6"/>
      <c r="K291" s="6"/>
      <c r="L291" s="6"/>
      <c r="M291" s="6"/>
      <c r="N291" s="6"/>
      <c r="O291" s="6"/>
      <c r="P291" s="6"/>
      <c r="Q291" s="6"/>
      <c r="R291" s="6"/>
      <c r="S291" s="6"/>
      <c r="T291" s="6"/>
      <c r="U291" s="6"/>
      <c r="V291" s="6"/>
      <c r="W291" s="6"/>
    </row>
    <row r="292" spans="1:23" ht="16" x14ac:dyDescent="0.2">
      <c r="A292" s="6"/>
      <c r="B292" s="7"/>
      <c r="C292" s="7"/>
      <c r="D292" s="7"/>
      <c r="E292" s="7"/>
      <c r="F292" s="6"/>
      <c r="G292" s="6"/>
      <c r="H292" s="6"/>
      <c r="I292" s="6"/>
      <c r="J292" s="6"/>
      <c r="K292" s="6"/>
      <c r="L292" s="6"/>
      <c r="M292" s="6"/>
      <c r="N292" s="6"/>
      <c r="O292" s="6"/>
      <c r="P292" s="6"/>
      <c r="Q292" s="6"/>
      <c r="R292" s="6"/>
      <c r="S292" s="6"/>
      <c r="T292" s="6"/>
      <c r="U292" s="6"/>
      <c r="V292" s="6"/>
      <c r="W292" s="6"/>
    </row>
    <row r="293" spans="1:23" ht="16" x14ac:dyDescent="0.2">
      <c r="A293" s="6"/>
      <c r="B293" s="7"/>
      <c r="C293" s="7"/>
      <c r="D293" s="7"/>
      <c r="E293" s="7"/>
      <c r="F293" s="6"/>
      <c r="G293" s="6"/>
      <c r="H293" s="6"/>
      <c r="I293" s="6"/>
      <c r="J293" s="6"/>
      <c r="K293" s="6"/>
      <c r="L293" s="6"/>
      <c r="M293" s="6"/>
      <c r="N293" s="6"/>
      <c r="O293" s="6"/>
      <c r="P293" s="6"/>
      <c r="Q293" s="6"/>
      <c r="R293" s="6"/>
      <c r="S293" s="6"/>
      <c r="T293" s="6"/>
      <c r="U293" s="6"/>
      <c r="V293" s="6"/>
      <c r="W293" s="6"/>
    </row>
    <row r="294" spans="1:23" ht="16" x14ac:dyDescent="0.2">
      <c r="A294" s="6"/>
      <c r="B294" s="7"/>
      <c r="C294" s="7"/>
      <c r="D294" s="7"/>
      <c r="E294" s="7"/>
      <c r="F294" s="6"/>
      <c r="G294" s="6"/>
      <c r="H294" s="6"/>
      <c r="I294" s="6"/>
      <c r="J294" s="6"/>
      <c r="K294" s="6"/>
      <c r="L294" s="6"/>
      <c r="M294" s="6"/>
      <c r="N294" s="6"/>
      <c r="O294" s="6"/>
      <c r="P294" s="6"/>
      <c r="Q294" s="6"/>
      <c r="R294" s="6"/>
      <c r="S294" s="6"/>
      <c r="T294" s="6"/>
      <c r="U294" s="6"/>
      <c r="V294" s="6"/>
      <c r="W294" s="6"/>
    </row>
    <row r="295" spans="1:23" ht="16" x14ac:dyDescent="0.2">
      <c r="A295" s="6"/>
      <c r="B295" s="7"/>
      <c r="C295" s="7"/>
      <c r="D295" s="7"/>
      <c r="E295" s="7"/>
      <c r="F295" s="6"/>
      <c r="G295" s="6"/>
      <c r="H295" s="6"/>
      <c r="I295" s="6"/>
      <c r="J295" s="6"/>
      <c r="K295" s="6"/>
      <c r="L295" s="6"/>
      <c r="M295" s="6"/>
      <c r="N295" s="6"/>
      <c r="O295" s="6"/>
      <c r="P295" s="6"/>
      <c r="Q295" s="6"/>
      <c r="R295" s="6"/>
      <c r="S295" s="6"/>
      <c r="T295" s="6"/>
      <c r="U295" s="6"/>
      <c r="V295" s="6"/>
      <c r="W295" s="6"/>
    </row>
    <row r="296" spans="1:23" ht="16" x14ac:dyDescent="0.2">
      <c r="A296" s="6"/>
      <c r="B296" s="7"/>
      <c r="C296" s="7"/>
      <c r="D296" s="7"/>
      <c r="E296" s="7"/>
      <c r="F296" s="6"/>
      <c r="G296" s="6"/>
      <c r="H296" s="6"/>
      <c r="I296" s="6"/>
      <c r="J296" s="6"/>
      <c r="K296" s="6"/>
      <c r="L296" s="6"/>
      <c r="M296" s="6"/>
      <c r="N296" s="6"/>
      <c r="O296" s="6"/>
      <c r="P296" s="6"/>
      <c r="Q296" s="6"/>
      <c r="R296" s="6"/>
      <c r="S296" s="6"/>
      <c r="T296" s="6"/>
      <c r="U296" s="6"/>
      <c r="V296" s="6"/>
      <c r="W296" s="6"/>
    </row>
    <row r="297" spans="1:23" ht="16" x14ac:dyDescent="0.2">
      <c r="A297" s="6"/>
      <c r="B297" s="7"/>
      <c r="C297" s="7"/>
      <c r="D297" s="7"/>
      <c r="E297" s="7"/>
      <c r="F297" s="6"/>
      <c r="G297" s="6"/>
      <c r="H297" s="6"/>
      <c r="I297" s="6"/>
      <c r="J297" s="6"/>
      <c r="K297" s="6"/>
      <c r="L297" s="6"/>
      <c r="M297" s="6"/>
      <c r="N297" s="6"/>
      <c r="O297" s="6"/>
      <c r="P297" s="6"/>
      <c r="Q297" s="6"/>
      <c r="R297" s="6"/>
      <c r="S297" s="6"/>
      <c r="T297" s="6"/>
      <c r="U297" s="6"/>
      <c r="V297" s="6"/>
      <c r="W297" s="6"/>
    </row>
    <row r="298" spans="1:23" ht="16" x14ac:dyDescent="0.2">
      <c r="A298" s="6"/>
      <c r="B298" s="7"/>
      <c r="C298" s="7"/>
      <c r="D298" s="7"/>
      <c r="E298" s="7"/>
      <c r="F298" s="6"/>
      <c r="G298" s="6"/>
      <c r="H298" s="6"/>
      <c r="I298" s="6"/>
      <c r="J298" s="6"/>
      <c r="K298" s="6"/>
      <c r="L298" s="6"/>
      <c r="M298" s="6"/>
      <c r="N298" s="6"/>
      <c r="O298" s="6"/>
      <c r="P298" s="6"/>
      <c r="Q298" s="6"/>
      <c r="R298" s="6"/>
      <c r="S298" s="6"/>
      <c r="T298" s="6"/>
      <c r="U298" s="6"/>
      <c r="V298" s="6"/>
      <c r="W298" s="6"/>
    </row>
    <row r="299" spans="1:23" ht="16" x14ac:dyDescent="0.2">
      <c r="A299" s="6"/>
      <c r="B299" s="7"/>
      <c r="C299" s="7"/>
      <c r="D299" s="7"/>
      <c r="E299" s="7"/>
      <c r="F299" s="6"/>
      <c r="G299" s="6"/>
      <c r="H299" s="6"/>
      <c r="I299" s="6"/>
      <c r="J299" s="6"/>
      <c r="K299" s="6"/>
      <c r="L299" s="6"/>
      <c r="M299" s="6"/>
      <c r="N299" s="6"/>
      <c r="O299" s="6"/>
      <c r="P299" s="6"/>
      <c r="Q299" s="6"/>
      <c r="R299" s="6"/>
      <c r="S299" s="6"/>
      <c r="T299" s="6"/>
      <c r="U299" s="6"/>
      <c r="V299" s="6"/>
      <c r="W299" s="6"/>
    </row>
    <row r="300" spans="1:23" ht="16" x14ac:dyDescent="0.2">
      <c r="A300" s="6"/>
      <c r="B300" s="7"/>
      <c r="C300" s="7"/>
      <c r="D300" s="7"/>
      <c r="E300" s="7"/>
      <c r="F300" s="6"/>
      <c r="G300" s="6"/>
      <c r="H300" s="6"/>
      <c r="I300" s="6"/>
      <c r="J300" s="6"/>
      <c r="K300" s="6"/>
      <c r="L300" s="6"/>
      <c r="M300" s="6"/>
      <c r="N300" s="6"/>
      <c r="O300" s="6"/>
      <c r="P300" s="6"/>
      <c r="Q300" s="6"/>
      <c r="R300" s="6"/>
      <c r="S300" s="6"/>
      <c r="T300" s="6"/>
      <c r="U300" s="6"/>
      <c r="V300" s="6"/>
      <c r="W300" s="6"/>
    </row>
    <row r="301" spans="1:23" ht="16" x14ac:dyDescent="0.2">
      <c r="A301" s="6"/>
      <c r="B301" s="7"/>
      <c r="C301" s="7"/>
      <c r="D301" s="7"/>
      <c r="E301" s="7"/>
      <c r="F301" s="6"/>
      <c r="G301" s="6"/>
      <c r="H301" s="6"/>
      <c r="I301" s="6"/>
      <c r="J301" s="6"/>
      <c r="K301" s="6"/>
      <c r="L301" s="6"/>
      <c r="M301" s="6"/>
      <c r="N301" s="6"/>
      <c r="O301" s="6"/>
      <c r="P301" s="6"/>
      <c r="Q301" s="6"/>
      <c r="R301" s="6"/>
      <c r="S301" s="6"/>
      <c r="T301" s="6"/>
      <c r="U301" s="6"/>
      <c r="V301" s="6"/>
      <c r="W301" s="6"/>
    </row>
    <row r="302" spans="1:23" ht="16" x14ac:dyDescent="0.2">
      <c r="A302" s="6"/>
      <c r="B302" s="7"/>
      <c r="C302" s="7"/>
      <c r="D302" s="7"/>
      <c r="E302" s="7"/>
      <c r="F302" s="6"/>
      <c r="G302" s="6"/>
      <c r="H302" s="6"/>
      <c r="I302" s="6"/>
      <c r="J302" s="6"/>
      <c r="K302" s="6"/>
      <c r="L302" s="6"/>
      <c r="M302" s="6"/>
      <c r="N302" s="6"/>
      <c r="O302" s="6"/>
      <c r="P302" s="6"/>
      <c r="Q302" s="6"/>
      <c r="R302" s="6"/>
      <c r="S302" s="6"/>
      <c r="T302" s="6"/>
      <c r="U302" s="6"/>
      <c r="V302" s="6"/>
      <c r="W302" s="6"/>
    </row>
    <row r="303" spans="1:23" ht="16" x14ac:dyDescent="0.2">
      <c r="A303" s="6"/>
      <c r="B303" s="7"/>
      <c r="C303" s="7"/>
      <c r="D303" s="7"/>
      <c r="E303" s="7"/>
      <c r="F303" s="6"/>
      <c r="G303" s="6"/>
      <c r="H303" s="6"/>
      <c r="I303" s="6"/>
      <c r="J303" s="6"/>
      <c r="K303" s="6"/>
      <c r="L303" s="6"/>
      <c r="M303" s="6"/>
      <c r="N303" s="6"/>
      <c r="O303" s="6"/>
      <c r="P303" s="6"/>
      <c r="Q303" s="6"/>
      <c r="R303" s="6"/>
      <c r="S303" s="6"/>
      <c r="T303" s="6"/>
      <c r="U303" s="6"/>
      <c r="V303" s="6"/>
      <c r="W303" s="6"/>
    </row>
    <row r="304" spans="1:23" ht="16" x14ac:dyDescent="0.2">
      <c r="A304" s="6"/>
      <c r="B304" s="7"/>
      <c r="C304" s="7"/>
      <c r="D304" s="7"/>
      <c r="E304" s="7"/>
      <c r="F304" s="6"/>
      <c r="G304" s="6"/>
      <c r="H304" s="6"/>
      <c r="I304" s="6"/>
      <c r="J304" s="6"/>
      <c r="K304" s="6"/>
      <c r="L304" s="6"/>
      <c r="M304" s="6"/>
      <c r="N304" s="6"/>
      <c r="O304" s="6"/>
      <c r="P304" s="6"/>
      <c r="Q304" s="6"/>
      <c r="R304" s="6"/>
      <c r="S304" s="6"/>
      <c r="T304" s="6"/>
      <c r="U304" s="6"/>
      <c r="V304" s="6"/>
      <c r="W304" s="6"/>
    </row>
    <row r="305" spans="1:23" ht="16" x14ac:dyDescent="0.2">
      <c r="A305" s="6"/>
      <c r="B305" s="7"/>
      <c r="C305" s="7"/>
      <c r="D305" s="7"/>
      <c r="E305" s="7"/>
      <c r="F305" s="6"/>
      <c r="G305" s="6"/>
      <c r="H305" s="6"/>
      <c r="I305" s="6"/>
      <c r="J305" s="6"/>
      <c r="K305" s="6"/>
      <c r="L305" s="6"/>
      <c r="M305" s="6"/>
      <c r="N305" s="6"/>
      <c r="O305" s="6"/>
      <c r="P305" s="6"/>
      <c r="Q305" s="6"/>
      <c r="R305" s="6"/>
      <c r="S305" s="6"/>
      <c r="T305" s="6"/>
      <c r="U305" s="6"/>
      <c r="V305" s="6"/>
      <c r="W305" s="6"/>
    </row>
    <row r="306" spans="1:23" ht="16" x14ac:dyDescent="0.2">
      <c r="A306" s="6"/>
      <c r="B306" s="7"/>
      <c r="C306" s="7"/>
      <c r="D306" s="7"/>
      <c r="E306" s="7"/>
      <c r="F306" s="6"/>
      <c r="G306" s="6"/>
      <c r="H306" s="6"/>
      <c r="I306" s="6"/>
      <c r="J306" s="6"/>
      <c r="K306" s="6"/>
      <c r="L306" s="6"/>
      <c r="M306" s="6"/>
      <c r="N306" s="6"/>
      <c r="O306" s="6"/>
      <c r="P306" s="6"/>
      <c r="Q306" s="6"/>
      <c r="R306" s="6"/>
      <c r="S306" s="6"/>
      <c r="T306" s="6"/>
      <c r="U306" s="6"/>
      <c r="V306" s="6"/>
      <c r="W306" s="6"/>
    </row>
    <row r="307" spans="1:23" ht="16" x14ac:dyDescent="0.2">
      <c r="A307" s="6"/>
      <c r="B307" s="7"/>
      <c r="C307" s="7"/>
      <c r="D307" s="7"/>
      <c r="E307" s="7"/>
      <c r="F307" s="6"/>
      <c r="G307" s="6"/>
      <c r="H307" s="6"/>
      <c r="I307" s="6"/>
      <c r="J307" s="6"/>
      <c r="K307" s="6"/>
      <c r="L307" s="6"/>
      <c r="M307" s="6"/>
      <c r="N307" s="6"/>
      <c r="O307" s="6"/>
      <c r="P307" s="6"/>
      <c r="Q307" s="6"/>
      <c r="R307" s="6"/>
      <c r="S307" s="6"/>
      <c r="T307" s="6"/>
      <c r="U307" s="6"/>
      <c r="V307" s="6"/>
      <c r="W307" s="6"/>
    </row>
    <row r="308" spans="1:23" ht="16" x14ac:dyDescent="0.2">
      <c r="A308" s="6"/>
      <c r="B308" s="7"/>
      <c r="C308" s="7"/>
      <c r="D308" s="7"/>
      <c r="E308" s="7"/>
      <c r="F308" s="6"/>
      <c r="G308" s="6"/>
      <c r="H308" s="6"/>
      <c r="I308" s="6"/>
      <c r="J308" s="6"/>
      <c r="K308" s="6"/>
      <c r="L308" s="6"/>
      <c r="M308" s="6"/>
      <c r="N308" s="6"/>
      <c r="O308" s="6"/>
      <c r="P308" s="6"/>
      <c r="Q308" s="6"/>
      <c r="R308" s="6"/>
      <c r="S308" s="6"/>
      <c r="T308" s="6"/>
      <c r="U308" s="6"/>
      <c r="V308" s="6"/>
      <c r="W308" s="6"/>
    </row>
    <row r="309" spans="1:23" ht="16" x14ac:dyDescent="0.2">
      <c r="A309" s="6"/>
      <c r="B309" s="7"/>
      <c r="C309" s="7"/>
      <c r="D309" s="7"/>
      <c r="E309" s="7"/>
      <c r="F309" s="6"/>
      <c r="G309" s="6"/>
      <c r="H309" s="6"/>
      <c r="I309" s="6"/>
      <c r="J309" s="6"/>
      <c r="K309" s="6"/>
      <c r="L309" s="6"/>
      <c r="M309" s="6"/>
      <c r="N309" s="6"/>
      <c r="O309" s="6"/>
      <c r="P309" s="6"/>
      <c r="Q309" s="6"/>
      <c r="R309" s="6"/>
      <c r="S309" s="6"/>
      <c r="T309" s="6"/>
      <c r="U309" s="6"/>
      <c r="V309" s="6"/>
      <c r="W309" s="6"/>
    </row>
    <row r="310" spans="1:23" ht="16" x14ac:dyDescent="0.2">
      <c r="A310" s="6"/>
      <c r="B310" s="7"/>
      <c r="C310" s="7"/>
      <c r="D310" s="7"/>
      <c r="E310" s="7"/>
      <c r="F310" s="6"/>
      <c r="G310" s="6"/>
      <c r="H310" s="6"/>
      <c r="I310" s="6"/>
      <c r="J310" s="6"/>
      <c r="K310" s="6"/>
      <c r="L310" s="6"/>
      <c r="M310" s="6"/>
      <c r="N310" s="6"/>
      <c r="O310" s="6"/>
      <c r="P310" s="6"/>
      <c r="Q310" s="6"/>
      <c r="R310" s="6"/>
      <c r="S310" s="6"/>
      <c r="T310" s="6"/>
      <c r="U310" s="6"/>
      <c r="V310" s="6"/>
      <c r="W310" s="6"/>
    </row>
    <row r="311" spans="1:23" ht="16" x14ac:dyDescent="0.2">
      <c r="A311" s="6"/>
      <c r="B311" s="7"/>
      <c r="C311" s="7"/>
      <c r="D311" s="7"/>
      <c r="E311" s="7"/>
      <c r="F311" s="6"/>
      <c r="G311" s="6"/>
      <c r="H311" s="6"/>
      <c r="I311" s="6"/>
      <c r="J311" s="6"/>
      <c r="K311" s="6"/>
      <c r="L311" s="6"/>
      <c r="M311" s="6"/>
      <c r="N311" s="6"/>
      <c r="O311" s="6"/>
      <c r="P311" s="6"/>
      <c r="Q311" s="6"/>
      <c r="R311" s="6"/>
      <c r="S311" s="6"/>
      <c r="T311" s="6"/>
      <c r="U311" s="6"/>
      <c r="V311" s="6"/>
      <c r="W311" s="6"/>
    </row>
    <row r="312" spans="1:23" ht="16" x14ac:dyDescent="0.2">
      <c r="A312" s="6"/>
      <c r="B312" s="7"/>
      <c r="C312" s="7"/>
      <c r="D312" s="7"/>
      <c r="E312" s="7"/>
      <c r="F312" s="6"/>
      <c r="G312" s="6"/>
      <c r="H312" s="6"/>
      <c r="I312" s="6"/>
      <c r="J312" s="6"/>
      <c r="K312" s="6"/>
      <c r="L312" s="6"/>
      <c r="M312" s="6"/>
      <c r="N312" s="6"/>
      <c r="O312" s="6"/>
      <c r="P312" s="6"/>
      <c r="Q312" s="6"/>
      <c r="R312" s="6"/>
      <c r="S312" s="6"/>
      <c r="T312" s="6"/>
      <c r="U312" s="6"/>
      <c r="V312" s="6"/>
      <c r="W312" s="6"/>
    </row>
    <row r="313" spans="1:23" ht="16" x14ac:dyDescent="0.2">
      <c r="A313" s="6"/>
      <c r="B313" s="7"/>
      <c r="C313" s="7"/>
      <c r="D313" s="7"/>
      <c r="E313" s="7"/>
      <c r="F313" s="6"/>
      <c r="G313" s="6"/>
      <c r="H313" s="6"/>
      <c r="I313" s="6"/>
      <c r="J313" s="6"/>
      <c r="K313" s="6"/>
      <c r="L313" s="6"/>
      <c r="M313" s="6"/>
      <c r="N313" s="6"/>
      <c r="O313" s="6"/>
      <c r="P313" s="6"/>
      <c r="Q313" s="6"/>
      <c r="R313" s="6"/>
      <c r="S313" s="6"/>
      <c r="T313" s="6"/>
      <c r="U313" s="6"/>
      <c r="V313" s="6"/>
      <c r="W313" s="6"/>
    </row>
    <row r="314" spans="1:23" ht="16" x14ac:dyDescent="0.2">
      <c r="A314" s="6"/>
      <c r="B314" s="7"/>
      <c r="C314" s="7"/>
      <c r="D314" s="7"/>
      <c r="E314" s="7"/>
      <c r="F314" s="6"/>
      <c r="G314" s="6"/>
      <c r="H314" s="6"/>
      <c r="I314" s="6"/>
      <c r="J314" s="6"/>
      <c r="K314" s="6"/>
      <c r="L314" s="6"/>
      <c r="M314" s="6"/>
      <c r="N314" s="6"/>
      <c r="O314" s="6"/>
      <c r="P314" s="6"/>
      <c r="Q314" s="6"/>
      <c r="R314" s="6"/>
      <c r="S314" s="6"/>
      <c r="T314" s="6"/>
      <c r="U314" s="6"/>
      <c r="V314" s="6"/>
      <c r="W314" s="6"/>
    </row>
    <row r="315" spans="1:23" ht="16" x14ac:dyDescent="0.2">
      <c r="A315" s="6"/>
      <c r="B315" s="7"/>
      <c r="C315" s="7"/>
      <c r="D315" s="7"/>
      <c r="E315" s="7"/>
      <c r="F315" s="6"/>
      <c r="G315" s="6"/>
      <c r="H315" s="6"/>
      <c r="I315" s="6"/>
      <c r="J315" s="6"/>
      <c r="K315" s="6"/>
      <c r="L315" s="6"/>
      <c r="M315" s="6"/>
      <c r="N315" s="6"/>
      <c r="O315" s="6"/>
      <c r="P315" s="6"/>
      <c r="Q315" s="6"/>
      <c r="R315" s="6"/>
      <c r="S315" s="6"/>
      <c r="T315" s="6"/>
      <c r="U315" s="6"/>
      <c r="V315" s="6"/>
      <c r="W315" s="6"/>
    </row>
    <row r="316" spans="1:23" ht="16" x14ac:dyDescent="0.2">
      <c r="A316" s="6"/>
      <c r="B316" s="7"/>
      <c r="C316" s="7"/>
      <c r="D316" s="7"/>
      <c r="E316" s="7"/>
      <c r="F316" s="6"/>
      <c r="G316" s="6"/>
      <c r="H316" s="6"/>
      <c r="I316" s="6"/>
      <c r="J316" s="6"/>
      <c r="K316" s="6"/>
      <c r="L316" s="6"/>
      <c r="M316" s="6"/>
      <c r="N316" s="6"/>
      <c r="O316" s="6"/>
      <c r="P316" s="6"/>
      <c r="Q316" s="6"/>
      <c r="R316" s="6"/>
      <c r="S316" s="6"/>
      <c r="T316" s="6"/>
      <c r="U316" s="6"/>
      <c r="V316" s="6"/>
      <c r="W316" s="6"/>
    </row>
    <row r="317" spans="1:23" ht="16" x14ac:dyDescent="0.2">
      <c r="A317" s="6"/>
      <c r="B317" s="7"/>
      <c r="C317" s="7"/>
      <c r="D317" s="7"/>
      <c r="E317" s="7"/>
      <c r="F317" s="6"/>
      <c r="G317" s="6"/>
      <c r="H317" s="6"/>
      <c r="I317" s="6"/>
      <c r="J317" s="6"/>
      <c r="K317" s="6"/>
      <c r="L317" s="6"/>
      <c r="M317" s="6"/>
      <c r="N317" s="6"/>
      <c r="O317" s="6"/>
      <c r="P317" s="6"/>
      <c r="Q317" s="6"/>
      <c r="R317" s="6"/>
      <c r="S317" s="6"/>
      <c r="T317" s="6"/>
      <c r="U317" s="6"/>
      <c r="V317" s="6"/>
      <c r="W317" s="6"/>
    </row>
    <row r="318" spans="1:23" ht="16" x14ac:dyDescent="0.2">
      <c r="A318" s="6"/>
      <c r="B318" s="7"/>
      <c r="C318" s="7"/>
      <c r="D318" s="7"/>
      <c r="E318" s="7"/>
      <c r="F318" s="6"/>
      <c r="G318" s="6"/>
      <c r="H318" s="6"/>
      <c r="I318" s="6"/>
      <c r="J318" s="6"/>
      <c r="K318" s="6"/>
      <c r="L318" s="6"/>
      <c r="M318" s="6"/>
      <c r="N318" s="6"/>
      <c r="O318" s="6"/>
      <c r="P318" s="6"/>
      <c r="Q318" s="6"/>
      <c r="R318" s="6"/>
      <c r="S318" s="6"/>
      <c r="T318" s="6"/>
      <c r="U318" s="6"/>
      <c r="V318" s="6"/>
      <c r="W318" s="6"/>
    </row>
    <row r="319" spans="1:23" ht="16" x14ac:dyDescent="0.2">
      <c r="A319" s="6"/>
      <c r="B319" s="7"/>
      <c r="C319" s="7"/>
      <c r="D319" s="7"/>
      <c r="E319" s="7"/>
      <c r="F319" s="6"/>
      <c r="G319" s="6"/>
      <c r="H319" s="6"/>
      <c r="I319" s="6"/>
      <c r="J319" s="6"/>
      <c r="K319" s="6"/>
      <c r="L319" s="6"/>
      <c r="M319" s="6"/>
      <c r="N319" s="6"/>
      <c r="O319" s="6"/>
      <c r="P319" s="6"/>
      <c r="Q319" s="6"/>
      <c r="R319" s="6"/>
      <c r="S319" s="6"/>
      <c r="T319" s="6"/>
      <c r="U319" s="6"/>
      <c r="V319" s="6"/>
      <c r="W319" s="6"/>
    </row>
    <row r="320" spans="1:23" ht="16" x14ac:dyDescent="0.2">
      <c r="A320" s="6"/>
      <c r="B320" s="7"/>
      <c r="C320" s="7"/>
      <c r="D320" s="7"/>
      <c r="E320" s="7"/>
      <c r="F320" s="6"/>
      <c r="G320" s="6"/>
      <c r="H320" s="6"/>
      <c r="I320" s="6"/>
      <c r="J320" s="6"/>
      <c r="K320" s="6"/>
      <c r="L320" s="6"/>
      <c r="M320" s="6"/>
      <c r="N320" s="6"/>
      <c r="O320" s="6"/>
      <c r="P320" s="6"/>
      <c r="Q320" s="6"/>
      <c r="R320" s="6"/>
      <c r="S320" s="6"/>
      <c r="T320" s="6"/>
      <c r="U320" s="6"/>
      <c r="V320" s="6"/>
      <c r="W320" s="6"/>
    </row>
    <row r="321" spans="1:23" ht="16" x14ac:dyDescent="0.2">
      <c r="A321" s="6"/>
      <c r="B321" s="7"/>
      <c r="C321" s="7"/>
      <c r="D321" s="7"/>
      <c r="E321" s="7"/>
      <c r="F321" s="6"/>
      <c r="G321" s="6"/>
      <c r="H321" s="6"/>
      <c r="I321" s="6"/>
      <c r="J321" s="6"/>
      <c r="K321" s="6"/>
      <c r="L321" s="6"/>
      <c r="M321" s="6"/>
      <c r="N321" s="6"/>
      <c r="O321" s="6"/>
      <c r="P321" s="6"/>
      <c r="Q321" s="6"/>
      <c r="R321" s="6"/>
      <c r="S321" s="6"/>
      <c r="T321" s="6"/>
      <c r="U321" s="6"/>
      <c r="V321" s="6"/>
      <c r="W321" s="6"/>
    </row>
    <row r="322" spans="1:23" ht="16" x14ac:dyDescent="0.2">
      <c r="A322" s="6"/>
      <c r="B322" s="7"/>
      <c r="C322" s="7"/>
      <c r="D322" s="7"/>
      <c r="E322" s="7"/>
      <c r="F322" s="6"/>
      <c r="G322" s="6"/>
      <c r="H322" s="6"/>
      <c r="I322" s="6"/>
      <c r="J322" s="6"/>
      <c r="K322" s="6"/>
      <c r="L322" s="6"/>
      <c r="M322" s="6"/>
      <c r="N322" s="6"/>
      <c r="O322" s="6"/>
      <c r="P322" s="6"/>
      <c r="Q322" s="6"/>
      <c r="R322" s="6"/>
      <c r="S322" s="6"/>
      <c r="T322" s="6"/>
      <c r="U322" s="6"/>
      <c r="V322" s="6"/>
      <c r="W322" s="6"/>
    </row>
    <row r="323" spans="1:23" ht="16" x14ac:dyDescent="0.2">
      <c r="A323" s="6"/>
      <c r="B323" s="7"/>
      <c r="C323" s="7"/>
      <c r="D323" s="7"/>
      <c r="E323" s="7"/>
      <c r="F323" s="6"/>
      <c r="G323" s="6"/>
      <c r="H323" s="6"/>
      <c r="I323" s="6"/>
      <c r="J323" s="6"/>
      <c r="K323" s="6"/>
      <c r="L323" s="6"/>
      <c r="M323" s="6"/>
      <c r="N323" s="6"/>
      <c r="O323" s="6"/>
      <c r="P323" s="6"/>
      <c r="Q323" s="6"/>
      <c r="R323" s="6"/>
      <c r="S323" s="6"/>
      <c r="T323" s="6"/>
      <c r="U323" s="6"/>
      <c r="V323" s="6"/>
      <c r="W323" s="6"/>
    </row>
    <row r="324" spans="1:23" ht="16" x14ac:dyDescent="0.2">
      <c r="A324" s="6"/>
      <c r="B324" s="7"/>
      <c r="C324" s="7"/>
      <c r="D324" s="7"/>
      <c r="E324" s="7"/>
      <c r="F324" s="6"/>
      <c r="G324" s="6"/>
      <c r="H324" s="6"/>
      <c r="I324" s="6"/>
      <c r="J324" s="6"/>
      <c r="K324" s="6"/>
      <c r="L324" s="6"/>
      <c r="M324" s="6"/>
      <c r="N324" s="6"/>
      <c r="O324" s="6"/>
      <c r="P324" s="6"/>
      <c r="Q324" s="6"/>
      <c r="R324" s="6"/>
      <c r="S324" s="6"/>
      <c r="T324" s="6"/>
      <c r="U324" s="6"/>
      <c r="V324" s="6"/>
      <c r="W324" s="6"/>
    </row>
    <row r="325" spans="1:23" ht="16" x14ac:dyDescent="0.2">
      <c r="A325" s="6"/>
      <c r="B325" s="7"/>
      <c r="C325" s="7"/>
      <c r="D325" s="7"/>
      <c r="E325" s="7"/>
      <c r="F325" s="6"/>
      <c r="G325" s="6"/>
      <c r="H325" s="6"/>
      <c r="I325" s="6"/>
      <c r="J325" s="6"/>
      <c r="K325" s="6"/>
      <c r="L325" s="6"/>
      <c r="M325" s="6"/>
      <c r="N325" s="6"/>
      <c r="O325" s="6"/>
      <c r="P325" s="6"/>
      <c r="Q325" s="6"/>
      <c r="R325" s="6"/>
      <c r="S325" s="6"/>
      <c r="T325" s="6"/>
      <c r="U325" s="6"/>
      <c r="V325" s="6"/>
      <c r="W325" s="6"/>
    </row>
    <row r="326" spans="1:23" ht="16" x14ac:dyDescent="0.2">
      <c r="A326" s="6"/>
      <c r="B326" s="7"/>
      <c r="C326" s="7"/>
      <c r="D326" s="7"/>
      <c r="E326" s="7"/>
      <c r="F326" s="6"/>
      <c r="G326" s="6"/>
      <c r="H326" s="6"/>
      <c r="I326" s="6"/>
      <c r="J326" s="6"/>
      <c r="K326" s="6"/>
      <c r="L326" s="6"/>
      <c r="M326" s="6"/>
      <c r="N326" s="6"/>
      <c r="O326" s="6"/>
      <c r="P326" s="6"/>
      <c r="Q326" s="6"/>
      <c r="R326" s="6"/>
      <c r="S326" s="6"/>
      <c r="T326" s="6"/>
      <c r="U326" s="6"/>
      <c r="V326" s="6"/>
      <c r="W326" s="6"/>
    </row>
    <row r="327" spans="1:23" ht="16" x14ac:dyDescent="0.2">
      <c r="A327" s="6"/>
      <c r="B327" s="7"/>
      <c r="C327" s="7"/>
      <c r="D327" s="7"/>
      <c r="E327" s="7"/>
      <c r="F327" s="6"/>
      <c r="G327" s="6"/>
      <c r="H327" s="6"/>
      <c r="I327" s="6"/>
      <c r="J327" s="6"/>
      <c r="K327" s="6"/>
      <c r="L327" s="6"/>
      <c r="M327" s="6"/>
      <c r="N327" s="6"/>
      <c r="O327" s="6"/>
      <c r="P327" s="6"/>
      <c r="Q327" s="6"/>
      <c r="R327" s="6"/>
      <c r="S327" s="6"/>
      <c r="T327" s="6"/>
      <c r="U327" s="6"/>
      <c r="V327" s="6"/>
      <c r="W327" s="6"/>
    </row>
    <row r="328" spans="1:23" ht="16" x14ac:dyDescent="0.2">
      <c r="A328" s="6"/>
      <c r="B328" s="7"/>
      <c r="C328" s="7"/>
      <c r="D328" s="7"/>
      <c r="E328" s="7"/>
      <c r="F328" s="6"/>
      <c r="G328" s="6"/>
      <c r="H328" s="6"/>
      <c r="I328" s="6"/>
      <c r="J328" s="6"/>
      <c r="K328" s="6"/>
      <c r="L328" s="6"/>
      <c r="M328" s="6"/>
      <c r="N328" s="6"/>
      <c r="O328" s="6"/>
      <c r="P328" s="6"/>
      <c r="Q328" s="6"/>
      <c r="R328" s="6"/>
      <c r="S328" s="6"/>
      <c r="T328" s="6"/>
      <c r="U328" s="6"/>
      <c r="V328" s="6"/>
      <c r="W328" s="6"/>
    </row>
    <row r="329" spans="1:23" ht="16" x14ac:dyDescent="0.2">
      <c r="A329" s="6"/>
      <c r="B329" s="7"/>
      <c r="C329" s="7"/>
      <c r="D329" s="7"/>
      <c r="E329" s="7"/>
      <c r="F329" s="6"/>
      <c r="G329" s="6"/>
      <c r="H329" s="6"/>
      <c r="I329" s="6"/>
      <c r="J329" s="6"/>
      <c r="K329" s="6"/>
      <c r="L329" s="6"/>
      <c r="M329" s="6"/>
      <c r="N329" s="6"/>
      <c r="O329" s="6"/>
      <c r="P329" s="6"/>
      <c r="Q329" s="6"/>
      <c r="R329" s="6"/>
      <c r="S329" s="6"/>
      <c r="T329" s="6"/>
      <c r="U329" s="6"/>
      <c r="V329" s="6"/>
      <c r="W329" s="6"/>
    </row>
    <row r="330" spans="1:23" ht="16" x14ac:dyDescent="0.2">
      <c r="A330" s="6"/>
      <c r="B330" s="7"/>
      <c r="C330" s="7"/>
      <c r="D330" s="7"/>
      <c r="E330" s="7"/>
      <c r="F330" s="6"/>
      <c r="G330" s="6"/>
      <c r="H330" s="6"/>
      <c r="I330" s="6"/>
      <c r="J330" s="6"/>
      <c r="K330" s="6"/>
      <c r="L330" s="6"/>
      <c r="M330" s="6"/>
      <c r="N330" s="6"/>
      <c r="O330" s="6"/>
      <c r="P330" s="6"/>
      <c r="Q330" s="6"/>
      <c r="R330" s="6"/>
      <c r="S330" s="6"/>
      <c r="T330" s="6"/>
      <c r="U330" s="6"/>
      <c r="V330" s="6"/>
      <c r="W330" s="6"/>
    </row>
    <row r="331" spans="1:23" ht="16" x14ac:dyDescent="0.2">
      <c r="A331" s="6"/>
      <c r="B331" s="7"/>
      <c r="C331" s="7"/>
      <c r="D331" s="7"/>
      <c r="E331" s="7"/>
      <c r="F331" s="6"/>
      <c r="G331" s="6"/>
      <c r="H331" s="6"/>
      <c r="I331" s="6"/>
      <c r="J331" s="6"/>
      <c r="K331" s="6"/>
      <c r="L331" s="6"/>
      <c r="M331" s="6"/>
      <c r="N331" s="6"/>
      <c r="O331" s="6"/>
      <c r="P331" s="6"/>
      <c r="Q331" s="6"/>
      <c r="R331" s="6"/>
      <c r="S331" s="6"/>
      <c r="T331" s="6"/>
      <c r="U331" s="6"/>
      <c r="V331" s="6"/>
      <c r="W331" s="6"/>
    </row>
    <row r="332" spans="1:23" ht="16" x14ac:dyDescent="0.2">
      <c r="A332" s="6"/>
      <c r="B332" s="7"/>
      <c r="C332" s="7"/>
      <c r="D332" s="7"/>
      <c r="E332" s="7"/>
      <c r="F332" s="6"/>
      <c r="G332" s="6"/>
      <c r="H332" s="6"/>
      <c r="I332" s="6"/>
      <c r="J332" s="6"/>
      <c r="K332" s="6"/>
      <c r="L332" s="6"/>
      <c r="M332" s="6"/>
      <c r="N332" s="6"/>
      <c r="O332" s="6"/>
      <c r="P332" s="6"/>
      <c r="Q332" s="6"/>
      <c r="R332" s="6"/>
      <c r="S332" s="6"/>
      <c r="T332" s="6"/>
      <c r="U332" s="6"/>
      <c r="V332" s="6"/>
      <c r="W332" s="6"/>
    </row>
    <row r="333" spans="1:23" ht="16" x14ac:dyDescent="0.2">
      <c r="A333" s="6"/>
      <c r="B333" s="7"/>
      <c r="C333" s="7"/>
      <c r="D333" s="7"/>
      <c r="E333" s="7"/>
      <c r="F333" s="6"/>
      <c r="G333" s="6"/>
      <c r="H333" s="6"/>
      <c r="I333" s="6"/>
      <c r="J333" s="6"/>
      <c r="K333" s="6"/>
      <c r="L333" s="6"/>
      <c r="M333" s="6"/>
      <c r="N333" s="6"/>
      <c r="O333" s="6"/>
      <c r="P333" s="6"/>
      <c r="Q333" s="6"/>
      <c r="R333" s="6"/>
      <c r="S333" s="6"/>
      <c r="T333" s="6"/>
      <c r="U333" s="6"/>
      <c r="V333" s="6"/>
      <c r="W333" s="6"/>
    </row>
    <row r="334" spans="1:23" ht="16" x14ac:dyDescent="0.2">
      <c r="A334" s="6"/>
      <c r="B334" s="7"/>
      <c r="C334" s="7"/>
      <c r="D334" s="7"/>
      <c r="E334" s="7"/>
      <c r="F334" s="6"/>
      <c r="G334" s="6"/>
      <c r="H334" s="6"/>
      <c r="I334" s="6"/>
      <c r="J334" s="6"/>
      <c r="K334" s="6"/>
      <c r="L334" s="6"/>
      <c r="M334" s="6"/>
      <c r="N334" s="6"/>
      <c r="O334" s="6"/>
      <c r="P334" s="6"/>
      <c r="Q334" s="6"/>
      <c r="R334" s="6"/>
      <c r="S334" s="6"/>
      <c r="T334" s="6"/>
      <c r="U334" s="6"/>
      <c r="V334" s="6"/>
      <c r="W334" s="6"/>
    </row>
    <row r="335" spans="1:23" ht="16" x14ac:dyDescent="0.2">
      <c r="A335" s="6"/>
      <c r="B335" s="7"/>
      <c r="C335" s="7"/>
      <c r="D335" s="7"/>
      <c r="E335" s="7"/>
      <c r="F335" s="6"/>
      <c r="G335" s="6"/>
      <c r="H335" s="6"/>
      <c r="I335" s="6"/>
      <c r="J335" s="6"/>
      <c r="K335" s="6"/>
      <c r="L335" s="6"/>
      <c r="M335" s="6"/>
      <c r="N335" s="6"/>
      <c r="O335" s="6"/>
      <c r="P335" s="6"/>
      <c r="Q335" s="6"/>
      <c r="R335" s="6"/>
      <c r="S335" s="6"/>
      <c r="T335" s="6"/>
      <c r="U335" s="6"/>
      <c r="V335" s="6"/>
      <c r="W335" s="6"/>
    </row>
    <row r="336" spans="1:23" ht="16" x14ac:dyDescent="0.2">
      <c r="A336" s="6"/>
      <c r="B336" s="7"/>
      <c r="C336" s="7"/>
      <c r="D336" s="7"/>
      <c r="E336" s="7"/>
      <c r="F336" s="6"/>
      <c r="G336" s="6"/>
      <c r="H336" s="6"/>
      <c r="I336" s="6"/>
      <c r="J336" s="6"/>
      <c r="K336" s="6"/>
      <c r="L336" s="6"/>
      <c r="M336" s="6"/>
      <c r="N336" s="6"/>
      <c r="O336" s="6"/>
      <c r="P336" s="6"/>
      <c r="Q336" s="6"/>
      <c r="R336" s="6"/>
      <c r="S336" s="6"/>
      <c r="T336" s="6"/>
      <c r="U336" s="6"/>
      <c r="V336" s="6"/>
      <c r="W336" s="6"/>
    </row>
    <row r="337" spans="1:23" ht="16" x14ac:dyDescent="0.2">
      <c r="A337" s="6"/>
      <c r="B337" s="7"/>
      <c r="C337" s="7"/>
      <c r="D337" s="7"/>
      <c r="E337" s="7"/>
      <c r="F337" s="6"/>
      <c r="G337" s="6"/>
      <c r="H337" s="6"/>
      <c r="I337" s="6"/>
      <c r="J337" s="6"/>
      <c r="K337" s="6"/>
      <c r="L337" s="6"/>
      <c r="M337" s="6"/>
      <c r="N337" s="6"/>
      <c r="O337" s="6"/>
      <c r="P337" s="6"/>
      <c r="Q337" s="6"/>
      <c r="R337" s="6"/>
      <c r="S337" s="6"/>
      <c r="T337" s="6"/>
      <c r="U337" s="6"/>
      <c r="V337" s="6"/>
      <c r="W337" s="6"/>
    </row>
    <row r="338" spans="1:23" ht="16" x14ac:dyDescent="0.2">
      <c r="A338" s="6"/>
      <c r="B338" s="7"/>
      <c r="C338" s="7"/>
      <c r="D338" s="7"/>
      <c r="E338" s="7"/>
      <c r="F338" s="6"/>
      <c r="G338" s="6"/>
      <c r="H338" s="6"/>
      <c r="I338" s="6"/>
      <c r="J338" s="6"/>
      <c r="K338" s="6"/>
      <c r="L338" s="6"/>
      <c r="M338" s="6"/>
      <c r="N338" s="6"/>
      <c r="O338" s="6"/>
      <c r="P338" s="6"/>
      <c r="Q338" s="6"/>
      <c r="R338" s="6"/>
      <c r="S338" s="6"/>
      <c r="T338" s="6"/>
      <c r="U338" s="6"/>
      <c r="V338" s="6"/>
      <c r="W338" s="6"/>
    </row>
    <row r="339" spans="1:23" ht="16" x14ac:dyDescent="0.2">
      <c r="A339" s="6"/>
      <c r="B339" s="7"/>
      <c r="C339" s="7"/>
      <c r="D339" s="7"/>
      <c r="E339" s="7"/>
      <c r="F339" s="6"/>
      <c r="G339" s="6"/>
      <c r="H339" s="6"/>
      <c r="I339" s="6"/>
      <c r="J339" s="6"/>
      <c r="K339" s="6"/>
      <c r="L339" s="6"/>
      <c r="M339" s="6"/>
      <c r="N339" s="6"/>
      <c r="O339" s="6"/>
      <c r="P339" s="6"/>
      <c r="Q339" s="6"/>
      <c r="R339" s="6"/>
      <c r="S339" s="6"/>
      <c r="T339" s="6"/>
      <c r="U339" s="6"/>
      <c r="V339" s="6"/>
      <c r="W339" s="6"/>
    </row>
    <row r="340" spans="1:23" ht="16" x14ac:dyDescent="0.2">
      <c r="A340" s="6"/>
      <c r="B340" s="7"/>
      <c r="C340" s="7"/>
      <c r="D340" s="7"/>
      <c r="E340" s="7"/>
      <c r="F340" s="6"/>
      <c r="G340" s="6"/>
      <c r="H340" s="6"/>
      <c r="I340" s="6"/>
      <c r="J340" s="6"/>
      <c r="K340" s="6"/>
      <c r="L340" s="6"/>
      <c r="M340" s="6"/>
      <c r="N340" s="6"/>
      <c r="O340" s="6"/>
      <c r="P340" s="6"/>
      <c r="Q340" s="6"/>
      <c r="R340" s="6"/>
      <c r="S340" s="6"/>
      <c r="T340" s="6"/>
      <c r="U340" s="6"/>
      <c r="V340" s="6"/>
      <c r="W340" s="6"/>
    </row>
    <row r="341" spans="1:23" ht="16" x14ac:dyDescent="0.2">
      <c r="A341" s="6"/>
      <c r="B341" s="7"/>
      <c r="C341" s="7"/>
      <c r="D341" s="7"/>
      <c r="E341" s="7"/>
      <c r="F341" s="6"/>
      <c r="G341" s="6"/>
      <c r="H341" s="6"/>
      <c r="I341" s="6"/>
      <c r="J341" s="6"/>
      <c r="K341" s="6"/>
      <c r="L341" s="6"/>
      <c r="M341" s="6"/>
      <c r="N341" s="6"/>
      <c r="O341" s="6"/>
      <c r="P341" s="6"/>
      <c r="Q341" s="6"/>
      <c r="R341" s="6"/>
      <c r="S341" s="6"/>
      <c r="T341" s="6"/>
      <c r="U341" s="6"/>
      <c r="V341" s="6"/>
      <c r="W341" s="6"/>
    </row>
    <row r="342" spans="1:23" ht="16" x14ac:dyDescent="0.2">
      <c r="A342" s="6"/>
      <c r="B342" s="7"/>
      <c r="C342" s="7"/>
      <c r="D342" s="7"/>
      <c r="E342" s="7"/>
      <c r="F342" s="6"/>
      <c r="G342" s="6"/>
      <c r="H342" s="6"/>
      <c r="I342" s="6"/>
      <c r="J342" s="6"/>
      <c r="K342" s="6"/>
      <c r="L342" s="6"/>
      <c r="M342" s="6"/>
      <c r="N342" s="6"/>
      <c r="O342" s="6"/>
      <c r="P342" s="6"/>
      <c r="Q342" s="6"/>
      <c r="R342" s="6"/>
      <c r="S342" s="6"/>
      <c r="T342" s="6"/>
      <c r="U342" s="6"/>
      <c r="V342" s="6"/>
      <c r="W342" s="6"/>
    </row>
    <row r="343" spans="1:23" ht="16" x14ac:dyDescent="0.2">
      <c r="A343" s="6"/>
      <c r="B343" s="7"/>
      <c r="C343" s="7"/>
      <c r="D343" s="7"/>
      <c r="E343" s="7"/>
      <c r="F343" s="6"/>
      <c r="G343" s="6"/>
      <c r="H343" s="6"/>
      <c r="I343" s="6"/>
      <c r="J343" s="6"/>
      <c r="K343" s="6"/>
      <c r="L343" s="6"/>
      <c r="M343" s="6"/>
      <c r="N343" s="6"/>
      <c r="O343" s="6"/>
      <c r="P343" s="6"/>
      <c r="Q343" s="6"/>
      <c r="R343" s="6"/>
      <c r="S343" s="6"/>
      <c r="T343" s="6"/>
      <c r="U343" s="6"/>
      <c r="V343" s="6"/>
      <c r="W343" s="6"/>
    </row>
    <row r="344" spans="1:23" ht="16" x14ac:dyDescent="0.2">
      <c r="A344" s="6"/>
      <c r="B344" s="7"/>
      <c r="C344" s="7"/>
      <c r="D344" s="7"/>
      <c r="E344" s="7"/>
      <c r="F344" s="6"/>
      <c r="G344" s="6"/>
      <c r="H344" s="6"/>
      <c r="I344" s="6"/>
      <c r="J344" s="6"/>
      <c r="K344" s="6"/>
      <c r="L344" s="6"/>
      <c r="M344" s="6"/>
      <c r="N344" s="6"/>
      <c r="O344" s="6"/>
      <c r="P344" s="6"/>
      <c r="Q344" s="6"/>
      <c r="R344" s="6"/>
      <c r="S344" s="6"/>
      <c r="T344" s="6"/>
      <c r="U344" s="6"/>
      <c r="V344" s="6"/>
      <c r="W344" s="6"/>
    </row>
    <row r="345" spans="1:23" ht="16" x14ac:dyDescent="0.2">
      <c r="A345" s="6"/>
      <c r="B345" s="7"/>
      <c r="C345" s="7"/>
      <c r="D345" s="7"/>
      <c r="E345" s="7"/>
      <c r="F345" s="6"/>
      <c r="G345" s="6"/>
      <c r="H345" s="6"/>
      <c r="I345" s="6"/>
      <c r="J345" s="6"/>
      <c r="K345" s="6"/>
      <c r="L345" s="6"/>
      <c r="M345" s="6"/>
      <c r="N345" s="6"/>
      <c r="O345" s="6"/>
      <c r="P345" s="6"/>
      <c r="Q345" s="6"/>
      <c r="R345" s="6"/>
      <c r="S345" s="6"/>
      <c r="T345" s="6"/>
      <c r="U345" s="6"/>
      <c r="V345" s="6"/>
      <c r="W345" s="6"/>
    </row>
    <row r="346" spans="1:23" ht="16" x14ac:dyDescent="0.2">
      <c r="A346" s="6"/>
      <c r="B346" s="7"/>
      <c r="C346" s="7"/>
      <c r="D346" s="7"/>
      <c r="E346" s="7"/>
      <c r="F346" s="6"/>
      <c r="G346" s="6"/>
      <c r="H346" s="6"/>
      <c r="I346" s="6"/>
      <c r="J346" s="6"/>
      <c r="K346" s="6"/>
      <c r="L346" s="6"/>
      <c r="M346" s="6"/>
      <c r="N346" s="6"/>
      <c r="O346" s="6"/>
      <c r="P346" s="6"/>
      <c r="Q346" s="6"/>
      <c r="R346" s="6"/>
      <c r="S346" s="6"/>
      <c r="T346" s="6"/>
      <c r="U346" s="6"/>
      <c r="V346" s="6"/>
      <c r="W346" s="6"/>
    </row>
    <row r="347" spans="1:23" ht="16" x14ac:dyDescent="0.2">
      <c r="A347" s="6"/>
      <c r="B347" s="7"/>
      <c r="C347" s="7"/>
      <c r="D347" s="7"/>
      <c r="E347" s="7"/>
      <c r="F347" s="6"/>
      <c r="G347" s="6"/>
      <c r="H347" s="6"/>
      <c r="I347" s="6"/>
      <c r="J347" s="6"/>
      <c r="K347" s="6"/>
      <c r="L347" s="6"/>
      <c r="M347" s="6"/>
      <c r="N347" s="6"/>
      <c r="O347" s="6"/>
      <c r="P347" s="6"/>
      <c r="Q347" s="6"/>
      <c r="R347" s="6"/>
      <c r="S347" s="6"/>
      <c r="T347" s="6"/>
      <c r="U347" s="6"/>
      <c r="V347" s="6"/>
      <c r="W347" s="6"/>
    </row>
    <row r="348" spans="1:23" ht="16" x14ac:dyDescent="0.2">
      <c r="A348" s="6"/>
      <c r="B348" s="7"/>
      <c r="C348" s="7"/>
      <c r="D348" s="7"/>
      <c r="E348" s="7"/>
      <c r="F348" s="6"/>
      <c r="G348" s="6"/>
      <c r="H348" s="6"/>
      <c r="I348" s="6"/>
      <c r="J348" s="6"/>
      <c r="K348" s="6"/>
      <c r="L348" s="6"/>
      <c r="M348" s="6"/>
      <c r="N348" s="6"/>
      <c r="O348" s="6"/>
      <c r="P348" s="6"/>
      <c r="Q348" s="6"/>
      <c r="R348" s="6"/>
      <c r="S348" s="6"/>
      <c r="T348" s="6"/>
      <c r="U348" s="6"/>
      <c r="V348" s="6"/>
      <c r="W348" s="6"/>
    </row>
    <row r="349" spans="1:23" ht="16" x14ac:dyDescent="0.2">
      <c r="A349" s="6"/>
      <c r="B349" s="7"/>
      <c r="C349" s="7"/>
      <c r="D349" s="7"/>
      <c r="E349" s="7"/>
      <c r="F349" s="6"/>
      <c r="G349" s="6"/>
      <c r="H349" s="6"/>
      <c r="I349" s="6"/>
      <c r="J349" s="6"/>
      <c r="K349" s="6"/>
      <c r="L349" s="6"/>
      <c r="M349" s="6"/>
      <c r="N349" s="6"/>
      <c r="O349" s="6"/>
      <c r="P349" s="6"/>
      <c r="Q349" s="6"/>
      <c r="R349" s="6"/>
      <c r="S349" s="6"/>
      <c r="T349" s="6"/>
      <c r="U349" s="6"/>
      <c r="V349" s="6"/>
      <c r="W349" s="6"/>
    </row>
    <row r="350" spans="1:23" ht="16" x14ac:dyDescent="0.2">
      <c r="A350" s="6"/>
      <c r="B350" s="7"/>
      <c r="C350" s="7"/>
      <c r="D350" s="7"/>
      <c r="E350" s="7"/>
      <c r="F350" s="6"/>
      <c r="G350" s="6"/>
      <c r="H350" s="6"/>
      <c r="I350" s="6"/>
      <c r="J350" s="6"/>
      <c r="K350" s="6"/>
      <c r="L350" s="6"/>
      <c r="M350" s="6"/>
      <c r="N350" s="6"/>
      <c r="O350" s="6"/>
      <c r="P350" s="6"/>
      <c r="Q350" s="6"/>
      <c r="R350" s="6"/>
      <c r="S350" s="6"/>
      <c r="T350" s="6"/>
      <c r="U350" s="6"/>
      <c r="V350" s="6"/>
      <c r="W350" s="6"/>
    </row>
    <row r="351" spans="1:23" ht="16" x14ac:dyDescent="0.2">
      <c r="A351" s="6"/>
      <c r="B351" s="7"/>
      <c r="C351" s="7"/>
      <c r="D351" s="7"/>
      <c r="E351" s="7"/>
      <c r="F351" s="6"/>
      <c r="G351" s="6"/>
      <c r="H351" s="6"/>
      <c r="I351" s="6"/>
      <c r="J351" s="6"/>
      <c r="K351" s="6"/>
      <c r="L351" s="6"/>
      <c r="M351" s="6"/>
      <c r="N351" s="6"/>
      <c r="O351" s="6"/>
      <c r="P351" s="6"/>
      <c r="Q351" s="6"/>
      <c r="R351" s="6"/>
      <c r="S351" s="6"/>
      <c r="T351" s="6"/>
      <c r="U351" s="6"/>
      <c r="V351" s="6"/>
      <c r="W351" s="6"/>
    </row>
    <row r="352" spans="1:23" ht="16" x14ac:dyDescent="0.2">
      <c r="A352" s="6"/>
      <c r="B352" s="7"/>
      <c r="C352" s="7"/>
      <c r="D352" s="7"/>
      <c r="E352" s="7"/>
      <c r="F352" s="6"/>
      <c r="G352" s="6"/>
      <c r="H352" s="6"/>
      <c r="I352" s="6"/>
      <c r="J352" s="6"/>
      <c r="K352" s="6"/>
      <c r="L352" s="6"/>
      <c r="M352" s="6"/>
      <c r="N352" s="6"/>
      <c r="O352" s="6"/>
      <c r="P352" s="6"/>
      <c r="Q352" s="6"/>
      <c r="R352" s="6"/>
      <c r="S352" s="6"/>
      <c r="T352" s="6"/>
      <c r="U352" s="6"/>
      <c r="V352" s="6"/>
      <c r="W352" s="6"/>
    </row>
    <row r="353" spans="1:23" ht="16" x14ac:dyDescent="0.2">
      <c r="A353" s="6"/>
      <c r="B353" s="7"/>
      <c r="C353" s="7"/>
      <c r="D353" s="7"/>
      <c r="E353" s="7"/>
      <c r="F353" s="6"/>
      <c r="G353" s="6"/>
      <c r="H353" s="6"/>
      <c r="I353" s="6"/>
      <c r="J353" s="6"/>
      <c r="K353" s="6"/>
      <c r="L353" s="6"/>
      <c r="M353" s="6"/>
      <c r="N353" s="6"/>
      <c r="O353" s="6"/>
      <c r="P353" s="6"/>
      <c r="Q353" s="6"/>
      <c r="R353" s="6"/>
      <c r="S353" s="6"/>
      <c r="T353" s="6"/>
      <c r="U353" s="6"/>
      <c r="V353" s="6"/>
      <c r="W353" s="6"/>
    </row>
    <row r="354" spans="1:23" ht="16" x14ac:dyDescent="0.2">
      <c r="A354" s="6"/>
      <c r="B354" s="7"/>
      <c r="C354" s="7"/>
      <c r="D354" s="7"/>
      <c r="E354" s="7"/>
      <c r="F354" s="6"/>
      <c r="G354" s="6"/>
      <c r="H354" s="6"/>
      <c r="I354" s="6"/>
      <c r="J354" s="6"/>
      <c r="K354" s="6"/>
      <c r="L354" s="6"/>
      <c r="M354" s="6"/>
      <c r="N354" s="6"/>
      <c r="O354" s="6"/>
      <c r="P354" s="6"/>
      <c r="Q354" s="6"/>
      <c r="R354" s="6"/>
      <c r="S354" s="6"/>
      <c r="T354" s="6"/>
      <c r="U354" s="6"/>
      <c r="V354" s="6"/>
      <c r="W354" s="6"/>
    </row>
    <row r="355" spans="1:23" ht="16" x14ac:dyDescent="0.2">
      <c r="A355" s="6"/>
      <c r="B355" s="7"/>
      <c r="C355" s="7"/>
      <c r="D355" s="7"/>
      <c r="E355" s="7"/>
      <c r="F355" s="6"/>
      <c r="G355" s="6"/>
      <c r="H355" s="6"/>
      <c r="I355" s="6"/>
      <c r="J355" s="6"/>
      <c r="K355" s="6"/>
      <c r="L355" s="6"/>
      <c r="M355" s="6"/>
      <c r="N355" s="6"/>
      <c r="O355" s="6"/>
      <c r="P355" s="6"/>
      <c r="Q355" s="6"/>
      <c r="R355" s="6"/>
      <c r="S355" s="6"/>
      <c r="T355" s="6"/>
      <c r="U355" s="6"/>
      <c r="V355" s="6"/>
      <c r="W355" s="6"/>
    </row>
    <row r="356" spans="1:23" ht="16" x14ac:dyDescent="0.2">
      <c r="A356" s="6"/>
      <c r="B356" s="7"/>
      <c r="C356" s="7"/>
      <c r="D356" s="7"/>
      <c r="E356" s="7"/>
      <c r="F356" s="6"/>
      <c r="G356" s="6"/>
      <c r="H356" s="6"/>
      <c r="I356" s="6"/>
      <c r="J356" s="6"/>
      <c r="K356" s="6"/>
      <c r="L356" s="6"/>
      <c r="M356" s="6"/>
      <c r="N356" s="6"/>
      <c r="O356" s="6"/>
      <c r="P356" s="6"/>
      <c r="Q356" s="6"/>
      <c r="R356" s="6"/>
      <c r="S356" s="6"/>
      <c r="T356" s="6"/>
      <c r="U356" s="6"/>
      <c r="V356" s="6"/>
      <c r="W356" s="6"/>
    </row>
    <row r="357" spans="1:23" ht="16" x14ac:dyDescent="0.2">
      <c r="A357" s="6"/>
      <c r="B357" s="7"/>
      <c r="C357" s="7"/>
      <c r="D357" s="7"/>
      <c r="E357" s="7"/>
      <c r="F357" s="6"/>
      <c r="G357" s="6"/>
      <c r="H357" s="6"/>
      <c r="I357" s="6"/>
      <c r="J357" s="6"/>
      <c r="K357" s="6"/>
      <c r="L357" s="6"/>
      <c r="M357" s="6"/>
      <c r="N357" s="6"/>
      <c r="O357" s="6"/>
      <c r="P357" s="6"/>
      <c r="Q357" s="6"/>
      <c r="R357" s="6"/>
      <c r="S357" s="6"/>
      <c r="T357" s="6"/>
      <c r="U357" s="6"/>
      <c r="V357" s="6"/>
      <c r="W357" s="6"/>
    </row>
    <row r="358" spans="1:23" ht="16" x14ac:dyDescent="0.2">
      <c r="A358" s="6"/>
      <c r="B358" s="7"/>
      <c r="C358" s="7"/>
      <c r="D358" s="7"/>
      <c r="E358" s="7"/>
      <c r="F358" s="6"/>
      <c r="G358" s="6"/>
      <c r="H358" s="6"/>
      <c r="I358" s="6"/>
      <c r="J358" s="6"/>
      <c r="K358" s="6"/>
      <c r="L358" s="6"/>
      <c r="M358" s="6"/>
      <c r="N358" s="6"/>
      <c r="O358" s="6"/>
      <c r="P358" s="6"/>
      <c r="Q358" s="6"/>
      <c r="R358" s="6"/>
      <c r="S358" s="6"/>
      <c r="T358" s="6"/>
      <c r="U358" s="6"/>
      <c r="V358" s="6"/>
      <c r="W358" s="6"/>
    </row>
    <row r="359" spans="1:23" ht="16" x14ac:dyDescent="0.2">
      <c r="A359" s="6"/>
      <c r="B359" s="7"/>
      <c r="C359" s="7"/>
      <c r="D359" s="7"/>
      <c r="E359" s="7"/>
      <c r="F359" s="6"/>
      <c r="G359" s="6"/>
      <c r="H359" s="6"/>
      <c r="I359" s="6"/>
      <c r="J359" s="6"/>
      <c r="K359" s="6"/>
      <c r="L359" s="6"/>
      <c r="M359" s="6"/>
      <c r="N359" s="6"/>
      <c r="O359" s="6"/>
      <c r="P359" s="6"/>
      <c r="Q359" s="6"/>
      <c r="R359" s="6"/>
      <c r="S359" s="6"/>
      <c r="T359" s="6"/>
      <c r="U359" s="6"/>
      <c r="V359" s="6"/>
      <c r="W359" s="6"/>
    </row>
    <row r="360" spans="1:23" ht="16" x14ac:dyDescent="0.2">
      <c r="A360" s="6"/>
      <c r="B360" s="7"/>
      <c r="C360" s="7"/>
      <c r="D360" s="7"/>
      <c r="E360" s="7"/>
      <c r="F360" s="6"/>
      <c r="G360" s="6"/>
      <c r="H360" s="6"/>
      <c r="I360" s="6"/>
      <c r="J360" s="6"/>
      <c r="K360" s="6"/>
      <c r="L360" s="6"/>
      <c r="M360" s="6"/>
      <c r="N360" s="6"/>
      <c r="O360" s="6"/>
      <c r="P360" s="6"/>
      <c r="Q360" s="6"/>
      <c r="R360" s="6"/>
      <c r="S360" s="6"/>
      <c r="T360" s="6"/>
      <c r="U360" s="6"/>
      <c r="V360" s="6"/>
      <c r="W360" s="6"/>
    </row>
    <row r="361" spans="1:23" ht="16" x14ac:dyDescent="0.2">
      <c r="A361" s="6"/>
      <c r="B361" s="7"/>
      <c r="C361" s="7"/>
      <c r="D361" s="7"/>
      <c r="E361" s="7"/>
      <c r="F361" s="6"/>
      <c r="G361" s="6"/>
      <c r="H361" s="6"/>
      <c r="I361" s="6"/>
      <c r="J361" s="6"/>
      <c r="K361" s="6"/>
      <c r="L361" s="6"/>
      <c r="M361" s="6"/>
      <c r="N361" s="6"/>
      <c r="O361" s="6"/>
      <c r="P361" s="6"/>
      <c r="Q361" s="6"/>
      <c r="R361" s="6"/>
      <c r="S361" s="6"/>
      <c r="T361" s="6"/>
      <c r="U361" s="6"/>
      <c r="V361" s="6"/>
      <c r="W361" s="6"/>
    </row>
    <row r="362" spans="1:23" ht="16" x14ac:dyDescent="0.2">
      <c r="A362" s="6"/>
      <c r="B362" s="7"/>
      <c r="C362" s="7"/>
      <c r="D362" s="7"/>
      <c r="E362" s="7"/>
      <c r="F362" s="6"/>
      <c r="G362" s="6"/>
      <c r="H362" s="6"/>
      <c r="I362" s="6"/>
      <c r="J362" s="6"/>
      <c r="K362" s="6"/>
      <c r="L362" s="6"/>
      <c r="M362" s="6"/>
      <c r="N362" s="6"/>
      <c r="O362" s="6"/>
      <c r="P362" s="6"/>
      <c r="Q362" s="6"/>
      <c r="R362" s="6"/>
      <c r="S362" s="6"/>
      <c r="T362" s="6"/>
      <c r="U362" s="6"/>
      <c r="V362" s="6"/>
      <c r="W362" s="6"/>
    </row>
    <row r="363" spans="1:23" ht="16" x14ac:dyDescent="0.2">
      <c r="A363" s="6"/>
      <c r="B363" s="7"/>
      <c r="C363" s="7"/>
      <c r="D363" s="7"/>
      <c r="E363" s="7"/>
      <c r="F363" s="6"/>
      <c r="G363" s="6"/>
      <c r="H363" s="6"/>
      <c r="I363" s="6"/>
      <c r="J363" s="6"/>
      <c r="K363" s="6"/>
      <c r="L363" s="6"/>
      <c r="M363" s="6"/>
      <c r="N363" s="6"/>
      <c r="O363" s="6"/>
      <c r="P363" s="6"/>
      <c r="Q363" s="6"/>
      <c r="R363" s="6"/>
      <c r="S363" s="6"/>
      <c r="T363" s="6"/>
      <c r="U363" s="6"/>
      <c r="V363" s="6"/>
      <c r="W363" s="6"/>
    </row>
    <row r="364" spans="1:23" ht="16" x14ac:dyDescent="0.2">
      <c r="A364" s="6"/>
      <c r="B364" s="7"/>
      <c r="C364" s="7"/>
      <c r="D364" s="7"/>
      <c r="E364" s="7"/>
      <c r="F364" s="6"/>
      <c r="G364" s="6"/>
      <c r="H364" s="6"/>
      <c r="I364" s="6"/>
      <c r="J364" s="6"/>
      <c r="K364" s="6"/>
      <c r="L364" s="6"/>
      <c r="M364" s="6"/>
      <c r="N364" s="6"/>
      <c r="O364" s="6"/>
      <c r="P364" s="6"/>
      <c r="Q364" s="6"/>
      <c r="R364" s="6"/>
      <c r="S364" s="6"/>
      <c r="T364" s="6"/>
      <c r="U364" s="6"/>
      <c r="V364" s="6"/>
      <c r="W364" s="6"/>
    </row>
    <row r="365" spans="1:23" ht="16" x14ac:dyDescent="0.2">
      <c r="A365" s="6"/>
      <c r="B365" s="7"/>
      <c r="C365" s="7"/>
      <c r="D365" s="7"/>
      <c r="E365" s="7"/>
      <c r="F365" s="6"/>
      <c r="G365" s="6"/>
      <c r="H365" s="6"/>
      <c r="I365" s="6"/>
      <c r="J365" s="6"/>
      <c r="K365" s="6"/>
      <c r="L365" s="6"/>
      <c r="M365" s="6"/>
      <c r="N365" s="6"/>
      <c r="O365" s="6"/>
      <c r="P365" s="6"/>
      <c r="Q365" s="6"/>
      <c r="R365" s="6"/>
      <c r="S365" s="6"/>
      <c r="T365" s="6"/>
      <c r="U365" s="6"/>
      <c r="V365" s="6"/>
      <c r="W365" s="6"/>
    </row>
    <row r="366" spans="1:23" ht="16" x14ac:dyDescent="0.2">
      <c r="A366" s="6"/>
      <c r="B366" s="7"/>
      <c r="C366" s="7"/>
      <c r="D366" s="7"/>
      <c r="E366" s="7"/>
      <c r="F366" s="6"/>
      <c r="G366" s="6"/>
      <c r="H366" s="6"/>
      <c r="I366" s="6"/>
      <c r="J366" s="6"/>
      <c r="K366" s="6"/>
      <c r="L366" s="6"/>
      <c r="M366" s="6"/>
      <c r="N366" s="6"/>
      <c r="O366" s="6"/>
      <c r="P366" s="6"/>
      <c r="Q366" s="6"/>
      <c r="R366" s="6"/>
      <c r="S366" s="6"/>
      <c r="T366" s="6"/>
      <c r="U366" s="6"/>
      <c r="V366" s="6"/>
      <c r="W366" s="6"/>
    </row>
    <row r="367" spans="1:23" ht="16" x14ac:dyDescent="0.2">
      <c r="A367" s="6"/>
      <c r="B367" s="7"/>
      <c r="C367" s="7"/>
      <c r="D367" s="7"/>
      <c r="E367" s="7"/>
      <c r="F367" s="6"/>
      <c r="G367" s="6"/>
      <c r="H367" s="6"/>
      <c r="I367" s="6"/>
      <c r="J367" s="6"/>
      <c r="K367" s="6"/>
      <c r="L367" s="6"/>
      <c r="M367" s="6"/>
      <c r="N367" s="6"/>
      <c r="O367" s="6"/>
      <c r="P367" s="6"/>
      <c r="Q367" s="6"/>
      <c r="R367" s="6"/>
      <c r="S367" s="6"/>
      <c r="T367" s="6"/>
      <c r="U367" s="6"/>
      <c r="V367" s="6"/>
      <c r="W367" s="6"/>
    </row>
    <row r="368" spans="1:23" ht="16" x14ac:dyDescent="0.2">
      <c r="A368" s="6"/>
      <c r="B368" s="7"/>
      <c r="C368" s="7"/>
      <c r="D368" s="7"/>
      <c r="E368" s="7"/>
      <c r="F368" s="6"/>
      <c r="G368" s="6"/>
      <c r="H368" s="6"/>
      <c r="I368" s="6"/>
      <c r="J368" s="6"/>
      <c r="K368" s="6"/>
      <c r="L368" s="6"/>
      <c r="M368" s="6"/>
      <c r="N368" s="6"/>
      <c r="O368" s="6"/>
      <c r="P368" s="6"/>
      <c r="Q368" s="6"/>
      <c r="R368" s="6"/>
      <c r="S368" s="6"/>
      <c r="T368" s="6"/>
      <c r="U368" s="6"/>
      <c r="V368" s="6"/>
      <c r="W368" s="6"/>
    </row>
    <row r="369" spans="1:23" ht="16" x14ac:dyDescent="0.2">
      <c r="A369" s="6"/>
      <c r="B369" s="7"/>
      <c r="C369" s="7"/>
      <c r="D369" s="7"/>
      <c r="E369" s="7"/>
      <c r="F369" s="6"/>
      <c r="G369" s="6"/>
      <c r="H369" s="6"/>
      <c r="I369" s="6"/>
      <c r="J369" s="6"/>
      <c r="K369" s="6"/>
      <c r="L369" s="6"/>
      <c r="M369" s="6"/>
      <c r="N369" s="6"/>
      <c r="O369" s="6"/>
      <c r="P369" s="6"/>
      <c r="Q369" s="6"/>
      <c r="R369" s="6"/>
      <c r="S369" s="6"/>
      <c r="T369" s="6"/>
      <c r="U369" s="6"/>
      <c r="V369" s="6"/>
      <c r="W369" s="6"/>
    </row>
    <row r="370" spans="1:23" ht="16" x14ac:dyDescent="0.2">
      <c r="A370" s="6"/>
      <c r="B370" s="7"/>
      <c r="C370" s="7"/>
      <c r="D370" s="7"/>
      <c r="E370" s="7"/>
      <c r="F370" s="6"/>
      <c r="G370" s="6"/>
      <c r="H370" s="6"/>
      <c r="I370" s="6"/>
      <c r="J370" s="6"/>
      <c r="K370" s="6"/>
      <c r="L370" s="6"/>
      <c r="M370" s="6"/>
      <c r="N370" s="6"/>
      <c r="O370" s="6"/>
      <c r="P370" s="6"/>
      <c r="Q370" s="6"/>
      <c r="R370" s="6"/>
      <c r="S370" s="6"/>
      <c r="T370" s="6"/>
      <c r="U370" s="6"/>
      <c r="V370" s="6"/>
      <c r="W370" s="6"/>
    </row>
    <row r="371" spans="1:23" ht="16" x14ac:dyDescent="0.2">
      <c r="A371" s="6"/>
      <c r="B371" s="7"/>
      <c r="C371" s="7"/>
      <c r="D371" s="7"/>
      <c r="E371" s="7"/>
      <c r="F371" s="6"/>
      <c r="G371" s="6"/>
      <c r="H371" s="6"/>
      <c r="I371" s="6"/>
      <c r="J371" s="6"/>
      <c r="K371" s="6"/>
      <c r="L371" s="6"/>
      <c r="M371" s="6"/>
      <c r="N371" s="6"/>
      <c r="O371" s="6"/>
      <c r="P371" s="6"/>
      <c r="Q371" s="6"/>
      <c r="R371" s="6"/>
      <c r="S371" s="6"/>
      <c r="T371" s="6"/>
      <c r="U371" s="6"/>
      <c r="V371" s="6"/>
      <c r="W371" s="6"/>
    </row>
    <row r="372" spans="1:23" ht="16" x14ac:dyDescent="0.2">
      <c r="A372" s="6"/>
      <c r="B372" s="7"/>
      <c r="C372" s="7"/>
      <c r="D372" s="7"/>
      <c r="E372" s="7"/>
      <c r="F372" s="6"/>
      <c r="G372" s="6"/>
      <c r="H372" s="6"/>
      <c r="I372" s="6"/>
      <c r="J372" s="6"/>
      <c r="K372" s="6"/>
      <c r="L372" s="6"/>
      <c r="M372" s="6"/>
      <c r="N372" s="6"/>
      <c r="O372" s="6"/>
      <c r="P372" s="6"/>
      <c r="Q372" s="6"/>
      <c r="R372" s="6"/>
      <c r="S372" s="6"/>
      <c r="T372" s="6"/>
      <c r="U372" s="6"/>
      <c r="V372" s="6"/>
      <c r="W372" s="6"/>
    </row>
    <row r="373" spans="1:23" ht="16" x14ac:dyDescent="0.2">
      <c r="A373" s="6"/>
      <c r="B373" s="7"/>
      <c r="C373" s="7"/>
      <c r="D373" s="7"/>
      <c r="E373" s="7"/>
      <c r="F373" s="6"/>
      <c r="G373" s="6"/>
      <c r="H373" s="6"/>
      <c r="I373" s="6"/>
      <c r="J373" s="6"/>
      <c r="K373" s="6"/>
      <c r="L373" s="6"/>
      <c r="M373" s="6"/>
      <c r="N373" s="6"/>
      <c r="O373" s="6"/>
      <c r="P373" s="6"/>
      <c r="Q373" s="6"/>
      <c r="R373" s="6"/>
      <c r="S373" s="6"/>
      <c r="T373" s="6"/>
      <c r="U373" s="6"/>
      <c r="V373" s="6"/>
      <c r="W373" s="6"/>
    </row>
    <row r="374" spans="1:23" ht="16" x14ac:dyDescent="0.2">
      <c r="A374" s="6"/>
      <c r="B374" s="7"/>
      <c r="C374" s="7"/>
      <c r="D374" s="7"/>
      <c r="E374" s="7"/>
      <c r="F374" s="6"/>
      <c r="G374" s="6"/>
      <c r="H374" s="6"/>
      <c r="I374" s="6"/>
      <c r="J374" s="6"/>
      <c r="K374" s="6"/>
      <c r="L374" s="6"/>
      <c r="M374" s="6"/>
      <c r="N374" s="6"/>
      <c r="O374" s="6"/>
      <c r="P374" s="6"/>
      <c r="Q374" s="6"/>
      <c r="R374" s="6"/>
      <c r="S374" s="6"/>
      <c r="T374" s="6"/>
      <c r="U374" s="6"/>
      <c r="V374" s="6"/>
      <c r="W374" s="6"/>
    </row>
    <row r="375" spans="1:23" ht="16" x14ac:dyDescent="0.2">
      <c r="A375" s="6"/>
      <c r="B375" s="7"/>
      <c r="C375" s="7"/>
      <c r="D375" s="7"/>
      <c r="E375" s="7"/>
      <c r="F375" s="6"/>
      <c r="G375" s="6"/>
      <c r="H375" s="6"/>
      <c r="I375" s="6"/>
      <c r="J375" s="6"/>
      <c r="K375" s="6"/>
      <c r="L375" s="6"/>
      <c r="M375" s="6"/>
      <c r="N375" s="6"/>
      <c r="O375" s="6"/>
      <c r="P375" s="6"/>
      <c r="Q375" s="6"/>
      <c r="R375" s="6"/>
      <c r="S375" s="6"/>
      <c r="T375" s="6"/>
      <c r="U375" s="6"/>
      <c r="V375" s="6"/>
      <c r="W375" s="6"/>
    </row>
    <row r="376" spans="1:23" ht="16" x14ac:dyDescent="0.2">
      <c r="A376" s="6"/>
      <c r="B376" s="7"/>
      <c r="C376" s="7"/>
      <c r="D376" s="7"/>
      <c r="E376" s="7"/>
      <c r="F376" s="6"/>
      <c r="G376" s="6"/>
      <c r="H376" s="6"/>
      <c r="I376" s="6"/>
      <c r="J376" s="6"/>
      <c r="K376" s="6"/>
      <c r="L376" s="6"/>
      <c r="M376" s="6"/>
      <c r="N376" s="6"/>
      <c r="O376" s="6"/>
      <c r="P376" s="6"/>
      <c r="Q376" s="6"/>
      <c r="R376" s="6"/>
      <c r="S376" s="6"/>
      <c r="T376" s="6"/>
      <c r="U376" s="6"/>
      <c r="V376" s="6"/>
      <c r="W376" s="6"/>
    </row>
    <row r="377" spans="1:23" ht="16" x14ac:dyDescent="0.2">
      <c r="A377" s="6"/>
      <c r="B377" s="7"/>
      <c r="C377" s="7"/>
      <c r="D377" s="7"/>
      <c r="E377" s="7"/>
      <c r="F377" s="6"/>
      <c r="G377" s="6"/>
      <c r="H377" s="6"/>
      <c r="I377" s="6"/>
      <c r="J377" s="6"/>
      <c r="K377" s="6"/>
      <c r="L377" s="6"/>
      <c r="M377" s="6"/>
      <c r="N377" s="6"/>
      <c r="O377" s="6"/>
      <c r="P377" s="6"/>
      <c r="Q377" s="6"/>
      <c r="R377" s="6"/>
      <c r="S377" s="6"/>
      <c r="T377" s="6"/>
      <c r="U377" s="6"/>
      <c r="V377" s="6"/>
      <c r="W377" s="6"/>
    </row>
    <row r="378" spans="1:23" ht="16" x14ac:dyDescent="0.2">
      <c r="A378" s="6"/>
      <c r="B378" s="7"/>
      <c r="C378" s="7"/>
      <c r="D378" s="7"/>
      <c r="E378" s="7"/>
      <c r="F378" s="6"/>
      <c r="G378" s="6"/>
      <c r="H378" s="6"/>
      <c r="I378" s="6"/>
      <c r="J378" s="6"/>
      <c r="K378" s="6"/>
      <c r="L378" s="6"/>
      <c r="M378" s="6"/>
      <c r="N378" s="6"/>
      <c r="O378" s="6"/>
      <c r="P378" s="6"/>
      <c r="Q378" s="6"/>
      <c r="R378" s="6"/>
      <c r="S378" s="6"/>
      <c r="T378" s="6"/>
      <c r="U378" s="6"/>
      <c r="V378" s="6"/>
      <c r="W378" s="6"/>
    </row>
    <row r="379" spans="1:23" ht="16" x14ac:dyDescent="0.2">
      <c r="A379" s="6"/>
      <c r="B379" s="7"/>
      <c r="C379" s="7"/>
      <c r="D379" s="7"/>
      <c r="E379" s="7"/>
      <c r="F379" s="6"/>
      <c r="G379" s="6"/>
      <c r="H379" s="6"/>
      <c r="I379" s="6"/>
      <c r="J379" s="6"/>
      <c r="K379" s="6"/>
      <c r="L379" s="6"/>
      <c r="M379" s="6"/>
      <c r="N379" s="6"/>
      <c r="O379" s="6"/>
      <c r="P379" s="6"/>
      <c r="Q379" s="6"/>
      <c r="R379" s="6"/>
      <c r="S379" s="6"/>
      <c r="T379" s="6"/>
      <c r="U379" s="6"/>
      <c r="V379" s="6"/>
      <c r="W379" s="6"/>
    </row>
    <row r="380" spans="1:23" ht="16" x14ac:dyDescent="0.2">
      <c r="A380" s="6"/>
      <c r="B380" s="7"/>
      <c r="C380" s="7"/>
      <c r="D380" s="7"/>
      <c r="E380" s="7"/>
      <c r="F380" s="6"/>
      <c r="G380" s="6"/>
      <c r="H380" s="6"/>
      <c r="I380" s="6"/>
      <c r="J380" s="6"/>
      <c r="K380" s="6"/>
      <c r="L380" s="6"/>
      <c r="M380" s="6"/>
      <c r="N380" s="6"/>
      <c r="O380" s="6"/>
      <c r="P380" s="6"/>
      <c r="Q380" s="6"/>
      <c r="R380" s="6"/>
      <c r="S380" s="6"/>
      <c r="T380" s="6"/>
      <c r="U380" s="6"/>
      <c r="V380" s="6"/>
      <c r="W380" s="6"/>
    </row>
    <row r="381" spans="1:23" ht="16" x14ac:dyDescent="0.2">
      <c r="A381" s="6"/>
      <c r="B381" s="7"/>
      <c r="C381" s="7"/>
      <c r="D381" s="7"/>
      <c r="E381" s="7"/>
      <c r="F381" s="6"/>
      <c r="G381" s="6"/>
      <c r="H381" s="6"/>
      <c r="I381" s="6"/>
      <c r="J381" s="6"/>
      <c r="K381" s="6"/>
      <c r="L381" s="6"/>
      <c r="M381" s="6"/>
      <c r="N381" s="6"/>
      <c r="O381" s="6"/>
      <c r="P381" s="6"/>
      <c r="Q381" s="6"/>
      <c r="R381" s="6"/>
      <c r="S381" s="6"/>
      <c r="T381" s="6"/>
      <c r="U381" s="6"/>
      <c r="V381" s="6"/>
      <c r="W381" s="6"/>
    </row>
    <row r="382" spans="1:23" ht="16" x14ac:dyDescent="0.2">
      <c r="A382" s="6"/>
      <c r="B382" s="7"/>
      <c r="C382" s="7"/>
      <c r="D382" s="7"/>
      <c r="E382" s="7"/>
      <c r="F382" s="6"/>
      <c r="G382" s="6"/>
      <c r="H382" s="6"/>
      <c r="I382" s="6"/>
      <c r="J382" s="6"/>
      <c r="K382" s="6"/>
      <c r="L382" s="6"/>
      <c r="M382" s="6"/>
      <c r="N382" s="6"/>
      <c r="O382" s="6"/>
      <c r="P382" s="6"/>
      <c r="Q382" s="6"/>
      <c r="R382" s="6"/>
      <c r="S382" s="6"/>
      <c r="T382" s="6"/>
      <c r="U382" s="6"/>
      <c r="V382" s="6"/>
      <c r="W382" s="6"/>
    </row>
    <row r="383" spans="1:23" ht="16" x14ac:dyDescent="0.2">
      <c r="A383" s="6"/>
      <c r="B383" s="7"/>
      <c r="C383" s="7"/>
      <c r="D383" s="7"/>
      <c r="E383" s="7"/>
      <c r="F383" s="6"/>
      <c r="G383" s="6"/>
      <c r="H383" s="6"/>
      <c r="I383" s="6"/>
      <c r="J383" s="6"/>
      <c r="K383" s="6"/>
      <c r="L383" s="6"/>
      <c r="M383" s="6"/>
      <c r="N383" s="6"/>
      <c r="O383" s="6"/>
      <c r="P383" s="6"/>
      <c r="Q383" s="6"/>
      <c r="R383" s="6"/>
      <c r="S383" s="6"/>
      <c r="T383" s="6"/>
      <c r="U383" s="6"/>
      <c r="V383" s="6"/>
      <c r="W383" s="6"/>
    </row>
    <row r="384" spans="1:23" ht="16" x14ac:dyDescent="0.2">
      <c r="A384" s="6"/>
      <c r="B384" s="7"/>
      <c r="C384" s="7"/>
      <c r="D384" s="7"/>
      <c r="E384" s="7"/>
      <c r="F384" s="6"/>
      <c r="G384" s="6"/>
      <c r="H384" s="6"/>
      <c r="I384" s="6"/>
      <c r="J384" s="6"/>
      <c r="K384" s="6"/>
      <c r="L384" s="6"/>
      <c r="M384" s="6"/>
      <c r="N384" s="6"/>
      <c r="O384" s="6"/>
      <c r="P384" s="6"/>
      <c r="Q384" s="6"/>
      <c r="R384" s="6"/>
      <c r="S384" s="6"/>
      <c r="T384" s="6"/>
      <c r="U384" s="6"/>
      <c r="V384" s="6"/>
      <c r="W384" s="6"/>
    </row>
    <row r="385" spans="1:23" ht="16" x14ac:dyDescent="0.2">
      <c r="A385" s="6"/>
      <c r="B385" s="7"/>
      <c r="C385" s="7"/>
      <c r="D385" s="7"/>
      <c r="E385" s="7"/>
      <c r="F385" s="6"/>
      <c r="G385" s="6"/>
      <c r="H385" s="6"/>
      <c r="I385" s="6"/>
      <c r="J385" s="6"/>
      <c r="K385" s="6"/>
      <c r="L385" s="6"/>
      <c r="M385" s="6"/>
      <c r="N385" s="6"/>
      <c r="O385" s="6"/>
      <c r="P385" s="6"/>
      <c r="Q385" s="6"/>
      <c r="R385" s="6"/>
      <c r="S385" s="6"/>
      <c r="T385" s="6"/>
      <c r="U385" s="6"/>
      <c r="V385" s="6"/>
      <c r="W385" s="6"/>
    </row>
    <row r="386" spans="1:23" ht="16" x14ac:dyDescent="0.2">
      <c r="A386" s="6"/>
      <c r="B386" s="7"/>
      <c r="C386" s="7"/>
      <c r="D386" s="7"/>
      <c r="E386" s="7"/>
      <c r="F386" s="6"/>
      <c r="G386" s="6"/>
      <c r="H386" s="6"/>
      <c r="I386" s="6"/>
      <c r="J386" s="6"/>
      <c r="K386" s="6"/>
      <c r="L386" s="6"/>
      <c r="M386" s="6"/>
      <c r="N386" s="6"/>
      <c r="O386" s="6"/>
      <c r="P386" s="6"/>
      <c r="Q386" s="6"/>
      <c r="R386" s="6"/>
      <c r="S386" s="6"/>
      <c r="T386" s="6"/>
      <c r="U386" s="6"/>
      <c r="V386" s="6"/>
      <c r="W386" s="6"/>
    </row>
    <row r="387" spans="1:23" ht="16" x14ac:dyDescent="0.2">
      <c r="A387" s="6"/>
      <c r="B387" s="7"/>
      <c r="C387" s="7"/>
      <c r="D387" s="7"/>
      <c r="E387" s="7"/>
      <c r="F387" s="6"/>
      <c r="G387" s="6"/>
      <c r="H387" s="6"/>
      <c r="I387" s="6"/>
      <c r="J387" s="6"/>
      <c r="K387" s="6"/>
      <c r="L387" s="6"/>
      <c r="M387" s="6"/>
      <c r="N387" s="6"/>
      <c r="O387" s="6"/>
      <c r="P387" s="6"/>
      <c r="Q387" s="6"/>
      <c r="R387" s="6"/>
      <c r="S387" s="6"/>
      <c r="T387" s="6"/>
      <c r="U387" s="6"/>
      <c r="V387" s="6"/>
      <c r="W387" s="6"/>
    </row>
    <row r="388" spans="1:23" ht="16" x14ac:dyDescent="0.2">
      <c r="A388" s="6"/>
      <c r="B388" s="7"/>
      <c r="C388" s="7"/>
      <c r="D388" s="7"/>
      <c r="E388" s="7"/>
      <c r="F388" s="6"/>
      <c r="G388" s="6"/>
      <c r="H388" s="6"/>
      <c r="I388" s="6"/>
      <c r="J388" s="6"/>
      <c r="K388" s="6"/>
      <c r="L388" s="6"/>
      <c r="M388" s="6"/>
      <c r="N388" s="6"/>
      <c r="O388" s="6"/>
      <c r="P388" s="6"/>
      <c r="Q388" s="6"/>
      <c r="R388" s="6"/>
      <c r="S388" s="6"/>
      <c r="T388" s="6"/>
      <c r="U388" s="6"/>
      <c r="V388" s="6"/>
      <c r="W388" s="6"/>
    </row>
    <row r="389" spans="1:23" ht="16" x14ac:dyDescent="0.2">
      <c r="A389" s="6"/>
      <c r="B389" s="7"/>
      <c r="C389" s="7"/>
      <c r="D389" s="7"/>
      <c r="E389" s="7"/>
      <c r="F389" s="6"/>
      <c r="G389" s="6"/>
      <c r="H389" s="6"/>
      <c r="I389" s="6"/>
      <c r="J389" s="6"/>
      <c r="K389" s="6"/>
      <c r="L389" s="6"/>
      <c r="M389" s="6"/>
      <c r="N389" s="6"/>
      <c r="O389" s="6"/>
      <c r="P389" s="6"/>
      <c r="Q389" s="6"/>
      <c r="R389" s="6"/>
      <c r="S389" s="6"/>
      <c r="T389" s="6"/>
      <c r="U389" s="6"/>
      <c r="V389" s="6"/>
      <c r="W389" s="6"/>
    </row>
    <row r="390" spans="1:23" ht="16" x14ac:dyDescent="0.2">
      <c r="A390" s="6"/>
      <c r="B390" s="7"/>
      <c r="C390" s="7"/>
      <c r="D390" s="7"/>
      <c r="E390" s="7"/>
      <c r="F390" s="6"/>
      <c r="G390" s="6"/>
      <c r="H390" s="6"/>
      <c r="I390" s="6"/>
      <c r="J390" s="6"/>
      <c r="K390" s="6"/>
      <c r="L390" s="6"/>
      <c r="M390" s="6"/>
      <c r="N390" s="6"/>
      <c r="O390" s="6"/>
      <c r="P390" s="6"/>
      <c r="Q390" s="6"/>
      <c r="R390" s="6"/>
      <c r="S390" s="6"/>
      <c r="T390" s="6"/>
      <c r="U390" s="6"/>
      <c r="V390" s="6"/>
      <c r="W390" s="6"/>
    </row>
    <row r="391" spans="1:23" ht="16" x14ac:dyDescent="0.2">
      <c r="A391" s="6"/>
      <c r="B391" s="7"/>
      <c r="C391" s="7"/>
      <c r="D391" s="7"/>
      <c r="E391" s="7"/>
      <c r="F391" s="6"/>
      <c r="G391" s="6"/>
      <c r="H391" s="6"/>
      <c r="I391" s="6"/>
      <c r="J391" s="6"/>
      <c r="K391" s="6"/>
      <c r="L391" s="6"/>
      <c r="M391" s="6"/>
      <c r="N391" s="6"/>
      <c r="O391" s="6"/>
      <c r="P391" s="6"/>
      <c r="Q391" s="6"/>
      <c r="R391" s="6"/>
      <c r="S391" s="6"/>
      <c r="T391" s="6"/>
      <c r="U391" s="6"/>
      <c r="V391" s="6"/>
      <c r="W391" s="6"/>
    </row>
    <row r="392" spans="1:23" ht="16" x14ac:dyDescent="0.2">
      <c r="A392" s="6"/>
      <c r="B392" s="7"/>
      <c r="C392" s="7"/>
      <c r="D392" s="7"/>
      <c r="E392" s="7"/>
      <c r="F392" s="6"/>
      <c r="G392" s="6"/>
      <c r="H392" s="6"/>
      <c r="I392" s="6"/>
      <c r="J392" s="6"/>
      <c r="K392" s="6"/>
      <c r="L392" s="6"/>
      <c r="M392" s="6"/>
      <c r="N392" s="6"/>
      <c r="O392" s="6"/>
      <c r="P392" s="6"/>
      <c r="Q392" s="6"/>
      <c r="R392" s="6"/>
      <c r="S392" s="6"/>
      <c r="T392" s="6"/>
      <c r="U392" s="6"/>
      <c r="V392" s="6"/>
      <c r="W392" s="6"/>
    </row>
    <row r="393" spans="1:23" ht="16" x14ac:dyDescent="0.2">
      <c r="A393" s="6"/>
      <c r="B393" s="7"/>
      <c r="C393" s="7"/>
      <c r="D393" s="7"/>
      <c r="E393" s="7"/>
      <c r="F393" s="6"/>
      <c r="G393" s="6"/>
      <c r="H393" s="6"/>
      <c r="I393" s="6"/>
      <c r="J393" s="6"/>
      <c r="K393" s="6"/>
      <c r="L393" s="6"/>
      <c r="M393" s="6"/>
      <c r="N393" s="6"/>
      <c r="O393" s="6"/>
      <c r="P393" s="6"/>
      <c r="Q393" s="6"/>
      <c r="R393" s="6"/>
      <c r="S393" s="6"/>
      <c r="T393" s="6"/>
      <c r="U393" s="6"/>
      <c r="V393" s="6"/>
      <c r="W393" s="6"/>
    </row>
    <row r="394" spans="1:23" ht="16" x14ac:dyDescent="0.2">
      <c r="A394" s="6"/>
      <c r="B394" s="7"/>
      <c r="C394" s="7"/>
      <c r="D394" s="7"/>
      <c r="E394" s="7"/>
      <c r="F394" s="6"/>
      <c r="G394" s="6"/>
      <c r="H394" s="6"/>
      <c r="I394" s="6"/>
      <c r="J394" s="6"/>
      <c r="K394" s="6"/>
      <c r="L394" s="6"/>
      <c r="M394" s="6"/>
      <c r="N394" s="6"/>
      <c r="O394" s="6"/>
      <c r="P394" s="6"/>
      <c r="Q394" s="6"/>
      <c r="R394" s="6"/>
      <c r="S394" s="6"/>
      <c r="T394" s="6"/>
      <c r="U394" s="6"/>
      <c r="V394" s="6"/>
      <c r="W394" s="6"/>
    </row>
    <row r="395" spans="1:23" ht="16" x14ac:dyDescent="0.2">
      <c r="A395" s="6"/>
      <c r="B395" s="7"/>
      <c r="C395" s="7"/>
      <c r="D395" s="7"/>
      <c r="E395" s="7"/>
      <c r="F395" s="6"/>
      <c r="G395" s="6"/>
      <c r="H395" s="6"/>
      <c r="I395" s="6"/>
      <c r="J395" s="6"/>
      <c r="K395" s="6"/>
      <c r="L395" s="6"/>
      <c r="M395" s="6"/>
      <c r="N395" s="6"/>
      <c r="O395" s="6"/>
      <c r="P395" s="6"/>
      <c r="Q395" s="6"/>
      <c r="R395" s="6"/>
      <c r="S395" s="6"/>
      <c r="T395" s="6"/>
      <c r="U395" s="6"/>
      <c r="V395" s="6"/>
      <c r="W395" s="6"/>
    </row>
    <row r="396" spans="1:23" ht="16" x14ac:dyDescent="0.2">
      <c r="A396" s="6"/>
      <c r="B396" s="7"/>
      <c r="C396" s="7"/>
      <c r="D396" s="7"/>
      <c r="E396" s="7"/>
      <c r="F396" s="6"/>
      <c r="G396" s="6"/>
      <c r="H396" s="6"/>
      <c r="I396" s="6"/>
      <c r="J396" s="6"/>
      <c r="K396" s="6"/>
      <c r="L396" s="6"/>
      <c r="M396" s="6"/>
      <c r="N396" s="6"/>
      <c r="O396" s="6"/>
      <c r="P396" s="6"/>
      <c r="Q396" s="6"/>
      <c r="R396" s="6"/>
      <c r="S396" s="6"/>
      <c r="T396" s="6"/>
      <c r="U396" s="6"/>
      <c r="V396" s="6"/>
      <c r="W396" s="6"/>
    </row>
    <row r="397" spans="1:23" ht="16" x14ac:dyDescent="0.2">
      <c r="A397" s="6"/>
      <c r="B397" s="7"/>
      <c r="C397" s="7"/>
      <c r="D397" s="7"/>
      <c r="E397" s="7"/>
      <c r="F397" s="6"/>
      <c r="G397" s="6"/>
      <c r="H397" s="6"/>
      <c r="I397" s="6"/>
      <c r="J397" s="6"/>
      <c r="K397" s="6"/>
      <c r="L397" s="6"/>
      <c r="M397" s="6"/>
      <c r="N397" s="6"/>
      <c r="O397" s="6"/>
      <c r="P397" s="6"/>
      <c r="Q397" s="6"/>
      <c r="R397" s="6"/>
      <c r="S397" s="6"/>
      <c r="T397" s="6"/>
      <c r="U397" s="6"/>
      <c r="V397" s="6"/>
      <c r="W397" s="6"/>
    </row>
    <row r="398" spans="1:23" ht="16" x14ac:dyDescent="0.2">
      <c r="A398" s="6"/>
      <c r="B398" s="7"/>
      <c r="C398" s="7"/>
      <c r="D398" s="7"/>
      <c r="E398" s="7"/>
      <c r="F398" s="6"/>
      <c r="G398" s="6"/>
      <c r="H398" s="6"/>
      <c r="I398" s="6"/>
      <c r="J398" s="6"/>
      <c r="K398" s="6"/>
      <c r="L398" s="6"/>
      <c r="M398" s="6"/>
      <c r="N398" s="6"/>
      <c r="O398" s="6"/>
      <c r="P398" s="6"/>
      <c r="Q398" s="6"/>
      <c r="R398" s="6"/>
      <c r="S398" s="6"/>
      <c r="T398" s="6"/>
      <c r="U398" s="6"/>
      <c r="V398" s="6"/>
      <c r="W398" s="6"/>
    </row>
    <row r="399" spans="1:23" ht="16" x14ac:dyDescent="0.2">
      <c r="A399" s="6"/>
      <c r="B399" s="7"/>
      <c r="C399" s="7"/>
      <c r="D399" s="7"/>
      <c r="E399" s="7"/>
      <c r="F399" s="6"/>
      <c r="G399" s="6"/>
      <c r="H399" s="6"/>
      <c r="I399" s="6"/>
      <c r="J399" s="6"/>
      <c r="K399" s="6"/>
      <c r="L399" s="6"/>
      <c r="M399" s="6"/>
      <c r="N399" s="6"/>
      <c r="O399" s="6"/>
      <c r="P399" s="6"/>
      <c r="Q399" s="6"/>
      <c r="R399" s="6"/>
      <c r="S399" s="6"/>
      <c r="T399" s="6"/>
      <c r="U399" s="6"/>
      <c r="V399" s="6"/>
      <c r="W399" s="6"/>
    </row>
    <row r="400" spans="1:23" ht="16" x14ac:dyDescent="0.2">
      <c r="A400" s="6"/>
      <c r="B400" s="7"/>
      <c r="C400" s="7"/>
      <c r="D400" s="7"/>
      <c r="E400" s="7"/>
      <c r="F400" s="6"/>
      <c r="G400" s="6"/>
      <c r="H400" s="6"/>
      <c r="I400" s="6"/>
      <c r="J400" s="6"/>
      <c r="K400" s="6"/>
      <c r="L400" s="6"/>
      <c r="M400" s="6"/>
      <c r="N400" s="6"/>
      <c r="O400" s="6"/>
      <c r="P400" s="6"/>
      <c r="Q400" s="6"/>
      <c r="R400" s="6"/>
      <c r="S400" s="6"/>
      <c r="T400" s="6"/>
      <c r="U400" s="6"/>
      <c r="V400" s="6"/>
      <c r="W400" s="6"/>
    </row>
    <row r="401" spans="1:23" ht="16" x14ac:dyDescent="0.2">
      <c r="A401" s="6"/>
      <c r="B401" s="7"/>
      <c r="C401" s="7"/>
      <c r="D401" s="7"/>
      <c r="E401" s="7"/>
      <c r="F401" s="6"/>
      <c r="G401" s="6"/>
      <c r="H401" s="6"/>
      <c r="I401" s="6"/>
      <c r="J401" s="6"/>
      <c r="K401" s="6"/>
      <c r="L401" s="6"/>
      <c r="M401" s="6"/>
      <c r="N401" s="6"/>
      <c r="O401" s="6"/>
      <c r="P401" s="6"/>
      <c r="Q401" s="6"/>
      <c r="R401" s="6"/>
      <c r="S401" s="6"/>
      <c r="T401" s="6"/>
      <c r="U401" s="6"/>
      <c r="V401" s="6"/>
      <c r="W401" s="6"/>
    </row>
    <row r="402" spans="1:23" ht="16" x14ac:dyDescent="0.2">
      <c r="A402" s="6"/>
      <c r="B402" s="7"/>
      <c r="C402" s="7"/>
      <c r="D402" s="7"/>
      <c r="E402" s="7"/>
      <c r="F402" s="6"/>
      <c r="G402" s="6"/>
      <c r="H402" s="6"/>
      <c r="I402" s="6"/>
      <c r="J402" s="6"/>
      <c r="K402" s="6"/>
      <c r="L402" s="6"/>
      <c r="M402" s="6"/>
      <c r="N402" s="6"/>
      <c r="O402" s="6"/>
      <c r="P402" s="6"/>
      <c r="Q402" s="6"/>
      <c r="R402" s="6"/>
      <c r="S402" s="6"/>
      <c r="T402" s="6"/>
      <c r="U402" s="6"/>
      <c r="V402" s="6"/>
      <c r="W402" s="6"/>
    </row>
    <row r="403" spans="1:23" ht="16" x14ac:dyDescent="0.2">
      <c r="A403" s="6"/>
      <c r="B403" s="7"/>
      <c r="C403" s="7"/>
      <c r="D403" s="7"/>
      <c r="E403" s="7"/>
      <c r="F403" s="6"/>
      <c r="G403" s="6"/>
      <c r="H403" s="6"/>
      <c r="I403" s="6"/>
      <c r="J403" s="6"/>
      <c r="K403" s="6"/>
      <c r="L403" s="6"/>
      <c r="M403" s="6"/>
      <c r="N403" s="6"/>
      <c r="O403" s="6"/>
      <c r="P403" s="6"/>
      <c r="Q403" s="6"/>
      <c r="R403" s="6"/>
      <c r="S403" s="6"/>
      <c r="T403" s="6"/>
      <c r="U403" s="6"/>
      <c r="V403" s="6"/>
      <c r="W403" s="6"/>
    </row>
    <row r="404" spans="1:23" ht="16" x14ac:dyDescent="0.2">
      <c r="A404" s="6"/>
      <c r="B404" s="7"/>
      <c r="C404" s="7"/>
      <c r="D404" s="7"/>
      <c r="E404" s="7"/>
      <c r="F404" s="6"/>
      <c r="G404" s="6"/>
      <c r="H404" s="6"/>
      <c r="I404" s="6"/>
      <c r="J404" s="6"/>
      <c r="K404" s="6"/>
      <c r="L404" s="6"/>
      <c r="M404" s="6"/>
      <c r="N404" s="6"/>
      <c r="O404" s="6"/>
      <c r="P404" s="6"/>
      <c r="Q404" s="6"/>
      <c r="R404" s="6"/>
      <c r="S404" s="6"/>
      <c r="T404" s="6"/>
      <c r="U404" s="6"/>
      <c r="V404" s="6"/>
      <c r="W404" s="6"/>
    </row>
    <row r="405" spans="1:23" ht="16" x14ac:dyDescent="0.2">
      <c r="A405" s="6"/>
      <c r="B405" s="7"/>
      <c r="C405" s="7"/>
      <c r="D405" s="7"/>
      <c r="E405" s="7"/>
      <c r="F405" s="6"/>
      <c r="G405" s="6"/>
      <c r="H405" s="6"/>
      <c r="I405" s="6"/>
      <c r="J405" s="6"/>
      <c r="K405" s="6"/>
      <c r="L405" s="6"/>
      <c r="M405" s="6"/>
      <c r="N405" s="6"/>
      <c r="O405" s="6"/>
      <c r="P405" s="6"/>
      <c r="Q405" s="6"/>
      <c r="R405" s="6"/>
      <c r="S405" s="6"/>
      <c r="T405" s="6"/>
      <c r="U405" s="6"/>
      <c r="V405" s="6"/>
      <c r="W405" s="6"/>
    </row>
    <row r="406" spans="1:23" ht="16" x14ac:dyDescent="0.2">
      <c r="A406" s="6"/>
      <c r="B406" s="7"/>
      <c r="C406" s="7"/>
      <c r="D406" s="7"/>
      <c r="E406" s="7"/>
      <c r="F406" s="6"/>
      <c r="G406" s="6"/>
      <c r="H406" s="6"/>
      <c r="I406" s="6"/>
      <c r="J406" s="6"/>
      <c r="K406" s="6"/>
      <c r="L406" s="6"/>
      <c r="M406" s="6"/>
      <c r="N406" s="6"/>
      <c r="O406" s="6"/>
      <c r="P406" s="6"/>
      <c r="Q406" s="6"/>
      <c r="R406" s="6"/>
      <c r="S406" s="6"/>
      <c r="T406" s="6"/>
      <c r="U406" s="6"/>
      <c r="V406" s="6"/>
      <c r="W406" s="6"/>
    </row>
    <row r="407" spans="1:23" ht="16" x14ac:dyDescent="0.2">
      <c r="A407" s="6"/>
      <c r="B407" s="7"/>
      <c r="C407" s="7"/>
      <c r="D407" s="7"/>
      <c r="E407" s="7"/>
      <c r="F407" s="6"/>
      <c r="G407" s="6"/>
      <c r="H407" s="6"/>
      <c r="I407" s="6"/>
      <c r="J407" s="6"/>
      <c r="K407" s="6"/>
      <c r="L407" s="6"/>
      <c r="M407" s="6"/>
      <c r="N407" s="6"/>
      <c r="O407" s="6"/>
      <c r="P407" s="6"/>
      <c r="Q407" s="6"/>
      <c r="R407" s="6"/>
      <c r="S407" s="6"/>
      <c r="T407" s="6"/>
      <c r="U407" s="6"/>
      <c r="V407" s="6"/>
      <c r="W407" s="6"/>
    </row>
    <row r="408" spans="1:23" ht="16" x14ac:dyDescent="0.2">
      <c r="A408" s="6"/>
      <c r="B408" s="7"/>
      <c r="C408" s="7"/>
      <c r="D408" s="7"/>
      <c r="E408" s="7"/>
      <c r="F408" s="6"/>
      <c r="G408" s="6"/>
      <c r="H408" s="6"/>
      <c r="I408" s="6"/>
      <c r="J408" s="6"/>
      <c r="K408" s="6"/>
      <c r="L408" s="6"/>
      <c r="M408" s="6"/>
      <c r="N408" s="6"/>
      <c r="O408" s="6"/>
      <c r="P408" s="6"/>
      <c r="Q408" s="6"/>
      <c r="R408" s="6"/>
      <c r="S408" s="6"/>
      <c r="T408" s="6"/>
      <c r="U408" s="6"/>
      <c r="V408" s="6"/>
      <c r="W408" s="6"/>
    </row>
    <row r="409" spans="1:23" ht="16" x14ac:dyDescent="0.2">
      <c r="A409" s="6"/>
      <c r="B409" s="7"/>
      <c r="C409" s="7"/>
      <c r="D409" s="7"/>
      <c r="E409" s="7"/>
      <c r="F409" s="6"/>
      <c r="G409" s="6"/>
      <c r="H409" s="6"/>
      <c r="I409" s="6"/>
      <c r="J409" s="6"/>
      <c r="K409" s="6"/>
      <c r="L409" s="6"/>
      <c r="M409" s="6"/>
      <c r="N409" s="6"/>
      <c r="O409" s="6"/>
      <c r="P409" s="6"/>
      <c r="Q409" s="6"/>
      <c r="R409" s="6"/>
      <c r="S409" s="6"/>
      <c r="T409" s="6"/>
      <c r="U409" s="6"/>
      <c r="V409" s="6"/>
      <c r="W409" s="6"/>
    </row>
    <row r="410" spans="1:23" ht="16" x14ac:dyDescent="0.2">
      <c r="A410" s="6"/>
      <c r="B410" s="7"/>
      <c r="C410" s="7"/>
      <c r="D410" s="7"/>
      <c r="E410" s="7"/>
      <c r="F410" s="6"/>
      <c r="G410" s="6"/>
      <c r="H410" s="6"/>
      <c r="I410" s="6"/>
      <c r="J410" s="6"/>
      <c r="K410" s="6"/>
      <c r="L410" s="6"/>
      <c r="M410" s="6"/>
      <c r="N410" s="6"/>
      <c r="O410" s="6"/>
      <c r="P410" s="6"/>
      <c r="Q410" s="6"/>
      <c r="R410" s="6"/>
      <c r="S410" s="6"/>
      <c r="T410" s="6"/>
      <c r="U410" s="6"/>
      <c r="V410" s="6"/>
      <c r="W410" s="6"/>
    </row>
    <row r="411" spans="1:23" ht="16" x14ac:dyDescent="0.2">
      <c r="A411" s="6"/>
      <c r="B411" s="7"/>
      <c r="C411" s="7"/>
      <c r="D411" s="7"/>
      <c r="E411" s="7"/>
      <c r="F411" s="6"/>
      <c r="G411" s="6"/>
      <c r="H411" s="6"/>
      <c r="I411" s="6"/>
      <c r="J411" s="6"/>
      <c r="K411" s="6"/>
      <c r="L411" s="6"/>
      <c r="M411" s="6"/>
      <c r="N411" s="6"/>
      <c r="O411" s="6"/>
      <c r="P411" s="6"/>
      <c r="Q411" s="6"/>
      <c r="R411" s="6"/>
      <c r="S411" s="6"/>
      <c r="T411" s="6"/>
      <c r="U411" s="6"/>
      <c r="V411" s="6"/>
      <c r="W411" s="6"/>
    </row>
    <row r="412" spans="1:23" ht="16" x14ac:dyDescent="0.2">
      <c r="A412" s="6"/>
      <c r="B412" s="7"/>
      <c r="C412" s="7"/>
      <c r="D412" s="7"/>
      <c r="E412" s="7"/>
      <c r="F412" s="6"/>
      <c r="G412" s="6"/>
      <c r="H412" s="6"/>
      <c r="I412" s="6"/>
      <c r="J412" s="6"/>
      <c r="K412" s="6"/>
      <c r="L412" s="6"/>
      <c r="M412" s="6"/>
      <c r="N412" s="6"/>
      <c r="O412" s="6"/>
      <c r="P412" s="6"/>
      <c r="Q412" s="6"/>
      <c r="R412" s="6"/>
      <c r="S412" s="6"/>
      <c r="T412" s="6"/>
      <c r="U412" s="6"/>
      <c r="V412" s="6"/>
      <c r="W412" s="6"/>
    </row>
    <row r="413" spans="1:23" ht="16" x14ac:dyDescent="0.2">
      <c r="A413" s="6"/>
      <c r="B413" s="7"/>
      <c r="C413" s="7"/>
      <c r="D413" s="7"/>
      <c r="E413" s="7"/>
      <c r="F413" s="6"/>
      <c r="G413" s="6"/>
      <c r="H413" s="6"/>
      <c r="I413" s="6"/>
      <c r="J413" s="6"/>
      <c r="K413" s="6"/>
      <c r="L413" s="6"/>
      <c r="M413" s="6"/>
      <c r="N413" s="6"/>
      <c r="O413" s="6"/>
      <c r="P413" s="6"/>
      <c r="Q413" s="6"/>
      <c r="R413" s="6"/>
      <c r="S413" s="6"/>
      <c r="T413" s="6"/>
      <c r="U413" s="6"/>
      <c r="V413" s="6"/>
      <c r="W413" s="6"/>
    </row>
    <row r="414" spans="1:23" ht="16" x14ac:dyDescent="0.2">
      <c r="A414" s="6"/>
      <c r="B414" s="7"/>
      <c r="C414" s="7"/>
      <c r="D414" s="7"/>
      <c r="E414" s="7"/>
      <c r="F414" s="6"/>
      <c r="G414" s="6"/>
      <c r="H414" s="6"/>
      <c r="I414" s="6"/>
      <c r="J414" s="6"/>
      <c r="K414" s="6"/>
      <c r="L414" s="6"/>
      <c r="M414" s="6"/>
      <c r="N414" s="6"/>
      <c r="O414" s="6"/>
      <c r="P414" s="6"/>
      <c r="Q414" s="6"/>
      <c r="R414" s="6"/>
      <c r="S414" s="6"/>
      <c r="T414" s="6"/>
      <c r="U414" s="6"/>
      <c r="V414" s="6"/>
      <c r="W414" s="6"/>
    </row>
    <row r="415" spans="1:23" ht="16" x14ac:dyDescent="0.2">
      <c r="A415" s="6"/>
      <c r="B415" s="7"/>
      <c r="C415" s="7"/>
      <c r="D415" s="7"/>
      <c r="E415" s="7"/>
      <c r="F415" s="6"/>
      <c r="G415" s="6"/>
      <c r="H415" s="6"/>
      <c r="I415" s="6"/>
      <c r="J415" s="6"/>
      <c r="K415" s="6"/>
      <c r="L415" s="6"/>
      <c r="M415" s="6"/>
      <c r="N415" s="6"/>
      <c r="O415" s="6"/>
      <c r="P415" s="6"/>
      <c r="Q415" s="6"/>
      <c r="R415" s="6"/>
      <c r="S415" s="6"/>
      <c r="T415" s="6"/>
      <c r="U415" s="6"/>
      <c r="V415" s="6"/>
      <c r="W415" s="6"/>
    </row>
    <row r="416" spans="1:23" ht="16" x14ac:dyDescent="0.2">
      <c r="A416" s="6"/>
      <c r="B416" s="7"/>
      <c r="C416" s="7"/>
      <c r="D416" s="7"/>
      <c r="E416" s="7"/>
      <c r="F416" s="6"/>
      <c r="G416" s="6"/>
      <c r="H416" s="6"/>
      <c r="I416" s="6"/>
      <c r="J416" s="6"/>
      <c r="K416" s="6"/>
      <c r="L416" s="6"/>
      <c r="M416" s="6"/>
      <c r="N416" s="6"/>
      <c r="O416" s="6"/>
      <c r="P416" s="6"/>
      <c r="Q416" s="6"/>
      <c r="R416" s="6"/>
      <c r="S416" s="6"/>
      <c r="T416" s="6"/>
      <c r="U416" s="6"/>
      <c r="V416" s="6"/>
      <c r="W416" s="6"/>
    </row>
    <row r="417" spans="1:23" ht="16" x14ac:dyDescent="0.2">
      <c r="A417" s="6"/>
      <c r="B417" s="7"/>
      <c r="C417" s="7"/>
      <c r="D417" s="7"/>
      <c r="E417" s="7"/>
      <c r="F417" s="6"/>
      <c r="G417" s="6"/>
      <c r="H417" s="6"/>
      <c r="I417" s="6"/>
      <c r="J417" s="6"/>
      <c r="K417" s="6"/>
      <c r="L417" s="6"/>
      <c r="M417" s="6"/>
      <c r="N417" s="6"/>
      <c r="O417" s="6"/>
      <c r="P417" s="6"/>
      <c r="Q417" s="6"/>
      <c r="R417" s="6"/>
      <c r="S417" s="6"/>
      <c r="T417" s="6"/>
      <c r="U417" s="6"/>
      <c r="V417" s="6"/>
      <c r="W417" s="6"/>
    </row>
    <row r="418" spans="1:23" ht="16" x14ac:dyDescent="0.2">
      <c r="A418" s="6"/>
      <c r="B418" s="7"/>
      <c r="C418" s="7"/>
      <c r="D418" s="7"/>
      <c r="E418" s="7"/>
      <c r="F418" s="6"/>
      <c r="G418" s="6"/>
      <c r="H418" s="6"/>
      <c r="I418" s="6"/>
      <c r="J418" s="6"/>
      <c r="K418" s="6"/>
      <c r="L418" s="6"/>
      <c r="M418" s="6"/>
      <c r="N418" s="6"/>
      <c r="O418" s="6"/>
      <c r="P418" s="6"/>
      <c r="Q418" s="6"/>
      <c r="R418" s="6"/>
      <c r="S418" s="6"/>
      <c r="T418" s="6"/>
      <c r="U418" s="6"/>
      <c r="V418" s="6"/>
      <c r="W418" s="6"/>
    </row>
    <row r="419" spans="1:23" ht="16" x14ac:dyDescent="0.2">
      <c r="A419" s="6"/>
      <c r="B419" s="7"/>
      <c r="C419" s="7"/>
      <c r="D419" s="7"/>
      <c r="E419" s="7"/>
      <c r="F419" s="6"/>
      <c r="G419" s="6"/>
      <c r="H419" s="6"/>
      <c r="I419" s="6"/>
      <c r="J419" s="6"/>
      <c r="K419" s="6"/>
      <c r="L419" s="6"/>
      <c r="M419" s="6"/>
      <c r="N419" s="6"/>
      <c r="O419" s="6"/>
      <c r="P419" s="6"/>
      <c r="Q419" s="6"/>
      <c r="R419" s="6"/>
      <c r="S419" s="6"/>
      <c r="T419" s="6"/>
      <c r="U419" s="6"/>
      <c r="V419" s="6"/>
      <c r="W419" s="6"/>
    </row>
    <row r="420" spans="1:23" ht="16" x14ac:dyDescent="0.2">
      <c r="A420" s="6"/>
      <c r="B420" s="7"/>
      <c r="C420" s="7"/>
      <c r="D420" s="7"/>
      <c r="E420" s="7"/>
      <c r="F420" s="6"/>
      <c r="G420" s="6"/>
      <c r="H420" s="6"/>
      <c r="I420" s="6"/>
      <c r="J420" s="6"/>
      <c r="K420" s="6"/>
      <c r="L420" s="6"/>
      <c r="M420" s="6"/>
      <c r="N420" s="6"/>
      <c r="O420" s="6"/>
      <c r="P420" s="6"/>
      <c r="Q420" s="6"/>
      <c r="R420" s="6"/>
      <c r="S420" s="6"/>
      <c r="T420" s="6"/>
      <c r="U420" s="6"/>
      <c r="V420" s="6"/>
      <c r="W420" s="6"/>
    </row>
    <row r="421" spans="1:23" ht="16" x14ac:dyDescent="0.2">
      <c r="A421" s="6"/>
      <c r="B421" s="7"/>
      <c r="C421" s="7"/>
      <c r="D421" s="7"/>
      <c r="E421" s="7"/>
      <c r="F421" s="6"/>
      <c r="G421" s="6"/>
      <c r="H421" s="6"/>
      <c r="I421" s="6"/>
      <c r="J421" s="6"/>
      <c r="K421" s="6"/>
      <c r="L421" s="6"/>
      <c r="M421" s="6"/>
      <c r="N421" s="6"/>
      <c r="O421" s="6"/>
      <c r="P421" s="6"/>
      <c r="Q421" s="6"/>
      <c r="R421" s="6"/>
      <c r="S421" s="6"/>
      <c r="T421" s="6"/>
      <c r="U421" s="6"/>
      <c r="V421" s="6"/>
      <c r="W421" s="6"/>
    </row>
    <row r="422" spans="1:23" ht="16" x14ac:dyDescent="0.2">
      <c r="A422" s="6"/>
      <c r="B422" s="7"/>
      <c r="C422" s="7"/>
      <c r="D422" s="7"/>
      <c r="E422" s="7"/>
      <c r="F422" s="6"/>
      <c r="G422" s="6"/>
      <c r="H422" s="6"/>
      <c r="I422" s="6"/>
      <c r="J422" s="6"/>
      <c r="K422" s="6"/>
      <c r="L422" s="6"/>
      <c r="M422" s="6"/>
      <c r="N422" s="6"/>
      <c r="O422" s="6"/>
      <c r="P422" s="6"/>
      <c r="Q422" s="6"/>
      <c r="R422" s="6"/>
      <c r="S422" s="6"/>
      <c r="T422" s="6"/>
      <c r="U422" s="6"/>
      <c r="V422" s="6"/>
      <c r="W422" s="6"/>
    </row>
    <row r="423" spans="1:23" ht="16" x14ac:dyDescent="0.2">
      <c r="A423" s="6"/>
      <c r="B423" s="7"/>
      <c r="C423" s="7"/>
      <c r="D423" s="7"/>
      <c r="E423" s="7"/>
      <c r="F423" s="6"/>
      <c r="G423" s="6"/>
      <c r="H423" s="6"/>
      <c r="I423" s="6"/>
      <c r="J423" s="6"/>
      <c r="K423" s="6"/>
      <c r="L423" s="6"/>
      <c r="M423" s="6"/>
      <c r="N423" s="6"/>
      <c r="O423" s="6"/>
      <c r="P423" s="6"/>
      <c r="Q423" s="6"/>
      <c r="R423" s="6"/>
      <c r="S423" s="6"/>
      <c r="T423" s="6"/>
      <c r="U423" s="6"/>
      <c r="V423" s="6"/>
      <c r="W423" s="6"/>
    </row>
    <row r="424" spans="1:23" ht="16" x14ac:dyDescent="0.2">
      <c r="A424" s="6"/>
      <c r="B424" s="7"/>
      <c r="C424" s="7"/>
      <c r="D424" s="7"/>
      <c r="E424" s="7"/>
      <c r="F424" s="6"/>
      <c r="G424" s="6"/>
      <c r="H424" s="6"/>
      <c r="I424" s="6"/>
      <c r="J424" s="6"/>
      <c r="K424" s="6"/>
      <c r="L424" s="6"/>
      <c r="M424" s="6"/>
      <c r="N424" s="6"/>
      <c r="O424" s="6"/>
      <c r="P424" s="6"/>
      <c r="Q424" s="6"/>
      <c r="R424" s="6"/>
      <c r="S424" s="6"/>
      <c r="T424" s="6"/>
      <c r="U424" s="6"/>
      <c r="V424" s="6"/>
      <c r="W424" s="6"/>
    </row>
    <row r="425" spans="1:23" ht="16" x14ac:dyDescent="0.2">
      <c r="A425" s="6"/>
      <c r="B425" s="7"/>
      <c r="C425" s="7"/>
      <c r="D425" s="7"/>
      <c r="E425" s="7"/>
      <c r="F425" s="6"/>
      <c r="G425" s="6"/>
      <c r="H425" s="6"/>
      <c r="I425" s="6"/>
      <c r="J425" s="6"/>
      <c r="K425" s="6"/>
      <c r="L425" s="6"/>
      <c r="M425" s="6"/>
      <c r="N425" s="6"/>
      <c r="O425" s="6"/>
      <c r="P425" s="6"/>
      <c r="Q425" s="6"/>
      <c r="R425" s="6"/>
      <c r="S425" s="6"/>
      <c r="T425" s="6"/>
      <c r="U425" s="6"/>
      <c r="V425" s="6"/>
      <c r="W425" s="6"/>
    </row>
    <row r="426" spans="1:23" ht="16" x14ac:dyDescent="0.2">
      <c r="A426" s="6"/>
      <c r="B426" s="7"/>
      <c r="C426" s="7"/>
      <c r="D426" s="7"/>
      <c r="E426" s="7"/>
      <c r="F426" s="6"/>
      <c r="G426" s="6"/>
      <c r="H426" s="6"/>
      <c r="I426" s="6"/>
      <c r="J426" s="6"/>
      <c r="K426" s="6"/>
      <c r="L426" s="6"/>
      <c r="M426" s="6"/>
      <c r="N426" s="6"/>
      <c r="O426" s="6"/>
      <c r="P426" s="6"/>
      <c r="Q426" s="6"/>
      <c r="R426" s="6"/>
      <c r="S426" s="6"/>
      <c r="T426" s="6"/>
      <c r="U426" s="6"/>
      <c r="V426" s="6"/>
      <c r="W426" s="6"/>
    </row>
    <row r="427" spans="1:23" ht="16" x14ac:dyDescent="0.2">
      <c r="A427" s="6"/>
      <c r="B427" s="7"/>
      <c r="C427" s="7"/>
      <c r="D427" s="7"/>
      <c r="E427" s="7"/>
      <c r="F427" s="6"/>
      <c r="G427" s="6"/>
      <c r="H427" s="6"/>
      <c r="I427" s="6"/>
      <c r="J427" s="6"/>
      <c r="K427" s="6"/>
      <c r="L427" s="6"/>
      <c r="M427" s="6"/>
      <c r="N427" s="6"/>
      <c r="O427" s="6"/>
      <c r="P427" s="6"/>
      <c r="Q427" s="6"/>
      <c r="R427" s="6"/>
      <c r="S427" s="6"/>
      <c r="T427" s="6"/>
      <c r="U427" s="6"/>
      <c r="V427" s="6"/>
      <c r="W427" s="6"/>
    </row>
    <row r="428" spans="1:23" ht="16" x14ac:dyDescent="0.2">
      <c r="A428" s="6"/>
      <c r="B428" s="7"/>
      <c r="C428" s="7"/>
      <c r="D428" s="7"/>
      <c r="E428" s="7"/>
      <c r="F428" s="6"/>
      <c r="G428" s="6"/>
      <c r="H428" s="6"/>
      <c r="I428" s="6"/>
      <c r="J428" s="6"/>
      <c r="K428" s="6"/>
      <c r="L428" s="6"/>
      <c r="M428" s="6"/>
      <c r="N428" s="6"/>
      <c r="O428" s="6"/>
      <c r="P428" s="6"/>
      <c r="Q428" s="6"/>
      <c r="R428" s="6"/>
      <c r="S428" s="6"/>
      <c r="T428" s="6"/>
      <c r="U428" s="6"/>
      <c r="V428" s="6"/>
      <c r="W428" s="6"/>
    </row>
    <row r="429" spans="1:23" ht="16" x14ac:dyDescent="0.2">
      <c r="A429" s="6"/>
      <c r="B429" s="7"/>
      <c r="C429" s="7"/>
      <c r="D429" s="7"/>
      <c r="E429" s="7"/>
      <c r="F429" s="6"/>
      <c r="G429" s="6"/>
      <c r="H429" s="6"/>
      <c r="I429" s="6"/>
      <c r="J429" s="6"/>
      <c r="K429" s="6"/>
      <c r="L429" s="6"/>
      <c r="M429" s="6"/>
      <c r="N429" s="6"/>
      <c r="O429" s="6"/>
      <c r="P429" s="6"/>
      <c r="Q429" s="6"/>
      <c r="R429" s="6"/>
      <c r="S429" s="6"/>
      <c r="T429" s="6"/>
      <c r="U429" s="6"/>
      <c r="V429" s="6"/>
      <c r="W429" s="6"/>
    </row>
    <row r="430" spans="1:23" ht="16" x14ac:dyDescent="0.2">
      <c r="A430" s="6"/>
      <c r="B430" s="7"/>
      <c r="C430" s="7"/>
      <c r="D430" s="7"/>
      <c r="E430" s="7"/>
      <c r="F430" s="6"/>
      <c r="G430" s="6"/>
      <c r="H430" s="6"/>
      <c r="I430" s="6"/>
      <c r="J430" s="6"/>
      <c r="K430" s="6"/>
      <c r="L430" s="6"/>
      <c r="M430" s="6"/>
      <c r="N430" s="6"/>
      <c r="O430" s="6"/>
      <c r="P430" s="6"/>
      <c r="Q430" s="6"/>
      <c r="R430" s="6"/>
      <c r="S430" s="6"/>
      <c r="T430" s="6"/>
      <c r="U430" s="6"/>
      <c r="V430" s="6"/>
      <c r="W430" s="6"/>
    </row>
    <row r="431" spans="1:23" ht="16" x14ac:dyDescent="0.2">
      <c r="A431" s="6"/>
      <c r="B431" s="7"/>
      <c r="C431" s="7"/>
      <c r="D431" s="7"/>
      <c r="E431" s="7"/>
      <c r="F431" s="6"/>
      <c r="G431" s="6"/>
      <c r="H431" s="6"/>
      <c r="I431" s="6"/>
      <c r="J431" s="6"/>
      <c r="K431" s="6"/>
      <c r="L431" s="6"/>
      <c r="M431" s="6"/>
      <c r="N431" s="6"/>
      <c r="O431" s="6"/>
      <c r="P431" s="6"/>
      <c r="Q431" s="6"/>
      <c r="R431" s="6"/>
      <c r="S431" s="6"/>
      <c r="T431" s="6"/>
      <c r="U431" s="6"/>
      <c r="V431" s="6"/>
      <c r="W431" s="6"/>
    </row>
    <row r="432" spans="1:23" ht="16" x14ac:dyDescent="0.2">
      <c r="A432" s="6"/>
      <c r="B432" s="7"/>
      <c r="C432" s="7"/>
      <c r="D432" s="7"/>
      <c r="E432" s="7"/>
      <c r="F432" s="6"/>
      <c r="G432" s="6"/>
      <c r="H432" s="6"/>
      <c r="I432" s="6"/>
      <c r="J432" s="6"/>
      <c r="K432" s="6"/>
      <c r="L432" s="6"/>
      <c r="M432" s="6"/>
      <c r="N432" s="6"/>
      <c r="O432" s="6"/>
      <c r="P432" s="6"/>
      <c r="Q432" s="6"/>
      <c r="R432" s="6"/>
      <c r="S432" s="6"/>
      <c r="T432" s="6"/>
      <c r="U432" s="6"/>
      <c r="V432" s="6"/>
      <c r="W432" s="6"/>
    </row>
    <row r="433" spans="1:23" ht="16" x14ac:dyDescent="0.2">
      <c r="A433" s="6"/>
      <c r="B433" s="7"/>
      <c r="C433" s="7"/>
      <c r="D433" s="7"/>
      <c r="E433" s="7"/>
      <c r="F433" s="6"/>
      <c r="G433" s="6"/>
      <c r="H433" s="6"/>
      <c r="I433" s="6"/>
      <c r="J433" s="6"/>
      <c r="K433" s="6"/>
      <c r="L433" s="6"/>
      <c r="M433" s="6"/>
      <c r="N433" s="6"/>
      <c r="O433" s="6"/>
      <c r="P433" s="6"/>
      <c r="Q433" s="6"/>
      <c r="R433" s="6"/>
      <c r="S433" s="6"/>
      <c r="T433" s="6"/>
      <c r="U433" s="6"/>
      <c r="V433" s="6"/>
      <c r="W433" s="6"/>
    </row>
    <row r="434" spans="1:23" ht="16" x14ac:dyDescent="0.2">
      <c r="A434" s="6"/>
      <c r="B434" s="7"/>
      <c r="C434" s="7"/>
      <c r="D434" s="7"/>
      <c r="E434" s="7"/>
      <c r="F434" s="6"/>
      <c r="G434" s="6"/>
      <c r="H434" s="6"/>
      <c r="I434" s="6"/>
      <c r="J434" s="6"/>
      <c r="K434" s="6"/>
      <c r="L434" s="6"/>
      <c r="M434" s="6"/>
      <c r="N434" s="6"/>
      <c r="O434" s="6"/>
      <c r="P434" s="6"/>
      <c r="Q434" s="6"/>
      <c r="R434" s="6"/>
      <c r="S434" s="6"/>
      <c r="T434" s="6"/>
      <c r="U434" s="6"/>
      <c r="V434" s="6"/>
      <c r="W434" s="6"/>
    </row>
    <row r="435" spans="1:23" ht="16" x14ac:dyDescent="0.2">
      <c r="A435" s="6"/>
      <c r="B435" s="7"/>
      <c r="C435" s="7"/>
      <c r="D435" s="7"/>
      <c r="E435" s="7"/>
      <c r="F435" s="6"/>
      <c r="G435" s="6"/>
      <c r="H435" s="6"/>
      <c r="I435" s="6"/>
      <c r="J435" s="6"/>
      <c r="K435" s="6"/>
      <c r="L435" s="6"/>
      <c r="M435" s="6"/>
      <c r="N435" s="6"/>
      <c r="O435" s="6"/>
      <c r="P435" s="6"/>
      <c r="Q435" s="6"/>
      <c r="R435" s="6"/>
      <c r="S435" s="6"/>
      <c r="T435" s="6"/>
      <c r="U435" s="6"/>
      <c r="V435" s="6"/>
      <c r="W435" s="6"/>
    </row>
    <row r="436" spans="1:23" ht="16" x14ac:dyDescent="0.2">
      <c r="A436" s="6"/>
      <c r="B436" s="7"/>
      <c r="C436" s="7"/>
      <c r="D436" s="7"/>
      <c r="E436" s="7"/>
      <c r="F436" s="6"/>
      <c r="G436" s="6"/>
      <c r="H436" s="6"/>
      <c r="I436" s="6"/>
      <c r="J436" s="6"/>
      <c r="K436" s="6"/>
      <c r="L436" s="6"/>
      <c r="M436" s="6"/>
      <c r="N436" s="6"/>
      <c r="O436" s="6"/>
      <c r="P436" s="6"/>
      <c r="Q436" s="6"/>
      <c r="R436" s="6"/>
      <c r="S436" s="6"/>
      <c r="T436" s="6"/>
      <c r="U436" s="6"/>
      <c r="V436" s="6"/>
      <c r="W436" s="6"/>
    </row>
    <row r="437" spans="1:23" ht="16" x14ac:dyDescent="0.2">
      <c r="A437" s="6"/>
      <c r="B437" s="7"/>
      <c r="C437" s="7"/>
      <c r="D437" s="7"/>
      <c r="E437" s="7"/>
      <c r="F437" s="6"/>
      <c r="G437" s="6"/>
      <c r="H437" s="6"/>
      <c r="I437" s="6"/>
      <c r="J437" s="6"/>
      <c r="K437" s="6"/>
      <c r="L437" s="6"/>
      <c r="M437" s="6"/>
      <c r="N437" s="6"/>
      <c r="O437" s="6"/>
      <c r="P437" s="6"/>
      <c r="Q437" s="6"/>
      <c r="R437" s="6"/>
      <c r="S437" s="6"/>
      <c r="T437" s="6"/>
      <c r="U437" s="6"/>
      <c r="V437" s="6"/>
      <c r="W437" s="6"/>
    </row>
    <row r="438" spans="1:23" ht="16" x14ac:dyDescent="0.2">
      <c r="A438" s="6"/>
      <c r="B438" s="7"/>
      <c r="C438" s="7"/>
      <c r="D438" s="7"/>
      <c r="E438" s="7"/>
      <c r="F438" s="6"/>
      <c r="G438" s="6"/>
      <c r="H438" s="6"/>
      <c r="I438" s="6"/>
      <c r="J438" s="6"/>
      <c r="K438" s="6"/>
      <c r="L438" s="6"/>
      <c r="M438" s="6"/>
      <c r="N438" s="6"/>
      <c r="O438" s="6"/>
      <c r="P438" s="6"/>
      <c r="Q438" s="6"/>
      <c r="R438" s="6"/>
      <c r="S438" s="6"/>
      <c r="T438" s="6"/>
      <c r="U438" s="6"/>
      <c r="V438" s="6"/>
      <c r="W438" s="6"/>
    </row>
    <row r="439" spans="1:23" ht="16" x14ac:dyDescent="0.2">
      <c r="A439" s="6"/>
      <c r="B439" s="7"/>
      <c r="C439" s="7"/>
      <c r="D439" s="7"/>
      <c r="E439" s="7"/>
      <c r="F439" s="6"/>
      <c r="G439" s="6"/>
      <c r="H439" s="6"/>
      <c r="I439" s="6"/>
      <c r="J439" s="6"/>
      <c r="K439" s="6"/>
      <c r="L439" s="6"/>
      <c r="M439" s="6"/>
      <c r="N439" s="6"/>
      <c r="O439" s="6"/>
      <c r="P439" s="6"/>
      <c r="Q439" s="6"/>
      <c r="R439" s="6"/>
      <c r="S439" s="6"/>
      <c r="T439" s="6"/>
      <c r="U439" s="6"/>
      <c r="V439" s="6"/>
      <c r="W439" s="6"/>
    </row>
    <row r="440" spans="1:23" ht="16" x14ac:dyDescent="0.2">
      <c r="A440" s="6"/>
      <c r="B440" s="7"/>
      <c r="C440" s="7"/>
      <c r="D440" s="7"/>
      <c r="E440" s="7"/>
      <c r="F440" s="6"/>
      <c r="G440" s="6"/>
      <c r="H440" s="6"/>
      <c r="I440" s="6"/>
      <c r="J440" s="6"/>
      <c r="K440" s="6"/>
      <c r="L440" s="6"/>
      <c r="M440" s="6"/>
      <c r="N440" s="6"/>
      <c r="O440" s="6"/>
      <c r="P440" s="6"/>
      <c r="Q440" s="6"/>
      <c r="R440" s="6"/>
      <c r="S440" s="6"/>
      <c r="T440" s="6"/>
      <c r="U440" s="6"/>
      <c r="V440" s="6"/>
      <c r="W440" s="6"/>
    </row>
    <row r="441" spans="1:23" ht="16" x14ac:dyDescent="0.2">
      <c r="A441" s="6"/>
      <c r="B441" s="7"/>
      <c r="C441" s="7"/>
      <c r="D441" s="7"/>
      <c r="E441" s="7"/>
      <c r="F441" s="6"/>
      <c r="G441" s="6"/>
      <c r="H441" s="6"/>
      <c r="I441" s="6"/>
      <c r="J441" s="6"/>
      <c r="K441" s="6"/>
      <c r="L441" s="6"/>
      <c r="M441" s="6"/>
      <c r="N441" s="6"/>
      <c r="O441" s="6"/>
      <c r="P441" s="6"/>
      <c r="Q441" s="6"/>
      <c r="R441" s="6"/>
      <c r="S441" s="6"/>
      <c r="T441" s="6"/>
      <c r="U441" s="6"/>
      <c r="V441" s="6"/>
      <c r="W441" s="6"/>
    </row>
    <row r="442" spans="1:23" ht="16" x14ac:dyDescent="0.2">
      <c r="A442" s="6"/>
      <c r="B442" s="7"/>
      <c r="C442" s="7"/>
      <c r="D442" s="7"/>
      <c r="E442" s="7"/>
      <c r="F442" s="6"/>
      <c r="G442" s="6"/>
      <c r="H442" s="6"/>
      <c r="I442" s="6"/>
      <c r="J442" s="6"/>
      <c r="K442" s="6"/>
      <c r="L442" s="6"/>
      <c r="M442" s="6"/>
      <c r="N442" s="6"/>
      <c r="O442" s="6"/>
      <c r="P442" s="6"/>
      <c r="Q442" s="6"/>
      <c r="R442" s="6"/>
      <c r="S442" s="6"/>
      <c r="T442" s="6"/>
      <c r="U442" s="6"/>
      <c r="V442" s="6"/>
      <c r="W442" s="6"/>
    </row>
    <row r="443" spans="1:23" ht="16" x14ac:dyDescent="0.2">
      <c r="A443" s="6"/>
      <c r="B443" s="7"/>
      <c r="C443" s="7"/>
      <c r="D443" s="7"/>
      <c r="E443" s="7"/>
      <c r="F443" s="6"/>
      <c r="G443" s="6"/>
      <c r="H443" s="6"/>
      <c r="I443" s="6"/>
      <c r="J443" s="6"/>
      <c r="K443" s="6"/>
      <c r="L443" s="6"/>
      <c r="M443" s="6"/>
      <c r="N443" s="6"/>
      <c r="O443" s="6"/>
      <c r="P443" s="6"/>
      <c r="Q443" s="6"/>
      <c r="R443" s="6"/>
      <c r="S443" s="6"/>
      <c r="T443" s="6"/>
      <c r="U443" s="6"/>
      <c r="V443" s="6"/>
      <c r="W443" s="6"/>
    </row>
    <row r="444" spans="1:23" ht="16" x14ac:dyDescent="0.2">
      <c r="A444" s="6"/>
      <c r="B444" s="7"/>
      <c r="C444" s="7"/>
      <c r="D444" s="7"/>
      <c r="E444" s="7"/>
      <c r="F444" s="6"/>
      <c r="G444" s="6"/>
      <c r="H444" s="6"/>
      <c r="I444" s="6"/>
      <c r="J444" s="6"/>
      <c r="K444" s="6"/>
      <c r="L444" s="6"/>
      <c r="M444" s="6"/>
      <c r="N444" s="6"/>
      <c r="O444" s="6"/>
      <c r="P444" s="6"/>
      <c r="Q444" s="6"/>
      <c r="R444" s="6"/>
      <c r="S444" s="6"/>
      <c r="T444" s="6"/>
      <c r="U444" s="6"/>
      <c r="V444" s="6"/>
      <c r="W444" s="6"/>
    </row>
    <row r="445" spans="1:23" ht="16" x14ac:dyDescent="0.2">
      <c r="A445" s="6"/>
      <c r="B445" s="7"/>
      <c r="C445" s="7"/>
      <c r="D445" s="7"/>
      <c r="E445" s="7"/>
      <c r="F445" s="6"/>
      <c r="G445" s="6"/>
      <c r="H445" s="6"/>
      <c r="I445" s="6"/>
      <c r="J445" s="6"/>
      <c r="K445" s="6"/>
      <c r="L445" s="6"/>
      <c r="M445" s="6"/>
      <c r="N445" s="6"/>
      <c r="O445" s="6"/>
      <c r="P445" s="6"/>
      <c r="Q445" s="6"/>
      <c r="R445" s="6"/>
      <c r="S445" s="6"/>
      <c r="T445" s="6"/>
      <c r="U445" s="6"/>
      <c r="V445" s="6"/>
      <c r="W445" s="6"/>
    </row>
    <row r="446" spans="1:23" ht="16" x14ac:dyDescent="0.2">
      <c r="A446" s="6"/>
      <c r="B446" s="7"/>
      <c r="C446" s="7"/>
      <c r="D446" s="7"/>
      <c r="E446" s="7"/>
      <c r="F446" s="6"/>
      <c r="G446" s="6"/>
      <c r="H446" s="6"/>
      <c r="I446" s="6"/>
      <c r="J446" s="6"/>
      <c r="K446" s="6"/>
      <c r="L446" s="6"/>
      <c r="M446" s="6"/>
      <c r="N446" s="6"/>
      <c r="O446" s="6"/>
      <c r="P446" s="6"/>
      <c r="Q446" s="6"/>
      <c r="R446" s="6"/>
      <c r="S446" s="6"/>
      <c r="T446" s="6"/>
      <c r="U446" s="6"/>
      <c r="V446" s="6"/>
      <c r="W446" s="6"/>
    </row>
    <row r="447" spans="1:23" ht="16" x14ac:dyDescent="0.2">
      <c r="A447" s="6"/>
      <c r="B447" s="7"/>
      <c r="C447" s="7"/>
      <c r="D447" s="7"/>
      <c r="E447" s="7"/>
      <c r="F447" s="6"/>
      <c r="G447" s="6"/>
      <c r="H447" s="6"/>
      <c r="I447" s="6"/>
      <c r="J447" s="6"/>
      <c r="K447" s="6"/>
      <c r="L447" s="6"/>
      <c r="M447" s="6"/>
      <c r="N447" s="6"/>
      <c r="O447" s="6"/>
      <c r="P447" s="6"/>
      <c r="Q447" s="6"/>
      <c r="R447" s="6"/>
      <c r="S447" s="6"/>
      <c r="T447" s="6"/>
      <c r="U447" s="6"/>
      <c r="V447" s="6"/>
      <c r="W447" s="6"/>
    </row>
    <row r="448" spans="1:23" ht="16" x14ac:dyDescent="0.2">
      <c r="A448" s="6"/>
      <c r="B448" s="7"/>
      <c r="C448" s="7"/>
      <c r="D448" s="7"/>
      <c r="E448" s="7"/>
      <c r="F448" s="6"/>
      <c r="G448" s="6"/>
      <c r="H448" s="6"/>
      <c r="I448" s="6"/>
      <c r="J448" s="6"/>
      <c r="K448" s="6"/>
      <c r="L448" s="6"/>
      <c r="M448" s="6"/>
      <c r="N448" s="6"/>
      <c r="O448" s="6"/>
      <c r="P448" s="6"/>
      <c r="Q448" s="6"/>
      <c r="R448" s="6"/>
      <c r="S448" s="6"/>
      <c r="T448" s="6"/>
      <c r="U448" s="6"/>
      <c r="V448" s="6"/>
      <c r="W448" s="6"/>
    </row>
    <row r="449" spans="1:23" ht="16" x14ac:dyDescent="0.2">
      <c r="A449" s="6"/>
      <c r="B449" s="7"/>
      <c r="C449" s="7"/>
      <c r="D449" s="7"/>
      <c r="E449" s="7"/>
      <c r="F449" s="6"/>
      <c r="G449" s="6"/>
      <c r="H449" s="6"/>
      <c r="I449" s="6"/>
      <c r="J449" s="6"/>
      <c r="K449" s="6"/>
      <c r="L449" s="6"/>
      <c r="M449" s="6"/>
      <c r="N449" s="6"/>
      <c r="O449" s="6"/>
      <c r="P449" s="6"/>
      <c r="Q449" s="6"/>
      <c r="R449" s="6"/>
      <c r="S449" s="6"/>
      <c r="T449" s="6"/>
      <c r="U449" s="6"/>
      <c r="V449" s="6"/>
      <c r="W449" s="6"/>
    </row>
    <row r="450" spans="1:23" ht="16" x14ac:dyDescent="0.2">
      <c r="A450" s="6"/>
      <c r="B450" s="7"/>
      <c r="C450" s="7"/>
      <c r="D450" s="7"/>
      <c r="E450" s="7"/>
      <c r="F450" s="6"/>
      <c r="G450" s="6"/>
      <c r="H450" s="6"/>
      <c r="I450" s="6"/>
      <c r="J450" s="6"/>
      <c r="K450" s="6"/>
      <c r="L450" s="6"/>
      <c r="M450" s="6"/>
      <c r="N450" s="6"/>
      <c r="O450" s="6"/>
      <c r="P450" s="6"/>
      <c r="Q450" s="6"/>
      <c r="R450" s="6"/>
      <c r="S450" s="6"/>
      <c r="T450" s="6"/>
      <c r="U450" s="6"/>
      <c r="V450" s="6"/>
      <c r="W450" s="6"/>
    </row>
    <row r="451" spans="1:23" ht="16" x14ac:dyDescent="0.2">
      <c r="A451" s="6"/>
      <c r="B451" s="7"/>
      <c r="C451" s="7"/>
      <c r="D451" s="7"/>
      <c r="E451" s="7"/>
      <c r="F451" s="6"/>
      <c r="G451" s="6"/>
      <c r="H451" s="6"/>
      <c r="I451" s="6"/>
      <c r="J451" s="6"/>
      <c r="K451" s="6"/>
      <c r="L451" s="6"/>
      <c r="M451" s="6"/>
      <c r="N451" s="6"/>
      <c r="O451" s="6"/>
      <c r="P451" s="6"/>
      <c r="Q451" s="6"/>
      <c r="R451" s="6"/>
      <c r="S451" s="6"/>
      <c r="T451" s="6"/>
      <c r="U451" s="6"/>
      <c r="V451" s="6"/>
      <c r="W451" s="6"/>
    </row>
    <row r="452" spans="1:23" ht="16" x14ac:dyDescent="0.2">
      <c r="A452" s="6"/>
      <c r="B452" s="7"/>
      <c r="C452" s="7"/>
      <c r="D452" s="7"/>
      <c r="E452" s="7"/>
      <c r="F452" s="6"/>
      <c r="G452" s="6"/>
      <c r="H452" s="6"/>
      <c r="I452" s="6"/>
      <c r="J452" s="6"/>
      <c r="K452" s="6"/>
      <c r="L452" s="6"/>
      <c r="M452" s="6"/>
      <c r="N452" s="6"/>
      <c r="O452" s="6"/>
      <c r="P452" s="6"/>
      <c r="Q452" s="6"/>
      <c r="R452" s="6"/>
      <c r="S452" s="6"/>
      <c r="T452" s="6"/>
      <c r="U452" s="6"/>
      <c r="V452" s="6"/>
      <c r="W452" s="6"/>
    </row>
    <row r="453" spans="1:23" ht="16" x14ac:dyDescent="0.2">
      <c r="A453" s="6"/>
      <c r="B453" s="7"/>
      <c r="C453" s="7"/>
      <c r="D453" s="7"/>
      <c r="E453" s="7"/>
      <c r="F453" s="6"/>
      <c r="G453" s="6"/>
      <c r="H453" s="6"/>
      <c r="I453" s="6"/>
      <c r="J453" s="6"/>
      <c r="K453" s="6"/>
      <c r="L453" s="6"/>
      <c r="M453" s="6"/>
      <c r="N453" s="6"/>
      <c r="O453" s="6"/>
      <c r="P453" s="6"/>
      <c r="Q453" s="6"/>
      <c r="R453" s="6"/>
      <c r="S453" s="6"/>
      <c r="T453" s="6"/>
      <c r="U453" s="6"/>
      <c r="V453" s="6"/>
      <c r="W453" s="6"/>
    </row>
    <row r="454" spans="1:23" ht="16" x14ac:dyDescent="0.2">
      <c r="A454" s="6"/>
      <c r="B454" s="7"/>
      <c r="C454" s="7"/>
      <c r="D454" s="7"/>
      <c r="E454" s="7"/>
      <c r="F454" s="6"/>
      <c r="G454" s="6"/>
      <c r="H454" s="6"/>
      <c r="I454" s="6"/>
      <c r="J454" s="6"/>
      <c r="K454" s="6"/>
      <c r="L454" s="6"/>
      <c r="M454" s="6"/>
      <c r="N454" s="6"/>
      <c r="O454" s="6"/>
      <c r="P454" s="6"/>
      <c r="Q454" s="6"/>
      <c r="R454" s="6"/>
      <c r="S454" s="6"/>
      <c r="T454" s="6"/>
      <c r="U454" s="6"/>
      <c r="V454" s="6"/>
      <c r="W454" s="6"/>
    </row>
    <row r="455" spans="1:23" ht="16" x14ac:dyDescent="0.2">
      <c r="A455" s="6"/>
      <c r="B455" s="7"/>
      <c r="C455" s="7"/>
      <c r="D455" s="7"/>
      <c r="E455" s="7"/>
      <c r="F455" s="6"/>
      <c r="G455" s="6"/>
      <c r="H455" s="6"/>
      <c r="I455" s="6"/>
      <c r="J455" s="6"/>
      <c r="K455" s="6"/>
      <c r="L455" s="6"/>
      <c r="M455" s="6"/>
      <c r="N455" s="6"/>
      <c r="O455" s="6"/>
      <c r="P455" s="6"/>
      <c r="Q455" s="6"/>
      <c r="R455" s="6"/>
      <c r="S455" s="6"/>
      <c r="T455" s="6"/>
      <c r="U455" s="6"/>
      <c r="V455" s="6"/>
      <c r="W455" s="6"/>
    </row>
    <row r="456" spans="1:23" ht="16" x14ac:dyDescent="0.2">
      <c r="A456" s="6"/>
      <c r="B456" s="7"/>
      <c r="C456" s="7"/>
      <c r="D456" s="7"/>
      <c r="E456" s="7"/>
      <c r="F456" s="6"/>
      <c r="G456" s="6"/>
      <c r="H456" s="6"/>
      <c r="I456" s="6"/>
      <c r="J456" s="6"/>
      <c r="K456" s="6"/>
      <c r="L456" s="6"/>
      <c r="M456" s="6"/>
      <c r="N456" s="6"/>
      <c r="O456" s="6"/>
      <c r="P456" s="6"/>
      <c r="Q456" s="6"/>
      <c r="R456" s="6"/>
      <c r="S456" s="6"/>
      <c r="T456" s="6"/>
      <c r="U456" s="6"/>
      <c r="V456" s="6"/>
      <c r="W456" s="6"/>
    </row>
    <row r="457" spans="1:23" ht="16" x14ac:dyDescent="0.2">
      <c r="A457" s="6"/>
      <c r="B457" s="7"/>
      <c r="C457" s="7"/>
      <c r="D457" s="7"/>
      <c r="E457" s="7"/>
      <c r="F457" s="6"/>
      <c r="G457" s="6"/>
      <c r="H457" s="6"/>
      <c r="I457" s="6"/>
      <c r="J457" s="6"/>
      <c r="K457" s="6"/>
      <c r="L457" s="6"/>
      <c r="M457" s="6"/>
      <c r="N457" s="6"/>
      <c r="O457" s="6"/>
      <c r="P457" s="6"/>
      <c r="Q457" s="6"/>
      <c r="R457" s="6"/>
      <c r="S457" s="6"/>
      <c r="T457" s="6"/>
      <c r="U457" s="6"/>
      <c r="V457" s="6"/>
      <c r="W457" s="6"/>
    </row>
    <row r="458" spans="1:23" ht="16" x14ac:dyDescent="0.2">
      <c r="A458" s="6"/>
      <c r="B458" s="7"/>
      <c r="C458" s="7"/>
      <c r="D458" s="7"/>
      <c r="E458" s="7"/>
      <c r="F458" s="6"/>
      <c r="G458" s="6"/>
      <c r="H458" s="6"/>
      <c r="I458" s="6"/>
      <c r="J458" s="6"/>
      <c r="K458" s="6"/>
      <c r="L458" s="6"/>
      <c r="M458" s="6"/>
      <c r="N458" s="6"/>
      <c r="O458" s="6"/>
      <c r="P458" s="6"/>
      <c r="Q458" s="6"/>
      <c r="R458" s="6"/>
      <c r="S458" s="6"/>
      <c r="T458" s="6"/>
      <c r="U458" s="6"/>
      <c r="V458" s="6"/>
      <c r="W458" s="6"/>
    </row>
    <row r="459" spans="1:23" ht="16" x14ac:dyDescent="0.2">
      <c r="A459" s="6"/>
      <c r="B459" s="7"/>
      <c r="C459" s="7"/>
      <c r="D459" s="7"/>
      <c r="E459" s="7"/>
      <c r="F459" s="6"/>
      <c r="G459" s="6"/>
      <c r="H459" s="6"/>
      <c r="I459" s="6"/>
      <c r="J459" s="6"/>
      <c r="K459" s="6"/>
      <c r="L459" s="6"/>
      <c r="M459" s="6"/>
      <c r="N459" s="6"/>
      <c r="O459" s="6"/>
      <c r="P459" s="6"/>
      <c r="Q459" s="6"/>
      <c r="R459" s="6"/>
      <c r="S459" s="6"/>
      <c r="T459" s="6"/>
      <c r="U459" s="6"/>
      <c r="V459" s="6"/>
      <c r="W459" s="6"/>
    </row>
    <row r="460" spans="1:23" ht="16" x14ac:dyDescent="0.2">
      <c r="A460" s="6"/>
      <c r="B460" s="7"/>
      <c r="C460" s="7"/>
      <c r="D460" s="7"/>
      <c r="E460" s="7"/>
      <c r="F460" s="6"/>
      <c r="G460" s="6"/>
      <c r="H460" s="6"/>
      <c r="I460" s="6"/>
      <c r="J460" s="6"/>
      <c r="K460" s="6"/>
      <c r="L460" s="6"/>
      <c r="M460" s="6"/>
      <c r="N460" s="6"/>
      <c r="O460" s="6"/>
      <c r="P460" s="6"/>
      <c r="Q460" s="6"/>
      <c r="R460" s="6"/>
      <c r="S460" s="6"/>
      <c r="T460" s="6"/>
      <c r="U460" s="6"/>
      <c r="V460" s="6"/>
      <c r="W460" s="6"/>
    </row>
    <row r="461" spans="1:23" ht="16" x14ac:dyDescent="0.2">
      <c r="A461" s="6"/>
      <c r="B461" s="7"/>
      <c r="C461" s="7"/>
      <c r="D461" s="7"/>
      <c r="E461" s="7"/>
      <c r="F461" s="6"/>
      <c r="G461" s="6"/>
      <c r="H461" s="6"/>
      <c r="I461" s="6"/>
      <c r="J461" s="6"/>
      <c r="K461" s="6"/>
      <c r="L461" s="6"/>
      <c r="M461" s="6"/>
      <c r="N461" s="6"/>
      <c r="O461" s="6"/>
      <c r="P461" s="6"/>
      <c r="Q461" s="6"/>
      <c r="R461" s="6"/>
      <c r="S461" s="6"/>
      <c r="T461" s="6"/>
      <c r="U461" s="6"/>
      <c r="V461" s="6"/>
      <c r="W461" s="6"/>
    </row>
    <row r="462" spans="1:23" ht="16" x14ac:dyDescent="0.2">
      <c r="A462" s="6"/>
      <c r="B462" s="7"/>
      <c r="C462" s="7"/>
      <c r="D462" s="7"/>
      <c r="E462" s="7"/>
      <c r="F462" s="6"/>
      <c r="G462" s="6"/>
      <c r="H462" s="6"/>
      <c r="I462" s="6"/>
      <c r="J462" s="6"/>
      <c r="K462" s="6"/>
      <c r="L462" s="6"/>
      <c r="M462" s="6"/>
      <c r="N462" s="6"/>
      <c r="O462" s="6"/>
      <c r="P462" s="6"/>
      <c r="Q462" s="6"/>
      <c r="R462" s="6"/>
      <c r="S462" s="6"/>
      <c r="T462" s="6"/>
      <c r="U462" s="6"/>
      <c r="V462" s="6"/>
      <c r="W462" s="6"/>
    </row>
    <row r="463" spans="1:23" ht="16" x14ac:dyDescent="0.2">
      <c r="A463" s="6"/>
      <c r="B463" s="7"/>
      <c r="C463" s="7"/>
      <c r="D463" s="7"/>
      <c r="E463" s="7"/>
      <c r="F463" s="6"/>
      <c r="G463" s="6"/>
      <c r="H463" s="6"/>
      <c r="I463" s="6"/>
      <c r="J463" s="6"/>
      <c r="K463" s="6"/>
      <c r="L463" s="6"/>
      <c r="M463" s="6"/>
      <c r="N463" s="6"/>
      <c r="O463" s="6"/>
      <c r="P463" s="6"/>
      <c r="Q463" s="6"/>
      <c r="R463" s="6"/>
      <c r="S463" s="6"/>
      <c r="T463" s="6"/>
      <c r="U463" s="6"/>
      <c r="V463" s="6"/>
      <c r="W463" s="6"/>
    </row>
    <row r="464" spans="1:23" ht="16" x14ac:dyDescent="0.2">
      <c r="A464" s="6"/>
      <c r="B464" s="7"/>
      <c r="C464" s="7"/>
      <c r="D464" s="7"/>
      <c r="E464" s="7"/>
      <c r="F464" s="6"/>
      <c r="G464" s="6"/>
      <c r="H464" s="6"/>
      <c r="I464" s="6"/>
      <c r="J464" s="6"/>
      <c r="K464" s="6"/>
      <c r="L464" s="6"/>
      <c r="M464" s="6"/>
      <c r="N464" s="6"/>
      <c r="O464" s="6"/>
      <c r="P464" s="6"/>
      <c r="Q464" s="6"/>
      <c r="R464" s="6"/>
      <c r="S464" s="6"/>
      <c r="T464" s="6"/>
      <c r="U464" s="6"/>
      <c r="V464" s="6"/>
      <c r="W464" s="6"/>
    </row>
    <row r="465" spans="1:23" ht="16" x14ac:dyDescent="0.2">
      <c r="A465" s="6"/>
      <c r="B465" s="7"/>
      <c r="C465" s="7"/>
      <c r="D465" s="7"/>
      <c r="E465" s="7"/>
      <c r="F465" s="6"/>
      <c r="G465" s="6"/>
      <c r="H465" s="6"/>
      <c r="I465" s="6"/>
      <c r="J465" s="6"/>
      <c r="K465" s="6"/>
      <c r="L465" s="6"/>
      <c r="M465" s="6"/>
      <c r="N465" s="6"/>
      <c r="O465" s="6"/>
      <c r="P465" s="6"/>
      <c r="Q465" s="6"/>
      <c r="R465" s="6"/>
      <c r="S465" s="6"/>
      <c r="T465" s="6"/>
      <c r="U465" s="6"/>
      <c r="V465" s="6"/>
      <c r="W465" s="6"/>
    </row>
    <row r="466" spans="1:23" ht="16" x14ac:dyDescent="0.2">
      <c r="A466" s="6"/>
      <c r="B466" s="7"/>
      <c r="C466" s="7"/>
      <c r="D466" s="7"/>
      <c r="E466" s="7"/>
      <c r="F466" s="6"/>
      <c r="G466" s="6"/>
      <c r="H466" s="6"/>
      <c r="I466" s="6"/>
      <c r="J466" s="6"/>
      <c r="K466" s="6"/>
      <c r="L466" s="6"/>
      <c r="M466" s="6"/>
      <c r="N466" s="6"/>
      <c r="O466" s="6"/>
      <c r="P466" s="6"/>
      <c r="Q466" s="6"/>
      <c r="R466" s="6"/>
      <c r="S466" s="6"/>
      <c r="T466" s="6"/>
      <c r="U466" s="6"/>
      <c r="V466" s="6"/>
      <c r="W466" s="6"/>
    </row>
    <row r="467" spans="1:23" ht="16" x14ac:dyDescent="0.2">
      <c r="A467" s="6"/>
      <c r="B467" s="7"/>
      <c r="C467" s="7"/>
      <c r="D467" s="7"/>
      <c r="E467" s="7"/>
      <c r="F467" s="6"/>
      <c r="G467" s="6"/>
      <c r="H467" s="6"/>
      <c r="I467" s="6"/>
      <c r="J467" s="6"/>
      <c r="K467" s="6"/>
      <c r="L467" s="6"/>
      <c r="M467" s="6"/>
      <c r="N467" s="6"/>
      <c r="O467" s="6"/>
      <c r="P467" s="6"/>
      <c r="Q467" s="6"/>
      <c r="R467" s="6"/>
      <c r="S467" s="6"/>
      <c r="T467" s="6"/>
      <c r="U467" s="6"/>
      <c r="V467" s="6"/>
      <c r="W467" s="6"/>
    </row>
    <row r="468" spans="1:23" ht="16" x14ac:dyDescent="0.2">
      <c r="A468" s="6"/>
      <c r="B468" s="7"/>
      <c r="C468" s="7"/>
      <c r="D468" s="7"/>
      <c r="E468" s="7"/>
      <c r="F468" s="6"/>
      <c r="G468" s="6"/>
      <c r="H468" s="6"/>
      <c r="I468" s="6"/>
      <c r="J468" s="6"/>
      <c r="K468" s="6"/>
      <c r="L468" s="6"/>
      <c r="M468" s="6"/>
      <c r="N468" s="6"/>
      <c r="O468" s="6"/>
      <c r="P468" s="6"/>
      <c r="Q468" s="6"/>
      <c r="R468" s="6"/>
      <c r="S468" s="6"/>
      <c r="T468" s="6"/>
      <c r="U468" s="6"/>
      <c r="V468" s="6"/>
      <c r="W468" s="6"/>
    </row>
    <row r="469" spans="1:23" ht="16" x14ac:dyDescent="0.2">
      <c r="A469" s="6"/>
      <c r="B469" s="7"/>
      <c r="C469" s="7"/>
      <c r="D469" s="7"/>
      <c r="E469" s="7"/>
      <c r="F469" s="6"/>
      <c r="G469" s="6"/>
      <c r="H469" s="6"/>
      <c r="I469" s="6"/>
      <c r="J469" s="6"/>
      <c r="K469" s="6"/>
      <c r="L469" s="6"/>
      <c r="M469" s="6"/>
      <c r="N469" s="6"/>
      <c r="O469" s="6"/>
      <c r="P469" s="6"/>
      <c r="Q469" s="6"/>
      <c r="R469" s="6"/>
      <c r="S469" s="6"/>
      <c r="T469" s="6"/>
      <c r="U469" s="6"/>
      <c r="V469" s="6"/>
      <c r="W469" s="6"/>
    </row>
    <row r="470" spans="1:23" ht="16" x14ac:dyDescent="0.2">
      <c r="A470" s="6"/>
      <c r="B470" s="7"/>
      <c r="C470" s="7"/>
      <c r="D470" s="7"/>
      <c r="E470" s="7"/>
      <c r="F470" s="6"/>
      <c r="G470" s="6"/>
      <c r="H470" s="6"/>
      <c r="I470" s="6"/>
      <c r="J470" s="6"/>
      <c r="K470" s="6"/>
      <c r="L470" s="6"/>
      <c r="M470" s="6"/>
      <c r="N470" s="6"/>
      <c r="O470" s="6"/>
      <c r="P470" s="6"/>
      <c r="Q470" s="6"/>
      <c r="R470" s="6"/>
      <c r="S470" s="6"/>
      <c r="T470" s="6"/>
      <c r="U470" s="6"/>
      <c r="V470" s="6"/>
      <c r="W470" s="6"/>
    </row>
    <row r="471" spans="1:23" ht="16" x14ac:dyDescent="0.2">
      <c r="A471" s="6"/>
      <c r="B471" s="7"/>
      <c r="C471" s="7"/>
      <c r="D471" s="7"/>
      <c r="E471" s="7"/>
      <c r="F471" s="6"/>
      <c r="G471" s="6"/>
      <c r="H471" s="6"/>
      <c r="I471" s="6"/>
      <c r="J471" s="6"/>
      <c r="K471" s="6"/>
      <c r="L471" s="6"/>
      <c r="M471" s="6"/>
      <c r="N471" s="6"/>
      <c r="O471" s="6"/>
      <c r="P471" s="6"/>
      <c r="Q471" s="6"/>
      <c r="R471" s="6"/>
      <c r="S471" s="6"/>
      <c r="T471" s="6"/>
      <c r="U471" s="6"/>
      <c r="V471" s="6"/>
      <c r="W471" s="6"/>
    </row>
    <row r="472" spans="1:23" ht="16" x14ac:dyDescent="0.2">
      <c r="A472" s="6"/>
      <c r="B472" s="7"/>
      <c r="C472" s="7"/>
      <c r="D472" s="7"/>
      <c r="E472" s="7"/>
      <c r="F472" s="6"/>
      <c r="G472" s="6"/>
      <c r="H472" s="6"/>
      <c r="I472" s="6"/>
      <c r="J472" s="6"/>
      <c r="K472" s="6"/>
      <c r="L472" s="6"/>
      <c r="M472" s="6"/>
      <c r="N472" s="6"/>
      <c r="O472" s="6"/>
      <c r="P472" s="6"/>
      <c r="Q472" s="6"/>
      <c r="R472" s="6"/>
      <c r="S472" s="6"/>
      <c r="T472" s="6"/>
      <c r="U472" s="6"/>
      <c r="V472" s="6"/>
      <c r="W472" s="6"/>
    </row>
    <row r="473" spans="1:23" ht="16" x14ac:dyDescent="0.2">
      <c r="A473" s="6"/>
      <c r="B473" s="7"/>
      <c r="C473" s="7"/>
      <c r="D473" s="7"/>
      <c r="E473" s="7"/>
      <c r="F473" s="6"/>
      <c r="G473" s="6"/>
      <c r="H473" s="6"/>
      <c r="I473" s="6"/>
      <c r="J473" s="6"/>
      <c r="K473" s="6"/>
      <c r="L473" s="6"/>
      <c r="M473" s="6"/>
      <c r="N473" s="6"/>
      <c r="O473" s="6"/>
      <c r="P473" s="6"/>
      <c r="Q473" s="6"/>
      <c r="R473" s="6"/>
      <c r="S473" s="6"/>
      <c r="T473" s="6"/>
      <c r="U473" s="6"/>
      <c r="V473" s="6"/>
      <c r="W473" s="6"/>
    </row>
    <row r="474" spans="1:23" ht="16" x14ac:dyDescent="0.2">
      <c r="A474" s="6"/>
      <c r="B474" s="7"/>
      <c r="C474" s="7"/>
      <c r="D474" s="7"/>
      <c r="E474" s="7"/>
      <c r="F474" s="6"/>
      <c r="G474" s="6"/>
      <c r="H474" s="6"/>
      <c r="I474" s="6"/>
      <c r="J474" s="6"/>
      <c r="K474" s="6"/>
      <c r="L474" s="6"/>
      <c r="M474" s="6"/>
      <c r="N474" s="6"/>
      <c r="O474" s="6"/>
      <c r="P474" s="6"/>
      <c r="Q474" s="6"/>
      <c r="R474" s="6"/>
      <c r="S474" s="6"/>
      <c r="T474" s="6"/>
      <c r="U474" s="6"/>
      <c r="V474" s="6"/>
      <c r="W474" s="6"/>
    </row>
    <row r="475" spans="1:23" ht="16" x14ac:dyDescent="0.2">
      <c r="A475" s="6"/>
      <c r="B475" s="7"/>
      <c r="C475" s="7"/>
      <c r="D475" s="7"/>
      <c r="E475" s="7"/>
      <c r="F475" s="6"/>
      <c r="G475" s="6"/>
      <c r="H475" s="6"/>
      <c r="I475" s="6"/>
      <c r="J475" s="6"/>
      <c r="K475" s="6"/>
      <c r="L475" s="6"/>
      <c r="M475" s="6"/>
      <c r="N475" s="6"/>
      <c r="O475" s="6"/>
      <c r="P475" s="6"/>
      <c r="Q475" s="6"/>
      <c r="R475" s="6"/>
      <c r="S475" s="6"/>
      <c r="T475" s="6"/>
      <c r="U475" s="6"/>
      <c r="V475" s="6"/>
      <c r="W475" s="6"/>
    </row>
    <row r="476" spans="1:23" ht="16" x14ac:dyDescent="0.2">
      <c r="A476" s="6"/>
      <c r="B476" s="7"/>
      <c r="C476" s="7"/>
      <c r="D476" s="7"/>
      <c r="E476" s="7"/>
      <c r="F476" s="6"/>
      <c r="G476" s="6"/>
      <c r="H476" s="6"/>
      <c r="I476" s="6"/>
      <c r="J476" s="6"/>
      <c r="K476" s="6"/>
      <c r="L476" s="6"/>
      <c r="M476" s="6"/>
      <c r="N476" s="6"/>
      <c r="O476" s="6"/>
      <c r="P476" s="6"/>
      <c r="Q476" s="6"/>
      <c r="R476" s="6"/>
      <c r="S476" s="6"/>
      <c r="T476" s="6"/>
      <c r="U476" s="6"/>
      <c r="V476" s="6"/>
      <c r="W476" s="6"/>
    </row>
    <row r="477" spans="1:23" ht="16" x14ac:dyDescent="0.2">
      <c r="A477" s="6"/>
      <c r="B477" s="7"/>
      <c r="C477" s="7"/>
      <c r="D477" s="7"/>
      <c r="E477" s="7"/>
      <c r="F477" s="6"/>
      <c r="G477" s="6"/>
      <c r="H477" s="6"/>
      <c r="I477" s="6"/>
      <c r="J477" s="6"/>
      <c r="K477" s="6"/>
      <c r="L477" s="6"/>
      <c r="M477" s="6"/>
      <c r="N477" s="6"/>
      <c r="O477" s="6"/>
      <c r="P477" s="6"/>
      <c r="Q477" s="6"/>
      <c r="R477" s="6"/>
      <c r="S477" s="6"/>
      <c r="T477" s="6"/>
      <c r="U477" s="6"/>
      <c r="V477" s="6"/>
      <c r="W477" s="6"/>
    </row>
    <row r="478" spans="1:23" ht="16" x14ac:dyDescent="0.2">
      <c r="A478" s="6"/>
      <c r="B478" s="7"/>
      <c r="C478" s="7"/>
      <c r="D478" s="7"/>
      <c r="E478" s="7"/>
      <c r="F478" s="6"/>
      <c r="G478" s="6"/>
      <c r="H478" s="6"/>
      <c r="I478" s="6"/>
      <c r="J478" s="6"/>
      <c r="K478" s="6"/>
      <c r="L478" s="6"/>
      <c r="M478" s="6"/>
      <c r="N478" s="6"/>
      <c r="O478" s="6"/>
      <c r="P478" s="6"/>
      <c r="Q478" s="6"/>
      <c r="R478" s="6"/>
      <c r="S478" s="6"/>
      <c r="T478" s="6"/>
      <c r="U478" s="6"/>
      <c r="V478" s="6"/>
      <c r="W478" s="6"/>
    </row>
    <row r="479" spans="1:23" ht="16" x14ac:dyDescent="0.2">
      <c r="A479" s="6"/>
      <c r="B479" s="7"/>
      <c r="C479" s="7"/>
      <c r="D479" s="7"/>
      <c r="E479" s="7"/>
      <c r="F479" s="6"/>
      <c r="G479" s="6"/>
      <c r="H479" s="6"/>
      <c r="I479" s="6"/>
      <c r="J479" s="6"/>
      <c r="K479" s="6"/>
      <c r="L479" s="6"/>
      <c r="M479" s="6"/>
      <c r="N479" s="6"/>
      <c r="O479" s="6"/>
      <c r="P479" s="6"/>
      <c r="Q479" s="6"/>
      <c r="R479" s="6"/>
      <c r="S479" s="6"/>
      <c r="T479" s="6"/>
      <c r="U479" s="6"/>
      <c r="V479" s="6"/>
      <c r="W479" s="6"/>
    </row>
    <row r="480" spans="1:23" ht="16" x14ac:dyDescent="0.2">
      <c r="A480" s="6"/>
      <c r="B480" s="7"/>
      <c r="C480" s="7"/>
      <c r="D480" s="7"/>
      <c r="E480" s="7"/>
      <c r="F480" s="6"/>
      <c r="G480" s="6"/>
      <c r="H480" s="6"/>
      <c r="I480" s="6"/>
      <c r="J480" s="6"/>
      <c r="K480" s="6"/>
      <c r="L480" s="6"/>
      <c r="M480" s="6"/>
      <c r="N480" s="6"/>
      <c r="O480" s="6"/>
      <c r="P480" s="6"/>
      <c r="Q480" s="6"/>
      <c r="R480" s="6"/>
      <c r="S480" s="6"/>
      <c r="T480" s="6"/>
      <c r="U480" s="6"/>
      <c r="V480" s="6"/>
      <c r="W480" s="6"/>
    </row>
    <row r="481" spans="1:23" ht="16" x14ac:dyDescent="0.2">
      <c r="A481" s="6"/>
      <c r="B481" s="7"/>
      <c r="C481" s="7"/>
      <c r="D481" s="7"/>
      <c r="E481" s="7"/>
      <c r="F481" s="6"/>
      <c r="G481" s="6"/>
      <c r="H481" s="6"/>
      <c r="I481" s="6"/>
      <c r="J481" s="6"/>
      <c r="K481" s="6"/>
      <c r="L481" s="6"/>
      <c r="M481" s="6"/>
      <c r="N481" s="6"/>
      <c r="O481" s="6"/>
      <c r="P481" s="6"/>
      <c r="Q481" s="6"/>
      <c r="R481" s="6"/>
      <c r="S481" s="6"/>
      <c r="T481" s="6"/>
      <c r="U481" s="6"/>
      <c r="V481" s="6"/>
      <c r="W481" s="6"/>
    </row>
    <row r="482" spans="1:23" ht="16" x14ac:dyDescent="0.2">
      <c r="A482" s="6"/>
      <c r="B482" s="7"/>
      <c r="C482" s="7"/>
      <c r="D482" s="7"/>
      <c r="E482" s="7"/>
      <c r="F482" s="6"/>
      <c r="G482" s="6"/>
      <c r="H482" s="6"/>
      <c r="I482" s="6"/>
      <c r="J482" s="6"/>
      <c r="K482" s="6"/>
      <c r="L482" s="6"/>
      <c r="M482" s="6"/>
      <c r="N482" s="6"/>
      <c r="O482" s="6"/>
      <c r="P482" s="6"/>
      <c r="Q482" s="6"/>
      <c r="R482" s="6"/>
      <c r="S482" s="6"/>
      <c r="T482" s="6"/>
      <c r="U482" s="6"/>
      <c r="V482" s="6"/>
      <c r="W482" s="6"/>
    </row>
    <row r="483" spans="1:23" ht="16" x14ac:dyDescent="0.2">
      <c r="A483" s="6"/>
      <c r="B483" s="7"/>
      <c r="C483" s="7"/>
      <c r="D483" s="7"/>
      <c r="E483" s="7"/>
      <c r="F483" s="6"/>
      <c r="G483" s="6"/>
      <c r="H483" s="6"/>
      <c r="I483" s="6"/>
      <c r="J483" s="6"/>
      <c r="K483" s="6"/>
      <c r="L483" s="6"/>
      <c r="M483" s="6"/>
      <c r="N483" s="6"/>
      <c r="O483" s="6"/>
      <c r="P483" s="6"/>
      <c r="Q483" s="6"/>
      <c r="R483" s="6"/>
      <c r="S483" s="6"/>
      <c r="T483" s="6"/>
      <c r="U483" s="6"/>
      <c r="V483" s="6"/>
      <c r="W483" s="6"/>
    </row>
    <row r="484" spans="1:23" ht="16" x14ac:dyDescent="0.2">
      <c r="A484" s="6"/>
      <c r="B484" s="7"/>
      <c r="C484" s="7"/>
      <c r="D484" s="7"/>
      <c r="E484" s="7"/>
      <c r="F484" s="6"/>
      <c r="G484" s="6"/>
      <c r="H484" s="6"/>
      <c r="I484" s="6"/>
      <c r="J484" s="6"/>
      <c r="K484" s="6"/>
      <c r="L484" s="6"/>
      <c r="M484" s="6"/>
      <c r="N484" s="6"/>
      <c r="O484" s="6"/>
      <c r="P484" s="6"/>
      <c r="Q484" s="6"/>
      <c r="R484" s="6"/>
      <c r="S484" s="6"/>
      <c r="T484" s="6"/>
      <c r="U484" s="6"/>
      <c r="V484" s="6"/>
      <c r="W484" s="6"/>
    </row>
    <row r="485" spans="1:23" ht="16" x14ac:dyDescent="0.2">
      <c r="A485" s="6"/>
      <c r="B485" s="7"/>
      <c r="C485" s="7"/>
      <c r="D485" s="7"/>
      <c r="E485" s="7"/>
      <c r="F485" s="6"/>
      <c r="G485" s="6"/>
      <c r="H485" s="6"/>
      <c r="I485" s="6"/>
      <c r="J485" s="6"/>
      <c r="K485" s="6"/>
      <c r="L485" s="6"/>
      <c r="M485" s="6"/>
      <c r="N485" s="6"/>
      <c r="O485" s="6"/>
      <c r="P485" s="6"/>
      <c r="Q485" s="6"/>
      <c r="R485" s="6"/>
      <c r="S485" s="6"/>
      <c r="T485" s="6"/>
      <c r="U485" s="6"/>
      <c r="V485" s="6"/>
      <c r="W485" s="6"/>
    </row>
    <row r="486" spans="1:23" ht="16" x14ac:dyDescent="0.2">
      <c r="A486" s="6"/>
      <c r="B486" s="7"/>
      <c r="C486" s="7"/>
      <c r="D486" s="7"/>
      <c r="E486" s="7"/>
      <c r="F486" s="6"/>
      <c r="G486" s="6"/>
      <c r="H486" s="6"/>
      <c r="I486" s="6"/>
      <c r="J486" s="6"/>
      <c r="K486" s="6"/>
      <c r="L486" s="6"/>
      <c r="M486" s="6"/>
      <c r="N486" s="6"/>
      <c r="O486" s="6"/>
      <c r="P486" s="6"/>
      <c r="Q486" s="6"/>
      <c r="R486" s="6"/>
      <c r="S486" s="6"/>
      <c r="T486" s="6"/>
      <c r="U486" s="6"/>
      <c r="V486" s="6"/>
      <c r="W486" s="6"/>
    </row>
    <row r="487" spans="1:23" ht="16" x14ac:dyDescent="0.2">
      <c r="A487" s="6"/>
      <c r="B487" s="7"/>
      <c r="C487" s="7"/>
      <c r="D487" s="7"/>
      <c r="E487" s="7"/>
      <c r="F487" s="6"/>
      <c r="G487" s="6"/>
      <c r="H487" s="6"/>
      <c r="I487" s="6"/>
      <c r="J487" s="6"/>
      <c r="K487" s="6"/>
      <c r="L487" s="6"/>
      <c r="M487" s="6"/>
      <c r="N487" s="6"/>
      <c r="O487" s="6"/>
      <c r="P487" s="6"/>
      <c r="Q487" s="6"/>
      <c r="R487" s="6"/>
      <c r="S487" s="6"/>
      <c r="T487" s="6"/>
      <c r="U487" s="6"/>
      <c r="V487" s="6"/>
      <c r="W487" s="6"/>
    </row>
    <row r="488" spans="1:23" ht="16" x14ac:dyDescent="0.2">
      <c r="A488" s="6"/>
      <c r="B488" s="7"/>
      <c r="C488" s="7"/>
      <c r="D488" s="7"/>
      <c r="E488" s="7"/>
      <c r="F488" s="6"/>
      <c r="G488" s="6"/>
      <c r="H488" s="6"/>
      <c r="I488" s="6"/>
      <c r="J488" s="6"/>
      <c r="K488" s="6"/>
      <c r="L488" s="6"/>
      <c r="M488" s="6"/>
      <c r="N488" s="6"/>
      <c r="O488" s="6"/>
      <c r="P488" s="6"/>
      <c r="Q488" s="6"/>
      <c r="R488" s="6"/>
      <c r="S488" s="6"/>
      <c r="T488" s="6"/>
      <c r="U488" s="6"/>
      <c r="V488" s="6"/>
      <c r="W488" s="6"/>
    </row>
    <row r="489" spans="1:23" ht="16" x14ac:dyDescent="0.2">
      <c r="A489" s="6"/>
      <c r="B489" s="7"/>
      <c r="C489" s="7"/>
      <c r="D489" s="7"/>
      <c r="E489" s="7"/>
      <c r="F489" s="6"/>
      <c r="G489" s="6"/>
      <c r="H489" s="6"/>
      <c r="I489" s="6"/>
      <c r="J489" s="6"/>
      <c r="K489" s="6"/>
      <c r="L489" s="6"/>
      <c r="M489" s="6"/>
      <c r="N489" s="6"/>
      <c r="O489" s="6"/>
      <c r="P489" s="6"/>
      <c r="Q489" s="6"/>
      <c r="R489" s="6"/>
      <c r="S489" s="6"/>
      <c r="T489" s="6"/>
      <c r="U489" s="6"/>
      <c r="V489" s="6"/>
      <c r="W489" s="6"/>
    </row>
    <row r="490" spans="1:23" ht="16" x14ac:dyDescent="0.2">
      <c r="A490" s="6"/>
      <c r="B490" s="7"/>
      <c r="C490" s="7"/>
      <c r="D490" s="7"/>
      <c r="E490" s="7"/>
      <c r="F490" s="6"/>
      <c r="G490" s="6"/>
      <c r="H490" s="6"/>
      <c r="I490" s="6"/>
      <c r="J490" s="6"/>
      <c r="K490" s="6"/>
      <c r="L490" s="6"/>
      <c r="M490" s="6"/>
      <c r="N490" s="6"/>
      <c r="O490" s="6"/>
      <c r="P490" s="6"/>
      <c r="Q490" s="6"/>
      <c r="R490" s="6"/>
      <c r="S490" s="6"/>
      <c r="T490" s="6"/>
      <c r="U490" s="6"/>
      <c r="V490" s="6"/>
      <c r="W490" s="6"/>
    </row>
    <row r="491" spans="1:23" ht="16" x14ac:dyDescent="0.2">
      <c r="A491" s="6"/>
      <c r="B491" s="7"/>
      <c r="C491" s="7"/>
      <c r="D491" s="7"/>
      <c r="E491" s="7"/>
      <c r="F491" s="6"/>
      <c r="G491" s="6"/>
      <c r="H491" s="6"/>
      <c r="I491" s="6"/>
      <c r="J491" s="6"/>
      <c r="K491" s="6"/>
      <c r="L491" s="6"/>
      <c r="M491" s="6"/>
      <c r="N491" s="6"/>
      <c r="O491" s="6"/>
      <c r="P491" s="6"/>
      <c r="Q491" s="6"/>
      <c r="R491" s="6"/>
      <c r="S491" s="6"/>
      <c r="T491" s="6"/>
      <c r="U491" s="6"/>
      <c r="V491" s="6"/>
      <c r="W491" s="6"/>
    </row>
    <row r="492" spans="1:23" ht="16" x14ac:dyDescent="0.2">
      <c r="A492" s="6"/>
      <c r="B492" s="7"/>
      <c r="C492" s="7"/>
      <c r="D492" s="7"/>
      <c r="E492" s="7"/>
      <c r="F492" s="6"/>
      <c r="G492" s="6"/>
      <c r="H492" s="6"/>
      <c r="I492" s="6"/>
      <c r="J492" s="6"/>
      <c r="K492" s="6"/>
      <c r="L492" s="6"/>
      <c r="M492" s="6"/>
      <c r="N492" s="6"/>
      <c r="O492" s="6"/>
      <c r="P492" s="6"/>
      <c r="Q492" s="6"/>
      <c r="R492" s="6"/>
      <c r="S492" s="6"/>
      <c r="T492" s="6"/>
      <c r="U492" s="6"/>
      <c r="V492" s="6"/>
      <c r="W492" s="6"/>
    </row>
    <row r="493" spans="1:23" ht="16" x14ac:dyDescent="0.2">
      <c r="A493" s="6"/>
      <c r="B493" s="7"/>
      <c r="C493" s="7"/>
      <c r="D493" s="7"/>
      <c r="E493" s="7"/>
      <c r="F493" s="6"/>
      <c r="G493" s="6"/>
      <c r="H493" s="6"/>
      <c r="I493" s="6"/>
      <c r="J493" s="6"/>
      <c r="K493" s="6"/>
      <c r="L493" s="6"/>
      <c r="M493" s="6"/>
      <c r="N493" s="6"/>
      <c r="O493" s="6"/>
      <c r="P493" s="6"/>
      <c r="Q493" s="6"/>
      <c r="R493" s="6"/>
      <c r="S493" s="6"/>
      <c r="T493" s="6"/>
      <c r="U493" s="6"/>
      <c r="V493" s="6"/>
      <c r="W493" s="6"/>
    </row>
    <row r="494" spans="1:23" ht="16" x14ac:dyDescent="0.2">
      <c r="A494" s="6"/>
      <c r="B494" s="7"/>
      <c r="C494" s="7"/>
      <c r="D494" s="7"/>
      <c r="E494" s="7"/>
      <c r="F494" s="6"/>
      <c r="G494" s="6"/>
      <c r="H494" s="6"/>
      <c r="I494" s="6"/>
      <c r="J494" s="6"/>
      <c r="K494" s="6"/>
      <c r="L494" s="6"/>
      <c r="M494" s="6"/>
      <c r="N494" s="6"/>
      <c r="O494" s="6"/>
      <c r="P494" s="6"/>
      <c r="Q494" s="6"/>
      <c r="R494" s="6"/>
      <c r="S494" s="6"/>
      <c r="T494" s="6"/>
      <c r="U494" s="6"/>
      <c r="V494" s="6"/>
      <c r="W494" s="6"/>
    </row>
    <row r="495" spans="1:23" ht="16" x14ac:dyDescent="0.2">
      <c r="A495" s="6"/>
      <c r="B495" s="7"/>
      <c r="C495" s="7"/>
      <c r="D495" s="7"/>
      <c r="E495" s="7"/>
      <c r="F495" s="6"/>
      <c r="G495" s="6"/>
      <c r="H495" s="6"/>
      <c r="I495" s="6"/>
      <c r="J495" s="6"/>
      <c r="K495" s="6"/>
      <c r="L495" s="6"/>
      <c r="M495" s="6"/>
      <c r="N495" s="6"/>
      <c r="O495" s="6"/>
      <c r="P495" s="6"/>
      <c r="Q495" s="6"/>
      <c r="R495" s="6"/>
      <c r="S495" s="6"/>
      <c r="T495" s="6"/>
      <c r="U495" s="6"/>
      <c r="V495" s="6"/>
      <c r="W495" s="6"/>
    </row>
    <row r="496" spans="1:23" ht="16" x14ac:dyDescent="0.2">
      <c r="A496" s="6"/>
      <c r="B496" s="7"/>
      <c r="C496" s="7"/>
      <c r="D496" s="7"/>
      <c r="E496" s="7"/>
      <c r="F496" s="6"/>
      <c r="G496" s="6"/>
      <c r="H496" s="6"/>
      <c r="I496" s="6"/>
      <c r="J496" s="6"/>
      <c r="K496" s="6"/>
      <c r="L496" s="6"/>
      <c r="M496" s="6"/>
      <c r="N496" s="6"/>
      <c r="O496" s="6"/>
      <c r="P496" s="6"/>
      <c r="Q496" s="6"/>
      <c r="R496" s="6"/>
      <c r="S496" s="6"/>
      <c r="T496" s="6"/>
      <c r="U496" s="6"/>
      <c r="V496" s="6"/>
      <c r="W496" s="6"/>
    </row>
    <row r="497" spans="1:23" ht="16" x14ac:dyDescent="0.2">
      <c r="A497" s="6"/>
      <c r="B497" s="7"/>
      <c r="C497" s="7"/>
      <c r="D497" s="7"/>
      <c r="E497" s="7"/>
      <c r="F497" s="6"/>
      <c r="G497" s="6"/>
      <c r="H497" s="6"/>
      <c r="I497" s="6"/>
      <c r="J497" s="6"/>
      <c r="K497" s="6"/>
      <c r="L497" s="6"/>
      <c r="M497" s="6"/>
      <c r="N497" s="6"/>
      <c r="O497" s="6"/>
      <c r="P497" s="6"/>
      <c r="Q497" s="6"/>
      <c r="R497" s="6"/>
      <c r="S497" s="6"/>
      <c r="T497" s="6"/>
      <c r="U497" s="6"/>
      <c r="V497" s="6"/>
      <c r="W497" s="6"/>
    </row>
    <row r="498" spans="1:23" ht="16" x14ac:dyDescent="0.2">
      <c r="A498" s="6"/>
      <c r="B498" s="7"/>
      <c r="C498" s="7"/>
      <c r="D498" s="7"/>
      <c r="E498" s="7"/>
      <c r="F498" s="6"/>
      <c r="G498" s="6"/>
      <c r="H498" s="6"/>
      <c r="I498" s="6"/>
      <c r="J498" s="6"/>
      <c r="K498" s="6"/>
      <c r="L498" s="6"/>
      <c r="M498" s="6"/>
      <c r="N498" s="6"/>
      <c r="O498" s="6"/>
      <c r="P498" s="6"/>
      <c r="Q498" s="6"/>
      <c r="R498" s="6"/>
      <c r="S498" s="6"/>
      <c r="T498" s="6"/>
      <c r="U498" s="6"/>
      <c r="V498" s="6"/>
      <c r="W498" s="6"/>
    </row>
    <row r="499" spans="1:23" ht="16" x14ac:dyDescent="0.2">
      <c r="A499" s="6"/>
      <c r="B499" s="7"/>
      <c r="C499" s="7"/>
      <c r="D499" s="7"/>
      <c r="E499" s="7"/>
      <c r="F499" s="6"/>
      <c r="G499" s="6"/>
      <c r="H499" s="6"/>
      <c r="I499" s="6"/>
      <c r="J499" s="6"/>
      <c r="K499" s="6"/>
      <c r="L499" s="6"/>
      <c r="M499" s="6"/>
      <c r="N499" s="6"/>
      <c r="O499" s="6"/>
      <c r="P499" s="6"/>
      <c r="Q499" s="6"/>
      <c r="R499" s="6"/>
      <c r="S499" s="6"/>
      <c r="T499" s="6"/>
      <c r="U499" s="6"/>
      <c r="V499" s="6"/>
      <c r="W499" s="6"/>
    </row>
    <row r="500" spans="1:23" ht="16" x14ac:dyDescent="0.2">
      <c r="A500" s="6"/>
      <c r="B500" s="7"/>
      <c r="C500" s="7"/>
      <c r="D500" s="7"/>
      <c r="E500" s="7"/>
      <c r="F500" s="6"/>
      <c r="G500" s="6"/>
      <c r="H500" s="6"/>
      <c r="I500" s="6"/>
      <c r="J500" s="6"/>
      <c r="K500" s="6"/>
      <c r="L500" s="6"/>
      <c r="M500" s="6"/>
      <c r="N500" s="6"/>
      <c r="O500" s="6"/>
      <c r="P500" s="6"/>
      <c r="Q500" s="6"/>
      <c r="R500" s="6"/>
      <c r="S500" s="6"/>
      <c r="T500" s="6"/>
      <c r="U500" s="6"/>
      <c r="V500" s="6"/>
      <c r="W500" s="6"/>
    </row>
    <row r="501" spans="1:23" ht="16" x14ac:dyDescent="0.2">
      <c r="A501" s="6"/>
      <c r="B501" s="7"/>
      <c r="C501" s="7"/>
      <c r="D501" s="7"/>
      <c r="E501" s="7"/>
      <c r="F501" s="6"/>
      <c r="G501" s="6"/>
      <c r="H501" s="6"/>
      <c r="I501" s="6"/>
      <c r="J501" s="6"/>
      <c r="K501" s="6"/>
      <c r="L501" s="6"/>
      <c r="M501" s="6"/>
      <c r="N501" s="6"/>
      <c r="O501" s="6"/>
      <c r="P501" s="6"/>
      <c r="Q501" s="6"/>
      <c r="R501" s="6"/>
      <c r="S501" s="6"/>
      <c r="T501" s="6"/>
      <c r="U501" s="6"/>
      <c r="V501" s="6"/>
      <c r="W501" s="6"/>
    </row>
    <row r="502" spans="1:23" ht="16" x14ac:dyDescent="0.2">
      <c r="A502" s="6"/>
      <c r="B502" s="7"/>
      <c r="C502" s="7"/>
      <c r="D502" s="7"/>
      <c r="E502" s="7"/>
      <c r="F502" s="6"/>
      <c r="G502" s="6"/>
      <c r="H502" s="6"/>
      <c r="I502" s="6"/>
      <c r="J502" s="6"/>
      <c r="K502" s="6"/>
      <c r="L502" s="6"/>
      <c r="M502" s="6"/>
      <c r="N502" s="6"/>
      <c r="O502" s="6"/>
      <c r="P502" s="6"/>
      <c r="Q502" s="6"/>
      <c r="R502" s="6"/>
      <c r="S502" s="6"/>
      <c r="T502" s="6"/>
      <c r="U502" s="6"/>
      <c r="V502" s="6"/>
      <c r="W502" s="6"/>
    </row>
    <row r="503" spans="1:23" ht="16" x14ac:dyDescent="0.2">
      <c r="A503" s="6"/>
      <c r="B503" s="7"/>
      <c r="C503" s="7"/>
      <c r="D503" s="7"/>
      <c r="E503" s="7"/>
      <c r="F503" s="6"/>
      <c r="G503" s="6"/>
      <c r="H503" s="6"/>
      <c r="I503" s="6"/>
      <c r="J503" s="6"/>
      <c r="K503" s="6"/>
      <c r="L503" s="6"/>
      <c r="M503" s="6"/>
      <c r="N503" s="6"/>
      <c r="O503" s="6"/>
      <c r="P503" s="6"/>
      <c r="Q503" s="6"/>
      <c r="R503" s="6"/>
      <c r="S503" s="6"/>
      <c r="T503" s="6"/>
      <c r="U503" s="6"/>
      <c r="V503" s="6"/>
      <c r="W503" s="6"/>
    </row>
    <row r="504" spans="1:23" ht="16" x14ac:dyDescent="0.2">
      <c r="A504" s="6"/>
      <c r="B504" s="7"/>
      <c r="C504" s="7"/>
      <c r="D504" s="7"/>
      <c r="E504" s="7"/>
      <c r="F504" s="6"/>
      <c r="G504" s="6"/>
      <c r="H504" s="6"/>
      <c r="I504" s="6"/>
      <c r="J504" s="6"/>
      <c r="K504" s="6"/>
      <c r="L504" s="6"/>
      <c r="M504" s="6"/>
      <c r="N504" s="6"/>
      <c r="O504" s="6"/>
      <c r="P504" s="6"/>
      <c r="Q504" s="6"/>
      <c r="R504" s="6"/>
      <c r="S504" s="6"/>
      <c r="T504" s="6"/>
      <c r="U504" s="6"/>
      <c r="V504" s="6"/>
      <c r="W504" s="6"/>
    </row>
    <row r="505" spans="1:23" ht="16" x14ac:dyDescent="0.2">
      <c r="A505" s="6"/>
      <c r="B505" s="7"/>
      <c r="C505" s="7"/>
      <c r="D505" s="7"/>
      <c r="E505" s="7"/>
      <c r="F505" s="6"/>
      <c r="G505" s="6"/>
      <c r="H505" s="6"/>
      <c r="I505" s="6"/>
      <c r="J505" s="6"/>
      <c r="K505" s="6"/>
      <c r="L505" s="6"/>
      <c r="M505" s="6"/>
      <c r="N505" s="6"/>
      <c r="O505" s="6"/>
      <c r="P505" s="6"/>
      <c r="Q505" s="6"/>
      <c r="R505" s="6"/>
      <c r="S505" s="6"/>
      <c r="T505" s="6"/>
      <c r="U505" s="6"/>
      <c r="V505" s="6"/>
      <c r="W505" s="6"/>
    </row>
    <row r="506" spans="1:23" ht="16" x14ac:dyDescent="0.2">
      <c r="A506" s="6"/>
      <c r="B506" s="7"/>
      <c r="C506" s="7"/>
      <c r="D506" s="7"/>
      <c r="E506" s="7"/>
      <c r="F506" s="6"/>
      <c r="G506" s="6"/>
      <c r="H506" s="6"/>
      <c r="I506" s="6"/>
      <c r="J506" s="6"/>
      <c r="K506" s="6"/>
      <c r="L506" s="6"/>
      <c r="M506" s="6"/>
      <c r="N506" s="6"/>
      <c r="O506" s="6"/>
      <c r="P506" s="6"/>
      <c r="Q506" s="6"/>
      <c r="R506" s="6"/>
      <c r="S506" s="6"/>
      <c r="T506" s="6"/>
      <c r="U506" s="6"/>
      <c r="V506" s="6"/>
      <c r="W506" s="6"/>
    </row>
    <row r="507" spans="1:23" ht="16" x14ac:dyDescent="0.2">
      <c r="A507" s="6"/>
      <c r="B507" s="7"/>
      <c r="C507" s="7"/>
      <c r="D507" s="7"/>
      <c r="E507" s="7"/>
      <c r="F507" s="6"/>
      <c r="G507" s="6"/>
      <c r="H507" s="6"/>
      <c r="I507" s="6"/>
      <c r="J507" s="6"/>
      <c r="K507" s="6"/>
      <c r="L507" s="6"/>
      <c r="M507" s="6"/>
      <c r="N507" s="6"/>
      <c r="O507" s="6"/>
      <c r="P507" s="6"/>
      <c r="Q507" s="6"/>
      <c r="R507" s="6"/>
      <c r="S507" s="6"/>
      <c r="T507" s="6"/>
      <c r="U507" s="6"/>
      <c r="V507" s="6"/>
      <c r="W507" s="6"/>
    </row>
    <row r="508" spans="1:23" ht="16" x14ac:dyDescent="0.2">
      <c r="A508" s="6"/>
      <c r="B508" s="7"/>
      <c r="C508" s="7"/>
      <c r="D508" s="7"/>
      <c r="E508" s="7"/>
      <c r="F508" s="6"/>
      <c r="G508" s="6"/>
      <c r="H508" s="6"/>
      <c r="I508" s="6"/>
      <c r="J508" s="6"/>
      <c r="K508" s="6"/>
      <c r="L508" s="6"/>
      <c r="M508" s="6"/>
      <c r="N508" s="6"/>
      <c r="O508" s="6"/>
      <c r="P508" s="6"/>
      <c r="Q508" s="6"/>
      <c r="R508" s="6"/>
      <c r="S508" s="6"/>
      <c r="T508" s="6"/>
      <c r="U508" s="6"/>
      <c r="V508" s="6"/>
      <c r="W508" s="6"/>
    </row>
    <row r="509" spans="1:23" ht="16" x14ac:dyDescent="0.2">
      <c r="A509" s="6"/>
      <c r="B509" s="7"/>
      <c r="C509" s="7"/>
      <c r="D509" s="7"/>
      <c r="E509" s="7"/>
      <c r="F509" s="6"/>
      <c r="G509" s="6"/>
      <c r="H509" s="6"/>
      <c r="I509" s="6"/>
      <c r="J509" s="6"/>
      <c r="K509" s="6"/>
      <c r="L509" s="6"/>
      <c r="M509" s="6"/>
      <c r="N509" s="6"/>
      <c r="O509" s="6"/>
      <c r="P509" s="6"/>
      <c r="Q509" s="6"/>
      <c r="R509" s="6"/>
      <c r="S509" s="6"/>
      <c r="T509" s="6"/>
      <c r="U509" s="6"/>
      <c r="V509" s="6"/>
      <c r="W509" s="6"/>
    </row>
    <row r="510" spans="1:23" ht="16" x14ac:dyDescent="0.2">
      <c r="A510" s="6"/>
      <c r="B510" s="7"/>
      <c r="C510" s="7"/>
      <c r="D510" s="7"/>
      <c r="E510" s="7"/>
      <c r="F510" s="6"/>
      <c r="G510" s="6"/>
      <c r="H510" s="6"/>
      <c r="I510" s="6"/>
      <c r="J510" s="6"/>
      <c r="K510" s="6"/>
      <c r="L510" s="6"/>
      <c r="M510" s="6"/>
      <c r="N510" s="6"/>
      <c r="O510" s="6"/>
      <c r="P510" s="6"/>
      <c r="Q510" s="6"/>
      <c r="R510" s="6"/>
      <c r="S510" s="6"/>
      <c r="T510" s="6"/>
      <c r="U510" s="6"/>
      <c r="V510" s="6"/>
      <c r="W510" s="6"/>
    </row>
    <row r="511" spans="1:23" ht="16" x14ac:dyDescent="0.2">
      <c r="A511" s="6"/>
      <c r="B511" s="7"/>
      <c r="C511" s="7"/>
      <c r="D511" s="7"/>
      <c r="E511" s="7"/>
      <c r="F511" s="6"/>
      <c r="G511" s="6"/>
      <c r="H511" s="6"/>
      <c r="I511" s="6"/>
      <c r="J511" s="6"/>
      <c r="K511" s="6"/>
      <c r="L511" s="6"/>
      <c r="M511" s="6"/>
      <c r="N511" s="6"/>
      <c r="O511" s="6"/>
      <c r="P511" s="6"/>
      <c r="Q511" s="6"/>
      <c r="R511" s="6"/>
      <c r="S511" s="6"/>
      <c r="T511" s="6"/>
      <c r="U511" s="6"/>
      <c r="V511" s="6"/>
      <c r="W511" s="6"/>
    </row>
    <row r="512" spans="1:23" ht="16" x14ac:dyDescent="0.2">
      <c r="A512" s="6"/>
      <c r="B512" s="7"/>
      <c r="C512" s="7"/>
      <c r="D512" s="7"/>
      <c r="E512" s="7"/>
      <c r="F512" s="6"/>
      <c r="G512" s="6"/>
      <c r="H512" s="6"/>
      <c r="I512" s="6"/>
      <c r="J512" s="6"/>
      <c r="K512" s="6"/>
      <c r="L512" s="6"/>
      <c r="M512" s="6"/>
      <c r="N512" s="6"/>
      <c r="O512" s="6"/>
      <c r="P512" s="6"/>
      <c r="Q512" s="6"/>
      <c r="R512" s="6"/>
      <c r="S512" s="6"/>
      <c r="T512" s="6"/>
      <c r="U512" s="6"/>
      <c r="V512" s="6"/>
      <c r="W512" s="6"/>
    </row>
    <row r="513" spans="1:23" ht="16" x14ac:dyDescent="0.2">
      <c r="A513" s="6"/>
      <c r="B513" s="7"/>
      <c r="C513" s="7"/>
      <c r="D513" s="7"/>
      <c r="E513" s="7"/>
      <c r="F513" s="6"/>
      <c r="G513" s="6"/>
      <c r="H513" s="6"/>
      <c r="I513" s="6"/>
      <c r="J513" s="6"/>
      <c r="K513" s="6"/>
      <c r="L513" s="6"/>
      <c r="M513" s="6"/>
      <c r="N513" s="6"/>
      <c r="O513" s="6"/>
      <c r="P513" s="6"/>
      <c r="Q513" s="6"/>
      <c r="R513" s="6"/>
      <c r="S513" s="6"/>
      <c r="T513" s="6"/>
      <c r="U513" s="6"/>
      <c r="V513" s="6"/>
      <c r="W513" s="6"/>
    </row>
    <row r="514" spans="1:23" ht="16" x14ac:dyDescent="0.2">
      <c r="A514" s="6"/>
      <c r="B514" s="7"/>
      <c r="C514" s="7"/>
      <c r="D514" s="7"/>
      <c r="E514" s="7"/>
      <c r="F514" s="6"/>
      <c r="G514" s="6"/>
      <c r="H514" s="6"/>
      <c r="I514" s="6"/>
      <c r="J514" s="6"/>
      <c r="K514" s="6"/>
      <c r="L514" s="6"/>
      <c r="M514" s="6"/>
      <c r="N514" s="6"/>
      <c r="O514" s="6"/>
      <c r="P514" s="6"/>
      <c r="Q514" s="6"/>
      <c r="R514" s="6"/>
      <c r="S514" s="6"/>
      <c r="T514" s="6"/>
      <c r="U514" s="6"/>
      <c r="V514" s="6"/>
      <c r="W514" s="6"/>
    </row>
    <row r="515" spans="1:23" ht="16" x14ac:dyDescent="0.2">
      <c r="A515" s="6"/>
      <c r="B515" s="7"/>
      <c r="C515" s="7"/>
      <c r="D515" s="7"/>
      <c r="E515" s="7"/>
      <c r="F515" s="6"/>
      <c r="G515" s="6"/>
      <c r="H515" s="6"/>
      <c r="I515" s="6"/>
      <c r="J515" s="6"/>
      <c r="K515" s="6"/>
      <c r="L515" s="6"/>
      <c r="M515" s="6"/>
      <c r="N515" s="6"/>
      <c r="O515" s="6"/>
      <c r="P515" s="6"/>
      <c r="Q515" s="6"/>
      <c r="R515" s="6"/>
      <c r="S515" s="6"/>
      <c r="T515" s="6"/>
      <c r="U515" s="6"/>
      <c r="V515" s="6"/>
      <c r="W515" s="6"/>
    </row>
    <row r="516" spans="1:23" ht="16" x14ac:dyDescent="0.2">
      <c r="A516" s="6"/>
      <c r="B516" s="7"/>
      <c r="C516" s="7"/>
      <c r="D516" s="7"/>
      <c r="E516" s="7"/>
      <c r="F516" s="6"/>
      <c r="G516" s="6"/>
      <c r="H516" s="6"/>
      <c r="I516" s="6"/>
      <c r="J516" s="6"/>
      <c r="K516" s="6"/>
      <c r="L516" s="6"/>
      <c r="M516" s="6"/>
      <c r="N516" s="6"/>
      <c r="O516" s="6"/>
      <c r="P516" s="6"/>
      <c r="Q516" s="6"/>
      <c r="R516" s="6"/>
      <c r="S516" s="6"/>
      <c r="T516" s="6"/>
      <c r="U516" s="6"/>
      <c r="V516" s="6"/>
      <c r="W516" s="6"/>
    </row>
    <row r="517" spans="1:23" ht="16" x14ac:dyDescent="0.2">
      <c r="A517" s="6"/>
      <c r="B517" s="7"/>
      <c r="C517" s="7"/>
      <c r="D517" s="7"/>
      <c r="E517" s="7"/>
      <c r="F517" s="6"/>
      <c r="G517" s="6"/>
      <c r="H517" s="6"/>
      <c r="I517" s="6"/>
      <c r="J517" s="6"/>
      <c r="K517" s="6"/>
      <c r="L517" s="6"/>
      <c r="M517" s="6"/>
      <c r="N517" s="6"/>
      <c r="O517" s="6"/>
      <c r="P517" s="6"/>
      <c r="Q517" s="6"/>
      <c r="R517" s="6"/>
      <c r="S517" s="6"/>
      <c r="T517" s="6"/>
      <c r="U517" s="6"/>
      <c r="V517" s="6"/>
      <c r="W517" s="6"/>
    </row>
    <row r="518" spans="1:23" ht="16" x14ac:dyDescent="0.2">
      <c r="A518" s="6"/>
      <c r="B518" s="7"/>
      <c r="C518" s="7"/>
      <c r="D518" s="7"/>
      <c r="E518" s="7"/>
      <c r="F518" s="6"/>
      <c r="G518" s="6"/>
      <c r="H518" s="6"/>
      <c r="I518" s="6"/>
      <c r="J518" s="6"/>
      <c r="K518" s="6"/>
      <c r="L518" s="6"/>
      <c r="M518" s="6"/>
      <c r="N518" s="6"/>
      <c r="O518" s="6"/>
      <c r="P518" s="6"/>
      <c r="Q518" s="6"/>
      <c r="R518" s="6"/>
      <c r="S518" s="6"/>
      <c r="T518" s="6"/>
      <c r="U518" s="6"/>
      <c r="V518" s="6"/>
      <c r="W518" s="6"/>
    </row>
    <row r="519" spans="1:23" ht="16" x14ac:dyDescent="0.2">
      <c r="A519" s="6"/>
      <c r="B519" s="7"/>
      <c r="C519" s="7"/>
      <c r="D519" s="7"/>
      <c r="E519" s="7"/>
      <c r="F519" s="6"/>
      <c r="G519" s="6"/>
      <c r="H519" s="6"/>
      <c r="I519" s="6"/>
      <c r="J519" s="6"/>
      <c r="K519" s="6"/>
      <c r="L519" s="6"/>
      <c r="M519" s="6"/>
      <c r="N519" s="6"/>
      <c r="O519" s="6"/>
      <c r="P519" s="6"/>
      <c r="Q519" s="6"/>
      <c r="R519" s="6"/>
      <c r="S519" s="6"/>
      <c r="T519" s="6"/>
      <c r="U519" s="6"/>
      <c r="V519" s="6"/>
      <c r="W519" s="6"/>
    </row>
    <row r="520" spans="1:23" ht="16" x14ac:dyDescent="0.2">
      <c r="A520" s="6"/>
      <c r="B520" s="7"/>
      <c r="C520" s="7"/>
      <c r="D520" s="7"/>
      <c r="E520" s="7"/>
      <c r="F520" s="6"/>
      <c r="G520" s="6"/>
      <c r="H520" s="6"/>
      <c r="I520" s="6"/>
      <c r="J520" s="6"/>
      <c r="K520" s="6"/>
      <c r="L520" s="6"/>
      <c r="M520" s="6"/>
      <c r="N520" s="6"/>
      <c r="O520" s="6"/>
      <c r="P520" s="6"/>
      <c r="Q520" s="6"/>
      <c r="R520" s="6"/>
      <c r="S520" s="6"/>
      <c r="T520" s="6"/>
      <c r="U520" s="6"/>
      <c r="V520" s="6"/>
      <c r="W520" s="6"/>
    </row>
    <row r="521" spans="1:23" ht="16" x14ac:dyDescent="0.2">
      <c r="A521" s="6"/>
      <c r="B521" s="7"/>
      <c r="C521" s="7"/>
      <c r="D521" s="7"/>
      <c r="E521" s="7"/>
      <c r="F521" s="6"/>
      <c r="G521" s="6"/>
      <c r="H521" s="6"/>
      <c r="I521" s="6"/>
      <c r="J521" s="6"/>
      <c r="K521" s="6"/>
      <c r="L521" s="6"/>
      <c r="M521" s="6"/>
      <c r="N521" s="6"/>
      <c r="O521" s="6"/>
      <c r="P521" s="6"/>
      <c r="Q521" s="6"/>
      <c r="R521" s="6"/>
      <c r="S521" s="6"/>
      <c r="T521" s="6"/>
      <c r="U521" s="6"/>
      <c r="V521" s="6"/>
      <c r="W521" s="6"/>
    </row>
    <row r="522" spans="1:23" ht="16" x14ac:dyDescent="0.2">
      <c r="A522" s="6"/>
      <c r="B522" s="7"/>
      <c r="C522" s="7"/>
      <c r="D522" s="7"/>
      <c r="E522" s="7"/>
      <c r="F522" s="6"/>
      <c r="G522" s="6"/>
      <c r="H522" s="6"/>
      <c r="I522" s="6"/>
      <c r="J522" s="6"/>
      <c r="K522" s="6"/>
      <c r="L522" s="6"/>
      <c r="M522" s="6"/>
      <c r="N522" s="6"/>
      <c r="O522" s="6"/>
      <c r="P522" s="6"/>
      <c r="Q522" s="6"/>
      <c r="R522" s="6"/>
      <c r="S522" s="6"/>
      <c r="T522" s="6"/>
      <c r="U522" s="6"/>
      <c r="V522" s="6"/>
      <c r="W522" s="6"/>
    </row>
    <row r="523" spans="1:23" ht="16" x14ac:dyDescent="0.2">
      <c r="A523" s="6"/>
      <c r="B523" s="7"/>
      <c r="C523" s="7"/>
      <c r="D523" s="7"/>
      <c r="E523" s="7"/>
      <c r="F523" s="6"/>
      <c r="G523" s="6"/>
      <c r="H523" s="6"/>
      <c r="I523" s="6"/>
      <c r="J523" s="6"/>
      <c r="K523" s="6"/>
      <c r="L523" s="6"/>
      <c r="M523" s="6"/>
      <c r="N523" s="6"/>
      <c r="O523" s="6"/>
      <c r="P523" s="6"/>
      <c r="Q523" s="6"/>
      <c r="R523" s="6"/>
      <c r="S523" s="6"/>
      <c r="T523" s="6"/>
      <c r="U523" s="6"/>
      <c r="V523" s="6"/>
      <c r="W523" s="6"/>
    </row>
    <row r="524" spans="1:23" ht="16" x14ac:dyDescent="0.2">
      <c r="A524" s="6"/>
      <c r="B524" s="7"/>
      <c r="C524" s="7"/>
      <c r="D524" s="7"/>
      <c r="E524" s="7"/>
      <c r="F524" s="6"/>
      <c r="G524" s="6"/>
      <c r="H524" s="6"/>
      <c r="I524" s="6"/>
      <c r="J524" s="6"/>
      <c r="K524" s="6"/>
      <c r="L524" s="6"/>
      <c r="M524" s="6"/>
      <c r="N524" s="6"/>
      <c r="O524" s="6"/>
      <c r="P524" s="6"/>
      <c r="Q524" s="6"/>
      <c r="R524" s="6"/>
      <c r="S524" s="6"/>
      <c r="T524" s="6"/>
      <c r="U524" s="6"/>
      <c r="V524" s="6"/>
      <c r="W524" s="6"/>
    </row>
    <row r="525" spans="1:23" ht="16" x14ac:dyDescent="0.2">
      <c r="A525" s="6"/>
      <c r="B525" s="7"/>
      <c r="C525" s="7"/>
      <c r="D525" s="7"/>
      <c r="E525" s="7"/>
      <c r="F525" s="6"/>
      <c r="G525" s="6"/>
      <c r="H525" s="6"/>
      <c r="I525" s="6"/>
      <c r="J525" s="6"/>
      <c r="K525" s="6"/>
      <c r="L525" s="6"/>
      <c r="M525" s="6"/>
      <c r="N525" s="6"/>
      <c r="O525" s="6"/>
      <c r="P525" s="6"/>
      <c r="Q525" s="6"/>
      <c r="R525" s="6"/>
      <c r="S525" s="6"/>
      <c r="T525" s="6"/>
      <c r="U525" s="6"/>
      <c r="V525" s="6"/>
      <c r="W525" s="6"/>
    </row>
    <row r="526" spans="1:23" ht="16" x14ac:dyDescent="0.2">
      <c r="A526" s="6"/>
      <c r="B526" s="7"/>
      <c r="C526" s="7"/>
      <c r="D526" s="7"/>
      <c r="E526" s="7"/>
      <c r="F526" s="6"/>
      <c r="G526" s="6"/>
      <c r="H526" s="6"/>
      <c r="I526" s="6"/>
      <c r="J526" s="6"/>
      <c r="K526" s="6"/>
      <c r="L526" s="6"/>
      <c r="M526" s="6"/>
      <c r="N526" s="6"/>
      <c r="O526" s="6"/>
      <c r="P526" s="6"/>
      <c r="Q526" s="6"/>
      <c r="R526" s="6"/>
      <c r="S526" s="6"/>
      <c r="T526" s="6"/>
      <c r="U526" s="6"/>
      <c r="V526" s="6"/>
      <c r="W526" s="6"/>
    </row>
    <row r="527" spans="1:23" ht="16" x14ac:dyDescent="0.2">
      <c r="A527" s="6"/>
      <c r="B527" s="7"/>
      <c r="C527" s="7"/>
      <c r="D527" s="7"/>
      <c r="E527" s="7"/>
      <c r="F527" s="6"/>
      <c r="G527" s="6"/>
      <c r="H527" s="6"/>
      <c r="I527" s="6"/>
      <c r="J527" s="6"/>
      <c r="K527" s="6"/>
      <c r="L527" s="6"/>
      <c r="M527" s="6"/>
      <c r="N527" s="6"/>
      <c r="O527" s="6"/>
      <c r="P527" s="6"/>
      <c r="Q527" s="6"/>
      <c r="R527" s="6"/>
      <c r="S527" s="6"/>
      <c r="T527" s="6"/>
      <c r="U527" s="6"/>
      <c r="V527" s="6"/>
      <c r="W527" s="6"/>
    </row>
    <row r="528" spans="1:23" ht="16" x14ac:dyDescent="0.2">
      <c r="A528" s="6"/>
      <c r="B528" s="7"/>
      <c r="C528" s="7"/>
      <c r="D528" s="7"/>
      <c r="E528" s="7"/>
      <c r="F528" s="6"/>
      <c r="G528" s="6"/>
      <c r="H528" s="6"/>
      <c r="I528" s="6"/>
      <c r="J528" s="6"/>
      <c r="K528" s="6"/>
      <c r="L528" s="6"/>
      <c r="M528" s="6"/>
      <c r="N528" s="6"/>
      <c r="O528" s="6"/>
      <c r="P528" s="6"/>
      <c r="Q528" s="6"/>
      <c r="R528" s="6"/>
      <c r="S528" s="6"/>
      <c r="T528" s="6"/>
      <c r="U528" s="6"/>
      <c r="V528" s="6"/>
      <c r="W528" s="6"/>
    </row>
    <row r="529" spans="1:23" ht="16" x14ac:dyDescent="0.2">
      <c r="A529" s="6"/>
      <c r="B529" s="7"/>
      <c r="C529" s="7"/>
      <c r="D529" s="7"/>
      <c r="E529" s="7"/>
      <c r="F529" s="6"/>
      <c r="G529" s="6"/>
      <c r="H529" s="6"/>
      <c r="I529" s="6"/>
      <c r="J529" s="6"/>
      <c r="K529" s="6"/>
      <c r="L529" s="6"/>
      <c r="M529" s="6"/>
      <c r="N529" s="6"/>
      <c r="O529" s="6"/>
      <c r="P529" s="6"/>
      <c r="Q529" s="6"/>
      <c r="R529" s="6"/>
      <c r="S529" s="6"/>
      <c r="T529" s="6"/>
      <c r="U529" s="6"/>
      <c r="V529" s="6"/>
      <c r="W529" s="6"/>
    </row>
    <row r="530" spans="1:23" ht="16" x14ac:dyDescent="0.2">
      <c r="A530" s="6"/>
      <c r="B530" s="7"/>
      <c r="C530" s="7"/>
      <c r="D530" s="7"/>
      <c r="E530" s="7"/>
      <c r="F530" s="6"/>
      <c r="G530" s="6"/>
      <c r="H530" s="6"/>
      <c r="I530" s="6"/>
      <c r="J530" s="6"/>
      <c r="K530" s="6"/>
      <c r="L530" s="6"/>
      <c r="M530" s="6"/>
      <c r="N530" s="6"/>
      <c r="O530" s="6"/>
      <c r="P530" s="6"/>
      <c r="Q530" s="6"/>
      <c r="R530" s="6"/>
      <c r="S530" s="6"/>
      <c r="T530" s="6"/>
      <c r="U530" s="6"/>
      <c r="V530" s="6"/>
      <c r="W530" s="6"/>
    </row>
    <row r="531" spans="1:23" ht="16" x14ac:dyDescent="0.2">
      <c r="A531" s="6"/>
      <c r="B531" s="7"/>
      <c r="C531" s="7"/>
      <c r="D531" s="7"/>
      <c r="E531" s="7"/>
      <c r="F531" s="6"/>
      <c r="G531" s="6"/>
      <c r="H531" s="6"/>
      <c r="I531" s="6"/>
      <c r="J531" s="6"/>
      <c r="K531" s="6"/>
      <c r="L531" s="6"/>
      <c r="M531" s="6"/>
      <c r="N531" s="6"/>
      <c r="O531" s="6"/>
      <c r="P531" s="6"/>
      <c r="Q531" s="6"/>
      <c r="R531" s="6"/>
      <c r="S531" s="6"/>
      <c r="T531" s="6"/>
      <c r="U531" s="6"/>
      <c r="V531" s="6"/>
      <c r="W531" s="6"/>
    </row>
    <row r="532" spans="1:23" ht="16" x14ac:dyDescent="0.2">
      <c r="A532" s="6"/>
      <c r="B532" s="7"/>
      <c r="C532" s="7"/>
      <c r="D532" s="7"/>
      <c r="E532" s="7"/>
      <c r="F532" s="6"/>
      <c r="G532" s="6"/>
      <c r="H532" s="6"/>
      <c r="I532" s="6"/>
      <c r="J532" s="6"/>
      <c r="K532" s="6"/>
      <c r="L532" s="6"/>
      <c r="M532" s="6"/>
      <c r="N532" s="6"/>
      <c r="O532" s="6"/>
      <c r="P532" s="6"/>
      <c r="Q532" s="6"/>
      <c r="R532" s="6"/>
      <c r="S532" s="6"/>
      <c r="T532" s="6"/>
      <c r="U532" s="6"/>
      <c r="V532" s="6"/>
      <c r="W532" s="6"/>
    </row>
    <row r="533" spans="1:23" ht="16" x14ac:dyDescent="0.2">
      <c r="A533" s="6"/>
      <c r="B533" s="7"/>
      <c r="C533" s="7"/>
      <c r="D533" s="7"/>
      <c r="E533" s="7"/>
      <c r="F533" s="6"/>
      <c r="G533" s="6"/>
      <c r="H533" s="6"/>
      <c r="I533" s="6"/>
      <c r="J533" s="6"/>
      <c r="K533" s="6"/>
      <c r="L533" s="6"/>
      <c r="M533" s="6"/>
      <c r="N533" s="6"/>
      <c r="O533" s="6"/>
      <c r="P533" s="6"/>
      <c r="Q533" s="6"/>
      <c r="R533" s="6"/>
      <c r="S533" s="6"/>
      <c r="T533" s="6"/>
      <c r="U533" s="6"/>
      <c r="V533" s="6"/>
      <c r="W533" s="6"/>
    </row>
    <row r="534" spans="1:23" ht="16" x14ac:dyDescent="0.2">
      <c r="A534" s="6"/>
      <c r="B534" s="7"/>
      <c r="C534" s="7"/>
      <c r="D534" s="7"/>
      <c r="E534" s="7"/>
      <c r="F534" s="6"/>
      <c r="G534" s="6"/>
      <c r="H534" s="6"/>
      <c r="I534" s="6"/>
      <c r="J534" s="6"/>
      <c r="K534" s="6"/>
      <c r="L534" s="6"/>
      <c r="M534" s="6"/>
      <c r="N534" s="6"/>
      <c r="O534" s="6"/>
      <c r="P534" s="6"/>
      <c r="Q534" s="6"/>
      <c r="R534" s="6"/>
      <c r="S534" s="6"/>
      <c r="T534" s="6"/>
      <c r="U534" s="6"/>
      <c r="V534" s="6"/>
      <c r="W534" s="6"/>
    </row>
    <row r="535" spans="1:23" ht="16" x14ac:dyDescent="0.2">
      <c r="A535" s="6"/>
      <c r="B535" s="7"/>
      <c r="C535" s="7"/>
      <c r="D535" s="7"/>
      <c r="E535" s="7"/>
      <c r="F535" s="6"/>
      <c r="G535" s="6"/>
      <c r="H535" s="6"/>
      <c r="I535" s="6"/>
      <c r="J535" s="6"/>
      <c r="K535" s="6"/>
      <c r="L535" s="6"/>
      <c r="M535" s="6"/>
      <c r="N535" s="6"/>
      <c r="O535" s="6"/>
      <c r="P535" s="6"/>
      <c r="Q535" s="6"/>
      <c r="R535" s="6"/>
      <c r="S535" s="6"/>
      <c r="T535" s="6"/>
      <c r="U535" s="6"/>
      <c r="V535" s="6"/>
      <c r="W535" s="6"/>
    </row>
    <row r="536" spans="1:23" ht="16" x14ac:dyDescent="0.2">
      <c r="A536" s="6"/>
      <c r="B536" s="7"/>
      <c r="C536" s="7"/>
      <c r="D536" s="7"/>
      <c r="E536" s="7"/>
      <c r="F536" s="6"/>
      <c r="G536" s="6"/>
      <c r="H536" s="6"/>
      <c r="I536" s="6"/>
      <c r="J536" s="6"/>
      <c r="K536" s="6"/>
      <c r="L536" s="6"/>
      <c r="M536" s="6"/>
      <c r="N536" s="6"/>
      <c r="O536" s="6"/>
      <c r="P536" s="6"/>
      <c r="Q536" s="6"/>
      <c r="R536" s="6"/>
      <c r="S536" s="6"/>
      <c r="T536" s="6"/>
      <c r="U536" s="6"/>
      <c r="V536" s="6"/>
      <c r="W536" s="6"/>
    </row>
    <row r="537" spans="1:23" ht="16" x14ac:dyDescent="0.2">
      <c r="A537" s="6"/>
      <c r="B537" s="7"/>
      <c r="C537" s="7"/>
      <c r="D537" s="7"/>
      <c r="E537" s="7"/>
      <c r="F537" s="6"/>
      <c r="G537" s="6"/>
      <c r="H537" s="6"/>
      <c r="I537" s="6"/>
      <c r="J537" s="6"/>
      <c r="K537" s="6"/>
      <c r="L537" s="6"/>
      <c r="M537" s="6"/>
      <c r="N537" s="6"/>
      <c r="O537" s="6"/>
      <c r="P537" s="6"/>
      <c r="Q537" s="6"/>
      <c r="R537" s="6"/>
      <c r="S537" s="6"/>
      <c r="T537" s="6"/>
      <c r="U537" s="6"/>
      <c r="V537" s="6"/>
      <c r="W537" s="6"/>
    </row>
    <row r="538" spans="1:23" ht="16" x14ac:dyDescent="0.2">
      <c r="A538" s="6"/>
      <c r="B538" s="7"/>
      <c r="C538" s="7"/>
      <c r="D538" s="7"/>
      <c r="E538" s="7"/>
      <c r="F538" s="6"/>
      <c r="G538" s="6"/>
      <c r="H538" s="6"/>
      <c r="I538" s="6"/>
      <c r="J538" s="6"/>
      <c r="K538" s="6"/>
      <c r="L538" s="6"/>
      <c r="M538" s="6"/>
      <c r="N538" s="6"/>
      <c r="O538" s="6"/>
      <c r="P538" s="6"/>
      <c r="Q538" s="6"/>
      <c r="R538" s="6"/>
      <c r="S538" s="6"/>
      <c r="T538" s="6"/>
      <c r="U538" s="6"/>
      <c r="V538" s="6"/>
      <c r="W538" s="6"/>
    </row>
    <row r="539" spans="1:23" ht="16" x14ac:dyDescent="0.2">
      <c r="A539" s="6"/>
      <c r="B539" s="7"/>
      <c r="C539" s="7"/>
      <c r="D539" s="7"/>
      <c r="E539" s="7"/>
      <c r="F539" s="6"/>
      <c r="G539" s="6"/>
      <c r="H539" s="6"/>
      <c r="I539" s="6"/>
      <c r="J539" s="6"/>
      <c r="K539" s="6"/>
      <c r="L539" s="6"/>
      <c r="M539" s="6"/>
      <c r="N539" s="6"/>
      <c r="O539" s="6"/>
      <c r="P539" s="6"/>
      <c r="Q539" s="6"/>
      <c r="R539" s="6"/>
      <c r="S539" s="6"/>
      <c r="T539" s="6"/>
      <c r="U539" s="6"/>
      <c r="V539" s="6"/>
      <c r="W539" s="6"/>
    </row>
    <row r="540" spans="1:23" ht="16" x14ac:dyDescent="0.2">
      <c r="A540" s="6"/>
      <c r="B540" s="7"/>
      <c r="C540" s="7"/>
      <c r="D540" s="7"/>
      <c r="E540" s="7"/>
      <c r="F540" s="6"/>
      <c r="G540" s="6"/>
      <c r="H540" s="6"/>
      <c r="I540" s="6"/>
      <c r="J540" s="6"/>
      <c r="K540" s="6"/>
      <c r="L540" s="6"/>
      <c r="M540" s="6"/>
      <c r="N540" s="6"/>
      <c r="O540" s="6"/>
      <c r="P540" s="6"/>
      <c r="Q540" s="6"/>
      <c r="R540" s="6"/>
      <c r="S540" s="6"/>
      <c r="T540" s="6"/>
      <c r="U540" s="6"/>
      <c r="V540" s="6"/>
      <c r="W540" s="6"/>
    </row>
    <row r="541" spans="1:23" ht="16" x14ac:dyDescent="0.2">
      <c r="A541" s="6"/>
      <c r="B541" s="7"/>
      <c r="C541" s="7"/>
      <c r="D541" s="7"/>
      <c r="E541" s="7"/>
      <c r="F541" s="6"/>
      <c r="G541" s="6"/>
      <c r="H541" s="6"/>
      <c r="I541" s="6"/>
      <c r="J541" s="6"/>
      <c r="K541" s="6"/>
      <c r="L541" s="6"/>
      <c r="M541" s="6"/>
      <c r="N541" s="6"/>
      <c r="O541" s="6"/>
      <c r="P541" s="6"/>
      <c r="Q541" s="6"/>
      <c r="R541" s="6"/>
      <c r="S541" s="6"/>
      <c r="T541" s="6"/>
      <c r="U541" s="6"/>
      <c r="V541" s="6"/>
      <c r="W541" s="6"/>
    </row>
    <row r="542" spans="1:23" ht="16" x14ac:dyDescent="0.2">
      <c r="A542" s="6"/>
      <c r="B542" s="7"/>
      <c r="C542" s="7"/>
      <c r="D542" s="7"/>
      <c r="E542" s="7"/>
      <c r="F542" s="6"/>
      <c r="G542" s="6"/>
      <c r="H542" s="6"/>
      <c r="I542" s="6"/>
      <c r="J542" s="6"/>
      <c r="K542" s="6"/>
      <c r="L542" s="6"/>
      <c r="M542" s="6"/>
      <c r="N542" s="6"/>
      <c r="O542" s="6"/>
      <c r="P542" s="6"/>
      <c r="Q542" s="6"/>
      <c r="R542" s="6"/>
      <c r="S542" s="6"/>
      <c r="T542" s="6"/>
      <c r="U542" s="6"/>
      <c r="V542" s="6"/>
      <c r="W542" s="6"/>
    </row>
    <row r="543" spans="1:23" ht="16" x14ac:dyDescent="0.2">
      <c r="A543" s="6"/>
      <c r="B543" s="7"/>
      <c r="C543" s="7"/>
      <c r="D543" s="7"/>
      <c r="E543" s="7"/>
      <c r="F543" s="6"/>
      <c r="G543" s="6"/>
      <c r="H543" s="6"/>
      <c r="I543" s="6"/>
      <c r="J543" s="6"/>
      <c r="K543" s="6"/>
      <c r="L543" s="6"/>
      <c r="M543" s="6"/>
      <c r="N543" s="6"/>
      <c r="O543" s="6"/>
      <c r="P543" s="6"/>
      <c r="Q543" s="6"/>
      <c r="R543" s="6"/>
      <c r="S543" s="6"/>
      <c r="T543" s="6"/>
      <c r="U543" s="6"/>
      <c r="V543" s="6"/>
      <c r="W543" s="6"/>
    </row>
    <row r="544" spans="1:23" ht="16" x14ac:dyDescent="0.2">
      <c r="A544" s="6"/>
      <c r="B544" s="7"/>
      <c r="C544" s="7"/>
      <c r="D544" s="7"/>
      <c r="E544" s="7"/>
      <c r="F544" s="6"/>
      <c r="G544" s="6"/>
      <c r="H544" s="6"/>
      <c r="I544" s="6"/>
      <c r="J544" s="6"/>
      <c r="K544" s="6"/>
      <c r="L544" s="6"/>
      <c r="M544" s="6"/>
      <c r="N544" s="6"/>
      <c r="O544" s="6"/>
      <c r="P544" s="6"/>
      <c r="Q544" s="6"/>
      <c r="R544" s="6"/>
      <c r="S544" s="6"/>
      <c r="T544" s="6"/>
      <c r="U544" s="6"/>
      <c r="V544" s="6"/>
      <c r="W544" s="6"/>
    </row>
    <row r="545" spans="1:23" ht="16" x14ac:dyDescent="0.2">
      <c r="A545" s="6"/>
      <c r="B545" s="7"/>
      <c r="C545" s="7"/>
      <c r="D545" s="7"/>
      <c r="E545" s="7"/>
      <c r="F545" s="6"/>
      <c r="G545" s="6"/>
      <c r="H545" s="6"/>
      <c r="I545" s="6"/>
      <c r="J545" s="6"/>
      <c r="K545" s="6"/>
      <c r="L545" s="6"/>
      <c r="M545" s="6"/>
      <c r="N545" s="6"/>
      <c r="O545" s="6"/>
      <c r="P545" s="6"/>
      <c r="Q545" s="6"/>
      <c r="R545" s="6"/>
      <c r="S545" s="6"/>
      <c r="T545" s="6"/>
      <c r="U545" s="6"/>
      <c r="V545" s="6"/>
      <c r="W545" s="6"/>
    </row>
    <row r="546" spans="1:23" ht="16" x14ac:dyDescent="0.2">
      <c r="A546" s="6"/>
      <c r="B546" s="7"/>
      <c r="C546" s="7"/>
      <c r="D546" s="7"/>
      <c r="E546" s="7"/>
      <c r="F546" s="6"/>
      <c r="G546" s="6"/>
      <c r="H546" s="6"/>
      <c r="I546" s="6"/>
      <c r="J546" s="6"/>
      <c r="K546" s="6"/>
      <c r="L546" s="6"/>
      <c r="M546" s="6"/>
      <c r="N546" s="6"/>
      <c r="O546" s="6"/>
      <c r="P546" s="6"/>
      <c r="Q546" s="6"/>
      <c r="R546" s="6"/>
      <c r="S546" s="6"/>
      <c r="T546" s="6"/>
      <c r="U546" s="6"/>
      <c r="V546" s="6"/>
      <c r="W546" s="6"/>
    </row>
    <row r="547" spans="1:23" ht="16" x14ac:dyDescent="0.2">
      <c r="A547" s="6"/>
      <c r="B547" s="7"/>
      <c r="C547" s="7"/>
      <c r="D547" s="7"/>
      <c r="E547" s="7"/>
      <c r="F547" s="6"/>
      <c r="G547" s="6"/>
      <c r="H547" s="6"/>
      <c r="I547" s="6"/>
      <c r="J547" s="6"/>
      <c r="K547" s="6"/>
      <c r="L547" s="6"/>
      <c r="M547" s="6"/>
      <c r="N547" s="6"/>
      <c r="O547" s="6"/>
      <c r="P547" s="6"/>
      <c r="Q547" s="6"/>
      <c r="R547" s="6"/>
      <c r="S547" s="6"/>
      <c r="T547" s="6"/>
      <c r="U547" s="6"/>
      <c r="V547" s="6"/>
      <c r="W547" s="6"/>
    </row>
    <row r="548" spans="1:23" ht="16" x14ac:dyDescent="0.2">
      <c r="A548" s="6"/>
      <c r="B548" s="7"/>
      <c r="C548" s="7"/>
      <c r="D548" s="7"/>
      <c r="E548" s="7"/>
      <c r="F548" s="6"/>
      <c r="G548" s="6"/>
      <c r="H548" s="6"/>
      <c r="I548" s="6"/>
      <c r="J548" s="6"/>
      <c r="K548" s="6"/>
      <c r="L548" s="6"/>
      <c r="M548" s="6"/>
      <c r="N548" s="6"/>
      <c r="O548" s="6"/>
      <c r="P548" s="6"/>
      <c r="Q548" s="6"/>
      <c r="R548" s="6"/>
      <c r="S548" s="6"/>
      <c r="T548" s="6"/>
      <c r="U548" s="6"/>
      <c r="V548" s="6"/>
      <c r="W548" s="6"/>
    </row>
    <row r="549" spans="1:23" ht="16" x14ac:dyDescent="0.2">
      <c r="A549" s="6"/>
      <c r="B549" s="7"/>
      <c r="C549" s="7"/>
      <c r="D549" s="7"/>
      <c r="E549" s="7"/>
      <c r="F549" s="6"/>
      <c r="G549" s="6"/>
      <c r="H549" s="6"/>
      <c r="I549" s="6"/>
      <c r="J549" s="6"/>
      <c r="K549" s="6"/>
      <c r="L549" s="6"/>
      <c r="M549" s="6"/>
      <c r="N549" s="6"/>
      <c r="O549" s="6"/>
      <c r="P549" s="6"/>
      <c r="Q549" s="6"/>
      <c r="R549" s="6"/>
      <c r="S549" s="6"/>
      <c r="T549" s="6"/>
      <c r="U549" s="6"/>
      <c r="V549" s="6"/>
      <c r="W549" s="6"/>
    </row>
    <row r="550" spans="1:23" ht="16" x14ac:dyDescent="0.2">
      <c r="A550" s="6"/>
      <c r="B550" s="7"/>
      <c r="C550" s="7"/>
      <c r="D550" s="7"/>
      <c r="E550" s="7"/>
      <c r="F550" s="6"/>
      <c r="G550" s="6"/>
      <c r="H550" s="6"/>
      <c r="I550" s="6"/>
      <c r="J550" s="6"/>
      <c r="K550" s="6"/>
      <c r="L550" s="6"/>
      <c r="M550" s="6"/>
      <c r="N550" s="6"/>
      <c r="O550" s="6"/>
      <c r="P550" s="6"/>
      <c r="Q550" s="6"/>
      <c r="R550" s="6"/>
      <c r="S550" s="6"/>
      <c r="T550" s="6"/>
      <c r="U550" s="6"/>
      <c r="V550" s="6"/>
      <c r="W550" s="6"/>
    </row>
    <row r="551" spans="1:23" ht="16" x14ac:dyDescent="0.2">
      <c r="A551" s="6"/>
      <c r="B551" s="7"/>
      <c r="C551" s="7"/>
      <c r="D551" s="7"/>
      <c r="E551" s="7"/>
      <c r="F551" s="6"/>
      <c r="G551" s="6"/>
      <c r="H551" s="6"/>
      <c r="I551" s="6"/>
      <c r="J551" s="6"/>
      <c r="K551" s="6"/>
      <c r="L551" s="6"/>
      <c r="M551" s="6"/>
      <c r="N551" s="6"/>
      <c r="O551" s="6"/>
      <c r="P551" s="6"/>
      <c r="Q551" s="6"/>
      <c r="R551" s="6"/>
      <c r="S551" s="6"/>
      <c r="T551" s="6"/>
      <c r="U551" s="6"/>
      <c r="V551" s="6"/>
      <c r="W551" s="6"/>
    </row>
    <row r="552" spans="1:23" ht="16" x14ac:dyDescent="0.2">
      <c r="A552" s="6"/>
      <c r="B552" s="7"/>
      <c r="C552" s="7"/>
      <c r="D552" s="7"/>
      <c r="E552" s="7"/>
      <c r="F552" s="6"/>
      <c r="G552" s="6"/>
      <c r="H552" s="6"/>
      <c r="I552" s="6"/>
      <c r="J552" s="6"/>
      <c r="K552" s="6"/>
      <c r="L552" s="6"/>
      <c r="M552" s="6"/>
      <c r="N552" s="6"/>
      <c r="O552" s="6"/>
      <c r="P552" s="6"/>
      <c r="Q552" s="6"/>
      <c r="R552" s="6"/>
      <c r="S552" s="6"/>
      <c r="T552" s="6"/>
      <c r="U552" s="6"/>
      <c r="V552" s="6"/>
      <c r="W552" s="6"/>
    </row>
    <row r="553" spans="1:23" ht="16" x14ac:dyDescent="0.2">
      <c r="A553" s="6"/>
      <c r="B553" s="7"/>
      <c r="C553" s="7"/>
      <c r="D553" s="7"/>
      <c r="E553" s="7"/>
      <c r="F553" s="6"/>
      <c r="G553" s="6"/>
      <c r="H553" s="6"/>
      <c r="I553" s="6"/>
      <c r="J553" s="6"/>
      <c r="K553" s="6"/>
      <c r="L553" s="6"/>
      <c r="M553" s="6"/>
      <c r="N553" s="6"/>
      <c r="O553" s="6"/>
      <c r="P553" s="6"/>
      <c r="Q553" s="6"/>
      <c r="R553" s="6"/>
      <c r="S553" s="6"/>
      <c r="T553" s="6"/>
      <c r="U553" s="6"/>
      <c r="V553" s="6"/>
      <c r="W553" s="6"/>
    </row>
    <row r="554" spans="1:23" ht="16" x14ac:dyDescent="0.2">
      <c r="A554" s="6"/>
      <c r="B554" s="7"/>
      <c r="C554" s="7"/>
      <c r="D554" s="7"/>
      <c r="E554" s="7"/>
      <c r="F554" s="6"/>
      <c r="G554" s="6"/>
      <c r="H554" s="6"/>
      <c r="I554" s="6"/>
      <c r="J554" s="6"/>
      <c r="K554" s="6"/>
      <c r="L554" s="6"/>
      <c r="M554" s="6"/>
      <c r="N554" s="6"/>
      <c r="O554" s="6"/>
      <c r="P554" s="6"/>
      <c r="Q554" s="6"/>
      <c r="R554" s="6"/>
      <c r="S554" s="6"/>
      <c r="T554" s="6"/>
      <c r="U554" s="6"/>
      <c r="V554" s="6"/>
      <c r="W554" s="6"/>
    </row>
    <row r="555" spans="1:23" ht="16" x14ac:dyDescent="0.2">
      <c r="A555" s="6"/>
      <c r="B555" s="7"/>
      <c r="C555" s="7"/>
      <c r="D555" s="7"/>
      <c r="E555" s="7"/>
      <c r="F555" s="6"/>
      <c r="G555" s="6"/>
      <c r="H555" s="6"/>
      <c r="I555" s="6"/>
      <c r="J555" s="6"/>
      <c r="K555" s="6"/>
      <c r="L555" s="6"/>
      <c r="M555" s="6"/>
      <c r="N555" s="6"/>
      <c r="O555" s="6"/>
      <c r="P555" s="6"/>
      <c r="Q555" s="6"/>
      <c r="R555" s="6"/>
      <c r="S555" s="6"/>
      <c r="T555" s="6"/>
      <c r="U555" s="6"/>
      <c r="V555" s="6"/>
      <c r="W555" s="6"/>
    </row>
    <row r="556" spans="1:23" ht="16" x14ac:dyDescent="0.2">
      <c r="A556" s="6"/>
      <c r="B556" s="7"/>
      <c r="C556" s="7"/>
      <c r="D556" s="7"/>
      <c r="E556" s="7"/>
      <c r="F556" s="6"/>
      <c r="G556" s="6"/>
      <c r="H556" s="6"/>
      <c r="I556" s="6"/>
      <c r="J556" s="6"/>
      <c r="K556" s="6"/>
      <c r="L556" s="6"/>
      <c r="M556" s="6"/>
      <c r="N556" s="6"/>
      <c r="O556" s="6"/>
      <c r="P556" s="6"/>
      <c r="Q556" s="6"/>
      <c r="R556" s="6"/>
      <c r="S556" s="6"/>
      <c r="T556" s="6"/>
      <c r="U556" s="6"/>
      <c r="V556" s="6"/>
      <c r="W556" s="6"/>
    </row>
    <row r="557" spans="1:23" ht="16" x14ac:dyDescent="0.2">
      <c r="A557" s="6"/>
      <c r="B557" s="7"/>
      <c r="C557" s="7"/>
      <c r="D557" s="7"/>
      <c r="E557" s="7"/>
      <c r="F557" s="6"/>
      <c r="G557" s="6"/>
      <c r="H557" s="6"/>
      <c r="I557" s="6"/>
      <c r="J557" s="6"/>
      <c r="K557" s="6"/>
      <c r="L557" s="6"/>
      <c r="M557" s="6"/>
      <c r="N557" s="6"/>
      <c r="O557" s="6"/>
      <c r="P557" s="6"/>
      <c r="Q557" s="6"/>
      <c r="R557" s="6"/>
      <c r="S557" s="6"/>
      <c r="T557" s="6"/>
      <c r="U557" s="6"/>
      <c r="V557" s="6"/>
      <c r="W557" s="6"/>
    </row>
    <row r="558" spans="1:23" ht="16" x14ac:dyDescent="0.2">
      <c r="A558" s="6"/>
      <c r="B558" s="7"/>
      <c r="C558" s="7"/>
      <c r="D558" s="7"/>
      <c r="E558" s="7"/>
      <c r="F558" s="6"/>
      <c r="G558" s="6"/>
      <c r="H558" s="6"/>
      <c r="I558" s="6"/>
      <c r="J558" s="6"/>
      <c r="K558" s="6"/>
      <c r="L558" s="6"/>
      <c r="M558" s="6"/>
      <c r="N558" s="6"/>
      <c r="O558" s="6"/>
      <c r="P558" s="6"/>
      <c r="Q558" s="6"/>
      <c r="R558" s="6"/>
      <c r="S558" s="6"/>
      <c r="T558" s="6"/>
      <c r="U558" s="6"/>
      <c r="V558" s="6"/>
      <c r="W558" s="6"/>
    </row>
    <row r="559" spans="1:23" ht="16" x14ac:dyDescent="0.2">
      <c r="A559" s="6"/>
      <c r="B559" s="7"/>
      <c r="C559" s="7"/>
      <c r="D559" s="7"/>
      <c r="E559" s="7"/>
      <c r="F559" s="6"/>
      <c r="G559" s="6"/>
      <c r="H559" s="6"/>
      <c r="I559" s="6"/>
      <c r="J559" s="6"/>
      <c r="K559" s="6"/>
      <c r="L559" s="6"/>
      <c r="M559" s="6"/>
      <c r="N559" s="6"/>
      <c r="O559" s="6"/>
      <c r="P559" s="6"/>
      <c r="Q559" s="6"/>
      <c r="R559" s="6"/>
      <c r="S559" s="6"/>
      <c r="T559" s="6"/>
      <c r="U559" s="6"/>
      <c r="V559" s="6"/>
      <c r="W559" s="6"/>
    </row>
    <row r="560" spans="1:23" ht="16" x14ac:dyDescent="0.2">
      <c r="A560" s="6"/>
      <c r="B560" s="7"/>
      <c r="C560" s="7"/>
      <c r="D560" s="7"/>
      <c r="E560" s="7"/>
      <c r="F560" s="6"/>
      <c r="G560" s="6"/>
      <c r="H560" s="6"/>
      <c r="I560" s="6"/>
      <c r="J560" s="6"/>
      <c r="K560" s="6"/>
      <c r="L560" s="6"/>
      <c r="M560" s="6"/>
      <c r="N560" s="6"/>
      <c r="O560" s="6"/>
      <c r="P560" s="6"/>
      <c r="Q560" s="6"/>
      <c r="R560" s="6"/>
      <c r="S560" s="6"/>
      <c r="T560" s="6"/>
      <c r="U560" s="6"/>
      <c r="V560" s="6"/>
      <c r="W560" s="6"/>
    </row>
    <row r="561" spans="1:23" ht="16" x14ac:dyDescent="0.2">
      <c r="A561" s="6"/>
      <c r="B561" s="7"/>
      <c r="C561" s="7"/>
      <c r="D561" s="7"/>
      <c r="E561" s="7"/>
      <c r="F561" s="6"/>
      <c r="G561" s="6"/>
      <c r="H561" s="6"/>
      <c r="I561" s="6"/>
      <c r="J561" s="6"/>
      <c r="K561" s="6"/>
      <c r="L561" s="6"/>
      <c r="M561" s="6"/>
      <c r="N561" s="6"/>
      <c r="O561" s="6"/>
      <c r="P561" s="6"/>
      <c r="Q561" s="6"/>
      <c r="R561" s="6"/>
      <c r="S561" s="6"/>
      <c r="T561" s="6"/>
      <c r="U561" s="6"/>
      <c r="V561" s="6"/>
      <c r="W561" s="6"/>
    </row>
    <row r="562" spans="1:23" ht="16" x14ac:dyDescent="0.2">
      <c r="A562" s="6"/>
      <c r="B562" s="7"/>
      <c r="C562" s="7"/>
      <c r="D562" s="7"/>
      <c r="E562" s="7"/>
      <c r="F562" s="6"/>
      <c r="G562" s="6"/>
      <c r="H562" s="6"/>
      <c r="I562" s="6"/>
      <c r="J562" s="6"/>
      <c r="K562" s="6"/>
      <c r="L562" s="6"/>
      <c r="M562" s="6"/>
      <c r="N562" s="6"/>
      <c r="O562" s="6"/>
      <c r="P562" s="6"/>
      <c r="Q562" s="6"/>
      <c r="R562" s="6"/>
      <c r="S562" s="6"/>
      <c r="T562" s="6"/>
      <c r="U562" s="6"/>
      <c r="V562" s="6"/>
      <c r="W562" s="6"/>
    </row>
    <row r="563" spans="1:23" ht="16" x14ac:dyDescent="0.2">
      <c r="A563" s="6"/>
      <c r="B563" s="7"/>
      <c r="C563" s="7"/>
      <c r="D563" s="7"/>
      <c r="E563" s="7"/>
      <c r="F563" s="6"/>
      <c r="G563" s="6"/>
      <c r="H563" s="6"/>
      <c r="I563" s="6"/>
      <c r="J563" s="6"/>
      <c r="K563" s="6"/>
      <c r="L563" s="6"/>
      <c r="M563" s="6"/>
      <c r="N563" s="6"/>
      <c r="O563" s="6"/>
      <c r="P563" s="6"/>
      <c r="Q563" s="6"/>
      <c r="R563" s="6"/>
      <c r="S563" s="6"/>
      <c r="T563" s="6"/>
      <c r="U563" s="6"/>
      <c r="V563" s="6"/>
      <c r="W563" s="6"/>
    </row>
    <row r="564" spans="1:23" ht="16" x14ac:dyDescent="0.2">
      <c r="A564" s="6"/>
      <c r="B564" s="7"/>
      <c r="C564" s="7"/>
      <c r="D564" s="7"/>
      <c r="E564" s="7"/>
      <c r="F564" s="6"/>
      <c r="G564" s="6"/>
      <c r="H564" s="6"/>
      <c r="I564" s="6"/>
      <c r="J564" s="6"/>
      <c r="K564" s="6"/>
      <c r="L564" s="6"/>
      <c r="M564" s="6"/>
      <c r="N564" s="6"/>
      <c r="O564" s="6"/>
      <c r="P564" s="6"/>
      <c r="Q564" s="6"/>
      <c r="R564" s="6"/>
      <c r="S564" s="6"/>
      <c r="T564" s="6"/>
      <c r="U564" s="6"/>
      <c r="V564" s="6"/>
      <c r="W564" s="6"/>
    </row>
    <row r="565" spans="1:23" ht="16" x14ac:dyDescent="0.2">
      <c r="A565" s="6"/>
      <c r="B565" s="7"/>
      <c r="C565" s="7"/>
      <c r="D565" s="7"/>
      <c r="E565" s="7"/>
      <c r="F565" s="6"/>
      <c r="G565" s="6"/>
      <c r="H565" s="6"/>
      <c r="I565" s="6"/>
      <c r="J565" s="6"/>
      <c r="K565" s="6"/>
      <c r="L565" s="6"/>
      <c r="M565" s="6"/>
      <c r="N565" s="6"/>
      <c r="O565" s="6"/>
      <c r="P565" s="6"/>
      <c r="Q565" s="6"/>
      <c r="R565" s="6"/>
      <c r="S565" s="6"/>
      <c r="T565" s="6"/>
      <c r="U565" s="6"/>
      <c r="V565" s="6"/>
      <c r="W565" s="6"/>
    </row>
    <row r="566" spans="1:23" ht="16" x14ac:dyDescent="0.2">
      <c r="A566" s="6"/>
      <c r="B566" s="7"/>
      <c r="C566" s="7"/>
      <c r="D566" s="7"/>
      <c r="E566" s="7"/>
      <c r="F566" s="6"/>
      <c r="G566" s="6"/>
      <c r="H566" s="6"/>
      <c r="I566" s="6"/>
      <c r="J566" s="6"/>
      <c r="K566" s="6"/>
      <c r="L566" s="6"/>
      <c r="M566" s="6"/>
      <c r="N566" s="6"/>
      <c r="O566" s="6"/>
      <c r="P566" s="6"/>
      <c r="Q566" s="6"/>
      <c r="R566" s="6"/>
      <c r="S566" s="6"/>
      <c r="T566" s="6"/>
      <c r="U566" s="6"/>
      <c r="V566" s="6"/>
      <c r="W566" s="6"/>
    </row>
    <row r="567" spans="1:23" ht="16" x14ac:dyDescent="0.2">
      <c r="A567" s="6"/>
      <c r="B567" s="7"/>
      <c r="C567" s="7"/>
      <c r="D567" s="7"/>
      <c r="E567" s="7"/>
      <c r="F567" s="6"/>
      <c r="G567" s="6"/>
      <c r="H567" s="6"/>
      <c r="I567" s="6"/>
      <c r="J567" s="6"/>
      <c r="K567" s="6"/>
      <c r="L567" s="6"/>
      <c r="M567" s="6"/>
      <c r="N567" s="6"/>
      <c r="O567" s="6"/>
      <c r="P567" s="6"/>
      <c r="Q567" s="6"/>
      <c r="R567" s="6"/>
      <c r="S567" s="6"/>
      <c r="T567" s="6"/>
      <c r="U567" s="6"/>
      <c r="V567" s="6"/>
      <c r="W567" s="6"/>
    </row>
    <row r="568" spans="1:23" ht="16" x14ac:dyDescent="0.2">
      <c r="A568" s="6"/>
      <c r="B568" s="7"/>
      <c r="C568" s="7"/>
      <c r="D568" s="7"/>
      <c r="E568" s="7"/>
      <c r="F568" s="6"/>
      <c r="G568" s="6"/>
      <c r="H568" s="6"/>
      <c r="I568" s="6"/>
      <c r="J568" s="6"/>
      <c r="K568" s="6"/>
      <c r="L568" s="6"/>
      <c r="M568" s="6"/>
      <c r="N568" s="6"/>
      <c r="O568" s="6"/>
      <c r="P568" s="6"/>
      <c r="Q568" s="6"/>
      <c r="R568" s="6"/>
      <c r="S568" s="6"/>
      <c r="T568" s="6"/>
      <c r="U568" s="6"/>
      <c r="V568" s="6"/>
      <c r="W568" s="6"/>
    </row>
    <row r="569" spans="1:23" ht="16" x14ac:dyDescent="0.2">
      <c r="A569" s="6"/>
      <c r="B569" s="7"/>
      <c r="C569" s="7"/>
      <c r="D569" s="7"/>
      <c r="E569" s="7"/>
      <c r="F569" s="6"/>
      <c r="G569" s="6"/>
      <c r="H569" s="6"/>
      <c r="I569" s="6"/>
      <c r="J569" s="6"/>
      <c r="K569" s="6"/>
      <c r="L569" s="6"/>
      <c r="M569" s="6"/>
      <c r="N569" s="6"/>
      <c r="O569" s="6"/>
      <c r="P569" s="6"/>
      <c r="Q569" s="6"/>
      <c r="R569" s="6"/>
      <c r="S569" s="6"/>
      <c r="T569" s="6"/>
      <c r="U569" s="6"/>
      <c r="V569" s="6"/>
      <c r="W569" s="6"/>
    </row>
    <row r="570" spans="1:23" ht="16" x14ac:dyDescent="0.2">
      <c r="A570" s="6"/>
      <c r="B570" s="7"/>
      <c r="C570" s="7"/>
      <c r="D570" s="7"/>
      <c r="E570" s="7"/>
      <c r="F570" s="6"/>
      <c r="G570" s="6"/>
      <c r="H570" s="6"/>
      <c r="I570" s="6"/>
      <c r="J570" s="6"/>
      <c r="K570" s="6"/>
      <c r="L570" s="6"/>
      <c r="M570" s="6"/>
      <c r="N570" s="6"/>
      <c r="O570" s="6"/>
      <c r="P570" s="6"/>
      <c r="Q570" s="6"/>
      <c r="R570" s="6"/>
      <c r="S570" s="6"/>
      <c r="T570" s="6"/>
      <c r="U570" s="6"/>
      <c r="V570" s="6"/>
      <c r="W570" s="6"/>
    </row>
    <row r="571" spans="1:23" ht="16" x14ac:dyDescent="0.2">
      <c r="A571" s="6"/>
      <c r="B571" s="7"/>
      <c r="C571" s="7"/>
      <c r="D571" s="7"/>
      <c r="E571" s="7"/>
      <c r="F571" s="6"/>
      <c r="G571" s="6"/>
      <c r="H571" s="6"/>
      <c r="I571" s="6"/>
      <c r="J571" s="6"/>
      <c r="K571" s="6"/>
      <c r="L571" s="6"/>
      <c r="M571" s="6"/>
      <c r="N571" s="6"/>
      <c r="O571" s="6"/>
      <c r="P571" s="6"/>
      <c r="Q571" s="6"/>
      <c r="R571" s="6"/>
      <c r="S571" s="6"/>
      <c r="T571" s="6"/>
      <c r="U571" s="6"/>
      <c r="V571" s="6"/>
      <c r="W571" s="6"/>
    </row>
    <row r="572" spans="1:23" ht="16" x14ac:dyDescent="0.2">
      <c r="A572" s="6"/>
      <c r="B572" s="7"/>
      <c r="C572" s="7"/>
      <c r="D572" s="7"/>
      <c r="E572" s="7"/>
      <c r="F572" s="6"/>
      <c r="G572" s="6"/>
      <c r="H572" s="6"/>
      <c r="I572" s="6"/>
      <c r="J572" s="6"/>
      <c r="K572" s="6"/>
      <c r="L572" s="6"/>
      <c r="M572" s="6"/>
      <c r="N572" s="6"/>
      <c r="O572" s="6"/>
      <c r="P572" s="6"/>
      <c r="Q572" s="6"/>
      <c r="R572" s="6"/>
      <c r="S572" s="6"/>
      <c r="T572" s="6"/>
      <c r="U572" s="6"/>
      <c r="V572" s="6"/>
      <c r="W572" s="6"/>
    </row>
    <row r="573" spans="1:23" ht="16" x14ac:dyDescent="0.2">
      <c r="A573" s="6"/>
      <c r="B573" s="7"/>
      <c r="C573" s="7"/>
      <c r="D573" s="7"/>
      <c r="E573" s="7"/>
      <c r="F573" s="6"/>
      <c r="G573" s="6"/>
      <c r="H573" s="6"/>
      <c r="I573" s="6"/>
      <c r="J573" s="6"/>
      <c r="K573" s="6"/>
      <c r="L573" s="6"/>
      <c r="M573" s="6"/>
      <c r="N573" s="6"/>
      <c r="O573" s="6"/>
      <c r="P573" s="6"/>
      <c r="Q573" s="6"/>
      <c r="R573" s="6"/>
      <c r="S573" s="6"/>
      <c r="T573" s="6"/>
      <c r="U573" s="6"/>
      <c r="V573" s="6"/>
      <c r="W573" s="6"/>
    </row>
    <row r="574" spans="1:23" ht="16" x14ac:dyDescent="0.2">
      <c r="A574" s="6"/>
      <c r="B574" s="7"/>
      <c r="C574" s="7"/>
      <c r="D574" s="7"/>
      <c r="E574" s="7"/>
      <c r="F574" s="6"/>
      <c r="G574" s="6"/>
      <c r="H574" s="6"/>
      <c r="I574" s="6"/>
      <c r="J574" s="6"/>
      <c r="K574" s="6"/>
      <c r="L574" s="6"/>
      <c r="M574" s="6"/>
      <c r="N574" s="6"/>
      <c r="O574" s="6"/>
      <c r="P574" s="6"/>
      <c r="Q574" s="6"/>
      <c r="R574" s="6"/>
      <c r="S574" s="6"/>
      <c r="T574" s="6"/>
      <c r="U574" s="6"/>
      <c r="V574" s="6"/>
      <c r="W574" s="6"/>
    </row>
    <row r="575" spans="1:23" ht="16" x14ac:dyDescent="0.2">
      <c r="A575" s="6"/>
      <c r="B575" s="7"/>
      <c r="C575" s="7"/>
      <c r="D575" s="7"/>
      <c r="E575" s="7"/>
      <c r="F575" s="6"/>
      <c r="G575" s="6"/>
      <c r="H575" s="6"/>
      <c r="I575" s="6"/>
      <c r="J575" s="6"/>
      <c r="K575" s="6"/>
      <c r="L575" s="6"/>
      <c r="M575" s="6"/>
      <c r="N575" s="6"/>
      <c r="O575" s="6"/>
      <c r="P575" s="6"/>
      <c r="Q575" s="6"/>
      <c r="R575" s="6"/>
      <c r="S575" s="6"/>
      <c r="T575" s="6"/>
      <c r="U575" s="6"/>
      <c r="V575" s="6"/>
      <c r="W575" s="6"/>
    </row>
    <row r="576" spans="1:23" ht="16" x14ac:dyDescent="0.2">
      <c r="A576" s="6"/>
      <c r="B576" s="7"/>
      <c r="C576" s="7"/>
      <c r="D576" s="7"/>
      <c r="E576" s="7"/>
      <c r="F576" s="6"/>
      <c r="G576" s="6"/>
      <c r="H576" s="6"/>
      <c r="I576" s="6"/>
      <c r="J576" s="6"/>
      <c r="K576" s="6"/>
      <c r="L576" s="6"/>
      <c r="M576" s="6"/>
      <c r="N576" s="6"/>
      <c r="O576" s="6"/>
      <c r="P576" s="6"/>
      <c r="Q576" s="6"/>
      <c r="R576" s="6"/>
      <c r="S576" s="6"/>
      <c r="T576" s="6"/>
      <c r="U576" s="6"/>
      <c r="V576" s="6"/>
      <c r="W576" s="6"/>
    </row>
    <row r="577" spans="1:23" ht="16" x14ac:dyDescent="0.2">
      <c r="A577" s="6"/>
      <c r="B577" s="7"/>
      <c r="C577" s="7"/>
      <c r="D577" s="7"/>
      <c r="E577" s="7"/>
      <c r="F577" s="6"/>
      <c r="G577" s="6"/>
      <c r="H577" s="6"/>
      <c r="I577" s="6"/>
      <c r="J577" s="6"/>
      <c r="K577" s="6"/>
      <c r="L577" s="6"/>
      <c r="M577" s="6"/>
      <c r="N577" s="6"/>
      <c r="O577" s="6"/>
      <c r="P577" s="6"/>
      <c r="Q577" s="6"/>
      <c r="R577" s="6"/>
      <c r="S577" s="6"/>
      <c r="T577" s="6"/>
      <c r="U577" s="6"/>
      <c r="V577" s="6"/>
      <c r="W577" s="6"/>
    </row>
    <row r="578" spans="1:23" ht="16" x14ac:dyDescent="0.2">
      <c r="A578" s="6"/>
      <c r="B578" s="7"/>
      <c r="C578" s="7"/>
      <c r="D578" s="7"/>
      <c r="E578" s="7"/>
      <c r="F578" s="6"/>
      <c r="G578" s="6"/>
      <c r="H578" s="6"/>
      <c r="I578" s="6"/>
      <c r="J578" s="6"/>
      <c r="K578" s="6"/>
      <c r="L578" s="6"/>
      <c r="M578" s="6"/>
      <c r="N578" s="6"/>
      <c r="O578" s="6"/>
      <c r="P578" s="6"/>
      <c r="Q578" s="6"/>
      <c r="R578" s="6"/>
      <c r="S578" s="6"/>
      <c r="T578" s="6"/>
      <c r="U578" s="6"/>
      <c r="V578" s="6"/>
      <c r="W578" s="6"/>
    </row>
    <row r="579" spans="1:23" ht="16" x14ac:dyDescent="0.2">
      <c r="A579" s="6"/>
      <c r="B579" s="7"/>
      <c r="C579" s="7"/>
      <c r="D579" s="7"/>
      <c r="E579" s="7"/>
      <c r="F579" s="6"/>
      <c r="G579" s="6"/>
      <c r="H579" s="6"/>
      <c r="I579" s="6"/>
      <c r="J579" s="6"/>
      <c r="K579" s="6"/>
      <c r="L579" s="6"/>
      <c r="M579" s="6"/>
      <c r="N579" s="6"/>
      <c r="O579" s="6"/>
      <c r="P579" s="6"/>
      <c r="Q579" s="6"/>
      <c r="R579" s="6"/>
      <c r="S579" s="6"/>
      <c r="T579" s="6"/>
      <c r="U579" s="6"/>
      <c r="V579" s="6"/>
      <c r="W579" s="6"/>
    </row>
    <row r="580" spans="1:23" ht="16" x14ac:dyDescent="0.2">
      <c r="A580" s="6"/>
      <c r="B580" s="7"/>
      <c r="C580" s="7"/>
      <c r="D580" s="7"/>
      <c r="E580" s="7"/>
      <c r="F580" s="6"/>
      <c r="G580" s="6"/>
      <c r="H580" s="6"/>
      <c r="I580" s="6"/>
      <c r="J580" s="6"/>
      <c r="K580" s="6"/>
      <c r="L580" s="6"/>
      <c r="M580" s="6"/>
      <c r="N580" s="6"/>
      <c r="O580" s="6"/>
      <c r="P580" s="6"/>
      <c r="Q580" s="6"/>
      <c r="R580" s="6"/>
      <c r="S580" s="6"/>
      <c r="T580" s="6"/>
      <c r="U580" s="6"/>
      <c r="V580" s="6"/>
      <c r="W580" s="6"/>
    </row>
    <row r="581" spans="1:23" ht="16" x14ac:dyDescent="0.2">
      <c r="A581" s="6"/>
      <c r="B581" s="7"/>
      <c r="C581" s="7"/>
      <c r="D581" s="7"/>
      <c r="E581" s="7"/>
      <c r="F581" s="6"/>
      <c r="G581" s="6"/>
      <c r="H581" s="6"/>
      <c r="I581" s="6"/>
      <c r="J581" s="6"/>
      <c r="K581" s="6"/>
      <c r="L581" s="6"/>
      <c r="M581" s="6"/>
      <c r="N581" s="6"/>
      <c r="O581" s="6"/>
      <c r="P581" s="6"/>
      <c r="Q581" s="6"/>
      <c r="R581" s="6"/>
      <c r="S581" s="6"/>
      <c r="T581" s="6"/>
      <c r="U581" s="6"/>
      <c r="V581" s="6"/>
      <c r="W581" s="6"/>
    </row>
    <row r="582" spans="1:23" ht="16" x14ac:dyDescent="0.2">
      <c r="A582" s="6"/>
      <c r="B582" s="7"/>
      <c r="C582" s="7"/>
      <c r="D582" s="7"/>
      <c r="E582" s="7"/>
      <c r="F582" s="6"/>
      <c r="G582" s="6"/>
      <c r="H582" s="6"/>
      <c r="I582" s="6"/>
      <c r="J582" s="6"/>
      <c r="K582" s="6"/>
      <c r="L582" s="6"/>
      <c r="M582" s="6"/>
      <c r="N582" s="6"/>
      <c r="O582" s="6"/>
      <c r="P582" s="6"/>
      <c r="Q582" s="6"/>
      <c r="R582" s="6"/>
      <c r="S582" s="6"/>
      <c r="T582" s="6"/>
      <c r="U582" s="6"/>
      <c r="V582" s="6"/>
      <c r="W582" s="6"/>
    </row>
    <row r="583" spans="1:23" ht="16" x14ac:dyDescent="0.2">
      <c r="A583" s="6"/>
      <c r="B583" s="7"/>
      <c r="C583" s="7"/>
      <c r="D583" s="7"/>
      <c r="E583" s="7"/>
      <c r="F583" s="6"/>
      <c r="G583" s="6"/>
      <c r="H583" s="6"/>
      <c r="I583" s="6"/>
      <c r="J583" s="6"/>
      <c r="K583" s="6"/>
      <c r="L583" s="6"/>
      <c r="M583" s="6"/>
      <c r="N583" s="6"/>
      <c r="O583" s="6"/>
      <c r="P583" s="6"/>
      <c r="Q583" s="6"/>
      <c r="R583" s="6"/>
      <c r="S583" s="6"/>
      <c r="T583" s="6"/>
      <c r="U583" s="6"/>
      <c r="V583" s="6"/>
      <c r="W583" s="6"/>
    </row>
    <row r="584" spans="1:23" ht="16" x14ac:dyDescent="0.2">
      <c r="A584" s="6"/>
      <c r="B584" s="7"/>
      <c r="C584" s="7"/>
      <c r="D584" s="7"/>
      <c r="E584" s="7"/>
      <c r="F584" s="6"/>
      <c r="G584" s="6"/>
      <c r="H584" s="6"/>
      <c r="I584" s="6"/>
      <c r="J584" s="6"/>
      <c r="K584" s="6"/>
      <c r="L584" s="6"/>
      <c r="M584" s="6"/>
      <c r="N584" s="6"/>
      <c r="O584" s="6"/>
      <c r="P584" s="6"/>
      <c r="Q584" s="6"/>
      <c r="R584" s="6"/>
      <c r="S584" s="6"/>
      <c r="T584" s="6"/>
      <c r="U584" s="6"/>
      <c r="V584" s="6"/>
      <c r="W584" s="6"/>
    </row>
    <row r="585" spans="1:23" ht="16" x14ac:dyDescent="0.2">
      <c r="A585" s="6"/>
      <c r="B585" s="7"/>
      <c r="C585" s="7"/>
      <c r="D585" s="7"/>
      <c r="E585" s="7"/>
      <c r="F585" s="6"/>
      <c r="G585" s="6"/>
      <c r="H585" s="6"/>
      <c r="I585" s="6"/>
      <c r="J585" s="6"/>
      <c r="K585" s="6"/>
      <c r="L585" s="6"/>
      <c r="M585" s="6"/>
      <c r="N585" s="6"/>
      <c r="O585" s="6"/>
      <c r="P585" s="6"/>
      <c r="Q585" s="6"/>
      <c r="R585" s="6"/>
      <c r="S585" s="6"/>
      <c r="T585" s="6"/>
      <c r="U585" s="6"/>
      <c r="V585" s="6"/>
      <c r="W585" s="6"/>
    </row>
    <row r="586" spans="1:23" ht="16" x14ac:dyDescent="0.2">
      <c r="A586" s="6"/>
      <c r="B586" s="7"/>
      <c r="C586" s="7"/>
      <c r="D586" s="7"/>
      <c r="E586" s="7"/>
      <c r="F586" s="6"/>
      <c r="G586" s="6"/>
      <c r="H586" s="6"/>
      <c r="I586" s="6"/>
      <c r="J586" s="6"/>
      <c r="K586" s="6"/>
      <c r="L586" s="6"/>
      <c r="M586" s="6"/>
      <c r="N586" s="6"/>
      <c r="O586" s="6"/>
      <c r="P586" s="6"/>
      <c r="Q586" s="6"/>
      <c r="R586" s="6"/>
      <c r="S586" s="6"/>
      <c r="T586" s="6"/>
      <c r="U586" s="6"/>
      <c r="V586" s="6"/>
      <c r="W586" s="6"/>
    </row>
    <row r="587" spans="1:23" ht="16" x14ac:dyDescent="0.2">
      <c r="A587" s="6"/>
      <c r="B587" s="7"/>
      <c r="C587" s="7"/>
      <c r="D587" s="7"/>
      <c r="E587" s="7"/>
      <c r="F587" s="6"/>
      <c r="G587" s="6"/>
      <c r="H587" s="6"/>
      <c r="I587" s="6"/>
      <c r="J587" s="6"/>
      <c r="K587" s="6"/>
      <c r="L587" s="6"/>
      <c r="M587" s="6"/>
      <c r="N587" s="6"/>
      <c r="O587" s="6"/>
      <c r="P587" s="6"/>
      <c r="Q587" s="6"/>
      <c r="R587" s="6"/>
      <c r="S587" s="6"/>
      <c r="T587" s="6"/>
      <c r="U587" s="6"/>
      <c r="V587" s="6"/>
      <c r="W587" s="6"/>
    </row>
    <row r="588" spans="1:23" ht="16" x14ac:dyDescent="0.2">
      <c r="A588" s="6"/>
      <c r="B588" s="7"/>
      <c r="C588" s="7"/>
      <c r="D588" s="7"/>
      <c r="E588" s="7"/>
      <c r="F588" s="6"/>
      <c r="G588" s="6"/>
      <c r="H588" s="6"/>
      <c r="I588" s="6"/>
      <c r="J588" s="6"/>
      <c r="K588" s="6"/>
      <c r="L588" s="6"/>
      <c r="M588" s="6"/>
      <c r="N588" s="6"/>
      <c r="O588" s="6"/>
      <c r="P588" s="6"/>
      <c r="Q588" s="6"/>
      <c r="R588" s="6"/>
      <c r="S588" s="6"/>
      <c r="T588" s="6"/>
      <c r="U588" s="6"/>
      <c r="V588" s="6"/>
      <c r="W588" s="6"/>
    </row>
    <row r="589" spans="1:23" ht="16" x14ac:dyDescent="0.2">
      <c r="A589" s="6"/>
      <c r="B589" s="7"/>
      <c r="C589" s="7"/>
      <c r="D589" s="7"/>
      <c r="E589" s="7"/>
      <c r="F589" s="6"/>
      <c r="G589" s="6"/>
      <c r="H589" s="6"/>
      <c r="I589" s="6"/>
      <c r="J589" s="6"/>
      <c r="K589" s="6"/>
      <c r="L589" s="6"/>
      <c r="M589" s="6"/>
      <c r="N589" s="6"/>
      <c r="O589" s="6"/>
      <c r="P589" s="6"/>
      <c r="Q589" s="6"/>
      <c r="R589" s="6"/>
      <c r="S589" s="6"/>
      <c r="T589" s="6"/>
      <c r="U589" s="6"/>
      <c r="V589" s="6"/>
      <c r="W589" s="6"/>
    </row>
    <row r="590" spans="1:23" ht="16" x14ac:dyDescent="0.2">
      <c r="A590" s="6"/>
      <c r="B590" s="7"/>
      <c r="C590" s="7"/>
      <c r="D590" s="7"/>
      <c r="E590" s="7"/>
      <c r="F590" s="6"/>
      <c r="G590" s="6"/>
      <c r="H590" s="6"/>
      <c r="I590" s="6"/>
      <c r="J590" s="6"/>
      <c r="K590" s="6"/>
      <c r="L590" s="6"/>
      <c r="M590" s="6"/>
      <c r="N590" s="6"/>
      <c r="O590" s="6"/>
      <c r="P590" s="6"/>
      <c r="Q590" s="6"/>
      <c r="R590" s="6"/>
      <c r="S590" s="6"/>
      <c r="T590" s="6"/>
      <c r="U590" s="6"/>
      <c r="V590" s="6"/>
      <c r="W590" s="6"/>
    </row>
    <row r="591" spans="1:23" ht="16" x14ac:dyDescent="0.2">
      <c r="A591" s="6"/>
      <c r="B591" s="7"/>
      <c r="C591" s="7"/>
      <c r="D591" s="7"/>
      <c r="E591" s="7"/>
      <c r="F591" s="6"/>
      <c r="G591" s="6"/>
      <c r="H591" s="6"/>
      <c r="I591" s="6"/>
      <c r="J591" s="6"/>
      <c r="K591" s="6"/>
      <c r="L591" s="6"/>
      <c r="M591" s="6"/>
      <c r="N591" s="6"/>
      <c r="O591" s="6"/>
      <c r="P591" s="6"/>
      <c r="Q591" s="6"/>
      <c r="R591" s="6"/>
      <c r="S591" s="6"/>
      <c r="T591" s="6"/>
      <c r="U591" s="6"/>
      <c r="V591" s="6"/>
      <c r="W591" s="6"/>
    </row>
    <row r="592" spans="1:23" ht="16" x14ac:dyDescent="0.2">
      <c r="A592" s="6"/>
      <c r="B592" s="7"/>
      <c r="C592" s="7"/>
      <c r="D592" s="7"/>
      <c r="E592" s="7"/>
      <c r="F592" s="6"/>
      <c r="G592" s="6"/>
      <c r="H592" s="6"/>
      <c r="I592" s="6"/>
      <c r="J592" s="6"/>
      <c r="K592" s="6"/>
      <c r="L592" s="6"/>
      <c r="M592" s="6"/>
      <c r="N592" s="6"/>
      <c r="O592" s="6"/>
      <c r="P592" s="6"/>
      <c r="Q592" s="6"/>
      <c r="R592" s="6"/>
      <c r="S592" s="6"/>
      <c r="T592" s="6"/>
      <c r="U592" s="6"/>
      <c r="V592" s="6"/>
      <c r="W592" s="6"/>
    </row>
    <row r="593" spans="1:23" ht="16" x14ac:dyDescent="0.2">
      <c r="A593" s="6"/>
      <c r="B593" s="7"/>
      <c r="C593" s="7"/>
      <c r="D593" s="7"/>
      <c r="E593" s="7"/>
      <c r="F593" s="6"/>
      <c r="G593" s="6"/>
      <c r="H593" s="6"/>
      <c r="I593" s="6"/>
      <c r="J593" s="6"/>
      <c r="K593" s="6"/>
      <c r="L593" s="6"/>
      <c r="M593" s="6"/>
      <c r="N593" s="6"/>
      <c r="O593" s="6"/>
      <c r="P593" s="6"/>
      <c r="Q593" s="6"/>
      <c r="R593" s="6"/>
      <c r="S593" s="6"/>
      <c r="T593" s="6"/>
      <c r="U593" s="6"/>
      <c r="V593" s="6"/>
      <c r="W593" s="6"/>
    </row>
    <row r="594" spans="1:23" ht="16" x14ac:dyDescent="0.2">
      <c r="A594" s="6"/>
      <c r="B594" s="7"/>
      <c r="C594" s="7"/>
      <c r="D594" s="7"/>
      <c r="E594" s="7"/>
      <c r="F594" s="6"/>
      <c r="G594" s="6"/>
      <c r="H594" s="6"/>
      <c r="I594" s="6"/>
      <c r="J594" s="6"/>
      <c r="K594" s="6"/>
      <c r="L594" s="6"/>
      <c r="M594" s="6"/>
      <c r="N594" s="6"/>
      <c r="O594" s="6"/>
      <c r="P594" s="6"/>
      <c r="Q594" s="6"/>
      <c r="R594" s="6"/>
      <c r="S594" s="6"/>
      <c r="T594" s="6"/>
      <c r="U594" s="6"/>
      <c r="V594" s="6"/>
      <c r="W594" s="6"/>
    </row>
    <row r="595" spans="1:23" ht="16" x14ac:dyDescent="0.2">
      <c r="A595" s="6"/>
      <c r="B595" s="7"/>
      <c r="C595" s="7"/>
      <c r="D595" s="7"/>
      <c r="E595" s="7"/>
      <c r="F595" s="6"/>
      <c r="G595" s="6"/>
      <c r="H595" s="6"/>
      <c r="I595" s="6"/>
      <c r="J595" s="6"/>
      <c r="K595" s="6"/>
      <c r="L595" s="6"/>
      <c r="M595" s="6"/>
      <c r="N595" s="6"/>
      <c r="O595" s="6"/>
      <c r="P595" s="6"/>
      <c r="Q595" s="6"/>
      <c r="R595" s="6"/>
      <c r="S595" s="6"/>
      <c r="T595" s="6"/>
      <c r="U595" s="6"/>
      <c r="V595" s="6"/>
      <c r="W595" s="6"/>
    </row>
    <row r="596" spans="1:23" ht="16" x14ac:dyDescent="0.2">
      <c r="A596" s="6"/>
      <c r="B596" s="7"/>
      <c r="C596" s="7"/>
      <c r="D596" s="7"/>
      <c r="E596" s="7"/>
      <c r="F596" s="6"/>
      <c r="G596" s="6"/>
      <c r="H596" s="6"/>
      <c r="I596" s="6"/>
      <c r="J596" s="6"/>
      <c r="K596" s="6"/>
      <c r="L596" s="6"/>
      <c r="M596" s="6"/>
      <c r="N596" s="6"/>
      <c r="O596" s="6"/>
      <c r="P596" s="6"/>
      <c r="Q596" s="6"/>
      <c r="R596" s="6"/>
      <c r="S596" s="6"/>
      <c r="T596" s="6"/>
      <c r="U596" s="6"/>
      <c r="V596" s="6"/>
      <c r="W596" s="6"/>
    </row>
    <row r="597" spans="1:23" ht="16" x14ac:dyDescent="0.2">
      <c r="A597" s="6"/>
      <c r="B597" s="7"/>
      <c r="C597" s="7"/>
      <c r="D597" s="7"/>
      <c r="E597" s="7"/>
      <c r="F597" s="6"/>
      <c r="G597" s="6"/>
      <c r="H597" s="6"/>
      <c r="I597" s="6"/>
      <c r="J597" s="6"/>
      <c r="K597" s="6"/>
      <c r="L597" s="6"/>
      <c r="M597" s="6"/>
      <c r="N597" s="6"/>
      <c r="O597" s="6"/>
      <c r="P597" s="6"/>
      <c r="Q597" s="6"/>
      <c r="R597" s="6"/>
      <c r="S597" s="6"/>
      <c r="T597" s="6"/>
      <c r="U597" s="6"/>
      <c r="V597" s="6"/>
      <c r="W597" s="6"/>
    </row>
    <row r="598" spans="1:23" ht="16" x14ac:dyDescent="0.2">
      <c r="A598" s="6"/>
      <c r="B598" s="7"/>
      <c r="C598" s="7"/>
      <c r="D598" s="7"/>
      <c r="E598" s="7"/>
      <c r="F598" s="6"/>
      <c r="G598" s="6"/>
      <c r="H598" s="6"/>
      <c r="I598" s="6"/>
      <c r="J598" s="6"/>
      <c r="K598" s="6"/>
      <c r="L598" s="6"/>
      <c r="M598" s="6"/>
      <c r="N598" s="6"/>
      <c r="O598" s="6"/>
      <c r="P598" s="6"/>
      <c r="Q598" s="6"/>
      <c r="R598" s="6"/>
      <c r="S598" s="6"/>
      <c r="T598" s="6"/>
      <c r="U598" s="6"/>
      <c r="V598" s="6"/>
      <c r="W598" s="6"/>
    </row>
    <row r="599" spans="1:23" ht="16" x14ac:dyDescent="0.2">
      <c r="A599" s="6"/>
      <c r="B599" s="7"/>
      <c r="C599" s="7"/>
      <c r="D599" s="7"/>
      <c r="E599" s="7"/>
      <c r="F599" s="6"/>
      <c r="G599" s="6"/>
      <c r="H599" s="6"/>
      <c r="I599" s="6"/>
      <c r="J599" s="6"/>
      <c r="K599" s="6"/>
      <c r="L599" s="6"/>
      <c r="M599" s="6"/>
      <c r="N599" s="6"/>
      <c r="O599" s="6"/>
      <c r="P599" s="6"/>
      <c r="Q599" s="6"/>
      <c r="R599" s="6"/>
      <c r="S599" s="6"/>
      <c r="T599" s="6"/>
      <c r="U599" s="6"/>
      <c r="V599" s="6"/>
      <c r="W599" s="6"/>
    </row>
    <row r="600" spans="1:23" ht="16" x14ac:dyDescent="0.2">
      <c r="A600" s="6"/>
      <c r="B600" s="7"/>
      <c r="C600" s="7"/>
      <c r="D600" s="7"/>
      <c r="E600" s="7"/>
      <c r="F600" s="6"/>
      <c r="G600" s="6"/>
      <c r="H600" s="6"/>
      <c r="I600" s="6"/>
      <c r="J600" s="6"/>
      <c r="K600" s="6"/>
      <c r="L600" s="6"/>
      <c r="M600" s="6"/>
      <c r="N600" s="6"/>
      <c r="O600" s="6"/>
      <c r="P600" s="6"/>
      <c r="Q600" s="6"/>
      <c r="R600" s="6"/>
      <c r="S600" s="6"/>
      <c r="T600" s="6"/>
      <c r="U600" s="6"/>
      <c r="V600" s="6"/>
      <c r="W600" s="6"/>
    </row>
    <row r="601" spans="1:23" ht="16" x14ac:dyDescent="0.2">
      <c r="A601" s="6"/>
      <c r="B601" s="7"/>
      <c r="C601" s="7"/>
      <c r="D601" s="7"/>
      <c r="E601" s="7"/>
      <c r="F601" s="6"/>
      <c r="G601" s="6"/>
      <c r="H601" s="6"/>
      <c r="I601" s="6"/>
      <c r="J601" s="6"/>
      <c r="K601" s="6"/>
      <c r="L601" s="6"/>
      <c r="M601" s="6"/>
      <c r="N601" s="6"/>
      <c r="O601" s="6"/>
      <c r="P601" s="6"/>
      <c r="Q601" s="6"/>
      <c r="R601" s="6"/>
      <c r="S601" s="6"/>
      <c r="T601" s="6"/>
      <c r="U601" s="6"/>
      <c r="V601" s="6"/>
      <c r="W601" s="6"/>
    </row>
    <row r="602" spans="1:23" ht="16" x14ac:dyDescent="0.2">
      <c r="A602" s="6"/>
      <c r="B602" s="7"/>
      <c r="C602" s="7"/>
      <c r="D602" s="7"/>
      <c r="E602" s="7"/>
      <c r="F602" s="6"/>
      <c r="G602" s="6"/>
      <c r="H602" s="6"/>
      <c r="I602" s="6"/>
      <c r="J602" s="6"/>
      <c r="K602" s="6"/>
      <c r="L602" s="6"/>
      <c r="M602" s="6"/>
      <c r="N602" s="6"/>
      <c r="O602" s="6"/>
      <c r="P602" s="6"/>
      <c r="Q602" s="6"/>
      <c r="R602" s="6"/>
      <c r="S602" s="6"/>
      <c r="T602" s="6"/>
      <c r="U602" s="6"/>
      <c r="V602" s="6"/>
      <c r="W602" s="6"/>
    </row>
    <row r="603" spans="1:23" ht="16" x14ac:dyDescent="0.2">
      <c r="A603" s="6"/>
      <c r="B603" s="7"/>
      <c r="C603" s="7"/>
      <c r="D603" s="7"/>
      <c r="E603" s="7"/>
      <c r="F603" s="6"/>
      <c r="G603" s="6"/>
      <c r="H603" s="6"/>
      <c r="I603" s="6"/>
      <c r="J603" s="6"/>
      <c r="K603" s="6"/>
      <c r="L603" s="6"/>
      <c r="M603" s="6"/>
      <c r="N603" s="6"/>
      <c r="O603" s="6"/>
      <c r="P603" s="6"/>
      <c r="Q603" s="6"/>
      <c r="R603" s="6"/>
      <c r="S603" s="6"/>
      <c r="T603" s="6"/>
      <c r="U603" s="6"/>
      <c r="V603" s="6"/>
      <c r="W603" s="6"/>
    </row>
    <row r="604" spans="1:23" ht="16" x14ac:dyDescent="0.2">
      <c r="A604" s="6"/>
      <c r="B604" s="7"/>
      <c r="C604" s="7"/>
      <c r="D604" s="7"/>
      <c r="E604" s="7"/>
      <c r="F604" s="6"/>
      <c r="G604" s="6"/>
      <c r="H604" s="6"/>
      <c r="I604" s="6"/>
      <c r="J604" s="6"/>
      <c r="K604" s="6"/>
      <c r="L604" s="6"/>
      <c r="M604" s="6"/>
      <c r="N604" s="6"/>
      <c r="O604" s="6"/>
      <c r="P604" s="6"/>
      <c r="Q604" s="6"/>
      <c r="R604" s="6"/>
      <c r="S604" s="6"/>
      <c r="T604" s="6"/>
      <c r="U604" s="6"/>
      <c r="V604" s="6"/>
      <c r="W604" s="6"/>
    </row>
    <row r="605" spans="1:23" ht="16" x14ac:dyDescent="0.2">
      <c r="A605" s="6"/>
      <c r="B605" s="7"/>
      <c r="C605" s="7"/>
      <c r="D605" s="7"/>
      <c r="E605" s="7"/>
      <c r="F605" s="6"/>
      <c r="G605" s="6"/>
      <c r="H605" s="6"/>
      <c r="I605" s="6"/>
      <c r="J605" s="6"/>
      <c r="K605" s="6"/>
      <c r="L605" s="6"/>
      <c r="M605" s="6"/>
      <c r="N605" s="6"/>
      <c r="O605" s="6"/>
      <c r="P605" s="6"/>
      <c r="Q605" s="6"/>
      <c r="R605" s="6"/>
      <c r="S605" s="6"/>
      <c r="T605" s="6"/>
      <c r="U605" s="6"/>
      <c r="V605" s="6"/>
      <c r="W605" s="6"/>
    </row>
    <row r="606" spans="1:23" ht="16" x14ac:dyDescent="0.2">
      <c r="A606" s="6"/>
      <c r="B606" s="7"/>
      <c r="C606" s="7"/>
      <c r="D606" s="7"/>
      <c r="E606" s="7"/>
      <c r="F606" s="6"/>
      <c r="G606" s="6"/>
      <c r="H606" s="6"/>
      <c r="I606" s="6"/>
      <c r="J606" s="6"/>
      <c r="K606" s="6"/>
      <c r="L606" s="6"/>
      <c r="M606" s="6"/>
      <c r="N606" s="6"/>
      <c r="O606" s="6"/>
      <c r="P606" s="6"/>
      <c r="Q606" s="6"/>
      <c r="R606" s="6"/>
      <c r="S606" s="6"/>
      <c r="T606" s="6"/>
      <c r="U606" s="6"/>
      <c r="V606" s="6"/>
      <c r="W606" s="6"/>
    </row>
    <row r="607" spans="1:23" ht="16" x14ac:dyDescent="0.2">
      <c r="A607" s="6"/>
      <c r="B607" s="7"/>
      <c r="C607" s="7"/>
      <c r="D607" s="7"/>
      <c r="E607" s="7"/>
      <c r="F607" s="6"/>
      <c r="G607" s="6"/>
      <c r="H607" s="6"/>
      <c r="I607" s="6"/>
      <c r="J607" s="6"/>
      <c r="K607" s="6"/>
      <c r="L607" s="6"/>
      <c r="M607" s="6"/>
      <c r="N607" s="6"/>
      <c r="O607" s="6"/>
      <c r="P607" s="6"/>
      <c r="Q607" s="6"/>
      <c r="R607" s="6"/>
      <c r="S607" s="6"/>
      <c r="T607" s="6"/>
      <c r="U607" s="6"/>
      <c r="V607" s="6"/>
      <c r="W607" s="6"/>
    </row>
    <row r="608" spans="1:23" ht="16" x14ac:dyDescent="0.2">
      <c r="A608" s="6"/>
      <c r="B608" s="7"/>
      <c r="C608" s="7"/>
      <c r="D608" s="7"/>
      <c r="E608" s="7"/>
      <c r="F608" s="6"/>
      <c r="G608" s="6"/>
      <c r="H608" s="6"/>
      <c r="I608" s="6"/>
      <c r="J608" s="6"/>
      <c r="K608" s="6"/>
      <c r="L608" s="6"/>
      <c r="M608" s="6"/>
      <c r="N608" s="6"/>
      <c r="O608" s="6"/>
      <c r="P608" s="6"/>
      <c r="Q608" s="6"/>
      <c r="R608" s="6"/>
      <c r="S608" s="6"/>
      <c r="T608" s="6"/>
      <c r="U608" s="6"/>
      <c r="V608" s="6"/>
      <c r="W608" s="6"/>
    </row>
    <row r="609" spans="1:23" ht="16" x14ac:dyDescent="0.2">
      <c r="A609" s="6"/>
      <c r="B609" s="7"/>
      <c r="C609" s="7"/>
      <c r="D609" s="7"/>
      <c r="E609" s="7"/>
      <c r="F609" s="6"/>
      <c r="G609" s="6"/>
      <c r="H609" s="6"/>
      <c r="I609" s="6"/>
      <c r="J609" s="6"/>
      <c r="K609" s="6"/>
      <c r="L609" s="6"/>
      <c r="M609" s="6"/>
      <c r="N609" s="6"/>
      <c r="O609" s="6"/>
      <c r="P609" s="6"/>
      <c r="Q609" s="6"/>
      <c r="R609" s="6"/>
      <c r="S609" s="6"/>
      <c r="T609" s="6"/>
      <c r="U609" s="6"/>
      <c r="V609" s="6"/>
      <c r="W609" s="6"/>
    </row>
    <row r="610" spans="1:23" ht="16" x14ac:dyDescent="0.2">
      <c r="A610" s="6"/>
      <c r="B610" s="7"/>
      <c r="C610" s="7"/>
      <c r="D610" s="7"/>
      <c r="E610" s="7"/>
      <c r="F610" s="6"/>
      <c r="G610" s="6"/>
      <c r="H610" s="6"/>
      <c r="I610" s="6"/>
      <c r="J610" s="6"/>
      <c r="K610" s="6"/>
      <c r="L610" s="6"/>
      <c r="M610" s="6"/>
      <c r="N610" s="6"/>
      <c r="O610" s="6"/>
      <c r="P610" s="6"/>
      <c r="Q610" s="6"/>
      <c r="R610" s="6"/>
      <c r="S610" s="6"/>
      <c r="T610" s="6"/>
      <c r="U610" s="6"/>
      <c r="V610" s="6"/>
      <c r="W610" s="6"/>
    </row>
    <row r="611" spans="1:23" ht="16" x14ac:dyDescent="0.2">
      <c r="A611" s="6"/>
      <c r="B611" s="7"/>
      <c r="C611" s="7"/>
      <c r="D611" s="7"/>
      <c r="E611" s="7"/>
      <c r="F611" s="6"/>
      <c r="G611" s="6"/>
      <c r="H611" s="6"/>
      <c r="I611" s="6"/>
      <c r="J611" s="6"/>
      <c r="K611" s="6"/>
      <c r="L611" s="6"/>
      <c r="M611" s="6"/>
      <c r="N611" s="6"/>
      <c r="O611" s="6"/>
      <c r="P611" s="6"/>
      <c r="Q611" s="6"/>
      <c r="R611" s="6"/>
      <c r="S611" s="6"/>
      <c r="T611" s="6"/>
      <c r="U611" s="6"/>
      <c r="V611" s="6"/>
      <c r="W611" s="6"/>
    </row>
    <row r="612" spans="1:23" ht="16" x14ac:dyDescent="0.2">
      <c r="A612" s="6"/>
      <c r="B612" s="7"/>
      <c r="C612" s="7"/>
      <c r="D612" s="7"/>
      <c r="E612" s="7"/>
      <c r="F612" s="6"/>
      <c r="G612" s="6"/>
      <c r="H612" s="6"/>
      <c r="I612" s="6"/>
      <c r="J612" s="6"/>
      <c r="K612" s="6"/>
      <c r="L612" s="6"/>
      <c r="M612" s="6"/>
      <c r="N612" s="6"/>
      <c r="O612" s="6"/>
      <c r="P612" s="6"/>
      <c r="Q612" s="6"/>
      <c r="R612" s="6"/>
      <c r="S612" s="6"/>
      <c r="T612" s="6"/>
      <c r="U612" s="6"/>
      <c r="V612" s="6"/>
      <c r="W612" s="6"/>
    </row>
    <row r="613" spans="1:23" ht="16" x14ac:dyDescent="0.2">
      <c r="A613" s="6"/>
      <c r="B613" s="7"/>
      <c r="C613" s="7"/>
      <c r="D613" s="7"/>
      <c r="E613" s="7"/>
      <c r="F613" s="6"/>
      <c r="G613" s="6"/>
      <c r="H613" s="6"/>
      <c r="I613" s="6"/>
      <c r="J613" s="6"/>
      <c r="K613" s="6"/>
      <c r="L613" s="6"/>
      <c r="M613" s="6"/>
      <c r="N613" s="6"/>
      <c r="O613" s="6"/>
      <c r="P613" s="6"/>
      <c r="Q613" s="6"/>
      <c r="R613" s="6"/>
      <c r="S613" s="6"/>
      <c r="T613" s="6"/>
      <c r="U613" s="6"/>
      <c r="V613" s="6"/>
      <c r="W613" s="6"/>
    </row>
    <row r="614" spans="1:23" ht="16" x14ac:dyDescent="0.2">
      <c r="A614" s="6"/>
      <c r="B614" s="7"/>
      <c r="C614" s="7"/>
      <c r="D614" s="7"/>
      <c r="E614" s="7"/>
      <c r="F614" s="6"/>
      <c r="G614" s="6"/>
      <c r="H614" s="6"/>
      <c r="I614" s="6"/>
      <c r="J614" s="6"/>
      <c r="K614" s="6"/>
      <c r="L614" s="6"/>
      <c r="M614" s="6"/>
      <c r="N614" s="6"/>
      <c r="O614" s="6"/>
      <c r="P614" s="6"/>
      <c r="Q614" s="6"/>
      <c r="R614" s="6"/>
      <c r="S614" s="6"/>
      <c r="T614" s="6"/>
      <c r="U614" s="6"/>
      <c r="V614" s="6"/>
      <c r="W614" s="6"/>
    </row>
    <row r="615" spans="1:23" ht="16" x14ac:dyDescent="0.2">
      <c r="A615" s="6"/>
      <c r="B615" s="7"/>
      <c r="C615" s="7"/>
      <c r="D615" s="7"/>
      <c r="E615" s="7"/>
      <c r="F615" s="6"/>
      <c r="G615" s="6"/>
      <c r="H615" s="6"/>
      <c r="I615" s="6"/>
      <c r="J615" s="6"/>
      <c r="K615" s="6"/>
      <c r="L615" s="6"/>
      <c r="M615" s="6"/>
      <c r="N615" s="6"/>
      <c r="O615" s="6"/>
      <c r="P615" s="6"/>
      <c r="Q615" s="6"/>
      <c r="R615" s="6"/>
      <c r="S615" s="6"/>
      <c r="T615" s="6"/>
      <c r="U615" s="6"/>
      <c r="V615" s="6"/>
      <c r="W615" s="6"/>
    </row>
    <row r="616" spans="1:23" ht="16" x14ac:dyDescent="0.2">
      <c r="A616" s="6"/>
      <c r="B616" s="7"/>
      <c r="C616" s="7"/>
      <c r="D616" s="7"/>
      <c r="E616" s="7"/>
      <c r="F616" s="6"/>
      <c r="G616" s="6"/>
      <c r="H616" s="6"/>
      <c r="I616" s="6"/>
      <c r="J616" s="6"/>
      <c r="K616" s="6"/>
      <c r="L616" s="6"/>
      <c r="M616" s="6"/>
      <c r="N616" s="6"/>
      <c r="O616" s="6"/>
      <c r="P616" s="6"/>
      <c r="Q616" s="6"/>
      <c r="R616" s="6"/>
      <c r="S616" s="6"/>
      <c r="T616" s="6"/>
      <c r="U616" s="6"/>
      <c r="V616" s="6"/>
      <c r="W616" s="6"/>
    </row>
    <row r="617" spans="1:23" ht="16" x14ac:dyDescent="0.2">
      <c r="A617" s="6"/>
      <c r="B617" s="7"/>
      <c r="C617" s="7"/>
      <c r="D617" s="7"/>
      <c r="E617" s="7"/>
      <c r="F617" s="6"/>
      <c r="G617" s="6"/>
      <c r="H617" s="6"/>
      <c r="I617" s="6"/>
      <c r="J617" s="6"/>
      <c r="K617" s="6"/>
      <c r="L617" s="6"/>
      <c r="M617" s="6"/>
      <c r="N617" s="6"/>
      <c r="O617" s="6"/>
      <c r="P617" s="6"/>
      <c r="Q617" s="6"/>
      <c r="R617" s="6"/>
      <c r="S617" s="6"/>
      <c r="T617" s="6"/>
      <c r="U617" s="6"/>
      <c r="V617" s="6"/>
      <c r="W617" s="6"/>
    </row>
    <row r="618" spans="1:23" ht="16" x14ac:dyDescent="0.2">
      <c r="A618" s="6"/>
      <c r="B618" s="7"/>
      <c r="C618" s="7"/>
      <c r="D618" s="7"/>
      <c r="E618" s="7"/>
      <c r="F618" s="6"/>
      <c r="G618" s="6"/>
      <c r="H618" s="6"/>
      <c r="I618" s="6"/>
      <c r="J618" s="6"/>
      <c r="K618" s="6"/>
      <c r="L618" s="6"/>
      <c r="M618" s="6"/>
      <c r="N618" s="6"/>
      <c r="O618" s="6"/>
      <c r="P618" s="6"/>
      <c r="Q618" s="6"/>
      <c r="R618" s="6"/>
      <c r="S618" s="6"/>
      <c r="T618" s="6"/>
      <c r="U618" s="6"/>
      <c r="V618" s="6"/>
      <c r="W618" s="6"/>
    </row>
    <row r="619" spans="1:23" ht="16" x14ac:dyDescent="0.2">
      <c r="A619" s="6"/>
      <c r="B619" s="7"/>
      <c r="C619" s="7"/>
      <c r="D619" s="7"/>
      <c r="E619" s="7"/>
      <c r="F619" s="6"/>
      <c r="G619" s="6"/>
      <c r="H619" s="6"/>
      <c r="I619" s="6"/>
      <c r="J619" s="6"/>
      <c r="K619" s="6"/>
      <c r="L619" s="6"/>
      <c r="M619" s="6"/>
      <c r="N619" s="6"/>
      <c r="O619" s="6"/>
      <c r="P619" s="6"/>
      <c r="Q619" s="6"/>
      <c r="R619" s="6"/>
      <c r="S619" s="6"/>
      <c r="T619" s="6"/>
      <c r="U619" s="6"/>
      <c r="V619" s="6"/>
      <c r="W619" s="6"/>
    </row>
    <row r="620" spans="1:23" ht="16" x14ac:dyDescent="0.2">
      <c r="A620" s="6"/>
      <c r="B620" s="7"/>
      <c r="C620" s="7"/>
      <c r="D620" s="7"/>
      <c r="E620" s="7"/>
      <c r="F620" s="6"/>
      <c r="G620" s="6"/>
      <c r="H620" s="6"/>
      <c r="I620" s="6"/>
      <c r="J620" s="6"/>
      <c r="K620" s="6"/>
      <c r="L620" s="6"/>
      <c r="M620" s="6"/>
      <c r="N620" s="6"/>
      <c r="O620" s="6"/>
      <c r="P620" s="6"/>
      <c r="Q620" s="6"/>
      <c r="R620" s="6"/>
      <c r="S620" s="6"/>
      <c r="T620" s="6"/>
      <c r="U620" s="6"/>
      <c r="V620" s="6"/>
      <c r="W620" s="6"/>
    </row>
    <row r="621" spans="1:23" ht="16" x14ac:dyDescent="0.2">
      <c r="A621" s="6"/>
      <c r="B621" s="7"/>
      <c r="C621" s="7"/>
      <c r="D621" s="7"/>
      <c r="E621" s="7"/>
      <c r="F621" s="6"/>
      <c r="G621" s="6"/>
      <c r="H621" s="6"/>
      <c r="I621" s="6"/>
      <c r="J621" s="6"/>
      <c r="K621" s="6"/>
      <c r="L621" s="6"/>
      <c r="M621" s="6"/>
      <c r="N621" s="6"/>
      <c r="O621" s="6"/>
      <c r="P621" s="6"/>
      <c r="Q621" s="6"/>
      <c r="R621" s="6"/>
      <c r="S621" s="6"/>
      <c r="T621" s="6"/>
      <c r="U621" s="6"/>
      <c r="V621" s="6"/>
      <c r="W621" s="6"/>
    </row>
    <row r="622" spans="1:23" ht="16" x14ac:dyDescent="0.2">
      <c r="A622" s="6"/>
      <c r="B622" s="7"/>
      <c r="C622" s="7"/>
      <c r="D622" s="7"/>
      <c r="E622" s="7"/>
      <c r="F622" s="6"/>
      <c r="G622" s="6"/>
      <c r="H622" s="6"/>
      <c r="I622" s="6"/>
      <c r="J622" s="6"/>
      <c r="K622" s="6"/>
      <c r="L622" s="6"/>
      <c r="M622" s="6"/>
      <c r="N622" s="6"/>
      <c r="O622" s="6"/>
      <c r="P622" s="6"/>
      <c r="Q622" s="6"/>
      <c r="R622" s="6"/>
      <c r="S622" s="6"/>
      <c r="T622" s="6"/>
      <c r="U622" s="6"/>
      <c r="V622" s="6"/>
      <c r="W622" s="6"/>
    </row>
    <row r="623" spans="1:23" ht="16" x14ac:dyDescent="0.2">
      <c r="A623" s="6"/>
      <c r="B623" s="7"/>
      <c r="C623" s="7"/>
      <c r="D623" s="7"/>
      <c r="E623" s="7"/>
      <c r="F623" s="6"/>
      <c r="G623" s="6"/>
      <c r="H623" s="6"/>
      <c r="I623" s="6"/>
      <c r="J623" s="6"/>
      <c r="K623" s="6"/>
      <c r="L623" s="6"/>
      <c r="M623" s="6"/>
      <c r="N623" s="6"/>
      <c r="O623" s="6"/>
      <c r="P623" s="6"/>
      <c r="Q623" s="6"/>
      <c r="R623" s="6"/>
      <c r="S623" s="6"/>
      <c r="T623" s="6"/>
      <c r="U623" s="6"/>
      <c r="V623" s="6"/>
      <c r="W623" s="6"/>
    </row>
    <row r="624" spans="1:23" ht="16" x14ac:dyDescent="0.2">
      <c r="A624" s="6"/>
      <c r="B624" s="7"/>
      <c r="C624" s="7"/>
      <c r="D624" s="7"/>
      <c r="E624" s="7"/>
      <c r="F624" s="6"/>
      <c r="G624" s="6"/>
      <c r="H624" s="6"/>
      <c r="I624" s="6"/>
      <c r="J624" s="6"/>
      <c r="K624" s="6"/>
      <c r="L624" s="6"/>
      <c r="M624" s="6"/>
      <c r="N624" s="6"/>
      <c r="O624" s="6"/>
      <c r="P624" s="6"/>
      <c r="Q624" s="6"/>
      <c r="R624" s="6"/>
      <c r="S624" s="6"/>
      <c r="T624" s="6"/>
      <c r="U624" s="6"/>
      <c r="V624" s="6"/>
      <c r="W624" s="6"/>
    </row>
    <row r="625" spans="1:23" ht="16" x14ac:dyDescent="0.2">
      <c r="A625" s="6"/>
      <c r="B625" s="7"/>
      <c r="C625" s="7"/>
      <c r="D625" s="7"/>
      <c r="E625" s="7"/>
      <c r="F625" s="6"/>
      <c r="G625" s="6"/>
      <c r="H625" s="6"/>
      <c r="I625" s="6"/>
      <c r="J625" s="6"/>
      <c r="K625" s="6"/>
      <c r="L625" s="6"/>
      <c r="M625" s="6"/>
      <c r="N625" s="6"/>
      <c r="O625" s="6"/>
      <c r="P625" s="6"/>
      <c r="Q625" s="6"/>
      <c r="R625" s="6"/>
      <c r="S625" s="6"/>
      <c r="T625" s="6"/>
      <c r="U625" s="6"/>
      <c r="V625" s="6"/>
      <c r="W625" s="6"/>
    </row>
    <row r="626" spans="1:23" ht="16" x14ac:dyDescent="0.2">
      <c r="A626" s="6"/>
      <c r="B626" s="7"/>
      <c r="C626" s="7"/>
      <c r="D626" s="7"/>
      <c r="E626" s="7"/>
      <c r="F626" s="6"/>
      <c r="G626" s="6"/>
      <c r="H626" s="6"/>
      <c r="I626" s="6"/>
      <c r="J626" s="6"/>
      <c r="K626" s="6"/>
      <c r="L626" s="6"/>
      <c r="M626" s="6"/>
      <c r="N626" s="6"/>
      <c r="O626" s="6"/>
      <c r="P626" s="6"/>
      <c r="Q626" s="6"/>
      <c r="R626" s="6"/>
      <c r="S626" s="6"/>
      <c r="T626" s="6"/>
      <c r="U626" s="6"/>
      <c r="V626" s="6"/>
      <c r="W626" s="6"/>
    </row>
    <row r="627" spans="1:23" ht="16" x14ac:dyDescent="0.2">
      <c r="A627" s="6"/>
      <c r="B627" s="7"/>
      <c r="C627" s="7"/>
      <c r="D627" s="7"/>
      <c r="E627" s="7"/>
      <c r="F627" s="6"/>
      <c r="G627" s="6"/>
      <c r="H627" s="6"/>
      <c r="I627" s="6"/>
      <c r="J627" s="6"/>
      <c r="K627" s="6"/>
      <c r="L627" s="6"/>
      <c r="M627" s="6"/>
      <c r="N627" s="6"/>
      <c r="O627" s="6"/>
      <c r="P627" s="6"/>
      <c r="Q627" s="6"/>
      <c r="R627" s="6"/>
      <c r="S627" s="6"/>
      <c r="T627" s="6"/>
      <c r="U627" s="6"/>
      <c r="V627" s="6"/>
      <c r="W627" s="6"/>
    </row>
    <row r="628" spans="1:23" ht="16" x14ac:dyDescent="0.2">
      <c r="A628" s="6"/>
      <c r="B628" s="7"/>
      <c r="C628" s="7"/>
      <c r="D628" s="7"/>
      <c r="E628" s="7"/>
      <c r="F628" s="6"/>
      <c r="G628" s="6"/>
      <c r="H628" s="6"/>
      <c r="I628" s="6"/>
      <c r="J628" s="6"/>
      <c r="K628" s="6"/>
      <c r="L628" s="6"/>
      <c r="M628" s="6"/>
      <c r="N628" s="6"/>
      <c r="O628" s="6"/>
      <c r="P628" s="6"/>
      <c r="Q628" s="6"/>
      <c r="R628" s="6"/>
      <c r="S628" s="6"/>
      <c r="T628" s="6"/>
      <c r="U628" s="6"/>
      <c r="V628" s="6"/>
      <c r="W628" s="6"/>
    </row>
    <row r="629" spans="1:23" ht="16" x14ac:dyDescent="0.2">
      <c r="A629" s="6"/>
      <c r="B629" s="7"/>
      <c r="C629" s="7"/>
      <c r="D629" s="7"/>
      <c r="E629" s="7"/>
      <c r="F629" s="6"/>
      <c r="G629" s="6"/>
      <c r="H629" s="6"/>
      <c r="I629" s="6"/>
      <c r="J629" s="6"/>
      <c r="K629" s="6"/>
      <c r="L629" s="6"/>
      <c r="M629" s="6"/>
      <c r="N629" s="6"/>
      <c r="O629" s="6"/>
      <c r="P629" s="6"/>
      <c r="Q629" s="6"/>
      <c r="R629" s="6"/>
      <c r="S629" s="6"/>
      <c r="T629" s="6"/>
      <c r="U629" s="6"/>
      <c r="V629" s="6"/>
      <c r="W629" s="6"/>
    </row>
    <row r="630" spans="1:23" ht="16" x14ac:dyDescent="0.2">
      <c r="A630" s="6"/>
      <c r="B630" s="7"/>
      <c r="C630" s="7"/>
      <c r="D630" s="7"/>
      <c r="E630" s="7"/>
      <c r="F630" s="6"/>
      <c r="G630" s="6"/>
      <c r="H630" s="6"/>
      <c r="I630" s="6"/>
      <c r="J630" s="6"/>
      <c r="K630" s="6"/>
      <c r="L630" s="6"/>
      <c r="M630" s="6"/>
      <c r="N630" s="6"/>
      <c r="O630" s="6"/>
      <c r="P630" s="6"/>
      <c r="Q630" s="6"/>
      <c r="R630" s="6"/>
      <c r="S630" s="6"/>
      <c r="T630" s="6"/>
      <c r="U630" s="6"/>
      <c r="V630" s="6"/>
      <c r="W630" s="6"/>
    </row>
    <row r="631" spans="1:23" ht="16" x14ac:dyDescent="0.2">
      <c r="A631" s="6"/>
      <c r="B631" s="7"/>
      <c r="C631" s="7"/>
      <c r="D631" s="7"/>
      <c r="E631" s="7"/>
      <c r="F631" s="6"/>
      <c r="G631" s="6"/>
      <c r="H631" s="6"/>
      <c r="I631" s="6"/>
      <c r="J631" s="6"/>
      <c r="K631" s="6"/>
      <c r="L631" s="6"/>
      <c r="M631" s="6"/>
      <c r="N631" s="6"/>
      <c r="O631" s="6"/>
      <c r="P631" s="6"/>
      <c r="Q631" s="6"/>
      <c r="R631" s="6"/>
      <c r="S631" s="6"/>
      <c r="T631" s="6"/>
      <c r="U631" s="6"/>
      <c r="V631" s="6"/>
      <c r="W631" s="6"/>
    </row>
    <row r="632" spans="1:23" ht="16" x14ac:dyDescent="0.2">
      <c r="A632" s="6"/>
      <c r="B632" s="7"/>
      <c r="C632" s="7"/>
      <c r="D632" s="7"/>
      <c r="E632" s="7"/>
      <c r="F632" s="6"/>
      <c r="G632" s="6"/>
      <c r="H632" s="6"/>
      <c r="I632" s="6"/>
      <c r="J632" s="6"/>
      <c r="K632" s="6"/>
      <c r="L632" s="6"/>
      <c r="M632" s="6"/>
      <c r="N632" s="6"/>
      <c r="O632" s="6"/>
      <c r="P632" s="6"/>
      <c r="Q632" s="6"/>
      <c r="R632" s="6"/>
      <c r="S632" s="6"/>
      <c r="T632" s="6"/>
      <c r="U632" s="6"/>
      <c r="V632" s="6"/>
      <c r="W632" s="6"/>
    </row>
    <row r="633" spans="1:23" ht="16" x14ac:dyDescent="0.2">
      <c r="A633" s="6"/>
      <c r="B633" s="7"/>
      <c r="C633" s="7"/>
      <c r="D633" s="7"/>
      <c r="E633" s="7"/>
      <c r="F633" s="6"/>
      <c r="G633" s="6"/>
      <c r="H633" s="6"/>
      <c r="I633" s="6"/>
      <c r="J633" s="6"/>
      <c r="K633" s="6"/>
      <c r="L633" s="6"/>
      <c r="M633" s="6"/>
      <c r="N633" s="6"/>
      <c r="O633" s="6"/>
      <c r="P633" s="6"/>
      <c r="Q633" s="6"/>
      <c r="R633" s="6"/>
      <c r="S633" s="6"/>
      <c r="T633" s="6"/>
      <c r="U633" s="6"/>
      <c r="V633" s="6"/>
      <c r="W633" s="6"/>
    </row>
    <row r="634" spans="1:23" ht="16" x14ac:dyDescent="0.2">
      <c r="A634" s="6"/>
      <c r="B634" s="7"/>
      <c r="C634" s="7"/>
      <c r="D634" s="7"/>
      <c r="E634" s="7"/>
      <c r="F634" s="6"/>
      <c r="G634" s="6"/>
      <c r="H634" s="6"/>
      <c r="I634" s="6"/>
      <c r="J634" s="6"/>
      <c r="K634" s="6"/>
      <c r="L634" s="6"/>
      <c r="M634" s="6"/>
      <c r="N634" s="6"/>
      <c r="O634" s="6"/>
      <c r="P634" s="6"/>
      <c r="Q634" s="6"/>
      <c r="R634" s="6"/>
      <c r="S634" s="6"/>
      <c r="T634" s="6"/>
      <c r="U634" s="6"/>
      <c r="V634" s="6"/>
      <c r="W634" s="6"/>
    </row>
    <row r="635" spans="1:23" ht="16" x14ac:dyDescent="0.2">
      <c r="A635" s="6"/>
      <c r="B635" s="7"/>
      <c r="C635" s="7"/>
      <c r="D635" s="7"/>
      <c r="E635" s="7"/>
      <c r="F635" s="6"/>
      <c r="G635" s="6"/>
      <c r="H635" s="6"/>
      <c r="I635" s="6"/>
      <c r="J635" s="6"/>
      <c r="K635" s="6"/>
      <c r="L635" s="6"/>
      <c r="M635" s="6"/>
      <c r="N635" s="6"/>
      <c r="O635" s="6"/>
      <c r="P635" s="6"/>
      <c r="Q635" s="6"/>
      <c r="R635" s="6"/>
      <c r="S635" s="6"/>
      <c r="T635" s="6"/>
      <c r="U635" s="6"/>
      <c r="V635" s="6"/>
      <c r="W635" s="6"/>
    </row>
    <row r="636" spans="1:23" ht="16" x14ac:dyDescent="0.2">
      <c r="A636" s="6"/>
      <c r="B636" s="7"/>
      <c r="C636" s="7"/>
      <c r="D636" s="7"/>
      <c r="E636" s="7"/>
      <c r="F636" s="6"/>
      <c r="G636" s="6"/>
      <c r="H636" s="6"/>
      <c r="I636" s="6"/>
      <c r="J636" s="6"/>
      <c r="K636" s="6"/>
      <c r="L636" s="6"/>
      <c r="M636" s="6"/>
      <c r="N636" s="6"/>
      <c r="O636" s="6"/>
      <c r="P636" s="6"/>
      <c r="Q636" s="6"/>
      <c r="R636" s="6"/>
      <c r="S636" s="6"/>
      <c r="T636" s="6"/>
      <c r="U636" s="6"/>
      <c r="V636" s="6"/>
      <c r="W636" s="6"/>
    </row>
    <row r="637" spans="1:23" ht="16" x14ac:dyDescent="0.2">
      <c r="A637" s="6"/>
      <c r="B637" s="7"/>
      <c r="C637" s="7"/>
      <c r="D637" s="7"/>
      <c r="E637" s="7"/>
      <c r="F637" s="6"/>
      <c r="G637" s="6"/>
      <c r="H637" s="6"/>
      <c r="I637" s="6"/>
      <c r="J637" s="6"/>
      <c r="K637" s="6"/>
      <c r="L637" s="6"/>
      <c r="M637" s="6"/>
      <c r="N637" s="6"/>
      <c r="O637" s="6"/>
      <c r="P637" s="6"/>
      <c r="Q637" s="6"/>
      <c r="R637" s="6"/>
      <c r="S637" s="6"/>
      <c r="T637" s="6"/>
      <c r="U637" s="6"/>
      <c r="V637" s="6"/>
      <c r="W637" s="6"/>
    </row>
    <row r="638" spans="1:23" ht="16" x14ac:dyDescent="0.2">
      <c r="A638" s="6"/>
      <c r="B638" s="7"/>
      <c r="C638" s="7"/>
      <c r="D638" s="7"/>
      <c r="E638" s="7"/>
      <c r="F638" s="6"/>
      <c r="G638" s="6"/>
      <c r="H638" s="6"/>
      <c r="I638" s="6"/>
      <c r="J638" s="6"/>
      <c r="K638" s="6"/>
      <c r="L638" s="6"/>
      <c r="M638" s="6"/>
      <c r="N638" s="6"/>
      <c r="O638" s="6"/>
      <c r="P638" s="6"/>
      <c r="Q638" s="6"/>
      <c r="R638" s="6"/>
      <c r="S638" s="6"/>
      <c r="T638" s="6"/>
      <c r="U638" s="6"/>
      <c r="V638" s="6"/>
      <c r="W638" s="6"/>
    </row>
    <row r="639" spans="1:23" ht="16" x14ac:dyDescent="0.2">
      <c r="A639" s="6"/>
      <c r="B639" s="7"/>
      <c r="C639" s="7"/>
      <c r="D639" s="7"/>
      <c r="E639" s="7"/>
      <c r="F639" s="6"/>
      <c r="G639" s="6"/>
      <c r="H639" s="6"/>
      <c r="I639" s="6"/>
      <c r="J639" s="6"/>
      <c r="K639" s="6"/>
      <c r="L639" s="6"/>
      <c r="M639" s="6"/>
      <c r="N639" s="6"/>
      <c r="O639" s="6"/>
      <c r="P639" s="6"/>
      <c r="Q639" s="6"/>
      <c r="R639" s="6"/>
      <c r="S639" s="6"/>
      <c r="T639" s="6"/>
      <c r="U639" s="6"/>
      <c r="V639" s="6"/>
      <c r="W639" s="6"/>
    </row>
    <row r="640" spans="1:23" ht="16" x14ac:dyDescent="0.2">
      <c r="A640" s="6"/>
      <c r="B640" s="7"/>
      <c r="C640" s="7"/>
      <c r="D640" s="7"/>
      <c r="E640" s="7"/>
      <c r="F640" s="6"/>
      <c r="G640" s="6"/>
      <c r="H640" s="6"/>
      <c r="I640" s="6"/>
      <c r="J640" s="6"/>
      <c r="K640" s="6"/>
      <c r="L640" s="6"/>
      <c r="M640" s="6"/>
      <c r="N640" s="6"/>
      <c r="O640" s="6"/>
      <c r="P640" s="6"/>
      <c r="Q640" s="6"/>
      <c r="R640" s="6"/>
      <c r="S640" s="6"/>
      <c r="T640" s="6"/>
      <c r="U640" s="6"/>
      <c r="V640" s="6"/>
      <c r="W640" s="6"/>
    </row>
    <row r="641" spans="1:23" ht="16" x14ac:dyDescent="0.2">
      <c r="A641" s="6"/>
      <c r="B641" s="7"/>
      <c r="C641" s="7"/>
      <c r="D641" s="7"/>
      <c r="E641" s="7"/>
      <c r="F641" s="6"/>
      <c r="G641" s="6"/>
      <c r="H641" s="6"/>
      <c r="I641" s="6"/>
      <c r="J641" s="6"/>
      <c r="K641" s="6"/>
      <c r="L641" s="6"/>
      <c r="M641" s="6"/>
      <c r="N641" s="6"/>
      <c r="O641" s="6"/>
      <c r="P641" s="6"/>
      <c r="Q641" s="6"/>
      <c r="R641" s="6"/>
      <c r="S641" s="6"/>
      <c r="T641" s="6"/>
      <c r="U641" s="6"/>
      <c r="V641" s="6"/>
      <c r="W641" s="6"/>
    </row>
    <row r="642" spans="1:23" ht="16" x14ac:dyDescent="0.2">
      <c r="A642" s="6"/>
      <c r="B642" s="7"/>
      <c r="C642" s="7"/>
      <c r="D642" s="7"/>
      <c r="E642" s="7"/>
      <c r="F642" s="6"/>
      <c r="G642" s="6"/>
      <c r="H642" s="6"/>
      <c r="I642" s="6"/>
      <c r="J642" s="6"/>
      <c r="K642" s="6"/>
      <c r="L642" s="6"/>
      <c r="M642" s="6"/>
      <c r="N642" s="6"/>
      <c r="O642" s="6"/>
      <c r="P642" s="6"/>
      <c r="Q642" s="6"/>
      <c r="R642" s="6"/>
      <c r="S642" s="6"/>
      <c r="T642" s="6"/>
      <c r="U642" s="6"/>
      <c r="V642" s="6"/>
      <c r="W642" s="6"/>
    </row>
    <row r="643" spans="1:23" ht="16" x14ac:dyDescent="0.2">
      <c r="A643" s="6"/>
      <c r="B643" s="7"/>
      <c r="C643" s="7"/>
      <c r="D643" s="7"/>
      <c r="E643" s="7"/>
      <c r="F643" s="6"/>
      <c r="G643" s="6"/>
      <c r="H643" s="6"/>
      <c r="I643" s="6"/>
      <c r="J643" s="6"/>
      <c r="K643" s="6"/>
      <c r="L643" s="6"/>
      <c r="M643" s="6"/>
      <c r="N643" s="6"/>
      <c r="O643" s="6"/>
      <c r="P643" s="6"/>
      <c r="Q643" s="6"/>
      <c r="R643" s="6"/>
      <c r="S643" s="6"/>
      <c r="T643" s="6"/>
      <c r="U643" s="6"/>
      <c r="V643" s="6"/>
      <c r="W643" s="6"/>
    </row>
    <row r="644" spans="1:23" ht="16" x14ac:dyDescent="0.2">
      <c r="A644" s="6"/>
      <c r="B644" s="7"/>
      <c r="C644" s="7"/>
      <c r="D644" s="7"/>
      <c r="E644" s="7"/>
      <c r="F644" s="6"/>
      <c r="G644" s="6"/>
      <c r="H644" s="6"/>
      <c r="I644" s="6"/>
      <c r="J644" s="6"/>
      <c r="K644" s="6"/>
      <c r="L644" s="6"/>
      <c r="M644" s="6"/>
      <c r="N644" s="6"/>
      <c r="O644" s="6"/>
      <c r="P644" s="6"/>
      <c r="Q644" s="6"/>
      <c r="R644" s="6"/>
      <c r="S644" s="6"/>
      <c r="T644" s="6"/>
      <c r="U644" s="6"/>
      <c r="V644" s="6"/>
      <c r="W644" s="6"/>
    </row>
    <row r="645" spans="1:23" ht="16" x14ac:dyDescent="0.2">
      <c r="A645" s="6"/>
      <c r="B645" s="7"/>
      <c r="C645" s="7"/>
      <c r="D645" s="7"/>
      <c r="E645" s="7"/>
      <c r="F645" s="6"/>
      <c r="G645" s="6"/>
      <c r="H645" s="6"/>
      <c r="I645" s="6"/>
      <c r="J645" s="6"/>
      <c r="K645" s="6"/>
      <c r="L645" s="6"/>
      <c r="M645" s="6"/>
      <c r="N645" s="6"/>
      <c r="O645" s="6"/>
      <c r="P645" s="6"/>
      <c r="Q645" s="6"/>
      <c r="R645" s="6"/>
      <c r="S645" s="6"/>
      <c r="T645" s="6"/>
      <c r="U645" s="6"/>
      <c r="V645" s="6"/>
      <c r="W645" s="6"/>
    </row>
    <row r="646" spans="1:23" ht="16" x14ac:dyDescent="0.2">
      <c r="A646" s="6"/>
      <c r="B646" s="7"/>
      <c r="C646" s="7"/>
      <c r="D646" s="7"/>
      <c r="E646" s="7"/>
      <c r="F646" s="6"/>
      <c r="G646" s="6"/>
      <c r="H646" s="6"/>
      <c r="I646" s="6"/>
      <c r="J646" s="6"/>
      <c r="K646" s="6"/>
      <c r="L646" s="6"/>
      <c r="M646" s="6"/>
      <c r="N646" s="6"/>
      <c r="O646" s="6"/>
      <c r="P646" s="6"/>
      <c r="Q646" s="6"/>
      <c r="R646" s="6"/>
      <c r="S646" s="6"/>
      <c r="T646" s="6"/>
      <c r="U646" s="6"/>
      <c r="V646" s="6"/>
      <c r="W646" s="6"/>
    </row>
    <row r="647" spans="1:23" ht="16" x14ac:dyDescent="0.2">
      <c r="A647" s="6"/>
      <c r="B647" s="7"/>
      <c r="C647" s="7"/>
      <c r="D647" s="7"/>
      <c r="E647" s="7"/>
      <c r="F647" s="6"/>
      <c r="G647" s="6"/>
      <c r="H647" s="6"/>
      <c r="I647" s="6"/>
      <c r="J647" s="6"/>
      <c r="K647" s="6"/>
      <c r="L647" s="6"/>
      <c r="M647" s="6"/>
      <c r="N647" s="6"/>
      <c r="O647" s="6"/>
      <c r="P647" s="6"/>
      <c r="Q647" s="6"/>
      <c r="R647" s="6"/>
      <c r="S647" s="6"/>
      <c r="T647" s="6"/>
      <c r="U647" s="6"/>
      <c r="V647" s="6"/>
      <c r="W647" s="6"/>
    </row>
    <row r="648" spans="1:23" ht="16" x14ac:dyDescent="0.2">
      <c r="A648" s="6"/>
      <c r="B648" s="7"/>
      <c r="C648" s="7"/>
      <c r="D648" s="7"/>
      <c r="E648" s="7"/>
      <c r="F648" s="6"/>
      <c r="G648" s="6"/>
      <c r="H648" s="6"/>
      <c r="I648" s="6"/>
      <c r="J648" s="6"/>
      <c r="K648" s="6"/>
      <c r="L648" s="6"/>
      <c r="M648" s="6"/>
      <c r="N648" s="6"/>
      <c r="O648" s="6"/>
      <c r="P648" s="6"/>
      <c r="Q648" s="6"/>
      <c r="R648" s="6"/>
      <c r="S648" s="6"/>
      <c r="T648" s="6"/>
      <c r="U648" s="6"/>
      <c r="V648" s="6"/>
      <c r="W648" s="6"/>
    </row>
    <row r="649" spans="1:23" ht="16" x14ac:dyDescent="0.2">
      <c r="A649" s="6"/>
      <c r="B649" s="7"/>
      <c r="C649" s="7"/>
      <c r="D649" s="7"/>
      <c r="E649" s="7"/>
      <c r="F649" s="6"/>
      <c r="G649" s="6"/>
      <c r="H649" s="6"/>
      <c r="I649" s="6"/>
      <c r="J649" s="6"/>
      <c r="K649" s="6"/>
      <c r="L649" s="6"/>
      <c r="M649" s="6"/>
      <c r="N649" s="6"/>
      <c r="O649" s="6"/>
      <c r="P649" s="6"/>
      <c r="Q649" s="6"/>
      <c r="R649" s="6"/>
      <c r="S649" s="6"/>
      <c r="T649" s="6"/>
      <c r="U649" s="6"/>
      <c r="V649" s="6"/>
      <c r="W649" s="6"/>
    </row>
    <row r="650" spans="1:23" ht="16" x14ac:dyDescent="0.2">
      <c r="A650" s="6"/>
      <c r="B650" s="7"/>
      <c r="C650" s="7"/>
      <c r="D650" s="7"/>
      <c r="E650" s="7"/>
      <c r="F650" s="6"/>
      <c r="G650" s="6"/>
      <c r="H650" s="6"/>
      <c r="I650" s="6"/>
      <c r="J650" s="6"/>
      <c r="K650" s="6"/>
      <c r="L650" s="6"/>
      <c r="M650" s="6"/>
      <c r="N650" s="6"/>
      <c r="O650" s="6"/>
      <c r="P650" s="6"/>
      <c r="Q650" s="6"/>
      <c r="R650" s="6"/>
      <c r="S650" s="6"/>
      <c r="T650" s="6"/>
      <c r="U650" s="6"/>
      <c r="V650" s="6"/>
      <c r="W650" s="6"/>
    </row>
    <row r="651" spans="1:23" ht="16" x14ac:dyDescent="0.2">
      <c r="A651" s="6"/>
      <c r="B651" s="7"/>
      <c r="C651" s="7"/>
      <c r="D651" s="7"/>
      <c r="E651" s="7"/>
      <c r="F651" s="6"/>
      <c r="G651" s="6"/>
      <c r="H651" s="6"/>
      <c r="I651" s="6"/>
      <c r="J651" s="6"/>
      <c r="K651" s="6"/>
      <c r="L651" s="6"/>
      <c r="M651" s="6"/>
      <c r="N651" s="6"/>
      <c r="O651" s="6"/>
      <c r="P651" s="6"/>
      <c r="Q651" s="6"/>
      <c r="R651" s="6"/>
      <c r="S651" s="6"/>
      <c r="T651" s="6"/>
      <c r="U651" s="6"/>
      <c r="V651" s="6"/>
      <c r="W651" s="6"/>
    </row>
    <row r="652" spans="1:23" ht="16" x14ac:dyDescent="0.2">
      <c r="A652" s="6"/>
      <c r="B652" s="7"/>
      <c r="C652" s="7"/>
      <c r="D652" s="7"/>
      <c r="E652" s="7"/>
      <c r="F652" s="6"/>
      <c r="G652" s="6"/>
      <c r="H652" s="6"/>
      <c r="I652" s="6"/>
      <c r="J652" s="6"/>
      <c r="K652" s="6"/>
      <c r="L652" s="6"/>
      <c r="M652" s="6"/>
      <c r="N652" s="6"/>
      <c r="O652" s="6"/>
      <c r="P652" s="6"/>
      <c r="Q652" s="6"/>
      <c r="R652" s="6"/>
      <c r="S652" s="6"/>
      <c r="T652" s="6"/>
      <c r="U652" s="6"/>
      <c r="V652" s="6"/>
      <c r="W652" s="6"/>
    </row>
    <row r="653" spans="1:23" ht="16" x14ac:dyDescent="0.2">
      <c r="A653" s="6"/>
      <c r="B653" s="7"/>
      <c r="C653" s="7"/>
      <c r="D653" s="7"/>
      <c r="E653" s="7"/>
      <c r="F653" s="6"/>
      <c r="G653" s="6"/>
      <c r="H653" s="6"/>
      <c r="I653" s="6"/>
      <c r="J653" s="6"/>
      <c r="K653" s="6"/>
      <c r="L653" s="6"/>
      <c r="M653" s="6"/>
      <c r="N653" s="6"/>
      <c r="O653" s="6"/>
      <c r="P653" s="6"/>
      <c r="Q653" s="6"/>
      <c r="R653" s="6"/>
      <c r="S653" s="6"/>
      <c r="T653" s="6"/>
      <c r="U653" s="6"/>
      <c r="V653" s="6"/>
      <c r="W653" s="6"/>
    </row>
    <row r="654" spans="1:23" ht="16" x14ac:dyDescent="0.2">
      <c r="A654" s="6"/>
      <c r="B654" s="7"/>
      <c r="C654" s="7"/>
      <c r="D654" s="7"/>
      <c r="E654" s="7"/>
      <c r="F654" s="6"/>
      <c r="G654" s="6"/>
      <c r="H654" s="6"/>
      <c r="I654" s="6"/>
      <c r="J654" s="6"/>
      <c r="K654" s="6"/>
      <c r="L654" s="6"/>
      <c r="M654" s="6"/>
      <c r="N654" s="6"/>
      <c r="O654" s="6"/>
      <c r="P654" s="6"/>
      <c r="Q654" s="6"/>
      <c r="R654" s="6"/>
      <c r="S654" s="6"/>
      <c r="T654" s="6"/>
      <c r="U654" s="6"/>
      <c r="V654" s="6"/>
      <c r="W654" s="6"/>
    </row>
    <row r="655" spans="1:23" ht="16" x14ac:dyDescent="0.2">
      <c r="A655" s="6"/>
      <c r="B655" s="7"/>
      <c r="C655" s="7"/>
      <c r="D655" s="7"/>
      <c r="E655" s="7"/>
      <c r="F655" s="6"/>
      <c r="G655" s="6"/>
      <c r="H655" s="6"/>
      <c r="I655" s="6"/>
      <c r="J655" s="6"/>
      <c r="K655" s="6"/>
      <c r="L655" s="6"/>
      <c r="M655" s="6"/>
      <c r="N655" s="6"/>
      <c r="O655" s="6"/>
      <c r="P655" s="6"/>
      <c r="Q655" s="6"/>
      <c r="R655" s="6"/>
      <c r="S655" s="6"/>
      <c r="T655" s="6"/>
      <c r="U655" s="6"/>
      <c r="V655" s="6"/>
      <c r="W655" s="6"/>
    </row>
    <row r="656" spans="1:23" ht="16" x14ac:dyDescent="0.2">
      <c r="A656" s="6"/>
      <c r="B656" s="7"/>
      <c r="C656" s="7"/>
      <c r="D656" s="7"/>
      <c r="E656" s="7"/>
      <c r="F656" s="6"/>
      <c r="G656" s="6"/>
      <c r="H656" s="6"/>
      <c r="I656" s="6"/>
      <c r="J656" s="6"/>
      <c r="K656" s="6"/>
      <c r="L656" s="6"/>
      <c r="M656" s="6"/>
      <c r="N656" s="6"/>
      <c r="O656" s="6"/>
      <c r="P656" s="6"/>
      <c r="Q656" s="6"/>
      <c r="R656" s="6"/>
      <c r="S656" s="6"/>
      <c r="T656" s="6"/>
      <c r="U656" s="6"/>
      <c r="V656" s="6"/>
      <c r="W656" s="6"/>
    </row>
    <row r="657" spans="1:23" ht="16" x14ac:dyDescent="0.2">
      <c r="A657" s="6"/>
      <c r="B657" s="7"/>
      <c r="C657" s="7"/>
      <c r="D657" s="7"/>
      <c r="E657" s="7"/>
      <c r="F657" s="6"/>
      <c r="G657" s="6"/>
      <c r="H657" s="6"/>
      <c r="I657" s="6"/>
      <c r="J657" s="6"/>
      <c r="K657" s="6"/>
      <c r="L657" s="6"/>
      <c r="M657" s="6"/>
      <c r="N657" s="6"/>
      <c r="O657" s="6"/>
      <c r="P657" s="6"/>
      <c r="Q657" s="6"/>
      <c r="R657" s="6"/>
      <c r="S657" s="6"/>
      <c r="T657" s="6"/>
      <c r="U657" s="6"/>
      <c r="V657" s="6"/>
      <c r="W657" s="6"/>
    </row>
    <row r="658" spans="1:23" ht="16" x14ac:dyDescent="0.2">
      <c r="A658" s="6"/>
      <c r="B658" s="7"/>
      <c r="C658" s="7"/>
      <c r="D658" s="7"/>
      <c r="E658" s="7"/>
      <c r="F658" s="6"/>
      <c r="G658" s="6"/>
      <c r="H658" s="6"/>
      <c r="I658" s="6"/>
      <c r="J658" s="6"/>
      <c r="K658" s="6"/>
      <c r="L658" s="6"/>
      <c r="M658" s="6"/>
      <c r="N658" s="6"/>
      <c r="O658" s="6"/>
      <c r="P658" s="6"/>
      <c r="Q658" s="6"/>
      <c r="R658" s="6"/>
      <c r="S658" s="6"/>
      <c r="T658" s="6"/>
      <c r="U658" s="6"/>
      <c r="V658" s="6"/>
      <c r="W658" s="6"/>
    </row>
    <row r="659" spans="1:23" ht="16" x14ac:dyDescent="0.2">
      <c r="A659" s="6"/>
      <c r="B659" s="7"/>
      <c r="C659" s="7"/>
      <c r="D659" s="7"/>
      <c r="E659" s="7"/>
      <c r="F659" s="6"/>
      <c r="G659" s="6"/>
      <c r="H659" s="6"/>
      <c r="I659" s="6"/>
      <c r="J659" s="6"/>
      <c r="K659" s="6"/>
      <c r="L659" s="6"/>
      <c r="M659" s="6"/>
      <c r="N659" s="6"/>
      <c r="O659" s="6"/>
      <c r="P659" s="6"/>
      <c r="Q659" s="6"/>
      <c r="R659" s="6"/>
      <c r="S659" s="6"/>
      <c r="T659" s="6"/>
      <c r="U659" s="6"/>
      <c r="V659" s="6"/>
      <c r="W659" s="6"/>
    </row>
    <row r="660" spans="1:23" ht="16" x14ac:dyDescent="0.2">
      <c r="A660" s="6"/>
      <c r="B660" s="7"/>
      <c r="C660" s="7"/>
      <c r="D660" s="7"/>
      <c r="E660" s="7"/>
      <c r="F660" s="6"/>
      <c r="G660" s="6"/>
      <c r="H660" s="6"/>
      <c r="I660" s="6"/>
      <c r="J660" s="6"/>
      <c r="K660" s="6"/>
      <c r="L660" s="6"/>
      <c r="M660" s="6"/>
      <c r="N660" s="6"/>
      <c r="O660" s="6"/>
      <c r="P660" s="6"/>
      <c r="Q660" s="6"/>
      <c r="R660" s="6"/>
      <c r="S660" s="6"/>
      <c r="T660" s="6"/>
      <c r="U660" s="6"/>
      <c r="V660" s="6"/>
      <c r="W660" s="6"/>
    </row>
    <row r="661" spans="1:23" ht="16" x14ac:dyDescent="0.2">
      <c r="A661" s="6"/>
      <c r="B661" s="7"/>
      <c r="C661" s="7"/>
      <c r="D661" s="7"/>
      <c r="E661" s="7"/>
      <c r="F661" s="6"/>
      <c r="G661" s="6"/>
      <c r="H661" s="6"/>
      <c r="I661" s="6"/>
      <c r="J661" s="6"/>
      <c r="K661" s="6"/>
      <c r="L661" s="6"/>
      <c r="M661" s="6"/>
      <c r="N661" s="6"/>
      <c r="O661" s="6"/>
      <c r="P661" s="6"/>
      <c r="Q661" s="6"/>
      <c r="R661" s="6"/>
      <c r="S661" s="6"/>
      <c r="T661" s="6"/>
      <c r="U661" s="6"/>
      <c r="V661" s="6"/>
      <c r="W661" s="6"/>
    </row>
    <row r="662" spans="1:23" ht="16" x14ac:dyDescent="0.2">
      <c r="A662" s="6"/>
      <c r="B662" s="7"/>
      <c r="C662" s="7"/>
      <c r="D662" s="7"/>
      <c r="E662" s="7"/>
      <c r="F662" s="6"/>
      <c r="G662" s="6"/>
      <c r="H662" s="6"/>
      <c r="I662" s="6"/>
      <c r="J662" s="6"/>
      <c r="K662" s="6"/>
      <c r="L662" s="6"/>
      <c r="M662" s="6"/>
      <c r="N662" s="6"/>
      <c r="O662" s="6"/>
      <c r="P662" s="6"/>
      <c r="Q662" s="6"/>
      <c r="R662" s="6"/>
      <c r="S662" s="6"/>
      <c r="T662" s="6"/>
      <c r="U662" s="6"/>
      <c r="V662" s="6"/>
      <c r="W662" s="6"/>
    </row>
    <row r="663" spans="1:23" ht="16" x14ac:dyDescent="0.2">
      <c r="A663" s="6"/>
      <c r="B663" s="7"/>
      <c r="C663" s="7"/>
      <c r="D663" s="7"/>
      <c r="E663" s="7"/>
      <c r="F663" s="6"/>
      <c r="G663" s="6"/>
      <c r="H663" s="6"/>
      <c r="I663" s="6"/>
      <c r="J663" s="6"/>
      <c r="K663" s="6"/>
      <c r="L663" s="6"/>
      <c r="M663" s="6"/>
      <c r="N663" s="6"/>
      <c r="O663" s="6"/>
      <c r="P663" s="6"/>
      <c r="Q663" s="6"/>
      <c r="R663" s="6"/>
      <c r="S663" s="6"/>
      <c r="T663" s="6"/>
      <c r="U663" s="6"/>
      <c r="V663" s="6"/>
      <c r="W663" s="6"/>
    </row>
    <row r="664" spans="1:23" ht="16" x14ac:dyDescent="0.2">
      <c r="A664" s="6"/>
      <c r="B664" s="7"/>
      <c r="C664" s="7"/>
      <c r="D664" s="7"/>
      <c r="E664" s="7"/>
      <c r="F664" s="6"/>
      <c r="G664" s="6"/>
      <c r="H664" s="6"/>
      <c r="I664" s="6"/>
      <c r="J664" s="6"/>
      <c r="K664" s="6"/>
      <c r="L664" s="6"/>
      <c r="M664" s="6"/>
      <c r="N664" s="6"/>
      <c r="O664" s="6"/>
      <c r="P664" s="6"/>
      <c r="Q664" s="6"/>
      <c r="R664" s="6"/>
      <c r="S664" s="6"/>
      <c r="T664" s="6"/>
      <c r="U664" s="6"/>
      <c r="V664" s="6"/>
      <c r="W664" s="6"/>
    </row>
    <row r="665" spans="1:23" ht="16" x14ac:dyDescent="0.2">
      <c r="A665" s="6"/>
      <c r="B665" s="7"/>
      <c r="C665" s="7"/>
      <c r="D665" s="7"/>
      <c r="E665" s="7"/>
      <c r="F665" s="6"/>
      <c r="G665" s="6"/>
      <c r="H665" s="6"/>
      <c r="I665" s="6"/>
      <c r="J665" s="6"/>
      <c r="K665" s="6"/>
      <c r="L665" s="6"/>
      <c r="M665" s="6"/>
      <c r="N665" s="6"/>
      <c r="O665" s="6"/>
      <c r="P665" s="6"/>
      <c r="Q665" s="6"/>
      <c r="R665" s="6"/>
      <c r="S665" s="6"/>
      <c r="T665" s="6"/>
      <c r="U665" s="6"/>
      <c r="V665" s="6"/>
      <c r="W665" s="6"/>
    </row>
    <row r="666" spans="1:23" ht="16" x14ac:dyDescent="0.2">
      <c r="A666" s="6"/>
      <c r="B666" s="7"/>
      <c r="C666" s="7"/>
      <c r="D666" s="7"/>
      <c r="E666" s="7"/>
      <c r="F666" s="6"/>
      <c r="G666" s="6"/>
      <c r="H666" s="6"/>
      <c r="I666" s="6"/>
      <c r="J666" s="6"/>
      <c r="K666" s="6"/>
      <c r="L666" s="6"/>
      <c r="M666" s="6"/>
      <c r="N666" s="6"/>
      <c r="O666" s="6"/>
      <c r="P666" s="6"/>
      <c r="Q666" s="6"/>
      <c r="R666" s="6"/>
      <c r="S666" s="6"/>
      <c r="T666" s="6"/>
      <c r="U666" s="6"/>
      <c r="V666" s="6"/>
      <c r="W666" s="6"/>
    </row>
    <row r="667" spans="1:23" ht="16" x14ac:dyDescent="0.2">
      <c r="A667" s="6"/>
      <c r="B667" s="7"/>
      <c r="C667" s="7"/>
      <c r="D667" s="7"/>
      <c r="E667" s="7"/>
      <c r="F667" s="6"/>
      <c r="G667" s="6"/>
      <c r="H667" s="6"/>
      <c r="I667" s="6"/>
      <c r="J667" s="6"/>
      <c r="K667" s="6"/>
      <c r="L667" s="6"/>
      <c r="M667" s="6"/>
      <c r="N667" s="6"/>
      <c r="O667" s="6"/>
      <c r="P667" s="6"/>
      <c r="Q667" s="6"/>
      <c r="R667" s="6"/>
      <c r="S667" s="6"/>
      <c r="T667" s="6"/>
      <c r="U667" s="6"/>
      <c r="V667" s="6"/>
      <c r="W667" s="6"/>
    </row>
    <row r="668" spans="1:23" ht="16" x14ac:dyDescent="0.2">
      <c r="A668" s="6"/>
      <c r="B668" s="7"/>
      <c r="C668" s="7"/>
      <c r="D668" s="7"/>
      <c r="E668" s="7"/>
      <c r="F668" s="6"/>
      <c r="G668" s="6"/>
      <c r="H668" s="6"/>
      <c r="I668" s="6"/>
      <c r="J668" s="6"/>
      <c r="K668" s="6"/>
      <c r="L668" s="6"/>
      <c r="M668" s="6"/>
      <c r="N668" s="6"/>
      <c r="O668" s="6"/>
      <c r="P668" s="6"/>
      <c r="Q668" s="6"/>
      <c r="R668" s="6"/>
      <c r="S668" s="6"/>
      <c r="T668" s="6"/>
      <c r="U668" s="6"/>
      <c r="V668" s="6"/>
      <c r="W668" s="6"/>
    </row>
    <row r="669" spans="1:23" ht="16" x14ac:dyDescent="0.2">
      <c r="A669" s="6"/>
      <c r="B669" s="7"/>
      <c r="C669" s="7"/>
      <c r="D669" s="7"/>
      <c r="E669" s="7"/>
      <c r="F669" s="6"/>
      <c r="G669" s="6"/>
      <c r="H669" s="6"/>
      <c r="I669" s="6"/>
      <c r="J669" s="6"/>
      <c r="K669" s="6"/>
      <c r="L669" s="6"/>
      <c r="M669" s="6"/>
      <c r="N669" s="6"/>
      <c r="O669" s="6"/>
      <c r="P669" s="6"/>
      <c r="Q669" s="6"/>
      <c r="R669" s="6"/>
      <c r="S669" s="6"/>
      <c r="T669" s="6"/>
      <c r="U669" s="6"/>
      <c r="V669" s="6"/>
      <c r="W669" s="6"/>
    </row>
    <row r="670" spans="1:23" ht="16" x14ac:dyDescent="0.2">
      <c r="A670" s="6"/>
      <c r="B670" s="7"/>
      <c r="C670" s="7"/>
      <c r="D670" s="7"/>
      <c r="E670" s="7"/>
      <c r="F670" s="6"/>
      <c r="G670" s="6"/>
      <c r="H670" s="6"/>
      <c r="I670" s="6"/>
      <c r="J670" s="6"/>
      <c r="K670" s="6"/>
      <c r="L670" s="6"/>
      <c r="M670" s="6"/>
      <c r="N670" s="6"/>
      <c r="O670" s="6"/>
      <c r="P670" s="6"/>
      <c r="Q670" s="6"/>
      <c r="R670" s="6"/>
      <c r="S670" s="6"/>
      <c r="T670" s="6"/>
      <c r="U670" s="6"/>
      <c r="V670" s="6"/>
      <c r="W670" s="6"/>
    </row>
    <row r="671" spans="1:23" ht="16" x14ac:dyDescent="0.2">
      <c r="A671" s="6"/>
      <c r="B671" s="7"/>
      <c r="C671" s="7"/>
      <c r="D671" s="7"/>
      <c r="E671" s="7"/>
      <c r="F671" s="6"/>
      <c r="G671" s="6"/>
      <c r="H671" s="6"/>
      <c r="I671" s="6"/>
      <c r="J671" s="6"/>
      <c r="K671" s="6"/>
      <c r="L671" s="6"/>
      <c r="M671" s="6"/>
      <c r="N671" s="6"/>
      <c r="O671" s="6"/>
      <c r="P671" s="6"/>
      <c r="Q671" s="6"/>
      <c r="R671" s="6"/>
      <c r="S671" s="6"/>
      <c r="T671" s="6"/>
      <c r="U671" s="6"/>
      <c r="V671" s="6"/>
      <c r="W671" s="6"/>
    </row>
    <row r="672" spans="1:23" ht="16" x14ac:dyDescent="0.2">
      <c r="A672" s="6"/>
      <c r="B672" s="7"/>
      <c r="C672" s="7"/>
      <c r="D672" s="7"/>
      <c r="E672" s="7"/>
      <c r="F672" s="6"/>
      <c r="G672" s="6"/>
      <c r="H672" s="6"/>
      <c r="I672" s="6"/>
      <c r="J672" s="6"/>
      <c r="K672" s="6"/>
      <c r="L672" s="6"/>
      <c r="M672" s="6"/>
      <c r="N672" s="6"/>
      <c r="O672" s="6"/>
      <c r="P672" s="6"/>
      <c r="Q672" s="6"/>
      <c r="R672" s="6"/>
      <c r="S672" s="6"/>
      <c r="T672" s="6"/>
      <c r="U672" s="6"/>
      <c r="V672" s="6"/>
      <c r="W672" s="6"/>
    </row>
    <row r="673" spans="1:23" ht="16" x14ac:dyDescent="0.2">
      <c r="A673" s="6"/>
      <c r="B673" s="7"/>
      <c r="C673" s="7"/>
      <c r="D673" s="7"/>
      <c r="E673" s="7"/>
      <c r="F673" s="6"/>
      <c r="G673" s="6"/>
      <c r="H673" s="6"/>
      <c r="I673" s="6"/>
      <c r="J673" s="6"/>
      <c r="K673" s="6"/>
      <c r="L673" s="6"/>
      <c r="M673" s="6"/>
      <c r="N673" s="6"/>
      <c r="O673" s="6"/>
      <c r="P673" s="6"/>
      <c r="Q673" s="6"/>
      <c r="R673" s="6"/>
      <c r="S673" s="6"/>
      <c r="T673" s="6"/>
      <c r="U673" s="6"/>
      <c r="V673" s="6"/>
      <c r="W673" s="6"/>
    </row>
    <row r="674" spans="1:23" ht="16" x14ac:dyDescent="0.2">
      <c r="A674" s="6"/>
      <c r="B674" s="7"/>
      <c r="C674" s="7"/>
      <c r="D674" s="7"/>
      <c r="E674" s="7"/>
      <c r="F674" s="6"/>
      <c r="G674" s="6"/>
      <c r="H674" s="6"/>
      <c r="I674" s="6"/>
      <c r="J674" s="6"/>
      <c r="K674" s="6"/>
      <c r="L674" s="6"/>
      <c r="M674" s="6"/>
      <c r="N674" s="6"/>
      <c r="O674" s="6"/>
      <c r="P674" s="6"/>
      <c r="Q674" s="6"/>
      <c r="R674" s="6"/>
      <c r="S674" s="6"/>
      <c r="T674" s="6"/>
      <c r="U674" s="6"/>
      <c r="V674" s="6"/>
      <c r="W674" s="6"/>
    </row>
    <row r="675" spans="1:23" ht="16" x14ac:dyDescent="0.2">
      <c r="A675" s="6"/>
      <c r="B675" s="7"/>
      <c r="C675" s="7"/>
      <c r="D675" s="7"/>
      <c r="E675" s="7"/>
      <c r="F675" s="6"/>
      <c r="G675" s="6"/>
      <c r="H675" s="6"/>
      <c r="I675" s="6"/>
      <c r="J675" s="6"/>
      <c r="K675" s="6"/>
      <c r="L675" s="6"/>
      <c r="M675" s="6"/>
      <c r="N675" s="6"/>
      <c r="O675" s="6"/>
      <c r="P675" s="6"/>
      <c r="Q675" s="6"/>
      <c r="R675" s="6"/>
      <c r="S675" s="6"/>
      <c r="T675" s="6"/>
      <c r="U675" s="6"/>
      <c r="V675" s="6"/>
      <c r="W675" s="6"/>
    </row>
    <row r="676" spans="1:23" ht="16" x14ac:dyDescent="0.2">
      <c r="A676" s="6"/>
      <c r="B676" s="7"/>
      <c r="C676" s="7"/>
      <c r="D676" s="7"/>
      <c r="E676" s="7"/>
      <c r="F676" s="6"/>
      <c r="G676" s="6"/>
      <c r="H676" s="6"/>
      <c r="I676" s="6"/>
      <c r="J676" s="6"/>
      <c r="K676" s="6"/>
      <c r="L676" s="6"/>
      <c r="M676" s="6"/>
      <c r="N676" s="6"/>
      <c r="O676" s="6"/>
      <c r="P676" s="6"/>
      <c r="Q676" s="6"/>
      <c r="R676" s="6"/>
      <c r="S676" s="6"/>
      <c r="T676" s="6"/>
      <c r="U676" s="6"/>
      <c r="V676" s="6"/>
      <c r="W676" s="6"/>
    </row>
    <row r="677" spans="1:23" ht="16" x14ac:dyDescent="0.2">
      <c r="A677" s="6"/>
      <c r="B677" s="7"/>
      <c r="C677" s="7"/>
      <c r="D677" s="7"/>
      <c r="E677" s="7"/>
      <c r="F677" s="6"/>
      <c r="G677" s="6"/>
      <c r="H677" s="6"/>
      <c r="I677" s="6"/>
      <c r="J677" s="6"/>
      <c r="K677" s="6"/>
      <c r="L677" s="6"/>
      <c r="M677" s="6"/>
      <c r="N677" s="6"/>
      <c r="O677" s="6"/>
      <c r="P677" s="6"/>
      <c r="Q677" s="6"/>
      <c r="R677" s="6"/>
      <c r="S677" s="6"/>
      <c r="T677" s="6"/>
      <c r="U677" s="6"/>
      <c r="V677" s="6"/>
      <c r="W677" s="6"/>
    </row>
    <row r="678" spans="1:23" ht="16" x14ac:dyDescent="0.2">
      <c r="A678" s="6"/>
      <c r="B678" s="7"/>
      <c r="C678" s="7"/>
      <c r="D678" s="7"/>
      <c r="E678" s="7"/>
      <c r="F678" s="6"/>
      <c r="G678" s="6"/>
      <c r="H678" s="6"/>
      <c r="I678" s="6"/>
      <c r="J678" s="6"/>
      <c r="K678" s="6"/>
      <c r="L678" s="6"/>
      <c r="M678" s="6"/>
      <c r="N678" s="6"/>
      <c r="O678" s="6"/>
      <c r="P678" s="6"/>
      <c r="Q678" s="6"/>
      <c r="R678" s="6"/>
      <c r="S678" s="6"/>
      <c r="T678" s="6"/>
      <c r="U678" s="6"/>
      <c r="V678" s="6"/>
      <c r="W678" s="6"/>
    </row>
    <row r="679" spans="1:23" ht="16" x14ac:dyDescent="0.2">
      <c r="A679" s="6"/>
      <c r="B679" s="7"/>
      <c r="C679" s="7"/>
      <c r="D679" s="7"/>
      <c r="E679" s="7"/>
      <c r="F679" s="6"/>
      <c r="G679" s="6"/>
      <c r="H679" s="6"/>
      <c r="I679" s="6"/>
      <c r="J679" s="6"/>
      <c r="K679" s="6"/>
      <c r="L679" s="6"/>
      <c r="M679" s="6"/>
      <c r="N679" s="6"/>
      <c r="O679" s="6"/>
      <c r="P679" s="6"/>
      <c r="Q679" s="6"/>
      <c r="R679" s="6"/>
      <c r="S679" s="6"/>
      <c r="T679" s="6"/>
      <c r="U679" s="6"/>
      <c r="V679" s="6"/>
      <c r="W679" s="6"/>
    </row>
    <row r="680" spans="1:23" ht="16" x14ac:dyDescent="0.2">
      <c r="A680" s="6"/>
      <c r="B680" s="7"/>
      <c r="C680" s="7"/>
      <c r="D680" s="7"/>
      <c r="E680" s="7"/>
      <c r="F680" s="6"/>
      <c r="G680" s="6"/>
      <c r="H680" s="6"/>
      <c r="I680" s="6"/>
      <c r="J680" s="6"/>
      <c r="K680" s="6"/>
      <c r="L680" s="6"/>
      <c r="M680" s="6"/>
      <c r="N680" s="6"/>
      <c r="O680" s="6"/>
      <c r="P680" s="6"/>
      <c r="Q680" s="6"/>
      <c r="R680" s="6"/>
      <c r="S680" s="6"/>
      <c r="T680" s="6"/>
      <c r="U680" s="6"/>
      <c r="V680" s="6"/>
      <c r="W680" s="6"/>
    </row>
    <row r="681" spans="1:23" ht="16" x14ac:dyDescent="0.2">
      <c r="A681" s="6"/>
      <c r="B681" s="7"/>
      <c r="C681" s="7"/>
      <c r="D681" s="7"/>
      <c r="E681" s="7"/>
      <c r="F681" s="6"/>
      <c r="G681" s="6"/>
      <c r="H681" s="6"/>
      <c r="I681" s="6"/>
      <c r="J681" s="6"/>
      <c r="K681" s="6"/>
      <c r="L681" s="6"/>
      <c r="M681" s="6"/>
      <c r="N681" s="6"/>
      <c r="O681" s="6"/>
      <c r="P681" s="6"/>
      <c r="Q681" s="6"/>
      <c r="R681" s="6"/>
      <c r="S681" s="6"/>
      <c r="T681" s="6"/>
      <c r="U681" s="6"/>
      <c r="V681" s="6"/>
      <c r="W681" s="6"/>
    </row>
    <row r="682" spans="1:23" ht="16" x14ac:dyDescent="0.2">
      <c r="A682" s="6"/>
      <c r="B682" s="7"/>
      <c r="C682" s="7"/>
      <c r="D682" s="7"/>
      <c r="E682" s="7"/>
      <c r="F682" s="6"/>
      <c r="G682" s="6"/>
      <c r="H682" s="6"/>
      <c r="I682" s="6"/>
      <c r="J682" s="6"/>
      <c r="K682" s="6"/>
      <c r="L682" s="6"/>
      <c r="M682" s="6"/>
      <c r="N682" s="6"/>
      <c r="O682" s="6"/>
      <c r="P682" s="6"/>
      <c r="Q682" s="6"/>
      <c r="R682" s="6"/>
      <c r="S682" s="6"/>
      <c r="T682" s="6"/>
      <c r="U682" s="6"/>
      <c r="V682" s="6"/>
      <c r="W682" s="6"/>
    </row>
    <row r="683" spans="1:23" ht="16" x14ac:dyDescent="0.2">
      <c r="A683" s="6"/>
      <c r="B683" s="7"/>
      <c r="C683" s="7"/>
      <c r="D683" s="7"/>
      <c r="E683" s="7"/>
      <c r="F683" s="6"/>
      <c r="G683" s="6"/>
      <c r="H683" s="6"/>
      <c r="I683" s="6"/>
      <c r="J683" s="6"/>
      <c r="K683" s="6"/>
      <c r="L683" s="6"/>
      <c r="M683" s="6"/>
      <c r="N683" s="6"/>
      <c r="O683" s="6"/>
      <c r="P683" s="6"/>
      <c r="Q683" s="6"/>
      <c r="R683" s="6"/>
      <c r="S683" s="6"/>
      <c r="T683" s="6"/>
      <c r="U683" s="6"/>
      <c r="V683" s="6"/>
      <c r="W683" s="6"/>
    </row>
    <row r="684" spans="1:23" ht="16" x14ac:dyDescent="0.2">
      <c r="A684" s="6"/>
      <c r="B684" s="7"/>
      <c r="C684" s="7"/>
      <c r="D684" s="7"/>
      <c r="E684" s="7"/>
      <c r="F684" s="6"/>
      <c r="G684" s="6"/>
      <c r="H684" s="6"/>
      <c r="I684" s="6"/>
      <c r="J684" s="6"/>
      <c r="K684" s="6"/>
      <c r="L684" s="6"/>
      <c r="M684" s="6"/>
      <c r="N684" s="6"/>
      <c r="O684" s="6"/>
      <c r="P684" s="6"/>
      <c r="Q684" s="6"/>
      <c r="R684" s="6"/>
      <c r="S684" s="6"/>
      <c r="T684" s="6"/>
      <c r="U684" s="6"/>
      <c r="V684" s="6"/>
      <c r="W684" s="6"/>
    </row>
    <row r="685" spans="1:23" ht="16" x14ac:dyDescent="0.2">
      <c r="A685" s="6"/>
      <c r="B685" s="7"/>
      <c r="C685" s="7"/>
      <c r="D685" s="7"/>
      <c r="E685" s="7"/>
      <c r="F685" s="6"/>
      <c r="G685" s="6"/>
      <c r="H685" s="6"/>
      <c r="I685" s="6"/>
      <c r="J685" s="6"/>
      <c r="K685" s="6"/>
      <c r="L685" s="6"/>
      <c r="M685" s="6"/>
      <c r="N685" s="6"/>
      <c r="O685" s="6"/>
      <c r="P685" s="6"/>
      <c r="Q685" s="6"/>
      <c r="R685" s="6"/>
      <c r="S685" s="6"/>
      <c r="T685" s="6"/>
      <c r="U685" s="6"/>
      <c r="V685" s="6"/>
      <c r="W685" s="6"/>
    </row>
    <row r="686" spans="1:23" ht="16" x14ac:dyDescent="0.2">
      <c r="A686" s="6"/>
      <c r="B686" s="7"/>
      <c r="C686" s="7"/>
      <c r="D686" s="7"/>
      <c r="E686" s="7"/>
      <c r="F686" s="6"/>
      <c r="G686" s="6"/>
      <c r="H686" s="6"/>
      <c r="I686" s="6"/>
      <c r="J686" s="6"/>
      <c r="K686" s="6"/>
      <c r="L686" s="6"/>
      <c r="M686" s="6"/>
      <c r="N686" s="6"/>
      <c r="O686" s="6"/>
      <c r="P686" s="6"/>
      <c r="Q686" s="6"/>
      <c r="R686" s="6"/>
      <c r="S686" s="6"/>
      <c r="T686" s="6"/>
      <c r="U686" s="6"/>
      <c r="V686" s="6"/>
      <c r="W686" s="6"/>
    </row>
    <row r="687" spans="1:23" ht="16" x14ac:dyDescent="0.2">
      <c r="A687" s="6"/>
      <c r="B687" s="7"/>
      <c r="C687" s="7"/>
      <c r="D687" s="7"/>
      <c r="E687" s="7"/>
      <c r="F687" s="6"/>
      <c r="G687" s="6"/>
      <c r="H687" s="6"/>
      <c r="I687" s="6"/>
      <c r="J687" s="6"/>
      <c r="K687" s="6"/>
      <c r="L687" s="6"/>
      <c r="M687" s="6"/>
      <c r="N687" s="6"/>
      <c r="O687" s="6"/>
      <c r="P687" s="6"/>
      <c r="Q687" s="6"/>
      <c r="R687" s="6"/>
      <c r="S687" s="6"/>
      <c r="T687" s="6"/>
      <c r="U687" s="6"/>
      <c r="V687" s="6"/>
      <c r="W687" s="6"/>
    </row>
    <row r="688" spans="1:23" ht="16" x14ac:dyDescent="0.2">
      <c r="A688" s="6"/>
      <c r="B688" s="7"/>
      <c r="C688" s="7"/>
      <c r="D688" s="7"/>
      <c r="E688" s="7"/>
      <c r="F688" s="6"/>
      <c r="G688" s="6"/>
      <c r="H688" s="6"/>
      <c r="I688" s="6"/>
      <c r="J688" s="6"/>
      <c r="K688" s="6"/>
      <c r="L688" s="6"/>
      <c r="M688" s="6"/>
      <c r="N688" s="6"/>
      <c r="O688" s="6"/>
      <c r="P688" s="6"/>
      <c r="Q688" s="6"/>
      <c r="R688" s="6"/>
      <c r="S688" s="6"/>
      <c r="T688" s="6"/>
      <c r="U688" s="6"/>
      <c r="V688" s="6"/>
      <c r="W688" s="6"/>
    </row>
    <row r="689" spans="1:23" ht="16" x14ac:dyDescent="0.2">
      <c r="A689" s="6"/>
      <c r="B689" s="7"/>
      <c r="C689" s="7"/>
      <c r="D689" s="7"/>
      <c r="E689" s="7"/>
      <c r="F689" s="6"/>
      <c r="G689" s="6"/>
      <c r="H689" s="6"/>
      <c r="I689" s="6"/>
      <c r="J689" s="6"/>
      <c r="K689" s="6"/>
      <c r="L689" s="6"/>
      <c r="M689" s="6"/>
      <c r="N689" s="6"/>
      <c r="O689" s="6"/>
      <c r="P689" s="6"/>
      <c r="Q689" s="6"/>
      <c r="R689" s="6"/>
      <c r="S689" s="6"/>
      <c r="T689" s="6"/>
      <c r="U689" s="6"/>
      <c r="V689" s="6"/>
      <c r="W689" s="6"/>
    </row>
    <row r="690" spans="1:23" ht="16" x14ac:dyDescent="0.2">
      <c r="A690" s="6"/>
      <c r="B690" s="7"/>
      <c r="C690" s="7"/>
      <c r="D690" s="7"/>
      <c r="E690" s="7"/>
      <c r="F690" s="6"/>
      <c r="G690" s="6"/>
      <c r="H690" s="6"/>
      <c r="I690" s="6"/>
      <c r="J690" s="6"/>
      <c r="K690" s="6"/>
      <c r="L690" s="6"/>
      <c r="M690" s="6"/>
      <c r="N690" s="6"/>
      <c r="O690" s="6"/>
      <c r="P690" s="6"/>
      <c r="Q690" s="6"/>
      <c r="R690" s="6"/>
      <c r="S690" s="6"/>
      <c r="T690" s="6"/>
      <c r="U690" s="6"/>
      <c r="V690" s="6"/>
      <c r="W690" s="6"/>
    </row>
    <row r="691" spans="1:23" ht="16" x14ac:dyDescent="0.2">
      <c r="A691" s="6"/>
      <c r="B691" s="7"/>
      <c r="C691" s="7"/>
      <c r="D691" s="7"/>
      <c r="E691" s="7"/>
      <c r="F691" s="6"/>
      <c r="G691" s="6"/>
      <c r="H691" s="6"/>
      <c r="I691" s="6"/>
      <c r="J691" s="6"/>
      <c r="K691" s="6"/>
      <c r="L691" s="6"/>
      <c r="M691" s="6"/>
      <c r="N691" s="6"/>
      <c r="O691" s="6"/>
      <c r="P691" s="6"/>
      <c r="Q691" s="6"/>
      <c r="R691" s="6"/>
      <c r="S691" s="6"/>
      <c r="T691" s="6"/>
      <c r="U691" s="6"/>
      <c r="V691" s="6"/>
      <c r="W691" s="6"/>
    </row>
    <row r="692" spans="1:23" ht="16" x14ac:dyDescent="0.2">
      <c r="A692" s="6"/>
      <c r="B692" s="7"/>
      <c r="C692" s="7"/>
      <c r="D692" s="7"/>
      <c r="E692" s="7"/>
      <c r="F692" s="6"/>
      <c r="G692" s="6"/>
      <c r="H692" s="6"/>
      <c r="I692" s="6"/>
      <c r="J692" s="6"/>
      <c r="K692" s="6"/>
      <c r="L692" s="6"/>
      <c r="M692" s="6"/>
      <c r="N692" s="6"/>
      <c r="O692" s="6"/>
      <c r="P692" s="6"/>
      <c r="Q692" s="6"/>
      <c r="R692" s="6"/>
      <c r="S692" s="6"/>
      <c r="T692" s="6"/>
      <c r="U692" s="6"/>
      <c r="V692" s="6"/>
      <c r="W692" s="6"/>
    </row>
    <row r="693" spans="1:23" ht="16" x14ac:dyDescent="0.2">
      <c r="A693" s="6"/>
      <c r="B693" s="7"/>
      <c r="C693" s="7"/>
      <c r="D693" s="7"/>
      <c r="E693" s="7"/>
      <c r="F693" s="6"/>
      <c r="G693" s="6"/>
      <c r="H693" s="6"/>
      <c r="I693" s="6"/>
      <c r="J693" s="6"/>
      <c r="K693" s="6"/>
      <c r="L693" s="6"/>
      <c r="M693" s="6"/>
      <c r="N693" s="6"/>
      <c r="O693" s="6"/>
      <c r="P693" s="6"/>
      <c r="Q693" s="6"/>
      <c r="R693" s="6"/>
      <c r="S693" s="6"/>
      <c r="T693" s="6"/>
      <c r="U693" s="6"/>
      <c r="V693" s="6"/>
      <c r="W693" s="6"/>
    </row>
    <row r="694" spans="1:23" ht="16" x14ac:dyDescent="0.2">
      <c r="A694" s="6"/>
      <c r="B694" s="7"/>
      <c r="C694" s="7"/>
      <c r="D694" s="7"/>
      <c r="E694" s="7"/>
      <c r="F694" s="6"/>
      <c r="G694" s="6"/>
      <c r="H694" s="6"/>
      <c r="I694" s="6"/>
      <c r="J694" s="6"/>
      <c r="K694" s="6"/>
      <c r="L694" s="6"/>
      <c r="M694" s="6"/>
      <c r="N694" s="6"/>
      <c r="O694" s="6"/>
      <c r="P694" s="6"/>
      <c r="Q694" s="6"/>
      <c r="R694" s="6"/>
      <c r="S694" s="6"/>
      <c r="T694" s="6"/>
      <c r="U694" s="6"/>
      <c r="V694" s="6"/>
      <c r="W694" s="6"/>
    </row>
    <row r="695" spans="1:23" ht="16" x14ac:dyDescent="0.2">
      <c r="A695" s="6"/>
      <c r="B695" s="7"/>
      <c r="C695" s="7"/>
      <c r="D695" s="7"/>
      <c r="E695" s="7"/>
      <c r="F695" s="6"/>
      <c r="G695" s="6"/>
      <c r="H695" s="6"/>
      <c r="I695" s="6"/>
      <c r="J695" s="6"/>
      <c r="K695" s="6"/>
      <c r="L695" s="6"/>
      <c r="M695" s="6"/>
      <c r="N695" s="6"/>
      <c r="O695" s="6"/>
      <c r="P695" s="6"/>
      <c r="Q695" s="6"/>
      <c r="R695" s="6"/>
      <c r="S695" s="6"/>
      <c r="T695" s="6"/>
      <c r="U695" s="6"/>
      <c r="V695" s="6"/>
      <c r="W695" s="6"/>
    </row>
    <row r="696" spans="1:23" ht="16" x14ac:dyDescent="0.2">
      <c r="A696" s="6"/>
      <c r="B696" s="7"/>
      <c r="C696" s="7"/>
      <c r="D696" s="7"/>
      <c r="E696" s="7"/>
      <c r="F696" s="6"/>
      <c r="G696" s="6"/>
      <c r="H696" s="6"/>
      <c r="I696" s="6"/>
      <c r="J696" s="6"/>
      <c r="K696" s="6"/>
      <c r="L696" s="6"/>
      <c r="M696" s="6"/>
      <c r="N696" s="6"/>
      <c r="O696" s="6"/>
      <c r="P696" s="6"/>
      <c r="Q696" s="6"/>
      <c r="R696" s="6"/>
      <c r="S696" s="6"/>
      <c r="T696" s="6"/>
      <c r="U696" s="6"/>
      <c r="V696" s="6"/>
      <c r="W696" s="6"/>
    </row>
    <row r="697" spans="1:23" ht="16" x14ac:dyDescent="0.2">
      <c r="A697" s="6"/>
      <c r="B697" s="7"/>
      <c r="C697" s="7"/>
      <c r="D697" s="7"/>
      <c r="E697" s="7"/>
      <c r="F697" s="6"/>
      <c r="G697" s="6"/>
      <c r="H697" s="6"/>
      <c r="I697" s="6"/>
      <c r="J697" s="6"/>
      <c r="K697" s="6"/>
      <c r="L697" s="6"/>
      <c r="M697" s="6"/>
      <c r="N697" s="6"/>
      <c r="O697" s="6"/>
      <c r="P697" s="6"/>
      <c r="Q697" s="6"/>
      <c r="R697" s="6"/>
      <c r="S697" s="6"/>
      <c r="T697" s="6"/>
      <c r="U697" s="6"/>
      <c r="V697" s="6"/>
      <c r="W697" s="6"/>
    </row>
    <row r="698" spans="1:23" ht="16" x14ac:dyDescent="0.2">
      <c r="A698" s="6"/>
      <c r="B698" s="7"/>
      <c r="C698" s="7"/>
      <c r="D698" s="7"/>
      <c r="E698" s="7"/>
      <c r="F698" s="6"/>
      <c r="G698" s="6"/>
      <c r="H698" s="6"/>
      <c r="I698" s="6"/>
      <c r="J698" s="6"/>
      <c r="K698" s="6"/>
      <c r="L698" s="6"/>
      <c r="M698" s="6"/>
      <c r="N698" s="6"/>
      <c r="O698" s="6"/>
      <c r="P698" s="6"/>
      <c r="Q698" s="6"/>
      <c r="R698" s="6"/>
      <c r="S698" s="6"/>
      <c r="T698" s="6"/>
      <c r="U698" s="6"/>
      <c r="V698" s="6"/>
      <c r="W698" s="6"/>
    </row>
    <row r="699" spans="1:23" ht="16" x14ac:dyDescent="0.2">
      <c r="A699" s="6"/>
      <c r="B699" s="7"/>
      <c r="C699" s="7"/>
      <c r="D699" s="7"/>
      <c r="E699" s="7"/>
      <c r="F699" s="6"/>
      <c r="G699" s="6"/>
      <c r="H699" s="6"/>
      <c r="I699" s="6"/>
      <c r="J699" s="6"/>
      <c r="K699" s="6"/>
      <c r="L699" s="6"/>
      <c r="M699" s="6"/>
      <c r="N699" s="6"/>
      <c r="O699" s="6"/>
      <c r="P699" s="6"/>
      <c r="Q699" s="6"/>
      <c r="R699" s="6"/>
      <c r="S699" s="6"/>
      <c r="T699" s="6"/>
      <c r="U699" s="6"/>
      <c r="V699" s="6"/>
      <c r="W699" s="6"/>
    </row>
    <row r="700" spans="1:23" ht="16" x14ac:dyDescent="0.2">
      <c r="A700" s="6"/>
      <c r="B700" s="7"/>
      <c r="C700" s="7"/>
      <c r="D700" s="7"/>
      <c r="E700" s="7"/>
      <c r="F700" s="6"/>
      <c r="G700" s="6"/>
      <c r="H700" s="6"/>
      <c r="I700" s="6"/>
      <c r="J700" s="6"/>
      <c r="K700" s="6"/>
      <c r="L700" s="6"/>
      <c r="M700" s="6"/>
      <c r="N700" s="6"/>
      <c r="O700" s="6"/>
      <c r="P700" s="6"/>
      <c r="Q700" s="6"/>
      <c r="R700" s="6"/>
      <c r="S700" s="6"/>
      <c r="T700" s="6"/>
      <c r="U700" s="6"/>
      <c r="V700" s="6"/>
      <c r="W700" s="6"/>
    </row>
    <row r="701" spans="1:23" ht="16" x14ac:dyDescent="0.2">
      <c r="A701" s="6"/>
      <c r="B701" s="7"/>
      <c r="C701" s="7"/>
      <c r="D701" s="7"/>
      <c r="E701" s="7"/>
      <c r="F701" s="6"/>
      <c r="G701" s="6"/>
      <c r="H701" s="6"/>
      <c r="I701" s="6"/>
      <c r="J701" s="6"/>
      <c r="K701" s="6"/>
      <c r="L701" s="6"/>
      <c r="M701" s="6"/>
      <c r="N701" s="6"/>
      <c r="O701" s="6"/>
      <c r="P701" s="6"/>
      <c r="Q701" s="6"/>
      <c r="R701" s="6"/>
      <c r="S701" s="6"/>
      <c r="T701" s="6"/>
      <c r="U701" s="6"/>
      <c r="V701" s="6"/>
      <c r="W701" s="6"/>
    </row>
    <row r="702" spans="1:23" ht="16" x14ac:dyDescent="0.2">
      <c r="A702" s="6"/>
      <c r="B702" s="7"/>
      <c r="C702" s="7"/>
      <c r="D702" s="7"/>
      <c r="E702" s="7"/>
      <c r="F702" s="6"/>
      <c r="G702" s="6"/>
      <c r="H702" s="6"/>
      <c r="I702" s="6"/>
      <c r="J702" s="6"/>
      <c r="K702" s="6"/>
      <c r="L702" s="6"/>
      <c r="M702" s="6"/>
      <c r="N702" s="6"/>
      <c r="O702" s="6"/>
      <c r="P702" s="6"/>
      <c r="Q702" s="6"/>
      <c r="R702" s="6"/>
      <c r="S702" s="6"/>
      <c r="T702" s="6"/>
      <c r="U702" s="6"/>
      <c r="V702" s="6"/>
      <c r="W702" s="6"/>
    </row>
    <row r="703" spans="1:23" ht="16" x14ac:dyDescent="0.2">
      <c r="A703" s="6"/>
      <c r="B703" s="7"/>
      <c r="C703" s="7"/>
      <c r="D703" s="7"/>
      <c r="E703" s="7"/>
      <c r="F703" s="6"/>
      <c r="G703" s="6"/>
      <c r="H703" s="6"/>
      <c r="I703" s="6"/>
      <c r="J703" s="6"/>
      <c r="K703" s="6"/>
      <c r="L703" s="6"/>
      <c r="M703" s="6"/>
      <c r="N703" s="6"/>
      <c r="O703" s="6"/>
      <c r="P703" s="6"/>
      <c r="Q703" s="6"/>
      <c r="R703" s="6"/>
      <c r="S703" s="6"/>
      <c r="T703" s="6"/>
      <c r="U703" s="6"/>
      <c r="V703" s="6"/>
      <c r="W703" s="6"/>
    </row>
    <row r="704" spans="1:23" ht="16" x14ac:dyDescent="0.2">
      <c r="A704" s="6"/>
      <c r="B704" s="7"/>
      <c r="C704" s="7"/>
      <c r="D704" s="7"/>
      <c r="E704" s="7"/>
      <c r="F704" s="6"/>
      <c r="G704" s="6"/>
      <c r="H704" s="6"/>
      <c r="I704" s="6"/>
      <c r="J704" s="6"/>
      <c r="K704" s="6"/>
      <c r="L704" s="6"/>
      <c r="M704" s="6"/>
      <c r="N704" s="6"/>
      <c r="O704" s="6"/>
      <c r="P704" s="6"/>
      <c r="Q704" s="6"/>
      <c r="R704" s="6"/>
      <c r="S704" s="6"/>
      <c r="T704" s="6"/>
      <c r="U704" s="6"/>
      <c r="V704" s="6"/>
      <c r="W704" s="6"/>
    </row>
    <row r="705" spans="1:23" ht="16" x14ac:dyDescent="0.2">
      <c r="A705" s="6"/>
      <c r="B705" s="7"/>
      <c r="C705" s="7"/>
      <c r="D705" s="7"/>
      <c r="E705" s="7"/>
      <c r="F705" s="6"/>
      <c r="G705" s="6"/>
      <c r="H705" s="6"/>
      <c r="I705" s="6"/>
      <c r="J705" s="6"/>
      <c r="K705" s="6"/>
      <c r="L705" s="6"/>
      <c r="M705" s="6"/>
      <c r="N705" s="6"/>
      <c r="O705" s="6"/>
      <c r="P705" s="6"/>
      <c r="Q705" s="6"/>
      <c r="R705" s="6"/>
      <c r="S705" s="6"/>
      <c r="T705" s="6"/>
      <c r="U705" s="6"/>
      <c r="V705" s="6"/>
      <c r="W705" s="6"/>
    </row>
    <row r="706" spans="1:23" ht="16" x14ac:dyDescent="0.2">
      <c r="A706" s="6"/>
      <c r="B706" s="7"/>
      <c r="C706" s="7"/>
      <c r="D706" s="7"/>
      <c r="E706" s="7"/>
      <c r="F706" s="6"/>
      <c r="G706" s="6"/>
      <c r="H706" s="6"/>
      <c r="I706" s="6"/>
      <c r="J706" s="6"/>
      <c r="K706" s="6"/>
      <c r="L706" s="6"/>
      <c r="M706" s="6"/>
      <c r="N706" s="6"/>
      <c r="O706" s="6"/>
      <c r="P706" s="6"/>
      <c r="Q706" s="6"/>
      <c r="R706" s="6"/>
      <c r="S706" s="6"/>
      <c r="T706" s="6"/>
      <c r="U706" s="6"/>
      <c r="V706" s="6"/>
      <c r="W706" s="6"/>
    </row>
    <row r="707" spans="1:23" ht="16" x14ac:dyDescent="0.2">
      <c r="A707" s="6"/>
      <c r="B707" s="7"/>
      <c r="C707" s="7"/>
      <c r="D707" s="7"/>
      <c r="E707" s="7"/>
      <c r="F707" s="6"/>
      <c r="G707" s="6"/>
      <c r="H707" s="6"/>
      <c r="I707" s="6"/>
      <c r="J707" s="6"/>
      <c r="K707" s="6"/>
      <c r="L707" s="6"/>
      <c r="M707" s="6"/>
      <c r="N707" s="6"/>
      <c r="O707" s="6"/>
      <c r="P707" s="6"/>
      <c r="Q707" s="6"/>
      <c r="R707" s="6"/>
      <c r="S707" s="6"/>
      <c r="T707" s="6"/>
      <c r="U707" s="6"/>
      <c r="V707" s="6"/>
      <c r="W707" s="6"/>
    </row>
    <row r="708" spans="1:23" ht="16" x14ac:dyDescent="0.2">
      <c r="A708" s="6"/>
      <c r="B708" s="7"/>
      <c r="C708" s="7"/>
      <c r="D708" s="7"/>
      <c r="E708" s="7"/>
      <c r="F708" s="6"/>
      <c r="G708" s="6"/>
      <c r="H708" s="6"/>
      <c r="I708" s="6"/>
      <c r="J708" s="6"/>
      <c r="K708" s="6"/>
      <c r="L708" s="6"/>
      <c r="M708" s="6"/>
      <c r="N708" s="6"/>
      <c r="O708" s="6"/>
      <c r="P708" s="6"/>
      <c r="Q708" s="6"/>
      <c r="R708" s="6"/>
      <c r="S708" s="6"/>
      <c r="T708" s="6"/>
      <c r="U708" s="6"/>
      <c r="V708" s="6"/>
      <c r="W708" s="6"/>
    </row>
    <row r="709" spans="1:23" ht="16" x14ac:dyDescent="0.2">
      <c r="A709" s="6"/>
      <c r="B709" s="7"/>
      <c r="C709" s="7"/>
      <c r="D709" s="7"/>
      <c r="E709" s="7"/>
      <c r="F709" s="6"/>
      <c r="G709" s="6"/>
      <c r="H709" s="6"/>
      <c r="I709" s="6"/>
      <c r="J709" s="6"/>
      <c r="K709" s="6"/>
      <c r="L709" s="6"/>
      <c r="M709" s="6"/>
      <c r="N709" s="6"/>
      <c r="O709" s="6"/>
      <c r="P709" s="6"/>
      <c r="Q709" s="6"/>
      <c r="R709" s="6"/>
      <c r="S709" s="6"/>
      <c r="T709" s="6"/>
      <c r="U709" s="6"/>
      <c r="V709" s="6"/>
      <c r="W709" s="6"/>
    </row>
    <row r="710" spans="1:23" ht="16" x14ac:dyDescent="0.2">
      <c r="A710" s="6"/>
      <c r="B710" s="7"/>
      <c r="C710" s="7"/>
      <c r="D710" s="7"/>
      <c r="E710" s="7"/>
      <c r="F710" s="6"/>
      <c r="G710" s="6"/>
      <c r="H710" s="6"/>
      <c r="I710" s="6"/>
      <c r="J710" s="6"/>
      <c r="K710" s="6"/>
      <c r="L710" s="6"/>
      <c r="M710" s="6"/>
      <c r="N710" s="6"/>
      <c r="O710" s="6"/>
      <c r="P710" s="6"/>
      <c r="Q710" s="6"/>
      <c r="R710" s="6"/>
      <c r="S710" s="6"/>
      <c r="T710" s="6"/>
      <c r="U710" s="6"/>
      <c r="V710" s="6"/>
      <c r="W710" s="6"/>
    </row>
    <row r="711" spans="1:23" ht="16" x14ac:dyDescent="0.2">
      <c r="A711" s="6"/>
      <c r="B711" s="7"/>
      <c r="C711" s="7"/>
      <c r="D711" s="7"/>
      <c r="E711" s="7"/>
      <c r="F711" s="6"/>
      <c r="G711" s="6"/>
      <c r="H711" s="6"/>
      <c r="I711" s="6"/>
      <c r="J711" s="6"/>
      <c r="K711" s="6"/>
      <c r="L711" s="6"/>
      <c r="M711" s="6"/>
      <c r="N711" s="6"/>
      <c r="O711" s="6"/>
      <c r="P711" s="6"/>
      <c r="Q711" s="6"/>
      <c r="R711" s="6"/>
      <c r="S711" s="6"/>
      <c r="T711" s="6"/>
      <c r="U711" s="6"/>
      <c r="V711" s="6"/>
      <c r="W711" s="6"/>
    </row>
    <row r="712" spans="1:23" ht="16" x14ac:dyDescent="0.2">
      <c r="A712" s="6"/>
      <c r="B712" s="7"/>
      <c r="C712" s="7"/>
      <c r="D712" s="7"/>
      <c r="E712" s="7"/>
      <c r="F712" s="6"/>
      <c r="G712" s="6"/>
      <c r="H712" s="6"/>
      <c r="I712" s="6"/>
      <c r="J712" s="6"/>
      <c r="K712" s="6"/>
      <c r="L712" s="6"/>
      <c r="M712" s="6"/>
      <c r="N712" s="6"/>
      <c r="O712" s="6"/>
      <c r="P712" s="6"/>
      <c r="Q712" s="6"/>
      <c r="R712" s="6"/>
      <c r="S712" s="6"/>
      <c r="T712" s="6"/>
      <c r="U712" s="6"/>
      <c r="V712" s="6"/>
      <c r="W712" s="6"/>
    </row>
    <row r="713" spans="1:23" ht="16" x14ac:dyDescent="0.2">
      <c r="A713" s="6"/>
      <c r="B713" s="7"/>
      <c r="C713" s="7"/>
      <c r="D713" s="7"/>
      <c r="E713" s="7"/>
      <c r="F713" s="6"/>
      <c r="G713" s="6"/>
      <c r="H713" s="6"/>
      <c r="I713" s="6"/>
      <c r="J713" s="6"/>
      <c r="K713" s="6"/>
      <c r="L713" s="6"/>
      <c r="M713" s="6"/>
      <c r="N713" s="6"/>
      <c r="O713" s="6"/>
      <c r="P713" s="6"/>
      <c r="Q713" s="6"/>
      <c r="R713" s="6"/>
      <c r="S713" s="6"/>
      <c r="T713" s="6"/>
      <c r="U713" s="6"/>
      <c r="V713" s="6"/>
      <c r="W713" s="6"/>
    </row>
    <row r="714" spans="1:23" ht="16" x14ac:dyDescent="0.2">
      <c r="A714" s="6"/>
      <c r="B714" s="7"/>
      <c r="C714" s="7"/>
      <c r="D714" s="7"/>
      <c r="E714" s="7"/>
      <c r="F714" s="6"/>
      <c r="G714" s="6"/>
      <c r="H714" s="6"/>
      <c r="I714" s="6"/>
      <c r="J714" s="6"/>
      <c r="K714" s="6"/>
      <c r="L714" s="6"/>
      <c r="M714" s="6"/>
      <c r="N714" s="6"/>
      <c r="O714" s="6"/>
      <c r="P714" s="6"/>
      <c r="Q714" s="6"/>
      <c r="R714" s="6"/>
      <c r="S714" s="6"/>
      <c r="T714" s="6"/>
      <c r="U714" s="6"/>
      <c r="V714" s="6"/>
      <c r="W714" s="6"/>
    </row>
    <row r="715" spans="1:23" ht="16" x14ac:dyDescent="0.2">
      <c r="A715" s="6"/>
      <c r="B715" s="7"/>
      <c r="C715" s="7"/>
      <c r="D715" s="7"/>
      <c r="E715" s="7"/>
      <c r="F715" s="6"/>
      <c r="G715" s="6"/>
      <c r="H715" s="6"/>
      <c r="I715" s="6"/>
      <c r="J715" s="6"/>
      <c r="K715" s="6"/>
      <c r="L715" s="6"/>
      <c r="M715" s="6"/>
      <c r="N715" s="6"/>
      <c r="O715" s="6"/>
      <c r="P715" s="6"/>
      <c r="Q715" s="6"/>
      <c r="R715" s="6"/>
      <c r="S715" s="6"/>
      <c r="T715" s="6"/>
      <c r="U715" s="6"/>
      <c r="V715" s="6"/>
      <c r="W715" s="6"/>
    </row>
    <row r="716" spans="1:23" ht="16" x14ac:dyDescent="0.2">
      <c r="A716" s="6"/>
      <c r="B716" s="7"/>
      <c r="C716" s="7"/>
      <c r="D716" s="7"/>
      <c r="E716" s="7"/>
      <c r="F716" s="6"/>
      <c r="G716" s="6"/>
      <c r="H716" s="6"/>
      <c r="I716" s="6"/>
      <c r="J716" s="6"/>
      <c r="K716" s="6"/>
      <c r="L716" s="6"/>
      <c r="M716" s="6"/>
      <c r="N716" s="6"/>
      <c r="O716" s="6"/>
      <c r="P716" s="6"/>
      <c r="Q716" s="6"/>
      <c r="R716" s="6"/>
      <c r="S716" s="6"/>
      <c r="T716" s="6"/>
      <c r="U716" s="6"/>
      <c r="V716" s="6"/>
      <c r="W716" s="6"/>
    </row>
    <row r="717" spans="1:23" ht="16" x14ac:dyDescent="0.2">
      <c r="A717" s="6"/>
      <c r="B717" s="7"/>
      <c r="C717" s="7"/>
      <c r="D717" s="7"/>
      <c r="E717" s="7"/>
      <c r="F717" s="6"/>
      <c r="G717" s="6"/>
      <c r="H717" s="6"/>
      <c r="I717" s="6"/>
      <c r="J717" s="6"/>
      <c r="K717" s="6"/>
      <c r="L717" s="6"/>
      <c r="M717" s="6"/>
      <c r="N717" s="6"/>
      <c r="O717" s="6"/>
      <c r="P717" s="6"/>
      <c r="Q717" s="6"/>
      <c r="R717" s="6"/>
      <c r="S717" s="6"/>
      <c r="T717" s="6"/>
      <c r="U717" s="6"/>
      <c r="V717" s="6"/>
      <c r="W717" s="6"/>
    </row>
    <row r="718" spans="1:23" ht="16" x14ac:dyDescent="0.2">
      <c r="A718" s="6"/>
      <c r="B718" s="7"/>
      <c r="C718" s="7"/>
      <c r="D718" s="7"/>
      <c r="E718" s="7"/>
      <c r="F718" s="6"/>
      <c r="G718" s="6"/>
      <c r="H718" s="6"/>
      <c r="I718" s="6"/>
      <c r="J718" s="6"/>
      <c r="K718" s="6"/>
      <c r="L718" s="6"/>
      <c r="M718" s="6"/>
      <c r="N718" s="6"/>
      <c r="O718" s="6"/>
      <c r="P718" s="6"/>
      <c r="Q718" s="6"/>
      <c r="R718" s="6"/>
      <c r="S718" s="6"/>
      <c r="T718" s="6"/>
      <c r="U718" s="6"/>
      <c r="V718" s="6"/>
      <c r="W718" s="6"/>
    </row>
    <row r="719" spans="1:23" ht="16" x14ac:dyDescent="0.2">
      <c r="A719" s="6"/>
      <c r="B719" s="7"/>
      <c r="C719" s="7"/>
      <c r="D719" s="7"/>
      <c r="E719" s="7"/>
      <c r="F719" s="6"/>
      <c r="G719" s="6"/>
      <c r="H719" s="6"/>
      <c r="I719" s="6"/>
      <c r="J719" s="6"/>
      <c r="K719" s="6"/>
      <c r="L719" s="6"/>
      <c r="M719" s="6"/>
      <c r="N719" s="6"/>
      <c r="O719" s="6"/>
      <c r="P719" s="6"/>
      <c r="Q719" s="6"/>
      <c r="R719" s="6"/>
      <c r="S719" s="6"/>
      <c r="T719" s="6"/>
      <c r="U719" s="6"/>
      <c r="V719" s="6"/>
      <c r="W719" s="6"/>
    </row>
    <row r="720" spans="1:23" ht="16" x14ac:dyDescent="0.2">
      <c r="A720" s="6"/>
      <c r="B720" s="7"/>
      <c r="C720" s="7"/>
      <c r="D720" s="7"/>
      <c r="E720" s="7"/>
      <c r="F720" s="6"/>
      <c r="G720" s="6"/>
      <c r="H720" s="6"/>
      <c r="I720" s="6"/>
      <c r="J720" s="6"/>
      <c r="K720" s="6"/>
      <c r="L720" s="6"/>
      <c r="M720" s="6"/>
      <c r="N720" s="6"/>
      <c r="O720" s="6"/>
      <c r="P720" s="6"/>
      <c r="Q720" s="6"/>
      <c r="R720" s="6"/>
      <c r="S720" s="6"/>
      <c r="T720" s="6"/>
      <c r="U720" s="6"/>
      <c r="V720" s="6"/>
      <c r="W720" s="6"/>
    </row>
    <row r="721" spans="1:23" ht="16" x14ac:dyDescent="0.2">
      <c r="A721" s="6"/>
      <c r="B721" s="7"/>
      <c r="C721" s="7"/>
      <c r="D721" s="7"/>
      <c r="E721" s="7"/>
      <c r="F721" s="6"/>
      <c r="G721" s="6"/>
      <c r="H721" s="6"/>
      <c r="I721" s="6"/>
      <c r="J721" s="6"/>
      <c r="K721" s="6"/>
      <c r="L721" s="6"/>
      <c r="M721" s="6"/>
      <c r="N721" s="6"/>
      <c r="O721" s="6"/>
      <c r="P721" s="6"/>
      <c r="Q721" s="6"/>
      <c r="R721" s="6"/>
      <c r="S721" s="6"/>
      <c r="T721" s="6"/>
      <c r="U721" s="6"/>
      <c r="V721" s="6"/>
      <c r="W721" s="6"/>
    </row>
    <row r="722" spans="1:23" ht="16" x14ac:dyDescent="0.2">
      <c r="A722" s="6"/>
      <c r="B722" s="7"/>
      <c r="C722" s="7"/>
      <c r="D722" s="7"/>
      <c r="E722" s="7"/>
      <c r="F722" s="6"/>
      <c r="G722" s="6"/>
      <c r="H722" s="6"/>
      <c r="I722" s="6"/>
      <c r="J722" s="6"/>
      <c r="K722" s="6"/>
      <c r="L722" s="6"/>
      <c r="M722" s="6"/>
      <c r="N722" s="6"/>
      <c r="O722" s="6"/>
      <c r="P722" s="6"/>
      <c r="Q722" s="6"/>
      <c r="R722" s="6"/>
      <c r="S722" s="6"/>
      <c r="T722" s="6"/>
      <c r="U722" s="6"/>
      <c r="V722" s="6"/>
      <c r="W722" s="6"/>
    </row>
    <row r="723" spans="1:23" ht="16" x14ac:dyDescent="0.2">
      <c r="A723" s="6"/>
      <c r="B723" s="7"/>
      <c r="C723" s="7"/>
      <c r="D723" s="7"/>
      <c r="E723" s="7"/>
      <c r="F723" s="6"/>
      <c r="G723" s="6"/>
      <c r="H723" s="6"/>
      <c r="I723" s="6"/>
      <c r="J723" s="6"/>
      <c r="K723" s="6"/>
      <c r="L723" s="6"/>
      <c r="M723" s="6"/>
      <c r="N723" s="6"/>
      <c r="O723" s="6"/>
      <c r="P723" s="6"/>
      <c r="Q723" s="6"/>
      <c r="R723" s="6"/>
      <c r="S723" s="6"/>
      <c r="T723" s="6"/>
      <c r="U723" s="6"/>
      <c r="V723" s="6"/>
      <c r="W723" s="6"/>
    </row>
    <row r="724" spans="1:23" ht="16" x14ac:dyDescent="0.2">
      <c r="A724" s="6"/>
      <c r="B724" s="7"/>
      <c r="C724" s="7"/>
      <c r="D724" s="7"/>
      <c r="E724" s="7"/>
      <c r="F724" s="6"/>
      <c r="G724" s="6"/>
      <c r="H724" s="6"/>
      <c r="I724" s="6"/>
      <c r="J724" s="6"/>
      <c r="K724" s="6"/>
      <c r="L724" s="6"/>
      <c r="M724" s="6"/>
      <c r="N724" s="6"/>
      <c r="O724" s="6"/>
      <c r="P724" s="6"/>
      <c r="Q724" s="6"/>
      <c r="R724" s="6"/>
      <c r="S724" s="6"/>
      <c r="T724" s="6"/>
      <c r="U724" s="6"/>
      <c r="V724" s="6"/>
      <c r="W724" s="6"/>
    </row>
    <row r="725" spans="1:23" ht="16" x14ac:dyDescent="0.2">
      <c r="A725" s="6"/>
      <c r="B725" s="7"/>
      <c r="C725" s="7"/>
      <c r="D725" s="7"/>
      <c r="E725" s="7"/>
      <c r="F725" s="6"/>
      <c r="G725" s="6"/>
      <c r="H725" s="6"/>
      <c r="I725" s="6"/>
      <c r="J725" s="6"/>
      <c r="K725" s="6"/>
      <c r="L725" s="6"/>
      <c r="M725" s="6"/>
      <c r="N725" s="6"/>
      <c r="O725" s="6"/>
      <c r="P725" s="6"/>
      <c r="Q725" s="6"/>
      <c r="R725" s="6"/>
      <c r="S725" s="6"/>
      <c r="T725" s="6"/>
      <c r="U725" s="6"/>
      <c r="V725" s="6"/>
      <c r="W725" s="6"/>
    </row>
    <row r="726" spans="1:23" ht="16" x14ac:dyDescent="0.2">
      <c r="A726" s="6"/>
      <c r="B726" s="7"/>
      <c r="C726" s="7"/>
      <c r="D726" s="7"/>
      <c r="E726" s="7"/>
      <c r="F726" s="6"/>
      <c r="G726" s="6"/>
      <c r="H726" s="6"/>
      <c r="I726" s="6"/>
      <c r="J726" s="6"/>
      <c r="K726" s="6"/>
      <c r="L726" s="6"/>
      <c r="M726" s="6"/>
      <c r="N726" s="6"/>
      <c r="O726" s="6"/>
      <c r="P726" s="6"/>
      <c r="Q726" s="6"/>
      <c r="R726" s="6"/>
      <c r="S726" s="6"/>
      <c r="T726" s="6"/>
      <c r="U726" s="6"/>
      <c r="V726" s="6"/>
      <c r="W726" s="6"/>
    </row>
    <row r="727" spans="1:23" ht="16" x14ac:dyDescent="0.2">
      <c r="A727" s="6"/>
      <c r="B727" s="7"/>
      <c r="C727" s="7"/>
      <c r="D727" s="7"/>
      <c r="E727" s="7"/>
      <c r="F727" s="6"/>
      <c r="G727" s="6"/>
      <c r="H727" s="6"/>
      <c r="I727" s="6"/>
      <c r="J727" s="6"/>
      <c r="K727" s="6"/>
      <c r="L727" s="6"/>
      <c r="M727" s="6"/>
      <c r="N727" s="6"/>
      <c r="O727" s="6"/>
      <c r="P727" s="6"/>
      <c r="Q727" s="6"/>
      <c r="R727" s="6"/>
      <c r="S727" s="6"/>
      <c r="T727" s="6"/>
      <c r="U727" s="6"/>
      <c r="V727" s="6"/>
      <c r="W727" s="6"/>
    </row>
    <row r="728" spans="1:23" ht="16" x14ac:dyDescent="0.2">
      <c r="A728" s="6"/>
      <c r="B728" s="7"/>
      <c r="C728" s="7"/>
      <c r="D728" s="7"/>
      <c r="E728" s="7"/>
      <c r="F728" s="6"/>
      <c r="G728" s="6"/>
      <c r="H728" s="6"/>
      <c r="I728" s="6"/>
      <c r="J728" s="6"/>
      <c r="K728" s="6"/>
      <c r="L728" s="6"/>
      <c r="M728" s="6"/>
      <c r="N728" s="6"/>
      <c r="O728" s="6"/>
      <c r="P728" s="6"/>
      <c r="Q728" s="6"/>
      <c r="R728" s="6"/>
      <c r="S728" s="6"/>
      <c r="T728" s="6"/>
      <c r="U728" s="6"/>
      <c r="V728" s="6"/>
      <c r="W728" s="6"/>
    </row>
    <row r="729" spans="1:23" ht="16" x14ac:dyDescent="0.2">
      <c r="A729" s="6"/>
      <c r="B729" s="7"/>
      <c r="C729" s="7"/>
      <c r="D729" s="7"/>
      <c r="E729" s="7"/>
      <c r="F729" s="6"/>
      <c r="G729" s="6"/>
      <c r="H729" s="6"/>
      <c r="I729" s="6"/>
      <c r="J729" s="6"/>
      <c r="K729" s="6"/>
      <c r="L729" s="6"/>
      <c r="M729" s="6"/>
      <c r="N729" s="6"/>
      <c r="O729" s="6"/>
      <c r="P729" s="6"/>
      <c r="Q729" s="6"/>
      <c r="R729" s="6"/>
      <c r="S729" s="6"/>
      <c r="T729" s="6"/>
      <c r="U729" s="6"/>
      <c r="V729" s="6"/>
      <c r="W729" s="6"/>
    </row>
    <row r="730" spans="1:23" ht="16" x14ac:dyDescent="0.2">
      <c r="A730" s="6"/>
      <c r="B730" s="7"/>
      <c r="C730" s="7"/>
      <c r="D730" s="7"/>
      <c r="E730" s="7"/>
      <c r="F730" s="6"/>
      <c r="G730" s="6"/>
      <c r="H730" s="6"/>
      <c r="I730" s="6"/>
      <c r="J730" s="6"/>
      <c r="K730" s="6"/>
      <c r="L730" s="6"/>
      <c r="M730" s="6"/>
      <c r="N730" s="6"/>
      <c r="O730" s="6"/>
      <c r="P730" s="6"/>
      <c r="Q730" s="6"/>
      <c r="R730" s="6"/>
      <c r="S730" s="6"/>
      <c r="T730" s="6"/>
      <c r="U730" s="6"/>
      <c r="V730" s="6"/>
      <c r="W730" s="6"/>
    </row>
    <row r="731" spans="1:23" ht="16" x14ac:dyDescent="0.2">
      <c r="A731" s="6"/>
      <c r="B731" s="7"/>
      <c r="C731" s="7"/>
      <c r="D731" s="7"/>
      <c r="E731" s="7"/>
      <c r="F731" s="6"/>
      <c r="G731" s="6"/>
      <c r="H731" s="6"/>
      <c r="I731" s="6"/>
      <c r="J731" s="6"/>
      <c r="K731" s="6"/>
      <c r="L731" s="6"/>
      <c r="M731" s="6"/>
      <c r="N731" s="6"/>
      <c r="O731" s="6"/>
      <c r="P731" s="6"/>
      <c r="Q731" s="6"/>
      <c r="R731" s="6"/>
      <c r="S731" s="6"/>
      <c r="T731" s="6"/>
      <c r="U731" s="6"/>
      <c r="V731" s="6"/>
      <c r="W731" s="6"/>
    </row>
    <row r="732" spans="1:23" ht="16" x14ac:dyDescent="0.2">
      <c r="A732" s="6"/>
      <c r="B732" s="7"/>
      <c r="C732" s="7"/>
      <c r="D732" s="7"/>
      <c r="E732" s="7"/>
      <c r="F732" s="6"/>
      <c r="G732" s="6"/>
      <c r="H732" s="6"/>
      <c r="I732" s="6"/>
      <c r="J732" s="6"/>
      <c r="K732" s="6"/>
      <c r="L732" s="6"/>
      <c r="M732" s="6"/>
      <c r="N732" s="6"/>
      <c r="O732" s="6"/>
      <c r="P732" s="6"/>
      <c r="Q732" s="6"/>
      <c r="R732" s="6"/>
      <c r="S732" s="6"/>
      <c r="T732" s="6"/>
      <c r="U732" s="6"/>
      <c r="V732" s="6"/>
      <c r="W732" s="6"/>
    </row>
    <row r="733" spans="1:23" ht="16" x14ac:dyDescent="0.2">
      <c r="A733" s="6"/>
      <c r="B733" s="7"/>
      <c r="C733" s="7"/>
      <c r="D733" s="7"/>
      <c r="E733" s="7"/>
      <c r="F733" s="6"/>
      <c r="G733" s="6"/>
      <c r="H733" s="6"/>
      <c r="I733" s="6"/>
      <c r="J733" s="6"/>
      <c r="K733" s="6"/>
      <c r="L733" s="6"/>
      <c r="M733" s="6"/>
      <c r="N733" s="6"/>
      <c r="O733" s="6"/>
      <c r="P733" s="6"/>
      <c r="Q733" s="6"/>
      <c r="R733" s="6"/>
      <c r="S733" s="6"/>
      <c r="T733" s="6"/>
      <c r="U733" s="6"/>
      <c r="V733" s="6"/>
      <c r="W733" s="6"/>
    </row>
    <row r="734" spans="1:23" ht="16" x14ac:dyDescent="0.2">
      <c r="A734" s="6"/>
      <c r="B734" s="7"/>
      <c r="C734" s="7"/>
      <c r="D734" s="7"/>
      <c r="E734" s="7"/>
      <c r="F734" s="6"/>
      <c r="G734" s="6"/>
      <c r="H734" s="6"/>
      <c r="I734" s="6"/>
      <c r="J734" s="6"/>
      <c r="K734" s="6"/>
      <c r="L734" s="6"/>
      <c r="M734" s="6"/>
      <c r="N734" s="6"/>
      <c r="O734" s="6"/>
      <c r="P734" s="6"/>
      <c r="Q734" s="6"/>
      <c r="R734" s="6"/>
      <c r="S734" s="6"/>
      <c r="T734" s="6"/>
      <c r="U734" s="6"/>
      <c r="V734" s="6"/>
      <c r="W734" s="6"/>
    </row>
    <row r="735" spans="1:23" ht="16" x14ac:dyDescent="0.2">
      <c r="A735" s="6"/>
      <c r="B735" s="7"/>
      <c r="C735" s="7"/>
      <c r="D735" s="7"/>
      <c r="E735" s="7"/>
      <c r="F735" s="6"/>
      <c r="G735" s="6"/>
      <c r="H735" s="6"/>
      <c r="I735" s="6"/>
      <c r="J735" s="6"/>
      <c r="K735" s="6"/>
      <c r="L735" s="6"/>
      <c r="M735" s="6"/>
      <c r="N735" s="6"/>
      <c r="O735" s="6"/>
      <c r="P735" s="6"/>
      <c r="Q735" s="6"/>
      <c r="R735" s="6"/>
      <c r="S735" s="6"/>
      <c r="T735" s="6"/>
      <c r="U735" s="6"/>
      <c r="V735" s="6"/>
      <c r="W735" s="6"/>
    </row>
    <row r="736" spans="1:23" ht="16" x14ac:dyDescent="0.2">
      <c r="A736" s="6"/>
      <c r="B736" s="7"/>
      <c r="C736" s="7"/>
      <c r="D736" s="7"/>
      <c r="E736" s="7"/>
      <c r="F736" s="6"/>
      <c r="G736" s="6"/>
      <c r="H736" s="6"/>
      <c r="I736" s="6"/>
      <c r="J736" s="6"/>
      <c r="K736" s="6"/>
      <c r="L736" s="6"/>
      <c r="M736" s="6"/>
      <c r="N736" s="6"/>
      <c r="O736" s="6"/>
      <c r="P736" s="6"/>
      <c r="Q736" s="6"/>
      <c r="R736" s="6"/>
      <c r="S736" s="6"/>
      <c r="T736" s="6"/>
      <c r="U736" s="6"/>
      <c r="V736" s="6"/>
      <c r="W736" s="6"/>
    </row>
    <row r="737" spans="1:23" ht="16" x14ac:dyDescent="0.2">
      <c r="A737" s="6"/>
      <c r="B737" s="7"/>
      <c r="C737" s="7"/>
      <c r="D737" s="7"/>
      <c r="E737" s="7"/>
      <c r="F737" s="6"/>
      <c r="G737" s="6"/>
      <c r="H737" s="6"/>
      <c r="I737" s="6"/>
      <c r="J737" s="6"/>
      <c r="K737" s="6"/>
      <c r="L737" s="6"/>
      <c r="M737" s="6"/>
      <c r="N737" s="6"/>
      <c r="O737" s="6"/>
      <c r="P737" s="6"/>
      <c r="Q737" s="6"/>
      <c r="R737" s="6"/>
      <c r="S737" s="6"/>
      <c r="T737" s="6"/>
      <c r="U737" s="6"/>
      <c r="V737" s="6"/>
      <c r="W737" s="6"/>
    </row>
    <row r="738" spans="1:23" ht="16" x14ac:dyDescent="0.2">
      <c r="A738" s="6"/>
      <c r="B738" s="7"/>
      <c r="C738" s="7"/>
      <c r="D738" s="7"/>
      <c r="E738" s="7"/>
      <c r="F738" s="6"/>
      <c r="G738" s="6"/>
      <c r="H738" s="6"/>
      <c r="I738" s="6"/>
      <c r="J738" s="6"/>
      <c r="K738" s="6"/>
      <c r="L738" s="6"/>
      <c r="M738" s="6"/>
      <c r="N738" s="6"/>
      <c r="O738" s="6"/>
      <c r="P738" s="6"/>
      <c r="Q738" s="6"/>
      <c r="R738" s="6"/>
      <c r="S738" s="6"/>
      <c r="T738" s="6"/>
      <c r="U738" s="6"/>
      <c r="V738" s="6"/>
      <c r="W738" s="6"/>
    </row>
    <row r="739" spans="1:23" ht="16" x14ac:dyDescent="0.2">
      <c r="A739" s="6"/>
      <c r="B739" s="7"/>
      <c r="C739" s="7"/>
      <c r="D739" s="7"/>
      <c r="E739" s="7"/>
      <c r="F739" s="6"/>
      <c r="G739" s="6"/>
      <c r="H739" s="6"/>
      <c r="I739" s="6"/>
      <c r="J739" s="6"/>
      <c r="K739" s="6"/>
      <c r="L739" s="6"/>
      <c r="M739" s="6"/>
      <c r="N739" s="6"/>
      <c r="O739" s="6"/>
      <c r="P739" s="6"/>
      <c r="Q739" s="6"/>
      <c r="R739" s="6"/>
      <c r="S739" s="6"/>
      <c r="T739" s="6"/>
      <c r="U739" s="6"/>
      <c r="V739" s="6"/>
      <c r="W739" s="6"/>
    </row>
    <row r="740" spans="1:23" ht="16" x14ac:dyDescent="0.2">
      <c r="A740" s="6"/>
      <c r="B740" s="7"/>
      <c r="C740" s="7"/>
      <c r="D740" s="7"/>
      <c r="E740" s="7"/>
      <c r="F740" s="6"/>
      <c r="G740" s="6"/>
      <c r="H740" s="6"/>
      <c r="I740" s="6"/>
      <c r="J740" s="6"/>
      <c r="K740" s="6"/>
      <c r="L740" s="6"/>
      <c r="M740" s="6"/>
      <c r="N740" s="6"/>
      <c r="O740" s="6"/>
      <c r="P740" s="6"/>
      <c r="Q740" s="6"/>
      <c r="R740" s="6"/>
      <c r="S740" s="6"/>
      <c r="T740" s="6"/>
      <c r="U740" s="6"/>
      <c r="V740" s="6"/>
      <c r="W740" s="6"/>
    </row>
    <row r="741" spans="1:23" ht="16" x14ac:dyDescent="0.2">
      <c r="A741" s="6"/>
      <c r="B741" s="7"/>
      <c r="C741" s="7"/>
      <c r="D741" s="7"/>
      <c r="E741" s="7"/>
      <c r="F741" s="6"/>
      <c r="G741" s="6"/>
      <c r="H741" s="6"/>
      <c r="I741" s="6"/>
      <c r="J741" s="6"/>
      <c r="K741" s="6"/>
      <c r="L741" s="6"/>
      <c r="M741" s="6"/>
      <c r="N741" s="6"/>
      <c r="O741" s="6"/>
      <c r="P741" s="6"/>
      <c r="Q741" s="6"/>
      <c r="R741" s="6"/>
      <c r="S741" s="6"/>
      <c r="T741" s="6"/>
      <c r="U741" s="6"/>
      <c r="V741" s="6"/>
      <c r="W741" s="6"/>
    </row>
    <row r="742" spans="1:23" ht="16" x14ac:dyDescent="0.2">
      <c r="A742" s="6"/>
      <c r="B742" s="7"/>
      <c r="C742" s="7"/>
      <c r="D742" s="7"/>
      <c r="E742" s="7"/>
      <c r="F742" s="6"/>
      <c r="G742" s="6"/>
      <c r="H742" s="6"/>
      <c r="I742" s="6"/>
      <c r="J742" s="6"/>
      <c r="K742" s="6"/>
      <c r="L742" s="6"/>
      <c r="M742" s="6"/>
      <c r="N742" s="6"/>
      <c r="O742" s="6"/>
      <c r="P742" s="6"/>
      <c r="Q742" s="6"/>
      <c r="R742" s="6"/>
      <c r="S742" s="6"/>
      <c r="T742" s="6"/>
      <c r="U742" s="6"/>
      <c r="V742" s="6"/>
      <c r="W742" s="6"/>
    </row>
    <row r="743" spans="1:23" ht="16" x14ac:dyDescent="0.2">
      <c r="A743" s="6"/>
      <c r="B743" s="7"/>
      <c r="C743" s="7"/>
      <c r="D743" s="7"/>
      <c r="E743" s="7"/>
      <c r="F743" s="6"/>
      <c r="G743" s="6"/>
      <c r="H743" s="6"/>
      <c r="I743" s="6"/>
      <c r="J743" s="6"/>
      <c r="K743" s="6"/>
      <c r="L743" s="6"/>
      <c r="M743" s="6"/>
      <c r="N743" s="6"/>
      <c r="O743" s="6"/>
      <c r="P743" s="6"/>
      <c r="Q743" s="6"/>
      <c r="R743" s="6"/>
      <c r="S743" s="6"/>
      <c r="T743" s="6"/>
      <c r="U743" s="6"/>
      <c r="V743" s="6"/>
      <c r="W743" s="6"/>
    </row>
    <row r="744" spans="1:23" ht="16" x14ac:dyDescent="0.2">
      <c r="A744" s="6"/>
      <c r="B744" s="7"/>
      <c r="C744" s="7"/>
      <c r="D744" s="7"/>
      <c r="E744" s="7"/>
      <c r="F744" s="6"/>
      <c r="G744" s="6"/>
      <c r="H744" s="6"/>
      <c r="I744" s="6"/>
      <c r="J744" s="6"/>
      <c r="K744" s="6"/>
      <c r="L744" s="6"/>
      <c r="M744" s="6"/>
      <c r="N744" s="6"/>
      <c r="O744" s="6"/>
      <c r="P744" s="6"/>
      <c r="Q744" s="6"/>
      <c r="R744" s="6"/>
      <c r="S744" s="6"/>
      <c r="T744" s="6"/>
      <c r="U744" s="6"/>
      <c r="V744" s="6"/>
      <c r="W744" s="6"/>
    </row>
    <row r="745" spans="1:23" ht="16" x14ac:dyDescent="0.2">
      <c r="A745" s="6"/>
      <c r="B745" s="7"/>
      <c r="C745" s="7"/>
      <c r="D745" s="7"/>
      <c r="E745" s="7"/>
      <c r="F745" s="6"/>
      <c r="G745" s="6"/>
      <c r="H745" s="6"/>
      <c r="I745" s="6"/>
      <c r="J745" s="6"/>
      <c r="K745" s="6"/>
      <c r="L745" s="6"/>
      <c r="M745" s="6"/>
      <c r="N745" s="6"/>
      <c r="O745" s="6"/>
      <c r="P745" s="6"/>
      <c r="Q745" s="6"/>
      <c r="R745" s="6"/>
      <c r="S745" s="6"/>
      <c r="T745" s="6"/>
      <c r="U745" s="6"/>
      <c r="V745" s="6"/>
      <c r="W745" s="6"/>
    </row>
    <row r="746" spans="1:23" ht="16" x14ac:dyDescent="0.2">
      <c r="A746" s="6"/>
      <c r="B746" s="7"/>
      <c r="C746" s="7"/>
      <c r="D746" s="7"/>
      <c r="E746" s="7"/>
      <c r="F746" s="6"/>
      <c r="G746" s="6"/>
      <c r="H746" s="6"/>
      <c r="I746" s="6"/>
      <c r="J746" s="6"/>
      <c r="K746" s="6"/>
      <c r="L746" s="6"/>
      <c r="M746" s="6"/>
      <c r="N746" s="6"/>
      <c r="O746" s="6"/>
      <c r="P746" s="6"/>
      <c r="Q746" s="6"/>
      <c r="R746" s="6"/>
      <c r="S746" s="6"/>
      <c r="T746" s="6"/>
      <c r="U746" s="6"/>
      <c r="V746" s="6"/>
      <c r="W746" s="6"/>
    </row>
    <row r="747" spans="1:23" ht="16" x14ac:dyDescent="0.2">
      <c r="A747" s="6"/>
      <c r="B747" s="7"/>
      <c r="C747" s="7"/>
      <c r="D747" s="7"/>
      <c r="E747" s="7"/>
      <c r="F747" s="6"/>
      <c r="G747" s="6"/>
      <c r="H747" s="6"/>
      <c r="I747" s="6"/>
      <c r="J747" s="6"/>
      <c r="K747" s="6"/>
      <c r="L747" s="6"/>
      <c r="M747" s="6"/>
      <c r="N747" s="6"/>
      <c r="O747" s="6"/>
      <c r="P747" s="6"/>
      <c r="Q747" s="6"/>
      <c r="R747" s="6"/>
      <c r="S747" s="6"/>
      <c r="T747" s="6"/>
      <c r="U747" s="6"/>
      <c r="V747" s="6"/>
      <c r="W747" s="6"/>
    </row>
    <row r="748" spans="1:23" ht="16" x14ac:dyDescent="0.2">
      <c r="A748" s="6"/>
      <c r="B748" s="7"/>
      <c r="C748" s="7"/>
      <c r="D748" s="7"/>
      <c r="E748" s="7"/>
      <c r="F748" s="6"/>
      <c r="G748" s="6"/>
      <c r="H748" s="6"/>
      <c r="I748" s="6"/>
      <c r="J748" s="6"/>
      <c r="K748" s="6"/>
      <c r="L748" s="6"/>
      <c r="M748" s="6"/>
      <c r="N748" s="6"/>
      <c r="O748" s="6"/>
      <c r="P748" s="6"/>
      <c r="Q748" s="6"/>
      <c r="R748" s="6"/>
      <c r="S748" s="6"/>
      <c r="T748" s="6"/>
      <c r="U748" s="6"/>
      <c r="V748" s="6"/>
      <c r="W748" s="6"/>
    </row>
    <row r="749" spans="1:23" ht="16" x14ac:dyDescent="0.2">
      <c r="A749" s="6"/>
      <c r="B749" s="7"/>
      <c r="C749" s="7"/>
      <c r="D749" s="7"/>
      <c r="E749" s="7"/>
      <c r="F749" s="6"/>
      <c r="G749" s="6"/>
      <c r="H749" s="6"/>
      <c r="I749" s="6"/>
      <c r="J749" s="6"/>
      <c r="K749" s="6"/>
      <c r="L749" s="6"/>
      <c r="M749" s="6"/>
      <c r="N749" s="6"/>
      <c r="O749" s="6"/>
      <c r="P749" s="6"/>
      <c r="Q749" s="6"/>
      <c r="R749" s="6"/>
      <c r="S749" s="6"/>
      <c r="T749" s="6"/>
      <c r="U749" s="6"/>
      <c r="V749" s="6"/>
      <c r="W749" s="6"/>
    </row>
    <row r="750" spans="1:23" ht="16" x14ac:dyDescent="0.2">
      <c r="A750" s="6"/>
      <c r="B750" s="7"/>
      <c r="C750" s="7"/>
      <c r="D750" s="7"/>
      <c r="E750" s="7"/>
      <c r="F750" s="6"/>
      <c r="G750" s="6"/>
      <c r="H750" s="6"/>
      <c r="I750" s="6"/>
      <c r="J750" s="6"/>
      <c r="K750" s="6"/>
      <c r="L750" s="6"/>
      <c r="M750" s="6"/>
      <c r="N750" s="6"/>
      <c r="O750" s="6"/>
      <c r="P750" s="6"/>
      <c r="Q750" s="6"/>
      <c r="R750" s="6"/>
      <c r="S750" s="6"/>
      <c r="T750" s="6"/>
      <c r="U750" s="6"/>
      <c r="V750" s="6"/>
      <c r="W750" s="6"/>
    </row>
    <row r="751" spans="1:23" ht="16" x14ac:dyDescent="0.2">
      <c r="A751" s="6"/>
      <c r="B751" s="7"/>
      <c r="C751" s="7"/>
      <c r="D751" s="7"/>
      <c r="E751" s="7"/>
      <c r="F751" s="6"/>
      <c r="G751" s="6"/>
      <c r="H751" s="6"/>
      <c r="I751" s="6"/>
      <c r="J751" s="6"/>
      <c r="K751" s="6"/>
      <c r="L751" s="6"/>
      <c r="M751" s="6"/>
      <c r="N751" s="6"/>
      <c r="O751" s="6"/>
      <c r="P751" s="6"/>
      <c r="Q751" s="6"/>
      <c r="R751" s="6"/>
      <c r="S751" s="6"/>
      <c r="T751" s="6"/>
      <c r="U751" s="6"/>
      <c r="V751" s="6"/>
      <c r="W751" s="6"/>
    </row>
    <row r="752" spans="1:23" ht="16" x14ac:dyDescent="0.2">
      <c r="A752" s="6"/>
      <c r="B752" s="7"/>
      <c r="C752" s="7"/>
      <c r="D752" s="7"/>
      <c r="E752" s="7"/>
      <c r="F752" s="6"/>
      <c r="G752" s="6"/>
      <c r="H752" s="6"/>
      <c r="I752" s="6"/>
      <c r="J752" s="6"/>
      <c r="K752" s="6"/>
      <c r="L752" s="6"/>
      <c r="M752" s="6"/>
      <c r="N752" s="6"/>
      <c r="O752" s="6"/>
      <c r="P752" s="6"/>
      <c r="Q752" s="6"/>
      <c r="R752" s="6"/>
      <c r="S752" s="6"/>
      <c r="T752" s="6"/>
      <c r="U752" s="6"/>
      <c r="V752" s="6"/>
      <c r="W752" s="6"/>
    </row>
    <row r="753" spans="1:23" ht="16" x14ac:dyDescent="0.2">
      <c r="A753" s="6"/>
      <c r="B753" s="7"/>
      <c r="C753" s="7"/>
      <c r="D753" s="7"/>
      <c r="E753" s="7"/>
      <c r="F753" s="6"/>
      <c r="G753" s="6"/>
      <c r="H753" s="6"/>
      <c r="I753" s="6"/>
      <c r="J753" s="6"/>
      <c r="K753" s="6"/>
      <c r="L753" s="6"/>
      <c r="M753" s="6"/>
      <c r="N753" s="6"/>
      <c r="O753" s="6"/>
      <c r="P753" s="6"/>
      <c r="Q753" s="6"/>
      <c r="R753" s="6"/>
      <c r="S753" s="6"/>
      <c r="T753" s="6"/>
      <c r="U753" s="6"/>
      <c r="V753" s="6"/>
      <c r="W753" s="6"/>
    </row>
    <row r="754" spans="1:23" ht="16" x14ac:dyDescent="0.2">
      <c r="A754" s="6"/>
      <c r="B754" s="7"/>
      <c r="C754" s="7"/>
      <c r="D754" s="7"/>
      <c r="E754" s="7"/>
      <c r="F754" s="6"/>
      <c r="G754" s="6"/>
      <c r="H754" s="6"/>
      <c r="I754" s="6"/>
      <c r="J754" s="6"/>
      <c r="K754" s="6"/>
      <c r="L754" s="6"/>
      <c r="M754" s="6"/>
      <c r="N754" s="6"/>
      <c r="O754" s="6"/>
      <c r="P754" s="6"/>
      <c r="Q754" s="6"/>
      <c r="R754" s="6"/>
      <c r="S754" s="6"/>
      <c r="T754" s="6"/>
      <c r="U754" s="6"/>
      <c r="V754" s="6"/>
      <c r="W754" s="6"/>
    </row>
    <row r="755" spans="1:23" ht="16" x14ac:dyDescent="0.2">
      <c r="A755" s="6"/>
      <c r="B755" s="7"/>
      <c r="C755" s="7"/>
      <c r="D755" s="7"/>
      <c r="E755" s="7"/>
      <c r="F755" s="6"/>
      <c r="G755" s="6"/>
      <c r="H755" s="6"/>
      <c r="I755" s="6"/>
      <c r="J755" s="6"/>
      <c r="K755" s="6"/>
      <c r="L755" s="6"/>
      <c r="M755" s="6"/>
      <c r="N755" s="6"/>
      <c r="O755" s="6"/>
      <c r="P755" s="6"/>
      <c r="Q755" s="6"/>
      <c r="R755" s="6"/>
      <c r="S755" s="6"/>
      <c r="T755" s="6"/>
      <c r="U755" s="6"/>
      <c r="V755" s="6"/>
      <c r="W755" s="6"/>
    </row>
    <row r="756" spans="1:23" ht="16" x14ac:dyDescent="0.2">
      <c r="A756" s="6"/>
      <c r="B756" s="7"/>
      <c r="C756" s="7"/>
      <c r="D756" s="7"/>
      <c r="E756" s="7"/>
      <c r="F756" s="6"/>
      <c r="G756" s="6"/>
      <c r="H756" s="6"/>
      <c r="I756" s="6"/>
      <c r="J756" s="6"/>
      <c r="K756" s="6"/>
      <c r="L756" s="6"/>
      <c r="M756" s="6"/>
      <c r="N756" s="6"/>
      <c r="O756" s="6"/>
      <c r="P756" s="6"/>
      <c r="Q756" s="6"/>
      <c r="R756" s="6"/>
      <c r="S756" s="6"/>
      <c r="T756" s="6"/>
      <c r="U756" s="6"/>
      <c r="V756" s="6"/>
      <c r="W756" s="6"/>
    </row>
    <row r="757" spans="1:23" ht="16" x14ac:dyDescent="0.2">
      <c r="A757" s="6"/>
      <c r="B757" s="7"/>
      <c r="C757" s="7"/>
      <c r="D757" s="7"/>
      <c r="E757" s="7"/>
      <c r="F757" s="6"/>
      <c r="G757" s="6"/>
      <c r="H757" s="6"/>
      <c r="I757" s="6"/>
      <c r="J757" s="6"/>
      <c r="K757" s="6"/>
      <c r="L757" s="6"/>
      <c r="M757" s="6"/>
      <c r="N757" s="6"/>
      <c r="O757" s="6"/>
      <c r="P757" s="6"/>
      <c r="Q757" s="6"/>
      <c r="R757" s="6"/>
      <c r="S757" s="6"/>
      <c r="T757" s="6"/>
      <c r="U757" s="6"/>
      <c r="V757" s="6"/>
      <c r="W757" s="6"/>
    </row>
    <row r="758" spans="1:23" ht="16" x14ac:dyDescent="0.2">
      <c r="A758" s="6"/>
      <c r="B758" s="7"/>
      <c r="C758" s="7"/>
      <c r="D758" s="7"/>
      <c r="E758" s="7"/>
      <c r="F758" s="6"/>
      <c r="G758" s="6"/>
      <c r="H758" s="6"/>
      <c r="I758" s="6"/>
      <c r="J758" s="6"/>
      <c r="K758" s="6"/>
      <c r="L758" s="6"/>
      <c r="M758" s="6"/>
      <c r="N758" s="6"/>
      <c r="O758" s="6"/>
      <c r="P758" s="6"/>
      <c r="Q758" s="6"/>
      <c r="R758" s="6"/>
      <c r="S758" s="6"/>
      <c r="T758" s="6"/>
      <c r="U758" s="6"/>
      <c r="V758" s="6"/>
      <c r="W758" s="6"/>
    </row>
    <row r="759" spans="1:23" ht="16" x14ac:dyDescent="0.2">
      <c r="A759" s="6"/>
      <c r="B759" s="7"/>
      <c r="C759" s="7"/>
      <c r="D759" s="7"/>
      <c r="E759" s="7"/>
      <c r="F759" s="6"/>
      <c r="G759" s="6"/>
      <c r="H759" s="6"/>
      <c r="I759" s="6"/>
      <c r="J759" s="6"/>
      <c r="K759" s="6"/>
      <c r="L759" s="6"/>
      <c r="M759" s="6"/>
      <c r="N759" s="6"/>
      <c r="O759" s="6"/>
      <c r="P759" s="6"/>
      <c r="Q759" s="6"/>
      <c r="R759" s="6"/>
      <c r="S759" s="6"/>
      <c r="T759" s="6"/>
      <c r="U759" s="6"/>
      <c r="V759" s="6"/>
      <c r="W759" s="6"/>
    </row>
    <row r="760" spans="1:23" ht="16" x14ac:dyDescent="0.2">
      <c r="A760" s="6"/>
      <c r="B760" s="7"/>
      <c r="C760" s="7"/>
      <c r="D760" s="7"/>
      <c r="E760" s="7"/>
      <c r="F760" s="6"/>
      <c r="G760" s="6"/>
      <c r="H760" s="6"/>
      <c r="I760" s="6"/>
      <c r="J760" s="6"/>
      <c r="K760" s="6"/>
      <c r="L760" s="6"/>
      <c r="M760" s="6"/>
      <c r="N760" s="6"/>
      <c r="O760" s="6"/>
      <c r="P760" s="6"/>
      <c r="Q760" s="6"/>
      <c r="R760" s="6"/>
      <c r="S760" s="6"/>
      <c r="T760" s="6"/>
      <c r="U760" s="6"/>
      <c r="V760" s="6"/>
      <c r="W760" s="6"/>
    </row>
    <row r="761" spans="1:23" ht="16" x14ac:dyDescent="0.2">
      <c r="A761" s="6"/>
      <c r="B761" s="7"/>
      <c r="C761" s="7"/>
      <c r="D761" s="7"/>
      <c r="E761" s="7"/>
      <c r="F761" s="6"/>
      <c r="G761" s="6"/>
      <c r="H761" s="6"/>
      <c r="I761" s="6"/>
      <c r="J761" s="6"/>
      <c r="K761" s="6"/>
      <c r="L761" s="6"/>
      <c r="M761" s="6"/>
      <c r="N761" s="6"/>
      <c r="O761" s="6"/>
      <c r="P761" s="6"/>
      <c r="Q761" s="6"/>
      <c r="R761" s="6"/>
      <c r="S761" s="6"/>
      <c r="T761" s="6"/>
      <c r="U761" s="6"/>
      <c r="V761" s="6"/>
      <c r="W761" s="6"/>
    </row>
    <row r="762" spans="1:23" ht="16" x14ac:dyDescent="0.2">
      <c r="A762" s="6"/>
      <c r="B762" s="7"/>
      <c r="C762" s="7"/>
      <c r="D762" s="7"/>
      <c r="E762" s="7"/>
      <c r="F762" s="6"/>
      <c r="G762" s="6"/>
      <c r="H762" s="6"/>
      <c r="I762" s="6"/>
      <c r="J762" s="6"/>
      <c r="K762" s="6"/>
      <c r="L762" s="6"/>
      <c r="M762" s="6"/>
      <c r="N762" s="6"/>
      <c r="O762" s="6"/>
      <c r="P762" s="6"/>
      <c r="Q762" s="6"/>
      <c r="R762" s="6"/>
      <c r="S762" s="6"/>
      <c r="T762" s="6"/>
      <c r="U762" s="6"/>
      <c r="V762" s="6"/>
      <c r="W762" s="6"/>
    </row>
    <row r="763" spans="1:23" ht="16" x14ac:dyDescent="0.2">
      <c r="A763" s="6"/>
      <c r="B763" s="7"/>
      <c r="C763" s="7"/>
      <c r="D763" s="7"/>
      <c r="E763" s="7"/>
      <c r="F763" s="6"/>
      <c r="G763" s="6"/>
      <c r="H763" s="6"/>
      <c r="I763" s="6"/>
      <c r="J763" s="6"/>
      <c r="K763" s="6"/>
      <c r="L763" s="6"/>
      <c r="M763" s="6"/>
      <c r="N763" s="6"/>
      <c r="O763" s="6"/>
      <c r="P763" s="6"/>
      <c r="Q763" s="6"/>
      <c r="R763" s="6"/>
      <c r="S763" s="6"/>
      <c r="T763" s="6"/>
      <c r="U763" s="6"/>
      <c r="V763" s="6"/>
      <c r="W763" s="6"/>
    </row>
    <row r="764" spans="1:23" ht="16" x14ac:dyDescent="0.2">
      <c r="A764" s="6"/>
      <c r="B764" s="7"/>
      <c r="C764" s="7"/>
      <c r="D764" s="7"/>
      <c r="E764" s="7"/>
      <c r="F764" s="6"/>
      <c r="G764" s="6"/>
      <c r="H764" s="6"/>
      <c r="I764" s="6"/>
      <c r="J764" s="6"/>
      <c r="K764" s="6"/>
      <c r="L764" s="6"/>
      <c r="M764" s="6"/>
      <c r="N764" s="6"/>
      <c r="O764" s="6"/>
      <c r="P764" s="6"/>
      <c r="Q764" s="6"/>
      <c r="R764" s="6"/>
      <c r="S764" s="6"/>
      <c r="T764" s="6"/>
      <c r="U764" s="6"/>
      <c r="V764" s="6"/>
      <c r="W764" s="6"/>
    </row>
    <row r="765" spans="1:23" ht="16" x14ac:dyDescent="0.2">
      <c r="A765" s="6"/>
      <c r="B765" s="7"/>
      <c r="C765" s="7"/>
      <c r="D765" s="7"/>
      <c r="E765" s="7"/>
      <c r="F765" s="6"/>
      <c r="G765" s="6"/>
      <c r="H765" s="6"/>
      <c r="I765" s="6"/>
      <c r="J765" s="6"/>
      <c r="K765" s="6"/>
      <c r="L765" s="6"/>
      <c r="M765" s="6"/>
      <c r="N765" s="6"/>
      <c r="O765" s="6"/>
      <c r="P765" s="6"/>
      <c r="Q765" s="6"/>
      <c r="R765" s="6"/>
      <c r="S765" s="6"/>
      <c r="T765" s="6"/>
      <c r="U765" s="6"/>
      <c r="V765" s="6"/>
      <c r="W765" s="6"/>
    </row>
    <row r="766" spans="1:23" ht="16" x14ac:dyDescent="0.2">
      <c r="A766" s="6"/>
      <c r="B766" s="7"/>
      <c r="C766" s="7"/>
      <c r="D766" s="7"/>
      <c r="E766" s="7"/>
      <c r="F766" s="6"/>
      <c r="G766" s="6"/>
      <c r="H766" s="6"/>
      <c r="I766" s="6"/>
      <c r="J766" s="6"/>
      <c r="K766" s="6"/>
      <c r="L766" s="6"/>
      <c r="M766" s="6"/>
      <c r="N766" s="6"/>
      <c r="O766" s="6"/>
      <c r="P766" s="6"/>
      <c r="Q766" s="6"/>
      <c r="R766" s="6"/>
      <c r="S766" s="6"/>
      <c r="T766" s="6"/>
      <c r="U766" s="6"/>
      <c r="V766" s="6"/>
      <c r="W766" s="6"/>
    </row>
    <row r="767" spans="1:23" ht="16" x14ac:dyDescent="0.2">
      <c r="A767" s="6"/>
      <c r="B767" s="7"/>
      <c r="C767" s="7"/>
      <c r="D767" s="7"/>
      <c r="E767" s="7"/>
      <c r="F767" s="6"/>
      <c r="G767" s="6"/>
      <c r="H767" s="6"/>
      <c r="I767" s="6"/>
      <c r="J767" s="6"/>
      <c r="K767" s="6"/>
      <c r="L767" s="6"/>
      <c r="M767" s="6"/>
      <c r="N767" s="6"/>
      <c r="O767" s="6"/>
      <c r="P767" s="6"/>
      <c r="Q767" s="6"/>
      <c r="R767" s="6"/>
      <c r="S767" s="6"/>
      <c r="T767" s="6"/>
      <c r="U767" s="6"/>
      <c r="V767" s="6"/>
      <c r="W767" s="6"/>
    </row>
    <row r="768" spans="1:23" ht="16" x14ac:dyDescent="0.2">
      <c r="A768" s="6"/>
      <c r="B768" s="7"/>
      <c r="C768" s="7"/>
      <c r="D768" s="7"/>
      <c r="E768" s="7"/>
      <c r="F768" s="6"/>
      <c r="G768" s="6"/>
      <c r="H768" s="6"/>
      <c r="I768" s="6"/>
      <c r="J768" s="6"/>
      <c r="K768" s="6"/>
      <c r="L768" s="6"/>
      <c r="M768" s="6"/>
      <c r="N768" s="6"/>
      <c r="O768" s="6"/>
      <c r="P768" s="6"/>
      <c r="Q768" s="6"/>
      <c r="R768" s="6"/>
      <c r="S768" s="6"/>
      <c r="T768" s="6"/>
      <c r="U768" s="6"/>
      <c r="V768" s="6"/>
      <c r="W768" s="6"/>
    </row>
    <row r="769" spans="1:23" ht="16" x14ac:dyDescent="0.2">
      <c r="A769" s="6"/>
      <c r="B769" s="7"/>
      <c r="C769" s="7"/>
      <c r="D769" s="7"/>
      <c r="E769" s="7"/>
      <c r="F769" s="6"/>
      <c r="G769" s="6"/>
      <c r="H769" s="6"/>
      <c r="I769" s="6"/>
      <c r="J769" s="6"/>
      <c r="K769" s="6"/>
      <c r="L769" s="6"/>
      <c r="M769" s="6"/>
      <c r="N769" s="6"/>
      <c r="O769" s="6"/>
      <c r="P769" s="6"/>
      <c r="Q769" s="6"/>
      <c r="R769" s="6"/>
      <c r="S769" s="6"/>
      <c r="T769" s="6"/>
      <c r="U769" s="6"/>
      <c r="V769" s="6"/>
      <c r="W769" s="6"/>
    </row>
    <row r="770" spans="1:23" ht="16" x14ac:dyDescent="0.2">
      <c r="A770" s="6"/>
      <c r="B770" s="7"/>
      <c r="C770" s="7"/>
      <c r="D770" s="7"/>
      <c r="E770" s="7"/>
      <c r="F770" s="6"/>
      <c r="G770" s="6"/>
      <c r="H770" s="6"/>
      <c r="I770" s="6"/>
      <c r="J770" s="6"/>
      <c r="K770" s="6"/>
      <c r="L770" s="6"/>
      <c r="M770" s="6"/>
      <c r="N770" s="6"/>
      <c r="O770" s="6"/>
      <c r="P770" s="6"/>
      <c r="Q770" s="6"/>
      <c r="R770" s="6"/>
      <c r="S770" s="6"/>
      <c r="T770" s="6"/>
      <c r="U770" s="6"/>
      <c r="V770" s="6"/>
      <c r="W770" s="6"/>
    </row>
    <row r="771" spans="1:23" ht="16" x14ac:dyDescent="0.2">
      <c r="A771" s="6"/>
      <c r="B771" s="7"/>
      <c r="C771" s="7"/>
      <c r="D771" s="7"/>
      <c r="E771" s="7"/>
      <c r="F771" s="6"/>
      <c r="G771" s="6"/>
      <c r="H771" s="6"/>
      <c r="I771" s="6"/>
      <c r="J771" s="6"/>
      <c r="K771" s="6"/>
      <c r="L771" s="6"/>
      <c r="M771" s="6"/>
      <c r="N771" s="6"/>
      <c r="O771" s="6"/>
      <c r="P771" s="6"/>
      <c r="Q771" s="6"/>
      <c r="R771" s="6"/>
      <c r="S771" s="6"/>
      <c r="T771" s="6"/>
      <c r="U771" s="6"/>
      <c r="V771" s="6"/>
      <c r="W771" s="6"/>
    </row>
    <row r="772" spans="1:23" ht="16" x14ac:dyDescent="0.2">
      <c r="A772" s="6"/>
      <c r="B772" s="7"/>
      <c r="C772" s="7"/>
      <c r="D772" s="7"/>
      <c r="E772" s="7"/>
      <c r="F772" s="6"/>
      <c r="G772" s="6"/>
      <c r="H772" s="6"/>
      <c r="I772" s="6"/>
      <c r="J772" s="6"/>
      <c r="K772" s="6"/>
      <c r="L772" s="6"/>
      <c r="M772" s="6"/>
      <c r="N772" s="6"/>
      <c r="O772" s="6"/>
      <c r="P772" s="6"/>
      <c r="Q772" s="6"/>
      <c r="R772" s="6"/>
      <c r="S772" s="6"/>
      <c r="T772" s="6"/>
      <c r="U772" s="6"/>
      <c r="V772" s="6"/>
      <c r="W772" s="6"/>
    </row>
    <row r="773" spans="1:23" ht="16" x14ac:dyDescent="0.2">
      <c r="A773" s="6"/>
      <c r="B773" s="7"/>
      <c r="C773" s="7"/>
      <c r="D773" s="7"/>
      <c r="E773" s="7"/>
      <c r="F773" s="6"/>
      <c r="G773" s="6"/>
      <c r="H773" s="6"/>
      <c r="I773" s="6"/>
      <c r="J773" s="6"/>
      <c r="K773" s="6"/>
      <c r="L773" s="6"/>
      <c r="M773" s="6"/>
      <c r="N773" s="6"/>
      <c r="O773" s="6"/>
      <c r="P773" s="6"/>
      <c r="Q773" s="6"/>
      <c r="R773" s="6"/>
      <c r="S773" s="6"/>
      <c r="T773" s="6"/>
      <c r="U773" s="6"/>
      <c r="V773" s="6"/>
      <c r="W773" s="6"/>
    </row>
    <row r="774" spans="1:23" ht="16" x14ac:dyDescent="0.2">
      <c r="A774" s="6"/>
      <c r="B774" s="7"/>
      <c r="C774" s="7"/>
      <c r="D774" s="7"/>
      <c r="E774" s="7"/>
      <c r="F774" s="6"/>
      <c r="G774" s="6"/>
      <c r="H774" s="6"/>
      <c r="I774" s="6"/>
      <c r="J774" s="6"/>
      <c r="K774" s="6"/>
      <c r="L774" s="6"/>
      <c r="M774" s="6"/>
      <c r="N774" s="6"/>
      <c r="O774" s="6"/>
      <c r="P774" s="6"/>
      <c r="Q774" s="6"/>
      <c r="R774" s="6"/>
      <c r="S774" s="6"/>
      <c r="T774" s="6"/>
      <c r="U774" s="6"/>
      <c r="V774" s="6"/>
      <c r="W774" s="6"/>
    </row>
    <row r="775" spans="1:23" ht="16" x14ac:dyDescent="0.2">
      <c r="A775" s="6"/>
      <c r="B775" s="7"/>
      <c r="C775" s="7"/>
      <c r="D775" s="7"/>
      <c r="E775" s="7"/>
      <c r="F775" s="6"/>
      <c r="G775" s="6"/>
      <c r="H775" s="6"/>
      <c r="I775" s="6"/>
      <c r="J775" s="6"/>
      <c r="K775" s="6"/>
      <c r="L775" s="6"/>
      <c r="M775" s="6"/>
      <c r="N775" s="6"/>
      <c r="O775" s="6"/>
      <c r="P775" s="6"/>
      <c r="Q775" s="6"/>
      <c r="R775" s="6"/>
      <c r="S775" s="6"/>
      <c r="T775" s="6"/>
      <c r="U775" s="6"/>
      <c r="V775" s="6"/>
      <c r="W775" s="6"/>
    </row>
    <row r="776" spans="1:23" ht="16" x14ac:dyDescent="0.2">
      <c r="A776" s="6"/>
      <c r="B776" s="7"/>
      <c r="C776" s="7"/>
      <c r="D776" s="7"/>
      <c r="E776" s="7"/>
      <c r="F776" s="6"/>
      <c r="G776" s="6"/>
      <c r="H776" s="6"/>
      <c r="I776" s="6"/>
      <c r="J776" s="6"/>
      <c r="K776" s="6"/>
      <c r="L776" s="6"/>
      <c r="M776" s="6"/>
      <c r="N776" s="6"/>
      <c r="O776" s="6"/>
      <c r="P776" s="6"/>
      <c r="Q776" s="6"/>
      <c r="R776" s="6"/>
      <c r="S776" s="6"/>
      <c r="T776" s="6"/>
      <c r="U776" s="6"/>
      <c r="V776" s="6"/>
      <c r="W776" s="6"/>
    </row>
    <row r="777" spans="1:23" ht="16" x14ac:dyDescent="0.2">
      <c r="A777" s="6"/>
      <c r="B777" s="7"/>
      <c r="C777" s="7"/>
      <c r="D777" s="7"/>
      <c r="E777" s="7"/>
      <c r="F777" s="6"/>
      <c r="G777" s="6"/>
      <c r="H777" s="6"/>
      <c r="I777" s="6"/>
      <c r="J777" s="6"/>
      <c r="K777" s="6"/>
      <c r="L777" s="6"/>
      <c r="M777" s="6"/>
      <c r="N777" s="6"/>
      <c r="O777" s="6"/>
      <c r="P777" s="6"/>
      <c r="Q777" s="6"/>
      <c r="R777" s="6"/>
      <c r="S777" s="6"/>
      <c r="T777" s="6"/>
      <c r="U777" s="6"/>
      <c r="V777" s="6"/>
      <c r="W777" s="6"/>
    </row>
    <row r="778" spans="1:23" ht="16" x14ac:dyDescent="0.2">
      <c r="A778" s="6"/>
      <c r="B778" s="7"/>
      <c r="C778" s="7"/>
      <c r="D778" s="7"/>
      <c r="E778" s="7"/>
      <c r="F778" s="6"/>
      <c r="G778" s="6"/>
      <c r="H778" s="6"/>
      <c r="I778" s="6"/>
      <c r="J778" s="6"/>
      <c r="K778" s="6"/>
      <c r="L778" s="6"/>
      <c r="M778" s="6"/>
      <c r="N778" s="6"/>
      <c r="O778" s="6"/>
      <c r="P778" s="6"/>
      <c r="Q778" s="6"/>
      <c r="R778" s="6"/>
      <c r="S778" s="6"/>
      <c r="T778" s="6"/>
      <c r="U778" s="6"/>
      <c r="V778" s="6"/>
      <c r="W778" s="6"/>
    </row>
    <row r="779" spans="1:23" ht="16" x14ac:dyDescent="0.2">
      <c r="A779" s="6"/>
      <c r="B779" s="7"/>
      <c r="C779" s="7"/>
      <c r="D779" s="7"/>
      <c r="E779" s="7"/>
      <c r="F779" s="6"/>
      <c r="G779" s="6"/>
      <c r="H779" s="6"/>
      <c r="I779" s="6"/>
      <c r="J779" s="6"/>
      <c r="K779" s="6"/>
      <c r="L779" s="6"/>
      <c r="M779" s="6"/>
      <c r="N779" s="6"/>
      <c r="O779" s="6"/>
      <c r="P779" s="6"/>
      <c r="Q779" s="6"/>
      <c r="R779" s="6"/>
      <c r="S779" s="6"/>
      <c r="T779" s="6"/>
      <c r="U779" s="6"/>
      <c r="V779" s="6"/>
      <c r="W779" s="6"/>
    </row>
    <row r="780" spans="1:23" ht="16" x14ac:dyDescent="0.2">
      <c r="A780" s="6"/>
      <c r="B780" s="7"/>
      <c r="C780" s="7"/>
      <c r="D780" s="7"/>
      <c r="E780" s="7"/>
      <c r="F780" s="6"/>
      <c r="G780" s="6"/>
      <c r="H780" s="6"/>
      <c r="I780" s="6"/>
      <c r="J780" s="6"/>
      <c r="K780" s="6"/>
      <c r="L780" s="6"/>
      <c r="M780" s="6"/>
      <c r="N780" s="6"/>
      <c r="O780" s="6"/>
      <c r="P780" s="6"/>
      <c r="Q780" s="6"/>
      <c r="R780" s="6"/>
      <c r="S780" s="6"/>
      <c r="T780" s="6"/>
      <c r="U780" s="6"/>
      <c r="V780" s="6"/>
      <c r="W780" s="6"/>
    </row>
    <row r="781" spans="1:23" ht="16" x14ac:dyDescent="0.2">
      <c r="A781" s="6"/>
      <c r="B781" s="7"/>
      <c r="C781" s="7"/>
      <c r="D781" s="7"/>
      <c r="E781" s="7"/>
      <c r="F781" s="6"/>
      <c r="G781" s="6"/>
      <c r="H781" s="6"/>
      <c r="I781" s="6"/>
      <c r="J781" s="6"/>
      <c r="K781" s="6"/>
      <c r="L781" s="6"/>
      <c r="M781" s="6"/>
      <c r="N781" s="6"/>
      <c r="O781" s="6"/>
      <c r="P781" s="6"/>
      <c r="Q781" s="6"/>
      <c r="R781" s="6"/>
      <c r="S781" s="6"/>
      <c r="T781" s="6"/>
      <c r="U781" s="6"/>
      <c r="V781" s="6"/>
      <c r="W781" s="6"/>
    </row>
    <row r="782" spans="1:23" ht="16" x14ac:dyDescent="0.2">
      <c r="A782" s="6"/>
      <c r="B782" s="7"/>
      <c r="C782" s="7"/>
      <c r="D782" s="7"/>
      <c r="E782" s="7"/>
      <c r="F782" s="6"/>
      <c r="G782" s="6"/>
      <c r="H782" s="6"/>
      <c r="I782" s="6"/>
      <c r="J782" s="6"/>
      <c r="K782" s="6"/>
      <c r="L782" s="6"/>
      <c r="M782" s="6"/>
      <c r="N782" s="6"/>
      <c r="O782" s="6"/>
      <c r="P782" s="6"/>
      <c r="Q782" s="6"/>
      <c r="R782" s="6"/>
      <c r="S782" s="6"/>
      <c r="T782" s="6"/>
      <c r="U782" s="6"/>
      <c r="V782" s="6"/>
      <c r="W782" s="6"/>
    </row>
    <row r="783" spans="1:23" ht="16" x14ac:dyDescent="0.2">
      <c r="A783" s="6"/>
      <c r="B783" s="7"/>
      <c r="C783" s="7"/>
      <c r="D783" s="7"/>
      <c r="E783" s="7"/>
      <c r="F783" s="6"/>
      <c r="G783" s="6"/>
      <c r="H783" s="6"/>
      <c r="I783" s="6"/>
      <c r="J783" s="6"/>
      <c r="K783" s="6"/>
      <c r="L783" s="6"/>
      <c r="M783" s="6"/>
      <c r="N783" s="6"/>
      <c r="O783" s="6"/>
      <c r="P783" s="6"/>
      <c r="Q783" s="6"/>
      <c r="R783" s="6"/>
      <c r="S783" s="6"/>
      <c r="T783" s="6"/>
      <c r="U783" s="6"/>
      <c r="V783" s="6"/>
      <c r="W783" s="6"/>
    </row>
    <row r="784" spans="1:23" ht="16" x14ac:dyDescent="0.2">
      <c r="A784" s="6"/>
      <c r="B784" s="7"/>
      <c r="C784" s="7"/>
      <c r="D784" s="7"/>
      <c r="E784" s="7"/>
      <c r="F784" s="6"/>
      <c r="G784" s="6"/>
      <c r="H784" s="6"/>
      <c r="I784" s="6"/>
      <c r="J784" s="6"/>
      <c r="K784" s="6"/>
      <c r="L784" s="6"/>
      <c r="M784" s="6"/>
      <c r="N784" s="6"/>
      <c r="O784" s="6"/>
      <c r="P784" s="6"/>
      <c r="Q784" s="6"/>
      <c r="R784" s="6"/>
      <c r="S784" s="6"/>
      <c r="T784" s="6"/>
      <c r="U784" s="6"/>
      <c r="V784" s="6"/>
      <c r="W784" s="6"/>
    </row>
    <row r="785" spans="1:23" ht="16" x14ac:dyDescent="0.2">
      <c r="A785" s="6"/>
      <c r="B785" s="7"/>
      <c r="C785" s="7"/>
      <c r="D785" s="7"/>
      <c r="E785" s="7"/>
      <c r="F785" s="6"/>
      <c r="G785" s="6"/>
      <c r="H785" s="6"/>
      <c r="I785" s="6"/>
      <c r="J785" s="6"/>
      <c r="K785" s="6"/>
      <c r="L785" s="6"/>
      <c r="M785" s="6"/>
      <c r="N785" s="6"/>
      <c r="O785" s="6"/>
      <c r="P785" s="6"/>
      <c r="Q785" s="6"/>
      <c r="R785" s="6"/>
      <c r="S785" s="6"/>
      <c r="T785" s="6"/>
      <c r="U785" s="6"/>
      <c r="V785" s="6"/>
      <c r="W785" s="6"/>
    </row>
    <row r="786" spans="1:23" ht="16" x14ac:dyDescent="0.2">
      <c r="A786" s="6"/>
      <c r="B786" s="7"/>
      <c r="C786" s="7"/>
      <c r="D786" s="7"/>
      <c r="E786" s="7"/>
      <c r="F786" s="6"/>
      <c r="G786" s="6"/>
      <c r="H786" s="6"/>
      <c r="I786" s="6"/>
      <c r="J786" s="6"/>
      <c r="K786" s="6"/>
      <c r="L786" s="6"/>
      <c r="M786" s="6"/>
      <c r="N786" s="6"/>
      <c r="O786" s="6"/>
      <c r="P786" s="6"/>
      <c r="Q786" s="6"/>
      <c r="R786" s="6"/>
      <c r="S786" s="6"/>
      <c r="T786" s="6"/>
      <c r="U786" s="6"/>
      <c r="V786" s="6"/>
      <c r="W786" s="6"/>
    </row>
    <row r="787" spans="1:23" ht="16" x14ac:dyDescent="0.2">
      <c r="A787" s="6"/>
      <c r="B787" s="7"/>
      <c r="C787" s="7"/>
      <c r="D787" s="7"/>
      <c r="E787" s="7"/>
      <c r="F787" s="6"/>
      <c r="G787" s="6"/>
      <c r="H787" s="6"/>
      <c r="I787" s="6"/>
      <c r="J787" s="6"/>
      <c r="K787" s="6"/>
      <c r="L787" s="6"/>
      <c r="M787" s="6"/>
      <c r="N787" s="6"/>
      <c r="O787" s="6"/>
      <c r="P787" s="6"/>
      <c r="Q787" s="6"/>
      <c r="R787" s="6"/>
      <c r="S787" s="6"/>
      <c r="T787" s="6"/>
      <c r="U787" s="6"/>
      <c r="V787" s="6"/>
      <c r="W787" s="6"/>
    </row>
    <row r="788" spans="1:23" ht="16" x14ac:dyDescent="0.2">
      <c r="A788" s="6"/>
      <c r="B788" s="7"/>
      <c r="C788" s="7"/>
      <c r="D788" s="7"/>
      <c r="E788" s="7"/>
      <c r="F788" s="6"/>
      <c r="G788" s="6"/>
      <c r="H788" s="6"/>
      <c r="I788" s="6"/>
      <c r="J788" s="6"/>
      <c r="K788" s="6"/>
      <c r="L788" s="6"/>
      <c r="M788" s="6"/>
      <c r="N788" s="6"/>
      <c r="O788" s="6"/>
      <c r="P788" s="6"/>
      <c r="Q788" s="6"/>
      <c r="R788" s="6"/>
      <c r="S788" s="6"/>
      <c r="T788" s="6"/>
      <c r="U788" s="6"/>
      <c r="V788" s="6"/>
      <c r="W788" s="6"/>
    </row>
    <row r="789" spans="1:23" ht="16" x14ac:dyDescent="0.2">
      <c r="A789" s="6"/>
      <c r="B789" s="7"/>
      <c r="C789" s="7"/>
      <c r="D789" s="7"/>
      <c r="E789" s="7"/>
      <c r="F789" s="6"/>
      <c r="G789" s="6"/>
      <c r="H789" s="6"/>
      <c r="I789" s="6"/>
      <c r="J789" s="6"/>
      <c r="K789" s="6"/>
      <c r="L789" s="6"/>
      <c r="M789" s="6"/>
      <c r="N789" s="6"/>
      <c r="O789" s="6"/>
      <c r="P789" s="6"/>
      <c r="Q789" s="6"/>
      <c r="R789" s="6"/>
      <c r="S789" s="6"/>
      <c r="T789" s="6"/>
      <c r="U789" s="6"/>
      <c r="V789" s="6"/>
      <c r="W789" s="6"/>
    </row>
    <row r="790" spans="1:23" ht="16" x14ac:dyDescent="0.2">
      <c r="A790" s="6"/>
      <c r="B790" s="7"/>
      <c r="C790" s="7"/>
      <c r="D790" s="7"/>
      <c r="E790" s="7"/>
      <c r="F790" s="6"/>
      <c r="G790" s="6"/>
      <c r="H790" s="6"/>
      <c r="I790" s="6"/>
      <c r="J790" s="6"/>
      <c r="K790" s="6"/>
      <c r="L790" s="6"/>
      <c r="M790" s="6"/>
      <c r="N790" s="6"/>
      <c r="O790" s="6"/>
      <c r="P790" s="6"/>
      <c r="Q790" s="6"/>
      <c r="R790" s="6"/>
      <c r="S790" s="6"/>
      <c r="T790" s="6"/>
      <c r="U790" s="6"/>
      <c r="V790" s="6"/>
      <c r="W790" s="6"/>
    </row>
    <row r="791" spans="1:23" ht="16" x14ac:dyDescent="0.2">
      <c r="A791" s="6"/>
      <c r="B791" s="7"/>
      <c r="C791" s="7"/>
      <c r="D791" s="7"/>
      <c r="E791" s="7"/>
      <c r="F791" s="6"/>
      <c r="G791" s="6"/>
      <c r="H791" s="6"/>
      <c r="I791" s="6"/>
      <c r="J791" s="6"/>
      <c r="K791" s="6"/>
      <c r="L791" s="6"/>
      <c r="M791" s="6"/>
      <c r="N791" s="6"/>
      <c r="O791" s="6"/>
      <c r="P791" s="6"/>
      <c r="Q791" s="6"/>
      <c r="R791" s="6"/>
      <c r="S791" s="6"/>
      <c r="T791" s="6"/>
      <c r="U791" s="6"/>
      <c r="V791" s="6"/>
      <c r="W791" s="6"/>
    </row>
    <row r="792" spans="1:23" ht="16" x14ac:dyDescent="0.2">
      <c r="A792" s="6"/>
      <c r="B792" s="7"/>
      <c r="C792" s="7"/>
      <c r="D792" s="7"/>
      <c r="E792" s="7"/>
      <c r="F792" s="6"/>
      <c r="G792" s="6"/>
      <c r="H792" s="6"/>
      <c r="I792" s="6"/>
      <c r="J792" s="6"/>
      <c r="K792" s="6"/>
      <c r="L792" s="6"/>
      <c r="M792" s="6"/>
      <c r="N792" s="6"/>
      <c r="O792" s="6"/>
      <c r="P792" s="6"/>
      <c r="Q792" s="6"/>
      <c r="R792" s="6"/>
      <c r="S792" s="6"/>
      <c r="T792" s="6"/>
      <c r="U792" s="6"/>
      <c r="V792" s="6"/>
      <c r="W792" s="6"/>
    </row>
    <row r="793" spans="1:23" ht="16" x14ac:dyDescent="0.2">
      <c r="A793" s="6"/>
      <c r="B793" s="7"/>
      <c r="C793" s="7"/>
      <c r="D793" s="7"/>
      <c r="E793" s="7"/>
      <c r="F793" s="6"/>
      <c r="G793" s="6"/>
      <c r="H793" s="6"/>
      <c r="I793" s="6"/>
      <c r="J793" s="6"/>
      <c r="K793" s="6"/>
      <c r="L793" s="6"/>
      <c r="M793" s="6"/>
      <c r="N793" s="6"/>
      <c r="O793" s="6"/>
      <c r="P793" s="6"/>
      <c r="Q793" s="6"/>
      <c r="R793" s="6"/>
      <c r="S793" s="6"/>
      <c r="T793" s="6"/>
      <c r="U793" s="6"/>
      <c r="V793" s="6"/>
      <c r="W793" s="6"/>
    </row>
    <row r="794" spans="1:23" ht="16" x14ac:dyDescent="0.2">
      <c r="A794" s="6"/>
      <c r="B794" s="7"/>
      <c r="C794" s="7"/>
      <c r="D794" s="7"/>
      <c r="E794" s="7"/>
      <c r="F794" s="6"/>
      <c r="G794" s="6"/>
      <c r="H794" s="6"/>
      <c r="I794" s="6"/>
      <c r="J794" s="6"/>
      <c r="K794" s="6"/>
      <c r="L794" s="6"/>
      <c r="M794" s="6"/>
      <c r="N794" s="6"/>
      <c r="O794" s="6"/>
      <c r="P794" s="6"/>
      <c r="Q794" s="6"/>
      <c r="R794" s="6"/>
      <c r="S794" s="6"/>
      <c r="T794" s="6"/>
      <c r="U794" s="6"/>
      <c r="V794" s="6"/>
      <c r="W794" s="6"/>
    </row>
    <row r="795" spans="1:23" ht="16" x14ac:dyDescent="0.2">
      <c r="A795" s="6"/>
      <c r="B795" s="7"/>
      <c r="C795" s="7"/>
      <c r="D795" s="7"/>
      <c r="E795" s="7"/>
      <c r="F795" s="6"/>
      <c r="G795" s="6"/>
      <c r="H795" s="6"/>
      <c r="I795" s="6"/>
      <c r="J795" s="6"/>
      <c r="K795" s="6"/>
      <c r="L795" s="6"/>
      <c r="M795" s="6"/>
      <c r="N795" s="6"/>
      <c r="O795" s="6"/>
      <c r="P795" s="6"/>
      <c r="Q795" s="6"/>
      <c r="R795" s="6"/>
      <c r="S795" s="6"/>
      <c r="T795" s="6"/>
      <c r="U795" s="6"/>
      <c r="V795" s="6"/>
      <c r="W795" s="6"/>
    </row>
    <row r="796" spans="1:23" ht="16" x14ac:dyDescent="0.2">
      <c r="A796" s="6"/>
      <c r="B796" s="7"/>
      <c r="C796" s="7"/>
      <c r="D796" s="7"/>
      <c r="E796" s="7"/>
      <c r="F796" s="6"/>
      <c r="G796" s="6"/>
      <c r="H796" s="6"/>
      <c r="I796" s="6"/>
      <c r="J796" s="6"/>
      <c r="K796" s="6"/>
      <c r="L796" s="6"/>
      <c r="M796" s="6"/>
      <c r="N796" s="6"/>
      <c r="O796" s="6"/>
      <c r="P796" s="6"/>
      <c r="Q796" s="6"/>
      <c r="R796" s="6"/>
      <c r="S796" s="6"/>
      <c r="T796" s="6"/>
      <c r="U796" s="6"/>
      <c r="V796" s="6"/>
      <c r="W796" s="6"/>
    </row>
    <row r="797" spans="1:23" ht="16" x14ac:dyDescent="0.2">
      <c r="A797" s="6"/>
      <c r="B797" s="7"/>
      <c r="C797" s="7"/>
      <c r="D797" s="7"/>
      <c r="E797" s="7"/>
      <c r="F797" s="6"/>
      <c r="G797" s="6"/>
      <c r="H797" s="6"/>
      <c r="I797" s="6"/>
      <c r="J797" s="6"/>
      <c r="K797" s="6"/>
      <c r="L797" s="6"/>
      <c r="M797" s="6"/>
      <c r="N797" s="6"/>
      <c r="O797" s="6"/>
      <c r="P797" s="6"/>
      <c r="Q797" s="6"/>
      <c r="R797" s="6"/>
      <c r="S797" s="6"/>
      <c r="T797" s="6"/>
      <c r="U797" s="6"/>
      <c r="V797" s="6"/>
      <c r="W797" s="6"/>
    </row>
    <row r="798" spans="1:23" ht="16" x14ac:dyDescent="0.2">
      <c r="A798" s="6"/>
      <c r="B798" s="7"/>
      <c r="C798" s="7"/>
      <c r="D798" s="7"/>
      <c r="E798" s="7"/>
      <c r="F798" s="6"/>
      <c r="G798" s="6"/>
      <c r="H798" s="6"/>
      <c r="I798" s="6"/>
      <c r="J798" s="6"/>
      <c r="K798" s="6"/>
      <c r="L798" s="6"/>
      <c r="M798" s="6"/>
      <c r="N798" s="6"/>
      <c r="O798" s="6"/>
      <c r="P798" s="6"/>
      <c r="Q798" s="6"/>
      <c r="R798" s="6"/>
      <c r="S798" s="6"/>
      <c r="T798" s="6"/>
      <c r="U798" s="6"/>
      <c r="V798" s="6"/>
      <c r="W798" s="6"/>
    </row>
    <row r="799" spans="1:23" ht="16" x14ac:dyDescent="0.2">
      <c r="A799" s="6"/>
      <c r="B799" s="7"/>
      <c r="C799" s="7"/>
      <c r="D799" s="7"/>
      <c r="E799" s="7"/>
      <c r="F799" s="6"/>
      <c r="G799" s="6"/>
      <c r="H799" s="6"/>
      <c r="I799" s="6"/>
      <c r="J799" s="6"/>
      <c r="K799" s="6"/>
      <c r="L799" s="6"/>
      <c r="M799" s="6"/>
      <c r="N799" s="6"/>
      <c r="O799" s="6"/>
      <c r="P799" s="6"/>
      <c r="Q799" s="6"/>
      <c r="R799" s="6"/>
      <c r="S799" s="6"/>
      <c r="T799" s="6"/>
      <c r="U799" s="6"/>
      <c r="V799" s="6"/>
      <c r="W799" s="6"/>
    </row>
    <row r="800" spans="1:23" ht="16" x14ac:dyDescent="0.2">
      <c r="A800" s="6"/>
      <c r="B800" s="7"/>
      <c r="C800" s="7"/>
      <c r="D800" s="7"/>
      <c r="E800" s="7"/>
      <c r="F800" s="6"/>
      <c r="G800" s="6"/>
      <c r="H800" s="6"/>
      <c r="I800" s="6"/>
      <c r="J800" s="6"/>
      <c r="K800" s="6"/>
      <c r="L800" s="6"/>
      <c r="M800" s="6"/>
      <c r="N800" s="6"/>
      <c r="O800" s="6"/>
      <c r="P800" s="6"/>
      <c r="Q800" s="6"/>
      <c r="R800" s="6"/>
      <c r="S800" s="6"/>
      <c r="T800" s="6"/>
      <c r="U800" s="6"/>
      <c r="V800" s="6"/>
      <c r="W800" s="6"/>
    </row>
    <row r="801" spans="1:23" ht="16" x14ac:dyDescent="0.2">
      <c r="A801" s="6"/>
      <c r="B801" s="7"/>
      <c r="C801" s="7"/>
      <c r="D801" s="7"/>
      <c r="E801" s="7"/>
      <c r="F801" s="6"/>
      <c r="G801" s="6"/>
      <c r="H801" s="6"/>
      <c r="I801" s="6"/>
      <c r="J801" s="6"/>
      <c r="K801" s="6"/>
      <c r="L801" s="6"/>
      <c r="M801" s="6"/>
      <c r="N801" s="6"/>
      <c r="O801" s="6"/>
      <c r="P801" s="6"/>
      <c r="Q801" s="6"/>
      <c r="R801" s="6"/>
      <c r="S801" s="6"/>
      <c r="T801" s="6"/>
      <c r="U801" s="6"/>
      <c r="V801" s="6"/>
      <c r="W801" s="6"/>
    </row>
    <row r="802" spans="1:23" ht="16" x14ac:dyDescent="0.2">
      <c r="A802" s="6"/>
      <c r="B802" s="7"/>
      <c r="C802" s="7"/>
      <c r="D802" s="7"/>
      <c r="E802" s="7"/>
      <c r="F802" s="6"/>
      <c r="G802" s="6"/>
      <c r="H802" s="6"/>
      <c r="I802" s="6"/>
      <c r="J802" s="6"/>
      <c r="K802" s="6"/>
      <c r="L802" s="6"/>
      <c r="M802" s="6"/>
      <c r="N802" s="6"/>
      <c r="O802" s="6"/>
      <c r="P802" s="6"/>
      <c r="Q802" s="6"/>
      <c r="R802" s="6"/>
      <c r="S802" s="6"/>
      <c r="T802" s="6"/>
      <c r="U802" s="6"/>
      <c r="V802" s="6"/>
      <c r="W802" s="6"/>
    </row>
    <row r="803" spans="1:23" ht="16" x14ac:dyDescent="0.2">
      <c r="A803" s="6"/>
      <c r="B803" s="7"/>
      <c r="C803" s="7"/>
      <c r="D803" s="7"/>
      <c r="E803" s="7"/>
      <c r="F803" s="6"/>
      <c r="G803" s="6"/>
      <c r="H803" s="6"/>
      <c r="I803" s="6"/>
      <c r="J803" s="6"/>
      <c r="K803" s="6"/>
      <c r="L803" s="6"/>
      <c r="M803" s="6"/>
      <c r="N803" s="6"/>
      <c r="O803" s="6"/>
      <c r="P803" s="6"/>
      <c r="Q803" s="6"/>
      <c r="R803" s="6"/>
      <c r="S803" s="6"/>
      <c r="T803" s="6"/>
      <c r="U803" s="6"/>
      <c r="V803" s="6"/>
      <c r="W803" s="6"/>
    </row>
    <row r="804" spans="1:23" ht="16" x14ac:dyDescent="0.2">
      <c r="A804" s="6"/>
      <c r="B804" s="7"/>
      <c r="C804" s="7"/>
      <c r="D804" s="7"/>
      <c r="E804" s="7"/>
      <c r="F804" s="6"/>
      <c r="G804" s="6"/>
      <c r="H804" s="6"/>
      <c r="I804" s="6"/>
      <c r="J804" s="6"/>
      <c r="K804" s="6"/>
      <c r="L804" s="6"/>
      <c r="M804" s="6"/>
      <c r="N804" s="6"/>
      <c r="O804" s="6"/>
      <c r="P804" s="6"/>
      <c r="Q804" s="6"/>
      <c r="R804" s="6"/>
      <c r="S804" s="6"/>
      <c r="T804" s="6"/>
      <c r="U804" s="6"/>
      <c r="V804" s="6"/>
      <c r="W804" s="6"/>
    </row>
    <row r="805" spans="1:23" ht="16" x14ac:dyDescent="0.2">
      <c r="A805" s="6"/>
      <c r="B805" s="7"/>
      <c r="C805" s="7"/>
      <c r="D805" s="7"/>
      <c r="E805" s="7"/>
      <c r="F805" s="6"/>
      <c r="G805" s="6"/>
      <c r="H805" s="6"/>
      <c r="I805" s="6"/>
      <c r="J805" s="6"/>
      <c r="K805" s="6"/>
      <c r="L805" s="6"/>
      <c r="M805" s="6"/>
      <c r="N805" s="6"/>
      <c r="O805" s="6"/>
      <c r="P805" s="6"/>
      <c r="Q805" s="6"/>
      <c r="R805" s="6"/>
      <c r="S805" s="6"/>
      <c r="T805" s="6"/>
      <c r="U805" s="6"/>
      <c r="V805" s="6"/>
      <c r="W805" s="6"/>
    </row>
    <row r="806" spans="1:23" ht="16" x14ac:dyDescent="0.2">
      <c r="A806" s="6"/>
      <c r="B806" s="7"/>
      <c r="C806" s="7"/>
      <c r="D806" s="7"/>
      <c r="E806" s="7"/>
      <c r="F806" s="6"/>
      <c r="G806" s="6"/>
      <c r="H806" s="6"/>
      <c r="I806" s="6"/>
      <c r="J806" s="6"/>
      <c r="K806" s="6"/>
      <c r="L806" s="6"/>
      <c r="M806" s="6"/>
      <c r="N806" s="6"/>
      <c r="O806" s="6"/>
      <c r="P806" s="6"/>
      <c r="Q806" s="6"/>
      <c r="R806" s="6"/>
      <c r="S806" s="6"/>
      <c r="T806" s="6"/>
      <c r="U806" s="6"/>
      <c r="V806" s="6"/>
      <c r="W806" s="6"/>
    </row>
    <row r="807" spans="1:23" ht="16" x14ac:dyDescent="0.2">
      <c r="A807" s="6"/>
      <c r="B807" s="7"/>
      <c r="C807" s="7"/>
      <c r="D807" s="7"/>
      <c r="E807" s="7"/>
      <c r="F807" s="6"/>
      <c r="G807" s="6"/>
      <c r="H807" s="6"/>
      <c r="I807" s="6"/>
      <c r="J807" s="6"/>
      <c r="K807" s="6"/>
      <c r="L807" s="6"/>
      <c r="M807" s="6"/>
      <c r="N807" s="6"/>
      <c r="O807" s="6"/>
      <c r="P807" s="6"/>
      <c r="Q807" s="6"/>
      <c r="R807" s="6"/>
      <c r="S807" s="6"/>
      <c r="T807" s="6"/>
      <c r="U807" s="6"/>
      <c r="V807" s="6"/>
      <c r="W807" s="6"/>
    </row>
    <row r="808" spans="1:23" ht="16" x14ac:dyDescent="0.2">
      <c r="A808" s="6"/>
      <c r="B808" s="7"/>
      <c r="C808" s="7"/>
      <c r="D808" s="7"/>
      <c r="E808" s="7"/>
      <c r="F808" s="6"/>
      <c r="G808" s="6"/>
      <c r="H808" s="6"/>
      <c r="I808" s="6"/>
      <c r="J808" s="6"/>
      <c r="K808" s="6"/>
      <c r="L808" s="6"/>
      <c r="M808" s="6"/>
      <c r="N808" s="6"/>
      <c r="O808" s="6"/>
      <c r="P808" s="6"/>
      <c r="Q808" s="6"/>
      <c r="R808" s="6"/>
      <c r="S808" s="6"/>
      <c r="T808" s="6"/>
      <c r="U808" s="6"/>
      <c r="V808" s="6"/>
      <c r="W808" s="6"/>
    </row>
    <row r="809" spans="1:23" ht="16" x14ac:dyDescent="0.2">
      <c r="A809" s="6"/>
      <c r="B809" s="7"/>
      <c r="C809" s="7"/>
      <c r="D809" s="7"/>
      <c r="E809" s="7"/>
      <c r="F809" s="6"/>
      <c r="G809" s="6"/>
      <c r="H809" s="6"/>
      <c r="I809" s="6"/>
      <c r="J809" s="6"/>
      <c r="K809" s="6"/>
      <c r="L809" s="6"/>
      <c r="M809" s="6"/>
      <c r="N809" s="6"/>
      <c r="O809" s="6"/>
      <c r="P809" s="6"/>
      <c r="Q809" s="6"/>
      <c r="R809" s="6"/>
      <c r="S809" s="6"/>
      <c r="T809" s="6"/>
      <c r="U809" s="6"/>
      <c r="V809" s="6"/>
      <c r="W809" s="6"/>
    </row>
    <row r="810" spans="1:23" ht="16" x14ac:dyDescent="0.2">
      <c r="A810" s="6"/>
      <c r="B810" s="7"/>
      <c r="C810" s="7"/>
      <c r="D810" s="7"/>
      <c r="E810" s="7"/>
      <c r="F810" s="6"/>
      <c r="G810" s="6"/>
      <c r="H810" s="6"/>
      <c r="I810" s="6"/>
      <c r="J810" s="6"/>
      <c r="K810" s="6"/>
      <c r="L810" s="6"/>
      <c r="M810" s="6"/>
      <c r="N810" s="6"/>
      <c r="O810" s="6"/>
      <c r="P810" s="6"/>
      <c r="Q810" s="6"/>
      <c r="R810" s="6"/>
      <c r="S810" s="6"/>
      <c r="T810" s="6"/>
      <c r="U810" s="6"/>
      <c r="V810" s="6"/>
      <c r="W810" s="6"/>
    </row>
    <row r="811" spans="1:23" ht="16" x14ac:dyDescent="0.2">
      <c r="A811" s="6"/>
      <c r="B811" s="7"/>
      <c r="C811" s="7"/>
      <c r="D811" s="7"/>
      <c r="E811" s="7"/>
      <c r="F811" s="6"/>
      <c r="G811" s="6"/>
      <c r="H811" s="6"/>
      <c r="I811" s="6"/>
      <c r="J811" s="6"/>
      <c r="K811" s="6"/>
      <c r="L811" s="6"/>
      <c r="M811" s="6"/>
      <c r="N811" s="6"/>
      <c r="O811" s="6"/>
      <c r="P811" s="6"/>
      <c r="Q811" s="6"/>
      <c r="R811" s="6"/>
      <c r="S811" s="6"/>
      <c r="T811" s="6"/>
      <c r="U811" s="6"/>
      <c r="V811" s="6"/>
      <c r="W811" s="6"/>
    </row>
    <row r="812" spans="1:23" ht="16" x14ac:dyDescent="0.2">
      <c r="A812" s="6"/>
      <c r="B812" s="7"/>
      <c r="C812" s="7"/>
      <c r="D812" s="7"/>
      <c r="E812" s="7"/>
      <c r="F812" s="6"/>
      <c r="G812" s="6"/>
      <c r="H812" s="6"/>
      <c r="I812" s="6"/>
      <c r="J812" s="6"/>
      <c r="K812" s="6"/>
      <c r="L812" s="6"/>
      <c r="M812" s="6"/>
      <c r="N812" s="6"/>
      <c r="O812" s="6"/>
      <c r="P812" s="6"/>
      <c r="Q812" s="6"/>
      <c r="R812" s="6"/>
      <c r="S812" s="6"/>
      <c r="T812" s="6"/>
      <c r="U812" s="6"/>
      <c r="V812" s="6"/>
      <c r="W812" s="6"/>
    </row>
    <row r="813" spans="1:23" ht="16" x14ac:dyDescent="0.2">
      <c r="A813" s="6"/>
      <c r="B813" s="7"/>
      <c r="C813" s="7"/>
      <c r="D813" s="7"/>
      <c r="E813" s="7"/>
      <c r="F813" s="6"/>
      <c r="G813" s="6"/>
      <c r="H813" s="6"/>
      <c r="I813" s="6"/>
      <c r="J813" s="6"/>
      <c r="K813" s="6"/>
      <c r="L813" s="6"/>
      <c r="M813" s="6"/>
      <c r="N813" s="6"/>
      <c r="O813" s="6"/>
      <c r="P813" s="6"/>
      <c r="Q813" s="6"/>
      <c r="R813" s="6"/>
      <c r="S813" s="6"/>
      <c r="T813" s="6"/>
      <c r="U813" s="6"/>
      <c r="V813" s="6"/>
      <c r="W813" s="6"/>
    </row>
    <row r="814" spans="1:23" ht="16" x14ac:dyDescent="0.2">
      <c r="A814" s="6"/>
      <c r="B814" s="7"/>
      <c r="C814" s="7"/>
      <c r="D814" s="7"/>
      <c r="E814" s="7"/>
      <c r="F814" s="6"/>
      <c r="G814" s="6"/>
      <c r="H814" s="6"/>
      <c r="I814" s="6"/>
      <c r="J814" s="6"/>
      <c r="K814" s="6"/>
      <c r="L814" s="6"/>
      <c r="M814" s="6"/>
      <c r="N814" s="6"/>
      <c r="O814" s="6"/>
      <c r="P814" s="6"/>
      <c r="Q814" s="6"/>
      <c r="R814" s="6"/>
      <c r="S814" s="6"/>
      <c r="T814" s="6"/>
      <c r="U814" s="6"/>
      <c r="V814" s="6"/>
      <c r="W814" s="6"/>
    </row>
    <row r="815" spans="1:23" ht="16" x14ac:dyDescent="0.2">
      <c r="A815" s="6"/>
      <c r="B815" s="7"/>
      <c r="C815" s="7"/>
      <c r="D815" s="7"/>
      <c r="E815" s="7"/>
      <c r="F815" s="6"/>
      <c r="G815" s="6"/>
      <c r="H815" s="6"/>
      <c r="I815" s="6"/>
      <c r="J815" s="6"/>
      <c r="K815" s="6"/>
      <c r="L815" s="6"/>
      <c r="M815" s="6"/>
      <c r="N815" s="6"/>
      <c r="O815" s="6"/>
      <c r="P815" s="6"/>
      <c r="Q815" s="6"/>
      <c r="R815" s="6"/>
      <c r="S815" s="6"/>
      <c r="T815" s="6"/>
      <c r="U815" s="6"/>
      <c r="V815" s="6"/>
      <c r="W815" s="6"/>
    </row>
    <row r="816" spans="1:23" ht="16" x14ac:dyDescent="0.2">
      <c r="A816" s="6"/>
      <c r="B816" s="7"/>
      <c r="C816" s="7"/>
      <c r="D816" s="7"/>
      <c r="E816" s="7"/>
      <c r="F816" s="6"/>
      <c r="G816" s="6"/>
      <c r="H816" s="6"/>
      <c r="I816" s="6"/>
      <c r="J816" s="6"/>
      <c r="K816" s="6"/>
      <c r="L816" s="6"/>
      <c r="M816" s="6"/>
      <c r="N816" s="6"/>
      <c r="O816" s="6"/>
      <c r="P816" s="6"/>
      <c r="Q816" s="6"/>
      <c r="R816" s="6"/>
      <c r="S816" s="6"/>
      <c r="T816" s="6"/>
      <c r="U816" s="6"/>
      <c r="V816" s="6"/>
      <c r="W816" s="6"/>
    </row>
    <row r="817" spans="1:23" ht="16" x14ac:dyDescent="0.2">
      <c r="A817" s="6"/>
      <c r="B817" s="7"/>
      <c r="C817" s="7"/>
      <c r="D817" s="7"/>
      <c r="E817" s="7"/>
      <c r="F817" s="6"/>
      <c r="G817" s="6"/>
      <c r="H817" s="6"/>
      <c r="I817" s="6"/>
      <c r="J817" s="6"/>
      <c r="K817" s="6"/>
      <c r="L817" s="6"/>
      <c r="M817" s="6"/>
      <c r="N817" s="6"/>
      <c r="O817" s="6"/>
      <c r="P817" s="6"/>
      <c r="Q817" s="6"/>
      <c r="R817" s="6"/>
      <c r="S817" s="6"/>
      <c r="T817" s="6"/>
      <c r="U817" s="6"/>
      <c r="V817" s="6"/>
      <c r="W817" s="6"/>
    </row>
    <row r="818" spans="1:23" ht="16" x14ac:dyDescent="0.2">
      <c r="A818" s="6"/>
      <c r="B818" s="7"/>
      <c r="C818" s="7"/>
      <c r="D818" s="7"/>
      <c r="E818" s="7"/>
      <c r="F818" s="6"/>
      <c r="G818" s="6"/>
      <c r="H818" s="6"/>
      <c r="I818" s="6"/>
      <c r="J818" s="6"/>
      <c r="K818" s="6"/>
      <c r="L818" s="6"/>
      <c r="M818" s="6"/>
      <c r="N818" s="6"/>
      <c r="O818" s="6"/>
      <c r="P818" s="6"/>
      <c r="Q818" s="6"/>
      <c r="R818" s="6"/>
      <c r="S818" s="6"/>
      <c r="T818" s="6"/>
      <c r="U818" s="6"/>
      <c r="V818" s="6"/>
      <c r="W818" s="6"/>
    </row>
    <row r="819" spans="1:23" ht="16" x14ac:dyDescent="0.2">
      <c r="A819" s="6"/>
      <c r="B819" s="7"/>
      <c r="C819" s="7"/>
      <c r="D819" s="7"/>
      <c r="E819" s="7"/>
      <c r="F819" s="6"/>
      <c r="G819" s="6"/>
      <c r="H819" s="6"/>
      <c r="I819" s="6"/>
      <c r="J819" s="6"/>
      <c r="K819" s="6"/>
      <c r="L819" s="6"/>
      <c r="M819" s="6"/>
      <c r="N819" s="6"/>
      <c r="O819" s="6"/>
      <c r="P819" s="6"/>
      <c r="Q819" s="6"/>
      <c r="R819" s="6"/>
      <c r="S819" s="6"/>
      <c r="T819" s="6"/>
      <c r="U819" s="6"/>
      <c r="V819" s="6"/>
      <c r="W819" s="6"/>
    </row>
    <row r="820" spans="1:23" ht="16" x14ac:dyDescent="0.2">
      <c r="A820" s="6"/>
      <c r="B820" s="7"/>
      <c r="C820" s="7"/>
      <c r="D820" s="7"/>
      <c r="E820" s="7"/>
      <c r="F820" s="6"/>
      <c r="G820" s="6"/>
      <c r="H820" s="6"/>
      <c r="I820" s="6"/>
      <c r="J820" s="6"/>
      <c r="K820" s="6"/>
      <c r="L820" s="6"/>
      <c r="M820" s="6"/>
      <c r="N820" s="6"/>
      <c r="O820" s="6"/>
      <c r="P820" s="6"/>
      <c r="Q820" s="6"/>
      <c r="R820" s="6"/>
      <c r="S820" s="6"/>
      <c r="T820" s="6"/>
      <c r="U820" s="6"/>
      <c r="V820" s="6"/>
      <c r="W820" s="6"/>
    </row>
    <row r="821" spans="1:23" ht="16" x14ac:dyDescent="0.2">
      <c r="A821" s="6"/>
      <c r="B821" s="7"/>
      <c r="C821" s="7"/>
      <c r="D821" s="7"/>
      <c r="E821" s="7"/>
      <c r="F821" s="6"/>
      <c r="G821" s="6"/>
      <c r="H821" s="6"/>
      <c r="I821" s="6"/>
      <c r="J821" s="6"/>
      <c r="K821" s="6"/>
      <c r="L821" s="6"/>
      <c r="M821" s="6"/>
      <c r="N821" s="6"/>
      <c r="O821" s="6"/>
      <c r="P821" s="6"/>
      <c r="Q821" s="6"/>
      <c r="R821" s="6"/>
      <c r="S821" s="6"/>
      <c r="T821" s="6"/>
      <c r="U821" s="6"/>
      <c r="V821" s="6"/>
      <c r="W821" s="6"/>
    </row>
    <row r="822" spans="1:23" ht="16" x14ac:dyDescent="0.2">
      <c r="A822" s="6"/>
      <c r="B822" s="7"/>
      <c r="C822" s="7"/>
      <c r="D822" s="7"/>
      <c r="E822" s="7"/>
      <c r="F822" s="6"/>
      <c r="G822" s="6"/>
      <c r="H822" s="6"/>
      <c r="I822" s="6"/>
      <c r="J822" s="6"/>
      <c r="K822" s="6"/>
      <c r="L822" s="6"/>
      <c r="M822" s="6"/>
      <c r="N822" s="6"/>
      <c r="O822" s="6"/>
      <c r="P822" s="6"/>
      <c r="Q822" s="6"/>
      <c r="R822" s="6"/>
      <c r="S822" s="6"/>
      <c r="T822" s="6"/>
      <c r="U822" s="6"/>
      <c r="V822" s="6"/>
      <c r="W822" s="6"/>
    </row>
    <row r="823" spans="1:23" ht="16" x14ac:dyDescent="0.2">
      <c r="A823" s="6"/>
      <c r="B823" s="7"/>
      <c r="C823" s="7"/>
      <c r="D823" s="7"/>
      <c r="E823" s="7"/>
      <c r="F823" s="6"/>
      <c r="G823" s="6"/>
      <c r="H823" s="6"/>
      <c r="I823" s="6"/>
      <c r="J823" s="6"/>
      <c r="K823" s="6"/>
      <c r="L823" s="6"/>
      <c r="M823" s="6"/>
      <c r="N823" s="6"/>
      <c r="O823" s="6"/>
      <c r="P823" s="6"/>
      <c r="Q823" s="6"/>
      <c r="R823" s="6"/>
      <c r="S823" s="6"/>
      <c r="T823" s="6"/>
      <c r="U823" s="6"/>
      <c r="V823" s="6"/>
      <c r="W823" s="6"/>
    </row>
    <row r="824" spans="1:23" ht="16" x14ac:dyDescent="0.2">
      <c r="A824" s="6"/>
      <c r="B824" s="7"/>
      <c r="C824" s="7"/>
      <c r="D824" s="7"/>
      <c r="E824" s="7"/>
      <c r="F824" s="6"/>
      <c r="G824" s="6"/>
      <c r="H824" s="6"/>
      <c r="I824" s="6"/>
      <c r="J824" s="6"/>
      <c r="K824" s="6"/>
      <c r="L824" s="6"/>
      <c r="M824" s="6"/>
      <c r="N824" s="6"/>
      <c r="O824" s="6"/>
      <c r="P824" s="6"/>
      <c r="Q824" s="6"/>
      <c r="R824" s="6"/>
      <c r="S824" s="6"/>
      <c r="T824" s="6"/>
      <c r="U824" s="6"/>
      <c r="V824" s="6"/>
      <c r="W824" s="6"/>
    </row>
    <row r="825" spans="1:23" ht="16" x14ac:dyDescent="0.2">
      <c r="A825" s="6"/>
      <c r="B825" s="7"/>
      <c r="C825" s="7"/>
      <c r="D825" s="7"/>
      <c r="E825" s="7"/>
      <c r="F825" s="6"/>
      <c r="G825" s="6"/>
      <c r="H825" s="6"/>
      <c r="I825" s="6"/>
      <c r="J825" s="6"/>
      <c r="K825" s="6"/>
      <c r="L825" s="6"/>
      <c r="M825" s="6"/>
      <c r="N825" s="6"/>
      <c r="O825" s="6"/>
      <c r="P825" s="6"/>
      <c r="Q825" s="6"/>
      <c r="R825" s="6"/>
      <c r="S825" s="6"/>
      <c r="T825" s="6"/>
      <c r="U825" s="6"/>
      <c r="V825" s="6"/>
      <c r="W825" s="6"/>
    </row>
    <row r="826" spans="1:23" ht="16" x14ac:dyDescent="0.2">
      <c r="A826" s="6"/>
      <c r="B826" s="7"/>
      <c r="C826" s="7"/>
      <c r="D826" s="7"/>
      <c r="E826" s="7"/>
      <c r="F826" s="6"/>
      <c r="G826" s="6"/>
      <c r="H826" s="6"/>
      <c r="I826" s="6"/>
      <c r="J826" s="6"/>
      <c r="K826" s="6"/>
      <c r="L826" s="6"/>
      <c r="M826" s="6"/>
      <c r="N826" s="6"/>
      <c r="O826" s="6"/>
      <c r="P826" s="6"/>
      <c r="Q826" s="6"/>
      <c r="R826" s="6"/>
      <c r="S826" s="6"/>
      <c r="T826" s="6"/>
      <c r="U826" s="6"/>
      <c r="V826" s="6"/>
      <c r="W826" s="6"/>
    </row>
    <row r="827" spans="1:23" ht="16" x14ac:dyDescent="0.2">
      <c r="A827" s="6"/>
      <c r="B827" s="7"/>
      <c r="C827" s="7"/>
      <c r="D827" s="7"/>
      <c r="E827" s="7"/>
      <c r="F827" s="6"/>
      <c r="G827" s="6"/>
      <c r="H827" s="6"/>
      <c r="I827" s="6"/>
      <c r="J827" s="6"/>
      <c r="K827" s="6"/>
      <c r="L827" s="6"/>
      <c r="M827" s="6"/>
      <c r="N827" s="6"/>
      <c r="O827" s="6"/>
      <c r="P827" s="6"/>
      <c r="Q827" s="6"/>
      <c r="R827" s="6"/>
      <c r="S827" s="6"/>
      <c r="T827" s="6"/>
      <c r="U827" s="6"/>
      <c r="V827" s="6"/>
      <c r="W827" s="6"/>
    </row>
    <row r="828" spans="1:23" ht="16" x14ac:dyDescent="0.2">
      <c r="A828" s="6"/>
      <c r="B828" s="7"/>
      <c r="C828" s="7"/>
      <c r="D828" s="7"/>
      <c r="E828" s="7"/>
      <c r="F828" s="6"/>
      <c r="G828" s="6"/>
      <c r="H828" s="6"/>
      <c r="I828" s="6"/>
      <c r="J828" s="6"/>
      <c r="K828" s="6"/>
      <c r="L828" s="6"/>
      <c r="M828" s="6"/>
      <c r="N828" s="6"/>
      <c r="O828" s="6"/>
      <c r="P828" s="6"/>
      <c r="Q828" s="6"/>
      <c r="R828" s="6"/>
      <c r="S828" s="6"/>
      <c r="T828" s="6"/>
      <c r="U828" s="6"/>
      <c r="V828" s="6"/>
      <c r="W828" s="6"/>
    </row>
    <row r="829" spans="1:23" ht="16" x14ac:dyDescent="0.2">
      <c r="A829" s="6"/>
      <c r="B829" s="7"/>
      <c r="C829" s="7"/>
      <c r="D829" s="7"/>
      <c r="E829" s="7"/>
      <c r="F829" s="6"/>
      <c r="G829" s="6"/>
      <c r="H829" s="6"/>
      <c r="I829" s="6"/>
      <c r="J829" s="6"/>
      <c r="K829" s="6"/>
      <c r="L829" s="6"/>
      <c r="M829" s="6"/>
      <c r="N829" s="6"/>
      <c r="O829" s="6"/>
      <c r="P829" s="6"/>
      <c r="Q829" s="6"/>
      <c r="R829" s="6"/>
      <c r="S829" s="6"/>
      <c r="T829" s="6"/>
      <c r="U829" s="6"/>
      <c r="V829" s="6"/>
      <c r="W829" s="6"/>
    </row>
    <row r="830" spans="1:23" ht="16" x14ac:dyDescent="0.2">
      <c r="A830" s="6"/>
      <c r="B830" s="7"/>
      <c r="C830" s="7"/>
      <c r="D830" s="7"/>
      <c r="E830" s="7"/>
      <c r="F830" s="6"/>
      <c r="G830" s="6"/>
      <c r="H830" s="6"/>
      <c r="I830" s="6"/>
      <c r="J830" s="6"/>
      <c r="K830" s="6"/>
      <c r="L830" s="6"/>
      <c r="M830" s="6"/>
      <c r="N830" s="6"/>
      <c r="O830" s="6"/>
      <c r="P830" s="6"/>
      <c r="Q830" s="6"/>
      <c r="R830" s="6"/>
      <c r="S830" s="6"/>
      <c r="T830" s="6"/>
      <c r="U830" s="6"/>
      <c r="V830" s="6"/>
      <c r="W830" s="6"/>
    </row>
    <row r="831" spans="1:23" ht="16" x14ac:dyDescent="0.2">
      <c r="A831" s="6"/>
      <c r="B831" s="7"/>
      <c r="C831" s="7"/>
      <c r="D831" s="7"/>
      <c r="E831" s="7"/>
      <c r="F831" s="6"/>
      <c r="G831" s="6"/>
      <c r="H831" s="6"/>
      <c r="I831" s="6"/>
      <c r="J831" s="6"/>
      <c r="K831" s="6"/>
      <c r="L831" s="6"/>
      <c r="M831" s="6"/>
      <c r="N831" s="6"/>
      <c r="O831" s="6"/>
      <c r="P831" s="6"/>
      <c r="Q831" s="6"/>
      <c r="R831" s="6"/>
      <c r="S831" s="6"/>
      <c r="T831" s="6"/>
      <c r="U831" s="6"/>
      <c r="V831" s="6"/>
      <c r="W831" s="6"/>
    </row>
    <row r="832" spans="1:23" ht="16" x14ac:dyDescent="0.2">
      <c r="A832" s="6"/>
      <c r="B832" s="7"/>
      <c r="C832" s="7"/>
      <c r="D832" s="7"/>
      <c r="E832" s="7"/>
      <c r="F832" s="6"/>
      <c r="G832" s="6"/>
      <c r="H832" s="6"/>
      <c r="I832" s="6"/>
      <c r="J832" s="6"/>
      <c r="K832" s="6"/>
      <c r="L832" s="6"/>
      <c r="M832" s="6"/>
      <c r="N832" s="6"/>
      <c r="O832" s="6"/>
      <c r="P832" s="6"/>
      <c r="Q832" s="6"/>
      <c r="R832" s="6"/>
      <c r="S832" s="6"/>
      <c r="T832" s="6"/>
      <c r="U832" s="6"/>
      <c r="V832" s="6"/>
      <c r="W832" s="6"/>
    </row>
    <row r="833" spans="1:23" ht="16" x14ac:dyDescent="0.2">
      <c r="A833" s="6"/>
      <c r="B833" s="7"/>
      <c r="C833" s="7"/>
      <c r="D833" s="7"/>
      <c r="E833" s="7"/>
      <c r="F833" s="6"/>
      <c r="G833" s="6"/>
      <c r="H833" s="6"/>
      <c r="I833" s="6"/>
      <c r="J833" s="6"/>
      <c r="K833" s="6"/>
      <c r="L833" s="6"/>
      <c r="M833" s="6"/>
      <c r="N833" s="6"/>
      <c r="O833" s="6"/>
      <c r="P833" s="6"/>
      <c r="Q833" s="6"/>
      <c r="R833" s="6"/>
      <c r="S833" s="6"/>
      <c r="T833" s="6"/>
      <c r="U833" s="6"/>
      <c r="V833" s="6"/>
      <c r="W833" s="6"/>
    </row>
    <row r="834" spans="1:23" ht="16" x14ac:dyDescent="0.2">
      <c r="A834" s="6"/>
      <c r="B834" s="7"/>
      <c r="C834" s="7"/>
      <c r="D834" s="7"/>
      <c r="E834" s="7"/>
      <c r="F834" s="6"/>
      <c r="G834" s="6"/>
      <c r="H834" s="6"/>
      <c r="I834" s="6"/>
      <c r="J834" s="6"/>
      <c r="K834" s="6"/>
      <c r="L834" s="6"/>
      <c r="M834" s="6"/>
      <c r="N834" s="6"/>
      <c r="O834" s="6"/>
      <c r="P834" s="6"/>
      <c r="Q834" s="6"/>
      <c r="R834" s="6"/>
      <c r="S834" s="6"/>
      <c r="T834" s="6"/>
      <c r="U834" s="6"/>
      <c r="V834" s="6"/>
      <c r="W834" s="6"/>
    </row>
    <row r="835" spans="1:23" ht="16" x14ac:dyDescent="0.2">
      <c r="A835" s="6"/>
      <c r="B835" s="7"/>
      <c r="C835" s="7"/>
      <c r="D835" s="7"/>
      <c r="E835" s="7"/>
      <c r="F835" s="6"/>
      <c r="G835" s="6"/>
      <c r="H835" s="6"/>
      <c r="I835" s="6"/>
      <c r="J835" s="6"/>
      <c r="K835" s="6"/>
      <c r="L835" s="6"/>
      <c r="M835" s="6"/>
      <c r="N835" s="6"/>
      <c r="O835" s="6"/>
      <c r="P835" s="6"/>
      <c r="Q835" s="6"/>
      <c r="R835" s="6"/>
      <c r="S835" s="6"/>
      <c r="T835" s="6"/>
      <c r="U835" s="6"/>
      <c r="V835" s="6"/>
      <c r="W835" s="6"/>
    </row>
    <row r="836" spans="1:23" ht="16" x14ac:dyDescent="0.2">
      <c r="A836" s="6"/>
      <c r="B836" s="7"/>
      <c r="C836" s="7"/>
      <c r="D836" s="7"/>
      <c r="E836" s="7"/>
      <c r="F836" s="6"/>
      <c r="G836" s="6"/>
      <c r="H836" s="6"/>
      <c r="I836" s="6"/>
      <c r="J836" s="6"/>
      <c r="K836" s="6"/>
      <c r="L836" s="6"/>
      <c r="M836" s="6"/>
      <c r="N836" s="6"/>
      <c r="O836" s="6"/>
      <c r="P836" s="6"/>
      <c r="Q836" s="6"/>
      <c r="R836" s="6"/>
      <c r="S836" s="6"/>
      <c r="T836" s="6"/>
      <c r="U836" s="6"/>
      <c r="V836" s="6"/>
      <c r="W836" s="6"/>
    </row>
    <row r="837" spans="1:23" ht="16" x14ac:dyDescent="0.2">
      <c r="A837" s="6"/>
      <c r="B837" s="7"/>
      <c r="C837" s="7"/>
      <c r="D837" s="7"/>
      <c r="E837" s="7"/>
      <c r="F837" s="6"/>
      <c r="G837" s="6"/>
      <c r="H837" s="6"/>
      <c r="I837" s="6"/>
      <c r="J837" s="6"/>
      <c r="K837" s="6"/>
      <c r="L837" s="6"/>
      <c r="M837" s="6"/>
      <c r="N837" s="6"/>
      <c r="O837" s="6"/>
      <c r="P837" s="6"/>
      <c r="Q837" s="6"/>
      <c r="R837" s="6"/>
      <c r="S837" s="6"/>
      <c r="T837" s="6"/>
      <c r="U837" s="6"/>
      <c r="V837" s="6"/>
      <c r="W837" s="6"/>
    </row>
    <row r="838" spans="1:23" ht="16" x14ac:dyDescent="0.2">
      <c r="A838" s="6"/>
      <c r="B838" s="7"/>
      <c r="C838" s="7"/>
      <c r="D838" s="7"/>
      <c r="E838" s="7"/>
      <c r="F838" s="6"/>
      <c r="G838" s="6"/>
      <c r="H838" s="6"/>
      <c r="I838" s="6"/>
      <c r="J838" s="6"/>
      <c r="K838" s="6"/>
      <c r="L838" s="6"/>
      <c r="M838" s="6"/>
      <c r="N838" s="6"/>
      <c r="O838" s="6"/>
      <c r="P838" s="6"/>
      <c r="Q838" s="6"/>
      <c r="R838" s="6"/>
      <c r="S838" s="6"/>
      <c r="T838" s="6"/>
      <c r="U838" s="6"/>
      <c r="V838" s="6"/>
      <c r="W838" s="6"/>
    </row>
    <row r="839" spans="1:23" ht="16" x14ac:dyDescent="0.2">
      <c r="A839" s="6"/>
      <c r="B839" s="7"/>
      <c r="C839" s="7"/>
      <c r="D839" s="7"/>
      <c r="E839" s="7"/>
      <c r="F839" s="6"/>
      <c r="G839" s="6"/>
      <c r="H839" s="6"/>
      <c r="I839" s="6"/>
      <c r="J839" s="6"/>
      <c r="K839" s="6"/>
      <c r="L839" s="6"/>
      <c r="M839" s="6"/>
      <c r="N839" s="6"/>
      <c r="O839" s="6"/>
      <c r="P839" s="6"/>
      <c r="Q839" s="6"/>
      <c r="R839" s="6"/>
      <c r="S839" s="6"/>
      <c r="T839" s="6"/>
      <c r="U839" s="6"/>
      <c r="V839" s="6"/>
      <c r="W839" s="6"/>
    </row>
    <row r="840" spans="1:23" ht="16" x14ac:dyDescent="0.2">
      <c r="A840" s="6"/>
      <c r="B840" s="7"/>
      <c r="C840" s="7"/>
      <c r="D840" s="7"/>
      <c r="E840" s="7"/>
      <c r="F840" s="6"/>
      <c r="G840" s="6"/>
      <c r="H840" s="6"/>
      <c r="I840" s="6"/>
      <c r="J840" s="6"/>
      <c r="K840" s="6"/>
      <c r="L840" s="6"/>
      <c r="M840" s="6"/>
      <c r="N840" s="6"/>
      <c r="O840" s="6"/>
      <c r="P840" s="6"/>
      <c r="Q840" s="6"/>
      <c r="R840" s="6"/>
      <c r="S840" s="6"/>
      <c r="T840" s="6"/>
      <c r="U840" s="6"/>
      <c r="V840" s="6"/>
      <c r="W840" s="6"/>
    </row>
    <row r="841" spans="1:23" ht="16" x14ac:dyDescent="0.2">
      <c r="A841" s="6"/>
      <c r="B841" s="7"/>
      <c r="C841" s="7"/>
      <c r="D841" s="7"/>
      <c r="E841" s="7"/>
      <c r="F841" s="6"/>
      <c r="G841" s="6"/>
      <c r="H841" s="6"/>
      <c r="I841" s="6"/>
      <c r="J841" s="6"/>
      <c r="K841" s="6"/>
      <c r="L841" s="6"/>
      <c r="M841" s="6"/>
      <c r="N841" s="6"/>
      <c r="O841" s="6"/>
      <c r="P841" s="6"/>
      <c r="Q841" s="6"/>
      <c r="R841" s="6"/>
      <c r="S841" s="6"/>
      <c r="T841" s="6"/>
      <c r="U841" s="6"/>
      <c r="V841" s="6"/>
      <c r="W841" s="6"/>
    </row>
    <row r="842" spans="1:23" ht="16" x14ac:dyDescent="0.2">
      <c r="A842" s="6"/>
      <c r="B842" s="7"/>
      <c r="C842" s="7"/>
      <c r="D842" s="7"/>
      <c r="E842" s="7"/>
      <c r="F842" s="6"/>
      <c r="G842" s="6"/>
      <c r="H842" s="6"/>
      <c r="I842" s="6"/>
      <c r="J842" s="6"/>
      <c r="K842" s="6"/>
      <c r="L842" s="6"/>
      <c r="M842" s="6"/>
      <c r="N842" s="6"/>
      <c r="O842" s="6"/>
      <c r="P842" s="6"/>
      <c r="Q842" s="6"/>
      <c r="R842" s="6"/>
      <c r="S842" s="6"/>
      <c r="T842" s="6"/>
      <c r="U842" s="6"/>
      <c r="V842" s="6"/>
      <c r="W842" s="6"/>
    </row>
    <row r="843" spans="1:23" ht="16" x14ac:dyDescent="0.2">
      <c r="A843" s="6"/>
      <c r="B843" s="7"/>
      <c r="C843" s="7"/>
      <c r="D843" s="7"/>
      <c r="E843" s="7"/>
      <c r="F843" s="6"/>
      <c r="G843" s="6"/>
      <c r="H843" s="6"/>
      <c r="I843" s="6"/>
      <c r="J843" s="6"/>
      <c r="K843" s="6"/>
      <c r="L843" s="6"/>
      <c r="M843" s="6"/>
      <c r="N843" s="6"/>
      <c r="O843" s="6"/>
      <c r="P843" s="6"/>
      <c r="Q843" s="6"/>
      <c r="R843" s="6"/>
      <c r="S843" s="6"/>
      <c r="T843" s="6"/>
      <c r="U843" s="6"/>
      <c r="V843" s="6"/>
      <c r="W843" s="6"/>
    </row>
    <row r="844" spans="1:23" ht="16" x14ac:dyDescent="0.2">
      <c r="A844" s="6"/>
      <c r="B844" s="7"/>
      <c r="C844" s="7"/>
      <c r="D844" s="7"/>
      <c r="E844" s="7"/>
      <c r="F844" s="6"/>
      <c r="G844" s="6"/>
      <c r="H844" s="6"/>
      <c r="I844" s="6"/>
      <c r="J844" s="6"/>
      <c r="K844" s="6"/>
      <c r="L844" s="6"/>
      <c r="M844" s="6"/>
      <c r="N844" s="6"/>
      <c r="O844" s="6"/>
      <c r="P844" s="6"/>
      <c r="Q844" s="6"/>
      <c r="R844" s="6"/>
      <c r="S844" s="6"/>
      <c r="T844" s="6"/>
      <c r="U844" s="6"/>
      <c r="V844" s="6"/>
      <c r="W844" s="6"/>
    </row>
    <row r="845" spans="1:23" ht="16" x14ac:dyDescent="0.2">
      <c r="A845" s="6"/>
      <c r="B845" s="7"/>
      <c r="C845" s="7"/>
      <c r="D845" s="7"/>
      <c r="E845" s="7"/>
      <c r="F845" s="6"/>
      <c r="G845" s="6"/>
      <c r="H845" s="6"/>
      <c r="I845" s="6"/>
      <c r="J845" s="6"/>
      <c r="K845" s="6"/>
      <c r="L845" s="6"/>
      <c r="M845" s="6"/>
      <c r="N845" s="6"/>
      <c r="O845" s="6"/>
      <c r="P845" s="6"/>
      <c r="Q845" s="6"/>
      <c r="R845" s="6"/>
      <c r="S845" s="6"/>
      <c r="T845" s="6"/>
      <c r="U845" s="6"/>
      <c r="V845" s="6"/>
      <c r="W845" s="6"/>
    </row>
    <row r="846" spans="1:23" ht="16" x14ac:dyDescent="0.2">
      <c r="A846" s="6"/>
      <c r="B846" s="7"/>
      <c r="C846" s="7"/>
      <c r="D846" s="7"/>
      <c r="E846" s="7"/>
      <c r="F846" s="6"/>
      <c r="G846" s="6"/>
      <c r="H846" s="6"/>
      <c r="I846" s="6"/>
      <c r="J846" s="6"/>
      <c r="K846" s="6"/>
      <c r="L846" s="6"/>
      <c r="M846" s="6"/>
      <c r="N846" s="6"/>
      <c r="O846" s="6"/>
      <c r="P846" s="6"/>
      <c r="Q846" s="6"/>
      <c r="R846" s="6"/>
      <c r="S846" s="6"/>
      <c r="T846" s="6"/>
      <c r="U846" s="6"/>
      <c r="V846" s="6"/>
      <c r="W846" s="6"/>
    </row>
    <row r="847" spans="1:23" ht="16" x14ac:dyDescent="0.2">
      <c r="A847" s="6"/>
      <c r="B847" s="7"/>
      <c r="C847" s="7"/>
      <c r="D847" s="7"/>
      <c r="E847" s="7"/>
      <c r="F847" s="6"/>
      <c r="G847" s="6"/>
      <c r="H847" s="6"/>
      <c r="I847" s="6"/>
      <c r="J847" s="6"/>
      <c r="K847" s="6"/>
      <c r="L847" s="6"/>
      <c r="M847" s="6"/>
      <c r="N847" s="6"/>
      <c r="O847" s="6"/>
      <c r="P847" s="6"/>
      <c r="Q847" s="6"/>
      <c r="R847" s="6"/>
      <c r="S847" s="6"/>
      <c r="T847" s="6"/>
      <c r="U847" s="6"/>
      <c r="V847" s="6"/>
      <c r="W847" s="6"/>
    </row>
    <row r="848" spans="1:23" ht="16" x14ac:dyDescent="0.2">
      <c r="A848" s="6"/>
      <c r="B848" s="7"/>
      <c r="C848" s="7"/>
      <c r="D848" s="7"/>
      <c r="E848" s="7"/>
      <c r="F848" s="6"/>
      <c r="G848" s="6"/>
      <c r="H848" s="6"/>
      <c r="I848" s="6"/>
      <c r="J848" s="6"/>
      <c r="K848" s="6"/>
      <c r="L848" s="6"/>
      <c r="M848" s="6"/>
      <c r="N848" s="6"/>
      <c r="O848" s="6"/>
      <c r="P848" s="6"/>
      <c r="Q848" s="6"/>
      <c r="R848" s="6"/>
      <c r="S848" s="6"/>
      <c r="T848" s="6"/>
      <c r="U848" s="6"/>
      <c r="V848" s="6"/>
      <c r="W848" s="6"/>
    </row>
    <row r="849" spans="1:23" ht="16" x14ac:dyDescent="0.2">
      <c r="A849" s="6"/>
      <c r="B849" s="7"/>
      <c r="C849" s="7"/>
      <c r="D849" s="7"/>
      <c r="E849" s="7"/>
      <c r="F849" s="6"/>
      <c r="G849" s="6"/>
      <c r="H849" s="6"/>
      <c r="I849" s="6"/>
      <c r="J849" s="6"/>
      <c r="K849" s="6"/>
      <c r="L849" s="6"/>
      <c r="M849" s="6"/>
      <c r="N849" s="6"/>
      <c r="O849" s="6"/>
      <c r="P849" s="6"/>
      <c r="Q849" s="6"/>
      <c r="R849" s="6"/>
      <c r="S849" s="6"/>
      <c r="T849" s="6"/>
      <c r="U849" s="6"/>
      <c r="V849" s="6"/>
      <c r="W849" s="6"/>
    </row>
    <row r="850" spans="1:23" ht="16" x14ac:dyDescent="0.2">
      <c r="A850" s="6"/>
      <c r="B850" s="7"/>
      <c r="C850" s="7"/>
      <c r="D850" s="7"/>
      <c r="E850" s="7"/>
      <c r="F850" s="6"/>
      <c r="G850" s="6"/>
      <c r="H850" s="6"/>
      <c r="I850" s="6"/>
      <c r="J850" s="6"/>
      <c r="K850" s="6"/>
      <c r="L850" s="6"/>
      <c r="M850" s="6"/>
      <c r="N850" s="6"/>
      <c r="O850" s="6"/>
      <c r="P850" s="6"/>
      <c r="Q850" s="6"/>
      <c r="R850" s="6"/>
      <c r="S850" s="6"/>
      <c r="T850" s="6"/>
      <c r="U850" s="6"/>
      <c r="V850" s="6"/>
      <c r="W850" s="6"/>
    </row>
    <row r="851" spans="1:23" ht="16" x14ac:dyDescent="0.2">
      <c r="A851" s="6"/>
      <c r="B851" s="7"/>
      <c r="C851" s="7"/>
      <c r="D851" s="7"/>
      <c r="E851" s="7"/>
      <c r="F851" s="6"/>
      <c r="G851" s="6"/>
      <c r="H851" s="6"/>
      <c r="I851" s="6"/>
      <c r="J851" s="6"/>
      <c r="K851" s="6"/>
      <c r="L851" s="6"/>
      <c r="M851" s="6"/>
      <c r="N851" s="6"/>
      <c r="O851" s="6"/>
      <c r="P851" s="6"/>
      <c r="Q851" s="6"/>
      <c r="R851" s="6"/>
      <c r="S851" s="6"/>
      <c r="T851" s="6"/>
      <c r="U851" s="6"/>
      <c r="V851" s="6"/>
      <c r="W851" s="6"/>
    </row>
    <row r="852" spans="1:23" ht="16" x14ac:dyDescent="0.2">
      <c r="A852" s="6"/>
      <c r="B852" s="7"/>
      <c r="C852" s="7"/>
      <c r="D852" s="7"/>
      <c r="E852" s="7"/>
      <c r="F852" s="6"/>
      <c r="G852" s="6"/>
      <c r="H852" s="6"/>
      <c r="I852" s="6"/>
      <c r="J852" s="6"/>
      <c r="K852" s="6"/>
      <c r="L852" s="6"/>
      <c r="M852" s="6"/>
      <c r="N852" s="6"/>
      <c r="O852" s="6"/>
      <c r="P852" s="6"/>
      <c r="Q852" s="6"/>
      <c r="R852" s="6"/>
      <c r="S852" s="6"/>
      <c r="T852" s="6"/>
      <c r="U852" s="6"/>
      <c r="V852" s="6"/>
      <c r="W852" s="6"/>
    </row>
    <row r="853" spans="1:23" ht="16" x14ac:dyDescent="0.2">
      <c r="A853" s="6"/>
      <c r="B853" s="7"/>
      <c r="C853" s="7"/>
      <c r="D853" s="7"/>
      <c r="E853" s="7"/>
      <c r="F853" s="6"/>
      <c r="G853" s="6"/>
      <c r="H853" s="6"/>
      <c r="I853" s="6"/>
      <c r="J853" s="6"/>
      <c r="K853" s="6"/>
      <c r="L853" s="6"/>
      <c r="M853" s="6"/>
      <c r="N853" s="6"/>
      <c r="O853" s="6"/>
      <c r="P853" s="6"/>
      <c r="Q853" s="6"/>
      <c r="R853" s="6"/>
      <c r="S853" s="6"/>
      <c r="T853" s="6"/>
      <c r="U853" s="6"/>
      <c r="V853" s="6"/>
      <c r="W853" s="6"/>
    </row>
    <row r="854" spans="1:23" ht="16" x14ac:dyDescent="0.2">
      <c r="A854" s="6"/>
      <c r="B854" s="7"/>
      <c r="C854" s="7"/>
      <c r="D854" s="7"/>
      <c r="E854" s="7"/>
      <c r="F854" s="6"/>
      <c r="G854" s="6"/>
      <c r="H854" s="6"/>
      <c r="I854" s="6"/>
      <c r="J854" s="6"/>
      <c r="K854" s="6"/>
      <c r="L854" s="6"/>
      <c r="M854" s="6"/>
      <c r="N854" s="6"/>
      <c r="O854" s="6"/>
      <c r="P854" s="6"/>
      <c r="Q854" s="6"/>
      <c r="R854" s="6"/>
      <c r="S854" s="6"/>
      <c r="T854" s="6"/>
      <c r="U854" s="6"/>
      <c r="V854" s="6"/>
      <c r="W854" s="6"/>
    </row>
    <row r="855" spans="1:23" ht="16" x14ac:dyDescent="0.2">
      <c r="A855" s="6"/>
      <c r="B855" s="7"/>
      <c r="C855" s="7"/>
      <c r="D855" s="7"/>
      <c r="E855" s="7"/>
      <c r="F855" s="6"/>
      <c r="G855" s="6"/>
      <c r="H855" s="6"/>
      <c r="I855" s="6"/>
      <c r="J855" s="6"/>
      <c r="K855" s="6"/>
      <c r="L855" s="6"/>
      <c r="M855" s="6"/>
      <c r="N855" s="6"/>
      <c r="O855" s="6"/>
      <c r="P855" s="6"/>
      <c r="Q855" s="6"/>
      <c r="R855" s="6"/>
      <c r="S855" s="6"/>
      <c r="T855" s="6"/>
      <c r="U855" s="6"/>
      <c r="V855" s="6"/>
      <c r="W855" s="6"/>
    </row>
    <row r="856" spans="1:23" ht="16" x14ac:dyDescent="0.2">
      <c r="A856" s="6"/>
      <c r="B856" s="7"/>
      <c r="C856" s="7"/>
      <c r="D856" s="7"/>
      <c r="E856" s="7"/>
      <c r="F856" s="6"/>
      <c r="G856" s="6"/>
      <c r="H856" s="6"/>
      <c r="I856" s="6"/>
      <c r="J856" s="6"/>
      <c r="K856" s="6"/>
      <c r="L856" s="6"/>
      <c r="M856" s="6"/>
      <c r="N856" s="6"/>
      <c r="O856" s="6"/>
      <c r="P856" s="6"/>
      <c r="Q856" s="6"/>
      <c r="R856" s="6"/>
      <c r="S856" s="6"/>
      <c r="T856" s="6"/>
      <c r="U856" s="6"/>
      <c r="V856" s="6"/>
      <c r="W856" s="6"/>
    </row>
    <row r="857" spans="1:23" ht="16" x14ac:dyDescent="0.2">
      <c r="A857" s="6"/>
      <c r="B857" s="7"/>
      <c r="C857" s="7"/>
      <c r="D857" s="7"/>
      <c r="E857" s="7"/>
      <c r="F857" s="6"/>
      <c r="G857" s="6"/>
      <c r="H857" s="6"/>
      <c r="I857" s="6"/>
      <c r="J857" s="6"/>
      <c r="K857" s="6"/>
      <c r="L857" s="6"/>
      <c r="M857" s="6"/>
      <c r="N857" s="6"/>
      <c r="O857" s="6"/>
      <c r="P857" s="6"/>
      <c r="Q857" s="6"/>
      <c r="R857" s="6"/>
      <c r="S857" s="6"/>
      <c r="T857" s="6"/>
      <c r="U857" s="6"/>
      <c r="V857" s="6"/>
      <c r="W857" s="6"/>
    </row>
    <row r="858" spans="1:23" ht="16" x14ac:dyDescent="0.2">
      <c r="A858" s="6"/>
      <c r="B858" s="7"/>
      <c r="C858" s="7"/>
      <c r="D858" s="7"/>
      <c r="E858" s="7"/>
      <c r="F858" s="6"/>
      <c r="G858" s="6"/>
      <c r="H858" s="6"/>
      <c r="I858" s="6"/>
      <c r="J858" s="6"/>
      <c r="K858" s="6"/>
      <c r="L858" s="6"/>
      <c r="M858" s="6"/>
      <c r="N858" s="6"/>
      <c r="O858" s="6"/>
      <c r="P858" s="6"/>
      <c r="Q858" s="6"/>
      <c r="R858" s="6"/>
      <c r="S858" s="6"/>
      <c r="T858" s="6"/>
      <c r="U858" s="6"/>
      <c r="V858" s="6"/>
      <c r="W858" s="6"/>
    </row>
    <row r="859" spans="1:23" ht="16" x14ac:dyDescent="0.2">
      <c r="A859" s="6"/>
      <c r="B859" s="7"/>
      <c r="C859" s="7"/>
      <c r="D859" s="7"/>
      <c r="E859" s="7"/>
      <c r="F859" s="6"/>
      <c r="G859" s="6"/>
      <c r="H859" s="6"/>
      <c r="I859" s="6"/>
      <c r="J859" s="6"/>
      <c r="K859" s="6"/>
      <c r="L859" s="6"/>
      <c r="M859" s="6"/>
      <c r="N859" s="6"/>
      <c r="O859" s="6"/>
      <c r="P859" s="6"/>
      <c r="Q859" s="6"/>
      <c r="R859" s="6"/>
      <c r="S859" s="6"/>
      <c r="T859" s="6"/>
      <c r="U859" s="6"/>
      <c r="V859" s="6"/>
      <c r="W859" s="6"/>
    </row>
    <row r="860" spans="1:23" ht="16" x14ac:dyDescent="0.2">
      <c r="A860" s="6"/>
      <c r="B860" s="7"/>
      <c r="C860" s="7"/>
      <c r="D860" s="7"/>
      <c r="E860" s="7"/>
      <c r="F860" s="6"/>
      <c r="G860" s="6"/>
      <c r="H860" s="6"/>
      <c r="I860" s="6"/>
      <c r="J860" s="6"/>
      <c r="K860" s="6"/>
      <c r="L860" s="6"/>
      <c r="M860" s="6"/>
      <c r="N860" s="6"/>
      <c r="O860" s="6"/>
      <c r="P860" s="6"/>
      <c r="Q860" s="6"/>
      <c r="R860" s="6"/>
      <c r="S860" s="6"/>
      <c r="T860" s="6"/>
      <c r="U860" s="6"/>
      <c r="V860" s="6"/>
      <c r="W860" s="6"/>
    </row>
    <row r="861" spans="1:23" ht="16" x14ac:dyDescent="0.2">
      <c r="A861" s="6"/>
      <c r="B861" s="7"/>
      <c r="C861" s="7"/>
      <c r="D861" s="7"/>
      <c r="E861" s="7"/>
      <c r="F861" s="6"/>
      <c r="G861" s="6"/>
      <c r="H861" s="6"/>
      <c r="I861" s="6"/>
      <c r="J861" s="6"/>
      <c r="K861" s="6"/>
      <c r="L861" s="6"/>
      <c r="M861" s="6"/>
      <c r="N861" s="6"/>
      <c r="O861" s="6"/>
      <c r="P861" s="6"/>
      <c r="Q861" s="6"/>
      <c r="R861" s="6"/>
      <c r="S861" s="6"/>
      <c r="T861" s="6"/>
      <c r="U861" s="6"/>
      <c r="V861" s="6"/>
      <c r="W861" s="6"/>
    </row>
    <row r="862" spans="1:23" ht="16" x14ac:dyDescent="0.2">
      <c r="A862" s="6"/>
      <c r="B862" s="7"/>
      <c r="C862" s="7"/>
      <c r="D862" s="7"/>
      <c r="E862" s="7"/>
      <c r="F862" s="6"/>
      <c r="G862" s="6"/>
      <c r="H862" s="6"/>
      <c r="I862" s="6"/>
      <c r="J862" s="6"/>
      <c r="K862" s="6"/>
      <c r="L862" s="6"/>
      <c r="M862" s="6"/>
      <c r="N862" s="6"/>
      <c r="O862" s="6"/>
      <c r="P862" s="6"/>
      <c r="Q862" s="6"/>
      <c r="R862" s="6"/>
      <c r="S862" s="6"/>
      <c r="T862" s="6"/>
      <c r="U862" s="6"/>
      <c r="V862" s="6"/>
      <c r="W862" s="6"/>
    </row>
    <row r="863" spans="1:23" ht="16" x14ac:dyDescent="0.2">
      <c r="A863" s="6"/>
      <c r="B863" s="7"/>
      <c r="C863" s="7"/>
      <c r="D863" s="7"/>
      <c r="E863" s="7"/>
      <c r="F863" s="6"/>
      <c r="G863" s="6"/>
      <c r="H863" s="6"/>
      <c r="I863" s="6"/>
      <c r="J863" s="6"/>
      <c r="K863" s="6"/>
      <c r="L863" s="6"/>
      <c r="M863" s="6"/>
      <c r="N863" s="6"/>
      <c r="O863" s="6"/>
      <c r="P863" s="6"/>
      <c r="Q863" s="6"/>
      <c r="R863" s="6"/>
      <c r="S863" s="6"/>
      <c r="T863" s="6"/>
      <c r="U863" s="6"/>
      <c r="V863" s="6"/>
      <c r="W863" s="6"/>
    </row>
    <row r="864" spans="1:23" ht="16" x14ac:dyDescent="0.2">
      <c r="A864" s="6"/>
      <c r="B864" s="7"/>
      <c r="C864" s="7"/>
      <c r="D864" s="7"/>
      <c r="E864" s="7"/>
      <c r="F864" s="6"/>
      <c r="G864" s="6"/>
      <c r="H864" s="6"/>
      <c r="I864" s="6"/>
      <c r="J864" s="6"/>
      <c r="K864" s="6"/>
      <c r="L864" s="6"/>
      <c r="M864" s="6"/>
      <c r="N864" s="6"/>
      <c r="O864" s="6"/>
      <c r="P864" s="6"/>
      <c r="Q864" s="6"/>
      <c r="R864" s="6"/>
      <c r="S864" s="6"/>
      <c r="T864" s="6"/>
      <c r="U864" s="6"/>
      <c r="V864" s="6"/>
      <c r="W864" s="6"/>
    </row>
    <row r="865" spans="1:23" ht="16" x14ac:dyDescent="0.2">
      <c r="A865" s="6"/>
      <c r="B865" s="7"/>
      <c r="C865" s="7"/>
      <c r="D865" s="7"/>
      <c r="E865" s="7"/>
      <c r="F865" s="6"/>
      <c r="G865" s="6"/>
      <c r="H865" s="6"/>
      <c r="I865" s="6"/>
      <c r="J865" s="6"/>
      <c r="K865" s="6"/>
      <c r="L865" s="6"/>
      <c r="M865" s="6"/>
      <c r="N865" s="6"/>
      <c r="O865" s="6"/>
      <c r="P865" s="6"/>
      <c r="Q865" s="6"/>
      <c r="R865" s="6"/>
      <c r="S865" s="6"/>
      <c r="T865" s="6"/>
      <c r="U865" s="6"/>
      <c r="V865" s="6"/>
      <c r="W865" s="6"/>
    </row>
    <row r="866" spans="1:23" ht="16" x14ac:dyDescent="0.2">
      <c r="A866" s="6"/>
      <c r="B866" s="7"/>
      <c r="C866" s="7"/>
      <c r="D866" s="7"/>
      <c r="E866" s="7"/>
      <c r="F866" s="6"/>
      <c r="G866" s="6"/>
      <c r="H866" s="6"/>
      <c r="I866" s="6"/>
      <c r="J866" s="6"/>
      <c r="K866" s="6"/>
      <c r="L866" s="6"/>
      <c r="M866" s="6"/>
      <c r="N866" s="6"/>
      <c r="O866" s="6"/>
      <c r="P866" s="6"/>
      <c r="Q866" s="6"/>
      <c r="R866" s="6"/>
      <c r="S866" s="6"/>
      <c r="T866" s="6"/>
      <c r="U866" s="6"/>
      <c r="V866" s="6"/>
      <c r="W866" s="6"/>
    </row>
    <row r="867" spans="1:23" ht="16" x14ac:dyDescent="0.2">
      <c r="A867" s="6"/>
      <c r="B867" s="7"/>
      <c r="C867" s="7"/>
      <c r="D867" s="7"/>
      <c r="E867" s="7"/>
      <c r="F867" s="6"/>
      <c r="G867" s="6"/>
      <c r="H867" s="6"/>
      <c r="I867" s="6"/>
      <c r="J867" s="6"/>
      <c r="K867" s="6"/>
      <c r="L867" s="6"/>
      <c r="M867" s="6"/>
      <c r="N867" s="6"/>
      <c r="O867" s="6"/>
      <c r="P867" s="6"/>
      <c r="Q867" s="6"/>
      <c r="R867" s="6"/>
      <c r="S867" s="6"/>
      <c r="T867" s="6"/>
      <c r="U867" s="6"/>
      <c r="V867" s="6"/>
      <c r="W867" s="6"/>
    </row>
    <row r="868" spans="1:23" ht="16" x14ac:dyDescent="0.2">
      <c r="A868" s="6"/>
      <c r="B868" s="7"/>
      <c r="C868" s="7"/>
      <c r="D868" s="7"/>
      <c r="E868" s="7"/>
      <c r="F868" s="6"/>
      <c r="G868" s="6"/>
      <c r="H868" s="6"/>
      <c r="I868" s="6"/>
      <c r="J868" s="6"/>
      <c r="K868" s="6"/>
      <c r="L868" s="6"/>
      <c r="M868" s="6"/>
      <c r="N868" s="6"/>
      <c r="O868" s="6"/>
      <c r="P868" s="6"/>
      <c r="Q868" s="6"/>
      <c r="R868" s="6"/>
      <c r="S868" s="6"/>
      <c r="T868" s="6"/>
      <c r="U868" s="6"/>
      <c r="V868" s="6"/>
      <c r="W868" s="6"/>
    </row>
    <row r="869" spans="1:23" ht="16" x14ac:dyDescent="0.2">
      <c r="A869" s="6"/>
      <c r="B869" s="7"/>
      <c r="C869" s="7"/>
      <c r="D869" s="7"/>
      <c r="E869" s="7"/>
      <c r="F869" s="6"/>
      <c r="G869" s="6"/>
      <c r="H869" s="6"/>
      <c r="I869" s="6"/>
      <c r="J869" s="6"/>
      <c r="K869" s="6"/>
      <c r="L869" s="6"/>
      <c r="M869" s="6"/>
      <c r="N869" s="6"/>
      <c r="O869" s="6"/>
      <c r="P869" s="6"/>
      <c r="Q869" s="6"/>
      <c r="R869" s="6"/>
      <c r="S869" s="6"/>
      <c r="T869" s="6"/>
      <c r="U869" s="6"/>
      <c r="V869" s="6"/>
      <c r="W869" s="6"/>
    </row>
    <row r="870" spans="1:23" ht="16" x14ac:dyDescent="0.2">
      <c r="A870" s="6"/>
      <c r="B870" s="7"/>
      <c r="C870" s="7"/>
      <c r="D870" s="7"/>
      <c r="E870" s="7"/>
      <c r="F870" s="6"/>
      <c r="G870" s="6"/>
      <c r="H870" s="6"/>
      <c r="I870" s="6"/>
      <c r="J870" s="6"/>
      <c r="K870" s="6"/>
      <c r="L870" s="6"/>
      <c r="M870" s="6"/>
      <c r="N870" s="6"/>
      <c r="O870" s="6"/>
      <c r="P870" s="6"/>
      <c r="Q870" s="6"/>
      <c r="R870" s="6"/>
      <c r="S870" s="6"/>
      <c r="T870" s="6"/>
      <c r="U870" s="6"/>
      <c r="V870" s="6"/>
      <c r="W870" s="6"/>
    </row>
    <row r="871" spans="1:23" ht="16" x14ac:dyDescent="0.2">
      <c r="A871" s="6"/>
      <c r="B871" s="7"/>
      <c r="C871" s="7"/>
      <c r="D871" s="7"/>
      <c r="E871" s="7"/>
      <c r="F871" s="6"/>
      <c r="G871" s="6"/>
      <c r="H871" s="6"/>
      <c r="I871" s="6"/>
      <c r="J871" s="6"/>
      <c r="K871" s="6"/>
      <c r="L871" s="6"/>
      <c r="M871" s="6"/>
      <c r="N871" s="6"/>
      <c r="O871" s="6"/>
      <c r="P871" s="6"/>
      <c r="Q871" s="6"/>
      <c r="R871" s="6"/>
      <c r="S871" s="6"/>
      <c r="T871" s="6"/>
      <c r="U871" s="6"/>
      <c r="V871" s="6"/>
      <c r="W871" s="6"/>
    </row>
    <row r="872" spans="1:23" ht="16" x14ac:dyDescent="0.2">
      <c r="A872" s="6"/>
      <c r="B872" s="7"/>
      <c r="C872" s="7"/>
      <c r="D872" s="7"/>
      <c r="E872" s="7"/>
      <c r="F872" s="6"/>
      <c r="G872" s="6"/>
      <c r="H872" s="6"/>
      <c r="I872" s="6"/>
      <c r="J872" s="6"/>
      <c r="K872" s="6"/>
      <c r="L872" s="6"/>
      <c r="M872" s="6"/>
      <c r="N872" s="6"/>
      <c r="O872" s="6"/>
      <c r="P872" s="6"/>
      <c r="Q872" s="6"/>
      <c r="R872" s="6"/>
      <c r="S872" s="6"/>
      <c r="T872" s="6"/>
      <c r="U872" s="6"/>
      <c r="V872" s="6"/>
      <c r="W872" s="6"/>
    </row>
    <row r="873" spans="1:23" ht="16" x14ac:dyDescent="0.2">
      <c r="A873" s="6"/>
      <c r="B873" s="7"/>
      <c r="C873" s="7"/>
      <c r="D873" s="7"/>
      <c r="E873" s="7"/>
      <c r="F873" s="6"/>
      <c r="G873" s="6"/>
      <c r="H873" s="6"/>
      <c r="I873" s="6"/>
      <c r="J873" s="6"/>
      <c r="K873" s="6"/>
      <c r="L873" s="6"/>
      <c r="M873" s="6"/>
      <c r="N873" s="6"/>
      <c r="O873" s="6"/>
      <c r="P873" s="6"/>
      <c r="Q873" s="6"/>
      <c r="R873" s="6"/>
      <c r="S873" s="6"/>
      <c r="T873" s="6"/>
      <c r="U873" s="6"/>
      <c r="V873" s="6"/>
      <c r="W873" s="6"/>
    </row>
    <row r="874" spans="1:23" ht="16" x14ac:dyDescent="0.2">
      <c r="A874" s="6"/>
      <c r="B874" s="7"/>
      <c r="C874" s="7"/>
      <c r="D874" s="7"/>
      <c r="E874" s="7"/>
      <c r="F874" s="6"/>
      <c r="G874" s="6"/>
      <c r="H874" s="6"/>
      <c r="I874" s="6"/>
      <c r="J874" s="6"/>
      <c r="K874" s="6"/>
      <c r="L874" s="6"/>
      <c r="M874" s="6"/>
      <c r="N874" s="6"/>
      <c r="O874" s="6"/>
      <c r="P874" s="6"/>
      <c r="Q874" s="6"/>
      <c r="R874" s="6"/>
      <c r="S874" s="6"/>
      <c r="T874" s="6"/>
      <c r="U874" s="6"/>
      <c r="V874" s="6"/>
      <c r="W874" s="6"/>
    </row>
    <row r="875" spans="1:23" ht="16" x14ac:dyDescent="0.2">
      <c r="A875" s="6"/>
      <c r="B875" s="7"/>
      <c r="C875" s="7"/>
      <c r="D875" s="7"/>
      <c r="E875" s="7"/>
      <c r="F875" s="6"/>
      <c r="G875" s="6"/>
      <c r="H875" s="6"/>
      <c r="I875" s="6"/>
      <c r="J875" s="6"/>
      <c r="K875" s="6"/>
      <c r="L875" s="6"/>
      <c r="M875" s="6"/>
      <c r="N875" s="6"/>
      <c r="O875" s="6"/>
      <c r="P875" s="6"/>
      <c r="Q875" s="6"/>
      <c r="R875" s="6"/>
      <c r="S875" s="6"/>
      <c r="T875" s="6"/>
      <c r="U875" s="6"/>
      <c r="V875" s="6"/>
      <c r="W875" s="6"/>
    </row>
    <row r="876" spans="1:23" ht="16" x14ac:dyDescent="0.2">
      <c r="A876" s="6"/>
      <c r="B876" s="7"/>
      <c r="C876" s="7"/>
      <c r="D876" s="7"/>
      <c r="E876" s="7"/>
      <c r="F876" s="6"/>
      <c r="G876" s="6"/>
      <c r="H876" s="6"/>
      <c r="I876" s="6"/>
      <c r="J876" s="6"/>
      <c r="K876" s="6"/>
      <c r="L876" s="6"/>
      <c r="M876" s="6"/>
      <c r="N876" s="6"/>
      <c r="O876" s="6"/>
      <c r="P876" s="6"/>
      <c r="Q876" s="6"/>
      <c r="R876" s="6"/>
      <c r="S876" s="6"/>
      <c r="T876" s="6"/>
      <c r="U876" s="6"/>
      <c r="V876" s="6"/>
      <c r="W876" s="6"/>
    </row>
    <row r="877" spans="1:23" ht="16" x14ac:dyDescent="0.2">
      <c r="A877" s="6"/>
      <c r="B877" s="7"/>
      <c r="C877" s="7"/>
      <c r="D877" s="7"/>
      <c r="E877" s="7"/>
      <c r="F877" s="6"/>
      <c r="G877" s="6"/>
      <c r="H877" s="6"/>
      <c r="I877" s="6"/>
      <c r="J877" s="6"/>
      <c r="K877" s="6"/>
      <c r="L877" s="6"/>
      <c r="M877" s="6"/>
      <c r="N877" s="6"/>
      <c r="O877" s="6"/>
      <c r="P877" s="6"/>
      <c r="Q877" s="6"/>
      <c r="R877" s="6"/>
      <c r="S877" s="6"/>
      <c r="T877" s="6"/>
      <c r="U877" s="6"/>
      <c r="V877" s="6"/>
      <c r="W877" s="6"/>
    </row>
    <row r="878" spans="1:23" ht="16" x14ac:dyDescent="0.2">
      <c r="A878" s="6"/>
      <c r="B878" s="7"/>
      <c r="C878" s="7"/>
      <c r="D878" s="7"/>
      <c r="E878" s="7"/>
      <c r="F878" s="6"/>
      <c r="G878" s="6"/>
      <c r="H878" s="6"/>
      <c r="I878" s="6"/>
      <c r="J878" s="6"/>
      <c r="K878" s="6"/>
      <c r="L878" s="6"/>
      <c r="M878" s="6"/>
      <c r="N878" s="6"/>
      <c r="O878" s="6"/>
      <c r="P878" s="6"/>
      <c r="Q878" s="6"/>
      <c r="R878" s="6"/>
      <c r="S878" s="6"/>
      <c r="T878" s="6"/>
      <c r="U878" s="6"/>
      <c r="V878" s="6"/>
      <c r="W878" s="6"/>
    </row>
    <row r="879" spans="1:23" ht="16" x14ac:dyDescent="0.2">
      <c r="A879" s="6"/>
      <c r="B879" s="7"/>
      <c r="C879" s="7"/>
      <c r="D879" s="7"/>
      <c r="E879" s="7"/>
      <c r="F879" s="6"/>
      <c r="G879" s="6"/>
      <c r="H879" s="6"/>
      <c r="I879" s="6"/>
      <c r="J879" s="6"/>
      <c r="K879" s="6"/>
      <c r="L879" s="6"/>
      <c r="M879" s="6"/>
      <c r="N879" s="6"/>
      <c r="O879" s="6"/>
      <c r="P879" s="6"/>
      <c r="Q879" s="6"/>
      <c r="R879" s="6"/>
      <c r="S879" s="6"/>
      <c r="T879" s="6"/>
      <c r="U879" s="6"/>
      <c r="V879" s="6"/>
      <c r="W879" s="6"/>
    </row>
    <row r="880" spans="1:23" ht="16" x14ac:dyDescent="0.2">
      <c r="A880" s="6"/>
      <c r="B880" s="7"/>
      <c r="C880" s="7"/>
      <c r="D880" s="7"/>
      <c r="E880" s="7"/>
      <c r="F880" s="6"/>
      <c r="G880" s="6"/>
      <c r="H880" s="6"/>
      <c r="I880" s="6"/>
      <c r="J880" s="6"/>
      <c r="K880" s="6"/>
      <c r="L880" s="6"/>
      <c r="M880" s="6"/>
      <c r="N880" s="6"/>
      <c r="O880" s="6"/>
      <c r="P880" s="6"/>
      <c r="Q880" s="6"/>
      <c r="R880" s="6"/>
      <c r="S880" s="6"/>
      <c r="T880" s="6"/>
      <c r="U880" s="6"/>
      <c r="V880" s="6"/>
      <c r="W880" s="6"/>
    </row>
    <row r="881" spans="1:23" ht="16" x14ac:dyDescent="0.2">
      <c r="A881" s="6"/>
      <c r="B881" s="7"/>
      <c r="C881" s="7"/>
      <c r="D881" s="7"/>
      <c r="E881" s="7"/>
      <c r="F881" s="6"/>
      <c r="G881" s="6"/>
      <c r="H881" s="6"/>
      <c r="I881" s="6"/>
      <c r="J881" s="6"/>
      <c r="K881" s="6"/>
      <c r="L881" s="6"/>
      <c r="M881" s="6"/>
      <c r="N881" s="6"/>
      <c r="O881" s="6"/>
      <c r="P881" s="6"/>
      <c r="Q881" s="6"/>
      <c r="R881" s="6"/>
      <c r="S881" s="6"/>
      <c r="T881" s="6"/>
      <c r="U881" s="6"/>
      <c r="V881" s="6"/>
      <c r="W881" s="6"/>
    </row>
    <row r="882" spans="1:23" ht="16" x14ac:dyDescent="0.2">
      <c r="A882" s="6"/>
      <c r="B882" s="7"/>
      <c r="C882" s="7"/>
      <c r="D882" s="7"/>
      <c r="E882" s="7"/>
      <c r="F882" s="6"/>
      <c r="G882" s="6"/>
      <c r="H882" s="6"/>
      <c r="I882" s="6"/>
      <c r="J882" s="6"/>
      <c r="K882" s="6"/>
      <c r="L882" s="6"/>
      <c r="M882" s="6"/>
      <c r="N882" s="6"/>
      <c r="O882" s="6"/>
      <c r="P882" s="6"/>
      <c r="Q882" s="6"/>
      <c r="R882" s="6"/>
      <c r="S882" s="6"/>
      <c r="T882" s="6"/>
      <c r="U882" s="6"/>
      <c r="V882" s="6"/>
      <c r="W882" s="6"/>
    </row>
    <row r="883" spans="1:23" ht="16" x14ac:dyDescent="0.2">
      <c r="A883" s="6"/>
      <c r="B883" s="7"/>
      <c r="C883" s="7"/>
      <c r="D883" s="7"/>
      <c r="E883" s="7"/>
      <c r="F883" s="6"/>
      <c r="G883" s="6"/>
      <c r="H883" s="6"/>
      <c r="I883" s="6"/>
      <c r="J883" s="6"/>
      <c r="K883" s="6"/>
      <c r="L883" s="6"/>
      <c r="M883" s="6"/>
      <c r="N883" s="6"/>
      <c r="O883" s="6"/>
      <c r="P883" s="6"/>
      <c r="Q883" s="6"/>
      <c r="R883" s="6"/>
      <c r="S883" s="6"/>
      <c r="T883" s="6"/>
      <c r="U883" s="6"/>
      <c r="V883" s="6"/>
      <c r="W883" s="6"/>
    </row>
    <row r="884" spans="1:23" ht="16" x14ac:dyDescent="0.2">
      <c r="A884" s="6"/>
      <c r="B884" s="7"/>
      <c r="C884" s="7"/>
      <c r="D884" s="7"/>
      <c r="E884" s="7"/>
      <c r="F884" s="6"/>
      <c r="G884" s="6"/>
      <c r="H884" s="6"/>
      <c r="I884" s="6"/>
      <c r="J884" s="6"/>
      <c r="K884" s="6"/>
      <c r="L884" s="6"/>
      <c r="M884" s="6"/>
      <c r="N884" s="6"/>
      <c r="O884" s="6"/>
      <c r="P884" s="6"/>
      <c r="Q884" s="6"/>
      <c r="R884" s="6"/>
      <c r="S884" s="6"/>
      <c r="T884" s="6"/>
      <c r="U884" s="6"/>
      <c r="V884" s="6"/>
      <c r="W884" s="6"/>
    </row>
    <row r="885" spans="1:23" ht="16" x14ac:dyDescent="0.2">
      <c r="A885" s="6"/>
      <c r="B885" s="7"/>
      <c r="C885" s="7"/>
      <c r="D885" s="7"/>
      <c r="E885" s="7"/>
      <c r="F885" s="6"/>
      <c r="G885" s="6"/>
      <c r="H885" s="6"/>
      <c r="I885" s="6"/>
      <c r="J885" s="6"/>
      <c r="K885" s="6"/>
      <c r="L885" s="6"/>
      <c r="M885" s="6"/>
      <c r="N885" s="6"/>
      <c r="O885" s="6"/>
      <c r="P885" s="6"/>
      <c r="Q885" s="6"/>
      <c r="R885" s="6"/>
      <c r="S885" s="6"/>
      <c r="T885" s="6"/>
      <c r="U885" s="6"/>
      <c r="V885" s="6"/>
      <c r="W885" s="6"/>
    </row>
    <row r="886" spans="1:23" ht="16" x14ac:dyDescent="0.2">
      <c r="A886" s="6"/>
      <c r="B886" s="7"/>
      <c r="C886" s="7"/>
      <c r="D886" s="7"/>
      <c r="E886" s="7"/>
      <c r="F886" s="6"/>
      <c r="G886" s="6"/>
      <c r="H886" s="6"/>
      <c r="I886" s="6"/>
      <c r="J886" s="6"/>
      <c r="K886" s="6"/>
      <c r="L886" s="6"/>
      <c r="M886" s="6"/>
      <c r="N886" s="6"/>
      <c r="O886" s="6"/>
      <c r="P886" s="6"/>
      <c r="Q886" s="6"/>
      <c r="R886" s="6"/>
      <c r="S886" s="6"/>
      <c r="T886" s="6"/>
      <c r="U886" s="6"/>
      <c r="V886" s="6"/>
      <c r="W886" s="6"/>
    </row>
    <row r="887" spans="1:23" ht="16" x14ac:dyDescent="0.2">
      <c r="A887" s="6"/>
      <c r="B887" s="7"/>
      <c r="C887" s="7"/>
      <c r="D887" s="7"/>
      <c r="E887" s="7"/>
      <c r="F887" s="6"/>
      <c r="G887" s="6"/>
      <c r="H887" s="6"/>
      <c r="I887" s="6"/>
      <c r="J887" s="6"/>
      <c r="K887" s="6"/>
      <c r="L887" s="6"/>
      <c r="M887" s="6"/>
      <c r="N887" s="6"/>
      <c r="O887" s="6"/>
      <c r="P887" s="6"/>
      <c r="Q887" s="6"/>
      <c r="R887" s="6"/>
      <c r="S887" s="6"/>
      <c r="T887" s="6"/>
      <c r="U887" s="6"/>
      <c r="V887" s="6"/>
      <c r="W887" s="6"/>
    </row>
    <row r="888" spans="1:23" ht="16" x14ac:dyDescent="0.2">
      <c r="A888" s="6"/>
      <c r="B888" s="7"/>
      <c r="C888" s="7"/>
      <c r="D888" s="7"/>
      <c r="E888" s="7"/>
      <c r="F888" s="6"/>
      <c r="G888" s="6"/>
      <c r="H888" s="6"/>
      <c r="I888" s="6"/>
      <c r="J888" s="6"/>
      <c r="K888" s="6"/>
      <c r="L888" s="6"/>
      <c r="M888" s="6"/>
      <c r="N888" s="6"/>
      <c r="O888" s="6"/>
      <c r="P888" s="6"/>
      <c r="Q888" s="6"/>
      <c r="R888" s="6"/>
      <c r="S888" s="6"/>
      <c r="T888" s="6"/>
      <c r="U888" s="6"/>
      <c r="V888" s="6"/>
      <c r="W888" s="6"/>
    </row>
    <row r="889" spans="1:23" ht="16" x14ac:dyDescent="0.2">
      <c r="A889" s="6"/>
      <c r="B889" s="7"/>
      <c r="C889" s="7"/>
      <c r="D889" s="7"/>
      <c r="E889" s="7"/>
      <c r="F889" s="6"/>
      <c r="G889" s="6"/>
      <c r="H889" s="6"/>
      <c r="I889" s="6"/>
      <c r="J889" s="6"/>
      <c r="K889" s="6"/>
      <c r="L889" s="6"/>
      <c r="M889" s="6"/>
      <c r="N889" s="6"/>
      <c r="O889" s="6"/>
      <c r="P889" s="6"/>
      <c r="Q889" s="6"/>
      <c r="R889" s="6"/>
      <c r="S889" s="6"/>
      <c r="T889" s="6"/>
      <c r="U889" s="6"/>
      <c r="V889" s="6"/>
      <c r="W889" s="6"/>
    </row>
    <row r="890" spans="1:23" ht="16" x14ac:dyDescent="0.2">
      <c r="A890" s="6"/>
      <c r="B890" s="7"/>
      <c r="C890" s="7"/>
      <c r="D890" s="7"/>
      <c r="E890" s="7"/>
      <c r="F890" s="6"/>
      <c r="G890" s="6"/>
      <c r="H890" s="6"/>
      <c r="I890" s="6"/>
      <c r="J890" s="6"/>
      <c r="K890" s="6"/>
      <c r="L890" s="6"/>
      <c r="M890" s="6"/>
      <c r="N890" s="6"/>
      <c r="O890" s="6"/>
      <c r="P890" s="6"/>
      <c r="Q890" s="6"/>
      <c r="R890" s="6"/>
      <c r="S890" s="6"/>
      <c r="T890" s="6"/>
      <c r="U890" s="6"/>
      <c r="V890" s="6"/>
      <c r="W890" s="6"/>
    </row>
    <row r="891" spans="1:23" ht="16" x14ac:dyDescent="0.2">
      <c r="A891" s="6"/>
      <c r="B891" s="7"/>
      <c r="C891" s="7"/>
      <c r="D891" s="7"/>
      <c r="E891" s="7"/>
      <c r="F891" s="6"/>
      <c r="G891" s="6"/>
      <c r="H891" s="6"/>
      <c r="I891" s="6"/>
      <c r="J891" s="6"/>
      <c r="K891" s="6"/>
      <c r="L891" s="6"/>
      <c r="M891" s="6"/>
      <c r="N891" s="6"/>
      <c r="O891" s="6"/>
      <c r="P891" s="6"/>
      <c r="Q891" s="6"/>
      <c r="R891" s="6"/>
      <c r="S891" s="6"/>
      <c r="T891" s="6"/>
      <c r="U891" s="6"/>
      <c r="V891" s="6"/>
      <c r="W891" s="6"/>
    </row>
    <row r="892" spans="1:23" ht="16" x14ac:dyDescent="0.2">
      <c r="A892" s="6"/>
      <c r="B892" s="7"/>
      <c r="C892" s="7"/>
      <c r="D892" s="7"/>
      <c r="E892" s="7"/>
      <c r="F892" s="6"/>
      <c r="G892" s="6"/>
      <c r="H892" s="6"/>
      <c r="I892" s="6"/>
      <c r="J892" s="6"/>
      <c r="K892" s="6"/>
      <c r="L892" s="6"/>
      <c r="M892" s="6"/>
      <c r="N892" s="6"/>
      <c r="O892" s="6"/>
      <c r="P892" s="6"/>
      <c r="Q892" s="6"/>
      <c r="R892" s="6"/>
      <c r="S892" s="6"/>
      <c r="T892" s="6"/>
      <c r="U892" s="6"/>
      <c r="V892" s="6"/>
      <c r="W892" s="6"/>
    </row>
    <row r="893" spans="1:23" ht="16" x14ac:dyDescent="0.2">
      <c r="A893" s="6"/>
      <c r="B893" s="7"/>
      <c r="C893" s="7"/>
      <c r="D893" s="7"/>
      <c r="E893" s="7"/>
      <c r="F893" s="6"/>
      <c r="G893" s="6"/>
      <c r="H893" s="6"/>
      <c r="I893" s="6"/>
      <c r="J893" s="6"/>
      <c r="K893" s="6"/>
      <c r="L893" s="6"/>
      <c r="M893" s="6"/>
      <c r="N893" s="6"/>
      <c r="O893" s="6"/>
      <c r="P893" s="6"/>
      <c r="Q893" s="6"/>
      <c r="R893" s="6"/>
      <c r="S893" s="6"/>
      <c r="T893" s="6"/>
      <c r="U893" s="6"/>
      <c r="V893" s="6"/>
      <c r="W893" s="6"/>
    </row>
    <row r="894" spans="1:23" ht="16" x14ac:dyDescent="0.2">
      <c r="A894" s="6"/>
      <c r="B894" s="7"/>
      <c r="C894" s="7"/>
      <c r="D894" s="7"/>
      <c r="E894" s="7"/>
      <c r="F894" s="6"/>
      <c r="G894" s="6"/>
      <c r="H894" s="6"/>
      <c r="I894" s="6"/>
      <c r="J894" s="6"/>
      <c r="K894" s="6"/>
      <c r="L894" s="6"/>
      <c r="M894" s="6"/>
      <c r="N894" s="6"/>
      <c r="O894" s="6"/>
      <c r="P894" s="6"/>
      <c r="Q894" s="6"/>
      <c r="R894" s="6"/>
      <c r="S894" s="6"/>
      <c r="T894" s="6"/>
      <c r="U894" s="6"/>
      <c r="V894" s="6"/>
      <c r="W894" s="6"/>
    </row>
    <row r="895" spans="1:23" ht="16" x14ac:dyDescent="0.2">
      <c r="A895" s="6"/>
      <c r="B895" s="7"/>
      <c r="C895" s="7"/>
      <c r="D895" s="7"/>
      <c r="E895" s="7"/>
      <c r="F895" s="6"/>
      <c r="G895" s="6"/>
      <c r="H895" s="6"/>
      <c r="I895" s="6"/>
      <c r="J895" s="6"/>
      <c r="K895" s="6"/>
      <c r="L895" s="6"/>
      <c r="M895" s="6"/>
      <c r="N895" s="6"/>
      <c r="O895" s="6"/>
      <c r="P895" s="6"/>
      <c r="Q895" s="6"/>
      <c r="R895" s="6"/>
      <c r="S895" s="6"/>
      <c r="T895" s="6"/>
      <c r="U895" s="6"/>
      <c r="V895" s="6"/>
      <c r="W895" s="6"/>
    </row>
    <row r="896" spans="1:23" ht="16" x14ac:dyDescent="0.2">
      <c r="A896" s="6"/>
      <c r="B896" s="7"/>
      <c r="C896" s="7"/>
      <c r="D896" s="7"/>
      <c r="E896" s="7"/>
      <c r="F896" s="6"/>
      <c r="G896" s="6"/>
      <c r="H896" s="6"/>
      <c r="I896" s="6"/>
      <c r="J896" s="6"/>
      <c r="K896" s="6"/>
      <c r="L896" s="6"/>
      <c r="M896" s="6"/>
      <c r="N896" s="6"/>
      <c r="O896" s="6"/>
      <c r="P896" s="6"/>
      <c r="Q896" s="6"/>
      <c r="R896" s="6"/>
      <c r="S896" s="6"/>
      <c r="T896" s="6"/>
      <c r="U896" s="6"/>
      <c r="V896" s="6"/>
      <c r="W896" s="6"/>
    </row>
    <row r="897" spans="1:23" ht="16" x14ac:dyDescent="0.2">
      <c r="A897" s="6"/>
      <c r="B897" s="7"/>
      <c r="C897" s="7"/>
      <c r="D897" s="7"/>
      <c r="E897" s="7"/>
      <c r="F897" s="6"/>
      <c r="G897" s="6"/>
      <c r="H897" s="6"/>
      <c r="I897" s="6"/>
      <c r="J897" s="6"/>
      <c r="K897" s="6"/>
      <c r="L897" s="6"/>
      <c r="M897" s="6"/>
      <c r="N897" s="6"/>
      <c r="O897" s="6"/>
      <c r="P897" s="6"/>
      <c r="Q897" s="6"/>
      <c r="R897" s="6"/>
      <c r="S897" s="6"/>
      <c r="T897" s="6"/>
      <c r="U897" s="6"/>
      <c r="V897" s="6"/>
      <c r="W897" s="6"/>
    </row>
    <row r="898" spans="1:23" ht="16" x14ac:dyDescent="0.2">
      <c r="A898" s="6"/>
      <c r="B898" s="7"/>
      <c r="C898" s="7"/>
      <c r="D898" s="7"/>
      <c r="E898" s="7"/>
      <c r="F898" s="6"/>
      <c r="G898" s="6"/>
      <c r="H898" s="6"/>
      <c r="I898" s="6"/>
      <c r="J898" s="6"/>
      <c r="K898" s="6"/>
      <c r="L898" s="6"/>
      <c r="M898" s="6"/>
      <c r="N898" s="6"/>
      <c r="O898" s="6"/>
      <c r="P898" s="6"/>
      <c r="Q898" s="6"/>
      <c r="R898" s="6"/>
      <c r="S898" s="6"/>
      <c r="T898" s="6"/>
      <c r="U898" s="6"/>
      <c r="V898" s="6"/>
      <c r="W898" s="6"/>
    </row>
    <row r="899" spans="1:23" ht="16" x14ac:dyDescent="0.2">
      <c r="A899" s="6"/>
      <c r="B899" s="7"/>
      <c r="C899" s="7"/>
      <c r="D899" s="7"/>
      <c r="E899" s="7"/>
      <c r="F899" s="6"/>
      <c r="G899" s="6"/>
      <c r="H899" s="6"/>
      <c r="I899" s="6"/>
      <c r="J899" s="6"/>
      <c r="K899" s="6"/>
      <c r="L899" s="6"/>
      <c r="M899" s="6"/>
      <c r="N899" s="6"/>
      <c r="O899" s="6"/>
      <c r="P899" s="6"/>
      <c r="Q899" s="6"/>
      <c r="R899" s="6"/>
      <c r="S899" s="6"/>
      <c r="T899" s="6"/>
      <c r="U899" s="6"/>
      <c r="V899" s="6"/>
      <c r="W899" s="6"/>
    </row>
    <row r="900" spans="1:23" ht="16" x14ac:dyDescent="0.2">
      <c r="A900" s="6"/>
      <c r="B900" s="7"/>
      <c r="C900" s="7"/>
      <c r="D900" s="7"/>
      <c r="E900" s="7"/>
      <c r="F900" s="6"/>
      <c r="G900" s="6"/>
      <c r="H900" s="6"/>
      <c r="I900" s="6"/>
      <c r="J900" s="6"/>
      <c r="K900" s="6"/>
      <c r="L900" s="6"/>
      <c r="M900" s="6"/>
      <c r="N900" s="6"/>
      <c r="O900" s="6"/>
      <c r="P900" s="6"/>
      <c r="Q900" s="6"/>
      <c r="R900" s="6"/>
      <c r="S900" s="6"/>
      <c r="T900" s="6"/>
      <c r="U900" s="6"/>
      <c r="V900" s="6"/>
      <c r="W900" s="6"/>
    </row>
    <row r="901" spans="1:23" ht="16" x14ac:dyDescent="0.2">
      <c r="A901" s="6"/>
      <c r="B901" s="7"/>
      <c r="C901" s="7"/>
      <c r="D901" s="7"/>
      <c r="E901" s="7"/>
      <c r="F901" s="6"/>
      <c r="G901" s="6"/>
      <c r="H901" s="6"/>
      <c r="I901" s="6"/>
      <c r="J901" s="6"/>
      <c r="K901" s="6"/>
      <c r="L901" s="6"/>
      <c r="M901" s="6"/>
      <c r="N901" s="6"/>
      <c r="O901" s="6"/>
      <c r="P901" s="6"/>
      <c r="Q901" s="6"/>
      <c r="R901" s="6"/>
      <c r="S901" s="6"/>
      <c r="T901" s="6"/>
      <c r="U901" s="6"/>
      <c r="V901" s="6"/>
      <c r="W901" s="6"/>
    </row>
    <row r="902" spans="1:23" ht="16" x14ac:dyDescent="0.2">
      <c r="A902" s="6"/>
      <c r="B902" s="7"/>
      <c r="C902" s="7"/>
      <c r="D902" s="7"/>
      <c r="E902" s="7"/>
      <c r="F902" s="6"/>
      <c r="G902" s="6"/>
      <c r="H902" s="6"/>
      <c r="I902" s="6"/>
      <c r="J902" s="6"/>
      <c r="K902" s="6"/>
      <c r="L902" s="6"/>
      <c r="M902" s="6"/>
      <c r="N902" s="6"/>
      <c r="O902" s="6"/>
      <c r="P902" s="6"/>
      <c r="Q902" s="6"/>
      <c r="R902" s="6"/>
      <c r="S902" s="6"/>
      <c r="T902" s="6"/>
      <c r="U902" s="6"/>
      <c r="V902" s="6"/>
      <c r="W902" s="6"/>
    </row>
    <row r="903" spans="1:23" ht="16" x14ac:dyDescent="0.2">
      <c r="A903" s="6"/>
      <c r="B903" s="7"/>
      <c r="C903" s="7"/>
      <c r="D903" s="7"/>
      <c r="E903" s="7"/>
      <c r="F903" s="6"/>
      <c r="G903" s="6"/>
      <c r="H903" s="6"/>
      <c r="I903" s="6"/>
      <c r="J903" s="6"/>
      <c r="K903" s="6"/>
      <c r="L903" s="6"/>
      <c r="M903" s="6"/>
      <c r="N903" s="6"/>
      <c r="O903" s="6"/>
      <c r="P903" s="6"/>
      <c r="Q903" s="6"/>
      <c r="R903" s="6"/>
      <c r="S903" s="6"/>
      <c r="T903" s="6"/>
      <c r="U903" s="6"/>
      <c r="V903" s="6"/>
      <c r="W903" s="6"/>
    </row>
    <row r="904" spans="1:23" ht="16" x14ac:dyDescent="0.2">
      <c r="A904" s="6"/>
      <c r="B904" s="7"/>
      <c r="C904" s="7"/>
      <c r="D904" s="7"/>
      <c r="E904" s="7"/>
      <c r="F904" s="6"/>
      <c r="G904" s="6"/>
      <c r="H904" s="6"/>
      <c r="I904" s="6"/>
      <c r="J904" s="6"/>
      <c r="K904" s="6"/>
      <c r="L904" s="6"/>
      <c r="M904" s="6"/>
      <c r="N904" s="6"/>
      <c r="O904" s="6"/>
      <c r="P904" s="6"/>
      <c r="Q904" s="6"/>
      <c r="R904" s="6"/>
      <c r="S904" s="6"/>
      <c r="T904" s="6"/>
      <c r="U904" s="6"/>
      <c r="V904" s="6"/>
      <c r="W904" s="6"/>
    </row>
    <row r="905" spans="1:23" ht="16" x14ac:dyDescent="0.2">
      <c r="A905" s="6"/>
      <c r="B905" s="7"/>
      <c r="C905" s="7"/>
      <c r="D905" s="7"/>
      <c r="E905" s="7"/>
      <c r="F905" s="6"/>
      <c r="G905" s="6"/>
      <c r="H905" s="6"/>
      <c r="I905" s="6"/>
      <c r="J905" s="6"/>
      <c r="K905" s="6"/>
      <c r="L905" s="6"/>
      <c r="M905" s="6"/>
      <c r="N905" s="6"/>
      <c r="O905" s="6"/>
      <c r="P905" s="6"/>
      <c r="Q905" s="6"/>
      <c r="R905" s="6"/>
      <c r="S905" s="6"/>
      <c r="T905" s="6"/>
      <c r="U905" s="6"/>
      <c r="V905" s="6"/>
      <c r="W905" s="6"/>
    </row>
    <row r="906" spans="1:23" ht="16" x14ac:dyDescent="0.2">
      <c r="A906" s="6"/>
      <c r="B906" s="7"/>
      <c r="C906" s="7"/>
      <c r="D906" s="7"/>
      <c r="E906" s="7"/>
      <c r="F906" s="6"/>
      <c r="G906" s="6"/>
      <c r="H906" s="6"/>
      <c r="I906" s="6"/>
      <c r="J906" s="6"/>
      <c r="K906" s="6"/>
      <c r="L906" s="6"/>
      <c r="M906" s="6"/>
      <c r="N906" s="6"/>
      <c r="O906" s="6"/>
      <c r="P906" s="6"/>
      <c r="Q906" s="6"/>
      <c r="R906" s="6"/>
      <c r="S906" s="6"/>
      <c r="T906" s="6"/>
      <c r="U906" s="6"/>
      <c r="V906" s="6"/>
      <c r="W906" s="6"/>
    </row>
    <row r="907" spans="1:23" ht="16" x14ac:dyDescent="0.2">
      <c r="A907" s="6"/>
      <c r="B907" s="7"/>
      <c r="C907" s="7"/>
      <c r="D907" s="7"/>
      <c r="E907" s="7"/>
      <c r="F907" s="6"/>
      <c r="G907" s="6"/>
      <c r="H907" s="6"/>
      <c r="I907" s="6"/>
      <c r="J907" s="6"/>
      <c r="K907" s="6"/>
      <c r="L907" s="6"/>
      <c r="M907" s="6"/>
      <c r="N907" s="6"/>
      <c r="O907" s="6"/>
      <c r="P907" s="6"/>
      <c r="Q907" s="6"/>
      <c r="R907" s="6"/>
      <c r="S907" s="6"/>
      <c r="T907" s="6"/>
      <c r="U907" s="6"/>
      <c r="V907" s="6"/>
      <c r="W907" s="6"/>
    </row>
    <row r="908" spans="1:23" ht="16" x14ac:dyDescent="0.2">
      <c r="A908" s="6"/>
      <c r="B908" s="7"/>
      <c r="C908" s="7"/>
      <c r="D908" s="7"/>
      <c r="E908" s="7"/>
      <c r="F908" s="6"/>
      <c r="G908" s="6"/>
      <c r="H908" s="6"/>
      <c r="I908" s="6"/>
      <c r="J908" s="6"/>
      <c r="K908" s="6"/>
      <c r="L908" s="6"/>
      <c r="M908" s="6"/>
      <c r="N908" s="6"/>
      <c r="O908" s="6"/>
      <c r="P908" s="6"/>
      <c r="Q908" s="6"/>
      <c r="R908" s="6"/>
      <c r="S908" s="6"/>
      <c r="T908" s="6"/>
      <c r="U908" s="6"/>
      <c r="V908" s="6"/>
      <c r="W908" s="6"/>
    </row>
    <row r="909" spans="1:23" ht="16" x14ac:dyDescent="0.2">
      <c r="A909" s="6"/>
      <c r="B909" s="7"/>
      <c r="C909" s="7"/>
      <c r="D909" s="7"/>
      <c r="E909" s="7"/>
      <c r="F909" s="6"/>
      <c r="G909" s="6"/>
      <c r="H909" s="6"/>
      <c r="I909" s="6"/>
      <c r="J909" s="6"/>
      <c r="K909" s="6"/>
      <c r="L909" s="6"/>
      <c r="M909" s="6"/>
      <c r="N909" s="6"/>
      <c r="O909" s="6"/>
      <c r="P909" s="6"/>
      <c r="Q909" s="6"/>
      <c r="R909" s="6"/>
      <c r="S909" s="6"/>
      <c r="T909" s="6"/>
      <c r="U909" s="6"/>
      <c r="V909" s="6"/>
      <c r="W909" s="6"/>
    </row>
    <row r="910" spans="1:23" ht="16" x14ac:dyDescent="0.2">
      <c r="A910" s="6"/>
      <c r="B910" s="7"/>
      <c r="C910" s="7"/>
      <c r="D910" s="7"/>
      <c r="E910" s="7"/>
      <c r="F910" s="6"/>
      <c r="G910" s="6"/>
      <c r="H910" s="6"/>
      <c r="I910" s="6"/>
      <c r="J910" s="6"/>
      <c r="K910" s="6"/>
      <c r="L910" s="6"/>
      <c r="M910" s="6"/>
      <c r="N910" s="6"/>
      <c r="O910" s="6"/>
      <c r="P910" s="6"/>
      <c r="Q910" s="6"/>
      <c r="R910" s="6"/>
      <c r="S910" s="6"/>
      <c r="T910" s="6"/>
      <c r="U910" s="6"/>
      <c r="V910" s="6"/>
      <c r="W910" s="6"/>
    </row>
    <row r="911" spans="1:23" ht="16" x14ac:dyDescent="0.2">
      <c r="A911" s="6"/>
      <c r="B911" s="7"/>
      <c r="C911" s="7"/>
      <c r="D911" s="7"/>
      <c r="E911" s="7"/>
      <c r="F911" s="6"/>
      <c r="G911" s="6"/>
      <c r="H911" s="6"/>
      <c r="I911" s="6"/>
      <c r="J911" s="6"/>
      <c r="K911" s="6"/>
      <c r="L911" s="6"/>
      <c r="M911" s="6"/>
      <c r="N911" s="6"/>
      <c r="O911" s="6"/>
      <c r="P911" s="6"/>
      <c r="Q911" s="6"/>
      <c r="R911" s="6"/>
      <c r="S911" s="6"/>
      <c r="T911" s="6"/>
      <c r="U911" s="6"/>
      <c r="V911" s="6"/>
      <c r="W911" s="6"/>
    </row>
    <row r="912" spans="1:23" ht="16" x14ac:dyDescent="0.2">
      <c r="A912" s="6"/>
      <c r="B912" s="7"/>
      <c r="C912" s="7"/>
      <c r="D912" s="7"/>
      <c r="E912" s="7"/>
      <c r="F912" s="6"/>
      <c r="G912" s="6"/>
      <c r="H912" s="6"/>
      <c r="I912" s="6"/>
      <c r="J912" s="6"/>
      <c r="K912" s="6"/>
      <c r="L912" s="6"/>
      <c r="M912" s="6"/>
      <c r="N912" s="6"/>
      <c r="O912" s="6"/>
      <c r="P912" s="6"/>
      <c r="Q912" s="6"/>
      <c r="R912" s="6"/>
      <c r="S912" s="6"/>
      <c r="T912" s="6"/>
      <c r="U912" s="6"/>
      <c r="V912" s="6"/>
      <c r="W912" s="6"/>
    </row>
    <row r="913" spans="1:23" ht="16" x14ac:dyDescent="0.2">
      <c r="A913" s="6"/>
      <c r="B913" s="7"/>
      <c r="C913" s="7"/>
      <c r="D913" s="7"/>
      <c r="E913" s="7"/>
      <c r="F913" s="6"/>
      <c r="G913" s="6"/>
      <c r="H913" s="6"/>
      <c r="I913" s="6"/>
      <c r="J913" s="6"/>
      <c r="K913" s="6"/>
      <c r="L913" s="6"/>
      <c r="M913" s="6"/>
      <c r="N913" s="6"/>
      <c r="O913" s="6"/>
      <c r="P913" s="6"/>
      <c r="Q913" s="6"/>
      <c r="R913" s="6"/>
      <c r="S913" s="6"/>
      <c r="T913" s="6"/>
      <c r="U913" s="6"/>
      <c r="V913" s="6"/>
      <c r="W913" s="6"/>
    </row>
    <row r="914" spans="1:23" ht="16" x14ac:dyDescent="0.2">
      <c r="A914" s="6"/>
      <c r="B914" s="7"/>
      <c r="C914" s="7"/>
      <c r="D914" s="7"/>
      <c r="E914" s="7"/>
      <c r="F914" s="6"/>
      <c r="G914" s="6"/>
      <c r="H914" s="6"/>
      <c r="I914" s="6"/>
      <c r="J914" s="6"/>
      <c r="K914" s="6"/>
      <c r="L914" s="6"/>
      <c r="M914" s="6"/>
      <c r="N914" s="6"/>
      <c r="O914" s="6"/>
      <c r="P914" s="6"/>
      <c r="Q914" s="6"/>
      <c r="R914" s="6"/>
      <c r="S914" s="6"/>
      <c r="T914" s="6"/>
      <c r="U914" s="6"/>
      <c r="V914" s="6"/>
      <c r="W914" s="6"/>
    </row>
    <row r="915" spans="1:23" ht="16" x14ac:dyDescent="0.2">
      <c r="A915" s="6"/>
      <c r="B915" s="7"/>
      <c r="C915" s="7"/>
      <c r="D915" s="7"/>
      <c r="E915" s="7"/>
      <c r="F915" s="6"/>
      <c r="G915" s="6"/>
      <c r="H915" s="6"/>
      <c r="I915" s="6"/>
      <c r="J915" s="6"/>
      <c r="K915" s="6"/>
      <c r="L915" s="6"/>
      <c r="M915" s="6"/>
      <c r="N915" s="6"/>
      <c r="O915" s="6"/>
      <c r="P915" s="6"/>
      <c r="Q915" s="6"/>
      <c r="R915" s="6"/>
      <c r="S915" s="6"/>
      <c r="T915" s="6"/>
      <c r="U915" s="6"/>
      <c r="V915" s="6"/>
      <c r="W915" s="6"/>
    </row>
    <row r="916" spans="1:23" ht="16" x14ac:dyDescent="0.2">
      <c r="A916" s="6"/>
      <c r="B916" s="7"/>
      <c r="C916" s="7"/>
      <c r="D916" s="7"/>
      <c r="E916" s="7"/>
      <c r="F916" s="6"/>
      <c r="G916" s="6"/>
      <c r="H916" s="6"/>
      <c r="I916" s="6"/>
      <c r="J916" s="6"/>
      <c r="K916" s="6"/>
      <c r="L916" s="6"/>
      <c r="M916" s="6"/>
      <c r="N916" s="6"/>
      <c r="O916" s="6"/>
      <c r="P916" s="6"/>
      <c r="Q916" s="6"/>
      <c r="R916" s="6"/>
      <c r="S916" s="6"/>
      <c r="T916" s="6"/>
      <c r="U916" s="6"/>
      <c r="V916" s="6"/>
      <c r="W916" s="6"/>
    </row>
    <row r="917" spans="1:23" ht="16" x14ac:dyDescent="0.2">
      <c r="A917" s="6"/>
      <c r="B917" s="7"/>
      <c r="C917" s="7"/>
      <c r="D917" s="7"/>
      <c r="E917" s="7"/>
      <c r="F917" s="6"/>
      <c r="G917" s="6"/>
      <c r="H917" s="6"/>
      <c r="I917" s="6"/>
      <c r="J917" s="6"/>
      <c r="K917" s="6"/>
      <c r="L917" s="6"/>
      <c r="M917" s="6"/>
      <c r="N917" s="6"/>
      <c r="O917" s="6"/>
      <c r="P917" s="6"/>
      <c r="Q917" s="6"/>
      <c r="R917" s="6"/>
      <c r="S917" s="6"/>
      <c r="T917" s="6"/>
      <c r="U917" s="6"/>
      <c r="V917" s="6"/>
      <c r="W917" s="6"/>
    </row>
    <row r="918" spans="1:23" ht="16" x14ac:dyDescent="0.2">
      <c r="A918" s="6"/>
      <c r="B918" s="7"/>
      <c r="C918" s="7"/>
      <c r="D918" s="7"/>
      <c r="E918" s="7"/>
      <c r="F918" s="6"/>
      <c r="G918" s="6"/>
      <c r="H918" s="6"/>
      <c r="I918" s="6"/>
      <c r="J918" s="6"/>
      <c r="K918" s="6"/>
      <c r="L918" s="6"/>
      <c r="M918" s="6"/>
      <c r="N918" s="6"/>
      <c r="O918" s="6"/>
      <c r="P918" s="6"/>
      <c r="Q918" s="6"/>
      <c r="R918" s="6"/>
      <c r="S918" s="6"/>
      <c r="T918" s="6"/>
      <c r="U918" s="6"/>
      <c r="V918" s="6"/>
      <c r="W918" s="6"/>
    </row>
    <row r="919" spans="1:23" ht="16" x14ac:dyDescent="0.2">
      <c r="A919" s="6"/>
      <c r="B919" s="7"/>
      <c r="C919" s="7"/>
      <c r="D919" s="7"/>
      <c r="E919" s="7"/>
      <c r="F919" s="6"/>
      <c r="G919" s="6"/>
      <c r="H919" s="6"/>
      <c r="I919" s="6"/>
      <c r="J919" s="6"/>
      <c r="K919" s="6"/>
      <c r="L919" s="6"/>
      <c r="M919" s="6"/>
      <c r="N919" s="6"/>
      <c r="O919" s="6"/>
      <c r="P919" s="6"/>
      <c r="Q919" s="6"/>
      <c r="R919" s="6"/>
      <c r="S919" s="6"/>
      <c r="T919" s="6"/>
      <c r="U919" s="6"/>
      <c r="V919" s="6"/>
      <c r="W919" s="6"/>
    </row>
    <row r="920" spans="1:23" ht="16" x14ac:dyDescent="0.2">
      <c r="A920" s="6"/>
      <c r="B920" s="7"/>
      <c r="C920" s="7"/>
      <c r="D920" s="7"/>
      <c r="E920" s="7"/>
      <c r="F920" s="6"/>
      <c r="G920" s="6"/>
      <c r="H920" s="6"/>
      <c r="I920" s="6"/>
      <c r="J920" s="6"/>
      <c r="K920" s="6"/>
      <c r="L920" s="6"/>
      <c r="M920" s="6"/>
      <c r="N920" s="6"/>
      <c r="O920" s="6"/>
      <c r="P920" s="6"/>
      <c r="Q920" s="6"/>
      <c r="R920" s="6"/>
      <c r="S920" s="6"/>
      <c r="T920" s="6"/>
      <c r="U920" s="6"/>
      <c r="V920" s="6"/>
      <c r="W920" s="6"/>
    </row>
    <row r="921" spans="1:23" ht="16" x14ac:dyDescent="0.2">
      <c r="A921" s="6"/>
      <c r="B921" s="7"/>
      <c r="C921" s="7"/>
      <c r="D921" s="7"/>
      <c r="E921" s="7"/>
      <c r="F921" s="6"/>
      <c r="G921" s="6"/>
      <c r="H921" s="6"/>
      <c r="I921" s="6"/>
      <c r="J921" s="6"/>
      <c r="K921" s="6"/>
      <c r="L921" s="6"/>
      <c r="M921" s="6"/>
      <c r="N921" s="6"/>
      <c r="O921" s="6"/>
      <c r="P921" s="6"/>
      <c r="Q921" s="6"/>
      <c r="R921" s="6"/>
      <c r="S921" s="6"/>
      <c r="T921" s="6"/>
      <c r="U921" s="6"/>
      <c r="V921" s="6"/>
      <c r="W921" s="6"/>
    </row>
    <row r="922" spans="1:23" ht="16" x14ac:dyDescent="0.2">
      <c r="A922" s="6"/>
      <c r="B922" s="7"/>
      <c r="C922" s="7"/>
      <c r="D922" s="7"/>
      <c r="E922" s="7"/>
      <c r="F922" s="6"/>
      <c r="G922" s="6"/>
      <c r="H922" s="6"/>
      <c r="I922" s="6"/>
      <c r="J922" s="6"/>
      <c r="K922" s="6"/>
      <c r="L922" s="6"/>
      <c r="M922" s="6"/>
      <c r="N922" s="6"/>
      <c r="O922" s="6"/>
      <c r="P922" s="6"/>
      <c r="Q922" s="6"/>
      <c r="R922" s="6"/>
      <c r="S922" s="6"/>
      <c r="T922" s="6"/>
      <c r="U922" s="6"/>
      <c r="V922" s="6"/>
      <c r="W922" s="6"/>
    </row>
    <row r="923" spans="1:23" ht="16" x14ac:dyDescent="0.2">
      <c r="A923" s="6"/>
      <c r="B923" s="7"/>
      <c r="C923" s="7"/>
      <c r="D923" s="7"/>
      <c r="E923" s="7"/>
      <c r="F923" s="6"/>
      <c r="G923" s="6"/>
      <c r="H923" s="6"/>
      <c r="I923" s="6"/>
      <c r="J923" s="6"/>
      <c r="K923" s="6"/>
      <c r="L923" s="6"/>
      <c r="M923" s="6"/>
      <c r="N923" s="6"/>
      <c r="O923" s="6"/>
      <c r="P923" s="6"/>
      <c r="Q923" s="6"/>
      <c r="R923" s="6"/>
      <c r="S923" s="6"/>
      <c r="T923" s="6"/>
      <c r="U923" s="6"/>
      <c r="V923" s="6"/>
      <c r="W923" s="6"/>
    </row>
    <row r="924" spans="1:23" ht="16" x14ac:dyDescent="0.2">
      <c r="A924" s="6"/>
      <c r="B924" s="7"/>
      <c r="C924" s="7"/>
      <c r="D924" s="7"/>
      <c r="E924" s="7"/>
      <c r="F924" s="6"/>
      <c r="G924" s="6"/>
      <c r="H924" s="6"/>
      <c r="I924" s="6"/>
      <c r="J924" s="6"/>
      <c r="K924" s="6"/>
      <c r="L924" s="6"/>
      <c r="M924" s="6"/>
      <c r="N924" s="6"/>
      <c r="O924" s="6"/>
      <c r="P924" s="6"/>
      <c r="Q924" s="6"/>
      <c r="R924" s="6"/>
      <c r="S924" s="6"/>
      <c r="T924" s="6"/>
      <c r="U924" s="6"/>
      <c r="V924" s="6"/>
      <c r="W924" s="6"/>
    </row>
    <row r="925" spans="1:23" ht="16" x14ac:dyDescent="0.2">
      <c r="A925" s="6"/>
      <c r="B925" s="7"/>
      <c r="C925" s="7"/>
      <c r="D925" s="7"/>
      <c r="E925" s="7"/>
      <c r="F925" s="6"/>
      <c r="G925" s="6"/>
      <c r="H925" s="6"/>
      <c r="I925" s="6"/>
      <c r="J925" s="6"/>
      <c r="K925" s="6"/>
      <c r="L925" s="6"/>
      <c r="M925" s="6"/>
      <c r="N925" s="6"/>
      <c r="O925" s="6"/>
      <c r="P925" s="6"/>
      <c r="Q925" s="6"/>
      <c r="R925" s="6"/>
      <c r="S925" s="6"/>
      <c r="T925" s="6"/>
      <c r="U925" s="6"/>
      <c r="V925" s="6"/>
      <c r="W925" s="6"/>
    </row>
    <row r="926" spans="1:23" ht="16" x14ac:dyDescent="0.2">
      <c r="A926" s="6"/>
      <c r="B926" s="7"/>
      <c r="C926" s="7"/>
      <c r="D926" s="7"/>
      <c r="E926" s="7"/>
      <c r="F926" s="6"/>
      <c r="G926" s="6"/>
      <c r="H926" s="6"/>
      <c r="I926" s="6"/>
      <c r="J926" s="6"/>
      <c r="K926" s="6"/>
      <c r="L926" s="6"/>
      <c r="M926" s="6"/>
      <c r="N926" s="6"/>
      <c r="O926" s="6"/>
      <c r="P926" s="6"/>
      <c r="Q926" s="6"/>
      <c r="R926" s="6"/>
      <c r="S926" s="6"/>
      <c r="T926" s="6"/>
      <c r="U926" s="6"/>
      <c r="V926" s="6"/>
      <c r="W926" s="6"/>
    </row>
    <row r="927" spans="1:23" ht="16" x14ac:dyDescent="0.2">
      <c r="A927" s="6"/>
      <c r="B927" s="7"/>
      <c r="C927" s="7"/>
      <c r="D927" s="7"/>
      <c r="E927" s="7"/>
      <c r="F927" s="6"/>
      <c r="G927" s="6"/>
      <c r="H927" s="6"/>
      <c r="I927" s="6"/>
      <c r="J927" s="6"/>
      <c r="K927" s="6"/>
      <c r="L927" s="6"/>
      <c r="M927" s="6"/>
      <c r="N927" s="6"/>
      <c r="O927" s="6"/>
      <c r="P927" s="6"/>
      <c r="Q927" s="6"/>
      <c r="R927" s="6"/>
      <c r="S927" s="6"/>
      <c r="T927" s="6"/>
      <c r="U927" s="6"/>
      <c r="V927" s="6"/>
      <c r="W927" s="6"/>
    </row>
    <row r="928" spans="1:23" ht="16" x14ac:dyDescent="0.2">
      <c r="A928" s="6"/>
      <c r="B928" s="7"/>
      <c r="C928" s="7"/>
      <c r="D928" s="7"/>
      <c r="E928" s="7"/>
      <c r="F928" s="6"/>
      <c r="G928" s="6"/>
      <c r="H928" s="6"/>
      <c r="I928" s="6"/>
      <c r="J928" s="6"/>
      <c r="K928" s="6"/>
      <c r="L928" s="6"/>
      <c r="M928" s="6"/>
      <c r="N928" s="6"/>
      <c r="O928" s="6"/>
      <c r="P928" s="6"/>
      <c r="Q928" s="6"/>
      <c r="R928" s="6"/>
      <c r="S928" s="6"/>
      <c r="T928" s="6"/>
      <c r="U928" s="6"/>
      <c r="V928" s="6"/>
      <c r="W928" s="6"/>
    </row>
    <row r="929" spans="1:23" ht="16" x14ac:dyDescent="0.2">
      <c r="A929" s="6"/>
      <c r="B929" s="7"/>
      <c r="C929" s="7"/>
      <c r="D929" s="7"/>
      <c r="E929" s="7"/>
      <c r="F929" s="6"/>
      <c r="G929" s="6"/>
      <c r="H929" s="6"/>
      <c r="I929" s="6"/>
      <c r="J929" s="6"/>
      <c r="K929" s="6"/>
      <c r="L929" s="6"/>
      <c r="M929" s="6"/>
      <c r="N929" s="6"/>
      <c r="O929" s="6"/>
      <c r="P929" s="6"/>
      <c r="Q929" s="6"/>
      <c r="R929" s="6"/>
      <c r="S929" s="6"/>
      <c r="T929" s="6"/>
      <c r="U929" s="6"/>
      <c r="V929" s="6"/>
      <c r="W929" s="6"/>
    </row>
    <row r="930" spans="1:23" ht="16" x14ac:dyDescent="0.2">
      <c r="A930" s="6"/>
      <c r="B930" s="7"/>
      <c r="C930" s="7"/>
      <c r="D930" s="7"/>
      <c r="E930" s="7"/>
      <c r="F930" s="6"/>
      <c r="G930" s="6"/>
      <c r="H930" s="6"/>
      <c r="I930" s="6"/>
      <c r="J930" s="6"/>
      <c r="K930" s="6"/>
      <c r="L930" s="6"/>
      <c r="M930" s="6"/>
      <c r="N930" s="6"/>
      <c r="O930" s="6"/>
      <c r="P930" s="6"/>
      <c r="Q930" s="6"/>
      <c r="R930" s="6"/>
      <c r="S930" s="6"/>
      <c r="T930" s="6"/>
      <c r="U930" s="6"/>
      <c r="V930" s="6"/>
      <c r="W930" s="6"/>
    </row>
    <row r="931" spans="1:23" ht="16" x14ac:dyDescent="0.2">
      <c r="A931" s="6"/>
      <c r="B931" s="7"/>
      <c r="C931" s="7"/>
      <c r="D931" s="7"/>
      <c r="E931" s="7"/>
      <c r="F931" s="6"/>
      <c r="G931" s="6"/>
      <c r="H931" s="6"/>
      <c r="I931" s="6"/>
      <c r="J931" s="6"/>
      <c r="K931" s="6"/>
      <c r="L931" s="6"/>
      <c r="M931" s="6"/>
      <c r="N931" s="6"/>
      <c r="O931" s="6"/>
      <c r="P931" s="6"/>
      <c r="Q931" s="6"/>
      <c r="R931" s="6"/>
      <c r="S931" s="6"/>
      <c r="T931" s="6"/>
      <c r="U931" s="6"/>
      <c r="V931" s="6"/>
      <c r="W931" s="6"/>
    </row>
    <row r="932" spans="1:23" ht="16" x14ac:dyDescent="0.2">
      <c r="A932" s="6"/>
      <c r="B932" s="7"/>
      <c r="C932" s="7"/>
      <c r="D932" s="7"/>
      <c r="E932" s="7"/>
      <c r="F932" s="6"/>
      <c r="G932" s="6"/>
      <c r="H932" s="6"/>
      <c r="I932" s="6"/>
      <c r="J932" s="6"/>
      <c r="K932" s="6"/>
      <c r="L932" s="6"/>
      <c r="M932" s="6"/>
      <c r="N932" s="6"/>
      <c r="O932" s="6"/>
      <c r="P932" s="6"/>
      <c r="Q932" s="6"/>
      <c r="R932" s="6"/>
      <c r="S932" s="6"/>
      <c r="T932" s="6"/>
      <c r="U932" s="6"/>
      <c r="V932" s="6"/>
      <c r="W932" s="6"/>
    </row>
    <row r="933" spans="1:23" ht="16" x14ac:dyDescent="0.2">
      <c r="A933" s="6"/>
      <c r="B933" s="7"/>
      <c r="C933" s="7"/>
      <c r="D933" s="7"/>
      <c r="E933" s="7"/>
      <c r="F933" s="6"/>
      <c r="G933" s="6"/>
      <c r="H933" s="6"/>
      <c r="I933" s="6"/>
      <c r="J933" s="6"/>
      <c r="K933" s="6"/>
      <c r="L933" s="6"/>
      <c r="M933" s="6"/>
      <c r="N933" s="6"/>
      <c r="O933" s="6"/>
      <c r="P933" s="6"/>
      <c r="Q933" s="6"/>
      <c r="R933" s="6"/>
      <c r="S933" s="6"/>
      <c r="T933" s="6"/>
      <c r="U933" s="6"/>
      <c r="V933" s="6"/>
      <c r="W933" s="6"/>
    </row>
    <row r="934" spans="1:23" ht="16" x14ac:dyDescent="0.2">
      <c r="A934" s="6"/>
      <c r="B934" s="7"/>
      <c r="C934" s="7"/>
      <c r="D934" s="7"/>
      <c r="E934" s="7"/>
      <c r="F934" s="6"/>
      <c r="G934" s="6"/>
      <c r="H934" s="6"/>
      <c r="I934" s="6"/>
      <c r="J934" s="6"/>
      <c r="K934" s="6"/>
      <c r="L934" s="6"/>
      <c r="M934" s="6"/>
      <c r="N934" s="6"/>
      <c r="O934" s="6"/>
      <c r="P934" s="6"/>
      <c r="Q934" s="6"/>
      <c r="R934" s="6"/>
      <c r="S934" s="6"/>
      <c r="T934" s="6"/>
      <c r="U934" s="6"/>
      <c r="V934" s="6"/>
      <c r="W934" s="6"/>
    </row>
    <row r="935" spans="1:23" ht="16" x14ac:dyDescent="0.2">
      <c r="A935" s="6"/>
      <c r="B935" s="7"/>
      <c r="C935" s="7"/>
      <c r="D935" s="7"/>
      <c r="E935" s="7"/>
      <c r="F935" s="6"/>
      <c r="G935" s="6"/>
      <c r="H935" s="6"/>
      <c r="I935" s="6"/>
      <c r="J935" s="6"/>
      <c r="K935" s="6"/>
      <c r="L935" s="6"/>
      <c r="M935" s="6"/>
      <c r="N935" s="6"/>
      <c r="O935" s="6"/>
      <c r="P935" s="6"/>
      <c r="Q935" s="6"/>
      <c r="R935" s="6"/>
      <c r="S935" s="6"/>
      <c r="T935" s="6"/>
      <c r="U935" s="6"/>
      <c r="V935" s="6"/>
      <c r="W935" s="6"/>
    </row>
    <row r="936" spans="1:23" ht="16" x14ac:dyDescent="0.2">
      <c r="A936" s="6"/>
      <c r="B936" s="7"/>
      <c r="C936" s="7"/>
      <c r="D936" s="7"/>
      <c r="E936" s="7"/>
      <c r="F936" s="6"/>
      <c r="G936" s="6"/>
      <c r="H936" s="6"/>
      <c r="I936" s="6"/>
      <c r="J936" s="6"/>
      <c r="K936" s="6"/>
      <c r="L936" s="6"/>
      <c r="M936" s="6"/>
      <c r="N936" s="6"/>
      <c r="O936" s="6"/>
      <c r="P936" s="6"/>
      <c r="Q936" s="6"/>
      <c r="R936" s="6"/>
      <c r="S936" s="6"/>
      <c r="T936" s="6"/>
      <c r="U936" s="6"/>
      <c r="V936" s="6"/>
      <c r="W936" s="6"/>
    </row>
    <row r="937" spans="1:23" ht="16" x14ac:dyDescent="0.2">
      <c r="A937" s="6"/>
      <c r="B937" s="7"/>
      <c r="C937" s="7"/>
      <c r="D937" s="7"/>
      <c r="E937" s="7"/>
      <c r="F937" s="6"/>
      <c r="G937" s="6"/>
      <c r="H937" s="6"/>
      <c r="I937" s="6"/>
      <c r="J937" s="6"/>
      <c r="K937" s="6"/>
      <c r="L937" s="6"/>
      <c r="M937" s="6"/>
      <c r="N937" s="6"/>
      <c r="O937" s="6"/>
      <c r="P937" s="6"/>
      <c r="Q937" s="6"/>
      <c r="R937" s="6"/>
      <c r="S937" s="6"/>
      <c r="T937" s="6"/>
      <c r="U937" s="6"/>
      <c r="V937" s="6"/>
      <c r="W937" s="6"/>
    </row>
    <row r="938" spans="1:23" ht="16" x14ac:dyDescent="0.2">
      <c r="A938" s="6"/>
      <c r="B938" s="7"/>
      <c r="C938" s="7"/>
      <c r="D938" s="7"/>
      <c r="E938" s="7"/>
      <c r="F938" s="6"/>
      <c r="G938" s="6"/>
      <c r="H938" s="6"/>
      <c r="I938" s="6"/>
      <c r="J938" s="6"/>
      <c r="K938" s="6"/>
      <c r="L938" s="6"/>
      <c r="M938" s="6"/>
      <c r="N938" s="6"/>
      <c r="O938" s="6"/>
      <c r="P938" s="6"/>
      <c r="Q938" s="6"/>
      <c r="R938" s="6"/>
      <c r="S938" s="6"/>
      <c r="T938" s="6"/>
      <c r="U938" s="6"/>
      <c r="V938" s="6"/>
      <c r="W938" s="6"/>
    </row>
    <row r="939" spans="1:23" ht="16" x14ac:dyDescent="0.2">
      <c r="A939" s="6"/>
      <c r="B939" s="7"/>
      <c r="C939" s="7"/>
      <c r="D939" s="7"/>
      <c r="E939" s="7"/>
      <c r="F939" s="6"/>
      <c r="G939" s="6"/>
      <c r="H939" s="6"/>
      <c r="I939" s="6"/>
      <c r="J939" s="6"/>
      <c r="K939" s="6"/>
      <c r="L939" s="6"/>
      <c r="M939" s="6"/>
      <c r="N939" s="6"/>
      <c r="O939" s="6"/>
      <c r="P939" s="6"/>
      <c r="Q939" s="6"/>
      <c r="R939" s="6"/>
      <c r="S939" s="6"/>
      <c r="T939" s="6"/>
      <c r="U939" s="6"/>
      <c r="V939" s="6"/>
      <c r="W939" s="6"/>
    </row>
    <row r="940" spans="1:23" ht="16" x14ac:dyDescent="0.2">
      <c r="A940" s="6"/>
      <c r="B940" s="7"/>
      <c r="C940" s="7"/>
      <c r="D940" s="7"/>
      <c r="E940" s="7"/>
      <c r="F940" s="6"/>
      <c r="G940" s="6"/>
      <c r="H940" s="6"/>
      <c r="I940" s="6"/>
      <c r="J940" s="6"/>
      <c r="K940" s="6"/>
      <c r="L940" s="6"/>
      <c r="M940" s="6"/>
      <c r="N940" s="6"/>
      <c r="O940" s="6"/>
      <c r="P940" s="6"/>
      <c r="Q940" s="6"/>
      <c r="R940" s="6"/>
      <c r="S940" s="6"/>
      <c r="T940" s="6"/>
      <c r="U940" s="6"/>
      <c r="V940" s="6"/>
      <c r="W940" s="6"/>
    </row>
    <row r="941" spans="1:23" ht="16" x14ac:dyDescent="0.2">
      <c r="A941" s="6"/>
      <c r="B941" s="7"/>
      <c r="C941" s="7"/>
      <c r="D941" s="7"/>
      <c r="E941" s="7"/>
      <c r="F941" s="6"/>
      <c r="G941" s="6"/>
      <c r="H941" s="6"/>
      <c r="I941" s="6"/>
      <c r="J941" s="6"/>
      <c r="K941" s="6"/>
      <c r="L941" s="6"/>
      <c r="M941" s="6"/>
      <c r="N941" s="6"/>
      <c r="O941" s="6"/>
      <c r="P941" s="6"/>
      <c r="Q941" s="6"/>
      <c r="R941" s="6"/>
      <c r="S941" s="6"/>
      <c r="T941" s="6"/>
      <c r="U941" s="6"/>
      <c r="V941" s="6"/>
      <c r="W941" s="6"/>
    </row>
    <row r="942" spans="1:23" ht="16" x14ac:dyDescent="0.2">
      <c r="A942" s="6"/>
      <c r="B942" s="7"/>
      <c r="C942" s="7"/>
      <c r="D942" s="7"/>
      <c r="E942" s="7"/>
      <c r="F942" s="6"/>
      <c r="G942" s="6"/>
      <c r="H942" s="6"/>
      <c r="I942" s="6"/>
      <c r="J942" s="6"/>
      <c r="K942" s="6"/>
      <c r="L942" s="6"/>
      <c r="M942" s="6"/>
      <c r="N942" s="6"/>
      <c r="O942" s="6"/>
      <c r="P942" s="6"/>
      <c r="Q942" s="6"/>
      <c r="R942" s="6"/>
      <c r="S942" s="6"/>
      <c r="T942" s="6"/>
      <c r="U942" s="6"/>
      <c r="V942" s="6"/>
      <c r="W942" s="6"/>
    </row>
    <row r="943" spans="1:23" ht="16" x14ac:dyDescent="0.2">
      <c r="A943" s="6"/>
      <c r="B943" s="7"/>
      <c r="C943" s="7"/>
      <c r="D943" s="7"/>
      <c r="E943" s="7"/>
      <c r="F943" s="6"/>
      <c r="G943" s="6"/>
      <c r="H943" s="6"/>
      <c r="I943" s="6"/>
      <c r="J943" s="6"/>
      <c r="K943" s="6"/>
      <c r="L943" s="6"/>
      <c r="M943" s="6"/>
      <c r="N943" s="6"/>
      <c r="O943" s="6"/>
      <c r="P943" s="6"/>
      <c r="Q943" s="6"/>
      <c r="R943" s="6"/>
      <c r="S943" s="6"/>
      <c r="T943" s="6"/>
      <c r="U943" s="6"/>
      <c r="V943" s="6"/>
      <c r="W943" s="6"/>
    </row>
    <row r="944" spans="1:23" ht="16" x14ac:dyDescent="0.2">
      <c r="A944" s="6"/>
      <c r="B944" s="7"/>
      <c r="C944" s="7"/>
      <c r="D944" s="7"/>
      <c r="E944" s="7"/>
      <c r="F944" s="6"/>
      <c r="G944" s="6"/>
      <c r="H944" s="6"/>
      <c r="I944" s="6"/>
      <c r="J944" s="6"/>
      <c r="K944" s="6"/>
      <c r="L944" s="6"/>
      <c r="M944" s="6"/>
      <c r="N944" s="6"/>
      <c r="O944" s="6"/>
      <c r="P944" s="6"/>
      <c r="Q944" s="6"/>
      <c r="R944" s="6"/>
      <c r="S944" s="6"/>
      <c r="T944" s="6"/>
      <c r="U944" s="6"/>
      <c r="V944" s="6"/>
      <c r="W944" s="6"/>
    </row>
    <row r="945" spans="1:23" ht="16" x14ac:dyDescent="0.2">
      <c r="A945" s="6"/>
      <c r="B945" s="7"/>
      <c r="C945" s="7"/>
      <c r="D945" s="7"/>
      <c r="E945" s="7"/>
      <c r="F945" s="6"/>
      <c r="G945" s="6"/>
      <c r="H945" s="6"/>
      <c r="I945" s="6"/>
      <c r="J945" s="6"/>
      <c r="K945" s="6"/>
      <c r="L945" s="6"/>
      <c r="M945" s="6"/>
      <c r="N945" s="6"/>
      <c r="O945" s="6"/>
      <c r="P945" s="6"/>
      <c r="Q945" s="6"/>
      <c r="R945" s="6"/>
      <c r="S945" s="6"/>
      <c r="T945" s="6"/>
      <c r="U945" s="6"/>
      <c r="V945" s="6"/>
      <c r="W945" s="6"/>
    </row>
    <row r="946" spans="1:23" ht="16" x14ac:dyDescent="0.2">
      <c r="A946" s="6"/>
      <c r="B946" s="7"/>
      <c r="C946" s="7"/>
      <c r="D946" s="7"/>
      <c r="E946" s="7"/>
      <c r="F946" s="6"/>
      <c r="G946" s="6"/>
      <c r="H946" s="6"/>
      <c r="I946" s="6"/>
      <c r="J946" s="6"/>
      <c r="K946" s="6"/>
      <c r="L946" s="6"/>
      <c r="M946" s="6"/>
      <c r="N946" s="6"/>
      <c r="O946" s="6"/>
      <c r="P946" s="6"/>
      <c r="Q946" s="6"/>
      <c r="R946" s="6"/>
      <c r="S946" s="6"/>
      <c r="T946" s="6"/>
      <c r="U946" s="6"/>
      <c r="V946" s="6"/>
      <c r="W946" s="6"/>
    </row>
    <row r="947" spans="1:23" ht="16" x14ac:dyDescent="0.2">
      <c r="A947" s="6"/>
      <c r="B947" s="7"/>
      <c r="C947" s="7"/>
      <c r="D947" s="7"/>
      <c r="E947" s="7"/>
      <c r="F947" s="6"/>
      <c r="G947" s="6"/>
      <c r="H947" s="6"/>
      <c r="I947" s="6"/>
      <c r="J947" s="6"/>
      <c r="K947" s="6"/>
      <c r="L947" s="6"/>
      <c r="M947" s="6"/>
      <c r="N947" s="6"/>
      <c r="O947" s="6"/>
      <c r="P947" s="6"/>
      <c r="Q947" s="6"/>
      <c r="R947" s="6"/>
      <c r="S947" s="6"/>
      <c r="T947" s="6"/>
      <c r="U947" s="6"/>
      <c r="V947" s="6"/>
      <c r="W947" s="6"/>
    </row>
    <row r="948" spans="1:23" ht="16" x14ac:dyDescent="0.2">
      <c r="A948" s="6"/>
      <c r="B948" s="7"/>
      <c r="C948" s="7"/>
      <c r="D948" s="7"/>
      <c r="E948" s="7"/>
      <c r="F948" s="6"/>
      <c r="G948" s="6"/>
      <c r="H948" s="6"/>
      <c r="I948" s="6"/>
      <c r="J948" s="6"/>
      <c r="K948" s="6"/>
      <c r="L948" s="6"/>
      <c r="M948" s="6"/>
      <c r="N948" s="6"/>
      <c r="O948" s="6"/>
      <c r="P948" s="6"/>
      <c r="Q948" s="6"/>
      <c r="R948" s="6"/>
      <c r="S948" s="6"/>
      <c r="T948" s="6"/>
      <c r="U948" s="6"/>
      <c r="V948" s="6"/>
      <c r="W948" s="6"/>
    </row>
    <row r="949" spans="1:23" ht="16" x14ac:dyDescent="0.2">
      <c r="A949" s="6"/>
      <c r="B949" s="7"/>
      <c r="C949" s="7"/>
      <c r="D949" s="7"/>
      <c r="E949" s="7"/>
      <c r="F949" s="6"/>
      <c r="G949" s="6"/>
      <c r="H949" s="6"/>
      <c r="I949" s="6"/>
      <c r="J949" s="6"/>
      <c r="K949" s="6"/>
      <c r="L949" s="6"/>
      <c r="M949" s="6"/>
      <c r="N949" s="6"/>
      <c r="O949" s="6"/>
      <c r="P949" s="6"/>
      <c r="Q949" s="6"/>
      <c r="R949" s="6"/>
      <c r="S949" s="6"/>
      <c r="T949" s="6"/>
      <c r="U949" s="6"/>
      <c r="V949" s="6"/>
      <c r="W949" s="6"/>
    </row>
    <row r="950" spans="1:23" ht="16" x14ac:dyDescent="0.2">
      <c r="A950" s="6"/>
      <c r="B950" s="7"/>
      <c r="C950" s="7"/>
      <c r="D950" s="7"/>
      <c r="E950" s="7"/>
      <c r="F950" s="6"/>
      <c r="G950" s="6"/>
      <c r="H950" s="6"/>
      <c r="I950" s="6"/>
      <c r="J950" s="6"/>
      <c r="K950" s="6"/>
      <c r="L950" s="6"/>
      <c r="M950" s="6"/>
      <c r="N950" s="6"/>
      <c r="O950" s="6"/>
      <c r="P950" s="6"/>
      <c r="Q950" s="6"/>
      <c r="R950" s="6"/>
      <c r="S950" s="6"/>
      <c r="T950" s="6"/>
      <c r="U950" s="6"/>
      <c r="V950" s="6"/>
      <c r="W950" s="6"/>
    </row>
    <row r="951" spans="1:23" ht="16" x14ac:dyDescent="0.2">
      <c r="A951" s="6"/>
      <c r="B951" s="7"/>
      <c r="C951" s="7"/>
      <c r="D951" s="7"/>
      <c r="E951" s="7"/>
      <c r="F951" s="6"/>
      <c r="G951" s="6"/>
      <c r="H951" s="6"/>
      <c r="I951" s="6"/>
      <c r="J951" s="6"/>
      <c r="K951" s="6"/>
      <c r="L951" s="6"/>
      <c r="M951" s="6"/>
      <c r="N951" s="6"/>
      <c r="O951" s="6"/>
      <c r="P951" s="6"/>
      <c r="Q951" s="6"/>
      <c r="R951" s="6"/>
      <c r="S951" s="6"/>
      <c r="T951" s="6"/>
      <c r="U951" s="6"/>
      <c r="V951" s="6"/>
      <c r="W951" s="6"/>
    </row>
    <row r="952" spans="1:23" ht="16" x14ac:dyDescent="0.2">
      <c r="A952" s="6"/>
      <c r="B952" s="7"/>
      <c r="C952" s="7"/>
      <c r="D952" s="7"/>
      <c r="E952" s="7"/>
      <c r="F952" s="6"/>
      <c r="G952" s="6"/>
      <c r="H952" s="6"/>
      <c r="I952" s="6"/>
      <c r="J952" s="6"/>
      <c r="K952" s="6"/>
      <c r="L952" s="6"/>
      <c r="M952" s="6"/>
      <c r="N952" s="6"/>
      <c r="O952" s="6"/>
      <c r="P952" s="6"/>
      <c r="Q952" s="6"/>
      <c r="R952" s="6"/>
      <c r="S952" s="6"/>
      <c r="T952" s="6"/>
      <c r="U952" s="6"/>
      <c r="V952" s="6"/>
      <c r="W952" s="6"/>
    </row>
    <row r="953" spans="1:23" ht="16" x14ac:dyDescent="0.2">
      <c r="A953" s="6"/>
      <c r="B953" s="7"/>
      <c r="C953" s="7"/>
      <c r="D953" s="7"/>
      <c r="E953" s="7"/>
      <c r="F953" s="6"/>
      <c r="G953" s="6"/>
      <c r="H953" s="6"/>
      <c r="I953" s="6"/>
      <c r="J953" s="6"/>
      <c r="K953" s="6"/>
      <c r="L953" s="6"/>
      <c r="M953" s="6"/>
      <c r="N953" s="6"/>
      <c r="O953" s="6"/>
      <c r="P953" s="6"/>
      <c r="Q953" s="6"/>
      <c r="R953" s="6"/>
      <c r="S953" s="6"/>
      <c r="T953" s="6"/>
      <c r="U953" s="6"/>
      <c r="V953" s="6"/>
      <c r="W953" s="6"/>
    </row>
    <row r="954" spans="1:23" ht="16" x14ac:dyDescent="0.2">
      <c r="A954" s="6"/>
      <c r="B954" s="7"/>
      <c r="C954" s="7"/>
      <c r="D954" s="7"/>
      <c r="E954" s="7"/>
      <c r="F954" s="6"/>
      <c r="G954" s="6"/>
      <c r="H954" s="6"/>
      <c r="I954" s="6"/>
      <c r="J954" s="6"/>
      <c r="K954" s="6"/>
      <c r="L954" s="6"/>
      <c r="M954" s="6"/>
      <c r="N954" s="6"/>
      <c r="O954" s="6"/>
      <c r="P954" s="6"/>
      <c r="Q954" s="6"/>
      <c r="R954" s="6"/>
      <c r="S954" s="6"/>
      <c r="T954" s="6"/>
      <c r="U954" s="6"/>
      <c r="V954" s="6"/>
      <c r="W954" s="6"/>
    </row>
    <row r="955" spans="1:23" ht="16" x14ac:dyDescent="0.2">
      <c r="A955" s="6"/>
      <c r="B955" s="7"/>
      <c r="C955" s="7"/>
      <c r="D955" s="7"/>
      <c r="E955" s="7"/>
      <c r="F955" s="6"/>
      <c r="G955" s="6"/>
      <c r="H955" s="6"/>
      <c r="I955" s="6"/>
      <c r="J955" s="6"/>
      <c r="K955" s="6"/>
      <c r="L955" s="6"/>
      <c r="M955" s="6"/>
      <c r="N955" s="6"/>
      <c r="O955" s="6"/>
      <c r="P955" s="6"/>
      <c r="Q955" s="6"/>
      <c r="R955" s="6"/>
      <c r="S955" s="6"/>
      <c r="T955" s="6"/>
      <c r="U955" s="6"/>
      <c r="V955" s="6"/>
      <c r="W955" s="6"/>
    </row>
    <row r="956" spans="1:23" ht="16" x14ac:dyDescent="0.2">
      <c r="A956" s="6"/>
      <c r="B956" s="7"/>
      <c r="C956" s="7"/>
      <c r="D956" s="7"/>
      <c r="E956" s="7"/>
      <c r="F956" s="6"/>
      <c r="G956" s="6"/>
      <c r="H956" s="6"/>
      <c r="I956" s="6"/>
      <c r="J956" s="6"/>
      <c r="K956" s="6"/>
      <c r="L956" s="6"/>
      <c r="M956" s="6"/>
      <c r="N956" s="6"/>
      <c r="O956" s="6"/>
      <c r="P956" s="6"/>
      <c r="Q956" s="6"/>
      <c r="R956" s="6"/>
      <c r="S956" s="6"/>
      <c r="T956" s="6"/>
      <c r="U956" s="6"/>
      <c r="V956" s="6"/>
      <c r="W956" s="6"/>
    </row>
    <row r="957" spans="1:23" ht="16" x14ac:dyDescent="0.2">
      <c r="A957" s="6"/>
      <c r="B957" s="7"/>
      <c r="C957" s="7"/>
      <c r="D957" s="7"/>
      <c r="E957" s="7"/>
      <c r="F957" s="6"/>
      <c r="G957" s="6"/>
      <c r="H957" s="6"/>
      <c r="I957" s="6"/>
      <c r="J957" s="6"/>
      <c r="K957" s="6"/>
      <c r="L957" s="6"/>
      <c r="M957" s="6"/>
      <c r="N957" s="6"/>
      <c r="O957" s="6"/>
      <c r="P957" s="6"/>
      <c r="Q957" s="6"/>
      <c r="R957" s="6"/>
      <c r="S957" s="6"/>
      <c r="T957" s="6"/>
      <c r="U957" s="6"/>
      <c r="V957" s="6"/>
      <c r="W957" s="6"/>
    </row>
    <row r="958" spans="1:23" ht="16" x14ac:dyDescent="0.2">
      <c r="A958" s="6"/>
      <c r="B958" s="7"/>
      <c r="C958" s="7"/>
      <c r="D958" s="7"/>
      <c r="E958" s="7"/>
      <c r="F958" s="6"/>
      <c r="G958" s="6"/>
      <c r="H958" s="6"/>
      <c r="I958" s="6"/>
      <c r="J958" s="6"/>
      <c r="K958" s="6"/>
      <c r="L958" s="6"/>
      <c r="M958" s="6"/>
      <c r="N958" s="6"/>
      <c r="O958" s="6"/>
      <c r="P958" s="6"/>
      <c r="Q958" s="6"/>
      <c r="R958" s="6"/>
      <c r="S958" s="6"/>
      <c r="T958" s="6"/>
      <c r="U958" s="6"/>
      <c r="V958" s="6"/>
      <c r="W958" s="6"/>
    </row>
    <row r="959" spans="1:23" ht="16" x14ac:dyDescent="0.2">
      <c r="A959" s="6"/>
      <c r="B959" s="7"/>
      <c r="C959" s="7"/>
      <c r="D959" s="7"/>
      <c r="E959" s="7"/>
      <c r="F959" s="6"/>
      <c r="G959" s="6"/>
      <c r="H959" s="6"/>
      <c r="I959" s="6"/>
      <c r="J959" s="6"/>
      <c r="K959" s="6"/>
      <c r="L959" s="6"/>
      <c r="M959" s="6"/>
      <c r="N959" s="6"/>
      <c r="O959" s="6"/>
      <c r="P959" s="6"/>
      <c r="Q959" s="6"/>
      <c r="R959" s="6"/>
      <c r="S959" s="6"/>
      <c r="T959" s="6"/>
      <c r="U959" s="6"/>
      <c r="V959" s="6"/>
      <c r="W959" s="6"/>
    </row>
    <row r="960" spans="1:23" ht="16" x14ac:dyDescent="0.2">
      <c r="A960" s="6"/>
      <c r="B960" s="7"/>
      <c r="C960" s="7"/>
      <c r="D960" s="7"/>
      <c r="E960" s="7"/>
      <c r="F960" s="6"/>
      <c r="G960" s="6"/>
      <c r="H960" s="6"/>
      <c r="I960" s="6"/>
      <c r="J960" s="6"/>
      <c r="K960" s="6"/>
      <c r="L960" s="6"/>
      <c r="M960" s="6"/>
      <c r="N960" s="6"/>
      <c r="O960" s="6"/>
      <c r="P960" s="6"/>
      <c r="Q960" s="6"/>
      <c r="R960" s="6"/>
      <c r="S960" s="6"/>
      <c r="T960" s="6"/>
      <c r="U960" s="6"/>
      <c r="V960" s="6"/>
      <c r="W960" s="6"/>
    </row>
    <row r="961" spans="1:23" ht="16" x14ac:dyDescent="0.2">
      <c r="A961" s="6"/>
      <c r="B961" s="7"/>
      <c r="C961" s="7"/>
      <c r="D961" s="7"/>
      <c r="E961" s="7"/>
      <c r="F961" s="6"/>
      <c r="G961" s="6"/>
      <c r="H961" s="6"/>
      <c r="I961" s="6"/>
      <c r="J961" s="6"/>
      <c r="K961" s="6"/>
      <c r="L961" s="6"/>
      <c r="M961" s="6"/>
      <c r="N961" s="6"/>
      <c r="O961" s="6"/>
      <c r="P961" s="6"/>
      <c r="Q961" s="6"/>
      <c r="R961" s="6"/>
      <c r="S961" s="6"/>
      <c r="T961" s="6"/>
      <c r="U961" s="6"/>
      <c r="V961" s="6"/>
      <c r="W961" s="6"/>
    </row>
    <row r="962" spans="1:23" ht="16" x14ac:dyDescent="0.2">
      <c r="A962" s="6"/>
      <c r="B962" s="7"/>
      <c r="C962" s="7"/>
      <c r="D962" s="7"/>
      <c r="E962" s="7"/>
      <c r="F962" s="6"/>
      <c r="G962" s="6"/>
      <c r="H962" s="6"/>
      <c r="I962" s="6"/>
      <c r="J962" s="6"/>
      <c r="K962" s="6"/>
      <c r="L962" s="6"/>
      <c r="M962" s="6"/>
      <c r="N962" s="6"/>
      <c r="O962" s="6"/>
      <c r="P962" s="6"/>
      <c r="Q962" s="6"/>
      <c r="R962" s="6"/>
      <c r="S962" s="6"/>
      <c r="T962" s="6"/>
      <c r="U962" s="6"/>
      <c r="V962" s="6"/>
      <c r="W962" s="6"/>
    </row>
    <row r="963" spans="1:23" ht="16" x14ac:dyDescent="0.2">
      <c r="A963" s="6"/>
      <c r="B963" s="7"/>
      <c r="C963" s="7"/>
      <c r="D963" s="7"/>
      <c r="E963" s="7"/>
      <c r="F963" s="6"/>
      <c r="G963" s="6"/>
      <c r="H963" s="6"/>
      <c r="I963" s="6"/>
      <c r="J963" s="6"/>
      <c r="K963" s="6"/>
      <c r="L963" s="6"/>
      <c r="M963" s="6"/>
      <c r="N963" s="6"/>
      <c r="O963" s="6"/>
      <c r="P963" s="6"/>
      <c r="Q963" s="6"/>
      <c r="R963" s="6"/>
      <c r="S963" s="6"/>
      <c r="T963" s="6"/>
      <c r="U963" s="6"/>
      <c r="V963" s="6"/>
      <c r="W963" s="6"/>
    </row>
    <row r="964" spans="1:23" ht="16" x14ac:dyDescent="0.2">
      <c r="A964" s="6"/>
      <c r="B964" s="7"/>
      <c r="C964" s="7"/>
      <c r="D964" s="7"/>
      <c r="E964" s="7"/>
      <c r="F964" s="6"/>
      <c r="G964" s="6"/>
      <c r="H964" s="6"/>
      <c r="I964" s="6"/>
      <c r="J964" s="6"/>
      <c r="K964" s="6"/>
      <c r="L964" s="6"/>
      <c r="M964" s="6"/>
      <c r="N964" s="6"/>
      <c r="O964" s="6"/>
      <c r="P964" s="6"/>
      <c r="Q964" s="6"/>
      <c r="R964" s="6"/>
      <c r="S964" s="6"/>
      <c r="T964" s="6"/>
      <c r="U964" s="6"/>
      <c r="V964" s="6"/>
      <c r="W964" s="6"/>
    </row>
    <row r="965" spans="1:23" ht="16" x14ac:dyDescent="0.2">
      <c r="A965" s="6"/>
      <c r="B965" s="7"/>
      <c r="C965" s="7"/>
      <c r="D965" s="7"/>
      <c r="E965" s="7"/>
      <c r="F965" s="6"/>
      <c r="G965" s="6"/>
      <c r="H965" s="6"/>
      <c r="I965" s="6"/>
      <c r="J965" s="6"/>
      <c r="K965" s="6"/>
      <c r="L965" s="6"/>
      <c r="M965" s="6"/>
      <c r="N965" s="6"/>
      <c r="O965" s="6"/>
      <c r="P965" s="6"/>
      <c r="Q965" s="6"/>
      <c r="R965" s="6"/>
      <c r="S965" s="6"/>
      <c r="T965" s="6"/>
      <c r="U965" s="6"/>
      <c r="V965" s="6"/>
      <c r="W965" s="6"/>
    </row>
    <row r="966" spans="1:23" ht="16" x14ac:dyDescent="0.2">
      <c r="A966" s="6"/>
      <c r="B966" s="7"/>
      <c r="C966" s="7"/>
      <c r="D966" s="7"/>
      <c r="E966" s="7"/>
      <c r="F966" s="6"/>
      <c r="G966" s="6"/>
      <c r="H966" s="6"/>
      <c r="I966" s="6"/>
      <c r="J966" s="6"/>
      <c r="K966" s="6"/>
      <c r="L966" s="6"/>
      <c r="M966" s="6"/>
      <c r="N966" s="6"/>
      <c r="O966" s="6"/>
      <c r="P966" s="6"/>
      <c r="Q966" s="6"/>
      <c r="R966" s="6"/>
      <c r="S966" s="6"/>
      <c r="T966" s="6"/>
      <c r="U966" s="6"/>
      <c r="V966" s="6"/>
      <c r="W966" s="6"/>
    </row>
    <row r="967" spans="1:23" ht="16" x14ac:dyDescent="0.2">
      <c r="A967" s="6"/>
      <c r="B967" s="7"/>
      <c r="C967" s="7"/>
      <c r="D967" s="7"/>
      <c r="E967" s="7"/>
      <c r="F967" s="6"/>
      <c r="G967" s="6"/>
      <c r="H967" s="6"/>
      <c r="I967" s="6"/>
      <c r="J967" s="6"/>
      <c r="K967" s="6"/>
      <c r="L967" s="6"/>
      <c r="M967" s="6"/>
      <c r="N967" s="6"/>
      <c r="O967" s="6"/>
      <c r="P967" s="6"/>
      <c r="Q967" s="6"/>
      <c r="R967" s="6"/>
      <c r="S967" s="6"/>
      <c r="T967" s="6"/>
      <c r="U967" s="6"/>
      <c r="V967" s="6"/>
      <c r="W967" s="6"/>
    </row>
    <row r="968" spans="1:23" ht="16" x14ac:dyDescent="0.2">
      <c r="A968" s="6"/>
      <c r="B968" s="7"/>
      <c r="C968" s="7"/>
      <c r="D968" s="7"/>
      <c r="E968" s="7"/>
      <c r="F968" s="6"/>
      <c r="G968" s="6"/>
      <c r="H968" s="6"/>
      <c r="I968" s="6"/>
      <c r="J968" s="6"/>
      <c r="K968" s="6"/>
      <c r="L968" s="6"/>
      <c r="M968" s="6"/>
      <c r="N968" s="6"/>
      <c r="O968" s="6"/>
      <c r="P968" s="6"/>
      <c r="Q968" s="6"/>
      <c r="R968" s="6"/>
      <c r="S968" s="6"/>
      <c r="T968" s="6"/>
      <c r="U968" s="6"/>
      <c r="V968" s="6"/>
      <c r="W968" s="6"/>
    </row>
    <row r="969" spans="1:23" ht="16" x14ac:dyDescent="0.2">
      <c r="A969" s="6"/>
      <c r="B969" s="7"/>
      <c r="C969" s="7"/>
      <c r="D969" s="7"/>
      <c r="E969" s="7"/>
      <c r="F969" s="6"/>
      <c r="G969" s="6"/>
      <c r="H969" s="6"/>
      <c r="I969" s="6"/>
      <c r="J969" s="6"/>
      <c r="K969" s="6"/>
      <c r="L969" s="6"/>
      <c r="M969" s="6"/>
      <c r="N969" s="6"/>
      <c r="O969" s="6"/>
      <c r="P969" s="6"/>
      <c r="Q969" s="6"/>
      <c r="R969" s="6"/>
      <c r="S969" s="6"/>
      <c r="T969" s="6"/>
      <c r="U969" s="6"/>
      <c r="V969" s="6"/>
      <c r="W969" s="6"/>
    </row>
    <row r="970" spans="1:23" ht="16" x14ac:dyDescent="0.2">
      <c r="A970" s="6"/>
      <c r="B970" s="7"/>
      <c r="C970" s="7"/>
      <c r="D970" s="7"/>
      <c r="E970" s="7"/>
      <c r="F970" s="6"/>
      <c r="G970" s="6"/>
      <c r="H970" s="6"/>
      <c r="I970" s="6"/>
      <c r="J970" s="6"/>
      <c r="K970" s="6"/>
      <c r="L970" s="6"/>
      <c r="M970" s="6"/>
      <c r="N970" s="6"/>
      <c r="O970" s="6"/>
      <c r="P970" s="6"/>
      <c r="Q970" s="6"/>
      <c r="R970" s="6"/>
      <c r="S970" s="6"/>
      <c r="T970" s="6"/>
      <c r="U970" s="6"/>
      <c r="V970" s="6"/>
      <c r="W970" s="6"/>
    </row>
    <row r="971" spans="1:23" ht="16" x14ac:dyDescent="0.2">
      <c r="A971" s="6"/>
      <c r="B971" s="7"/>
      <c r="C971" s="7"/>
      <c r="D971" s="7"/>
      <c r="E971" s="7"/>
      <c r="F971" s="6"/>
      <c r="G971" s="6"/>
      <c r="H971" s="6"/>
      <c r="I971" s="6"/>
      <c r="J971" s="6"/>
      <c r="K971" s="6"/>
      <c r="L971" s="6"/>
      <c r="M971" s="6"/>
      <c r="N971" s="6"/>
      <c r="O971" s="6"/>
      <c r="P971" s="6"/>
      <c r="Q971" s="6"/>
      <c r="R971" s="6"/>
      <c r="S971" s="6"/>
      <c r="T971" s="6"/>
      <c r="U971" s="6"/>
      <c r="V971" s="6"/>
      <c r="W971" s="6"/>
    </row>
    <row r="972" spans="1:23" ht="16" x14ac:dyDescent="0.2">
      <c r="A972" s="6"/>
      <c r="B972" s="7"/>
      <c r="C972" s="7"/>
      <c r="D972" s="7"/>
      <c r="E972" s="7"/>
      <c r="F972" s="6"/>
      <c r="G972" s="6"/>
      <c r="H972" s="6"/>
      <c r="I972" s="6"/>
      <c r="J972" s="6"/>
      <c r="K972" s="6"/>
      <c r="L972" s="6"/>
      <c r="M972" s="6"/>
      <c r="N972" s="6"/>
      <c r="O972" s="6"/>
      <c r="P972" s="6"/>
      <c r="Q972" s="6"/>
      <c r="R972" s="6"/>
      <c r="S972" s="6"/>
      <c r="T972" s="6"/>
      <c r="U972" s="6"/>
      <c r="V972" s="6"/>
      <c r="W972" s="6"/>
    </row>
    <row r="973" spans="1:23" ht="16" x14ac:dyDescent="0.2">
      <c r="A973" s="6"/>
      <c r="B973" s="7"/>
      <c r="C973" s="7"/>
      <c r="D973" s="7"/>
      <c r="E973" s="7"/>
      <c r="F973" s="6"/>
      <c r="G973" s="6"/>
      <c r="H973" s="6"/>
      <c r="I973" s="6"/>
      <c r="J973" s="6"/>
      <c r="K973" s="6"/>
      <c r="L973" s="6"/>
      <c r="M973" s="6"/>
      <c r="N973" s="6"/>
      <c r="O973" s="6"/>
      <c r="P973" s="6"/>
      <c r="Q973" s="6"/>
      <c r="R973" s="6"/>
      <c r="S973" s="6"/>
      <c r="T973" s="6"/>
      <c r="U973" s="6"/>
      <c r="V973" s="6"/>
      <c r="W973" s="6"/>
    </row>
    <row r="974" spans="1:23" ht="16" x14ac:dyDescent="0.2">
      <c r="A974" s="6"/>
      <c r="B974" s="7"/>
      <c r="C974" s="7"/>
      <c r="D974" s="7"/>
      <c r="E974" s="7"/>
      <c r="F974" s="6"/>
      <c r="G974" s="6"/>
      <c r="H974" s="6"/>
      <c r="I974" s="6"/>
      <c r="J974" s="6"/>
      <c r="K974" s="6"/>
      <c r="L974" s="6"/>
      <c r="M974" s="6"/>
      <c r="N974" s="6"/>
      <c r="O974" s="6"/>
      <c r="P974" s="6"/>
      <c r="Q974" s="6"/>
      <c r="R974" s="6"/>
      <c r="S974" s="6"/>
      <c r="T974" s="6"/>
      <c r="U974" s="6"/>
      <c r="V974" s="6"/>
      <c r="W974" s="6"/>
    </row>
    <row r="975" spans="1:23" ht="16" x14ac:dyDescent="0.2">
      <c r="A975" s="6"/>
      <c r="B975" s="7"/>
      <c r="C975" s="7"/>
      <c r="D975" s="7"/>
      <c r="E975" s="7"/>
      <c r="F975" s="6"/>
      <c r="G975" s="6"/>
      <c r="H975" s="6"/>
      <c r="I975" s="6"/>
      <c r="J975" s="6"/>
      <c r="K975" s="6"/>
      <c r="L975" s="6"/>
      <c r="M975" s="6"/>
      <c r="N975" s="6"/>
      <c r="O975" s="6"/>
      <c r="P975" s="6"/>
      <c r="Q975" s="6"/>
      <c r="R975" s="6"/>
      <c r="S975" s="6"/>
      <c r="T975" s="6"/>
      <c r="U975" s="6"/>
      <c r="V975" s="6"/>
      <c r="W975" s="6"/>
    </row>
    <row r="976" spans="1:23" ht="16" x14ac:dyDescent="0.2">
      <c r="A976" s="6"/>
      <c r="B976" s="7"/>
      <c r="C976" s="7"/>
      <c r="D976" s="7"/>
      <c r="E976" s="7"/>
      <c r="F976" s="6"/>
      <c r="G976" s="6"/>
      <c r="H976" s="6"/>
      <c r="I976" s="6"/>
      <c r="J976" s="6"/>
      <c r="K976" s="6"/>
      <c r="L976" s="6"/>
      <c r="M976" s="6"/>
      <c r="N976" s="6"/>
      <c r="O976" s="6"/>
      <c r="P976" s="6"/>
      <c r="Q976" s="6"/>
      <c r="R976" s="6"/>
      <c r="S976" s="6"/>
      <c r="T976" s="6"/>
      <c r="U976" s="6"/>
      <c r="V976" s="6"/>
      <c r="W976" s="6"/>
    </row>
    <row r="977" spans="1:23" ht="16" x14ac:dyDescent="0.2">
      <c r="A977" s="6"/>
      <c r="B977" s="7"/>
      <c r="C977" s="7"/>
      <c r="D977" s="7"/>
      <c r="E977" s="7"/>
      <c r="F977" s="6"/>
      <c r="G977" s="6"/>
      <c r="H977" s="6"/>
      <c r="I977" s="6"/>
      <c r="J977" s="6"/>
      <c r="K977" s="6"/>
      <c r="L977" s="6"/>
      <c r="M977" s="6"/>
      <c r="N977" s="6"/>
      <c r="O977" s="6"/>
      <c r="P977" s="6"/>
      <c r="Q977" s="6"/>
      <c r="R977" s="6"/>
      <c r="S977" s="6"/>
      <c r="T977" s="6"/>
      <c r="U977" s="6"/>
      <c r="V977" s="6"/>
      <c r="W977" s="6"/>
    </row>
    <row r="978" spans="1:23" ht="16" x14ac:dyDescent="0.2">
      <c r="A978" s="6"/>
      <c r="B978" s="7"/>
      <c r="C978" s="7"/>
      <c r="D978" s="7"/>
      <c r="E978" s="7"/>
      <c r="F978" s="6"/>
      <c r="G978" s="6"/>
      <c r="H978" s="6"/>
      <c r="I978" s="6"/>
      <c r="J978" s="6"/>
      <c r="K978" s="6"/>
      <c r="L978" s="6"/>
      <c r="M978" s="6"/>
      <c r="N978" s="6"/>
      <c r="O978" s="6"/>
      <c r="P978" s="6"/>
      <c r="Q978" s="6"/>
      <c r="R978" s="6"/>
      <c r="S978" s="6"/>
      <c r="T978" s="6"/>
      <c r="U978" s="6"/>
      <c r="V978" s="6"/>
      <c r="W978" s="6"/>
    </row>
    <row r="979" spans="1:23" ht="16" x14ac:dyDescent="0.2">
      <c r="A979" s="6"/>
      <c r="B979" s="7"/>
      <c r="C979" s="7"/>
      <c r="D979" s="7"/>
      <c r="E979" s="7"/>
      <c r="F979" s="6"/>
      <c r="G979" s="6"/>
      <c r="H979" s="6"/>
      <c r="I979" s="6"/>
      <c r="J979" s="6"/>
      <c r="K979" s="6"/>
      <c r="L979" s="6"/>
      <c r="M979" s="6"/>
      <c r="N979" s="6"/>
      <c r="O979" s="6"/>
      <c r="P979" s="6"/>
      <c r="Q979" s="6"/>
      <c r="R979" s="6"/>
      <c r="S979" s="6"/>
      <c r="T979" s="6"/>
      <c r="U979" s="6"/>
      <c r="V979" s="6"/>
      <c r="W979" s="6"/>
    </row>
    <row r="980" spans="1:23" ht="16" x14ac:dyDescent="0.2">
      <c r="A980" s="6"/>
      <c r="B980" s="7"/>
      <c r="C980" s="7"/>
      <c r="D980" s="7"/>
      <c r="E980" s="7"/>
      <c r="F980" s="6"/>
      <c r="G980" s="6"/>
      <c r="H980" s="6"/>
      <c r="I980" s="6"/>
      <c r="J980" s="6"/>
      <c r="K980" s="6"/>
      <c r="L980" s="6"/>
      <c r="M980" s="6"/>
      <c r="N980" s="6"/>
      <c r="O980" s="6"/>
      <c r="P980" s="6"/>
      <c r="Q980" s="6"/>
      <c r="R980" s="6"/>
      <c r="S980" s="6"/>
      <c r="T980" s="6"/>
      <c r="U980" s="6"/>
      <c r="V980" s="6"/>
      <c r="W980" s="6"/>
    </row>
    <row r="981" spans="1:23" ht="16" x14ac:dyDescent="0.2">
      <c r="A981" s="6"/>
      <c r="B981" s="7"/>
      <c r="C981" s="7"/>
      <c r="D981" s="7"/>
      <c r="E981" s="7"/>
      <c r="F981" s="6"/>
      <c r="G981" s="6"/>
      <c r="H981" s="6"/>
      <c r="I981" s="6"/>
      <c r="J981" s="6"/>
      <c r="K981" s="6"/>
      <c r="L981" s="6"/>
      <c r="M981" s="6"/>
      <c r="N981" s="6"/>
      <c r="O981" s="6"/>
      <c r="P981" s="6"/>
      <c r="Q981" s="6"/>
      <c r="R981" s="6"/>
      <c r="S981" s="6"/>
      <c r="T981" s="6"/>
      <c r="U981" s="6"/>
      <c r="V981" s="6"/>
      <c r="W981" s="6"/>
    </row>
    <row r="982" spans="1:23" ht="16" x14ac:dyDescent="0.2">
      <c r="A982" s="6"/>
      <c r="B982" s="7"/>
      <c r="C982" s="7"/>
      <c r="D982" s="7"/>
      <c r="E982" s="7"/>
      <c r="F982" s="6"/>
      <c r="G982" s="6"/>
      <c r="H982" s="6"/>
      <c r="I982" s="6"/>
      <c r="J982" s="6"/>
      <c r="K982" s="6"/>
      <c r="L982" s="6"/>
      <c r="M982" s="6"/>
      <c r="N982" s="6"/>
      <c r="O982" s="6"/>
      <c r="P982" s="6"/>
      <c r="Q982" s="6"/>
      <c r="R982" s="6"/>
      <c r="S982" s="6"/>
      <c r="T982" s="6"/>
      <c r="U982" s="6"/>
      <c r="V982" s="6"/>
      <c r="W982" s="6"/>
    </row>
    <row r="983" spans="1:23" ht="16" x14ac:dyDescent="0.2">
      <c r="A983" s="6"/>
      <c r="B983" s="7"/>
      <c r="C983" s="7"/>
      <c r="D983" s="7"/>
      <c r="E983" s="7"/>
      <c r="F983" s="6"/>
      <c r="G983" s="6"/>
      <c r="H983" s="6"/>
      <c r="I983" s="6"/>
      <c r="J983" s="6"/>
      <c r="K983" s="6"/>
      <c r="L983" s="6"/>
      <c r="M983" s="6"/>
      <c r="N983" s="6"/>
      <c r="O983" s="6"/>
      <c r="P983" s="6"/>
      <c r="Q983" s="6"/>
      <c r="R983" s="6"/>
      <c r="S983" s="6"/>
      <c r="T983" s="6"/>
      <c r="U983" s="6"/>
      <c r="V983" s="6"/>
      <c r="W983" s="6"/>
    </row>
    <row r="984" spans="1:23" ht="16" x14ac:dyDescent="0.2">
      <c r="A984" s="6"/>
      <c r="B984" s="7"/>
      <c r="C984" s="7"/>
      <c r="D984" s="7"/>
      <c r="E984" s="7"/>
      <c r="F984" s="6"/>
      <c r="G984" s="6"/>
      <c r="H984" s="6"/>
      <c r="I984" s="6"/>
      <c r="J984" s="6"/>
      <c r="K984" s="6"/>
      <c r="L984" s="6"/>
      <c r="M984" s="6"/>
      <c r="N984" s="6"/>
      <c r="O984" s="6"/>
      <c r="P984" s="6"/>
      <c r="Q984" s="6"/>
      <c r="R984" s="6"/>
      <c r="S984" s="6"/>
      <c r="T984" s="6"/>
      <c r="U984" s="6"/>
      <c r="V984" s="6"/>
      <c r="W984" s="6"/>
    </row>
    <row r="985" spans="1:23" ht="16" x14ac:dyDescent="0.2">
      <c r="A985" s="6"/>
      <c r="B985" s="7"/>
      <c r="C985" s="7"/>
      <c r="D985" s="7"/>
      <c r="E985" s="7"/>
      <c r="F985" s="6"/>
      <c r="G985" s="6"/>
      <c r="H985" s="6"/>
      <c r="I985" s="6"/>
      <c r="J985" s="6"/>
      <c r="K985" s="6"/>
      <c r="L985" s="6"/>
      <c r="M985" s="6"/>
      <c r="N985" s="6"/>
      <c r="O985" s="6"/>
      <c r="P985" s="6"/>
      <c r="Q985" s="6"/>
      <c r="R985" s="6"/>
      <c r="S985" s="6"/>
      <c r="T985" s="6"/>
      <c r="U985" s="6"/>
      <c r="V985" s="6"/>
      <c r="W985" s="6"/>
    </row>
    <row r="986" spans="1:23" ht="16" x14ac:dyDescent="0.2">
      <c r="A986" s="6"/>
      <c r="B986" s="7"/>
      <c r="C986" s="7"/>
      <c r="D986" s="7"/>
      <c r="E986" s="7"/>
      <c r="F986" s="6"/>
      <c r="G986" s="6"/>
      <c r="H986" s="6"/>
      <c r="I986" s="6"/>
      <c r="J986" s="6"/>
      <c r="K986" s="6"/>
      <c r="L986" s="6"/>
      <c r="M986" s="6"/>
      <c r="N986" s="6"/>
      <c r="O986" s="6"/>
      <c r="P986" s="6"/>
      <c r="Q986" s="6"/>
      <c r="R986" s="6"/>
      <c r="S986" s="6"/>
      <c r="T986" s="6"/>
      <c r="U986" s="6"/>
      <c r="V986" s="6"/>
      <c r="W986" s="6"/>
    </row>
    <row r="987" spans="1:23" ht="16" x14ac:dyDescent="0.2">
      <c r="A987" s="6"/>
      <c r="B987" s="7"/>
      <c r="C987" s="7"/>
      <c r="D987" s="7"/>
      <c r="E987" s="7"/>
      <c r="F987" s="6"/>
      <c r="G987" s="6"/>
      <c r="H987" s="6"/>
      <c r="I987" s="6"/>
      <c r="J987" s="6"/>
      <c r="K987" s="6"/>
      <c r="L987" s="6"/>
      <c r="M987" s="6"/>
      <c r="N987" s="6"/>
      <c r="O987" s="6"/>
      <c r="P987" s="6"/>
      <c r="Q987" s="6"/>
      <c r="R987" s="6"/>
      <c r="S987" s="6"/>
      <c r="T987" s="6"/>
      <c r="U987" s="6"/>
      <c r="V987" s="6"/>
      <c r="W987" s="6"/>
    </row>
    <row r="988" spans="1:23" ht="16" x14ac:dyDescent="0.2">
      <c r="A988" s="6"/>
      <c r="B988" s="7"/>
      <c r="C988" s="7"/>
      <c r="D988" s="7"/>
      <c r="E988" s="7"/>
      <c r="F988" s="6"/>
      <c r="G988" s="6"/>
      <c r="H988" s="6"/>
      <c r="I988" s="6"/>
      <c r="J988" s="6"/>
      <c r="K988" s="6"/>
      <c r="L988" s="6"/>
      <c r="M988" s="6"/>
      <c r="N988" s="6"/>
      <c r="O988" s="6"/>
      <c r="P988" s="6"/>
      <c r="Q988" s="6"/>
      <c r="R988" s="6"/>
      <c r="S988" s="6"/>
      <c r="T988" s="6"/>
      <c r="U988" s="6"/>
      <c r="V988" s="6"/>
      <c r="W988" s="6"/>
    </row>
    <row r="989" spans="1:23" ht="16" x14ac:dyDescent="0.2">
      <c r="A989" s="6"/>
      <c r="B989" s="7"/>
      <c r="C989" s="7"/>
      <c r="D989" s="7"/>
      <c r="E989" s="7"/>
      <c r="F989" s="6"/>
      <c r="G989" s="6"/>
      <c r="H989" s="6"/>
      <c r="I989" s="6"/>
      <c r="J989" s="6"/>
      <c r="K989" s="6"/>
      <c r="L989" s="6"/>
      <c r="M989" s="6"/>
      <c r="N989" s="6"/>
      <c r="O989" s="6"/>
      <c r="P989" s="6"/>
      <c r="Q989" s="6"/>
      <c r="R989" s="6"/>
      <c r="S989" s="6"/>
      <c r="T989" s="6"/>
      <c r="U989" s="6"/>
      <c r="V989" s="6"/>
      <c r="W989" s="6"/>
    </row>
    <row r="990" spans="1:23" ht="16" x14ac:dyDescent="0.2">
      <c r="A990" s="6"/>
      <c r="B990" s="7"/>
      <c r="C990" s="7"/>
      <c r="D990" s="7"/>
      <c r="E990" s="7"/>
      <c r="F990" s="6"/>
      <c r="G990" s="6"/>
      <c r="H990" s="6"/>
      <c r="I990" s="6"/>
      <c r="J990" s="6"/>
      <c r="K990" s="6"/>
      <c r="L990" s="6"/>
      <c r="M990" s="6"/>
      <c r="N990" s="6"/>
      <c r="O990" s="6"/>
      <c r="P990" s="6"/>
      <c r="Q990" s="6"/>
      <c r="R990" s="6"/>
      <c r="S990" s="6"/>
      <c r="T990" s="6"/>
      <c r="U990" s="6"/>
      <c r="V990" s="6"/>
      <c r="W990" s="6"/>
    </row>
    <row r="991" spans="1:23" ht="16" x14ac:dyDescent="0.2">
      <c r="A991" s="6"/>
      <c r="B991" s="7"/>
      <c r="C991" s="7"/>
      <c r="D991" s="7"/>
      <c r="E991" s="7"/>
      <c r="F991" s="6"/>
      <c r="G991" s="6"/>
      <c r="H991" s="6"/>
      <c r="I991" s="6"/>
      <c r="J991" s="6"/>
      <c r="K991" s="6"/>
      <c r="L991" s="6"/>
      <c r="M991" s="6"/>
      <c r="N991" s="6"/>
      <c r="O991" s="6"/>
      <c r="P991" s="6"/>
      <c r="Q991" s="6"/>
      <c r="R991" s="6"/>
      <c r="S991" s="6"/>
      <c r="T991" s="6"/>
      <c r="U991" s="6"/>
      <c r="V991" s="6"/>
      <c r="W991" s="6"/>
    </row>
    <row r="992" spans="1:23" ht="16" x14ac:dyDescent="0.2">
      <c r="A992" s="6"/>
      <c r="B992" s="7"/>
      <c r="C992" s="7"/>
      <c r="D992" s="7"/>
      <c r="E992" s="7"/>
      <c r="F992" s="6"/>
      <c r="G992" s="6"/>
      <c r="H992" s="6"/>
      <c r="I992" s="6"/>
      <c r="J992" s="6"/>
      <c r="K992" s="6"/>
      <c r="L992" s="6"/>
      <c r="M992" s="6"/>
      <c r="N992" s="6"/>
      <c r="O992" s="6"/>
      <c r="P992" s="6"/>
      <c r="Q992" s="6"/>
      <c r="R992" s="6"/>
      <c r="S992" s="6"/>
      <c r="T992" s="6"/>
      <c r="U992" s="6"/>
      <c r="V992" s="6"/>
      <c r="W992" s="6"/>
    </row>
    <row r="993" spans="1:23" ht="16" x14ac:dyDescent="0.2">
      <c r="A993" s="6"/>
      <c r="B993" s="7"/>
      <c r="C993" s="7"/>
      <c r="D993" s="7"/>
      <c r="E993" s="7"/>
      <c r="F993" s="6"/>
      <c r="G993" s="6"/>
      <c r="H993" s="6"/>
      <c r="I993" s="6"/>
      <c r="J993" s="6"/>
      <c r="K993" s="6"/>
      <c r="L993" s="6"/>
      <c r="M993" s="6"/>
      <c r="N993" s="6"/>
      <c r="O993" s="6"/>
      <c r="P993" s="6"/>
      <c r="Q993" s="6"/>
      <c r="R993" s="6"/>
      <c r="S993" s="6"/>
      <c r="T993" s="6"/>
      <c r="U993" s="6"/>
      <c r="V993" s="6"/>
      <c r="W993" s="6"/>
    </row>
    <row r="994" spans="1:23" ht="16" x14ac:dyDescent="0.2">
      <c r="A994" s="6"/>
      <c r="B994" s="7"/>
      <c r="C994" s="7"/>
      <c r="D994" s="7"/>
      <c r="E994" s="7"/>
      <c r="F994" s="6"/>
      <c r="G994" s="6"/>
      <c r="H994" s="6"/>
      <c r="I994" s="6"/>
      <c r="J994" s="6"/>
      <c r="K994" s="6"/>
      <c r="L994" s="6"/>
      <c r="M994" s="6"/>
      <c r="N994" s="6"/>
      <c r="O994" s="6"/>
      <c r="P994" s="6"/>
      <c r="Q994" s="6"/>
      <c r="R994" s="6"/>
      <c r="S994" s="6"/>
      <c r="T994" s="6"/>
      <c r="U994" s="6"/>
      <c r="V994" s="6"/>
      <c r="W994" s="6"/>
    </row>
  </sheetData>
  <mergeCells count="1">
    <mergeCell ref="C11:D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Cohens Kappa - Raters A &amp; 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2025-12-07T13:26:26Z</dcterms:created>
  <dcterms:modified xsi:type="dcterms:W3CDTF">2025-12-07T19:21:37Z</dcterms:modified>
</cp:coreProperties>
</file>