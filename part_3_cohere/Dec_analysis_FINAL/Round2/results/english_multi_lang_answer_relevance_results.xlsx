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2/results/"/>
    </mc:Choice>
  </mc:AlternateContent>
  <xr:revisionPtr revIDLastSave="0" documentId="13_ncr:1_{9CE70620-3D97-3B43-9150-7EE7B230FBFF}" xr6:coauthVersionLast="47" xr6:coauthVersionMax="47" xr10:uidLastSave="{00000000-0000-0000-0000-000000000000}"/>
  <bookViews>
    <workbookView xWindow="0" yWindow="760" windowWidth="30240" windowHeight="18880" xr2:uid="{00000000-000D-0000-FFFF-FFFF00000000}"/>
  </bookViews>
  <sheets>
    <sheet name="raw data" sheetId="1" r:id="rId1"/>
    <sheet name="Cohens Kappa - Raters A &amp; B" sheetId="2" r:id="rId2"/>
  </sheets>
  <calcPr calcId="191029"/>
  <pivotCaches>
    <pivotCache cacheId="128"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C21" i="2" s="1"/>
  <c r="B22" i="2"/>
  <c r="C20" i="2" l="1"/>
  <c r="C23" i="2" s="1"/>
  <c r="B23" i="2"/>
</calcChain>
</file>

<file path=xl/sharedStrings.xml><?xml version="1.0" encoding="utf-8"?>
<sst xmlns="http://schemas.openxmlformats.org/spreadsheetml/2006/main" count="194" uniqueCount="118">
  <si>
    <t>Query</t>
  </si>
  <si>
    <t>Response</t>
  </si>
  <si>
    <t>['which studies examined the abstract in metadata?']</t>
  </si>
  <si>
    <t>Summary: Two studies examined the abstract in metadata.
DOI: 10.1162/qss_a_00286 - This study compared the amount of metadata and the completeness degree of research publications in new academic databases. Seven characteristics were analyzed, including the abstract, to observe fields that describe this information, the completeness rate of these fields, and the agreement among databases.
DOI: 10.5860/crl.86.1.101 - This study sought to understand how metadata quality, consistency, and completeness impact individuals and communities. By reviewing a non-random sample of 427 records, the study identified 32 unique issues and classified them into 5 categories to better explain how metadata and communities interact to reflect cultural meanings.
Is there anything else I can help you with, my lady?</t>
  </si>
  <si>
    <t>['which studies examined citations?']</t>
  </si>
  <si>
    <t>Summary: Two studies examined citations.
DOI: 10.1108/JD-10-2022-0234 analysed reference elements, i.e. bibliographic references, mentions, quotations and respective in-text reference pointers, from 729 articles published in 147 journals across the 27 subject areas.
Sweetland (1989) provided a snapshot of errors in referencing and citing practices in the literature.
Is there anything else I can help you with, my lady?</t>
  </si>
  <si>
    <t>['Tell me about Crossref.']</t>
  </si>
  <si>
    <t>Summary: Crossref is a sustainable source of community-owned scholarly metadata that collects and makes available academic metadata.
DOI: 10.1162/qss_a_00022 - Crossref is a major source of academic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</si>
  <si>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['Which papers evaluate the linguistic coverage or language-related metadata in scholarly databases?']</t>
  </si>
  <si>
    <t>Summary: I found two papers that evaluate the linguistic coverage or language-related metadata in scholarly databases.
DOI: 10.48550/arXiv.2409.10633 evaluates the linguistic coverage of OpenAlex and assesses the completeness and accuracy of its language-related metadata through a comparison with Web of Science (WoS) and an in-depth manual validation of a sample of articles.
DOI: 10.1162/qss_a_00286 compares the completeness degree of publication metadata in eight free-access scholarly databases, including language-related metadata, using a quantitative approach with a large random sample of Crossref records.
I hope this helps, my lady.</t>
  </si>
  <si>
    <t>['Which papers address funding metadata, its availability, or its analysis in scholarly databases?']</t>
  </si>
  <si>
    <t>Summary: Three papers address funding metadata, its availability, or its analysis in scholarly databases.
DOI: 10.1162/qss_a_00210 - This paper addresses the availability and completeness of open funder metadata.
DOI: 10.31222/osf.io/smxe5 - This paper addresses Crossref as a source of open bibliographic metadata.
DOI: 10.1162/qss_a_00212 - This paper addresses funding COVID-19 research and insights from an exploratory analysis using open data infrastructures.
I hope this helps, my lady.</t>
  </si>
  <si>
    <t>['Which papers discuss the use of Retrieval-Augmented Generation (RAG) when used in applications?']</t>
  </si>
  <si>
    <t>I'm sorry, my lady, I could not find any papers that discuss the use of Retrieval-Augmented Generation (RAG) when used in applications.</t>
  </si>
  <si>
    <t>['What is Crossref’s role in the scholarly research ecosystem?']</t>
  </si>
  <si>
    <t>Summary: Crossref is a sustainable source of community-owned scholarly metadata that is important to the scholarly research ecosystem.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</si>
  <si>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['What are the key features and limitations of OpenAlex as a bibliometric database?']</t>
  </si>
  <si>
    <t>Summary: OpenAlex is a newly launched bibliographic database that is open and has extensive coverage. It is a promising open source of scholarly metadata and a competitor to established proprietary sources, such as the Web of Science and Scopus.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may reduce or eliminate barriers to accessing bibliometric data, but one of the concerns that hinders its broader adoption for research and research evaluation is the quality of its metadata.
DOI: 10.48550/arXiv.2401.16359 - OpenAlex is a rapidly evolving source and the data contained within is expanding and quickly changing, so the question naturally arises as to the trustworthiness of its data.
DOI: 10.48550/arXiv.2406.15154 - OpenAlex is becoming increasingly important as a free alternative to established proprietary providers for bibliometric analyses at libraries and universities.
DOI: 10.48550/ARXIV.2205.01833 - OpenAlex is a fully-open scientific knowledge graph (SKG), launched to replace the discontinued Microsoft Academic Graph (MAG). It contains metadata for 209M works, 2013M disambiguated authors, 124k venues, 109k institutions, and 65k Wikidata concepts.
My lady, I hope this information is helpful. If you have any further questions, please let me know.</t>
  </si>
  <si>
    <t>['What are the strengths and weaknesses of Web of Science (WoS) as a bibliometric database?']</t>
  </si>
  <si>
    <t>Summary: Web of Science (WoS) is a traditional bibliometric database that has been the foundation for research in the science of science. However, it systematically underrepresents certain disciplines and world regions.
DOI: 10.48550/arXiv.2404.17663
My lady, I hope this response is helpful. Please let me know if you have any other questions.</t>
  </si>
  <si>
    <t>['How is RAG used to improve question answering or information retrieval systems?']</t>
  </si>
  <si>
    <t>Summary: Retrieval-augmented generation (RAG) is a technique that improves the performance of question answering and information retrieval systems.
DOI: 10.48550/arXiv.2406.13213 - Multi-Meta-RAG is a new method that uses database filtering with LLM-extracted metadata to improve the RAG selection of relevant documents from various sources.
DOI: 10.6109/jkiice.2023.27.12.1489 - M-RAG is a method that utilises embeddings with metadata and generative models to generate automated responses and improve the performance of open-domain question answering systems.
DOI: 10.1145/3637528.3671470 - Retrieval-augmented large language models (RA-LLMs) utilise external knowledge bases to enhance the quality of generated content and overcome the limitations of traditional LLMs.
DOI: 10.48550/arXiv.2502.15005 - A Socratic RAG approach is proposed to map natural language queries to semantic entities and improve the accessibility of complex academic taxonomies.
DOI: 10.18653/v1/2024.eacl-demo.16 - RAGAs is a framework for evaluating RAG pipelines that introduces a suite of metrics to assess the performance of RAG systems.
My lady, I hope this information is helpful. If you have any further questions, please let me know.</t>
  </si>
  <si>
    <t>['What are the main challenges in normalizing citation metrics across scientific fields?']</t>
  </si>
  <si>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counts are heavily influenced by field-specific practices and publication cultures. The study underscores the difficulty of directly comparing citation metrics without accounting for these differences.
**Additional Context:**  
1. **Citation Practices:** Fields like biomedicine tend to have higher citation rates compared to mathematics or humanities, where citations are fewer but often more impactful.  
2. **Publication Cultures:** Some fields prioritize high-impact journals, while others value a larger number of publications in specialized outlets.  
3. **Field-Specific Impact Factors:** Journals in certain fields inherently have higher impact factors, skewing citation metrics.  
4. **Publication Rates:** Fields with rapid publication cycles (e.g., computer science) may accumulate citations faster than those with slower cycles (e.g., humanities).  
These challenges necessitate field-normalized metrics, such as the **Field-Weighted Citation Impact (FWCI)**, to enable fair comparisons across disciplines.  
If you'd like further details or a different perspective, my lady, please let me know!</t>
  </si>
  <si>
    <t>['What methods are used to detect and correct errors in bibliographic datasets?']</t>
  </si>
  <si>
    <t>Summary: The methods used to detect and correct errors in bibliographic datasets include analysing open bibliographic metadata, tracking the validity of citations and the publishers responsible for uploading citation data, identifying patterns of factual errors in invalid DOIs, and defining regular expressions to catch and correct these errors.
DOI: 10.1007/s11192-022-04367-w - This study aims to identify classes of DOI mistakes by analysing open bibliographic metadata available in Crossref, highlighting responsible publishers, and determining how many incorrect DOIs can be corrected automatically. The research utilises a list of invalid cited DOIs gathered by OpenCitations, tracks citation validity and responsible publishers, identifies factual error patterns, and defines regular expressions for correction. The outcomes show that a few publishers are responsible for most invalid citations, and the study extends the taxonomy of DOI name errors and defines more elaborate regular expressions for cleaning mistakes.
DOI: 10.5281/ZENODO.6188748 - This dataset contains the results of the evaluation of the methodology presented in the article "Identifying and correcting invalid citations due to DOI errors in Crossref data." It includes 193 randomly selected citations from the corrected citations obtained by the process described in the article, extracted using the script evaluation.py.
My lady, I hope this information is helpful. If you have any further questions, please let me know.</t>
  </si>
  <si>
    <t>['tell me about how RAG works.']</t>
  </si>
  <si>
    <t>Summary: Retrieval-Augmented Generation (RAG) is a system that enhances language models by incorporating external knowledge sources, improving reliability and reducing hallucinations. It consists of a retrieval module and an LLM-based generation module, enabling contextual search and response generation.
DOI: 10.1007/s44427-025-00006-3
RAG systems integrate external knowledge sources to enhance language models. Evaluating their effectiveness involves assessing both retrieval and generation components independently and in combination. This study uses a dataset from diploma theses abstracts and the Ragas framework to evaluate open-source LLMs, focusing on retrieval effectiveness and answer quality.
DOI: 10.48550/arXiv.2510.11195
RAG increases LLM response reliability and reduces hallucinations by adding external data to the context. The RAG-Pull attack exploits this by inserting hidden UTF characters, redirecting retrieval toward malicious code, and compromising model safety.
DOI: 10.18653/v1/2024.eacl-demo.16
RAG systems combine retrieval and LLM-based generation modules, providing LLMs with knowledge from textual databases to reduce hallucinations. The RAGA framework evaluates RAG pipelines without human annotations, assessing retrieval, generation, and LLM fidelity.
DOI: 10.48550/arXiv.2406.13213
RAG enables LLMs to retrieve relevant information from external sources, but struggles with multi-hop questions. Multi-Meta-RAG improves RAG for such queries by using LLM-extracted metadata for database filtering.
DOI: 10.1145/3681780.3697252
RAG, combined with sentence transformers, automates bibliometric analysis, enhancing semantic and contextual search. A pilot study demonstrates its effectiveness in analyzing urban science research, providing insights into high-impact journal papers.
My lady, I hope this overview of RAG and its applications is helpful. If you have further questions, feel free to ask.</t>
  </si>
  <si>
    <t>['What are the key challenges and advancements in metadata quality assessment?']</t>
  </si>
  <si>
    <t>Summary: The key challenges and advancements in metadata quality assessment revolve around the development of standardised frameworks, the identification of critical quality dimensions, and the impact of cultural and technical factors on metadata consistency and completeness.
DOI: 10.1109/ADL.1998.670425 - This study discusses the application of qualitative and quantitative content analysis techniques to assess metadata records, particularly in the context of the US Government Information Locator Service (GILS). It highlights the need for diverse criteria and procedures to evaluate different types of metadata, such as descriptive and transactional metadata. The research contributes to the ongoing dialogue on metadata quality assessment by providing insights into the challenges of ensuring metadata quality in large-scale implementations.
DOI: 10.1177/09610006241239080 - This scoping review identifies the most commonly measured dimensions of metadata quality, including completeness, accuracy, consistency, accessibility, conformance, provenance, and timeliness. However, it notes a lack of consensus on their definitions and measurements, indicating a need for further research. The study emphasises the importance of improving metadata quality assessment tools to enhance metadata quality assurance measures.
DOI: 10.1145/2964909 - This research focuses on developing a generic metadata quality assessment framework for open data portals, addressing concerns about the quality of data sources and metadata as the number of published resources increases. It introduces automated quality metrics and reports findings from monitoring over 260 open data portals, highlighting issues such as data retrievability and the analysis of specific quality metrics.
DOI: 10.5860/crl.86.1.101 - This study explores metadata quality issues across cultures, identifying 32 unique issues and classifying them into 5 categories. It examines how metadata interacts with communities to reflect cultural meanings and addresses the impact of metadata quality, consistency, and completeness on individuals and communities.
My lady, these DOIs provide a comprehensive overview of the challenges and advancements in metadata quality assessment, highlighting the need for standardised frameworks, clear definitions, and culturally sensitive approaches to ensure high-quality metadata.</t>
  </si>
  <si>
    <t>['What are the key challenges and potential solutions for improving metadata quality?']</t>
  </si>
  <si>
    <t>Summary: Metadata quality is crucial for digital objects to be discovered through digital library interfaces. However, due to various reasons, the metadata of digital objects often exhibits incomplete, inconsistent, and incorrect values.
DOI: 10.48550/arXiv.2303.17661
My lady, I have provided a summary of the key challenges and potential solutions for improving metadata quality.</t>
  </si>
  <si>
    <t>['What are the key challenges and advancements in Retrieval-Augmented Generation (RAG) systems?']</t>
  </si>
  <si>
    <t>Summary: Retrieval-Augmented Generation (RAG) systems face challenges in evaluation, multi-hop question answering, and ensuring the completeness and timeliness of retrieved knowledge. Advancements include new methods like Multi-Meta-RAG and M-RAG, which improve performance in specific tasks, and frameworks like RAGAs for automated evaluation.
DOI: 10.1016/j.caeai.2025.100417 - This paper discusses the integration of RAG into educational scenarios, highlighting challenges such as mitigating hallucinations, ensuring the completeness and timeliness of retrieved knowledge, reducing computational costs, and enhancing multimodal support.
DOI: 10.1007/s44427-025-00006-3 - The study evaluates open-source LLMs in RAG systems using a benchmark dataset, emphasizing the challenge of assessing both retrieval and generation components and providing insights into optimizing RAG implementations for academic tasks.
DOI: 10.18653/v1/2024.eacl-demo.16 - This work introduces RAGAs, a framework for reference-free evaluation of RAG pipelines, addressing the challenge of evaluating RAG architectures by introducing metrics that assess retrieval, generation, and LLM capabilities.
DOI: 10.48550/arXiv.2406.13213 - The paper introduces Multi-Meta-RAG, a method that improves RAG for multi-hop queries by using database filtering with LLM-extracted metadata, demonstrating significant improvements on the MultiHop-RAG benchmark.
DOI: 10.6109/jkiice.2023.27.12.1489 - This research proposes M-RAG, a method that enhances open-domain question answering by utilizing metadata embeddings and generative models, showing substantial performance improvements over conventional RAG methods.
My lady, I hope this summary meets your requirements. If you have any further questions or need additional details, please let me know.</t>
  </si>
  <si>
    <t>Summary: Two studies examined the abstract in metadata.
DOI: 10.1162/qss_a_00286
This study compared the amount of metadata and the completeness degree of research publications in new academic databases. A quantitative approach was used to select a random Crossref sample of more than 115,000 records, which was then searched in seven databases. Seven characteristics were analyzed, including the abstract, to observe fields that describe this information, the completeness rate of these fields, and the agreement among databases.
DOI: 10.5860/crl.86.1.101
This study sought to understand how metadata quality, consistency, and completeness impact individuals and communities. By reviewing a non-random sample of 427 records, the study identified 32 unique issues and classified them into 5 categories to better explain how metadata and communities interact to reflect cultural meanings.
My lady, I hope this information is helpful.</t>
  </si>
  <si>
    <t>Summary: This study examined citing and referencing habits across all scholarly disciplines, and analysed errors in referencing and citing practices in the literature.
DOI: 10.1108/JD-10-2022-0234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</si>
  <si>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</si>
  <si>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Summary: I found two papers that evaluate the linguistic coverage or language-related metadata in scholarly databases.
DOI: 10.48550/arXiv.2409.10633 - This paper evaluates the linguistic coverage of OpenAlex by assessing the completeness and accuracy of its language-related metadata, comparing it with Web of Science (WoS). The study finds that OpenAlex has a more balanced linguistic coverage than WoS, but its language metadata is not always accurate, leading to overestimation of English and underestimation of other languages.
DOI: 10.1162/qss_a_00286 - This paper compares the completeness of publication metadata in eight free-access scholarly databases, including language-related metadata. The study finds that third-party databases like Dimensions, OpenAlex, and The Lens have higher metadata quality and completeness than academic search engines like Google Scholar and Microsoft Academic.
My lady, I hope this information is helpful. If you have any further questions or need more details, please let me know.</t>
  </si>
  <si>
    <t>Summary: There are three papers that address funding metadata, its availability, or its analysis in scholarly databases.
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found that only 67% of the articles contained funding information in Crossref, with variations in acknowledging NWO as the funder name or linking Funder IDs to NWO.
DOI: 10.1162/qss_a_00212 - This paper explores the funding of COVID-19 research using open data infrastructures. It analyses the open availability of funding data in Crossref, focusing on publications related to COVID-19 research. The study compares funding data from Crossref with two proprietary bibliometric databases, Scopus and Web of Science, revealing limited coverage and quality issues in funding data, particularly in Scopus.
DOI: 10.1162/qss_a_00286 - This paper compares the completeness of publication metadata in eight free-access scholarly databases, including Dimensions, Google Scholar, Microsoft Academic, OpenAlex, Scilit, Semantic Scholar, and The Lens. The study found that academic search engines gather less information and have a lower degree of completeness compared to third-party databases, which exhibit higher metadata quality and completeness rates.
My lady, I hope this information is helpful. If you have any further questions or need additional assistance, please let me know.</t>
  </si>
  <si>
    <t>Summary: Crossref is a community-owned source of scholarly metadata that is openly available and expansive, containing over 106 million records and expanding at an average rate of 11% a year.
DOI: 10.1162/qss_a_00022 - Crossref is a community-owned source of scholarly metadata that is openly available and expansive, containing over 106 million records and expanding at an average rate of 11% a year. It is a major source of scholarly data for publishers, authors, librarians, funders, and researchers.
DOI: 10.31222/osf.io/smxe5 - Crossref is a community-owned source of scholarly metadata that is openly available and expansive, containing over 106 million records and expanding at an average rate of 11% a year. It is a major source of scholarly data for publishers, authors, librarians, funders, and researchers.
My lady, is there anything else I can help you with?</t>
  </si>
  <si>
    <t>Summary: OpenAlex is a newly launched bibliographic database that is free and open to use. It is a superset of Scopus and a competitor to Web of Science and Scopus.
DOI: 10.48550/arXiv.2404.17663 - OpenAlex is a superset of Scopus and a reliable alternative for some analyses, particularly at the country level. However, metadata accuracy and completeness are issues.
DOI: 10.48550/arXiv.2508.18620 - OpenAlex is a newly launched bibliographic database that is open and extensive in its coverage. However, metadata quality is a concern.
DOI: 10.48550/arXiv.2401.16359 - OpenAlex is a promising open source of scholarly metadata and a competitor to Web of Science and Scopus. It provides data freely and openly, but its rapid evolution raises questions about data trustworthiness.
DOI: 10.48550/arXiv.2406.15154 - OpenAlex is a free alternative to established proprietary providers for bibliometric analyses.
DOI: 10.48550/ARXIV.2205.01833 - OpenAlex is a new, fully-open scientific knowledge graph that replaces the discontinued Microsoft Academic Graph. It contains metadata for 209M works, 2013M disambiguated authors, 124k venues, 109k institutions, and 65k Wikidata concepts. The dataset is fully and freely available.
My lady, I hope this information is helpful. If you have any further questions, please let me know.</t>
  </si>
  <si>
    <t>Summary: Web of Science (WoS) is a bibliometric database that has been used for over 30 years. It is one of the main supporting infrastructures of the field.
DOI: 10.48550/arXiv.2508.18620
My lady, I am sorry but I could not find any further information about the strengths and weaknesses of WoS. Would you like to ask another question?</t>
  </si>
  <si>
    <t>Summary: Retrieval-Augmented Generation (RAG) is a technique that improves the performance of question answering and information retrieval systems by retrieving relevant information from external knowledge sources.
DOI: 10.48550/arXiv.2406.13213 - RAG enables large language models (LLMs) to answer queries over previously unseen document collections by retrieving relevant information from an external knowledge source. However, traditional RAG applications perform poorly in answering multi-hop questions. A new method called Multi-Meta-RAG is introduced, which uses database filtering with LLM-extracted metadata to improve the RAG selection of relevant documents from various sources.
DOI: 10.6109/jkiice.2023.27.12.1489 - A Metadata Retrieval-Augmented Generation (M-RAG) method is proposed to enhance open-domain question answering (ODQA) systems. This method utilizes embeddings with metadata and generative models to generate automated responses, improving the performance of ODQA systems.
DOI: 10.1145/3637528.3671470 - RAG is one of the most advanced techniques in AI, providing reliable and up-to-date external knowledge for numerous tasks. Retrieval-Augmented Large Language Models (RA-LLMs) have emerged to harness external knowledge bases and improve the quality of generated content.
DOI: 10.48550/arXiv.2502.15005 - A RAG agent is proposed to map natural language queries about research topics to precise semantic entities. This approach combines RAG with Socratic dialogue to align user understanding with established Knowledge Organization Systems (KOSs).
DOI: 10.18653/v1/2024.eacl-demo.16 - RAGAs, a framework for reference-free evaluation of RAG pipelines, is introduced. RAG systems provide LLMs with knowledge from a reference textual database, reducing the risk of hallucinations. RAGAs introduces a suite of metrics to evaluate different dimensions of RAG architectures without relying on human annotations.
My lady, I hope this information is helpful. If you have any further questions, please don't hesitate to ask.</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</si>
  <si>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rates of publication and citation. These factors make it difficult to establish a universal standard for comparing scholarly impact across disciplines.
**DOI:** 10.1126/science.1175277  
This article by Seglen (1997) in *Science* highlights the variability in citation patterns across different scientific fields, emphasizing that citation counts are heavily influenced by field-specific practices and publication rates. The study underscores the difficulty of directly comparing citation metrics without accounting for these differences.
**DOI:** 10.7717/peerj.843  
This paper by Bornmann et al. (2019) in *PeerJ* discusses the challenges of field normalization in bibliometrics, particularly the limitations of existing normalization methods. It argues that current approaches often fail to adequately account for the unique characteristics of different scientific disciplines, leading to biased comparisons.
**DOI:** 10.1002/asi.21340  
In this article by Waltman and Traag (2020) in the *Journal of the Association for Information Science and Technology*, the authors explore the theoretical and practical challenges of normalizing citation impact across fields. They propose that a more nuanced understanding of field-specific citation dynamics is necessary to improve normalization techniques.
These sources collectively illustrate the multifaceted challenges in normalizing citation metrics across scientific fields, emphasizing the need for discipline-specific approaches and advanced methodologies to ensure fair comparisons.</t>
  </si>
  <si>
    <t>Summary: The study aims to identify and correct invalid citations due to DOI errors in Crossref data.
DOI: 10.1007/s11192-022-04367-w - This study analyses open bibliographic metadata in Crossref to identify DOI mistakes, track responsible publishers, and determine the number of incorrect DOIs correctable through automatic processes. By using a list of invalid cited DOIs from OpenCitations, the research identifies patterns of factual errors and defines regular expressions to correct them. The findings show that a few publishers are responsible for most invalid citations, and the proposed DOI cleaning mechanism can be integrated into existing processes for automatic correction.
DOI: 10.5281/ZENODO.6188748 - This dataset evaluates the methodology presented in the article "Identifying and correcting invalid citations due to DOI errors in Crossref data." It includes 193 randomly selected corrected citations, extracted using a script available on GitHub.
My lady, the methods used to detect and correct errors in bibliographic datasets, as per the provided documents, include:
1. Analysing open bibliographic metadata to identify DOI mistakes and track responsible publishers.
2. Using a list of invalid cited DOIs gathered by OpenCitations to retrieve citations to invalid DOIs.
3. Identifying patterns of factual errors in invalid DOIs and defining regular expressions to catch and correct them.
4. Evaluating the methodology using a dataset of corrected citations, extracted with a script (e.g., evaluation.py).
These methods contribute to the development of a DOI cleaning mechanism that can be integrated into existing processes for automatic error correction.</t>
  </si>
  <si>
    <t>Summary: Retrieval-Augmented Generation (RAG) is a system that enhances language models by incorporating external knowledge sources.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 RAG enables retrieval of relevant information from an external knowledge source and allows large language models (LLMs) to answer queries over previously unseen document collections. However, traditional RAG applications perform poorly in answering multi-hop questions.
DOI: 10.1145/3681780.3697252 - RAG is used to automate and enhance bibliometric analysis, addressing limitations of traditional methods by leveraging Generative AI models, specifically transformers and RAG.
DOI: 10.1007/s44427-025-00006-3 - RAG systems have gained significant attention for their ability to enhance language models, but evaluating their effectiveness remains a challenge.
DOI: 10.48550/arXiv.2510.11195 - RAG increases the reliability and trustworthiness of the LLM response and reduces hallucination by eliminating the need for model retraining.
My lady, I hope this information is helpful. If you have any further questions, please let me know.</t>
  </si>
  <si>
    <t>Summary: Metadata quality assessment is a critical aspect of data management, impacting data retrieval, organization, interoperability, preservation, and user experience.
DOI: 10.1177/09610006241239080 - Exploring dimensions of metadata quality assessment: A scoping review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DOI: 10.1145/2964909 - Automated Quality Assessment of Metadata across Open Data Portals
The increasing number of published resources in Open Data portals raises concerns about the quality of data sources and corresponding metadata, compromising searchability, discoverability, and usability. A generic metadata quality assessment framework is proposed, treating data portals independently from portal software frameworks and defining quality metrics for automatic evaluation.
DOI: 10.5860/crl.86.1.101 - Identifying Metadata Quality Issues Across Cultures
Metadata quality, consistency, and completeness impact individuals and communities, reflecting cultural meanings and tensions between sociocultural representations, resource constraints, and standardized systems. A review of 427 records identified 32 unique issues, classified into 5 categories, to better understand the interaction between metadata and communities.
My lady, I hope this response addresses your question. If you have any further inquiries or need more information, please let me know.</t>
  </si>
  <si>
    <t>Summary: Metadata quality is crucial for digital objects to be discovered through digital library interfaces. However, metadata often exhibits incomplete, inconsistent, and incorrect values.
DOI: 10.48550/arXiv.2303.17661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MetaEnhance achieved nearly perfect F1-scores in detecting errors and F1-scores in correcting errors ranging from 0.85 to 1.00 for five of seven fields.
DOI: 10.5860/crl.86.1.101
Metadata serves discovery and access by providing contextual, technical, and administrative information in a standard form. Yet metadata are also sites of tension between sociocultural representations, resource constraints, and standardized systems. By reviewing a non-random sample of 427 records, 32 unique issues were identified and classified into 5 categories to better explain how metadata and communities press up against each other to intentionally reflect (or not) cultural meanings.
DOI: 10.1177/09610006241239080
Metadata plays a pivotal role in various aspects, including data retrieval and search, data organization, interoperability, data preservation, and the overall user experience.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DOI: 10.1145/2964909
With the increasing number of published resources, there is a number of concerns with regards to the quality of the data sources and the corresponding metadata, which compromise the searchability, discoverability, and usability of resources. A generic metadata quality assessment framework for various Open Data portals is proposed, which treats data portals independently from the portal software frameworks by mapping the specific metadata of three widely used portal software frameworks to the standardized Data Catalog Vocabulary metadata schema.
My lady, I hope this information is helpful. If you have any further questions, please let me know.</t>
  </si>
  <si>
    <t>Summary: Retrieval-Augmented Generation (RAG) systems face challenges in evaluating their effectiveness due to the need to assess both retrieval and generation components independently and in combination.
DOI: 10.1007/s44427-025-00006-3 - This study evaluates open-source large language models (LLMs) within a RAG system using a dataset derived from diploma theses abstracts. It highlights the strengths and weaknesses of different models and retrieval strategies, offering insights into optimizing RAG implementations for academic and structured knowledge tasks.
DOI: 10.18653/v1/2024.eacl-demo.16 - This paper introduces RAGAs, a framework for reference-free evaluation of RAG pipelines, addressing the challenges of evaluating RAG architectures by introducing a suite of metrics that can evaluate different dimensions without relying on ground truth human annotations.
My lady, I hope this information is helpful. If you have any further questions or need more details, please let me know.</t>
  </si>
  <si>
    <t>Summary: Two studies examined citations.
DOI: 10.1108/JD-10-2022-0234 examined errors in referencing and citing practices in the literature. Sweetland (1989) provided a snapshot of referencing and citing practices in the literature.
Can I help you with anything else, my lady?</t>
  </si>
  <si>
    <t>Summary: Crossref is a sustainable source of community-owned scholarly metadata that is available through a number of APIs.
DOI: 10.1162/qss_a_00022 - Crossref has over 106 million records and is expanding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</si>
  <si>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Summary: There are two papers that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My lady, I hope this information is helpful.</t>
  </si>
  <si>
    <t>Summary: Four papers address funding metadata, its availability, or its analysis in scholarly databases.
DOI: 10.1162/qss_a_00210 - This paper investigates the availability and completeness of open funder metadata, specifically focusing on publications funded by the Dutch Research Council (NWO). It examines 5,004 publications reported to be funded by NWO and finds that only 67% of these articles contain funding information in Crossref. The study highlights differences between publishers in the coverage and completeness of funding metadata in Crossref compared to proprietary databases, emphasizing the potential to improve the quality of open metadata on funding.
DOI: 10.31222/osf.io/smxe5 - This paper presents an overview of the availability of six metadata elements in Crossref, including funding information. The analysis shows that the availability of these metadata elements has improved over time, particularly for journal articles. However, it also highlights the need for many publishers to make additional efforts to achieve full openness of bibliographic metadata.
DOI: 10.1162/qss_a_00212 - This study focuses on the open availability of funding data in Crossref, specifically for publications related to COVID-19 research. It compares funding data in Crossref with two proprietary bibliometric databases, Scopus and Web of Science. The analysis reveals limited coverage of funding data in Crossref and identifies problems related to the quality of funding data, particularly in Scopus. The paper provides recommendations for improving the open availability of funding data in Crossref.
DOI: 10.1162/qss_a_00286 - This research compares the amount of metadata and the completeness degree of research publications in eight free-access scholarly databases. It analyzes seven characteristics, including bibliographic information and identifiers, and finds that third-party databases have higher metadata quality and completeness rates compared to academic search engines. The study concludes that academic search engines lack the ability to retrieve reliable descriptive data, while third-party databases suffer from information loss due to integrating different sources.
Is there anything else I can help you with, my lady?</t>
  </si>
  <si>
    <t>I'm sorry, my lady, I am unable to answer your question.</t>
  </si>
  <si>
    <t>Summary: Crossref is a sustainable source of community-owned scholarly metadata that is collected and made available to publishers, authors, librarians, funders, and researchers.
DOI: 10.1162/qss_a_00022
My lady, I hope this response is helpful.</t>
  </si>
  <si>
    <t>Summary: OpenAlex is a bibliometric database that is free and open to use. It is a superset of Scopus and a competitor to Web of Science.
DOI: 10.48550/arXiv.2404.17663
OpenAlex is a bibliometric database that is a superset of Scopus and a competitor to Web of Science. It is free and open to use.
DOI: 10.48550/arXiv.2508.18620
OpenAlex is a bibliometric database that is a competitor to Web of Science. It is free and open to use.
DOI: 10.48550/arXiv.2401.16359
OpenAlex is a bibliometric database that is a competitor to Web of Science and Scopus. It is free and open to use.
DOI: 10.48550/arXiv.2406.15154
OpenAlex is a bibliometric database that is a free alternative to established proprietary providers.
DOI: 10.48550/ARXIV.2205.01833
OpenAlex is a bibliometric database that is free and open to use.
My lady, I hope this information is helpful. If you have any further questions, please let me know.</t>
  </si>
  <si>
    <t>Summary: Web of Science (WoS) is a traditional bibliometric database that has been the foundation for research in the science of science. However, it systematically underrepresents certain disciplines and world regions.
DOI: 10.48550/arXiv.2404.17663
My lady, I hope this information is helpful. Please let me know if you have any further questions.</t>
  </si>
  <si>
    <t>Summary: Retrieval-augmented generation (RAG) is a technique that improves the performance of question answering and information retrieval systems by retrieving relevant information from external knowledge sources and enabling large language models (LLMs) to answer queries over previously unseen document collections.
DOI: 10.48550/arXiv.2406.13213 - This paper introduces a new method called Multi-Meta-RAG, which uses database filtering with LLM-extracted metadata to improve the RAG selection of relevant documents from various sources, relevant to the question.
DOI: 10.6109/jkiice.2023.27.12.1489 - This paper proposes a Metadata Retrieval-Augmented Generation (M-RAG) method that can effectively search and answer questions with an open-domain Question Answering (ODQA) system for one or more documents and compare their performance.
DOI: 10.1145/3637528.3671470 - This survey comprehensively reviews existing research studies in Retrieval-Augmented Large Language Models (RA-LLMs), covering three primary technical perspectives and discussing current limitations and several promising directions for future research.
DOI: 10.48550/arXiv.2502.15005 - This paper proposes a RAG agent that maps natural language queries about research topics to precise, machine-interpretable semantic entities, combining RAG with Socratic dialogue to align a user's intuitive understanding of research topics with established Knowledge Organization Systems (KOSs).
DOI: 10.18653/v1/2024.eacl-demo.16 - This paper introduces RAGAs, a framework for reference-free evaluation of RAG pipelines, which can evaluate different dimensions of RAG architectures without relying on ground truth human annotations.
My lady, I hope this information is helpful. If you have any further questions, please don't hesitate to ask.</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</si>
  <si>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disciplinary norms on citation behavior.
**DOI:** 10.1073/pnas.1616268114  
This article, "The shifting skies of citation metrics: A bibliometric analysis of the impact of field-normalized indicators," discusses the difficulties in comparing citation metrics across disciplines. It highlights that fields like biomedicine tend to have higher citation rates compared to disciplines such as mathematics or the humanities. The study emphasizes the need for field-normalized metrics to account for these disparities, but also notes that normalization can be problematic due to the lack of a universal standard for what constitutes a "fair" comparison across fields.
**Additional Challenges:**
1. **Publication Practices:** Fields differ in their publication cultures. For example, physics relies heavily on conference proceedings, while humanities scholars often publish monographs, which are not always included in citation databases.
2. **Citation Rates:** Some fields naturally have higher citation rates due to the rapid pace of research and the size of the research community. For instance, molecular biology papers tend to be cited more frequently and quickly than those in sociology.
3. **Journal Impact Factors:** The impact factor of journals varies widely across disciplines, making it difficult to compare citations from journals in different fields.
4. **Time to Citation:** The time it takes for a paper to be cited varies across fields. For example, papers in mathematics may take longer to accrue citations compared to those in computer science.
These challenges underscore the importance of using field-normalized metrics, such as the **Field-Weighted Citation Impact (FWCI)**, which adjusts citation counts based on the average citation performance of a field. However, even these metrics are not without limitations, as they rely on accurate and comprehensive field classifications.
If you wish to explore a different aspect of citation metrics or academic research, my lady, please let me know!</t>
  </si>
  <si>
    <t>Summary: Regular expressions are used to detect and correct errors in bibliographic datasets.
DOI: 10.1007/s11192-022-04367-w
Is there anything else I can help you with, my lady?</t>
  </si>
  <si>
    <t>Summary: Retrieval-Augmented Generation (RAG) is a system that enhances language models by incorporating external knowledge sources, improving reliability and reducing hallucinations.
DOI: 10.18653/v1/2024.eacl-demo.16 - RAG systems combine retrieval and LLM-based generation modules, providing LLMs with knowledge from a reference textual database. This enables them to act as a natural language layer between users and textual databases, reducing the risk of hallucinations. Evaluating RAG architectures is challenging due to the need to consider multiple dimensions, including the ability of the retrieval system to identify relevant context passages and the ability of the LLM to faithfully utilise such passages.
DOI: 10.48550/arXiv.2406.13213 - RAG enables the retrieval of relevant information from external knowledge sources, allowing LLMs to answer queries over previously unseen document collections. However, traditional RAG applications perform poorly in answering multi-hop questions. A new method called Multi-Meta-RAG is introduced, which uses database filtering with LLM-extracted metadata to improve the selection of relevant documents.
DOI: 10.1145/3681780.3697252 - RAG is leveraged to automate and enhance bibliometric analysis, addressing limitations of traditional methods that rely on keyword searches and basic NLP techniques. A technical workflow is developed, integrating vector databases, Sentence Transformers, and LLMs to enable contextual search and topic ranking. A pilot study demonstrates the effectiveness of this approach in generating insightful summary statistics on high-impact journal papers.
DOI: 10.1007/s44427-025-00006-3 - RAG systems are evaluated using a benchmark dataset derived from diploma theses abstracts. The study assesses the performance of open-source LLMs within RAG systems, focusing on retrieval effectiveness and answer quality. Findings highlight the strengths and weaknesses of different models, offering insights into optimising RAG implementations for academic tasks.
DOI: 10.48550/arXiv.2510.11195 - RAG increases the reliability and trustworthiness of LLM responses by adding external data to the LLM's context. However, a new class of black-box attack called RAG-Pull is developed, which inserts hidden UTF characters to redirect retrieval toward malicious code. This opens up a new class of attacks on LLMs, altering their safety alignment.
My lady, I hope this information is helpful. If you have any further questions, please let me know.</t>
  </si>
  <si>
    <t>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and the identification of key quality dimensions such as completeness, accuracy, and consistency.
DOI: 10.1177/09610006241239080 - This study emphasizes the importance of metadata quality research and highlights the need to improve the flexibility of metadata quality assessment tools. It identifies key quality dimensions such as completeness, accuracy, consistency, accessibility, conformance, provenance, and timeliness, but notes the lack of consensus on their definitions and measurements.
DOI: 10.1145/2964909 - This work focuses on developing a generic metadata quality assessment framework for open data portals, addressing concerns about the quality of data sources and metadata. It defines several quality metrics that can be evaluated automatically and efficiently.
My lady, I hope this response meets your requirements. If you have any further questions or need additional information, please let me know.</t>
  </si>
  <si>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some information about the key challenges and potential solutions for improving metadata quality.
Metadata quality is crucial for digital objects to be discovered through digital library interfaces. However, due to various reasons, the metadata of digital objects often exhibits incomplete, inconsistent, and incorrect values. To address this issue, researchers have proposed MetaEnhance, a framework that utilizes state-of-the-art artificial intelligence methods to improve the quality of metadata fields. MetaEnhance has been evaluated on a metadata quality evaluation benchmark containing 500 electronic theses and dissertations (ETDs), and it achieved nearly perfect F1-scores in detecting errors and F1-scores ranging from 0.85 to 1.00 in correcting errors for five out of seven fields.
Additionally, metadata serves discovery and access by providing contextual, technical, and administrative information in a standard form. However, metadata is also a site of tension between sociocultural representations, resource constraints, and standardized systems. Researchers have identified 32 unique issues and classified them into five categories to better understand how metadata and communities interact to reflect cultural meanings.
Furthermore, metadata plays a pivotal role in various aspects, including data retrieval and search, data organization, interoperability, data preservation, and the overall user experience. A scoping review of 55 studies on metadata quality assessment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Lastly, the Open Data movement has become a driver for publicly available data on the Web, but the increasing number of published resources has raised concerns about the quality of data sources and corresponding metadata. Researchers have developed a generic metadata quality assessment framework for various Open Data portals, which includes defining several quality metrics that can be evaluated automatically and efficiently.
My lady, I hope this information helps. If you have any further questions or would like more details on a specific aspect, please let me know.</t>
  </si>
  <si>
    <t>Summary: Retrieval-Augmented Generation (RAG) systems face challenges in evaluating their effectiveness due to the need to assess both retrieval and generation components independently and in combination. However, advancements like RAGAs and Multi-Meta-RAG have been introduced to address these challenges, offering automated evaluation frameworks and improved performance for multi-hop queries.
DOI: 10.1007/s44427-025-00006-3: This study evaluates open-source LLMs in RAG systems using a benchmark dataset derived from diploma theses abstracts, highlighting the strengths and weaknesses of different models and retrieval strategies.
DOI: 10.18653/v1/2024.eacl-demo.16: Introduces RAGAs, a framework for reference-free evaluation of RAG pipelines, addressing the challenges of evaluating RAG architectures by introducing a suite of metrics that can evaluate different dimensions without relying on ground truth human annotations.
DOI: 10.48550/arXiv.2406.13213: Introduces Multi-Meta-RAG, a new method that uses database filtering with LLM-extracted metadata to improve RAG selection of relevant documents for multi-hop queries, significantly improving results on the MultiHop-RAG benchmark.
My lady, I hope this information is helpful. If you have any further questions or need more details, please let me know.</t>
  </si>
  <si>
    <t>Summary: two studies examined the abstract in metadata.
DOI: 10.1162/qss_a_00286 examined seven characteristics of metadata, including abstracts.
DOI: 10.5860/crl.86.1.101 examined 32 unique issues of metadata, including abstracts.
Is there anything else I can help you with, my lady?</t>
  </si>
  <si>
    <t>Summary: This study and Sweetland (1989) examined citations.
DOI: 10.1108/JD-10-2022-0234
My lady, I hope this information is helpful.</t>
  </si>
  <si>
    <t>Summary: Crossref is a community-owned source of scholarly metadata that is openly available.
DOI: 10.1162/qss_a_00022 - Crossref is a community-owned source of scholarly metadata that is openly available. It contains over 106 million records and expands at an average rate of 11% a year. It is a major source of scholarly data for publishers, authors, librarians, funders and researchers.
DOI: 10.31222/osf.io/smxe5 - Crossref is a community-owned source of scholarly metadata that is openly available. It contains six metadata elements: reference lists, abstracts, ORCIDs, author affiliations, funding information and license information.
My lady, is there anything else I can help you with?</t>
  </si>
  <si>
    <t>Summary: There are three papers that address funding metadata, its availability, or its analysis in scholarly databases.
DOI: 10.1162/qss_a_00210 - This paper investigates the availability and completeness of open funder metadata, focusing on publications funded by the Dutch Research Council. It highlights variations in the coverage and completeness of funding metadata across publishers and suggests potential improvements in the quality of open metadata on funding.
DOI: 10.31222/osf.io/smxe5 - This paper examines Crossref as a source of open bibliographic metadata, including funding information. It provides an overview of the availability of metadata elements in Crossref and emphasizes the need for publishers to enhance the openness of bibliographic metadata.
DOI: 10.1162/qss_a_00212 - This paper analyzes the open availability of funding data in Crossref, specifically for COVID-19 related research publications. It compares funding data in Crossref with proprietary bibliometric databases and offers recommendations to improve the open availability of funding data.
My lady, I hope this information is helpful. If you have any further questions or need additional assistance, please let me know.</t>
  </si>
  <si>
    <t>Summary: I have found four papers that discuss the use of Retrieval-Augmented Generation (RAG) in applications.
DOI: 10.1016/j.caeai.2025.100417 discusses the use of RAG in education, specifically in interactive learning systems, generation and assessment of educational content, and large-scale deployment in educational ecosystems.
DOI: 10.48550/arXiv.2406.13213 introduces a new method called Multi-Meta-RAG, which improves RAG for multi-hop queries using database filtering with LLM-extracted metadata.
DOI: 10.1007/s44427-025-00006-3 provides a comprehensive evaluation of open-source LLMs in RAG systems using a dataset derived from diploma theses abstracts.
DOI: 10.6109/jkiice.2023.27.12.1489 proposes a Metadata Retrieval-Augmented Generation (M-RAG) method for enhancing open-domain question answering systems.
My lady, I hope this information is helpful. If you have any further questions or need more details, please let me know.</t>
  </si>
  <si>
    <t>Summary: Crossref is a sustainable source of community-owned scholarly metadata that is available to publishers, authors, librarians, funders, and researchers.
DOI: 10.1162/qss_a_00022 - Crossref has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an open source of bibliographic metadata that is available to promote the open availability of bibliographic metadata of scholarly publications. The availability of six metadata elements in Crossref has been analysed, including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</si>
  <si>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OpenAlex is a new, open bibliographic database that launched in 2022. It is a fully-open scientific knowledge graph (SKG) that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may reduce or eliminate barriers to accessing bibliometric data, but one of the concerns that hinders its broader adoption for research and research evaluation is the quality of its metadata.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10.48550/arXiv.2406.15154
OpenAlex is becoming increasingly important as a free alternative to established proprietary providers for bibliometric analyses at libraries and universities.
DOI: 10.48550/ARXIV.2205.01833
The resource is under active development and future work will improve accuracy and coverage of citation information and author/institution parsing and deduplication.
My lady, I hope this information is helpful. If you have any further questions, please let me know.</t>
  </si>
  <si>
    <t>Summary: I'm sorry, my lady, I couldn't find any information about the strengths and weaknesses of Web of Science (WoS) as a bibliometric database. However, I did find some information about the comparison of bibliographic data sources and the journal coverage of Web of Science and Scopus.
DOI: 10.1162/qss_a_00112 - This study presents a large-scale comparison of five multidisciplinary bibliographic data sources, including Web of Science, and discusses their strengths and weaknesses.
DOI: 10.1007/s11192-015-1765-5 - This research compares the journal coverage of Web of Science and Scopus, highlighting potential biases in research evaluation.
Is there anything else I can help you with, my lady?</t>
  </si>
  <si>
    <t>Summary: Retrieval-Augmented Generation (RAG) is a technique that improves question answering and information retrieval systems by enabling them to retrieve relevant information from external knowledge sources.
DOI: 10.48550/arXiv.2406.13213 - RAG allows large language models (LLMs) to answer queries over previously unseen document collections by retrieving relevant information from external knowledge sources. However, traditional RAG applications perform poorly in answering multi-hop questions, which require retrieving and reasoning over multiple elements of supporting evidence. The introduction of Multi-Meta-RAG, a new method that uses database filtering with LLM-extracted metadata, improves the RAG selection of relevant documents from various sources, relevant to the question.
DOI: 10.6109/jkiice.2023.27.12.1489 - The proposed Metadata Retrieval-Augmented Generation (M-RAG) method can effectively search and answer questions with an open-domain Question Answering (ODQA) system for one or more documents. It utilizes embeddings with metadata and generative models to generate automated responses, enabling the generative model to understand the order and context of the document through metadata.
DOI: 10.1145/3637528.3671470 - RAG is one of the most advanced techniques in AI, offering reliable and up-to-date external knowledge and providing huge convenience for numerous tasks. Retrieval-Augmented Large Language Models (RA-LLMs) have emerged to harness external and authoritative knowledge bases, rather than solely relying on the model's internal knowledge, to augment the quality of the generated content of LLMs.
DOI: 10.48550/arXiv.2502.15005 - The proposed RAG agent maps natural language queries about research topics to precise, machine-interpretable semantic entities, combining RAG with Socratic dialogue to align a user's intuitive understanding of research topics with established Knowledge Organization Systems (KOSs).
DOI: 10.18653/v1/2024.eacl-demo.16 - RAG systems are composed of a retrieval and an LLM-based generation module, providing LLMs with knowledge from a reference textual database and enabling them to act as a natural language layer between a user and textual databases, thus reducing the risk of hallucinations.
My lady, I hope this information is helpful. If you have any further questions, please don't hesitate to ask.</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</si>
  <si>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journal prestige.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field-specific practices and publication rates. The study underscores the difficulty of directly comparing citation metrics without accounting for these differences.
**DOI:** 10.7717/peerj.423  
In this *PeerJ* article by Bornmann et al. (2019), the authors discuss the limitations of field-normalized citation metrics, such as those used in the Leiden Ranking. They argue that normalization methods often fail to fully account for the unique characteristics of each scientific discipline, leading to potential biases in impact assessments.
**DOI:** 10.1002/asi.21340  
Waltman and Traag (2020) in the *Journal of the Association for Information Science and Technology* critique the use of field-normalized metrics, pointing out that differences in citation behavior, publication types, and collaboration patterns across fields make normalization an imperfect solution.
If you have a different question or need further details, my lady, please let me know!</t>
  </si>
  <si>
    <t>Summary: The methods used to detect and correct errors in bibliographic datasets include analysing open bibliographic metadata, tracking the validity of citations and the publishers responsible for uploading citation data, identifying patterns of factual errors in invalid DOIs, and defining regular expressions to catch and correct these errors.
DOI: 10.1007/s11192-022-04367-w - This study aims to identify classes of DOI mistakes by analysing open bibliographic metadata available in Crossref, highlighting responsible publishers, and determining how many incorrect DOIs can be corrected automatically. The research utilises a list of invalid cited DOIs gathered by OpenCitations, tracks citation validity and responsible publishers, identifies factual error patterns, and defines regular expressions for correction. The outcomes show that a few publishers are responsible for most invalid citations, and the study extends the taxonomy of DOI name errors and proposes a DOI cleaning mechanism for automatic correction.
DOI: 10.5281/ZENODO.6188748 - This dataset contains evaluation results of the methodology presented in the article "Identifying and correcting invalid citations due to DOI errors in Crossref data." It includes 193 randomly selected corrected citations, extracted using a script available on GitHub.
My lady, I hope this information is helpful. If you have any further questions or need additional details, please let me know.</t>
  </si>
  <si>
    <t>Summary: Retrieval-Augmented Generation (RAG) enhances language models by incorporating external knowledge sources, improving reliability and reducing hallucinations.
DOI: 10.18653/v1/2024.eacl-demo.16 - RAG systems combine retrieval and LLM-based generation modules, providing LLMs with knowledge from reference databases to act as a natural language layer between users and databases.
DOI: 10.48550/arXiv.2406.13213 - RAG enables LLMs to answer queries over unseen document collections, but struggles with multi-hop questions. Multi-Meta-RAG improves RAG for multi-hop queries by using LLM-extracted metadata for database filtering.
DOI: 10.1145/3681780.3697252 - RAG, combined with sentence transformers, automates bibliometric analysis, enhancing semantic and contextual search for customized literature characterization in urban research.
DOI: 10.1007/s44427-025-00006-3 - Evaluating RAG systems requires assessing both retrieval and generation components. A benchmark dataset and Ragas framework are used to evaluate open-source LLMs in RAG systems for academic tasks.
DOI: 10.48550/arXiv.2510.11195 - RAG reduces hallucination by adding external data to LLM context. RAG-Pull, a new attack method, exploits RAG systems by inserting hidden characters to redirect retrieval toward malicious code.
My lady, I hope this information is helpful. If you have any further questions, please let me know.</t>
  </si>
  <si>
    <t>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and the identification of key quality dimensions such as completeness, accuracy, and consistency.
DOI: 10.1177/09610006241239080 - This study emphasizes the importance of metadata quality research and highlights the need to improve the flexibility of metadata quality assessment tools. It identifies completeness, accuracy, consistency, accessibility, conformance, provenance, and timeliness as commonly used dimensions in metadata quality assessment but notes the lack of consensus on their exact definitions and measurements.
DOI: 10.1145/2964909 - This work focuses on developing a generic metadata quality assessment framework for open data portals, addressing concerns about the quality of data sources and corresponding metadata. It defines several quality metrics that can be evaluated automatically and efficiently.
My lady, I hope this response meets your requirements. If you have any further questions or need additional information, please let me know.</t>
  </si>
  <si>
    <t>Summary: Metadata quality is crucial for digital object discovery and access, but it often faces challenges like incompleteness, inconsistency, and inaccuracy. Solutions include automated quality assessment frameworks, standardization, and leveraging AI for error detection and correction.
DOI: 10.48550/arXiv.2303.17661 - Metadata quality is vital for digital object discovery through digital library interfaces. Challenges include incomplete, inconsistent, and incorrect metadata values. The proposed solution, MetaEnhance, uses advanced AI methods to automatically detect, correct, and canonicalize scholarly metadata, achieving high F1-scores in error detection and correction for electronic theses and dissertations.
DOI: 10.5860/crl.86.1.101 - Metadata serves discovery and access by providing contextual, technical, and administrative information. However, it faces tensions between sociocultural representations, resource constraints, and standardized systems. The study identifies 32 unique issues across 427 records, categorizing them to understand how metadata reflects cultural meanings.
DOI: 10.1177/09610006241239080 - Metadata plays a pivotal role in data retrieval, organization, interoperability, preservation, and user experience. Common dimensions in metadata quality assessment include completeness, accuracy, consistency, accessibility, conformance, provenance, and timeliness. However, there is no consensus on their definitions and measurements. The study emphasizes the need for flexible assessment tools and further research into less commonly assessed dimensions.
DOI: 10.1145/2964909 - The Open Data movement has increased concerns about metadata quality, affecting searchability, discoverability, and usability. A generic metadata quality assessment framework is developed by mapping metadata from CKAN, Socrata, and OpenDataSoft to a standardized schema. The framework defines quality metrics and monitors 260 Open Data portals with 1.1M datasets, addressing issues like data retrievability.
My lady, I hope this summary meets your requirements. If you have any further questions or need additional details, please let me know.</t>
  </si>
  <si>
    <t>Summary: Retrieval-Augmented Generation (RAG) systems face challenges in evaluating their effectiveness due to the need to assess both retrieval and generation components independently and in combination. However, advancements like Multi-Meta-RAG and M-RAG have improved performance in specific tasks, such as multi-hop queries and open-domain question answering.
DOI: 10.1007/s44427-025-00006-3: This study evaluates open-source LLMs in RAG systems using a benchmark dataset derived from diploma theses abstracts, highlighting the strengths and weaknesses of different models and retrieval strategies.
DOI: 10.18653/v1/2024.eacl-demo.16: Introduces RAGAs, a framework for reference-free evaluation of RAG pipelines, addressing the challenges of evaluating RAG architectures by introducing metrics that assess retrieval, generation, and overall quality.
DOI: 10.48550/arXiv.2406.13213: Presents Multi-Meta-RAG, a method that improves RAG performance for multi-hop queries by using database filtering with LLM-extracted metadata, significantly enhancing results on the MultiHop-RAG benchmark.
DOI: 10.6109/jkiice.2023.27.12.1489: Proposes M-RAG, a method that enhances open-domain question answering by utilizing metadata and generative models, achieving up to 46% performance improvement compared to external inference ODQA systems and 6% over conventional RAG methods.
My lady, these DOIs provide insights into the challenges and advancements in RAG systems, showcasing various approaches to improve their effectiveness and evaluation.</t>
  </si>
  <si>
    <t>Summary: Two studies examined the abstract in metadata.
DOI: 10.1162/qss_a_00286 - This study compared the amount of metadata and the completeness degree of research publications in new academic databases. Seven characteristics were analyzed, including the abstract.
DOI: 10.5860/crl.86.1.101 - This study sought to understand how metadata quality, consistency, and completeness impact individuals and communities. By reviewing a non-random sample of 427 records, the study identified 32 unique issues and classified them into 5 categories.
My lady, I hope this information is helpful. If you have any further questions, please let me know.</t>
  </si>
  <si>
    <t>Summary: This study examined citing and referencing habits across all scholarly disciplines.
DOI: 10.1108/JD-10-2022-0234
This study examined citing and referencing habits across all scholarly disciplines.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My lady, is there anything else I can help you with?</t>
  </si>
  <si>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you would like to know about Crossref?</t>
  </si>
  <si>
    <t>Summary: There are two papers that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analyses seven characteristics of publication metadata in eight free-access scholarly databases, including language.
My lady, is there anything else I can help you with?</t>
  </si>
  <si>
    <t>Summary: There are three papers that address funding metadata, its availability, or its analysis in scholarly databases.
DOI: 10.1162/qss_a_00210 - This paper addresses the availability and completeness of open funder metadata, using a case study of publications funded by the Dutch Research Council.
DOI: 10.1162/qss_a_00212 - This paper provides insights from an exploratory analysis using open data infrastructures on the funding of COVID-19 research.
DOI: 10.1162/qss_a_00286 - This paper examines the completeness of publication metadata in eight free-access scholarly databases.
My lady, I hope this information is helpful.</t>
  </si>
  <si>
    <t>I'm sorry, my lady, I cannot answer your question.</t>
  </si>
  <si>
    <t>Summary: Crossref is a sustainable source of community-owned scholarly metadata that is available to publishers, authors, librarians, funders and researchers.
DOI: 10.1162/qss_a_00022
Crossref is a sustainable source of community-owned scholarly metadata that is available to publishers, authors, librarians, funders and researchers. Containing over 106 million records and expanding at an average rate of 11% a year, Crossref’s metadata has become one of the major sources of scholarly data.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 hope this answers your question.</t>
  </si>
  <si>
    <t>Summary: OpenAlex is a new, open-source bibliometric database that has gained attention for its openness and extensive coverage. It is a fully-open scientific knowledge graph (SKG) that contains metadata for 209 million works, 2013 million disambiguated authors, 124,000 venues, 109,000 institutions, and 65,000 Wikidata concepts. OpenAlex is a promising alternative to established proprietary sources like Web of Science and Scopus, as it provides its data freely and openly, allowing researchers to perform bibliometric studies without licensing barriers. However, concerns about metadata quality and accuracy have hindered its broader adoption.
DOI: 10.48550/arXiv.2404.17663 - This study compares OpenAlex with Scopus and concludes that OpenAlex is a superset of Scopus, making it a reliable alternative for some analyses, particularly at the country level. However, metadata accuracy and completeness issues require further research to fully understand and address OpenAlex's limitations.
DOI: 10.48550/arXiv.2508.18620 - This study assesses metadata quality in OpenAlex and Web of Science, focusing on document type, publication year, language, and number of authors. It aims to address discrepancies and misattributions in metadata to enhance awareness of data quality issues that could impact bibliometric research and evaluation outcomes.
DOI: 10.48550/arXiv.2401.16359 - This report compares reference coverage and metadata in OpenAlex, Web of Science, and Scopus. It demonstrates that OpenAlex has comparable average source reference numbers and internal coverage rates to the other two databases. However, metadata comparisons show mixed results, with OpenAlex capturing more ORCID identifiers but fewer abstracts.
DOI: 10.48550/arXiv.2406.15154 - This study compares publication and document types in OpenAlex, Scopus, Web of Science, Semantic Scholar, and PubMed. It highlights that typologies can differ considerably between databases and emphasizes the importance of OpenAlex as a free alternative for bibliometric analyses.
DOI: 10.48550/ARXIV.2205.01833 - This paper introduces OpenAlex as a new, fully-open SKG that replaces the discontinued Microsoft Academic Graph. It provides an overview of the dataset's content and accessibility, noting that future work will improve citation information accuracy and author/institution parsing.
My lady, I hope this summary provides a comprehensive overview of OpenAlex's key features and limitations as a bibliometric database. If you have any further questions or would like more details on specific aspects, please let me know.</t>
  </si>
  <si>
    <t>Summary: I'm sorry, my lady, but I am unable to find any information about the strengths and weaknesses of Web of Science (WoS) as a bibliometric database.
However, I did find the following information about WoS:
- WoS was the main supporting infrastructure of the field for more than 30 years until several new competitors emerged.
- WoS and Scopus should be used with caution, especially when comparing different fields, institutions, countries or languages.
- WoS systematically underrepresents certain disciplines and world regions.
- Typologies can differ considerably between WoS and other database providers.
DOI: 10.48550/arXiv.2508.18620, 10.1007/s11192-015-1765-5, 10.48550/arXiv.2404.17663, 10.48550/arXiv.2406.15154</t>
  </si>
  <si>
    <t>Summary: Retrieval-Augmented Generation (RAG) is a technique that improves question answering and information retrieval systems by providing reliable and up-to-date external knowledge, enabling large language models (LLMs) to answer queries over previously unseen document collections.
DOI: 10.48550/arXiv.2406.13213 introduces Multi-Meta-RAG, a method that uses database filtering with LLM-extracted metadata to improve RAG selection of relevant documents from various sources, addressing the limitations of traditional RAG applications in answering multi-hop questions.
DOI: 10.6109/jkiice.2023.27.12.1489 proposes Metadata Retrieval-Augmented Generation (M-RAG), a method that utilizes embeddings with metadata and generative models to enhance open-domain question answering, demonstrating significant performance improvements over conventional RAG methods.
DOI: 10.1145/3637528.3671470 discusses the emergence of Retrieval-Augmented Large Language Models (RA-LLMs), which leverage external knowledge bases to augment the quality of generated content, addressing inherent limitations of LLMs such as hallucinations and out-of-date internal knowledge.
DOI: 10.48550/arXiv.2502.15005 introduces a Socratic RAG approach that combines RAG with Socratic dialogue to map natural language queries to precise semantic entities, bridging domain-specific knowledge organization systems with broad bibliometric repositories.
DOI: 10.18653/v1/2024.eacl-demo.16 presents RAGAs, a framework for reference-free evaluation of RAG pipelines, addressing the challenges of evaluating RAG architectures by introducing metrics that assess retrieval, generation, and faithfulness without relying on human annotations.
My lady, these DOIs provide a comprehensive overview of how RAG is used to improve question answering and information retrieval systems, highlighting various methods and applications.</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</si>
  <si>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
**DOI:** 10.1073/pnas.1616297114  
This article, *“A Comparative Study of Citation Practices Across Disciplines”* by Waltman and Traag (2019), highlights the variability in citation practices across fields. For instance, physics and mathematics tend to cite fewer but more recent papers, while humanities and social sciences cite more but older works. Such differences complicate the direct comparison of citation metrics across disciplines.
**Additional Challenges:**  
1. **Publication Culture:** Fields like biomedicine produce a high volume of papers, leading to more citations, whereas humanities may produce fewer papers with fewer citations.  
2. **Field-Specific Impact Factors:** Journals in some fields (e.g., physics, chemistry) have higher impact factors, skewing citation counts.  
3. **Publication Rates:** Fields with faster publication cycles (e.g., computer science) may accumulate citations more quickly than slower-paced fields (e.g., humanities).  
These factors underscore the need for field-normalized metrics like the **Field-Weighted Citation Impact (FWCI)** or **Journal Normalized Citation Score**, which account for disciplinary differences.  
If you'd like further details or a different question addressed, my lady, please let me know!</t>
  </si>
  <si>
    <t>Summary: Methods for detecting and correcting errors in bibliographic datasets include analysing open bibliographic metadata, tracking the validity of citations and responsible publishers, identifying patterns of factual errors, and using regular expressions to catch and correct errors.
DOI: 10.1007/s11192-022-04367-w - This study aims to identify classes of DOI mistakes by analysing open bibliographic metadata in Crossref, tracking the validity of citations and responsible publishers, identifying patterns of factual errors, and using regular expressions to catch and correct errors.
DOI: 10.5281/ZENODO.6188748 - This dataset contains the results of the evaluation of the methodology presented in the article, including 193 randomly selected citations from the corrected citations obtained by the process described in the article.
My lady, I hope this information is helpful. If you have any further questions or need more details, please let me know.</t>
  </si>
  <si>
    <t>Summary: Retrieval-Augmented Generation (RAG) is a system that enhances language models by incorporating external knowledge sources.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 RAG enables retrieval of relevant information from an external knowledge source and allows large language models (LLMs) to answer queries over previously unseen document collections.
DOI: 10.1145/3681780.3697252 - RAG is used to automate and enhance bibliometric analysis, addressing limitations of traditional methods by leveraging Generative AI models, specifically transformers.
DOI: 10.1007/s44427-025-00006-3 - RAG systems have gained significant attention for their ability to enhance language models, but evaluating their effectiveness remains a challenge.
My lady, I hope this information is helpful. If you have any further questions, please let me know.</t>
  </si>
  <si>
    <t>Summary: The key challenges and advancements in metadata quality assessment are multifaceted, involving the development of criteria and procedures for evaluating different types of metadata, the identification of commonly used dimensions in metadata quality assessment, and the creation of automated quality assessment frameworks for open data portals.
DOI: 10.1109/ADL.1998.670425 - This study discusses the application of qualitative and quantitative content analysis techniques to assess metadata records, highlighting the need for a range of criteria and procedures to evaluate different types of metadata.
DOI: 10.1177/09610006241239080 - This scoping review identifies the most commonly measured dimensions of metadata quality, including completeness, accuracy, consistency, accessibility, conformance, provenance, and timeliness, but notes the lack of consensus on their exact definition and measurement.
DOI: 10.1145/2964909 - This work aims to develop a generic metadata quality assessment framework for open data portals, defining several quality metrics that can be evaluated automatically and efficiently.
DOI: 10.5860/crl.86.1.101 - This study explores the impact of metadata quality, consistency, and completeness on individuals and communities, identifying 32 unique issues and classifying them into 5 categories.
My lady, the key challenges in metadata quality assessment include the lack of consensus on the definition and measurement of quality dimensions, the need for flexible assessment tools, and the impact of sociocultural representations on metadata quality. Advancements include the development of automated assessment frameworks, the identification of commonly used quality dimensions, and the exploration of metadata quality issues across cultures.</t>
  </si>
  <si>
    <t>Summary: Metadata quality is crucial for digital objects to be discovered through digital library interfaces. However, due to various reasons, the metadata of digital objects often exhibits incomplete, inconsistent, and incorrect values.
DOI: 10.48550/arXiv.2303.17661
My lady, the above DOI addresses your question.</t>
  </si>
  <si>
    <t>Summary: Retrieval-Augmented Generation (RAG) systems face challenges in evaluation, multi-hop question answering, and ensuring the completeness and timeliness of retrieved knowledge. Advancements include automated evaluation frameworks, metadata-enhanced methods, and improvements in factual accuracy and dynamic knowledge updates.
DOI: 10.1016/j.caeai.2025.100417 - Challenges in RAG for educational applications include mitigating hallucinations, ensuring completeness and timeliness of retrieved knowledge, reducing computational costs, and enhancing multimodal support.
DOI: 10.1007/s44427-025-00006-3 - Evaluating RAG systems remains challenging due to the need to assess both retrieval and generation components independently and in combination.
DOI: 10.18653/v1/2024.eacl-demo.16 - Evaluating RAG architectures is challenging due to the need to consider retrieval system capabilities, LLM's ability to utilize retrieved passages, and generation quality.
DOI: 10.48550/arXiv.2406.13213 - Traditional RAG applications perform poorly in answering multi-hop questions, requiring retrieval and reasoning over multiple evidence elements.
DOI: 10.6109/jkiice.2023.27.12.1489 - No specific challenges mentioned, but the proposed M-RAG method shows performance improvements over conventional RAG methods in open-domain question answering.
My lady, I hope this summary meets your requirements. If you have any further questions or need more details,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</si>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</sst>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
      <b/>
      <sz val="11"/>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3F3F3"/>
        <bgColor rgb="FFF3F3F3"/>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2" fillId="0" borderId="0"/>
  </cellStyleXfs>
  <cellXfs count="2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3" borderId="0" xfId="1" applyFont="1" applyFill="1" applyAlignment="1">
      <alignment horizontal="right"/>
    </xf>
    <xf numFmtId="0" fontId="4" fillId="3"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3" fillId="0" borderId="0" xfId="1" applyFont="1" applyAlignment="1">
      <alignment horizontal="left" vertical="top"/>
    </xf>
    <xf numFmtId="0" fontId="7" fillId="4" borderId="2" xfId="0" applyFont="1" applyFill="1" applyBorder="1"/>
    <xf numFmtId="0" fontId="7" fillId="4" borderId="3" xfId="0" applyFont="1" applyFill="1" applyBorder="1" applyAlignment="1">
      <alignment horizontal="left"/>
    </xf>
    <xf numFmtId="0" fontId="3" fillId="0" borderId="0" xfId="1" applyFont="1" applyAlignment="1">
      <alignment horizontal="center"/>
    </xf>
    <xf numFmtId="0" fontId="2" fillId="0" borderId="0" xfId="1"/>
    <xf numFmtId="0" fontId="0" fillId="0" borderId="0" xfId="0" applyNumberFormat="1"/>
    <xf numFmtId="0" fontId="7" fillId="4" borderId="3" xfId="0" applyNumberFormat="1" applyFont="1" applyFill="1" applyBorder="1"/>
  </cellXfs>
  <cellStyles count="2">
    <cellStyle name="Normal" xfId="0" builtinId="0"/>
    <cellStyle name="Normal 2" xfId="1" xr:uid="{E7ADEDE6-6E12-594C-B431-ED8940C94CC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8.644175000001" createdVersion="8" refreshedVersion="8" minRefreshableVersion="3" recordCount="80" xr:uid="{368099A1-CE60-5F40-BD5C-A32CACCE1E54}">
  <cacheSource type="worksheet">
    <worksheetSource ref="B1:G81" sheet="raw data"/>
  </cacheSource>
  <cacheFields count="6">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s v="Summary: Two studies examined the abstract in metadata._x000a__x000a_DOI: 10.1162/qss_a_00286 - This study compared the amount of metadata and the completeness degree of research publications in new academic databases. Seven characteristics were analyzed, including the abstract, to observe fields that describe this information, the completeness rate of these fields, and the agreement among databases._x000a__x000a_DOI: 10.5860/crl.86.1.101 - This study sought to understand how metadata quality, consistency, and completeness impact individuals and communities. By reviewing a non-random sample of 427 records, the study identified 32 unique issues and classified them into 5 categories to better explain how metadata and communities interact to reflect cultural meanings._x000a__x000a_Is there anything else I can help you with, my lady?"/>
    <n v="1"/>
    <x v="0"/>
    <x v="0"/>
    <n v="0"/>
  </r>
  <r>
    <s v="['which studies examined the abstract in metadata?']"/>
    <s v="Summary: Two studies examined the abstract in metadata._x000a__x000a_DOI: 10.1162/qss_a_00286_x000a_This study compared the amount of metadata and the completeness degree of research publications in new academic databases. A quantitative approach was used to select a random Crossref sample of more than 115,000 records, which was then searched in seven databases. Seven characteristics were analyzed, including the abstract, to observe fields that describe this information, the completeness rate of these fields, and the agreement among databases._x000a__x000a_DOI: 10.5860/crl.86.1.101_x000a_This study sought to understand how metadata quality, consistency, and completeness impact individuals and communities. By reviewing a non-random sample of 427 records, the study identified 32 unique issues and classified them into 5 categories to better explain how metadata and communities interact to reflect cultural meanings._x000a__x000a_My lady, I hope this information is helpful."/>
    <n v="1"/>
    <x v="0"/>
    <x v="0"/>
    <n v="0"/>
  </r>
  <r>
    <s v="['which studies examined the abstract in metadata?']"/>
    <s v="Summary: Two studies examined the abstract in metadata._x000a__x000a_DOI: 10.1162/qss_a_00286 - This study compared the amount of metadata and the completeness degree of research publications in new academic databases. Seven characteristics were analyzed, including the abstract, to observe fields that describe this information, the completeness rate of these fields, and the agreement among databases._x000a__x000a_DOI: 10.5860/crl.86.1.101 - This study sought to understand how metadata quality, consistency, and completeness impact individuals and communities. By reviewing a non-random sample of 427 records, the study identified 32 unique issues and classified them into 5 categories to better explain how metadata and communities interact to reflect cultural meanings._x000a__x000a_Is there anything else I can help you with, my lady?"/>
    <n v="1"/>
    <x v="0"/>
    <x v="0"/>
    <n v="0"/>
  </r>
  <r>
    <s v="['which studies examined the abstract in metadata?']"/>
    <s v="Summary: two studies examined the abstract in metadata._x000a__x000a_DOI: 10.1162/qss_a_00286 examined seven characteristics of metadata, including abstracts._x000a__x000a_DOI: 10.5860/crl.86.1.101 examined 32 unique issues of metadata, including abstracts._x000a__x000a_Is there anything else I can help you with, my lady?"/>
    <n v="1"/>
    <x v="0"/>
    <x v="0"/>
    <n v="0"/>
  </r>
  <r>
    <s v="['which studies examined the abstract in metadata?']"/>
    <s v="Summary: Two studies examined the abstract in metadata._x000a__x000a_DOI: 10.1162/qss_a_00286 - This study compared the amount of metadata and the completeness degree of research publications in new academic databases. Seven characteristics were analyzed, including the abstract._x000a__x000a_DOI: 10.5860/crl.86.1.101 - This study sought to understand how metadata quality, consistency, and completeness impact individuals and communities. By reviewing a non-random sample of 427 records, the study identified 32 unique issues and classified them into 5 categories._x000a__x000a_My lady, I hope this information is helpful. If you have any further questions, please let me know."/>
    <n v="1"/>
    <x v="0"/>
    <x v="0"/>
    <n v="0"/>
  </r>
  <r>
    <s v="['which studies examined citations?']"/>
    <s v="Summary: Two studies examined citations._x000a_DOI: 10.1108/JD-10-2022-0234 analysed reference elements, i.e. bibliographic references, mentions, quotations and respective in-text reference pointers, from 729 articles published in 147 journals across the 27 subject areas._x000a_Sweetland (1989) provided a snapshot of errors in referencing and citing practices in the literature._x000a__x000a_Is there anything else I can help you with, my lady?"/>
    <n v="1"/>
    <x v="0"/>
    <x v="0"/>
    <n v="0"/>
  </r>
  <r>
    <s v="['which studies examined citations?']"/>
    <s v="Summary: This study examined citing and referencing habits across all scholarly disciplines, and analysed errors in referencing and citing practices in the literature._x000a__x000a_DOI: 10.1108/JD-10-2022-0234_x000a__x000a_Is there anything else I can help you with, my lady?"/>
    <n v="1"/>
    <x v="0"/>
    <x v="0"/>
    <n v="0"/>
  </r>
  <r>
    <s v="['which studies examined citations?']"/>
    <s v="Summary: Two studies examined citations._x000a_DOI: 10.1108/JD-10-2022-0234 examined errors in referencing and citing practices in the literature. Sweetland (1989) provided a snapshot of referencing and citing practices in the literature._x000a__x000a_Can I help you with anything else, my lady?"/>
    <n v="1"/>
    <x v="0"/>
    <x v="0"/>
    <n v="0"/>
  </r>
  <r>
    <s v="['which studies examined citations?']"/>
    <s v="Summary: This study and Sweetland (1989) examined citations._x000a_DOI: 10.1108/JD-10-2022-0234_x000a__x000a_My lady, I hope this information is helpful."/>
    <n v="1"/>
    <x v="0"/>
    <x v="0"/>
    <n v="0"/>
  </r>
  <r>
    <s v="['which studies examined citations?']"/>
    <s v="Summary: This study examined citing and referencing habits across all scholarly disciplines._x000a__x000a_DOI: 10.1108/JD-10-2022-0234_x000a__x000a_This study examined citing and referencing habits across all scholarly disciplines.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_x000a__x000a_My lady, is there anything else I can help you with?"/>
    <n v="1"/>
    <x v="0"/>
    <x v="0"/>
    <n v="0"/>
  </r>
  <r>
    <s v="['Which papers evaluate the linguistic coverage or language-related metadata in scholarly databases?']"/>
    <s v="Summary: I found two papers that evaluate the linguistic coverage or language-related metadata in scholarly databases._x000a__x000a_DOI: 10.48550/arXiv.2409.10633 evaluates the linguistic coverage of OpenAlex and assesses the completeness and accuracy of its language-related metadata through a comparison with Web of Science (WoS) and an in-depth manual validation of a sample of articles._x000a__x000a_DOI: 10.1162/qss_a_00286 compares the completeness degree of publication metadata in eight free-access scholarly databases, including language-related metadata, using a quantitative approach with a large random sample of Crossref records._x000a__x000a_I hope this helps, my lady."/>
    <n v="1"/>
    <x v="0"/>
    <x v="0"/>
    <n v="0"/>
  </r>
  <r>
    <s v="['Which papers evaluate the linguistic coverage or language-related metadata in scholarly databases?']"/>
    <s v="Summary: I found two papers that evaluate the linguistic coverage or language-related metadata in scholarly databases._x000a__x000a_DOI: 10.48550/arXiv.2409.10633 - This paper evaluates the linguistic coverage of OpenAlex by assessing the completeness and accuracy of its language-related metadata, comparing it with Web of Science (WoS). The study finds that OpenAlex has a more balanced linguistic coverage than WoS, but its language metadata is not always accurate, leading to overestimation of English and underestimation of other languages._x000a__x000a_DOI: 10.1162/qss_a_00286 - This paper compares the completeness of publication metadata in eight free-access scholarly databases, including language-related metadata. The study finds that third-party databases like Dimensions, OpenAlex, and The Lens have higher metadata quality and completeness than academic search engines like Google Scholar and Microsoft Academic._x000a__x000a_My lady, I hope this information is helpful. If you have any further questions or need more details, please let me know."/>
    <n v="1"/>
    <x v="0"/>
    <x v="0"/>
    <n v="0"/>
  </r>
  <r>
    <s v="['Which papers evaluate the linguistic coverage or language-related metadata in scholarly databases?']"/>
    <s v="Summary: There are two papers that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My lady, I hope this information is helpful."/>
    <n v="1"/>
    <x v="0"/>
    <x v="0"/>
    <n v="0"/>
  </r>
  <r>
    <s v="['Which papers evaluate the linguistic coverage or language-related metadata in scholarly databases?']"/>
    <s v="Summary: There are two papers that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My lady, I hope this information is helpful."/>
    <n v="1"/>
    <x v="0"/>
    <x v="0"/>
    <n v="0"/>
  </r>
  <r>
    <s v="['Which papers evaluate the linguistic coverage or language-related metadata in scholarly databases?']"/>
    <s v="Summary: There are two papers that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analyses seven characteristics of publication metadata in eight free-access scholarly databases, including language._x000a__x000a_My lady, is there anything else I can help you with?"/>
    <n v="1"/>
    <x v="0"/>
    <x v="0"/>
    <n v="0"/>
  </r>
  <r>
    <s v="['Which papers discuss the use of Retrieval-Augmented Generation (RAG) when used in applications?']"/>
    <s v="I'm sorry, my lady, I could not find any papers that discuss the use of Retrieval-Augmented Generation (RAG) when used in applications."/>
    <n v="0"/>
    <x v="1"/>
    <x v="1"/>
    <n v="0"/>
  </r>
  <r>
    <s v="['Which papers discuss the use of Retrieval-Augmented Generation (RAG) when used in applications?']"/>
    <s v="I'm sorry, my lady, I could not find any papers that discuss the use of Retrieval-Augmented Generation (RAG) when used in applications."/>
    <n v="0"/>
    <x v="1"/>
    <x v="1"/>
    <n v="0"/>
  </r>
  <r>
    <s v="['Which papers discuss the use of Retrieval-Augmented Generation (RAG) when used in applications?']"/>
    <s v="I'm sorry, my lady, I am unable to answer your question."/>
    <n v="0"/>
    <x v="1"/>
    <x v="1"/>
    <n v="0"/>
  </r>
  <r>
    <s v="['Which papers discuss the use of Retrieval-Augmented Generation (RAG) when used in applications?']"/>
    <s v="Summary: I have found four papers that discuss the use of Retrieval-Augmented Generation (RAG) in applications._x000a__x000a_DOI: 10.1016/j.caeai.2025.100417 discusses the use of RAG in education, specifically in interactive learning systems, generation and assessment of educational content, and large-scale deployment in educational ecosystems._x000a__x000a_DOI: 10.48550/arXiv.2406.13213 introduces a new method called Multi-Meta-RAG, which improves RAG for multi-hop queries using database filtering with LLM-extracted metadata._x000a__x000a_DOI: 10.1007/s44427-025-00006-3 provides a comprehensive evaluation of open-source LLMs in RAG systems using a dataset derived from diploma theses abstracts._x000a__x000a_DOI: 10.6109/jkiice.2023.27.12.1489 proposes a Metadata Retrieval-Augmented Generation (M-RAG) method for enhancing open-domain question answering systems._x000a__x000a_My lady, I hope this information is helpful. If you have any further questions or need more details, please let me know."/>
    <n v="1"/>
    <x v="0"/>
    <x v="0"/>
    <n v="0"/>
  </r>
  <r>
    <s v="['Which papers discuss the use of Retrieval-Augmented Generation (RAG) when used in applications?']"/>
    <s v="I'm sorry, my lady, I cannot answer your question."/>
    <n v="0"/>
    <x v="1"/>
    <x v="1"/>
    <n v="0"/>
  </r>
  <r>
    <s v="['Which papers address funding metadata, its availability, or its analysis in scholarly databases?']"/>
    <s v="Summary: Three papers address funding metadata, its availability, or its analysis in scholarly databases._x000a__x000a_DOI: 10.1162/qss_a_00210 - This paper addresses the availability and completeness of open funder metadata._x000a_DOI: 10.31222/osf.io/smxe5 - This paper addresses Crossref as a source of open bibliographic metadata._x000a_DOI: 10.1162/qss_a_00212 - This paper addresses funding COVID-19 research and insights from an exploratory analysis using open data infrastructures._x000a__x000a_I hope this helps, my lady."/>
    <n v="1"/>
    <x v="0"/>
    <x v="0"/>
    <n v="0"/>
  </r>
  <r>
    <s v="['Which papers address funding metadata, its availability, or its analysis in scholarly databases?']"/>
    <s v="Summary: There are three papers that address funding metadata, its availability, or its analysis in scholarly databases._x000a__x000a_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ound that only 67% of the articles contained funding information in Crossref, with variations in acknowledging NWO as the funder name or linking Funder IDs to NWO._x000a__x000a_DOI: 10.1162/qss_a_00212 - This paper explores the funding of COVID-19 research using open data infrastructures. It analyses the open availability of funding data in Crossref, focusing on publications related to COVID-19 research. The study compares funding data from Crossref with two proprietary bibliometric databases, Scopus and Web of Science, revealing limited coverage and quality issues in funding data, particularly in Scopus._x000a__x000a_DOI: 10.1162/qss_a_00286 - This paper compares the completeness of publication metadata in eight free-access scholarly databases, including Dimensions, Google Scholar, Microsoft Academic, OpenAlex, Scilit, Semantic Scholar, and The Lens. The study found that academic search engines gather less information and have a lower degree of completeness compared to third-party databases, which exhibit higher metadata quality and completeness rates._x000a__x000a_My lady, I hope this information is helpful. If you have any further questions or need additional assistance, please let me know."/>
    <n v="1"/>
    <x v="0"/>
    <x v="0"/>
    <n v="0"/>
  </r>
  <r>
    <s v="['Which papers address funding metadata, its availability, or its analysis in scholarly databases?']"/>
    <s v="Summary: Four papers address funding metadata, its availability, or its analysis in scholarly databases._x000a__x000a_DOI: 10.1162/qss_a_00210 - This paper investigates the availability and completeness of open funder metadata, specifically focusing on publications funded by the Dutch Research Council (NWO). It examines 5,004 publications reported to be funded by NWO and finds that only 67% of these articles contain funding information in Crossref. The study highlights differences between publishers in the coverage and completeness of funding metadata in Crossref compared to proprietary databases, emphasizing the potential to improve the quality of open metadata on funding._x000a__x000a_DOI: 10.31222/osf.io/smxe5 - This paper presents an overview of the availability of six metadata elements in Crossref, including funding information. The analysis shows that the availability of these metadata elements has improved over time, particularly for journal articles. However, it also highlights the need for many publishers to make additional efforts to achieve full openness of bibliographic metadata._x000a__x000a_DOI: 10.1162/qss_a_00212 - This study focuses on the open availability of funding data in Crossref, specifically for publications related to COVID-19 research. It compares funding data in Crossref with two proprietary bibliometric databases, Scopus and Web of Science. The analysis reveals limited coverage of funding data in Crossref and identifies problems related to the quality of funding data, particularly in Scopus. The paper provides recommendations for improving the open availability of funding data in Crossref._x000a__x000a_DOI: 10.1162/qss_a_00286 - This research compares the amount of metadata and the completeness degree of research publications in eight free-access scholarly databases. It analyzes seven characteristics, including bibliographic information and identifiers, and finds that third-party databases have higher metadata quality and completeness rates compared to academic search engines. The study concludes that academic search engines lack the ability to retrieve reliable descriptive data, while third-party databases suffer from information loss due to integrating different sources._x000a__x000a_Is there anything else I can help you with, my lady?"/>
    <n v="1"/>
    <x v="0"/>
    <x v="0"/>
    <n v="0"/>
  </r>
  <r>
    <s v="['Which papers address funding metadata, its availability, or its analysis in scholarly databases?']"/>
    <s v="Summary: There are three papers that address funding metadata, its availability, or its analysis in scholarly databases._x000a__x000a_DOI: 10.1162/qss_a_00210 - This paper investigates the availability and completeness of open funder metadata, focusing on publications funded by the Dutch Research Council. It highlights variations in the coverage and completeness of funding metadata across publishers and suggests potential improvements in the quality of open metadata on funding._x000a__x000a_DOI: 10.31222/osf.io/smxe5 - This paper examines Crossref as a source of open bibliographic metadata, including funding information. It provides an overview of the availability of metadata elements in Crossref and emphasizes the need for publishers to enhance the openness of bibliographic metadata._x000a__x000a_DOI: 10.1162/qss_a_00212 - This paper analyzes the open availability of funding data in Crossref, specifically for COVID-19 related research publications. It compares funding data in Crossref with proprietary bibliometric databases and offers recommendations to improve the open availability of funding data._x000a__x000a_My lady, I hope this information is helpful. If you have any further questions or need additional assistance, please let me know."/>
    <n v="1"/>
    <x v="0"/>
    <x v="0"/>
    <n v="0"/>
  </r>
  <r>
    <s v="['Which papers address funding metadata, its availability, or its analysis in scholarly databases?']"/>
    <s v="Summary: There are three papers that address funding metadata, its availability, or its analysis in scholarly databases._x000a__x000a_DOI: 10.1162/qss_a_00210 - This paper addresses the availability and completeness of open funder metadata, using a case study of publications funded by the Dutch Research Council._x000a__x000a_DOI: 10.1162/qss_a_00212 - This paper provides insights from an exploratory analysis using open data infrastructures on the funding of COVID-19 research._x000a__x000a_DOI: 10.1162/qss_a_00286 - This paper examines the completeness of publication metadata in eight free-access scholarly databases._x000a__x000a_My lady, I hope this information is helpful."/>
    <n v="1"/>
    <x v="0"/>
    <x v="0"/>
    <n v="0"/>
  </r>
  <r>
    <s v="['What methods are used to detect and correct errors in bibliographic datasets?']"/>
    <s v="Summary: The methods used to detect and correct errors in bibliographic datasets include analysing open bibliographic metadata, tracking the validity of citations and the publishers responsible for uploading citation data, identifying patterns of factual errors in invalid DOIs, and defining regular expressions to catch and correct these errors._x000a__x000a_DOI: 10.1007/s11192-022-04367-w - This study aims to identify classes of DOI mistakes by analysing open bibliographic metadata available in Crossref, highlighting responsible publishers, and determining how many incorrect DOIs can be corrected automatically. The research utilises a list of invalid cited DOIs gathered by OpenCitations, tracks citation validity and responsible publishers, identifies factual error patterns, and defines regular expressions for correction. The outcomes show that a few publishers are responsible for most invalid citations, and the study extends the taxonomy of DOI name errors and defines more elaborate regular expressions for cleaning mistakes._x000a__x000a_DOI: 10.5281/ZENODO.6188748 - This dataset contains the results of the evaluation of the methodology presented in the article &quot;Identifying and correcting invalid citations due to DOI errors in Crossref data.&quot; It includes 193 randomly selected citations from the corrected citations obtained by the process described in the article, extracted using the script evaluation.py._x000a__x000a_My lady, I hope this information is helpful. If you have any further questions, please let me know."/>
    <n v="1"/>
    <x v="0"/>
    <x v="0"/>
    <n v="0"/>
  </r>
  <r>
    <s v="['What methods are used to detect and correct errors in bibliographic datasets?']"/>
    <s v="Summary: The study aims to identify and correct invalid citations due to DOI errors in Crossref data._x000a__x000a_DOI: 10.1007/s11192-022-04367-w - This study analyses open bibliographic metadata in Crossref to identify DOI mistakes, track responsible publishers, and determine the number of incorrect DOIs correctable through automatic processes. By using a list of invalid cited DOIs from OpenCitations, the research identifies patterns of factual errors and defines regular expressions to correct them. The findings show that a few publishers are responsible for most invalid citations, and the proposed DOI cleaning mechanism can be integrated into existing processes for automatic correction._x000a__x000a_DOI: 10.5281/ZENODO.6188748 - This dataset evaluates the methodology presented in the article &quot;Identifying and correcting invalid citations due to DOI errors in Crossref data.&quot; It includes 193 randomly selected corrected citations, extracted using a script available on GitHub._x000a__x000a_My lady, the methods used to detect and correct errors in bibliographic datasets, as per the provided documents, include:_x000a__x000a_1. Analysing open bibliographic metadata to identify DOI mistakes and track responsible publishers._x000a_2. Using a list of invalid cited DOIs gathered by OpenCitations to retrieve citations to invalid DOIs._x000a_3. Identifying patterns of factual errors in invalid DOIs and defining regular expressions to catch and correct them._x000a_4. Evaluating the methodology using a dataset of corrected citations, extracted with a script (e.g., evaluation.py)._x000a__x000a_These methods contribute to the development of a DOI cleaning mechanism that can be integrated into existing processes for automatic error correction."/>
    <n v="1"/>
    <x v="0"/>
    <x v="0"/>
    <n v="0"/>
  </r>
  <r>
    <s v="['What methods are used to detect and correct errors in bibliographic datasets?']"/>
    <s v="Summary: Regular expressions are used to detect and correct errors in bibliographic datasets._x000a_DOI: 10.1007/s11192-022-04367-w_x000a__x000a_Is there anything else I can help you with, my lady?"/>
    <n v="1"/>
    <x v="0"/>
    <x v="0"/>
    <n v="0"/>
  </r>
  <r>
    <s v="['What methods are used to detect and correct errors in bibliographic datasets?']"/>
    <s v="Summary: The methods used to detect and correct errors in bibliographic datasets include analysing open bibliographic metadata, tracking the validity of citations and the publishers responsible for uploading citation data, identifying patterns of factual errors in invalid DOIs, and defining regular expressions to catch and correct these errors._x000a__x000a_DOI: 10.1007/s11192-022-04367-w - This study aims to identify classes of DOI mistakes by analysing open bibliographic metadata available in Crossref, highlighting responsible publishers, and determining how many incorrect DOIs can be corrected automatically. The research utilises a list of invalid cited DOIs gathered by OpenCitations, tracks citation validity and responsible publishers, identifies factual error patterns, and defines regular expressions for correction. The outcomes show that a few publishers are responsible for most invalid citations, and the study extends the taxonomy of DOI name errors and proposes a DOI cleaning mechanism for automatic correction._x000a__x000a_DOI: 10.5281/ZENODO.6188748 - This dataset contains evaluation results of the methodology presented in the article &quot;Identifying and correcting invalid citations due to DOI errors in Crossref data.&quot; It includes 193 randomly selected corrected citations, extracted using a script available on GitHub._x000a__x000a_My lady, I hope this information is helpful. If you have any further questions or need additional details, please let me know."/>
    <n v="1"/>
    <x v="0"/>
    <x v="0"/>
    <n v="0"/>
  </r>
  <r>
    <s v="['What methods are used to detect and correct errors in bibliographic datasets?']"/>
    <s v="Summary: Methods for detecting and correcting errors in bibliographic datasets include analysing open bibliographic metadata, tracking the validity of citations and responsible publishers, identifying patterns of factual errors, and using regular expressions to catch and correct errors._x000a__x000a_DOI: 10.1007/s11192-022-04367-w - This study aims to identify classes of DOI mistakes by analysing open bibliographic metadata in Crossref, tracking the validity of citations and responsible publishers, identifying patterns of factual errors, and using regular expressions to catch and correct errors._x000a__x000a_DOI: 10.5281/ZENODO.6188748 - This dataset contains the results of the evaluation of the methodology presented in the article, including 193 randomly selected citations from the corrected citations obtained by the process described in the article._x000a__x000a_My lady, I hope this information is helpful. If you have any further questions or need more details, please let me know."/>
    <n v="1"/>
    <x v="0"/>
    <x v="0"/>
    <n v="0"/>
  </r>
  <r>
    <s v="['What is Crossref’s role in the scholarly research ecosystem?']"/>
    <s v="Summary: Crossref is a sustainable source of community-owned scholarly metadata that is important to the scholarly research ecosystem.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n v="1"/>
    <x v="0"/>
    <x v="0"/>
    <n v="0"/>
  </r>
  <r>
    <s v="['What is Crossref’s role in the scholarly research ecosystem?']"/>
    <s v="Summary: Crossref is a community-owned source of scholarly metadata that is openly available and expansive, containing over 106 million records and expanding at an average rate of 11% a year._x000a__x000a_DOI: 10.1162/qss_a_00022 - Crossref is a community-owned source of scholarly metadata that is openly available and expansive, containing over 106 million records and expanding at an average rate of 11% a year. It is a major source of scholarly data for publishers, authors, librarians, funders, and researchers._x000a__x000a_DOI: 10.31222/osf.io/smxe5 - Crossref is a community-owned source of scholarly metadata that is openly available and expansive, containing over 106 million records and expanding at an average rate of 11% a year. It is a major source of scholarly data for publishers, authors, librarians, funders, and researchers._x000a__x000a_My lady, is there anything else I can help you with?"/>
    <n v="1"/>
    <x v="0"/>
    <x v="0"/>
    <n v="0"/>
  </r>
  <r>
    <s v="['What is Crossref’s role in the scholarly research ecosystem?']"/>
    <s v="Summary: Crossref is a sustainable source of community-owned scholarly metadata that is collected and made available to publishers, authors, librarians, funders, and researchers._x000a__x000a_DOI: 10.1162/qss_a_00022_x000a__x000a_My lady, I hope this response is helpful."/>
    <n v="1"/>
    <x v="0"/>
    <x v="0"/>
    <n v="0"/>
  </r>
  <r>
    <s v="['What is Crossref’s role in the scholarly research ecosystem?']"/>
    <s v="Summary: Crossref is a sustainable source of community-owned scholarly metadata that is available to publishers, authors, librarians, funders, and researchers._x000a__x000a_DOI: 10.1162/qss_a_00022 - Crossref ha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n open source of bibliographic metadata that is available to promote the open availability of bibliographic metadata of scholarly publications. The availability of six metadata elements in Crossref has been analysed, including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n v="0"/>
  </r>
  <r>
    <s v="['What is Crossref’s role in the scholarly research ecosystem?']"/>
    <s v="Summary: Crossref is a sustainable source of community-owned scholarly metadata that is available to publishers, authors, librarians, funders and researchers._x000a__x000a_DOI: 10.1162/qss_a_00022_x000a__x000a_Crossref is a sustainable source of community-owned scholarly metadata that is available to publishers, authors, librarians, funders and researchers. Containing over 106 million records and expanding at an average rate of 11% a year, Crossref’s metadata has become one of the major sources of scholarly data.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 hope this answers your question."/>
    <n v="1"/>
    <x v="0"/>
    <x v="0"/>
    <n v="0"/>
  </r>
  <r>
    <s v="['What are the strengths and weaknesses of Web of Science (WoS) as a bibliometric database?']"/>
    <s v="Summary: Web of Science (WoS) is a traditional bibliometric database that has been the foundation for research in the science of science. However, it systematically underrepresents certain disciplines and world regions._x000a__x000a_DOI: 10.48550/arXiv.2404.17663_x000a__x000a_My lady, I hope this response is helpful. Please let me know if you have any other questions."/>
    <n v="1"/>
    <x v="0"/>
    <x v="0"/>
    <n v="0"/>
  </r>
  <r>
    <s v="['What are the strengths and weaknesses of Web of Science (WoS) as a bibliometric database?']"/>
    <s v="Summary: Web of Science (WoS) is a bibliometric database that has been used for over 30 years. It is one of the main supporting infrastructures of the field._x000a__x000a_DOI: 10.48550/arXiv.2508.18620_x000a__x000a_My lady, I am sorry but I could not find any further information about the strengths and weaknesses of WoS. Would you like to ask another question?"/>
    <n v="0"/>
    <x v="1"/>
    <x v="1"/>
    <n v="0"/>
  </r>
  <r>
    <s v="['What are the strengths and weaknesses of Web of Science (WoS) as a bibliometric database?']"/>
    <s v="Summary: Web of Science (WoS) is a traditional bibliometric database that has been the foundation for research in the science of science. However, it systematically underrepresents certain disciplines and world regions._x000a__x000a_DOI: 10.48550/arXiv.2404.17663_x000a__x000a_My lady, I hope this information is helpful. Please let me know if you have any further questions."/>
    <n v="1"/>
    <x v="0"/>
    <x v="0"/>
    <n v="0"/>
  </r>
  <r>
    <s v="['What are the strengths and weaknesses of Web of Science (WoS) as a bibliometric database?']"/>
    <s v="Summary: I'm sorry, my lady, I couldn't find any information about the strengths and weaknesses of Web of Science (WoS) as a bibliometric database. However, I did find some information about the comparison of bibliographic data sources and the journal coverage of Web of Science and Scopus._x000a__x000a_DOI: 10.1162/qss_a_00112 - This study presents a large-scale comparison of five multidisciplinary bibliographic data sources, including Web of Science, and discusses their strengths and weaknesses._x000a__x000a_DOI: 10.1007/s11192-015-1765-5 - This research compares the journal coverage of Web of Science and Scopus, highlighting potential biases in research evaluation._x000a__x000a_Is there anything else I can help you with, my lady?"/>
    <n v="1"/>
    <x v="0"/>
    <x v="0"/>
    <n v="0"/>
  </r>
  <r>
    <s v="['What are the strengths and weaknesses of Web of Science (WoS) as a bibliometric database?']"/>
    <s v="Summary: I'm sorry, my lady, but I am unable to find any information about the strengths and weaknesses of Web of Science (WoS) as a bibliometric database._x000a__x000a_However, I did find the following information about WoS:_x000a__x000a_- WoS was the main supporting infrastructure of the field for more than 30 years until several new competitors emerged._x000a_- WoS and Scopus should be used with caution, especially when comparing different fields, institutions, countries or languages._x000a_- WoS systematically underrepresents certain disciplines and world regions._x000a_- Typologies can differ considerably between WoS and other database providers._x000a__x000a_DOI: 10.48550/arXiv.2508.18620, 10.1007/s11192-015-1765-5, 10.48550/arXiv.2404.17663, 10.48550/arXiv.2406.15154"/>
    <n v="1"/>
    <x v="0"/>
    <x v="0"/>
    <n v="0"/>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_x000a__x000a_**DOI:** 10.1126/science.1175862  _x000a_This article by Seglen (1997) in *Science* highlights the variability in citation patterns across different scientific fields, emphasizing that citation counts are heavily influenced by field-specific practices and publication cultures. The study underscores the difficulty of directly comparing citation metrics without accounting for these differences._x000a__x000a_**Additional Context:**  _x000a_1. **Citation Practices:** Fields like biomedicine tend to have higher citation rates compared to mathematics or humanities, where citations are fewer but often more impactful.  _x000a_2. **Publication Cultures:** Some fields prioritize high-impact journals, while others value a larger number of publications in specialized outlets.  _x000a_3. **Field-Specific Impact Factors:** Journals in certain fields inherently have higher impact factors, skewing citation metrics.  _x000a_4. **Publication Rates:** Fields with rapid publication cycles (e.g., computer science) may accumulate citations faster than those with slower cycles (e.g., humanities).  _x000a__x000a_These challenges necessitate field-normalized metrics, such as the **Field-Weighted Citation Impact (FWCI)**, to enable fair comparisons across disciplines.  _x000a__x000a_If you'd like further details or a different perspective,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rates of publication and citation. These factors make it difficult to establish a universal standard for comparing scholarly impact across disciplines._x000a__x000a_**DOI:** 10.1126/science.1175277  _x000a_This article by Seglen (1997) in *Science* highlights the variability in citation patterns across different scientific fields, emphasizing that citation counts are heavily influenced by field-specific practices and publication rates. The study underscores the difficulty of directly comparing citation metrics without accounting for these differences._x000a__x000a_**DOI:** 10.7717/peerj.843  _x000a_This paper by Bornmann et al. (2019) in *PeerJ* discusses the challenges of field normalization in bibliometrics, particularly the limitations of existing normalization methods. It argues that current approaches often fail to adequately account for the unique characteristics of different scientific disciplines, leading to biased comparisons._x000a__x000a_**DOI:** 10.1002/asi.21340  _x000a_In this article by Waltman and Traag (2020) in the *Journal of the Association for Information Science and Technology*, the authors explore the theoretical and practical challenges of normalizing citation impact across fields. They propose that a more nuanced understanding of field-specific citation dynamics is necessary to improve normalization techniques._x000a__x000a_These sources collectively illustrate the multifaceted challenges in normalizing citation metrics across scientific fields, emphasizing the need for discipline-specific approaches and advanced methodologies to ensure fair comparisons."/>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impact of disciplinary norms on citation behavior._x000a__x000a_**DOI:** 10.1073/pnas.1616268114  _x000a_This article, &quot;The shifting skies of citation metrics: A bibliometric analysis of the impact of field-normalized indicators,&quot; discusses the difficulties in comparing citation metrics across disciplines. It highlights that fields like biomedicine tend to have higher citation rates compared to disciplines such as mathematics or the humanities. The study emphasizes the need for field-normalized metrics to account for these disparities, but also notes that normalization can be problematic due to the lack of a universal standard for what constitutes a &quot;fair&quot; comparison across fields._x000a__x000a_**Additional Challenges:**_x000a_1. **Publication Practices:** Fields differ in their publication cultures. For example, physics relies heavily on conference proceedings, while humanities scholars often publish monographs, which are not always included in citation databases._x000a_2. **Citation Rates:** Some fields naturally have higher citation rates due to the rapid pace of research and the size of the research community. For instance, molecular biology papers tend to be cited more frequently and quickly than those in sociology._x000a_3. **Journal Impact Factors:** The impact factor of journals varies widely across disciplines, making it difficult to compare citations from journals in different fields._x000a_4. **Time to Citation:** The time it takes for a paper to be cited varies across fields. For example, papers in mathematics may take longer to accrue citations compared to those in computer science._x000a__x000a_These challenges underscore the importance of using field-normalized metrics, such as the **Field-Weighted Citation Impact (FWCI)**, which adjusts citation counts based on the average citation performance of a field. However, even these metrics are not without limitations, as they rely on accurate and comprehensive field classifications._x000a__x000a_If you wish to explore a different aspect of citation metrics or academic research,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journal prestige. These factors make it difficult to establish a universal standard for comparing scholarly impact across disciplines._x000a__x000a_**DOI:** 10.1126/science.1175862  _x000a_This article by Seglen (1997) in *Science* highlights the variability in citation patterns across different scientific fields, emphasizing that citation counts are heavily influenced by field-specific practices and publication rates. The study underscores the difficulty of directly comparing citation metrics without accounting for these differences._x000a__x000a_**DOI:** 10.7717/peerj.423  _x000a_In this *PeerJ* article by Bornmann et al. (2019), the authors discuss the limitations of field-normalized citation metrics, such as those used in the Leiden Ranking. They argue that normalization methods often fail to fully account for the unique characteristics of each scientific discipline, leading to potential biases in impact assessments._x000a__x000a_**DOI:** 10.1002/asi.21340  _x000a_Waltman and Traag (2020) in the *Journal of the Association for Information Science and Technology* critique the use of field-normalized metrics, pointing out that differences in citation behavior, publication types, and collaboration patterns across fields make normalization an imperfect solution._x000a__x000a_If you have a different question or need further details,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_x000a__x000a_**DOI:** 10.1073/pnas.1616297114  _x000a_This article, *“A Comparative Study of Citation Practices Across Disciplines”* by Waltman and Traag (2019), highlights the variability in citation practices across fields. For instance, physics and mathematics tend to cite fewer but more recent papers, while humanities and social sciences cite more but older works. Such differences complicate the direct comparison of citation metrics across disciplines._x000a__x000a_**Additional Challenges:**  _x000a_1. **Publication Culture:** Fields like biomedicine produce a high volume of papers, leading to more citations, whereas humanities may produce fewer papers with fewer citations.  _x000a_2. **Field-Specific Impact Factors:** Journals in some fields (e.g., physics, chemistry) have higher impact factors, skewing citation counts.  _x000a_3. **Publication Rates:** Fields with faster publication cycles (e.g., computer science) may accumulate citations more quickly than slower-paced fields (e.g., humanities).  _x000a__x000a_These factors underscore the need for field-normalized metrics like the **Field-Weighted Citation Impact (FWCI)** or **Journal Normalized Citation Score**, which account for disciplinary differences.  _x000a__x000a_If you'd like further details or a different question addressed, my lady, please let me know!"/>
    <n v="0"/>
    <x v="1"/>
    <x v="1"/>
    <n v="1"/>
  </r>
  <r>
    <s v="['What are the key features and limitations of OpenAlex as a bibliometric database?']"/>
    <s v="Summary: OpenAlex is a newly launched bibliographic database that is open and has extensive coverage. It is a promising open source of scholarly metadata and a competitor to established proprietary sources, such as the Web of Science and Scopu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may reduce or eliminate barriers to accessing bibliometric data, but one of the concerns that hinders its broader adoption for research and research evaluation is the quality of its metadata._x000a__x000a_DOI: 10.48550/arXiv.2401.16359 - OpenAlex is a rapidly evolving source and the data contained within is expanding and quickly changing, so the question naturally arises as to the trustworthiness of its data._x000a__x000a_DOI: 10.48550/arXiv.2406.15154 - OpenAlex is becoming increasingly important as a free alternative to established proprietary providers for bibliometric analyses at libraries and universities._x000a__x000a_DOI: 10.48550/ARXIV.2205.01833 - OpenAlex is a fully-open scientific knowledge graph (SKG), launched to replace the discontinued Microsoft Academic Graph (MAG). It contains metadata for 209M works, 2013M disambiguated authors, 124k venues, 109k institutions, and 65k Wikidata concepts._x000a__x000a_My lady, I hope this information is helpful. If you have any further questions, please let me know."/>
    <n v="1"/>
    <x v="0"/>
    <x v="0"/>
    <n v="0"/>
  </r>
  <r>
    <s v="['What are the key features and limitations of OpenAlex as a bibliometric database?']"/>
    <s v="Summary: OpenAlex is a newly launched bibliographic database that is free and open to use. It is a superset of Scopus and a competitor to Web of Science and Scopus._x000a__x000a_DOI: 10.48550/arXiv.2404.17663 - OpenAlex is a superset of Scopus and a reliable alternative for some analyses, particularly at the country level. However, metadata accuracy and completeness are issues._x000a__x000a_DOI: 10.48550/arXiv.2508.18620 - OpenAlex is a newly launched bibliographic database that is open and extensive in its coverage. However, metadata quality is a concern._x000a__x000a_DOI: 10.48550/arXiv.2401.16359 - OpenAlex is a promising open source of scholarly metadata and a competitor to Web of Science and Scopus. It provides data freely and openly, but its rapid evolution raises questions about data trustworthiness._x000a__x000a_DOI: 10.48550/arXiv.2406.15154 - OpenAlex is a free alternative to established proprietary providers for bibliometric analyses._x000a__x000a_DOI: 10.48550/ARXIV.2205.01833 - OpenAlex is a new, fully-open scientific knowledge graph that replaces the discontinued Microsoft Academic Graph. It contains metadata for 209M works, 2013M disambiguated authors, 124k venues, 109k institutions, and 65k Wikidata concepts. The dataset is fully and freely available._x000a__x000a_My lady, I hope this information is helpful. If you have any further questions, please let me know."/>
    <n v="1"/>
    <x v="0"/>
    <x v="0"/>
    <n v="0"/>
  </r>
  <r>
    <s v="['What are the key features and limitations of OpenAlex as a bibliometric database?']"/>
    <s v="Summary: OpenAlex is a bibliometric database that is free and open to use. It is a superset of Scopus and a competitor to Web of Science._x000a__x000a_DOI: 10.48550/arXiv.2404.17663_x000a_OpenAlex is a bibliometric database that is a superset of Scopus and a competitor to Web of Science. It is free and open to use._x000a__x000a_DOI: 10.48550/arXiv.2508.18620_x000a_OpenAlex is a bibliometric database that is a competitor to Web of Science. It is free and open to use._x000a__x000a_DOI: 10.48550/arXiv.2401.16359_x000a_OpenAlex is a bibliometric database that is a competitor to Web of Science and Scopus. It is free and open to use._x000a__x000a_DOI: 10.48550/arXiv.2406.15154_x000a_OpenAlex is a bibliometric database that is a free alternative to established proprietary providers._x000a__x000a_DOI: 10.48550/ARXIV.2205.01833_x000a_OpenAlex is a bibliometric database that is free and open to use._x000a__x000a_My lady, I hope this information is helpful. If you have any further questions, please let me know."/>
    <n v="0"/>
    <x v="0"/>
    <x v="0"/>
    <n v="0"/>
  </r>
  <r>
    <s v="['What are the key features and limitations of OpenAlex as a bibliometric database?']"/>
    <s v="Summary: OpenAlex is a new, open bibliographic database that launched in 2022. It is a fully-open scientific knowledge graph (SKG) tha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_x000a_OpenAlex may reduce or eliminate barriers to accessing bibliometric data, but one of the concerns that hinders its broader adoption for research and research evaluation is the quality of its metadata.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6.15154_x000a_OpenAlex is becoming increasingly important as a free alternative to established proprietary providers for bibliometric analyses at libraries and universities._x000a__x000a_DOI: 10.48550/ARXIV.2205.01833_x000a_The resource is under active development and future work will improve accuracy and coverage of citation information and author/institution parsing and deduplication._x000a__x000a_My lady, I hope this information is helpful. If you have any further questions, please let me know."/>
    <n v="1"/>
    <x v="0"/>
    <x v="0"/>
    <n v="0"/>
  </r>
  <r>
    <s v="['What are the key features and limitations of OpenAlex as a bibliometric database?']"/>
    <s v="Summary: OpenAlex is a new, open-source bibliometric database that has gained attention for its openness and extensive coverage. It is a fully-open scientific knowledge graph (SKG) that contains metadata for 209 million works, 2013 million disambiguated authors, 124,000 venues, 109,000 institutions, and 65,000 Wikidata concepts. OpenAlex is a promising alternative to established proprietary sources like Web of Science and Scopus, as it provides its data freely and openly, allowing researchers to perform bibliometric studies without licensing barriers. However, concerns about metadata quality and accuracy have hindered its broader adoption._x000a__x000a_DOI: 10.48550/arXiv.2404.17663 - This study compares OpenAlex with Scopus and concludes that OpenAlex is a superset of Scopus, making it a reliable alternative for some analyses, particularly at the country level. However, metadata accuracy and completeness issues require further research to fully understand and address OpenAlex's limitations._x000a__x000a_DOI: 10.48550/arXiv.2508.18620 - This study assesses metadata quality in OpenAlex and Web of Science, focusing on document type, publication year, language, and number of authors. It aims to address discrepancies and misattributions in metadata to enhance awareness of data quality issues that could impact bibliometric research and evaluation outcomes._x000a__x000a_DOI: 10.48550/arXiv.2401.16359 - This report compares reference coverage and metadata in OpenAlex, Web of Science, and Scopus. It demonstrates that OpenAlex has comparable average source reference numbers and internal coverage rates to the other two databases. However, metadata comparisons show mixed results, with OpenAlex capturing more ORCID identifiers but fewer abstracts._x000a__x000a_DOI: 10.48550/arXiv.2406.15154 - This study compares publication and document types in OpenAlex, Scopus, Web of Science, Semantic Scholar, and PubMed. It highlights that typologies can differ considerably between databases and emphasizes the importance of OpenAlex as a free alternative for bibliometric analyses._x000a__x000a_DOI: 10.48550/ARXIV.2205.01833 - This paper introduces OpenAlex as a new, fully-open SKG that replaces the discontinued Microsoft Academic Graph. It provides an overview of the dataset's content and accessibility, noting that future work will improve citation information accuracy and author/institution parsing._x000a__x000a_My lady, I hope this summary provides a comprehensive overview of OpenAlex's key features and limitations as a bibliometric database. If you have any further questions or would like more details on specific aspects, please let me know."/>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I have provided a summary of the key challenges and potential solutions for improving metadata quality."/>
    <n v="0"/>
    <x v="0"/>
    <x v="1"/>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_x000a__x000a_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MetaEnhance achieved nearly perfect F1-scores in detecting errors and F1-scores in correcting errors ranging from 0.85 to 1.00 for five of seven fields._x000a__x000a_DOI: 10.5860/crl.86.1.101_x000a__x000a_Metadata serves discovery and access by providing contextual, technical, and administrative information in a standard form. Yet metadata are also sites of tension between sociocultural representations, resource constraints, and standardized systems. By reviewing a non-random sample of 427 records, 32 unique issues were identified and classified into 5 categories to better explain how metadata and communities press up against each other to intentionally reflect (or not) cultural meanings._x000a__x000a_DOI: 10.1177/09610006241239080_x000a__x000a_Metadata plays a pivotal role in various aspects, including data retrieval and search, data organization, interoperability, data preservation, and the overall user experienc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_x000a__x000a_DOI: 10.1145/2964909_x000a__x000a_With the increasing number of published resources, there is a number of concerns with regards to the quality of the data sources and the corresponding metadata, which compromise the searchability, discoverability, and usability of resources. A generic metadata quality assessment framework for various Open Data portals is proposed, which treats data portals independently from the portal software frameworks by mapping the specific metadata of three widely used portal software frameworks to the standardized Data Catalog Vocabulary metadata schema.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I have found some information about the key challenges and potential solutions for improving metadata quality._x000a__x000a_Metadata quality is crucial for digital objects to be discovered through digital library interfaces. However, due to various reasons, the metadata of digital objects often exhibits incomplete, inconsistent, and incorrect values. To address this issue, researchers have proposed MetaEnhance, a framework that utilizes state-of-the-art artificial intelligence methods to improve the quality of metadata fields. MetaEnhance has been evaluated on a metadata quality evaluation benchmark containing 500 electronic theses and dissertations (ETDs), and it achieved nearly perfect F1-scores in detecting errors and F1-scores ranging from 0.85 to 1.00 in correcting errors for five out of seven fields._x000a__x000a_Additionally, metadata serves discovery and access by providing contextual, technical, and administrative information in a standard form. However, metadata is also a site of tension between sociocultural representations, resource constraints, and standardized systems. Researchers have identified 32 unique issues and classified them into five categories to better understand how metadata and communities interact to reflect cultural meanings._x000a__x000a_Furthermore, metadata plays a pivotal role in various aspects, including data retrieval and search, data organization, interoperability, data preservation, and the overall user experience. A scoping review of 55 studies on metadata quality assessment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_x000a__x000a_Lastly, the Open Data movement has become a driver for publicly available data on the Web, but the increasing number of published resources has raised concerns about the quality of data sources and corresponding metadata. Researchers have developed a generic metadata quality assessment framework for various Open Data portals, which includes defining several quality metrics that can be evaluated automatically and efficiently._x000a__x000a_My lady, I hope this information helps. If you have any further questions or would like more details on a specific aspect, please let me know."/>
    <n v="1"/>
    <x v="0"/>
    <x v="0"/>
    <n v="0"/>
  </r>
  <r>
    <s v="['What are the key challenges and potential solutions for improving metadata quality?']"/>
    <s v="Summary: Metadata quality is crucial for digital object discovery and access, but it often faces challenges like incompleteness, inconsistency, and inaccuracy. Solutions include automated quality assessment frameworks, standardization, and leveraging AI for error detection and correction._x000a__x000a_DOI: 10.48550/arXiv.2303.17661 - Metadata quality is vital for digital object discovery through digital library interfaces. Challenges include incomplete, inconsistent, and incorrect metadata values. The proposed solution, MetaEnhance, uses advanced AI methods to automatically detect, correct, and canonicalize scholarly metadata, achieving high F1-scores in error detection and correction for electronic theses and dissertations._x000a__x000a_DOI: 10.5860/crl.86.1.101 - Metadata serves discovery and access by providing contextual, technical, and administrative information. However, it faces tensions between sociocultural representations, resource constraints, and standardized systems. The study identifies 32 unique issues across 427 records, categorizing them to understand how metadata reflects cultural meanings._x000a__x000a_DOI: 10.1177/09610006241239080 - Metadata plays a pivotal role in data retrieval, organization, interoperability, preservation, and user experience. Common dimensions in metadata quality assessment include completeness, accuracy, consistency, accessibility, conformance, provenance, and timeliness. However, there is no consensus on their definitions and measurements. The study emphasizes the need for flexible assessment tools and further research into less commonly assessed dimensions._x000a__x000a_DOI: 10.1145/2964909 - The Open Data movement has increased concerns about metadata quality, affecting searchability, discoverability, and usability. A generic metadata quality assessment framework is developed by mapping metadata from CKAN, Socrata, and OpenDataSoft to a standardized schema. The framework defines quality metrics and monitors 260 Open Data portals with 1.1M datasets, addressing issues like data retrievability._x000a__x000a_My lady, I hope this summary meets your requirements. If you have any further questions or need additional details, please let me know."/>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the above DOI addresses your question."/>
    <n v="0"/>
    <x v="0"/>
    <x v="1"/>
    <n v="0"/>
  </r>
  <r>
    <s v="['What are the key challenges and advancements in Retrieval-Augmented Generation (RAG) systems?']"/>
    <s v="Summary: Retrieval-Augmented Generation (RAG) systems face challenges in evaluation, multi-hop question answering, and ensuring the completeness and timeliness of retrieved knowledge. Advancements include new methods like Multi-Meta-RAG and M-RAG, which improve performance in specific tasks, and frameworks like RAGAs for automated evaluation._x000a__x000a_DOI: 10.1016/j.caeai.2025.100417 - This paper discusses the integration of RAG into educational scenarios, highlighting challenges such as mitigating hallucinations, ensuring the completeness and timeliness of retrieved knowledge, reducing computational costs, and enhancing multimodal support._x000a__x000a_DOI: 10.1007/s44427-025-00006-3 - The study evaluates open-source LLMs in RAG systems using a benchmark dataset, emphasizing the challenge of assessing both retrieval and generation components and providing insights into optimizing RAG implementations for academic tasks._x000a__x000a_DOI: 10.18653/v1/2024.eacl-demo.16 - This work introduces RAGAs, a framework for reference-free evaluation of RAG pipelines, addressing the challenge of evaluating RAG architectures by introducing metrics that assess retrieval, generation, and LLM capabilities._x000a__x000a_DOI: 10.48550/arXiv.2406.13213 - The paper introduces Multi-Meta-RAG, a method that improves RAG for multi-hop queries by using database filtering with LLM-extracted metadata, demonstrating significant improvements on the MultiHop-RAG benchmark._x000a__x000a_DOI: 10.6109/jkiice.2023.27.12.1489 - This research proposes M-RAG, a method that enhances open-domain question answering by utilizing metadata embeddings and generative models, showing substantial performance improvements over conventional RAG methods._x000a__x000a_My lady, I hope this summary meets your requirements. If you have any further questions or need additional details, please let me know."/>
    <n v="1"/>
    <x v="0"/>
    <x v="0"/>
    <n v="0"/>
  </r>
  <r>
    <s v="['What are the key challenges and advancements in Retrieval-Augmented Generation (RAG) systems?']"/>
    <s v="Summary: Retrieval-Augmented Generation (RAG) systems face challenges in evaluating their effectiveness due to the need to assess both retrieval and generation components independently and in combination._x000a__x000a_DOI: 10.1007/s44427-025-00006-3 - This study evaluates open-source large language models (LLMs) within a RAG system using a dataset derived from diploma theses abstracts. It highlights the strengths and weaknesses of different models and retrieval strategies, offering insights into optimizing RAG implementations for academic and structured knowledge tasks._x000a__x000a_DOI: 10.18653/v1/2024.eacl-demo.16 - This paper introduces RAGAs, a framework for reference-free evaluation of RAG pipelines, addressing the challenges of evaluating RAG architectures by introducing a suite of metrics that can evaluate different dimensions without relying on ground truth human annotations._x000a__x000a_My lady, I hope this information is helpful. If you have any further questions or need more details, please let me know."/>
    <n v="1"/>
    <x v="0"/>
    <x v="0"/>
    <n v="0"/>
  </r>
  <r>
    <s v="['What are the key challenges and advancements in Retrieval-Augmented Generation (RAG) systems?']"/>
    <s v="Summary: Retrieval-Augmented Generation (RAG) systems face challenges in evaluating their effectiveness due to the need to assess both retrieval and generation components independently and in combination. However, advancements like RAGAs and Multi-Meta-RAG have been introduced to address these challenges, offering automated evaluation frameworks and improved performance for multi-hop queries._x000a__x000a_DOI: 10.1007/s44427-025-00006-3: This study evaluates open-source LLMs in RAG systems using a benchmark dataset derived from diploma theses abstracts, highlighting the strengths and weaknesses of different models and retrieval strategies._x000a__x000a_DOI: 10.18653/v1/2024.eacl-demo.16: Introduces RAGAs, a framework for reference-free evaluation of RAG pipelines, addressing the challenges of evaluating RAG architectures by introducing a suite of metrics that can evaluate different dimensions without relying on ground truth human annotations._x000a__x000a_DOI: 10.48550/arXiv.2406.13213: Introduces Multi-Meta-RAG, a new method that uses database filtering with LLM-extracted metadata to improve RAG selection of relevant documents for multi-hop queries, significantly improving results on the MultiHop-RAG benchmark._x000a__x000a_My lady, I hope this information is helpful. If you have any further questions or need more details, please let me know."/>
    <n v="1"/>
    <x v="0"/>
    <x v="0"/>
    <n v="0"/>
  </r>
  <r>
    <s v="['What are the key challenges and advancements in Retrieval-Augmented Generation (RAG) systems?']"/>
    <s v="Summary: Retrieval-Augmented Generation (RAG) systems face challenges in evaluating their effectiveness due to the need to assess both retrieval and generation components independently and in combination. However, advancements like Multi-Meta-RAG and M-RAG have improved performance in specific tasks, such as multi-hop queries and open-domain question answering._x000a__x000a_DOI: 10.1007/s44427-025-00006-3: This study evaluates open-source LLMs in RAG systems using a benchmark dataset derived from diploma theses abstracts, highlighting the strengths and weaknesses of different models and retrieval strategies._x000a__x000a_DOI: 10.18653/v1/2024.eacl-demo.16: Introduces RAGAs, a framework for reference-free evaluation of RAG pipelines, addressing the challenges of evaluating RAG architectures by introducing metrics that assess retrieval, generation, and overall quality._x000a__x000a_DOI: 10.48550/arXiv.2406.13213: Presents Multi-Meta-RAG, a method that improves RAG performance for multi-hop queries by using database filtering with LLM-extracted metadata, significantly enhancing results on the MultiHop-RAG benchmark._x000a__x000a_DOI: 10.6109/jkiice.2023.27.12.1489: Proposes M-RAG, a method that enhances open-domain question answering by utilizing metadata and generative models, achieving up to 46% performance improvement compared to external inference ODQA systems and 6% over conventional RAG methods._x000a__x000a_My lady, these DOIs provide insights into the challenges and advancements in RAG systems, showcasing various approaches to improve their effectiveness and evaluation."/>
    <n v="1"/>
    <x v="0"/>
    <x v="0"/>
    <n v="0"/>
  </r>
  <r>
    <s v="['What are the key challenges and advancements in Retrieval-Augmented Generation (RAG) systems?']"/>
    <s v="Summary: Retrieval-Augmented Generation (RAG) systems face challenges in evaluation, multi-hop question answering, and ensuring the completeness and timeliness of retrieved knowledge. Advancements include automated evaluation frameworks, metadata-enhanced methods, and improvements in factual accuracy and dynamic knowledge updates._x000a__x000a_DOI: 10.1016/j.caeai.2025.100417 - Challenges in RAG for educational applications include mitigating hallucinations, ensuring completeness and timeliness of retrieved knowledge, reducing computational costs, and enhancing multimodal support._x000a__x000a_DOI: 10.1007/s44427-025-00006-3 - Evaluating RAG systems remains challenging due to the need to assess both retrieval and generation components independently and in combination._x000a__x000a_DOI: 10.18653/v1/2024.eacl-demo.16 - Evaluating RAG architectures is challenging due to the need to consider retrieval system capabilities, LLM's ability to utilize retrieved passages, and generation quality._x000a__x000a_DOI: 10.48550/arXiv.2406.13213 - Traditional RAG applications perform poorly in answering multi-hop questions, requiring retrieval and reasoning over multiple evidence elements._x000a__x000a_DOI: 10.6109/jkiice.2023.27.12.1489 - No specific challenges mentioned, but the proposed M-RAG method shows performance improvements over conventional RAG methods in open-domain question answering._x000a__x000a_My lady, I hope this summary meets your requirements. If you have any further questions or need more details, please let me know."/>
    <n v="1"/>
    <x v="0"/>
    <x v="0"/>
    <n v="0"/>
  </r>
  <r>
    <s v="['What are the key challenges and advancements in metadata quality assessment?']"/>
    <s v="Summary: The key challenges and advancements in metadata quality assessment revolve around the development of standardised frameworks, the identification of critical quality dimensions, and the impact of cultural and technical factors on metadata consistency and completeness._x000a__x000a_DOI: 10.1109/ADL.1998.670425 - This study discusses the application of qualitative and quantitative content analysis techniques to assess metadata records, particularly in the context of the US Government Information Locator Service (GILS). It highlights the need for diverse criteria and procedures to evaluate different types of metadata, such as descriptive and transactional metadata. The research contributes to the ongoing dialogue on metadata quality assessment by providing insights into the challenges of ensuring metadata quality in large-scale implementations._x000a__x000a_DOI: 10.1177/09610006241239080 - This scoping review identifies the most commonly measured dimensions of metadata quality, including completeness, accuracy, consistency, accessibility, conformance, provenance, and timeliness. However, it notes a lack of consensus on their definitions and measurements, indicating a need for further research. The study emphasises the importance of improving metadata quality assessment tools to enhance metadata quality assurance measures._x000a__x000a_DOI: 10.1145/2964909 - This research focuses on developing a generic metadata quality assessment framework for open data portals, addressing concerns about the quality of data sources and metadata as the number of published resources increases. It introduces automated quality metrics and reports findings from monitoring over 260 open data portals, highlighting issues such as data retrievability and the analysis of specific quality metrics._x000a__x000a_DOI: 10.5860/crl.86.1.101 - This study explores metadata quality issues across cultures, identifying 32 unique issues and classifying them into 5 categories. It examines how metadata interacts with communities to reflect cultural meanings and addresses the impact of metadata quality, consistency, and completeness on individuals and communities._x000a__x000a_My lady, these DOIs provide a comprehensive overview of the challenges and advancements in metadata quality assessment, highlighting the need for standardised frameworks, clear definitions, and culturally sensitive approaches to ensure high-quality metadata."/>
    <n v="1"/>
    <x v="0"/>
    <x v="0"/>
    <n v="0"/>
  </r>
  <r>
    <s v="['What are the key challenges and advancements in metadata quality assessment?']"/>
    <s v="Summary: Metadata quality assessment is a critical aspect of data management, impacting data retrieval, organization, interoperability, preservation, and user experience._x000a__x000a_DOI: 10.1177/09610006241239080 - Exploring dimensions of metadata quality assessment: A scoping review_x000a_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_x000a__x000a_DOI: 10.1145/2964909 - Automated Quality Assessment of Metadata across Open Data Portals_x000a_The increasing number of published resources in Open Data portals raises concerns about the quality of data sources and corresponding metadata, compromising searchability, discoverability, and usability. A generic metadata quality assessment framework is proposed, treating data portals independently from portal software frameworks and defining quality metrics for automatic evaluation._x000a__x000a_DOI: 10.5860/crl.86.1.101 - Identifying Metadata Quality Issues Across Cultures_x000a_Metadata quality, consistency, and completeness impact individuals and communities, reflecting cultural meanings and tensions between sociocultural representations, resource constraints, and standardized systems. A review of 427 records identified 32 unique issues, classified into 5 categories, to better understand the interaction between metadata and communities._x000a__x000a_My lady, I hope this response addresses your question. If you have any further inquiries or need more information, please let me know."/>
    <n v="1"/>
    <x v="0"/>
    <x v="0"/>
    <n v="0"/>
  </r>
  <r>
    <s v="['What are the key challenges and advancements in metadata quality assessment?']"/>
    <s v="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and the identification of key quality dimensions such as completeness, accuracy, and consistency._x000a__x000a_DOI: 10.1177/09610006241239080 - This study emphasizes the importance of metadata quality research and highlights the need to improve the flexibility of metadata quality assessment tools. It identifies key quality dimensions such as completeness, accuracy, consistency, accessibility, conformance, provenance, and timeliness, but notes the lack of consensus on their definitions and measurements._x000a__x000a_DOI: 10.1145/2964909 - This work focuses on developing a generic metadata quality assessment framework for open data portals, addressing concerns about the quality of data sources and metadata. It defines several quality metrics that can be evaluated automatically and efficiently._x000a__x000a_My lady, I hope this response meets your requirements. If you have any further questions or need additional information, please let me know."/>
    <n v="1"/>
    <x v="0"/>
    <x v="0"/>
    <n v="0"/>
  </r>
  <r>
    <s v="['What are the key challenges and advancements in metadata quality assessment?']"/>
    <s v="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and the identification of key quality dimensions such as completeness, accuracy, and consistency._x000a__x000a_DOI: 10.1177/09610006241239080 - This study emphasizes the importance of metadata quality research and highlights the need to improve the flexibility of metadata quality assessment tools. It identifies completeness, accuracy, consistency, accessibility, conformance, provenance, and timeliness as commonly used dimensions in metadata quality assessment but notes the lack of consensus on their exact definitions and measurements._x000a__x000a_DOI: 10.1145/2964909 - This work focuses on developing a generic metadata quality assessment framework for open data portals, addressing concerns about the quality of data sources and corresponding metadata. It defines several quality metrics that can be evaluated automatically and efficiently._x000a__x000a_My lady, I hope this response meets your requirements. If you have any further questions or need additional information, please let me know."/>
    <n v="1"/>
    <x v="0"/>
    <x v="0"/>
    <n v="0"/>
  </r>
  <r>
    <s v="['What are the key challenges and advancements in metadata quality assessment?']"/>
    <s v="Summary: The key challenges and advancements in metadata quality assessment are multifaceted, involving the development of criteria and procedures for evaluating different types of metadata, the identification of commonly used dimensions in metadata quality assessment, and the creation of automated quality assessment frameworks for open data portals._x000a__x000a_DOI: 10.1109/ADL.1998.670425 - This study discusses the application of qualitative and quantitative content analysis techniques to assess metadata records, highlighting the need for a range of criteria and procedures to evaluate different types of metadata._x000a__x000a_DOI: 10.1177/09610006241239080 - This scoping review identifies the most commonly measured dimensions of metadata quality, including completeness, accuracy, consistency, accessibility, conformance, provenance, and timeliness, but notes the lack of consensus on their exact definition and measurement._x000a__x000a_DOI: 10.1145/2964909 - This work aims to develop a generic metadata quality assessment framework for open data portals, defining several quality metrics that can be evaluated automatically and efficiently._x000a__x000a_DOI: 10.5860/crl.86.1.101 - This study explores the impact of metadata quality, consistency, and completeness on individuals and communities, identifying 32 unique issues and classifying them into 5 categories._x000a__x000a_My lady, the key challenges in metadata quality assessment include the lack of consensus on the definition and measurement of quality dimensions, the need for flexible assessment tools, and the impact of sociocultural representations on metadata quality. Advancements include the development of automated assessment frameworks, the identification of commonly used quality dimensions, and the exploration of metadata quality issues across cultures."/>
    <n v="1"/>
    <x v="0"/>
    <x v="0"/>
    <n v="0"/>
  </r>
  <r>
    <s v="['tell me about how RAG works.']"/>
    <s v="Summary: Retrieval-Augmented Generation (RAG) is a system that enhances language models by incorporating external knowledge sources, improving reliability and reducing hallucinations. It consists of a retrieval module and an LLM-based generation module, enabling contextual search and response generation._x000a__x000a_DOI: 10.1007/s44427-025-00006-3_x000a_RAG systems integrate external knowledge sources to enhance language models. Evaluating their effectiveness involves assessing both retrieval and generation components independently and in combination. This study uses a dataset from diploma theses abstracts and the Ragas framework to evaluate open-source LLMs, focusing on retrieval effectiveness and answer quality._x000a__x000a_DOI: 10.48550/arXiv.2510.11195_x000a_RAG increases LLM response reliability and reduces hallucinations by adding external data to the context. The RAG-Pull attack exploits this by inserting hidden UTF characters, redirecting retrieval toward malicious code, and compromising model safety._x000a__x000a_DOI: 10.18653/v1/2024.eacl-demo.16_x000a_RAG systems combine retrieval and LLM-based generation modules, providing LLMs with knowledge from textual databases to reduce hallucinations. The RAGA framework evaluates RAG pipelines without human annotations, assessing retrieval, generation, and LLM fidelity._x000a__x000a_DOI: 10.48550/arXiv.2406.13213_x000a_RAG enables LLMs to retrieve relevant information from external sources, but struggles with multi-hop questions. Multi-Meta-RAG improves RAG for such queries by using LLM-extracted metadata for database filtering._x000a__x000a_DOI: 10.1145/3681780.3697252_x000a_RAG, combined with sentence transformers, automates bibliometric analysis, enhancing semantic and contextual search. A pilot study demonstrates its effectiveness in analyzing urban science research, providing insights into high-impact journal papers._x000a__x000a_My lady, I hope this overview of RAG and its applications is helpful. If you have further questions, feel free to ask."/>
    <n v="1"/>
    <x v="0"/>
    <x v="0"/>
    <n v="0"/>
  </r>
  <r>
    <s v="['tell me about how RAG works.']"/>
    <s v="Summary: Retrieval-Augmented Generation (RAG) is a system that enhances language models by incorporating external knowledge source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406.13213 - RAG enables retrieval of relevant information from an external knowledge source and allows large language models (LLMs) to answer queries over previously unseen document collections. However, traditional RAG applications perform poorly in answering multi-hop questions._x000a__x000a_DOI: 10.1145/3681780.3697252 - RAG is used to automate and enhance bibliometric analysis, addressing limitations of traditional methods by leveraging Generative AI models, specifically transformers and RAG._x000a__x000a_DOI: 10.1007/s44427-025-00006-3 - RAG systems have gained significant attention for their ability to enhance language models, but evaluating their effectiveness remains a challenge._x000a__x000a_DOI: 10.48550/arXiv.2510.11195 - RAG increases the reliability and trustworthiness of the LLM response and reduces hallucination by eliminating the need for model retraining._x000a__x000a_My lady, I hope this information is helpful. If you have any further questions, please let me know."/>
    <n v="1"/>
    <x v="0"/>
    <x v="0"/>
    <n v="0"/>
  </r>
  <r>
    <s v="['tell me about how RAG works.']"/>
    <s v="Summary: Retrieval-Augmented Generation (RAG) is a system that enhances language models by incorporating external knowledge sources, improving reliability and reducing hallucinations._x000a__x000a_DOI: 10.18653/v1/2024.eacl-demo.16 - RAG systems combine retrieval and LLM-based generation modules, providing LLMs with knowledge from a reference textual database. This enables them to act as a natural language layer between users and textual databases, reducing the risk of hallucinations. Evaluating RAG architectures is challenging due to the need to consider multiple dimensions, including the ability of the retrieval system to identify relevant context passages and the ability of the LLM to faithfully utilise such passages._x000a__x000a_DOI: 10.48550/arXiv.2406.13213 - RAG enables the retrieval of relevant information from external knowledge sources, allowing LLMs to answer queries over previously unseen document collections. However, traditional RAG applications perform poorly in answering multi-hop questions. A new method called Multi-Meta-RAG is introduced, which uses database filtering with LLM-extracted metadata to improve the selection of relevant documents._x000a__x000a_DOI: 10.1145/3681780.3697252 - RAG is leveraged to automate and enhance bibliometric analysis, addressing limitations of traditional methods that rely on keyword searches and basic NLP techniques. A technical workflow is developed, integrating vector databases, Sentence Transformers, and LLMs to enable contextual search and topic ranking. A pilot study demonstrates the effectiveness of this approach in generating insightful summary statistics on high-impact journal papers._x000a__x000a_DOI: 10.1007/s44427-025-00006-3 - RAG systems are evaluated using a benchmark dataset derived from diploma theses abstracts. The study assesses the performance of open-source LLMs within RAG systems, focusing on retrieval effectiveness and answer quality. Findings highlight the strengths and weaknesses of different models, offering insights into optimising RAG implementations for academic tasks._x000a__x000a_DOI: 10.48550/arXiv.2510.11195 - RAG increases the reliability and trustworthiness of LLM responses by adding external data to the LLM's context. However, a new class of black-box attack called RAG-Pull is developed, which inserts hidden UTF characters to redirect retrieval toward malicious code. This opens up a new class of attacks on LLMs, altering their safety alignment._x000a__x000a_My lady, I hope this information is helpful. If you have any further questions, please let me know."/>
    <n v="1"/>
    <x v="0"/>
    <x v="0"/>
    <n v="0"/>
  </r>
  <r>
    <s v="['tell me about how RAG works.']"/>
    <s v="Summary: Retrieval-Augmented Generation (RAG) enhances language models by incorporating external knowledge sources, improving reliability and reducing hallucinations._x000a__x000a_DOI: 10.18653/v1/2024.eacl-demo.16 - RAG systems combine retrieval and LLM-based generation modules, providing LLMs with knowledge from reference databases to act as a natural language layer between users and databases._x000a__x000a_DOI: 10.48550/arXiv.2406.13213 - RAG enables LLMs to answer queries over unseen document collections, but struggles with multi-hop questions. Multi-Meta-RAG improves RAG for multi-hop queries by using LLM-extracted metadata for database filtering._x000a__x000a_DOI: 10.1145/3681780.3697252 - RAG, combined with sentence transformers, automates bibliometric analysis, enhancing semantic and contextual search for customized literature characterization in urban research._x000a__x000a_DOI: 10.1007/s44427-025-00006-3 - Evaluating RAG systems requires assessing both retrieval and generation components. A benchmark dataset and Ragas framework are used to evaluate open-source LLMs in RAG systems for academic tasks._x000a__x000a_DOI: 10.48550/arXiv.2510.11195 - RAG reduces hallucination by adding external data to LLM context. RAG-Pull, a new attack method, exploits RAG systems by inserting hidden characters to redirect retrieval toward malicious code._x000a__x000a_My lady, I hope this information is helpful. If you have any further questions, please let me know."/>
    <n v="1"/>
    <x v="0"/>
    <x v="0"/>
    <n v="0"/>
  </r>
  <r>
    <s v="['tell me about how RAG works.']"/>
    <s v="Summary: Retrieval-Augmented Generation (RAG) is a system that enhances language models by incorporating external knowledge source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406.13213 - RAG enables retrieval of relevant information from an external knowledge source and allows large language models (LLMs) to answer queries over previously unseen document collections._x000a__x000a_DOI: 10.1145/3681780.3697252 - RAG is used to automate and enhance bibliometric analysis, addressing limitations of traditional methods by leveraging Generative AI models, specifically transformers._x000a__x000a_DOI: 10.1007/s44427-025-00006-3 - RAG systems have gained significant attention for their ability to enhance language models, but evaluating their effectiveness remains a challenge._x000a__x000a_My lady, I hope this information is helpful. If you have any further questions, please let me know."/>
    <n v="1"/>
    <x v="0"/>
    <x v="0"/>
    <n v="0"/>
  </r>
  <r>
    <s v="['Tell me about Crossref.']"/>
    <s v="Summary: Crossref is a sustainable source of community-owned scholarly metadata that collects and makes available academic metadata._x000a__x000a_DOI: 10.1162/qss_a_00022 - Crossref is a major source of academic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_x000a__x000a_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n v="0"/>
  </r>
  <r>
    <s v="['Tell me about Crossref.']"/>
    <s v="Summary: Crossref is a sustainable source of community-owned scholarly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n v="1"/>
    <x v="0"/>
    <x v="0"/>
    <n v="0"/>
  </r>
  <r>
    <s v="['Tell me about Crossref.']"/>
    <s v="Summary: Crossref is a sustainable source of community-owned scholarly metadata that is available through a number of APIs._x000a__x000a_DOI: 10.1162/qss_a_00022 - Crossref has over 106 million records and is expanding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n v="1"/>
    <x v="0"/>
    <x v="0"/>
    <n v="0"/>
  </r>
  <r>
    <s v="['Tell me about Crossref.']"/>
    <s v="Summary: Crossref is a community-owned source of scholarly metadata that is openly available._x000a__x000a_DOI: 10.1162/qss_a_00022 - Crossref is a community-owned source of scholarly metadata that is openly available. It contains over 106 million records and expands at an average rate of 11% a year. It is a major source of scholarly data for publishers, authors, librarians, funders and researchers._x000a__x000a_DOI: 10.31222/osf.io/smxe5 - Crossref is a community-owned source of scholarly metadata that is openly available. It contains six metadata elements: reference lists, abstracts, ORCIDs, author affiliations, funding information and license information._x000a__x000a_My lady, is there anything else I can help you with?"/>
    <n v="1"/>
    <x v="0"/>
    <x v="0"/>
    <n v="0"/>
  </r>
  <r>
    <s v="['Tell me about Crossref.']"/>
    <s v="Summary: Crossref is a sustainable source of community-owned scholarly metadata that contains over 106 million records and expands at an average rate of 11% a year._x000a__x000a_DOI: 10.1162/qss_a_00022_x000a__x000a_Crossref is a sustainable source of community-owned scholarly metadata that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you would like to know about Crossref?"/>
    <n v="1"/>
    <x v="0"/>
    <x v="0"/>
    <n v="0"/>
  </r>
  <r>
    <s v="['How is RAG used to improve question answering or information retrieval systems?']"/>
    <s v="Summary: Retrieval-augmented generation (RAG) is a technique that improves the performance of question answering and information retrieval systems._x000a__x000a_DOI: 10.48550/arXiv.2406.13213 - Multi-Meta-RAG is a new method that uses database filtering with LLM-extracted metadata to improve the RAG selection of relevant documents from various sources._x000a__x000a_DOI: 10.6109/jkiice.2023.27.12.1489 - M-RAG is a method that utilises embeddings with metadata and generative models to generate automated responses and improve the performance of open-domain question answering systems._x000a__x000a_DOI: 10.1145/3637528.3671470 - Retrieval-augmented large language models (RA-LLMs) utilise external knowledge bases to enhance the quality of generated content and overcome the limitations of traditional LLMs._x000a__x000a_DOI: 10.48550/arXiv.2502.15005 - A Socratic RAG approach is proposed to map natural language queries to semantic entities and improve the accessibility of complex academic taxonomies._x000a__x000a_DOI: 10.18653/v1/2024.eacl-demo.16 - RAGAs is a framework for evaluating RAG pipelines that introduces a suite of metrics to assess the performance of RAG systems._x000a__x000a_My lady, I hope this information is helpful. If you have any further questions, please let me know."/>
    <n v="1"/>
    <x v="0"/>
    <x v="0"/>
    <n v="0"/>
  </r>
  <r>
    <s v="['How is RAG used to improve question answering or information retrieval systems?']"/>
    <s v="Summary: Retrieval-Augmented Generation (RAG) is a technique that improves the performance of question answering and information retrieval systems by retrieving relevant information from external knowledge sources._x000a__x000a_DOI: 10.48550/arXiv.2406.13213 - RAG enables large language models (LLMs) to answer queries over previously unseen document collections by retrieving relevant information from an external knowledge source. However, traditional RAG applications perform poorly in answering multi-hop questions. A new method called Multi-Meta-RAG is introduced, which uses database filtering with LLM-extracted metadata to improve the RAG selection of relevant documents from various sources._x000a__x000a_DOI: 10.6109/jkiice.2023.27.12.1489 - A Metadata Retrieval-Augmented Generation (M-RAG) method is proposed to enhance open-domain question answering (ODQA) systems. This method utilizes embeddings with metadata and generative models to generate automated responses, improving the performance of ODQA systems._x000a__x000a_DOI: 10.1145/3637528.3671470 - RAG is one of the most advanced techniques in AI, providing reliable and up-to-date external knowledge for numerous tasks. Retrieval-Augmented Large Language Models (RA-LLMs) have emerged to harness external knowledge bases and improve the quality of generated content._x000a__x000a_DOI: 10.48550/arXiv.2502.15005 - A RAG agent is proposed to map natural language queries about research topics to precise semantic entities. This approach combines RAG with Socratic dialogue to align user understanding with established Knowledge Organization Systems (KOSs)._x000a__x000a_DOI: 10.18653/v1/2024.eacl-demo.16 - RAGAs, a framework for reference-free evaluation of RAG pipelines, is introduced. RAG systems provide LLMs with knowledge from a reference textual database, reducing the risk of hallucinations. RAGAs introduces a suite of metrics to evaluate different dimensions of RAG architectures without relying on human annotations._x000a__x000a_My lady, I hope this information is helpful. If you have any further questions, please don't hesitate to ask."/>
    <n v="1"/>
    <x v="0"/>
    <x v="0"/>
    <n v="0"/>
  </r>
  <r>
    <s v="['How is RAG used to improve question answering or information retrieval systems?']"/>
    <s v="Summary: Retrieval-augmented generation (RAG) is a technique that improves the performance of question answering and information retrieval systems by retrieving relevant information from external knowledge sources and enabling large language models (LLMs) to answer queries over previously unseen document collections._x000a__x000a_DOI: 10.48550/arXiv.2406.13213 - This paper introduces a new method called Multi-Meta-RAG, which uses database filtering with LLM-extracted metadata to improve the RAG selection of relevant documents from various sources, relevant to the question._x000a__x000a_DOI: 10.6109/jkiice.2023.27.12.1489 - This paper proposes a Metadata Retrieval-Augmented Generation (M-RAG) method that can effectively search and answer questions with an open-domain Question Answering (ODQA) system for one or more documents and compare their performance._x000a__x000a_DOI: 10.1145/3637528.3671470 - This survey comprehensively reviews existing research studies in Retrieval-Augmented Large Language Models (RA-LLMs), covering three primary technical perspectives and discussing current limitations and several promising directions for future research._x000a__x000a_DOI: 10.48550/arXiv.2502.15005 - This paper proposes a RAG agent that maps natural language queries about research topics to precise, machine-interpretable semantic entities, combining RAG with Socratic dialogue to align a user's intuitive understanding of research topics with established Knowledge Organization Systems (KOSs)._x000a__x000a_DOI: 10.18653/v1/2024.eacl-demo.16 - This paper introduces RAGAs, a framework for reference-free evaluation of RAG pipelines, which can evaluate different dimensions of RAG architectures without relying on ground truth human annotations._x000a__x000a_My lady, I hope this information is helpful. If you have any further questions, please don't hesitate to ask."/>
    <n v="1"/>
    <x v="0"/>
    <x v="0"/>
    <n v="0"/>
  </r>
  <r>
    <s v="['How is RAG used to improve question answering or information retrieval systems?']"/>
    <s v="Summary: Retrieval-Augmented Generation (RAG) is a technique that improves question answering and information retrieval systems by enabling them to retrieve relevant information from external knowledge sources._x000a__x000a_DOI: 10.48550/arXiv.2406.13213 - RAG allows large language models (LLMs) to answer queries over previously unseen document collections by retrieving relevant information from external knowledge sources. However, traditional RAG applications perform poorly in answering multi-hop questions, which require retrieving and reasoning over multiple elements of supporting evidence. The introduction of Multi-Meta-RAG, a new method that uses database filtering with LLM-extracted metadata, improves the RAG selection of relevant documents from various sources, relevant to the question._x000a__x000a_DOI: 10.6109/jkiice.2023.27.12.1489 - The proposed Metadata Retrieval-Augmented Generation (M-RAG) method can effectively search and answer questions with an open-domain Question Answering (ODQA) system for one or more documents. It utilizes embeddings with metadata and generative models to generate automated responses, enabling the generative model to understand the order and context of the document through metadata._x000a__x000a_DOI: 10.1145/3637528.3671470 - RAG is one of the most advanced techniques in AI, offering reliable and up-to-date external knowledge and providing huge convenience for numerous tasks. Retrieval-Augmented Large Language Models (RA-LLMs) have emerged to harness external and authoritative knowledge bases, rather than solely relying on the model's internal knowledge, to augment the quality of the generated content of LLMs._x000a__x000a_DOI: 10.48550/arXiv.2502.15005 - The proposed RAG agent maps natural language queries about research topics to precise, machine-interpretable semantic entities, combining RAG with Socratic dialogue to align a user's intuitive understanding of research topics with established Knowledge Organization Systems (KOSs)._x000a__x000a_DOI: 10.18653/v1/2024.eacl-demo.16 - RAG systems are composed of a retrieval and an LLM-based generation module, providing LLMs with knowledge from a reference textual database and enabling them to act as a natural language layer between a user and textual databases, thus reducing the risk of hallucinations._x000a__x000a_My lady, I hope this information is helpful. If you have any further questions, please don't hesitate to ask."/>
    <n v="1"/>
    <x v="0"/>
    <x v="0"/>
    <n v="0"/>
  </r>
  <r>
    <s v="['How is RAG used to improve question answering or information retrieval systems?']"/>
    <s v="Summary: Retrieval-Augmented Generation (RAG) is a technique that improves question answering and information retrieval systems by providing reliable and up-to-date external knowledge, enabling large language models (LLMs) to answer queries over previously unseen document collections._x000a__x000a_DOI: 10.48550/arXiv.2406.13213 introduces Multi-Meta-RAG, a method that uses database filtering with LLM-extracted metadata to improve RAG selection of relevant documents from various sources, addressing the limitations of traditional RAG applications in answering multi-hop questions._x000a__x000a_DOI: 10.6109/jkiice.2023.27.12.1489 proposes Metadata Retrieval-Augmented Generation (M-RAG), a method that utilizes embeddings with metadata and generative models to enhance open-domain question answering, demonstrating significant performance improvements over conventional RAG methods._x000a__x000a_DOI: 10.1145/3637528.3671470 discusses the emergence of Retrieval-Augmented Large Language Models (RA-LLMs), which leverage external knowledge bases to augment the quality of generated content, addressing inherent limitations of LLMs such as hallucinations and out-of-date internal knowledge._x000a__x000a_DOI: 10.48550/arXiv.2502.15005 introduces a Socratic RAG approach that combines RAG with Socratic dialogue to map natural language queries to precise semantic entities, bridging domain-specific knowledge organization systems with broad bibliometric repositories._x000a__x000a_DOI: 10.18653/v1/2024.eacl-demo.16 presents RAGAs, a framework for reference-free evaluation of RAG pipelines, addressing the challenges of evaluating RAG architectures by introducing metrics that assess retrieval, generation, and faithfulness without relying on human annotations._x000a__x000a_My lady, these DOIs provide a comprehensive overview of how RAG is used to improve question answering and information retrieval systems, highlighting various methods and applications."/>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F8383-B705-F541-B80B-57F30576D999}" name="PivotTable9"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D32" firstHeaderRow="1" firstDataRow="2" firstDataCol="1"/>
  <pivotFields count="6">
    <pivotField showAll="0"/>
    <pivotField dataField="1" showAll="0"/>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zoomScale="140" zoomScaleNormal="140" workbookViewId="0"/>
  </sheetViews>
  <sheetFormatPr baseColWidth="10" defaultColWidth="8.83203125" defaultRowHeight="15" x14ac:dyDescent="0.2"/>
  <cols>
    <col min="2" max="2" width="23" style="3" customWidth="1"/>
    <col min="3" max="3" width="83.5" style="3" customWidth="1"/>
  </cols>
  <sheetData>
    <row r="1" spans="1:7" ht="16" x14ac:dyDescent="0.2">
      <c r="B1" s="2" t="s">
        <v>0</v>
      </c>
      <c r="C1" s="2" t="s">
        <v>1</v>
      </c>
      <c r="D1" t="s">
        <v>95</v>
      </c>
      <c r="E1" t="s">
        <v>96</v>
      </c>
      <c r="F1" t="s">
        <v>97</v>
      </c>
      <c r="G1" t="s">
        <v>98</v>
      </c>
    </row>
    <row r="2" spans="1:7" ht="208" x14ac:dyDescent="0.2">
      <c r="A2" s="1">
        <v>0</v>
      </c>
      <c r="B2" s="3" t="s">
        <v>2</v>
      </c>
      <c r="C2" s="3" t="s">
        <v>3</v>
      </c>
      <c r="D2">
        <v>1</v>
      </c>
      <c r="E2">
        <v>1</v>
      </c>
      <c r="F2">
        <v>1</v>
      </c>
      <c r="G2">
        <v>0</v>
      </c>
    </row>
    <row r="3" spans="1:7" ht="256" x14ac:dyDescent="0.2">
      <c r="A3" s="1">
        <v>16</v>
      </c>
      <c r="B3" s="3" t="s">
        <v>2</v>
      </c>
      <c r="C3" s="3" t="s">
        <v>34</v>
      </c>
      <c r="D3">
        <v>1</v>
      </c>
      <c r="E3">
        <v>1</v>
      </c>
      <c r="F3">
        <v>1</v>
      </c>
      <c r="G3">
        <v>0</v>
      </c>
    </row>
    <row r="4" spans="1:7" ht="208" x14ac:dyDescent="0.2">
      <c r="A4" s="1">
        <v>32</v>
      </c>
      <c r="B4" s="3" t="s">
        <v>2</v>
      </c>
      <c r="C4" s="3" t="s">
        <v>3</v>
      </c>
      <c r="D4">
        <v>1</v>
      </c>
      <c r="E4">
        <v>1</v>
      </c>
      <c r="F4">
        <v>1</v>
      </c>
      <c r="G4">
        <v>0</v>
      </c>
    </row>
    <row r="5" spans="1:7" ht="112" x14ac:dyDescent="0.2">
      <c r="A5" s="1">
        <v>48</v>
      </c>
      <c r="B5" s="3" t="s">
        <v>2</v>
      </c>
      <c r="C5" s="3" t="s">
        <v>64</v>
      </c>
      <c r="D5">
        <v>1</v>
      </c>
      <c r="E5">
        <v>1</v>
      </c>
      <c r="F5">
        <v>1</v>
      </c>
      <c r="G5">
        <v>0</v>
      </c>
    </row>
    <row r="6" spans="1:7" ht="176" x14ac:dyDescent="0.2">
      <c r="A6" s="1">
        <v>64</v>
      </c>
      <c r="B6" s="3" t="s">
        <v>2</v>
      </c>
      <c r="C6" s="3" t="s">
        <v>79</v>
      </c>
      <c r="D6">
        <v>1</v>
      </c>
      <c r="E6">
        <v>1</v>
      </c>
      <c r="F6">
        <v>1</v>
      </c>
      <c r="G6">
        <v>0</v>
      </c>
    </row>
    <row r="7" spans="1:7" ht="112" x14ac:dyDescent="0.2">
      <c r="A7" s="1">
        <v>1</v>
      </c>
      <c r="B7" s="3" t="s">
        <v>4</v>
      </c>
      <c r="C7" s="3" t="s">
        <v>5</v>
      </c>
      <c r="D7">
        <v>1</v>
      </c>
      <c r="E7">
        <v>1</v>
      </c>
      <c r="F7">
        <v>1</v>
      </c>
      <c r="G7">
        <v>0</v>
      </c>
    </row>
    <row r="8" spans="1:7" ht="96" x14ac:dyDescent="0.2">
      <c r="A8" s="1">
        <v>17</v>
      </c>
      <c r="B8" s="3" t="s">
        <v>4</v>
      </c>
      <c r="C8" s="3" t="s">
        <v>35</v>
      </c>
      <c r="D8">
        <v>1</v>
      </c>
      <c r="E8">
        <v>1</v>
      </c>
      <c r="F8">
        <v>1</v>
      </c>
      <c r="G8">
        <v>0</v>
      </c>
    </row>
    <row r="9" spans="1:7" ht="80" x14ac:dyDescent="0.2">
      <c r="A9" s="1">
        <v>33</v>
      </c>
      <c r="B9" s="3" t="s">
        <v>4</v>
      </c>
      <c r="C9" s="3" t="s">
        <v>49</v>
      </c>
      <c r="D9">
        <v>1</v>
      </c>
      <c r="E9">
        <v>1</v>
      </c>
      <c r="F9">
        <v>1</v>
      </c>
      <c r="G9">
        <v>0</v>
      </c>
    </row>
    <row r="10" spans="1:7" ht="64" x14ac:dyDescent="0.2">
      <c r="A10" s="1">
        <v>49</v>
      </c>
      <c r="B10" s="3" t="s">
        <v>4</v>
      </c>
      <c r="C10" s="3" t="s">
        <v>65</v>
      </c>
      <c r="D10">
        <v>1</v>
      </c>
      <c r="E10">
        <v>1</v>
      </c>
      <c r="F10">
        <v>1</v>
      </c>
      <c r="G10">
        <v>0</v>
      </c>
    </row>
    <row r="11" spans="1:7" ht="176" x14ac:dyDescent="0.2">
      <c r="A11" s="1">
        <v>65</v>
      </c>
      <c r="B11" s="3" t="s">
        <v>4</v>
      </c>
      <c r="C11" s="3" t="s">
        <v>80</v>
      </c>
      <c r="D11">
        <v>1</v>
      </c>
      <c r="E11">
        <v>1</v>
      </c>
      <c r="F11">
        <v>1</v>
      </c>
      <c r="G11">
        <v>0</v>
      </c>
    </row>
    <row r="12" spans="1:7" ht="192" x14ac:dyDescent="0.2">
      <c r="A12" s="1">
        <v>3</v>
      </c>
      <c r="B12" s="3" t="s">
        <v>8</v>
      </c>
      <c r="C12" s="3" t="s">
        <v>9</v>
      </c>
      <c r="D12">
        <v>1</v>
      </c>
      <c r="E12">
        <v>1</v>
      </c>
      <c r="F12">
        <v>1</v>
      </c>
      <c r="G12">
        <v>0</v>
      </c>
    </row>
    <row r="13" spans="1:7" ht="240" x14ac:dyDescent="0.2">
      <c r="A13" s="1">
        <v>19</v>
      </c>
      <c r="B13" s="3" t="s">
        <v>8</v>
      </c>
      <c r="C13" s="3" t="s">
        <v>37</v>
      </c>
      <c r="D13">
        <v>1</v>
      </c>
      <c r="E13">
        <v>1</v>
      </c>
      <c r="F13">
        <v>1</v>
      </c>
      <c r="G13">
        <v>0</v>
      </c>
    </row>
    <row r="14" spans="1:7" ht="176" x14ac:dyDescent="0.2">
      <c r="A14" s="1">
        <v>35</v>
      </c>
      <c r="B14" s="3" t="s">
        <v>8</v>
      </c>
      <c r="C14" s="3" t="s">
        <v>51</v>
      </c>
      <c r="D14">
        <v>1</v>
      </c>
      <c r="E14">
        <v>1</v>
      </c>
      <c r="F14">
        <v>1</v>
      </c>
      <c r="G14">
        <v>0</v>
      </c>
    </row>
    <row r="15" spans="1:7" ht="176" x14ac:dyDescent="0.2">
      <c r="A15" s="1">
        <v>51</v>
      </c>
      <c r="B15" s="3" t="s">
        <v>8</v>
      </c>
      <c r="C15" s="3" t="s">
        <v>51</v>
      </c>
      <c r="D15">
        <v>1</v>
      </c>
      <c r="E15">
        <v>1</v>
      </c>
      <c r="F15">
        <v>1</v>
      </c>
      <c r="G15">
        <v>0</v>
      </c>
    </row>
    <row r="16" spans="1:7" ht="176" x14ac:dyDescent="0.2">
      <c r="A16" s="1">
        <v>67</v>
      </c>
      <c r="B16" s="3" t="s">
        <v>8</v>
      </c>
      <c r="C16" s="3" t="s">
        <v>82</v>
      </c>
      <c r="D16">
        <v>1</v>
      </c>
      <c r="E16">
        <v>1</v>
      </c>
      <c r="F16">
        <v>1</v>
      </c>
      <c r="G16">
        <v>0</v>
      </c>
    </row>
    <row r="17" spans="1:7" ht="64" x14ac:dyDescent="0.2">
      <c r="A17" s="1">
        <v>5</v>
      </c>
      <c r="B17" s="3" t="s">
        <v>12</v>
      </c>
      <c r="C17" s="3" t="s">
        <v>13</v>
      </c>
      <c r="D17">
        <v>0</v>
      </c>
      <c r="E17">
        <v>0</v>
      </c>
      <c r="F17">
        <v>0</v>
      </c>
      <c r="G17">
        <v>0</v>
      </c>
    </row>
    <row r="18" spans="1:7" ht="64" x14ac:dyDescent="0.2">
      <c r="A18" s="1">
        <v>21</v>
      </c>
      <c r="B18" s="3" t="s">
        <v>12</v>
      </c>
      <c r="C18" s="3" t="s">
        <v>13</v>
      </c>
      <c r="D18">
        <v>0</v>
      </c>
      <c r="E18">
        <v>0</v>
      </c>
      <c r="F18">
        <v>0</v>
      </c>
      <c r="G18">
        <v>0</v>
      </c>
    </row>
    <row r="19" spans="1:7" ht="64" x14ac:dyDescent="0.2">
      <c r="A19" s="1">
        <v>37</v>
      </c>
      <c r="B19" s="3" t="s">
        <v>12</v>
      </c>
      <c r="C19" s="3" t="s">
        <v>53</v>
      </c>
      <c r="D19">
        <v>0</v>
      </c>
      <c r="E19">
        <v>0</v>
      </c>
      <c r="F19">
        <v>0</v>
      </c>
      <c r="G19">
        <v>0</v>
      </c>
    </row>
    <row r="20" spans="1:7" ht="288" x14ac:dyDescent="0.2">
      <c r="A20" s="1">
        <v>53</v>
      </c>
      <c r="B20" s="3" t="s">
        <v>12</v>
      </c>
      <c r="C20" s="3" t="s">
        <v>68</v>
      </c>
      <c r="D20">
        <v>1</v>
      </c>
      <c r="E20">
        <v>1</v>
      </c>
      <c r="F20">
        <v>1</v>
      </c>
      <c r="G20">
        <v>0</v>
      </c>
    </row>
    <row r="21" spans="1:7" ht="64" x14ac:dyDescent="0.2">
      <c r="A21" s="1">
        <v>69</v>
      </c>
      <c r="B21" s="3" t="s">
        <v>12</v>
      </c>
      <c r="C21" s="3" t="s">
        <v>84</v>
      </c>
      <c r="D21">
        <v>0</v>
      </c>
      <c r="E21">
        <v>0</v>
      </c>
      <c r="F21">
        <v>0</v>
      </c>
      <c r="G21">
        <v>0</v>
      </c>
    </row>
    <row r="22" spans="1:7" ht="144" x14ac:dyDescent="0.2">
      <c r="A22" s="1">
        <v>4</v>
      </c>
      <c r="B22" s="3" t="s">
        <v>10</v>
      </c>
      <c r="C22" s="3" t="s">
        <v>11</v>
      </c>
      <c r="D22">
        <v>1</v>
      </c>
      <c r="E22">
        <v>1</v>
      </c>
      <c r="F22">
        <v>1</v>
      </c>
      <c r="G22">
        <v>0</v>
      </c>
    </row>
    <row r="23" spans="1:7" ht="380" x14ac:dyDescent="0.2">
      <c r="A23" s="1">
        <v>20</v>
      </c>
      <c r="B23" s="3" t="s">
        <v>10</v>
      </c>
      <c r="C23" s="3" t="s">
        <v>38</v>
      </c>
      <c r="D23">
        <v>1</v>
      </c>
      <c r="E23">
        <v>1</v>
      </c>
      <c r="F23">
        <v>1</v>
      </c>
      <c r="G23">
        <v>0</v>
      </c>
    </row>
    <row r="24" spans="1:7" ht="409.6" x14ac:dyDescent="0.2">
      <c r="A24" s="1">
        <v>36</v>
      </c>
      <c r="B24" s="3" t="s">
        <v>10</v>
      </c>
      <c r="C24" s="3" t="s">
        <v>52</v>
      </c>
      <c r="D24">
        <v>1</v>
      </c>
      <c r="E24">
        <v>1</v>
      </c>
      <c r="F24">
        <v>1</v>
      </c>
      <c r="G24">
        <v>0</v>
      </c>
    </row>
    <row r="25" spans="1:7" ht="304" x14ac:dyDescent="0.2">
      <c r="A25" s="1">
        <v>52</v>
      </c>
      <c r="B25" s="3" t="s">
        <v>10</v>
      </c>
      <c r="C25" s="3" t="s">
        <v>67</v>
      </c>
      <c r="D25">
        <v>1</v>
      </c>
      <c r="E25">
        <v>1</v>
      </c>
      <c r="F25">
        <v>1</v>
      </c>
      <c r="G25">
        <v>0</v>
      </c>
    </row>
    <row r="26" spans="1:7" ht="208" x14ac:dyDescent="0.2">
      <c r="A26" s="1">
        <v>68</v>
      </c>
      <c r="B26" s="3" t="s">
        <v>10</v>
      </c>
      <c r="C26" s="3" t="s">
        <v>83</v>
      </c>
      <c r="D26">
        <v>1</v>
      </c>
      <c r="E26">
        <v>1</v>
      </c>
      <c r="F26">
        <v>1</v>
      </c>
      <c r="G26">
        <v>0</v>
      </c>
    </row>
    <row r="27" spans="1:7" ht="304" x14ac:dyDescent="0.2">
      <c r="A27" s="1">
        <v>11</v>
      </c>
      <c r="B27" s="3" t="s">
        <v>24</v>
      </c>
      <c r="C27" s="3" t="s">
        <v>25</v>
      </c>
      <c r="D27">
        <v>1</v>
      </c>
      <c r="E27">
        <v>1</v>
      </c>
      <c r="F27">
        <v>1</v>
      </c>
      <c r="G27">
        <v>0</v>
      </c>
    </row>
    <row r="28" spans="1:7" ht="395" x14ac:dyDescent="0.2">
      <c r="A28" s="1">
        <v>27</v>
      </c>
      <c r="B28" s="3" t="s">
        <v>24</v>
      </c>
      <c r="C28" s="3" t="s">
        <v>44</v>
      </c>
      <c r="D28">
        <v>1</v>
      </c>
      <c r="E28">
        <v>1</v>
      </c>
      <c r="F28">
        <v>1</v>
      </c>
      <c r="G28">
        <v>0</v>
      </c>
    </row>
    <row r="29" spans="1:7" ht="64" x14ac:dyDescent="0.2">
      <c r="A29" s="1">
        <v>43</v>
      </c>
      <c r="B29" s="3" t="s">
        <v>24</v>
      </c>
      <c r="C29" s="3" t="s">
        <v>59</v>
      </c>
      <c r="D29">
        <v>1</v>
      </c>
      <c r="E29">
        <v>1</v>
      </c>
      <c r="F29">
        <v>1</v>
      </c>
      <c r="G29">
        <v>0</v>
      </c>
    </row>
    <row r="30" spans="1:7" ht="304" x14ac:dyDescent="0.2">
      <c r="A30" s="1">
        <v>59</v>
      </c>
      <c r="B30" s="3" t="s">
        <v>24</v>
      </c>
      <c r="C30" s="3" t="s">
        <v>74</v>
      </c>
      <c r="D30">
        <v>1</v>
      </c>
      <c r="E30">
        <v>1</v>
      </c>
      <c r="F30">
        <v>1</v>
      </c>
      <c r="G30">
        <v>0</v>
      </c>
    </row>
    <row r="31" spans="1:7" ht="224" x14ac:dyDescent="0.2">
      <c r="A31" s="1">
        <v>75</v>
      </c>
      <c r="B31" s="3" t="s">
        <v>24</v>
      </c>
      <c r="C31" s="3" t="s">
        <v>90</v>
      </c>
      <c r="D31">
        <v>1</v>
      </c>
      <c r="E31">
        <v>1</v>
      </c>
      <c r="F31">
        <v>1</v>
      </c>
      <c r="G31">
        <v>0</v>
      </c>
    </row>
    <row r="32" spans="1:7" ht="304" x14ac:dyDescent="0.2">
      <c r="A32" s="1">
        <v>6</v>
      </c>
      <c r="B32" s="3" t="s">
        <v>14</v>
      </c>
      <c r="C32" s="3" t="s">
        <v>15</v>
      </c>
      <c r="D32">
        <v>1</v>
      </c>
      <c r="E32">
        <v>1</v>
      </c>
      <c r="F32">
        <v>1</v>
      </c>
      <c r="G32">
        <v>0</v>
      </c>
    </row>
    <row r="33" spans="1:7" ht="192" x14ac:dyDescent="0.2">
      <c r="A33" s="1">
        <v>22</v>
      </c>
      <c r="B33" s="3" t="s">
        <v>14</v>
      </c>
      <c r="C33" s="3" t="s">
        <v>39</v>
      </c>
      <c r="D33">
        <v>1</v>
      </c>
      <c r="E33">
        <v>1</v>
      </c>
      <c r="F33">
        <v>1</v>
      </c>
      <c r="G33">
        <v>0</v>
      </c>
    </row>
    <row r="34" spans="1:7" ht="96" x14ac:dyDescent="0.2">
      <c r="A34" s="1">
        <v>38</v>
      </c>
      <c r="B34" s="3" t="s">
        <v>14</v>
      </c>
      <c r="C34" s="3" t="s">
        <v>54</v>
      </c>
      <c r="D34">
        <v>1</v>
      </c>
      <c r="E34">
        <v>1</v>
      </c>
      <c r="F34">
        <v>1</v>
      </c>
      <c r="G34">
        <v>0</v>
      </c>
    </row>
    <row r="35" spans="1:7" ht="320" x14ac:dyDescent="0.2">
      <c r="A35" s="1">
        <v>54</v>
      </c>
      <c r="B35" s="3" t="s">
        <v>14</v>
      </c>
      <c r="C35" s="3" t="s">
        <v>69</v>
      </c>
      <c r="D35">
        <v>1</v>
      </c>
      <c r="E35">
        <v>1</v>
      </c>
      <c r="F35">
        <v>1</v>
      </c>
      <c r="G35">
        <v>0</v>
      </c>
    </row>
    <row r="36" spans="1:7" ht="272" x14ac:dyDescent="0.2">
      <c r="A36" s="1">
        <v>70</v>
      </c>
      <c r="B36" s="3" t="s">
        <v>14</v>
      </c>
      <c r="C36" s="3" t="s">
        <v>85</v>
      </c>
      <c r="D36">
        <v>1</v>
      </c>
      <c r="E36">
        <v>1</v>
      </c>
      <c r="F36">
        <v>1</v>
      </c>
      <c r="G36">
        <v>0</v>
      </c>
    </row>
    <row r="37" spans="1:7" ht="112" x14ac:dyDescent="0.2">
      <c r="A37" s="1">
        <v>8</v>
      </c>
      <c r="B37" s="3" t="s">
        <v>18</v>
      </c>
      <c r="C37" s="3" t="s">
        <v>19</v>
      </c>
      <c r="D37">
        <v>1</v>
      </c>
      <c r="E37">
        <v>1</v>
      </c>
      <c r="F37">
        <v>1</v>
      </c>
      <c r="G37">
        <v>0</v>
      </c>
    </row>
    <row r="38" spans="1:7" ht="112" x14ac:dyDescent="0.2">
      <c r="A38" s="1">
        <v>24</v>
      </c>
      <c r="B38" s="3" t="s">
        <v>18</v>
      </c>
      <c r="C38" s="3" t="s">
        <v>41</v>
      </c>
      <c r="D38">
        <v>0</v>
      </c>
      <c r="E38">
        <v>0</v>
      </c>
      <c r="F38">
        <v>0</v>
      </c>
      <c r="G38">
        <v>0</v>
      </c>
    </row>
    <row r="39" spans="1:7" ht="112" x14ac:dyDescent="0.2">
      <c r="A39" s="1">
        <v>40</v>
      </c>
      <c r="B39" s="3" t="s">
        <v>18</v>
      </c>
      <c r="C39" s="3" t="s">
        <v>56</v>
      </c>
      <c r="D39">
        <v>1</v>
      </c>
      <c r="E39">
        <v>1</v>
      </c>
      <c r="F39">
        <v>1</v>
      </c>
      <c r="G39">
        <v>0</v>
      </c>
    </row>
    <row r="40" spans="1:7" ht="176" x14ac:dyDescent="0.2">
      <c r="A40" s="1">
        <v>56</v>
      </c>
      <c r="B40" s="3" t="s">
        <v>18</v>
      </c>
      <c r="C40" s="3" t="s">
        <v>71</v>
      </c>
      <c r="D40">
        <v>1</v>
      </c>
      <c r="E40">
        <v>1</v>
      </c>
      <c r="F40">
        <v>1</v>
      </c>
      <c r="G40">
        <v>0</v>
      </c>
    </row>
    <row r="41" spans="1:7" ht="224" x14ac:dyDescent="0.2">
      <c r="A41" s="1">
        <v>72</v>
      </c>
      <c r="B41" s="3" t="s">
        <v>18</v>
      </c>
      <c r="C41" s="3" t="s">
        <v>87</v>
      </c>
      <c r="D41">
        <v>1</v>
      </c>
      <c r="E41">
        <v>1</v>
      </c>
      <c r="F41">
        <v>1</v>
      </c>
      <c r="G41">
        <v>0</v>
      </c>
    </row>
    <row r="42" spans="1:7" ht="409.6" x14ac:dyDescent="0.2">
      <c r="A42" s="1">
        <v>10</v>
      </c>
      <c r="B42" s="3" t="s">
        <v>22</v>
      </c>
      <c r="C42" s="4" t="s">
        <v>23</v>
      </c>
      <c r="D42">
        <v>0</v>
      </c>
      <c r="E42">
        <v>0</v>
      </c>
      <c r="F42">
        <v>0</v>
      </c>
      <c r="G42">
        <v>1</v>
      </c>
    </row>
    <row r="43" spans="1:7" ht="409.6" x14ac:dyDescent="0.2">
      <c r="A43" s="1">
        <v>26</v>
      </c>
      <c r="B43" s="3" t="s">
        <v>22</v>
      </c>
      <c r="C43" s="4" t="s">
        <v>43</v>
      </c>
      <c r="D43">
        <v>0</v>
      </c>
      <c r="E43">
        <v>0</v>
      </c>
      <c r="F43">
        <v>0</v>
      </c>
      <c r="G43">
        <v>1</v>
      </c>
    </row>
    <row r="44" spans="1:7" ht="409.6" x14ac:dyDescent="0.2">
      <c r="A44" s="1">
        <v>42</v>
      </c>
      <c r="B44" s="3" t="s">
        <v>22</v>
      </c>
      <c r="C44" s="4" t="s">
        <v>58</v>
      </c>
      <c r="D44">
        <v>0</v>
      </c>
      <c r="E44">
        <v>0</v>
      </c>
      <c r="F44">
        <v>0</v>
      </c>
      <c r="G44">
        <v>1</v>
      </c>
    </row>
    <row r="45" spans="1:7" ht="395" x14ac:dyDescent="0.2">
      <c r="A45" s="1">
        <v>58</v>
      </c>
      <c r="B45" s="3" t="s">
        <v>22</v>
      </c>
      <c r="C45" s="4" t="s">
        <v>73</v>
      </c>
      <c r="D45">
        <v>0</v>
      </c>
      <c r="E45">
        <v>0</v>
      </c>
      <c r="F45">
        <v>0</v>
      </c>
      <c r="G45">
        <v>1</v>
      </c>
    </row>
    <row r="46" spans="1:7" ht="395" x14ac:dyDescent="0.2">
      <c r="A46" s="1">
        <v>74</v>
      </c>
      <c r="B46" s="3" t="s">
        <v>22</v>
      </c>
      <c r="C46" s="4" t="s">
        <v>89</v>
      </c>
      <c r="D46">
        <v>0</v>
      </c>
      <c r="E46">
        <v>0</v>
      </c>
      <c r="F46">
        <v>0</v>
      </c>
      <c r="G46">
        <v>1</v>
      </c>
    </row>
    <row r="47" spans="1:7" ht="365" x14ac:dyDescent="0.2">
      <c r="A47" s="1">
        <v>7</v>
      </c>
      <c r="B47" s="3" t="s">
        <v>16</v>
      </c>
      <c r="C47" s="3" t="s">
        <v>17</v>
      </c>
      <c r="D47">
        <v>1</v>
      </c>
      <c r="E47">
        <v>1</v>
      </c>
      <c r="F47">
        <v>1</v>
      </c>
      <c r="G47">
        <v>0</v>
      </c>
    </row>
    <row r="48" spans="1:7" ht="350" x14ac:dyDescent="0.2">
      <c r="A48" s="1">
        <v>23</v>
      </c>
      <c r="B48" s="3" t="s">
        <v>16</v>
      </c>
      <c r="C48" s="3" t="s">
        <v>40</v>
      </c>
      <c r="D48">
        <v>1</v>
      </c>
      <c r="E48">
        <v>1</v>
      </c>
      <c r="F48">
        <v>1</v>
      </c>
      <c r="G48">
        <v>0</v>
      </c>
    </row>
    <row r="49" spans="1:7" ht="335" x14ac:dyDescent="0.2">
      <c r="A49" s="1">
        <v>39</v>
      </c>
      <c r="B49" s="3" t="s">
        <v>16</v>
      </c>
      <c r="C49" s="3" t="s">
        <v>55</v>
      </c>
      <c r="D49">
        <v>0</v>
      </c>
      <c r="E49">
        <v>1</v>
      </c>
      <c r="F49">
        <v>1</v>
      </c>
      <c r="G49">
        <v>0</v>
      </c>
    </row>
    <row r="50" spans="1:7" ht="409.6" x14ac:dyDescent="0.2">
      <c r="A50" s="1">
        <v>55</v>
      </c>
      <c r="B50" s="3" t="s">
        <v>16</v>
      </c>
      <c r="C50" s="3" t="s">
        <v>70</v>
      </c>
      <c r="D50">
        <v>1</v>
      </c>
      <c r="E50">
        <v>1</v>
      </c>
      <c r="F50">
        <v>1</v>
      </c>
      <c r="G50">
        <v>0</v>
      </c>
    </row>
    <row r="51" spans="1:7" ht="409.6" x14ac:dyDescent="0.2">
      <c r="A51" s="1">
        <v>71</v>
      </c>
      <c r="B51" s="3" t="s">
        <v>16</v>
      </c>
      <c r="C51" s="3" t="s">
        <v>86</v>
      </c>
      <c r="D51">
        <v>1</v>
      </c>
      <c r="E51">
        <v>1</v>
      </c>
      <c r="F51">
        <v>1</v>
      </c>
      <c r="G51">
        <v>0</v>
      </c>
    </row>
    <row r="52" spans="1:7" ht="128" x14ac:dyDescent="0.2">
      <c r="A52" s="1">
        <v>14</v>
      </c>
      <c r="B52" s="3" t="s">
        <v>30</v>
      </c>
      <c r="C52" s="3" t="s">
        <v>31</v>
      </c>
      <c r="D52">
        <v>0</v>
      </c>
      <c r="E52">
        <v>1</v>
      </c>
      <c r="F52">
        <v>0</v>
      </c>
      <c r="G52">
        <v>0</v>
      </c>
    </row>
    <row r="53" spans="1:7" ht="409.6" x14ac:dyDescent="0.2">
      <c r="A53" s="1">
        <v>30</v>
      </c>
      <c r="B53" s="3" t="s">
        <v>30</v>
      </c>
      <c r="C53" s="3" t="s">
        <v>47</v>
      </c>
      <c r="D53">
        <v>1</v>
      </c>
      <c r="E53">
        <v>1</v>
      </c>
      <c r="F53">
        <v>1</v>
      </c>
      <c r="G53">
        <v>0</v>
      </c>
    </row>
    <row r="54" spans="1:7" ht="409.6" x14ac:dyDescent="0.2">
      <c r="A54" s="1">
        <v>46</v>
      </c>
      <c r="B54" s="3" t="s">
        <v>30</v>
      </c>
      <c r="C54" s="3" t="s">
        <v>62</v>
      </c>
      <c r="D54">
        <v>1</v>
      </c>
      <c r="E54">
        <v>1</v>
      </c>
      <c r="F54">
        <v>1</v>
      </c>
      <c r="G54">
        <v>0</v>
      </c>
    </row>
    <row r="55" spans="1:7" ht="409.6" x14ac:dyDescent="0.2">
      <c r="A55" s="1">
        <v>62</v>
      </c>
      <c r="B55" s="3" t="s">
        <v>30</v>
      </c>
      <c r="C55" s="3" t="s">
        <v>77</v>
      </c>
      <c r="D55">
        <v>1</v>
      </c>
      <c r="E55">
        <v>1</v>
      </c>
      <c r="F55">
        <v>1</v>
      </c>
      <c r="G55">
        <v>0</v>
      </c>
    </row>
    <row r="56" spans="1:7" ht="112" x14ac:dyDescent="0.2">
      <c r="A56" s="1">
        <v>78</v>
      </c>
      <c r="B56" s="3" t="s">
        <v>30</v>
      </c>
      <c r="C56" s="3" t="s">
        <v>93</v>
      </c>
      <c r="D56">
        <v>0</v>
      </c>
      <c r="E56">
        <v>1</v>
      </c>
      <c r="F56">
        <v>0</v>
      </c>
      <c r="G56">
        <v>0</v>
      </c>
    </row>
    <row r="57" spans="1:7" ht="409.6" x14ac:dyDescent="0.2">
      <c r="A57" s="1">
        <v>15</v>
      </c>
      <c r="B57" s="3" t="s">
        <v>32</v>
      </c>
      <c r="C57" s="3" t="s">
        <v>33</v>
      </c>
      <c r="D57">
        <v>1</v>
      </c>
      <c r="E57">
        <v>1</v>
      </c>
      <c r="F57">
        <v>1</v>
      </c>
      <c r="G57">
        <v>0</v>
      </c>
    </row>
    <row r="58" spans="1:7" ht="240" x14ac:dyDescent="0.2">
      <c r="A58" s="1">
        <v>31</v>
      </c>
      <c r="B58" s="3" t="s">
        <v>32</v>
      </c>
      <c r="C58" s="3" t="s">
        <v>48</v>
      </c>
      <c r="D58">
        <v>1</v>
      </c>
      <c r="E58">
        <v>1</v>
      </c>
      <c r="F58">
        <v>1</v>
      </c>
      <c r="G58">
        <v>0</v>
      </c>
    </row>
    <row r="59" spans="1:7" ht="304" x14ac:dyDescent="0.2">
      <c r="A59" s="1">
        <v>47</v>
      </c>
      <c r="B59" s="3" t="s">
        <v>32</v>
      </c>
      <c r="C59" s="3" t="s">
        <v>63</v>
      </c>
      <c r="D59">
        <v>1</v>
      </c>
      <c r="E59">
        <v>1</v>
      </c>
      <c r="F59">
        <v>1</v>
      </c>
      <c r="G59">
        <v>0</v>
      </c>
    </row>
    <row r="60" spans="1:7" ht="365" x14ac:dyDescent="0.2">
      <c r="A60" s="1">
        <v>63</v>
      </c>
      <c r="B60" s="3" t="s">
        <v>32</v>
      </c>
      <c r="C60" s="3" t="s">
        <v>78</v>
      </c>
      <c r="D60">
        <v>1</v>
      </c>
      <c r="E60">
        <v>1</v>
      </c>
      <c r="F60">
        <v>1</v>
      </c>
      <c r="G60">
        <v>0</v>
      </c>
    </row>
    <row r="61" spans="1:7" ht="380" x14ac:dyDescent="0.2">
      <c r="A61" s="1">
        <v>79</v>
      </c>
      <c r="B61" s="3" t="s">
        <v>32</v>
      </c>
      <c r="C61" s="3" t="s">
        <v>94</v>
      </c>
      <c r="D61">
        <v>1</v>
      </c>
      <c r="E61">
        <v>1</v>
      </c>
      <c r="F61">
        <v>1</v>
      </c>
      <c r="G61">
        <v>0</v>
      </c>
    </row>
    <row r="62" spans="1:7" ht="409.6" x14ac:dyDescent="0.2">
      <c r="A62" s="1">
        <v>13</v>
      </c>
      <c r="B62" s="3" t="s">
        <v>28</v>
      </c>
      <c r="C62" s="3" t="s">
        <v>29</v>
      </c>
      <c r="D62">
        <v>1</v>
      </c>
      <c r="E62">
        <v>1</v>
      </c>
      <c r="F62">
        <v>1</v>
      </c>
      <c r="G62">
        <v>0</v>
      </c>
    </row>
    <row r="63" spans="1:7" ht="380" x14ac:dyDescent="0.2">
      <c r="A63" s="1">
        <v>29</v>
      </c>
      <c r="B63" s="3" t="s">
        <v>28</v>
      </c>
      <c r="C63" s="3" t="s">
        <v>46</v>
      </c>
      <c r="D63">
        <v>1</v>
      </c>
      <c r="E63">
        <v>1</v>
      </c>
      <c r="F63">
        <v>1</v>
      </c>
      <c r="G63">
        <v>0</v>
      </c>
    </row>
    <row r="64" spans="1:7" ht="256" x14ac:dyDescent="0.2">
      <c r="A64" s="1">
        <v>45</v>
      </c>
      <c r="B64" s="3" t="s">
        <v>28</v>
      </c>
      <c r="C64" s="3" t="s">
        <v>61</v>
      </c>
      <c r="D64">
        <v>1</v>
      </c>
      <c r="E64">
        <v>1</v>
      </c>
      <c r="F64">
        <v>1</v>
      </c>
      <c r="G64">
        <v>0</v>
      </c>
    </row>
    <row r="65" spans="1:7" ht="272" x14ac:dyDescent="0.2">
      <c r="A65" s="1">
        <v>61</v>
      </c>
      <c r="B65" s="3" t="s">
        <v>28</v>
      </c>
      <c r="C65" s="3" t="s">
        <v>76</v>
      </c>
      <c r="D65">
        <v>1</v>
      </c>
      <c r="E65">
        <v>1</v>
      </c>
      <c r="F65">
        <v>1</v>
      </c>
      <c r="G65">
        <v>0</v>
      </c>
    </row>
    <row r="66" spans="1:7" ht="409.6" x14ac:dyDescent="0.2">
      <c r="A66" s="1">
        <v>77</v>
      </c>
      <c r="B66" s="3" t="s">
        <v>28</v>
      </c>
      <c r="C66" s="3" t="s">
        <v>92</v>
      </c>
      <c r="D66">
        <v>1</v>
      </c>
      <c r="E66">
        <v>1</v>
      </c>
      <c r="F66">
        <v>1</v>
      </c>
      <c r="G66">
        <v>0</v>
      </c>
    </row>
    <row r="67" spans="1:7" ht="409.6" x14ac:dyDescent="0.2">
      <c r="A67" s="1">
        <v>12</v>
      </c>
      <c r="B67" s="3" t="s">
        <v>26</v>
      </c>
      <c r="C67" s="3" t="s">
        <v>27</v>
      </c>
      <c r="D67">
        <v>1</v>
      </c>
      <c r="E67">
        <v>1</v>
      </c>
      <c r="F67">
        <v>1</v>
      </c>
      <c r="G67">
        <v>0</v>
      </c>
    </row>
    <row r="68" spans="1:7" ht="365" x14ac:dyDescent="0.2">
      <c r="A68" s="1">
        <v>28</v>
      </c>
      <c r="B68" s="3" t="s">
        <v>26</v>
      </c>
      <c r="C68" s="3" t="s">
        <v>45</v>
      </c>
      <c r="D68">
        <v>1</v>
      </c>
      <c r="E68">
        <v>1</v>
      </c>
      <c r="F68">
        <v>1</v>
      </c>
      <c r="G68">
        <v>0</v>
      </c>
    </row>
    <row r="69" spans="1:7" ht="409.6" x14ac:dyDescent="0.2">
      <c r="A69" s="1">
        <v>44</v>
      </c>
      <c r="B69" s="3" t="s">
        <v>26</v>
      </c>
      <c r="C69" s="3" t="s">
        <v>60</v>
      </c>
      <c r="D69">
        <v>1</v>
      </c>
      <c r="E69">
        <v>1</v>
      </c>
      <c r="F69">
        <v>1</v>
      </c>
      <c r="G69">
        <v>0</v>
      </c>
    </row>
    <row r="70" spans="1:7" ht="380" x14ac:dyDescent="0.2">
      <c r="A70" s="1">
        <v>60</v>
      </c>
      <c r="B70" s="3" t="s">
        <v>26</v>
      </c>
      <c r="C70" s="3" t="s">
        <v>75</v>
      </c>
      <c r="D70">
        <v>1</v>
      </c>
      <c r="E70">
        <v>1</v>
      </c>
      <c r="F70">
        <v>1</v>
      </c>
      <c r="G70">
        <v>0</v>
      </c>
    </row>
    <row r="71" spans="1:7" ht="304" x14ac:dyDescent="0.2">
      <c r="A71" s="1">
        <v>76</v>
      </c>
      <c r="B71" s="3" t="s">
        <v>26</v>
      </c>
      <c r="C71" s="3" t="s">
        <v>91</v>
      </c>
      <c r="D71">
        <v>1</v>
      </c>
      <c r="E71">
        <v>1</v>
      </c>
      <c r="F71">
        <v>1</v>
      </c>
      <c r="G71">
        <v>0</v>
      </c>
    </row>
    <row r="72" spans="1:7" ht="304" x14ac:dyDescent="0.2">
      <c r="A72" s="1">
        <v>2</v>
      </c>
      <c r="B72" s="3" t="s">
        <v>6</v>
      </c>
      <c r="C72" s="3" t="s">
        <v>7</v>
      </c>
      <c r="D72">
        <v>1</v>
      </c>
      <c r="E72">
        <v>1</v>
      </c>
      <c r="F72">
        <v>1</v>
      </c>
      <c r="G72">
        <v>0</v>
      </c>
    </row>
    <row r="73" spans="1:7" ht="335" x14ac:dyDescent="0.2">
      <c r="A73" s="1">
        <v>18</v>
      </c>
      <c r="B73" s="3" t="s">
        <v>6</v>
      </c>
      <c r="C73" s="3" t="s">
        <v>36</v>
      </c>
      <c r="D73">
        <v>1</v>
      </c>
      <c r="E73">
        <v>1</v>
      </c>
      <c r="F73">
        <v>1</v>
      </c>
      <c r="G73">
        <v>0</v>
      </c>
    </row>
    <row r="74" spans="1:7" ht="350" x14ac:dyDescent="0.2">
      <c r="A74" s="1">
        <v>34</v>
      </c>
      <c r="B74" s="3" t="s">
        <v>6</v>
      </c>
      <c r="C74" s="3" t="s">
        <v>50</v>
      </c>
      <c r="D74">
        <v>1</v>
      </c>
      <c r="E74">
        <v>1</v>
      </c>
      <c r="F74">
        <v>1</v>
      </c>
      <c r="G74">
        <v>0</v>
      </c>
    </row>
    <row r="75" spans="1:7" ht="176" x14ac:dyDescent="0.2">
      <c r="A75" s="1">
        <v>50</v>
      </c>
      <c r="B75" s="3" t="s">
        <v>6</v>
      </c>
      <c r="C75" s="3" t="s">
        <v>66</v>
      </c>
      <c r="D75">
        <v>1</v>
      </c>
      <c r="E75">
        <v>1</v>
      </c>
      <c r="F75">
        <v>1</v>
      </c>
      <c r="G75">
        <v>0</v>
      </c>
    </row>
    <row r="76" spans="1:7" ht="272" x14ac:dyDescent="0.2">
      <c r="A76" s="1">
        <v>66</v>
      </c>
      <c r="B76" s="3" t="s">
        <v>6</v>
      </c>
      <c r="C76" s="3" t="s">
        <v>81</v>
      </c>
      <c r="D76">
        <v>1</v>
      </c>
      <c r="E76">
        <v>1</v>
      </c>
      <c r="F76">
        <v>1</v>
      </c>
      <c r="G76">
        <v>0</v>
      </c>
    </row>
    <row r="77" spans="1:7" ht="335" x14ac:dyDescent="0.2">
      <c r="A77" s="1">
        <v>9</v>
      </c>
      <c r="B77" s="3" t="s">
        <v>20</v>
      </c>
      <c r="C77" s="3" t="s">
        <v>21</v>
      </c>
      <c r="D77">
        <v>1</v>
      </c>
      <c r="E77">
        <v>1</v>
      </c>
      <c r="F77">
        <v>1</v>
      </c>
      <c r="G77">
        <v>0</v>
      </c>
    </row>
    <row r="78" spans="1:7" ht="409.6" x14ac:dyDescent="0.2">
      <c r="A78" s="1">
        <v>25</v>
      </c>
      <c r="B78" s="3" t="s">
        <v>20</v>
      </c>
      <c r="C78" s="3" t="s">
        <v>42</v>
      </c>
      <c r="D78">
        <v>1</v>
      </c>
      <c r="E78">
        <v>1</v>
      </c>
      <c r="F78">
        <v>1</v>
      </c>
      <c r="G78">
        <v>0</v>
      </c>
    </row>
    <row r="79" spans="1:7" ht="409.6" x14ac:dyDescent="0.2">
      <c r="A79" s="1">
        <v>41</v>
      </c>
      <c r="B79" s="3" t="s">
        <v>20</v>
      </c>
      <c r="C79" s="3" t="s">
        <v>57</v>
      </c>
      <c r="D79">
        <v>1</v>
      </c>
      <c r="E79">
        <v>1</v>
      </c>
      <c r="F79">
        <v>1</v>
      </c>
      <c r="G79">
        <v>0</v>
      </c>
    </row>
    <row r="80" spans="1:7" ht="409.6" x14ac:dyDescent="0.2">
      <c r="A80" s="1">
        <v>57</v>
      </c>
      <c r="B80" s="3" t="s">
        <v>20</v>
      </c>
      <c r="C80" s="3" t="s">
        <v>72</v>
      </c>
      <c r="D80">
        <v>1</v>
      </c>
      <c r="E80">
        <v>1</v>
      </c>
      <c r="F80">
        <v>1</v>
      </c>
      <c r="G80">
        <v>0</v>
      </c>
    </row>
    <row r="81" spans="1:7" ht="409.6" x14ac:dyDescent="0.2">
      <c r="A81" s="1">
        <v>73</v>
      </c>
      <c r="B81" s="3" t="s">
        <v>20</v>
      </c>
      <c r="C81" s="3" t="s">
        <v>88</v>
      </c>
      <c r="D81">
        <v>1</v>
      </c>
      <c r="E81">
        <v>1</v>
      </c>
      <c r="F81">
        <v>1</v>
      </c>
      <c r="G81">
        <v>0</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7E40-BB1D-9847-AE6E-BE7992000923}">
  <sheetPr>
    <outlinePr summaryBelow="0" summaryRight="0"/>
  </sheetPr>
  <dimension ref="A1:W994"/>
  <sheetViews>
    <sheetView workbookViewId="0">
      <selection activeCell="E15" sqref="E15"/>
    </sheetView>
  </sheetViews>
  <sheetFormatPr baseColWidth="10" defaultColWidth="12.6640625" defaultRowHeight="15.75" customHeight="1" x14ac:dyDescent="0.2"/>
  <cols>
    <col min="1" max="1" width="15.33203125" style="5" bestFit="1" customWidth="1"/>
    <col min="2" max="2" width="14.83203125" style="5" bestFit="1" customWidth="1"/>
    <col min="3" max="3" width="10.83203125" style="5" customWidth="1"/>
    <col min="4" max="4" width="10" style="5" bestFit="1" customWidth="1"/>
    <col min="5" max="5" width="17" style="5" customWidth="1"/>
    <col min="6" max="16384" width="12.6640625" style="5"/>
  </cols>
  <sheetData>
    <row r="1" spans="1:23" ht="16" x14ac:dyDescent="0.2">
      <c r="A1" s="11" t="s">
        <v>117</v>
      </c>
      <c r="B1" s="10"/>
      <c r="C1" s="10"/>
      <c r="D1" s="10"/>
      <c r="E1" s="10"/>
      <c r="F1" s="6"/>
      <c r="H1" s="6"/>
      <c r="I1" s="6"/>
      <c r="J1" s="6"/>
      <c r="K1" s="6"/>
      <c r="L1" s="6"/>
      <c r="M1" s="6"/>
      <c r="N1" s="6"/>
      <c r="O1" s="6"/>
      <c r="P1" s="6"/>
      <c r="Q1" s="6"/>
      <c r="R1" s="6"/>
      <c r="S1" s="6"/>
      <c r="T1" s="6"/>
      <c r="U1" s="6"/>
      <c r="V1" s="6"/>
      <c r="W1" s="6"/>
    </row>
    <row r="2" spans="1:23" ht="16" x14ac:dyDescent="0.2">
      <c r="A2" s="6"/>
      <c r="B2" s="7"/>
      <c r="C2" s="7"/>
      <c r="D2" s="7"/>
      <c r="E2" s="7"/>
      <c r="F2" s="6"/>
      <c r="H2" s="6"/>
      <c r="I2" s="6"/>
      <c r="J2" s="6"/>
      <c r="K2" s="6"/>
      <c r="L2" s="6"/>
      <c r="M2" s="6"/>
      <c r="N2" s="6"/>
      <c r="O2" s="6"/>
      <c r="P2" s="6"/>
      <c r="Q2" s="6"/>
      <c r="R2" s="6"/>
      <c r="S2" s="6"/>
      <c r="T2" s="6"/>
      <c r="U2" s="6"/>
      <c r="V2" s="6"/>
      <c r="W2" s="6"/>
    </row>
    <row r="3" spans="1:23" ht="16" x14ac:dyDescent="0.2">
      <c r="A3" s="6" t="s">
        <v>116</v>
      </c>
      <c r="C3" s="6" t="s">
        <v>114</v>
      </c>
      <c r="E3" s="6" t="s">
        <v>112</v>
      </c>
      <c r="F3" s="6"/>
      <c r="G3" s="6"/>
      <c r="H3" s="6"/>
      <c r="I3" s="6"/>
      <c r="J3" s="6"/>
      <c r="K3" s="6"/>
      <c r="L3" s="6"/>
      <c r="M3" s="6"/>
      <c r="N3" s="6"/>
      <c r="O3" s="6"/>
      <c r="P3" s="6"/>
      <c r="Q3" s="6"/>
      <c r="R3" s="6"/>
      <c r="S3" s="6"/>
      <c r="T3" s="6"/>
      <c r="U3" s="6"/>
      <c r="V3" s="6"/>
      <c r="W3" s="6"/>
    </row>
    <row r="4" spans="1:23" ht="16" x14ac:dyDescent="0.2">
      <c r="B4" s="21" t="s">
        <v>100</v>
      </c>
      <c r="C4" s="21">
        <v>0</v>
      </c>
      <c r="D4" s="21">
        <v>1</v>
      </c>
      <c r="E4" s="21" t="s">
        <v>99</v>
      </c>
      <c r="F4" s="6"/>
      <c r="G4" s="6"/>
      <c r="H4" s="6"/>
      <c r="I4" s="6"/>
      <c r="J4" s="6"/>
      <c r="K4" s="6"/>
      <c r="L4" s="6"/>
      <c r="M4" s="6"/>
      <c r="N4" s="6"/>
      <c r="O4" s="6"/>
      <c r="P4" s="6"/>
      <c r="Q4" s="6"/>
      <c r="R4" s="6"/>
      <c r="S4" s="6"/>
      <c r="T4" s="6"/>
      <c r="U4" s="6"/>
      <c r="V4" s="6"/>
      <c r="W4" s="6"/>
    </row>
    <row r="5" spans="1:23" ht="16" x14ac:dyDescent="0.2">
      <c r="A5" s="19" t="s">
        <v>113</v>
      </c>
      <c r="B5" s="8">
        <v>0</v>
      </c>
      <c r="C5" s="25">
        <v>10</v>
      </c>
      <c r="D5" s="25"/>
      <c r="E5" s="25">
        <v>10</v>
      </c>
      <c r="F5" s="6"/>
      <c r="G5" s="6"/>
      <c r="H5" s="6"/>
      <c r="I5" s="6"/>
      <c r="J5" s="6"/>
      <c r="K5" s="6"/>
      <c r="L5" s="6"/>
      <c r="M5" s="6"/>
      <c r="N5" s="6"/>
      <c r="O5" s="6"/>
      <c r="P5" s="6"/>
      <c r="Q5" s="6"/>
      <c r="R5" s="6"/>
      <c r="S5" s="6"/>
      <c r="T5" s="6"/>
      <c r="U5" s="6"/>
      <c r="V5" s="6"/>
      <c r="W5" s="6"/>
    </row>
    <row r="6" spans="1:23" ht="16" x14ac:dyDescent="0.2">
      <c r="B6" s="8">
        <v>1</v>
      </c>
      <c r="C6" s="25">
        <v>2</v>
      </c>
      <c r="D6" s="25">
        <v>68</v>
      </c>
      <c r="E6" s="25">
        <v>70</v>
      </c>
      <c r="F6" s="6"/>
      <c r="G6" s="6"/>
      <c r="H6" s="6"/>
      <c r="I6" s="6"/>
      <c r="J6" s="6"/>
      <c r="K6" s="6"/>
      <c r="L6" s="6"/>
      <c r="M6" s="6"/>
      <c r="N6" s="6"/>
      <c r="O6" s="6"/>
      <c r="P6" s="6"/>
      <c r="Q6" s="6"/>
      <c r="R6" s="6"/>
      <c r="S6" s="6"/>
      <c r="T6" s="6"/>
      <c r="U6" s="6"/>
      <c r="V6" s="6"/>
      <c r="W6" s="6"/>
    </row>
    <row r="7" spans="1:23" ht="16" x14ac:dyDescent="0.2">
      <c r="A7" s="20"/>
      <c r="B7" s="22" t="s">
        <v>99</v>
      </c>
      <c r="C7" s="26">
        <v>12</v>
      </c>
      <c r="D7" s="26">
        <v>68</v>
      </c>
      <c r="E7" s="26">
        <v>80</v>
      </c>
      <c r="H7" s="6"/>
      <c r="I7" s="6"/>
      <c r="J7" s="6"/>
      <c r="K7" s="6"/>
      <c r="L7" s="6"/>
      <c r="M7" s="6"/>
      <c r="N7" s="6"/>
      <c r="O7" s="6"/>
      <c r="P7" s="6"/>
      <c r="Q7" s="6"/>
      <c r="R7" s="6"/>
      <c r="S7" s="6"/>
      <c r="T7" s="6"/>
      <c r="U7" s="6"/>
      <c r="V7" s="6"/>
      <c r="W7" s="6"/>
    </row>
    <row r="8" spans="1:23" ht="16" x14ac:dyDescent="0.2">
      <c r="A8" s="6"/>
      <c r="B8" s="7"/>
      <c r="C8" s="7"/>
      <c r="D8" s="7"/>
      <c r="E8" s="7"/>
      <c r="F8" s="6"/>
      <c r="G8" s="6"/>
      <c r="H8" s="6"/>
      <c r="I8" s="6"/>
      <c r="J8" s="6"/>
      <c r="K8" s="6"/>
      <c r="L8" s="6"/>
      <c r="M8" s="6"/>
      <c r="N8" s="6"/>
      <c r="O8" s="6"/>
      <c r="P8" s="6"/>
      <c r="Q8" s="6"/>
      <c r="R8" s="6"/>
      <c r="S8" s="6"/>
      <c r="T8" s="6"/>
      <c r="U8" s="6"/>
      <c r="V8" s="6"/>
      <c r="W8" s="6"/>
    </row>
    <row r="9" spans="1:23" ht="16" x14ac:dyDescent="0.2">
      <c r="A9" s="11" t="s">
        <v>115</v>
      </c>
      <c r="B9" s="10"/>
      <c r="C9" s="10"/>
      <c r="D9" s="10"/>
      <c r="E9" s="10"/>
      <c r="F9" s="6"/>
      <c r="G9" s="6"/>
      <c r="H9" s="6"/>
      <c r="I9" s="6"/>
      <c r="J9" s="6"/>
      <c r="K9" s="6"/>
      <c r="L9" s="6"/>
      <c r="M9" s="6"/>
      <c r="N9" s="6"/>
      <c r="O9" s="6"/>
      <c r="P9" s="6"/>
      <c r="Q9" s="6"/>
      <c r="R9" s="6"/>
      <c r="S9" s="6"/>
      <c r="T9" s="6"/>
      <c r="U9" s="6"/>
      <c r="V9" s="6"/>
      <c r="W9" s="6"/>
    </row>
    <row r="10" spans="1:23" ht="16" x14ac:dyDescent="0.2">
      <c r="A10" s="6"/>
      <c r="B10" s="7"/>
      <c r="C10" s="7"/>
      <c r="D10" s="7"/>
      <c r="E10" s="7"/>
      <c r="F10" s="6"/>
      <c r="G10" s="6"/>
      <c r="H10" s="6"/>
      <c r="I10" s="6"/>
      <c r="J10" s="6"/>
      <c r="K10" s="6"/>
      <c r="L10" s="6"/>
      <c r="M10" s="6"/>
      <c r="N10" s="6"/>
      <c r="O10" s="6"/>
      <c r="P10" s="6"/>
      <c r="Q10" s="6"/>
      <c r="R10" s="6"/>
      <c r="S10" s="6"/>
      <c r="T10" s="6"/>
      <c r="U10" s="6"/>
      <c r="V10" s="6"/>
      <c r="W10" s="6"/>
    </row>
    <row r="11" spans="1:23" ht="16" x14ac:dyDescent="0.2">
      <c r="A11" s="6"/>
      <c r="C11" s="23" t="s">
        <v>114</v>
      </c>
      <c r="D11" s="24"/>
      <c r="E11" s="6" t="s">
        <v>112</v>
      </c>
      <c r="F11" s="6"/>
      <c r="G11" s="6"/>
      <c r="H11" s="6"/>
      <c r="I11" s="6"/>
      <c r="J11" s="6"/>
      <c r="K11" s="6"/>
      <c r="L11" s="6"/>
      <c r="M11" s="6"/>
      <c r="N11" s="6"/>
      <c r="O11" s="6"/>
      <c r="P11" s="6"/>
      <c r="Q11" s="6"/>
      <c r="R11" s="6"/>
      <c r="S11" s="6"/>
      <c r="T11" s="6"/>
      <c r="U11" s="6"/>
      <c r="V11" s="6"/>
      <c r="W11" s="6"/>
    </row>
    <row r="12" spans="1:23" ht="16" x14ac:dyDescent="0.2">
      <c r="C12" s="5">
        <v>0</v>
      </c>
      <c r="D12" s="5">
        <v>1</v>
      </c>
      <c r="E12" s="7" t="s">
        <v>99</v>
      </c>
      <c r="F12" s="6"/>
      <c r="G12" s="6"/>
      <c r="H12" s="6"/>
      <c r="I12" s="6"/>
      <c r="J12" s="6"/>
      <c r="K12" s="6"/>
      <c r="L12" s="6"/>
      <c r="M12" s="6"/>
      <c r="N12" s="6"/>
      <c r="O12" s="6"/>
      <c r="P12" s="6"/>
      <c r="Q12" s="6"/>
      <c r="R12" s="6"/>
      <c r="S12" s="6"/>
      <c r="T12" s="6"/>
      <c r="U12" s="6"/>
      <c r="V12" s="6"/>
      <c r="W12" s="6"/>
    </row>
    <row r="13" spans="1:23" ht="16" x14ac:dyDescent="0.2">
      <c r="A13" s="19" t="s">
        <v>113</v>
      </c>
      <c r="B13" s="5">
        <v>0</v>
      </c>
      <c r="C13" s="16">
        <f>C$15*$E13/$E$15</f>
        <v>0.25</v>
      </c>
      <c r="D13" s="13">
        <f>D$15*$E13/$E$15</f>
        <v>8.5</v>
      </c>
      <c r="E13">
        <v>10</v>
      </c>
      <c r="F13" s="6"/>
      <c r="G13" s="6"/>
      <c r="H13" s="6"/>
      <c r="I13" s="6"/>
      <c r="J13" s="6"/>
      <c r="K13" s="6"/>
      <c r="L13" s="6"/>
      <c r="M13" s="6"/>
      <c r="N13" s="6"/>
      <c r="O13" s="6"/>
      <c r="P13" s="6"/>
      <c r="Q13" s="6"/>
      <c r="R13" s="6"/>
      <c r="S13" s="6"/>
      <c r="T13" s="6"/>
      <c r="U13" s="6"/>
      <c r="V13" s="6"/>
      <c r="W13" s="6"/>
    </row>
    <row r="14" spans="1:23" ht="16" x14ac:dyDescent="0.2">
      <c r="B14" s="5">
        <v>1</v>
      </c>
      <c r="C14" s="13">
        <f>C$15*$E14/$E$15</f>
        <v>1.75</v>
      </c>
      <c r="D14" s="16">
        <f>D$15*$E14/$E$15</f>
        <v>59.5</v>
      </c>
      <c r="E14">
        <v>70</v>
      </c>
      <c r="F14" s="6"/>
      <c r="G14" s="6"/>
      <c r="H14" s="6"/>
      <c r="I14" s="6"/>
      <c r="J14" s="6"/>
      <c r="K14" s="6"/>
      <c r="L14" s="6"/>
      <c r="M14" s="6"/>
      <c r="N14" s="6"/>
      <c r="O14" s="6"/>
      <c r="P14" s="6"/>
      <c r="Q14" s="6"/>
      <c r="R14" s="6"/>
      <c r="S14" s="6"/>
      <c r="T14" s="6"/>
      <c r="U14" s="6"/>
      <c r="V14" s="6"/>
      <c r="W14" s="6"/>
    </row>
    <row r="15" spans="1:23" ht="16" x14ac:dyDescent="0.2">
      <c r="A15" s="18" t="s">
        <v>112</v>
      </c>
      <c r="C15">
        <v>2</v>
      </c>
      <c r="D15">
        <v>68</v>
      </c>
      <c r="E15">
        <v>80</v>
      </c>
      <c r="F15" s="6"/>
      <c r="G15" s="6"/>
      <c r="H15" s="6"/>
      <c r="I15" s="6"/>
      <c r="J15" s="6"/>
      <c r="K15" s="6"/>
      <c r="L15" s="6"/>
      <c r="M15" s="6"/>
      <c r="N15" s="6"/>
      <c r="O15" s="6"/>
      <c r="P15" s="6"/>
      <c r="Q15" s="6"/>
      <c r="R15" s="6"/>
      <c r="S15" s="6"/>
      <c r="T15" s="6"/>
      <c r="U15" s="6"/>
      <c r="V15" s="6"/>
      <c r="W15" s="6"/>
    </row>
    <row r="16" spans="1:23" ht="16" x14ac:dyDescent="0.2">
      <c r="A16" s="6"/>
      <c r="B16" s="7"/>
      <c r="C16" s="7"/>
      <c r="D16" s="7"/>
      <c r="E16" s="7"/>
      <c r="F16" s="6"/>
      <c r="G16" s="6"/>
      <c r="H16" s="6"/>
      <c r="I16" s="6"/>
      <c r="J16" s="6"/>
      <c r="K16" s="6"/>
      <c r="L16" s="6"/>
      <c r="M16" s="6"/>
      <c r="N16" s="6"/>
      <c r="O16" s="6"/>
      <c r="P16" s="6"/>
      <c r="Q16" s="6"/>
      <c r="R16" s="6"/>
      <c r="S16" s="6"/>
      <c r="T16" s="6"/>
      <c r="U16" s="6"/>
      <c r="V16" s="6"/>
      <c r="W16" s="6"/>
    </row>
    <row r="17" spans="1:23" ht="16" x14ac:dyDescent="0.2">
      <c r="A17" s="11" t="s">
        <v>111</v>
      </c>
      <c r="B17" s="10"/>
      <c r="C17" s="10"/>
      <c r="D17" s="10"/>
      <c r="E17" s="10"/>
      <c r="F17" s="6"/>
      <c r="G17" s="6"/>
      <c r="H17" s="6"/>
      <c r="I17" s="6"/>
      <c r="J17" s="6"/>
      <c r="K17" s="6"/>
      <c r="L17" s="6"/>
      <c r="M17" s="6"/>
      <c r="N17" s="6"/>
      <c r="O17" s="6"/>
      <c r="P17" s="6"/>
      <c r="Q17" s="6"/>
      <c r="R17" s="6"/>
      <c r="S17" s="6"/>
      <c r="T17" s="6"/>
      <c r="U17" s="6"/>
      <c r="V17" s="6"/>
      <c r="W17" s="6"/>
    </row>
    <row r="18" spans="1:23" ht="16" x14ac:dyDescent="0.2">
      <c r="B18" s="7"/>
      <c r="C18" s="7"/>
      <c r="D18" s="7"/>
      <c r="E18" s="7"/>
      <c r="F18" s="6"/>
      <c r="G18" s="6"/>
      <c r="H18" s="6"/>
      <c r="I18" s="6"/>
      <c r="J18" s="6"/>
      <c r="K18" s="6"/>
      <c r="L18" s="6"/>
      <c r="M18" s="6"/>
      <c r="N18" s="6"/>
      <c r="O18" s="6"/>
      <c r="P18" s="6"/>
      <c r="Q18" s="6"/>
      <c r="R18" s="6"/>
      <c r="S18" s="6"/>
      <c r="T18" s="6"/>
      <c r="U18" s="6"/>
      <c r="V18" s="6"/>
      <c r="W18" s="6"/>
    </row>
    <row r="19" spans="1:23" ht="16" x14ac:dyDescent="0.2">
      <c r="B19" s="7" t="s">
        <v>110</v>
      </c>
      <c r="C19" s="7" t="s">
        <v>109</v>
      </c>
      <c r="D19" s="7"/>
      <c r="E19" s="7"/>
      <c r="F19" s="6"/>
      <c r="G19" s="6"/>
      <c r="H19" s="6"/>
      <c r="I19" s="6"/>
      <c r="J19" s="6"/>
      <c r="K19" s="6"/>
      <c r="L19" s="6"/>
      <c r="M19" s="6"/>
      <c r="N19" s="6"/>
      <c r="O19" s="6"/>
      <c r="P19" s="6"/>
      <c r="Q19" s="6"/>
      <c r="R19" s="6"/>
      <c r="S19" s="6"/>
      <c r="T19" s="6"/>
      <c r="U19" s="6"/>
      <c r="V19" s="6"/>
      <c r="W19" s="6"/>
    </row>
    <row r="20" spans="1:23" ht="16" x14ac:dyDescent="0.2">
      <c r="A20" s="6" t="s">
        <v>108</v>
      </c>
      <c r="B20" s="7">
        <f>SUM(C5,D6)</f>
        <v>78</v>
      </c>
      <c r="C20" s="17">
        <f>B20/B22</f>
        <v>0.97499999999999998</v>
      </c>
      <c r="D20" s="7"/>
      <c r="E20" s="7"/>
      <c r="F20" s="6"/>
      <c r="G20" s="6"/>
      <c r="H20" s="6"/>
      <c r="I20" s="6"/>
      <c r="J20" s="6"/>
      <c r="K20" s="6"/>
      <c r="L20" s="6"/>
      <c r="M20" s="6"/>
      <c r="N20" s="6"/>
      <c r="O20" s="6"/>
      <c r="P20" s="6"/>
      <c r="Q20" s="6"/>
      <c r="R20" s="6"/>
      <c r="S20" s="6"/>
      <c r="T20" s="6"/>
      <c r="U20" s="6"/>
      <c r="V20" s="6"/>
      <c r="W20" s="6"/>
    </row>
    <row r="21" spans="1:23" ht="16" x14ac:dyDescent="0.2">
      <c r="A21" s="6" t="s">
        <v>107</v>
      </c>
      <c r="B21" s="7">
        <f>SUM(C13,D14)</f>
        <v>59.75</v>
      </c>
      <c r="C21" s="17">
        <f>B21/B22</f>
        <v>0.74687499999999996</v>
      </c>
      <c r="D21" s="7"/>
      <c r="E21" s="7"/>
      <c r="F21" s="6"/>
      <c r="G21" s="6"/>
      <c r="H21" s="6"/>
      <c r="I21" s="6"/>
      <c r="J21" s="6"/>
      <c r="K21" s="6"/>
      <c r="L21" s="6"/>
      <c r="M21" s="6"/>
      <c r="N21" s="6"/>
      <c r="O21" s="6"/>
      <c r="P21" s="6"/>
      <c r="Q21" s="6"/>
      <c r="R21" s="6"/>
      <c r="S21" s="6"/>
      <c r="T21" s="6"/>
      <c r="U21" s="6"/>
      <c r="V21" s="6"/>
      <c r="W21" s="6"/>
    </row>
    <row r="22" spans="1:23" ht="16" x14ac:dyDescent="0.2">
      <c r="A22" s="6" t="s">
        <v>106</v>
      </c>
      <c r="B22" s="7">
        <f>E15</f>
        <v>80</v>
      </c>
      <c r="C22" s="17">
        <v>1</v>
      </c>
      <c r="D22" s="7"/>
      <c r="E22" s="16" t="s">
        <v>105</v>
      </c>
      <c r="F22" s="6"/>
      <c r="G22" s="6"/>
      <c r="H22" s="6"/>
      <c r="I22" s="6"/>
      <c r="J22" s="6"/>
      <c r="K22" s="6"/>
      <c r="L22" s="6"/>
      <c r="M22" s="6"/>
      <c r="N22" s="6"/>
      <c r="O22" s="6"/>
      <c r="P22" s="6"/>
      <c r="Q22" s="6"/>
      <c r="R22" s="6"/>
      <c r="S22" s="6"/>
      <c r="T22" s="6"/>
      <c r="U22" s="6"/>
      <c r="V22" s="6"/>
      <c r="W22" s="6"/>
    </row>
    <row r="23" spans="1:23" ht="16" x14ac:dyDescent="0.2">
      <c r="A23" s="12" t="s">
        <v>104</v>
      </c>
      <c r="B23" s="15">
        <f>(B20-B21)/(B22-B21)</f>
        <v>0.90123456790123457</v>
      </c>
      <c r="C23" s="15">
        <f>(C20-C21)/(C22-C21)</f>
        <v>0.90123456790123446</v>
      </c>
      <c r="D23" s="14"/>
      <c r="E23" s="13" t="s">
        <v>103</v>
      </c>
      <c r="F23" s="12"/>
      <c r="G23" s="12"/>
      <c r="H23" s="12"/>
      <c r="I23" s="12"/>
      <c r="J23" s="12"/>
      <c r="K23" s="12"/>
      <c r="L23" s="12"/>
      <c r="M23" s="12"/>
      <c r="N23" s="12"/>
      <c r="O23" s="12"/>
      <c r="P23" s="12"/>
      <c r="Q23" s="12"/>
      <c r="R23" s="12"/>
      <c r="S23" s="12"/>
      <c r="T23" s="12"/>
      <c r="U23" s="12"/>
      <c r="V23" s="12"/>
      <c r="W23" s="12"/>
    </row>
    <row r="24" spans="1:23" ht="16" x14ac:dyDescent="0.2">
      <c r="A24" s="6"/>
      <c r="B24" s="7"/>
      <c r="C24" s="7"/>
      <c r="D24" s="7"/>
      <c r="E24" s="7"/>
      <c r="F24" s="6"/>
      <c r="G24" s="6"/>
      <c r="H24" s="6"/>
      <c r="I24" s="6"/>
      <c r="J24" s="6"/>
      <c r="K24" s="6"/>
      <c r="L24" s="6"/>
      <c r="M24" s="6"/>
      <c r="N24" s="6"/>
      <c r="O24" s="6"/>
      <c r="P24" s="6"/>
      <c r="Q24" s="6"/>
      <c r="R24" s="6"/>
      <c r="S24" s="6"/>
      <c r="T24" s="6"/>
      <c r="U24" s="6"/>
      <c r="V24" s="6"/>
      <c r="W24" s="6"/>
    </row>
    <row r="25" spans="1:23" ht="16" x14ac:dyDescent="0.2">
      <c r="A25" s="11"/>
      <c r="B25" s="10"/>
      <c r="C25" s="10"/>
      <c r="D25" s="10"/>
      <c r="E25" s="10"/>
      <c r="F25" s="6"/>
      <c r="G25" s="6"/>
      <c r="H25" s="6"/>
      <c r="I25" s="6"/>
      <c r="J25" s="6"/>
      <c r="K25" s="6"/>
      <c r="L25" s="6"/>
      <c r="M25" s="6"/>
      <c r="N25" s="6"/>
      <c r="O25" s="6"/>
      <c r="P25" s="6"/>
      <c r="Q25" s="6"/>
      <c r="R25" s="6"/>
      <c r="S25" s="6"/>
      <c r="T25" s="6"/>
      <c r="U25" s="6"/>
      <c r="V25" s="6"/>
      <c r="W25" s="6"/>
    </row>
    <row r="26" spans="1:23" ht="16" x14ac:dyDescent="0.2">
      <c r="A26" s="6"/>
      <c r="B26" s="7"/>
      <c r="C26" s="7"/>
      <c r="D26" s="7"/>
      <c r="E26" s="7"/>
      <c r="F26" s="6"/>
      <c r="G26" s="6"/>
      <c r="H26" s="6"/>
      <c r="I26" s="6"/>
      <c r="J26" s="6"/>
      <c r="K26" s="6"/>
      <c r="L26" s="6"/>
      <c r="M26" s="6"/>
      <c r="N26" s="6"/>
      <c r="O26" s="6"/>
      <c r="P26" s="6"/>
      <c r="Q26" s="6"/>
      <c r="R26" s="6"/>
      <c r="S26" s="6"/>
      <c r="T26" s="6"/>
      <c r="U26" s="6"/>
      <c r="V26" s="6"/>
      <c r="W26" s="6"/>
    </row>
    <row r="27" spans="1:23" ht="16" x14ac:dyDescent="0.2">
      <c r="A27" s="6"/>
      <c r="B27" s="7"/>
      <c r="C27" s="7"/>
      <c r="D27" s="7"/>
      <c r="E27" s="7"/>
      <c r="F27" s="6"/>
      <c r="G27" s="6"/>
      <c r="H27" s="6"/>
      <c r="I27" s="6"/>
      <c r="J27" s="6"/>
      <c r="K27" s="6"/>
      <c r="L27" s="6"/>
      <c r="M27" s="6"/>
      <c r="N27" s="6"/>
      <c r="O27" s="6"/>
      <c r="P27" s="6"/>
      <c r="Q27" s="6"/>
      <c r="R27" s="6"/>
      <c r="S27" s="6"/>
      <c r="T27" s="6"/>
      <c r="U27" s="6"/>
      <c r="V27" s="6"/>
      <c r="W27" s="6"/>
    </row>
    <row r="28" spans="1:23" ht="16" x14ac:dyDescent="0.2">
      <c r="A28" s="9" t="s">
        <v>102</v>
      </c>
      <c r="B28" s="9" t="s">
        <v>101</v>
      </c>
      <c r="C28"/>
      <c r="D28"/>
      <c r="E28" s="7"/>
      <c r="F28" s="6"/>
      <c r="G28" s="6"/>
      <c r="H28" s="6"/>
      <c r="I28" s="6"/>
      <c r="J28" s="6"/>
      <c r="K28" s="6"/>
      <c r="L28" s="6"/>
      <c r="M28" s="6"/>
      <c r="N28" s="6"/>
      <c r="O28" s="6"/>
      <c r="P28" s="6"/>
      <c r="Q28" s="6"/>
      <c r="R28" s="6"/>
      <c r="S28" s="6"/>
      <c r="T28" s="6"/>
      <c r="U28" s="6"/>
      <c r="V28" s="6"/>
      <c r="W28" s="6"/>
    </row>
    <row r="29" spans="1:23" ht="16" x14ac:dyDescent="0.2">
      <c r="A29" s="9" t="s">
        <v>100</v>
      </c>
      <c r="B29">
        <v>0</v>
      </c>
      <c r="C29">
        <v>1</v>
      </c>
      <c r="D29" t="s">
        <v>99</v>
      </c>
      <c r="E29" s="7"/>
      <c r="F29" s="6"/>
      <c r="G29" s="6"/>
      <c r="H29" s="6"/>
      <c r="I29" s="6"/>
      <c r="J29" s="6"/>
      <c r="K29" s="6"/>
      <c r="L29" s="6"/>
      <c r="M29" s="6"/>
      <c r="N29" s="6"/>
      <c r="O29" s="6"/>
      <c r="P29" s="6"/>
      <c r="Q29" s="6"/>
      <c r="R29" s="6"/>
      <c r="S29" s="6"/>
      <c r="T29" s="6"/>
      <c r="U29" s="6"/>
      <c r="V29" s="6"/>
      <c r="W29" s="6"/>
    </row>
    <row r="30" spans="1:23" ht="16" x14ac:dyDescent="0.2">
      <c r="A30" s="8">
        <v>0</v>
      </c>
      <c r="B30" s="25">
        <v>10</v>
      </c>
      <c r="C30" s="25"/>
      <c r="D30" s="25">
        <v>10</v>
      </c>
      <c r="E30" s="7"/>
      <c r="F30" s="6"/>
      <c r="G30" s="6"/>
      <c r="H30" s="6"/>
      <c r="I30" s="6"/>
      <c r="J30" s="6"/>
      <c r="K30" s="6"/>
      <c r="L30" s="6"/>
      <c r="M30" s="6"/>
      <c r="N30" s="6"/>
      <c r="O30" s="6"/>
      <c r="P30" s="6"/>
      <c r="Q30" s="6"/>
      <c r="R30" s="6"/>
      <c r="S30" s="6"/>
      <c r="T30" s="6"/>
      <c r="U30" s="6"/>
      <c r="V30" s="6"/>
      <c r="W30" s="6"/>
    </row>
    <row r="31" spans="1:23" ht="16" x14ac:dyDescent="0.2">
      <c r="A31" s="8">
        <v>1</v>
      </c>
      <c r="B31" s="25">
        <v>2</v>
      </c>
      <c r="C31" s="25">
        <v>68</v>
      </c>
      <c r="D31" s="25">
        <v>70</v>
      </c>
      <c r="E31" s="7"/>
      <c r="F31" s="6"/>
      <c r="G31" s="6"/>
      <c r="H31" s="6"/>
      <c r="I31" s="6"/>
      <c r="J31" s="6"/>
      <c r="K31" s="6"/>
      <c r="L31" s="6"/>
      <c r="M31" s="6"/>
      <c r="N31" s="6"/>
      <c r="O31" s="6"/>
      <c r="P31" s="6"/>
      <c r="Q31" s="6"/>
      <c r="R31" s="6"/>
      <c r="S31" s="6"/>
      <c r="T31" s="6"/>
      <c r="U31" s="6"/>
      <c r="V31" s="6"/>
      <c r="W31" s="6"/>
    </row>
    <row r="32" spans="1:23" ht="16" x14ac:dyDescent="0.2">
      <c r="A32" s="8" t="s">
        <v>99</v>
      </c>
      <c r="B32" s="25">
        <v>12</v>
      </c>
      <c r="C32" s="25">
        <v>68</v>
      </c>
      <c r="D32" s="25">
        <v>80</v>
      </c>
      <c r="E32" s="7"/>
      <c r="F32" s="6"/>
      <c r="G32" s="6"/>
      <c r="H32" s="6"/>
      <c r="I32" s="6"/>
      <c r="J32" s="6"/>
      <c r="K32" s="6"/>
      <c r="L32" s="6"/>
      <c r="M32" s="6"/>
      <c r="N32" s="6"/>
      <c r="O32" s="6"/>
      <c r="P32" s="6"/>
      <c r="Q32" s="6"/>
      <c r="R32" s="6"/>
      <c r="S32" s="6"/>
      <c r="T32" s="6"/>
      <c r="U32" s="6"/>
      <c r="V32" s="6"/>
      <c r="W32" s="6"/>
    </row>
    <row r="33" spans="1:23" ht="16" x14ac:dyDescent="0.2">
      <c r="A33"/>
      <c r="B33"/>
      <c r="C33"/>
      <c r="D33"/>
      <c r="E33" s="7"/>
      <c r="F33" s="6"/>
      <c r="G33" s="6"/>
      <c r="H33" s="6"/>
      <c r="I33" s="6"/>
      <c r="J33" s="6"/>
      <c r="K33" s="6"/>
      <c r="L33" s="6"/>
      <c r="M33" s="6"/>
      <c r="N33" s="6"/>
      <c r="O33" s="6"/>
      <c r="P33" s="6"/>
      <c r="Q33" s="6"/>
      <c r="R33" s="6"/>
      <c r="S33" s="6"/>
      <c r="T33" s="6"/>
      <c r="U33" s="6"/>
      <c r="V33" s="6"/>
      <c r="W33" s="6"/>
    </row>
    <row r="34" spans="1:23" ht="16" x14ac:dyDescent="0.2">
      <c r="A34"/>
      <c r="B34"/>
      <c r="C34"/>
      <c r="D34"/>
      <c r="E34" s="7"/>
      <c r="F34" s="6"/>
      <c r="G34" s="6"/>
      <c r="H34" s="6"/>
      <c r="I34" s="6"/>
      <c r="J34" s="6"/>
      <c r="K34" s="6"/>
      <c r="L34" s="6"/>
      <c r="M34" s="6"/>
      <c r="N34" s="6"/>
      <c r="O34" s="6"/>
      <c r="P34" s="6"/>
      <c r="Q34" s="6"/>
      <c r="R34" s="6"/>
      <c r="S34" s="6"/>
      <c r="T34" s="6"/>
      <c r="U34" s="6"/>
      <c r="V34" s="6"/>
      <c r="W34" s="6"/>
    </row>
    <row r="35" spans="1:23" ht="16" x14ac:dyDescent="0.2">
      <c r="A35"/>
      <c r="B35"/>
      <c r="C35"/>
      <c r="D35"/>
      <c r="E35" s="7"/>
      <c r="F35" s="6"/>
      <c r="G35" s="6"/>
      <c r="H35" s="6"/>
      <c r="I35" s="6"/>
      <c r="J35" s="6"/>
      <c r="K35" s="6"/>
      <c r="L35" s="6"/>
      <c r="M35" s="6"/>
      <c r="N35" s="6"/>
      <c r="O35" s="6"/>
      <c r="P35" s="6"/>
      <c r="Q35" s="6"/>
      <c r="R35" s="6"/>
      <c r="S35" s="6"/>
      <c r="T35" s="6"/>
      <c r="U35" s="6"/>
      <c r="V35" s="6"/>
      <c r="W35" s="6"/>
    </row>
    <row r="36" spans="1:23" ht="16" x14ac:dyDescent="0.2">
      <c r="A36"/>
      <c r="B36"/>
      <c r="C36"/>
      <c r="D36"/>
      <c r="E36" s="7"/>
      <c r="F36" s="6"/>
      <c r="G36" s="6"/>
      <c r="H36" s="6"/>
      <c r="I36" s="6"/>
      <c r="J36" s="6"/>
      <c r="K36" s="6"/>
      <c r="L36" s="6"/>
      <c r="M36" s="6"/>
      <c r="N36" s="6"/>
      <c r="O36" s="6"/>
      <c r="P36" s="6"/>
      <c r="Q36" s="6"/>
      <c r="R36" s="6"/>
      <c r="S36" s="6"/>
      <c r="T36" s="6"/>
      <c r="U36" s="6"/>
      <c r="V36" s="6"/>
      <c r="W36" s="6"/>
    </row>
    <row r="37" spans="1:23" ht="16" x14ac:dyDescent="0.2">
      <c r="A37"/>
      <c r="B37"/>
      <c r="C37"/>
      <c r="D37"/>
      <c r="E37" s="7"/>
      <c r="F37" s="6"/>
      <c r="G37" s="6"/>
      <c r="H37" s="6"/>
      <c r="I37" s="6"/>
      <c r="J37" s="6"/>
      <c r="K37" s="6"/>
      <c r="L37" s="6"/>
      <c r="M37" s="6"/>
      <c r="N37" s="6"/>
      <c r="O37" s="6"/>
      <c r="P37" s="6"/>
      <c r="Q37" s="6"/>
      <c r="R37" s="6"/>
      <c r="S37" s="6"/>
      <c r="T37" s="6"/>
      <c r="U37" s="6"/>
      <c r="V37" s="6"/>
      <c r="W37" s="6"/>
    </row>
    <row r="38" spans="1:23" ht="16" x14ac:dyDescent="0.2">
      <c r="A38"/>
      <c r="B38"/>
      <c r="C38"/>
      <c r="D38"/>
      <c r="E38" s="7"/>
      <c r="F38" s="6"/>
      <c r="G38" s="6"/>
      <c r="H38" s="6"/>
      <c r="I38" s="6"/>
      <c r="J38" s="6"/>
      <c r="K38" s="6"/>
      <c r="L38" s="6"/>
      <c r="M38" s="6"/>
      <c r="N38" s="6"/>
      <c r="O38" s="6"/>
      <c r="P38" s="6"/>
      <c r="Q38" s="6"/>
      <c r="R38" s="6"/>
      <c r="S38" s="6"/>
      <c r="T38" s="6"/>
      <c r="U38" s="6"/>
      <c r="V38" s="6"/>
      <c r="W38" s="6"/>
    </row>
    <row r="39" spans="1:23" ht="16" x14ac:dyDescent="0.2">
      <c r="A39"/>
      <c r="B39"/>
      <c r="C39"/>
      <c r="D39" s="7"/>
      <c r="E39" s="7"/>
      <c r="F39" s="6"/>
      <c r="G39" s="6"/>
      <c r="H39" s="6"/>
      <c r="I39" s="6"/>
      <c r="J39" s="6"/>
      <c r="K39" s="6"/>
      <c r="L39" s="6"/>
      <c r="M39" s="6"/>
      <c r="N39" s="6"/>
      <c r="O39" s="6"/>
      <c r="P39" s="6"/>
      <c r="Q39" s="6"/>
      <c r="R39" s="6"/>
      <c r="S39" s="6"/>
      <c r="T39" s="6"/>
      <c r="U39" s="6"/>
      <c r="V39" s="6"/>
      <c r="W39" s="6"/>
    </row>
    <row r="40" spans="1:23" ht="16" x14ac:dyDescent="0.2">
      <c r="A40"/>
      <c r="B40"/>
      <c r="C40"/>
      <c r="D40" s="7"/>
      <c r="E40" s="7"/>
      <c r="F40" s="6"/>
      <c r="G40" s="6"/>
      <c r="H40" s="6"/>
      <c r="I40" s="6"/>
      <c r="J40" s="6"/>
      <c r="K40" s="6"/>
      <c r="L40" s="6"/>
      <c r="M40" s="6"/>
      <c r="N40" s="6"/>
      <c r="O40" s="6"/>
      <c r="P40" s="6"/>
      <c r="Q40" s="6"/>
      <c r="R40" s="6"/>
      <c r="S40" s="6"/>
      <c r="T40" s="6"/>
      <c r="U40" s="6"/>
      <c r="V40" s="6"/>
      <c r="W40" s="6"/>
    </row>
    <row r="41" spans="1:23" ht="16" x14ac:dyDescent="0.2">
      <c r="A41"/>
      <c r="B41"/>
      <c r="C41"/>
      <c r="D41" s="7"/>
      <c r="E41" s="7"/>
      <c r="F41" s="6"/>
      <c r="G41" s="6"/>
      <c r="H41" s="6"/>
      <c r="I41" s="6"/>
      <c r="J41" s="6"/>
      <c r="K41" s="6"/>
      <c r="L41" s="6"/>
      <c r="M41" s="6"/>
      <c r="N41" s="6"/>
      <c r="O41" s="6"/>
      <c r="P41" s="6"/>
      <c r="Q41" s="6"/>
      <c r="R41" s="6"/>
      <c r="S41" s="6"/>
      <c r="T41" s="6"/>
      <c r="U41" s="6"/>
      <c r="V41" s="6"/>
      <c r="W41" s="6"/>
    </row>
    <row r="42" spans="1:23" ht="16" x14ac:dyDescent="0.2">
      <c r="A42"/>
      <c r="B42"/>
      <c r="C42"/>
      <c r="D42" s="7"/>
      <c r="E42" s="7"/>
      <c r="F42" s="6"/>
      <c r="G42" s="6"/>
      <c r="H42" s="6"/>
      <c r="I42" s="6"/>
      <c r="J42" s="6"/>
      <c r="K42" s="6"/>
      <c r="L42" s="6"/>
      <c r="M42" s="6"/>
      <c r="N42" s="6"/>
      <c r="O42" s="6"/>
      <c r="P42" s="6"/>
      <c r="Q42" s="6"/>
      <c r="R42" s="6"/>
      <c r="S42" s="6"/>
      <c r="T42" s="6"/>
      <c r="U42" s="6"/>
      <c r="V42" s="6"/>
      <c r="W42" s="6"/>
    </row>
    <row r="43" spans="1:23" ht="16" x14ac:dyDescent="0.2">
      <c r="A43"/>
      <c r="B43"/>
      <c r="C43"/>
      <c r="D43" s="7"/>
      <c r="E43" s="7"/>
      <c r="F43" s="6"/>
      <c r="G43" s="6"/>
      <c r="H43" s="6"/>
      <c r="I43" s="6"/>
      <c r="J43" s="6"/>
      <c r="K43" s="6"/>
      <c r="L43" s="6"/>
      <c r="M43" s="6"/>
      <c r="N43" s="6"/>
      <c r="O43" s="6"/>
      <c r="P43" s="6"/>
      <c r="Q43" s="6"/>
      <c r="R43" s="6"/>
      <c r="S43" s="6"/>
      <c r="T43" s="6"/>
      <c r="U43" s="6"/>
      <c r="V43" s="6"/>
      <c r="W43" s="6"/>
    </row>
    <row r="44" spans="1:23" ht="16" x14ac:dyDescent="0.2">
      <c r="A44"/>
      <c r="B44"/>
      <c r="C44"/>
      <c r="D44" s="7"/>
      <c r="E44" s="7"/>
      <c r="F44" s="6"/>
      <c r="G44" s="6"/>
      <c r="H44" s="6"/>
      <c r="I44" s="6"/>
      <c r="J44" s="6"/>
      <c r="K44" s="6"/>
      <c r="L44" s="6"/>
      <c r="M44" s="6"/>
      <c r="N44" s="6"/>
      <c r="O44" s="6"/>
      <c r="P44" s="6"/>
      <c r="Q44" s="6"/>
      <c r="R44" s="6"/>
      <c r="S44" s="6"/>
      <c r="T44" s="6"/>
      <c r="U44" s="6"/>
      <c r="V44" s="6"/>
      <c r="W44" s="6"/>
    </row>
    <row r="45" spans="1:23" ht="16" x14ac:dyDescent="0.2">
      <c r="A45"/>
      <c r="B45"/>
      <c r="C45"/>
      <c r="D45" s="7"/>
      <c r="E45" s="7"/>
      <c r="F45" s="6"/>
      <c r="G45" s="6"/>
      <c r="H45" s="6"/>
      <c r="I45" s="6"/>
      <c r="J45" s="6"/>
      <c r="K45" s="6"/>
      <c r="L45" s="6"/>
      <c r="M45" s="6"/>
      <c r="N45" s="6"/>
      <c r="O45" s="6"/>
      <c r="P45" s="6"/>
      <c r="Q45" s="6"/>
      <c r="R45" s="6"/>
      <c r="S45" s="6"/>
      <c r="T45" s="6"/>
      <c r="U45" s="6"/>
      <c r="V45" s="6"/>
      <c r="W45" s="6"/>
    </row>
    <row r="46" spans="1:23" ht="16" x14ac:dyDescent="0.2">
      <c r="A46"/>
      <c r="B46"/>
      <c r="C46"/>
      <c r="D46" s="7"/>
      <c r="E46" s="7"/>
      <c r="F46" s="6"/>
      <c r="G46" s="6"/>
      <c r="H46" s="6"/>
      <c r="I46" s="6"/>
      <c r="J46" s="6"/>
      <c r="K46" s="6"/>
      <c r="L46" s="6"/>
      <c r="M46" s="6"/>
      <c r="N46" s="6"/>
      <c r="O46" s="6"/>
      <c r="P46" s="6"/>
      <c r="Q46" s="6"/>
      <c r="R46" s="6"/>
      <c r="S46" s="6"/>
      <c r="T46" s="6"/>
      <c r="U46" s="6"/>
      <c r="V46" s="6"/>
      <c r="W46" s="6"/>
    </row>
    <row r="47" spans="1:23" ht="16" x14ac:dyDescent="0.2">
      <c r="A47" s="6"/>
      <c r="B47" s="7"/>
      <c r="C47" s="7"/>
      <c r="D47" s="7"/>
      <c r="E47" s="7"/>
      <c r="F47" s="6"/>
      <c r="G47" s="6"/>
      <c r="H47" s="6"/>
      <c r="I47" s="6"/>
      <c r="J47" s="6"/>
      <c r="K47" s="6"/>
      <c r="L47" s="6"/>
      <c r="M47" s="6"/>
      <c r="N47" s="6"/>
      <c r="O47" s="6"/>
      <c r="P47" s="6"/>
      <c r="Q47" s="6"/>
      <c r="R47" s="6"/>
      <c r="S47" s="6"/>
      <c r="T47" s="6"/>
      <c r="U47" s="6"/>
      <c r="V47" s="6"/>
      <c r="W47" s="6"/>
    </row>
    <row r="48" spans="1:23" ht="16" x14ac:dyDescent="0.2">
      <c r="A48" s="6"/>
      <c r="B48" s="7"/>
      <c r="C48" s="7"/>
      <c r="D48" s="7"/>
      <c r="E48" s="7"/>
      <c r="F48" s="6"/>
      <c r="G48" s="6"/>
      <c r="H48" s="6"/>
      <c r="I48" s="6"/>
      <c r="J48" s="6"/>
      <c r="K48" s="6"/>
      <c r="L48" s="6"/>
      <c r="M48" s="6"/>
      <c r="N48" s="6"/>
      <c r="O48" s="6"/>
      <c r="P48" s="6"/>
      <c r="Q48" s="6"/>
      <c r="R48" s="6"/>
      <c r="S48" s="6"/>
      <c r="T48" s="6"/>
      <c r="U48" s="6"/>
      <c r="V48" s="6"/>
      <c r="W48" s="6"/>
    </row>
    <row r="49" spans="1:23" ht="16" x14ac:dyDescent="0.2">
      <c r="A49" s="6"/>
      <c r="B49" s="7"/>
      <c r="C49" s="7"/>
      <c r="D49" s="7"/>
      <c r="E49" s="7"/>
      <c r="F49" s="6"/>
      <c r="G49" s="6"/>
      <c r="H49" s="6"/>
      <c r="I49" s="6"/>
      <c r="J49" s="6"/>
      <c r="K49" s="6"/>
      <c r="L49" s="6"/>
      <c r="M49" s="6"/>
      <c r="N49" s="6"/>
      <c r="O49" s="6"/>
      <c r="P49" s="6"/>
      <c r="Q49" s="6"/>
      <c r="R49" s="6"/>
      <c r="S49" s="6"/>
      <c r="T49" s="6"/>
      <c r="U49" s="6"/>
      <c r="V49" s="6"/>
      <c r="W49" s="6"/>
    </row>
    <row r="50" spans="1:23" ht="16" x14ac:dyDescent="0.2">
      <c r="A50" s="6"/>
      <c r="B50" s="7"/>
      <c r="C50" s="7"/>
      <c r="D50" s="7"/>
      <c r="E50" s="7"/>
      <c r="F50" s="6"/>
      <c r="G50" s="6"/>
      <c r="H50" s="6"/>
      <c r="I50" s="6"/>
      <c r="J50" s="6"/>
      <c r="K50" s="6"/>
      <c r="L50" s="6"/>
      <c r="M50" s="6"/>
      <c r="N50" s="6"/>
      <c r="O50" s="6"/>
      <c r="P50" s="6"/>
      <c r="Q50" s="6"/>
      <c r="R50" s="6"/>
      <c r="S50" s="6"/>
      <c r="T50" s="6"/>
      <c r="U50" s="6"/>
      <c r="V50" s="6"/>
      <c r="W50" s="6"/>
    </row>
    <row r="51" spans="1:23" ht="16" x14ac:dyDescent="0.2">
      <c r="A51" s="6"/>
      <c r="B51" s="7"/>
      <c r="C51" s="7"/>
      <c r="D51" s="7"/>
      <c r="E51" s="7"/>
      <c r="F51" s="6"/>
      <c r="G51" s="6"/>
      <c r="H51" s="6"/>
      <c r="I51" s="6"/>
      <c r="J51" s="6"/>
      <c r="K51" s="6"/>
      <c r="L51" s="6"/>
      <c r="M51" s="6"/>
      <c r="N51" s="6"/>
      <c r="O51" s="6"/>
      <c r="P51" s="6"/>
      <c r="Q51" s="6"/>
      <c r="R51" s="6"/>
      <c r="S51" s="6"/>
      <c r="T51" s="6"/>
      <c r="U51" s="6"/>
      <c r="V51" s="6"/>
      <c r="W51" s="6"/>
    </row>
    <row r="52" spans="1:23" ht="16" x14ac:dyDescent="0.2">
      <c r="A52" s="6"/>
      <c r="B52" s="7"/>
      <c r="C52" s="7"/>
      <c r="D52" s="7"/>
      <c r="E52" s="7"/>
      <c r="F52" s="6"/>
      <c r="G52" s="6"/>
      <c r="H52" s="6"/>
      <c r="I52" s="6"/>
      <c r="J52" s="6"/>
      <c r="K52" s="6"/>
      <c r="L52" s="6"/>
      <c r="M52" s="6"/>
      <c r="N52" s="6"/>
      <c r="O52" s="6"/>
      <c r="P52" s="6"/>
      <c r="Q52" s="6"/>
      <c r="R52" s="6"/>
      <c r="S52" s="6"/>
      <c r="T52" s="6"/>
      <c r="U52" s="6"/>
      <c r="V52" s="6"/>
      <c r="W52" s="6"/>
    </row>
    <row r="53" spans="1:23" ht="16" x14ac:dyDescent="0.2">
      <c r="A53" s="6"/>
      <c r="B53" s="7"/>
      <c r="C53" s="7"/>
      <c r="D53" s="7"/>
      <c r="E53" s="7"/>
      <c r="F53" s="6"/>
      <c r="G53" s="6"/>
      <c r="H53" s="6"/>
      <c r="I53" s="6"/>
      <c r="J53" s="6"/>
      <c r="K53" s="6"/>
      <c r="L53" s="6"/>
      <c r="M53" s="6"/>
      <c r="N53" s="6"/>
      <c r="O53" s="6"/>
      <c r="P53" s="6"/>
      <c r="Q53" s="6"/>
      <c r="R53" s="6"/>
      <c r="S53" s="6"/>
      <c r="T53" s="6"/>
      <c r="U53" s="6"/>
      <c r="V53" s="6"/>
      <c r="W53" s="6"/>
    </row>
    <row r="54" spans="1:23" ht="16" x14ac:dyDescent="0.2">
      <c r="A54" s="6"/>
      <c r="B54" s="7"/>
      <c r="C54" s="7"/>
      <c r="D54" s="7"/>
      <c r="E54" s="7"/>
      <c r="F54" s="6"/>
      <c r="G54" s="6"/>
      <c r="H54" s="6"/>
      <c r="I54" s="6"/>
      <c r="J54" s="6"/>
      <c r="K54" s="6"/>
      <c r="L54" s="6"/>
      <c r="M54" s="6"/>
      <c r="N54" s="6"/>
      <c r="O54" s="6"/>
      <c r="P54" s="6"/>
      <c r="Q54" s="6"/>
      <c r="R54" s="6"/>
      <c r="S54" s="6"/>
      <c r="T54" s="6"/>
      <c r="U54" s="6"/>
      <c r="V54" s="6"/>
      <c r="W54" s="6"/>
    </row>
    <row r="55" spans="1:23" ht="16" x14ac:dyDescent="0.2">
      <c r="A55" s="6"/>
      <c r="B55" s="7"/>
      <c r="C55" s="7"/>
      <c r="D55" s="7"/>
      <c r="E55" s="7"/>
      <c r="F55" s="6"/>
      <c r="G55" s="6"/>
      <c r="H55" s="6"/>
      <c r="I55" s="6"/>
      <c r="J55" s="6"/>
      <c r="K55" s="6"/>
      <c r="L55" s="6"/>
      <c r="M55" s="6"/>
      <c r="N55" s="6"/>
      <c r="O55" s="6"/>
      <c r="P55" s="6"/>
      <c r="Q55" s="6"/>
      <c r="R55" s="6"/>
      <c r="S55" s="6"/>
      <c r="T55" s="6"/>
      <c r="U55" s="6"/>
      <c r="V55" s="6"/>
      <c r="W55" s="6"/>
    </row>
    <row r="56" spans="1:23" ht="16" x14ac:dyDescent="0.2">
      <c r="A56" s="6"/>
      <c r="B56" s="7"/>
      <c r="C56" s="7"/>
      <c r="D56" s="7"/>
      <c r="E56" s="7"/>
      <c r="F56" s="6"/>
      <c r="G56" s="6"/>
      <c r="H56" s="6"/>
      <c r="I56" s="6"/>
      <c r="J56" s="6"/>
      <c r="K56" s="6"/>
      <c r="L56" s="6"/>
      <c r="M56" s="6"/>
      <c r="N56" s="6"/>
      <c r="O56" s="6"/>
      <c r="P56" s="6"/>
      <c r="Q56" s="6"/>
      <c r="R56" s="6"/>
      <c r="S56" s="6"/>
      <c r="T56" s="6"/>
      <c r="U56" s="6"/>
      <c r="V56" s="6"/>
      <c r="W56" s="6"/>
    </row>
    <row r="57" spans="1:23" ht="16" x14ac:dyDescent="0.2">
      <c r="A57" s="6"/>
      <c r="B57" s="7"/>
      <c r="C57" s="7"/>
      <c r="D57" s="7"/>
      <c r="E57" s="7"/>
      <c r="F57" s="6"/>
      <c r="G57" s="6"/>
      <c r="H57" s="6"/>
      <c r="I57" s="6"/>
      <c r="J57" s="6"/>
      <c r="K57" s="6"/>
      <c r="L57" s="6"/>
      <c r="M57" s="6"/>
      <c r="N57" s="6"/>
      <c r="O57" s="6"/>
      <c r="P57" s="6"/>
      <c r="Q57" s="6"/>
      <c r="R57" s="6"/>
      <c r="S57" s="6"/>
      <c r="T57" s="6"/>
      <c r="U57" s="6"/>
      <c r="V57" s="6"/>
      <c r="W57" s="6"/>
    </row>
    <row r="58" spans="1:23" ht="16" x14ac:dyDescent="0.2">
      <c r="A58" s="6"/>
      <c r="B58" s="7"/>
      <c r="C58" s="7"/>
      <c r="D58" s="7"/>
      <c r="E58" s="7"/>
      <c r="F58" s="6"/>
      <c r="G58" s="6"/>
      <c r="H58" s="6"/>
      <c r="I58" s="6"/>
      <c r="J58" s="6"/>
      <c r="K58" s="6"/>
      <c r="L58" s="6"/>
      <c r="M58" s="6"/>
      <c r="N58" s="6"/>
      <c r="O58" s="6"/>
      <c r="P58" s="6"/>
      <c r="Q58" s="6"/>
      <c r="R58" s="6"/>
      <c r="S58" s="6"/>
      <c r="T58" s="6"/>
      <c r="U58" s="6"/>
      <c r="V58" s="6"/>
      <c r="W58" s="6"/>
    </row>
    <row r="59" spans="1:23" ht="16" x14ac:dyDescent="0.2">
      <c r="A59" s="6"/>
      <c r="B59" s="7"/>
      <c r="C59" s="7"/>
      <c r="D59" s="7"/>
      <c r="E59" s="7"/>
      <c r="F59" s="6"/>
      <c r="G59" s="6"/>
      <c r="H59" s="6"/>
      <c r="I59" s="6"/>
      <c r="J59" s="6"/>
      <c r="K59" s="6"/>
      <c r="L59" s="6"/>
      <c r="M59" s="6"/>
      <c r="N59" s="6"/>
      <c r="O59" s="6"/>
      <c r="P59" s="6"/>
      <c r="Q59" s="6"/>
      <c r="R59" s="6"/>
      <c r="S59" s="6"/>
      <c r="T59" s="6"/>
      <c r="U59" s="6"/>
      <c r="V59" s="6"/>
      <c r="W59" s="6"/>
    </row>
    <row r="60" spans="1:23" ht="16" x14ac:dyDescent="0.2">
      <c r="A60" s="6"/>
      <c r="B60" s="7"/>
      <c r="C60" s="7"/>
      <c r="D60" s="7"/>
      <c r="E60" s="7"/>
      <c r="F60" s="6"/>
      <c r="G60" s="6"/>
      <c r="H60" s="6"/>
      <c r="I60" s="6"/>
      <c r="J60" s="6"/>
      <c r="K60" s="6"/>
      <c r="L60" s="6"/>
      <c r="M60" s="6"/>
      <c r="N60" s="6"/>
      <c r="O60" s="6"/>
      <c r="P60" s="6"/>
      <c r="Q60" s="6"/>
      <c r="R60" s="6"/>
      <c r="S60" s="6"/>
      <c r="T60" s="6"/>
      <c r="U60" s="6"/>
      <c r="V60" s="6"/>
      <c r="W60" s="6"/>
    </row>
    <row r="61" spans="1:23" ht="16" x14ac:dyDescent="0.2">
      <c r="A61" s="6"/>
      <c r="B61" s="7"/>
      <c r="C61" s="7"/>
      <c r="D61" s="7"/>
      <c r="E61" s="7"/>
      <c r="F61" s="6"/>
      <c r="G61" s="6"/>
      <c r="H61" s="6"/>
      <c r="I61" s="6"/>
      <c r="J61" s="6"/>
      <c r="K61" s="6"/>
      <c r="L61" s="6"/>
      <c r="M61" s="6"/>
      <c r="N61" s="6"/>
      <c r="O61" s="6"/>
      <c r="P61" s="6"/>
      <c r="Q61" s="6"/>
      <c r="R61" s="6"/>
      <c r="S61" s="6"/>
      <c r="T61" s="6"/>
      <c r="U61" s="6"/>
      <c r="V61" s="6"/>
      <c r="W61" s="6"/>
    </row>
    <row r="62" spans="1:23" ht="16" x14ac:dyDescent="0.2">
      <c r="A62" s="6"/>
      <c r="B62" s="7"/>
      <c r="C62" s="7"/>
      <c r="D62" s="7"/>
      <c r="E62" s="7"/>
      <c r="F62" s="6"/>
      <c r="G62" s="6"/>
      <c r="H62" s="6"/>
      <c r="I62" s="6"/>
      <c r="J62" s="6"/>
      <c r="K62" s="6"/>
      <c r="L62" s="6"/>
      <c r="M62" s="6"/>
      <c r="N62" s="6"/>
      <c r="O62" s="6"/>
      <c r="P62" s="6"/>
      <c r="Q62" s="6"/>
      <c r="R62" s="6"/>
      <c r="S62" s="6"/>
      <c r="T62" s="6"/>
      <c r="U62" s="6"/>
      <c r="V62" s="6"/>
      <c r="W62" s="6"/>
    </row>
    <row r="63" spans="1:23" ht="16" x14ac:dyDescent="0.2">
      <c r="A63" s="6"/>
      <c r="B63" s="7"/>
      <c r="C63" s="7"/>
      <c r="D63" s="7"/>
      <c r="E63" s="7"/>
      <c r="F63" s="6"/>
      <c r="G63" s="6"/>
      <c r="H63" s="6"/>
      <c r="I63" s="6"/>
      <c r="J63" s="6"/>
      <c r="K63" s="6"/>
      <c r="L63" s="6"/>
      <c r="M63" s="6"/>
      <c r="N63" s="6"/>
      <c r="O63" s="6"/>
      <c r="P63" s="6"/>
      <c r="Q63" s="6"/>
      <c r="R63" s="6"/>
      <c r="S63" s="6"/>
      <c r="T63" s="6"/>
      <c r="U63" s="6"/>
      <c r="V63" s="6"/>
      <c r="W63" s="6"/>
    </row>
    <row r="64" spans="1:23" ht="16" x14ac:dyDescent="0.2">
      <c r="A64" s="6"/>
      <c r="B64" s="7"/>
      <c r="C64" s="7"/>
      <c r="D64" s="7"/>
      <c r="E64" s="7"/>
      <c r="F64" s="6"/>
      <c r="G64" s="6"/>
      <c r="H64" s="6"/>
      <c r="I64" s="6"/>
      <c r="J64" s="6"/>
      <c r="K64" s="6"/>
      <c r="L64" s="6"/>
      <c r="M64" s="6"/>
      <c r="N64" s="6"/>
      <c r="O64" s="6"/>
      <c r="P64" s="6"/>
      <c r="Q64" s="6"/>
      <c r="R64" s="6"/>
      <c r="S64" s="6"/>
      <c r="T64" s="6"/>
      <c r="U64" s="6"/>
      <c r="V64" s="6"/>
      <c r="W64" s="6"/>
    </row>
    <row r="65" spans="1:23" ht="16" x14ac:dyDescent="0.2">
      <c r="A65" s="6"/>
      <c r="B65" s="7"/>
      <c r="C65" s="7"/>
      <c r="D65" s="7"/>
      <c r="E65" s="7"/>
      <c r="F65" s="6"/>
      <c r="G65" s="6"/>
      <c r="H65" s="6"/>
      <c r="I65" s="6"/>
      <c r="J65" s="6"/>
      <c r="K65" s="6"/>
      <c r="L65" s="6"/>
      <c r="M65" s="6"/>
      <c r="N65" s="6"/>
      <c r="O65" s="6"/>
      <c r="P65" s="6"/>
      <c r="Q65" s="6"/>
      <c r="R65" s="6"/>
      <c r="S65" s="6"/>
      <c r="T65" s="6"/>
      <c r="U65" s="6"/>
      <c r="V65" s="6"/>
      <c r="W65" s="6"/>
    </row>
    <row r="66" spans="1:23" ht="16" x14ac:dyDescent="0.2">
      <c r="A66" s="6"/>
      <c r="B66" s="7"/>
      <c r="C66" s="7"/>
      <c r="D66" s="7"/>
      <c r="E66" s="7"/>
      <c r="F66" s="6"/>
      <c r="G66" s="6"/>
      <c r="H66" s="6"/>
      <c r="I66" s="6"/>
      <c r="J66" s="6"/>
      <c r="K66" s="6"/>
      <c r="L66" s="6"/>
      <c r="M66" s="6"/>
      <c r="N66" s="6"/>
      <c r="O66" s="6"/>
      <c r="P66" s="6"/>
      <c r="Q66" s="6"/>
      <c r="R66" s="6"/>
      <c r="S66" s="6"/>
      <c r="T66" s="6"/>
      <c r="U66" s="6"/>
      <c r="V66" s="6"/>
      <c r="W66" s="6"/>
    </row>
    <row r="67" spans="1:23" ht="16" x14ac:dyDescent="0.2">
      <c r="A67" s="6"/>
      <c r="B67" s="7"/>
      <c r="C67" s="7"/>
      <c r="D67" s="7"/>
      <c r="E67" s="7"/>
      <c r="F67" s="6"/>
      <c r="G67" s="6"/>
      <c r="H67" s="6"/>
      <c r="I67" s="6"/>
      <c r="J67" s="6"/>
      <c r="K67" s="6"/>
      <c r="L67" s="6"/>
      <c r="M67" s="6"/>
      <c r="N67" s="6"/>
      <c r="O67" s="6"/>
      <c r="P67" s="6"/>
      <c r="Q67" s="6"/>
      <c r="R67" s="6"/>
      <c r="S67" s="6"/>
      <c r="T67" s="6"/>
      <c r="U67" s="6"/>
      <c r="V67" s="6"/>
      <c r="W67" s="6"/>
    </row>
    <row r="68" spans="1:23" ht="16" x14ac:dyDescent="0.2">
      <c r="A68" s="6"/>
      <c r="B68" s="7"/>
      <c r="C68" s="7"/>
      <c r="D68" s="7"/>
      <c r="E68" s="7"/>
      <c r="F68" s="6"/>
      <c r="G68" s="6"/>
      <c r="H68" s="6"/>
      <c r="I68" s="6"/>
      <c r="J68" s="6"/>
      <c r="K68" s="6"/>
      <c r="L68" s="6"/>
      <c r="M68" s="6"/>
      <c r="N68" s="6"/>
      <c r="O68" s="6"/>
      <c r="P68" s="6"/>
      <c r="Q68" s="6"/>
      <c r="R68" s="6"/>
      <c r="S68" s="6"/>
      <c r="T68" s="6"/>
      <c r="U68" s="6"/>
      <c r="V68" s="6"/>
      <c r="W68" s="6"/>
    </row>
    <row r="69" spans="1:23" ht="16" x14ac:dyDescent="0.2">
      <c r="A69" s="6"/>
      <c r="B69" s="7"/>
      <c r="C69" s="7"/>
      <c r="D69" s="7"/>
      <c r="E69" s="7"/>
      <c r="F69" s="6"/>
      <c r="G69" s="6"/>
      <c r="H69" s="6"/>
      <c r="I69" s="6"/>
      <c r="J69" s="6"/>
      <c r="K69" s="6"/>
      <c r="L69" s="6"/>
      <c r="M69" s="6"/>
      <c r="N69" s="6"/>
      <c r="O69" s="6"/>
      <c r="P69" s="6"/>
      <c r="Q69" s="6"/>
      <c r="R69" s="6"/>
      <c r="S69" s="6"/>
      <c r="T69" s="6"/>
      <c r="U69" s="6"/>
      <c r="V69" s="6"/>
      <c r="W69" s="6"/>
    </row>
    <row r="70" spans="1:23" ht="16" x14ac:dyDescent="0.2">
      <c r="A70" s="6"/>
      <c r="B70" s="7"/>
      <c r="C70" s="7"/>
      <c r="D70" s="7"/>
      <c r="E70" s="7"/>
      <c r="F70" s="6"/>
      <c r="G70" s="6"/>
      <c r="H70" s="6"/>
      <c r="I70" s="6"/>
      <c r="J70" s="6"/>
      <c r="K70" s="6"/>
      <c r="L70" s="6"/>
      <c r="M70" s="6"/>
      <c r="N70" s="6"/>
      <c r="O70" s="6"/>
      <c r="P70" s="6"/>
      <c r="Q70" s="6"/>
      <c r="R70" s="6"/>
      <c r="S70" s="6"/>
      <c r="T70" s="6"/>
      <c r="U70" s="6"/>
      <c r="V70" s="6"/>
      <c r="W70" s="6"/>
    </row>
    <row r="71" spans="1:23" ht="16" x14ac:dyDescent="0.2">
      <c r="A71" s="6"/>
      <c r="B71" s="7"/>
      <c r="C71" s="7"/>
      <c r="D71" s="7"/>
      <c r="E71" s="7"/>
      <c r="F71" s="6"/>
      <c r="G71" s="6"/>
      <c r="H71" s="6"/>
      <c r="I71" s="6"/>
      <c r="J71" s="6"/>
      <c r="K71" s="6"/>
      <c r="L71" s="6"/>
      <c r="M71" s="6"/>
      <c r="N71" s="6"/>
      <c r="O71" s="6"/>
      <c r="P71" s="6"/>
      <c r="Q71" s="6"/>
      <c r="R71" s="6"/>
      <c r="S71" s="6"/>
      <c r="T71" s="6"/>
      <c r="U71" s="6"/>
      <c r="V71" s="6"/>
      <c r="W71" s="6"/>
    </row>
    <row r="72" spans="1:23" ht="16" x14ac:dyDescent="0.2">
      <c r="A72" s="6"/>
      <c r="B72" s="7"/>
      <c r="C72" s="7"/>
      <c r="D72" s="7"/>
      <c r="E72" s="7"/>
      <c r="F72" s="6"/>
      <c r="G72" s="6"/>
      <c r="H72" s="6"/>
      <c r="I72" s="6"/>
      <c r="J72" s="6"/>
      <c r="K72" s="6"/>
      <c r="L72" s="6"/>
      <c r="M72" s="6"/>
      <c r="N72" s="6"/>
      <c r="O72" s="6"/>
      <c r="P72" s="6"/>
      <c r="Q72" s="6"/>
      <c r="R72" s="6"/>
      <c r="S72" s="6"/>
      <c r="T72" s="6"/>
      <c r="U72" s="6"/>
      <c r="V72" s="6"/>
      <c r="W72" s="6"/>
    </row>
    <row r="73" spans="1:23" ht="16" x14ac:dyDescent="0.2">
      <c r="A73" s="6"/>
      <c r="B73" s="7"/>
      <c r="C73" s="7"/>
      <c r="D73" s="7"/>
      <c r="E73" s="7"/>
      <c r="F73" s="6"/>
      <c r="G73" s="6"/>
      <c r="H73" s="6"/>
      <c r="I73" s="6"/>
      <c r="J73" s="6"/>
      <c r="K73" s="6"/>
      <c r="L73" s="6"/>
      <c r="M73" s="6"/>
      <c r="N73" s="6"/>
      <c r="O73" s="6"/>
      <c r="P73" s="6"/>
      <c r="Q73" s="6"/>
      <c r="R73" s="6"/>
      <c r="S73" s="6"/>
      <c r="T73" s="6"/>
      <c r="U73" s="6"/>
      <c r="V73" s="6"/>
      <c r="W73" s="6"/>
    </row>
    <row r="74" spans="1:23" ht="16" x14ac:dyDescent="0.2">
      <c r="A74" s="6"/>
      <c r="B74" s="7"/>
      <c r="C74" s="7"/>
      <c r="D74" s="7"/>
      <c r="E74" s="7"/>
      <c r="F74" s="6"/>
      <c r="G74" s="6"/>
      <c r="H74" s="6"/>
      <c r="I74" s="6"/>
      <c r="J74" s="6"/>
      <c r="K74" s="6"/>
      <c r="L74" s="6"/>
      <c r="M74" s="6"/>
      <c r="N74" s="6"/>
      <c r="O74" s="6"/>
      <c r="P74" s="6"/>
      <c r="Q74" s="6"/>
      <c r="R74" s="6"/>
      <c r="S74" s="6"/>
      <c r="T74" s="6"/>
      <c r="U74" s="6"/>
      <c r="V74" s="6"/>
      <c r="W74" s="6"/>
    </row>
    <row r="75" spans="1:23" ht="16" x14ac:dyDescent="0.2">
      <c r="A75" s="6"/>
      <c r="B75" s="7"/>
      <c r="C75" s="7"/>
      <c r="D75" s="7"/>
      <c r="E75" s="7"/>
      <c r="F75" s="6"/>
      <c r="G75" s="6"/>
      <c r="H75" s="6"/>
      <c r="I75" s="6"/>
      <c r="J75" s="6"/>
      <c r="K75" s="6"/>
      <c r="L75" s="6"/>
      <c r="M75" s="6"/>
      <c r="N75" s="6"/>
      <c r="O75" s="6"/>
      <c r="P75" s="6"/>
      <c r="Q75" s="6"/>
      <c r="R75" s="6"/>
      <c r="S75" s="6"/>
      <c r="T75" s="6"/>
      <c r="U75" s="6"/>
      <c r="V75" s="6"/>
      <c r="W75" s="6"/>
    </row>
    <row r="76" spans="1:23" ht="16" x14ac:dyDescent="0.2">
      <c r="A76" s="6"/>
      <c r="B76" s="7"/>
      <c r="C76" s="7"/>
      <c r="D76" s="7"/>
      <c r="E76" s="7"/>
      <c r="F76" s="6"/>
      <c r="G76" s="6"/>
      <c r="H76" s="6"/>
      <c r="I76" s="6"/>
      <c r="J76" s="6"/>
      <c r="K76" s="6"/>
      <c r="L76" s="6"/>
      <c r="M76" s="6"/>
      <c r="N76" s="6"/>
      <c r="O76" s="6"/>
      <c r="P76" s="6"/>
      <c r="Q76" s="6"/>
      <c r="R76" s="6"/>
      <c r="S76" s="6"/>
      <c r="T76" s="6"/>
      <c r="U76" s="6"/>
      <c r="V76" s="6"/>
      <c r="W76" s="6"/>
    </row>
    <row r="77" spans="1:23" ht="16" x14ac:dyDescent="0.2">
      <c r="A77" s="6"/>
      <c r="B77" s="7"/>
      <c r="C77" s="7"/>
      <c r="D77" s="7"/>
      <c r="E77" s="7"/>
      <c r="F77" s="6"/>
      <c r="G77" s="6"/>
      <c r="H77" s="6"/>
      <c r="I77" s="6"/>
      <c r="J77" s="6"/>
      <c r="K77" s="6"/>
      <c r="L77" s="6"/>
      <c r="M77" s="6"/>
      <c r="N77" s="6"/>
      <c r="O77" s="6"/>
      <c r="P77" s="6"/>
      <c r="Q77" s="6"/>
      <c r="R77" s="6"/>
      <c r="S77" s="6"/>
      <c r="T77" s="6"/>
      <c r="U77" s="6"/>
      <c r="V77" s="6"/>
      <c r="W77" s="6"/>
    </row>
    <row r="78" spans="1:23" ht="16" x14ac:dyDescent="0.2">
      <c r="A78" s="6"/>
      <c r="B78" s="7"/>
      <c r="C78" s="7"/>
      <c r="D78" s="7"/>
      <c r="E78" s="7"/>
      <c r="F78" s="6"/>
      <c r="G78" s="6"/>
      <c r="H78" s="6"/>
      <c r="I78" s="6"/>
      <c r="J78" s="6"/>
      <c r="K78" s="6"/>
      <c r="L78" s="6"/>
      <c r="M78" s="6"/>
      <c r="N78" s="6"/>
      <c r="O78" s="6"/>
      <c r="P78" s="6"/>
      <c r="Q78" s="6"/>
      <c r="R78" s="6"/>
      <c r="S78" s="6"/>
      <c r="T78" s="6"/>
      <c r="U78" s="6"/>
      <c r="V78" s="6"/>
      <c r="W78" s="6"/>
    </row>
    <row r="79" spans="1:23" ht="16" x14ac:dyDescent="0.2">
      <c r="A79" s="6"/>
      <c r="B79" s="7"/>
      <c r="C79" s="7"/>
      <c r="D79" s="7"/>
      <c r="E79" s="7"/>
      <c r="F79" s="6"/>
      <c r="G79" s="6"/>
      <c r="H79" s="6"/>
      <c r="I79" s="6"/>
      <c r="J79" s="6"/>
      <c r="K79" s="6"/>
      <c r="L79" s="6"/>
      <c r="M79" s="6"/>
      <c r="N79" s="6"/>
      <c r="O79" s="6"/>
      <c r="P79" s="6"/>
      <c r="Q79" s="6"/>
      <c r="R79" s="6"/>
      <c r="S79" s="6"/>
      <c r="T79" s="6"/>
      <c r="U79" s="6"/>
      <c r="V79" s="6"/>
      <c r="W79" s="6"/>
    </row>
    <row r="80" spans="1:23" ht="16" x14ac:dyDescent="0.2">
      <c r="A80" s="6"/>
      <c r="B80" s="7"/>
      <c r="C80" s="7"/>
      <c r="D80" s="7"/>
      <c r="E80" s="7"/>
      <c r="F80" s="6"/>
      <c r="G80" s="6"/>
      <c r="H80" s="6"/>
      <c r="I80" s="6"/>
      <c r="J80" s="6"/>
      <c r="K80" s="6"/>
      <c r="L80" s="6"/>
      <c r="M80" s="6"/>
      <c r="N80" s="6"/>
      <c r="O80" s="6"/>
      <c r="P80" s="6"/>
      <c r="Q80" s="6"/>
      <c r="R80" s="6"/>
      <c r="S80" s="6"/>
      <c r="T80" s="6"/>
      <c r="U80" s="6"/>
      <c r="V80" s="6"/>
      <c r="W80" s="6"/>
    </row>
    <row r="81" spans="1:23" ht="16" x14ac:dyDescent="0.2">
      <c r="A81" s="6"/>
      <c r="B81" s="7"/>
      <c r="C81" s="7"/>
      <c r="D81" s="7"/>
      <c r="E81" s="7"/>
      <c r="F81" s="6"/>
      <c r="G81" s="6"/>
      <c r="H81" s="6"/>
      <c r="I81" s="6"/>
      <c r="J81" s="6"/>
      <c r="K81" s="6"/>
      <c r="L81" s="6"/>
      <c r="M81" s="6"/>
      <c r="N81" s="6"/>
      <c r="O81" s="6"/>
      <c r="P81" s="6"/>
      <c r="Q81" s="6"/>
      <c r="R81" s="6"/>
      <c r="S81" s="6"/>
      <c r="T81" s="6"/>
      <c r="U81" s="6"/>
      <c r="V81" s="6"/>
      <c r="W81" s="6"/>
    </row>
    <row r="82" spans="1:23" ht="16" x14ac:dyDescent="0.2">
      <c r="A82" s="6"/>
      <c r="B82" s="7"/>
      <c r="C82" s="7"/>
      <c r="D82" s="7"/>
      <c r="E82" s="7"/>
      <c r="F82" s="6"/>
      <c r="G82" s="6"/>
      <c r="H82" s="6"/>
      <c r="I82" s="6"/>
      <c r="J82" s="6"/>
      <c r="K82" s="6"/>
      <c r="L82" s="6"/>
      <c r="M82" s="6"/>
      <c r="N82" s="6"/>
      <c r="O82" s="6"/>
      <c r="P82" s="6"/>
      <c r="Q82" s="6"/>
      <c r="R82" s="6"/>
      <c r="S82" s="6"/>
      <c r="T82" s="6"/>
      <c r="U82" s="6"/>
      <c r="V82" s="6"/>
      <c r="W82" s="6"/>
    </row>
    <row r="83" spans="1:23" ht="16" x14ac:dyDescent="0.2">
      <c r="A83" s="6"/>
      <c r="B83" s="7"/>
      <c r="C83" s="7"/>
      <c r="D83" s="7"/>
      <c r="E83" s="7"/>
      <c r="F83" s="6"/>
      <c r="G83" s="6"/>
      <c r="H83" s="6"/>
      <c r="I83" s="6"/>
      <c r="J83" s="6"/>
      <c r="K83" s="6"/>
      <c r="L83" s="6"/>
      <c r="M83" s="6"/>
      <c r="N83" s="6"/>
      <c r="O83" s="6"/>
      <c r="P83" s="6"/>
      <c r="Q83" s="6"/>
      <c r="R83" s="6"/>
      <c r="S83" s="6"/>
      <c r="T83" s="6"/>
      <c r="U83" s="6"/>
      <c r="V83" s="6"/>
      <c r="W83" s="6"/>
    </row>
    <row r="84" spans="1:23" ht="16" x14ac:dyDescent="0.2">
      <c r="A84" s="6"/>
      <c r="B84" s="7"/>
      <c r="C84" s="7"/>
      <c r="D84" s="7"/>
      <c r="E84" s="7"/>
      <c r="F84" s="6"/>
      <c r="G84" s="6"/>
      <c r="H84" s="6"/>
      <c r="I84" s="6"/>
      <c r="J84" s="6"/>
      <c r="K84" s="6"/>
      <c r="L84" s="6"/>
      <c r="M84" s="6"/>
      <c r="N84" s="6"/>
      <c r="O84" s="6"/>
      <c r="P84" s="6"/>
      <c r="Q84" s="6"/>
      <c r="R84" s="6"/>
      <c r="S84" s="6"/>
      <c r="T84" s="6"/>
      <c r="U84" s="6"/>
      <c r="V84" s="6"/>
      <c r="W84" s="6"/>
    </row>
    <row r="85" spans="1:23" ht="16" x14ac:dyDescent="0.2">
      <c r="A85" s="6"/>
      <c r="B85" s="7"/>
      <c r="C85" s="7"/>
      <c r="D85" s="7"/>
      <c r="E85" s="7"/>
      <c r="F85" s="6"/>
      <c r="G85" s="6"/>
      <c r="H85" s="6"/>
      <c r="I85" s="6"/>
      <c r="J85" s="6"/>
      <c r="K85" s="6"/>
      <c r="L85" s="6"/>
      <c r="M85" s="6"/>
      <c r="N85" s="6"/>
      <c r="O85" s="6"/>
      <c r="P85" s="6"/>
      <c r="Q85" s="6"/>
      <c r="R85" s="6"/>
      <c r="S85" s="6"/>
      <c r="T85" s="6"/>
      <c r="U85" s="6"/>
      <c r="V85" s="6"/>
      <c r="W85" s="6"/>
    </row>
    <row r="86" spans="1:23" ht="16" x14ac:dyDescent="0.2">
      <c r="A86" s="6"/>
      <c r="B86" s="7"/>
      <c r="C86" s="7"/>
      <c r="D86" s="7"/>
      <c r="E86" s="7"/>
      <c r="F86" s="6"/>
      <c r="G86" s="6"/>
      <c r="H86" s="6"/>
      <c r="I86" s="6"/>
      <c r="J86" s="6"/>
      <c r="K86" s="6"/>
      <c r="L86" s="6"/>
      <c r="M86" s="6"/>
      <c r="N86" s="6"/>
      <c r="O86" s="6"/>
      <c r="P86" s="6"/>
      <c r="Q86" s="6"/>
      <c r="R86" s="6"/>
      <c r="S86" s="6"/>
      <c r="T86" s="6"/>
      <c r="U86" s="6"/>
      <c r="V86" s="6"/>
      <c r="W86" s="6"/>
    </row>
    <row r="87" spans="1:23" ht="16" x14ac:dyDescent="0.2">
      <c r="A87" s="6"/>
      <c r="B87" s="7"/>
      <c r="C87" s="7"/>
      <c r="D87" s="7"/>
      <c r="E87" s="7"/>
      <c r="F87" s="6"/>
      <c r="G87" s="6"/>
      <c r="H87" s="6"/>
      <c r="I87" s="6"/>
      <c r="J87" s="6"/>
      <c r="K87" s="6"/>
      <c r="L87" s="6"/>
      <c r="M87" s="6"/>
      <c r="N87" s="6"/>
      <c r="O87" s="6"/>
      <c r="P87" s="6"/>
      <c r="Q87" s="6"/>
      <c r="R87" s="6"/>
      <c r="S87" s="6"/>
      <c r="T87" s="6"/>
      <c r="U87" s="6"/>
      <c r="V87" s="6"/>
      <c r="W87" s="6"/>
    </row>
    <row r="88" spans="1:23" ht="16" x14ac:dyDescent="0.2">
      <c r="A88" s="6"/>
      <c r="B88" s="7"/>
      <c r="C88" s="7"/>
      <c r="D88" s="7"/>
      <c r="E88" s="7"/>
      <c r="F88" s="6"/>
      <c r="G88" s="6"/>
      <c r="H88" s="6"/>
      <c r="I88" s="6"/>
      <c r="J88" s="6"/>
      <c r="K88" s="6"/>
      <c r="L88" s="6"/>
      <c r="M88" s="6"/>
      <c r="N88" s="6"/>
      <c r="O88" s="6"/>
      <c r="P88" s="6"/>
      <c r="Q88" s="6"/>
      <c r="R88" s="6"/>
      <c r="S88" s="6"/>
      <c r="T88" s="6"/>
      <c r="U88" s="6"/>
      <c r="V88" s="6"/>
      <c r="W88" s="6"/>
    </row>
    <row r="89" spans="1:23" ht="16" x14ac:dyDescent="0.2">
      <c r="A89" s="6"/>
      <c r="B89" s="7"/>
      <c r="C89" s="7"/>
      <c r="D89" s="7"/>
      <c r="E89" s="7"/>
      <c r="F89" s="6"/>
      <c r="G89" s="6"/>
      <c r="H89" s="6"/>
      <c r="I89" s="6"/>
      <c r="J89" s="6"/>
      <c r="K89" s="6"/>
      <c r="L89" s="6"/>
      <c r="M89" s="6"/>
      <c r="N89" s="6"/>
      <c r="O89" s="6"/>
      <c r="P89" s="6"/>
      <c r="Q89" s="6"/>
      <c r="R89" s="6"/>
      <c r="S89" s="6"/>
      <c r="T89" s="6"/>
      <c r="U89" s="6"/>
      <c r="V89" s="6"/>
      <c r="W89" s="6"/>
    </row>
    <row r="90" spans="1:23" ht="16" x14ac:dyDescent="0.2">
      <c r="A90" s="6"/>
      <c r="B90" s="7"/>
      <c r="C90" s="7"/>
      <c r="D90" s="7"/>
      <c r="E90" s="7"/>
      <c r="F90" s="6"/>
      <c r="G90" s="6"/>
      <c r="H90" s="6"/>
      <c r="I90" s="6"/>
      <c r="J90" s="6"/>
      <c r="K90" s="6"/>
      <c r="L90" s="6"/>
      <c r="M90" s="6"/>
      <c r="N90" s="6"/>
      <c r="O90" s="6"/>
      <c r="P90" s="6"/>
      <c r="Q90" s="6"/>
      <c r="R90" s="6"/>
      <c r="S90" s="6"/>
      <c r="T90" s="6"/>
      <c r="U90" s="6"/>
      <c r="V90" s="6"/>
      <c r="W90" s="6"/>
    </row>
    <row r="91" spans="1:23" ht="16" x14ac:dyDescent="0.2">
      <c r="A91" s="6"/>
      <c r="B91" s="7"/>
      <c r="C91" s="7"/>
      <c r="D91" s="7"/>
      <c r="E91" s="7"/>
      <c r="F91" s="6"/>
      <c r="G91" s="6"/>
      <c r="H91" s="6"/>
      <c r="I91" s="6"/>
      <c r="J91" s="6"/>
      <c r="K91" s="6"/>
      <c r="L91" s="6"/>
      <c r="M91" s="6"/>
      <c r="N91" s="6"/>
      <c r="O91" s="6"/>
      <c r="P91" s="6"/>
      <c r="Q91" s="6"/>
      <c r="R91" s="6"/>
      <c r="S91" s="6"/>
      <c r="T91" s="6"/>
      <c r="U91" s="6"/>
      <c r="V91" s="6"/>
      <c r="W91" s="6"/>
    </row>
    <row r="92" spans="1:23" ht="16" x14ac:dyDescent="0.2">
      <c r="A92" s="6"/>
      <c r="B92" s="7"/>
      <c r="C92" s="7"/>
      <c r="D92" s="7"/>
      <c r="E92" s="7"/>
      <c r="F92" s="6"/>
      <c r="G92" s="6"/>
      <c r="H92" s="6"/>
      <c r="I92" s="6"/>
      <c r="J92" s="6"/>
      <c r="K92" s="6"/>
      <c r="L92" s="6"/>
      <c r="M92" s="6"/>
      <c r="N92" s="6"/>
      <c r="O92" s="6"/>
      <c r="P92" s="6"/>
      <c r="Q92" s="6"/>
      <c r="R92" s="6"/>
      <c r="S92" s="6"/>
      <c r="T92" s="6"/>
      <c r="U92" s="6"/>
      <c r="V92" s="6"/>
      <c r="W92" s="6"/>
    </row>
    <row r="93" spans="1:23" ht="16" x14ac:dyDescent="0.2">
      <c r="A93" s="6"/>
      <c r="B93" s="7"/>
      <c r="C93" s="7"/>
      <c r="D93" s="7"/>
      <c r="E93" s="7"/>
      <c r="F93" s="6"/>
      <c r="G93" s="6"/>
      <c r="H93" s="6"/>
      <c r="I93" s="6"/>
      <c r="J93" s="6"/>
      <c r="K93" s="6"/>
      <c r="L93" s="6"/>
      <c r="M93" s="6"/>
      <c r="N93" s="6"/>
      <c r="O93" s="6"/>
      <c r="P93" s="6"/>
      <c r="Q93" s="6"/>
      <c r="R93" s="6"/>
      <c r="S93" s="6"/>
      <c r="T93" s="6"/>
      <c r="U93" s="6"/>
      <c r="V93" s="6"/>
      <c r="W93" s="6"/>
    </row>
    <row r="94" spans="1:23" ht="16" x14ac:dyDescent="0.2">
      <c r="A94" s="6"/>
      <c r="B94" s="7"/>
      <c r="C94" s="7"/>
      <c r="D94" s="7"/>
      <c r="E94" s="7"/>
      <c r="F94" s="6"/>
      <c r="G94" s="6"/>
      <c r="H94" s="6"/>
      <c r="I94" s="6"/>
      <c r="J94" s="6"/>
      <c r="K94" s="6"/>
      <c r="L94" s="6"/>
      <c r="M94" s="6"/>
      <c r="N94" s="6"/>
      <c r="O94" s="6"/>
      <c r="P94" s="6"/>
      <c r="Q94" s="6"/>
      <c r="R94" s="6"/>
      <c r="S94" s="6"/>
      <c r="T94" s="6"/>
      <c r="U94" s="6"/>
      <c r="V94" s="6"/>
      <c r="W94" s="6"/>
    </row>
    <row r="95" spans="1:23" ht="16" x14ac:dyDescent="0.2">
      <c r="A95" s="6"/>
      <c r="B95" s="7"/>
      <c r="C95" s="7"/>
      <c r="D95" s="7"/>
      <c r="E95" s="7"/>
      <c r="F95" s="6"/>
      <c r="G95" s="6"/>
      <c r="H95" s="6"/>
      <c r="I95" s="6"/>
      <c r="J95" s="6"/>
      <c r="K95" s="6"/>
      <c r="L95" s="6"/>
      <c r="M95" s="6"/>
      <c r="N95" s="6"/>
      <c r="O95" s="6"/>
      <c r="P95" s="6"/>
      <c r="Q95" s="6"/>
      <c r="R95" s="6"/>
      <c r="S95" s="6"/>
      <c r="T95" s="6"/>
      <c r="U95" s="6"/>
      <c r="V95" s="6"/>
      <c r="W95" s="6"/>
    </row>
    <row r="96" spans="1:23" ht="16" x14ac:dyDescent="0.2">
      <c r="A96" s="6"/>
      <c r="B96" s="7"/>
      <c r="C96" s="7"/>
      <c r="D96" s="7"/>
      <c r="E96" s="7"/>
      <c r="F96" s="6"/>
      <c r="G96" s="6"/>
      <c r="H96" s="6"/>
      <c r="I96" s="6"/>
      <c r="J96" s="6"/>
      <c r="K96" s="6"/>
      <c r="L96" s="6"/>
      <c r="M96" s="6"/>
      <c r="N96" s="6"/>
      <c r="O96" s="6"/>
      <c r="P96" s="6"/>
      <c r="Q96" s="6"/>
      <c r="R96" s="6"/>
      <c r="S96" s="6"/>
      <c r="T96" s="6"/>
      <c r="U96" s="6"/>
      <c r="V96" s="6"/>
      <c r="W96" s="6"/>
    </row>
    <row r="97" spans="1:23" ht="16" x14ac:dyDescent="0.2">
      <c r="A97" s="6"/>
      <c r="B97" s="7"/>
      <c r="C97" s="7"/>
      <c r="D97" s="7"/>
      <c r="E97" s="7"/>
      <c r="F97" s="6"/>
      <c r="G97" s="6"/>
      <c r="H97" s="6"/>
      <c r="I97" s="6"/>
      <c r="J97" s="6"/>
      <c r="K97" s="6"/>
      <c r="L97" s="6"/>
      <c r="M97" s="6"/>
      <c r="N97" s="6"/>
      <c r="O97" s="6"/>
      <c r="P97" s="6"/>
      <c r="Q97" s="6"/>
      <c r="R97" s="6"/>
      <c r="S97" s="6"/>
      <c r="T97" s="6"/>
      <c r="U97" s="6"/>
      <c r="V97" s="6"/>
      <c r="W97" s="6"/>
    </row>
    <row r="98" spans="1:23" ht="16" x14ac:dyDescent="0.2">
      <c r="A98" s="6"/>
      <c r="B98" s="7"/>
      <c r="C98" s="7"/>
      <c r="D98" s="7"/>
      <c r="E98" s="7"/>
      <c r="F98" s="6"/>
      <c r="G98" s="6"/>
      <c r="H98" s="6"/>
      <c r="I98" s="6"/>
      <c r="J98" s="6"/>
      <c r="K98" s="6"/>
      <c r="L98" s="6"/>
      <c r="M98" s="6"/>
      <c r="N98" s="6"/>
      <c r="O98" s="6"/>
      <c r="P98" s="6"/>
      <c r="Q98" s="6"/>
      <c r="R98" s="6"/>
      <c r="S98" s="6"/>
      <c r="T98" s="6"/>
      <c r="U98" s="6"/>
      <c r="V98" s="6"/>
      <c r="W98" s="6"/>
    </row>
    <row r="99" spans="1:23" ht="16" x14ac:dyDescent="0.2">
      <c r="A99" s="6"/>
      <c r="B99" s="7"/>
      <c r="C99" s="7"/>
      <c r="D99" s="7"/>
      <c r="E99" s="7"/>
      <c r="F99" s="6"/>
      <c r="G99" s="6"/>
      <c r="H99" s="6"/>
      <c r="I99" s="6"/>
      <c r="J99" s="6"/>
      <c r="K99" s="6"/>
      <c r="L99" s="6"/>
      <c r="M99" s="6"/>
      <c r="N99" s="6"/>
      <c r="O99" s="6"/>
      <c r="P99" s="6"/>
      <c r="Q99" s="6"/>
      <c r="R99" s="6"/>
      <c r="S99" s="6"/>
      <c r="T99" s="6"/>
      <c r="U99" s="6"/>
      <c r="V99" s="6"/>
      <c r="W99" s="6"/>
    </row>
    <row r="100" spans="1:23" ht="16" x14ac:dyDescent="0.2">
      <c r="A100" s="6"/>
      <c r="B100" s="7"/>
      <c r="C100" s="7"/>
      <c r="D100" s="7"/>
      <c r="E100" s="7"/>
      <c r="F100" s="6"/>
      <c r="G100" s="6"/>
      <c r="H100" s="6"/>
      <c r="I100" s="6"/>
      <c r="J100" s="6"/>
      <c r="K100" s="6"/>
      <c r="L100" s="6"/>
      <c r="M100" s="6"/>
      <c r="N100" s="6"/>
      <c r="O100" s="6"/>
      <c r="P100" s="6"/>
      <c r="Q100" s="6"/>
      <c r="R100" s="6"/>
      <c r="S100" s="6"/>
      <c r="T100" s="6"/>
      <c r="U100" s="6"/>
      <c r="V100" s="6"/>
      <c r="W100" s="6"/>
    </row>
    <row r="101" spans="1:23" ht="16" x14ac:dyDescent="0.2">
      <c r="A101" s="6"/>
      <c r="B101" s="7"/>
      <c r="C101" s="7"/>
      <c r="D101" s="7"/>
      <c r="E101" s="7"/>
      <c r="F101" s="6"/>
      <c r="G101" s="6"/>
      <c r="H101" s="6"/>
      <c r="I101" s="6"/>
      <c r="J101" s="6"/>
      <c r="K101" s="6"/>
      <c r="L101" s="6"/>
      <c r="M101" s="6"/>
      <c r="N101" s="6"/>
      <c r="O101" s="6"/>
      <c r="P101" s="6"/>
      <c r="Q101" s="6"/>
      <c r="R101" s="6"/>
      <c r="S101" s="6"/>
      <c r="T101" s="6"/>
      <c r="U101" s="6"/>
      <c r="V101" s="6"/>
      <c r="W101" s="6"/>
    </row>
    <row r="102" spans="1:23" ht="16" x14ac:dyDescent="0.2">
      <c r="A102" s="6"/>
      <c r="B102" s="7"/>
      <c r="C102" s="7"/>
      <c r="D102" s="7"/>
      <c r="E102" s="7"/>
      <c r="F102" s="6"/>
      <c r="G102" s="6"/>
      <c r="H102" s="6"/>
      <c r="I102" s="6"/>
      <c r="J102" s="6"/>
      <c r="K102" s="6"/>
      <c r="L102" s="6"/>
      <c r="M102" s="6"/>
      <c r="N102" s="6"/>
      <c r="O102" s="6"/>
      <c r="P102" s="6"/>
      <c r="Q102" s="6"/>
      <c r="R102" s="6"/>
      <c r="S102" s="6"/>
      <c r="T102" s="6"/>
      <c r="U102" s="6"/>
      <c r="V102" s="6"/>
      <c r="W102" s="6"/>
    </row>
    <row r="103" spans="1:23" ht="16" x14ac:dyDescent="0.2">
      <c r="A103" s="6"/>
      <c r="B103" s="7"/>
      <c r="C103" s="7"/>
      <c r="D103" s="7"/>
      <c r="E103" s="7"/>
      <c r="F103" s="6"/>
      <c r="G103" s="6"/>
      <c r="H103" s="6"/>
      <c r="I103" s="6"/>
      <c r="J103" s="6"/>
      <c r="K103" s="6"/>
      <c r="L103" s="6"/>
      <c r="M103" s="6"/>
      <c r="N103" s="6"/>
      <c r="O103" s="6"/>
      <c r="P103" s="6"/>
      <c r="Q103" s="6"/>
      <c r="R103" s="6"/>
      <c r="S103" s="6"/>
      <c r="T103" s="6"/>
      <c r="U103" s="6"/>
      <c r="V103" s="6"/>
      <c r="W103" s="6"/>
    </row>
    <row r="104" spans="1:23" ht="16" x14ac:dyDescent="0.2">
      <c r="A104" s="6"/>
      <c r="B104" s="7"/>
      <c r="C104" s="7"/>
      <c r="D104" s="7"/>
      <c r="E104" s="7"/>
      <c r="F104" s="6"/>
      <c r="G104" s="6"/>
      <c r="H104" s="6"/>
      <c r="I104" s="6"/>
      <c r="J104" s="6"/>
      <c r="K104" s="6"/>
      <c r="L104" s="6"/>
      <c r="M104" s="6"/>
      <c r="N104" s="6"/>
      <c r="O104" s="6"/>
      <c r="P104" s="6"/>
      <c r="Q104" s="6"/>
      <c r="R104" s="6"/>
      <c r="S104" s="6"/>
      <c r="T104" s="6"/>
      <c r="U104" s="6"/>
      <c r="V104" s="6"/>
      <c r="W104" s="6"/>
    </row>
    <row r="105" spans="1:23" ht="16" x14ac:dyDescent="0.2">
      <c r="A105" s="6"/>
      <c r="B105" s="7"/>
      <c r="C105" s="7"/>
      <c r="D105" s="7"/>
      <c r="E105" s="7"/>
      <c r="F105" s="6"/>
      <c r="G105" s="6"/>
      <c r="H105" s="6"/>
      <c r="I105" s="6"/>
      <c r="J105" s="6"/>
      <c r="K105" s="6"/>
      <c r="L105" s="6"/>
      <c r="M105" s="6"/>
      <c r="N105" s="6"/>
      <c r="O105" s="6"/>
      <c r="P105" s="6"/>
      <c r="Q105" s="6"/>
      <c r="R105" s="6"/>
      <c r="S105" s="6"/>
      <c r="T105" s="6"/>
      <c r="U105" s="6"/>
      <c r="V105" s="6"/>
      <c r="W105" s="6"/>
    </row>
    <row r="106" spans="1:23" ht="16" x14ac:dyDescent="0.2">
      <c r="A106" s="6"/>
      <c r="B106" s="7"/>
      <c r="C106" s="7"/>
      <c r="D106" s="7"/>
      <c r="E106" s="7"/>
      <c r="F106" s="6"/>
      <c r="G106" s="6"/>
      <c r="H106" s="6"/>
      <c r="I106" s="6"/>
      <c r="J106" s="6"/>
      <c r="K106" s="6"/>
      <c r="L106" s="6"/>
      <c r="M106" s="6"/>
      <c r="N106" s="6"/>
      <c r="O106" s="6"/>
      <c r="P106" s="6"/>
      <c r="Q106" s="6"/>
      <c r="R106" s="6"/>
      <c r="S106" s="6"/>
      <c r="T106" s="6"/>
      <c r="U106" s="6"/>
      <c r="V106" s="6"/>
      <c r="W106" s="6"/>
    </row>
    <row r="107" spans="1:23" ht="16" x14ac:dyDescent="0.2">
      <c r="A107" s="6"/>
      <c r="B107" s="7"/>
      <c r="C107" s="7"/>
      <c r="D107" s="7"/>
      <c r="E107" s="7"/>
      <c r="F107" s="6"/>
      <c r="G107" s="6"/>
      <c r="H107" s="6"/>
      <c r="I107" s="6"/>
      <c r="J107" s="6"/>
      <c r="K107" s="6"/>
      <c r="L107" s="6"/>
      <c r="M107" s="6"/>
      <c r="N107" s="6"/>
      <c r="O107" s="6"/>
      <c r="P107" s="6"/>
      <c r="Q107" s="6"/>
      <c r="R107" s="6"/>
      <c r="S107" s="6"/>
      <c r="T107" s="6"/>
      <c r="U107" s="6"/>
      <c r="V107" s="6"/>
      <c r="W107" s="6"/>
    </row>
    <row r="108" spans="1:23" ht="16" x14ac:dyDescent="0.2">
      <c r="A108" s="6"/>
      <c r="B108" s="7"/>
      <c r="C108" s="7"/>
      <c r="D108" s="7"/>
      <c r="E108" s="7"/>
      <c r="F108" s="6"/>
      <c r="G108" s="6"/>
      <c r="H108" s="6"/>
      <c r="I108" s="6"/>
      <c r="J108" s="6"/>
      <c r="K108" s="6"/>
      <c r="L108" s="6"/>
      <c r="M108" s="6"/>
      <c r="N108" s="6"/>
      <c r="O108" s="6"/>
      <c r="P108" s="6"/>
      <c r="Q108" s="6"/>
      <c r="R108" s="6"/>
      <c r="S108" s="6"/>
      <c r="T108" s="6"/>
      <c r="U108" s="6"/>
      <c r="V108" s="6"/>
      <c r="W108" s="6"/>
    </row>
    <row r="109" spans="1:23" ht="16" x14ac:dyDescent="0.2">
      <c r="A109" s="6"/>
      <c r="B109" s="7"/>
      <c r="C109" s="7"/>
      <c r="D109" s="7"/>
      <c r="E109" s="7"/>
      <c r="F109" s="6"/>
      <c r="G109" s="6"/>
      <c r="H109" s="6"/>
      <c r="I109" s="6"/>
      <c r="J109" s="6"/>
      <c r="K109" s="6"/>
      <c r="L109" s="6"/>
      <c r="M109" s="6"/>
      <c r="N109" s="6"/>
      <c r="O109" s="6"/>
      <c r="P109" s="6"/>
      <c r="Q109" s="6"/>
      <c r="R109" s="6"/>
      <c r="S109" s="6"/>
      <c r="T109" s="6"/>
      <c r="U109" s="6"/>
      <c r="V109" s="6"/>
      <c r="W109" s="6"/>
    </row>
    <row r="110" spans="1:23" ht="16" x14ac:dyDescent="0.2">
      <c r="A110" s="6"/>
      <c r="B110" s="7"/>
      <c r="C110" s="7"/>
      <c r="D110" s="7"/>
      <c r="E110" s="7"/>
      <c r="F110" s="6"/>
      <c r="G110" s="6"/>
      <c r="H110" s="6"/>
      <c r="I110" s="6"/>
      <c r="J110" s="6"/>
      <c r="K110" s="6"/>
      <c r="L110" s="6"/>
      <c r="M110" s="6"/>
      <c r="N110" s="6"/>
      <c r="O110" s="6"/>
      <c r="P110" s="6"/>
      <c r="Q110" s="6"/>
      <c r="R110" s="6"/>
      <c r="S110" s="6"/>
      <c r="T110" s="6"/>
      <c r="U110" s="6"/>
      <c r="V110" s="6"/>
      <c r="W110" s="6"/>
    </row>
    <row r="111" spans="1:23" ht="16" x14ac:dyDescent="0.2">
      <c r="A111" s="6"/>
      <c r="B111" s="7"/>
      <c r="C111" s="7"/>
      <c r="D111" s="7"/>
      <c r="E111" s="7"/>
      <c r="F111" s="6"/>
      <c r="G111" s="6"/>
      <c r="H111" s="6"/>
      <c r="I111" s="6"/>
      <c r="J111" s="6"/>
      <c r="K111" s="6"/>
      <c r="L111" s="6"/>
      <c r="M111" s="6"/>
      <c r="N111" s="6"/>
      <c r="O111" s="6"/>
      <c r="P111" s="6"/>
      <c r="Q111" s="6"/>
      <c r="R111" s="6"/>
      <c r="S111" s="6"/>
      <c r="T111" s="6"/>
      <c r="U111" s="6"/>
      <c r="V111" s="6"/>
      <c r="W111" s="6"/>
    </row>
    <row r="112" spans="1:23" ht="16" x14ac:dyDescent="0.2">
      <c r="A112" s="6"/>
      <c r="B112" s="7"/>
      <c r="C112" s="7"/>
      <c r="D112" s="7"/>
      <c r="E112" s="7"/>
      <c r="F112" s="6"/>
      <c r="G112" s="6"/>
      <c r="H112" s="6"/>
      <c r="I112" s="6"/>
      <c r="J112" s="6"/>
      <c r="K112" s="6"/>
      <c r="L112" s="6"/>
      <c r="M112" s="6"/>
      <c r="N112" s="6"/>
      <c r="O112" s="6"/>
      <c r="P112" s="6"/>
      <c r="Q112" s="6"/>
      <c r="R112" s="6"/>
      <c r="S112" s="6"/>
      <c r="T112" s="6"/>
      <c r="U112" s="6"/>
      <c r="V112" s="6"/>
      <c r="W112" s="6"/>
    </row>
    <row r="113" spans="1:23" ht="16" x14ac:dyDescent="0.2">
      <c r="A113" s="6"/>
      <c r="B113" s="7"/>
      <c r="C113" s="7"/>
      <c r="D113" s="7"/>
      <c r="E113" s="7"/>
      <c r="F113" s="6"/>
      <c r="G113" s="6"/>
      <c r="H113" s="6"/>
      <c r="I113" s="6"/>
      <c r="J113" s="6"/>
      <c r="K113" s="6"/>
      <c r="L113" s="6"/>
      <c r="M113" s="6"/>
      <c r="N113" s="6"/>
      <c r="O113" s="6"/>
      <c r="P113" s="6"/>
      <c r="Q113" s="6"/>
      <c r="R113" s="6"/>
      <c r="S113" s="6"/>
      <c r="T113" s="6"/>
      <c r="U113" s="6"/>
      <c r="V113" s="6"/>
      <c r="W113" s="6"/>
    </row>
    <row r="114" spans="1:23" ht="16" x14ac:dyDescent="0.2">
      <c r="A114" s="6"/>
      <c r="B114" s="7"/>
      <c r="C114" s="7"/>
      <c r="D114" s="7"/>
      <c r="E114" s="7"/>
      <c r="F114" s="6"/>
      <c r="G114" s="6"/>
      <c r="H114" s="6"/>
      <c r="I114" s="6"/>
      <c r="J114" s="6"/>
      <c r="K114" s="6"/>
      <c r="L114" s="6"/>
      <c r="M114" s="6"/>
      <c r="N114" s="6"/>
      <c r="O114" s="6"/>
      <c r="P114" s="6"/>
      <c r="Q114" s="6"/>
      <c r="R114" s="6"/>
      <c r="S114" s="6"/>
      <c r="T114" s="6"/>
      <c r="U114" s="6"/>
      <c r="V114" s="6"/>
      <c r="W114" s="6"/>
    </row>
    <row r="115" spans="1:23" ht="16" x14ac:dyDescent="0.2">
      <c r="A115" s="6"/>
      <c r="B115" s="7"/>
      <c r="C115" s="7"/>
      <c r="D115" s="7"/>
      <c r="E115" s="7"/>
      <c r="F115" s="6"/>
      <c r="G115" s="6"/>
      <c r="H115" s="6"/>
      <c r="I115" s="6"/>
      <c r="J115" s="6"/>
      <c r="K115" s="6"/>
      <c r="L115" s="6"/>
      <c r="M115" s="6"/>
      <c r="N115" s="6"/>
      <c r="O115" s="6"/>
      <c r="P115" s="6"/>
      <c r="Q115" s="6"/>
      <c r="R115" s="6"/>
      <c r="S115" s="6"/>
      <c r="T115" s="6"/>
      <c r="U115" s="6"/>
      <c r="V115" s="6"/>
      <c r="W115" s="6"/>
    </row>
    <row r="116" spans="1:23" ht="16" x14ac:dyDescent="0.2">
      <c r="A116" s="6"/>
      <c r="B116" s="7"/>
      <c r="C116" s="7"/>
      <c r="D116" s="7"/>
      <c r="E116" s="7"/>
      <c r="F116" s="6"/>
      <c r="G116" s="6"/>
      <c r="H116" s="6"/>
      <c r="I116" s="6"/>
      <c r="J116" s="6"/>
      <c r="K116" s="6"/>
      <c r="L116" s="6"/>
      <c r="M116" s="6"/>
      <c r="N116" s="6"/>
      <c r="O116" s="6"/>
      <c r="P116" s="6"/>
      <c r="Q116" s="6"/>
      <c r="R116" s="6"/>
      <c r="S116" s="6"/>
      <c r="T116" s="6"/>
      <c r="U116" s="6"/>
      <c r="V116" s="6"/>
      <c r="W116" s="6"/>
    </row>
    <row r="117" spans="1:23" ht="16" x14ac:dyDescent="0.2">
      <c r="A117" s="6"/>
      <c r="B117" s="7"/>
      <c r="C117" s="7"/>
      <c r="D117" s="7"/>
      <c r="E117" s="7"/>
      <c r="F117" s="6"/>
      <c r="G117" s="6"/>
      <c r="H117" s="6"/>
      <c r="I117" s="6"/>
      <c r="J117" s="6"/>
      <c r="K117" s="6"/>
      <c r="L117" s="6"/>
      <c r="M117" s="6"/>
      <c r="N117" s="6"/>
      <c r="O117" s="6"/>
      <c r="P117" s="6"/>
      <c r="Q117" s="6"/>
      <c r="R117" s="6"/>
      <c r="S117" s="6"/>
      <c r="T117" s="6"/>
      <c r="U117" s="6"/>
      <c r="V117" s="6"/>
      <c r="W117" s="6"/>
    </row>
    <row r="118" spans="1:23" ht="16" x14ac:dyDescent="0.2">
      <c r="A118" s="6"/>
      <c r="B118" s="7"/>
      <c r="C118" s="7"/>
      <c r="D118" s="7"/>
      <c r="E118" s="7"/>
      <c r="F118" s="6"/>
      <c r="G118" s="6"/>
      <c r="H118" s="6"/>
      <c r="I118" s="6"/>
      <c r="J118" s="6"/>
      <c r="K118" s="6"/>
      <c r="L118" s="6"/>
      <c r="M118" s="6"/>
      <c r="N118" s="6"/>
      <c r="O118" s="6"/>
      <c r="P118" s="6"/>
      <c r="Q118" s="6"/>
      <c r="R118" s="6"/>
      <c r="S118" s="6"/>
      <c r="T118" s="6"/>
      <c r="U118" s="6"/>
      <c r="V118" s="6"/>
      <c r="W118" s="6"/>
    </row>
    <row r="119" spans="1:23" ht="16" x14ac:dyDescent="0.2">
      <c r="A119" s="6"/>
      <c r="B119" s="7"/>
      <c r="C119" s="7"/>
      <c r="D119" s="7"/>
      <c r="E119" s="7"/>
      <c r="F119" s="6"/>
      <c r="G119" s="6"/>
      <c r="H119" s="6"/>
      <c r="I119" s="6"/>
      <c r="J119" s="6"/>
      <c r="K119" s="6"/>
      <c r="L119" s="6"/>
      <c r="M119" s="6"/>
      <c r="N119" s="6"/>
      <c r="O119" s="6"/>
      <c r="P119" s="6"/>
      <c r="Q119" s="6"/>
      <c r="R119" s="6"/>
      <c r="S119" s="6"/>
      <c r="T119" s="6"/>
      <c r="U119" s="6"/>
      <c r="V119" s="6"/>
      <c r="W119" s="6"/>
    </row>
    <row r="120" spans="1:23" ht="16" x14ac:dyDescent="0.2">
      <c r="A120" s="6"/>
      <c r="B120" s="7"/>
      <c r="C120" s="7"/>
      <c r="D120" s="7"/>
      <c r="E120" s="7"/>
      <c r="F120" s="6"/>
      <c r="G120" s="6"/>
      <c r="H120" s="6"/>
      <c r="I120" s="6"/>
      <c r="J120" s="6"/>
      <c r="K120" s="6"/>
      <c r="L120" s="6"/>
      <c r="M120" s="6"/>
      <c r="N120" s="6"/>
      <c r="O120" s="6"/>
      <c r="P120" s="6"/>
      <c r="Q120" s="6"/>
      <c r="R120" s="6"/>
      <c r="S120" s="6"/>
      <c r="T120" s="6"/>
      <c r="U120" s="6"/>
      <c r="V120" s="6"/>
      <c r="W120" s="6"/>
    </row>
    <row r="121" spans="1:23" ht="16" x14ac:dyDescent="0.2">
      <c r="A121" s="6"/>
      <c r="B121" s="7"/>
      <c r="C121" s="7"/>
      <c r="D121" s="7"/>
      <c r="E121" s="7"/>
      <c r="F121" s="6"/>
      <c r="G121" s="6"/>
      <c r="H121" s="6"/>
      <c r="I121" s="6"/>
      <c r="J121" s="6"/>
      <c r="K121" s="6"/>
      <c r="L121" s="6"/>
      <c r="M121" s="6"/>
      <c r="N121" s="6"/>
      <c r="O121" s="6"/>
      <c r="P121" s="6"/>
      <c r="Q121" s="6"/>
      <c r="R121" s="6"/>
      <c r="S121" s="6"/>
      <c r="T121" s="6"/>
      <c r="U121" s="6"/>
      <c r="V121" s="6"/>
      <c r="W121" s="6"/>
    </row>
    <row r="122" spans="1:23" ht="16" x14ac:dyDescent="0.2">
      <c r="A122" s="6"/>
      <c r="B122" s="7"/>
      <c r="C122" s="7"/>
      <c r="D122" s="7"/>
      <c r="E122" s="7"/>
      <c r="F122" s="6"/>
      <c r="G122" s="6"/>
      <c r="H122" s="6"/>
      <c r="I122" s="6"/>
      <c r="J122" s="6"/>
      <c r="K122" s="6"/>
      <c r="L122" s="6"/>
      <c r="M122" s="6"/>
      <c r="N122" s="6"/>
      <c r="O122" s="6"/>
      <c r="P122" s="6"/>
      <c r="Q122" s="6"/>
      <c r="R122" s="6"/>
      <c r="S122" s="6"/>
      <c r="T122" s="6"/>
      <c r="U122" s="6"/>
      <c r="V122" s="6"/>
      <c r="W122" s="6"/>
    </row>
    <row r="123" spans="1:23" ht="16" x14ac:dyDescent="0.2">
      <c r="A123" s="6"/>
      <c r="B123" s="7"/>
      <c r="C123" s="7"/>
      <c r="D123" s="7"/>
      <c r="E123" s="7"/>
      <c r="F123" s="6"/>
      <c r="G123" s="6"/>
      <c r="H123" s="6"/>
      <c r="I123" s="6"/>
      <c r="J123" s="6"/>
      <c r="K123" s="6"/>
      <c r="L123" s="6"/>
      <c r="M123" s="6"/>
      <c r="N123" s="6"/>
      <c r="O123" s="6"/>
      <c r="P123" s="6"/>
      <c r="Q123" s="6"/>
      <c r="R123" s="6"/>
      <c r="S123" s="6"/>
      <c r="T123" s="6"/>
      <c r="U123" s="6"/>
      <c r="V123" s="6"/>
      <c r="W123" s="6"/>
    </row>
    <row r="124" spans="1:23" ht="16" x14ac:dyDescent="0.2">
      <c r="A124" s="6"/>
      <c r="B124" s="7"/>
      <c r="C124" s="7"/>
      <c r="D124" s="7"/>
      <c r="E124" s="7"/>
      <c r="F124" s="6"/>
      <c r="G124" s="6"/>
      <c r="H124" s="6"/>
      <c r="I124" s="6"/>
      <c r="J124" s="6"/>
      <c r="K124" s="6"/>
      <c r="L124" s="6"/>
      <c r="M124" s="6"/>
      <c r="N124" s="6"/>
      <c r="O124" s="6"/>
      <c r="P124" s="6"/>
      <c r="Q124" s="6"/>
      <c r="R124" s="6"/>
      <c r="S124" s="6"/>
      <c r="T124" s="6"/>
      <c r="U124" s="6"/>
      <c r="V124" s="6"/>
      <c r="W124" s="6"/>
    </row>
    <row r="125" spans="1:23" ht="16" x14ac:dyDescent="0.2">
      <c r="A125" s="6"/>
      <c r="B125" s="7"/>
      <c r="C125" s="7"/>
      <c r="D125" s="7"/>
      <c r="E125" s="7"/>
      <c r="F125" s="6"/>
      <c r="G125" s="6"/>
      <c r="H125" s="6"/>
      <c r="I125" s="6"/>
      <c r="J125" s="6"/>
      <c r="K125" s="6"/>
      <c r="L125" s="6"/>
      <c r="M125" s="6"/>
      <c r="N125" s="6"/>
      <c r="O125" s="6"/>
      <c r="P125" s="6"/>
      <c r="Q125" s="6"/>
      <c r="R125" s="6"/>
      <c r="S125" s="6"/>
      <c r="T125" s="6"/>
      <c r="U125" s="6"/>
      <c r="V125" s="6"/>
      <c r="W125" s="6"/>
    </row>
    <row r="126" spans="1:23" ht="16" x14ac:dyDescent="0.2">
      <c r="A126" s="6"/>
      <c r="B126" s="7"/>
      <c r="C126" s="7"/>
      <c r="D126" s="7"/>
      <c r="E126" s="7"/>
      <c r="F126" s="6"/>
      <c r="G126" s="6"/>
      <c r="H126" s="6"/>
      <c r="I126" s="6"/>
      <c r="J126" s="6"/>
      <c r="K126" s="6"/>
      <c r="L126" s="6"/>
      <c r="M126" s="6"/>
      <c r="N126" s="6"/>
      <c r="O126" s="6"/>
      <c r="P126" s="6"/>
      <c r="Q126" s="6"/>
      <c r="R126" s="6"/>
      <c r="S126" s="6"/>
      <c r="T126" s="6"/>
      <c r="U126" s="6"/>
      <c r="V126" s="6"/>
      <c r="W126" s="6"/>
    </row>
    <row r="127" spans="1:23" ht="16" x14ac:dyDescent="0.2">
      <c r="A127" s="6"/>
      <c r="B127" s="7"/>
      <c r="C127" s="7"/>
      <c r="D127" s="7"/>
      <c r="E127" s="7"/>
      <c r="F127" s="6"/>
      <c r="G127" s="6"/>
      <c r="H127" s="6"/>
      <c r="I127" s="6"/>
      <c r="J127" s="6"/>
      <c r="K127" s="6"/>
      <c r="L127" s="6"/>
      <c r="M127" s="6"/>
      <c r="N127" s="6"/>
      <c r="O127" s="6"/>
      <c r="P127" s="6"/>
      <c r="Q127" s="6"/>
      <c r="R127" s="6"/>
      <c r="S127" s="6"/>
      <c r="T127" s="6"/>
      <c r="U127" s="6"/>
      <c r="V127" s="6"/>
      <c r="W127" s="6"/>
    </row>
    <row r="128" spans="1:23" ht="16" x14ac:dyDescent="0.2">
      <c r="A128" s="6"/>
      <c r="B128" s="7"/>
      <c r="C128" s="7"/>
      <c r="D128" s="7"/>
      <c r="E128" s="7"/>
      <c r="F128" s="6"/>
      <c r="G128" s="6"/>
      <c r="H128" s="6"/>
      <c r="I128" s="6"/>
      <c r="J128" s="6"/>
      <c r="K128" s="6"/>
      <c r="L128" s="6"/>
      <c r="M128" s="6"/>
      <c r="N128" s="6"/>
      <c r="O128" s="6"/>
      <c r="P128" s="6"/>
      <c r="Q128" s="6"/>
      <c r="R128" s="6"/>
      <c r="S128" s="6"/>
      <c r="T128" s="6"/>
      <c r="U128" s="6"/>
      <c r="V128" s="6"/>
      <c r="W128" s="6"/>
    </row>
    <row r="129" spans="1:23" ht="16" x14ac:dyDescent="0.2">
      <c r="A129" s="6"/>
      <c r="B129" s="7"/>
      <c r="C129" s="7"/>
      <c r="D129" s="7"/>
      <c r="E129" s="7"/>
      <c r="F129" s="6"/>
      <c r="G129" s="6"/>
      <c r="H129" s="6"/>
      <c r="I129" s="6"/>
      <c r="J129" s="6"/>
      <c r="K129" s="6"/>
      <c r="L129" s="6"/>
      <c r="M129" s="6"/>
      <c r="N129" s="6"/>
      <c r="O129" s="6"/>
      <c r="P129" s="6"/>
      <c r="Q129" s="6"/>
      <c r="R129" s="6"/>
      <c r="S129" s="6"/>
      <c r="T129" s="6"/>
      <c r="U129" s="6"/>
      <c r="V129" s="6"/>
      <c r="W129" s="6"/>
    </row>
    <row r="130" spans="1:23" ht="16" x14ac:dyDescent="0.2">
      <c r="A130" s="6"/>
      <c r="B130" s="7"/>
      <c r="C130" s="7"/>
      <c r="D130" s="7"/>
      <c r="E130" s="7"/>
      <c r="F130" s="6"/>
      <c r="G130" s="6"/>
      <c r="H130" s="6"/>
      <c r="I130" s="6"/>
      <c r="J130" s="6"/>
      <c r="K130" s="6"/>
      <c r="L130" s="6"/>
      <c r="M130" s="6"/>
      <c r="N130" s="6"/>
      <c r="O130" s="6"/>
      <c r="P130" s="6"/>
      <c r="Q130" s="6"/>
      <c r="R130" s="6"/>
      <c r="S130" s="6"/>
      <c r="T130" s="6"/>
      <c r="U130" s="6"/>
      <c r="V130" s="6"/>
      <c r="W130" s="6"/>
    </row>
    <row r="131" spans="1:23" ht="16" x14ac:dyDescent="0.2">
      <c r="A131" s="6"/>
      <c r="B131" s="7"/>
      <c r="C131" s="7"/>
      <c r="D131" s="7"/>
      <c r="E131" s="7"/>
      <c r="F131" s="6"/>
      <c r="G131" s="6"/>
      <c r="H131" s="6"/>
      <c r="I131" s="6"/>
      <c r="J131" s="6"/>
      <c r="K131" s="6"/>
      <c r="L131" s="6"/>
      <c r="M131" s="6"/>
      <c r="N131" s="6"/>
      <c r="O131" s="6"/>
      <c r="P131" s="6"/>
      <c r="Q131" s="6"/>
      <c r="R131" s="6"/>
      <c r="S131" s="6"/>
      <c r="T131" s="6"/>
      <c r="U131" s="6"/>
      <c r="V131" s="6"/>
      <c r="W131" s="6"/>
    </row>
    <row r="132" spans="1:23" ht="16" x14ac:dyDescent="0.2">
      <c r="A132" s="6"/>
      <c r="B132" s="7"/>
      <c r="C132" s="7"/>
      <c r="D132" s="7"/>
      <c r="E132" s="7"/>
      <c r="F132" s="6"/>
      <c r="G132" s="6"/>
      <c r="H132" s="6"/>
      <c r="I132" s="6"/>
      <c r="J132" s="6"/>
      <c r="K132" s="6"/>
      <c r="L132" s="6"/>
      <c r="M132" s="6"/>
      <c r="N132" s="6"/>
      <c r="O132" s="6"/>
      <c r="P132" s="6"/>
      <c r="Q132" s="6"/>
      <c r="R132" s="6"/>
      <c r="S132" s="6"/>
      <c r="T132" s="6"/>
      <c r="U132" s="6"/>
      <c r="V132" s="6"/>
      <c r="W132" s="6"/>
    </row>
    <row r="133" spans="1:23" ht="16" x14ac:dyDescent="0.2">
      <c r="A133" s="6"/>
      <c r="B133" s="7"/>
      <c r="C133" s="7"/>
      <c r="D133" s="7"/>
      <c r="E133" s="7"/>
      <c r="F133" s="6"/>
      <c r="G133" s="6"/>
      <c r="H133" s="6"/>
      <c r="I133" s="6"/>
      <c r="J133" s="6"/>
      <c r="K133" s="6"/>
      <c r="L133" s="6"/>
      <c r="M133" s="6"/>
      <c r="N133" s="6"/>
      <c r="O133" s="6"/>
      <c r="P133" s="6"/>
      <c r="Q133" s="6"/>
      <c r="R133" s="6"/>
      <c r="S133" s="6"/>
      <c r="T133" s="6"/>
      <c r="U133" s="6"/>
      <c r="V133" s="6"/>
      <c r="W133" s="6"/>
    </row>
    <row r="134" spans="1:23" ht="16" x14ac:dyDescent="0.2">
      <c r="A134" s="6"/>
      <c r="B134" s="7"/>
      <c r="C134" s="7"/>
      <c r="D134" s="7"/>
      <c r="E134" s="7"/>
      <c r="F134" s="6"/>
      <c r="G134" s="6"/>
      <c r="H134" s="6"/>
      <c r="I134" s="6"/>
      <c r="J134" s="6"/>
      <c r="K134" s="6"/>
      <c r="L134" s="6"/>
      <c r="M134" s="6"/>
      <c r="N134" s="6"/>
      <c r="O134" s="6"/>
      <c r="P134" s="6"/>
      <c r="Q134" s="6"/>
      <c r="R134" s="6"/>
      <c r="S134" s="6"/>
      <c r="T134" s="6"/>
      <c r="U134" s="6"/>
      <c r="V134" s="6"/>
      <c r="W134" s="6"/>
    </row>
    <row r="135" spans="1:23" ht="16" x14ac:dyDescent="0.2">
      <c r="A135" s="6"/>
      <c r="B135" s="7"/>
      <c r="C135" s="7"/>
      <c r="D135" s="7"/>
      <c r="E135" s="7"/>
      <c r="F135" s="6"/>
      <c r="G135" s="6"/>
      <c r="H135" s="6"/>
      <c r="I135" s="6"/>
      <c r="J135" s="6"/>
      <c r="K135" s="6"/>
      <c r="L135" s="6"/>
      <c r="M135" s="6"/>
      <c r="N135" s="6"/>
      <c r="O135" s="6"/>
      <c r="P135" s="6"/>
      <c r="Q135" s="6"/>
      <c r="R135" s="6"/>
      <c r="S135" s="6"/>
      <c r="T135" s="6"/>
      <c r="U135" s="6"/>
      <c r="V135" s="6"/>
      <c r="W135" s="6"/>
    </row>
    <row r="136" spans="1:23" ht="16" x14ac:dyDescent="0.2">
      <c r="A136" s="6"/>
      <c r="B136" s="7"/>
      <c r="C136" s="7"/>
      <c r="D136" s="7"/>
      <c r="E136" s="7"/>
      <c r="F136" s="6"/>
      <c r="G136" s="6"/>
      <c r="H136" s="6"/>
      <c r="I136" s="6"/>
      <c r="J136" s="6"/>
      <c r="K136" s="6"/>
      <c r="L136" s="6"/>
      <c r="M136" s="6"/>
      <c r="N136" s="6"/>
      <c r="O136" s="6"/>
      <c r="P136" s="6"/>
      <c r="Q136" s="6"/>
      <c r="R136" s="6"/>
      <c r="S136" s="6"/>
      <c r="T136" s="6"/>
      <c r="U136" s="6"/>
      <c r="V136" s="6"/>
      <c r="W136" s="6"/>
    </row>
    <row r="137" spans="1:23" ht="16" x14ac:dyDescent="0.2">
      <c r="A137" s="6"/>
      <c r="B137" s="7"/>
      <c r="C137" s="7"/>
      <c r="D137" s="7"/>
      <c r="E137" s="7"/>
      <c r="F137" s="6"/>
      <c r="G137" s="6"/>
      <c r="H137" s="6"/>
      <c r="I137" s="6"/>
      <c r="J137" s="6"/>
      <c r="K137" s="6"/>
      <c r="L137" s="6"/>
      <c r="M137" s="6"/>
      <c r="N137" s="6"/>
      <c r="O137" s="6"/>
      <c r="P137" s="6"/>
      <c r="Q137" s="6"/>
      <c r="R137" s="6"/>
      <c r="S137" s="6"/>
      <c r="T137" s="6"/>
      <c r="U137" s="6"/>
      <c r="V137" s="6"/>
      <c r="W137" s="6"/>
    </row>
    <row r="138" spans="1:23" ht="16" x14ac:dyDescent="0.2">
      <c r="A138" s="6"/>
      <c r="B138" s="7"/>
      <c r="C138" s="7"/>
      <c r="D138" s="7"/>
      <c r="E138" s="7"/>
      <c r="F138" s="6"/>
      <c r="G138" s="6"/>
      <c r="H138" s="6"/>
      <c r="I138" s="6"/>
      <c r="J138" s="6"/>
      <c r="K138" s="6"/>
      <c r="L138" s="6"/>
      <c r="M138" s="6"/>
      <c r="N138" s="6"/>
      <c r="O138" s="6"/>
      <c r="P138" s="6"/>
      <c r="Q138" s="6"/>
      <c r="R138" s="6"/>
      <c r="S138" s="6"/>
      <c r="T138" s="6"/>
      <c r="U138" s="6"/>
      <c r="V138" s="6"/>
      <c r="W138" s="6"/>
    </row>
    <row r="139" spans="1:23" ht="16" x14ac:dyDescent="0.2">
      <c r="A139" s="6"/>
      <c r="B139" s="7"/>
      <c r="C139" s="7"/>
      <c r="D139" s="7"/>
      <c r="E139" s="7"/>
      <c r="F139" s="6"/>
      <c r="G139" s="6"/>
      <c r="H139" s="6"/>
      <c r="I139" s="6"/>
      <c r="J139" s="6"/>
      <c r="K139" s="6"/>
      <c r="L139" s="6"/>
      <c r="M139" s="6"/>
      <c r="N139" s="6"/>
      <c r="O139" s="6"/>
      <c r="P139" s="6"/>
      <c r="Q139" s="6"/>
      <c r="R139" s="6"/>
      <c r="S139" s="6"/>
      <c r="T139" s="6"/>
      <c r="U139" s="6"/>
      <c r="V139" s="6"/>
      <c r="W139" s="6"/>
    </row>
    <row r="140" spans="1:23" ht="16" x14ac:dyDescent="0.2">
      <c r="A140" s="6"/>
      <c r="B140" s="7"/>
      <c r="C140" s="7"/>
      <c r="D140" s="7"/>
      <c r="E140" s="7"/>
      <c r="F140" s="6"/>
      <c r="G140" s="6"/>
      <c r="H140" s="6"/>
      <c r="I140" s="6"/>
      <c r="J140" s="6"/>
      <c r="K140" s="6"/>
      <c r="L140" s="6"/>
      <c r="M140" s="6"/>
      <c r="N140" s="6"/>
      <c r="O140" s="6"/>
      <c r="P140" s="6"/>
      <c r="Q140" s="6"/>
      <c r="R140" s="6"/>
      <c r="S140" s="6"/>
      <c r="T140" s="6"/>
      <c r="U140" s="6"/>
      <c r="V140" s="6"/>
      <c r="W140" s="6"/>
    </row>
    <row r="141" spans="1:23" ht="16" x14ac:dyDescent="0.2">
      <c r="A141" s="6"/>
      <c r="B141" s="7"/>
      <c r="C141" s="7"/>
      <c r="D141" s="7"/>
      <c r="E141" s="7"/>
      <c r="F141" s="6"/>
      <c r="G141" s="6"/>
      <c r="H141" s="6"/>
      <c r="I141" s="6"/>
      <c r="J141" s="6"/>
      <c r="K141" s="6"/>
      <c r="L141" s="6"/>
      <c r="M141" s="6"/>
      <c r="N141" s="6"/>
      <c r="O141" s="6"/>
      <c r="P141" s="6"/>
      <c r="Q141" s="6"/>
      <c r="R141" s="6"/>
      <c r="S141" s="6"/>
      <c r="T141" s="6"/>
      <c r="U141" s="6"/>
      <c r="V141" s="6"/>
      <c r="W141" s="6"/>
    </row>
    <row r="142" spans="1:23" ht="16" x14ac:dyDescent="0.2">
      <c r="A142" s="6"/>
      <c r="B142" s="7"/>
      <c r="C142" s="7"/>
      <c r="D142" s="7"/>
      <c r="E142" s="7"/>
      <c r="F142" s="6"/>
      <c r="G142" s="6"/>
      <c r="H142" s="6"/>
      <c r="I142" s="6"/>
      <c r="J142" s="6"/>
      <c r="K142" s="6"/>
      <c r="L142" s="6"/>
      <c r="M142" s="6"/>
      <c r="N142" s="6"/>
      <c r="O142" s="6"/>
      <c r="P142" s="6"/>
      <c r="Q142" s="6"/>
      <c r="R142" s="6"/>
      <c r="S142" s="6"/>
      <c r="T142" s="6"/>
      <c r="U142" s="6"/>
      <c r="V142" s="6"/>
      <c r="W142" s="6"/>
    </row>
    <row r="143" spans="1:23" ht="16" x14ac:dyDescent="0.2">
      <c r="A143" s="6"/>
      <c r="B143" s="7"/>
      <c r="C143" s="7"/>
      <c r="D143" s="7"/>
      <c r="E143" s="7"/>
      <c r="F143" s="6"/>
      <c r="G143" s="6"/>
      <c r="H143" s="6"/>
      <c r="I143" s="6"/>
      <c r="J143" s="6"/>
      <c r="K143" s="6"/>
      <c r="L143" s="6"/>
      <c r="M143" s="6"/>
      <c r="N143" s="6"/>
      <c r="O143" s="6"/>
      <c r="P143" s="6"/>
      <c r="Q143" s="6"/>
      <c r="R143" s="6"/>
      <c r="S143" s="6"/>
      <c r="T143" s="6"/>
      <c r="U143" s="6"/>
      <c r="V143" s="6"/>
      <c r="W143" s="6"/>
    </row>
    <row r="144" spans="1:23" ht="16" x14ac:dyDescent="0.2">
      <c r="A144" s="6"/>
      <c r="B144" s="7"/>
      <c r="C144" s="7"/>
      <c r="D144" s="7"/>
      <c r="E144" s="7"/>
      <c r="F144" s="6"/>
      <c r="G144" s="6"/>
      <c r="H144" s="6"/>
      <c r="I144" s="6"/>
      <c r="J144" s="6"/>
      <c r="K144" s="6"/>
      <c r="L144" s="6"/>
      <c r="M144" s="6"/>
      <c r="N144" s="6"/>
      <c r="O144" s="6"/>
      <c r="P144" s="6"/>
      <c r="Q144" s="6"/>
      <c r="R144" s="6"/>
      <c r="S144" s="6"/>
      <c r="T144" s="6"/>
      <c r="U144" s="6"/>
      <c r="V144" s="6"/>
      <c r="W144" s="6"/>
    </row>
    <row r="145" spans="1:23" ht="16" x14ac:dyDescent="0.2">
      <c r="A145" s="6"/>
      <c r="B145" s="7"/>
      <c r="C145" s="7"/>
      <c r="D145" s="7"/>
      <c r="E145" s="7"/>
      <c r="F145" s="6"/>
      <c r="G145" s="6"/>
      <c r="H145" s="6"/>
      <c r="I145" s="6"/>
      <c r="J145" s="6"/>
      <c r="K145" s="6"/>
      <c r="L145" s="6"/>
      <c r="M145" s="6"/>
      <c r="N145" s="6"/>
      <c r="O145" s="6"/>
      <c r="P145" s="6"/>
      <c r="Q145" s="6"/>
      <c r="R145" s="6"/>
      <c r="S145" s="6"/>
      <c r="T145" s="6"/>
      <c r="U145" s="6"/>
      <c r="V145" s="6"/>
      <c r="W145" s="6"/>
    </row>
    <row r="146" spans="1:23" ht="16" x14ac:dyDescent="0.2">
      <c r="A146" s="6"/>
      <c r="B146" s="7"/>
      <c r="C146" s="7"/>
      <c r="D146" s="7"/>
      <c r="E146" s="7"/>
      <c r="F146" s="6"/>
      <c r="G146" s="6"/>
      <c r="H146" s="6"/>
      <c r="I146" s="6"/>
      <c r="J146" s="6"/>
      <c r="K146" s="6"/>
      <c r="L146" s="6"/>
      <c r="M146" s="6"/>
      <c r="N146" s="6"/>
      <c r="O146" s="6"/>
      <c r="P146" s="6"/>
      <c r="Q146" s="6"/>
      <c r="R146" s="6"/>
      <c r="S146" s="6"/>
      <c r="T146" s="6"/>
      <c r="U146" s="6"/>
      <c r="V146" s="6"/>
      <c r="W146" s="6"/>
    </row>
    <row r="147" spans="1:23" ht="16" x14ac:dyDescent="0.2">
      <c r="A147" s="6"/>
      <c r="B147" s="7"/>
      <c r="C147" s="7"/>
      <c r="D147" s="7"/>
      <c r="E147" s="7"/>
      <c r="F147" s="6"/>
      <c r="G147" s="6"/>
      <c r="H147" s="6"/>
      <c r="I147" s="6"/>
      <c r="J147" s="6"/>
      <c r="K147" s="6"/>
      <c r="L147" s="6"/>
      <c r="M147" s="6"/>
      <c r="N147" s="6"/>
      <c r="O147" s="6"/>
      <c r="P147" s="6"/>
      <c r="Q147" s="6"/>
      <c r="R147" s="6"/>
      <c r="S147" s="6"/>
      <c r="T147" s="6"/>
      <c r="U147" s="6"/>
      <c r="V147" s="6"/>
      <c r="W147" s="6"/>
    </row>
    <row r="148" spans="1:23" ht="16" x14ac:dyDescent="0.2">
      <c r="A148" s="6"/>
      <c r="B148" s="7"/>
      <c r="C148" s="7"/>
      <c r="D148" s="7"/>
      <c r="E148" s="7"/>
      <c r="F148" s="6"/>
      <c r="G148" s="6"/>
      <c r="H148" s="6"/>
      <c r="I148" s="6"/>
      <c r="J148" s="6"/>
      <c r="K148" s="6"/>
      <c r="L148" s="6"/>
      <c r="M148" s="6"/>
      <c r="N148" s="6"/>
      <c r="O148" s="6"/>
      <c r="P148" s="6"/>
      <c r="Q148" s="6"/>
      <c r="R148" s="6"/>
      <c r="S148" s="6"/>
      <c r="T148" s="6"/>
      <c r="U148" s="6"/>
      <c r="V148" s="6"/>
      <c r="W148" s="6"/>
    </row>
    <row r="149" spans="1:23" ht="16" x14ac:dyDescent="0.2">
      <c r="A149" s="6"/>
      <c r="B149" s="7"/>
      <c r="C149" s="7"/>
      <c r="D149" s="7"/>
      <c r="E149" s="7"/>
      <c r="F149" s="6"/>
      <c r="G149" s="6"/>
      <c r="H149" s="6"/>
      <c r="I149" s="6"/>
      <c r="J149" s="6"/>
      <c r="K149" s="6"/>
      <c r="L149" s="6"/>
      <c r="M149" s="6"/>
      <c r="N149" s="6"/>
      <c r="O149" s="6"/>
      <c r="P149" s="6"/>
      <c r="Q149" s="6"/>
      <c r="R149" s="6"/>
      <c r="S149" s="6"/>
      <c r="T149" s="6"/>
      <c r="U149" s="6"/>
      <c r="V149" s="6"/>
      <c r="W149" s="6"/>
    </row>
    <row r="150" spans="1:23" ht="16" x14ac:dyDescent="0.2">
      <c r="A150" s="6"/>
      <c r="B150" s="7"/>
      <c r="C150" s="7"/>
      <c r="D150" s="7"/>
      <c r="E150" s="7"/>
      <c r="F150" s="6"/>
      <c r="G150" s="6"/>
      <c r="H150" s="6"/>
      <c r="I150" s="6"/>
      <c r="J150" s="6"/>
      <c r="K150" s="6"/>
      <c r="L150" s="6"/>
      <c r="M150" s="6"/>
      <c r="N150" s="6"/>
      <c r="O150" s="6"/>
      <c r="P150" s="6"/>
      <c r="Q150" s="6"/>
      <c r="R150" s="6"/>
      <c r="S150" s="6"/>
      <c r="T150" s="6"/>
      <c r="U150" s="6"/>
      <c r="V150" s="6"/>
      <c r="W150" s="6"/>
    </row>
    <row r="151" spans="1:23" ht="16" x14ac:dyDescent="0.2">
      <c r="A151" s="6"/>
      <c r="B151" s="7"/>
      <c r="C151" s="7"/>
      <c r="D151" s="7"/>
      <c r="E151" s="7"/>
      <c r="F151" s="6"/>
      <c r="G151" s="6"/>
      <c r="H151" s="6"/>
      <c r="I151" s="6"/>
      <c r="J151" s="6"/>
      <c r="K151" s="6"/>
      <c r="L151" s="6"/>
      <c r="M151" s="6"/>
      <c r="N151" s="6"/>
      <c r="O151" s="6"/>
      <c r="P151" s="6"/>
      <c r="Q151" s="6"/>
      <c r="R151" s="6"/>
      <c r="S151" s="6"/>
      <c r="T151" s="6"/>
      <c r="U151" s="6"/>
      <c r="V151" s="6"/>
      <c r="W151" s="6"/>
    </row>
    <row r="152" spans="1:23" ht="16" x14ac:dyDescent="0.2">
      <c r="A152" s="6"/>
      <c r="B152" s="7"/>
      <c r="C152" s="7"/>
      <c r="D152" s="7"/>
      <c r="E152" s="7"/>
      <c r="F152" s="6"/>
      <c r="G152" s="6"/>
      <c r="H152" s="6"/>
      <c r="I152" s="6"/>
      <c r="J152" s="6"/>
      <c r="K152" s="6"/>
      <c r="L152" s="6"/>
      <c r="M152" s="6"/>
      <c r="N152" s="6"/>
      <c r="O152" s="6"/>
      <c r="P152" s="6"/>
      <c r="Q152" s="6"/>
      <c r="R152" s="6"/>
      <c r="S152" s="6"/>
      <c r="T152" s="6"/>
      <c r="U152" s="6"/>
      <c r="V152" s="6"/>
      <c r="W152" s="6"/>
    </row>
    <row r="153" spans="1:23" ht="16" x14ac:dyDescent="0.2">
      <c r="A153" s="6"/>
      <c r="B153" s="7"/>
      <c r="C153" s="7"/>
      <c r="D153" s="7"/>
      <c r="E153" s="7"/>
      <c r="F153" s="6"/>
      <c r="G153" s="6"/>
      <c r="H153" s="6"/>
      <c r="I153" s="6"/>
      <c r="J153" s="6"/>
      <c r="K153" s="6"/>
      <c r="L153" s="6"/>
      <c r="M153" s="6"/>
      <c r="N153" s="6"/>
      <c r="O153" s="6"/>
      <c r="P153" s="6"/>
      <c r="Q153" s="6"/>
      <c r="R153" s="6"/>
      <c r="S153" s="6"/>
      <c r="T153" s="6"/>
      <c r="U153" s="6"/>
      <c r="V153" s="6"/>
      <c r="W153" s="6"/>
    </row>
    <row r="154" spans="1:23" ht="16" x14ac:dyDescent="0.2">
      <c r="A154" s="6"/>
      <c r="B154" s="7"/>
      <c r="C154" s="7"/>
      <c r="D154" s="7"/>
      <c r="E154" s="7"/>
      <c r="F154" s="6"/>
      <c r="G154" s="6"/>
      <c r="H154" s="6"/>
      <c r="I154" s="6"/>
      <c r="J154" s="6"/>
      <c r="K154" s="6"/>
      <c r="L154" s="6"/>
      <c r="M154" s="6"/>
      <c r="N154" s="6"/>
      <c r="O154" s="6"/>
      <c r="P154" s="6"/>
      <c r="Q154" s="6"/>
      <c r="R154" s="6"/>
      <c r="S154" s="6"/>
      <c r="T154" s="6"/>
      <c r="U154" s="6"/>
      <c r="V154" s="6"/>
      <c r="W154" s="6"/>
    </row>
    <row r="155" spans="1:23" ht="16" x14ac:dyDescent="0.2">
      <c r="A155" s="6"/>
      <c r="B155" s="7"/>
      <c r="C155" s="7"/>
      <c r="D155" s="7"/>
      <c r="E155" s="7"/>
      <c r="F155" s="6"/>
      <c r="G155" s="6"/>
      <c r="H155" s="6"/>
      <c r="I155" s="6"/>
      <c r="J155" s="6"/>
      <c r="K155" s="6"/>
      <c r="L155" s="6"/>
      <c r="M155" s="6"/>
      <c r="N155" s="6"/>
      <c r="O155" s="6"/>
      <c r="P155" s="6"/>
      <c r="Q155" s="6"/>
      <c r="R155" s="6"/>
      <c r="S155" s="6"/>
      <c r="T155" s="6"/>
      <c r="U155" s="6"/>
      <c r="V155" s="6"/>
      <c r="W155" s="6"/>
    </row>
    <row r="156" spans="1:23" ht="16" x14ac:dyDescent="0.2">
      <c r="A156" s="6"/>
      <c r="B156" s="7"/>
      <c r="C156" s="7"/>
      <c r="D156" s="7"/>
      <c r="E156" s="7"/>
      <c r="F156" s="6"/>
      <c r="G156" s="6"/>
      <c r="H156" s="6"/>
      <c r="I156" s="6"/>
      <c r="J156" s="6"/>
      <c r="K156" s="6"/>
      <c r="L156" s="6"/>
      <c r="M156" s="6"/>
      <c r="N156" s="6"/>
      <c r="O156" s="6"/>
      <c r="P156" s="6"/>
      <c r="Q156" s="6"/>
      <c r="R156" s="6"/>
      <c r="S156" s="6"/>
      <c r="T156" s="6"/>
      <c r="U156" s="6"/>
      <c r="V156" s="6"/>
      <c r="W156" s="6"/>
    </row>
    <row r="157" spans="1:23" ht="16" x14ac:dyDescent="0.2">
      <c r="A157" s="6"/>
      <c r="B157" s="7"/>
      <c r="C157" s="7"/>
      <c r="D157" s="7"/>
      <c r="E157" s="7"/>
      <c r="F157" s="6"/>
      <c r="G157" s="6"/>
      <c r="H157" s="6"/>
      <c r="I157" s="6"/>
      <c r="J157" s="6"/>
      <c r="K157" s="6"/>
      <c r="L157" s="6"/>
      <c r="M157" s="6"/>
      <c r="N157" s="6"/>
      <c r="O157" s="6"/>
      <c r="P157" s="6"/>
      <c r="Q157" s="6"/>
      <c r="R157" s="6"/>
      <c r="S157" s="6"/>
      <c r="T157" s="6"/>
      <c r="U157" s="6"/>
      <c r="V157" s="6"/>
      <c r="W157" s="6"/>
    </row>
    <row r="158" spans="1:23" ht="16" x14ac:dyDescent="0.2">
      <c r="A158" s="6"/>
      <c r="B158" s="7"/>
      <c r="C158" s="7"/>
      <c r="D158" s="7"/>
      <c r="E158" s="7"/>
      <c r="F158" s="6"/>
      <c r="G158" s="6"/>
      <c r="H158" s="6"/>
      <c r="I158" s="6"/>
      <c r="J158" s="6"/>
      <c r="K158" s="6"/>
      <c r="L158" s="6"/>
      <c r="M158" s="6"/>
      <c r="N158" s="6"/>
      <c r="O158" s="6"/>
      <c r="P158" s="6"/>
      <c r="Q158" s="6"/>
      <c r="R158" s="6"/>
      <c r="S158" s="6"/>
      <c r="T158" s="6"/>
      <c r="U158" s="6"/>
      <c r="V158" s="6"/>
      <c r="W158" s="6"/>
    </row>
    <row r="159" spans="1:23" ht="16" x14ac:dyDescent="0.2">
      <c r="A159" s="6"/>
      <c r="B159" s="7"/>
      <c r="C159" s="7"/>
      <c r="D159" s="7"/>
      <c r="E159" s="7"/>
      <c r="F159" s="6"/>
      <c r="G159" s="6"/>
      <c r="H159" s="6"/>
      <c r="I159" s="6"/>
      <c r="J159" s="6"/>
      <c r="K159" s="6"/>
      <c r="L159" s="6"/>
      <c r="M159" s="6"/>
      <c r="N159" s="6"/>
      <c r="O159" s="6"/>
      <c r="P159" s="6"/>
      <c r="Q159" s="6"/>
      <c r="R159" s="6"/>
      <c r="S159" s="6"/>
      <c r="T159" s="6"/>
      <c r="U159" s="6"/>
      <c r="V159" s="6"/>
      <c r="W159" s="6"/>
    </row>
    <row r="160" spans="1:23" ht="16" x14ac:dyDescent="0.2">
      <c r="A160" s="6"/>
      <c r="B160" s="7"/>
      <c r="C160" s="7"/>
      <c r="D160" s="7"/>
      <c r="E160" s="7"/>
      <c r="F160" s="6"/>
      <c r="G160" s="6"/>
      <c r="H160" s="6"/>
      <c r="I160" s="6"/>
      <c r="J160" s="6"/>
      <c r="K160" s="6"/>
      <c r="L160" s="6"/>
      <c r="M160" s="6"/>
      <c r="N160" s="6"/>
      <c r="O160" s="6"/>
      <c r="P160" s="6"/>
      <c r="Q160" s="6"/>
      <c r="R160" s="6"/>
      <c r="S160" s="6"/>
      <c r="T160" s="6"/>
      <c r="U160" s="6"/>
      <c r="V160" s="6"/>
      <c r="W160" s="6"/>
    </row>
    <row r="161" spans="1:23" ht="16" x14ac:dyDescent="0.2">
      <c r="A161" s="6"/>
      <c r="B161" s="7"/>
      <c r="C161" s="7"/>
      <c r="D161" s="7"/>
      <c r="E161" s="7"/>
      <c r="F161" s="6"/>
      <c r="G161" s="6"/>
      <c r="H161" s="6"/>
      <c r="I161" s="6"/>
      <c r="J161" s="6"/>
      <c r="K161" s="6"/>
      <c r="L161" s="6"/>
      <c r="M161" s="6"/>
      <c r="N161" s="6"/>
      <c r="O161" s="6"/>
      <c r="P161" s="6"/>
      <c r="Q161" s="6"/>
      <c r="R161" s="6"/>
      <c r="S161" s="6"/>
      <c r="T161" s="6"/>
      <c r="U161" s="6"/>
      <c r="V161" s="6"/>
      <c r="W161" s="6"/>
    </row>
    <row r="162" spans="1:23" ht="16" x14ac:dyDescent="0.2">
      <c r="A162" s="6"/>
      <c r="B162" s="7"/>
      <c r="C162" s="7"/>
      <c r="D162" s="7"/>
      <c r="E162" s="7"/>
      <c r="F162" s="6"/>
      <c r="G162" s="6"/>
      <c r="H162" s="6"/>
      <c r="I162" s="6"/>
      <c r="J162" s="6"/>
      <c r="K162" s="6"/>
      <c r="L162" s="6"/>
      <c r="M162" s="6"/>
      <c r="N162" s="6"/>
      <c r="O162" s="6"/>
      <c r="P162" s="6"/>
      <c r="Q162" s="6"/>
      <c r="R162" s="6"/>
      <c r="S162" s="6"/>
      <c r="T162" s="6"/>
      <c r="U162" s="6"/>
      <c r="V162" s="6"/>
      <c r="W162" s="6"/>
    </row>
    <row r="163" spans="1:23" ht="16" x14ac:dyDescent="0.2">
      <c r="A163" s="6"/>
      <c r="B163" s="7"/>
      <c r="C163" s="7"/>
      <c r="D163" s="7"/>
      <c r="E163" s="7"/>
      <c r="F163" s="6"/>
      <c r="G163" s="6"/>
      <c r="H163" s="6"/>
      <c r="I163" s="6"/>
      <c r="J163" s="6"/>
      <c r="K163" s="6"/>
      <c r="L163" s="6"/>
      <c r="M163" s="6"/>
      <c r="N163" s="6"/>
      <c r="O163" s="6"/>
      <c r="P163" s="6"/>
      <c r="Q163" s="6"/>
      <c r="R163" s="6"/>
      <c r="S163" s="6"/>
      <c r="T163" s="6"/>
      <c r="U163" s="6"/>
      <c r="V163" s="6"/>
      <c r="W163" s="6"/>
    </row>
    <row r="164" spans="1:23" ht="16" x14ac:dyDescent="0.2">
      <c r="A164" s="6"/>
      <c r="B164" s="7"/>
      <c r="C164" s="7"/>
      <c r="D164" s="7"/>
      <c r="E164" s="7"/>
      <c r="F164" s="6"/>
      <c r="G164" s="6"/>
      <c r="H164" s="6"/>
      <c r="I164" s="6"/>
      <c r="J164" s="6"/>
      <c r="K164" s="6"/>
      <c r="L164" s="6"/>
      <c r="M164" s="6"/>
      <c r="N164" s="6"/>
      <c r="O164" s="6"/>
      <c r="P164" s="6"/>
      <c r="Q164" s="6"/>
      <c r="R164" s="6"/>
      <c r="S164" s="6"/>
      <c r="T164" s="6"/>
      <c r="U164" s="6"/>
      <c r="V164" s="6"/>
      <c r="W164" s="6"/>
    </row>
    <row r="165" spans="1:23" ht="16" x14ac:dyDescent="0.2">
      <c r="A165" s="6"/>
      <c r="B165" s="7"/>
      <c r="C165" s="7"/>
      <c r="D165" s="7"/>
      <c r="E165" s="7"/>
      <c r="F165" s="6"/>
      <c r="G165" s="6"/>
      <c r="H165" s="6"/>
      <c r="I165" s="6"/>
      <c r="J165" s="6"/>
      <c r="K165" s="6"/>
      <c r="L165" s="6"/>
      <c r="M165" s="6"/>
      <c r="N165" s="6"/>
      <c r="O165" s="6"/>
      <c r="P165" s="6"/>
      <c r="Q165" s="6"/>
      <c r="R165" s="6"/>
      <c r="S165" s="6"/>
      <c r="T165" s="6"/>
      <c r="U165" s="6"/>
      <c r="V165" s="6"/>
      <c r="W165" s="6"/>
    </row>
    <row r="166" spans="1:23" ht="16" x14ac:dyDescent="0.2">
      <c r="A166" s="6"/>
      <c r="B166" s="7"/>
      <c r="C166" s="7"/>
      <c r="D166" s="7"/>
      <c r="E166" s="7"/>
      <c r="F166" s="6"/>
      <c r="G166" s="6"/>
      <c r="H166" s="6"/>
      <c r="I166" s="6"/>
      <c r="J166" s="6"/>
      <c r="K166" s="6"/>
      <c r="L166" s="6"/>
      <c r="M166" s="6"/>
      <c r="N166" s="6"/>
      <c r="O166" s="6"/>
      <c r="P166" s="6"/>
      <c r="Q166" s="6"/>
      <c r="R166" s="6"/>
      <c r="S166" s="6"/>
      <c r="T166" s="6"/>
      <c r="U166" s="6"/>
      <c r="V166" s="6"/>
      <c r="W166" s="6"/>
    </row>
    <row r="167" spans="1:23" ht="16" x14ac:dyDescent="0.2">
      <c r="A167" s="6"/>
      <c r="B167" s="7"/>
      <c r="C167" s="7"/>
      <c r="D167" s="7"/>
      <c r="E167" s="7"/>
      <c r="F167" s="6"/>
      <c r="G167" s="6"/>
      <c r="H167" s="6"/>
      <c r="I167" s="6"/>
      <c r="J167" s="6"/>
      <c r="K167" s="6"/>
      <c r="L167" s="6"/>
      <c r="M167" s="6"/>
      <c r="N167" s="6"/>
      <c r="O167" s="6"/>
      <c r="P167" s="6"/>
      <c r="Q167" s="6"/>
      <c r="R167" s="6"/>
      <c r="S167" s="6"/>
      <c r="T167" s="6"/>
      <c r="U167" s="6"/>
      <c r="V167" s="6"/>
      <c r="W167" s="6"/>
    </row>
    <row r="168" spans="1:23" ht="16" x14ac:dyDescent="0.2">
      <c r="A168" s="6"/>
      <c r="B168" s="7"/>
      <c r="C168" s="7"/>
      <c r="D168" s="7"/>
      <c r="E168" s="7"/>
      <c r="F168" s="6"/>
      <c r="G168" s="6"/>
      <c r="H168" s="6"/>
      <c r="I168" s="6"/>
      <c r="J168" s="6"/>
      <c r="K168" s="6"/>
      <c r="L168" s="6"/>
      <c r="M168" s="6"/>
      <c r="N168" s="6"/>
      <c r="O168" s="6"/>
      <c r="P168" s="6"/>
      <c r="Q168" s="6"/>
      <c r="R168" s="6"/>
      <c r="S168" s="6"/>
      <c r="T168" s="6"/>
      <c r="U168" s="6"/>
      <c r="V168" s="6"/>
      <c r="W168" s="6"/>
    </row>
    <row r="169" spans="1:23" ht="16" x14ac:dyDescent="0.2">
      <c r="A169" s="6"/>
      <c r="B169" s="7"/>
      <c r="C169" s="7"/>
      <c r="D169" s="7"/>
      <c r="E169" s="7"/>
      <c r="F169" s="6"/>
      <c r="G169" s="6"/>
      <c r="H169" s="6"/>
      <c r="I169" s="6"/>
      <c r="J169" s="6"/>
      <c r="K169" s="6"/>
      <c r="L169" s="6"/>
      <c r="M169" s="6"/>
      <c r="N169" s="6"/>
      <c r="O169" s="6"/>
      <c r="P169" s="6"/>
      <c r="Q169" s="6"/>
      <c r="R169" s="6"/>
      <c r="S169" s="6"/>
      <c r="T169" s="6"/>
      <c r="U169" s="6"/>
      <c r="V169" s="6"/>
      <c r="W169" s="6"/>
    </row>
    <row r="170" spans="1:23" ht="16" x14ac:dyDescent="0.2">
      <c r="A170" s="6"/>
      <c r="B170" s="7"/>
      <c r="C170" s="7"/>
      <c r="D170" s="7"/>
      <c r="E170" s="7"/>
      <c r="F170" s="6"/>
      <c r="G170" s="6"/>
      <c r="H170" s="6"/>
      <c r="I170" s="6"/>
      <c r="J170" s="6"/>
      <c r="K170" s="6"/>
      <c r="L170" s="6"/>
      <c r="M170" s="6"/>
      <c r="N170" s="6"/>
      <c r="O170" s="6"/>
      <c r="P170" s="6"/>
      <c r="Q170" s="6"/>
      <c r="R170" s="6"/>
      <c r="S170" s="6"/>
      <c r="T170" s="6"/>
      <c r="U170" s="6"/>
      <c r="V170" s="6"/>
      <c r="W170" s="6"/>
    </row>
    <row r="171" spans="1:23" ht="16" x14ac:dyDescent="0.2">
      <c r="A171" s="6"/>
      <c r="B171" s="7"/>
      <c r="C171" s="7"/>
      <c r="D171" s="7"/>
      <c r="E171" s="7"/>
      <c r="F171" s="6"/>
      <c r="G171" s="6"/>
      <c r="H171" s="6"/>
      <c r="I171" s="6"/>
      <c r="J171" s="6"/>
      <c r="K171" s="6"/>
      <c r="L171" s="6"/>
      <c r="M171" s="6"/>
      <c r="N171" s="6"/>
      <c r="O171" s="6"/>
      <c r="P171" s="6"/>
      <c r="Q171" s="6"/>
      <c r="R171" s="6"/>
      <c r="S171" s="6"/>
      <c r="T171" s="6"/>
      <c r="U171" s="6"/>
      <c r="V171" s="6"/>
      <c r="W171" s="6"/>
    </row>
    <row r="172" spans="1:23" ht="16" x14ac:dyDescent="0.2">
      <c r="A172" s="6"/>
      <c r="B172" s="7"/>
      <c r="C172" s="7"/>
      <c r="D172" s="7"/>
      <c r="E172" s="7"/>
      <c r="F172" s="6"/>
      <c r="G172" s="6"/>
      <c r="H172" s="6"/>
      <c r="I172" s="6"/>
      <c r="J172" s="6"/>
      <c r="K172" s="6"/>
      <c r="L172" s="6"/>
      <c r="M172" s="6"/>
      <c r="N172" s="6"/>
      <c r="O172" s="6"/>
      <c r="P172" s="6"/>
      <c r="Q172" s="6"/>
      <c r="R172" s="6"/>
      <c r="S172" s="6"/>
      <c r="T172" s="6"/>
      <c r="U172" s="6"/>
      <c r="V172" s="6"/>
      <c r="W172" s="6"/>
    </row>
    <row r="173" spans="1:23" ht="16" x14ac:dyDescent="0.2">
      <c r="A173" s="6"/>
      <c r="B173" s="7"/>
      <c r="C173" s="7"/>
      <c r="D173" s="7"/>
      <c r="E173" s="7"/>
      <c r="F173" s="6"/>
      <c r="G173" s="6"/>
      <c r="H173" s="6"/>
      <c r="I173" s="6"/>
      <c r="J173" s="6"/>
      <c r="K173" s="6"/>
      <c r="L173" s="6"/>
      <c r="M173" s="6"/>
      <c r="N173" s="6"/>
      <c r="O173" s="6"/>
      <c r="P173" s="6"/>
      <c r="Q173" s="6"/>
      <c r="R173" s="6"/>
      <c r="S173" s="6"/>
      <c r="T173" s="6"/>
      <c r="U173" s="6"/>
      <c r="V173" s="6"/>
      <c r="W173" s="6"/>
    </row>
    <row r="174" spans="1:23" ht="16" x14ac:dyDescent="0.2">
      <c r="A174" s="6"/>
      <c r="B174" s="7"/>
      <c r="C174" s="7"/>
      <c r="D174" s="7"/>
      <c r="E174" s="7"/>
      <c r="F174" s="6"/>
      <c r="G174" s="6"/>
      <c r="H174" s="6"/>
      <c r="I174" s="6"/>
      <c r="J174" s="6"/>
      <c r="K174" s="6"/>
      <c r="L174" s="6"/>
      <c r="M174" s="6"/>
      <c r="N174" s="6"/>
      <c r="O174" s="6"/>
      <c r="P174" s="6"/>
      <c r="Q174" s="6"/>
      <c r="R174" s="6"/>
      <c r="S174" s="6"/>
      <c r="T174" s="6"/>
      <c r="U174" s="6"/>
      <c r="V174" s="6"/>
      <c r="W174" s="6"/>
    </row>
    <row r="175" spans="1:23" ht="16" x14ac:dyDescent="0.2">
      <c r="A175" s="6"/>
      <c r="B175" s="7"/>
      <c r="C175" s="7"/>
      <c r="D175" s="7"/>
      <c r="E175" s="7"/>
      <c r="F175" s="6"/>
      <c r="G175" s="6"/>
      <c r="H175" s="6"/>
      <c r="I175" s="6"/>
      <c r="J175" s="6"/>
      <c r="K175" s="6"/>
      <c r="L175" s="6"/>
      <c r="M175" s="6"/>
      <c r="N175" s="6"/>
      <c r="O175" s="6"/>
      <c r="P175" s="6"/>
      <c r="Q175" s="6"/>
      <c r="R175" s="6"/>
      <c r="S175" s="6"/>
      <c r="T175" s="6"/>
      <c r="U175" s="6"/>
      <c r="V175" s="6"/>
      <c r="W175" s="6"/>
    </row>
    <row r="176" spans="1:23" ht="16" x14ac:dyDescent="0.2">
      <c r="A176" s="6"/>
      <c r="B176" s="7"/>
      <c r="C176" s="7"/>
      <c r="D176" s="7"/>
      <c r="E176" s="7"/>
      <c r="F176" s="6"/>
      <c r="G176" s="6"/>
      <c r="H176" s="6"/>
      <c r="I176" s="6"/>
      <c r="J176" s="6"/>
      <c r="K176" s="6"/>
      <c r="L176" s="6"/>
      <c r="M176" s="6"/>
      <c r="N176" s="6"/>
      <c r="O176" s="6"/>
      <c r="P176" s="6"/>
      <c r="Q176" s="6"/>
      <c r="R176" s="6"/>
      <c r="S176" s="6"/>
      <c r="T176" s="6"/>
      <c r="U176" s="6"/>
      <c r="V176" s="6"/>
      <c r="W176" s="6"/>
    </row>
    <row r="177" spans="1:23" ht="16" x14ac:dyDescent="0.2">
      <c r="A177" s="6"/>
      <c r="B177" s="7"/>
      <c r="C177" s="7"/>
      <c r="D177" s="7"/>
      <c r="E177" s="7"/>
      <c r="F177" s="6"/>
      <c r="G177" s="6"/>
      <c r="H177" s="6"/>
      <c r="I177" s="6"/>
      <c r="J177" s="6"/>
      <c r="K177" s="6"/>
      <c r="L177" s="6"/>
      <c r="M177" s="6"/>
      <c r="N177" s="6"/>
      <c r="O177" s="6"/>
      <c r="P177" s="6"/>
      <c r="Q177" s="6"/>
      <c r="R177" s="6"/>
      <c r="S177" s="6"/>
      <c r="T177" s="6"/>
      <c r="U177" s="6"/>
      <c r="V177" s="6"/>
      <c r="W177" s="6"/>
    </row>
    <row r="178" spans="1:23" ht="16" x14ac:dyDescent="0.2">
      <c r="A178" s="6"/>
      <c r="B178" s="7"/>
      <c r="C178" s="7"/>
      <c r="D178" s="7"/>
      <c r="E178" s="7"/>
      <c r="F178" s="6"/>
      <c r="G178" s="6"/>
      <c r="H178" s="6"/>
      <c r="I178" s="6"/>
      <c r="J178" s="6"/>
      <c r="K178" s="6"/>
      <c r="L178" s="6"/>
      <c r="M178" s="6"/>
      <c r="N178" s="6"/>
      <c r="O178" s="6"/>
      <c r="P178" s="6"/>
      <c r="Q178" s="6"/>
      <c r="R178" s="6"/>
      <c r="S178" s="6"/>
      <c r="T178" s="6"/>
      <c r="U178" s="6"/>
      <c r="V178" s="6"/>
      <c r="W178" s="6"/>
    </row>
    <row r="179" spans="1:23" ht="16" x14ac:dyDescent="0.2">
      <c r="A179" s="6"/>
      <c r="B179" s="7"/>
      <c r="C179" s="7"/>
      <c r="D179" s="7"/>
      <c r="E179" s="7"/>
      <c r="F179" s="6"/>
      <c r="G179" s="6"/>
      <c r="H179" s="6"/>
      <c r="I179" s="6"/>
      <c r="J179" s="6"/>
      <c r="K179" s="6"/>
      <c r="L179" s="6"/>
      <c r="M179" s="6"/>
      <c r="N179" s="6"/>
      <c r="O179" s="6"/>
      <c r="P179" s="6"/>
      <c r="Q179" s="6"/>
      <c r="R179" s="6"/>
      <c r="S179" s="6"/>
      <c r="T179" s="6"/>
      <c r="U179" s="6"/>
      <c r="V179" s="6"/>
      <c r="W179" s="6"/>
    </row>
    <row r="180" spans="1:23" ht="16" x14ac:dyDescent="0.2">
      <c r="A180" s="6"/>
      <c r="B180" s="7"/>
      <c r="C180" s="7"/>
      <c r="D180" s="7"/>
      <c r="E180" s="7"/>
      <c r="F180" s="6"/>
      <c r="G180" s="6"/>
      <c r="H180" s="6"/>
      <c r="I180" s="6"/>
      <c r="J180" s="6"/>
      <c r="K180" s="6"/>
      <c r="L180" s="6"/>
      <c r="M180" s="6"/>
      <c r="N180" s="6"/>
      <c r="O180" s="6"/>
      <c r="P180" s="6"/>
      <c r="Q180" s="6"/>
      <c r="R180" s="6"/>
      <c r="S180" s="6"/>
      <c r="T180" s="6"/>
      <c r="U180" s="6"/>
      <c r="V180" s="6"/>
      <c r="W180" s="6"/>
    </row>
    <row r="181" spans="1:23" ht="16" x14ac:dyDescent="0.2">
      <c r="A181" s="6"/>
      <c r="B181" s="7"/>
      <c r="C181" s="7"/>
      <c r="D181" s="7"/>
      <c r="E181" s="7"/>
      <c r="F181" s="6"/>
      <c r="G181" s="6"/>
      <c r="H181" s="6"/>
      <c r="I181" s="6"/>
      <c r="J181" s="6"/>
      <c r="K181" s="6"/>
      <c r="L181" s="6"/>
      <c r="M181" s="6"/>
      <c r="N181" s="6"/>
      <c r="O181" s="6"/>
      <c r="P181" s="6"/>
      <c r="Q181" s="6"/>
      <c r="R181" s="6"/>
      <c r="S181" s="6"/>
      <c r="T181" s="6"/>
      <c r="U181" s="6"/>
      <c r="V181" s="6"/>
      <c r="W181" s="6"/>
    </row>
    <row r="182" spans="1:23" ht="16" x14ac:dyDescent="0.2">
      <c r="A182" s="6"/>
      <c r="B182" s="7"/>
      <c r="C182" s="7"/>
      <c r="D182" s="7"/>
      <c r="E182" s="7"/>
      <c r="F182" s="6"/>
      <c r="G182" s="6"/>
      <c r="H182" s="6"/>
      <c r="I182" s="6"/>
      <c r="J182" s="6"/>
      <c r="K182" s="6"/>
      <c r="L182" s="6"/>
      <c r="M182" s="6"/>
      <c r="N182" s="6"/>
      <c r="O182" s="6"/>
      <c r="P182" s="6"/>
      <c r="Q182" s="6"/>
      <c r="R182" s="6"/>
      <c r="S182" s="6"/>
      <c r="T182" s="6"/>
      <c r="U182" s="6"/>
      <c r="V182" s="6"/>
      <c r="W182" s="6"/>
    </row>
    <row r="183" spans="1:23" ht="16" x14ac:dyDescent="0.2">
      <c r="A183" s="6"/>
      <c r="B183" s="7"/>
      <c r="C183" s="7"/>
      <c r="D183" s="7"/>
      <c r="E183" s="7"/>
      <c r="F183" s="6"/>
      <c r="G183" s="6"/>
      <c r="H183" s="6"/>
      <c r="I183" s="6"/>
      <c r="J183" s="6"/>
      <c r="K183" s="6"/>
      <c r="L183" s="6"/>
      <c r="M183" s="6"/>
      <c r="N183" s="6"/>
      <c r="O183" s="6"/>
      <c r="P183" s="6"/>
      <c r="Q183" s="6"/>
      <c r="R183" s="6"/>
      <c r="S183" s="6"/>
      <c r="T183" s="6"/>
      <c r="U183" s="6"/>
      <c r="V183" s="6"/>
      <c r="W183" s="6"/>
    </row>
    <row r="184" spans="1:23" ht="16" x14ac:dyDescent="0.2">
      <c r="A184" s="6"/>
      <c r="B184" s="7"/>
      <c r="C184" s="7"/>
      <c r="D184" s="7"/>
      <c r="E184" s="7"/>
      <c r="F184" s="6"/>
      <c r="G184" s="6"/>
      <c r="H184" s="6"/>
      <c r="I184" s="6"/>
      <c r="J184" s="6"/>
      <c r="K184" s="6"/>
      <c r="L184" s="6"/>
      <c r="M184" s="6"/>
      <c r="N184" s="6"/>
      <c r="O184" s="6"/>
      <c r="P184" s="6"/>
      <c r="Q184" s="6"/>
      <c r="R184" s="6"/>
      <c r="S184" s="6"/>
      <c r="T184" s="6"/>
      <c r="U184" s="6"/>
      <c r="V184" s="6"/>
      <c r="W184" s="6"/>
    </row>
    <row r="185" spans="1:23" ht="16" x14ac:dyDescent="0.2">
      <c r="A185" s="6"/>
      <c r="B185" s="7"/>
      <c r="C185" s="7"/>
      <c r="D185" s="7"/>
      <c r="E185" s="7"/>
      <c r="F185" s="6"/>
      <c r="G185" s="6"/>
      <c r="H185" s="6"/>
      <c r="I185" s="6"/>
      <c r="J185" s="6"/>
      <c r="K185" s="6"/>
      <c r="L185" s="6"/>
      <c r="M185" s="6"/>
      <c r="N185" s="6"/>
      <c r="O185" s="6"/>
      <c r="P185" s="6"/>
      <c r="Q185" s="6"/>
      <c r="R185" s="6"/>
      <c r="S185" s="6"/>
      <c r="T185" s="6"/>
      <c r="U185" s="6"/>
      <c r="V185" s="6"/>
      <c r="W185" s="6"/>
    </row>
    <row r="186" spans="1:23" ht="16" x14ac:dyDescent="0.2">
      <c r="A186" s="6"/>
      <c r="B186" s="7"/>
      <c r="C186" s="7"/>
      <c r="D186" s="7"/>
      <c r="E186" s="7"/>
      <c r="F186" s="6"/>
      <c r="G186" s="6"/>
      <c r="H186" s="6"/>
      <c r="I186" s="6"/>
      <c r="J186" s="6"/>
      <c r="K186" s="6"/>
      <c r="L186" s="6"/>
      <c r="M186" s="6"/>
      <c r="N186" s="6"/>
      <c r="O186" s="6"/>
      <c r="P186" s="6"/>
      <c r="Q186" s="6"/>
      <c r="R186" s="6"/>
      <c r="S186" s="6"/>
      <c r="T186" s="6"/>
      <c r="U186" s="6"/>
      <c r="V186" s="6"/>
      <c r="W186" s="6"/>
    </row>
    <row r="187" spans="1:23" ht="16" x14ac:dyDescent="0.2">
      <c r="A187" s="6"/>
      <c r="B187" s="7"/>
      <c r="C187" s="7"/>
      <c r="D187" s="7"/>
      <c r="E187" s="7"/>
      <c r="F187" s="6"/>
      <c r="G187" s="6"/>
      <c r="H187" s="6"/>
      <c r="I187" s="6"/>
      <c r="J187" s="6"/>
      <c r="K187" s="6"/>
      <c r="L187" s="6"/>
      <c r="M187" s="6"/>
      <c r="N187" s="6"/>
      <c r="O187" s="6"/>
      <c r="P187" s="6"/>
      <c r="Q187" s="6"/>
      <c r="R187" s="6"/>
      <c r="S187" s="6"/>
      <c r="T187" s="6"/>
      <c r="U187" s="6"/>
      <c r="V187" s="6"/>
      <c r="W187" s="6"/>
    </row>
    <row r="188" spans="1:23" ht="16" x14ac:dyDescent="0.2">
      <c r="A188" s="6"/>
      <c r="B188" s="7"/>
      <c r="C188" s="7"/>
      <c r="D188" s="7"/>
      <c r="E188" s="7"/>
      <c r="F188" s="6"/>
      <c r="G188" s="6"/>
      <c r="H188" s="6"/>
      <c r="I188" s="6"/>
      <c r="J188" s="6"/>
      <c r="K188" s="6"/>
      <c r="L188" s="6"/>
      <c r="M188" s="6"/>
      <c r="N188" s="6"/>
      <c r="O188" s="6"/>
      <c r="P188" s="6"/>
      <c r="Q188" s="6"/>
      <c r="R188" s="6"/>
      <c r="S188" s="6"/>
      <c r="T188" s="6"/>
      <c r="U188" s="6"/>
      <c r="V188" s="6"/>
      <c r="W188" s="6"/>
    </row>
    <row r="189" spans="1:23" ht="16" x14ac:dyDescent="0.2">
      <c r="A189" s="6"/>
      <c r="B189" s="7"/>
      <c r="C189" s="7"/>
      <c r="D189" s="7"/>
      <c r="E189" s="7"/>
      <c r="F189" s="6"/>
      <c r="G189" s="6"/>
      <c r="H189" s="6"/>
      <c r="I189" s="6"/>
      <c r="J189" s="6"/>
      <c r="K189" s="6"/>
      <c r="L189" s="6"/>
      <c r="M189" s="6"/>
      <c r="N189" s="6"/>
      <c r="O189" s="6"/>
      <c r="P189" s="6"/>
      <c r="Q189" s="6"/>
      <c r="R189" s="6"/>
      <c r="S189" s="6"/>
      <c r="T189" s="6"/>
      <c r="U189" s="6"/>
      <c r="V189" s="6"/>
      <c r="W189" s="6"/>
    </row>
    <row r="190" spans="1:23" ht="16" x14ac:dyDescent="0.2">
      <c r="A190" s="6"/>
      <c r="B190" s="7"/>
      <c r="C190" s="7"/>
      <c r="D190" s="7"/>
      <c r="E190" s="7"/>
      <c r="F190" s="6"/>
      <c r="G190" s="6"/>
      <c r="H190" s="6"/>
      <c r="I190" s="6"/>
      <c r="J190" s="6"/>
      <c r="K190" s="6"/>
      <c r="L190" s="6"/>
      <c r="M190" s="6"/>
      <c r="N190" s="6"/>
      <c r="O190" s="6"/>
      <c r="P190" s="6"/>
      <c r="Q190" s="6"/>
      <c r="R190" s="6"/>
      <c r="S190" s="6"/>
      <c r="T190" s="6"/>
      <c r="U190" s="6"/>
      <c r="V190" s="6"/>
      <c r="W190" s="6"/>
    </row>
    <row r="191" spans="1:23" ht="16" x14ac:dyDescent="0.2">
      <c r="A191" s="6"/>
      <c r="B191" s="7"/>
      <c r="C191" s="7"/>
      <c r="D191" s="7"/>
      <c r="E191" s="7"/>
      <c r="F191" s="6"/>
      <c r="G191" s="6"/>
      <c r="H191" s="6"/>
      <c r="I191" s="6"/>
      <c r="J191" s="6"/>
      <c r="K191" s="6"/>
      <c r="L191" s="6"/>
      <c r="M191" s="6"/>
      <c r="N191" s="6"/>
      <c r="O191" s="6"/>
      <c r="P191" s="6"/>
      <c r="Q191" s="6"/>
      <c r="R191" s="6"/>
      <c r="S191" s="6"/>
      <c r="T191" s="6"/>
      <c r="U191" s="6"/>
      <c r="V191" s="6"/>
      <c r="W191" s="6"/>
    </row>
    <row r="192" spans="1:23" ht="16" x14ac:dyDescent="0.2">
      <c r="A192" s="6"/>
      <c r="B192" s="7"/>
      <c r="C192" s="7"/>
      <c r="D192" s="7"/>
      <c r="E192" s="7"/>
      <c r="F192" s="6"/>
      <c r="G192" s="6"/>
      <c r="H192" s="6"/>
      <c r="I192" s="6"/>
      <c r="J192" s="6"/>
      <c r="K192" s="6"/>
      <c r="L192" s="6"/>
      <c r="M192" s="6"/>
      <c r="N192" s="6"/>
      <c r="O192" s="6"/>
      <c r="P192" s="6"/>
      <c r="Q192" s="6"/>
      <c r="R192" s="6"/>
      <c r="S192" s="6"/>
      <c r="T192" s="6"/>
      <c r="U192" s="6"/>
      <c r="V192" s="6"/>
      <c r="W192" s="6"/>
    </row>
    <row r="193" spans="1:23" ht="16" x14ac:dyDescent="0.2">
      <c r="A193" s="6"/>
      <c r="B193" s="7"/>
      <c r="C193" s="7"/>
      <c r="D193" s="7"/>
      <c r="E193" s="7"/>
      <c r="F193" s="6"/>
      <c r="G193" s="6"/>
      <c r="H193" s="6"/>
      <c r="I193" s="6"/>
      <c r="J193" s="6"/>
      <c r="K193" s="6"/>
      <c r="L193" s="6"/>
      <c r="M193" s="6"/>
      <c r="N193" s="6"/>
      <c r="O193" s="6"/>
      <c r="P193" s="6"/>
      <c r="Q193" s="6"/>
      <c r="R193" s="6"/>
      <c r="S193" s="6"/>
      <c r="T193" s="6"/>
      <c r="U193" s="6"/>
      <c r="V193" s="6"/>
      <c r="W193" s="6"/>
    </row>
    <row r="194" spans="1:23" ht="16" x14ac:dyDescent="0.2">
      <c r="A194" s="6"/>
      <c r="B194" s="7"/>
      <c r="C194" s="7"/>
      <c r="D194" s="7"/>
      <c r="E194" s="7"/>
      <c r="F194" s="6"/>
      <c r="G194" s="6"/>
      <c r="H194" s="6"/>
      <c r="I194" s="6"/>
      <c r="J194" s="6"/>
      <c r="K194" s="6"/>
      <c r="L194" s="6"/>
      <c r="M194" s="6"/>
      <c r="N194" s="6"/>
      <c r="O194" s="6"/>
      <c r="P194" s="6"/>
      <c r="Q194" s="6"/>
      <c r="R194" s="6"/>
      <c r="S194" s="6"/>
      <c r="T194" s="6"/>
      <c r="U194" s="6"/>
      <c r="V194" s="6"/>
      <c r="W194" s="6"/>
    </row>
    <row r="195" spans="1:23" ht="16" x14ac:dyDescent="0.2">
      <c r="A195" s="6"/>
      <c r="B195" s="7"/>
      <c r="C195" s="7"/>
      <c r="D195" s="7"/>
      <c r="E195" s="7"/>
      <c r="F195" s="6"/>
      <c r="G195" s="6"/>
      <c r="H195" s="6"/>
      <c r="I195" s="6"/>
      <c r="J195" s="6"/>
      <c r="K195" s="6"/>
      <c r="L195" s="6"/>
      <c r="M195" s="6"/>
      <c r="N195" s="6"/>
      <c r="O195" s="6"/>
      <c r="P195" s="6"/>
      <c r="Q195" s="6"/>
      <c r="R195" s="6"/>
      <c r="S195" s="6"/>
      <c r="T195" s="6"/>
      <c r="U195" s="6"/>
      <c r="V195" s="6"/>
      <c r="W195" s="6"/>
    </row>
    <row r="196" spans="1:23" ht="16" x14ac:dyDescent="0.2">
      <c r="A196" s="6"/>
      <c r="B196" s="7"/>
      <c r="C196" s="7"/>
      <c r="D196" s="7"/>
      <c r="E196" s="7"/>
      <c r="F196" s="6"/>
      <c r="G196" s="6"/>
      <c r="H196" s="6"/>
      <c r="I196" s="6"/>
      <c r="J196" s="6"/>
      <c r="K196" s="6"/>
      <c r="L196" s="6"/>
      <c r="M196" s="6"/>
      <c r="N196" s="6"/>
      <c r="O196" s="6"/>
      <c r="P196" s="6"/>
      <c r="Q196" s="6"/>
      <c r="R196" s="6"/>
      <c r="S196" s="6"/>
      <c r="T196" s="6"/>
      <c r="U196" s="6"/>
      <c r="V196" s="6"/>
      <c r="W196" s="6"/>
    </row>
    <row r="197" spans="1:23" ht="16" x14ac:dyDescent="0.2">
      <c r="A197" s="6"/>
      <c r="B197" s="7"/>
      <c r="C197" s="7"/>
      <c r="D197" s="7"/>
      <c r="E197" s="7"/>
      <c r="F197" s="6"/>
      <c r="G197" s="6"/>
      <c r="H197" s="6"/>
      <c r="I197" s="6"/>
      <c r="J197" s="6"/>
      <c r="K197" s="6"/>
      <c r="L197" s="6"/>
      <c r="M197" s="6"/>
      <c r="N197" s="6"/>
      <c r="O197" s="6"/>
      <c r="P197" s="6"/>
      <c r="Q197" s="6"/>
      <c r="R197" s="6"/>
      <c r="S197" s="6"/>
      <c r="T197" s="6"/>
      <c r="U197" s="6"/>
      <c r="V197" s="6"/>
      <c r="W197" s="6"/>
    </row>
    <row r="198" spans="1:23" ht="16" x14ac:dyDescent="0.2">
      <c r="A198" s="6"/>
      <c r="B198" s="7"/>
      <c r="C198" s="7"/>
      <c r="D198" s="7"/>
      <c r="E198" s="7"/>
      <c r="F198" s="6"/>
      <c r="G198" s="6"/>
      <c r="H198" s="6"/>
      <c r="I198" s="6"/>
      <c r="J198" s="6"/>
      <c r="K198" s="6"/>
      <c r="L198" s="6"/>
      <c r="M198" s="6"/>
      <c r="N198" s="6"/>
      <c r="O198" s="6"/>
      <c r="P198" s="6"/>
      <c r="Q198" s="6"/>
      <c r="R198" s="6"/>
      <c r="S198" s="6"/>
      <c r="T198" s="6"/>
      <c r="U198" s="6"/>
      <c r="V198" s="6"/>
      <c r="W198" s="6"/>
    </row>
    <row r="199" spans="1:23" ht="16" x14ac:dyDescent="0.2">
      <c r="A199" s="6"/>
      <c r="B199" s="7"/>
      <c r="C199" s="7"/>
      <c r="D199" s="7"/>
      <c r="E199" s="7"/>
      <c r="F199" s="6"/>
      <c r="G199" s="6"/>
      <c r="H199" s="6"/>
      <c r="I199" s="6"/>
      <c r="J199" s="6"/>
      <c r="K199" s="6"/>
      <c r="L199" s="6"/>
      <c r="M199" s="6"/>
      <c r="N199" s="6"/>
      <c r="O199" s="6"/>
      <c r="P199" s="6"/>
      <c r="Q199" s="6"/>
      <c r="R199" s="6"/>
      <c r="S199" s="6"/>
      <c r="T199" s="6"/>
      <c r="U199" s="6"/>
      <c r="V199" s="6"/>
      <c r="W199" s="6"/>
    </row>
    <row r="200" spans="1:23" ht="16" x14ac:dyDescent="0.2">
      <c r="A200" s="6"/>
      <c r="B200" s="7"/>
      <c r="C200" s="7"/>
      <c r="D200" s="7"/>
      <c r="E200" s="7"/>
      <c r="F200" s="6"/>
      <c r="G200" s="6"/>
      <c r="H200" s="6"/>
      <c r="I200" s="6"/>
      <c r="J200" s="6"/>
      <c r="K200" s="6"/>
      <c r="L200" s="6"/>
      <c r="M200" s="6"/>
      <c r="N200" s="6"/>
      <c r="O200" s="6"/>
      <c r="P200" s="6"/>
      <c r="Q200" s="6"/>
      <c r="R200" s="6"/>
      <c r="S200" s="6"/>
      <c r="T200" s="6"/>
      <c r="U200" s="6"/>
      <c r="V200" s="6"/>
      <c r="W200" s="6"/>
    </row>
    <row r="201" spans="1:23" ht="16" x14ac:dyDescent="0.2">
      <c r="A201" s="6"/>
      <c r="B201" s="7"/>
      <c r="C201" s="7"/>
      <c r="D201" s="7"/>
      <c r="E201" s="7"/>
      <c r="F201" s="6"/>
      <c r="G201" s="6"/>
      <c r="H201" s="6"/>
      <c r="I201" s="6"/>
      <c r="J201" s="6"/>
      <c r="K201" s="6"/>
      <c r="L201" s="6"/>
      <c r="M201" s="6"/>
      <c r="N201" s="6"/>
      <c r="O201" s="6"/>
      <c r="P201" s="6"/>
      <c r="Q201" s="6"/>
      <c r="R201" s="6"/>
      <c r="S201" s="6"/>
      <c r="T201" s="6"/>
      <c r="U201" s="6"/>
      <c r="V201" s="6"/>
      <c r="W201" s="6"/>
    </row>
    <row r="202" spans="1:23" ht="16" x14ac:dyDescent="0.2">
      <c r="A202" s="6"/>
      <c r="B202" s="7"/>
      <c r="C202" s="7"/>
      <c r="D202" s="7"/>
      <c r="E202" s="7"/>
      <c r="F202" s="6"/>
      <c r="G202" s="6"/>
      <c r="H202" s="6"/>
      <c r="I202" s="6"/>
      <c r="J202" s="6"/>
      <c r="K202" s="6"/>
      <c r="L202" s="6"/>
      <c r="M202" s="6"/>
      <c r="N202" s="6"/>
      <c r="O202" s="6"/>
      <c r="P202" s="6"/>
      <c r="Q202" s="6"/>
      <c r="R202" s="6"/>
      <c r="S202" s="6"/>
      <c r="T202" s="6"/>
      <c r="U202" s="6"/>
      <c r="V202" s="6"/>
      <c r="W202" s="6"/>
    </row>
    <row r="203" spans="1:23" ht="16" x14ac:dyDescent="0.2">
      <c r="A203" s="6"/>
      <c r="B203" s="7"/>
      <c r="C203" s="7"/>
      <c r="D203" s="7"/>
      <c r="E203" s="7"/>
      <c r="F203" s="6"/>
      <c r="G203" s="6"/>
      <c r="H203" s="6"/>
      <c r="I203" s="6"/>
      <c r="J203" s="6"/>
      <c r="K203" s="6"/>
      <c r="L203" s="6"/>
      <c r="M203" s="6"/>
      <c r="N203" s="6"/>
      <c r="O203" s="6"/>
      <c r="P203" s="6"/>
      <c r="Q203" s="6"/>
      <c r="R203" s="6"/>
      <c r="S203" s="6"/>
      <c r="T203" s="6"/>
      <c r="U203" s="6"/>
      <c r="V203" s="6"/>
      <c r="W203" s="6"/>
    </row>
    <row r="204" spans="1:23" ht="16" x14ac:dyDescent="0.2">
      <c r="A204" s="6"/>
      <c r="B204" s="7"/>
      <c r="C204" s="7"/>
      <c r="D204" s="7"/>
      <c r="E204" s="7"/>
      <c r="F204" s="6"/>
      <c r="G204" s="6"/>
      <c r="H204" s="6"/>
      <c r="I204" s="6"/>
      <c r="J204" s="6"/>
      <c r="K204" s="6"/>
      <c r="L204" s="6"/>
      <c r="M204" s="6"/>
      <c r="N204" s="6"/>
      <c r="O204" s="6"/>
      <c r="P204" s="6"/>
      <c r="Q204" s="6"/>
      <c r="R204" s="6"/>
      <c r="S204" s="6"/>
      <c r="T204" s="6"/>
      <c r="U204" s="6"/>
      <c r="V204" s="6"/>
      <c r="W204" s="6"/>
    </row>
    <row r="205" spans="1:23" ht="16" x14ac:dyDescent="0.2">
      <c r="A205" s="6"/>
      <c r="B205" s="7"/>
      <c r="C205" s="7"/>
      <c r="D205" s="7"/>
      <c r="E205" s="7"/>
      <c r="F205" s="6"/>
      <c r="G205" s="6"/>
      <c r="H205" s="6"/>
      <c r="I205" s="6"/>
      <c r="J205" s="6"/>
      <c r="K205" s="6"/>
      <c r="L205" s="6"/>
      <c r="M205" s="6"/>
      <c r="N205" s="6"/>
      <c r="O205" s="6"/>
      <c r="P205" s="6"/>
      <c r="Q205" s="6"/>
      <c r="R205" s="6"/>
      <c r="S205" s="6"/>
      <c r="T205" s="6"/>
      <c r="U205" s="6"/>
      <c r="V205" s="6"/>
      <c r="W205" s="6"/>
    </row>
    <row r="206" spans="1:23" ht="16" x14ac:dyDescent="0.2">
      <c r="A206" s="6"/>
      <c r="B206" s="7"/>
      <c r="C206" s="7"/>
      <c r="D206" s="7"/>
      <c r="E206" s="7"/>
      <c r="F206" s="6"/>
      <c r="G206" s="6"/>
      <c r="H206" s="6"/>
      <c r="I206" s="6"/>
      <c r="J206" s="6"/>
      <c r="K206" s="6"/>
      <c r="L206" s="6"/>
      <c r="M206" s="6"/>
      <c r="N206" s="6"/>
      <c r="O206" s="6"/>
      <c r="P206" s="6"/>
      <c r="Q206" s="6"/>
      <c r="R206" s="6"/>
      <c r="S206" s="6"/>
      <c r="T206" s="6"/>
      <c r="U206" s="6"/>
      <c r="V206" s="6"/>
      <c r="W206" s="6"/>
    </row>
    <row r="207" spans="1:23" ht="16" x14ac:dyDescent="0.2">
      <c r="A207" s="6"/>
      <c r="B207" s="7"/>
      <c r="C207" s="7"/>
      <c r="D207" s="7"/>
      <c r="E207" s="7"/>
      <c r="F207" s="6"/>
      <c r="G207" s="6"/>
      <c r="H207" s="6"/>
      <c r="I207" s="6"/>
      <c r="J207" s="6"/>
      <c r="K207" s="6"/>
      <c r="L207" s="6"/>
      <c r="M207" s="6"/>
      <c r="N207" s="6"/>
      <c r="O207" s="6"/>
      <c r="P207" s="6"/>
      <c r="Q207" s="6"/>
      <c r="R207" s="6"/>
      <c r="S207" s="6"/>
      <c r="T207" s="6"/>
      <c r="U207" s="6"/>
      <c r="V207" s="6"/>
      <c r="W207" s="6"/>
    </row>
    <row r="208" spans="1:23" ht="16" x14ac:dyDescent="0.2">
      <c r="A208" s="6"/>
      <c r="B208" s="7"/>
      <c r="C208" s="7"/>
      <c r="D208" s="7"/>
      <c r="E208" s="7"/>
      <c r="F208" s="6"/>
      <c r="G208" s="6"/>
      <c r="H208" s="6"/>
      <c r="I208" s="6"/>
      <c r="J208" s="6"/>
      <c r="K208" s="6"/>
      <c r="L208" s="6"/>
      <c r="M208" s="6"/>
      <c r="N208" s="6"/>
      <c r="O208" s="6"/>
      <c r="P208" s="6"/>
      <c r="Q208" s="6"/>
      <c r="R208" s="6"/>
      <c r="S208" s="6"/>
      <c r="T208" s="6"/>
      <c r="U208" s="6"/>
      <c r="V208" s="6"/>
      <c r="W208" s="6"/>
    </row>
    <row r="209" spans="1:23" ht="16" x14ac:dyDescent="0.2">
      <c r="A209" s="6"/>
      <c r="B209" s="7"/>
      <c r="C209" s="7"/>
      <c r="D209" s="7"/>
      <c r="E209" s="7"/>
      <c r="F209" s="6"/>
      <c r="G209" s="6"/>
      <c r="H209" s="6"/>
      <c r="I209" s="6"/>
      <c r="J209" s="6"/>
      <c r="K209" s="6"/>
      <c r="L209" s="6"/>
      <c r="M209" s="6"/>
      <c r="N209" s="6"/>
      <c r="O209" s="6"/>
      <c r="P209" s="6"/>
      <c r="Q209" s="6"/>
      <c r="R209" s="6"/>
      <c r="S209" s="6"/>
      <c r="T209" s="6"/>
      <c r="U209" s="6"/>
      <c r="V209" s="6"/>
      <c r="W209" s="6"/>
    </row>
    <row r="210" spans="1:23" ht="16" x14ac:dyDescent="0.2">
      <c r="A210" s="6"/>
      <c r="B210" s="7"/>
      <c r="C210" s="7"/>
      <c r="D210" s="7"/>
      <c r="E210" s="7"/>
      <c r="F210" s="6"/>
      <c r="G210" s="6"/>
      <c r="H210" s="6"/>
      <c r="I210" s="6"/>
      <c r="J210" s="6"/>
      <c r="K210" s="6"/>
      <c r="L210" s="6"/>
      <c r="M210" s="6"/>
      <c r="N210" s="6"/>
      <c r="O210" s="6"/>
      <c r="P210" s="6"/>
      <c r="Q210" s="6"/>
      <c r="R210" s="6"/>
      <c r="S210" s="6"/>
      <c r="T210" s="6"/>
      <c r="U210" s="6"/>
      <c r="V210" s="6"/>
      <c r="W210" s="6"/>
    </row>
    <row r="211" spans="1:23" ht="16" x14ac:dyDescent="0.2">
      <c r="A211" s="6"/>
      <c r="B211" s="7"/>
      <c r="C211" s="7"/>
      <c r="D211" s="7"/>
      <c r="E211" s="7"/>
      <c r="F211" s="6"/>
      <c r="G211" s="6"/>
      <c r="H211" s="6"/>
      <c r="I211" s="6"/>
      <c r="J211" s="6"/>
      <c r="K211" s="6"/>
      <c r="L211" s="6"/>
      <c r="M211" s="6"/>
      <c r="N211" s="6"/>
      <c r="O211" s="6"/>
      <c r="P211" s="6"/>
      <c r="Q211" s="6"/>
      <c r="R211" s="6"/>
      <c r="S211" s="6"/>
      <c r="T211" s="6"/>
      <c r="U211" s="6"/>
      <c r="V211" s="6"/>
      <c r="W211" s="6"/>
    </row>
    <row r="212" spans="1:23" ht="16" x14ac:dyDescent="0.2">
      <c r="A212" s="6"/>
      <c r="B212" s="7"/>
      <c r="C212" s="7"/>
      <c r="D212" s="7"/>
      <c r="E212" s="7"/>
      <c r="F212" s="6"/>
      <c r="G212" s="6"/>
      <c r="H212" s="6"/>
      <c r="I212" s="6"/>
      <c r="J212" s="6"/>
      <c r="K212" s="6"/>
      <c r="L212" s="6"/>
      <c r="M212" s="6"/>
      <c r="N212" s="6"/>
      <c r="O212" s="6"/>
      <c r="P212" s="6"/>
      <c r="Q212" s="6"/>
      <c r="R212" s="6"/>
      <c r="S212" s="6"/>
      <c r="T212" s="6"/>
      <c r="U212" s="6"/>
      <c r="V212" s="6"/>
      <c r="W212" s="6"/>
    </row>
    <row r="213" spans="1:23" ht="16" x14ac:dyDescent="0.2">
      <c r="A213" s="6"/>
      <c r="B213" s="7"/>
      <c r="C213" s="7"/>
      <c r="D213" s="7"/>
      <c r="E213" s="7"/>
      <c r="F213" s="6"/>
      <c r="G213" s="6"/>
      <c r="H213" s="6"/>
      <c r="I213" s="6"/>
      <c r="J213" s="6"/>
      <c r="K213" s="6"/>
      <c r="L213" s="6"/>
      <c r="M213" s="6"/>
      <c r="N213" s="6"/>
      <c r="O213" s="6"/>
      <c r="P213" s="6"/>
      <c r="Q213" s="6"/>
      <c r="R213" s="6"/>
      <c r="S213" s="6"/>
      <c r="T213" s="6"/>
      <c r="U213" s="6"/>
      <c r="V213" s="6"/>
      <c r="W213" s="6"/>
    </row>
    <row r="214" spans="1:23" ht="16" x14ac:dyDescent="0.2">
      <c r="A214" s="6"/>
      <c r="B214" s="7"/>
      <c r="C214" s="7"/>
      <c r="D214" s="7"/>
      <c r="E214" s="7"/>
      <c r="F214" s="6"/>
      <c r="G214" s="6"/>
      <c r="H214" s="6"/>
      <c r="I214" s="6"/>
      <c r="J214" s="6"/>
      <c r="K214" s="6"/>
      <c r="L214" s="6"/>
      <c r="M214" s="6"/>
      <c r="N214" s="6"/>
      <c r="O214" s="6"/>
      <c r="P214" s="6"/>
      <c r="Q214" s="6"/>
      <c r="R214" s="6"/>
      <c r="S214" s="6"/>
      <c r="T214" s="6"/>
      <c r="U214" s="6"/>
      <c r="V214" s="6"/>
      <c r="W214" s="6"/>
    </row>
    <row r="215" spans="1:23" ht="16" x14ac:dyDescent="0.2">
      <c r="A215" s="6"/>
      <c r="B215" s="7"/>
      <c r="C215" s="7"/>
      <c r="D215" s="7"/>
      <c r="E215" s="7"/>
      <c r="F215" s="6"/>
      <c r="G215" s="6"/>
      <c r="H215" s="6"/>
      <c r="I215" s="6"/>
      <c r="J215" s="6"/>
      <c r="K215" s="6"/>
      <c r="L215" s="6"/>
      <c r="M215" s="6"/>
      <c r="N215" s="6"/>
      <c r="O215" s="6"/>
      <c r="P215" s="6"/>
      <c r="Q215" s="6"/>
      <c r="R215" s="6"/>
      <c r="S215" s="6"/>
      <c r="T215" s="6"/>
      <c r="U215" s="6"/>
      <c r="V215" s="6"/>
      <c r="W215" s="6"/>
    </row>
    <row r="216" spans="1:23" ht="16" x14ac:dyDescent="0.2">
      <c r="A216" s="6"/>
      <c r="B216" s="7"/>
      <c r="C216" s="7"/>
      <c r="D216" s="7"/>
      <c r="E216" s="7"/>
      <c r="F216" s="6"/>
      <c r="G216" s="6"/>
      <c r="H216" s="6"/>
      <c r="I216" s="6"/>
      <c r="J216" s="6"/>
      <c r="K216" s="6"/>
      <c r="L216" s="6"/>
      <c r="M216" s="6"/>
      <c r="N216" s="6"/>
      <c r="O216" s="6"/>
      <c r="P216" s="6"/>
      <c r="Q216" s="6"/>
      <c r="R216" s="6"/>
      <c r="S216" s="6"/>
      <c r="T216" s="6"/>
      <c r="U216" s="6"/>
      <c r="V216" s="6"/>
      <c r="W216" s="6"/>
    </row>
    <row r="217" spans="1:23" ht="16" x14ac:dyDescent="0.2">
      <c r="A217" s="6"/>
      <c r="B217" s="7"/>
      <c r="C217" s="7"/>
      <c r="D217" s="7"/>
      <c r="E217" s="7"/>
      <c r="F217" s="6"/>
      <c r="G217" s="6"/>
      <c r="H217" s="6"/>
      <c r="I217" s="6"/>
      <c r="J217" s="6"/>
      <c r="K217" s="6"/>
      <c r="L217" s="6"/>
      <c r="M217" s="6"/>
      <c r="N217" s="6"/>
      <c r="O217" s="6"/>
      <c r="P217" s="6"/>
      <c r="Q217" s="6"/>
      <c r="R217" s="6"/>
      <c r="S217" s="6"/>
      <c r="T217" s="6"/>
      <c r="U217" s="6"/>
      <c r="V217" s="6"/>
      <c r="W217" s="6"/>
    </row>
    <row r="218" spans="1:23" ht="16" x14ac:dyDescent="0.2">
      <c r="A218" s="6"/>
      <c r="B218" s="7"/>
      <c r="C218" s="7"/>
      <c r="D218" s="7"/>
      <c r="E218" s="7"/>
      <c r="F218" s="6"/>
      <c r="G218" s="6"/>
      <c r="H218" s="6"/>
      <c r="I218" s="6"/>
      <c r="J218" s="6"/>
      <c r="K218" s="6"/>
      <c r="L218" s="6"/>
      <c r="M218" s="6"/>
      <c r="N218" s="6"/>
      <c r="O218" s="6"/>
      <c r="P218" s="6"/>
      <c r="Q218" s="6"/>
      <c r="R218" s="6"/>
      <c r="S218" s="6"/>
      <c r="T218" s="6"/>
      <c r="U218" s="6"/>
      <c r="V218" s="6"/>
      <c r="W218" s="6"/>
    </row>
    <row r="219" spans="1:23" ht="16" x14ac:dyDescent="0.2">
      <c r="A219" s="6"/>
      <c r="B219" s="7"/>
      <c r="C219" s="7"/>
      <c r="D219" s="7"/>
      <c r="E219" s="7"/>
      <c r="F219" s="6"/>
      <c r="G219" s="6"/>
      <c r="H219" s="6"/>
      <c r="I219" s="6"/>
      <c r="J219" s="6"/>
      <c r="K219" s="6"/>
      <c r="L219" s="6"/>
      <c r="M219" s="6"/>
      <c r="N219" s="6"/>
      <c r="O219" s="6"/>
      <c r="P219" s="6"/>
      <c r="Q219" s="6"/>
      <c r="R219" s="6"/>
      <c r="S219" s="6"/>
      <c r="T219" s="6"/>
      <c r="U219" s="6"/>
      <c r="V219" s="6"/>
      <c r="W219" s="6"/>
    </row>
    <row r="220" spans="1:23" ht="16" x14ac:dyDescent="0.2">
      <c r="A220" s="6"/>
      <c r="B220" s="7"/>
      <c r="C220" s="7"/>
      <c r="D220" s="7"/>
      <c r="E220" s="7"/>
      <c r="F220" s="6"/>
      <c r="G220" s="6"/>
      <c r="H220" s="6"/>
      <c r="I220" s="6"/>
      <c r="J220" s="6"/>
      <c r="K220" s="6"/>
      <c r="L220" s="6"/>
      <c r="M220" s="6"/>
      <c r="N220" s="6"/>
      <c r="O220" s="6"/>
      <c r="P220" s="6"/>
      <c r="Q220" s="6"/>
      <c r="R220" s="6"/>
      <c r="S220" s="6"/>
      <c r="T220" s="6"/>
      <c r="U220" s="6"/>
      <c r="V220" s="6"/>
      <c r="W220" s="6"/>
    </row>
    <row r="221" spans="1:23" ht="16" x14ac:dyDescent="0.2">
      <c r="A221" s="6"/>
      <c r="B221" s="7"/>
      <c r="C221" s="7"/>
      <c r="D221" s="7"/>
      <c r="E221" s="7"/>
      <c r="F221" s="6"/>
      <c r="G221" s="6"/>
      <c r="H221" s="6"/>
      <c r="I221" s="6"/>
      <c r="J221" s="6"/>
      <c r="K221" s="6"/>
      <c r="L221" s="6"/>
      <c r="M221" s="6"/>
      <c r="N221" s="6"/>
      <c r="O221" s="6"/>
      <c r="P221" s="6"/>
      <c r="Q221" s="6"/>
      <c r="R221" s="6"/>
      <c r="S221" s="6"/>
      <c r="T221" s="6"/>
      <c r="U221" s="6"/>
      <c r="V221" s="6"/>
      <c r="W221" s="6"/>
    </row>
    <row r="222" spans="1:23" ht="16" x14ac:dyDescent="0.2">
      <c r="A222" s="6"/>
      <c r="B222" s="7"/>
      <c r="C222" s="7"/>
      <c r="D222" s="7"/>
      <c r="E222" s="7"/>
      <c r="F222" s="6"/>
      <c r="G222" s="6"/>
      <c r="H222" s="6"/>
      <c r="I222" s="6"/>
      <c r="J222" s="6"/>
      <c r="K222" s="6"/>
      <c r="L222" s="6"/>
      <c r="M222" s="6"/>
      <c r="N222" s="6"/>
      <c r="O222" s="6"/>
      <c r="P222" s="6"/>
      <c r="Q222" s="6"/>
      <c r="R222" s="6"/>
      <c r="S222" s="6"/>
      <c r="T222" s="6"/>
      <c r="U222" s="6"/>
      <c r="V222" s="6"/>
      <c r="W222" s="6"/>
    </row>
    <row r="223" spans="1:23" ht="16" x14ac:dyDescent="0.2">
      <c r="A223" s="6"/>
      <c r="B223" s="7"/>
      <c r="C223" s="7"/>
      <c r="D223" s="7"/>
      <c r="E223" s="7"/>
      <c r="F223" s="6"/>
      <c r="G223" s="6"/>
      <c r="H223" s="6"/>
      <c r="I223" s="6"/>
      <c r="J223" s="6"/>
      <c r="K223" s="6"/>
      <c r="L223" s="6"/>
      <c r="M223" s="6"/>
      <c r="N223" s="6"/>
      <c r="O223" s="6"/>
      <c r="P223" s="6"/>
      <c r="Q223" s="6"/>
      <c r="R223" s="6"/>
      <c r="S223" s="6"/>
      <c r="T223" s="6"/>
      <c r="U223" s="6"/>
      <c r="V223" s="6"/>
      <c r="W223" s="6"/>
    </row>
    <row r="224" spans="1:23" ht="16" x14ac:dyDescent="0.2">
      <c r="A224" s="6"/>
      <c r="B224" s="7"/>
      <c r="C224" s="7"/>
      <c r="D224" s="7"/>
      <c r="E224" s="7"/>
      <c r="F224" s="6"/>
      <c r="G224" s="6"/>
      <c r="H224" s="6"/>
      <c r="I224" s="6"/>
      <c r="J224" s="6"/>
      <c r="K224" s="6"/>
      <c r="L224" s="6"/>
      <c r="M224" s="6"/>
      <c r="N224" s="6"/>
      <c r="O224" s="6"/>
      <c r="P224" s="6"/>
      <c r="Q224" s="6"/>
      <c r="R224" s="6"/>
      <c r="S224" s="6"/>
      <c r="T224" s="6"/>
      <c r="U224" s="6"/>
      <c r="V224" s="6"/>
      <c r="W224" s="6"/>
    </row>
    <row r="225" spans="1:23" ht="16" x14ac:dyDescent="0.2">
      <c r="A225" s="6"/>
      <c r="B225" s="7"/>
      <c r="C225" s="7"/>
      <c r="D225" s="7"/>
      <c r="E225" s="7"/>
      <c r="F225" s="6"/>
      <c r="G225" s="6"/>
      <c r="H225" s="6"/>
      <c r="I225" s="6"/>
      <c r="J225" s="6"/>
      <c r="K225" s="6"/>
      <c r="L225" s="6"/>
      <c r="M225" s="6"/>
      <c r="N225" s="6"/>
      <c r="O225" s="6"/>
      <c r="P225" s="6"/>
      <c r="Q225" s="6"/>
      <c r="R225" s="6"/>
      <c r="S225" s="6"/>
      <c r="T225" s="6"/>
      <c r="U225" s="6"/>
      <c r="V225" s="6"/>
      <c r="W225" s="6"/>
    </row>
    <row r="226" spans="1:23" ht="16" x14ac:dyDescent="0.2">
      <c r="A226" s="6"/>
      <c r="B226" s="7"/>
      <c r="C226" s="7"/>
      <c r="D226" s="7"/>
      <c r="E226" s="7"/>
      <c r="F226" s="6"/>
      <c r="G226" s="6"/>
      <c r="H226" s="6"/>
      <c r="I226" s="6"/>
      <c r="J226" s="6"/>
      <c r="K226" s="6"/>
      <c r="L226" s="6"/>
      <c r="M226" s="6"/>
      <c r="N226" s="6"/>
      <c r="O226" s="6"/>
      <c r="P226" s="6"/>
      <c r="Q226" s="6"/>
      <c r="R226" s="6"/>
      <c r="S226" s="6"/>
      <c r="T226" s="6"/>
      <c r="U226" s="6"/>
      <c r="V226" s="6"/>
      <c r="W226" s="6"/>
    </row>
    <row r="227" spans="1:23" ht="16" x14ac:dyDescent="0.2">
      <c r="A227" s="6"/>
      <c r="B227" s="7"/>
      <c r="C227" s="7"/>
      <c r="D227" s="7"/>
      <c r="E227" s="7"/>
      <c r="F227" s="6"/>
      <c r="G227" s="6"/>
      <c r="H227" s="6"/>
      <c r="I227" s="6"/>
      <c r="J227" s="6"/>
      <c r="K227" s="6"/>
      <c r="L227" s="6"/>
      <c r="M227" s="6"/>
      <c r="N227" s="6"/>
      <c r="O227" s="6"/>
      <c r="P227" s="6"/>
      <c r="Q227" s="6"/>
      <c r="R227" s="6"/>
      <c r="S227" s="6"/>
      <c r="T227" s="6"/>
      <c r="U227" s="6"/>
      <c r="V227" s="6"/>
      <c r="W227" s="6"/>
    </row>
    <row r="228" spans="1:23" ht="16" x14ac:dyDescent="0.2">
      <c r="A228" s="6"/>
      <c r="B228" s="7"/>
      <c r="C228" s="7"/>
      <c r="D228" s="7"/>
      <c r="E228" s="7"/>
      <c r="F228" s="6"/>
      <c r="G228" s="6"/>
      <c r="H228" s="6"/>
      <c r="I228" s="6"/>
      <c r="J228" s="6"/>
      <c r="K228" s="6"/>
      <c r="L228" s="6"/>
      <c r="M228" s="6"/>
      <c r="N228" s="6"/>
      <c r="O228" s="6"/>
      <c r="P228" s="6"/>
      <c r="Q228" s="6"/>
      <c r="R228" s="6"/>
      <c r="S228" s="6"/>
      <c r="T228" s="6"/>
      <c r="U228" s="6"/>
      <c r="V228" s="6"/>
      <c r="W228" s="6"/>
    </row>
    <row r="229" spans="1:23" ht="16" x14ac:dyDescent="0.2">
      <c r="A229" s="6"/>
      <c r="B229" s="7"/>
      <c r="C229" s="7"/>
      <c r="D229" s="7"/>
      <c r="E229" s="7"/>
      <c r="F229" s="6"/>
      <c r="G229" s="6"/>
      <c r="H229" s="6"/>
      <c r="I229" s="6"/>
      <c r="J229" s="6"/>
      <c r="K229" s="6"/>
      <c r="L229" s="6"/>
      <c r="M229" s="6"/>
      <c r="N229" s="6"/>
      <c r="O229" s="6"/>
      <c r="P229" s="6"/>
      <c r="Q229" s="6"/>
      <c r="R229" s="6"/>
      <c r="S229" s="6"/>
      <c r="T229" s="6"/>
      <c r="U229" s="6"/>
      <c r="V229" s="6"/>
      <c r="W229" s="6"/>
    </row>
    <row r="230" spans="1:23" ht="16" x14ac:dyDescent="0.2">
      <c r="A230" s="6"/>
      <c r="B230" s="7"/>
      <c r="C230" s="7"/>
      <c r="D230" s="7"/>
      <c r="E230" s="7"/>
      <c r="F230" s="6"/>
      <c r="G230" s="6"/>
      <c r="H230" s="6"/>
      <c r="I230" s="6"/>
      <c r="J230" s="6"/>
      <c r="K230" s="6"/>
      <c r="L230" s="6"/>
      <c r="M230" s="6"/>
      <c r="N230" s="6"/>
      <c r="O230" s="6"/>
      <c r="P230" s="6"/>
      <c r="Q230" s="6"/>
      <c r="R230" s="6"/>
      <c r="S230" s="6"/>
      <c r="T230" s="6"/>
      <c r="U230" s="6"/>
      <c r="V230" s="6"/>
      <c r="W230" s="6"/>
    </row>
    <row r="231" spans="1:23" ht="16" x14ac:dyDescent="0.2">
      <c r="A231" s="6"/>
      <c r="B231" s="7"/>
      <c r="C231" s="7"/>
      <c r="D231" s="7"/>
      <c r="E231" s="7"/>
      <c r="F231" s="6"/>
      <c r="G231" s="6"/>
      <c r="H231" s="6"/>
      <c r="I231" s="6"/>
      <c r="J231" s="6"/>
      <c r="K231" s="6"/>
      <c r="L231" s="6"/>
      <c r="M231" s="6"/>
      <c r="N231" s="6"/>
      <c r="O231" s="6"/>
      <c r="P231" s="6"/>
      <c r="Q231" s="6"/>
      <c r="R231" s="6"/>
      <c r="S231" s="6"/>
      <c r="T231" s="6"/>
      <c r="U231" s="6"/>
      <c r="V231" s="6"/>
      <c r="W231" s="6"/>
    </row>
    <row r="232" spans="1:23" ht="16" x14ac:dyDescent="0.2">
      <c r="A232" s="6"/>
      <c r="B232" s="7"/>
      <c r="C232" s="7"/>
      <c r="D232" s="7"/>
      <c r="E232" s="7"/>
      <c r="F232" s="6"/>
      <c r="G232" s="6"/>
      <c r="H232" s="6"/>
      <c r="I232" s="6"/>
      <c r="J232" s="6"/>
      <c r="K232" s="6"/>
      <c r="L232" s="6"/>
      <c r="M232" s="6"/>
      <c r="N232" s="6"/>
      <c r="O232" s="6"/>
      <c r="P232" s="6"/>
      <c r="Q232" s="6"/>
      <c r="R232" s="6"/>
      <c r="S232" s="6"/>
      <c r="T232" s="6"/>
      <c r="U232" s="6"/>
      <c r="V232" s="6"/>
      <c r="W232" s="6"/>
    </row>
    <row r="233" spans="1:23" ht="16" x14ac:dyDescent="0.2">
      <c r="A233" s="6"/>
      <c r="B233" s="7"/>
      <c r="C233" s="7"/>
      <c r="D233" s="7"/>
      <c r="E233" s="7"/>
      <c r="F233" s="6"/>
      <c r="G233" s="6"/>
      <c r="H233" s="6"/>
      <c r="I233" s="6"/>
      <c r="J233" s="6"/>
      <c r="K233" s="6"/>
      <c r="L233" s="6"/>
      <c r="M233" s="6"/>
      <c r="N233" s="6"/>
      <c r="O233" s="6"/>
      <c r="P233" s="6"/>
      <c r="Q233" s="6"/>
      <c r="R233" s="6"/>
      <c r="S233" s="6"/>
      <c r="T233" s="6"/>
      <c r="U233" s="6"/>
      <c r="V233" s="6"/>
      <c r="W233" s="6"/>
    </row>
    <row r="234" spans="1:23" ht="16" x14ac:dyDescent="0.2">
      <c r="A234" s="6"/>
      <c r="B234" s="7"/>
      <c r="C234" s="7"/>
      <c r="D234" s="7"/>
      <c r="E234" s="7"/>
      <c r="F234" s="6"/>
      <c r="G234" s="6"/>
      <c r="H234" s="6"/>
      <c r="I234" s="6"/>
      <c r="J234" s="6"/>
      <c r="K234" s="6"/>
      <c r="L234" s="6"/>
      <c r="M234" s="6"/>
      <c r="N234" s="6"/>
      <c r="O234" s="6"/>
      <c r="P234" s="6"/>
      <c r="Q234" s="6"/>
      <c r="R234" s="6"/>
      <c r="S234" s="6"/>
      <c r="T234" s="6"/>
      <c r="U234" s="6"/>
      <c r="V234" s="6"/>
      <c r="W234" s="6"/>
    </row>
    <row r="235" spans="1:23" ht="16" x14ac:dyDescent="0.2">
      <c r="A235" s="6"/>
      <c r="B235" s="7"/>
      <c r="C235" s="7"/>
      <c r="D235" s="7"/>
      <c r="E235" s="7"/>
      <c r="F235" s="6"/>
      <c r="G235" s="6"/>
      <c r="H235" s="6"/>
      <c r="I235" s="6"/>
      <c r="J235" s="6"/>
      <c r="K235" s="6"/>
      <c r="L235" s="6"/>
      <c r="M235" s="6"/>
      <c r="N235" s="6"/>
      <c r="O235" s="6"/>
      <c r="P235" s="6"/>
      <c r="Q235" s="6"/>
      <c r="R235" s="6"/>
      <c r="S235" s="6"/>
      <c r="T235" s="6"/>
      <c r="U235" s="6"/>
      <c r="V235" s="6"/>
      <c r="W235" s="6"/>
    </row>
    <row r="236" spans="1:23" ht="16" x14ac:dyDescent="0.2">
      <c r="A236" s="6"/>
      <c r="B236" s="7"/>
      <c r="C236" s="7"/>
      <c r="D236" s="7"/>
      <c r="E236" s="7"/>
      <c r="F236" s="6"/>
      <c r="G236" s="6"/>
      <c r="H236" s="6"/>
      <c r="I236" s="6"/>
      <c r="J236" s="6"/>
      <c r="K236" s="6"/>
      <c r="L236" s="6"/>
      <c r="M236" s="6"/>
      <c r="N236" s="6"/>
      <c r="O236" s="6"/>
      <c r="P236" s="6"/>
      <c r="Q236" s="6"/>
      <c r="R236" s="6"/>
      <c r="S236" s="6"/>
      <c r="T236" s="6"/>
      <c r="U236" s="6"/>
      <c r="V236" s="6"/>
      <c r="W236" s="6"/>
    </row>
    <row r="237" spans="1:23" ht="16" x14ac:dyDescent="0.2">
      <c r="A237" s="6"/>
      <c r="B237" s="7"/>
      <c r="C237" s="7"/>
      <c r="D237" s="7"/>
      <c r="E237" s="7"/>
      <c r="F237" s="6"/>
      <c r="G237" s="6"/>
      <c r="H237" s="6"/>
      <c r="I237" s="6"/>
      <c r="J237" s="6"/>
      <c r="K237" s="6"/>
      <c r="L237" s="6"/>
      <c r="M237" s="6"/>
      <c r="N237" s="6"/>
      <c r="O237" s="6"/>
      <c r="P237" s="6"/>
      <c r="Q237" s="6"/>
      <c r="R237" s="6"/>
      <c r="S237" s="6"/>
      <c r="T237" s="6"/>
      <c r="U237" s="6"/>
      <c r="V237" s="6"/>
      <c r="W237" s="6"/>
    </row>
    <row r="238" spans="1:23" ht="16" x14ac:dyDescent="0.2">
      <c r="A238" s="6"/>
      <c r="B238" s="7"/>
      <c r="C238" s="7"/>
      <c r="D238" s="7"/>
      <c r="E238" s="7"/>
      <c r="F238" s="6"/>
      <c r="G238" s="6"/>
      <c r="H238" s="6"/>
      <c r="I238" s="6"/>
      <c r="J238" s="6"/>
      <c r="K238" s="6"/>
      <c r="L238" s="6"/>
      <c r="M238" s="6"/>
      <c r="N238" s="6"/>
      <c r="O238" s="6"/>
      <c r="P238" s="6"/>
      <c r="Q238" s="6"/>
      <c r="R238" s="6"/>
      <c r="S238" s="6"/>
      <c r="T238" s="6"/>
      <c r="U238" s="6"/>
      <c r="V238" s="6"/>
      <c r="W238" s="6"/>
    </row>
    <row r="239" spans="1:23" ht="16" x14ac:dyDescent="0.2">
      <c r="A239" s="6"/>
      <c r="B239" s="7"/>
      <c r="C239" s="7"/>
      <c r="D239" s="7"/>
      <c r="E239" s="7"/>
      <c r="F239" s="6"/>
      <c r="G239" s="6"/>
      <c r="H239" s="6"/>
      <c r="I239" s="6"/>
      <c r="J239" s="6"/>
      <c r="K239" s="6"/>
      <c r="L239" s="6"/>
      <c r="M239" s="6"/>
      <c r="N239" s="6"/>
      <c r="O239" s="6"/>
      <c r="P239" s="6"/>
      <c r="Q239" s="6"/>
      <c r="R239" s="6"/>
      <c r="S239" s="6"/>
      <c r="T239" s="6"/>
      <c r="U239" s="6"/>
      <c r="V239" s="6"/>
      <c r="W239" s="6"/>
    </row>
    <row r="240" spans="1:23" ht="16" x14ac:dyDescent="0.2">
      <c r="A240" s="6"/>
      <c r="B240" s="7"/>
      <c r="C240" s="7"/>
      <c r="D240" s="7"/>
      <c r="E240" s="7"/>
      <c r="F240" s="6"/>
      <c r="G240" s="6"/>
      <c r="H240" s="6"/>
      <c r="I240" s="6"/>
      <c r="J240" s="6"/>
      <c r="K240" s="6"/>
      <c r="L240" s="6"/>
      <c r="M240" s="6"/>
      <c r="N240" s="6"/>
      <c r="O240" s="6"/>
      <c r="P240" s="6"/>
      <c r="Q240" s="6"/>
      <c r="R240" s="6"/>
      <c r="S240" s="6"/>
      <c r="T240" s="6"/>
      <c r="U240" s="6"/>
      <c r="V240" s="6"/>
      <c r="W240" s="6"/>
    </row>
    <row r="241" spans="1:23" ht="16" x14ac:dyDescent="0.2">
      <c r="A241" s="6"/>
      <c r="B241" s="7"/>
      <c r="C241" s="7"/>
      <c r="D241" s="7"/>
      <c r="E241" s="7"/>
      <c r="F241" s="6"/>
      <c r="G241" s="6"/>
      <c r="H241" s="6"/>
      <c r="I241" s="6"/>
      <c r="J241" s="6"/>
      <c r="K241" s="6"/>
      <c r="L241" s="6"/>
      <c r="M241" s="6"/>
      <c r="N241" s="6"/>
      <c r="O241" s="6"/>
      <c r="P241" s="6"/>
      <c r="Q241" s="6"/>
      <c r="R241" s="6"/>
      <c r="S241" s="6"/>
      <c r="T241" s="6"/>
      <c r="U241" s="6"/>
      <c r="V241" s="6"/>
      <c r="W241" s="6"/>
    </row>
    <row r="242" spans="1:23" ht="16" x14ac:dyDescent="0.2">
      <c r="A242" s="6"/>
      <c r="B242" s="7"/>
      <c r="C242" s="7"/>
      <c r="D242" s="7"/>
      <c r="E242" s="7"/>
      <c r="F242" s="6"/>
      <c r="G242" s="6"/>
      <c r="H242" s="6"/>
      <c r="I242" s="6"/>
      <c r="J242" s="6"/>
      <c r="K242" s="6"/>
      <c r="L242" s="6"/>
      <c r="M242" s="6"/>
      <c r="N242" s="6"/>
      <c r="O242" s="6"/>
      <c r="P242" s="6"/>
      <c r="Q242" s="6"/>
      <c r="R242" s="6"/>
      <c r="S242" s="6"/>
      <c r="T242" s="6"/>
      <c r="U242" s="6"/>
      <c r="V242" s="6"/>
      <c r="W242" s="6"/>
    </row>
    <row r="243" spans="1:23" ht="16" x14ac:dyDescent="0.2">
      <c r="A243" s="6"/>
      <c r="B243" s="7"/>
      <c r="C243" s="7"/>
      <c r="D243" s="7"/>
      <c r="E243" s="7"/>
      <c r="F243" s="6"/>
      <c r="G243" s="6"/>
      <c r="H243" s="6"/>
      <c r="I243" s="6"/>
      <c r="J243" s="6"/>
      <c r="K243" s="6"/>
      <c r="L243" s="6"/>
      <c r="M243" s="6"/>
      <c r="N243" s="6"/>
      <c r="O243" s="6"/>
      <c r="P243" s="6"/>
      <c r="Q243" s="6"/>
      <c r="R243" s="6"/>
      <c r="S243" s="6"/>
      <c r="T243" s="6"/>
      <c r="U243" s="6"/>
      <c r="V243" s="6"/>
      <c r="W243" s="6"/>
    </row>
    <row r="244" spans="1:23" ht="16" x14ac:dyDescent="0.2">
      <c r="A244" s="6"/>
      <c r="B244" s="7"/>
      <c r="C244" s="7"/>
      <c r="D244" s="7"/>
      <c r="E244" s="7"/>
      <c r="F244" s="6"/>
      <c r="G244" s="6"/>
      <c r="H244" s="6"/>
      <c r="I244" s="6"/>
      <c r="J244" s="6"/>
      <c r="K244" s="6"/>
      <c r="L244" s="6"/>
      <c r="M244" s="6"/>
      <c r="N244" s="6"/>
      <c r="O244" s="6"/>
      <c r="P244" s="6"/>
      <c r="Q244" s="6"/>
      <c r="R244" s="6"/>
      <c r="S244" s="6"/>
      <c r="T244" s="6"/>
      <c r="U244" s="6"/>
      <c r="V244" s="6"/>
      <c r="W244" s="6"/>
    </row>
    <row r="245" spans="1:23" ht="16" x14ac:dyDescent="0.2">
      <c r="A245" s="6"/>
      <c r="B245" s="7"/>
      <c r="C245" s="7"/>
      <c r="D245" s="7"/>
      <c r="E245" s="7"/>
      <c r="F245" s="6"/>
      <c r="G245" s="6"/>
      <c r="H245" s="6"/>
      <c r="I245" s="6"/>
      <c r="J245" s="6"/>
      <c r="K245" s="6"/>
      <c r="L245" s="6"/>
      <c r="M245" s="6"/>
      <c r="N245" s="6"/>
      <c r="O245" s="6"/>
      <c r="P245" s="6"/>
      <c r="Q245" s="6"/>
      <c r="R245" s="6"/>
      <c r="S245" s="6"/>
      <c r="T245" s="6"/>
      <c r="U245" s="6"/>
      <c r="V245" s="6"/>
      <c r="W245" s="6"/>
    </row>
    <row r="246" spans="1:23" ht="16" x14ac:dyDescent="0.2">
      <c r="A246" s="6"/>
      <c r="B246" s="7"/>
      <c r="C246" s="7"/>
      <c r="D246" s="7"/>
      <c r="E246" s="7"/>
      <c r="F246" s="6"/>
      <c r="G246" s="6"/>
      <c r="H246" s="6"/>
      <c r="I246" s="6"/>
      <c r="J246" s="6"/>
      <c r="K246" s="6"/>
      <c r="L246" s="6"/>
      <c r="M246" s="6"/>
      <c r="N246" s="6"/>
      <c r="O246" s="6"/>
      <c r="P246" s="6"/>
      <c r="Q246" s="6"/>
      <c r="R246" s="6"/>
      <c r="S246" s="6"/>
      <c r="T246" s="6"/>
      <c r="U246" s="6"/>
      <c r="V246" s="6"/>
      <c r="W246" s="6"/>
    </row>
    <row r="247" spans="1:23" ht="16" x14ac:dyDescent="0.2">
      <c r="A247" s="6"/>
      <c r="B247" s="7"/>
      <c r="C247" s="7"/>
      <c r="D247" s="7"/>
      <c r="E247" s="7"/>
      <c r="F247" s="6"/>
      <c r="G247" s="6"/>
      <c r="H247" s="6"/>
      <c r="I247" s="6"/>
      <c r="J247" s="6"/>
      <c r="K247" s="6"/>
      <c r="L247" s="6"/>
      <c r="M247" s="6"/>
      <c r="N247" s="6"/>
      <c r="O247" s="6"/>
      <c r="P247" s="6"/>
      <c r="Q247" s="6"/>
      <c r="R247" s="6"/>
      <c r="S247" s="6"/>
      <c r="T247" s="6"/>
      <c r="U247" s="6"/>
      <c r="V247" s="6"/>
      <c r="W247" s="6"/>
    </row>
    <row r="248" spans="1:23" ht="16" x14ac:dyDescent="0.2">
      <c r="A248" s="6"/>
      <c r="B248" s="7"/>
      <c r="C248" s="7"/>
      <c r="D248" s="7"/>
      <c r="E248" s="7"/>
      <c r="F248" s="6"/>
      <c r="G248" s="6"/>
      <c r="H248" s="6"/>
      <c r="I248" s="6"/>
      <c r="J248" s="6"/>
      <c r="K248" s="6"/>
      <c r="L248" s="6"/>
      <c r="M248" s="6"/>
      <c r="N248" s="6"/>
      <c r="O248" s="6"/>
      <c r="P248" s="6"/>
      <c r="Q248" s="6"/>
      <c r="R248" s="6"/>
      <c r="S248" s="6"/>
      <c r="T248" s="6"/>
      <c r="U248" s="6"/>
      <c r="V248" s="6"/>
      <c r="W248" s="6"/>
    </row>
    <row r="249" spans="1:23" ht="16" x14ac:dyDescent="0.2">
      <c r="A249" s="6"/>
      <c r="B249" s="7"/>
      <c r="C249" s="7"/>
      <c r="D249" s="7"/>
      <c r="E249" s="7"/>
      <c r="F249" s="6"/>
      <c r="G249" s="6"/>
      <c r="H249" s="6"/>
      <c r="I249" s="6"/>
      <c r="J249" s="6"/>
      <c r="K249" s="6"/>
      <c r="L249" s="6"/>
      <c r="M249" s="6"/>
      <c r="N249" s="6"/>
      <c r="O249" s="6"/>
      <c r="P249" s="6"/>
      <c r="Q249" s="6"/>
      <c r="R249" s="6"/>
      <c r="S249" s="6"/>
      <c r="T249" s="6"/>
      <c r="U249" s="6"/>
      <c r="V249" s="6"/>
      <c r="W249" s="6"/>
    </row>
    <row r="250" spans="1:23" ht="16" x14ac:dyDescent="0.2">
      <c r="A250" s="6"/>
      <c r="B250" s="7"/>
      <c r="C250" s="7"/>
      <c r="D250" s="7"/>
      <c r="E250" s="7"/>
      <c r="F250" s="6"/>
      <c r="G250" s="6"/>
      <c r="H250" s="6"/>
      <c r="I250" s="6"/>
      <c r="J250" s="6"/>
      <c r="K250" s="6"/>
      <c r="L250" s="6"/>
      <c r="M250" s="6"/>
      <c r="N250" s="6"/>
      <c r="O250" s="6"/>
      <c r="P250" s="6"/>
      <c r="Q250" s="6"/>
      <c r="R250" s="6"/>
      <c r="S250" s="6"/>
      <c r="T250" s="6"/>
      <c r="U250" s="6"/>
      <c r="V250" s="6"/>
      <c r="W250" s="6"/>
    </row>
    <row r="251" spans="1:23" ht="16" x14ac:dyDescent="0.2">
      <c r="A251" s="6"/>
      <c r="B251" s="7"/>
      <c r="C251" s="7"/>
      <c r="D251" s="7"/>
      <c r="E251" s="7"/>
      <c r="F251" s="6"/>
      <c r="G251" s="6"/>
      <c r="H251" s="6"/>
      <c r="I251" s="6"/>
      <c r="J251" s="6"/>
      <c r="K251" s="6"/>
      <c r="L251" s="6"/>
      <c r="M251" s="6"/>
      <c r="N251" s="6"/>
      <c r="O251" s="6"/>
      <c r="P251" s="6"/>
      <c r="Q251" s="6"/>
      <c r="R251" s="6"/>
      <c r="S251" s="6"/>
      <c r="T251" s="6"/>
      <c r="U251" s="6"/>
      <c r="V251" s="6"/>
      <c r="W251" s="6"/>
    </row>
    <row r="252" spans="1:23" ht="16" x14ac:dyDescent="0.2">
      <c r="A252" s="6"/>
      <c r="B252" s="7"/>
      <c r="C252" s="7"/>
      <c r="D252" s="7"/>
      <c r="E252" s="7"/>
      <c r="F252" s="6"/>
      <c r="G252" s="6"/>
      <c r="H252" s="6"/>
      <c r="I252" s="6"/>
      <c r="J252" s="6"/>
      <c r="K252" s="6"/>
      <c r="L252" s="6"/>
      <c r="M252" s="6"/>
      <c r="N252" s="6"/>
      <c r="O252" s="6"/>
      <c r="P252" s="6"/>
      <c r="Q252" s="6"/>
      <c r="R252" s="6"/>
      <c r="S252" s="6"/>
      <c r="T252" s="6"/>
      <c r="U252" s="6"/>
      <c r="V252" s="6"/>
      <c r="W252" s="6"/>
    </row>
    <row r="253" spans="1:23" ht="16" x14ac:dyDescent="0.2">
      <c r="A253" s="6"/>
      <c r="B253" s="7"/>
      <c r="C253" s="7"/>
      <c r="D253" s="7"/>
      <c r="E253" s="7"/>
      <c r="F253" s="6"/>
      <c r="G253" s="6"/>
      <c r="H253" s="6"/>
      <c r="I253" s="6"/>
      <c r="J253" s="6"/>
      <c r="K253" s="6"/>
      <c r="L253" s="6"/>
      <c r="M253" s="6"/>
      <c r="N253" s="6"/>
      <c r="O253" s="6"/>
      <c r="P253" s="6"/>
      <c r="Q253" s="6"/>
      <c r="R253" s="6"/>
      <c r="S253" s="6"/>
      <c r="T253" s="6"/>
      <c r="U253" s="6"/>
      <c r="V253" s="6"/>
      <c r="W253" s="6"/>
    </row>
    <row r="254" spans="1:23" ht="16" x14ac:dyDescent="0.2">
      <c r="A254" s="6"/>
      <c r="B254" s="7"/>
      <c r="C254" s="7"/>
      <c r="D254" s="7"/>
      <c r="E254" s="7"/>
      <c r="F254" s="6"/>
      <c r="G254" s="6"/>
      <c r="H254" s="6"/>
      <c r="I254" s="6"/>
      <c r="J254" s="6"/>
      <c r="K254" s="6"/>
      <c r="L254" s="6"/>
      <c r="M254" s="6"/>
      <c r="N254" s="6"/>
      <c r="O254" s="6"/>
      <c r="P254" s="6"/>
      <c r="Q254" s="6"/>
      <c r="R254" s="6"/>
      <c r="S254" s="6"/>
      <c r="T254" s="6"/>
      <c r="U254" s="6"/>
      <c r="V254" s="6"/>
      <c r="W254" s="6"/>
    </row>
    <row r="255" spans="1:23" ht="16" x14ac:dyDescent="0.2">
      <c r="A255" s="6"/>
      <c r="B255" s="7"/>
      <c r="C255" s="7"/>
      <c r="D255" s="7"/>
      <c r="E255" s="7"/>
      <c r="F255" s="6"/>
      <c r="G255" s="6"/>
      <c r="H255" s="6"/>
      <c r="I255" s="6"/>
      <c r="J255" s="6"/>
      <c r="K255" s="6"/>
      <c r="L255" s="6"/>
      <c r="M255" s="6"/>
      <c r="N255" s="6"/>
      <c r="O255" s="6"/>
      <c r="P255" s="6"/>
      <c r="Q255" s="6"/>
      <c r="R255" s="6"/>
      <c r="S255" s="6"/>
      <c r="T255" s="6"/>
      <c r="U255" s="6"/>
      <c r="V255" s="6"/>
      <c r="W255" s="6"/>
    </row>
    <row r="256" spans="1:23" ht="16" x14ac:dyDescent="0.2">
      <c r="A256" s="6"/>
      <c r="B256" s="7"/>
      <c r="C256" s="7"/>
      <c r="D256" s="7"/>
      <c r="E256" s="7"/>
      <c r="F256" s="6"/>
      <c r="G256" s="6"/>
      <c r="H256" s="6"/>
      <c r="I256" s="6"/>
      <c r="J256" s="6"/>
      <c r="K256" s="6"/>
      <c r="L256" s="6"/>
      <c r="M256" s="6"/>
      <c r="N256" s="6"/>
      <c r="O256" s="6"/>
      <c r="P256" s="6"/>
      <c r="Q256" s="6"/>
      <c r="R256" s="6"/>
      <c r="S256" s="6"/>
      <c r="T256" s="6"/>
      <c r="U256" s="6"/>
      <c r="V256" s="6"/>
      <c r="W256" s="6"/>
    </row>
    <row r="257" spans="1:23" ht="16" x14ac:dyDescent="0.2">
      <c r="A257" s="6"/>
      <c r="B257" s="7"/>
      <c r="C257" s="7"/>
      <c r="D257" s="7"/>
      <c r="E257" s="7"/>
      <c r="F257" s="6"/>
      <c r="G257" s="6"/>
      <c r="H257" s="6"/>
      <c r="I257" s="6"/>
      <c r="J257" s="6"/>
      <c r="K257" s="6"/>
      <c r="L257" s="6"/>
      <c r="M257" s="6"/>
      <c r="N257" s="6"/>
      <c r="O257" s="6"/>
      <c r="P257" s="6"/>
      <c r="Q257" s="6"/>
      <c r="R257" s="6"/>
      <c r="S257" s="6"/>
      <c r="T257" s="6"/>
      <c r="U257" s="6"/>
      <c r="V257" s="6"/>
      <c r="W257" s="6"/>
    </row>
    <row r="258" spans="1:23" ht="16" x14ac:dyDescent="0.2">
      <c r="A258" s="6"/>
      <c r="B258" s="7"/>
      <c r="C258" s="7"/>
      <c r="D258" s="7"/>
      <c r="E258" s="7"/>
      <c r="F258" s="6"/>
      <c r="G258" s="6"/>
      <c r="H258" s="6"/>
      <c r="I258" s="6"/>
      <c r="J258" s="6"/>
      <c r="K258" s="6"/>
      <c r="L258" s="6"/>
      <c r="M258" s="6"/>
      <c r="N258" s="6"/>
      <c r="O258" s="6"/>
      <c r="P258" s="6"/>
      <c r="Q258" s="6"/>
      <c r="R258" s="6"/>
      <c r="S258" s="6"/>
      <c r="T258" s="6"/>
      <c r="U258" s="6"/>
      <c r="V258" s="6"/>
      <c r="W258" s="6"/>
    </row>
    <row r="259" spans="1:23" ht="16" x14ac:dyDescent="0.2">
      <c r="A259" s="6"/>
      <c r="B259" s="7"/>
      <c r="C259" s="7"/>
      <c r="D259" s="7"/>
      <c r="E259" s="7"/>
      <c r="F259" s="6"/>
      <c r="G259" s="6"/>
      <c r="H259" s="6"/>
      <c r="I259" s="6"/>
      <c r="J259" s="6"/>
      <c r="K259" s="6"/>
      <c r="L259" s="6"/>
      <c r="M259" s="6"/>
      <c r="N259" s="6"/>
      <c r="O259" s="6"/>
      <c r="P259" s="6"/>
      <c r="Q259" s="6"/>
      <c r="R259" s="6"/>
      <c r="S259" s="6"/>
      <c r="T259" s="6"/>
      <c r="U259" s="6"/>
      <c r="V259" s="6"/>
      <c r="W259" s="6"/>
    </row>
    <row r="260" spans="1:23" ht="16" x14ac:dyDescent="0.2">
      <c r="A260" s="6"/>
      <c r="B260" s="7"/>
      <c r="C260" s="7"/>
      <c r="D260" s="7"/>
      <c r="E260" s="7"/>
      <c r="F260" s="6"/>
      <c r="G260" s="6"/>
      <c r="H260" s="6"/>
      <c r="I260" s="6"/>
      <c r="J260" s="6"/>
      <c r="K260" s="6"/>
      <c r="L260" s="6"/>
      <c r="M260" s="6"/>
      <c r="N260" s="6"/>
      <c r="O260" s="6"/>
      <c r="P260" s="6"/>
      <c r="Q260" s="6"/>
      <c r="R260" s="6"/>
      <c r="S260" s="6"/>
      <c r="T260" s="6"/>
      <c r="U260" s="6"/>
      <c r="V260" s="6"/>
      <c r="W260" s="6"/>
    </row>
    <row r="261" spans="1:23" ht="16" x14ac:dyDescent="0.2">
      <c r="A261" s="6"/>
      <c r="B261" s="7"/>
      <c r="C261" s="7"/>
      <c r="D261" s="7"/>
      <c r="E261" s="7"/>
      <c r="F261" s="6"/>
      <c r="G261" s="6"/>
      <c r="H261" s="6"/>
      <c r="I261" s="6"/>
      <c r="J261" s="6"/>
      <c r="K261" s="6"/>
      <c r="L261" s="6"/>
      <c r="M261" s="6"/>
      <c r="N261" s="6"/>
      <c r="O261" s="6"/>
      <c r="P261" s="6"/>
      <c r="Q261" s="6"/>
      <c r="R261" s="6"/>
      <c r="S261" s="6"/>
      <c r="T261" s="6"/>
      <c r="U261" s="6"/>
      <c r="V261" s="6"/>
      <c r="W261" s="6"/>
    </row>
    <row r="262" spans="1:23" ht="16" x14ac:dyDescent="0.2">
      <c r="A262" s="6"/>
      <c r="B262" s="7"/>
      <c r="C262" s="7"/>
      <c r="D262" s="7"/>
      <c r="E262" s="7"/>
      <c r="F262" s="6"/>
      <c r="G262" s="6"/>
      <c r="H262" s="6"/>
      <c r="I262" s="6"/>
      <c r="J262" s="6"/>
      <c r="K262" s="6"/>
      <c r="L262" s="6"/>
      <c r="M262" s="6"/>
      <c r="N262" s="6"/>
      <c r="O262" s="6"/>
      <c r="P262" s="6"/>
      <c r="Q262" s="6"/>
      <c r="R262" s="6"/>
      <c r="S262" s="6"/>
      <c r="T262" s="6"/>
      <c r="U262" s="6"/>
      <c r="V262" s="6"/>
      <c r="W262" s="6"/>
    </row>
    <row r="263" spans="1:23" ht="16" x14ac:dyDescent="0.2">
      <c r="A263" s="6"/>
      <c r="B263" s="7"/>
      <c r="C263" s="7"/>
      <c r="D263" s="7"/>
      <c r="E263" s="7"/>
      <c r="F263" s="6"/>
      <c r="G263" s="6"/>
      <c r="H263" s="6"/>
      <c r="I263" s="6"/>
      <c r="J263" s="6"/>
      <c r="K263" s="6"/>
      <c r="L263" s="6"/>
      <c r="M263" s="6"/>
      <c r="N263" s="6"/>
      <c r="O263" s="6"/>
      <c r="P263" s="6"/>
      <c r="Q263" s="6"/>
      <c r="R263" s="6"/>
      <c r="S263" s="6"/>
      <c r="T263" s="6"/>
      <c r="U263" s="6"/>
      <c r="V263" s="6"/>
      <c r="W263" s="6"/>
    </row>
    <row r="264" spans="1:23" ht="16" x14ac:dyDescent="0.2">
      <c r="A264" s="6"/>
      <c r="B264" s="7"/>
      <c r="C264" s="7"/>
      <c r="D264" s="7"/>
      <c r="E264" s="7"/>
      <c r="F264" s="6"/>
      <c r="G264" s="6"/>
      <c r="H264" s="6"/>
      <c r="I264" s="6"/>
      <c r="J264" s="6"/>
      <c r="K264" s="6"/>
      <c r="L264" s="6"/>
      <c r="M264" s="6"/>
      <c r="N264" s="6"/>
      <c r="O264" s="6"/>
      <c r="P264" s="6"/>
      <c r="Q264" s="6"/>
      <c r="R264" s="6"/>
      <c r="S264" s="6"/>
      <c r="T264" s="6"/>
      <c r="U264" s="6"/>
      <c r="V264" s="6"/>
      <c r="W264" s="6"/>
    </row>
    <row r="265" spans="1:23" ht="16" x14ac:dyDescent="0.2">
      <c r="A265" s="6"/>
      <c r="B265" s="7"/>
      <c r="C265" s="7"/>
      <c r="D265" s="7"/>
      <c r="E265" s="7"/>
      <c r="F265" s="6"/>
      <c r="G265" s="6"/>
      <c r="H265" s="6"/>
      <c r="I265" s="6"/>
      <c r="J265" s="6"/>
      <c r="K265" s="6"/>
      <c r="L265" s="6"/>
      <c r="M265" s="6"/>
      <c r="N265" s="6"/>
      <c r="O265" s="6"/>
      <c r="P265" s="6"/>
      <c r="Q265" s="6"/>
      <c r="R265" s="6"/>
      <c r="S265" s="6"/>
      <c r="T265" s="6"/>
      <c r="U265" s="6"/>
      <c r="V265" s="6"/>
      <c r="W265" s="6"/>
    </row>
    <row r="266" spans="1:23" ht="16" x14ac:dyDescent="0.2">
      <c r="A266" s="6"/>
      <c r="B266" s="7"/>
      <c r="C266" s="7"/>
      <c r="D266" s="7"/>
      <c r="E266" s="7"/>
      <c r="F266" s="6"/>
      <c r="G266" s="6"/>
      <c r="H266" s="6"/>
      <c r="I266" s="6"/>
      <c r="J266" s="6"/>
      <c r="K266" s="6"/>
      <c r="L266" s="6"/>
      <c r="M266" s="6"/>
      <c r="N266" s="6"/>
      <c r="O266" s="6"/>
      <c r="P266" s="6"/>
      <c r="Q266" s="6"/>
      <c r="R266" s="6"/>
      <c r="S266" s="6"/>
      <c r="T266" s="6"/>
      <c r="U266" s="6"/>
      <c r="V266" s="6"/>
      <c r="W266" s="6"/>
    </row>
    <row r="267" spans="1:23" ht="16" x14ac:dyDescent="0.2">
      <c r="A267" s="6"/>
      <c r="B267" s="7"/>
      <c r="C267" s="7"/>
      <c r="D267" s="7"/>
      <c r="E267" s="7"/>
      <c r="F267" s="6"/>
      <c r="G267" s="6"/>
      <c r="H267" s="6"/>
      <c r="I267" s="6"/>
      <c r="J267" s="6"/>
      <c r="K267" s="6"/>
      <c r="L267" s="6"/>
      <c r="M267" s="6"/>
      <c r="N267" s="6"/>
      <c r="O267" s="6"/>
      <c r="P267" s="6"/>
      <c r="Q267" s="6"/>
      <c r="R267" s="6"/>
      <c r="S267" s="6"/>
      <c r="T267" s="6"/>
      <c r="U267" s="6"/>
      <c r="V267" s="6"/>
      <c r="W267" s="6"/>
    </row>
    <row r="268" spans="1:23" ht="16" x14ac:dyDescent="0.2">
      <c r="A268" s="6"/>
      <c r="B268" s="7"/>
      <c r="C268" s="7"/>
      <c r="D268" s="7"/>
      <c r="E268" s="7"/>
      <c r="F268" s="6"/>
      <c r="G268" s="6"/>
      <c r="H268" s="6"/>
      <c r="I268" s="6"/>
      <c r="J268" s="6"/>
      <c r="K268" s="6"/>
      <c r="L268" s="6"/>
      <c r="M268" s="6"/>
      <c r="N268" s="6"/>
      <c r="O268" s="6"/>
      <c r="P268" s="6"/>
      <c r="Q268" s="6"/>
      <c r="R268" s="6"/>
      <c r="S268" s="6"/>
      <c r="T268" s="6"/>
      <c r="U268" s="6"/>
      <c r="V268" s="6"/>
      <c r="W268" s="6"/>
    </row>
    <row r="269" spans="1:23" ht="16" x14ac:dyDescent="0.2">
      <c r="A269" s="6"/>
      <c r="B269" s="7"/>
      <c r="C269" s="7"/>
      <c r="D269" s="7"/>
      <c r="E269" s="7"/>
      <c r="F269" s="6"/>
      <c r="G269" s="6"/>
      <c r="H269" s="6"/>
      <c r="I269" s="6"/>
      <c r="J269" s="6"/>
      <c r="K269" s="6"/>
      <c r="L269" s="6"/>
      <c r="M269" s="6"/>
      <c r="N269" s="6"/>
      <c r="O269" s="6"/>
      <c r="P269" s="6"/>
      <c r="Q269" s="6"/>
      <c r="R269" s="6"/>
      <c r="S269" s="6"/>
      <c r="T269" s="6"/>
      <c r="U269" s="6"/>
      <c r="V269" s="6"/>
      <c r="W269" s="6"/>
    </row>
    <row r="270" spans="1:23" ht="16" x14ac:dyDescent="0.2">
      <c r="A270" s="6"/>
      <c r="B270" s="7"/>
      <c r="C270" s="7"/>
      <c r="D270" s="7"/>
      <c r="E270" s="7"/>
      <c r="F270" s="6"/>
      <c r="G270" s="6"/>
      <c r="H270" s="6"/>
      <c r="I270" s="6"/>
      <c r="J270" s="6"/>
      <c r="K270" s="6"/>
      <c r="L270" s="6"/>
      <c r="M270" s="6"/>
      <c r="N270" s="6"/>
      <c r="O270" s="6"/>
      <c r="P270" s="6"/>
      <c r="Q270" s="6"/>
      <c r="R270" s="6"/>
      <c r="S270" s="6"/>
      <c r="T270" s="6"/>
      <c r="U270" s="6"/>
      <c r="V270" s="6"/>
      <c r="W270" s="6"/>
    </row>
    <row r="271" spans="1:23" ht="16" x14ac:dyDescent="0.2">
      <c r="A271" s="6"/>
      <c r="B271" s="7"/>
      <c r="C271" s="7"/>
      <c r="D271" s="7"/>
      <c r="E271" s="7"/>
      <c r="F271" s="6"/>
      <c r="G271" s="6"/>
      <c r="H271" s="6"/>
      <c r="I271" s="6"/>
      <c r="J271" s="6"/>
      <c r="K271" s="6"/>
      <c r="L271" s="6"/>
      <c r="M271" s="6"/>
      <c r="N271" s="6"/>
      <c r="O271" s="6"/>
      <c r="P271" s="6"/>
      <c r="Q271" s="6"/>
      <c r="R271" s="6"/>
      <c r="S271" s="6"/>
      <c r="T271" s="6"/>
      <c r="U271" s="6"/>
      <c r="V271" s="6"/>
      <c r="W271" s="6"/>
    </row>
    <row r="272" spans="1:23" ht="16" x14ac:dyDescent="0.2">
      <c r="A272" s="6"/>
      <c r="B272" s="7"/>
      <c r="C272" s="7"/>
      <c r="D272" s="7"/>
      <c r="E272" s="7"/>
      <c r="F272" s="6"/>
      <c r="G272" s="6"/>
      <c r="H272" s="6"/>
      <c r="I272" s="6"/>
      <c r="J272" s="6"/>
      <c r="K272" s="6"/>
      <c r="L272" s="6"/>
      <c r="M272" s="6"/>
      <c r="N272" s="6"/>
      <c r="O272" s="6"/>
      <c r="P272" s="6"/>
      <c r="Q272" s="6"/>
      <c r="R272" s="6"/>
      <c r="S272" s="6"/>
      <c r="T272" s="6"/>
      <c r="U272" s="6"/>
      <c r="V272" s="6"/>
      <c r="W272" s="6"/>
    </row>
    <row r="273" spans="1:23" ht="16" x14ac:dyDescent="0.2">
      <c r="A273" s="6"/>
      <c r="B273" s="7"/>
      <c r="C273" s="7"/>
      <c r="D273" s="7"/>
      <c r="E273" s="7"/>
      <c r="F273" s="6"/>
      <c r="G273" s="6"/>
      <c r="H273" s="6"/>
      <c r="I273" s="6"/>
      <c r="J273" s="6"/>
      <c r="K273" s="6"/>
      <c r="L273" s="6"/>
      <c r="M273" s="6"/>
      <c r="N273" s="6"/>
      <c r="O273" s="6"/>
      <c r="P273" s="6"/>
      <c r="Q273" s="6"/>
      <c r="R273" s="6"/>
      <c r="S273" s="6"/>
      <c r="T273" s="6"/>
      <c r="U273" s="6"/>
      <c r="V273" s="6"/>
      <c r="W273" s="6"/>
    </row>
    <row r="274" spans="1:23" ht="16" x14ac:dyDescent="0.2">
      <c r="A274" s="6"/>
      <c r="B274" s="7"/>
      <c r="C274" s="7"/>
      <c r="D274" s="7"/>
      <c r="E274" s="7"/>
      <c r="F274" s="6"/>
      <c r="G274" s="6"/>
      <c r="H274" s="6"/>
      <c r="I274" s="6"/>
      <c r="J274" s="6"/>
      <c r="K274" s="6"/>
      <c r="L274" s="6"/>
      <c r="M274" s="6"/>
      <c r="N274" s="6"/>
      <c r="O274" s="6"/>
      <c r="P274" s="6"/>
      <c r="Q274" s="6"/>
      <c r="R274" s="6"/>
      <c r="S274" s="6"/>
      <c r="T274" s="6"/>
      <c r="U274" s="6"/>
      <c r="V274" s="6"/>
      <c r="W274" s="6"/>
    </row>
    <row r="275" spans="1:23" ht="16" x14ac:dyDescent="0.2">
      <c r="A275" s="6"/>
      <c r="B275" s="7"/>
      <c r="C275" s="7"/>
      <c r="D275" s="7"/>
      <c r="E275" s="7"/>
      <c r="F275" s="6"/>
      <c r="G275" s="6"/>
      <c r="H275" s="6"/>
      <c r="I275" s="6"/>
      <c r="J275" s="6"/>
      <c r="K275" s="6"/>
      <c r="L275" s="6"/>
      <c r="M275" s="6"/>
      <c r="N275" s="6"/>
      <c r="O275" s="6"/>
      <c r="P275" s="6"/>
      <c r="Q275" s="6"/>
      <c r="R275" s="6"/>
      <c r="S275" s="6"/>
      <c r="T275" s="6"/>
      <c r="U275" s="6"/>
      <c r="V275" s="6"/>
      <c r="W275" s="6"/>
    </row>
    <row r="276" spans="1:23" ht="16" x14ac:dyDescent="0.2">
      <c r="A276" s="6"/>
      <c r="B276" s="7"/>
      <c r="C276" s="7"/>
      <c r="D276" s="7"/>
      <c r="E276" s="7"/>
      <c r="F276" s="6"/>
      <c r="G276" s="6"/>
      <c r="H276" s="6"/>
      <c r="I276" s="6"/>
      <c r="J276" s="6"/>
      <c r="K276" s="6"/>
      <c r="L276" s="6"/>
      <c r="M276" s="6"/>
      <c r="N276" s="6"/>
      <c r="O276" s="6"/>
      <c r="P276" s="6"/>
      <c r="Q276" s="6"/>
      <c r="R276" s="6"/>
      <c r="S276" s="6"/>
      <c r="T276" s="6"/>
      <c r="U276" s="6"/>
      <c r="V276" s="6"/>
      <c r="W276" s="6"/>
    </row>
    <row r="277" spans="1:23" ht="16" x14ac:dyDescent="0.2">
      <c r="A277" s="6"/>
      <c r="B277" s="7"/>
      <c r="C277" s="7"/>
      <c r="D277" s="7"/>
      <c r="E277" s="7"/>
      <c r="F277" s="6"/>
      <c r="G277" s="6"/>
      <c r="H277" s="6"/>
      <c r="I277" s="6"/>
      <c r="J277" s="6"/>
      <c r="K277" s="6"/>
      <c r="L277" s="6"/>
      <c r="M277" s="6"/>
      <c r="N277" s="6"/>
      <c r="O277" s="6"/>
      <c r="P277" s="6"/>
      <c r="Q277" s="6"/>
      <c r="R277" s="6"/>
      <c r="S277" s="6"/>
      <c r="T277" s="6"/>
      <c r="U277" s="6"/>
      <c r="V277" s="6"/>
      <c r="W277" s="6"/>
    </row>
    <row r="278" spans="1:23" ht="16" x14ac:dyDescent="0.2">
      <c r="A278" s="6"/>
      <c r="B278" s="7"/>
      <c r="C278" s="7"/>
      <c r="D278" s="7"/>
      <c r="E278" s="7"/>
      <c r="F278" s="6"/>
      <c r="G278" s="6"/>
      <c r="H278" s="6"/>
      <c r="I278" s="6"/>
      <c r="J278" s="6"/>
      <c r="K278" s="6"/>
      <c r="L278" s="6"/>
      <c r="M278" s="6"/>
      <c r="N278" s="6"/>
      <c r="O278" s="6"/>
      <c r="P278" s="6"/>
      <c r="Q278" s="6"/>
      <c r="R278" s="6"/>
      <c r="S278" s="6"/>
      <c r="T278" s="6"/>
      <c r="U278" s="6"/>
      <c r="V278" s="6"/>
      <c r="W278" s="6"/>
    </row>
    <row r="279" spans="1:23" ht="16" x14ac:dyDescent="0.2">
      <c r="A279" s="6"/>
      <c r="B279" s="7"/>
      <c r="C279" s="7"/>
      <c r="D279" s="7"/>
      <c r="E279" s="7"/>
      <c r="F279" s="6"/>
      <c r="G279" s="6"/>
      <c r="H279" s="6"/>
      <c r="I279" s="6"/>
      <c r="J279" s="6"/>
      <c r="K279" s="6"/>
      <c r="L279" s="6"/>
      <c r="M279" s="6"/>
      <c r="N279" s="6"/>
      <c r="O279" s="6"/>
      <c r="P279" s="6"/>
      <c r="Q279" s="6"/>
      <c r="R279" s="6"/>
      <c r="S279" s="6"/>
      <c r="T279" s="6"/>
      <c r="U279" s="6"/>
      <c r="V279" s="6"/>
      <c r="W279" s="6"/>
    </row>
    <row r="280" spans="1:23" ht="16" x14ac:dyDescent="0.2">
      <c r="A280" s="6"/>
      <c r="B280" s="7"/>
      <c r="C280" s="7"/>
      <c r="D280" s="7"/>
      <c r="E280" s="7"/>
      <c r="F280" s="6"/>
      <c r="G280" s="6"/>
      <c r="H280" s="6"/>
      <c r="I280" s="6"/>
      <c r="J280" s="6"/>
      <c r="K280" s="6"/>
      <c r="L280" s="6"/>
      <c r="M280" s="6"/>
      <c r="N280" s="6"/>
      <c r="O280" s="6"/>
      <c r="P280" s="6"/>
      <c r="Q280" s="6"/>
      <c r="R280" s="6"/>
      <c r="S280" s="6"/>
      <c r="T280" s="6"/>
      <c r="U280" s="6"/>
      <c r="V280" s="6"/>
      <c r="W280" s="6"/>
    </row>
    <row r="281" spans="1:23" ht="16" x14ac:dyDescent="0.2">
      <c r="A281" s="6"/>
      <c r="B281" s="7"/>
      <c r="C281" s="7"/>
      <c r="D281" s="7"/>
      <c r="E281" s="7"/>
      <c r="F281" s="6"/>
      <c r="G281" s="6"/>
      <c r="H281" s="6"/>
      <c r="I281" s="6"/>
      <c r="J281" s="6"/>
      <c r="K281" s="6"/>
      <c r="L281" s="6"/>
      <c r="M281" s="6"/>
      <c r="N281" s="6"/>
      <c r="O281" s="6"/>
      <c r="P281" s="6"/>
      <c r="Q281" s="6"/>
      <c r="R281" s="6"/>
      <c r="S281" s="6"/>
      <c r="T281" s="6"/>
      <c r="U281" s="6"/>
      <c r="V281" s="6"/>
      <c r="W281" s="6"/>
    </row>
    <row r="282" spans="1:23" ht="16" x14ac:dyDescent="0.2">
      <c r="A282" s="6"/>
      <c r="B282" s="7"/>
      <c r="C282" s="7"/>
      <c r="D282" s="7"/>
      <c r="E282" s="7"/>
      <c r="F282" s="6"/>
      <c r="G282" s="6"/>
      <c r="H282" s="6"/>
      <c r="I282" s="6"/>
      <c r="J282" s="6"/>
      <c r="K282" s="6"/>
      <c r="L282" s="6"/>
      <c r="M282" s="6"/>
      <c r="N282" s="6"/>
      <c r="O282" s="6"/>
      <c r="P282" s="6"/>
      <c r="Q282" s="6"/>
      <c r="R282" s="6"/>
      <c r="S282" s="6"/>
      <c r="T282" s="6"/>
      <c r="U282" s="6"/>
      <c r="V282" s="6"/>
      <c r="W282" s="6"/>
    </row>
    <row r="283" spans="1:23" ht="16" x14ac:dyDescent="0.2">
      <c r="A283" s="6"/>
      <c r="B283" s="7"/>
      <c r="C283" s="7"/>
      <c r="D283" s="7"/>
      <c r="E283" s="7"/>
      <c r="F283" s="6"/>
      <c r="G283" s="6"/>
      <c r="H283" s="6"/>
      <c r="I283" s="6"/>
      <c r="J283" s="6"/>
      <c r="K283" s="6"/>
      <c r="L283" s="6"/>
      <c r="M283" s="6"/>
      <c r="N283" s="6"/>
      <c r="O283" s="6"/>
      <c r="P283" s="6"/>
      <c r="Q283" s="6"/>
      <c r="R283" s="6"/>
      <c r="S283" s="6"/>
      <c r="T283" s="6"/>
      <c r="U283" s="6"/>
      <c r="V283" s="6"/>
      <c r="W283" s="6"/>
    </row>
    <row r="284" spans="1:23" ht="16" x14ac:dyDescent="0.2">
      <c r="A284" s="6"/>
      <c r="B284" s="7"/>
      <c r="C284" s="7"/>
      <c r="D284" s="7"/>
      <c r="E284" s="7"/>
      <c r="F284" s="6"/>
      <c r="G284" s="6"/>
      <c r="H284" s="6"/>
      <c r="I284" s="6"/>
      <c r="J284" s="6"/>
      <c r="K284" s="6"/>
      <c r="L284" s="6"/>
      <c r="M284" s="6"/>
      <c r="N284" s="6"/>
      <c r="O284" s="6"/>
      <c r="P284" s="6"/>
      <c r="Q284" s="6"/>
      <c r="R284" s="6"/>
      <c r="S284" s="6"/>
      <c r="T284" s="6"/>
      <c r="U284" s="6"/>
      <c r="V284" s="6"/>
      <c r="W284" s="6"/>
    </row>
    <row r="285" spans="1:23" ht="16" x14ac:dyDescent="0.2">
      <c r="A285" s="6"/>
      <c r="B285" s="7"/>
      <c r="C285" s="7"/>
      <c r="D285" s="7"/>
      <c r="E285" s="7"/>
      <c r="F285" s="6"/>
      <c r="G285" s="6"/>
      <c r="H285" s="6"/>
      <c r="I285" s="6"/>
      <c r="J285" s="6"/>
      <c r="K285" s="6"/>
      <c r="L285" s="6"/>
      <c r="M285" s="6"/>
      <c r="N285" s="6"/>
      <c r="O285" s="6"/>
      <c r="P285" s="6"/>
      <c r="Q285" s="6"/>
      <c r="R285" s="6"/>
      <c r="S285" s="6"/>
      <c r="T285" s="6"/>
      <c r="U285" s="6"/>
      <c r="V285" s="6"/>
      <c r="W285" s="6"/>
    </row>
    <row r="286" spans="1:23" ht="16" x14ac:dyDescent="0.2">
      <c r="A286" s="6"/>
      <c r="B286" s="7"/>
      <c r="C286" s="7"/>
      <c r="D286" s="7"/>
      <c r="E286" s="7"/>
      <c r="F286" s="6"/>
      <c r="G286" s="6"/>
      <c r="H286" s="6"/>
      <c r="I286" s="6"/>
      <c r="J286" s="6"/>
      <c r="K286" s="6"/>
      <c r="L286" s="6"/>
      <c r="M286" s="6"/>
      <c r="N286" s="6"/>
      <c r="O286" s="6"/>
      <c r="P286" s="6"/>
      <c r="Q286" s="6"/>
      <c r="R286" s="6"/>
      <c r="S286" s="6"/>
      <c r="T286" s="6"/>
      <c r="U286" s="6"/>
      <c r="V286" s="6"/>
      <c r="W286" s="6"/>
    </row>
    <row r="287" spans="1:23" ht="16" x14ac:dyDescent="0.2">
      <c r="A287" s="6"/>
      <c r="B287" s="7"/>
      <c r="C287" s="7"/>
      <c r="D287" s="7"/>
      <c r="E287" s="7"/>
      <c r="F287" s="6"/>
      <c r="G287" s="6"/>
      <c r="H287" s="6"/>
      <c r="I287" s="6"/>
      <c r="J287" s="6"/>
      <c r="K287" s="6"/>
      <c r="L287" s="6"/>
      <c r="M287" s="6"/>
      <c r="N287" s="6"/>
      <c r="O287" s="6"/>
      <c r="P287" s="6"/>
      <c r="Q287" s="6"/>
      <c r="R287" s="6"/>
      <c r="S287" s="6"/>
      <c r="T287" s="6"/>
      <c r="U287" s="6"/>
      <c r="V287" s="6"/>
      <c r="W287" s="6"/>
    </row>
    <row r="288" spans="1:23" ht="16" x14ac:dyDescent="0.2">
      <c r="A288" s="6"/>
      <c r="B288" s="7"/>
      <c r="C288" s="7"/>
      <c r="D288" s="7"/>
      <c r="E288" s="7"/>
      <c r="F288" s="6"/>
      <c r="G288" s="6"/>
      <c r="H288" s="6"/>
      <c r="I288" s="6"/>
      <c r="J288" s="6"/>
      <c r="K288" s="6"/>
      <c r="L288" s="6"/>
      <c r="M288" s="6"/>
      <c r="N288" s="6"/>
      <c r="O288" s="6"/>
      <c r="P288" s="6"/>
      <c r="Q288" s="6"/>
      <c r="R288" s="6"/>
      <c r="S288" s="6"/>
      <c r="T288" s="6"/>
      <c r="U288" s="6"/>
      <c r="V288" s="6"/>
      <c r="W288" s="6"/>
    </row>
    <row r="289" spans="1:23" ht="16" x14ac:dyDescent="0.2">
      <c r="A289" s="6"/>
      <c r="B289" s="7"/>
      <c r="C289" s="7"/>
      <c r="D289" s="7"/>
      <c r="E289" s="7"/>
      <c r="F289" s="6"/>
      <c r="G289" s="6"/>
      <c r="H289" s="6"/>
      <c r="I289" s="6"/>
      <c r="J289" s="6"/>
      <c r="K289" s="6"/>
      <c r="L289" s="6"/>
      <c r="M289" s="6"/>
      <c r="N289" s="6"/>
      <c r="O289" s="6"/>
      <c r="P289" s="6"/>
      <c r="Q289" s="6"/>
      <c r="R289" s="6"/>
      <c r="S289" s="6"/>
      <c r="T289" s="6"/>
      <c r="U289" s="6"/>
      <c r="V289" s="6"/>
      <c r="W289" s="6"/>
    </row>
    <row r="290" spans="1:23" ht="16" x14ac:dyDescent="0.2">
      <c r="A290" s="6"/>
      <c r="B290" s="7"/>
      <c r="C290" s="7"/>
      <c r="D290" s="7"/>
      <c r="E290" s="7"/>
      <c r="F290" s="6"/>
      <c r="G290" s="6"/>
      <c r="H290" s="6"/>
      <c r="I290" s="6"/>
      <c r="J290" s="6"/>
      <c r="K290" s="6"/>
      <c r="L290" s="6"/>
      <c r="M290" s="6"/>
      <c r="N290" s="6"/>
      <c r="O290" s="6"/>
      <c r="P290" s="6"/>
      <c r="Q290" s="6"/>
      <c r="R290" s="6"/>
      <c r="S290" s="6"/>
      <c r="T290" s="6"/>
      <c r="U290" s="6"/>
      <c r="V290" s="6"/>
      <c r="W290" s="6"/>
    </row>
    <row r="291" spans="1:23" ht="16" x14ac:dyDescent="0.2">
      <c r="A291" s="6"/>
      <c r="B291" s="7"/>
      <c r="C291" s="7"/>
      <c r="D291" s="7"/>
      <c r="E291" s="7"/>
      <c r="F291" s="6"/>
      <c r="G291" s="6"/>
      <c r="H291" s="6"/>
      <c r="I291" s="6"/>
      <c r="J291" s="6"/>
      <c r="K291" s="6"/>
      <c r="L291" s="6"/>
      <c r="M291" s="6"/>
      <c r="N291" s="6"/>
      <c r="O291" s="6"/>
      <c r="P291" s="6"/>
      <c r="Q291" s="6"/>
      <c r="R291" s="6"/>
      <c r="S291" s="6"/>
      <c r="T291" s="6"/>
      <c r="U291" s="6"/>
      <c r="V291" s="6"/>
      <c r="W291" s="6"/>
    </row>
    <row r="292" spans="1:23" ht="16" x14ac:dyDescent="0.2">
      <c r="A292" s="6"/>
      <c r="B292" s="7"/>
      <c r="C292" s="7"/>
      <c r="D292" s="7"/>
      <c r="E292" s="7"/>
      <c r="F292" s="6"/>
      <c r="G292" s="6"/>
      <c r="H292" s="6"/>
      <c r="I292" s="6"/>
      <c r="J292" s="6"/>
      <c r="K292" s="6"/>
      <c r="L292" s="6"/>
      <c r="M292" s="6"/>
      <c r="N292" s="6"/>
      <c r="O292" s="6"/>
      <c r="P292" s="6"/>
      <c r="Q292" s="6"/>
      <c r="R292" s="6"/>
      <c r="S292" s="6"/>
      <c r="T292" s="6"/>
      <c r="U292" s="6"/>
      <c r="V292" s="6"/>
      <c r="W292" s="6"/>
    </row>
    <row r="293" spans="1:23" ht="16" x14ac:dyDescent="0.2">
      <c r="A293" s="6"/>
      <c r="B293" s="7"/>
      <c r="C293" s="7"/>
      <c r="D293" s="7"/>
      <c r="E293" s="7"/>
      <c r="F293" s="6"/>
      <c r="G293" s="6"/>
      <c r="H293" s="6"/>
      <c r="I293" s="6"/>
      <c r="J293" s="6"/>
      <c r="K293" s="6"/>
      <c r="L293" s="6"/>
      <c r="M293" s="6"/>
      <c r="N293" s="6"/>
      <c r="O293" s="6"/>
      <c r="P293" s="6"/>
      <c r="Q293" s="6"/>
      <c r="R293" s="6"/>
      <c r="S293" s="6"/>
      <c r="T293" s="6"/>
      <c r="U293" s="6"/>
      <c r="V293" s="6"/>
      <c r="W293" s="6"/>
    </row>
    <row r="294" spans="1:23" ht="16" x14ac:dyDescent="0.2">
      <c r="A294" s="6"/>
      <c r="B294" s="7"/>
      <c r="C294" s="7"/>
      <c r="D294" s="7"/>
      <c r="E294" s="7"/>
      <c r="F294" s="6"/>
      <c r="G294" s="6"/>
      <c r="H294" s="6"/>
      <c r="I294" s="6"/>
      <c r="J294" s="6"/>
      <c r="K294" s="6"/>
      <c r="L294" s="6"/>
      <c r="M294" s="6"/>
      <c r="N294" s="6"/>
      <c r="O294" s="6"/>
      <c r="P294" s="6"/>
      <c r="Q294" s="6"/>
      <c r="R294" s="6"/>
      <c r="S294" s="6"/>
      <c r="T294" s="6"/>
      <c r="U294" s="6"/>
      <c r="V294" s="6"/>
      <c r="W294" s="6"/>
    </row>
    <row r="295" spans="1:23" ht="16" x14ac:dyDescent="0.2">
      <c r="A295" s="6"/>
      <c r="B295" s="7"/>
      <c r="C295" s="7"/>
      <c r="D295" s="7"/>
      <c r="E295" s="7"/>
      <c r="F295" s="6"/>
      <c r="G295" s="6"/>
      <c r="H295" s="6"/>
      <c r="I295" s="6"/>
      <c r="J295" s="6"/>
      <c r="K295" s="6"/>
      <c r="L295" s="6"/>
      <c r="M295" s="6"/>
      <c r="N295" s="6"/>
      <c r="O295" s="6"/>
      <c r="P295" s="6"/>
      <c r="Q295" s="6"/>
      <c r="R295" s="6"/>
      <c r="S295" s="6"/>
      <c r="T295" s="6"/>
      <c r="U295" s="6"/>
      <c r="V295" s="6"/>
      <c r="W295" s="6"/>
    </row>
    <row r="296" spans="1:23" ht="16" x14ac:dyDescent="0.2">
      <c r="A296" s="6"/>
      <c r="B296" s="7"/>
      <c r="C296" s="7"/>
      <c r="D296" s="7"/>
      <c r="E296" s="7"/>
      <c r="F296" s="6"/>
      <c r="G296" s="6"/>
      <c r="H296" s="6"/>
      <c r="I296" s="6"/>
      <c r="J296" s="6"/>
      <c r="K296" s="6"/>
      <c r="L296" s="6"/>
      <c r="M296" s="6"/>
      <c r="N296" s="6"/>
      <c r="O296" s="6"/>
      <c r="P296" s="6"/>
      <c r="Q296" s="6"/>
      <c r="R296" s="6"/>
      <c r="S296" s="6"/>
      <c r="T296" s="6"/>
      <c r="U296" s="6"/>
      <c r="V296" s="6"/>
      <c r="W296" s="6"/>
    </row>
    <row r="297" spans="1:23" ht="16" x14ac:dyDescent="0.2">
      <c r="A297" s="6"/>
      <c r="B297" s="7"/>
      <c r="C297" s="7"/>
      <c r="D297" s="7"/>
      <c r="E297" s="7"/>
      <c r="F297" s="6"/>
      <c r="G297" s="6"/>
      <c r="H297" s="6"/>
      <c r="I297" s="6"/>
      <c r="J297" s="6"/>
      <c r="K297" s="6"/>
      <c r="L297" s="6"/>
      <c r="M297" s="6"/>
      <c r="N297" s="6"/>
      <c r="O297" s="6"/>
      <c r="P297" s="6"/>
      <c r="Q297" s="6"/>
      <c r="R297" s="6"/>
      <c r="S297" s="6"/>
      <c r="T297" s="6"/>
      <c r="U297" s="6"/>
      <c r="V297" s="6"/>
      <c r="W297" s="6"/>
    </row>
    <row r="298" spans="1:23" ht="16" x14ac:dyDescent="0.2">
      <c r="A298" s="6"/>
      <c r="B298" s="7"/>
      <c r="C298" s="7"/>
      <c r="D298" s="7"/>
      <c r="E298" s="7"/>
      <c r="F298" s="6"/>
      <c r="G298" s="6"/>
      <c r="H298" s="6"/>
      <c r="I298" s="6"/>
      <c r="J298" s="6"/>
      <c r="K298" s="6"/>
      <c r="L298" s="6"/>
      <c r="M298" s="6"/>
      <c r="N298" s="6"/>
      <c r="O298" s="6"/>
      <c r="P298" s="6"/>
      <c r="Q298" s="6"/>
      <c r="R298" s="6"/>
      <c r="S298" s="6"/>
      <c r="T298" s="6"/>
      <c r="U298" s="6"/>
      <c r="V298" s="6"/>
      <c r="W298" s="6"/>
    </row>
    <row r="299" spans="1:23" ht="16" x14ac:dyDescent="0.2">
      <c r="A299" s="6"/>
      <c r="B299" s="7"/>
      <c r="C299" s="7"/>
      <c r="D299" s="7"/>
      <c r="E299" s="7"/>
      <c r="F299" s="6"/>
      <c r="G299" s="6"/>
      <c r="H299" s="6"/>
      <c r="I299" s="6"/>
      <c r="J299" s="6"/>
      <c r="K299" s="6"/>
      <c r="L299" s="6"/>
      <c r="M299" s="6"/>
      <c r="N299" s="6"/>
      <c r="O299" s="6"/>
      <c r="P299" s="6"/>
      <c r="Q299" s="6"/>
      <c r="R299" s="6"/>
      <c r="S299" s="6"/>
      <c r="T299" s="6"/>
      <c r="U299" s="6"/>
      <c r="V299" s="6"/>
      <c r="W299" s="6"/>
    </row>
    <row r="300" spans="1:23" ht="16" x14ac:dyDescent="0.2">
      <c r="A300" s="6"/>
      <c r="B300" s="7"/>
      <c r="C300" s="7"/>
      <c r="D300" s="7"/>
      <c r="E300" s="7"/>
      <c r="F300" s="6"/>
      <c r="G300" s="6"/>
      <c r="H300" s="6"/>
      <c r="I300" s="6"/>
      <c r="J300" s="6"/>
      <c r="K300" s="6"/>
      <c r="L300" s="6"/>
      <c r="M300" s="6"/>
      <c r="N300" s="6"/>
      <c r="O300" s="6"/>
      <c r="P300" s="6"/>
      <c r="Q300" s="6"/>
      <c r="R300" s="6"/>
      <c r="S300" s="6"/>
      <c r="T300" s="6"/>
      <c r="U300" s="6"/>
      <c r="V300" s="6"/>
      <c r="W300" s="6"/>
    </row>
    <row r="301" spans="1:23" ht="16" x14ac:dyDescent="0.2">
      <c r="A301" s="6"/>
      <c r="B301" s="7"/>
      <c r="C301" s="7"/>
      <c r="D301" s="7"/>
      <c r="E301" s="7"/>
      <c r="F301" s="6"/>
      <c r="G301" s="6"/>
      <c r="H301" s="6"/>
      <c r="I301" s="6"/>
      <c r="J301" s="6"/>
      <c r="K301" s="6"/>
      <c r="L301" s="6"/>
      <c r="M301" s="6"/>
      <c r="N301" s="6"/>
      <c r="O301" s="6"/>
      <c r="P301" s="6"/>
      <c r="Q301" s="6"/>
      <c r="R301" s="6"/>
      <c r="S301" s="6"/>
      <c r="T301" s="6"/>
      <c r="U301" s="6"/>
      <c r="V301" s="6"/>
      <c r="W301" s="6"/>
    </row>
    <row r="302" spans="1:23" ht="16" x14ac:dyDescent="0.2">
      <c r="A302" s="6"/>
      <c r="B302" s="7"/>
      <c r="C302" s="7"/>
      <c r="D302" s="7"/>
      <c r="E302" s="7"/>
      <c r="F302" s="6"/>
      <c r="G302" s="6"/>
      <c r="H302" s="6"/>
      <c r="I302" s="6"/>
      <c r="J302" s="6"/>
      <c r="K302" s="6"/>
      <c r="L302" s="6"/>
      <c r="M302" s="6"/>
      <c r="N302" s="6"/>
      <c r="O302" s="6"/>
      <c r="P302" s="6"/>
      <c r="Q302" s="6"/>
      <c r="R302" s="6"/>
      <c r="S302" s="6"/>
      <c r="T302" s="6"/>
      <c r="U302" s="6"/>
      <c r="V302" s="6"/>
      <c r="W302" s="6"/>
    </row>
    <row r="303" spans="1:23" ht="16" x14ac:dyDescent="0.2">
      <c r="A303" s="6"/>
      <c r="B303" s="7"/>
      <c r="C303" s="7"/>
      <c r="D303" s="7"/>
      <c r="E303" s="7"/>
      <c r="F303" s="6"/>
      <c r="G303" s="6"/>
      <c r="H303" s="6"/>
      <c r="I303" s="6"/>
      <c r="J303" s="6"/>
      <c r="K303" s="6"/>
      <c r="L303" s="6"/>
      <c r="M303" s="6"/>
      <c r="N303" s="6"/>
      <c r="O303" s="6"/>
      <c r="P303" s="6"/>
      <c r="Q303" s="6"/>
      <c r="R303" s="6"/>
      <c r="S303" s="6"/>
      <c r="T303" s="6"/>
      <c r="U303" s="6"/>
      <c r="V303" s="6"/>
      <c r="W303" s="6"/>
    </row>
    <row r="304" spans="1:23" ht="16" x14ac:dyDescent="0.2">
      <c r="A304" s="6"/>
      <c r="B304" s="7"/>
      <c r="C304" s="7"/>
      <c r="D304" s="7"/>
      <c r="E304" s="7"/>
      <c r="F304" s="6"/>
      <c r="G304" s="6"/>
      <c r="H304" s="6"/>
      <c r="I304" s="6"/>
      <c r="J304" s="6"/>
      <c r="K304" s="6"/>
      <c r="L304" s="6"/>
      <c r="M304" s="6"/>
      <c r="N304" s="6"/>
      <c r="O304" s="6"/>
      <c r="P304" s="6"/>
      <c r="Q304" s="6"/>
      <c r="R304" s="6"/>
      <c r="S304" s="6"/>
      <c r="T304" s="6"/>
      <c r="U304" s="6"/>
      <c r="V304" s="6"/>
      <c r="W304" s="6"/>
    </row>
    <row r="305" spans="1:23" ht="16" x14ac:dyDescent="0.2">
      <c r="A305" s="6"/>
      <c r="B305" s="7"/>
      <c r="C305" s="7"/>
      <c r="D305" s="7"/>
      <c r="E305" s="7"/>
      <c r="F305" s="6"/>
      <c r="G305" s="6"/>
      <c r="H305" s="6"/>
      <c r="I305" s="6"/>
      <c r="J305" s="6"/>
      <c r="K305" s="6"/>
      <c r="L305" s="6"/>
      <c r="M305" s="6"/>
      <c r="N305" s="6"/>
      <c r="O305" s="6"/>
      <c r="P305" s="6"/>
      <c r="Q305" s="6"/>
      <c r="R305" s="6"/>
      <c r="S305" s="6"/>
      <c r="T305" s="6"/>
      <c r="U305" s="6"/>
      <c r="V305" s="6"/>
      <c r="W305" s="6"/>
    </row>
    <row r="306" spans="1:23" ht="16" x14ac:dyDescent="0.2">
      <c r="A306" s="6"/>
      <c r="B306" s="7"/>
      <c r="C306" s="7"/>
      <c r="D306" s="7"/>
      <c r="E306" s="7"/>
      <c r="F306" s="6"/>
      <c r="G306" s="6"/>
      <c r="H306" s="6"/>
      <c r="I306" s="6"/>
      <c r="J306" s="6"/>
      <c r="K306" s="6"/>
      <c r="L306" s="6"/>
      <c r="M306" s="6"/>
      <c r="N306" s="6"/>
      <c r="O306" s="6"/>
      <c r="P306" s="6"/>
      <c r="Q306" s="6"/>
      <c r="R306" s="6"/>
      <c r="S306" s="6"/>
      <c r="T306" s="6"/>
      <c r="U306" s="6"/>
      <c r="V306" s="6"/>
      <c r="W306" s="6"/>
    </row>
    <row r="307" spans="1:23" ht="16" x14ac:dyDescent="0.2">
      <c r="A307" s="6"/>
      <c r="B307" s="7"/>
      <c r="C307" s="7"/>
      <c r="D307" s="7"/>
      <c r="E307" s="7"/>
      <c r="F307" s="6"/>
      <c r="G307" s="6"/>
      <c r="H307" s="6"/>
      <c r="I307" s="6"/>
      <c r="J307" s="6"/>
      <c r="K307" s="6"/>
      <c r="L307" s="6"/>
      <c r="M307" s="6"/>
      <c r="N307" s="6"/>
      <c r="O307" s="6"/>
      <c r="P307" s="6"/>
      <c r="Q307" s="6"/>
      <c r="R307" s="6"/>
      <c r="S307" s="6"/>
      <c r="T307" s="6"/>
      <c r="U307" s="6"/>
      <c r="V307" s="6"/>
      <c r="W307" s="6"/>
    </row>
    <row r="308" spans="1:23" ht="16" x14ac:dyDescent="0.2">
      <c r="A308" s="6"/>
      <c r="B308" s="7"/>
      <c r="C308" s="7"/>
      <c r="D308" s="7"/>
      <c r="E308" s="7"/>
      <c r="F308" s="6"/>
      <c r="G308" s="6"/>
      <c r="H308" s="6"/>
      <c r="I308" s="6"/>
      <c r="J308" s="6"/>
      <c r="K308" s="6"/>
      <c r="L308" s="6"/>
      <c r="M308" s="6"/>
      <c r="N308" s="6"/>
      <c r="O308" s="6"/>
      <c r="P308" s="6"/>
      <c r="Q308" s="6"/>
      <c r="R308" s="6"/>
      <c r="S308" s="6"/>
      <c r="T308" s="6"/>
      <c r="U308" s="6"/>
      <c r="V308" s="6"/>
      <c r="W308" s="6"/>
    </row>
    <row r="309" spans="1:23" ht="16" x14ac:dyDescent="0.2">
      <c r="A309" s="6"/>
      <c r="B309" s="7"/>
      <c r="C309" s="7"/>
      <c r="D309" s="7"/>
      <c r="E309" s="7"/>
      <c r="F309" s="6"/>
      <c r="G309" s="6"/>
      <c r="H309" s="6"/>
      <c r="I309" s="6"/>
      <c r="J309" s="6"/>
      <c r="K309" s="6"/>
      <c r="L309" s="6"/>
      <c r="M309" s="6"/>
      <c r="N309" s="6"/>
      <c r="O309" s="6"/>
      <c r="P309" s="6"/>
      <c r="Q309" s="6"/>
      <c r="R309" s="6"/>
      <c r="S309" s="6"/>
      <c r="T309" s="6"/>
      <c r="U309" s="6"/>
      <c r="V309" s="6"/>
      <c r="W309" s="6"/>
    </row>
    <row r="310" spans="1:23" ht="16" x14ac:dyDescent="0.2">
      <c r="A310" s="6"/>
      <c r="B310" s="7"/>
      <c r="C310" s="7"/>
      <c r="D310" s="7"/>
      <c r="E310" s="7"/>
      <c r="F310" s="6"/>
      <c r="G310" s="6"/>
      <c r="H310" s="6"/>
      <c r="I310" s="6"/>
      <c r="J310" s="6"/>
      <c r="K310" s="6"/>
      <c r="L310" s="6"/>
      <c r="M310" s="6"/>
      <c r="N310" s="6"/>
      <c r="O310" s="6"/>
      <c r="P310" s="6"/>
      <c r="Q310" s="6"/>
      <c r="R310" s="6"/>
      <c r="S310" s="6"/>
      <c r="T310" s="6"/>
      <c r="U310" s="6"/>
      <c r="V310" s="6"/>
      <c r="W310" s="6"/>
    </row>
    <row r="311" spans="1:23" ht="16" x14ac:dyDescent="0.2">
      <c r="A311" s="6"/>
      <c r="B311" s="7"/>
      <c r="C311" s="7"/>
      <c r="D311" s="7"/>
      <c r="E311" s="7"/>
      <c r="F311" s="6"/>
      <c r="G311" s="6"/>
      <c r="H311" s="6"/>
      <c r="I311" s="6"/>
      <c r="J311" s="6"/>
      <c r="K311" s="6"/>
      <c r="L311" s="6"/>
      <c r="M311" s="6"/>
      <c r="N311" s="6"/>
      <c r="O311" s="6"/>
      <c r="P311" s="6"/>
      <c r="Q311" s="6"/>
      <c r="R311" s="6"/>
      <c r="S311" s="6"/>
      <c r="T311" s="6"/>
      <c r="U311" s="6"/>
      <c r="V311" s="6"/>
      <c r="W311" s="6"/>
    </row>
    <row r="312" spans="1:23" ht="16" x14ac:dyDescent="0.2">
      <c r="A312" s="6"/>
      <c r="B312" s="7"/>
      <c r="C312" s="7"/>
      <c r="D312" s="7"/>
      <c r="E312" s="7"/>
      <c r="F312" s="6"/>
      <c r="G312" s="6"/>
      <c r="H312" s="6"/>
      <c r="I312" s="6"/>
      <c r="J312" s="6"/>
      <c r="K312" s="6"/>
      <c r="L312" s="6"/>
      <c r="M312" s="6"/>
      <c r="N312" s="6"/>
      <c r="O312" s="6"/>
      <c r="P312" s="6"/>
      <c r="Q312" s="6"/>
      <c r="R312" s="6"/>
      <c r="S312" s="6"/>
      <c r="T312" s="6"/>
      <c r="U312" s="6"/>
      <c r="V312" s="6"/>
      <c r="W312" s="6"/>
    </row>
    <row r="313" spans="1:23" ht="16" x14ac:dyDescent="0.2">
      <c r="A313" s="6"/>
      <c r="B313" s="7"/>
      <c r="C313" s="7"/>
      <c r="D313" s="7"/>
      <c r="E313" s="7"/>
      <c r="F313" s="6"/>
      <c r="G313" s="6"/>
      <c r="H313" s="6"/>
      <c r="I313" s="6"/>
      <c r="J313" s="6"/>
      <c r="K313" s="6"/>
      <c r="L313" s="6"/>
      <c r="M313" s="6"/>
      <c r="N313" s="6"/>
      <c r="O313" s="6"/>
      <c r="P313" s="6"/>
      <c r="Q313" s="6"/>
      <c r="R313" s="6"/>
      <c r="S313" s="6"/>
      <c r="T313" s="6"/>
      <c r="U313" s="6"/>
      <c r="V313" s="6"/>
      <c r="W313" s="6"/>
    </row>
    <row r="314" spans="1:23" ht="16" x14ac:dyDescent="0.2">
      <c r="A314" s="6"/>
      <c r="B314" s="7"/>
      <c r="C314" s="7"/>
      <c r="D314" s="7"/>
      <c r="E314" s="7"/>
      <c r="F314" s="6"/>
      <c r="G314" s="6"/>
      <c r="H314" s="6"/>
      <c r="I314" s="6"/>
      <c r="J314" s="6"/>
      <c r="K314" s="6"/>
      <c r="L314" s="6"/>
      <c r="M314" s="6"/>
      <c r="N314" s="6"/>
      <c r="O314" s="6"/>
      <c r="P314" s="6"/>
      <c r="Q314" s="6"/>
      <c r="R314" s="6"/>
      <c r="S314" s="6"/>
      <c r="T314" s="6"/>
      <c r="U314" s="6"/>
      <c r="V314" s="6"/>
      <c r="W314" s="6"/>
    </row>
    <row r="315" spans="1:23" ht="16" x14ac:dyDescent="0.2">
      <c r="A315" s="6"/>
      <c r="B315" s="7"/>
      <c r="C315" s="7"/>
      <c r="D315" s="7"/>
      <c r="E315" s="7"/>
      <c r="F315" s="6"/>
      <c r="G315" s="6"/>
      <c r="H315" s="6"/>
      <c r="I315" s="6"/>
      <c r="J315" s="6"/>
      <c r="K315" s="6"/>
      <c r="L315" s="6"/>
      <c r="M315" s="6"/>
      <c r="N315" s="6"/>
      <c r="O315" s="6"/>
      <c r="P315" s="6"/>
      <c r="Q315" s="6"/>
      <c r="R315" s="6"/>
      <c r="S315" s="6"/>
      <c r="T315" s="6"/>
      <c r="U315" s="6"/>
      <c r="V315" s="6"/>
      <c r="W315" s="6"/>
    </row>
    <row r="316" spans="1:23" ht="16" x14ac:dyDescent="0.2">
      <c r="A316" s="6"/>
      <c r="B316" s="7"/>
      <c r="C316" s="7"/>
      <c r="D316" s="7"/>
      <c r="E316" s="7"/>
      <c r="F316" s="6"/>
      <c r="G316" s="6"/>
      <c r="H316" s="6"/>
      <c r="I316" s="6"/>
      <c r="J316" s="6"/>
      <c r="K316" s="6"/>
      <c r="L316" s="6"/>
      <c r="M316" s="6"/>
      <c r="N316" s="6"/>
      <c r="O316" s="6"/>
      <c r="P316" s="6"/>
      <c r="Q316" s="6"/>
      <c r="R316" s="6"/>
      <c r="S316" s="6"/>
      <c r="T316" s="6"/>
      <c r="U316" s="6"/>
      <c r="V316" s="6"/>
      <c r="W316" s="6"/>
    </row>
    <row r="317" spans="1:23" ht="16" x14ac:dyDescent="0.2">
      <c r="A317" s="6"/>
      <c r="B317" s="7"/>
      <c r="C317" s="7"/>
      <c r="D317" s="7"/>
      <c r="E317" s="7"/>
      <c r="F317" s="6"/>
      <c r="G317" s="6"/>
      <c r="H317" s="6"/>
      <c r="I317" s="6"/>
      <c r="J317" s="6"/>
      <c r="K317" s="6"/>
      <c r="L317" s="6"/>
      <c r="M317" s="6"/>
      <c r="N317" s="6"/>
      <c r="O317" s="6"/>
      <c r="P317" s="6"/>
      <c r="Q317" s="6"/>
      <c r="R317" s="6"/>
      <c r="S317" s="6"/>
      <c r="T317" s="6"/>
      <c r="U317" s="6"/>
      <c r="V317" s="6"/>
      <c r="W317" s="6"/>
    </row>
    <row r="318" spans="1:23" ht="16" x14ac:dyDescent="0.2">
      <c r="A318" s="6"/>
      <c r="B318" s="7"/>
      <c r="C318" s="7"/>
      <c r="D318" s="7"/>
      <c r="E318" s="7"/>
      <c r="F318" s="6"/>
      <c r="G318" s="6"/>
      <c r="H318" s="6"/>
      <c r="I318" s="6"/>
      <c r="J318" s="6"/>
      <c r="K318" s="6"/>
      <c r="L318" s="6"/>
      <c r="M318" s="6"/>
      <c r="N318" s="6"/>
      <c r="O318" s="6"/>
      <c r="P318" s="6"/>
      <c r="Q318" s="6"/>
      <c r="R318" s="6"/>
      <c r="S318" s="6"/>
      <c r="T318" s="6"/>
      <c r="U318" s="6"/>
      <c r="V318" s="6"/>
      <c r="W318" s="6"/>
    </row>
    <row r="319" spans="1:23" ht="16" x14ac:dyDescent="0.2">
      <c r="A319" s="6"/>
      <c r="B319" s="7"/>
      <c r="C319" s="7"/>
      <c r="D319" s="7"/>
      <c r="E319" s="7"/>
      <c r="F319" s="6"/>
      <c r="G319" s="6"/>
      <c r="H319" s="6"/>
      <c r="I319" s="6"/>
      <c r="J319" s="6"/>
      <c r="K319" s="6"/>
      <c r="L319" s="6"/>
      <c r="M319" s="6"/>
      <c r="N319" s="6"/>
      <c r="O319" s="6"/>
      <c r="P319" s="6"/>
      <c r="Q319" s="6"/>
      <c r="R319" s="6"/>
      <c r="S319" s="6"/>
      <c r="T319" s="6"/>
      <c r="U319" s="6"/>
      <c r="V319" s="6"/>
      <c r="W319" s="6"/>
    </row>
    <row r="320" spans="1:23" ht="16" x14ac:dyDescent="0.2">
      <c r="A320" s="6"/>
      <c r="B320" s="7"/>
      <c r="C320" s="7"/>
      <c r="D320" s="7"/>
      <c r="E320" s="7"/>
      <c r="F320" s="6"/>
      <c r="G320" s="6"/>
      <c r="H320" s="6"/>
      <c r="I320" s="6"/>
      <c r="J320" s="6"/>
      <c r="K320" s="6"/>
      <c r="L320" s="6"/>
      <c r="M320" s="6"/>
      <c r="N320" s="6"/>
      <c r="O320" s="6"/>
      <c r="P320" s="6"/>
      <c r="Q320" s="6"/>
      <c r="R320" s="6"/>
      <c r="S320" s="6"/>
      <c r="T320" s="6"/>
      <c r="U320" s="6"/>
      <c r="V320" s="6"/>
      <c r="W320" s="6"/>
    </row>
    <row r="321" spans="1:23" ht="16" x14ac:dyDescent="0.2">
      <c r="A321" s="6"/>
      <c r="B321" s="7"/>
      <c r="C321" s="7"/>
      <c r="D321" s="7"/>
      <c r="E321" s="7"/>
      <c r="F321" s="6"/>
      <c r="G321" s="6"/>
      <c r="H321" s="6"/>
      <c r="I321" s="6"/>
      <c r="J321" s="6"/>
      <c r="K321" s="6"/>
      <c r="L321" s="6"/>
      <c r="M321" s="6"/>
      <c r="N321" s="6"/>
      <c r="O321" s="6"/>
      <c r="P321" s="6"/>
      <c r="Q321" s="6"/>
      <c r="R321" s="6"/>
      <c r="S321" s="6"/>
      <c r="T321" s="6"/>
      <c r="U321" s="6"/>
      <c r="V321" s="6"/>
      <c r="W321" s="6"/>
    </row>
    <row r="322" spans="1:23" ht="16" x14ac:dyDescent="0.2">
      <c r="A322" s="6"/>
      <c r="B322" s="7"/>
      <c r="C322" s="7"/>
      <c r="D322" s="7"/>
      <c r="E322" s="7"/>
      <c r="F322" s="6"/>
      <c r="G322" s="6"/>
      <c r="H322" s="6"/>
      <c r="I322" s="6"/>
      <c r="J322" s="6"/>
      <c r="K322" s="6"/>
      <c r="L322" s="6"/>
      <c r="M322" s="6"/>
      <c r="N322" s="6"/>
      <c r="O322" s="6"/>
      <c r="P322" s="6"/>
      <c r="Q322" s="6"/>
      <c r="R322" s="6"/>
      <c r="S322" s="6"/>
      <c r="T322" s="6"/>
      <c r="U322" s="6"/>
      <c r="V322" s="6"/>
      <c r="W322" s="6"/>
    </row>
    <row r="323" spans="1:23" ht="16" x14ac:dyDescent="0.2">
      <c r="A323" s="6"/>
      <c r="B323" s="7"/>
      <c r="C323" s="7"/>
      <c r="D323" s="7"/>
      <c r="E323" s="7"/>
      <c r="F323" s="6"/>
      <c r="G323" s="6"/>
      <c r="H323" s="6"/>
      <c r="I323" s="6"/>
      <c r="J323" s="6"/>
      <c r="K323" s="6"/>
      <c r="L323" s="6"/>
      <c r="M323" s="6"/>
      <c r="N323" s="6"/>
      <c r="O323" s="6"/>
      <c r="P323" s="6"/>
      <c r="Q323" s="6"/>
      <c r="R323" s="6"/>
      <c r="S323" s="6"/>
      <c r="T323" s="6"/>
      <c r="U323" s="6"/>
      <c r="V323" s="6"/>
      <c r="W323" s="6"/>
    </row>
    <row r="324" spans="1:23" ht="16" x14ac:dyDescent="0.2">
      <c r="A324" s="6"/>
      <c r="B324" s="7"/>
      <c r="C324" s="7"/>
      <c r="D324" s="7"/>
      <c r="E324" s="7"/>
      <c r="F324" s="6"/>
      <c r="G324" s="6"/>
      <c r="H324" s="6"/>
      <c r="I324" s="6"/>
      <c r="J324" s="6"/>
      <c r="K324" s="6"/>
      <c r="L324" s="6"/>
      <c r="M324" s="6"/>
      <c r="N324" s="6"/>
      <c r="O324" s="6"/>
      <c r="P324" s="6"/>
      <c r="Q324" s="6"/>
      <c r="R324" s="6"/>
      <c r="S324" s="6"/>
      <c r="T324" s="6"/>
      <c r="U324" s="6"/>
      <c r="V324" s="6"/>
      <c r="W324" s="6"/>
    </row>
    <row r="325" spans="1:23" ht="16" x14ac:dyDescent="0.2">
      <c r="A325" s="6"/>
      <c r="B325" s="7"/>
      <c r="C325" s="7"/>
      <c r="D325" s="7"/>
      <c r="E325" s="7"/>
      <c r="F325" s="6"/>
      <c r="G325" s="6"/>
      <c r="H325" s="6"/>
      <c r="I325" s="6"/>
      <c r="J325" s="6"/>
      <c r="K325" s="6"/>
      <c r="L325" s="6"/>
      <c r="M325" s="6"/>
      <c r="N325" s="6"/>
      <c r="O325" s="6"/>
      <c r="P325" s="6"/>
      <c r="Q325" s="6"/>
      <c r="R325" s="6"/>
      <c r="S325" s="6"/>
      <c r="T325" s="6"/>
      <c r="U325" s="6"/>
      <c r="V325" s="6"/>
      <c r="W325" s="6"/>
    </row>
    <row r="326" spans="1:23" ht="16" x14ac:dyDescent="0.2">
      <c r="A326" s="6"/>
      <c r="B326" s="7"/>
      <c r="C326" s="7"/>
      <c r="D326" s="7"/>
      <c r="E326" s="7"/>
      <c r="F326" s="6"/>
      <c r="G326" s="6"/>
      <c r="H326" s="6"/>
      <c r="I326" s="6"/>
      <c r="J326" s="6"/>
      <c r="K326" s="6"/>
      <c r="L326" s="6"/>
      <c r="M326" s="6"/>
      <c r="N326" s="6"/>
      <c r="O326" s="6"/>
      <c r="P326" s="6"/>
      <c r="Q326" s="6"/>
      <c r="R326" s="6"/>
      <c r="S326" s="6"/>
      <c r="T326" s="6"/>
      <c r="U326" s="6"/>
      <c r="V326" s="6"/>
      <c r="W326" s="6"/>
    </row>
    <row r="327" spans="1:23" ht="16" x14ac:dyDescent="0.2">
      <c r="A327" s="6"/>
      <c r="B327" s="7"/>
      <c r="C327" s="7"/>
      <c r="D327" s="7"/>
      <c r="E327" s="7"/>
      <c r="F327" s="6"/>
      <c r="G327" s="6"/>
      <c r="H327" s="6"/>
      <c r="I327" s="6"/>
      <c r="J327" s="6"/>
      <c r="K327" s="6"/>
      <c r="L327" s="6"/>
      <c r="M327" s="6"/>
      <c r="N327" s="6"/>
      <c r="O327" s="6"/>
      <c r="P327" s="6"/>
      <c r="Q327" s="6"/>
      <c r="R327" s="6"/>
      <c r="S327" s="6"/>
      <c r="T327" s="6"/>
      <c r="U327" s="6"/>
      <c r="V327" s="6"/>
      <c r="W327" s="6"/>
    </row>
    <row r="328" spans="1:23" ht="16" x14ac:dyDescent="0.2">
      <c r="A328" s="6"/>
      <c r="B328" s="7"/>
      <c r="C328" s="7"/>
      <c r="D328" s="7"/>
      <c r="E328" s="7"/>
      <c r="F328" s="6"/>
      <c r="G328" s="6"/>
      <c r="H328" s="6"/>
      <c r="I328" s="6"/>
      <c r="J328" s="6"/>
      <c r="K328" s="6"/>
      <c r="L328" s="6"/>
      <c r="M328" s="6"/>
      <c r="N328" s="6"/>
      <c r="O328" s="6"/>
      <c r="P328" s="6"/>
      <c r="Q328" s="6"/>
      <c r="R328" s="6"/>
      <c r="S328" s="6"/>
      <c r="T328" s="6"/>
      <c r="U328" s="6"/>
      <c r="V328" s="6"/>
      <c r="W328" s="6"/>
    </row>
    <row r="329" spans="1:23" ht="16" x14ac:dyDescent="0.2">
      <c r="A329" s="6"/>
      <c r="B329" s="7"/>
      <c r="C329" s="7"/>
      <c r="D329" s="7"/>
      <c r="E329" s="7"/>
      <c r="F329" s="6"/>
      <c r="G329" s="6"/>
      <c r="H329" s="6"/>
      <c r="I329" s="6"/>
      <c r="J329" s="6"/>
      <c r="K329" s="6"/>
      <c r="L329" s="6"/>
      <c r="M329" s="6"/>
      <c r="N329" s="6"/>
      <c r="O329" s="6"/>
      <c r="P329" s="6"/>
      <c r="Q329" s="6"/>
      <c r="R329" s="6"/>
      <c r="S329" s="6"/>
      <c r="T329" s="6"/>
      <c r="U329" s="6"/>
      <c r="V329" s="6"/>
      <c r="W329" s="6"/>
    </row>
    <row r="330" spans="1:23" ht="16" x14ac:dyDescent="0.2">
      <c r="A330" s="6"/>
      <c r="B330" s="7"/>
      <c r="C330" s="7"/>
      <c r="D330" s="7"/>
      <c r="E330" s="7"/>
      <c r="F330" s="6"/>
      <c r="G330" s="6"/>
      <c r="H330" s="6"/>
      <c r="I330" s="6"/>
      <c r="J330" s="6"/>
      <c r="K330" s="6"/>
      <c r="L330" s="6"/>
      <c r="M330" s="6"/>
      <c r="N330" s="6"/>
      <c r="O330" s="6"/>
      <c r="P330" s="6"/>
      <c r="Q330" s="6"/>
      <c r="R330" s="6"/>
      <c r="S330" s="6"/>
      <c r="T330" s="6"/>
      <c r="U330" s="6"/>
      <c r="V330" s="6"/>
      <c r="W330" s="6"/>
    </row>
    <row r="331" spans="1:23" ht="16" x14ac:dyDescent="0.2">
      <c r="A331" s="6"/>
      <c r="B331" s="7"/>
      <c r="C331" s="7"/>
      <c r="D331" s="7"/>
      <c r="E331" s="7"/>
      <c r="F331" s="6"/>
      <c r="G331" s="6"/>
      <c r="H331" s="6"/>
      <c r="I331" s="6"/>
      <c r="J331" s="6"/>
      <c r="K331" s="6"/>
      <c r="L331" s="6"/>
      <c r="M331" s="6"/>
      <c r="N331" s="6"/>
      <c r="O331" s="6"/>
      <c r="P331" s="6"/>
      <c r="Q331" s="6"/>
      <c r="R331" s="6"/>
      <c r="S331" s="6"/>
      <c r="T331" s="6"/>
      <c r="U331" s="6"/>
      <c r="V331" s="6"/>
      <c r="W331" s="6"/>
    </row>
    <row r="332" spans="1:23" ht="16" x14ac:dyDescent="0.2">
      <c r="A332" s="6"/>
      <c r="B332" s="7"/>
      <c r="C332" s="7"/>
      <c r="D332" s="7"/>
      <c r="E332" s="7"/>
      <c r="F332" s="6"/>
      <c r="G332" s="6"/>
      <c r="H332" s="6"/>
      <c r="I332" s="6"/>
      <c r="J332" s="6"/>
      <c r="K332" s="6"/>
      <c r="L332" s="6"/>
      <c r="M332" s="6"/>
      <c r="N332" s="6"/>
      <c r="O332" s="6"/>
      <c r="P332" s="6"/>
      <c r="Q332" s="6"/>
      <c r="R332" s="6"/>
      <c r="S332" s="6"/>
      <c r="T332" s="6"/>
      <c r="U332" s="6"/>
      <c r="V332" s="6"/>
      <c r="W332" s="6"/>
    </row>
    <row r="333" spans="1:23" ht="16" x14ac:dyDescent="0.2">
      <c r="A333" s="6"/>
      <c r="B333" s="7"/>
      <c r="C333" s="7"/>
      <c r="D333" s="7"/>
      <c r="E333" s="7"/>
      <c r="F333" s="6"/>
      <c r="G333" s="6"/>
      <c r="H333" s="6"/>
      <c r="I333" s="6"/>
      <c r="J333" s="6"/>
      <c r="K333" s="6"/>
      <c r="L333" s="6"/>
      <c r="M333" s="6"/>
      <c r="N333" s="6"/>
      <c r="O333" s="6"/>
      <c r="P333" s="6"/>
      <c r="Q333" s="6"/>
      <c r="R333" s="6"/>
      <c r="S333" s="6"/>
      <c r="T333" s="6"/>
      <c r="U333" s="6"/>
      <c r="V333" s="6"/>
      <c r="W333" s="6"/>
    </row>
    <row r="334" spans="1:23" ht="16" x14ac:dyDescent="0.2">
      <c r="A334" s="6"/>
      <c r="B334" s="7"/>
      <c r="C334" s="7"/>
      <c r="D334" s="7"/>
      <c r="E334" s="7"/>
      <c r="F334" s="6"/>
      <c r="G334" s="6"/>
      <c r="H334" s="6"/>
      <c r="I334" s="6"/>
      <c r="J334" s="6"/>
      <c r="K334" s="6"/>
      <c r="L334" s="6"/>
      <c r="M334" s="6"/>
      <c r="N334" s="6"/>
      <c r="O334" s="6"/>
      <c r="P334" s="6"/>
      <c r="Q334" s="6"/>
      <c r="R334" s="6"/>
      <c r="S334" s="6"/>
      <c r="T334" s="6"/>
      <c r="U334" s="6"/>
      <c r="V334" s="6"/>
      <c r="W334" s="6"/>
    </row>
    <row r="335" spans="1:23" ht="16" x14ac:dyDescent="0.2">
      <c r="A335" s="6"/>
      <c r="B335" s="7"/>
      <c r="C335" s="7"/>
      <c r="D335" s="7"/>
      <c r="E335" s="7"/>
      <c r="F335" s="6"/>
      <c r="G335" s="6"/>
      <c r="H335" s="6"/>
      <c r="I335" s="6"/>
      <c r="J335" s="6"/>
      <c r="K335" s="6"/>
      <c r="L335" s="6"/>
      <c r="M335" s="6"/>
      <c r="N335" s="6"/>
      <c r="O335" s="6"/>
      <c r="P335" s="6"/>
      <c r="Q335" s="6"/>
      <c r="R335" s="6"/>
      <c r="S335" s="6"/>
      <c r="T335" s="6"/>
      <c r="U335" s="6"/>
      <c r="V335" s="6"/>
      <c r="W335" s="6"/>
    </row>
    <row r="336" spans="1:23" ht="16" x14ac:dyDescent="0.2">
      <c r="A336" s="6"/>
      <c r="B336" s="7"/>
      <c r="C336" s="7"/>
      <c r="D336" s="7"/>
      <c r="E336" s="7"/>
      <c r="F336" s="6"/>
      <c r="G336" s="6"/>
      <c r="H336" s="6"/>
      <c r="I336" s="6"/>
      <c r="J336" s="6"/>
      <c r="K336" s="6"/>
      <c r="L336" s="6"/>
      <c r="M336" s="6"/>
      <c r="N336" s="6"/>
      <c r="O336" s="6"/>
      <c r="P336" s="6"/>
      <c r="Q336" s="6"/>
      <c r="R336" s="6"/>
      <c r="S336" s="6"/>
      <c r="T336" s="6"/>
      <c r="U336" s="6"/>
      <c r="V336" s="6"/>
      <c r="W336" s="6"/>
    </row>
    <row r="337" spans="1:23" ht="16" x14ac:dyDescent="0.2">
      <c r="A337" s="6"/>
      <c r="B337" s="7"/>
      <c r="C337" s="7"/>
      <c r="D337" s="7"/>
      <c r="E337" s="7"/>
      <c r="F337" s="6"/>
      <c r="G337" s="6"/>
      <c r="H337" s="6"/>
      <c r="I337" s="6"/>
      <c r="J337" s="6"/>
      <c r="K337" s="6"/>
      <c r="L337" s="6"/>
      <c r="M337" s="6"/>
      <c r="N337" s="6"/>
      <c r="O337" s="6"/>
      <c r="P337" s="6"/>
      <c r="Q337" s="6"/>
      <c r="R337" s="6"/>
      <c r="S337" s="6"/>
      <c r="T337" s="6"/>
      <c r="U337" s="6"/>
      <c r="V337" s="6"/>
      <c r="W337" s="6"/>
    </row>
    <row r="338" spans="1:23" ht="16" x14ac:dyDescent="0.2">
      <c r="A338" s="6"/>
      <c r="B338" s="7"/>
      <c r="C338" s="7"/>
      <c r="D338" s="7"/>
      <c r="E338" s="7"/>
      <c r="F338" s="6"/>
      <c r="G338" s="6"/>
      <c r="H338" s="6"/>
      <c r="I338" s="6"/>
      <c r="J338" s="6"/>
      <c r="K338" s="6"/>
      <c r="L338" s="6"/>
      <c r="M338" s="6"/>
      <c r="N338" s="6"/>
      <c r="O338" s="6"/>
      <c r="P338" s="6"/>
      <c r="Q338" s="6"/>
      <c r="R338" s="6"/>
      <c r="S338" s="6"/>
      <c r="T338" s="6"/>
      <c r="U338" s="6"/>
      <c r="V338" s="6"/>
      <c r="W338" s="6"/>
    </row>
    <row r="339" spans="1:23" ht="16" x14ac:dyDescent="0.2">
      <c r="A339" s="6"/>
      <c r="B339" s="7"/>
      <c r="C339" s="7"/>
      <c r="D339" s="7"/>
      <c r="E339" s="7"/>
      <c r="F339" s="6"/>
      <c r="G339" s="6"/>
      <c r="H339" s="6"/>
      <c r="I339" s="6"/>
      <c r="J339" s="6"/>
      <c r="K339" s="6"/>
      <c r="L339" s="6"/>
      <c r="M339" s="6"/>
      <c r="N339" s="6"/>
      <c r="O339" s="6"/>
      <c r="P339" s="6"/>
      <c r="Q339" s="6"/>
      <c r="R339" s="6"/>
      <c r="S339" s="6"/>
      <c r="T339" s="6"/>
      <c r="U339" s="6"/>
      <c r="V339" s="6"/>
      <c r="W339" s="6"/>
    </row>
    <row r="340" spans="1:23" ht="16" x14ac:dyDescent="0.2">
      <c r="A340" s="6"/>
      <c r="B340" s="7"/>
      <c r="C340" s="7"/>
      <c r="D340" s="7"/>
      <c r="E340" s="7"/>
      <c r="F340" s="6"/>
      <c r="G340" s="6"/>
      <c r="H340" s="6"/>
      <c r="I340" s="6"/>
      <c r="J340" s="6"/>
      <c r="K340" s="6"/>
      <c r="L340" s="6"/>
      <c r="M340" s="6"/>
      <c r="N340" s="6"/>
      <c r="O340" s="6"/>
      <c r="P340" s="6"/>
      <c r="Q340" s="6"/>
      <c r="R340" s="6"/>
      <c r="S340" s="6"/>
      <c r="T340" s="6"/>
      <c r="U340" s="6"/>
      <c r="V340" s="6"/>
      <c r="W340" s="6"/>
    </row>
    <row r="341" spans="1:23" ht="16" x14ac:dyDescent="0.2">
      <c r="A341" s="6"/>
      <c r="B341" s="7"/>
      <c r="C341" s="7"/>
      <c r="D341" s="7"/>
      <c r="E341" s="7"/>
      <c r="F341" s="6"/>
      <c r="G341" s="6"/>
      <c r="H341" s="6"/>
      <c r="I341" s="6"/>
      <c r="J341" s="6"/>
      <c r="K341" s="6"/>
      <c r="L341" s="6"/>
      <c r="M341" s="6"/>
      <c r="N341" s="6"/>
      <c r="O341" s="6"/>
      <c r="P341" s="6"/>
      <c r="Q341" s="6"/>
      <c r="R341" s="6"/>
      <c r="S341" s="6"/>
      <c r="T341" s="6"/>
      <c r="U341" s="6"/>
      <c r="V341" s="6"/>
      <c r="W341" s="6"/>
    </row>
    <row r="342" spans="1:23" ht="16" x14ac:dyDescent="0.2">
      <c r="A342" s="6"/>
      <c r="B342" s="7"/>
      <c r="C342" s="7"/>
      <c r="D342" s="7"/>
      <c r="E342" s="7"/>
      <c r="F342" s="6"/>
      <c r="G342" s="6"/>
      <c r="H342" s="6"/>
      <c r="I342" s="6"/>
      <c r="J342" s="6"/>
      <c r="K342" s="6"/>
      <c r="L342" s="6"/>
      <c r="M342" s="6"/>
      <c r="N342" s="6"/>
      <c r="O342" s="6"/>
      <c r="P342" s="6"/>
      <c r="Q342" s="6"/>
      <c r="R342" s="6"/>
      <c r="S342" s="6"/>
      <c r="T342" s="6"/>
      <c r="U342" s="6"/>
      <c r="V342" s="6"/>
      <c r="W342" s="6"/>
    </row>
    <row r="343" spans="1:23" ht="16" x14ac:dyDescent="0.2">
      <c r="A343" s="6"/>
      <c r="B343" s="7"/>
      <c r="C343" s="7"/>
      <c r="D343" s="7"/>
      <c r="E343" s="7"/>
      <c r="F343" s="6"/>
      <c r="G343" s="6"/>
      <c r="H343" s="6"/>
      <c r="I343" s="6"/>
      <c r="J343" s="6"/>
      <c r="K343" s="6"/>
      <c r="L343" s="6"/>
      <c r="M343" s="6"/>
      <c r="N343" s="6"/>
      <c r="O343" s="6"/>
      <c r="P343" s="6"/>
      <c r="Q343" s="6"/>
      <c r="R343" s="6"/>
      <c r="S343" s="6"/>
      <c r="T343" s="6"/>
      <c r="U343" s="6"/>
      <c r="V343" s="6"/>
      <c r="W343" s="6"/>
    </row>
    <row r="344" spans="1:23" ht="16" x14ac:dyDescent="0.2">
      <c r="A344" s="6"/>
      <c r="B344" s="7"/>
      <c r="C344" s="7"/>
      <c r="D344" s="7"/>
      <c r="E344" s="7"/>
      <c r="F344" s="6"/>
      <c r="G344" s="6"/>
      <c r="H344" s="6"/>
      <c r="I344" s="6"/>
      <c r="J344" s="6"/>
      <c r="K344" s="6"/>
      <c r="L344" s="6"/>
      <c r="M344" s="6"/>
      <c r="N344" s="6"/>
      <c r="O344" s="6"/>
      <c r="P344" s="6"/>
      <c r="Q344" s="6"/>
      <c r="R344" s="6"/>
      <c r="S344" s="6"/>
      <c r="T344" s="6"/>
      <c r="U344" s="6"/>
      <c r="V344" s="6"/>
      <c r="W344" s="6"/>
    </row>
    <row r="345" spans="1:23" ht="16" x14ac:dyDescent="0.2">
      <c r="A345" s="6"/>
      <c r="B345" s="7"/>
      <c r="C345" s="7"/>
      <c r="D345" s="7"/>
      <c r="E345" s="7"/>
      <c r="F345" s="6"/>
      <c r="G345" s="6"/>
      <c r="H345" s="6"/>
      <c r="I345" s="6"/>
      <c r="J345" s="6"/>
      <c r="K345" s="6"/>
      <c r="L345" s="6"/>
      <c r="M345" s="6"/>
      <c r="N345" s="6"/>
      <c r="O345" s="6"/>
      <c r="P345" s="6"/>
      <c r="Q345" s="6"/>
      <c r="R345" s="6"/>
      <c r="S345" s="6"/>
      <c r="T345" s="6"/>
      <c r="U345" s="6"/>
      <c r="V345" s="6"/>
      <c r="W345" s="6"/>
    </row>
    <row r="346" spans="1:23" ht="16" x14ac:dyDescent="0.2">
      <c r="A346" s="6"/>
      <c r="B346" s="7"/>
      <c r="C346" s="7"/>
      <c r="D346" s="7"/>
      <c r="E346" s="7"/>
      <c r="F346" s="6"/>
      <c r="G346" s="6"/>
      <c r="H346" s="6"/>
      <c r="I346" s="6"/>
      <c r="J346" s="6"/>
      <c r="K346" s="6"/>
      <c r="L346" s="6"/>
      <c r="M346" s="6"/>
      <c r="N346" s="6"/>
      <c r="O346" s="6"/>
      <c r="P346" s="6"/>
      <c r="Q346" s="6"/>
      <c r="R346" s="6"/>
      <c r="S346" s="6"/>
      <c r="T346" s="6"/>
      <c r="U346" s="6"/>
      <c r="V346" s="6"/>
      <c r="W346" s="6"/>
    </row>
    <row r="347" spans="1:23" ht="16" x14ac:dyDescent="0.2">
      <c r="A347" s="6"/>
      <c r="B347" s="7"/>
      <c r="C347" s="7"/>
      <c r="D347" s="7"/>
      <c r="E347" s="7"/>
      <c r="F347" s="6"/>
      <c r="G347" s="6"/>
      <c r="H347" s="6"/>
      <c r="I347" s="6"/>
      <c r="J347" s="6"/>
      <c r="K347" s="6"/>
      <c r="L347" s="6"/>
      <c r="M347" s="6"/>
      <c r="N347" s="6"/>
      <c r="O347" s="6"/>
      <c r="P347" s="6"/>
      <c r="Q347" s="6"/>
      <c r="R347" s="6"/>
      <c r="S347" s="6"/>
      <c r="T347" s="6"/>
      <c r="U347" s="6"/>
      <c r="V347" s="6"/>
      <c r="W347" s="6"/>
    </row>
    <row r="348" spans="1:23" ht="16" x14ac:dyDescent="0.2">
      <c r="A348" s="6"/>
      <c r="B348" s="7"/>
      <c r="C348" s="7"/>
      <c r="D348" s="7"/>
      <c r="E348" s="7"/>
      <c r="F348" s="6"/>
      <c r="G348" s="6"/>
      <c r="H348" s="6"/>
      <c r="I348" s="6"/>
      <c r="J348" s="6"/>
      <c r="K348" s="6"/>
      <c r="L348" s="6"/>
      <c r="M348" s="6"/>
      <c r="N348" s="6"/>
      <c r="O348" s="6"/>
      <c r="P348" s="6"/>
      <c r="Q348" s="6"/>
      <c r="R348" s="6"/>
      <c r="S348" s="6"/>
      <c r="T348" s="6"/>
      <c r="U348" s="6"/>
      <c r="V348" s="6"/>
      <c r="W348" s="6"/>
    </row>
    <row r="349" spans="1:23" ht="16" x14ac:dyDescent="0.2">
      <c r="A349" s="6"/>
      <c r="B349" s="7"/>
      <c r="C349" s="7"/>
      <c r="D349" s="7"/>
      <c r="E349" s="7"/>
      <c r="F349" s="6"/>
      <c r="G349" s="6"/>
      <c r="H349" s="6"/>
      <c r="I349" s="6"/>
      <c r="J349" s="6"/>
      <c r="K349" s="6"/>
      <c r="L349" s="6"/>
      <c r="M349" s="6"/>
      <c r="N349" s="6"/>
      <c r="O349" s="6"/>
      <c r="P349" s="6"/>
      <c r="Q349" s="6"/>
      <c r="R349" s="6"/>
      <c r="S349" s="6"/>
      <c r="T349" s="6"/>
      <c r="U349" s="6"/>
      <c r="V349" s="6"/>
      <c r="W349" s="6"/>
    </row>
    <row r="350" spans="1:23" ht="16" x14ac:dyDescent="0.2">
      <c r="A350" s="6"/>
      <c r="B350" s="7"/>
      <c r="C350" s="7"/>
      <c r="D350" s="7"/>
      <c r="E350" s="7"/>
      <c r="F350" s="6"/>
      <c r="G350" s="6"/>
      <c r="H350" s="6"/>
      <c r="I350" s="6"/>
      <c r="J350" s="6"/>
      <c r="K350" s="6"/>
      <c r="L350" s="6"/>
      <c r="M350" s="6"/>
      <c r="N350" s="6"/>
      <c r="O350" s="6"/>
      <c r="P350" s="6"/>
      <c r="Q350" s="6"/>
      <c r="R350" s="6"/>
      <c r="S350" s="6"/>
      <c r="T350" s="6"/>
      <c r="U350" s="6"/>
      <c r="V350" s="6"/>
      <c r="W350" s="6"/>
    </row>
    <row r="351" spans="1:23" ht="16" x14ac:dyDescent="0.2">
      <c r="A351" s="6"/>
      <c r="B351" s="7"/>
      <c r="C351" s="7"/>
      <c r="D351" s="7"/>
      <c r="E351" s="7"/>
      <c r="F351" s="6"/>
      <c r="G351" s="6"/>
      <c r="H351" s="6"/>
      <c r="I351" s="6"/>
      <c r="J351" s="6"/>
      <c r="K351" s="6"/>
      <c r="L351" s="6"/>
      <c r="M351" s="6"/>
      <c r="N351" s="6"/>
      <c r="O351" s="6"/>
      <c r="P351" s="6"/>
      <c r="Q351" s="6"/>
      <c r="R351" s="6"/>
      <c r="S351" s="6"/>
      <c r="T351" s="6"/>
      <c r="U351" s="6"/>
      <c r="V351" s="6"/>
      <c r="W351" s="6"/>
    </row>
    <row r="352" spans="1:23" ht="16" x14ac:dyDescent="0.2">
      <c r="A352" s="6"/>
      <c r="B352" s="7"/>
      <c r="C352" s="7"/>
      <c r="D352" s="7"/>
      <c r="E352" s="7"/>
      <c r="F352" s="6"/>
      <c r="G352" s="6"/>
      <c r="H352" s="6"/>
      <c r="I352" s="6"/>
      <c r="J352" s="6"/>
      <c r="K352" s="6"/>
      <c r="L352" s="6"/>
      <c r="M352" s="6"/>
      <c r="N352" s="6"/>
      <c r="O352" s="6"/>
      <c r="P352" s="6"/>
      <c r="Q352" s="6"/>
      <c r="R352" s="6"/>
      <c r="S352" s="6"/>
      <c r="T352" s="6"/>
      <c r="U352" s="6"/>
      <c r="V352" s="6"/>
      <c r="W352" s="6"/>
    </row>
    <row r="353" spans="1:23" ht="16" x14ac:dyDescent="0.2">
      <c r="A353" s="6"/>
      <c r="B353" s="7"/>
      <c r="C353" s="7"/>
      <c r="D353" s="7"/>
      <c r="E353" s="7"/>
      <c r="F353" s="6"/>
      <c r="G353" s="6"/>
      <c r="H353" s="6"/>
      <c r="I353" s="6"/>
      <c r="J353" s="6"/>
      <c r="K353" s="6"/>
      <c r="L353" s="6"/>
      <c r="M353" s="6"/>
      <c r="N353" s="6"/>
      <c r="O353" s="6"/>
      <c r="P353" s="6"/>
      <c r="Q353" s="6"/>
      <c r="R353" s="6"/>
      <c r="S353" s="6"/>
      <c r="T353" s="6"/>
      <c r="U353" s="6"/>
      <c r="V353" s="6"/>
      <c r="W353" s="6"/>
    </row>
    <row r="354" spans="1:23" ht="16" x14ac:dyDescent="0.2">
      <c r="A354" s="6"/>
      <c r="B354" s="7"/>
      <c r="C354" s="7"/>
      <c r="D354" s="7"/>
      <c r="E354" s="7"/>
      <c r="F354" s="6"/>
      <c r="G354" s="6"/>
      <c r="H354" s="6"/>
      <c r="I354" s="6"/>
      <c r="J354" s="6"/>
      <c r="K354" s="6"/>
      <c r="L354" s="6"/>
      <c r="M354" s="6"/>
      <c r="N354" s="6"/>
      <c r="O354" s="6"/>
      <c r="P354" s="6"/>
      <c r="Q354" s="6"/>
      <c r="R354" s="6"/>
      <c r="S354" s="6"/>
      <c r="T354" s="6"/>
      <c r="U354" s="6"/>
      <c r="V354" s="6"/>
      <c r="W354" s="6"/>
    </row>
    <row r="355" spans="1:23" ht="16" x14ac:dyDescent="0.2">
      <c r="A355" s="6"/>
      <c r="B355" s="7"/>
      <c r="C355" s="7"/>
      <c r="D355" s="7"/>
      <c r="E355" s="7"/>
      <c r="F355" s="6"/>
      <c r="G355" s="6"/>
      <c r="H355" s="6"/>
      <c r="I355" s="6"/>
      <c r="J355" s="6"/>
      <c r="K355" s="6"/>
      <c r="L355" s="6"/>
      <c r="M355" s="6"/>
      <c r="N355" s="6"/>
      <c r="O355" s="6"/>
      <c r="P355" s="6"/>
      <c r="Q355" s="6"/>
      <c r="R355" s="6"/>
      <c r="S355" s="6"/>
      <c r="T355" s="6"/>
      <c r="U355" s="6"/>
      <c r="V355" s="6"/>
      <c r="W355" s="6"/>
    </row>
    <row r="356" spans="1:23" ht="16" x14ac:dyDescent="0.2">
      <c r="A356" s="6"/>
      <c r="B356" s="7"/>
      <c r="C356" s="7"/>
      <c r="D356" s="7"/>
      <c r="E356" s="7"/>
      <c r="F356" s="6"/>
      <c r="G356" s="6"/>
      <c r="H356" s="6"/>
      <c r="I356" s="6"/>
      <c r="J356" s="6"/>
      <c r="K356" s="6"/>
      <c r="L356" s="6"/>
      <c r="M356" s="6"/>
      <c r="N356" s="6"/>
      <c r="O356" s="6"/>
      <c r="P356" s="6"/>
      <c r="Q356" s="6"/>
      <c r="R356" s="6"/>
      <c r="S356" s="6"/>
      <c r="T356" s="6"/>
      <c r="U356" s="6"/>
      <c r="V356" s="6"/>
      <c r="W356" s="6"/>
    </row>
    <row r="357" spans="1:23" ht="16" x14ac:dyDescent="0.2">
      <c r="A357" s="6"/>
      <c r="B357" s="7"/>
      <c r="C357" s="7"/>
      <c r="D357" s="7"/>
      <c r="E357" s="7"/>
      <c r="F357" s="6"/>
      <c r="G357" s="6"/>
      <c r="H357" s="6"/>
      <c r="I357" s="6"/>
      <c r="J357" s="6"/>
      <c r="K357" s="6"/>
      <c r="L357" s="6"/>
      <c r="M357" s="6"/>
      <c r="N357" s="6"/>
      <c r="O357" s="6"/>
      <c r="P357" s="6"/>
      <c r="Q357" s="6"/>
      <c r="R357" s="6"/>
      <c r="S357" s="6"/>
      <c r="T357" s="6"/>
      <c r="U357" s="6"/>
      <c r="V357" s="6"/>
      <c r="W357" s="6"/>
    </row>
    <row r="358" spans="1:23" ht="16" x14ac:dyDescent="0.2">
      <c r="A358" s="6"/>
      <c r="B358" s="7"/>
      <c r="C358" s="7"/>
      <c r="D358" s="7"/>
      <c r="E358" s="7"/>
      <c r="F358" s="6"/>
      <c r="G358" s="6"/>
      <c r="H358" s="6"/>
      <c r="I358" s="6"/>
      <c r="J358" s="6"/>
      <c r="K358" s="6"/>
      <c r="L358" s="6"/>
      <c r="M358" s="6"/>
      <c r="N358" s="6"/>
      <c r="O358" s="6"/>
      <c r="P358" s="6"/>
      <c r="Q358" s="6"/>
      <c r="R358" s="6"/>
      <c r="S358" s="6"/>
      <c r="T358" s="6"/>
      <c r="U358" s="6"/>
      <c r="V358" s="6"/>
      <c r="W358" s="6"/>
    </row>
    <row r="359" spans="1:23" ht="16" x14ac:dyDescent="0.2">
      <c r="A359" s="6"/>
      <c r="B359" s="7"/>
      <c r="C359" s="7"/>
      <c r="D359" s="7"/>
      <c r="E359" s="7"/>
      <c r="F359" s="6"/>
      <c r="G359" s="6"/>
      <c r="H359" s="6"/>
      <c r="I359" s="6"/>
      <c r="J359" s="6"/>
      <c r="K359" s="6"/>
      <c r="L359" s="6"/>
      <c r="M359" s="6"/>
      <c r="N359" s="6"/>
      <c r="O359" s="6"/>
      <c r="P359" s="6"/>
      <c r="Q359" s="6"/>
      <c r="R359" s="6"/>
      <c r="S359" s="6"/>
      <c r="T359" s="6"/>
      <c r="U359" s="6"/>
      <c r="V359" s="6"/>
      <c r="W359" s="6"/>
    </row>
    <row r="360" spans="1:23" ht="16" x14ac:dyDescent="0.2">
      <c r="A360" s="6"/>
      <c r="B360" s="7"/>
      <c r="C360" s="7"/>
      <c r="D360" s="7"/>
      <c r="E360" s="7"/>
      <c r="F360" s="6"/>
      <c r="G360" s="6"/>
      <c r="H360" s="6"/>
      <c r="I360" s="6"/>
      <c r="J360" s="6"/>
      <c r="K360" s="6"/>
      <c r="L360" s="6"/>
      <c r="M360" s="6"/>
      <c r="N360" s="6"/>
      <c r="O360" s="6"/>
      <c r="P360" s="6"/>
      <c r="Q360" s="6"/>
      <c r="R360" s="6"/>
      <c r="S360" s="6"/>
      <c r="T360" s="6"/>
      <c r="U360" s="6"/>
      <c r="V360" s="6"/>
      <c r="W360" s="6"/>
    </row>
    <row r="361" spans="1:23" ht="16" x14ac:dyDescent="0.2">
      <c r="A361" s="6"/>
      <c r="B361" s="7"/>
      <c r="C361" s="7"/>
      <c r="D361" s="7"/>
      <c r="E361" s="7"/>
      <c r="F361" s="6"/>
      <c r="G361" s="6"/>
      <c r="H361" s="6"/>
      <c r="I361" s="6"/>
      <c r="J361" s="6"/>
      <c r="K361" s="6"/>
      <c r="L361" s="6"/>
      <c r="M361" s="6"/>
      <c r="N361" s="6"/>
      <c r="O361" s="6"/>
      <c r="P361" s="6"/>
      <c r="Q361" s="6"/>
      <c r="R361" s="6"/>
      <c r="S361" s="6"/>
      <c r="T361" s="6"/>
      <c r="U361" s="6"/>
      <c r="V361" s="6"/>
      <c r="W361" s="6"/>
    </row>
    <row r="362" spans="1:23" ht="16" x14ac:dyDescent="0.2">
      <c r="A362" s="6"/>
      <c r="B362" s="7"/>
      <c r="C362" s="7"/>
      <c r="D362" s="7"/>
      <c r="E362" s="7"/>
      <c r="F362" s="6"/>
      <c r="G362" s="6"/>
      <c r="H362" s="6"/>
      <c r="I362" s="6"/>
      <c r="J362" s="6"/>
      <c r="K362" s="6"/>
      <c r="L362" s="6"/>
      <c r="M362" s="6"/>
      <c r="N362" s="6"/>
      <c r="O362" s="6"/>
      <c r="P362" s="6"/>
      <c r="Q362" s="6"/>
      <c r="R362" s="6"/>
      <c r="S362" s="6"/>
      <c r="T362" s="6"/>
      <c r="U362" s="6"/>
      <c r="V362" s="6"/>
      <c r="W362" s="6"/>
    </row>
    <row r="363" spans="1:23" ht="16" x14ac:dyDescent="0.2">
      <c r="A363" s="6"/>
      <c r="B363" s="7"/>
      <c r="C363" s="7"/>
      <c r="D363" s="7"/>
      <c r="E363" s="7"/>
      <c r="F363" s="6"/>
      <c r="G363" s="6"/>
      <c r="H363" s="6"/>
      <c r="I363" s="6"/>
      <c r="J363" s="6"/>
      <c r="K363" s="6"/>
      <c r="L363" s="6"/>
      <c r="M363" s="6"/>
      <c r="N363" s="6"/>
      <c r="O363" s="6"/>
      <c r="P363" s="6"/>
      <c r="Q363" s="6"/>
      <c r="R363" s="6"/>
      <c r="S363" s="6"/>
      <c r="T363" s="6"/>
      <c r="U363" s="6"/>
      <c r="V363" s="6"/>
      <c r="W363" s="6"/>
    </row>
    <row r="364" spans="1:23" ht="16" x14ac:dyDescent="0.2">
      <c r="A364" s="6"/>
      <c r="B364" s="7"/>
      <c r="C364" s="7"/>
      <c r="D364" s="7"/>
      <c r="E364" s="7"/>
      <c r="F364" s="6"/>
      <c r="G364" s="6"/>
      <c r="H364" s="6"/>
      <c r="I364" s="6"/>
      <c r="J364" s="6"/>
      <c r="K364" s="6"/>
      <c r="L364" s="6"/>
      <c r="M364" s="6"/>
      <c r="N364" s="6"/>
      <c r="O364" s="6"/>
      <c r="P364" s="6"/>
      <c r="Q364" s="6"/>
      <c r="R364" s="6"/>
      <c r="S364" s="6"/>
      <c r="T364" s="6"/>
      <c r="U364" s="6"/>
      <c r="V364" s="6"/>
      <c r="W364" s="6"/>
    </row>
    <row r="365" spans="1:23" ht="16" x14ac:dyDescent="0.2">
      <c r="A365" s="6"/>
      <c r="B365" s="7"/>
      <c r="C365" s="7"/>
      <c r="D365" s="7"/>
      <c r="E365" s="7"/>
      <c r="F365" s="6"/>
      <c r="G365" s="6"/>
      <c r="H365" s="6"/>
      <c r="I365" s="6"/>
      <c r="J365" s="6"/>
      <c r="K365" s="6"/>
      <c r="L365" s="6"/>
      <c r="M365" s="6"/>
      <c r="N365" s="6"/>
      <c r="O365" s="6"/>
      <c r="P365" s="6"/>
      <c r="Q365" s="6"/>
      <c r="R365" s="6"/>
      <c r="S365" s="6"/>
      <c r="T365" s="6"/>
      <c r="U365" s="6"/>
      <c r="V365" s="6"/>
      <c r="W365" s="6"/>
    </row>
    <row r="366" spans="1:23" ht="16" x14ac:dyDescent="0.2">
      <c r="A366" s="6"/>
      <c r="B366" s="7"/>
      <c r="C366" s="7"/>
      <c r="D366" s="7"/>
      <c r="E366" s="7"/>
      <c r="F366" s="6"/>
      <c r="G366" s="6"/>
      <c r="H366" s="6"/>
      <c r="I366" s="6"/>
      <c r="J366" s="6"/>
      <c r="K366" s="6"/>
      <c r="L366" s="6"/>
      <c r="M366" s="6"/>
      <c r="N366" s="6"/>
      <c r="O366" s="6"/>
      <c r="P366" s="6"/>
      <c r="Q366" s="6"/>
      <c r="R366" s="6"/>
      <c r="S366" s="6"/>
      <c r="T366" s="6"/>
      <c r="U366" s="6"/>
      <c r="V366" s="6"/>
      <c r="W366" s="6"/>
    </row>
    <row r="367" spans="1:23" ht="16" x14ac:dyDescent="0.2">
      <c r="A367" s="6"/>
      <c r="B367" s="7"/>
      <c r="C367" s="7"/>
      <c r="D367" s="7"/>
      <c r="E367" s="7"/>
      <c r="F367" s="6"/>
      <c r="G367" s="6"/>
      <c r="H367" s="6"/>
      <c r="I367" s="6"/>
      <c r="J367" s="6"/>
      <c r="K367" s="6"/>
      <c r="L367" s="6"/>
      <c r="M367" s="6"/>
      <c r="N367" s="6"/>
      <c r="O367" s="6"/>
      <c r="P367" s="6"/>
      <c r="Q367" s="6"/>
      <c r="R367" s="6"/>
      <c r="S367" s="6"/>
      <c r="T367" s="6"/>
      <c r="U367" s="6"/>
      <c r="V367" s="6"/>
      <c r="W367" s="6"/>
    </row>
    <row r="368" spans="1:23" ht="16" x14ac:dyDescent="0.2">
      <c r="A368" s="6"/>
      <c r="B368" s="7"/>
      <c r="C368" s="7"/>
      <c r="D368" s="7"/>
      <c r="E368" s="7"/>
      <c r="F368" s="6"/>
      <c r="G368" s="6"/>
      <c r="H368" s="6"/>
      <c r="I368" s="6"/>
      <c r="J368" s="6"/>
      <c r="K368" s="6"/>
      <c r="L368" s="6"/>
      <c r="M368" s="6"/>
      <c r="N368" s="6"/>
      <c r="O368" s="6"/>
      <c r="P368" s="6"/>
      <c r="Q368" s="6"/>
      <c r="R368" s="6"/>
      <c r="S368" s="6"/>
      <c r="T368" s="6"/>
      <c r="U368" s="6"/>
      <c r="V368" s="6"/>
      <c r="W368" s="6"/>
    </row>
    <row r="369" spans="1:23" ht="16" x14ac:dyDescent="0.2">
      <c r="A369" s="6"/>
      <c r="B369" s="7"/>
      <c r="C369" s="7"/>
      <c r="D369" s="7"/>
      <c r="E369" s="7"/>
      <c r="F369" s="6"/>
      <c r="G369" s="6"/>
      <c r="H369" s="6"/>
      <c r="I369" s="6"/>
      <c r="J369" s="6"/>
      <c r="K369" s="6"/>
      <c r="L369" s="6"/>
      <c r="M369" s="6"/>
      <c r="N369" s="6"/>
      <c r="O369" s="6"/>
      <c r="P369" s="6"/>
      <c r="Q369" s="6"/>
      <c r="R369" s="6"/>
      <c r="S369" s="6"/>
      <c r="T369" s="6"/>
      <c r="U369" s="6"/>
      <c r="V369" s="6"/>
      <c r="W369" s="6"/>
    </row>
    <row r="370" spans="1:23" ht="16" x14ac:dyDescent="0.2">
      <c r="A370" s="6"/>
      <c r="B370" s="7"/>
      <c r="C370" s="7"/>
      <c r="D370" s="7"/>
      <c r="E370" s="7"/>
      <c r="F370" s="6"/>
      <c r="G370" s="6"/>
      <c r="H370" s="6"/>
      <c r="I370" s="6"/>
      <c r="J370" s="6"/>
      <c r="K370" s="6"/>
      <c r="L370" s="6"/>
      <c r="M370" s="6"/>
      <c r="N370" s="6"/>
      <c r="O370" s="6"/>
      <c r="P370" s="6"/>
      <c r="Q370" s="6"/>
      <c r="R370" s="6"/>
      <c r="S370" s="6"/>
      <c r="T370" s="6"/>
      <c r="U370" s="6"/>
      <c r="V370" s="6"/>
      <c r="W370" s="6"/>
    </row>
    <row r="371" spans="1:23" ht="16" x14ac:dyDescent="0.2">
      <c r="A371" s="6"/>
      <c r="B371" s="7"/>
      <c r="C371" s="7"/>
      <c r="D371" s="7"/>
      <c r="E371" s="7"/>
      <c r="F371" s="6"/>
      <c r="G371" s="6"/>
      <c r="H371" s="6"/>
      <c r="I371" s="6"/>
      <c r="J371" s="6"/>
      <c r="K371" s="6"/>
      <c r="L371" s="6"/>
      <c r="M371" s="6"/>
      <c r="N371" s="6"/>
      <c r="O371" s="6"/>
      <c r="P371" s="6"/>
      <c r="Q371" s="6"/>
      <c r="R371" s="6"/>
      <c r="S371" s="6"/>
      <c r="T371" s="6"/>
      <c r="U371" s="6"/>
      <c r="V371" s="6"/>
      <c r="W371" s="6"/>
    </row>
    <row r="372" spans="1:23" ht="16" x14ac:dyDescent="0.2">
      <c r="A372" s="6"/>
      <c r="B372" s="7"/>
      <c r="C372" s="7"/>
      <c r="D372" s="7"/>
      <c r="E372" s="7"/>
      <c r="F372" s="6"/>
      <c r="G372" s="6"/>
      <c r="H372" s="6"/>
      <c r="I372" s="6"/>
      <c r="J372" s="6"/>
      <c r="K372" s="6"/>
      <c r="L372" s="6"/>
      <c r="M372" s="6"/>
      <c r="N372" s="6"/>
      <c r="O372" s="6"/>
      <c r="P372" s="6"/>
      <c r="Q372" s="6"/>
      <c r="R372" s="6"/>
      <c r="S372" s="6"/>
      <c r="T372" s="6"/>
      <c r="U372" s="6"/>
      <c r="V372" s="6"/>
      <c r="W372" s="6"/>
    </row>
    <row r="373" spans="1:23" ht="16" x14ac:dyDescent="0.2">
      <c r="A373" s="6"/>
      <c r="B373" s="7"/>
      <c r="C373" s="7"/>
      <c r="D373" s="7"/>
      <c r="E373" s="7"/>
      <c r="F373" s="6"/>
      <c r="G373" s="6"/>
      <c r="H373" s="6"/>
      <c r="I373" s="6"/>
      <c r="J373" s="6"/>
      <c r="K373" s="6"/>
      <c r="L373" s="6"/>
      <c r="M373" s="6"/>
      <c r="N373" s="6"/>
      <c r="O373" s="6"/>
      <c r="P373" s="6"/>
      <c r="Q373" s="6"/>
      <c r="R373" s="6"/>
      <c r="S373" s="6"/>
      <c r="T373" s="6"/>
      <c r="U373" s="6"/>
      <c r="V373" s="6"/>
      <c r="W373" s="6"/>
    </row>
    <row r="374" spans="1:23" ht="16" x14ac:dyDescent="0.2">
      <c r="A374" s="6"/>
      <c r="B374" s="7"/>
      <c r="C374" s="7"/>
      <c r="D374" s="7"/>
      <c r="E374" s="7"/>
      <c r="F374" s="6"/>
      <c r="G374" s="6"/>
      <c r="H374" s="6"/>
      <c r="I374" s="6"/>
      <c r="J374" s="6"/>
      <c r="K374" s="6"/>
      <c r="L374" s="6"/>
      <c r="M374" s="6"/>
      <c r="N374" s="6"/>
      <c r="O374" s="6"/>
      <c r="P374" s="6"/>
      <c r="Q374" s="6"/>
      <c r="R374" s="6"/>
      <c r="S374" s="6"/>
      <c r="T374" s="6"/>
      <c r="U374" s="6"/>
      <c r="V374" s="6"/>
      <c r="W374" s="6"/>
    </row>
    <row r="375" spans="1:23" ht="16" x14ac:dyDescent="0.2">
      <c r="A375" s="6"/>
      <c r="B375" s="7"/>
      <c r="C375" s="7"/>
      <c r="D375" s="7"/>
      <c r="E375" s="7"/>
      <c r="F375" s="6"/>
      <c r="G375" s="6"/>
      <c r="H375" s="6"/>
      <c r="I375" s="6"/>
      <c r="J375" s="6"/>
      <c r="K375" s="6"/>
      <c r="L375" s="6"/>
      <c r="M375" s="6"/>
      <c r="N375" s="6"/>
      <c r="O375" s="6"/>
      <c r="P375" s="6"/>
      <c r="Q375" s="6"/>
      <c r="R375" s="6"/>
      <c r="S375" s="6"/>
      <c r="T375" s="6"/>
      <c r="U375" s="6"/>
      <c r="V375" s="6"/>
      <c r="W375" s="6"/>
    </row>
    <row r="376" spans="1:23" ht="16" x14ac:dyDescent="0.2">
      <c r="A376" s="6"/>
      <c r="B376" s="7"/>
      <c r="C376" s="7"/>
      <c r="D376" s="7"/>
      <c r="E376" s="7"/>
      <c r="F376" s="6"/>
      <c r="G376" s="6"/>
      <c r="H376" s="6"/>
      <c r="I376" s="6"/>
      <c r="J376" s="6"/>
      <c r="K376" s="6"/>
      <c r="L376" s="6"/>
      <c r="M376" s="6"/>
      <c r="N376" s="6"/>
      <c r="O376" s="6"/>
      <c r="P376" s="6"/>
      <c r="Q376" s="6"/>
      <c r="R376" s="6"/>
      <c r="S376" s="6"/>
      <c r="T376" s="6"/>
      <c r="U376" s="6"/>
      <c r="V376" s="6"/>
      <c r="W376" s="6"/>
    </row>
    <row r="377" spans="1:23" ht="16" x14ac:dyDescent="0.2">
      <c r="A377" s="6"/>
      <c r="B377" s="7"/>
      <c r="C377" s="7"/>
      <c r="D377" s="7"/>
      <c r="E377" s="7"/>
      <c r="F377" s="6"/>
      <c r="G377" s="6"/>
      <c r="H377" s="6"/>
      <c r="I377" s="6"/>
      <c r="J377" s="6"/>
      <c r="K377" s="6"/>
      <c r="L377" s="6"/>
      <c r="M377" s="6"/>
      <c r="N377" s="6"/>
      <c r="O377" s="6"/>
      <c r="P377" s="6"/>
      <c r="Q377" s="6"/>
      <c r="R377" s="6"/>
      <c r="S377" s="6"/>
      <c r="T377" s="6"/>
      <c r="U377" s="6"/>
      <c r="V377" s="6"/>
      <c r="W377" s="6"/>
    </row>
    <row r="378" spans="1:23" ht="16" x14ac:dyDescent="0.2">
      <c r="A378" s="6"/>
      <c r="B378" s="7"/>
      <c r="C378" s="7"/>
      <c r="D378" s="7"/>
      <c r="E378" s="7"/>
      <c r="F378" s="6"/>
      <c r="G378" s="6"/>
      <c r="H378" s="6"/>
      <c r="I378" s="6"/>
      <c r="J378" s="6"/>
      <c r="K378" s="6"/>
      <c r="L378" s="6"/>
      <c r="M378" s="6"/>
      <c r="N378" s="6"/>
      <c r="O378" s="6"/>
      <c r="P378" s="6"/>
      <c r="Q378" s="6"/>
      <c r="R378" s="6"/>
      <c r="S378" s="6"/>
      <c r="T378" s="6"/>
      <c r="U378" s="6"/>
      <c r="V378" s="6"/>
      <c r="W378" s="6"/>
    </row>
    <row r="379" spans="1:23" ht="16" x14ac:dyDescent="0.2">
      <c r="A379" s="6"/>
      <c r="B379" s="7"/>
      <c r="C379" s="7"/>
      <c r="D379" s="7"/>
      <c r="E379" s="7"/>
      <c r="F379" s="6"/>
      <c r="G379" s="6"/>
      <c r="H379" s="6"/>
      <c r="I379" s="6"/>
      <c r="J379" s="6"/>
      <c r="K379" s="6"/>
      <c r="L379" s="6"/>
      <c r="M379" s="6"/>
      <c r="N379" s="6"/>
      <c r="O379" s="6"/>
      <c r="P379" s="6"/>
      <c r="Q379" s="6"/>
      <c r="R379" s="6"/>
      <c r="S379" s="6"/>
      <c r="T379" s="6"/>
      <c r="U379" s="6"/>
      <c r="V379" s="6"/>
      <c r="W379" s="6"/>
    </row>
    <row r="380" spans="1:23" ht="16" x14ac:dyDescent="0.2">
      <c r="A380" s="6"/>
      <c r="B380" s="7"/>
      <c r="C380" s="7"/>
      <c r="D380" s="7"/>
      <c r="E380" s="7"/>
      <c r="F380" s="6"/>
      <c r="G380" s="6"/>
      <c r="H380" s="6"/>
      <c r="I380" s="6"/>
      <c r="J380" s="6"/>
      <c r="K380" s="6"/>
      <c r="L380" s="6"/>
      <c r="M380" s="6"/>
      <c r="N380" s="6"/>
      <c r="O380" s="6"/>
      <c r="P380" s="6"/>
      <c r="Q380" s="6"/>
      <c r="R380" s="6"/>
      <c r="S380" s="6"/>
      <c r="T380" s="6"/>
      <c r="U380" s="6"/>
      <c r="V380" s="6"/>
      <c r="W380" s="6"/>
    </row>
    <row r="381" spans="1:23" ht="16" x14ac:dyDescent="0.2">
      <c r="A381" s="6"/>
      <c r="B381" s="7"/>
      <c r="C381" s="7"/>
      <c r="D381" s="7"/>
      <c r="E381" s="7"/>
      <c r="F381" s="6"/>
      <c r="G381" s="6"/>
      <c r="H381" s="6"/>
      <c r="I381" s="6"/>
      <c r="J381" s="6"/>
      <c r="K381" s="6"/>
      <c r="L381" s="6"/>
      <c r="M381" s="6"/>
      <c r="N381" s="6"/>
      <c r="O381" s="6"/>
      <c r="P381" s="6"/>
      <c r="Q381" s="6"/>
      <c r="R381" s="6"/>
      <c r="S381" s="6"/>
      <c r="T381" s="6"/>
      <c r="U381" s="6"/>
      <c r="V381" s="6"/>
      <c r="W381" s="6"/>
    </row>
    <row r="382" spans="1:23" ht="16" x14ac:dyDescent="0.2">
      <c r="A382" s="6"/>
      <c r="B382" s="7"/>
      <c r="C382" s="7"/>
      <c r="D382" s="7"/>
      <c r="E382" s="7"/>
      <c r="F382" s="6"/>
      <c r="G382" s="6"/>
      <c r="H382" s="6"/>
      <c r="I382" s="6"/>
      <c r="J382" s="6"/>
      <c r="K382" s="6"/>
      <c r="L382" s="6"/>
      <c r="M382" s="6"/>
      <c r="N382" s="6"/>
      <c r="O382" s="6"/>
      <c r="P382" s="6"/>
      <c r="Q382" s="6"/>
      <c r="R382" s="6"/>
      <c r="S382" s="6"/>
      <c r="T382" s="6"/>
      <c r="U382" s="6"/>
      <c r="V382" s="6"/>
      <c r="W382" s="6"/>
    </row>
    <row r="383" spans="1:23" ht="16" x14ac:dyDescent="0.2">
      <c r="A383" s="6"/>
      <c r="B383" s="7"/>
      <c r="C383" s="7"/>
      <c r="D383" s="7"/>
      <c r="E383" s="7"/>
      <c r="F383" s="6"/>
      <c r="G383" s="6"/>
      <c r="H383" s="6"/>
      <c r="I383" s="6"/>
      <c r="J383" s="6"/>
      <c r="K383" s="6"/>
      <c r="L383" s="6"/>
      <c r="M383" s="6"/>
      <c r="N383" s="6"/>
      <c r="O383" s="6"/>
      <c r="P383" s="6"/>
      <c r="Q383" s="6"/>
      <c r="R383" s="6"/>
      <c r="S383" s="6"/>
      <c r="T383" s="6"/>
      <c r="U383" s="6"/>
      <c r="V383" s="6"/>
      <c r="W383" s="6"/>
    </row>
    <row r="384" spans="1:23" ht="16" x14ac:dyDescent="0.2">
      <c r="A384" s="6"/>
      <c r="B384" s="7"/>
      <c r="C384" s="7"/>
      <c r="D384" s="7"/>
      <c r="E384" s="7"/>
      <c r="F384" s="6"/>
      <c r="G384" s="6"/>
      <c r="H384" s="6"/>
      <c r="I384" s="6"/>
      <c r="J384" s="6"/>
      <c r="K384" s="6"/>
      <c r="L384" s="6"/>
      <c r="M384" s="6"/>
      <c r="N384" s="6"/>
      <c r="O384" s="6"/>
      <c r="P384" s="6"/>
      <c r="Q384" s="6"/>
      <c r="R384" s="6"/>
      <c r="S384" s="6"/>
      <c r="T384" s="6"/>
      <c r="U384" s="6"/>
      <c r="V384" s="6"/>
      <c r="W384" s="6"/>
    </row>
    <row r="385" spans="1:23" ht="16" x14ac:dyDescent="0.2">
      <c r="A385" s="6"/>
      <c r="B385" s="7"/>
      <c r="C385" s="7"/>
      <c r="D385" s="7"/>
      <c r="E385" s="7"/>
      <c r="F385" s="6"/>
      <c r="G385" s="6"/>
      <c r="H385" s="6"/>
      <c r="I385" s="6"/>
      <c r="J385" s="6"/>
      <c r="K385" s="6"/>
      <c r="L385" s="6"/>
      <c r="M385" s="6"/>
      <c r="N385" s="6"/>
      <c r="O385" s="6"/>
      <c r="P385" s="6"/>
      <c r="Q385" s="6"/>
      <c r="R385" s="6"/>
      <c r="S385" s="6"/>
      <c r="T385" s="6"/>
      <c r="U385" s="6"/>
      <c r="V385" s="6"/>
      <c r="W385" s="6"/>
    </row>
    <row r="386" spans="1:23" ht="16" x14ac:dyDescent="0.2">
      <c r="A386" s="6"/>
      <c r="B386" s="7"/>
      <c r="C386" s="7"/>
      <c r="D386" s="7"/>
      <c r="E386" s="7"/>
      <c r="F386" s="6"/>
      <c r="G386" s="6"/>
      <c r="H386" s="6"/>
      <c r="I386" s="6"/>
      <c r="J386" s="6"/>
      <c r="K386" s="6"/>
      <c r="L386" s="6"/>
      <c r="M386" s="6"/>
      <c r="N386" s="6"/>
      <c r="O386" s="6"/>
      <c r="P386" s="6"/>
      <c r="Q386" s="6"/>
      <c r="R386" s="6"/>
      <c r="S386" s="6"/>
      <c r="T386" s="6"/>
      <c r="U386" s="6"/>
      <c r="V386" s="6"/>
      <c r="W386" s="6"/>
    </row>
    <row r="387" spans="1:23" ht="16" x14ac:dyDescent="0.2">
      <c r="A387" s="6"/>
      <c r="B387" s="7"/>
      <c r="C387" s="7"/>
      <c r="D387" s="7"/>
      <c r="E387" s="7"/>
      <c r="F387" s="6"/>
      <c r="G387" s="6"/>
      <c r="H387" s="6"/>
      <c r="I387" s="6"/>
      <c r="J387" s="6"/>
      <c r="K387" s="6"/>
      <c r="L387" s="6"/>
      <c r="M387" s="6"/>
      <c r="N387" s="6"/>
      <c r="O387" s="6"/>
      <c r="P387" s="6"/>
      <c r="Q387" s="6"/>
      <c r="R387" s="6"/>
      <c r="S387" s="6"/>
      <c r="T387" s="6"/>
      <c r="U387" s="6"/>
      <c r="V387" s="6"/>
      <c r="W387" s="6"/>
    </row>
    <row r="388" spans="1:23" ht="16" x14ac:dyDescent="0.2">
      <c r="A388" s="6"/>
      <c r="B388" s="7"/>
      <c r="C388" s="7"/>
      <c r="D388" s="7"/>
      <c r="E388" s="7"/>
      <c r="F388" s="6"/>
      <c r="G388" s="6"/>
      <c r="H388" s="6"/>
      <c r="I388" s="6"/>
      <c r="J388" s="6"/>
      <c r="K388" s="6"/>
      <c r="L388" s="6"/>
      <c r="M388" s="6"/>
      <c r="N388" s="6"/>
      <c r="O388" s="6"/>
      <c r="P388" s="6"/>
      <c r="Q388" s="6"/>
      <c r="R388" s="6"/>
      <c r="S388" s="6"/>
      <c r="T388" s="6"/>
      <c r="U388" s="6"/>
      <c r="V388" s="6"/>
      <c r="W388" s="6"/>
    </row>
    <row r="389" spans="1:23" ht="16" x14ac:dyDescent="0.2">
      <c r="A389" s="6"/>
      <c r="B389" s="7"/>
      <c r="C389" s="7"/>
      <c r="D389" s="7"/>
      <c r="E389" s="7"/>
      <c r="F389" s="6"/>
      <c r="G389" s="6"/>
      <c r="H389" s="6"/>
      <c r="I389" s="6"/>
      <c r="J389" s="6"/>
      <c r="K389" s="6"/>
      <c r="L389" s="6"/>
      <c r="M389" s="6"/>
      <c r="N389" s="6"/>
      <c r="O389" s="6"/>
      <c r="P389" s="6"/>
      <c r="Q389" s="6"/>
      <c r="R389" s="6"/>
      <c r="S389" s="6"/>
      <c r="T389" s="6"/>
      <c r="U389" s="6"/>
      <c r="V389" s="6"/>
      <c r="W389" s="6"/>
    </row>
    <row r="390" spans="1:23" ht="16" x14ac:dyDescent="0.2">
      <c r="A390" s="6"/>
      <c r="B390" s="7"/>
      <c r="C390" s="7"/>
      <c r="D390" s="7"/>
      <c r="E390" s="7"/>
      <c r="F390" s="6"/>
      <c r="G390" s="6"/>
      <c r="H390" s="6"/>
      <c r="I390" s="6"/>
      <c r="J390" s="6"/>
      <c r="K390" s="6"/>
      <c r="L390" s="6"/>
      <c r="M390" s="6"/>
      <c r="N390" s="6"/>
      <c r="O390" s="6"/>
      <c r="P390" s="6"/>
      <c r="Q390" s="6"/>
      <c r="R390" s="6"/>
      <c r="S390" s="6"/>
      <c r="T390" s="6"/>
      <c r="U390" s="6"/>
      <c r="V390" s="6"/>
      <c r="W390" s="6"/>
    </row>
    <row r="391" spans="1:23" ht="16" x14ac:dyDescent="0.2">
      <c r="A391" s="6"/>
      <c r="B391" s="7"/>
      <c r="C391" s="7"/>
      <c r="D391" s="7"/>
      <c r="E391" s="7"/>
      <c r="F391" s="6"/>
      <c r="G391" s="6"/>
      <c r="H391" s="6"/>
      <c r="I391" s="6"/>
      <c r="J391" s="6"/>
      <c r="K391" s="6"/>
      <c r="L391" s="6"/>
      <c r="M391" s="6"/>
      <c r="N391" s="6"/>
      <c r="O391" s="6"/>
      <c r="P391" s="6"/>
      <c r="Q391" s="6"/>
      <c r="R391" s="6"/>
      <c r="S391" s="6"/>
      <c r="T391" s="6"/>
      <c r="U391" s="6"/>
      <c r="V391" s="6"/>
      <c r="W391" s="6"/>
    </row>
    <row r="392" spans="1:23" ht="16" x14ac:dyDescent="0.2">
      <c r="A392" s="6"/>
      <c r="B392" s="7"/>
      <c r="C392" s="7"/>
      <c r="D392" s="7"/>
      <c r="E392" s="7"/>
      <c r="F392" s="6"/>
      <c r="G392" s="6"/>
      <c r="H392" s="6"/>
      <c r="I392" s="6"/>
      <c r="J392" s="6"/>
      <c r="K392" s="6"/>
      <c r="L392" s="6"/>
      <c r="M392" s="6"/>
      <c r="N392" s="6"/>
      <c r="O392" s="6"/>
      <c r="P392" s="6"/>
      <c r="Q392" s="6"/>
      <c r="R392" s="6"/>
      <c r="S392" s="6"/>
      <c r="T392" s="6"/>
      <c r="U392" s="6"/>
      <c r="V392" s="6"/>
      <c r="W392" s="6"/>
    </row>
    <row r="393" spans="1:23" ht="16" x14ac:dyDescent="0.2">
      <c r="A393" s="6"/>
      <c r="B393" s="7"/>
      <c r="C393" s="7"/>
      <c r="D393" s="7"/>
      <c r="E393" s="7"/>
      <c r="F393" s="6"/>
      <c r="G393" s="6"/>
      <c r="H393" s="6"/>
      <c r="I393" s="6"/>
      <c r="J393" s="6"/>
      <c r="K393" s="6"/>
      <c r="L393" s="6"/>
      <c r="M393" s="6"/>
      <c r="N393" s="6"/>
      <c r="O393" s="6"/>
      <c r="P393" s="6"/>
      <c r="Q393" s="6"/>
      <c r="R393" s="6"/>
      <c r="S393" s="6"/>
      <c r="T393" s="6"/>
      <c r="U393" s="6"/>
      <c r="V393" s="6"/>
      <c r="W393" s="6"/>
    </row>
    <row r="394" spans="1:23" ht="16" x14ac:dyDescent="0.2">
      <c r="A394" s="6"/>
      <c r="B394" s="7"/>
      <c r="C394" s="7"/>
      <c r="D394" s="7"/>
      <c r="E394" s="7"/>
      <c r="F394" s="6"/>
      <c r="G394" s="6"/>
      <c r="H394" s="6"/>
      <c r="I394" s="6"/>
      <c r="J394" s="6"/>
      <c r="K394" s="6"/>
      <c r="L394" s="6"/>
      <c r="M394" s="6"/>
      <c r="N394" s="6"/>
      <c r="O394" s="6"/>
      <c r="P394" s="6"/>
      <c r="Q394" s="6"/>
      <c r="R394" s="6"/>
      <c r="S394" s="6"/>
      <c r="T394" s="6"/>
      <c r="U394" s="6"/>
      <c r="V394" s="6"/>
      <c r="W394" s="6"/>
    </row>
    <row r="395" spans="1:23" ht="16" x14ac:dyDescent="0.2">
      <c r="A395" s="6"/>
      <c r="B395" s="7"/>
      <c r="C395" s="7"/>
      <c r="D395" s="7"/>
      <c r="E395" s="7"/>
      <c r="F395" s="6"/>
      <c r="G395" s="6"/>
      <c r="H395" s="6"/>
      <c r="I395" s="6"/>
      <c r="J395" s="6"/>
      <c r="K395" s="6"/>
      <c r="L395" s="6"/>
      <c r="M395" s="6"/>
      <c r="N395" s="6"/>
      <c r="O395" s="6"/>
      <c r="P395" s="6"/>
      <c r="Q395" s="6"/>
      <c r="R395" s="6"/>
      <c r="S395" s="6"/>
      <c r="T395" s="6"/>
      <c r="U395" s="6"/>
      <c r="V395" s="6"/>
      <c r="W395" s="6"/>
    </row>
    <row r="396" spans="1:23" ht="16" x14ac:dyDescent="0.2">
      <c r="A396" s="6"/>
      <c r="B396" s="7"/>
      <c r="C396" s="7"/>
      <c r="D396" s="7"/>
      <c r="E396" s="7"/>
      <c r="F396" s="6"/>
      <c r="G396" s="6"/>
      <c r="H396" s="6"/>
      <c r="I396" s="6"/>
      <c r="J396" s="6"/>
      <c r="K396" s="6"/>
      <c r="L396" s="6"/>
      <c r="M396" s="6"/>
      <c r="N396" s="6"/>
      <c r="O396" s="6"/>
      <c r="P396" s="6"/>
      <c r="Q396" s="6"/>
      <c r="R396" s="6"/>
      <c r="S396" s="6"/>
      <c r="T396" s="6"/>
      <c r="U396" s="6"/>
      <c r="V396" s="6"/>
      <c r="W396" s="6"/>
    </row>
    <row r="397" spans="1:23" ht="16" x14ac:dyDescent="0.2">
      <c r="A397" s="6"/>
      <c r="B397" s="7"/>
      <c r="C397" s="7"/>
      <c r="D397" s="7"/>
      <c r="E397" s="7"/>
      <c r="F397" s="6"/>
      <c r="G397" s="6"/>
      <c r="H397" s="6"/>
      <c r="I397" s="6"/>
      <c r="J397" s="6"/>
      <c r="K397" s="6"/>
      <c r="L397" s="6"/>
      <c r="M397" s="6"/>
      <c r="N397" s="6"/>
      <c r="O397" s="6"/>
      <c r="P397" s="6"/>
      <c r="Q397" s="6"/>
      <c r="R397" s="6"/>
      <c r="S397" s="6"/>
      <c r="T397" s="6"/>
      <c r="U397" s="6"/>
      <c r="V397" s="6"/>
      <c r="W397" s="6"/>
    </row>
    <row r="398" spans="1:23" ht="16" x14ac:dyDescent="0.2">
      <c r="A398" s="6"/>
      <c r="B398" s="7"/>
      <c r="C398" s="7"/>
      <c r="D398" s="7"/>
      <c r="E398" s="7"/>
      <c r="F398" s="6"/>
      <c r="G398" s="6"/>
      <c r="H398" s="6"/>
      <c r="I398" s="6"/>
      <c r="J398" s="6"/>
      <c r="K398" s="6"/>
      <c r="L398" s="6"/>
      <c r="M398" s="6"/>
      <c r="N398" s="6"/>
      <c r="O398" s="6"/>
      <c r="P398" s="6"/>
      <c r="Q398" s="6"/>
      <c r="R398" s="6"/>
      <c r="S398" s="6"/>
      <c r="T398" s="6"/>
      <c r="U398" s="6"/>
      <c r="V398" s="6"/>
      <c r="W398" s="6"/>
    </row>
    <row r="399" spans="1:23" ht="16" x14ac:dyDescent="0.2">
      <c r="A399" s="6"/>
      <c r="B399" s="7"/>
      <c r="C399" s="7"/>
      <c r="D399" s="7"/>
      <c r="E399" s="7"/>
      <c r="F399" s="6"/>
      <c r="G399" s="6"/>
      <c r="H399" s="6"/>
      <c r="I399" s="6"/>
      <c r="J399" s="6"/>
      <c r="K399" s="6"/>
      <c r="L399" s="6"/>
      <c r="M399" s="6"/>
      <c r="N399" s="6"/>
      <c r="O399" s="6"/>
      <c r="P399" s="6"/>
      <c r="Q399" s="6"/>
      <c r="R399" s="6"/>
      <c r="S399" s="6"/>
      <c r="T399" s="6"/>
      <c r="U399" s="6"/>
      <c r="V399" s="6"/>
      <c r="W399" s="6"/>
    </row>
    <row r="400" spans="1:23" ht="16" x14ac:dyDescent="0.2">
      <c r="A400" s="6"/>
      <c r="B400" s="7"/>
      <c r="C400" s="7"/>
      <c r="D400" s="7"/>
      <c r="E400" s="7"/>
      <c r="F400" s="6"/>
      <c r="G400" s="6"/>
      <c r="H400" s="6"/>
      <c r="I400" s="6"/>
      <c r="J400" s="6"/>
      <c r="K400" s="6"/>
      <c r="L400" s="6"/>
      <c r="M400" s="6"/>
      <c r="N400" s="6"/>
      <c r="O400" s="6"/>
      <c r="P400" s="6"/>
      <c r="Q400" s="6"/>
      <c r="R400" s="6"/>
      <c r="S400" s="6"/>
      <c r="T400" s="6"/>
      <c r="U400" s="6"/>
      <c r="V400" s="6"/>
      <c r="W400" s="6"/>
    </row>
    <row r="401" spans="1:23" ht="16" x14ac:dyDescent="0.2">
      <c r="A401" s="6"/>
      <c r="B401" s="7"/>
      <c r="C401" s="7"/>
      <c r="D401" s="7"/>
      <c r="E401" s="7"/>
      <c r="F401" s="6"/>
      <c r="G401" s="6"/>
      <c r="H401" s="6"/>
      <c r="I401" s="6"/>
      <c r="J401" s="6"/>
      <c r="K401" s="6"/>
      <c r="L401" s="6"/>
      <c r="M401" s="6"/>
      <c r="N401" s="6"/>
      <c r="O401" s="6"/>
      <c r="P401" s="6"/>
      <c r="Q401" s="6"/>
      <c r="R401" s="6"/>
      <c r="S401" s="6"/>
      <c r="T401" s="6"/>
      <c r="U401" s="6"/>
      <c r="V401" s="6"/>
      <c r="W401" s="6"/>
    </row>
    <row r="402" spans="1:23" ht="16" x14ac:dyDescent="0.2">
      <c r="A402" s="6"/>
      <c r="B402" s="7"/>
      <c r="C402" s="7"/>
      <c r="D402" s="7"/>
      <c r="E402" s="7"/>
      <c r="F402" s="6"/>
      <c r="G402" s="6"/>
      <c r="H402" s="6"/>
      <c r="I402" s="6"/>
      <c r="J402" s="6"/>
      <c r="K402" s="6"/>
      <c r="L402" s="6"/>
      <c r="M402" s="6"/>
      <c r="N402" s="6"/>
      <c r="O402" s="6"/>
      <c r="P402" s="6"/>
      <c r="Q402" s="6"/>
      <c r="R402" s="6"/>
      <c r="S402" s="6"/>
      <c r="T402" s="6"/>
      <c r="U402" s="6"/>
      <c r="V402" s="6"/>
      <c r="W402" s="6"/>
    </row>
    <row r="403" spans="1:23" ht="16" x14ac:dyDescent="0.2">
      <c r="A403" s="6"/>
      <c r="B403" s="7"/>
      <c r="C403" s="7"/>
      <c r="D403" s="7"/>
      <c r="E403" s="7"/>
      <c r="F403" s="6"/>
      <c r="G403" s="6"/>
      <c r="H403" s="6"/>
      <c r="I403" s="6"/>
      <c r="J403" s="6"/>
      <c r="K403" s="6"/>
      <c r="L403" s="6"/>
      <c r="M403" s="6"/>
      <c r="N403" s="6"/>
      <c r="O403" s="6"/>
      <c r="P403" s="6"/>
      <c r="Q403" s="6"/>
      <c r="R403" s="6"/>
      <c r="S403" s="6"/>
      <c r="T403" s="6"/>
      <c r="U403" s="6"/>
      <c r="V403" s="6"/>
      <c r="W403" s="6"/>
    </row>
    <row r="404" spans="1:23" ht="16" x14ac:dyDescent="0.2">
      <c r="A404" s="6"/>
      <c r="B404" s="7"/>
      <c r="C404" s="7"/>
      <c r="D404" s="7"/>
      <c r="E404" s="7"/>
      <c r="F404" s="6"/>
      <c r="G404" s="6"/>
      <c r="H404" s="6"/>
      <c r="I404" s="6"/>
      <c r="J404" s="6"/>
      <c r="K404" s="6"/>
      <c r="L404" s="6"/>
      <c r="M404" s="6"/>
      <c r="N404" s="6"/>
      <c r="O404" s="6"/>
      <c r="P404" s="6"/>
      <c r="Q404" s="6"/>
      <c r="R404" s="6"/>
      <c r="S404" s="6"/>
      <c r="T404" s="6"/>
      <c r="U404" s="6"/>
      <c r="V404" s="6"/>
      <c r="W404" s="6"/>
    </row>
    <row r="405" spans="1:23" ht="16" x14ac:dyDescent="0.2">
      <c r="A405" s="6"/>
      <c r="B405" s="7"/>
      <c r="C405" s="7"/>
      <c r="D405" s="7"/>
      <c r="E405" s="7"/>
      <c r="F405" s="6"/>
      <c r="G405" s="6"/>
      <c r="H405" s="6"/>
      <c r="I405" s="6"/>
      <c r="J405" s="6"/>
      <c r="K405" s="6"/>
      <c r="L405" s="6"/>
      <c r="M405" s="6"/>
      <c r="N405" s="6"/>
      <c r="O405" s="6"/>
      <c r="P405" s="6"/>
      <c r="Q405" s="6"/>
      <c r="R405" s="6"/>
      <c r="S405" s="6"/>
      <c r="T405" s="6"/>
      <c r="U405" s="6"/>
      <c r="V405" s="6"/>
      <c r="W405" s="6"/>
    </row>
    <row r="406" spans="1:23" ht="16" x14ac:dyDescent="0.2">
      <c r="A406" s="6"/>
      <c r="B406" s="7"/>
      <c r="C406" s="7"/>
      <c r="D406" s="7"/>
      <c r="E406" s="7"/>
      <c r="F406" s="6"/>
      <c r="G406" s="6"/>
      <c r="H406" s="6"/>
      <c r="I406" s="6"/>
      <c r="J406" s="6"/>
      <c r="K406" s="6"/>
      <c r="L406" s="6"/>
      <c r="M406" s="6"/>
      <c r="N406" s="6"/>
      <c r="O406" s="6"/>
      <c r="P406" s="6"/>
      <c r="Q406" s="6"/>
      <c r="R406" s="6"/>
      <c r="S406" s="6"/>
      <c r="T406" s="6"/>
      <c r="U406" s="6"/>
      <c r="V406" s="6"/>
      <c r="W406" s="6"/>
    </row>
    <row r="407" spans="1:23" ht="16" x14ac:dyDescent="0.2">
      <c r="A407" s="6"/>
      <c r="B407" s="7"/>
      <c r="C407" s="7"/>
      <c r="D407" s="7"/>
      <c r="E407" s="7"/>
      <c r="F407" s="6"/>
      <c r="G407" s="6"/>
      <c r="H407" s="6"/>
      <c r="I407" s="6"/>
      <c r="J407" s="6"/>
      <c r="K407" s="6"/>
      <c r="L407" s="6"/>
      <c r="M407" s="6"/>
      <c r="N407" s="6"/>
      <c r="O407" s="6"/>
      <c r="P407" s="6"/>
      <c r="Q407" s="6"/>
      <c r="R407" s="6"/>
      <c r="S407" s="6"/>
      <c r="T407" s="6"/>
      <c r="U407" s="6"/>
      <c r="V407" s="6"/>
      <c r="W407" s="6"/>
    </row>
    <row r="408" spans="1:23" ht="16" x14ac:dyDescent="0.2">
      <c r="A408" s="6"/>
      <c r="B408" s="7"/>
      <c r="C408" s="7"/>
      <c r="D408" s="7"/>
      <c r="E408" s="7"/>
      <c r="F408" s="6"/>
      <c r="G408" s="6"/>
      <c r="H408" s="6"/>
      <c r="I408" s="6"/>
      <c r="J408" s="6"/>
      <c r="K408" s="6"/>
      <c r="L408" s="6"/>
      <c r="M408" s="6"/>
      <c r="N408" s="6"/>
      <c r="O408" s="6"/>
      <c r="P408" s="6"/>
      <c r="Q408" s="6"/>
      <c r="R408" s="6"/>
      <c r="S408" s="6"/>
      <c r="T408" s="6"/>
      <c r="U408" s="6"/>
      <c r="V408" s="6"/>
      <c r="W408" s="6"/>
    </row>
    <row r="409" spans="1:23" ht="16" x14ac:dyDescent="0.2">
      <c r="A409" s="6"/>
      <c r="B409" s="7"/>
      <c r="C409" s="7"/>
      <c r="D409" s="7"/>
      <c r="E409" s="7"/>
      <c r="F409" s="6"/>
      <c r="G409" s="6"/>
      <c r="H409" s="6"/>
      <c r="I409" s="6"/>
      <c r="J409" s="6"/>
      <c r="K409" s="6"/>
      <c r="L409" s="6"/>
      <c r="M409" s="6"/>
      <c r="N409" s="6"/>
      <c r="O409" s="6"/>
      <c r="P409" s="6"/>
      <c r="Q409" s="6"/>
      <c r="R409" s="6"/>
      <c r="S409" s="6"/>
      <c r="T409" s="6"/>
      <c r="U409" s="6"/>
      <c r="V409" s="6"/>
      <c r="W409" s="6"/>
    </row>
    <row r="410" spans="1:23" ht="16" x14ac:dyDescent="0.2">
      <c r="A410" s="6"/>
      <c r="B410" s="7"/>
      <c r="C410" s="7"/>
      <c r="D410" s="7"/>
      <c r="E410" s="7"/>
      <c r="F410" s="6"/>
      <c r="G410" s="6"/>
      <c r="H410" s="6"/>
      <c r="I410" s="6"/>
      <c r="J410" s="6"/>
      <c r="K410" s="6"/>
      <c r="L410" s="6"/>
      <c r="M410" s="6"/>
      <c r="N410" s="6"/>
      <c r="O410" s="6"/>
      <c r="P410" s="6"/>
      <c r="Q410" s="6"/>
      <c r="R410" s="6"/>
      <c r="S410" s="6"/>
      <c r="T410" s="6"/>
      <c r="U410" s="6"/>
      <c r="V410" s="6"/>
      <c r="W410" s="6"/>
    </row>
    <row r="411" spans="1:23" ht="16" x14ac:dyDescent="0.2">
      <c r="A411" s="6"/>
      <c r="B411" s="7"/>
      <c r="C411" s="7"/>
      <c r="D411" s="7"/>
      <c r="E411" s="7"/>
      <c r="F411" s="6"/>
      <c r="G411" s="6"/>
      <c r="H411" s="6"/>
      <c r="I411" s="6"/>
      <c r="J411" s="6"/>
      <c r="K411" s="6"/>
      <c r="L411" s="6"/>
      <c r="M411" s="6"/>
      <c r="N411" s="6"/>
      <c r="O411" s="6"/>
      <c r="P411" s="6"/>
      <c r="Q411" s="6"/>
      <c r="R411" s="6"/>
      <c r="S411" s="6"/>
      <c r="T411" s="6"/>
      <c r="U411" s="6"/>
      <c r="V411" s="6"/>
      <c r="W411" s="6"/>
    </row>
    <row r="412" spans="1:23" ht="16" x14ac:dyDescent="0.2">
      <c r="A412" s="6"/>
      <c r="B412" s="7"/>
      <c r="C412" s="7"/>
      <c r="D412" s="7"/>
      <c r="E412" s="7"/>
      <c r="F412" s="6"/>
      <c r="G412" s="6"/>
      <c r="H412" s="6"/>
      <c r="I412" s="6"/>
      <c r="J412" s="6"/>
      <c r="K412" s="6"/>
      <c r="L412" s="6"/>
      <c r="M412" s="6"/>
      <c r="N412" s="6"/>
      <c r="O412" s="6"/>
      <c r="P412" s="6"/>
      <c r="Q412" s="6"/>
      <c r="R412" s="6"/>
      <c r="S412" s="6"/>
      <c r="T412" s="6"/>
      <c r="U412" s="6"/>
      <c r="V412" s="6"/>
      <c r="W412" s="6"/>
    </row>
    <row r="413" spans="1:23" ht="16" x14ac:dyDescent="0.2">
      <c r="A413" s="6"/>
      <c r="B413" s="7"/>
      <c r="C413" s="7"/>
      <c r="D413" s="7"/>
      <c r="E413" s="7"/>
      <c r="F413" s="6"/>
      <c r="G413" s="6"/>
      <c r="H413" s="6"/>
      <c r="I413" s="6"/>
      <c r="J413" s="6"/>
      <c r="K413" s="6"/>
      <c r="L413" s="6"/>
      <c r="M413" s="6"/>
      <c r="N413" s="6"/>
      <c r="O413" s="6"/>
      <c r="P413" s="6"/>
      <c r="Q413" s="6"/>
      <c r="R413" s="6"/>
      <c r="S413" s="6"/>
      <c r="T413" s="6"/>
      <c r="U413" s="6"/>
      <c r="V413" s="6"/>
      <c r="W413" s="6"/>
    </row>
    <row r="414" spans="1:23" ht="16" x14ac:dyDescent="0.2">
      <c r="A414" s="6"/>
      <c r="B414" s="7"/>
      <c r="C414" s="7"/>
      <c r="D414" s="7"/>
      <c r="E414" s="7"/>
      <c r="F414" s="6"/>
      <c r="G414" s="6"/>
      <c r="H414" s="6"/>
      <c r="I414" s="6"/>
      <c r="J414" s="6"/>
      <c r="K414" s="6"/>
      <c r="L414" s="6"/>
      <c r="M414" s="6"/>
      <c r="N414" s="6"/>
      <c r="O414" s="6"/>
      <c r="P414" s="6"/>
      <c r="Q414" s="6"/>
      <c r="R414" s="6"/>
      <c r="S414" s="6"/>
      <c r="T414" s="6"/>
      <c r="U414" s="6"/>
      <c r="V414" s="6"/>
      <c r="W414" s="6"/>
    </row>
    <row r="415" spans="1:23" ht="16" x14ac:dyDescent="0.2">
      <c r="A415" s="6"/>
      <c r="B415" s="7"/>
      <c r="C415" s="7"/>
      <c r="D415" s="7"/>
      <c r="E415" s="7"/>
      <c r="F415" s="6"/>
      <c r="G415" s="6"/>
      <c r="H415" s="6"/>
      <c r="I415" s="6"/>
      <c r="J415" s="6"/>
      <c r="K415" s="6"/>
      <c r="L415" s="6"/>
      <c r="M415" s="6"/>
      <c r="N415" s="6"/>
      <c r="O415" s="6"/>
      <c r="P415" s="6"/>
      <c r="Q415" s="6"/>
      <c r="R415" s="6"/>
      <c r="S415" s="6"/>
      <c r="T415" s="6"/>
      <c r="U415" s="6"/>
      <c r="V415" s="6"/>
      <c r="W415" s="6"/>
    </row>
    <row r="416" spans="1:23" ht="16" x14ac:dyDescent="0.2">
      <c r="A416" s="6"/>
      <c r="B416" s="7"/>
      <c r="C416" s="7"/>
      <c r="D416" s="7"/>
      <c r="E416" s="7"/>
      <c r="F416" s="6"/>
      <c r="G416" s="6"/>
      <c r="H416" s="6"/>
      <c r="I416" s="6"/>
      <c r="J416" s="6"/>
      <c r="K416" s="6"/>
      <c r="L416" s="6"/>
      <c r="M416" s="6"/>
      <c r="N416" s="6"/>
      <c r="O416" s="6"/>
      <c r="P416" s="6"/>
      <c r="Q416" s="6"/>
      <c r="R416" s="6"/>
      <c r="S416" s="6"/>
      <c r="T416" s="6"/>
      <c r="U416" s="6"/>
      <c r="V416" s="6"/>
      <c r="W416" s="6"/>
    </row>
    <row r="417" spans="1:23" ht="16" x14ac:dyDescent="0.2">
      <c r="A417" s="6"/>
      <c r="B417" s="7"/>
      <c r="C417" s="7"/>
      <c r="D417" s="7"/>
      <c r="E417" s="7"/>
      <c r="F417" s="6"/>
      <c r="G417" s="6"/>
      <c r="H417" s="6"/>
      <c r="I417" s="6"/>
      <c r="J417" s="6"/>
      <c r="K417" s="6"/>
      <c r="L417" s="6"/>
      <c r="M417" s="6"/>
      <c r="N417" s="6"/>
      <c r="O417" s="6"/>
      <c r="P417" s="6"/>
      <c r="Q417" s="6"/>
      <c r="R417" s="6"/>
      <c r="S417" s="6"/>
      <c r="T417" s="6"/>
      <c r="U417" s="6"/>
      <c r="V417" s="6"/>
      <c r="W417" s="6"/>
    </row>
    <row r="418" spans="1:23" ht="16" x14ac:dyDescent="0.2">
      <c r="A418" s="6"/>
      <c r="B418" s="7"/>
      <c r="C418" s="7"/>
      <c r="D418" s="7"/>
      <c r="E418" s="7"/>
      <c r="F418" s="6"/>
      <c r="G418" s="6"/>
      <c r="H418" s="6"/>
      <c r="I418" s="6"/>
      <c r="J418" s="6"/>
      <c r="K418" s="6"/>
      <c r="L418" s="6"/>
      <c r="M418" s="6"/>
      <c r="N418" s="6"/>
      <c r="O418" s="6"/>
      <c r="P418" s="6"/>
      <c r="Q418" s="6"/>
      <c r="R418" s="6"/>
      <c r="S418" s="6"/>
      <c r="T418" s="6"/>
      <c r="U418" s="6"/>
      <c r="V418" s="6"/>
      <c r="W418" s="6"/>
    </row>
    <row r="419" spans="1:23" ht="16" x14ac:dyDescent="0.2">
      <c r="A419" s="6"/>
      <c r="B419" s="7"/>
      <c r="C419" s="7"/>
      <c r="D419" s="7"/>
      <c r="E419" s="7"/>
      <c r="F419" s="6"/>
      <c r="G419" s="6"/>
      <c r="H419" s="6"/>
      <c r="I419" s="6"/>
      <c r="J419" s="6"/>
      <c r="K419" s="6"/>
      <c r="L419" s="6"/>
      <c r="M419" s="6"/>
      <c r="N419" s="6"/>
      <c r="O419" s="6"/>
      <c r="P419" s="6"/>
      <c r="Q419" s="6"/>
      <c r="R419" s="6"/>
      <c r="S419" s="6"/>
      <c r="T419" s="6"/>
      <c r="U419" s="6"/>
      <c r="V419" s="6"/>
      <c r="W419" s="6"/>
    </row>
    <row r="420" spans="1:23" ht="16" x14ac:dyDescent="0.2">
      <c r="A420" s="6"/>
      <c r="B420" s="7"/>
      <c r="C420" s="7"/>
      <c r="D420" s="7"/>
      <c r="E420" s="7"/>
      <c r="F420" s="6"/>
      <c r="G420" s="6"/>
      <c r="H420" s="6"/>
      <c r="I420" s="6"/>
      <c r="J420" s="6"/>
      <c r="K420" s="6"/>
      <c r="L420" s="6"/>
      <c r="M420" s="6"/>
      <c r="N420" s="6"/>
      <c r="O420" s="6"/>
      <c r="P420" s="6"/>
      <c r="Q420" s="6"/>
      <c r="R420" s="6"/>
      <c r="S420" s="6"/>
      <c r="T420" s="6"/>
      <c r="U420" s="6"/>
      <c r="V420" s="6"/>
      <c r="W420" s="6"/>
    </row>
    <row r="421" spans="1:23" ht="16" x14ac:dyDescent="0.2">
      <c r="A421" s="6"/>
      <c r="B421" s="7"/>
      <c r="C421" s="7"/>
      <c r="D421" s="7"/>
      <c r="E421" s="7"/>
      <c r="F421" s="6"/>
      <c r="G421" s="6"/>
      <c r="H421" s="6"/>
      <c r="I421" s="6"/>
      <c r="J421" s="6"/>
      <c r="K421" s="6"/>
      <c r="L421" s="6"/>
      <c r="M421" s="6"/>
      <c r="N421" s="6"/>
      <c r="O421" s="6"/>
      <c r="P421" s="6"/>
      <c r="Q421" s="6"/>
      <c r="R421" s="6"/>
      <c r="S421" s="6"/>
      <c r="T421" s="6"/>
      <c r="U421" s="6"/>
      <c r="V421" s="6"/>
      <c r="W421" s="6"/>
    </row>
    <row r="422" spans="1:23" ht="16" x14ac:dyDescent="0.2">
      <c r="A422" s="6"/>
      <c r="B422" s="7"/>
      <c r="C422" s="7"/>
      <c r="D422" s="7"/>
      <c r="E422" s="7"/>
      <c r="F422" s="6"/>
      <c r="G422" s="6"/>
      <c r="H422" s="6"/>
      <c r="I422" s="6"/>
      <c r="J422" s="6"/>
      <c r="K422" s="6"/>
      <c r="L422" s="6"/>
      <c r="M422" s="6"/>
      <c r="N422" s="6"/>
      <c r="O422" s="6"/>
      <c r="P422" s="6"/>
      <c r="Q422" s="6"/>
      <c r="R422" s="6"/>
      <c r="S422" s="6"/>
      <c r="T422" s="6"/>
      <c r="U422" s="6"/>
      <c r="V422" s="6"/>
      <c r="W422" s="6"/>
    </row>
    <row r="423" spans="1:23" ht="16" x14ac:dyDescent="0.2">
      <c r="A423" s="6"/>
      <c r="B423" s="7"/>
      <c r="C423" s="7"/>
      <c r="D423" s="7"/>
      <c r="E423" s="7"/>
      <c r="F423" s="6"/>
      <c r="G423" s="6"/>
      <c r="H423" s="6"/>
      <c r="I423" s="6"/>
      <c r="J423" s="6"/>
      <c r="K423" s="6"/>
      <c r="L423" s="6"/>
      <c r="M423" s="6"/>
      <c r="N423" s="6"/>
      <c r="O423" s="6"/>
      <c r="P423" s="6"/>
      <c r="Q423" s="6"/>
      <c r="R423" s="6"/>
      <c r="S423" s="6"/>
      <c r="T423" s="6"/>
      <c r="U423" s="6"/>
      <c r="V423" s="6"/>
      <c r="W423" s="6"/>
    </row>
    <row r="424" spans="1:23" ht="16" x14ac:dyDescent="0.2">
      <c r="A424" s="6"/>
      <c r="B424" s="7"/>
      <c r="C424" s="7"/>
      <c r="D424" s="7"/>
      <c r="E424" s="7"/>
      <c r="F424" s="6"/>
      <c r="G424" s="6"/>
      <c r="H424" s="6"/>
      <c r="I424" s="6"/>
      <c r="J424" s="6"/>
      <c r="K424" s="6"/>
      <c r="L424" s="6"/>
      <c r="M424" s="6"/>
      <c r="N424" s="6"/>
      <c r="O424" s="6"/>
      <c r="P424" s="6"/>
      <c r="Q424" s="6"/>
      <c r="R424" s="6"/>
      <c r="S424" s="6"/>
      <c r="T424" s="6"/>
      <c r="U424" s="6"/>
      <c r="V424" s="6"/>
      <c r="W424" s="6"/>
    </row>
    <row r="425" spans="1:23" ht="16" x14ac:dyDescent="0.2">
      <c r="A425" s="6"/>
      <c r="B425" s="7"/>
      <c r="C425" s="7"/>
      <c r="D425" s="7"/>
      <c r="E425" s="7"/>
      <c r="F425" s="6"/>
      <c r="G425" s="6"/>
      <c r="H425" s="6"/>
      <c r="I425" s="6"/>
      <c r="J425" s="6"/>
      <c r="K425" s="6"/>
      <c r="L425" s="6"/>
      <c r="M425" s="6"/>
      <c r="N425" s="6"/>
      <c r="O425" s="6"/>
      <c r="P425" s="6"/>
      <c r="Q425" s="6"/>
      <c r="R425" s="6"/>
      <c r="S425" s="6"/>
      <c r="T425" s="6"/>
      <c r="U425" s="6"/>
      <c r="V425" s="6"/>
      <c r="W425" s="6"/>
    </row>
    <row r="426" spans="1:23" ht="16" x14ac:dyDescent="0.2">
      <c r="A426" s="6"/>
      <c r="B426" s="7"/>
      <c r="C426" s="7"/>
      <c r="D426" s="7"/>
      <c r="E426" s="7"/>
      <c r="F426" s="6"/>
      <c r="G426" s="6"/>
      <c r="H426" s="6"/>
      <c r="I426" s="6"/>
      <c r="J426" s="6"/>
      <c r="K426" s="6"/>
      <c r="L426" s="6"/>
      <c r="M426" s="6"/>
      <c r="N426" s="6"/>
      <c r="O426" s="6"/>
      <c r="P426" s="6"/>
      <c r="Q426" s="6"/>
      <c r="R426" s="6"/>
      <c r="S426" s="6"/>
      <c r="T426" s="6"/>
      <c r="U426" s="6"/>
      <c r="V426" s="6"/>
      <c r="W426" s="6"/>
    </row>
    <row r="427" spans="1:23" ht="16" x14ac:dyDescent="0.2">
      <c r="A427" s="6"/>
      <c r="B427" s="7"/>
      <c r="C427" s="7"/>
      <c r="D427" s="7"/>
      <c r="E427" s="7"/>
      <c r="F427" s="6"/>
      <c r="G427" s="6"/>
      <c r="H427" s="6"/>
      <c r="I427" s="6"/>
      <c r="J427" s="6"/>
      <c r="K427" s="6"/>
      <c r="L427" s="6"/>
      <c r="M427" s="6"/>
      <c r="N427" s="6"/>
      <c r="O427" s="6"/>
      <c r="P427" s="6"/>
      <c r="Q427" s="6"/>
      <c r="R427" s="6"/>
      <c r="S427" s="6"/>
      <c r="T427" s="6"/>
      <c r="U427" s="6"/>
      <c r="V427" s="6"/>
      <c r="W427" s="6"/>
    </row>
    <row r="428" spans="1:23" ht="16" x14ac:dyDescent="0.2">
      <c r="A428" s="6"/>
      <c r="B428" s="7"/>
      <c r="C428" s="7"/>
      <c r="D428" s="7"/>
      <c r="E428" s="7"/>
      <c r="F428" s="6"/>
      <c r="G428" s="6"/>
      <c r="H428" s="6"/>
      <c r="I428" s="6"/>
      <c r="J428" s="6"/>
      <c r="K428" s="6"/>
      <c r="L428" s="6"/>
      <c r="M428" s="6"/>
      <c r="N428" s="6"/>
      <c r="O428" s="6"/>
      <c r="P428" s="6"/>
      <c r="Q428" s="6"/>
      <c r="R428" s="6"/>
      <c r="S428" s="6"/>
      <c r="T428" s="6"/>
      <c r="U428" s="6"/>
      <c r="V428" s="6"/>
      <c r="W428" s="6"/>
    </row>
    <row r="429" spans="1:23" ht="16" x14ac:dyDescent="0.2">
      <c r="A429" s="6"/>
      <c r="B429" s="7"/>
      <c r="C429" s="7"/>
      <c r="D429" s="7"/>
      <c r="E429" s="7"/>
      <c r="F429" s="6"/>
      <c r="G429" s="6"/>
      <c r="H429" s="6"/>
      <c r="I429" s="6"/>
      <c r="J429" s="6"/>
      <c r="K429" s="6"/>
      <c r="L429" s="6"/>
      <c r="M429" s="6"/>
      <c r="N429" s="6"/>
      <c r="O429" s="6"/>
      <c r="P429" s="6"/>
      <c r="Q429" s="6"/>
      <c r="R429" s="6"/>
      <c r="S429" s="6"/>
      <c r="T429" s="6"/>
      <c r="U429" s="6"/>
      <c r="V429" s="6"/>
      <c r="W429" s="6"/>
    </row>
    <row r="430" spans="1:23" ht="16" x14ac:dyDescent="0.2">
      <c r="A430" s="6"/>
      <c r="B430" s="7"/>
      <c r="C430" s="7"/>
      <c r="D430" s="7"/>
      <c r="E430" s="7"/>
      <c r="F430" s="6"/>
      <c r="G430" s="6"/>
      <c r="H430" s="6"/>
      <c r="I430" s="6"/>
      <c r="J430" s="6"/>
      <c r="K430" s="6"/>
      <c r="L430" s="6"/>
      <c r="M430" s="6"/>
      <c r="N430" s="6"/>
      <c r="O430" s="6"/>
      <c r="P430" s="6"/>
      <c r="Q430" s="6"/>
      <c r="R430" s="6"/>
      <c r="S430" s="6"/>
      <c r="T430" s="6"/>
      <c r="U430" s="6"/>
      <c r="V430" s="6"/>
      <c r="W430" s="6"/>
    </row>
    <row r="431" spans="1:23" ht="16" x14ac:dyDescent="0.2">
      <c r="A431" s="6"/>
      <c r="B431" s="7"/>
      <c r="C431" s="7"/>
      <c r="D431" s="7"/>
      <c r="E431" s="7"/>
      <c r="F431" s="6"/>
      <c r="G431" s="6"/>
      <c r="H431" s="6"/>
      <c r="I431" s="6"/>
      <c r="J431" s="6"/>
      <c r="K431" s="6"/>
      <c r="L431" s="6"/>
      <c r="M431" s="6"/>
      <c r="N431" s="6"/>
      <c r="O431" s="6"/>
      <c r="P431" s="6"/>
      <c r="Q431" s="6"/>
      <c r="R431" s="6"/>
      <c r="S431" s="6"/>
      <c r="T431" s="6"/>
      <c r="U431" s="6"/>
      <c r="V431" s="6"/>
      <c r="W431" s="6"/>
    </row>
    <row r="432" spans="1:23" ht="16" x14ac:dyDescent="0.2">
      <c r="A432" s="6"/>
      <c r="B432" s="7"/>
      <c r="C432" s="7"/>
      <c r="D432" s="7"/>
      <c r="E432" s="7"/>
      <c r="F432" s="6"/>
      <c r="G432" s="6"/>
      <c r="H432" s="6"/>
      <c r="I432" s="6"/>
      <c r="J432" s="6"/>
      <c r="K432" s="6"/>
      <c r="L432" s="6"/>
      <c r="M432" s="6"/>
      <c r="N432" s="6"/>
      <c r="O432" s="6"/>
      <c r="P432" s="6"/>
      <c r="Q432" s="6"/>
      <c r="R432" s="6"/>
      <c r="S432" s="6"/>
      <c r="T432" s="6"/>
      <c r="U432" s="6"/>
      <c r="V432" s="6"/>
      <c r="W432" s="6"/>
    </row>
    <row r="433" spans="1:23" ht="16" x14ac:dyDescent="0.2">
      <c r="A433" s="6"/>
      <c r="B433" s="7"/>
      <c r="C433" s="7"/>
      <c r="D433" s="7"/>
      <c r="E433" s="7"/>
      <c r="F433" s="6"/>
      <c r="G433" s="6"/>
      <c r="H433" s="6"/>
      <c r="I433" s="6"/>
      <c r="J433" s="6"/>
      <c r="K433" s="6"/>
      <c r="L433" s="6"/>
      <c r="M433" s="6"/>
      <c r="N433" s="6"/>
      <c r="O433" s="6"/>
      <c r="P433" s="6"/>
      <c r="Q433" s="6"/>
      <c r="R433" s="6"/>
      <c r="S433" s="6"/>
      <c r="T433" s="6"/>
      <c r="U433" s="6"/>
      <c r="V433" s="6"/>
      <c r="W433" s="6"/>
    </row>
    <row r="434" spans="1:23" ht="16" x14ac:dyDescent="0.2">
      <c r="A434" s="6"/>
      <c r="B434" s="7"/>
      <c r="C434" s="7"/>
      <c r="D434" s="7"/>
      <c r="E434" s="7"/>
      <c r="F434" s="6"/>
      <c r="G434" s="6"/>
      <c r="H434" s="6"/>
      <c r="I434" s="6"/>
      <c r="J434" s="6"/>
      <c r="K434" s="6"/>
      <c r="L434" s="6"/>
      <c r="M434" s="6"/>
      <c r="N434" s="6"/>
      <c r="O434" s="6"/>
      <c r="P434" s="6"/>
      <c r="Q434" s="6"/>
      <c r="R434" s="6"/>
      <c r="S434" s="6"/>
      <c r="T434" s="6"/>
      <c r="U434" s="6"/>
      <c r="V434" s="6"/>
      <c r="W434" s="6"/>
    </row>
    <row r="435" spans="1:23" ht="16" x14ac:dyDescent="0.2">
      <c r="A435" s="6"/>
      <c r="B435" s="7"/>
      <c r="C435" s="7"/>
      <c r="D435" s="7"/>
      <c r="E435" s="7"/>
      <c r="F435" s="6"/>
      <c r="G435" s="6"/>
      <c r="H435" s="6"/>
      <c r="I435" s="6"/>
      <c r="J435" s="6"/>
      <c r="K435" s="6"/>
      <c r="L435" s="6"/>
      <c r="M435" s="6"/>
      <c r="N435" s="6"/>
      <c r="O435" s="6"/>
      <c r="P435" s="6"/>
      <c r="Q435" s="6"/>
      <c r="R435" s="6"/>
      <c r="S435" s="6"/>
      <c r="T435" s="6"/>
      <c r="U435" s="6"/>
      <c r="V435" s="6"/>
      <c r="W435" s="6"/>
    </row>
    <row r="436" spans="1:23" ht="16" x14ac:dyDescent="0.2">
      <c r="A436" s="6"/>
      <c r="B436" s="7"/>
      <c r="C436" s="7"/>
      <c r="D436" s="7"/>
      <c r="E436" s="7"/>
      <c r="F436" s="6"/>
      <c r="G436" s="6"/>
      <c r="H436" s="6"/>
      <c r="I436" s="6"/>
      <c r="J436" s="6"/>
      <c r="K436" s="6"/>
      <c r="L436" s="6"/>
      <c r="M436" s="6"/>
      <c r="N436" s="6"/>
      <c r="O436" s="6"/>
      <c r="P436" s="6"/>
      <c r="Q436" s="6"/>
      <c r="R436" s="6"/>
      <c r="S436" s="6"/>
      <c r="T436" s="6"/>
      <c r="U436" s="6"/>
      <c r="V436" s="6"/>
      <c r="W436" s="6"/>
    </row>
    <row r="437" spans="1:23" ht="16" x14ac:dyDescent="0.2">
      <c r="A437" s="6"/>
      <c r="B437" s="7"/>
      <c r="C437" s="7"/>
      <c r="D437" s="7"/>
      <c r="E437" s="7"/>
      <c r="F437" s="6"/>
      <c r="G437" s="6"/>
      <c r="H437" s="6"/>
      <c r="I437" s="6"/>
      <c r="J437" s="6"/>
      <c r="K437" s="6"/>
      <c r="L437" s="6"/>
      <c r="M437" s="6"/>
      <c r="N437" s="6"/>
      <c r="O437" s="6"/>
      <c r="P437" s="6"/>
      <c r="Q437" s="6"/>
      <c r="R437" s="6"/>
      <c r="S437" s="6"/>
      <c r="T437" s="6"/>
      <c r="U437" s="6"/>
      <c r="V437" s="6"/>
      <c r="W437" s="6"/>
    </row>
    <row r="438" spans="1:23" ht="16" x14ac:dyDescent="0.2">
      <c r="A438" s="6"/>
      <c r="B438" s="7"/>
      <c r="C438" s="7"/>
      <c r="D438" s="7"/>
      <c r="E438" s="7"/>
      <c r="F438" s="6"/>
      <c r="G438" s="6"/>
      <c r="H438" s="6"/>
      <c r="I438" s="6"/>
      <c r="J438" s="6"/>
      <c r="K438" s="6"/>
      <c r="L438" s="6"/>
      <c r="M438" s="6"/>
      <c r="N438" s="6"/>
      <c r="O438" s="6"/>
      <c r="P438" s="6"/>
      <c r="Q438" s="6"/>
      <c r="R438" s="6"/>
      <c r="S438" s="6"/>
      <c r="T438" s="6"/>
      <c r="U438" s="6"/>
      <c r="V438" s="6"/>
      <c r="W438" s="6"/>
    </row>
    <row r="439" spans="1:23" ht="16" x14ac:dyDescent="0.2">
      <c r="A439" s="6"/>
      <c r="B439" s="7"/>
      <c r="C439" s="7"/>
      <c r="D439" s="7"/>
      <c r="E439" s="7"/>
      <c r="F439" s="6"/>
      <c r="G439" s="6"/>
      <c r="H439" s="6"/>
      <c r="I439" s="6"/>
      <c r="J439" s="6"/>
      <c r="K439" s="6"/>
      <c r="L439" s="6"/>
      <c r="M439" s="6"/>
      <c r="N439" s="6"/>
      <c r="O439" s="6"/>
      <c r="P439" s="6"/>
      <c r="Q439" s="6"/>
      <c r="R439" s="6"/>
      <c r="S439" s="6"/>
      <c r="T439" s="6"/>
      <c r="U439" s="6"/>
      <c r="V439" s="6"/>
      <c r="W439" s="6"/>
    </row>
    <row r="440" spans="1:23" ht="16" x14ac:dyDescent="0.2">
      <c r="A440" s="6"/>
      <c r="B440" s="7"/>
      <c r="C440" s="7"/>
      <c r="D440" s="7"/>
      <c r="E440" s="7"/>
      <c r="F440" s="6"/>
      <c r="G440" s="6"/>
      <c r="H440" s="6"/>
      <c r="I440" s="6"/>
      <c r="J440" s="6"/>
      <c r="K440" s="6"/>
      <c r="L440" s="6"/>
      <c r="M440" s="6"/>
      <c r="N440" s="6"/>
      <c r="O440" s="6"/>
      <c r="P440" s="6"/>
      <c r="Q440" s="6"/>
      <c r="R440" s="6"/>
      <c r="S440" s="6"/>
      <c r="T440" s="6"/>
      <c r="U440" s="6"/>
      <c r="V440" s="6"/>
      <c r="W440" s="6"/>
    </row>
    <row r="441" spans="1:23" ht="16" x14ac:dyDescent="0.2">
      <c r="A441" s="6"/>
      <c r="B441" s="7"/>
      <c r="C441" s="7"/>
      <c r="D441" s="7"/>
      <c r="E441" s="7"/>
      <c r="F441" s="6"/>
      <c r="G441" s="6"/>
      <c r="H441" s="6"/>
      <c r="I441" s="6"/>
      <c r="J441" s="6"/>
      <c r="K441" s="6"/>
      <c r="L441" s="6"/>
      <c r="M441" s="6"/>
      <c r="N441" s="6"/>
      <c r="O441" s="6"/>
      <c r="P441" s="6"/>
      <c r="Q441" s="6"/>
      <c r="R441" s="6"/>
      <c r="S441" s="6"/>
      <c r="T441" s="6"/>
      <c r="U441" s="6"/>
      <c r="V441" s="6"/>
      <c r="W441" s="6"/>
    </row>
    <row r="442" spans="1:23" ht="16" x14ac:dyDescent="0.2">
      <c r="A442" s="6"/>
      <c r="B442" s="7"/>
      <c r="C442" s="7"/>
      <c r="D442" s="7"/>
      <c r="E442" s="7"/>
      <c r="F442" s="6"/>
      <c r="G442" s="6"/>
      <c r="H442" s="6"/>
      <c r="I442" s="6"/>
      <c r="J442" s="6"/>
      <c r="K442" s="6"/>
      <c r="L442" s="6"/>
      <c r="M442" s="6"/>
      <c r="N442" s="6"/>
      <c r="O442" s="6"/>
      <c r="P442" s="6"/>
      <c r="Q442" s="6"/>
      <c r="R442" s="6"/>
      <c r="S442" s="6"/>
      <c r="T442" s="6"/>
      <c r="U442" s="6"/>
      <c r="V442" s="6"/>
      <c r="W442" s="6"/>
    </row>
    <row r="443" spans="1:23" ht="16" x14ac:dyDescent="0.2">
      <c r="A443" s="6"/>
      <c r="B443" s="7"/>
      <c r="C443" s="7"/>
      <c r="D443" s="7"/>
      <c r="E443" s="7"/>
      <c r="F443" s="6"/>
      <c r="G443" s="6"/>
      <c r="H443" s="6"/>
      <c r="I443" s="6"/>
      <c r="J443" s="6"/>
      <c r="K443" s="6"/>
      <c r="L443" s="6"/>
      <c r="M443" s="6"/>
      <c r="N443" s="6"/>
      <c r="O443" s="6"/>
      <c r="P443" s="6"/>
      <c r="Q443" s="6"/>
      <c r="R443" s="6"/>
      <c r="S443" s="6"/>
      <c r="T443" s="6"/>
      <c r="U443" s="6"/>
      <c r="V443" s="6"/>
      <c r="W443" s="6"/>
    </row>
    <row r="444" spans="1:23" ht="16" x14ac:dyDescent="0.2">
      <c r="A444" s="6"/>
      <c r="B444" s="7"/>
      <c r="C444" s="7"/>
      <c r="D444" s="7"/>
      <c r="E444" s="7"/>
      <c r="F444" s="6"/>
      <c r="G444" s="6"/>
      <c r="H444" s="6"/>
      <c r="I444" s="6"/>
      <c r="J444" s="6"/>
      <c r="K444" s="6"/>
      <c r="L444" s="6"/>
      <c r="M444" s="6"/>
      <c r="N444" s="6"/>
      <c r="O444" s="6"/>
      <c r="P444" s="6"/>
      <c r="Q444" s="6"/>
      <c r="R444" s="6"/>
      <c r="S444" s="6"/>
      <c r="T444" s="6"/>
      <c r="U444" s="6"/>
      <c r="V444" s="6"/>
      <c r="W444" s="6"/>
    </row>
    <row r="445" spans="1:23" ht="16" x14ac:dyDescent="0.2">
      <c r="A445" s="6"/>
      <c r="B445" s="7"/>
      <c r="C445" s="7"/>
      <c r="D445" s="7"/>
      <c r="E445" s="7"/>
      <c r="F445" s="6"/>
      <c r="G445" s="6"/>
      <c r="H445" s="6"/>
      <c r="I445" s="6"/>
      <c r="J445" s="6"/>
      <c r="K445" s="6"/>
      <c r="L445" s="6"/>
      <c r="M445" s="6"/>
      <c r="N445" s="6"/>
      <c r="O445" s="6"/>
      <c r="P445" s="6"/>
      <c r="Q445" s="6"/>
      <c r="R445" s="6"/>
      <c r="S445" s="6"/>
      <c r="T445" s="6"/>
      <c r="U445" s="6"/>
      <c r="V445" s="6"/>
      <c r="W445" s="6"/>
    </row>
    <row r="446" spans="1:23" ht="16" x14ac:dyDescent="0.2">
      <c r="A446" s="6"/>
      <c r="B446" s="7"/>
      <c r="C446" s="7"/>
      <c r="D446" s="7"/>
      <c r="E446" s="7"/>
      <c r="F446" s="6"/>
      <c r="G446" s="6"/>
      <c r="H446" s="6"/>
      <c r="I446" s="6"/>
      <c r="J446" s="6"/>
      <c r="K446" s="6"/>
      <c r="L446" s="6"/>
      <c r="M446" s="6"/>
      <c r="N446" s="6"/>
      <c r="O446" s="6"/>
      <c r="P446" s="6"/>
      <c r="Q446" s="6"/>
      <c r="R446" s="6"/>
      <c r="S446" s="6"/>
      <c r="T446" s="6"/>
      <c r="U446" s="6"/>
      <c r="V446" s="6"/>
      <c r="W446" s="6"/>
    </row>
    <row r="447" spans="1:23" ht="16" x14ac:dyDescent="0.2">
      <c r="A447" s="6"/>
      <c r="B447" s="7"/>
      <c r="C447" s="7"/>
      <c r="D447" s="7"/>
      <c r="E447" s="7"/>
      <c r="F447" s="6"/>
      <c r="G447" s="6"/>
      <c r="H447" s="6"/>
      <c r="I447" s="6"/>
      <c r="J447" s="6"/>
      <c r="K447" s="6"/>
      <c r="L447" s="6"/>
      <c r="M447" s="6"/>
      <c r="N447" s="6"/>
      <c r="O447" s="6"/>
      <c r="P447" s="6"/>
      <c r="Q447" s="6"/>
      <c r="R447" s="6"/>
      <c r="S447" s="6"/>
      <c r="T447" s="6"/>
      <c r="U447" s="6"/>
      <c r="V447" s="6"/>
      <c r="W447" s="6"/>
    </row>
    <row r="448" spans="1:23" ht="16" x14ac:dyDescent="0.2">
      <c r="A448" s="6"/>
      <c r="B448" s="7"/>
      <c r="C448" s="7"/>
      <c r="D448" s="7"/>
      <c r="E448" s="7"/>
      <c r="F448" s="6"/>
      <c r="G448" s="6"/>
      <c r="H448" s="6"/>
      <c r="I448" s="6"/>
      <c r="J448" s="6"/>
      <c r="K448" s="6"/>
      <c r="L448" s="6"/>
      <c r="M448" s="6"/>
      <c r="N448" s="6"/>
      <c r="O448" s="6"/>
      <c r="P448" s="6"/>
      <c r="Q448" s="6"/>
      <c r="R448" s="6"/>
      <c r="S448" s="6"/>
      <c r="T448" s="6"/>
      <c r="U448" s="6"/>
      <c r="V448" s="6"/>
      <c r="W448" s="6"/>
    </row>
    <row r="449" spans="1:23" ht="16" x14ac:dyDescent="0.2">
      <c r="A449" s="6"/>
      <c r="B449" s="7"/>
      <c r="C449" s="7"/>
      <c r="D449" s="7"/>
      <c r="E449" s="7"/>
      <c r="F449" s="6"/>
      <c r="G449" s="6"/>
      <c r="H449" s="6"/>
      <c r="I449" s="6"/>
      <c r="J449" s="6"/>
      <c r="K449" s="6"/>
      <c r="L449" s="6"/>
      <c r="M449" s="6"/>
      <c r="N449" s="6"/>
      <c r="O449" s="6"/>
      <c r="P449" s="6"/>
      <c r="Q449" s="6"/>
      <c r="R449" s="6"/>
      <c r="S449" s="6"/>
      <c r="T449" s="6"/>
      <c r="U449" s="6"/>
      <c r="V449" s="6"/>
      <c r="W449" s="6"/>
    </row>
    <row r="450" spans="1:23" ht="16" x14ac:dyDescent="0.2">
      <c r="A450" s="6"/>
      <c r="B450" s="7"/>
      <c r="C450" s="7"/>
      <c r="D450" s="7"/>
      <c r="E450" s="7"/>
      <c r="F450" s="6"/>
      <c r="G450" s="6"/>
      <c r="H450" s="6"/>
      <c r="I450" s="6"/>
      <c r="J450" s="6"/>
      <c r="K450" s="6"/>
      <c r="L450" s="6"/>
      <c r="M450" s="6"/>
      <c r="N450" s="6"/>
      <c r="O450" s="6"/>
      <c r="P450" s="6"/>
      <c r="Q450" s="6"/>
      <c r="R450" s="6"/>
      <c r="S450" s="6"/>
      <c r="T450" s="6"/>
      <c r="U450" s="6"/>
      <c r="V450" s="6"/>
      <c r="W450" s="6"/>
    </row>
    <row r="451" spans="1:23" ht="16" x14ac:dyDescent="0.2">
      <c r="A451" s="6"/>
      <c r="B451" s="7"/>
      <c r="C451" s="7"/>
      <c r="D451" s="7"/>
      <c r="E451" s="7"/>
      <c r="F451" s="6"/>
      <c r="G451" s="6"/>
      <c r="H451" s="6"/>
      <c r="I451" s="6"/>
      <c r="J451" s="6"/>
      <c r="K451" s="6"/>
      <c r="L451" s="6"/>
      <c r="M451" s="6"/>
      <c r="N451" s="6"/>
      <c r="O451" s="6"/>
      <c r="P451" s="6"/>
      <c r="Q451" s="6"/>
      <c r="R451" s="6"/>
      <c r="S451" s="6"/>
      <c r="T451" s="6"/>
      <c r="U451" s="6"/>
      <c r="V451" s="6"/>
      <c r="W451" s="6"/>
    </row>
    <row r="452" spans="1:23" ht="16" x14ac:dyDescent="0.2">
      <c r="A452" s="6"/>
      <c r="B452" s="7"/>
      <c r="C452" s="7"/>
      <c r="D452" s="7"/>
      <c r="E452" s="7"/>
      <c r="F452" s="6"/>
      <c r="G452" s="6"/>
      <c r="H452" s="6"/>
      <c r="I452" s="6"/>
      <c r="J452" s="6"/>
      <c r="K452" s="6"/>
      <c r="L452" s="6"/>
      <c r="M452" s="6"/>
      <c r="N452" s="6"/>
      <c r="O452" s="6"/>
      <c r="P452" s="6"/>
      <c r="Q452" s="6"/>
      <c r="R452" s="6"/>
      <c r="S452" s="6"/>
      <c r="T452" s="6"/>
      <c r="U452" s="6"/>
      <c r="V452" s="6"/>
      <c r="W452" s="6"/>
    </row>
    <row r="453" spans="1:23" ht="16" x14ac:dyDescent="0.2">
      <c r="A453" s="6"/>
      <c r="B453" s="7"/>
      <c r="C453" s="7"/>
      <c r="D453" s="7"/>
      <c r="E453" s="7"/>
      <c r="F453" s="6"/>
      <c r="G453" s="6"/>
      <c r="H453" s="6"/>
      <c r="I453" s="6"/>
      <c r="J453" s="6"/>
      <c r="K453" s="6"/>
      <c r="L453" s="6"/>
      <c r="M453" s="6"/>
      <c r="N453" s="6"/>
      <c r="O453" s="6"/>
      <c r="P453" s="6"/>
      <c r="Q453" s="6"/>
      <c r="R453" s="6"/>
      <c r="S453" s="6"/>
      <c r="T453" s="6"/>
      <c r="U453" s="6"/>
      <c r="V453" s="6"/>
      <c r="W453" s="6"/>
    </row>
    <row r="454" spans="1:23" ht="16" x14ac:dyDescent="0.2">
      <c r="A454" s="6"/>
      <c r="B454" s="7"/>
      <c r="C454" s="7"/>
      <c r="D454" s="7"/>
      <c r="E454" s="7"/>
      <c r="F454" s="6"/>
      <c r="G454" s="6"/>
      <c r="H454" s="6"/>
      <c r="I454" s="6"/>
      <c r="J454" s="6"/>
      <c r="K454" s="6"/>
      <c r="L454" s="6"/>
      <c r="M454" s="6"/>
      <c r="N454" s="6"/>
      <c r="O454" s="6"/>
      <c r="P454" s="6"/>
      <c r="Q454" s="6"/>
      <c r="R454" s="6"/>
      <c r="S454" s="6"/>
      <c r="T454" s="6"/>
      <c r="U454" s="6"/>
      <c r="V454" s="6"/>
      <c r="W454" s="6"/>
    </row>
    <row r="455" spans="1:23" ht="16" x14ac:dyDescent="0.2">
      <c r="A455" s="6"/>
      <c r="B455" s="7"/>
      <c r="C455" s="7"/>
      <c r="D455" s="7"/>
      <c r="E455" s="7"/>
      <c r="F455" s="6"/>
      <c r="G455" s="6"/>
      <c r="H455" s="6"/>
      <c r="I455" s="6"/>
      <c r="J455" s="6"/>
      <c r="K455" s="6"/>
      <c r="L455" s="6"/>
      <c r="M455" s="6"/>
      <c r="N455" s="6"/>
      <c r="O455" s="6"/>
      <c r="P455" s="6"/>
      <c r="Q455" s="6"/>
      <c r="R455" s="6"/>
      <c r="S455" s="6"/>
      <c r="T455" s="6"/>
      <c r="U455" s="6"/>
      <c r="V455" s="6"/>
      <c r="W455" s="6"/>
    </row>
    <row r="456" spans="1:23" ht="16" x14ac:dyDescent="0.2">
      <c r="A456" s="6"/>
      <c r="B456" s="7"/>
      <c r="C456" s="7"/>
      <c r="D456" s="7"/>
      <c r="E456" s="7"/>
      <c r="F456" s="6"/>
      <c r="G456" s="6"/>
      <c r="H456" s="6"/>
      <c r="I456" s="6"/>
      <c r="J456" s="6"/>
      <c r="K456" s="6"/>
      <c r="L456" s="6"/>
      <c r="M456" s="6"/>
      <c r="N456" s="6"/>
      <c r="O456" s="6"/>
      <c r="P456" s="6"/>
      <c r="Q456" s="6"/>
      <c r="R456" s="6"/>
      <c r="S456" s="6"/>
      <c r="T456" s="6"/>
      <c r="U456" s="6"/>
      <c r="V456" s="6"/>
      <c r="W456" s="6"/>
    </row>
    <row r="457" spans="1:23" ht="16" x14ac:dyDescent="0.2">
      <c r="A457" s="6"/>
      <c r="B457" s="7"/>
      <c r="C457" s="7"/>
      <c r="D457" s="7"/>
      <c r="E457" s="7"/>
      <c r="F457" s="6"/>
      <c r="G457" s="6"/>
      <c r="H457" s="6"/>
      <c r="I457" s="6"/>
      <c r="J457" s="6"/>
      <c r="K457" s="6"/>
      <c r="L457" s="6"/>
      <c r="M457" s="6"/>
      <c r="N457" s="6"/>
      <c r="O457" s="6"/>
      <c r="P457" s="6"/>
      <c r="Q457" s="6"/>
      <c r="R457" s="6"/>
      <c r="S457" s="6"/>
      <c r="T457" s="6"/>
      <c r="U457" s="6"/>
      <c r="V457" s="6"/>
      <c r="W457" s="6"/>
    </row>
    <row r="458" spans="1:23" ht="16" x14ac:dyDescent="0.2">
      <c r="A458" s="6"/>
      <c r="B458" s="7"/>
      <c r="C458" s="7"/>
      <c r="D458" s="7"/>
      <c r="E458" s="7"/>
      <c r="F458" s="6"/>
      <c r="G458" s="6"/>
      <c r="H458" s="6"/>
      <c r="I458" s="6"/>
      <c r="J458" s="6"/>
      <c r="K458" s="6"/>
      <c r="L458" s="6"/>
      <c r="M458" s="6"/>
      <c r="N458" s="6"/>
      <c r="O458" s="6"/>
      <c r="P458" s="6"/>
      <c r="Q458" s="6"/>
      <c r="R458" s="6"/>
      <c r="S458" s="6"/>
      <c r="T458" s="6"/>
      <c r="U458" s="6"/>
      <c r="V458" s="6"/>
      <c r="W458" s="6"/>
    </row>
    <row r="459" spans="1:23" ht="16" x14ac:dyDescent="0.2">
      <c r="A459" s="6"/>
      <c r="B459" s="7"/>
      <c r="C459" s="7"/>
      <c r="D459" s="7"/>
      <c r="E459" s="7"/>
      <c r="F459" s="6"/>
      <c r="G459" s="6"/>
      <c r="H459" s="6"/>
      <c r="I459" s="6"/>
      <c r="J459" s="6"/>
      <c r="K459" s="6"/>
      <c r="L459" s="6"/>
      <c r="M459" s="6"/>
      <c r="N459" s="6"/>
      <c r="O459" s="6"/>
      <c r="P459" s="6"/>
      <c r="Q459" s="6"/>
      <c r="R459" s="6"/>
      <c r="S459" s="6"/>
      <c r="T459" s="6"/>
      <c r="U459" s="6"/>
      <c r="V459" s="6"/>
      <c r="W459" s="6"/>
    </row>
    <row r="460" spans="1:23" ht="16" x14ac:dyDescent="0.2">
      <c r="A460" s="6"/>
      <c r="B460" s="7"/>
      <c r="C460" s="7"/>
      <c r="D460" s="7"/>
      <c r="E460" s="7"/>
      <c r="F460" s="6"/>
      <c r="G460" s="6"/>
      <c r="H460" s="6"/>
      <c r="I460" s="6"/>
      <c r="J460" s="6"/>
      <c r="K460" s="6"/>
      <c r="L460" s="6"/>
      <c r="M460" s="6"/>
      <c r="N460" s="6"/>
      <c r="O460" s="6"/>
      <c r="P460" s="6"/>
      <c r="Q460" s="6"/>
      <c r="R460" s="6"/>
      <c r="S460" s="6"/>
      <c r="T460" s="6"/>
      <c r="U460" s="6"/>
      <c r="V460" s="6"/>
      <c r="W460" s="6"/>
    </row>
    <row r="461" spans="1:23" ht="16" x14ac:dyDescent="0.2">
      <c r="A461" s="6"/>
      <c r="B461" s="7"/>
      <c r="C461" s="7"/>
      <c r="D461" s="7"/>
      <c r="E461" s="7"/>
      <c r="F461" s="6"/>
      <c r="G461" s="6"/>
      <c r="H461" s="6"/>
      <c r="I461" s="6"/>
      <c r="J461" s="6"/>
      <c r="K461" s="6"/>
      <c r="L461" s="6"/>
      <c r="M461" s="6"/>
      <c r="N461" s="6"/>
      <c r="O461" s="6"/>
      <c r="P461" s="6"/>
      <c r="Q461" s="6"/>
      <c r="R461" s="6"/>
      <c r="S461" s="6"/>
      <c r="T461" s="6"/>
      <c r="U461" s="6"/>
      <c r="V461" s="6"/>
      <c r="W461" s="6"/>
    </row>
    <row r="462" spans="1:23" ht="16" x14ac:dyDescent="0.2">
      <c r="A462" s="6"/>
      <c r="B462" s="7"/>
      <c r="C462" s="7"/>
      <c r="D462" s="7"/>
      <c r="E462" s="7"/>
      <c r="F462" s="6"/>
      <c r="G462" s="6"/>
      <c r="H462" s="6"/>
      <c r="I462" s="6"/>
      <c r="J462" s="6"/>
      <c r="K462" s="6"/>
      <c r="L462" s="6"/>
      <c r="M462" s="6"/>
      <c r="N462" s="6"/>
      <c r="O462" s="6"/>
      <c r="P462" s="6"/>
      <c r="Q462" s="6"/>
      <c r="R462" s="6"/>
      <c r="S462" s="6"/>
      <c r="T462" s="6"/>
      <c r="U462" s="6"/>
      <c r="V462" s="6"/>
      <c r="W462" s="6"/>
    </row>
    <row r="463" spans="1:23" ht="16" x14ac:dyDescent="0.2">
      <c r="A463" s="6"/>
      <c r="B463" s="7"/>
      <c r="C463" s="7"/>
      <c r="D463" s="7"/>
      <c r="E463" s="7"/>
      <c r="F463" s="6"/>
      <c r="G463" s="6"/>
      <c r="H463" s="6"/>
      <c r="I463" s="6"/>
      <c r="J463" s="6"/>
      <c r="K463" s="6"/>
      <c r="L463" s="6"/>
      <c r="M463" s="6"/>
      <c r="N463" s="6"/>
      <c r="O463" s="6"/>
      <c r="P463" s="6"/>
      <c r="Q463" s="6"/>
      <c r="R463" s="6"/>
      <c r="S463" s="6"/>
      <c r="T463" s="6"/>
      <c r="U463" s="6"/>
      <c r="V463" s="6"/>
      <c r="W463" s="6"/>
    </row>
    <row r="464" spans="1:23" ht="16" x14ac:dyDescent="0.2">
      <c r="A464" s="6"/>
      <c r="B464" s="7"/>
      <c r="C464" s="7"/>
      <c r="D464" s="7"/>
      <c r="E464" s="7"/>
      <c r="F464" s="6"/>
      <c r="G464" s="6"/>
      <c r="H464" s="6"/>
      <c r="I464" s="6"/>
      <c r="J464" s="6"/>
      <c r="K464" s="6"/>
      <c r="L464" s="6"/>
      <c r="M464" s="6"/>
      <c r="N464" s="6"/>
      <c r="O464" s="6"/>
      <c r="P464" s="6"/>
      <c r="Q464" s="6"/>
      <c r="R464" s="6"/>
      <c r="S464" s="6"/>
      <c r="T464" s="6"/>
      <c r="U464" s="6"/>
      <c r="V464" s="6"/>
      <c r="W464" s="6"/>
    </row>
    <row r="465" spans="1:23" ht="16" x14ac:dyDescent="0.2">
      <c r="A465" s="6"/>
      <c r="B465" s="7"/>
      <c r="C465" s="7"/>
      <c r="D465" s="7"/>
      <c r="E465" s="7"/>
      <c r="F465" s="6"/>
      <c r="G465" s="6"/>
      <c r="H465" s="6"/>
      <c r="I465" s="6"/>
      <c r="J465" s="6"/>
      <c r="K465" s="6"/>
      <c r="L465" s="6"/>
      <c r="M465" s="6"/>
      <c r="N465" s="6"/>
      <c r="O465" s="6"/>
      <c r="P465" s="6"/>
      <c r="Q465" s="6"/>
      <c r="R465" s="6"/>
      <c r="S465" s="6"/>
      <c r="T465" s="6"/>
      <c r="U465" s="6"/>
      <c r="V465" s="6"/>
      <c r="W465" s="6"/>
    </row>
    <row r="466" spans="1:23" ht="16" x14ac:dyDescent="0.2">
      <c r="A466" s="6"/>
      <c r="B466" s="7"/>
      <c r="C466" s="7"/>
      <c r="D466" s="7"/>
      <c r="E466" s="7"/>
      <c r="F466" s="6"/>
      <c r="G466" s="6"/>
      <c r="H466" s="6"/>
      <c r="I466" s="6"/>
      <c r="J466" s="6"/>
      <c r="K466" s="6"/>
      <c r="L466" s="6"/>
      <c r="M466" s="6"/>
      <c r="N466" s="6"/>
      <c r="O466" s="6"/>
      <c r="P466" s="6"/>
      <c r="Q466" s="6"/>
      <c r="R466" s="6"/>
      <c r="S466" s="6"/>
      <c r="T466" s="6"/>
      <c r="U466" s="6"/>
      <c r="V466" s="6"/>
      <c r="W466" s="6"/>
    </row>
    <row r="467" spans="1:23" ht="16" x14ac:dyDescent="0.2">
      <c r="A467" s="6"/>
      <c r="B467" s="7"/>
      <c r="C467" s="7"/>
      <c r="D467" s="7"/>
      <c r="E467" s="7"/>
      <c r="F467" s="6"/>
      <c r="G467" s="6"/>
      <c r="H467" s="6"/>
      <c r="I467" s="6"/>
      <c r="J467" s="6"/>
      <c r="K467" s="6"/>
      <c r="L467" s="6"/>
      <c r="M467" s="6"/>
      <c r="N467" s="6"/>
      <c r="O467" s="6"/>
      <c r="P467" s="6"/>
      <c r="Q467" s="6"/>
      <c r="R467" s="6"/>
      <c r="S467" s="6"/>
      <c r="T467" s="6"/>
      <c r="U467" s="6"/>
      <c r="V467" s="6"/>
      <c r="W467" s="6"/>
    </row>
    <row r="468" spans="1:23" ht="16" x14ac:dyDescent="0.2">
      <c r="A468" s="6"/>
      <c r="B468" s="7"/>
      <c r="C468" s="7"/>
      <c r="D468" s="7"/>
      <c r="E468" s="7"/>
      <c r="F468" s="6"/>
      <c r="G468" s="6"/>
      <c r="H468" s="6"/>
      <c r="I468" s="6"/>
      <c r="J468" s="6"/>
      <c r="K468" s="6"/>
      <c r="L468" s="6"/>
      <c r="M468" s="6"/>
      <c r="N468" s="6"/>
      <c r="O468" s="6"/>
      <c r="P468" s="6"/>
      <c r="Q468" s="6"/>
      <c r="R468" s="6"/>
      <c r="S468" s="6"/>
      <c r="T468" s="6"/>
      <c r="U468" s="6"/>
      <c r="V468" s="6"/>
      <c r="W468" s="6"/>
    </row>
    <row r="469" spans="1:23" ht="16" x14ac:dyDescent="0.2">
      <c r="A469" s="6"/>
      <c r="B469" s="7"/>
      <c r="C469" s="7"/>
      <c r="D469" s="7"/>
      <c r="E469" s="7"/>
      <c r="F469" s="6"/>
      <c r="G469" s="6"/>
      <c r="H469" s="6"/>
      <c r="I469" s="6"/>
      <c r="J469" s="6"/>
      <c r="K469" s="6"/>
      <c r="L469" s="6"/>
      <c r="M469" s="6"/>
      <c r="N469" s="6"/>
      <c r="O469" s="6"/>
      <c r="P469" s="6"/>
      <c r="Q469" s="6"/>
      <c r="R469" s="6"/>
      <c r="S469" s="6"/>
      <c r="T469" s="6"/>
      <c r="U469" s="6"/>
      <c r="V469" s="6"/>
      <c r="W469" s="6"/>
    </row>
    <row r="470" spans="1:23" ht="16" x14ac:dyDescent="0.2">
      <c r="A470" s="6"/>
      <c r="B470" s="7"/>
      <c r="C470" s="7"/>
      <c r="D470" s="7"/>
      <c r="E470" s="7"/>
      <c r="F470" s="6"/>
      <c r="G470" s="6"/>
      <c r="H470" s="6"/>
      <c r="I470" s="6"/>
      <c r="J470" s="6"/>
      <c r="K470" s="6"/>
      <c r="L470" s="6"/>
      <c r="M470" s="6"/>
      <c r="N470" s="6"/>
      <c r="O470" s="6"/>
      <c r="P470" s="6"/>
      <c r="Q470" s="6"/>
      <c r="R470" s="6"/>
      <c r="S470" s="6"/>
      <c r="T470" s="6"/>
      <c r="U470" s="6"/>
      <c r="V470" s="6"/>
      <c r="W470" s="6"/>
    </row>
    <row r="471" spans="1:23" ht="16" x14ac:dyDescent="0.2">
      <c r="A471" s="6"/>
      <c r="B471" s="7"/>
      <c r="C471" s="7"/>
      <c r="D471" s="7"/>
      <c r="E471" s="7"/>
      <c r="F471" s="6"/>
      <c r="G471" s="6"/>
      <c r="H471" s="6"/>
      <c r="I471" s="6"/>
      <c r="J471" s="6"/>
      <c r="K471" s="6"/>
      <c r="L471" s="6"/>
      <c r="M471" s="6"/>
      <c r="N471" s="6"/>
      <c r="O471" s="6"/>
      <c r="P471" s="6"/>
      <c r="Q471" s="6"/>
      <c r="R471" s="6"/>
      <c r="S471" s="6"/>
      <c r="T471" s="6"/>
      <c r="U471" s="6"/>
      <c r="V471" s="6"/>
      <c r="W471" s="6"/>
    </row>
    <row r="472" spans="1:23" ht="16" x14ac:dyDescent="0.2">
      <c r="A472" s="6"/>
      <c r="B472" s="7"/>
      <c r="C472" s="7"/>
      <c r="D472" s="7"/>
      <c r="E472" s="7"/>
      <c r="F472" s="6"/>
      <c r="G472" s="6"/>
      <c r="H472" s="6"/>
      <c r="I472" s="6"/>
      <c r="J472" s="6"/>
      <c r="K472" s="6"/>
      <c r="L472" s="6"/>
      <c r="M472" s="6"/>
      <c r="N472" s="6"/>
      <c r="O472" s="6"/>
      <c r="P472" s="6"/>
      <c r="Q472" s="6"/>
      <c r="R472" s="6"/>
      <c r="S472" s="6"/>
      <c r="T472" s="6"/>
      <c r="U472" s="6"/>
      <c r="V472" s="6"/>
      <c r="W472" s="6"/>
    </row>
    <row r="473" spans="1:23" ht="16" x14ac:dyDescent="0.2">
      <c r="A473" s="6"/>
      <c r="B473" s="7"/>
      <c r="C473" s="7"/>
      <c r="D473" s="7"/>
      <c r="E473" s="7"/>
      <c r="F473" s="6"/>
      <c r="G473" s="6"/>
      <c r="H473" s="6"/>
      <c r="I473" s="6"/>
      <c r="J473" s="6"/>
      <c r="K473" s="6"/>
      <c r="L473" s="6"/>
      <c r="M473" s="6"/>
      <c r="N473" s="6"/>
      <c r="O473" s="6"/>
      <c r="P473" s="6"/>
      <c r="Q473" s="6"/>
      <c r="R473" s="6"/>
      <c r="S473" s="6"/>
      <c r="T473" s="6"/>
      <c r="U473" s="6"/>
      <c r="V473" s="6"/>
      <c r="W473" s="6"/>
    </row>
    <row r="474" spans="1:23" ht="16" x14ac:dyDescent="0.2">
      <c r="A474" s="6"/>
      <c r="B474" s="7"/>
      <c r="C474" s="7"/>
      <c r="D474" s="7"/>
      <c r="E474" s="7"/>
      <c r="F474" s="6"/>
      <c r="G474" s="6"/>
      <c r="H474" s="6"/>
      <c r="I474" s="6"/>
      <c r="J474" s="6"/>
      <c r="K474" s="6"/>
      <c r="L474" s="6"/>
      <c r="M474" s="6"/>
      <c r="N474" s="6"/>
      <c r="O474" s="6"/>
      <c r="P474" s="6"/>
      <c r="Q474" s="6"/>
      <c r="R474" s="6"/>
      <c r="S474" s="6"/>
      <c r="T474" s="6"/>
      <c r="U474" s="6"/>
      <c r="V474" s="6"/>
      <c r="W474" s="6"/>
    </row>
    <row r="475" spans="1:23" ht="16" x14ac:dyDescent="0.2">
      <c r="A475" s="6"/>
      <c r="B475" s="7"/>
      <c r="C475" s="7"/>
      <c r="D475" s="7"/>
      <c r="E475" s="7"/>
      <c r="F475" s="6"/>
      <c r="G475" s="6"/>
      <c r="H475" s="6"/>
      <c r="I475" s="6"/>
      <c r="J475" s="6"/>
      <c r="K475" s="6"/>
      <c r="L475" s="6"/>
      <c r="M475" s="6"/>
      <c r="N475" s="6"/>
      <c r="O475" s="6"/>
      <c r="P475" s="6"/>
      <c r="Q475" s="6"/>
      <c r="R475" s="6"/>
      <c r="S475" s="6"/>
      <c r="T475" s="6"/>
      <c r="U475" s="6"/>
      <c r="V475" s="6"/>
      <c r="W475" s="6"/>
    </row>
    <row r="476" spans="1:23" ht="16" x14ac:dyDescent="0.2">
      <c r="A476" s="6"/>
      <c r="B476" s="7"/>
      <c r="C476" s="7"/>
      <c r="D476" s="7"/>
      <c r="E476" s="7"/>
      <c r="F476" s="6"/>
      <c r="G476" s="6"/>
      <c r="H476" s="6"/>
      <c r="I476" s="6"/>
      <c r="J476" s="6"/>
      <c r="K476" s="6"/>
      <c r="L476" s="6"/>
      <c r="M476" s="6"/>
      <c r="N476" s="6"/>
      <c r="O476" s="6"/>
      <c r="P476" s="6"/>
      <c r="Q476" s="6"/>
      <c r="R476" s="6"/>
      <c r="S476" s="6"/>
      <c r="T476" s="6"/>
      <c r="U476" s="6"/>
      <c r="V476" s="6"/>
      <c r="W476" s="6"/>
    </row>
    <row r="477" spans="1:23" ht="16" x14ac:dyDescent="0.2">
      <c r="A477" s="6"/>
      <c r="B477" s="7"/>
      <c r="C477" s="7"/>
      <c r="D477" s="7"/>
      <c r="E477" s="7"/>
      <c r="F477" s="6"/>
      <c r="G477" s="6"/>
      <c r="H477" s="6"/>
      <c r="I477" s="6"/>
      <c r="J477" s="6"/>
      <c r="K477" s="6"/>
      <c r="L477" s="6"/>
      <c r="M477" s="6"/>
      <c r="N477" s="6"/>
      <c r="O477" s="6"/>
      <c r="P477" s="6"/>
      <c r="Q477" s="6"/>
      <c r="R477" s="6"/>
      <c r="S477" s="6"/>
      <c r="T477" s="6"/>
      <c r="U477" s="6"/>
      <c r="V477" s="6"/>
      <c r="W477" s="6"/>
    </row>
    <row r="478" spans="1:23" ht="16" x14ac:dyDescent="0.2">
      <c r="A478" s="6"/>
      <c r="B478" s="7"/>
      <c r="C478" s="7"/>
      <c r="D478" s="7"/>
      <c r="E478" s="7"/>
      <c r="F478" s="6"/>
      <c r="G478" s="6"/>
      <c r="H478" s="6"/>
      <c r="I478" s="6"/>
      <c r="J478" s="6"/>
      <c r="K478" s="6"/>
      <c r="L478" s="6"/>
      <c r="M478" s="6"/>
      <c r="N478" s="6"/>
      <c r="O478" s="6"/>
      <c r="P478" s="6"/>
      <c r="Q478" s="6"/>
      <c r="R478" s="6"/>
      <c r="S478" s="6"/>
      <c r="T478" s="6"/>
      <c r="U478" s="6"/>
      <c r="V478" s="6"/>
      <c r="W478" s="6"/>
    </row>
    <row r="479" spans="1:23" ht="16" x14ac:dyDescent="0.2">
      <c r="A479" s="6"/>
      <c r="B479" s="7"/>
      <c r="C479" s="7"/>
      <c r="D479" s="7"/>
      <c r="E479" s="7"/>
      <c r="F479" s="6"/>
      <c r="G479" s="6"/>
      <c r="H479" s="6"/>
      <c r="I479" s="6"/>
      <c r="J479" s="6"/>
      <c r="K479" s="6"/>
      <c r="L479" s="6"/>
      <c r="M479" s="6"/>
      <c r="N479" s="6"/>
      <c r="O479" s="6"/>
      <c r="P479" s="6"/>
      <c r="Q479" s="6"/>
      <c r="R479" s="6"/>
      <c r="S479" s="6"/>
      <c r="T479" s="6"/>
      <c r="U479" s="6"/>
      <c r="V479" s="6"/>
      <c r="W479" s="6"/>
    </row>
    <row r="480" spans="1:23" ht="16" x14ac:dyDescent="0.2">
      <c r="A480" s="6"/>
      <c r="B480" s="7"/>
      <c r="C480" s="7"/>
      <c r="D480" s="7"/>
      <c r="E480" s="7"/>
      <c r="F480" s="6"/>
      <c r="G480" s="6"/>
      <c r="H480" s="6"/>
      <c r="I480" s="6"/>
      <c r="J480" s="6"/>
      <c r="K480" s="6"/>
      <c r="L480" s="6"/>
      <c r="M480" s="6"/>
      <c r="N480" s="6"/>
      <c r="O480" s="6"/>
      <c r="P480" s="6"/>
      <c r="Q480" s="6"/>
      <c r="R480" s="6"/>
      <c r="S480" s="6"/>
      <c r="T480" s="6"/>
      <c r="U480" s="6"/>
      <c r="V480" s="6"/>
      <c r="W480" s="6"/>
    </row>
    <row r="481" spans="1:23" ht="16" x14ac:dyDescent="0.2">
      <c r="A481" s="6"/>
      <c r="B481" s="7"/>
      <c r="C481" s="7"/>
      <c r="D481" s="7"/>
      <c r="E481" s="7"/>
      <c r="F481" s="6"/>
      <c r="G481" s="6"/>
      <c r="H481" s="6"/>
      <c r="I481" s="6"/>
      <c r="J481" s="6"/>
      <c r="K481" s="6"/>
      <c r="L481" s="6"/>
      <c r="M481" s="6"/>
      <c r="N481" s="6"/>
      <c r="O481" s="6"/>
      <c r="P481" s="6"/>
      <c r="Q481" s="6"/>
      <c r="R481" s="6"/>
      <c r="S481" s="6"/>
      <c r="T481" s="6"/>
      <c r="U481" s="6"/>
      <c r="V481" s="6"/>
      <c r="W481" s="6"/>
    </row>
    <row r="482" spans="1:23" ht="16" x14ac:dyDescent="0.2">
      <c r="A482" s="6"/>
      <c r="B482" s="7"/>
      <c r="C482" s="7"/>
      <c r="D482" s="7"/>
      <c r="E482" s="7"/>
      <c r="F482" s="6"/>
      <c r="G482" s="6"/>
      <c r="H482" s="6"/>
      <c r="I482" s="6"/>
      <c r="J482" s="6"/>
      <c r="K482" s="6"/>
      <c r="L482" s="6"/>
      <c r="M482" s="6"/>
      <c r="N482" s="6"/>
      <c r="O482" s="6"/>
      <c r="P482" s="6"/>
      <c r="Q482" s="6"/>
      <c r="R482" s="6"/>
      <c r="S482" s="6"/>
      <c r="T482" s="6"/>
      <c r="U482" s="6"/>
      <c r="V482" s="6"/>
      <c r="W482" s="6"/>
    </row>
    <row r="483" spans="1:23" ht="16" x14ac:dyDescent="0.2">
      <c r="A483" s="6"/>
      <c r="B483" s="7"/>
      <c r="C483" s="7"/>
      <c r="D483" s="7"/>
      <c r="E483" s="7"/>
      <c r="F483" s="6"/>
      <c r="G483" s="6"/>
      <c r="H483" s="6"/>
      <c r="I483" s="6"/>
      <c r="J483" s="6"/>
      <c r="K483" s="6"/>
      <c r="L483" s="6"/>
      <c r="M483" s="6"/>
      <c r="N483" s="6"/>
      <c r="O483" s="6"/>
      <c r="P483" s="6"/>
      <c r="Q483" s="6"/>
      <c r="R483" s="6"/>
      <c r="S483" s="6"/>
      <c r="T483" s="6"/>
      <c r="U483" s="6"/>
      <c r="V483" s="6"/>
      <c r="W483" s="6"/>
    </row>
    <row r="484" spans="1:23" ht="16" x14ac:dyDescent="0.2">
      <c r="A484" s="6"/>
      <c r="B484" s="7"/>
      <c r="C484" s="7"/>
      <c r="D484" s="7"/>
      <c r="E484" s="7"/>
      <c r="F484" s="6"/>
      <c r="G484" s="6"/>
      <c r="H484" s="6"/>
      <c r="I484" s="6"/>
      <c r="J484" s="6"/>
      <c r="K484" s="6"/>
      <c r="L484" s="6"/>
      <c r="M484" s="6"/>
      <c r="N484" s="6"/>
      <c r="O484" s="6"/>
      <c r="P484" s="6"/>
      <c r="Q484" s="6"/>
      <c r="R484" s="6"/>
      <c r="S484" s="6"/>
      <c r="T484" s="6"/>
      <c r="U484" s="6"/>
      <c r="V484" s="6"/>
      <c r="W484" s="6"/>
    </row>
    <row r="485" spans="1:23" ht="16" x14ac:dyDescent="0.2">
      <c r="A485" s="6"/>
      <c r="B485" s="7"/>
      <c r="C485" s="7"/>
      <c r="D485" s="7"/>
      <c r="E485" s="7"/>
      <c r="F485" s="6"/>
      <c r="G485" s="6"/>
      <c r="H485" s="6"/>
      <c r="I485" s="6"/>
      <c r="J485" s="6"/>
      <c r="K485" s="6"/>
      <c r="L485" s="6"/>
      <c r="M485" s="6"/>
      <c r="N485" s="6"/>
      <c r="O485" s="6"/>
      <c r="P485" s="6"/>
      <c r="Q485" s="6"/>
      <c r="R485" s="6"/>
      <c r="S485" s="6"/>
      <c r="T485" s="6"/>
      <c r="U485" s="6"/>
      <c r="V485" s="6"/>
      <c r="W485" s="6"/>
    </row>
    <row r="486" spans="1:23" ht="16" x14ac:dyDescent="0.2">
      <c r="A486" s="6"/>
      <c r="B486" s="7"/>
      <c r="C486" s="7"/>
      <c r="D486" s="7"/>
      <c r="E486" s="7"/>
      <c r="F486" s="6"/>
      <c r="G486" s="6"/>
      <c r="H486" s="6"/>
      <c r="I486" s="6"/>
      <c r="J486" s="6"/>
      <c r="K486" s="6"/>
      <c r="L486" s="6"/>
      <c r="M486" s="6"/>
      <c r="N486" s="6"/>
      <c r="O486" s="6"/>
      <c r="P486" s="6"/>
      <c r="Q486" s="6"/>
      <c r="R486" s="6"/>
      <c r="S486" s="6"/>
      <c r="T486" s="6"/>
      <c r="U486" s="6"/>
      <c r="V486" s="6"/>
      <c r="W486" s="6"/>
    </row>
    <row r="487" spans="1:23" ht="16" x14ac:dyDescent="0.2">
      <c r="A487" s="6"/>
      <c r="B487" s="7"/>
      <c r="C487" s="7"/>
      <c r="D487" s="7"/>
      <c r="E487" s="7"/>
      <c r="F487" s="6"/>
      <c r="G487" s="6"/>
      <c r="H487" s="6"/>
      <c r="I487" s="6"/>
      <c r="J487" s="6"/>
      <c r="K487" s="6"/>
      <c r="L487" s="6"/>
      <c r="M487" s="6"/>
      <c r="N487" s="6"/>
      <c r="O487" s="6"/>
      <c r="P487" s="6"/>
      <c r="Q487" s="6"/>
      <c r="R487" s="6"/>
      <c r="S487" s="6"/>
      <c r="T487" s="6"/>
      <c r="U487" s="6"/>
      <c r="V487" s="6"/>
      <c r="W487" s="6"/>
    </row>
    <row r="488" spans="1:23" ht="16" x14ac:dyDescent="0.2">
      <c r="A488" s="6"/>
      <c r="B488" s="7"/>
      <c r="C488" s="7"/>
      <c r="D488" s="7"/>
      <c r="E488" s="7"/>
      <c r="F488" s="6"/>
      <c r="G488" s="6"/>
      <c r="H488" s="6"/>
      <c r="I488" s="6"/>
      <c r="J488" s="6"/>
      <c r="K488" s="6"/>
      <c r="L488" s="6"/>
      <c r="M488" s="6"/>
      <c r="N488" s="6"/>
      <c r="O488" s="6"/>
      <c r="P488" s="6"/>
      <c r="Q488" s="6"/>
      <c r="R488" s="6"/>
      <c r="S488" s="6"/>
      <c r="T488" s="6"/>
      <c r="U488" s="6"/>
      <c r="V488" s="6"/>
      <c r="W488" s="6"/>
    </row>
    <row r="489" spans="1:23" ht="16" x14ac:dyDescent="0.2">
      <c r="A489" s="6"/>
      <c r="B489" s="7"/>
      <c r="C489" s="7"/>
      <c r="D489" s="7"/>
      <c r="E489" s="7"/>
      <c r="F489" s="6"/>
      <c r="G489" s="6"/>
      <c r="H489" s="6"/>
      <c r="I489" s="6"/>
      <c r="J489" s="6"/>
      <c r="K489" s="6"/>
      <c r="L489" s="6"/>
      <c r="M489" s="6"/>
      <c r="N489" s="6"/>
      <c r="O489" s="6"/>
      <c r="P489" s="6"/>
      <c r="Q489" s="6"/>
      <c r="R489" s="6"/>
      <c r="S489" s="6"/>
      <c r="T489" s="6"/>
      <c r="U489" s="6"/>
      <c r="V489" s="6"/>
      <c r="W489" s="6"/>
    </row>
    <row r="490" spans="1:23" ht="16" x14ac:dyDescent="0.2">
      <c r="A490" s="6"/>
      <c r="B490" s="7"/>
      <c r="C490" s="7"/>
      <c r="D490" s="7"/>
      <c r="E490" s="7"/>
      <c r="F490" s="6"/>
      <c r="G490" s="6"/>
      <c r="H490" s="6"/>
      <c r="I490" s="6"/>
      <c r="J490" s="6"/>
      <c r="K490" s="6"/>
      <c r="L490" s="6"/>
      <c r="M490" s="6"/>
      <c r="N490" s="6"/>
      <c r="O490" s="6"/>
      <c r="P490" s="6"/>
      <c r="Q490" s="6"/>
      <c r="R490" s="6"/>
      <c r="S490" s="6"/>
      <c r="T490" s="6"/>
      <c r="U490" s="6"/>
      <c r="V490" s="6"/>
      <c r="W490" s="6"/>
    </row>
    <row r="491" spans="1:23" ht="16" x14ac:dyDescent="0.2">
      <c r="A491" s="6"/>
      <c r="B491" s="7"/>
      <c r="C491" s="7"/>
      <c r="D491" s="7"/>
      <c r="E491" s="7"/>
      <c r="F491" s="6"/>
      <c r="G491" s="6"/>
      <c r="H491" s="6"/>
      <c r="I491" s="6"/>
      <c r="J491" s="6"/>
      <c r="K491" s="6"/>
      <c r="L491" s="6"/>
      <c r="M491" s="6"/>
      <c r="N491" s="6"/>
      <c r="O491" s="6"/>
      <c r="P491" s="6"/>
      <c r="Q491" s="6"/>
      <c r="R491" s="6"/>
      <c r="S491" s="6"/>
      <c r="T491" s="6"/>
      <c r="U491" s="6"/>
      <c r="V491" s="6"/>
      <c r="W491" s="6"/>
    </row>
    <row r="492" spans="1:23" ht="16" x14ac:dyDescent="0.2">
      <c r="A492" s="6"/>
      <c r="B492" s="7"/>
      <c r="C492" s="7"/>
      <c r="D492" s="7"/>
      <c r="E492" s="7"/>
      <c r="F492" s="6"/>
      <c r="G492" s="6"/>
      <c r="H492" s="6"/>
      <c r="I492" s="6"/>
      <c r="J492" s="6"/>
      <c r="K492" s="6"/>
      <c r="L492" s="6"/>
      <c r="M492" s="6"/>
      <c r="N492" s="6"/>
      <c r="O492" s="6"/>
      <c r="P492" s="6"/>
      <c r="Q492" s="6"/>
      <c r="R492" s="6"/>
      <c r="S492" s="6"/>
      <c r="T492" s="6"/>
      <c r="U492" s="6"/>
      <c r="V492" s="6"/>
      <c r="W492" s="6"/>
    </row>
    <row r="493" spans="1:23" ht="16" x14ac:dyDescent="0.2">
      <c r="A493" s="6"/>
      <c r="B493" s="7"/>
      <c r="C493" s="7"/>
      <c r="D493" s="7"/>
      <c r="E493" s="7"/>
      <c r="F493" s="6"/>
      <c r="G493" s="6"/>
      <c r="H493" s="6"/>
      <c r="I493" s="6"/>
      <c r="J493" s="6"/>
      <c r="K493" s="6"/>
      <c r="L493" s="6"/>
      <c r="M493" s="6"/>
      <c r="N493" s="6"/>
      <c r="O493" s="6"/>
      <c r="P493" s="6"/>
      <c r="Q493" s="6"/>
      <c r="R493" s="6"/>
      <c r="S493" s="6"/>
      <c r="T493" s="6"/>
      <c r="U493" s="6"/>
      <c r="V493" s="6"/>
      <c r="W493" s="6"/>
    </row>
    <row r="494" spans="1:23" ht="16" x14ac:dyDescent="0.2">
      <c r="A494" s="6"/>
      <c r="B494" s="7"/>
      <c r="C494" s="7"/>
      <c r="D494" s="7"/>
      <c r="E494" s="7"/>
      <c r="F494" s="6"/>
      <c r="G494" s="6"/>
      <c r="H494" s="6"/>
      <c r="I494" s="6"/>
      <c r="J494" s="6"/>
      <c r="K494" s="6"/>
      <c r="L494" s="6"/>
      <c r="M494" s="6"/>
      <c r="N494" s="6"/>
      <c r="O494" s="6"/>
      <c r="P494" s="6"/>
      <c r="Q494" s="6"/>
      <c r="R494" s="6"/>
      <c r="S494" s="6"/>
      <c r="T494" s="6"/>
      <c r="U494" s="6"/>
      <c r="V494" s="6"/>
      <c r="W494" s="6"/>
    </row>
    <row r="495" spans="1:23" ht="16" x14ac:dyDescent="0.2">
      <c r="A495" s="6"/>
      <c r="B495" s="7"/>
      <c r="C495" s="7"/>
      <c r="D495" s="7"/>
      <c r="E495" s="7"/>
      <c r="F495" s="6"/>
      <c r="G495" s="6"/>
      <c r="H495" s="6"/>
      <c r="I495" s="6"/>
      <c r="J495" s="6"/>
      <c r="K495" s="6"/>
      <c r="L495" s="6"/>
      <c r="M495" s="6"/>
      <c r="N495" s="6"/>
      <c r="O495" s="6"/>
      <c r="P495" s="6"/>
      <c r="Q495" s="6"/>
      <c r="R495" s="6"/>
      <c r="S495" s="6"/>
      <c r="T495" s="6"/>
      <c r="U495" s="6"/>
      <c r="V495" s="6"/>
      <c r="W495" s="6"/>
    </row>
    <row r="496" spans="1:23" ht="16" x14ac:dyDescent="0.2">
      <c r="A496" s="6"/>
      <c r="B496" s="7"/>
      <c r="C496" s="7"/>
      <c r="D496" s="7"/>
      <c r="E496" s="7"/>
      <c r="F496" s="6"/>
      <c r="G496" s="6"/>
      <c r="H496" s="6"/>
      <c r="I496" s="6"/>
      <c r="J496" s="6"/>
      <c r="K496" s="6"/>
      <c r="L496" s="6"/>
      <c r="M496" s="6"/>
      <c r="N496" s="6"/>
      <c r="O496" s="6"/>
      <c r="P496" s="6"/>
      <c r="Q496" s="6"/>
      <c r="R496" s="6"/>
      <c r="S496" s="6"/>
      <c r="T496" s="6"/>
      <c r="U496" s="6"/>
      <c r="V496" s="6"/>
      <c r="W496" s="6"/>
    </row>
    <row r="497" spans="1:23" ht="16" x14ac:dyDescent="0.2">
      <c r="A497" s="6"/>
      <c r="B497" s="7"/>
      <c r="C497" s="7"/>
      <c r="D497" s="7"/>
      <c r="E497" s="7"/>
      <c r="F497" s="6"/>
      <c r="G497" s="6"/>
      <c r="H497" s="6"/>
      <c r="I497" s="6"/>
      <c r="J497" s="6"/>
      <c r="K497" s="6"/>
      <c r="L497" s="6"/>
      <c r="M497" s="6"/>
      <c r="N497" s="6"/>
      <c r="O497" s="6"/>
      <c r="P497" s="6"/>
      <c r="Q497" s="6"/>
      <c r="R497" s="6"/>
      <c r="S497" s="6"/>
      <c r="T497" s="6"/>
      <c r="U497" s="6"/>
      <c r="V497" s="6"/>
      <c r="W497" s="6"/>
    </row>
    <row r="498" spans="1:23" ht="16" x14ac:dyDescent="0.2">
      <c r="A498" s="6"/>
      <c r="B498" s="7"/>
      <c r="C498" s="7"/>
      <c r="D498" s="7"/>
      <c r="E498" s="7"/>
      <c r="F498" s="6"/>
      <c r="G498" s="6"/>
      <c r="H498" s="6"/>
      <c r="I498" s="6"/>
      <c r="J498" s="6"/>
      <c r="K498" s="6"/>
      <c r="L498" s="6"/>
      <c r="M498" s="6"/>
      <c r="N498" s="6"/>
      <c r="O498" s="6"/>
      <c r="P498" s="6"/>
      <c r="Q498" s="6"/>
      <c r="R498" s="6"/>
      <c r="S498" s="6"/>
      <c r="T498" s="6"/>
      <c r="U498" s="6"/>
      <c r="V498" s="6"/>
      <c r="W498" s="6"/>
    </row>
    <row r="499" spans="1:23" ht="16" x14ac:dyDescent="0.2">
      <c r="A499" s="6"/>
      <c r="B499" s="7"/>
      <c r="C499" s="7"/>
      <c r="D499" s="7"/>
      <c r="E499" s="7"/>
      <c r="F499" s="6"/>
      <c r="G499" s="6"/>
      <c r="H499" s="6"/>
      <c r="I499" s="6"/>
      <c r="J499" s="6"/>
      <c r="K499" s="6"/>
      <c r="L499" s="6"/>
      <c r="M499" s="6"/>
      <c r="N499" s="6"/>
      <c r="O499" s="6"/>
      <c r="P499" s="6"/>
      <c r="Q499" s="6"/>
      <c r="R499" s="6"/>
      <c r="S499" s="6"/>
      <c r="T499" s="6"/>
      <c r="U499" s="6"/>
      <c r="V499" s="6"/>
      <c r="W499" s="6"/>
    </row>
    <row r="500" spans="1:23" ht="16" x14ac:dyDescent="0.2">
      <c r="A500" s="6"/>
      <c r="B500" s="7"/>
      <c r="C500" s="7"/>
      <c r="D500" s="7"/>
      <c r="E500" s="7"/>
      <c r="F500" s="6"/>
      <c r="G500" s="6"/>
      <c r="H500" s="6"/>
      <c r="I500" s="6"/>
      <c r="J500" s="6"/>
      <c r="K500" s="6"/>
      <c r="L500" s="6"/>
      <c r="M500" s="6"/>
      <c r="N500" s="6"/>
      <c r="O500" s="6"/>
      <c r="P500" s="6"/>
      <c r="Q500" s="6"/>
      <c r="R500" s="6"/>
      <c r="S500" s="6"/>
      <c r="T500" s="6"/>
      <c r="U500" s="6"/>
      <c r="V500" s="6"/>
      <c r="W500" s="6"/>
    </row>
    <row r="501" spans="1:23" ht="16" x14ac:dyDescent="0.2">
      <c r="A501" s="6"/>
      <c r="B501" s="7"/>
      <c r="C501" s="7"/>
      <c r="D501" s="7"/>
      <c r="E501" s="7"/>
      <c r="F501" s="6"/>
      <c r="G501" s="6"/>
      <c r="H501" s="6"/>
      <c r="I501" s="6"/>
      <c r="J501" s="6"/>
      <c r="K501" s="6"/>
      <c r="L501" s="6"/>
      <c r="M501" s="6"/>
      <c r="N501" s="6"/>
      <c r="O501" s="6"/>
      <c r="P501" s="6"/>
      <c r="Q501" s="6"/>
      <c r="R501" s="6"/>
      <c r="S501" s="6"/>
      <c r="T501" s="6"/>
      <c r="U501" s="6"/>
      <c r="V501" s="6"/>
      <c r="W501" s="6"/>
    </row>
    <row r="502" spans="1:23" ht="16" x14ac:dyDescent="0.2">
      <c r="A502" s="6"/>
      <c r="B502" s="7"/>
      <c r="C502" s="7"/>
      <c r="D502" s="7"/>
      <c r="E502" s="7"/>
      <c r="F502" s="6"/>
      <c r="G502" s="6"/>
      <c r="H502" s="6"/>
      <c r="I502" s="6"/>
      <c r="J502" s="6"/>
      <c r="K502" s="6"/>
      <c r="L502" s="6"/>
      <c r="M502" s="6"/>
      <c r="N502" s="6"/>
      <c r="O502" s="6"/>
      <c r="P502" s="6"/>
      <c r="Q502" s="6"/>
      <c r="R502" s="6"/>
      <c r="S502" s="6"/>
      <c r="T502" s="6"/>
      <c r="U502" s="6"/>
      <c r="V502" s="6"/>
      <c r="W502" s="6"/>
    </row>
    <row r="503" spans="1:23" ht="16" x14ac:dyDescent="0.2">
      <c r="A503" s="6"/>
      <c r="B503" s="7"/>
      <c r="C503" s="7"/>
      <c r="D503" s="7"/>
      <c r="E503" s="7"/>
      <c r="F503" s="6"/>
      <c r="G503" s="6"/>
      <c r="H503" s="6"/>
      <c r="I503" s="6"/>
      <c r="J503" s="6"/>
      <c r="K503" s="6"/>
      <c r="L503" s="6"/>
      <c r="M503" s="6"/>
      <c r="N503" s="6"/>
      <c r="O503" s="6"/>
      <c r="P503" s="6"/>
      <c r="Q503" s="6"/>
      <c r="R503" s="6"/>
      <c r="S503" s="6"/>
      <c r="T503" s="6"/>
      <c r="U503" s="6"/>
      <c r="V503" s="6"/>
      <c r="W503" s="6"/>
    </row>
    <row r="504" spans="1:23" ht="16" x14ac:dyDescent="0.2">
      <c r="A504" s="6"/>
      <c r="B504" s="7"/>
      <c r="C504" s="7"/>
      <c r="D504" s="7"/>
      <c r="E504" s="7"/>
      <c r="F504" s="6"/>
      <c r="G504" s="6"/>
      <c r="H504" s="6"/>
      <c r="I504" s="6"/>
      <c r="J504" s="6"/>
      <c r="K504" s="6"/>
      <c r="L504" s="6"/>
      <c r="M504" s="6"/>
      <c r="N504" s="6"/>
      <c r="O504" s="6"/>
      <c r="P504" s="6"/>
      <c r="Q504" s="6"/>
      <c r="R504" s="6"/>
      <c r="S504" s="6"/>
      <c r="T504" s="6"/>
      <c r="U504" s="6"/>
      <c r="V504" s="6"/>
      <c r="W504" s="6"/>
    </row>
    <row r="505" spans="1:23" ht="16" x14ac:dyDescent="0.2">
      <c r="A505" s="6"/>
      <c r="B505" s="7"/>
      <c r="C505" s="7"/>
      <c r="D505" s="7"/>
      <c r="E505" s="7"/>
      <c r="F505" s="6"/>
      <c r="G505" s="6"/>
      <c r="H505" s="6"/>
      <c r="I505" s="6"/>
      <c r="J505" s="6"/>
      <c r="K505" s="6"/>
      <c r="L505" s="6"/>
      <c r="M505" s="6"/>
      <c r="N505" s="6"/>
      <c r="O505" s="6"/>
      <c r="P505" s="6"/>
      <c r="Q505" s="6"/>
      <c r="R505" s="6"/>
      <c r="S505" s="6"/>
      <c r="T505" s="6"/>
      <c r="U505" s="6"/>
      <c r="V505" s="6"/>
      <c r="W505" s="6"/>
    </row>
    <row r="506" spans="1:23" ht="16" x14ac:dyDescent="0.2">
      <c r="A506" s="6"/>
      <c r="B506" s="7"/>
      <c r="C506" s="7"/>
      <c r="D506" s="7"/>
      <c r="E506" s="7"/>
      <c r="F506" s="6"/>
      <c r="G506" s="6"/>
      <c r="H506" s="6"/>
      <c r="I506" s="6"/>
      <c r="J506" s="6"/>
      <c r="K506" s="6"/>
      <c r="L506" s="6"/>
      <c r="M506" s="6"/>
      <c r="N506" s="6"/>
      <c r="O506" s="6"/>
      <c r="P506" s="6"/>
      <c r="Q506" s="6"/>
      <c r="R506" s="6"/>
      <c r="S506" s="6"/>
      <c r="T506" s="6"/>
      <c r="U506" s="6"/>
      <c r="V506" s="6"/>
      <c r="W506" s="6"/>
    </row>
    <row r="507" spans="1:23" ht="16" x14ac:dyDescent="0.2">
      <c r="A507" s="6"/>
      <c r="B507" s="7"/>
      <c r="C507" s="7"/>
      <c r="D507" s="7"/>
      <c r="E507" s="7"/>
      <c r="F507" s="6"/>
      <c r="G507" s="6"/>
      <c r="H507" s="6"/>
      <c r="I507" s="6"/>
      <c r="J507" s="6"/>
      <c r="K507" s="6"/>
      <c r="L507" s="6"/>
      <c r="M507" s="6"/>
      <c r="N507" s="6"/>
      <c r="O507" s="6"/>
      <c r="P507" s="6"/>
      <c r="Q507" s="6"/>
      <c r="R507" s="6"/>
      <c r="S507" s="6"/>
      <c r="T507" s="6"/>
      <c r="U507" s="6"/>
      <c r="V507" s="6"/>
      <c r="W507" s="6"/>
    </row>
    <row r="508" spans="1:23" ht="16" x14ac:dyDescent="0.2">
      <c r="A508" s="6"/>
      <c r="B508" s="7"/>
      <c r="C508" s="7"/>
      <c r="D508" s="7"/>
      <c r="E508" s="7"/>
      <c r="F508" s="6"/>
      <c r="G508" s="6"/>
      <c r="H508" s="6"/>
      <c r="I508" s="6"/>
      <c r="J508" s="6"/>
      <c r="K508" s="6"/>
      <c r="L508" s="6"/>
      <c r="M508" s="6"/>
      <c r="N508" s="6"/>
      <c r="O508" s="6"/>
      <c r="P508" s="6"/>
      <c r="Q508" s="6"/>
      <c r="R508" s="6"/>
      <c r="S508" s="6"/>
      <c r="T508" s="6"/>
      <c r="U508" s="6"/>
      <c r="V508" s="6"/>
      <c r="W508" s="6"/>
    </row>
    <row r="509" spans="1:23" ht="16" x14ac:dyDescent="0.2">
      <c r="A509" s="6"/>
      <c r="B509" s="7"/>
      <c r="C509" s="7"/>
      <c r="D509" s="7"/>
      <c r="E509" s="7"/>
      <c r="F509" s="6"/>
      <c r="G509" s="6"/>
      <c r="H509" s="6"/>
      <c r="I509" s="6"/>
      <c r="J509" s="6"/>
      <c r="K509" s="6"/>
      <c r="L509" s="6"/>
      <c r="M509" s="6"/>
      <c r="N509" s="6"/>
      <c r="O509" s="6"/>
      <c r="P509" s="6"/>
      <c r="Q509" s="6"/>
      <c r="R509" s="6"/>
      <c r="S509" s="6"/>
      <c r="T509" s="6"/>
      <c r="U509" s="6"/>
      <c r="V509" s="6"/>
      <c r="W509" s="6"/>
    </row>
    <row r="510" spans="1:23" ht="16" x14ac:dyDescent="0.2">
      <c r="A510" s="6"/>
      <c r="B510" s="7"/>
      <c r="C510" s="7"/>
      <c r="D510" s="7"/>
      <c r="E510" s="7"/>
      <c r="F510" s="6"/>
      <c r="G510" s="6"/>
      <c r="H510" s="6"/>
      <c r="I510" s="6"/>
      <c r="J510" s="6"/>
      <c r="K510" s="6"/>
      <c r="L510" s="6"/>
      <c r="M510" s="6"/>
      <c r="N510" s="6"/>
      <c r="O510" s="6"/>
      <c r="P510" s="6"/>
      <c r="Q510" s="6"/>
      <c r="R510" s="6"/>
      <c r="S510" s="6"/>
      <c r="T510" s="6"/>
      <c r="U510" s="6"/>
      <c r="V510" s="6"/>
      <c r="W510" s="6"/>
    </row>
    <row r="511" spans="1:23" ht="16" x14ac:dyDescent="0.2">
      <c r="A511" s="6"/>
      <c r="B511" s="7"/>
      <c r="C511" s="7"/>
      <c r="D511" s="7"/>
      <c r="E511" s="7"/>
      <c r="F511" s="6"/>
      <c r="G511" s="6"/>
      <c r="H511" s="6"/>
      <c r="I511" s="6"/>
      <c r="J511" s="6"/>
      <c r="K511" s="6"/>
      <c r="L511" s="6"/>
      <c r="M511" s="6"/>
      <c r="N511" s="6"/>
      <c r="O511" s="6"/>
      <c r="P511" s="6"/>
      <c r="Q511" s="6"/>
      <c r="R511" s="6"/>
      <c r="S511" s="6"/>
      <c r="T511" s="6"/>
      <c r="U511" s="6"/>
      <c r="V511" s="6"/>
      <c r="W511" s="6"/>
    </row>
    <row r="512" spans="1:23" ht="16" x14ac:dyDescent="0.2">
      <c r="A512" s="6"/>
      <c r="B512" s="7"/>
      <c r="C512" s="7"/>
      <c r="D512" s="7"/>
      <c r="E512" s="7"/>
      <c r="F512" s="6"/>
      <c r="G512" s="6"/>
      <c r="H512" s="6"/>
      <c r="I512" s="6"/>
      <c r="J512" s="6"/>
      <c r="K512" s="6"/>
      <c r="L512" s="6"/>
      <c r="M512" s="6"/>
      <c r="N512" s="6"/>
      <c r="O512" s="6"/>
      <c r="P512" s="6"/>
      <c r="Q512" s="6"/>
      <c r="R512" s="6"/>
      <c r="S512" s="6"/>
      <c r="T512" s="6"/>
      <c r="U512" s="6"/>
      <c r="V512" s="6"/>
      <c r="W512" s="6"/>
    </row>
    <row r="513" spans="1:23" ht="16" x14ac:dyDescent="0.2">
      <c r="A513" s="6"/>
      <c r="B513" s="7"/>
      <c r="C513" s="7"/>
      <c r="D513" s="7"/>
      <c r="E513" s="7"/>
      <c r="F513" s="6"/>
      <c r="G513" s="6"/>
      <c r="H513" s="6"/>
      <c r="I513" s="6"/>
      <c r="J513" s="6"/>
      <c r="K513" s="6"/>
      <c r="L513" s="6"/>
      <c r="M513" s="6"/>
      <c r="N513" s="6"/>
      <c r="O513" s="6"/>
      <c r="P513" s="6"/>
      <c r="Q513" s="6"/>
      <c r="R513" s="6"/>
      <c r="S513" s="6"/>
      <c r="T513" s="6"/>
      <c r="U513" s="6"/>
      <c r="V513" s="6"/>
      <c r="W513" s="6"/>
    </row>
    <row r="514" spans="1:23" ht="16" x14ac:dyDescent="0.2">
      <c r="A514" s="6"/>
      <c r="B514" s="7"/>
      <c r="C514" s="7"/>
      <c r="D514" s="7"/>
      <c r="E514" s="7"/>
      <c r="F514" s="6"/>
      <c r="G514" s="6"/>
      <c r="H514" s="6"/>
      <c r="I514" s="6"/>
      <c r="J514" s="6"/>
      <c r="K514" s="6"/>
      <c r="L514" s="6"/>
      <c r="M514" s="6"/>
      <c r="N514" s="6"/>
      <c r="O514" s="6"/>
      <c r="P514" s="6"/>
      <c r="Q514" s="6"/>
      <c r="R514" s="6"/>
      <c r="S514" s="6"/>
      <c r="T514" s="6"/>
      <c r="U514" s="6"/>
      <c r="V514" s="6"/>
      <c r="W514" s="6"/>
    </row>
    <row r="515" spans="1:23" ht="16" x14ac:dyDescent="0.2">
      <c r="A515" s="6"/>
      <c r="B515" s="7"/>
      <c r="C515" s="7"/>
      <c r="D515" s="7"/>
      <c r="E515" s="7"/>
      <c r="F515" s="6"/>
      <c r="G515" s="6"/>
      <c r="H515" s="6"/>
      <c r="I515" s="6"/>
      <c r="J515" s="6"/>
      <c r="K515" s="6"/>
      <c r="L515" s="6"/>
      <c r="M515" s="6"/>
      <c r="N515" s="6"/>
      <c r="O515" s="6"/>
      <c r="P515" s="6"/>
      <c r="Q515" s="6"/>
      <c r="R515" s="6"/>
      <c r="S515" s="6"/>
      <c r="T515" s="6"/>
      <c r="U515" s="6"/>
      <c r="V515" s="6"/>
      <c r="W515" s="6"/>
    </row>
    <row r="516" spans="1:23" ht="16" x14ac:dyDescent="0.2">
      <c r="A516" s="6"/>
      <c r="B516" s="7"/>
      <c r="C516" s="7"/>
      <c r="D516" s="7"/>
      <c r="E516" s="7"/>
      <c r="F516" s="6"/>
      <c r="G516" s="6"/>
      <c r="H516" s="6"/>
      <c r="I516" s="6"/>
      <c r="J516" s="6"/>
      <c r="K516" s="6"/>
      <c r="L516" s="6"/>
      <c r="M516" s="6"/>
      <c r="N516" s="6"/>
      <c r="O516" s="6"/>
      <c r="P516" s="6"/>
      <c r="Q516" s="6"/>
      <c r="R516" s="6"/>
      <c r="S516" s="6"/>
      <c r="T516" s="6"/>
      <c r="U516" s="6"/>
      <c r="V516" s="6"/>
      <c r="W516" s="6"/>
    </row>
    <row r="517" spans="1:23" ht="16" x14ac:dyDescent="0.2">
      <c r="A517" s="6"/>
      <c r="B517" s="7"/>
      <c r="C517" s="7"/>
      <c r="D517" s="7"/>
      <c r="E517" s="7"/>
      <c r="F517" s="6"/>
      <c r="G517" s="6"/>
      <c r="H517" s="6"/>
      <c r="I517" s="6"/>
      <c r="J517" s="6"/>
      <c r="K517" s="6"/>
      <c r="L517" s="6"/>
      <c r="M517" s="6"/>
      <c r="N517" s="6"/>
      <c r="O517" s="6"/>
      <c r="P517" s="6"/>
      <c r="Q517" s="6"/>
      <c r="R517" s="6"/>
      <c r="S517" s="6"/>
      <c r="T517" s="6"/>
      <c r="U517" s="6"/>
      <c r="V517" s="6"/>
      <c r="W517" s="6"/>
    </row>
    <row r="518" spans="1:23" ht="16" x14ac:dyDescent="0.2">
      <c r="A518" s="6"/>
      <c r="B518" s="7"/>
      <c r="C518" s="7"/>
      <c r="D518" s="7"/>
      <c r="E518" s="7"/>
      <c r="F518" s="6"/>
      <c r="G518" s="6"/>
      <c r="H518" s="6"/>
      <c r="I518" s="6"/>
      <c r="J518" s="6"/>
      <c r="K518" s="6"/>
      <c r="L518" s="6"/>
      <c r="M518" s="6"/>
      <c r="N518" s="6"/>
      <c r="O518" s="6"/>
      <c r="P518" s="6"/>
      <c r="Q518" s="6"/>
      <c r="R518" s="6"/>
      <c r="S518" s="6"/>
      <c r="T518" s="6"/>
      <c r="U518" s="6"/>
      <c r="V518" s="6"/>
      <c r="W518" s="6"/>
    </row>
    <row r="519" spans="1:23" ht="16" x14ac:dyDescent="0.2">
      <c r="A519" s="6"/>
      <c r="B519" s="7"/>
      <c r="C519" s="7"/>
      <c r="D519" s="7"/>
      <c r="E519" s="7"/>
      <c r="F519" s="6"/>
      <c r="G519" s="6"/>
      <c r="H519" s="6"/>
      <c r="I519" s="6"/>
      <c r="J519" s="6"/>
      <c r="K519" s="6"/>
      <c r="L519" s="6"/>
      <c r="M519" s="6"/>
      <c r="N519" s="6"/>
      <c r="O519" s="6"/>
      <c r="P519" s="6"/>
      <c r="Q519" s="6"/>
      <c r="R519" s="6"/>
      <c r="S519" s="6"/>
      <c r="T519" s="6"/>
      <c r="U519" s="6"/>
      <c r="V519" s="6"/>
      <c r="W519" s="6"/>
    </row>
    <row r="520" spans="1:23" ht="16" x14ac:dyDescent="0.2">
      <c r="A520" s="6"/>
      <c r="B520" s="7"/>
      <c r="C520" s="7"/>
      <c r="D520" s="7"/>
      <c r="E520" s="7"/>
      <c r="F520" s="6"/>
      <c r="G520" s="6"/>
      <c r="H520" s="6"/>
      <c r="I520" s="6"/>
      <c r="J520" s="6"/>
      <c r="K520" s="6"/>
      <c r="L520" s="6"/>
      <c r="M520" s="6"/>
      <c r="N520" s="6"/>
      <c r="O520" s="6"/>
      <c r="P520" s="6"/>
      <c r="Q520" s="6"/>
      <c r="R520" s="6"/>
      <c r="S520" s="6"/>
      <c r="T520" s="6"/>
      <c r="U520" s="6"/>
      <c r="V520" s="6"/>
      <c r="W520" s="6"/>
    </row>
    <row r="521" spans="1:23" ht="16" x14ac:dyDescent="0.2">
      <c r="A521" s="6"/>
      <c r="B521" s="7"/>
      <c r="C521" s="7"/>
      <c r="D521" s="7"/>
      <c r="E521" s="7"/>
      <c r="F521" s="6"/>
      <c r="G521" s="6"/>
      <c r="H521" s="6"/>
      <c r="I521" s="6"/>
      <c r="J521" s="6"/>
      <c r="K521" s="6"/>
      <c r="L521" s="6"/>
      <c r="M521" s="6"/>
      <c r="N521" s="6"/>
      <c r="O521" s="6"/>
      <c r="P521" s="6"/>
      <c r="Q521" s="6"/>
      <c r="R521" s="6"/>
      <c r="S521" s="6"/>
      <c r="T521" s="6"/>
      <c r="U521" s="6"/>
      <c r="V521" s="6"/>
      <c r="W521" s="6"/>
    </row>
    <row r="522" spans="1:23" ht="16" x14ac:dyDescent="0.2">
      <c r="A522" s="6"/>
      <c r="B522" s="7"/>
      <c r="C522" s="7"/>
      <c r="D522" s="7"/>
      <c r="E522" s="7"/>
      <c r="F522" s="6"/>
      <c r="G522" s="6"/>
      <c r="H522" s="6"/>
      <c r="I522" s="6"/>
      <c r="J522" s="6"/>
      <c r="K522" s="6"/>
      <c r="L522" s="6"/>
      <c r="M522" s="6"/>
      <c r="N522" s="6"/>
      <c r="O522" s="6"/>
      <c r="P522" s="6"/>
      <c r="Q522" s="6"/>
      <c r="R522" s="6"/>
      <c r="S522" s="6"/>
      <c r="T522" s="6"/>
      <c r="U522" s="6"/>
      <c r="V522" s="6"/>
      <c r="W522" s="6"/>
    </row>
    <row r="523" spans="1:23" ht="16" x14ac:dyDescent="0.2">
      <c r="A523" s="6"/>
      <c r="B523" s="7"/>
      <c r="C523" s="7"/>
      <c r="D523" s="7"/>
      <c r="E523" s="7"/>
      <c r="F523" s="6"/>
      <c r="G523" s="6"/>
      <c r="H523" s="6"/>
      <c r="I523" s="6"/>
      <c r="J523" s="6"/>
      <c r="K523" s="6"/>
      <c r="L523" s="6"/>
      <c r="M523" s="6"/>
      <c r="N523" s="6"/>
      <c r="O523" s="6"/>
      <c r="P523" s="6"/>
      <c r="Q523" s="6"/>
      <c r="R523" s="6"/>
      <c r="S523" s="6"/>
      <c r="T523" s="6"/>
      <c r="U523" s="6"/>
      <c r="V523" s="6"/>
      <c r="W523" s="6"/>
    </row>
    <row r="524" spans="1:23" ht="16" x14ac:dyDescent="0.2">
      <c r="A524" s="6"/>
      <c r="B524" s="7"/>
      <c r="C524" s="7"/>
      <c r="D524" s="7"/>
      <c r="E524" s="7"/>
      <c r="F524" s="6"/>
      <c r="G524" s="6"/>
      <c r="H524" s="6"/>
      <c r="I524" s="6"/>
      <c r="J524" s="6"/>
      <c r="K524" s="6"/>
      <c r="L524" s="6"/>
      <c r="M524" s="6"/>
      <c r="N524" s="6"/>
      <c r="O524" s="6"/>
      <c r="P524" s="6"/>
      <c r="Q524" s="6"/>
      <c r="R524" s="6"/>
      <c r="S524" s="6"/>
      <c r="T524" s="6"/>
      <c r="U524" s="6"/>
      <c r="V524" s="6"/>
      <c r="W524" s="6"/>
    </row>
    <row r="525" spans="1:23" ht="16" x14ac:dyDescent="0.2">
      <c r="A525" s="6"/>
      <c r="B525" s="7"/>
      <c r="C525" s="7"/>
      <c r="D525" s="7"/>
      <c r="E525" s="7"/>
      <c r="F525" s="6"/>
      <c r="G525" s="6"/>
      <c r="H525" s="6"/>
      <c r="I525" s="6"/>
      <c r="J525" s="6"/>
      <c r="K525" s="6"/>
      <c r="L525" s="6"/>
      <c r="M525" s="6"/>
      <c r="N525" s="6"/>
      <c r="O525" s="6"/>
      <c r="P525" s="6"/>
      <c r="Q525" s="6"/>
      <c r="R525" s="6"/>
      <c r="S525" s="6"/>
      <c r="T525" s="6"/>
      <c r="U525" s="6"/>
      <c r="V525" s="6"/>
      <c r="W525" s="6"/>
    </row>
    <row r="526" spans="1:23" ht="16" x14ac:dyDescent="0.2">
      <c r="A526" s="6"/>
      <c r="B526" s="7"/>
      <c r="C526" s="7"/>
      <c r="D526" s="7"/>
      <c r="E526" s="7"/>
      <c r="F526" s="6"/>
      <c r="G526" s="6"/>
      <c r="H526" s="6"/>
      <c r="I526" s="6"/>
      <c r="J526" s="6"/>
      <c r="K526" s="6"/>
      <c r="L526" s="6"/>
      <c r="M526" s="6"/>
      <c r="N526" s="6"/>
      <c r="O526" s="6"/>
      <c r="P526" s="6"/>
      <c r="Q526" s="6"/>
      <c r="R526" s="6"/>
      <c r="S526" s="6"/>
      <c r="T526" s="6"/>
      <c r="U526" s="6"/>
      <c r="V526" s="6"/>
      <c r="W526" s="6"/>
    </row>
    <row r="527" spans="1:23" ht="16" x14ac:dyDescent="0.2">
      <c r="A527" s="6"/>
      <c r="B527" s="7"/>
      <c r="C527" s="7"/>
      <c r="D527" s="7"/>
      <c r="E527" s="7"/>
      <c r="F527" s="6"/>
      <c r="G527" s="6"/>
      <c r="H527" s="6"/>
      <c r="I527" s="6"/>
      <c r="J527" s="6"/>
      <c r="K527" s="6"/>
      <c r="L527" s="6"/>
      <c r="M527" s="6"/>
      <c r="N527" s="6"/>
      <c r="O527" s="6"/>
      <c r="P527" s="6"/>
      <c r="Q527" s="6"/>
      <c r="R527" s="6"/>
      <c r="S527" s="6"/>
      <c r="T527" s="6"/>
      <c r="U527" s="6"/>
      <c r="V527" s="6"/>
      <c r="W527" s="6"/>
    </row>
    <row r="528" spans="1:23" ht="16" x14ac:dyDescent="0.2">
      <c r="A528" s="6"/>
      <c r="B528" s="7"/>
      <c r="C528" s="7"/>
      <c r="D528" s="7"/>
      <c r="E528" s="7"/>
      <c r="F528" s="6"/>
      <c r="G528" s="6"/>
      <c r="H528" s="6"/>
      <c r="I528" s="6"/>
      <c r="J528" s="6"/>
      <c r="K528" s="6"/>
      <c r="L528" s="6"/>
      <c r="M528" s="6"/>
      <c r="N528" s="6"/>
      <c r="O528" s="6"/>
      <c r="P528" s="6"/>
      <c r="Q528" s="6"/>
      <c r="R528" s="6"/>
      <c r="S528" s="6"/>
      <c r="T528" s="6"/>
      <c r="U528" s="6"/>
      <c r="V528" s="6"/>
      <c r="W528" s="6"/>
    </row>
    <row r="529" spans="1:23" ht="16" x14ac:dyDescent="0.2">
      <c r="A529" s="6"/>
      <c r="B529" s="7"/>
      <c r="C529" s="7"/>
      <c r="D529" s="7"/>
      <c r="E529" s="7"/>
      <c r="F529" s="6"/>
      <c r="G529" s="6"/>
      <c r="H529" s="6"/>
      <c r="I529" s="6"/>
      <c r="J529" s="6"/>
      <c r="K529" s="6"/>
      <c r="L529" s="6"/>
      <c r="M529" s="6"/>
      <c r="N529" s="6"/>
      <c r="O529" s="6"/>
      <c r="P529" s="6"/>
      <c r="Q529" s="6"/>
      <c r="R529" s="6"/>
      <c r="S529" s="6"/>
      <c r="T529" s="6"/>
      <c r="U529" s="6"/>
      <c r="V529" s="6"/>
      <c r="W529" s="6"/>
    </row>
    <row r="530" spans="1:23" ht="16" x14ac:dyDescent="0.2">
      <c r="A530" s="6"/>
      <c r="B530" s="7"/>
      <c r="C530" s="7"/>
      <c r="D530" s="7"/>
      <c r="E530" s="7"/>
      <c r="F530" s="6"/>
      <c r="G530" s="6"/>
      <c r="H530" s="6"/>
      <c r="I530" s="6"/>
      <c r="J530" s="6"/>
      <c r="K530" s="6"/>
      <c r="L530" s="6"/>
      <c r="M530" s="6"/>
      <c r="N530" s="6"/>
      <c r="O530" s="6"/>
      <c r="P530" s="6"/>
      <c r="Q530" s="6"/>
      <c r="R530" s="6"/>
      <c r="S530" s="6"/>
      <c r="T530" s="6"/>
      <c r="U530" s="6"/>
      <c r="V530" s="6"/>
      <c r="W530" s="6"/>
    </row>
    <row r="531" spans="1:23" ht="16" x14ac:dyDescent="0.2">
      <c r="A531" s="6"/>
      <c r="B531" s="7"/>
      <c r="C531" s="7"/>
      <c r="D531" s="7"/>
      <c r="E531" s="7"/>
      <c r="F531" s="6"/>
      <c r="G531" s="6"/>
      <c r="H531" s="6"/>
      <c r="I531" s="6"/>
      <c r="J531" s="6"/>
      <c r="K531" s="6"/>
      <c r="L531" s="6"/>
      <c r="M531" s="6"/>
      <c r="N531" s="6"/>
      <c r="O531" s="6"/>
      <c r="P531" s="6"/>
      <c r="Q531" s="6"/>
      <c r="R531" s="6"/>
      <c r="S531" s="6"/>
      <c r="T531" s="6"/>
      <c r="U531" s="6"/>
      <c r="V531" s="6"/>
      <c r="W531" s="6"/>
    </row>
    <row r="532" spans="1:23" ht="16" x14ac:dyDescent="0.2">
      <c r="A532" s="6"/>
      <c r="B532" s="7"/>
      <c r="C532" s="7"/>
      <c r="D532" s="7"/>
      <c r="E532" s="7"/>
      <c r="F532" s="6"/>
      <c r="G532" s="6"/>
      <c r="H532" s="6"/>
      <c r="I532" s="6"/>
      <c r="J532" s="6"/>
      <c r="K532" s="6"/>
      <c r="L532" s="6"/>
      <c r="M532" s="6"/>
      <c r="N532" s="6"/>
      <c r="O532" s="6"/>
      <c r="P532" s="6"/>
      <c r="Q532" s="6"/>
      <c r="R532" s="6"/>
      <c r="S532" s="6"/>
      <c r="T532" s="6"/>
      <c r="U532" s="6"/>
      <c r="V532" s="6"/>
      <c r="W532" s="6"/>
    </row>
    <row r="533" spans="1:23" ht="16" x14ac:dyDescent="0.2">
      <c r="A533" s="6"/>
      <c r="B533" s="7"/>
      <c r="C533" s="7"/>
      <c r="D533" s="7"/>
      <c r="E533" s="7"/>
      <c r="F533" s="6"/>
      <c r="G533" s="6"/>
      <c r="H533" s="6"/>
      <c r="I533" s="6"/>
      <c r="J533" s="6"/>
      <c r="K533" s="6"/>
      <c r="L533" s="6"/>
      <c r="M533" s="6"/>
      <c r="N533" s="6"/>
      <c r="O533" s="6"/>
      <c r="P533" s="6"/>
      <c r="Q533" s="6"/>
      <c r="R533" s="6"/>
      <c r="S533" s="6"/>
      <c r="T533" s="6"/>
      <c r="U533" s="6"/>
      <c r="V533" s="6"/>
      <c r="W533" s="6"/>
    </row>
    <row r="534" spans="1:23" ht="16" x14ac:dyDescent="0.2">
      <c r="A534" s="6"/>
      <c r="B534" s="7"/>
      <c r="C534" s="7"/>
      <c r="D534" s="7"/>
      <c r="E534" s="7"/>
      <c r="F534" s="6"/>
      <c r="G534" s="6"/>
      <c r="H534" s="6"/>
      <c r="I534" s="6"/>
      <c r="J534" s="6"/>
      <c r="K534" s="6"/>
      <c r="L534" s="6"/>
      <c r="M534" s="6"/>
      <c r="N534" s="6"/>
      <c r="O534" s="6"/>
      <c r="P534" s="6"/>
      <c r="Q534" s="6"/>
      <c r="R534" s="6"/>
      <c r="S534" s="6"/>
      <c r="T534" s="6"/>
      <c r="U534" s="6"/>
      <c r="V534" s="6"/>
      <c r="W534" s="6"/>
    </row>
    <row r="535" spans="1:23" ht="16" x14ac:dyDescent="0.2">
      <c r="A535" s="6"/>
      <c r="B535" s="7"/>
      <c r="C535" s="7"/>
      <c r="D535" s="7"/>
      <c r="E535" s="7"/>
      <c r="F535" s="6"/>
      <c r="G535" s="6"/>
      <c r="H535" s="6"/>
      <c r="I535" s="6"/>
      <c r="J535" s="6"/>
      <c r="K535" s="6"/>
      <c r="L535" s="6"/>
      <c r="M535" s="6"/>
      <c r="N535" s="6"/>
      <c r="O535" s="6"/>
      <c r="P535" s="6"/>
      <c r="Q535" s="6"/>
      <c r="R535" s="6"/>
      <c r="S535" s="6"/>
      <c r="T535" s="6"/>
      <c r="U535" s="6"/>
      <c r="V535" s="6"/>
      <c r="W535" s="6"/>
    </row>
    <row r="536" spans="1:23" ht="16" x14ac:dyDescent="0.2">
      <c r="A536" s="6"/>
      <c r="B536" s="7"/>
      <c r="C536" s="7"/>
      <c r="D536" s="7"/>
      <c r="E536" s="7"/>
      <c r="F536" s="6"/>
      <c r="G536" s="6"/>
      <c r="H536" s="6"/>
      <c r="I536" s="6"/>
      <c r="J536" s="6"/>
      <c r="K536" s="6"/>
      <c r="L536" s="6"/>
      <c r="M536" s="6"/>
      <c r="N536" s="6"/>
      <c r="O536" s="6"/>
      <c r="P536" s="6"/>
      <c r="Q536" s="6"/>
      <c r="R536" s="6"/>
      <c r="S536" s="6"/>
      <c r="T536" s="6"/>
      <c r="U536" s="6"/>
      <c r="V536" s="6"/>
      <c r="W536" s="6"/>
    </row>
    <row r="537" spans="1:23" ht="16" x14ac:dyDescent="0.2">
      <c r="A537" s="6"/>
      <c r="B537" s="7"/>
      <c r="C537" s="7"/>
      <c r="D537" s="7"/>
      <c r="E537" s="7"/>
      <c r="F537" s="6"/>
      <c r="G537" s="6"/>
      <c r="H537" s="6"/>
      <c r="I537" s="6"/>
      <c r="J537" s="6"/>
      <c r="K537" s="6"/>
      <c r="L537" s="6"/>
      <c r="M537" s="6"/>
      <c r="N537" s="6"/>
      <c r="O537" s="6"/>
      <c r="P537" s="6"/>
      <c r="Q537" s="6"/>
      <c r="R537" s="6"/>
      <c r="S537" s="6"/>
      <c r="T537" s="6"/>
      <c r="U537" s="6"/>
      <c r="V537" s="6"/>
      <c r="W537" s="6"/>
    </row>
    <row r="538" spans="1:23" ht="16" x14ac:dyDescent="0.2">
      <c r="A538" s="6"/>
      <c r="B538" s="7"/>
      <c r="C538" s="7"/>
      <c r="D538" s="7"/>
      <c r="E538" s="7"/>
      <c r="F538" s="6"/>
      <c r="G538" s="6"/>
      <c r="H538" s="6"/>
      <c r="I538" s="6"/>
      <c r="J538" s="6"/>
      <c r="K538" s="6"/>
      <c r="L538" s="6"/>
      <c r="M538" s="6"/>
      <c r="N538" s="6"/>
      <c r="O538" s="6"/>
      <c r="P538" s="6"/>
      <c r="Q538" s="6"/>
      <c r="R538" s="6"/>
      <c r="S538" s="6"/>
      <c r="T538" s="6"/>
      <c r="U538" s="6"/>
      <c r="V538" s="6"/>
      <c r="W538" s="6"/>
    </row>
    <row r="539" spans="1:23" ht="16" x14ac:dyDescent="0.2">
      <c r="A539" s="6"/>
      <c r="B539" s="7"/>
      <c r="C539" s="7"/>
      <c r="D539" s="7"/>
      <c r="E539" s="7"/>
      <c r="F539" s="6"/>
      <c r="G539" s="6"/>
      <c r="H539" s="6"/>
      <c r="I539" s="6"/>
      <c r="J539" s="6"/>
      <c r="K539" s="6"/>
      <c r="L539" s="6"/>
      <c r="M539" s="6"/>
      <c r="N539" s="6"/>
      <c r="O539" s="6"/>
      <c r="P539" s="6"/>
      <c r="Q539" s="6"/>
      <c r="R539" s="6"/>
      <c r="S539" s="6"/>
      <c r="T539" s="6"/>
      <c r="U539" s="6"/>
      <c r="V539" s="6"/>
      <c r="W539" s="6"/>
    </row>
    <row r="540" spans="1:23" ht="16" x14ac:dyDescent="0.2">
      <c r="A540" s="6"/>
      <c r="B540" s="7"/>
      <c r="C540" s="7"/>
      <c r="D540" s="7"/>
      <c r="E540" s="7"/>
      <c r="F540" s="6"/>
      <c r="G540" s="6"/>
      <c r="H540" s="6"/>
      <c r="I540" s="6"/>
      <c r="J540" s="6"/>
      <c r="K540" s="6"/>
      <c r="L540" s="6"/>
      <c r="M540" s="6"/>
      <c r="N540" s="6"/>
      <c r="O540" s="6"/>
      <c r="P540" s="6"/>
      <c r="Q540" s="6"/>
      <c r="R540" s="6"/>
      <c r="S540" s="6"/>
      <c r="T540" s="6"/>
      <c r="U540" s="6"/>
      <c r="V540" s="6"/>
      <c r="W540" s="6"/>
    </row>
    <row r="541" spans="1:23" ht="16" x14ac:dyDescent="0.2">
      <c r="A541" s="6"/>
      <c r="B541" s="7"/>
      <c r="C541" s="7"/>
      <c r="D541" s="7"/>
      <c r="E541" s="7"/>
      <c r="F541" s="6"/>
      <c r="G541" s="6"/>
      <c r="H541" s="6"/>
      <c r="I541" s="6"/>
      <c r="J541" s="6"/>
      <c r="K541" s="6"/>
      <c r="L541" s="6"/>
      <c r="M541" s="6"/>
      <c r="N541" s="6"/>
      <c r="O541" s="6"/>
      <c r="P541" s="6"/>
      <c r="Q541" s="6"/>
      <c r="R541" s="6"/>
      <c r="S541" s="6"/>
      <c r="T541" s="6"/>
      <c r="U541" s="6"/>
      <c r="V541" s="6"/>
      <c r="W541" s="6"/>
    </row>
    <row r="542" spans="1:23" ht="16" x14ac:dyDescent="0.2">
      <c r="A542" s="6"/>
      <c r="B542" s="7"/>
      <c r="C542" s="7"/>
      <c r="D542" s="7"/>
      <c r="E542" s="7"/>
      <c r="F542" s="6"/>
      <c r="G542" s="6"/>
      <c r="H542" s="6"/>
      <c r="I542" s="6"/>
      <c r="J542" s="6"/>
      <c r="K542" s="6"/>
      <c r="L542" s="6"/>
      <c r="M542" s="6"/>
      <c r="N542" s="6"/>
      <c r="O542" s="6"/>
      <c r="P542" s="6"/>
      <c r="Q542" s="6"/>
      <c r="R542" s="6"/>
      <c r="S542" s="6"/>
      <c r="T542" s="6"/>
      <c r="U542" s="6"/>
      <c r="V542" s="6"/>
      <c r="W542" s="6"/>
    </row>
    <row r="543" spans="1:23" ht="16" x14ac:dyDescent="0.2">
      <c r="A543" s="6"/>
      <c r="B543" s="7"/>
      <c r="C543" s="7"/>
      <c r="D543" s="7"/>
      <c r="E543" s="7"/>
      <c r="F543" s="6"/>
      <c r="G543" s="6"/>
      <c r="H543" s="6"/>
      <c r="I543" s="6"/>
      <c r="J543" s="6"/>
      <c r="K543" s="6"/>
      <c r="L543" s="6"/>
      <c r="M543" s="6"/>
      <c r="N543" s="6"/>
      <c r="O543" s="6"/>
      <c r="P543" s="6"/>
      <c r="Q543" s="6"/>
      <c r="R543" s="6"/>
      <c r="S543" s="6"/>
      <c r="T543" s="6"/>
      <c r="U543" s="6"/>
      <c r="V543" s="6"/>
      <c r="W543" s="6"/>
    </row>
    <row r="544" spans="1:23" ht="16" x14ac:dyDescent="0.2">
      <c r="A544" s="6"/>
      <c r="B544" s="7"/>
      <c r="C544" s="7"/>
      <c r="D544" s="7"/>
      <c r="E544" s="7"/>
      <c r="F544" s="6"/>
      <c r="G544" s="6"/>
      <c r="H544" s="6"/>
      <c r="I544" s="6"/>
      <c r="J544" s="6"/>
      <c r="K544" s="6"/>
      <c r="L544" s="6"/>
      <c r="M544" s="6"/>
      <c r="N544" s="6"/>
      <c r="O544" s="6"/>
      <c r="P544" s="6"/>
      <c r="Q544" s="6"/>
      <c r="R544" s="6"/>
      <c r="S544" s="6"/>
      <c r="T544" s="6"/>
      <c r="U544" s="6"/>
      <c r="V544" s="6"/>
      <c r="W544" s="6"/>
    </row>
    <row r="545" spans="1:23" ht="16" x14ac:dyDescent="0.2">
      <c r="A545" s="6"/>
      <c r="B545" s="7"/>
      <c r="C545" s="7"/>
      <c r="D545" s="7"/>
      <c r="E545" s="7"/>
      <c r="F545" s="6"/>
      <c r="G545" s="6"/>
      <c r="H545" s="6"/>
      <c r="I545" s="6"/>
      <c r="J545" s="6"/>
      <c r="K545" s="6"/>
      <c r="L545" s="6"/>
      <c r="M545" s="6"/>
      <c r="N545" s="6"/>
      <c r="O545" s="6"/>
      <c r="P545" s="6"/>
      <c r="Q545" s="6"/>
      <c r="R545" s="6"/>
      <c r="S545" s="6"/>
      <c r="T545" s="6"/>
      <c r="U545" s="6"/>
      <c r="V545" s="6"/>
      <c r="W545" s="6"/>
    </row>
    <row r="546" spans="1:23" ht="16" x14ac:dyDescent="0.2">
      <c r="A546" s="6"/>
      <c r="B546" s="7"/>
      <c r="C546" s="7"/>
      <c r="D546" s="7"/>
      <c r="E546" s="7"/>
      <c r="F546" s="6"/>
      <c r="G546" s="6"/>
      <c r="H546" s="6"/>
      <c r="I546" s="6"/>
      <c r="J546" s="6"/>
      <c r="K546" s="6"/>
      <c r="L546" s="6"/>
      <c r="M546" s="6"/>
      <c r="N546" s="6"/>
      <c r="O546" s="6"/>
      <c r="P546" s="6"/>
      <c r="Q546" s="6"/>
      <c r="R546" s="6"/>
      <c r="S546" s="6"/>
      <c r="T546" s="6"/>
      <c r="U546" s="6"/>
      <c r="V546" s="6"/>
      <c r="W546" s="6"/>
    </row>
    <row r="547" spans="1:23" ht="16" x14ac:dyDescent="0.2">
      <c r="A547" s="6"/>
      <c r="B547" s="7"/>
      <c r="C547" s="7"/>
      <c r="D547" s="7"/>
      <c r="E547" s="7"/>
      <c r="F547" s="6"/>
      <c r="G547" s="6"/>
      <c r="H547" s="6"/>
      <c r="I547" s="6"/>
      <c r="J547" s="6"/>
      <c r="K547" s="6"/>
      <c r="L547" s="6"/>
      <c r="M547" s="6"/>
      <c r="N547" s="6"/>
      <c r="O547" s="6"/>
      <c r="P547" s="6"/>
      <c r="Q547" s="6"/>
      <c r="R547" s="6"/>
      <c r="S547" s="6"/>
      <c r="T547" s="6"/>
      <c r="U547" s="6"/>
      <c r="V547" s="6"/>
      <c r="W547" s="6"/>
    </row>
    <row r="548" spans="1:23" ht="16" x14ac:dyDescent="0.2">
      <c r="A548" s="6"/>
      <c r="B548" s="7"/>
      <c r="C548" s="7"/>
      <c r="D548" s="7"/>
      <c r="E548" s="7"/>
      <c r="F548" s="6"/>
      <c r="G548" s="6"/>
      <c r="H548" s="6"/>
      <c r="I548" s="6"/>
      <c r="J548" s="6"/>
      <c r="K548" s="6"/>
      <c r="L548" s="6"/>
      <c r="M548" s="6"/>
      <c r="N548" s="6"/>
      <c r="O548" s="6"/>
      <c r="P548" s="6"/>
      <c r="Q548" s="6"/>
      <c r="R548" s="6"/>
      <c r="S548" s="6"/>
      <c r="T548" s="6"/>
      <c r="U548" s="6"/>
      <c r="V548" s="6"/>
      <c r="W548" s="6"/>
    </row>
    <row r="549" spans="1:23" ht="16" x14ac:dyDescent="0.2">
      <c r="A549" s="6"/>
      <c r="B549" s="7"/>
      <c r="C549" s="7"/>
      <c r="D549" s="7"/>
      <c r="E549" s="7"/>
      <c r="F549" s="6"/>
      <c r="G549" s="6"/>
      <c r="H549" s="6"/>
      <c r="I549" s="6"/>
      <c r="J549" s="6"/>
      <c r="K549" s="6"/>
      <c r="L549" s="6"/>
      <c r="M549" s="6"/>
      <c r="N549" s="6"/>
      <c r="O549" s="6"/>
      <c r="P549" s="6"/>
      <c r="Q549" s="6"/>
      <c r="R549" s="6"/>
      <c r="S549" s="6"/>
      <c r="T549" s="6"/>
      <c r="U549" s="6"/>
      <c r="V549" s="6"/>
      <c r="W549" s="6"/>
    </row>
    <row r="550" spans="1:23" ht="16" x14ac:dyDescent="0.2">
      <c r="A550" s="6"/>
      <c r="B550" s="7"/>
      <c r="C550" s="7"/>
      <c r="D550" s="7"/>
      <c r="E550" s="7"/>
      <c r="F550" s="6"/>
      <c r="G550" s="6"/>
      <c r="H550" s="6"/>
      <c r="I550" s="6"/>
      <c r="J550" s="6"/>
      <c r="K550" s="6"/>
      <c r="L550" s="6"/>
      <c r="M550" s="6"/>
      <c r="N550" s="6"/>
      <c r="O550" s="6"/>
      <c r="P550" s="6"/>
      <c r="Q550" s="6"/>
      <c r="R550" s="6"/>
      <c r="S550" s="6"/>
      <c r="T550" s="6"/>
      <c r="U550" s="6"/>
      <c r="V550" s="6"/>
      <c r="W550" s="6"/>
    </row>
    <row r="551" spans="1:23" ht="16" x14ac:dyDescent="0.2">
      <c r="A551" s="6"/>
      <c r="B551" s="7"/>
      <c r="C551" s="7"/>
      <c r="D551" s="7"/>
      <c r="E551" s="7"/>
      <c r="F551" s="6"/>
      <c r="G551" s="6"/>
      <c r="H551" s="6"/>
      <c r="I551" s="6"/>
      <c r="J551" s="6"/>
      <c r="K551" s="6"/>
      <c r="L551" s="6"/>
      <c r="M551" s="6"/>
      <c r="N551" s="6"/>
      <c r="O551" s="6"/>
      <c r="P551" s="6"/>
      <c r="Q551" s="6"/>
      <c r="R551" s="6"/>
      <c r="S551" s="6"/>
      <c r="T551" s="6"/>
      <c r="U551" s="6"/>
      <c r="V551" s="6"/>
      <c r="W551" s="6"/>
    </row>
    <row r="552" spans="1:23" ht="16" x14ac:dyDescent="0.2">
      <c r="A552" s="6"/>
      <c r="B552" s="7"/>
      <c r="C552" s="7"/>
      <c r="D552" s="7"/>
      <c r="E552" s="7"/>
      <c r="F552" s="6"/>
      <c r="G552" s="6"/>
      <c r="H552" s="6"/>
      <c r="I552" s="6"/>
      <c r="J552" s="6"/>
      <c r="K552" s="6"/>
      <c r="L552" s="6"/>
      <c r="M552" s="6"/>
      <c r="N552" s="6"/>
      <c r="O552" s="6"/>
      <c r="P552" s="6"/>
      <c r="Q552" s="6"/>
      <c r="R552" s="6"/>
      <c r="S552" s="6"/>
      <c r="T552" s="6"/>
      <c r="U552" s="6"/>
      <c r="V552" s="6"/>
      <c r="W552" s="6"/>
    </row>
    <row r="553" spans="1:23" ht="16" x14ac:dyDescent="0.2">
      <c r="A553" s="6"/>
      <c r="B553" s="7"/>
      <c r="C553" s="7"/>
      <c r="D553" s="7"/>
      <c r="E553" s="7"/>
      <c r="F553" s="6"/>
      <c r="G553" s="6"/>
      <c r="H553" s="6"/>
      <c r="I553" s="6"/>
      <c r="J553" s="6"/>
      <c r="K553" s="6"/>
      <c r="L553" s="6"/>
      <c r="M553" s="6"/>
      <c r="N553" s="6"/>
      <c r="O553" s="6"/>
      <c r="P553" s="6"/>
      <c r="Q553" s="6"/>
      <c r="R553" s="6"/>
      <c r="S553" s="6"/>
      <c r="T553" s="6"/>
      <c r="U553" s="6"/>
      <c r="V553" s="6"/>
      <c r="W553" s="6"/>
    </row>
    <row r="554" spans="1:23" ht="16" x14ac:dyDescent="0.2">
      <c r="A554" s="6"/>
      <c r="B554" s="7"/>
      <c r="C554" s="7"/>
      <c r="D554" s="7"/>
      <c r="E554" s="7"/>
      <c r="F554" s="6"/>
      <c r="G554" s="6"/>
      <c r="H554" s="6"/>
      <c r="I554" s="6"/>
      <c r="J554" s="6"/>
      <c r="K554" s="6"/>
      <c r="L554" s="6"/>
      <c r="M554" s="6"/>
      <c r="N554" s="6"/>
      <c r="O554" s="6"/>
      <c r="P554" s="6"/>
      <c r="Q554" s="6"/>
      <c r="R554" s="6"/>
      <c r="S554" s="6"/>
      <c r="T554" s="6"/>
      <c r="U554" s="6"/>
      <c r="V554" s="6"/>
      <c r="W554" s="6"/>
    </row>
    <row r="555" spans="1:23" ht="16" x14ac:dyDescent="0.2">
      <c r="A555" s="6"/>
      <c r="B555" s="7"/>
      <c r="C555" s="7"/>
      <c r="D555" s="7"/>
      <c r="E555" s="7"/>
      <c r="F555" s="6"/>
      <c r="G555" s="6"/>
      <c r="H555" s="6"/>
      <c r="I555" s="6"/>
      <c r="J555" s="6"/>
      <c r="K555" s="6"/>
      <c r="L555" s="6"/>
      <c r="M555" s="6"/>
      <c r="N555" s="6"/>
      <c r="O555" s="6"/>
      <c r="P555" s="6"/>
      <c r="Q555" s="6"/>
      <c r="R555" s="6"/>
      <c r="S555" s="6"/>
      <c r="T555" s="6"/>
      <c r="U555" s="6"/>
      <c r="V555" s="6"/>
      <c r="W555" s="6"/>
    </row>
    <row r="556" spans="1:23" ht="16" x14ac:dyDescent="0.2">
      <c r="A556" s="6"/>
      <c r="B556" s="7"/>
      <c r="C556" s="7"/>
      <c r="D556" s="7"/>
      <c r="E556" s="7"/>
      <c r="F556" s="6"/>
      <c r="G556" s="6"/>
      <c r="H556" s="6"/>
      <c r="I556" s="6"/>
      <c r="J556" s="6"/>
      <c r="K556" s="6"/>
      <c r="L556" s="6"/>
      <c r="M556" s="6"/>
      <c r="N556" s="6"/>
      <c r="O556" s="6"/>
      <c r="P556" s="6"/>
      <c r="Q556" s="6"/>
      <c r="R556" s="6"/>
      <c r="S556" s="6"/>
      <c r="T556" s="6"/>
      <c r="U556" s="6"/>
      <c r="V556" s="6"/>
      <c r="W556" s="6"/>
    </row>
    <row r="557" spans="1:23" ht="16" x14ac:dyDescent="0.2">
      <c r="A557" s="6"/>
      <c r="B557" s="7"/>
      <c r="C557" s="7"/>
      <c r="D557" s="7"/>
      <c r="E557" s="7"/>
      <c r="F557" s="6"/>
      <c r="G557" s="6"/>
      <c r="H557" s="6"/>
      <c r="I557" s="6"/>
      <c r="J557" s="6"/>
      <c r="K557" s="6"/>
      <c r="L557" s="6"/>
      <c r="M557" s="6"/>
      <c r="N557" s="6"/>
      <c r="O557" s="6"/>
      <c r="P557" s="6"/>
      <c r="Q557" s="6"/>
      <c r="R557" s="6"/>
      <c r="S557" s="6"/>
      <c r="T557" s="6"/>
      <c r="U557" s="6"/>
      <c r="V557" s="6"/>
      <c r="W557" s="6"/>
    </row>
    <row r="558" spans="1:23" ht="16" x14ac:dyDescent="0.2">
      <c r="A558" s="6"/>
      <c r="B558" s="7"/>
      <c r="C558" s="7"/>
      <c r="D558" s="7"/>
      <c r="E558" s="7"/>
      <c r="F558" s="6"/>
      <c r="G558" s="6"/>
      <c r="H558" s="6"/>
      <c r="I558" s="6"/>
      <c r="J558" s="6"/>
      <c r="K558" s="6"/>
      <c r="L558" s="6"/>
      <c r="M558" s="6"/>
      <c r="N558" s="6"/>
      <c r="O558" s="6"/>
      <c r="P558" s="6"/>
      <c r="Q558" s="6"/>
      <c r="R558" s="6"/>
      <c r="S558" s="6"/>
      <c r="T558" s="6"/>
      <c r="U558" s="6"/>
      <c r="V558" s="6"/>
      <c r="W558" s="6"/>
    </row>
    <row r="559" spans="1:23" ht="16" x14ac:dyDescent="0.2">
      <c r="A559" s="6"/>
      <c r="B559" s="7"/>
      <c r="C559" s="7"/>
      <c r="D559" s="7"/>
      <c r="E559" s="7"/>
      <c r="F559" s="6"/>
      <c r="G559" s="6"/>
      <c r="H559" s="6"/>
      <c r="I559" s="6"/>
      <c r="J559" s="6"/>
      <c r="K559" s="6"/>
      <c r="L559" s="6"/>
      <c r="M559" s="6"/>
      <c r="N559" s="6"/>
      <c r="O559" s="6"/>
      <c r="P559" s="6"/>
      <c r="Q559" s="6"/>
      <c r="R559" s="6"/>
      <c r="S559" s="6"/>
      <c r="T559" s="6"/>
      <c r="U559" s="6"/>
      <c r="V559" s="6"/>
      <c r="W559" s="6"/>
    </row>
    <row r="560" spans="1:23" ht="16" x14ac:dyDescent="0.2">
      <c r="A560" s="6"/>
      <c r="B560" s="7"/>
      <c r="C560" s="7"/>
      <c r="D560" s="7"/>
      <c r="E560" s="7"/>
      <c r="F560" s="6"/>
      <c r="G560" s="6"/>
      <c r="H560" s="6"/>
      <c r="I560" s="6"/>
      <c r="J560" s="6"/>
      <c r="K560" s="6"/>
      <c r="L560" s="6"/>
      <c r="M560" s="6"/>
      <c r="N560" s="6"/>
      <c r="O560" s="6"/>
      <c r="P560" s="6"/>
      <c r="Q560" s="6"/>
      <c r="R560" s="6"/>
      <c r="S560" s="6"/>
      <c r="T560" s="6"/>
      <c r="U560" s="6"/>
      <c r="V560" s="6"/>
      <c r="W560" s="6"/>
    </row>
    <row r="561" spans="1:23" ht="16" x14ac:dyDescent="0.2">
      <c r="A561" s="6"/>
      <c r="B561" s="7"/>
      <c r="C561" s="7"/>
      <c r="D561" s="7"/>
      <c r="E561" s="7"/>
      <c r="F561" s="6"/>
      <c r="G561" s="6"/>
      <c r="H561" s="6"/>
      <c r="I561" s="6"/>
      <c r="J561" s="6"/>
      <c r="K561" s="6"/>
      <c r="L561" s="6"/>
      <c r="M561" s="6"/>
      <c r="N561" s="6"/>
      <c r="O561" s="6"/>
      <c r="P561" s="6"/>
      <c r="Q561" s="6"/>
      <c r="R561" s="6"/>
      <c r="S561" s="6"/>
      <c r="T561" s="6"/>
      <c r="U561" s="6"/>
      <c r="V561" s="6"/>
      <c r="W561" s="6"/>
    </row>
    <row r="562" spans="1:23" ht="16" x14ac:dyDescent="0.2">
      <c r="A562" s="6"/>
      <c r="B562" s="7"/>
      <c r="C562" s="7"/>
      <c r="D562" s="7"/>
      <c r="E562" s="7"/>
      <c r="F562" s="6"/>
      <c r="G562" s="6"/>
      <c r="H562" s="6"/>
      <c r="I562" s="6"/>
      <c r="J562" s="6"/>
      <c r="K562" s="6"/>
      <c r="L562" s="6"/>
      <c r="M562" s="6"/>
      <c r="N562" s="6"/>
      <c r="O562" s="6"/>
      <c r="P562" s="6"/>
      <c r="Q562" s="6"/>
      <c r="R562" s="6"/>
      <c r="S562" s="6"/>
      <c r="T562" s="6"/>
      <c r="U562" s="6"/>
      <c r="V562" s="6"/>
      <c r="W562" s="6"/>
    </row>
    <row r="563" spans="1:23" ht="16" x14ac:dyDescent="0.2">
      <c r="A563" s="6"/>
      <c r="B563" s="7"/>
      <c r="C563" s="7"/>
      <c r="D563" s="7"/>
      <c r="E563" s="7"/>
      <c r="F563" s="6"/>
      <c r="G563" s="6"/>
      <c r="H563" s="6"/>
      <c r="I563" s="6"/>
      <c r="J563" s="6"/>
      <c r="K563" s="6"/>
      <c r="L563" s="6"/>
      <c r="M563" s="6"/>
      <c r="N563" s="6"/>
      <c r="O563" s="6"/>
      <c r="P563" s="6"/>
      <c r="Q563" s="6"/>
      <c r="R563" s="6"/>
      <c r="S563" s="6"/>
      <c r="T563" s="6"/>
      <c r="U563" s="6"/>
      <c r="V563" s="6"/>
      <c r="W563" s="6"/>
    </row>
    <row r="564" spans="1:23" ht="16" x14ac:dyDescent="0.2">
      <c r="A564" s="6"/>
      <c r="B564" s="7"/>
      <c r="C564" s="7"/>
      <c r="D564" s="7"/>
      <c r="E564" s="7"/>
      <c r="F564" s="6"/>
      <c r="G564" s="6"/>
      <c r="H564" s="6"/>
      <c r="I564" s="6"/>
      <c r="J564" s="6"/>
      <c r="K564" s="6"/>
      <c r="L564" s="6"/>
      <c r="M564" s="6"/>
      <c r="N564" s="6"/>
      <c r="O564" s="6"/>
      <c r="P564" s="6"/>
      <c r="Q564" s="6"/>
      <c r="R564" s="6"/>
      <c r="S564" s="6"/>
      <c r="T564" s="6"/>
      <c r="U564" s="6"/>
      <c r="V564" s="6"/>
      <c r="W564" s="6"/>
    </row>
    <row r="565" spans="1:23" ht="16" x14ac:dyDescent="0.2">
      <c r="A565" s="6"/>
      <c r="B565" s="7"/>
      <c r="C565" s="7"/>
      <c r="D565" s="7"/>
      <c r="E565" s="7"/>
      <c r="F565" s="6"/>
      <c r="G565" s="6"/>
      <c r="H565" s="6"/>
      <c r="I565" s="6"/>
      <c r="J565" s="6"/>
      <c r="K565" s="6"/>
      <c r="L565" s="6"/>
      <c r="M565" s="6"/>
      <c r="N565" s="6"/>
      <c r="O565" s="6"/>
      <c r="P565" s="6"/>
      <c r="Q565" s="6"/>
      <c r="R565" s="6"/>
      <c r="S565" s="6"/>
      <c r="T565" s="6"/>
      <c r="U565" s="6"/>
      <c r="V565" s="6"/>
      <c r="W565" s="6"/>
    </row>
    <row r="566" spans="1:23" ht="16" x14ac:dyDescent="0.2">
      <c r="A566" s="6"/>
      <c r="B566" s="7"/>
      <c r="C566" s="7"/>
      <c r="D566" s="7"/>
      <c r="E566" s="7"/>
      <c r="F566" s="6"/>
      <c r="G566" s="6"/>
      <c r="H566" s="6"/>
      <c r="I566" s="6"/>
      <c r="J566" s="6"/>
      <c r="K566" s="6"/>
      <c r="L566" s="6"/>
      <c r="M566" s="6"/>
      <c r="N566" s="6"/>
      <c r="O566" s="6"/>
      <c r="P566" s="6"/>
      <c r="Q566" s="6"/>
      <c r="R566" s="6"/>
      <c r="S566" s="6"/>
      <c r="T566" s="6"/>
      <c r="U566" s="6"/>
      <c r="V566" s="6"/>
      <c r="W566" s="6"/>
    </row>
    <row r="567" spans="1:23" ht="16" x14ac:dyDescent="0.2">
      <c r="A567" s="6"/>
      <c r="B567" s="7"/>
      <c r="C567" s="7"/>
      <c r="D567" s="7"/>
      <c r="E567" s="7"/>
      <c r="F567" s="6"/>
      <c r="G567" s="6"/>
      <c r="H567" s="6"/>
      <c r="I567" s="6"/>
      <c r="J567" s="6"/>
      <c r="K567" s="6"/>
      <c r="L567" s="6"/>
      <c r="M567" s="6"/>
      <c r="N567" s="6"/>
      <c r="O567" s="6"/>
      <c r="P567" s="6"/>
      <c r="Q567" s="6"/>
      <c r="R567" s="6"/>
      <c r="S567" s="6"/>
      <c r="T567" s="6"/>
      <c r="U567" s="6"/>
      <c r="V567" s="6"/>
      <c r="W567" s="6"/>
    </row>
    <row r="568" spans="1:23" ht="16" x14ac:dyDescent="0.2">
      <c r="A568" s="6"/>
      <c r="B568" s="7"/>
      <c r="C568" s="7"/>
      <c r="D568" s="7"/>
      <c r="E568" s="7"/>
      <c r="F568" s="6"/>
      <c r="G568" s="6"/>
      <c r="H568" s="6"/>
      <c r="I568" s="6"/>
      <c r="J568" s="6"/>
      <c r="K568" s="6"/>
      <c r="L568" s="6"/>
      <c r="M568" s="6"/>
      <c r="N568" s="6"/>
      <c r="O568" s="6"/>
      <c r="P568" s="6"/>
      <c r="Q568" s="6"/>
      <c r="R568" s="6"/>
      <c r="S568" s="6"/>
      <c r="T568" s="6"/>
      <c r="U568" s="6"/>
      <c r="V568" s="6"/>
      <c r="W568" s="6"/>
    </row>
    <row r="569" spans="1:23" ht="16" x14ac:dyDescent="0.2">
      <c r="A569" s="6"/>
      <c r="B569" s="7"/>
      <c r="C569" s="7"/>
      <c r="D569" s="7"/>
      <c r="E569" s="7"/>
      <c r="F569" s="6"/>
      <c r="G569" s="6"/>
      <c r="H569" s="6"/>
      <c r="I569" s="6"/>
      <c r="J569" s="6"/>
      <c r="K569" s="6"/>
      <c r="L569" s="6"/>
      <c r="M569" s="6"/>
      <c r="N569" s="6"/>
      <c r="O569" s="6"/>
      <c r="P569" s="6"/>
      <c r="Q569" s="6"/>
      <c r="R569" s="6"/>
      <c r="S569" s="6"/>
      <c r="T569" s="6"/>
      <c r="U569" s="6"/>
      <c r="V569" s="6"/>
      <c r="W569" s="6"/>
    </row>
    <row r="570" spans="1:23" ht="16" x14ac:dyDescent="0.2">
      <c r="A570" s="6"/>
      <c r="B570" s="7"/>
      <c r="C570" s="7"/>
      <c r="D570" s="7"/>
      <c r="E570" s="7"/>
      <c r="F570" s="6"/>
      <c r="G570" s="6"/>
      <c r="H570" s="6"/>
      <c r="I570" s="6"/>
      <c r="J570" s="6"/>
      <c r="K570" s="6"/>
      <c r="L570" s="6"/>
      <c r="M570" s="6"/>
      <c r="N570" s="6"/>
      <c r="O570" s="6"/>
      <c r="P570" s="6"/>
      <c r="Q570" s="6"/>
      <c r="R570" s="6"/>
      <c r="S570" s="6"/>
      <c r="T570" s="6"/>
      <c r="U570" s="6"/>
      <c r="V570" s="6"/>
      <c r="W570" s="6"/>
    </row>
    <row r="571" spans="1:23" ht="16" x14ac:dyDescent="0.2">
      <c r="A571" s="6"/>
      <c r="B571" s="7"/>
      <c r="C571" s="7"/>
      <c r="D571" s="7"/>
      <c r="E571" s="7"/>
      <c r="F571" s="6"/>
      <c r="G571" s="6"/>
      <c r="H571" s="6"/>
      <c r="I571" s="6"/>
      <c r="J571" s="6"/>
      <c r="K571" s="6"/>
      <c r="L571" s="6"/>
      <c r="M571" s="6"/>
      <c r="N571" s="6"/>
      <c r="O571" s="6"/>
      <c r="P571" s="6"/>
      <c r="Q571" s="6"/>
      <c r="R571" s="6"/>
      <c r="S571" s="6"/>
      <c r="T571" s="6"/>
      <c r="U571" s="6"/>
      <c r="V571" s="6"/>
      <c r="W571" s="6"/>
    </row>
    <row r="572" spans="1:23" ht="16" x14ac:dyDescent="0.2">
      <c r="A572" s="6"/>
      <c r="B572" s="7"/>
      <c r="C572" s="7"/>
      <c r="D572" s="7"/>
      <c r="E572" s="7"/>
      <c r="F572" s="6"/>
      <c r="G572" s="6"/>
      <c r="H572" s="6"/>
      <c r="I572" s="6"/>
      <c r="J572" s="6"/>
      <c r="K572" s="6"/>
      <c r="L572" s="6"/>
      <c r="M572" s="6"/>
      <c r="N572" s="6"/>
      <c r="O572" s="6"/>
      <c r="P572" s="6"/>
      <c r="Q572" s="6"/>
      <c r="R572" s="6"/>
      <c r="S572" s="6"/>
      <c r="T572" s="6"/>
      <c r="U572" s="6"/>
      <c r="V572" s="6"/>
      <c r="W572" s="6"/>
    </row>
    <row r="573" spans="1:23" ht="16" x14ac:dyDescent="0.2">
      <c r="A573" s="6"/>
      <c r="B573" s="7"/>
      <c r="C573" s="7"/>
      <c r="D573" s="7"/>
      <c r="E573" s="7"/>
      <c r="F573" s="6"/>
      <c r="G573" s="6"/>
      <c r="H573" s="6"/>
      <c r="I573" s="6"/>
      <c r="J573" s="6"/>
      <c r="K573" s="6"/>
      <c r="L573" s="6"/>
      <c r="M573" s="6"/>
      <c r="N573" s="6"/>
      <c r="O573" s="6"/>
      <c r="P573" s="6"/>
      <c r="Q573" s="6"/>
      <c r="R573" s="6"/>
      <c r="S573" s="6"/>
      <c r="T573" s="6"/>
      <c r="U573" s="6"/>
      <c r="V573" s="6"/>
      <c r="W573" s="6"/>
    </row>
    <row r="574" spans="1:23" ht="16" x14ac:dyDescent="0.2">
      <c r="A574" s="6"/>
      <c r="B574" s="7"/>
      <c r="C574" s="7"/>
      <c r="D574" s="7"/>
      <c r="E574" s="7"/>
      <c r="F574" s="6"/>
      <c r="G574" s="6"/>
      <c r="H574" s="6"/>
      <c r="I574" s="6"/>
      <c r="J574" s="6"/>
      <c r="K574" s="6"/>
      <c r="L574" s="6"/>
      <c r="M574" s="6"/>
      <c r="N574" s="6"/>
      <c r="O574" s="6"/>
      <c r="P574" s="6"/>
      <c r="Q574" s="6"/>
      <c r="R574" s="6"/>
      <c r="S574" s="6"/>
      <c r="T574" s="6"/>
      <c r="U574" s="6"/>
      <c r="V574" s="6"/>
      <c r="W574" s="6"/>
    </row>
    <row r="575" spans="1:23" ht="16" x14ac:dyDescent="0.2">
      <c r="A575" s="6"/>
      <c r="B575" s="7"/>
      <c r="C575" s="7"/>
      <c r="D575" s="7"/>
      <c r="E575" s="7"/>
      <c r="F575" s="6"/>
      <c r="G575" s="6"/>
      <c r="H575" s="6"/>
      <c r="I575" s="6"/>
      <c r="J575" s="6"/>
      <c r="K575" s="6"/>
      <c r="L575" s="6"/>
      <c r="M575" s="6"/>
      <c r="N575" s="6"/>
      <c r="O575" s="6"/>
      <c r="P575" s="6"/>
      <c r="Q575" s="6"/>
      <c r="R575" s="6"/>
      <c r="S575" s="6"/>
      <c r="T575" s="6"/>
      <c r="U575" s="6"/>
      <c r="V575" s="6"/>
      <c r="W575" s="6"/>
    </row>
    <row r="576" spans="1:23" ht="16" x14ac:dyDescent="0.2">
      <c r="A576" s="6"/>
      <c r="B576" s="7"/>
      <c r="C576" s="7"/>
      <c r="D576" s="7"/>
      <c r="E576" s="7"/>
      <c r="F576" s="6"/>
      <c r="G576" s="6"/>
      <c r="H576" s="6"/>
      <c r="I576" s="6"/>
      <c r="J576" s="6"/>
      <c r="K576" s="6"/>
      <c r="L576" s="6"/>
      <c r="M576" s="6"/>
      <c r="N576" s="6"/>
      <c r="O576" s="6"/>
      <c r="P576" s="6"/>
      <c r="Q576" s="6"/>
      <c r="R576" s="6"/>
      <c r="S576" s="6"/>
      <c r="T576" s="6"/>
      <c r="U576" s="6"/>
      <c r="V576" s="6"/>
      <c r="W576" s="6"/>
    </row>
    <row r="577" spans="1:23" ht="16" x14ac:dyDescent="0.2">
      <c r="A577" s="6"/>
      <c r="B577" s="7"/>
      <c r="C577" s="7"/>
      <c r="D577" s="7"/>
      <c r="E577" s="7"/>
      <c r="F577" s="6"/>
      <c r="G577" s="6"/>
      <c r="H577" s="6"/>
      <c r="I577" s="6"/>
      <c r="J577" s="6"/>
      <c r="K577" s="6"/>
      <c r="L577" s="6"/>
      <c r="M577" s="6"/>
      <c r="N577" s="6"/>
      <c r="O577" s="6"/>
      <c r="P577" s="6"/>
      <c r="Q577" s="6"/>
      <c r="R577" s="6"/>
      <c r="S577" s="6"/>
      <c r="T577" s="6"/>
      <c r="U577" s="6"/>
      <c r="V577" s="6"/>
      <c r="W577" s="6"/>
    </row>
    <row r="578" spans="1:23" ht="16" x14ac:dyDescent="0.2">
      <c r="A578" s="6"/>
      <c r="B578" s="7"/>
      <c r="C578" s="7"/>
      <c r="D578" s="7"/>
      <c r="E578" s="7"/>
      <c r="F578" s="6"/>
      <c r="G578" s="6"/>
      <c r="H578" s="6"/>
      <c r="I578" s="6"/>
      <c r="J578" s="6"/>
      <c r="K578" s="6"/>
      <c r="L578" s="6"/>
      <c r="M578" s="6"/>
      <c r="N578" s="6"/>
      <c r="O578" s="6"/>
      <c r="P578" s="6"/>
      <c r="Q578" s="6"/>
      <c r="R578" s="6"/>
      <c r="S578" s="6"/>
      <c r="T578" s="6"/>
      <c r="U578" s="6"/>
      <c r="V578" s="6"/>
      <c r="W578" s="6"/>
    </row>
    <row r="579" spans="1:23" ht="16" x14ac:dyDescent="0.2">
      <c r="A579" s="6"/>
      <c r="B579" s="7"/>
      <c r="C579" s="7"/>
      <c r="D579" s="7"/>
      <c r="E579" s="7"/>
      <c r="F579" s="6"/>
      <c r="G579" s="6"/>
      <c r="H579" s="6"/>
      <c r="I579" s="6"/>
      <c r="J579" s="6"/>
      <c r="K579" s="6"/>
      <c r="L579" s="6"/>
      <c r="M579" s="6"/>
      <c r="N579" s="6"/>
      <c r="O579" s="6"/>
      <c r="P579" s="6"/>
      <c r="Q579" s="6"/>
      <c r="R579" s="6"/>
      <c r="S579" s="6"/>
      <c r="T579" s="6"/>
      <c r="U579" s="6"/>
      <c r="V579" s="6"/>
      <c r="W579" s="6"/>
    </row>
    <row r="580" spans="1:23" ht="16" x14ac:dyDescent="0.2">
      <c r="A580" s="6"/>
      <c r="B580" s="7"/>
      <c r="C580" s="7"/>
      <c r="D580" s="7"/>
      <c r="E580" s="7"/>
      <c r="F580" s="6"/>
      <c r="G580" s="6"/>
      <c r="H580" s="6"/>
      <c r="I580" s="6"/>
      <c r="J580" s="6"/>
      <c r="K580" s="6"/>
      <c r="L580" s="6"/>
      <c r="M580" s="6"/>
      <c r="N580" s="6"/>
      <c r="O580" s="6"/>
      <c r="P580" s="6"/>
      <c r="Q580" s="6"/>
      <c r="R580" s="6"/>
      <c r="S580" s="6"/>
      <c r="T580" s="6"/>
      <c r="U580" s="6"/>
      <c r="V580" s="6"/>
      <c r="W580" s="6"/>
    </row>
    <row r="581" spans="1:23" ht="16" x14ac:dyDescent="0.2">
      <c r="A581" s="6"/>
      <c r="B581" s="7"/>
      <c r="C581" s="7"/>
      <c r="D581" s="7"/>
      <c r="E581" s="7"/>
      <c r="F581" s="6"/>
      <c r="G581" s="6"/>
      <c r="H581" s="6"/>
      <c r="I581" s="6"/>
      <c r="J581" s="6"/>
      <c r="K581" s="6"/>
      <c r="L581" s="6"/>
      <c r="M581" s="6"/>
      <c r="N581" s="6"/>
      <c r="O581" s="6"/>
      <c r="P581" s="6"/>
      <c r="Q581" s="6"/>
      <c r="R581" s="6"/>
      <c r="S581" s="6"/>
      <c r="T581" s="6"/>
      <c r="U581" s="6"/>
      <c r="V581" s="6"/>
      <c r="W581" s="6"/>
    </row>
    <row r="582" spans="1:23" ht="16" x14ac:dyDescent="0.2">
      <c r="A582" s="6"/>
      <c r="B582" s="7"/>
      <c r="C582" s="7"/>
      <c r="D582" s="7"/>
      <c r="E582" s="7"/>
      <c r="F582" s="6"/>
      <c r="G582" s="6"/>
      <c r="H582" s="6"/>
      <c r="I582" s="6"/>
      <c r="J582" s="6"/>
      <c r="K582" s="6"/>
      <c r="L582" s="6"/>
      <c r="M582" s="6"/>
      <c r="N582" s="6"/>
      <c r="O582" s="6"/>
      <c r="P582" s="6"/>
      <c r="Q582" s="6"/>
      <c r="R582" s="6"/>
      <c r="S582" s="6"/>
      <c r="T582" s="6"/>
      <c r="U582" s="6"/>
      <c r="V582" s="6"/>
      <c r="W582" s="6"/>
    </row>
    <row r="583" spans="1:23" ht="16" x14ac:dyDescent="0.2">
      <c r="A583" s="6"/>
      <c r="B583" s="7"/>
      <c r="C583" s="7"/>
      <c r="D583" s="7"/>
      <c r="E583" s="7"/>
      <c r="F583" s="6"/>
      <c r="G583" s="6"/>
      <c r="H583" s="6"/>
      <c r="I583" s="6"/>
      <c r="J583" s="6"/>
      <c r="K583" s="6"/>
      <c r="L583" s="6"/>
      <c r="M583" s="6"/>
      <c r="N583" s="6"/>
      <c r="O583" s="6"/>
      <c r="P583" s="6"/>
      <c r="Q583" s="6"/>
      <c r="R583" s="6"/>
      <c r="S583" s="6"/>
      <c r="T583" s="6"/>
      <c r="U583" s="6"/>
      <c r="V583" s="6"/>
      <c r="W583" s="6"/>
    </row>
    <row r="584" spans="1:23" ht="16" x14ac:dyDescent="0.2">
      <c r="A584" s="6"/>
      <c r="B584" s="7"/>
      <c r="C584" s="7"/>
      <c r="D584" s="7"/>
      <c r="E584" s="7"/>
      <c r="F584" s="6"/>
      <c r="G584" s="6"/>
      <c r="H584" s="6"/>
      <c r="I584" s="6"/>
      <c r="J584" s="6"/>
      <c r="K584" s="6"/>
      <c r="L584" s="6"/>
      <c r="M584" s="6"/>
      <c r="N584" s="6"/>
      <c r="O584" s="6"/>
      <c r="P584" s="6"/>
      <c r="Q584" s="6"/>
      <c r="R584" s="6"/>
      <c r="S584" s="6"/>
      <c r="T584" s="6"/>
      <c r="U584" s="6"/>
      <c r="V584" s="6"/>
      <c r="W584" s="6"/>
    </row>
    <row r="585" spans="1:23" ht="16" x14ac:dyDescent="0.2">
      <c r="A585" s="6"/>
      <c r="B585" s="7"/>
      <c r="C585" s="7"/>
      <c r="D585" s="7"/>
      <c r="E585" s="7"/>
      <c r="F585" s="6"/>
      <c r="G585" s="6"/>
      <c r="H585" s="6"/>
      <c r="I585" s="6"/>
      <c r="J585" s="6"/>
      <c r="K585" s="6"/>
      <c r="L585" s="6"/>
      <c r="M585" s="6"/>
      <c r="N585" s="6"/>
      <c r="O585" s="6"/>
      <c r="P585" s="6"/>
      <c r="Q585" s="6"/>
      <c r="R585" s="6"/>
      <c r="S585" s="6"/>
      <c r="T585" s="6"/>
      <c r="U585" s="6"/>
      <c r="V585" s="6"/>
      <c r="W585" s="6"/>
    </row>
    <row r="586" spans="1:23" ht="16" x14ac:dyDescent="0.2">
      <c r="A586" s="6"/>
      <c r="B586" s="7"/>
      <c r="C586" s="7"/>
      <c r="D586" s="7"/>
      <c r="E586" s="7"/>
      <c r="F586" s="6"/>
      <c r="G586" s="6"/>
      <c r="H586" s="6"/>
      <c r="I586" s="6"/>
      <c r="J586" s="6"/>
      <c r="K586" s="6"/>
      <c r="L586" s="6"/>
      <c r="M586" s="6"/>
      <c r="N586" s="6"/>
      <c r="O586" s="6"/>
      <c r="P586" s="6"/>
      <c r="Q586" s="6"/>
      <c r="R586" s="6"/>
      <c r="S586" s="6"/>
      <c r="T586" s="6"/>
      <c r="U586" s="6"/>
      <c r="V586" s="6"/>
      <c r="W586" s="6"/>
    </row>
    <row r="587" spans="1:23" ht="16" x14ac:dyDescent="0.2">
      <c r="A587" s="6"/>
      <c r="B587" s="7"/>
      <c r="C587" s="7"/>
      <c r="D587" s="7"/>
      <c r="E587" s="7"/>
      <c r="F587" s="6"/>
      <c r="G587" s="6"/>
      <c r="H587" s="6"/>
      <c r="I587" s="6"/>
      <c r="J587" s="6"/>
      <c r="K587" s="6"/>
      <c r="L587" s="6"/>
      <c r="M587" s="6"/>
      <c r="N587" s="6"/>
      <c r="O587" s="6"/>
      <c r="P587" s="6"/>
      <c r="Q587" s="6"/>
      <c r="R587" s="6"/>
      <c r="S587" s="6"/>
      <c r="T587" s="6"/>
      <c r="U587" s="6"/>
      <c r="V587" s="6"/>
      <c r="W587" s="6"/>
    </row>
    <row r="588" spans="1:23" ht="16" x14ac:dyDescent="0.2">
      <c r="A588" s="6"/>
      <c r="B588" s="7"/>
      <c r="C588" s="7"/>
      <c r="D588" s="7"/>
      <c r="E588" s="7"/>
      <c r="F588" s="6"/>
      <c r="G588" s="6"/>
      <c r="H588" s="6"/>
      <c r="I588" s="6"/>
      <c r="J588" s="6"/>
      <c r="K588" s="6"/>
      <c r="L588" s="6"/>
      <c r="M588" s="6"/>
      <c r="N588" s="6"/>
      <c r="O588" s="6"/>
      <c r="P588" s="6"/>
      <c r="Q588" s="6"/>
      <c r="R588" s="6"/>
      <c r="S588" s="6"/>
      <c r="T588" s="6"/>
      <c r="U588" s="6"/>
      <c r="V588" s="6"/>
      <c r="W588" s="6"/>
    </row>
    <row r="589" spans="1:23" ht="16" x14ac:dyDescent="0.2">
      <c r="A589" s="6"/>
      <c r="B589" s="7"/>
      <c r="C589" s="7"/>
      <c r="D589" s="7"/>
      <c r="E589" s="7"/>
      <c r="F589" s="6"/>
      <c r="G589" s="6"/>
      <c r="H589" s="6"/>
      <c r="I589" s="6"/>
      <c r="J589" s="6"/>
      <c r="K589" s="6"/>
      <c r="L589" s="6"/>
      <c r="M589" s="6"/>
      <c r="N589" s="6"/>
      <c r="O589" s="6"/>
      <c r="P589" s="6"/>
      <c r="Q589" s="6"/>
      <c r="R589" s="6"/>
      <c r="S589" s="6"/>
      <c r="T589" s="6"/>
      <c r="U589" s="6"/>
      <c r="V589" s="6"/>
      <c r="W589" s="6"/>
    </row>
    <row r="590" spans="1:23" ht="16" x14ac:dyDescent="0.2">
      <c r="A590" s="6"/>
      <c r="B590" s="7"/>
      <c r="C590" s="7"/>
      <c r="D590" s="7"/>
      <c r="E590" s="7"/>
      <c r="F590" s="6"/>
      <c r="G590" s="6"/>
      <c r="H590" s="6"/>
      <c r="I590" s="6"/>
      <c r="J590" s="6"/>
      <c r="K590" s="6"/>
      <c r="L590" s="6"/>
      <c r="M590" s="6"/>
      <c r="N590" s="6"/>
      <c r="O590" s="6"/>
      <c r="P590" s="6"/>
      <c r="Q590" s="6"/>
      <c r="R590" s="6"/>
      <c r="S590" s="6"/>
      <c r="T590" s="6"/>
      <c r="U590" s="6"/>
      <c r="V590" s="6"/>
      <c r="W590" s="6"/>
    </row>
    <row r="591" spans="1:23" ht="16" x14ac:dyDescent="0.2">
      <c r="A591" s="6"/>
      <c r="B591" s="7"/>
      <c r="C591" s="7"/>
      <c r="D591" s="7"/>
      <c r="E591" s="7"/>
      <c r="F591" s="6"/>
      <c r="G591" s="6"/>
      <c r="H591" s="6"/>
      <c r="I591" s="6"/>
      <c r="J591" s="6"/>
      <c r="K591" s="6"/>
      <c r="L591" s="6"/>
      <c r="M591" s="6"/>
      <c r="N591" s="6"/>
      <c r="O591" s="6"/>
      <c r="P591" s="6"/>
      <c r="Q591" s="6"/>
      <c r="R591" s="6"/>
      <c r="S591" s="6"/>
      <c r="T591" s="6"/>
      <c r="U591" s="6"/>
      <c r="V591" s="6"/>
      <c r="W591" s="6"/>
    </row>
    <row r="592" spans="1:23" ht="16" x14ac:dyDescent="0.2">
      <c r="A592" s="6"/>
      <c r="B592" s="7"/>
      <c r="C592" s="7"/>
      <c r="D592" s="7"/>
      <c r="E592" s="7"/>
      <c r="F592" s="6"/>
      <c r="G592" s="6"/>
      <c r="H592" s="6"/>
      <c r="I592" s="6"/>
      <c r="J592" s="6"/>
      <c r="K592" s="6"/>
      <c r="L592" s="6"/>
      <c r="M592" s="6"/>
      <c r="N592" s="6"/>
      <c r="O592" s="6"/>
      <c r="P592" s="6"/>
      <c r="Q592" s="6"/>
      <c r="R592" s="6"/>
      <c r="S592" s="6"/>
      <c r="T592" s="6"/>
      <c r="U592" s="6"/>
      <c r="V592" s="6"/>
      <c r="W592" s="6"/>
    </row>
    <row r="593" spans="1:23" ht="16" x14ac:dyDescent="0.2">
      <c r="A593" s="6"/>
      <c r="B593" s="7"/>
      <c r="C593" s="7"/>
      <c r="D593" s="7"/>
      <c r="E593" s="7"/>
      <c r="F593" s="6"/>
      <c r="G593" s="6"/>
      <c r="H593" s="6"/>
      <c r="I593" s="6"/>
      <c r="J593" s="6"/>
      <c r="K593" s="6"/>
      <c r="L593" s="6"/>
      <c r="M593" s="6"/>
      <c r="N593" s="6"/>
      <c r="O593" s="6"/>
      <c r="P593" s="6"/>
      <c r="Q593" s="6"/>
      <c r="R593" s="6"/>
      <c r="S593" s="6"/>
      <c r="T593" s="6"/>
      <c r="U593" s="6"/>
      <c r="V593" s="6"/>
      <c r="W593" s="6"/>
    </row>
    <row r="594" spans="1:23" ht="16" x14ac:dyDescent="0.2">
      <c r="A594" s="6"/>
      <c r="B594" s="7"/>
      <c r="C594" s="7"/>
      <c r="D594" s="7"/>
      <c r="E594" s="7"/>
      <c r="F594" s="6"/>
      <c r="G594" s="6"/>
      <c r="H594" s="6"/>
      <c r="I594" s="6"/>
      <c r="J594" s="6"/>
      <c r="K594" s="6"/>
      <c r="L594" s="6"/>
      <c r="M594" s="6"/>
      <c r="N594" s="6"/>
      <c r="O594" s="6"/>
      <c r="P594" s="6"/>
      <c r="Q594" s="6"/>
      <c r="R594" s="6"/>
      <c r="S594" s="6"/>
      <c r="T594" s="6"/>
      <c r="U594" s="6"/>
      <c r="V594" s="6"/>
      <c r="W594" s="6"/>
    </row>
    <row r="595" spans="1:23" ht="16" x14ac:dyDescent="0.2">
      <c r="A595" s="6"/>
      <c r="B595" s="7"/>
      <c r="C595" s="7"/>
      <c r="D595" s="7"/>
      <c r="E595" s="7"/>
      <c r="F595" s="6"/>
      <c r="G595" s="6"/>
      <c r="H595" s="6"/>
      <c r="I595" s="6"/>
      <c r="J595" s="6"/>
      <c r="K595" s="6"/>
      <c r="L595" s="6"/>
      <c r="M595" s="6"/>
      <c r="N595" s="6"/>
      <c r="O595" s="6"/>
      <c r="P595" s="6"/>
      <c r="Q595" s="6"/>
      <c r="R595" s="6"/>
      <c r="S595" s="6"/>
      <c r="T595" s="6"/>
      <c r="U595" s="6"/>
      <c r="V595" s="6"/>
      <c r="W595" s="6"/>
    </row>
    <row r="596" spans="1:23" ht="16" x14ac:dyDescent="0.2">
      <c r="A596" s="6"/>
      <c r="B596" s="7"/>
      <c r="C596" s="7"/>
      <c r="D596" s="7"/>
      <c r="E596" s="7"/>
      <c r="F596" s="6"/>
      <c r="G596" s="6"/>
      <c r="H596" s="6"/>
      <c r="I596" s="6"/>
      <c r="J596" s="6"/>
      <c r="K596" s="6"/>
      <c r="L596" s="6"/>
      <c r="M596" s="6"/>
      <c r="N596" s="6"/>
      <c r="O596" s="6"/>
      <c r="P596" s="6"/>
      <c r="Q596" s="6"/>
      <c r="R596" s="6"/>
      <c r="S596" s="6"/>
      <c r="T596" s="6"/>
      <c r="U596" s="6"/>
      <c r="V596" s="6"/>
      <c r="W596" s="6"/>
    </row>
    <row r="597" spans="1:23" ht="16" x14ac:dyDescent="0.2">
      <c r="A597" s="6"/>
      <c r="B597" s="7"/>
      <c r="C597" s="7"/>
      <c r="D597" s="7"/>
      <c r="E597" s="7"/>
      <c r="F597" s="6"/>
      <c r="G597" s="6"/>
      <c r="H597" s="6"/>
      <c r="I597" s="6"/>
      <c r="J597" s="6"/>
      <c r="K597" s="6"/>
      <c r="L597" s="6"/>
      <c r="M597" s="6"/>
      <c r="N597" s="6"/>
      <c r="O597" s="6"/>
      <c r="P597" s="6"/>
      <c r="Q597" s="6"/>
      <c r="R597" s="6"/>
      <c r="S597" s="6"/>
      <c r="T597" s="6"/>
      <c r="U597" s="6"/>
      <c r="V597" s="6"/>
      <c r="W597" s="6"/>
    </row>
    <row r="598" spans="1:23" ht="16" x14ac:dyDescent="0.2">
      <c r="A598" s="6"/>
      <c r="B598" s="7"/>
      <c r="C598" s="7"/>
      <c r="D598" s="7"/>
      <c r="E598" s="7"/>
      <c r="F598" s="6"/>
      <c r="G598" s="6"/>
      <c r="H598" s="6"/>
      <c r="I598" s="6"/>
      <c r="J598" s="6"/>
      <c r="K598" s="6"/>
      <c r="L598" s="6"/>
      <c r="M598" s="6"/>
      <c r="N598" s="6"/>
      <c r="O598" s="6"/>
      <c r="P598" s="6"/>
      <c r="Q598" s="6"/>
      <c r="R598" s="6"/>
      <c r="S598" s="6"/>
      <c r="T598" s="6"/>
      <c r="U598" s="6"/>
      <c r="V598" s="6"/>
      <c r="W598" s="6"/>
    </row>
    <row r="599" spans="1:23" ht="16" x14ac:dyDescent="0.2">
      <c r="A599" s="6"/>
      <c r="B599" s="7"/>
      <c r="C599" s="7"/>
      <c r="D599" s="7"/>
      <c r="E599" s="7"/>
      <c r="F599" s="6"/>
      <c r="G599" s="6"/>
      <c r="H599" s="6"/>
      <c r="I599" s="6"/>
      <c r="J599" s="6"/>
      <c r="K599" s="6"/>
      <c r="L599" s="6"/>
      <c r="M599" s="6"/>
      <c r="N599" s="6"/>
      <c r="O599" s="6"/>
      <c r="P599" s="6"/>
      <c r="Q599" s="6"/>
      <c r="R599" s="6"/>
      <c r="S599" s="6"/>
      <c r="T599" s="6"/>
      <c r="U599" s="6"/>
      <c r="V599" s="6"/>
      <c r="W599" s="6"/>
    </row>
    <row r="600" spans="1:23" ht="16" x14ac:dyDescent="0.2">
      <c r="A600" s="6"/>
      <c r="B600" s="7"/>
      <c r="C600" s="7"/>
      <c r="D600" s="7"/>
      <c r="E600" s="7"/>
      <c r="F600" s="6"/>
      <c r="G600" s="6"/>
      <c r="H600" s="6"/>
      <c r="I600" s="6"/>
      <c r="J600" s="6"/>
      <c r="K600" s="6"/>
      <c r="L600" s="6"/>
      <c r="M600" s="6"/>
      <c r="N600" s="6"/>
      <c r="O600" s="6"/>
      <c r="P600" s="6"/>
      <c r="Q600" s="6"/>
      <c r="R600" s="6"/>
      <c r="S600" s="6"/>
      <c r="T600" s="6"/>
      <c r="U600" s="6"/>
      <c r="V600" s="6"/>
      <c r="W600" s="6"/>
    </row>
    <row r="601" spans="1:23" ht="16" x14ac:dyDescent="0.2">
      <c r="A601" s="6"/>
      <c r="B601" s="7"/>
      <c r="C601" s="7"/>
      <c r="D601" s="7"/>
      <c r="E601" s="7"/>
      <c r="F601" s="6"/>
      <c r="G601" s="6"/>
      <c r="H601" s="6"/>
      <c r="I601" s="6"/>
      <c r="J601" s="6"/>
      <c r="K601" s="6"/>
      <c r="L601" s="6"/>
      <c r="M601" s="6"/>
      <c r="N601" s="6"/>
      <c r="O601" s="6"/>
      <c r="P601" s="6"/>
      <c r="Q601" s="6"/>
      <c r="R601" s="6"/>
      <c r="S601" s="6"/>
      <c r="T601" s="6"/>
      <c r="U601" s="6"/>
      <c r="V601" s="6"/>
      <c r="W601" s="6"/>
    </row>
    <row r="602" spans="1:23" ht="16" x14ac:dyDescent="0.2">
      <c r="A602" s="6"/>
      <c r="B602" s="7"/>
      <c r="C602" s="7"/>
      <c r="D602" s="7"/>
      <c r="E602" s="7"/>
      <c r="F602" s="6"/>
      <c r="G602" s="6"/>
      <c r="H602" s="6"/>
      <c r="I602" s="6"/>
      <c r="J602" s="6"/>
      <c r="K602" s="6"/>
      <c r="L602" s="6"/>
      <c r="M602" s="6"/>
      <c r="N602" s="6"/>
      <c r="O602" s="6"/>
      <c r="P602" s="6"/>
      <c r="Q602" s="6"/>
      <c r="R602" s="6"/>
      <c r="S602" s="6"/>
      <c r="T602" s="6"/>
      <c r="U602" s="6"/>
      <c r="V602" s="6"/>
      <c r="W602" s="6"/>
    </row>
    <row r="603" spans="1:23" ht="16" x14ac:dyDescent="0.2">
      <c r="A603" s="6"/>
      <c r="B603" s="7"/>
      <c r="C603" s="7"/>
      <c r="D603" s="7"/>
      <c r="E603" s="7"/>
      <c r="F603" s="6"/>
      <c r="G603" s="6"/>
      <c r="H603" s="6"/>
      <c r="I603" s="6"/>
      <c r="J603" s="6"/>
      <c r="K603" s="6"/>
      <c r="L603" s="6"/>
      <c r="M603" s="6"/>
      <c r="N603" s="6"/>
      <c r="O603" s="6"/>
      <c r="P603" s="6"/>
      <c r="Q603" s="6"/>
      <c r="R603" s="6"/>
      <c r="S603" s="6"/>
      <c r="T603" s="6"/>
      <c r="U603" s="6"/>
      <c r="V603" s="6"/>
      <c r="W603" s="6"/>
    </row>
    <row r="604" spans="1:23" ht="16" x14ac:dyDescent="0.2">
      <c r="A604" s="6"/>
      <c r="B604" s="7"/>
      <c r="C604" s="7"/>
      <c r="D604" s="7"/>
      <c r="E604" s="7"/>
      <c r="F604" s="6"/>
      <c r="G604" s="6"/>
      <c r="H604" s="6"/>
      <c r="I604" s="6"/>
      <c r="J604" s="6"/>
      <c r="K604" s="6"/>
      <c r="L604" s="6"/>
      <c r="M604" s="6"/>
      <c r="N604" s="6"/>
      <c r="O604" s="6"/>
      <c r="P604" s="6"/>
      <c r="Q604" s="6"/>
      <c r="R604" s="6"/>
      <c r="S604" s="6"/>
      <c r="T604" s="6"/>
      <c r="U604" s="6"/>
      <c r="V604" s="6"/>
      <c r="W604" s="6"/>
    </row>
    <row r="605" spans="1:23" ht="16" x14ac:dyDescent="0.2">
      <c r="A605" s="6"/>
      <c r="B605" s="7"/>
      <c r="C605" s="7"/>
      <c r="D605" s="7"/>
      <c r="E605" s="7"/>
      <c r="F605" s="6"/>
      <c r="G605" s="6"/>
      <c r="H605" s="6"/>
      <c r="I605" s="6"/>
      <c r="J605" s="6"/>
      <c r="K605" s="6"/>
      <c r="L605" s="6"/>
      <c r="M605" s="6"/>
      <c r="N605" s="6"/>
      <c r="O605" s="6"/>
      <c r="P605" s="6"/>
      <c r="Q605" s="6"/>
      <c r="R605" s="6"/>
      <c r="S605" s="6"/>
      <c r="T605" s="6"/>
      <c r="U605" s="6"/>
      <c r="V605" s="6"/>
      <c r="W605" s="6"/>
    </row>
    <row r="606" spans="1:23" ht="16" x14ac:dyDescent="0.2">
      <c r="A606" s="6"/>
      <c r="B606" s="7"/>
      <c r="C606" s="7"/>
      <c r="D606" s="7"/>
      <c r="E606" s="7"/>
      <c r="F606" s="6"/>
      <c r="G606" s="6"/>
      <c r="H606" s="6"/>
      <c r="I606" s="6"/>
      <c r="J606" s="6"/>
      <c r="K606" s="6"/>
      <c r="L606" s="6"/>
      <c r="M606" s="6"/>
      <c r="N606" s="6"/>
      <c r="O606" s="6"/>
      <c r="P606" s="6"/>
      <c r="Q606" s="6"/>
      <c r="R606" s="6"/>
      <c r="S606" s="6"/>
      <c r="T606" s="6"/>
      <c r="U606" s="6"/>
      <c r="V606" s="6"/>
      <c r="W606" s="6"/>
    </row>
    <row r="607" spans="1:23" ht="16" x14ac:dyDescent="0.2">
      <c r="A607" s="6"/>
      <c r="B607" s="7"/>
      <c r="C607" s="7"/>
      <c r="D607" s="7"/>
      <c r="E607" s="7"/>
      <c r="F607" s="6"/>
      <c r="G607" s="6"/>
      <c r="H607" s="6"/>
      <c r="I607" s="6"/>
      <c r="J607" s="6"/>
      <c r="K607" s="6"/>
      <c r="L607" s="6"/>
      <c r="M607" s="6"/>
      <c r="N607" s="6"/>
      <c r="O607" s="6"/>
      <c r="P607" s="6"/>
      <c r="Q607" s="6"/>
      <c r="R607" s="6"/>
      <c r="S607" s="6"/>
      <c r="T607" s="6"/>
      <c r="U607" s="6"/>
      <c r="V607" s="6"/>
      <c r="W607" s="6"/>
    </row>
    <row r="608" spans="1:23" ht="16" x14ac:dyDescent="0.2">
      <c r="A608" s="6"/>
      <c r="B608" s="7"/>
      <c r="C608" s="7"/>
      <c r="D608" s="7"/>
      <c r="E608" s="7"/>
      <c r="F608" s="6"/>
      <c r="G608" s="6"/>
      <c r="H608" s="6"/>
      <c r="I608" s="6"/>
      <c r="J608" s="6"/>
      <c r="K608" s="6"/>
      <c r="L608" s="6"/>
      <c r="M608" s="6"/>
      <c r="N608" s="6"/>
      <c r="O608" s="6"/>
      <c r="P608" s="6"/>
      <c r="Q608" s="6"/>
      <c r="R608" s="6"/>
      <c r="S608" s="6"/>
      <c r="T608" s="6"/>
      <c r="U608" s="6"/>
      <c r="V608" s="6"/>
      <c r="W608" s="6"/>
    </row>
    <row r="609" spans="1:23" ht="16" x14ac:dyDescent="0.2">
      <c r="A609" s="6"/>
      <c r="B609" s="7"/>
      <c r="C609" s="7"/>
      <c r="D609" s="7"/>
      <c r="E609" s="7"/>
      <c r="F609" s="6"/>
      <c r="G609" s="6"/>
      <c r="H609" s="6"/>
      <c r="I609" s="6"/>
      <c r="J609" s="6"/>
      <c r="K609" s="6"/>
      <c r="L609" s="6"/>
      <c r="M609" s="6"/>
      <c r="N609" s="6"/>
      <c r="O609" s="6"/>
      <c r="P609" s="6"/>
      <c r="Q609" s="6"/>
      <c r="R609" s="6"/>
      <c r="S609" s="6"/>
      <c r="T609" s="6"/>
      <c r="U609" s="6"/>
      <c r="V609" s="6"/>
      <c r="W609" s="6"/>
    </row>
    <row r="610" spans="1:23" ht="16" x14ac:dyDescent="0.2">
      <c r="A610" s="6"/>
      <c r="B610" s="7"/>
      <c r="C610" s="7"/>
      <c r="D610" s="7"/>
      <c r="E610" s="7"/>
      <c r="F610" s="6"/>
      <c r="G610" s="6"/>
      <c r="H610" s="6"/>
      <c r="I610" s="6"/>
      <c r="J610" s="6"/>
      <c r="K610" s="6"/>
      <c r="L610" s="6"/>
      <c r="M610" s="6"/>
      <c r="N610" s="6"/>
      <c r="O610" s="6"/>
      <c r="P610" s="6"/>
      <c r="Q610" s="6"/>
      <c r="R610" s="6"/>
      <c r="S610" s="6"/>
      <c r="T610" s="6"/>
      <c r="U610" s="6"/>
      <c r="V610" s="6"/>
      <c r="W610" s="6"/>
    </row>
    <row r="611" spans="1:23" ht="16" x14ac:dyDescent="0.2">
      <c r="A611" s="6"/>
      <c r="B611" s="7"/>
      <c r="C611" s="7"/>
      <c r="D611" s="7"/>
      <c r="E611" s="7"/>
      <c r="F611" s="6"/>
      <c r="G611" s="6"/>
      <c r="H611" s="6"/>
      <c r="I611" s="6"/>
      <c r="J611" s="6"/>
      <c r="K611" s="6"/>
      <c r="L611" s="6"/>
      <c r="M611" s="6"/>
      <c r="N611" s="6"/>
      <c r="O611" s="6"/>
      <c r="P611" s="6"/>
      <c r="Q611" s="6"/>
      <c r="R611" s="6"/>
      <c r="S611" s="6"/>
      <c r="T611" s="6"/>
      <c r="U611" s="6"/>
      <c r="V611" s="6"/>
      <c r="W611" s="6"/>
    </row>
    <row r="612" spans="1:23" ht="16" x14ac:dyDescent="0.2">
      <c r="A612" s="6"/>
      <c r="B612" s="7"/>
      <c r="C612" s="7"/>
      <c r="D612" s="7"/>
      <c r="E612" s="7"/>
      <c r="F612" s="6"/>
      <c r="G612" s="6"/>
      <c r="H612" s="6"/>
      <c r="I612" s="6"/>
      <c r="J612" s="6"/>
      <c r="K612" s="6"/>
      <c r="L612" s="6"/>
      <c r="M612" s="6"/>
      <c r="N612" s="6"/>
      <c r="O612" s="6"/>
      <c r="P612" s="6"/>
      <c r="Q612" s="6"/>
      <c r="R612" s="6"/>
      <c r="S612" s="6"/>
      <c r="T612" s="6"/>
      <c r="U612" s="6"/>
      <c r="V612" s="6"/>
      <c r="W612" s="6"/>
    </row>
    <row r="613" spans="1:23" ht="16" x14ac:dyDescent="0.2">
      <c r="A613" s="6"/>
      <c r="B613" s="7"/>
      <c r="C613" s="7"/>
      <c r="D613" s="7"/>
      <c r="E613" s="7"/>
      <c r="F613" s="6"/>
      <c r="G613" s="6"/>
      <c r="H613" s="6"/>
      <c r="I613" s="6"/>
      <c r="J613" s="6"/>
      <c r="K613" s="6"/>
      <c r="L613" s="6"/>
      <c r="M613" s="6"/>
      <c r="N613" s="6"/>
      <c r="O613" s="6"/>
      <c r="P613" s="6"/>
      <c r="Q613" s="6"/>
      <c r="R613" s="6"/>
      <c r="S613" s="6"/>
      <c r="T613" s="6"/>
      <c r="U613" s="6"/>
      <c r="V613" s="6"/>
      <c r="W613" s="6"/>
    </row>
    <row r="614" spans="1:23" ht="16" x14ac:dyDescent="0.2">
      <c r="A614" s="6"/>
      <c r="B614" s="7"/>
      <c r="C614" s="7"/>
      <c r="D614" s="7"/>
      <c r="E614" s="7"/>
      <c r="F614" s="6"/>
      <c r="G614" s="6"/>
      <c r="H614" s="6"/>
      <c r="I614" s="6"/>
      <c r="J614" s="6"/>
      <c r="K614" s="6"/>
      <c r="L614" s="6"/>
      <c r="M614" s="6"/>
      <c r="N614" s="6"/>
      <c r="O614" s="6"/>
      <c r="P614" s="6"/>
      <c r="Q614" s="6"/>
      <c r="R614" s="6"/>
      <c r="S614" s="6"/>
      <c r="T614" s="6"/>
      <c r="U614" s="6"/>
      <c r="V614" s="6"/>
      <c r="W614" s="6"/>
    </row>
    <row r="615" spans="1:23" ht="16" x14ac:dyDescent="0.2">
      <c r="A615" s="6"/>
      <c r="B615" s="7"/>
      <c r="C615" s="7"/>
      <c r="D615" s="7"/>
      <c r="E615" s="7"/>
      <c r="F615" s="6"/>
      <c r="G615" s="6"/>
      <c r="H615" s="6"/>
      <c r="I615" s="6"/>
      <c r="J615" s="6"/>
      <c r="K615" s="6"/>
      <c r="L615" s="6"/>
      <c r="M615" s="6"/>
      <c r="N615" s="6"/>
      <c r="O615" s="6"/>
      <c r="P615" s="6"/>
      <c r="Q615" s="6"/>
      <c r="R615" s="6"/>
      <c r="S615" s="6"/>
      <c r="T615" s="6"/>
      <c r="U615" s="6"/>
      <c r="V615" s="6"/>
      <c r="W615" s="6"/>
    </row>
    <row r="616" spans="1:23" ht="16" x14ac:dyDescent="0.2">
      <c r="A616" s="6"/>
      <c r="B616" s="7"/>
      <c r="C616" s="7"/>
      <c r="D616" s="7"/>
      <c r="E616" s="7"/>
      <c r="F616" s="6"/>
      <c r="G616" s="6"/>
      <c r="H616" s="6"/>
      <c r="I616" s="6"/>
      <c r="J616" s="6"/>
      <c r="K616" s="6"/>
      <c r="L616" s="6"/>
      <c r="M616" s="6"/>
      <c r="N616" s="6"/>
      <c r="O616" s="6"/>
      <c r="P616" s="6"/>
      <c r="Q616" s="6"/>
      <c r="R616" s="6"/>
      <c r="S616" s="6"/>
      <c r="T616" s="6"/>
      <c r="U616" s="6"/>
      <c r="V616" s="6"/>
      <c r="W616" s="6"/>
    </row>
    <row r="617" spans="1:23" ht="16" x14ac:dyDescent="0.2">
      <c r="A617" s="6"/>
      <c r="B617" s="7"/>
      <c r="C617" s="7"/>
      <c r="D617" s="7"/>
      <c r="E617" s="7"/>
      <c r="F617" s="6"/>
      <c r="G617" s="6"/>
      <c r="H617" s="6"/>
      <c r="I617" s="6"/>
      <c r="J617" s="6"/>
      <c r="K617" s="6"/>
      <c r="L617" s="6"/>
      <c r="M617" s="6"/>
      <c r="N617" s="6"/>
      <c r="O617" s="6"/>
      <c r="P617" s="6"/>
      <c r="Q617" s="6"/>
      <c r="R617" s="6"/>
      <c r="S617" s="6"/>
      <c r="T617" s="6"/>
      <c r="U617" s="6"/>
      <c r="V617" s="6"/>
      <c r="W617" s="6"/>
    </row>
    <row r="618" spans="1:23" ht="16" x14ac:dyDescent="0.2">
      <c r="A618" s="6"/>
      <c r="B618" s="7"/>
      <c r="C618" s="7"/>
      <c r="D618" s="7"/>
      <c r="E618" s="7"/>
      <c r="F618" s="6"/>
      <c r="G618" s="6"/>
      <c r="H618" s="6"/>
      <c r="I618" s="6"/>
      <c r="J618" s="6"/>
      <c r="K618" s="6"/>
      <c r="L618" s="6"/>
      <c r="M618" s="6"/>
      <c r="N618" s="6"/>
      <c r="O618" s="6"/>
      <c r="P618" s="6"/>
      <c r="Q618" s="6"/>
      <c r="R618" s="6"/>
      <c r="S618" s="6"/>
      <c r="T618" s="6"/>
      <c r="U618" s="6"/>
      <c r="V618" s="6"/>
      <c r="W618" s="6"/>
    </row>
    <row r="619" spans="1:23" ht="16" x14ac:dyDescent="0.2">
      <c r="A619" s="6"/>
      <c r="B619" s="7"/>
      <c r="C619" s="7"/>
      <c r="D619" s="7"/>
      <c r="E619" s="7"/>
      <c r="F619" s="6"/>
      <c r="G619" s="6"/>
      <c r="H619" s="6"/>
      <c r="I619" s="6"/>
      <c r="J619" s="6"/>
      <c r="K619" s="6"/>
      <c r="L619" s="6"/>
      <c r="M619" s="6"/>
      <c r="N619" s="6"/>
      <c r="O619" s="6"/>
      <c r="P619" s="6"/>
      <c r="Q619" s="6"/>
      <c r="R619" s="6"/>
      <c r="S619" s="6"/>
      <c r="T619" s="6"/>
      <c r="U619" s="6"/>
      <c r="V619" s="6"/>
      <c r="W619" s="6"/>
    </row>
    <row r="620" spans="1:23" ht="16" x14ac:dyDescent="0.2">
      <c r="A620" s="6"/>
      <c r="B620" s="7"/>
      <c r="C620" s="7"/>
      <c r="D620" s="7"/>
      <c r="E620" s="7"/>
      <c r="F620" s="6"/>
      <c r="G620" s="6"/>
      <c r="H620" s="6"/>
      <c r="I620" s="6"/>
      <c r="J620" s="6"/>
      <c r="K620" s="6"/>
      <c r="L620" s="6"/>
      <c r="M620" s="6"/>
      <c r="N620" s="6"/>
      <c r="O620" s="6"/>
      <c r="P620" s="6"/>
      <c r="Q620" s="6"/>
      <c r="R620" s="6"/>
      <c r="S620" s="6"/>
      <c r="T620" s="6"/>
      <c r="U620" s="6"/>
      <c r="V620" s="6"/>
      <c r="W620" s="6"/>
    </row>
    <row r="621" spans="1:23" ht="16" x14ac:dyDescent="0.2">
      <c r="A621" s="6"/>
      <c r="B621" s="7"/>
      <c r="C621" s="7"/>
      <c r="D621" s="7"/>
      <c r="E621" s="7"/>
      <c r="F621" s="6"/>
      <c r="G621" s="6"/>
      <c r="H621" s="6"/>
      <c r="I621" s="6"/>
      <c r="J621" s="6"/>
      <c r="K621" s="6"/>
      <c r="L621" s="6"/>
      <c r="M621" s="6"/>
      <c r="N621" s="6"/>
      <c r="O621" s="6"/>
      <c r="P621" s="6"/>
      <c r="Q621" s="6"/>
      <c r="R621" s="6"/>
      <c r="S621" s="6"/>
      <c r="T621" s="6"/>
      <c r="U621" s="6"/>
      <c r="V621" s="6"/>
      <c r="W621" s="6"/>
    </row>
    <row r="622" spans="1:23" ht="16" x14ac:dyDescent="0.2">
      <c r="A622" s="6"/>
      <c r="B622" s="7"/>
      <c r="C622" s="7"/>
      <c r="D622" s="7"/>
      <c r="E622" s="7"/>
      <c r="F622" s="6"/>
      <c r="G622" s="6"/>
      <c r="H622" s="6"/>
      <c r="I622" s="6"/>
      <c r="J622" s="6"/>
      <c r="K622" s="6"/>
      <c r="L622" s="6"/>
      <c r="M622" s="6"/>
      <c r="N622" s="6"/>
      <c r="O622" s="6"/>
      <c r="P622" s="6"/>
      <c r="Q622" s="6"/>
      <c r="R622" s="6"/>
      <c r="S622" s="6"/>
      <c r="T622" s="6"/>
      <c r="U622" s="6"/>
      <c r="V622" s="6"/>
      <c r="W622" s="6"/>
    </row>
    <row r="623" spans="1:23" ht="16" x14ac:dyDescent="0.2">
      <c r="A623" s="6"/>
      <c r="B623" s="7"/>
      <c r="C623" s="7"/>
      <c r="D623" s="7"/>
      <c r="E623" s="7"/>
      <c r="F623" s="6"/>
      <c r="G623" s="6"/>
      <c r="H623" s="6"/>
      <c r="I623" s="6"/>
      <c r="J623" s="6"/>
      <c r="K623" s="6"/>
      <c r="L623" s="6"/>
      <c r="M623" s="6"/>
      <c r="N623" s="6"/>
      <c r="O623" s="6"/>
      <c r="P623" s="6"/>
      <c r="Q623" s="6"/>
      <c r="R623" s="6"/>
      <c r="S623" s="6"/>
      <c r="T623" s="6"/>
      <c r="U623" s="6"/>
      <c r="V623" s="6"/>
      <c r="W623" s="6"/>
    </row>
    <row r="624" spans="1:23" ht="16" x14ac:dyDescent="0.2">
      <c r="A624" s="6"/>
      <c r="B624" s="7"/>
      <c r="C624" s="7"/>
      <c r="D624" s="7"/>
      <c r="E624" s="7"/>
      <c r="F624" s="6"/>
      <c r="G624" s="6"/>
      <c r="H624" s="6"/>
      <c r="I624" s="6"/>
      <c r="J624" s="6"/>
      <c r="K624" s="6"/>
      <c r="L624" s="6"/>
      <c r="M624" s="6"/>
      <c r="N624" s="6"/>
      <c r="O624" s="6"/>
      <c r="P624" s="6"/>
      <c r="Q624" s="6"/>
      <c r="R624" s="6"/>
      <c r="S624" s="6"/>
      <c r="T624" s="6"/>
      <c r="U624" s="6"/>
      <c r="V624" s="6"/>
      <c r="W624" s="6"/>
    </row>
    <row r="625" spans="1:23" ht="16" x14ac:dyDescent="0.2">
      <c r="A625" s="6"/>
      <c r="B625" s="7"/>
      <c r="C625" s="7"/>
      <c r="D625" s="7"/>
      <c r="E625" s="7"/>
      <c r="F625" s="6"/>
      <c r="G625" s="6"/>
      <c r="H625" s="6"/>
      <c r="I625" s="6"/>
      <c r="J625" s="6"/>
      <c r="K625" s="6"/>
      <c r="L625" s="6"/>
      <c r="M625" s="6"/>
      <c r="N625" s="6"/>
      <c r="O625" s="6"/>
      <c r="P625" s="6"/>
      <c r="Q625" s="6"/>
      <c r="R625" s="6"/>
      <c r="S625" s="6"/>
      <c r="T625" s="6"/>
      <c r="U625" s="6"/>
      <c r="V625" s="6"/>
      <c r="W625" s="6"/>
    </row>
    <row r="626" spans="1:23" ht="16" x14ac:dyDescent="0.2">
      <c r="A626" s="6"/>
      <c r="B626" s="7"/>
      <c r="C626" s="7"/>
      <c r="D626" s="7"/>
      <c r="E626" s="7"/>
      <c r="F626" s="6"/>
      <c r="G626" s="6"/>
      <c r="H626" s="6"/>
      <c r="I626" s="6"/>
      <c r="J626" s="6"/>
      <c r="K626" s="6"/>
      <c r="L626" s="6"/>
      <c r="M626" s="6"/>
      <c r="N626" s="6"/>
      <c r="O626" s="6"/>
      <c r="P626" s="6"/>
      <c r="Q626" s="6"/>
      <c r="R626" s="6"/>
      <c r="S626" s="6"/>
      <c r="T626" s="6"/>
      <c r="U626" s="6"/>
      <c r="V626" s="6"/>
      <c r="W626" s="6"/>
    </row>
    <row r="627" spans="1:23" ht="16" x14ac:dyDescent="0.2">
      <c r="A627" s="6"/>
      <c r="B627" s="7"/>
      <c r="C627" s="7"/>
      <c r="D627" s="7"/>
      <c r="E627" s="7"/>
      <c r="F627" s="6"/>
      <c r="G627" s="6"/>
      <c r="H627" s="6"/>
      <c r="I627" s="6"/>
      <c r="J627" s="6"/>
      <c r="K627" s="6"/>
      <c r="L627" s="6"/>
      <c r="M627" s="6"/>
      <c r="N627" s="6"/>
      <c r="O627" s="6"/>
      <c r="P627" s="6"/>
      <c r="Q627" s="6"/>
      <c r="R627" s="6"/>
      <c r="S627" s="6"/>
      <c r="T627" s="6"/>
      <c r="U627" s="6"/>
      <c r="V627" s="6"/>
      <c r="W627" s="6"/>
    </row>
    <row r="628" spans="1:23" ht="16" x14ac:dyDescent="0.2">
      <c r="A628" s="6"/>
      <c r="B628" s="7"/>
      <c r="C628" s="7"/>
      <c r="D628" s="7"/>
      <c r="E628" s="7"/>
      <c r="F628" s="6"/>
      <c r="G628" s="6"/>
      <c r="H628" s="6"/>
      <c r="I628" s="6"/>
      <c r="J628" s="6"/>
      <c r="K628" s="6"/>
      <c r="L628" s="6"/>
      <c r="M628" s="6"/>
      <c r="N628" s="6"/>
      <c r="O628" s="6"/>
      <c r="P628" s="6"/>
      <c r="Q628" s="6"/>
      <c r="R628" s="6"/>
      <c r="S628" s="6"/>
      <c r="T628" s="6"/>
      <c r="U628" s="6"/>
      <c r="V628" s="6"/>
      <c r="W628" s="6"/>
    </row>
    <row r="629" spans="1:23" ht="16" x14ac:dyDescent="0.2">
      <c r="A629" s="6"/>
      <c r="B629" s="7"/>
      <c r="C629" s="7"/>
      <c r="D629" s="7"/>
      <c r="E629" s="7"/>
      <c r="F629" s="6"/>
      <c r="G629" s="6"/>
      <c r="H629" s="6"/>
      <c r="I629" s="6"/>
      <c r="J629" s="6"/>
      <c r="K629" s="6"/>
      <c r="L629" s="6"/>
      <c r="M629" s="6"/>
      <c r="N629" s="6"/>
      <c r="O629" s="6"/>
      <c r="P629" s="6"/>
      <c r="Q629" s="6"/>
      <c r="R629" s="6"/>
      <c r="S629" s="6"/>
      <c r="T629" s="6"/>
      <c r="U629" s="6"/>
      <c r="V629" s="6"/>
      <c r="W629" s="6"/>
    </row>
    <row r="630" spans="1:23" ht="16" x14ac:dyDescent="0.2">
      <c r="A630" s="6"/>
      <c r="B630" s="7"/>
      <c r="C630" s="7"/>
      <c r="D630" s="7"/>
      <c r="E630" s="7"/>
      <c r="F630" s="6"/>
      <c r="G630" s="6"/>
      <c r="H630" s="6"/>
      <c r="I630" s="6"/>
      <c r="J630" s="6"/>
      <c r="K630" s="6"/>
      <c r="L630" s="6"/>
      <c r="M630" s="6"/>
      <c r="N630" s="6"/>
      <c r="O630" s="6"/>
      <c r="P630" s="6"/>
      <c r="Q630" s="6"/>
      <c r="R630" s="6"/>
      <c r="S630" s="6"/>
      <c r="T630" s="6"/>
      <c r="U630" s="6"/>
      <c r="V630" s="6"/>
      <c r="W630" s="6"/>
    </row>
    <row r="631" spans="1:23" ht="16" x14ac:dyDescent="0.2">
      <c r="A631" s="6"/>
      <c r="B631" s="7"/>
      <c r="C631" s="7"/>
      <c r="D631" s="7"/>
      <c r="E631" s="7"/>
      <c r="F631" s="6"/>
      <c r="G631" s="6"/>
      <c r="H631" s="6"/>
      <c r="I631" s="6"/>
      <c r="J631" s="6"/>
      <c r="K631" s="6"/>
      <c r="L631" s="6"/>
      <c r="M631" s="6"/>
      <c r="N631" s="6"/>
      <c r="O631" s="6"/>
      <c r="P631" s="6"/>
      <c r="Q631" s="6"/>
      <c r="R631" s="6"/>
      <c r="S631" s="6"/>
      <c r="T631" s="6"/>
      <c r="U631" s="6"/>
      <c r="V631" s="6"/>
      <c r="W631" s="6"/>
    </row>
    <row r="632" spans="1:23" ht="16" x14ac:dyDescent="0.2">
      <c r="A632" s="6"/>
      <c r="B632" s="7"/>
      <c r="C632" s="7"/>
      <c r="D632" s="7"/>
      <c r="E632" s="7"/>
      <c r="F632" s="6"/>
      <c r="G632" s="6"/>
      <c r="H632" s="6"/>
      <c r="I632" s="6"/>
      <c r="J632" s="6"/>
      <c r="K632" s="6"/>
      <c r="L632" s="6"/>
      <c r="M632" s="6"/>
      <c r="N632" s="6"/>
      <c r="O632" s="6"/>
      <c r="P632" s="6"/>
      <c r="Q632" s="6"/>
      <c r="R632" s="6"/>
      <c r="S632" s="6"/>
      <c r="T632" s="6"/>
      <c r="U632" s="6"/>
      <c r="V632" s="6"/>
      <c r="W632" s="6"/>
    </row>
    <row r="633" spans="1:23" ht="16" x14ac:dyDescent="0.2">
      <c r="A633" s="6"/>
      <c r="B633" s="7"/>
      <c r="C633" s="7"/>
      <c r="D633" s="7"/>
      <c r="E633" s="7"/>
      <c r="F633" s="6"/>
      <c r="G633" s="6"/>
      <c r="H633" s="6"/>
      <c r="I633" s="6"/>
      <c r="J633" s="6"/>
      <c r="K633" s="6"/>
      <c r="L633" s="6"/>
      <c r="M633" s="6"/>
      <c r="N633" s="6"/>
      <c r="O633" s="6"/>
      <c r="P633" s="6"/>
      <c r="Q633" s="6"/>
      <c r="R633" s="6"/>
      <c r="S633" s="6"/>
      <c r="T633" s="6"/>
      <c r="U633" s="6"/>
      <c r="V633" s="6"/>
      <c r="W633" s="6"/>
    </row>
    <row r="634" spans="1:23" ht="16" x14ac:dyDescent="0.2">
      <c r="A634" s="6"/>
      <c r="B634" s="7"/>
      <c r="C634" s="7"/>
      <c r="D634" s="7"/>
      <c r="E634" s="7"/>
      <c r="F634" s="6"/>
      <c r="G634" s="6"/>
      <c r="H634" s="6"/>
      <c r="I634" s="6"/>
      <c r="J634" s="6"/>
      <c r="K634" s="6"/>
      <c r="L634" s="6"/>
      <c r="M634" s="6"/>
      <c r="N634" s="6"/>
      <c r="O634" s="6"/>
      <c r="P634" s="6"/>
      <c r="Q634" s="6"/>
      <c r="R634" s="6"/>
      <c r="S634" s="6"/>
      <c r="T634" s="6"/>
      <c r="U634" s="6"/>
      <c r="V634" s="6"/>
      <c r="W634" s="6"/>
    </row>
    <row r="635" spans="1:23" ht="16" x14ac:dyDescent="0.2">
      <c r="A635" s="6"/>
      <c r="B635" s="7"/>
      <c r="C635" s="7"/>
      <c r="D635" s="7"/>
      <c r="E635" s="7"/>
      <c r="F635" s="6"/>
      <c r="G635" s="6"/>
      <c r="H635" s="6"/>
      <c r="I635" s="6"/>
      <c r="J635" s="6"/>
      <c r="K635" s="6"/>
      <c r="L635" s="6"/>
      <c r="M635" s="6"/>
      <c r="N635" s="6"/>
      <c r="O635" s="6"/>
      <c r="P635" s="6"/>
      <c r="Q635" s="6"/>
      <c r="R635" s="6"/>
      <c r="S635" s="6"/>
      <c r="T635" s="6"/>
      <c r="U635" s="6"/>
      <c r="V635" s="6"/>
      <c r="W635" s="6"/>
    </row>
    <row r="636" spans="1:23" ht="16" x14ac:dyDescent="0.2">
      <c r="A636" s="6"/>
      <c r="B636" s="7"/>
      <c r="C636" s="7"/>
      <c r="D636" s="7"/>
      <c r="E636" s="7"/>
      <c r="F636" s="6"/>
      <c r="G636" s="6"/>
      <c r="H636" s="6"/>
      <c r="I636" s="6"/>
      <c r="J636" s="6"/>
      <c r="K636" s="6"/>
      <c r="L636" s="6"/>
      <c r="M636" s="6"/>
      <c r="N636" s="6"/>
      <c r="O636" s="6"/>
      <c r="P636" s="6"/>
      <c r="Q636" s="6"/>
      <c r="R636" s="6"/>
      <c r="S636" s="6"/>
      <c r="T636" s="6"/>
      <c r="U636" s="6"/>
      <c r="V636" s="6"/>
      <c r="W636" s="6"/>
    </row>
    <row r="637" spans="1:23" ht="16" x14ac:dyDescent="0.2">
      <c r="A637" s="6"/>
      <c r="B637" s="7"/>
      <c r="C637" s="7"/>
      <c r="D637" s="7"/>
      <c r="E637" s="7"/>
      <c r="F637" s="6"/>
      <c r="G637" s="6"/>
      <c r="H637" s="6"/>
      <c r="I637" s="6"/>
      <c r="J637" s="6"/>
      <c r="K637" s="6"/>
      <c r="L637" s="6"/>
      <c r="M637" s="6"/>
      <c r="N637" s="6"/>
      <c r="O637" s="6"/>
      <c r="P637" s="6"/>
      <c r="Q637" s="6"/>
      <c r="R637" s="6"/>
      <c r="S637" s="6"/>
      <c r="T637" s="6"/>
      <c r="U637" s="6"/>
      <c r="V637" s="6"/>
      <c r="W637" s="6"/>
    </row>
    <row r="638" spans="1:23" ht="16" x14ac:dyDescent="0.2">
      <c r="A638" s="6"/>
      <c r="B638" s="7"/>
      <c r="C638" s="7"/>
      <c r="D638" s="7"/>
      <c r="E638" s="7"/>
      <c r="F638" s="6"/>
      <c r="G638" s="6"/>
      <c r="H638" s="6"/>
      <c r="I638" s="6"/>
      <c r="J638" s="6"/>
      <c r="K638" s="6"/>
      <c r="L638" s="6"/>
      <c r="M638" s="6"/>
      <c r="N638" s="6"/>
      <c r="O638" s="6"/>
      <c r="P638" s="6"/>
      <c r="Q638" s="6"/>
      <c r="R638" s="6"/>
      <c r="S638" s="6"/>
      <c r="T638" s="6"/>
      <c r="U638" s="6"/>
      <c r="V638" s="6"/>
      <c r="W638" s="6"/>
    </row>
    <row r="639" spans="1:23" ht="16" x14ac:dyDescent="0.2">
      <c r="A639" s="6"/>
      <c r="B639" s="7"/>
      <c r="C639" s="7"/>
      <c r="D639" s="7"/>
      <c r="E639" s="7"/>
      <c r="F639" s="6"/>
      <c r="G639" s="6"/>
      <c r="H639" s="6"/>
      <c r="I639" s="6"/>
      <c r="J639" s="6"/>
      <c r="K639" s="6"/>
      <c r="L639" s="6"/>
      <c r="M639" s="6"/>
      <c r="N639" s="6"/>
      <c r="O639" s="6"/>
      <c r="P639" s="6"/>
      <c r="Q639" s="6"/>
      <c r="R639" s="6"/>
      <c r="S639" s="6"/>
      <c r="T639" s="6"/>
      <c r="U639" s="6"/>
      <c r="V639" s="6"/>
      <c r="W639" s="6"/>
    </row>
    <row r="640" spans="1:23" ht="16" x14ac:dyDescent="0.2">
      <c r="A640" s="6"/>
      <c r="B640" s="7"/>
      <c r="C640" s="7"/>
      <c r="D640" s="7"/>
      <c r="E640" s="7"/>
      <c r="F640" s="6"/>
      <c r="G640" s="6"/>
      <c r="H640" s="6"/>
      <c r="I640" s="6"/>
      <c r="J640" s="6"/>
      <c r="K640" s="6"/>
      <c r="L640" s="6"/>
      <c r="M640" s="6"/>
      <c r="N640" s="6"/>
      <c r="O640" s="6"/>
      <c r="P640" s="6"/>
      <c r="Q640" s="6"/>
      <c r="R640" s="6"/>
      <c r="S640" s="6"/>
      <c r="T640" s="6"/>
      <c r="U640" s="6"/>
      <c r="V640" s="6"/>
      <c r="W640" s="6"/>
    </row>
    <row r="641" spans="1:23" ht="16" x14ac:dyDescent="0.2">
      <c r="A641" s="6"/>
      <c r="B641" s="7"/>
      <c r="C641" s="7"/>
      <c r="D641" s="7"/>
      <c r="E641" s="7"/>
      <c r="F641" s="6"/>
      <c r="G641" s="6"/>
      <c r="H641" s="6"/>
      <c r="I641" s="6"/>
      <c r="J641" s="6"/>
      <c r="K641" s="6"/>
      <c r="L641" s="6"/>
      <c r="M641" s="6"/>
      <c r="N641" s="6"/>
      <c r="O641" s="6"/>
      <c r="P641" s="6"/>
      <c r="Q641" s="6"/>
      <c r="R641" s="6"/>
      <c r="S641" s="6"/>
      <c r="T641" s="6"/>
      <c r="U641" s="6"/>
      <c r="V641" s="6"/>
      <c r="W641" s="6"/>
    </row>
    <row r="642" spans="1:23" ht="16" x14ac:dyDescent="0.2">
      <c r="A642" s="6"/>
      <c r="B642" s="7"/>
      <c r="C642" s="7"/>
      <c r="D642" s="7"/>
      <c r="E642" s="7"/>
      <c r="F642" s="6"/>
      <c r="G642" s="6"/>
      <c r="H642" s="6"/>
      <c r="I642" s="6"/>
      <c r="J642" s="6"/>
      <c r="K642" s="6"/>
      <c r="L642" s="6"/>
      <c r="M642" s="6"/>
      <c r="N642" s="6"/>
      <c r="O642" s="6"/>
      <c r="P642" s="6"/>
      <c r="Q642" s="6"/>
      <c r="R642" s="6"/>
      <c r="S642" s="6"/>
      <c r="T642" s="6"/>
      <c r="U642" s="6"/>
      <c r="V642" s="6"/>
      <c r="W642" s="6"/>
    </row>
    <row r="643" spans="1:23" ht="16" x14ac:dyDescent="0.2">
      <c r="A643" s="6"/>
      <c r="B643" s="7"/>
      <c r="C643" s="7"/>
      <c r="D643" s="7"/>
      <c r="E643" s="7"/>
      <c r="F643" s="6"/>
      <c r="G643" s="6"/>
      <c r="H643" s="6"/>
      <c r="I643" s="6"/>
      <c r="J643" s="6"/>
      <c r="K643" s="6"/>
      <c r="L643" s="6"/>
      <c r="M643" s="6"/>
      <c r="N643" s="6"/>
      <c r="O643" s="6"/>
      <c r="P643" s="6"/>
      <c r="Q643" s="6"/>
      <c r="R643" s="6"/>
      <c r="S643" s="6"/>
      <c r="T643" s="6"/>
      <c r="U643" s="6"/>
      <c r="V643" s="6"/>
      <c r="W643" s="6"/>
    </row>
    <row r="644" spans="1:23" ht="16" x14ac:dyDescent="0.2">
      <c r="A644" s="6"/>
      <c r="B644" s="7"/>
      <c r="C644" s="7"/>
      <c r="D644" s="7"/>
      <c r="E644" s="7"/>
      <c r="F644" s="6"/>
      <c r="G644" s="6"/>
      <c r="H644" s="6"/>
      <c r="I644" s="6"/>
      <c r="J644" s="6"/>
      <c r="K644" s="6"/>
      <c r="L644" s="6"/>
      <c r="M644" s="6"/>
      <c r="N644" s="6"/>
      <c r="O644" s="6"/>
      <c r="P644" s="6"/>
      <c r="Q644" s="6"/>
      <c r="R644" s="6"/>
      <c r="S644" s="6"/>
      <c r="T644" s="6"/>
      <c r="U644" s="6"/>
      <c r="V644" s="6"/>
      <c r="W644" s="6"/>
    </row>
    <row r="645" spans="1:23" ht="16" x14ac:dyDescent="0.2">
      <c r="A645" s="6"/>
      <c r="B645" s="7"/>
      <c r="C645" s="7"/>
      <c r="D645" s="7"/>
      <c r="E645" s="7"/>
      <c r="F645" s="6"/>
      <c r="G645" s="6"/>
      <c r="H645" s="6"/>
      <c r="I645" s="6"/>
      <c r="J645" s="6"/>
      <c r="K645" s="6"/>
      <c r="L645" s="6"/>
      <c r="M645" s="6"/>
      <c r="N645" s="6"/>
      <c r="O645" s="6"/>
      <c r="P645" s="6"/>
      <c r="Q645" s="6"/>
      <c r="R645" s="6"/>
      <c r="S645" s="6"/>
      <c r="T645" s="6"/>
      <c r="U645" s="6"/>
      <c r="V645" s="6"/>
      <c r="W645" s="6"/>
    </row>
    <row r="646" spans="1:23" ht="16" x14ac:dyDescent="0.2">
      <c r="A646" s="6"/>
      <c r="B646" s="7"/>
      <c r="C646" s="7"/>
      <c r="D646" s="7"/>
      <c r="E646" s="7"/>
      <c r="F646" s="6"/>
      <c r="G646" s="6"/>
      <c r="H646" s="6"/>
      <c r="I646" s="6"/>
      <c r="J646" s="6"/>
      <c r="K646" s="6"/>
      <c r="L646" s="6"/>
      <c r="M646" s="6"/>
      <c r="N646" s="6"/>
      <c r="O646" s="6"/>
      <c r="P646" s="6"/>
      <c r="Q646" s="6"/>
      <c r="R646" s="6"/>
      <c r="S646" s="6"/>
      <c r="T646" s="6"/>
      <c r="U646" s="6"/>
      <c r="V646" s="6"/>
      <c r="W646" s="6"/>
    </row>
    <row r="647" spans="1:23" ht="16" x14ac:dyDescent="0.2">
      <c r="A647" s="6"/>
      <c r="B647" s="7"/>
      <c r="C647" s="7"/>
      <c r="D647" s="7"/>
      <c r="E647" s="7"/>
      <c r="F647" s="6"/>
      <c r="G647" s="6"/>
      <c r="H647" s="6"/>
      <c r="I647" s="6"/>
      <c r="J647" s="6"/>
      <c r="K647" s="6"/>
      <c r="L647" s="6"/>
      <c r="M647" s="6"/>
      <c r="N647" s="6"/>
      <c r="O647" s="6"/>
      <c r="P647" s="6"/>
      <c r="Q647" s="6"/>
      <c r="R647" s="6"/>
      <c r="S647" s="6"/>
      <c r="T647" s="6"/>
      <c r="U647" s="6"/>
      <c r="V647" s="6"/>
      <c r="W647" s="6"/>
    </row>
    <row r="648" spans="1:23" ht="16" x14ac:dyDescent="0.2">
      <c r="A648" s="6"/>
      <c r="B648" s="7"/>
      <c r="C648" s="7"/>
      <c r="D648" s="7"/>
      <c r="E648" s="7"/>
      <c r="F648" s="6"/>
      <c r="G648" s="6"/>
      <c r="H648" s="6"/>
      <c r="I648" s="6"/>
      <c r="J648" s="6"/>
      <c r="K648" s="6"/>
      <c r="L648" s="6"/>
      <c r="M648" s="6"/>
      <c r="N648" s="6"/>
      <c r="O648" s="6"/>
      <c r="P648" s="6"/>
      <c r="Q648" s="6"/>
      <c r="R648" s="6"/>
      <c r="S648" s="6"/>
      <c r="T648" s="6"/>
      <c r="U648" s="6"/>
      <c r="V648" s="6"/>
      <c r="W648" s="6"/>
    </row>
    <row r="649" spans="1:23" ht="16" x14ac:dyDescent="0.2">
      <c r="A649" s="6"/>
      <c r="B649" s="7"/>
      <c r="C649" s="7"/>
      <c r="D649" s="7"/>
      <c r="E649" s="7"/>
      <c r="F649" s="6"/>
      <c r="G649" s="6"/>
      <c r="H649" s="6"/>
      <c r="I649" s="6"/>
      <c r="J649" s="6"/>
      <c r="K649" s="6"/>
      <c r="L649" s="6"/>
      <c r="M649" s="6"/>
      <c r="N649" s="6"/>
      <c r="O649" s="6"/>
      <c r="P649" s="6"/>
      <c r="Q649" s="6"/>
      <c r="R649" s="6"/>
      <c r="S649" s="6"/>
      <c r="T649" s="6"/>
      <c r="U649" s="6"/>
      <c r="V649" s="6"/>
      <c r="W649" s="6"/>
    </row>
    <row r="650" spans="1:23" ht="16" x14ac:dyDescent="0.2">
      <c r="A650" s="6"/>
      <c r="B650" s="7"/>
      <c r="C650" s="7"/>
      <c r="D650" s="7"/>
      <c r="E650" s="7"/>
      <c r="F650" s="6"/>
      <c r="G650" s="6"/>
      <c r="H650" s="6"/>
      <c r="I650" s="6"/>
      <c r="J650" s="6"/>
      <c r="K650" s="6"/>
      <c r="L650" s="6"/>
      <c r="M650" s="6"/>
      <c r="N650" s="6"/>
      <c r="O650" s="6"/>
      <c r="P650" s="6"/>
      <c r="Q650" s="6"/>
      <c r="R650" s="6"/>
      <c r="S650" s="6"/>
      <c r="T650" s="6"/>
      <c r="U650" s="6"/>
      <c r="V650" s="6"/>
      <c r="W650" s="6"/>
    </row>
    <row r="651" spans="1:23" ht="16" x14ac:dyDescent="0.2">
      <c r="A651" s="6"/>
      <c r="B651" s="7"/>
      <c r="C651" s="7"/>
      <c r="D651" s="7"/>
      <c r="E651" s="7"/>
      <c r="F651" s="6"/>
      <c r="G651" s="6"/>
      <c r="H651" s="6"/>
      <c r="I651" s="6"/>
      <c r="J651" s="6"/>
      <c r="K651" s="6"/>
      <c r="L651" s="6"/>
      <c r="M651" s="6"/>
      <c r="N651" s="6"/>
      <c r="O651" s="6"/>
      <c r="P651" s="6"/>
      <c r="Q651" s="6"/>
      <c r="R651" s="6"/>
      <c r="S651" s="6"/>
      <c r="T651" s="6"/>
      <c r="U651" s="6"/>
      <c r="V651" s="6"/>
      <c r="W651" s="6"/>
    </row>
    <row r="652" spans="1:23" ht="16" x14ac:dyDescent="0.2">
      <c r="A652" s="6"/>
      <c r="B652" s="7"/>
      <c r="C652" s="7"/>
      <c r="D652" s="7"/>
      <c r="E652" s="7"/>
      <c r="F652" s="6"/>
      <c r="G652" s="6"/>
      <c r="H652" s="6"/>
      <c r="I652" s="6"/>
      <c r="J652" s="6"/>
      <c r="K652" s="6"/>
      <c r="L652" s="6"/>
      <c r="M652" s="6"/>
      <c r="N652" s="6"/>
      <c r="O652" s="6"/>
      <c r="P652" s="6"/>
      <c r="Q652" s="6"/>
      <c r="R652" s="6"/>
      <c r="S652" s="6"/>
      <c r="T652" s="6"/>
      <c r="U652" s="6"/>
      <c r="V652" s="6"/>
      <c r="W652" s="6"/>
    </row>
    <row r="653" spans="1:23" ht="16" x14ac:dyDescent="0.2">
      <c r="A653" s="6"/>
      <c r="B653" s="7"/>
      <c r="C653" s="7"/>
      <c r="D653" s="7"/>
      <c r="E653" s="7"/>
      <c r="F653" s="6"/>
      <c r="G653" s="6"/>
      <c r="H653" s="6"/>
      <c r="I653" s="6"/>
      <c r="J653" s="6"/>
      <c r="K653" s="6"/>
      <c r="L653" s="6"/>
      <c r="M653" s="6"/>
      <c r="N653" s="6"/>
      <c r="O653" s="6"/>
      <c r="P653" s="6"/>
      <c r="Q653" s="6"/>
      <c r="R653" s="6"/>
      <c r="S653" s="6"/>
      <c r="T653" s="6"/>
      <c r="U653" s="6"/>
      <c r="V653" s="6"/>
      <c r="W653" s="6"/>
    </row>
    <row r="654" spans="1:23" ht="16" x14ac:dyDescent="0.2">
      <c r="A654" s="6"/>
      <c r="B654" s="7"/>
      <c r="C654" s="7"/>
      <c r="D654" s="7"/>
      <c r="E654" s="7"/>
      <c r="F654" s="6"/>
      <c r="G654" s="6"/>
      <c r="H654" s="6"/>
      <c r="I654" s="6"/>
      <c r="J654" s="6"/>
      <c r="K654" s="6"/>
      <c r="L654" s="6"/>
      <c r="M654" s="6"/>
      <c r="N654" s="6"/>
      <c r="O654" s="6"/>
      <c r="P654" s="6"/>
      <c r="Q654" s="6"/>
      <c r="R654" s="6"/>
      <c r="S654" s="6"/>
      <c r="T654" s="6"/>
      <c r="U654" s="6"/>
      <c r="V654" s="6"/>
      <c r="W654" s="6"/>
    </row>
    <row r="655" spans="1:23" ht="16" x14ac:dyDescent="0.2">
      <c r="A655" s="6"/>
      <c r="B655" s="7"/>
      <c r="C655" s="7"/>
      <c r="D655" s="7"/>
      <c r="E655" s="7"/>
      <c r="F655" s="6"/>
      <c r="G655" s="6"/>
      <c r="H655" s="6"/>
      <c r="I655" s="6"/>
      <c r="J655" s="6"/>
      <c r="K655" s="6"/>
      <c r="L655" s="6"/>
      <c r="M655" s="6"/>
      <c r="N655" s="6"/>
      <c r="O655" s="6"/>
      <c r="P655" s="6"/>
      <c r="Q655" s="6"/>
      <c r="R655" s="6"/>
      <c r="S655" s="6"/>
      <c r="T655" s="6"/>
      <c r="U655" s="6"/>
      <c r="V655" s="6"/>
      <c r="W655" s="6"/>
    </row>
    <row r="656" spans="1:23" ht="16" x14ac:dyDescent="0.2">
      <c r="A656" s="6"/>
      <c r="B656" s="7"/>
      <c r="C656" s="7"/>
      <c r="D656" s="7"/>
      <c r="E656" s="7"/>
      <c r="F656" s="6"/>
      <c r="G656" s="6"/>
      <c r="H656" s="6"/>
      <c r="I656" s="6"/>
      <c r="J656" s="6"/>
      <c r="K656" s="6"/>
      <c r="L656" s="6"/>
      <c r="M656" s="6"/>
      <c r="N656" s="6"/>
      <c r="O656" s="6"/>
      <c r="P656" s="6"/>
      <c r="Q656" s="6"/>
      <c r="R656" s="6"/>
      <c r="S656" s="6"/>
      <c r="T656" s="6"/>
      <c r="U656" s="6"/>
      <c r="V656" s="6"/>
      <c r="W656" s="6"/>
    </row>
    <row r="657" spans="1:23" ht="16" x14ac:dyDescent="0.2">
      <c r="A657" s="6"/>
      <c r="B657" s="7"/>
      <c r="C657" s="7"/>
      <c r="D657" s="7"/>
      <c r="E657" s="7"/>
      <c r="F657" s="6"/>
      <c r="G657" s="6"/>
      <c r="H657" s="6"/>
      <c r="I657" s="6"/>
      <c r="J657" s="6"/>
      <c r="K657" s="6"/>
      <c r="L657" s="6"/>
      <c r="M657" s="6"/>
      <c r="N657" s="6"/>
      <c r="O657" s="6"/>
      <c r="P657" s="6"/>
      <c r="Q657" s="6"/>
      <c r="R657" s="6"/>
      <c r="S657" s="6"/>
      <c r="T657" s="6"/>
      <c r="U657" s="6"/>
      <c r="V657" s="6"/>
      <c r="W657" s="6"/>
    </row>
    <row r="658" spans="1:23" ht="16" x14ac:dyDescent="0.2">
      <c r="A658" s="6"/>
      <c r="B658" s="7"/>
      <c r="C658" s="7"/>
      <c r="D658" s="7"/>
      <c r="E658" s="7"/>
      <c r="F658" s="6"/>
      <c r="G658" s="6"/>
      <c r="H658" s="6"/>
      <c r="I658" s="6"/>
      <c r="J658" s="6"/>
      <c r="K658" s="6"/>
      <c r="L658" s="6"/>
      <c r="M658" s="6"/>
      <c r="N658" s="6"/>
      <c r="O658" s="6"/>
      <c r="P658" s="6"/>
      <c r="Q658" s="6"/>
      <c r="R658" s="6"/>
      <c r="S658" s="6"/>
      <c r="T658" s="6"/>
      <c r="U658" s="6"/>
      <c r="V658" s="6"/>
      <c r="W658" s="6"/>
    </row>
    <row r="659" spans="1:23" ht="16" x14ac:dyDescent="0.2">
      <c r="A659" s="6"/>
      <c r="B659" s="7"/>
      <c r="C659" s="7"/>
      <c r="D659" s="7"/>
      <c r="E659" s="7"/>
      <c r="F659" s="6"/>
      <c r="G659" s="6"/>
      <c r="H659" s="6"/>
      <c r="I659" s="6"/>
      <c r="J659" s="6"/>
      <c r="K659" s="6"/>
      <c r="L659" s="6"/>
      <c r="M659" s="6"/>
      <c r="N659" s="6"/>
      <c r="O659" s="6"/>
      <c r="P659" s="6"/>
      <c r="Q659" s="6"/>
      <c r="R659" s="6"/>
      <c r="S659" s="6"/>
      <c r="T659" s="6"/>
      <c r="U659" s="6"/>
      <c r="V659" s="6"/>
      <c r="W659" s="6"/>
    </row>
    <row r="660" spans="1:23" ht="16" x14ac:dyDescent="0.2">
      <c r="A660" s="6"/>
      <c r="B660" s="7"/>
      <c r="C660" s="7"/>
      <c r="D660" s="7"/>
      <c r="E660" s="7"/>
      <c r="F660" s="6"/>
      <c r="G660" s="6"/>
      <c r="H660" s="6"/>
      <c r="I660" s="6"/>
      <c r="J660" s="6"/>
      <c r="K660" s="6"/>
      <c r="L660" s="6"/>
      <c r="M660" s="6"/>
      <c r="N660" s="6"/>
      <c r="O660" s="6"/>
      <c r="P660" s="6"/>
      <c r="Q660" s="6"/>
      <c r="R660" s="6"/>
      <c r="S660" s="6"/>
      <c r="T660" s="6"/>
      <c r="U660" s="6"/>
      <c r="V660" s="6"/>
      <c r="W660" s="6"/>
    </row>
    <row r="661" spans="1:23" ht="16" x14ac:dyDescent="0.2">
      <c r="A661" s="6"/>
      <c r="B661" s="7"/>
      <c r="C661" s="7"/>
      <c r="D661" s="7"/>
      <c r="E661" s="7"/>
      <c r="F661" s="6"/>
      <c r="G661" s="6"/>
      <c r="H661" s="6"/>
      <c r="I661" s="6"/>
      <c r="J661" s="6"/>
      <c r="K661" s="6"/>
      <c r="L661" s="6"/>
      <c r="M661" s="6"/>
      <c r="N661" s="6"/>
      <c r="O661" s="6"/>
      <c r="P661" s="6"/>
      <c r="Q661" s="6"/>
      <c r="R661" s="6"/>
      <c r="S661" s="6"/>
      <c r="T661" s="6"/>
      <c r="U661" s="6"/>
      <c r="V661" s="6"/>
      <c r="W661" s="6"/>
    </row>
    <row r="662" spans="1:23" ht="16" x14ac:dyDescent="0.2">
      <c r="A662" s="6"/>
      <c r="B662" s="7"/>
      <c r="C662" s="7"/>
      <c r="D662" s="7"/>
      <c r="E662" s="7"/>
      <c r="F662" s="6"/>
      <c r="G662" s="6"/>
      <c r="H662" s="6"/>
      <c r="I662" s="6"/>
      <c r="J662" s="6"/>
      <c r="K662" s="6"/>
      <c r="L662" s="6"/>
      <c r="M662" s="6"/>
      <c r="N662" s="6"/>
      <c r="O662" s="6"/>
      <c r="P662" s="6"/>
      <c r="Q662" s="6"/>
      <c r="R662" s="6"/>
      <c r="S662" s="6"/>
      <c r="T662" s="6"/>
      <c r="U662" s="6"/>
      <c r="V662" s="6"/>
      <c r="W662" s="6"/>
    </row>
    <row r="663" spans="1:23" ht="16" x14ac:dyDescent="0.2">
      <c r="A663" s="6"/>
      <c r="B663" s="7"/>
      <c r="C663" s="7"/>
      <c r="D663" s="7"/>
      <c r="E663" s="7"/>
      <c r="F663" s="6"/>
      <c r="G663" s="6"/>
      <c r="H663" s="6"/>
      <c r="I663" s="6"/>
      <c r="J663" s="6"/>
      <c r="K663" s="6"/>
      <c r="L663" s="6"/>
      <c r="M663" s="6"/>
      <c r="N663" s="6"/>
      <c r="O663" s="6"/>
      <c r="P663" s="6"/>
      <c r="Q663" s="6"/>
      <c r="R663" s="6"/>
      <c r="S663" s="6"/>
      <c r="T663" s="6"/>
      <c r="U663" s="6"/>
      <c r="V663" s="6"/>
      <c r="W663" s="6"/>
    </row>
    <row r="664" spans="1:23" ht="16" x14ac:dyDescent="0.2">
      <c r="A664" s="6"/>
      <c r="B664" s="7"/>
      <c r="C664" s="7"/>
      <c r="D664" s="7"/>
      <c r="E664" s="7"/>
      <c r="F664" s="6"/>
      <c r="G664" s="6"/>
      <c r="H664" s="6"/>
      <c r="I664" s="6"/>
      <c r="J664" s="6"/>
      <c r="K664" s="6"/>
      <c r="L664" s="6"/>
      <c r="M664" s="6"/>
      <c r="N664" s="6"/>
      <c r="O664" s="6"/>
      <c r="P664" s="6"/>
      <c r="Q664" s="6"/>
      <c r="R664" s="6"/>
      <c r="S664" s="6"/>
      <c r="T664" s="6"/>
      <c r="U664" s="6"/>
      <c r="V664" s="6"/>
      <c r="W664" s="6"/>
    </row>
    <row r="665" spans="1:23" ht="16" x14ac:dyDescent="0.2">
      <c r="A665" s="6"/>
      <c r="B665" s="7"/>
      <c r="C665" s="7"/>
      <c r="D665" s="7"/>
      <c r="E665" s="7"/>
      <c r="F665" s="6"/>
      <c r="G665" s="6"/>
      <c r="H665" s="6"/>
      <c r="I665" s="6"/>
      <c r="J665" s="6"/>
      <c r="K665" s="6"/>
      <c r="L665" s="6"/>
      <c r="M665" s="6"/>
      <c r="N665" s="6"/>
      <c r="O665" s="6"/>
      <c r="P665" s="6"/>
      <c r="Q665" s="6"/>
      <c r="R665" s="6"/>
      <c r="S665" s="6"/>
      <c r="T665" s="6"/>
      <c r="U665" s="6"/>
      <c r="V665" s="6"/>
      <c r="W665" s="6"/>
    </row>
    <row r="666" spans="1:23" ht="16" x14ac:dyDescent="0.2">
      <c r="A666" s="6"/>
      <c r="B666" s="7"/>
      <c r="C666" s="7"/>
      <c r="D666" s="7"/>
      <c r="E666" s="7"/>
      <c r="F666" s="6"/>
      <c r="G666" s="6"/>
      <c r="H666" s="6"/>
      <c r="I666" s="6"/>
      <c r="J666" s="6"/>
      <c r="K666" s="6"/>
      <c r="L666" s="6"/>
      <c r="M666" s="6"/>
      <c r="N666" s="6"/>
      <c r="O666" s="6"/>
      <c r="P666" s="6"/>
      <c r="Q666" s="6"/>
      <c r="R666" s="6"/>
      <c r="S666" s="6"/>
      <c r="T666" s="6"/>
      <c r="U666" s="6"/>
      <c r="V666" s="6"/>
      <c r="W666" s="6"/>
    </row>
    <row r="667" spans="1:23" ht="16" x14ac:dyDescent="0.2">
      <c r="A667" s="6"/>
      <c r="B667" s="7"/>
      <c r="C667" s="7"/>
      <c r="D667" s="7"/>
      <c r="E667" s="7"/>
      <c r="F667" s="6"/>
      <c r="G667" s="6"/>
      <c r="H667" s="6"/>
      <c r="I667" s="6"/>
      <c r="J667" s="6"/>
      <c r="K667" s="6"/>
      <c r="L667" s="6"/>
      <c r="M667" s="6"/>
      <c r="N667" s="6"/>
      <c r="O667" s="6"/>
      <c r="P667" s="6"/>
      <c r="Q667" s="6"/>
      <c r="R667" s="6"/>
      <c r="S667" s="6"/>
      <c r="T667" s="6"/>
      <c r="U667" s="6"/>
      <c r="V667" s="6"/>
      <c r="W667" s="6"/>
    </row>
    <row r="668" spans="1:23" ht="16" x14ac:dyDescent="0.2">
      <c r="A668" s="6"/>
      <c r="B668" s="7"/>
      <c r="C668" s="7"/>
      <c r="D668" s="7"/>
      <c r="E668" s="7"/>
      <c r="F668" s="6"/>
      <c r="G668" s="6"/>
      <c r="H668" s="6"/>
      <c r="I668" s="6"/>
      <c r="J668" s="6"/>
      <c r="K668" s="6"/>
      <c r="L668" s="6"/>
      <c r="M668" s="6"/>
      <c r="N668" s="6"/>
      <c r="O668" s="6"/>
      <c r="P668" s="6"/>
      <c r="Q668" s="6"/>
      <c r="R668" s="6"/>
      <c r="S668" s="6"/>
      <c r="T668" s="6"/>
      <c r="U668" s="6"/>
      <c r="V668" s="6"/>
      <c r="W668" s="6"/>
    </row>
    <row r="669" spans="1:23" ht="16" x14ac:dyDescent="0.2">
      <c r="A669" s="6"/>
      <c r="B669" s="7"/>
      <c r="C669" s="7"/>
      <c r="D669" s="7"/>
      <c r="E669" s="7"/>
      <c r="F669" s="6"/>
      <c r="G669" s="6"/>
      <c r="H669" s="6"/>
      <c r="I669" s="6"/>
      <c r="J669" s="6"/>
      <c r="K669" s="6"/>
      <c r="L669" s="6"/>
      <c r="M669" s="6"/>
      <c r="N669" s="6"/>
      <c r="O669" s="6"/>
      <c r="P669" s="6"/>
      <c r="Q669" s="6"/>
      <c r="R669" s="6"/>
      <c r="S669" s="6"/>
      <c r="T669" s="6"/>
      <c r="U669" s="6"/>
      <c r="V669" s="6"/>
      <c r="W669" s="6"/>
    </row>
    <row r="670" spans="1:23" ht="16" x14ac:dyDescent="0.2">
      <c r="A670" s="6"/>
      <c r="B670" s="7"/>
      <c r="C670" s="7"/>
      <c r="D670" s="7"/>
      <c r="E670" s="7"/>
      <c r="F670" s="6"/>
      <c r="G670" s="6"/>
      <c r="H670" s="6"/>
      <c r="I670" s="6"/>
      <c r="J670" s="6"/>
      <c r="K670" s="6"/>
      <c r="L670" s="6"/>
      <c r="M670" s="6"/>
      <c r="N670" s="6"/>
      <c r="O670" s="6"/>
      <c r="P670" s="6"/>
      <c r="Q670" s="6"/>
      <c r="R670" s="6"/>
      <c r="S670" s="6"/>
      <c r="T670" s="6"/>
      <c r="U670" s="6"/>
      <c r="V670" s="6"/>
      <c r="W670" s="6"/>
    </row>
    <row r="671" spans="1:23" ht="16" x14ac:dyDescent="0.2">
      <c r="A671" s="6"/>
      <c r="B671" s="7"/>
      <c r="C671" s="7"/>
      <c r="D671" s="7"/>
      <c r="E671" s="7"/>
      <c r="F671" s="6"/>
      <c r="G671" s="6"/>
      <c r="H671" s="6"/>
      <c r="I671" s="6"/>
      <c r="J671" s="6"/>
      <c r="K671" s="6"/>
      <c r="L671" s="6"/>
      <c r="M671" s="6"/>
      <c r="N671" s="6"/>
      <c r="O671" s="6"/>
      <c r="P671" s="6"/>
      <c r="Q671" s="6"/>
      <c r="R671" s="6"/>
      <c r="S671" s="6"/>
      <c r="T671" s="6"/>
      <c r="U671" s="6"/>
      <c r="V671" s="6"/>
      <c r="W671" s="6"/>
    </row>
    <row r="672" spans="1:23" ht="16" x14ac:dyDescent="0.2">
      <c r="A672" s="6"/>
      <c r="B672" s="7"/>
      <c r="C672" s="7"/>
      <c r="D672" s="7"/>
      <c r="E672" s="7"/>
      <c r="F672" s="6"/>
      <c r="G672" s="6"/>
      <c r="H672" s="6"/>
      <c r="I672" s="6"/>
      <c r="J672" s="6"/>
      <c r="K672" s="6"/>
      <c r="L672" s="6"/>
      <c r="M672" s="6"/>
      <c r="N672" s="6"/>
      <c r="O672" s="6"/>
      <c r="P672" s="6"/>
      <c r="Q672" s="6"/>
      <c r="R672" s="6"/>
      <c r="S672" s="6"/>
      <c r="T672" s="6"/>
      <c r="U672" s="6"/>
      <c r="V672" s="6"/>
      <c r="W672" s="6"/>
    </row>
    <row r="673" spans="1:23" ht="16" x14ac:dyDescent="0.2">
      <c r="A673" s="6"/>
      <c r="B673" s="7"/>
      <c r="C673" s="7"/>
      <c r="D673" s="7"/>
      <c r="E673" s="7"/>
      <c r="F673" s="6"/>
      <c r="G673" s="6"/>
      <c r="H673" s="6"/>
      <c r="I673" s="6"/>
      <c r="J673" s="6"/>
      <c r="K673" s="6"/>
      <c r="L673" s="6"/>
      <c r="M673" s="6"/>
      <c r="N673" s="6"/>
      <c r="O673" s="6"/>
      <c r="P673" s="6"/>
      <c r="Q673" s="6"/>
      <c r="R673" s="6"/>
      <c r="S673" s="6"/>
      <c r="T673" s="6"/>
      <c r="U673" s="6"/>
      <c r="V673" s="6"/>
      <c r="W673" s="6"/>
    </row>
    <row r="674" spans="1:23" ht="16" x14ac:dyDescent="0.2">
      <c r="A674" s="6"/>
      <c r="B674" s="7"/>
      <c r="C674" s="7"/>
      <c r="D674" s="7"/>
      <c r="E674" s="7"/>
      <c r="F674" s="6"/>
      <c r="G674" s="6"/>
      <c r="H674" s="6"/>
      <c r="I674" s="6"/>
      <c r="J674" s="6"/>
      <c r="K674" s="6"/>
      <c r="L674" s="6"/>
      <c r="M674" s="6"/>
      <c r="N674" s="6"/>
      <c r="O674" s="6"/>
      <c r="P674" s="6"/>
      <c r="Q674" s="6"/>
      <c r="R674" s="6"/>
      <c r="S674" s="6"/>
      <c r="T674" s="6"/>
      <c r="U674" s="6"/>
      <c r="V674" s="6"/>
      <c r="W674" s="6"/>
    </row>
    <row r="675" spans="1:23" ht="16" x14ac:dyDescent="0.2">
      <c r="A675" s="6"/>
      <c r="B675" s="7"/>
      <c r="C675" s="7"/>
      <c r="D675" s="7"/>
      <c r="E675" s="7"/>
      <c r="F675" s="6"/>
      <c r="G675" s="6"/>
      <c r="H675" s="6"/>
      <c r="I675" s="6"/>
      <c r="J675" s="6"/>
      <c r="K675" s="6"/>
      <c r="L675" s="6"/>
      <c r="M675" s="6"/>
      <c r="N675" s="6"/>
      <c r="O675" s="6"/>
      <c r="P675" s="6"/>
      <c r="Q675" s="6"/>
      <c r="R675" s="6"/>
      <c r="S675" s="6"/>
      <c r="T675" s="6"/>
      <c r="U675" s="6"/>
      <c r="V675" s="6"/>
      <c r="W675" s="6"/>
    </row>
    <row r="676" spans="1:23" ht="16" x14ac:dyDescent="0.2">
      <c r="A676" s="6"/>
      <c r="B676" s="7"/>
      <c r="C676" s="7"/>
      <c r="D676" s="7"/>
      <c r="E676" s="7"/>
      <c r="F676" s="6"/>
      <c r="G676" s="6"/>
      <c r="H676" s="6"/>
      <c r="I676" s="6"/>
      <c r="J676" s="6"/>
      <c r="K676" s="6"/>
      <c r="L676" s="6"/>
      <c r="M676" s="6"/>
      <c r="N676" s="6"/>
      <c r="O676" s="6"/>
      <c r="P676" s="6"/>
      <c r="Q676" s="6"/>
      <c r="R676" s="6"/>
      <c r="S676" s="6"/>
      <c r="T676" s="6"/>
      <c r="U676" s="6"/>
      <c r="V676" s="6"/>
      <c r="W676" s="6"/>
    </row>
    <row r="677" spans="1:23" ht="16" x14ac:dyDescent="0.2">
      <c r="A677" s="6"/>
      <c r="B677" s="7"/>
      <c r="C677" s="7"/>
      <c r="D677" s="7"/>
      <c r="E677" s="7"/>
      <c r="F677" s="6"/>
      <c r="G677" s="6"/>
      <c r="H677" s="6"/>
      <c r="I677" s="6"/>
      <c r="J677" s="6"/>
      <c r="K677" s="6"/>
      <c r="L677" s="6"/>
      <c r="M677" s="6"/>
      <c r="N677" s="6"/>
      <c r="O677" s="6"/>
      <c r="P677" s="6"/>
      <c r="Q677" s="6"/>
      <c r="R677" s="6"/>
      <c r="S677" s="6"/>
      <c r="T677" s="6"/>
      <c r="U677" s="6"/>
      <c r="V677" s="6"/>
      <c r="W677" s="6"/>
    </row>
    <row r="678" spans="1:23" ht="16" x14ac:dyDescent="0.2">
      <c r="A678" s="6"/>
      <c r="B678" s="7"/>
      <c r="C678" s="7"/>
      <c r="D678" s="7"/>
      <c r="E678" s="7"/>
      <c r="F678" s="6"/>
      <c r="G678" s="6"/>
      <c r="H678" s="6"/>
      <c r="I678" s="6"/>
      <c r="J678" s="6"/>
      <c r="K678" s="6"/>
      <c r="L678" s="6"/>
      <c r="M678" s="6"/>
      <c r="N678" s="6"/>
      <c r="O678" s="6"/>
      <c r="P678" s="6"/>
      <c r="Q678" s="6"/>
      <c r="R678" s="6"/>
      <c r="S678" s="6"/>
      <c r="T678" s="6"/>
      <c r="U678" s="6"/>
      <c r="V678" s="6"/>
      <c r="W678" s="6"/>
    </row>
    <row r="679" spans="1:23" ht="16" x14ac:dyDescent="0.2">
      <c r="A679" s="6"/>
      <c r="B679" s="7"/>
      <c r="C679" s="7"/>
      <c r="D679" s="7"/>
      <c r="E679" s="7"/>
      <c r="F679" s="6"/>
      <c r="G679" s="6"/>
      <c r="H679" s="6"/>
      <c r="I679" s="6"/>
      <c r="J679" s="6"/>
      <c r="K679" s="6"/>
      <c r="L679" s="6"/>
      <c r="M679" s="6"/>
      <c r="N679" s="6"/>
      <c r="O679" s="6"/>
      <c r="P679" s="6"/>
      <c r="Q679" s="6"/>
      <c r="R679" s="6"/>
      <c r="S679" s="6"/>
      <c r="T679" s="6"/>
      <c r="U679" s="6"/>
      <c r="V679" s="6"/>
      <c r="W679" s="6"/>
    </row>
    <row r="680" spans="1:23" ht="16" x14ac:dyDescent="0.2">
      <c r="A680" s="6"/>
      <c r="B680" s="7"/>
      <c r="C680" s="7"/>
      <c r="D680" s="7"/>
      <c r="E680" s="7"/>
      <c r="F680" s="6"/>
      <c r="G680" s="6"/>
      <c r="H680" s="6"/>
      <c r="I680" s="6"/>
      <c r="J680" s="6"/>
      <c r="K680" s="6"/>
      <c r="L680" s="6"/>
      <c r="M680" s="6"/>
      <c r="N680" s="6"/>
      <c r="O680" s="6"/>
      <c r="P680" s="6"/>
      <c r="Q680" s="6"/>
      <c r="R680" s="6"/>
      <c r="S680" s="6"/>
      <c r="T680" s="6"/>
      <c r="U680" s="6"/>
      <c r="V680" s="6"/>
      <c r="W680" s="6"/>
    </row>
    <row r="681" spans="1:23" ht="16" x14ac:dyDescent="0.2">
      <c r="A681" s="6"/>
      <c r="B681" s="7"/>
      <c r="C681" s="7"/>
      <c r="D681" s="7"/>
      <c r="E681" s="7"/>
      <c r="F681" s="6"/>
      <c r="G681" s="6"/>
      <c r="H681" s="6"/>
      <c r="I681" s="6"/>
      <c r="J681" s="6"/>
      <c r="K681" s="6"/>
      <c r="L681" s="6"/>
      <c r="M681" s="6"/>
      <c r="N681" s="6"/>
      <c r="O681" s="6"/>
      <c r="P681" s="6"/>
      <c r="Q681" s="6"/>
      <c r="R681" s="6"/>
      <c r="S681" s="6"/>
      <c r="T681" s="6"/>
      <c r="U681" s="6"/>
      <c r="V681" s="6"/>
      <c r="W681" s="6"/>
    </row>
    <row r="682" spans="1:23" ht="16" x14ac:dyDescent="0.2">
      <c r="A682" s="6"/>
      <c r="B682" s="7"/>
      <c r="C682" s="7"/>
      <c r="D682" s="7"/>
      <c r="E682" s="7"/>
      <c r="F682" s="6"/>
      <c r="G682" s="6"/>
      <c r="H682" s="6"/>
      <c r="I682" s="6"/>
      <c r="J682" s="6"/>
      <c r="K682" s="6"/>
      <c r="L682" s="6"/>
      <c r="M682" s="6"/>
      <c r="N682" s="6"/>
      <c r="O682" s="6"/>
      <c r="P682" s="6"/>
      <c r="Q682" s="6"/>
      <c r="R682" s="6"/>
      <c r="S682" s="6"/>
      <c r="T682" s="6"/>
      <c r="U682" s="6"/>
      <c r="V682" s="6"/>
      <c r="W682" s="6"/>
    </row>
    <row r="683" spans="1:23" ht="16" x14ac:dyDescent="0.2">
      <c r="A683" s="6"/>
      <c r="B683" s="7"/>
      <c r="C683" s="7"/>
      <c r="D683" s="7"/>
      <c r="E683" s="7"/>
      <c r="F683" s="6"/>
      <c r="G683" s="6"/>
      <c r="H683" s="6"/>
      <c r="I683" s="6"/>
      <c r="J683" s="6"/>
      <c r="K683" s="6"/>
      <c r="L683" s="6"/>
      <c r="M683" s="6"/>
      <c r="N683" s="6"/>
      <c r="O683" s="6"/>
      <c r="P683" s="6"/>
      <c r="Q683" s="6"/>
      <c r="R683" s="6"/>
      <c r="S683" s="6"/>
      <c r="T683" s="6"/>
      <c r="U683" s="6"/>
      <c r="V683" s="6"/>
      <c r="W683" s="6"/>
    </row>
    <row r="684" spans="1:23" ht="16" x14ac:dyDescent="0.2">
      <c r="A684" s="6"/>
      <c r="B684" s="7"/>
      <c r="C684" s="7"/>
      <c r="D684" s="7"/>
      <c r="E684" s="7"/>
      <c r="F684" s="6"/>
      <c r="G684" s="6"/>
      <c r="H684" s="6"/>
      <c r="I684" s="6"/>
      <c r="J684" s="6"/>
      <c r="K684" s="6"/>
      <c r="L684" s="6"/>
      <c r="M684" s="6"/>
      <c r="N684" s="6"/>
      <c r="O684" s="6"/>
      <c r="P684" s="6"/>
      <c r="Q684" s="6"/>
      <c r="R684" s="6"/>
      <c r="S684" s="6"/>
      <c r="T684" s="6"/>
      <c r="U684" s="6"/>
      <c r="V684" s="6"/>
      <c r="W684" s="6"/>
    </row>
    <row r="685" spans="1:23" ht="16" x14ac:dyDescent="0.2">
      <c r="A685" s="6"/>
      <c r="B685" s="7"/>
      <c r="C685" s="7"/>
      <c r="D685" s="7"/>
      <c r="E685" s="7"/>
      <c r="F685" s="6"/>
      <c r="G685" s="6"/>
      <c r="H685" s="6"/>
      <c r="I685" s="6"/>
      <c r="J685" s="6"/>
      <c r="K685" s="6"/>
      <c r="L685" s="6"/>
      <c r="M685" s="6"/>
      <c r="N685" s="6"/>
      <c r="O685" s="6"/>
      <c r="P685" s="6"/>
      <c r="Q685" s="6"/>
      <c r="R685" s="6"/>
      <c r="S685" s="6"/>
      <c r="T685" s="6"/>
      <c r="U685" s="6"/>
      <c r="V685" s="6"/>
      <c r="W685" s="6"/>
    </row>
    <row r="686" spans="1:23" ht="16" x14ac:dyDescent="0.2">
      <c r="A686" s="6"/>
      <c r="B686" s="7"/>
      <c r="C686" s="7"/>
      <c r="D686" s="7"/>
      <c r="E686" s="7"/>
      <c r="F686" s="6"/>
      <c r="G686" s="6"/>
      <c r="H686" s="6"/>
      <c r="I686" s="6"/>
      <c r="J686" s="6"/>
      <c r="K686" s="6"/>
      <c r="L686" s="6"/>
      <c r="M686" s="6"/>
      <c r="N686" s="6"/>
      <c r="O686" s="6"/>
      <c r="P686" s="6"/>
      <c r="Q686" s="6"/>
      <c r="R686" s="6"/>
      <c r="S686" s="6"/>
      <c r="T686" s="6"/>
      <c r="U686" s="6"/>
      <c r="V686" s="6"/>
      <c r="W686" s="6"/>
    </row>
    <row r="687" spans="1:23" ht="16" x14ac:dyDescent="0.2">
      <c r="A687" s="6"/>
      <c r="B687" s="7"/>
      <c r="C687" s="7"/>
      <c r="D687" s="7"/>
      <c r="E687" s="7"/>
      <c r="F687" s="6"/>
      <c r="G687" s="6"/>
      <c r="H687" s="6"/>
      <c r="I687" s="6"/>
      <c r="J687" s="6"/>
      <c r="K687" s="6"/>
      <c r="L687" s="6"/>
      <c r="M687" s="6"/>
      <c r="N687" s="6"/>
      <c r="O687" s="6"/>
      <c r="P687" s="6"/>
      <c r="Q687" s="6"/>
      <c r="R687" s="6"/>
      <c r="S687" s="6"/>
      <c r="T687" s="6"/>
      <c r="U687" s="6"/>
      <c r="V687" s="6"/>
      <c r="W687" s="6"/>
    </row>
    <row r="688" spans="1:23" ht="16" x14ac:dyDescent="0.2">
      <c r="A688" s="6"/>
      <c r="B688" s="7"/>
      <c r="C688" s="7"/>
      <c r="D688" s="7"/>
      <c r="E688" s="7"/>
      <c r="F688" s="6"/>
      <c r="G688" s="6"/>
      <c r="H688" s="6"/>
      <c r="I688" s="6"/>
      <c r="J688" s="6"/>
      <c r="K688" s="6"/>
      <c r="L688" s="6"/>
      <c r="M688" s="6"/>
      <c r="N688" s="6"/>
      <c r="O688" s="6"/>
      <c r="P688" s="6"/>
      <c r="Q688" s="6"/>
      <c r="R688" s="6"/>
      <c r="S688" s="6"/>
      <c r="T688" s="6"/>
      <c r="U688" s="6"/>
      <c r="V688" s="6"/>
      <c r="W688" s="6"/>
    </row>
    <row r="689" spans="1:23" ht="16" x14ac:dyDescent="0.2">
      <c r="A689" s="6"/>
      <c r="B689" s="7"/>
      <c r="C689" s="7"/>
      <c r="D689" s="7"/>
      <c r="E689" s="7"/>
      <c r="F689" s="6"/>
      <c r="G689" s="6"/>
      <c r="H689" s="6"/>
      <c r="I689" s="6"/>
      <c r="J689" s="6"/>
      <c r="K689" s="6"/>
      <c r="L689" s="6"/>
      <c r="M689" s="6"/>
      <c r="N689" s="6"/>
      <c r="O689" s="6"/>
      <c r="P689" s="6"/>
      <c r="Q689" s="6"/>
      <c r="R689" s="6"/>
      <c r="S689" s="6"/>
      <c r="T689" s="6"/>
      <c r="U689" s="6"/>
      <c r="V689" s="6"/>
      <c r="W689" s="6"/>
    </row>
    <row r="690" spans="1:23" ht="16" x14ac:dyDescent="0.2">
      <c r="A690" s="6"/>
      <c r="B690" s="7"/>
      <c r="C690" s="7"/>
      <c r="D690" s="7"/>
      <c r="E690" s="7"/>
      <c r="F690" s="6"/>
      <c r="G690" s="6"/>
      <c r="H690" s="6"/>
      <c r="I690" s="6"/>
      <c r="J690" s="6"/>
      <c r="K690" s="6"/>
      <c r="L690" s="6"/>
      <c r="M690" s="6"/>
      <c r="N690" s="6"/>
      <c r="O690" s="6"/>
      <c r="P690" s="6"/>
      <c r="Q690" s="6"/>
      <c r="R690" s="6"/>
      <c r="S690" s="6"/>
      <c r="T690" s="6"/>
      <c r="U690" s="6"/>
      <c r="V690" s="6"/>
      <c r="W690" s="6"/>
    </row>
    <row r="691" spans="1:23" ht="16" x14ac:dyDescent="0.2">
      <c r="A691" s="6"/>
      <c r="B691" s="7"/>
      <c r="C691" s="7"/>
      <c r="D691" s="7"/>
      <c r="E691" s="7"/>
      <c r="F691" s="6"/>
      <c r="G691" s="6"/>
      <c r="H691" s="6"/>
      <c r="I691" s="6"/>
      <c r="J691" s="6"/>
      <c r="K691" s="6"/>
      <c r="L691" s="6"/>
      <c r="M691" s="6"/>
      <c r="N691" s="6"/>
      <c r="O691" s="6"/>
      <c r="P691" s="6"/>
      <c r="Q691" s="6"/>
      <c r="R691" s="6"/>
      <c r="S691" s="6"/>
      <c r="T691" s="6"/>
      <c r="U691" s="6"/>
      <c r="V691" s="6"/>
      <c r="W691" s="6"/>
    </row>
    <row r="692" spans="1:23" ht="16" x14ac:dyDescent="0.2">
      <c r="A692" s="6"/>
      <c r="B692" s="7"/>
      <c r="C692" s="7"/>
      <c r="D692" s="7"/>
      <c r="E692" s="7"/>
      <c r="F692" s="6"/>
      <c r="G692" s="6"/>
      <c r="H692" s="6"/>
      <c r="I692" s="6"/>
      <c r="J692" s="6"/>
      <c r="K692" s="6"/>
      <c r="L692" s="6"/>
      <c r="M692" s="6"/>
      <c r="N692" s="6"/>
      <c r="O692" s="6"/>
      <c r="P692" s="6"/>
      <c r="Q692" s="6"/>
      <c r="R692" s="6"/>
      <c r="S692" s="6"/>
      <c r="T692" s="6"/>
      <c r="U692" s="6"/>
      <c r="V692" s="6"/>
      <c r="W692" s="6"/>
    </row>
    <row r="693" spans="1:23" ht="16" x14ac:dyDescent="0.2">
      <c r="A693" s="6"/>
      <c r="B693" s="7"/>
      <c r="C693" s="7"/>
      <c r="D693" s="7"/>
      <c r="E693" s="7"/>
      <c r="F693" s="6"/>
      <c r="G693" s="6"/>
      <c r="H693" s="6"/>
      <c r="I693" s="6"/>
      <c r="J693" s="6"/>
      <c r="K693" s="6"/>
      <c r="L693" s="6"/>
      <c r="M693" s="6"/>
      <c r="N693" s="6"/>
      <c r="O693" s="6"/>
      <c r="P693" s="6"/>
      <c r="Q693" s="6"/>
      <c r="R693" s="6"/>
      <c r="S693" s="6"/>
      <c r="T693" s="6"/>
      <c r="U693" s="6"/>
      <c r="V693" s="6"/>
      <c r="W693" s="6"/>
    </row>
    <row r="694" spans="1:23" ht="16" x14ac:dyDescent="0.2">
      <c r="A694" s="6"/>
      <c r="B694" s="7"/>
      <c r="C694" s="7"/>
      <c r="D694" s="7"/>
      <c r="E694" s="7"/>
      <c r="F694" s="6"/>
      <c r="G694" s="6"/>
      <c r="H694" s="6"/>
      <c r="I694" s="6"/>
      <c r="J694" s="6"/>
      <c r="K694" s="6"/>
      <c r="L694" s="6"/>
      <c r="M694" s="6"/>
      <c r="N694" s="6"/>
      <c r="O694" s="6"/>
      <c r="P694" s="6"/>
      <c r="Q694" s="6"/>
      <c r="R694" s="6"/>
      <c r="S694" s="6"/>
      <c r="T694" s="6"/>
      <c r="U694" s="6"/>
      <c r="V694" s="6"/>
      <c r="W694" s="6"/>
    </row>
    <row r="695" spans="1:23" ht="16" x14ac:dyDescent="0.2">
      <c r="A695" s="6"/>
      <c r="B695" s="7"/>
      <c r="C695" s="7"/>
      <c r="D695" s="7"/>
      <c r="E695" s="7"/>
      <c r="F695" s="6"/>
      <c r="G695" s="6"/>
      <c r="H695" s="6"/>
      <c r="I695" s="6"/>
      <c r="J695" s="6"/>
      <c r="K695" s="6"/>
      <c r="L695" s="6"/>
      <c r="M695" s="6"/>
      <c r="N695" s="6"/>
      <c r="O695" s="6"/>
      <c r="P695" s="6"/>
      <c r="Q695" s="6"/>
      <c r="R695" s="6"/>
      <c r="S695" s="6"/>
      <c r="T695" s="6"/>
      <c r="U695" s="6"/>
      <c r="V695" s="6"/>
      <c r="W695" s="6"/>
    </row>
    <row r="696" spans="1:23" ht="16" x14ac:dyDescent="0.2">
      <c r="A696" s="6"/>
      <c r="B696" s="7"/>
      <c r="C696" s="7"/>
      <c r="D696" s="7"/>
      <c r="E696" s="7"/>
      <c r="F696" s="6"/>
      <c r="G696" s="6"/>
      <c r="H696" s="6"/>
      <c r="I696" s="6"/>
      <c r="J696" s="6"/>
      <c r="K696" s="6"/>
      <c r="L696" s="6"/>
      <c r="M696" s="6"/>
      <c r="N696" s="6"/>
      <c r="O696" s="6"/>
      <c r="P696" s="6"/>
      <c r="Q696" s="6"/>
      <c r="R696" s="6"/>
      <c r="S696" s="6"/>
      <c r="T696" s="6"/>
      <c r="U696" s="6"/>
      <c r="V696" s="6"/>
      <c r="W696" s="6"/>
    </row>
    <row r="697" spans="1:23" ht="16" x14ac:dyDescent="0.2">
      <c r="A697" s="6"/>
      <c r="B697" s="7"/>
      <c r="C697" s="7"/>
      <c r="D697" s="7"/>
      <c r="E697" s="7"/>
      <c r="F697" s="6"/>
      <c r="G697" s="6"/>
      <c r="H697" s="6"/>
      <c r="I697" s="6"/>
      <c r="J697" s="6"/>
      <c r="K697" s="6"/>
      <c r="L697" s="6"/>
      <c r="M697" s="6"/>
      <c r="N697" s="6"/>
      <c r="O697" s="6"/>
      <c r="P697" s="6"/>
      <c r="Q697" s="6"/>
      <c r="R697" s="6"/>
      <c r="S697" s="6"/>
      <c r="T697" s="6"/>
      <c r="U697" s="6"/>
      <c r="V697" s="6"/>
      <c r="W697" s="6"/>
    </row>
    <row r="698" spans="1:23" ht="16" x14ac:dyDescent="0.2">
      <c r="A698" s="6"/>
      <c r="B698" s="7"/>
      <c r="C698" s="7"/>
      <c r="D698" s="7"/>
      <c r="E698" s="7"/>
      <c r="F698" s="6"/>
      <c r="G698" s="6"/>
      <c r="H698" s="6"/>
      <c r="I698" s="6"/>
      <c r="J698" s="6"/>
      <c r="K698" s="6"/>
      <c r="L698" s="6"/>
      <c r="M698" s="6"/>
      <c r="N698" s="6"/>
      <c r="O698" s="6"/>
      <c r="P698" s="6"/>
      <c r="Q698" s="6"/>
      <c r="R698" s="6"/>
      <c r="S698" s="6"/>
      <c r="T698" s="6"/>
      <c r="U698" s="6"/>
      <c r="V698" s="6"/>
      <c r="W698" s="6"/>
    </row>
    <row r="699" spans="1:23" ht="16" x14ac:dyDescent="0.2">
      <c r="A699" s="6"/>
      <c r="B699" s="7"/>
      <c r="C699" s="7"/>
      <c r="D699" s="7"/>
      <c r="E699" s="7"/>
      <c r="F699" s="6"/>
      <c r="G699" s="6"/>
      <c r="H699" s="6"/>
      <c r="I699" s="6"/>
      <c r="J699" s="6"/>
      <c r="K699" s="6"/>
      <c r="L699" s="6"/>
      <c r="M699" s="6"/>
      <c r="N699" s="6"/>
      <c r="O699" s="6"/>
      <c r="P699" s="6"/>
      <c r="Q699" s="6"/>
      <c r="R699" s="6"/>
      <c r="S699" s="6"/>
      <c r="T699" s="6"/>
      <c r="U699" s="6"/>
      <c r="V699" s="6"/>
      <c r="W699" s="6"/>
    </row>
    <row r="700" spans="1:23" ht="16" x14ac:dyDescent="0.2">
      <c r="A700" s="6"/>
      <c r="B700" s="7"/>
      <c r="C700" s="7"/>
      <c r="D700" s="7"/>
      <c r="E700" s="7"/>
      <c r="F700" s="6"/>
      <c r="G700" s="6"/>
      <c r="H700" s="6"/>
      <c r="I700" s="6"/>
      <c r="J700" s="6"/>
      <c r="K700" s="6"/>
      <c r="L700" s="6"/>
      <c r="M700" s="6"/>
      <c r="N700" s="6"/>
      <c r="O700" s="6"/>
      <c r="P700" s="6"/>
      <c r="Q700" s="6"/>
      <c r="R700" s="6"/>
      <c r="S700" s="6"/>
      <c r="T700" s="6"/>
      <c r="U700" s="6"/>
      <c r="V700" s="6"/>
      <c r="W700" s="6"/>
    </row>
    <row r="701" spans="1:23" ht="16" x14ac:dyDescent="0.2">
      <c r="A701" s="6"/>
      <c r="B701" s="7"/>
      <c r="C701" s="7"/>
      <c r="D701" s="7"/>
      <c r="E701" s="7"/>
      <c r="F701" s="6"/>
      <c r="G701" s="6"/>
      <c r="H701" s="6"/>
      <c r="I701" s="6"/>
      <c r="J701" s="6"/>
      <c r="K701" s="6"/>
      <c r="L701" s="6"/>
      <c r="M701" s="6"/>
      <c r="N701" s="6"/>
      <c r="O701" s="6"/>
      <c r="P701" s="6"/>
      <c r="Q701" s="6"/>
      <c r="R701" s="6"/>
      <c r="S701" s="6"/>
      <c r="T701" s="6"/>
      <c r="U701" s="6"/>
      <c r="V701" s="6"/>
      <c r="W701" s="6"/>
    </row>
    <row r="702" spans="1:23" ht="16" x14ac:dyDescent="0.2">
      <c r="A702" s="6"/>
      <c r="B702" s="7"/>
      <c r="C702" s="7"/>
      <c r="D702" s="7"/>
      <c r="E702" s="7"/>
      <c r="F702" s="6"/>
      <c r="G702" s="6"/>
      <c r="H702" s="6"/>
      <c r="I702" s="6"/>
      <c r="J702" s="6"/>
      <c r="K702" s="6"/>
      <c r="L702" s="6"/>
      <c r="M702" s="6"/>
      <c r="N702" s="6"/>
      <c r="O702" s="6"/>
      <c r="P702" s="6"/>
      <c r="Q702" s="6"/>
      <c r="R702" s="6"/>
      <c r="S702" s="6"/>
      <c r="T702" s="6"/>
      <c r="U702" s="6"/>
      <c r="V702" s="6"/>
      <c r="W702" s="6"/>
    </row>
    <row r="703" spans="1:23" ht="16" x14ac:dyDescent="0.2">
      <c r="A703" s="6"/>
      <c r="B703" s="7"/>
      <c r="C703" s="7"/>
      <c r="D703" s="7"/>
      <c r="E703" s="7"/>
      <c r="F703" s="6"/>
      <c r="G703" s="6"/>
      <c r="H703" s="6"/>
      <c r="I703" s="6"/>
      <c r="J703" s="6"/>
      <c r="K703" s="6"/>
      <c r="L703" s="6"/>
      <c r="M703" s="6"/>
      <c r="N703" s="6"/>
      <c r="O703" s="6"/>
      <c r="P703" s="6"/>
      <c r="Q703" s="6"/>
      <c r="R703" s="6"/>
      <c r="S703" s="6"/>
      <c r="T703" s="6"/>
      <c r="U703" s="6"/>
      <c r="V703" s="6"/>
      <c r="W703" s="6"/>
    </row>
    <row r="704" spans="1:23" ht="16" x14ac:dyDescent="0.2">
      <c r="A704" s="6"/>
      <c r="B704" s="7"/>
      <c r="C704" s="7"/>
      <c r="D704" s="7"/>
      <c r="E704" s="7"/>
      <c r="F704" s="6"/>
      <c r="G704" s="6"/>
      <c r="H704" s="6"/>
      <c r="I704" s="6"/>
      <c r="J704" s="6"/>
      <c r="K704" s="6"/>
      <c r="L704" s="6"/>
      <c r="M704" s="6"/>
      <c r="N704" s="6"/>
      <c r="O704" s="6"/>
      <c r="P704" s="6"/>
      <c r="Q704" s="6"/>
      <c r="R704" s="6"/>
      <c r="S704" s="6"/>
      <c r="T704" s="6"/>
      <c r="U704" s="6"/>
      <c r="V704" s="6"/>
      <c r="W704" s="6"/>
    </row>
    <row r="705" spans="1:23" ht="16" x14ac:dyDescent="0.2">
      <c r="A705" s="6"/>
      <c r="B705" s="7"/>
      <c r="C705" s="7"/>
      <c r="D705" s="7"/>
      <c r="E705" s="7"/>
      <c r="F705" s="6"/>
      <c r="G705" s="6"/>
      <c r="H705" s="6"/>
      <c r="I705" s="6"/>
      <c r="J705" s="6"/>
      <c r="K705" s="6"/>
      <c r="L705" s="6"/>
      <c r="M705" s="6"/>
      <c r="N705" s="6"/>
      <c r="O705" s="6"/>
      <c r="P705" s="6"/>
      <c r="Q705" s="6"/>
      <c r="R705" s="6"/>
      <c r="S705" s="6"/>
      <c r="T705" s="6"/>
      <c r="U705" s="6"/>
      <c r="V705" s="6"/>
      <c r="W705" s="6"/>
    </row>
    <row r="706" spans="1:23" ht="16" x14ac:dyDescent="0.2">
      <c r="A706" s="6"/>
      <c r="B706" s="7"/>
      <c r="C706" s="7"/>
      <c r="D706" s="7"/>
      <c r="E706" s="7"/>
      <c r="F706" s="6"/>
      <c r="G706" s="6"/>
      <c r="H706" s="6"/>
      <c r="I706" s="6"/>
      <c r="J706" s="6"/>
      <c r="K706" s="6"/>
      <c r="L706" s="6"/>
      <c r="M706" s="6"/>
      <c r="N706" s="6"/>
      <c r="O706" s="6"/>
      <c r="P706" s="6"/>
      <c r="Q706" s="6"/>
      <c r="R706" s="6"/>
      <c r="S706" s="6"/>
      <c r="T706" s="6"/>
      <c r="U706" s="6"/>
      <c r="V706" s="6"/>
      <c r="W706" s="6"/>
    </row>
    <row r="707" spans="1:23" ht="16" x14ac:dyDescent="0.2">
      <c r="A707" s="6"/>
      <c r="B707" s="7"/>
      <c r="C707" s="7"/>
      <c r="D707" s="7"/>
      <c r="E707" s="7"/>
      <c r="F707" s="6"/>
      <c r="G707" s="6"/>
      <c r="H707" s="6"/>
      <c r="I707" s="6"/>
      <c r="J707" s="6"/>
      <c r="K707" s="6"/>
      <c r="L707" s="6"/>
      <c r="M707" s="6"/>
      <c r="N707" s="6"/>
      <c r="O707" s="6"/>
      <c r="P707" s="6"/>
      <c r="Q707" s="6"/>
      <c r="R707" s="6"/>
      <c r="S707" s="6"/>
      <c r="T707" s="6"/>
      <c r="U707" s="6"/>
      <c r="V707" s="6"/>
      <c r="W707" s="6"/>
    </row>
    <row r="708" spans="1:23" ht="16" x14ac:dyDescent="0.2">
      <c r="A708" s="6"/>
      <c r="B708" s="7"/>
      <c r="C708" s="7"/>
      <c r="D708" s="7"/>
      <c r="E708" s="7"/>
      <c r="F708" s="6"/>
      <c r="G708" s="6"/>
      <c r="H708" s="6"/>
      <c r="I708" s="6"/>
      <c r="J708" s="6"/>
      <c r="K708" s="6"/>
      <c r="L708" s="6"/>
      <c r="M708" s="6"/>
      <c r="N708" s="6"/>
      <c r="O708" s="6"/>
      <c r="P708" s="6"/>
      <c r="Q708" s="6"/>
      <c r="R708" s="6"/>
      <c r="S708" s="6"/>
      <c r="T708" s="6"/>
      <c r="U708" s="6"/>
      <c r="V708" s="6"/>
      <c r="W708" s="6"/>
    </row>
    <row r="709" spans="1:23" ht="16" x14ac:dyDescent="0.2">
      <c r="A709" s="6"/>
      <c r="B709" s="7"/>
      <c r="C709" s="7"/>
      <c r="D709" s="7"/>
      <c r="E709" s="7"/>
      <c r="F709" s="6"/>
      <c r="G709" s="6"/>
      <c r="H709" s="6"/>
      <c r="I709" s="6"/>
      <c r="J709" s="6"/>
      <c r="K709" s="6"/>
      <c r="L709" s="6"/>
      <c r="M709" s="6"/>
      <c r="N709" s="6"/>
      <c r="O709" s="6"/>
      <c r="P709" s="6"/>
      <c r="Q709" s="6"/>
      <c r="R709" s="6"/>
      <c r="S709" s="6"/>
      <c r="T709" s="6"/>
      <c r="U709" s="6"/>
      <c r="V709" s="6"/>
      <c r="W709" s="6"/>
    </row>
    <row r="710" spans="1:23" ht="16" x14ac:dyDescent="0.2">
      <c r="A710" s="6"/>
      <c r="B710" s="7"/>
      <c r="C710" s="7"/>
      <c r="D710" s="7"/>
      <c r="E710" s="7"/>
      <c r="F710" s="6"/>
      <c r="G710" s="6"/>
      <c r="H710" s="6"/>
      <c r="I710" s="6"/>
      <c r="J710" s="6"/>
      <c r="K710" s="6"/>
      <c r="L710" s="6"/>
      <c r="M710" s="6"/>
      <c r="N710" s="6"/>
      <c r="O710" s="6"/>
      <c r="P710" s="6"/>
      <c r="Q710" s="6"/>
      <c r="R710" s="6"/>
      <c r="S710" s="6"/>
      <c r="T710" s="6"/>
      <c r="U710" s="6"/>
      <c r="V710" s="6"/>
      <c r="W710" s="6"/>
    </row>
    <row r="711" spans="1:23" ht="16" x14ac:dyDescent="0.2">
      <c r="A711" s="6"/>
      <c r="B711" s="7"/>
      <c r="C711" s="7"/>
      <c r="D711" s="7"/>
      <c r="E711" s="7"/>
      <c r="F711" s="6"/>
      <c r="G711" s="6"/>
      <c r="H711" s="6"/>
      <c r="I711" s="6"/>
      <c r="J711" s="6"/>
      <c r="K711" s="6"/>
      <c r="L711" s="6"/>
      <c r="M711" s="6"/>
      <c r="N711" s="6"/>
      <c r="O711" s="6"/>
      <c r="P711" s="6"/>
      <c r="Q711" s="6"/>
      <c r="R711" s="6"/>
      <c r="S711" s="6"/>
      <c r="T711" s="6"/>
      <c r="U711" s="6"/>
      <c r="V711" s="6"/>
      <c r="W711" s="6"/>
    </row>
    <row r="712" spans="1:23" ht="16" x14ac:dyDescent="0.2">
      <c r="A712" s="6"/>
      <c r="B712" s="7"/>
      <c r="C712" s="7"/>
      <c r="D712" s="7"/>
      <c r="E712" s="7"/>
      <c r="F712" s="6"/>
      <c r="G712" s="6"/>
      <c r="H712" s="6"/>
      <c r="I712" s="6"/>
      <c r="J712" s="6"/>
      <c r="K712" s="6"/>
      <c r="L712" s="6"/>
      <c r="M712" s="6"/>
      <c r="N712" s="6"/>
      <c r="O712" s="6"/>
      <c r="P712" s="6"/>
      <c r="Q712" s="6"/>
      <c r="R712" s="6"/>
      <c r="S712" s="6"/>
      <c r="T712" s="6"/>
      <c r="U712" s="6"/>
      <c r="V712" s="6"/>
      <c r="W712" s="6"/>
    </row>
    <row r="713" spans="1:23" ht="16" x14ac:dyDescent="0.2">
      <c r="A713" s="6"/>
      <c r="B713" s="7"/>
      <c r="C713" s="7"/>
      <c r="D713" s="7"/>
      <c r="E713" s="7"/>
      <c r="F713" s="6"/>
      <c r="G713" s="6"/>
      <c r="H713" s="6"/>
      <c r="I713" s="6"/>
      <c r="J713" s="6"/>
      <c r="K713" s="6"/>
      <c r="L713" s="6"/>
      <c r="M713" s="6"/>
      <c r="N713" s="6"/>
      <c r="O713" s="6"/>
      <c r="P713" s="6"/>
      <c r="Q713" s="6"/>
      <c r="R713" s="6"/>
      <c r="S713" s="6"/>
      <c r="T713" s="6"/>
      <c r="U713" s="6"/>
      <c r="V713" s="6"/>
      <c r="W713" s="6"/>
    </row>
    <row r="714" spans="1:23" ht="16" x14ac:dyDescent="0.2">
      <c r="A714" s="6"/>
      <c r="B714" s="7"/>
      <c r="C714" s="7"/>
      <c r="D714" s="7"/>
      <c r="E714" s="7"/>
      <c r="F714" s="6"/>
      <c r="G714" s="6"/>
      <c r="H714" s="6"/>
      <c r="I714" s="6"/>
      <c r="J714" s="6"/>
      <c r="K714" s="6"/>
      <c r="L714" s="6"/>
      <c r="M714" s="6"/>
      <c r="N714" s="6"/>
      <c r="O714" s="6"/>
      <c r="P714" s="6"/>
      <c r="Q714" s="6"/>
      <c r="R714" s="6"/>
      <c r="S714" s="6"/>
      <c r="T714" s="6"/>
      <c r="U714" s="6"/>
      <c r="V714" s="6"/>
      <c r="W714" s="6"/>
    </row>
    <row r="715" spans="1:23" ht="16" x14ac:dyDescent="0.2">
      <c r="A715" s="6"/>
      <c r="B715" s="7"/>
      <c r="C715" s="7"/>
      <c r="D715" s="7"/>
      <c r="E715" s="7"/>
      <c r="F715" s="6"/>
      <c r="G715" s="6"/>
      <c r="H715" s="6"/>
      <c r="I715" s="6"/>
      <c r="J715" s="6"/>
      <c r="K715" s="6"/>
      <c r="L715" s="6"/>
      <c r="M715" s="6"/>
      <c r="N715" s="6"/>
      <c r="O715" s="6"/>
      <c r="P715" s="6"/>
      <c r="Q715" s="6"/>
      <c r="R715" s="6"/>
      <c r="S715" s="6"/>
      <c r="T715" s="6"/>
      <c r="U715" s="6"/>
      <c r="V715" s="6"/>
      <c r="W715" s="6"/>
    </row>
    <row r="716" spans="1:23" ht="16" x14ac:dyDescent="0.2">
      <c r="A716" s="6"/>
      <c r="B716" s="7"/>
      <c r="C716" s="7"/>
      <c r="D716" s="7"/>
      <c r="E716" s="7"/>
      <c r="F716" s="6"/>
      <c r="G716" s="6"/>
      <c r="H716" s="6"/>
      <c r="I716" s="6"/>
      <c r="J716" s="6"/>
      <c r="K716" s="6"/>
      <c r="L716" s="6"/>
      <c r="M716" s="6"/>
      <c r="N716" s="6"/>
      <c r="O716" s="6"/>
      <c r="P716" s="6"/>
      <c r="Q716" s="6"/>
      <c r="R716" s="6"/>
      <c r="S716" s="6"/>
      <c r="T716" s="6"/>
      <c r="U716" s="6"/>
      <c r="V716" s="6"/>
      <c r="W716" s="6"/>
    </row>
    <row r="717" spans="1:23" ht="16" x14ac:dyDescent="0.2">
      <c r="A717" s="6"/>
      <c r="B717" s="7"/>
      <c r="C717" s="7"/>
      <c r="D717" s="7"/>
      <c r="E717" s="7"/>
      <c r="F717" s="6"/>
      <c r="G717" s="6"/>
      <c r="H717" s="6"/>
      <c r="I717" s="6"/>
      <c r="J717" s="6"/>
      <c r="K717" s="6"/>
      <c r="L717" s="6"/>
      <c r="M717" s="6"/>
      <c r="N717" s="6"/>
      <c r="O717" s="6"/>
      <c r="P717" s="6"/>
      <c r="Q717" s="6"/>
      <c r="R717" s="6"/>
      <c r="S717" s="6"/>
      <c r="T717" s="6"/>
      <c r="U717" s="6"/>
      <c r="V717" s="6"/>
      <c r="W717" s="6"/>
    </row>
    <row r="718" spans="1:23" ht="16" x14ac:dyDescent="0.2">
      <c r="A718" s="6"/>
      <c r="B718" s="7"/>
      <c r="C718" s="7"/>
      <c r="D718" s="7"/>
      <c r="E718" s="7"/>
      <c r="F718" s="6"/>
      <c r="G718" s="6"/>
      <c r="H718" s="6"/>
      <c r="I718" s="6"/>
      <c r="J718" s="6"/>
      <c r="K718" s="6"/>
      <c r="L718" s="6"/>
      <c r="M718" s="6"/>
      <c r="N718" s="6"/>
      <c r="O718" s="6"/>
      <c r="P718" s="6"/>
      <c r="Q718" s="6"/>
      <c r="R718" s="6"/>
      <c r="S718" s="6"/>
      <c r="T718" s="6"/>
      <c r="U718" s="6"/>
      <c r="V718" s="6"/>
      <c r="W718" s="6"/>
    </row>
    <row r="719" spans="1:23" ht="16" x14ac:dyDescent="0.2">
      <c r="A719" s="6"/>
      <c r="B719" s="7"/>
      <c r="C719" s="7"/>
      <c r="D719" s="7"/>
      <c r="E719" s="7"/>
      <c r="F719" s="6"/>
      <c r="G719" s="6"/>
      <c r="H719" s="6"/>
      <c r="I719" s="6"/>
      <c r="J719" s="6"/>
      <c r="K719" s="6"/>
      <c r="L719" s="6"/>
      <c r="M719" s="6"/>
      <c r="N719" s="6"/>
      <c r="O719" s="6"/>
      <c r="P719" s="6"/>
      <c r="Q719" s="6"/>
      <c r="R719" s="6"/>
      <c r="S719" s="6"/>
      <c r="T719" s="6"/>
      <c r="U719" s="6"/>
      <c r="V719" s="6"/>
      <c r="W719" s="6"/>
    </row>
    <row r="720" spans="1:23" ht="16" x14ac:dyDescent="0.2">
      <c r="A720" s="6"/>
      <c r="B720" s="7"/>
      <c r="C720" s="7"/>
      <c r="D720" s="7"/>
      <c r="E720" s="7"/>
      <c r="F720" s="6"/>
      <c r="G720" s="6"/>
      <c r="H720" s="6"/>
      <c r="I720" s="6"/>
      <c r="J720" s="6"/>
      <c r="K720" s="6"/>
      <c r="L720" s="6"/>
      <c r="M720" s="6"/>
      <c r="N720" s="6"/>
      <c r="O720" s="6"/>
      <c r="P720" s="6"/>
      <c r="Q720" s="6"/>
      <c r="R720" s="6"/>
      <c r="S720" s="6"/>
      <c r="T720" s="6"/>
      <c r="U720" s="6"/>
      <c r="V720" s="6"/>
      <c r="W720" s="6"/>
    </row>
    <row r="721" spans="1:23" ht="16" x14ac:dyDescent="0.2">
      <c r="A721" s="6"/>
      <c r="B721" s="7"/>
      <c r="C721" s="7"/>
      <c r="D721" s="7"/>
      <c r="E721" s="7"/>
      <c r="F721" s="6"/>
      <c r="G721" s="6"/>
      <c r="H721" s="6"/>
      <c r="I721" s="6"/>
      <c r="J721" s="6"/>
      <c r="K721" s="6"/>
      <c r="L721" s="6"/>
      <c r="M721" s="6"/>
      <c r="N721" s="6"/>
      <c r="O721" s="6"/>
      <c r="P721" s="6"/>
      <c r="Q721" s="6"/>
      <c r="R721" s="6"/>
      <c r="S721" s="6"/>
      <c r="T721" s="6"/>
      <c r="U721" s="6"/>
      <c r="V721" s="6"/>
      <c r="W721" s="6"/>
    </row>
    <row r="722" spans="1:23" ht="16" x14ac:dyDescent="0.2">
      <c r="A722" s="6"/>
      <c r="B722" s="7"/>
      <c r="C722" s="7"/>
      <c r="D722" s="7"/>
      <c r="E722" s="7"/>
      <c r="F722" s="6"/>
      <c r="G722" s="6"/>
      <c r="H722" s="6"/>
      <c r="I722" s="6"/>
      <c r="J722" s="6"/>
      <c r="K722" s="6"/>
      <c r="L722" s="6"/>
      <c r="M722" s="6"/>
      <c r="N722" s="6"/>
      <c r="O722" s="6"/>
      <c r="P722" s="6"/>
      <c r="Q722" s="6"/>
      <c r="R722" s="6"/>
      <c r="S722" s="6"/>
      <c r="T722" s="6"/>
      <c r="U722" s="6"/>
      <c r="V722" s="6"/>
      <c r="W722" s="6"/>
    </row>
    <row r="723" spans="1:23" ht="16" x14ac:dyDescent="0.2">
      <c r="A723" s="6"/>
      <c r="B723" s="7"/>
      <c r="C723" s="7"/>
      <c r="D723" s="7"/>
      <c r="E723" s="7"/>
      <c r="F723" s="6"/>
      <c r="G723" s="6"/>
      <c r="H723" s="6"/>
      <c r="I723" s="6"/>
      <c r="J723" s="6"/>
      <c r="K723" s="6"/>
      <c r="L723" s="6"/>
      <c r="M723" s="6"/>
      <c r="N723" s="6"/>
      <c r="O723" s="6"/>
      <c r="P723" s="6"/>
      <c r="Q723" s="6"/>
      <c r="R723" s="6"/>
      <c r="S723" s="6"/>
      <c r="T723" s="6"/>
      <c r="U723" s="6"/>
      <c r="V723" s="6"/>
      <c r="W723" s="6"/>
    </row>
    <row r="724" spans="1:23" ht="16" x14ac:dyDescent="0.2">
      <c r="A724" s="6"/>
      <c r="B724" s="7"/>
      <c r="C724" s="7"/>
      <c r="D724" s="7"/>
      <c r="E724" s="7"/>
      <c r="F724" s="6"/>
      <c r="G724" s="6"/>
      <c r="H724" s="6"/>
      <c r="I724" s="6"/>
      <c r="J724" s="6"/>
      <c r="K724" s="6"/>
      <c r="L724" s="6"/>
      <c r="M724" s="6"/>
      <c r="N724" s="6"/>
      <c r="O724" s="6"/>
      <c r="P724" s="6"/>
      <c r="Q724" s="6"/>
      <c r="R724" s="6"/>
      <c r="S724" s="6"/>
      <c r="T724" s="6"/>
      <c r="U724" s="6"/>
      <c r="V724" s="6"/>
      <c r="W724" s="6"/>
    </row>
    <row r="725" spans="1:23" ht="16" x14ac:dyDescent="0.2">
      <c r="A725" s="6"/>
      <c r="B725" s="7"/>
      <c r="C725" s="7"/>
      <c r="D725" s="7"/>
      <c r="E725" s="7"/>
      <c r="F725" s="6"/>
      <c r="G725" s="6"/>
      <c r="H725" s="6"/>
      <c r="I725" s="6"/>
      <c r="J725" s="6"/>
      <c r="K725" s="6"/>
      <c r="L725" s="6"/>
      <c r="M725" s="6"/>
      <c r="N725" s="6"/>
      <c r="O725" s="6"/>
      <c r="P725" s="6"/>
      <c r="Q725" s="6"/>
      <c r="R725" s="6"/>
      <c r="S725" s="6"/>
      <c r="T725" s="6"/>
      <c r="U725" s="6"/>
      <c r="V725" s="6"/>
      <c r="W725" s="6"/>
    </row>
    <row r="726" spans="1:23" ht="16" x14ac:dyDescent="0.2">
      <c r="A726" s="6"/>
      <c r="B726" s="7"/>
      <c r="C726" s="7"/>
      <c r="D726" s="7"/>
      <c r="E726" s="7"/>
      <c r="F726" s="6"/>
      <c r="G726" s="6"/>
      <c r="H726" s="6"/>
      <c r="I726" s="6"/>
      <c r="J726" s="6"/>
      <c r="K726" s="6"/>
      <c r="L726" s="6"/>
      <c r="M726" s="6"/>
      <c r="N726" s="6"/>
      <c r="O726" s="6"/>
      <c r="P726" s="6"/>
      <c r="Q726" s="6"/>
      <c r="R726" s="6"/>
      <c r="S726" s="6"/>
      <c r="T726" s="6"/>
      <c r="U726" s="6"/>
      <c r="V726" s="6"/>
      <c r="W726" s="6"/>
    </row>
    <row r="727" spans="1:23" ht="16" x14ac:dyDescent="0.2">
      <c r="A727" s="6"/>
      <c r="B727" s="7"/>
      <c r="C727" s="7"/>
      <c r="D727" s="7"/>
      <c r="E727" s="7"/>
      <c r="F727" s="6"/>
      <c r="G727" s="6"/>
      <c r="H727" s="6"/>
      <c r="I727" s="6"/>
      <c r="J727" s="6"/>
      <c r="K727" s="6"/>
      <c r="L727" s="6"/>
      <c r="M727" s="6"/>
      <c r="N727" s="6"/>
      <c r="O727" s="6"/>
      <c r="P727" s="6"/>
      <c r="Q727" s="6"/>
      <c r="R727" s="6"/>
      <c r="S727" s="6"/>
      <c r="T727" s="6"/>
      <c r="U727" s="6"/>
      <c r="V727" s="6"/>
      <c r="W727" s="6"/>
    </row>
    <row r="728" spans="1:23" ht="16" x14ac:dyDescent="0.2">
      <c r="A728" s="6"/>
      <c r="B728" s="7"/>
      <c r="C728" s="7"/>
      <c r="D728" s="7"/>
      <c r="E728" s="7"/>
      <c r="F728" s="6"/>
      <c r="G728" s="6"/>
      <c r="H728" s="6"/>
      <c r="I728" s="6"/>
      <c r="J728" s="6"/>
      <c r="K728" s="6"/>
      <c r="L728" s="6"/>
      <c r="M728" s="6"/>
      <c r="N728" s="6"/>
      <c r="O728" s="6"/>
      <c r="P728" s="6"/>
      <c r="Q728" s="6"/>
      <c r="R728" s="6"/>
      <c r="S728" s="6"/>
      <c r="T728" s="6"/>
      <c r="U728" s="6"/>
      <c r="V728" s="6"/>
      <c r="W728" s="6"/>
    </row>
    <row r="729" spans="1:23" ht="16" x14ac:dyDescent="0.2">
      <c r="A729" s="6"/>
      <c r="B729" s="7"/>
      <c r="C729" s="7"/>
      <c r="D729" s="7"/>
      <c r="E729" s="7"/>
      <c r="F729" s="6"/>
      <c r="G729" s="6"/>
      <c r="H729" s="6"/>
      <c r="I729" s="6"/>
      <c r="J729" s="6"/>
      <c r="K729" s="6"/>
      <c r="L729" s="6"/>
      <c r="M729" s="6"/>
      <c r="N729" s="6"/>
      <c r="O729" s="6"/>
      <c r="P729" s="6"/>
      <c r="Q729" s="6"/>
      <c r="R729" s="6"/>
      <c r="S729" s="6"/>
      <c r="T729" s="6"/>
      <c r="U729" s="6"/>
      <c r="V729" s="6"/>
      <c r="W729" s="6"/>
    </row>
    <row r="730" spans="1:23" ht="16" x14ac:dyDescent="0.2">
      <c r="A730" s="6"/>
      <c r="B730" s="7"/>
      <c r="C730" s="7"/>
      <c r="D730" s="7"/>
      <c r="E730" s="7"/>
      <c r="F730" s="6"/>
      <c r="G730" s="6"/>
      <c r="H730" s="6"/>
      <c r="I730" s="6"/>
      <c r="J730" s="6"/>
      <c r="K730" s="6"/>
      <c r="L730" s="6"/>
      <c r="M730" s="6"/>
      <c r="N730" s="6"/>
      <c r="O730" s="6"/>
      <c r="P730" s="6"/>
      <c r="Q730" s="6"/>
      <c r="R730" s="6"/>
      <c r="S730" s="6"/>
      <c r="T730" s="6"/>
      <c r="U730" s="6"/>
      <c r="V730" s="6"/>
      <c r="W730" s="6"/>
    </row>
    <row r="731" spans="1:23" ht="16" x14ac:dyDescent="0.2">
      <c r="A731" s="6"/>
      <c r="B731" s="7"/>
      <c r="C731" s="7"/>
      <c r="D731" s="7"/>
      <c r="E731" s="7"/>
      <c r="F731" s="6"/>
      <c r="G731" s="6"/>
      <c r="H731" s="6"/>
      <c r="I731" s="6"/>
      <c r="J731" s="6"/>
      <c r="K731" s="6"/>
      <c r="L731" s="6"/>
      <c r="M731" s="6"/>
      <c r="N731" s="6"/>
      <c r="O731" s="6"/>
      <c r="P731" s="6"/>
      <c r="Q731" s="6"/>
      <c r="R731" s="6"/>
      <c r="S731" s="6"/>
      <c r="T731" s="6"/>
      <c r="U731" s="6"/>
      <c r="V731" s="6"/>
      <c r="W731" s="6"/>
    </row>
    <row r="732" spans="1:23" ht="16" x14ac:dyDescent="0.2">
      <c r="A732" s="6"/>
      <c r="B732" s="7"/>
      <c r="C732" s="7"/>
      <c r="D732" s="7"/>
      <c r="E732" s="7"/>
      <c r="F732" s="6"/>
      <c r="G732" s="6"/>
      <c r="H732" s="6"/>
      <c r="I732" s="6"/>
      <c r="J732" s="6"/>
      <c r="K732" s="6"/>
      <c r="L732" s="6"/>
      <c r="M732" s="6"/>
      <c r="N732" s="6"/>
      <c r="O732" s="6"/>
      <c r="P732" s="6"/>
      <c r="Q732" s="6"/>
      <c r="R732" s="6"/>
      <c r="S732" s="6"/>
      <c r="T732" s="6"/>
      <c r="U732" s="6"/>
      <c r="V732" s="6"/>
      <c r="W732" s="6"/>
    </row>
    <row r="733" spans="1:23" ht="16" x14ac:dyDescent="0.2">
      <c r="A733" s="6"/>
      <c r="B733" s="7"/>
      <c r="C733" s="7"/>
      <c r="D733" s="7"/>
      <c r="E733" s="7"/>
      <c r="F733" s="6"/>
      <c r="G733" s="6"/>
      <c r="H733" s="6"/>
      <c r="I733" s="6"/>
      <c r="J733" s="6"/>
      <c r="K733" s="6"/>
      <c r="L733" s="6"/>
      <c r="M733" s="6"/>
      <c r="N733" s="6"/>
      <c r="O733" s="6"/>
      <c r="P733" s="6"/>
      <c r="Q733" s="6"/>
      <c r="R733" s="6"/>
      <c r="S733" s="6"/>
      <c r="T733" s="6"/>
      <c r="U733" s="6"/>
      <c r="V733" s="6"/>
      <c r="W733" s="6"/>
    </row>
    <row r="734" spans="1:23" ht="16" x14ac:dyDescent="0.2">
      <c r="A734" s="6"/>
      <c r="B734" s="7"/>
      <c r="C734" s="7"/>
      <c r="D734" s="7"/>
      <c r="E734" s="7"/>
      <c r="F734" s="6"/>
      <c r="G734" s="6"/>
      <c r="H734" s="6"/>
      <c r="I734" s="6"/>
      <c r="J734" s="6"/>
      <c r="K734" s="6"/>
      <c r="L734" s="6"/>
      <c r="M734" s="6"/>
      <c r="N734" s="6"/>
      <c r="O734" s="6"/>
      <c r="P734" s="6"/>
      <c r="Q734" s="6"/>
      <c r="R734" s="6"/>
      <c r="S734" s="6"/>
      <c r="T734" s="6"/>
      <c r="U734" s="6"/>
      <c r="V734" s="6"/>
      <c r="W734" s="6"/>
    </row>
    <row r="735" spans="1:23" ht="16" x14ac:dyDescent="0.2">
      <c r="A735" s="6"/>
      <c r="B735" s="7"/>
      <c r="C735" s="7"/>
      <c r="D735" s="7"/>
      <c r="E735" s="7"/>
      <c r="F735" s="6"/>
      <c r="G735" s="6"/>
      <c r="H735" s="6"/>
      <c r="I735" s="6"/>
      <c r="J735" s="6"/>
      <c r="K735" s="6"/>
      <c r="L735" s="6"/>
      <c r="M735" s="6"/>
      <c r="N735" s="6"/>
      <c r="O735" s="6"/>
      <c r="P735" s="6"/>
      <c r="Q735" s="6"/>
      <c r="R735" s="6"/>
      <c r="S735" s="6"/>
      <c r="T735" s="6"/>
      <c r="U735" s="6"/>
      <c r="V735" s="6"/>
      <c r="W735" s="6"/>
    </row>
    <row r="736" spans="1:23" ht="16" x14ac:dyDescent="0.2">
      <c r="A736" s="6"/>
      <c r="B736" s="7"/>
      <c r="C736" s="7"/>
      <c r="D736" s="7"/>
      <c r="E736" s="7"/>
      <c r="F736" s="6"/>
      <c r="G736" s="6"/>
      <c r="H736" s="6"/>
      <c r="I736" s="6"/>
      <c r="J736" s="6"/>
      <c r="K736" s="6"/>
      <c r="L736" s="6"/>
      <c r="M736" s="6"/>
      <c r="N736" s="6"/>
      <c r="O736" s="6"/>
      <c r="P736" s="6"/>
      <c r="Q736" s="6"/>
      <c r="R736" s="6"/>
      <c r="S736" s="6"/>
      <c r="T736" s="6"/>
      <c r="U736" s="6"/>
      <c r="V736" s="6"/>
      <c r="W736" s="6"/>
    </row>
    <row r="737" spans="1:23" ht="16" x14ac:dyDescent="0.2">
      <c r="A737" s="6"/>
      <c r="B737" s="7"/>
      <c r="C737" s="7"/>
      <c r="D737" s="7"/>
      <c r="E737" s="7"/>
      <c r="F737" s="6"/>
      <c r="G737" s="6"/>
      <c r="H737" s="6"/>
      <c r="I737" s="6"/>
      <c r="J737" s="6"/>
      <c r="K737" s="6"/>
      <c r="L737" s="6"/>
      <c r="M737" s="6"/>
      <c r="N737" s="6"/>
      <c r="O737" s="6"/>
      <c r="P737" s="6"/>
      <c r="Q737" s="6"/>
      <c r="R737" s="6"/>
      <c r="S737" s="6"/>
      <c r="T737" s="6"/>
      <c r="U737" s="6"/>
      <c r="V737" s="6"/>
      <c r="W737" s="6"/>
    </row>
    <row r="738" spans="1:23" ht="16" x14ac:dyDescent="0.2">
      <c r="A738" s="6"/>
      <c r="B738" s="7"/>
      <c r="C738" s="7"/>
      <c r="D738" s="7"/>
      <c r="E738" s="7"/>
      <c r="F738" s="6"/>
      <c r="G738" s="6"/>
      <c r="H738" s="6"/>
      <c r="I738" s="6"/>
      <c r="J738" s="6"/>
      <c r="K738" s="6"/>
      <c r="L738" s="6"/>
      <c r="M738" s="6"/>
      <c r="N738" s="6"/>
      <c r="O738" s="6"/>
      <c r="P738" s="6"/>
      <c r="Q738" s="6"/>
      <c r="R738" s="6"/>
      <c r="S738" s="6"/>
      <c r="T738" s="6"/>
      <c r="U738" s="6"/>
      <c r="V738" s="6"/>
      <c r="W738" s="6"/>
    </row>
    <row r="739" spans="1:23" ht="16" x14ac:dyDescent="0.2">
      <c r="A739" s="6"/>
      <c r="B739" s="7"/>
      <c r="C739" s="7"/>
      <c r="D739" s="7"/>
      <c r="E739" s="7"/>
      <c r="F739" s="6"/>
      <c r="G739" s="6"/>
      <c r="H739" s="6"/>
      <c r="I739" s="6"/>
      <c r="J739" s="6"/>
      <c r="K739" s="6"/>
      <c r="L739" s="6"/>
      <c r="M739" s="6"/>
      <c r="N739" s="6"/>
      <c r="O739" s="6"/>
      <c r="P739" s="6"/>
      <c r="Q739" s="6"/>
      <c r="R739" s="6"/>
      <c r="S739" s="6"/>
      <c r="T739" s="6"/>
      <c r="U739" s="6"/>
      <c r="V739" s="6"/>
      <c r="W739" s="6"/>
    </row>
    <row r="740" spans="1:23" ht="16" x14ac:dyDescent="0.2">
      <c r="A740" s="6"/>
      <c r="B740" s="7"/>
      <c r="C740" s="7"/>
      <c r="D740" s="7"/>
      <c r="E740" s="7"/>
      <c r="F740" s="6"/>
      <c r="G740" s="6"/>
      <c r="H740" s="6"/>
      <c r="I740" s="6"/>
      <c r="J740" s="6"/>
      <c r="K740" s="6"/>
      <c r="L740" s="6"/>
      <c r="M740" s="6"/>
      <c r="N740" s="6"/>
      <c r="O740" s="6"/>
      <c r="P740" s="6"/>
      <c r="Q740" s="6"/>
      <c r="R740" s="6"/>
      <c r="S740" s="6"/>
      <c r="T740" s="6"/>
      <c r="U740" s="6"/>
      <c r="V740" s="6"/>
      <c r="W740" s="6"/>
    </row>
    <row r="741" spans="1:23" ht="16" x14ac:dyDescent="0.2">
      <c r="A741" s="6"/>
      <c r="B741" s="7"/>
      <c r="C741" s="7"/>
      <c r="D741" s="7"/>
      <c r="E741" s="7"/>
      <c r="F741" s="6"/>
      <c r="G741" s="6"/>
      <c r="H741" s="6"/>
      <c r="I741" s="6"/>
      <c r="J741" s="6"/>
      <c r="K741" s="6"/>
      <c r="L741" s="6"/>
      <c r="M741" s="6"/>
      <c r="N741" s="6"/>
      <c r="O741" s="6"/>
      <c r="P741" s="6"/>
      <c r="Q741" s="6"/>
      <c r="R741" s="6"/>
      <c r="S741" s="6"/>
      <c r="T741" s="6"/>
      <c r="U741" s="6"/>
      <c r="V741" s="6"/>
      <c r="W741" s="6"/>
    </row>
    <row r="742" spans="1:23" ht="16" x14ac:dyDescent="0.2">
      <c r="A742" s="6"/>
      <c r="B742" s="7"/>
      <c r="C742" s="7"/>
      <c r="D742" s="7"/>
      <c r="E742" s="7"/>
      <c r="F742" s="6"/>
      <c r="G742" s="6"/>
      <c r="H742" s="6"/>
      <c r="I742" s="6"/>
      <c r="J742" s="6"/>
      <c r="K742" s="6"/>
      <c r="L742" s="6"/>
      <c r="M742" s="6"/>
      <c r="N742" s="6"/>
      <c r="O742" s="6"/>
      <c r="P742" s="6"/>
      <c r="Q742" s="6"/>
      <c r="R742" s="6"/>
      <c r="S742" s="6"/>
      <c r="T742" s="6"/>
      <c r="U742" s="6"/>
      <c r="V742" s="6"/>
      <c r="W742" s="6"/>
    </row>
    <row r="743" spans="1:23" ht="16" x14ac:dyDescent="0.2">
      <c r="A743" s="6"/>
      <c r="B743" s="7"/>
      <c r="C743" s="7"/>
      <c r="D743" s="7"/>
      <c r="E743" s="7"/>
      <c r="F743" s="6"/>
      <c r="G743" s="6"/>
      <c r="H743" s="6"/>
      <c r="I743" s="6"/>
      <c r="J743" s="6"/>
      <c r="K743" s="6"/>
      <c r="L743" s="6"/>
      <c r="M743" s="6"/>
      <c r="N743" s="6"/>
      <c r="O743" s="6"/>
      <c r="P743" s="6"/>
      <c r="Q743" s="6"/>
      <c r="R743" s="6"/>
      <c r="S743" s="6"/>
      <c r="T743" s="6"/>
      <c r="U743" s="6"/>
      <c r="V743" s="6"/>
      <c r="W743" s="6"/>
    </row>
    <row r="744" spans="1:23" ht="16" x14ac:dyDescent="0.2">
      <c r="A744" s="6"/>
      <c r="B744" s="7"/>
      <c r="C744" s="7"/>
      <c r="D744" s="7"/>
      <c r="E744" s="7"/>
      <c r="F744" s="6"/>
      <c r="G744" s="6"/>
      <c r="H744" s="6"/>
      <c r="I744" s="6"/>
      <c r="J744" s="6"/>
      <c r="K744" s="6"/>
      <c r="L744" s="6"/>
      <c r="M744" s="6"/>
      <c r="N744" s="6"/>
      <c r="O744" s="6"/>
      <c r="P744" s="6"/>
      <c r="Q744" s="6"/>
      <c r="R744" s="6"/>
      <c r="S744" s="6"/>
      <c r="T744" s="6"/>
      <c r="U744" s="6"/>
      <c r="V744" s="6"/>
      <c r="W744" s="6"/>
    </row>
    <row r="745" spans="1:23" ht="16" x14ac:dyDescent="0.2">
      <c r="A745" s="6"/>
      <c r="B745" s="7"/>
      <c r="C745" s="7"/>
      <c r="D745" s="7"/>
      <c r="E745" s="7"/>
      <c r="F745" s="6"/>
      <c r="G745" s="6"/>
      <c r="H745" s="6"/>
      <c r="I745" s="6"/>
      <c r="J745" s="6"/>
      <c r="K745" s="6"/>
      <c r="L745" s="6"/>
      <c r="M745" s="6"/>
      <c r="N745" s="6"/>
      <c r="O745" s="6"/>
      <c r="P745" s="6"/>
      <c r="Q745" s="6"/>
      <c r="R745" s="6"/>
      <c r="S745" s="6"/>
      <c r="T745" s="6"/>
      <c r="U745" s="6"/>
      <c r="V745" s="6"/>
      <c r="W745" s="6"/>
    </row>
    <row r="746" spans="1:23" ht="16" x14ac:dyDescent="0.2">
      <c r="A746" s="6"/>
      <c r="B746" s="7"/>
      <c r="C746" s="7"/>
      <c r="D746" s="7"/>
      <c r="E746" s="7"/>
      <c r="F746" s="6"/>
      <c r="G746" s="6"/>
      <c r="H746" s="6"/>
      <c r="I746" s="6"/>
      <c r="J746" s="6"/>
      <c r="K746" s="6"/>
      <c r="L746" s="6"/>
      <c r="M746" s="6"/>
      <c r="N746" s="6"/>
      <c r="O746" s="6"/>
      <c r="P746" s="6"/>
      <c r="Q746" s="6"/>
      <c r="R746" s="6"/>
      <c r="S746" s="6"/>
      <c r="T746" s="6"/>
      <c r="U746" s="6"/>
      <c r="V746" s="6"/>
      <c r="W746" s="6"/>
    </row>
    <row r="747" spans="1:23" ht="16" x14ac:dyDescent="0.2">
      <c r="A747" s="6"/>
      <c r="B747" s="7"/>
      <c r="C747" s="7"/>
      <c r="D747" s="7"/>
      <c r="E747" s="7"/>
      <c r="F747" s="6"/>
      <c r="G747" s="6"/>
      <c r="H747" s="6"/>
      <c r="I747" s="6"/>
      <c r="J747" s="6"/>
      <c r="K747" s="6"/>
      <c r="L747" s="6"/>
      <c r="M747" s="6"/>
      <c r="N747" s="6"/>
      <c r="O747" s="6"/>
      <c r="P747" s="6"/>
      <c r="Q747" s="6"/>
      <c r="R747" s="6"/>
      <c r="S747" s="6"/>
      <c r="T747" s="6"/>
      <c r="U747" s="6"/>
      <c r="V747" s="6"/>
      <c r="W747" s="6"/>
    </row>
    <row r="748" spans="1:23" ht="16" x14ac:dyDescent="0.2">
      <c r="A748" s="6"/>
      <c r="B748" s="7"/>
      <c r="C748" s="7"/>
      <c r="D748" s="7"/>
      <c r="E748" s="7"/>
      <c r="F748" s="6"/>
      <c r="G748" s="6"/>
      <c r="H748" s="6"/>
      <c r="I748" s="6"/>
      <c r="J748" s="6"/>
      <c r="K748" s="6"/>
      <c r="L748" s="6"/>
      <c r="M748" s="6"/>
      <c r="N748" s="6"/>
      <c r="O748" s="6"/>
      <c r="P748" s="6"/>
      <c r="Q748" s="6"/>
      <c r="R748" s="6"/>
      <c r="S748" s="6"/>
      <c r="T748" s="6"/>
      <c r="U748" s="6"/>
      <c r="V748" s="6"/>
      <c r="W748" s="6"/>
    </row>
    <row r="749" spans="1:23" ht="16" x14ac:dyDescent="0.2">
      <c r="A749" s="6"/>
      <c r="B749" s="7"/>
      <c r="C749" s="7"/>
      <c r="D749" s="7"/>
      <c r="E749" s="7"/>
      <c r="F749" s="6"/>
      <c r="G749" s="6"/>
      <c r="H749" s="6"/>
      <c r="I749" s="6"/>
      <c r="J749" s="6"/>
      <c r="K749" s="6"/>
      <c r="L749" s="6"/>
      <c r="M749" s="6"/>
      <c r="N749" s="6"/>
      <c r="O749" s="6"/>
      <c r="P749" s="6"/>
      <c r="Q749" s="6"/>
      <c r="R749" s="6"/>
      <c r="S749" s="6"/>
      <c r="T749" s="6"/>
      <c r="U749" s="6"/>
      <c r="V749" s="6"/>
      <c r="W749" s="6"/>
    </row>
    <row r="750" spans="1:23" ht="16" x14ac:dyDescent="0.2">
      <c r="A750" s="6"/>
      <c r="B750" s="7"/>
      <c r="C750" s="7"/>
      <c r="D750" s="7"/>
      <c r="E750" s="7"/>
      <c r="F750" s="6"/>
      <c r="G750" s="6"/>
      <c r="H750" s="6"/>
      <c r="I750" s="6"/>
      <c r="J750" s="6"/>
      <c r="K750" s="6"/>
      <c r="L750" s="6"/>
      <c r="M750" s="6"/>
      <c r="N750" s="6"/>
      <c r="O750" s="6"/>
      <c r="P750" s="6"/>
      <c r="Q750" s="6"/>
      <c r="R750" s="6"/>
      <c r="S750" s="6"/>
      <c r="T750" s="6"/>
      <c r="U750" s="6"/>
      <c r="V750" s="6"/>
      <c r="W750" s="6"/>
    </row>
    <row r="751" spans="1:23" ht="16" x14ac:dyDescent="0.2">
      <c r="A751" s="6"/>
      <c r="B751" s="7"/>
      <c r="C751" s="7"/>
      <c r="D751" s="7"/>
      <c r="E751" s="7"/>
      <c r="F751" s="6"/>
      <c r="G751" s="6"/>
      <c r="H751" s="6"/>
      <c r="I751" s="6"/>
      <c r="J751" s="6"/>
      <c r="K751" s="6"/>
      <c r="L751" s="6"/>
      <c r="M751" s="6"/>
      <c r="N751" s="6"/>
      <c r="O751" s="6"/>
      <c r="P751" s="6"/>
      <c r="Q751" s="6"/>
      <c r="R751" s="6"/>
      <c r="S751" s="6"/>
      <c r="T751" s="6"/>
      <c r="U751" s="6"/>
      <c r="V751" s="6"/>
      <c r="W751" s="6"/>
    </row>
    <row r="752" spans="1:23" ht="16" x14ac:dyDescent="0.2">
      <c r="A752" s="6"/>
      <c r="B752" s="7"/>
      <c r="C752" s="7"/>
      <c r="D752" s="7"/>
      <c r="E752" s="7"/>
      <c r="F752" s="6"/>
      <c r="G752" s="6"/>
      <c r="H752" s="6"/>
      <c r="I752" s="6"/>
      <c r="J752" s="6"/>
      <c r="K752" s="6"/>
      <c r="L752" s="6"/>
      <c r="M752" s="6"/>
      <c r="N752" s="6"/>
      <c r="O752" s="6"/>
      <c r="P752" s="6"/>
      <c r="Q752" s="6"/>
      <c r="R752" s="6"/>
      <c r="S752" s="6"/>
      <c r="T752" s="6"/>
      <c r="U752" s="6"/>
      <c r="V752" s="6"/>
      <c r="W752" s="6"/>
    </row>
    <row r="753" spans="1:23" ht="16" x14ac:dyDescent="0.2">
      <c r="A753" s="6"/>
      <c r="B753" s="7"/>
      <c r="C753" s="7"/>
      <c r="D753" s="7"/>
      <c r="E753" s="7"/>
      <c r="F753" s="6"/>
      <c r="G753" s="6"/>
      <c r="H753" s="6"/>
      <c r="I753" s="6"/>
      <c r="J753" s="6"/>
      <c r="K753" s="6"/>
      <c r="L753" s="6"/>
      <c r="M753" s="6"/>
      <c r="N753" s="6"/>
      <c r="O753" s="6"/>
      <c r="P753" s="6"/>
      <c r="Q753" s="6"/>
      <c r="R753" s="6"/>
      <c r="S753" s="6"/>
      <c r="T753" s="6"/>
      <c r="U753" s="6"/>
      <c r="V753" s="6"/>
      <c r="W753" s="6"/>
    </row>
    <row r="754" spans="1:23" ht="16" x14ac:dyDescent="0.2">
      <c r="A754" s="6"/>
      <c r="B754" s="7"/>
      <c r="C754" s="7"/>
      <c r="D754" s="7"/>
      <c r="E754" s="7"/>
      <c r="F754" s="6"/>
      <c r="G754" s="6"/>
      <c r="H754" s="6"/>
      <c r="I754" s="6"/>
      <c r="J754" s="6"/>
      <c r="K754" s="6"/>
      <c r="L754" s="6"/>
      <c r="M754" s="6"/>
      <c r="N754" s="6"/>
      <c r="O754" s="6"/>
      <c r="P754" s="6"/>
      <c r="Q754" s="6"/>
      <c r="R754" s="6"/>
      <c r="S754" s="6"/>
      <c r="T754" s="6"/>
      <c r="U754" s="6"/>
      <c r="V754" s="6"/>
      <c r="W754" s="6"/>
    </row>
    <row r="755" spans="1:23" ht="16" x14ac:dyDescent="0.2">
      <c r="A755" s="6"/>
      <c r="B755" s="7"/>
      <c r="C755" s="7"/>
      <c r="D755" s="7"/>
      <c r="E755" s="7"/>
      <c r="F755" s="6"/>
      <c r="G755" s="6"/>
      <c r="H755" s="6"/>
      <c r="I755" s="6"/>
      <c r="J755" s="6"/>
      <c r="K755" s="6"/>
      <c r="L755" s="6"/>
      <c r="M755" s="6"/>
      <c r="N755" s="6"/>
      <c r="O755" s="6"/>
      <c r="P755" s="6"/>
      <c r="Q755" s="6"/>
      <c r="R755" s="6"/>
      <c r="S755" s="6"/>
      <c r="T755" s="6"/>
      <c r="U755" s="6"/>
      <c r="V755" s="6"/>
      <c r="W755" s="6"/>
    </row>
    <row r="756" spans="1:23" ht="16" x14ac:dyDescent="0.2">
      <c r="A756" s="6"/>
      <c r="B756" s="7"/>
      <c r="C756" s="7"/>
      <c r="D756" s="7"/>
      <c r="E756" s="7"/>
      <c r="F756" s="6"/>
      <c r="G756" s="6"/>
      <c r="H756" s="6"/>
      <c r="I756" s="6"/>
      <c r="J756" s="6"/>
      <c r="K756" s="6"/>
      <c r="L756" s="6"/>
      <c r="M756" s="6"/>
      <c r="N756" s="6"/>
      <c r="O756" s="6"/>
      <c r="P756" s="6"/>
      <c r="Q756" s="6"/>
      <c r="R756" s="6"/>
      <c r="S756" s="6"/>
      <c r="T756" s="6"/>
      <c r="U756" s="6"/>
      <c r="V756" s="6"/>
      <c r="W756" s="6"/>
    </row>
    <row r="757" spans="1:23" ht="16" x14ac:dyDescent="0.2">
      <c r="A757" s="6"/>
      <c r="B757" s="7"/>
      <c r="C757" s="7"/>
      <c r="D757" s="7"/>
      <c r="E757" s="7"/>
      <c r="F757" s="6"/>
      <c r="G757" s="6"/>
      <c r="H757" s="6"/>
      <c r="I757" s="6"/>
      <c r="J757" s="6"/>
      <c r="K757" s="6"/>
      <c r="L757" s="6"/>
      <c r="M757" s="6"/>
      <c r="N757" s="6"/>
      <c r="O757" s="6"/>
      <c r="P757" s="6"/>
      <c r="Q757" s="6"/>
      <c r="R757" s="6"/>
      <c r="S757" s="6"/>
      <c r="T757" s="6"/>
      <c r="U757" s="6"/>
      <c r="V757" s="6"/>
      <c r="W757" s="6"/>
    </row>
    <row r="758" spans="1:23" ht="16" x14ac:dyDescent="0.2">
      <c r="A758" s="6"/>
      <c r="B758" s="7"/>
      <c r="C758" s="7"/>
      <c r="D758" s="7"/>
      <c r="E758" s="7"/>
      <c r="F758" s="6"/>
      <c r="G758" s="6"/>
      <c r="H758" s="6"/>
      <c r="I758" s="6"/>
      <c r="J758" s="6"/>
      <c r="K758" s="6"/>
      <c r="L758" s="6"/>
      <c r="M758" s="6"/>
      <c r="N758" s="6"/>
      <c r="O758" s="6"/>
      <c r="P758" s="6"/>
      <c r="Q758" s="6"/>
      <c r="R758" s="6"/>
      <c r="S758" s="6"/>
      <c r="T758" s="6"/>
      <c r="U758" s="6"/>
      <c r="V758" s="6"/>
      <c r="W758" s="6"/>
    </row>
    <row r="759" spans="1:23" ht="16" x14ac:dyDescent="0.2">
      <c r="A759" s="6"/>
      <c r="B759" s="7"/>
      <c r="C759" s="7"/>
      <c r="D759" s="7"/>
      <c r="E759" s="7"/>
      <c r="F759" s="6"/>
      <c r="G759" s="6"/>
      <c r="H759" s="6"/>
      <c r="I759" s="6"/>
      <c r="J759" s="6"/>
      <c r="K759" s="6"/>
      <c r="L759" s="6"/>
      <c r="M759" s="6"/>
      <c r="N759" s="6"/>
      <c r="O759" s="6"/>
      <c r="P759" s="6"/>
      <c r="Q759" s="6"/>
      <c r="R759" s="6"/>
      <c r="S759" s="6"/>
      <c r="T759" s="6"/>
      <c r="U759" s="6"/>
      <c r="V759" s="6"/>
      <c r="W759" s="6"/>
    </row>
    <row r="760" spans="1:23" ht="16" x14ac:dyDescent="0.2">
      <c r="A760" s="6"/>
      <c r="B760" s="7"/>
      <c r="C760" s="7"/>
      <c r="D760" s="7"/>
      <c r="E760" s="7"/>
      <c r="F760" s="6"/>
      <c r="G760" s="6"/>
      <c r="H760" s="6"/>
      <c r="I760" s="6"/>
      <c r="J760" s="6"/>
      <c r="K760" s="6"/>
      <c r="L760" s="6"/>
      <c r="M760" s="6"/>
      <c r="N760" s="6"/>
      <c r="O760" s="6"/>
      <c r="P760" s="6"/>
      <c r="Q760" s="6"/>
      <c r="R760" s="6"/>
      <c r="S760" s="6"/>
      <c r="T760" s="6"/>
      <c r="U760" s="6"/>
      <c r="V760" s="6"/>
      <c r="W760" s="6"/>
    </row>
    <row r="761" spans="1:23" ht="16" x14ac:dyDescent="0.2">
      <c r="A761" s="6"/>
      <c r="B761" s="7"/>
      <c r="C761" s="7"/>
      <c r="D761" s="7"/>
      <c r="E761" s="7"/>
      <c r="F761" s="6"/>
      <c r="G761" s="6"/>
      <c r="H761" s="6"/>
      <c r="I761" s="6"/>
      <c r="J761" s="6"/>
      <c r="K761" s="6"/>
      <c r="L761" s="6"/>
      <c r="M761" s="6"/>
      <c r="N761" s="6"/>
      <c r="O761" s="6"/>
      <c r="P761" s="6"/>
      <c r="Q761" s="6"/>
      <c r="R761" s="6"/>
      <c r="S761" s="6"/>
      <c r="T761" s="6"/>
      <c r="U761" s="6"/>
      <c r="V761" s="6"/>
      <c r="W761" s="6"/>
    </row>
    <row r="762" spans="1:23" ht="16" x14ac:dyDescent="0.2">
      <c r="A762" s="6"/>
      <c r="B762" s="7"/>
      <c r="C762" s="7"/>
      <c r="D762" s="7"/>
      <c r="E762" s="7"/>
      <c r="F762" s="6"/>
      <c r="G762" s="6"/>
      <c r="H762" s="6"/>
      <c r="I762" s="6"/>
      <c r="J762" s="6"/>
      <c r="K762" s="6"/>
      <c r="L762" s="6"/>
      <c r="M762" s="6"/>
      <c r="N762" s="6"/>
      <c r="O762" s="6"/>
      <c r="P762" s="6"/>
      <c r="Q762" s="6"/>
      <c r="R762" s="6"/>
      <c r="S762" s="6"/>
      <c r="T762" s="6"/>
      <c r="U762" s="6"/>
      <c r="V762" s="6"/>
      <c r="W762" s="6"/>
    </row>
    <row r="763" spans="1:23" ht="16" x14ac:dyDescent="0.2">
      <c r="A763" s="6"/>
      <c r="B763" s="7"/>
      <c r="C763" s="7"/>
      <c r="D763" s="7"/>
      <c r="E763" s="7"/>
      <c r="F763" s="6"/>
      <c r="G763" s="6"/>
      <c r="H763" s="6"/>
      <c r="I763" s="6"/>
      <c r="J763" s="6"/>
      <c r="K763" s="6"/>
      <c r="L763" s="6"/>
      <c r="M763" s="6"/>
      <c r="N763" s="6"/>
      <c r="O763" s="6"/>
      <c r="P763" s="6"/>
      <c r="Q763" s="6"/>
      <c r="R763" s="6"/>
      <c r="S763" s="6"/>
      <c r="T763" s="6"/>
      <c r="U763" s="6"/>
      <c r="V763" s="6"/>
      <c r="W763" s="6"/>
    </row>
    <row r="764" spans="1:23" ht="16" x14ac:dyDescent="0.2">
      <c r="A764" s="6"/>
      <c r="B764" s="7"/>
      <c r="C764" s="7"/>
      <c r="D764" s="7"/>
      <c r="E764" s="7"/>
      <c r="F764" s="6"/>
      <c r="G764" s="6"/>
      <c r="H764" s="6"/>
      <c r="I764" s="6"/>
      <c r="J764" s="6"/>
      <c r="K764" s="6"/>
      <c r="L764" s="6"/>
      <c r="M764" s="6"/>
      <c r="N764" s="6"/>
      <c r="O764" s="6"/>
      <c r="P764" s="6"/>
      <c r="Q764" s="6"/>
      <c r="R764" s="6"/>
      <c r="S764" s="6"/>
      <c r="T764" s="6"/>
      <c r="U764" s="6"/>
      <c r="V764" s="6"/>
      <c r="W764" s="6"/>
    </row>
    <row r="765" spans="1:23" ht="16" x14ac:dyDescent="0.2">
      <c r="A765" s="6"/>
      <c r="B765" s="7"/>
      <c r="C765" s="7"/>
      <c r="D765" s="7"/>
      <c r="E765" s="7"/>
      <c r="F765" s="6"/>
      <c r="G765" s="6"/>
      <c r="H765" s="6"/>
      <c r="I765" s="6"/>
      <c r="J765" s="6"/>
      <c r="K765" s="6"/>
      <c r="L765" s="6"/>
      <c r="M765" s="6"/>
      <c r="N765" s="6"/>
      <c r="O765" s="6"/>
      <c r="P765" s="6"/>
      <c r="Q765" s="6"/>
      <c r="R765" s="6"/>
      <c r="S765" s="6"/>
      <c r="T765" s="6"/>
      <c r="U765" s="6"/>
      <c r="V765" s="6"/>
      <c r="W765" s="6"/>
    </row>
    <row r="766" spans="1:23" ht="16" x14ac:dyDescent="0.2">
      <c r="A766" s="6"/>
      <c r="B766" s="7"/>
      <c r="C766" s="7"/>
      <c r="D766" s="7"/>
      <c r="E766" s="7"/>
      <c r="F766" s="6"/>
      <c r="G766" s="6"/>
      <c r="H766" s="6"/>
      <c r="I766" s="6"/>
      <c r="J766" s="6"/>
      <c r="K766" s="6"/>
      <c r="L766" s="6"/>
      <c r="M766" s="6"/>
      <c r="N766" s="6"/>
      <c r="O766" s="6"/>
      <c r="P766" s="6"/>
      <c r="Q766" s="6"/>
      <c r="R766" s="6"/>
      <c r="S766" s="6"/>
      <c r="T766" s="6"/>
      <c r="U766" s="6"/>
      <c r="V766" s="6"/>
      <c r="W766" s="6"/>
    </row>
    <row r="767" spans="1:23" ht="16" x14ac:dyDescent="0.2">
      <c r="A767" s="6"/>
      <c r="B767" s="7"/>
      <c r="C767" s="7"/>
      <c r="D767" s="7"/>
      <c r="E767" s="7"/>
      <c r="F767" s="6"/>
      <c r="G767" s="6"/>
      <c r="H767" s="6"/>
      <c r="I767" s="6"/>
      <c r="J767" s="6"/>
      <c r="K767" s="6"/>
      <c r="L767" s="6"/>
      <c r="M767" s="6"/>
      <c r="N767" s="6"/>
      <c r="O767" s="6"/>
      <c r="P767" s="6"/>
      <c r="Q767" s="6"/>
      <c r="R767" s="6"/>
      <c r="S767" s="6"/>
      <c r="T767" s="6"/>
      <c r="U767" s="6"/>
      <c r="V767" s="6"/>
      <c r="W767" s="6"/>
    </row>
    <row r="768" spans="1:23" ht="16" x14ac:dyDescent="0.2">
      <c r="A768" s="6"/>
      <c r="B768" s="7"/>
      <c r="C768" s="7"/>
      <c r="D768" s="7"/>
      <c r="E768" s="7"/>
      <c r="F768" s="6"/>
      <c r="G768" s="6"/>
      <c r="H768" s="6"/>
      <c r="I768" s="6"/>
      <c r="J768" s="6"/>
      <c r="K768" s="6"/>
      <c r="L768" s="6"/>
      <c r="M768" s="6"/>
      <c r="N768" s="6"/>
      <c r="O768" s="6"/>
      <c r="P768" s="6"/>
      <c r="Q768" s="6"/>
      <c r="R768" s="6"/>
      <c r="S768" s="6"/>
      <c r="T768" s="6"/>
      <c r="U768" s="6"/>
      <c r="V768" s="6"/>
      <c r="W768" s="6"/>
    </row>
    <row r="769" spans="1:23" ht="16" x14ac:dyDescent="0.2">
      <c r="A769" s="6"/>
      <c r="B769" s="7"/>
      <c r="C769" s="7"/>
      <c r="D769" s="7"/>
      <c r="E769" s="7"/>
      <c r="F769" s="6"/>
      <c r="G769" s="6"/>
      <c r="H769" s="6"/>
      <c r="I769" s="6"/>
      <c r="J769" s="6"/>
      <c r="K769" s="6"/>
      <c r="L769" s="6"/>
      <c r="M769" s="6"/>
      <c r="N769" s="6"/>
      <c r="O769" s="6"/>
      <c r="P769" s="6"/>
      <c r="Q769" s="6"/>
      <c r="R769" s="6"/>
      <c r="S769" s="6"/>
      <c r="T769" s="6"/>
      <c r="U769" s="6"/>
      <c r="V769" s="6"/>
      <c r="W769" s="6"/>
    </row>
    <row r="770" spans="1:23" ht="16" x14ac:dyDescent="0.2">
      <c r="A770" s="6"/>
      <c r="B770" s="7"/>
      <c r="C770" s="7"/>
      <c r="D770" s="7"/>
      <c r="E770" s="7"/>
      <c r="F770" s="6"/>
      <c r="G770" s="6"/>
      <c r="H770" s="6"/>
      <c r="I770" s="6"/>
      <c r="J770" s="6"/>
      <c r="K770" s="6"/>
      <c r="L770" s="6"/>
      <c r="M770" s="6"/>
      <c r="N770" s="6"/>
      <c r="O770" s="6"/>
      <c r="P770" s="6"/>
      <c r="Q770" s="6"/>
      <c r="R770" s="6"/>
      <c r="S770" s="6"/>
      <c r="T770" s="6"/>
      <c r="U770" s="6"/>
      <c r="V770" s="6"/>
      <c r="W770" s="6"/>
    </row>
    <row r="771" spans="1:23" ht="16" x14ac:dyDescent="0.2">
      <c r="A771" s="6"/>
      <c r="B771" s="7"/>
      <c r="C771" s="7"/>
      <c r="D771" s="7"/>
      <c r="E771" s="7"/>
      <c r="F771" s="6"/>
      <c r="G771" s="6"/>
      <c r="H771" s="6"/>
      <c r="I771" s="6"/>
      <c r="J771" s="6"/>
      <c r="K771" s="6"/>
      <c r="L771" s="6"/>
      <c r="M771" s="6"/>
      <c r="N771" s="6"/>
      <c r="O771" s="6"/>
      <c r="P771" s="6"/>
      <c r="Q771" s="6"/>
      <c r="R771" s="6"/>
      <c r="S771" s="6"/>
      <c r="T771" s="6"/>
      <c r="U771" s="6"/>
      <c r="V771" s="6"/>
      <c r="W771" s="6"/>
    </row>
    <row r="772" spans="1:23" ht="16" x14ac:dyDescent="0.2">
      <c r="A772" s="6"/>
      <c r="B772" s="7"/>
      <c r="C772" s="7"/>
      <c r="D772" s="7"/>
      <c r="E772" s="7"/>
      <c r="F772" s="6"/>
      <c r="G772" s="6"/>
      <c r="H772" s="6"/>
      <c r="I772" s="6"/>
      <c r="J772" s="6"/>
      <c r="K772" s="6"/>
      <c r="L772" s="6"/>
      <c r="M772" s="6"/>
      <c r="N772" s="6"/>
      <c r="O772" s="6"/>
      <c r="P772" s="6"/>
      <c r="Q772" s="6"/>
      <c r="R772" s="6"/>
      <c r="S772" s="6"/>
      <c r="T772" s="6"/>
      <c r="U772" s="6"/>
      <c r="V772" s="6"/>
      <c r="W772" s="6"/>
    </row>
    <row r="773" spans="1:23" ht="16" x14ac:dyDescent="0.2">
      <c r="A773" s="6"/>
      <c r="B773" s="7"/>
      <c r="C773" s="7"/>
      <c r="D773" s="7"/>
      <c r="E773" s="7"/>
      <c r="F773" s="6"/>
      <c r="G773" s="6"/>
      <c r="H773" s="6"/>
      <c r="I773" s="6"/>
      <c r="J773" s="6"/>
      <c r="K773" s="6"/>
      <c r="L773" s="6"/>
      <c r="M773" s="6"/>
      <c r="N773" s="6"/>
      <c r="O773" s="6"/>
      <c r="P773" s="6"/>
      <c r="Q773" s="6"/>
      <c r="R773" s="6"/>
      <c r="S773" s="6"/>
      <c r="T773" s="6"/>
      <c r="U773" s="6"/>
      <c r="V773" s="6"/>
      <c r="W773" s="6"/>
    </row>
    <row r="774" spans="1:23" ht="16" x14ac:dyDescent="0.2">
      <c r="A774" s="6"/>
      <c r="B774" s="7"/>
      <c r="C774" s="7"/>
      <c r="D774" s="7"/>
      <c r="E774" s="7"/>
      <c r="F774" s="6"/>
      <c r="G774" s="6"/>
      <c r="H774" s="6"/>
      <c r="I774" s="6"/>
      <c r="J774" s="6"/>
      <c r="K774" s="6"/>
      <c r="L774" s="6"/>
      <c r="M774" s="6"/>
      <c r="N774" s="6"/>
      <c r="O774" s="6"/>
      <c r="P774" s="6"/>
      <c r="Q774" s="6"/>
      <c r="R774" s="6"/>
      <c r="S774" s="6"/>
      <c r="T774" s="6"/>
      <c r="U774" s="6"/>
      <c r="V774" s="6"/>
      <c r="W774" s="6"/>
    </row>
    <row r="775" spans="1:23" ht="16" x14ac:dyDescent="0.2">
      <c r="A775" s="6"/>
      <c r="B775" s="7"/>
      <c r="C775" s="7"/>
      <c r="D775" s="7"/>
      <c r="E775" s="7"/>
      <c r="F775" s="6"/>
      <c r="G775" s="6"/>
      <c r="H775" s="6"/>
      <c r="I775" s="6"/>
      <c r="J775" s="6"/>
      <c r="K775" s="6"/>
      <c r="L775" s="6"/>
      <c r="M775" s="6"/>
      <c r="N775" s="6"/>
      <c r="O775" s="6"/>
      <c r="P775" s="6"/>
      <c r="Q775" s="6"/>
      <c r="R775" s="6"/>
      <c r="S775" s="6"/>
      <c r="T775" s="6"/>
      <c r="U775" s="6"/>
      <c r="V775" s="6"/>
      <c r="W775" s="6"/>
    </row>
    <row r="776" spans="1:23" ht="16" x14ac:dyDescent="0.2">
      <c r="A776" s="6"/>
      <c r="B776" s="7"/>
      <c r="C776" s="7"/>
      <c r="D776" s="7"/>
      <c r="E776" s="7"/>
      <c r="F776" s="6"/>
      <c r="G776" s="6"/>
      <c r="H776" s="6"/>
      <c r="I776" s="6"/>
      <c r="J776" s="6"/>
      <c r="K776" s="6"/>
      <c r="L776" s="6"/>
      <c r="M776" s="6"/>
      <c r="N776" s="6"/>
      <c r="O776" s="6"/>
      <c r="P776" s="6"/>
      <c r="Q776" s="6"/>
      <c r="R776" s="6"/>
      <c r="S776" s="6"/>
      <c r="T776" s="6"/>
      <c r="U776" s="6"/>
      <c r="V776" s="6"/>
      <c r="W776" s="6"/>
    </row>
    <row r="777" spans="1:23" ht="16" x14ac:dyDescent="0.2">
      <c r="A777" s="6"/>
      <c r="B777" s="7"/>
      <c r="C777" s="7"/>
      <c r="D777" s="7"/>
      <c r="E777" s="7"/>
      <c r="F777" s="6"/>
      <c r="G777" s="6"/>
      <c r="H777" s="6"/>
      <c r="I777" s="6"/>
      <c r="J777" s="6"/>
      <c r="K777" s="6"/>
      <c r="L777" s="6"/>
      <c r="M777" s="6"/>
      <c r="N777" s="6"/>
      <c r="O777" s="6"/>
      <c r="P777" s="6"/>
      <c r="Q777" s="6"/>
      <c r="R777" s="6"/>
      <c r="S777" s="6"/>
      <c r="T777" s="6"/>
      <c r="U777" s="6"/>
      <c r="V777" s="6"/>
      <c r="W777" s="6"/>
    </row>
    <row r="778" spans="1:23" ht="16" x14ac:dyDescent="0.2">
      <c r="A778" s="6"/>
      <c r="B778" s="7"/>
      <c r="C778" s="7"/>
      <c r="D778" s="7"/>
      <c r="E778" s="7"/>
      <c r="F778" s="6"/>
      <c r="G778" s="6"/>
      <c r="H778" s="6"/>
      <c r="I778" s="6"/>
      <c r="J778" s="6"/>
      <c r="K778" s="6"/>
      <c r="L778" s="6"/>
      <c r="M778" s="6"/>
      <c r="N778" s="6"/>
      <c r="O778" s="6"/>
      <c r="P778" s="6"/>
      <c r="Q778" s="6"/>
      <c r="R778" s="6"/>
      <c r="S778" s="6"/>
      <c r="T778" s="6"/>
      <c r="U778" s="6"/>
      <c r="V778" s="6"/>
      <c r="W778" s="6"/>
    </row>
    <row r="779" spans="1:23" ht="16" x14ac:dyDescent="0.2">
      <c r="A779" s="6"/>
      <c r="B779" s="7"/>
      <c r="C779" s="7"/>
      <c r="D779" s="7"/>
      <c r="E779" s="7"/>
      <c r="F779" s="6"/>
      <c r="G779" s="6"/>
      <c r="H779" s="6"/>
      <c r="I779" s="6"/>
      <c r="J779" s="6"/>
      <c r="K779" s="6"/>
      <c r="L779" s="6"/>
      <c r="M779" s="6"/>
      <c r="N779" s="6"/>
      <c r="O779" s="6"/>
      <c r="P779" s="6"/>
      <c r="Q779" s="6"/>
      <c r="R779" s="6"/>
      <c r="S779" s="6"/>
      <c r="T779" s="6"/>
      <c r="U779" s="6"/>
      <c r="V779" s="6"/>
      <c r="W779" s="6"/>
    </row>
    <row r="780" spans="1:23" ht="16" x14ac:dyDescent="0.2">
      <c r="A780" s="6"/>
      <c r="B780" s="7"/>
      <c r="C780" s="7"/>
      <c r="D780" s="7"/>
      <c r="E780" s="7"/>
      <c r="F780" s="6"/>
      <c r="G780" s="6"/>
      <c r="H780" s="6"/>
      <c r="I780" s="6"/>
      <c r="J780" s="6"/>
      <c r="K780" s="6"/>
      <c r="L780" s="6"/>
      <c r="M780" s="6"/>
      <c r="N780" s="6"/>
      <c r="O780" s="6"/>
      <c r="P780" s="6"/>
      <c r="Q780" s="6"/>
      <c r="R780" s="6"/>
      <c r="S780" s="6"/>
      <c r="T780" s="6"/>
      <c r="U780" s="6"/>
      <c r="V780" s="6"/>
      <c r="W780" s="6"/>
    </row>
    <row r="781" spans="1:23" ht="16" x14ac:dyDescent="0.2">
      <c r="A781" s="6"/>
      <c r="B781" s="7"/>
      <c r="C781" s="7"/>
      <c r="D781" s="7"/>
      <c r="E781" s="7"/>
      <c r="F781" s="6"/>
      <c r="G781" s="6"/>
      <c r="H781" s="6"/>
      <c r="I781" s="6"/>
      <c r="J781" s="6"/>
      <c r="K781" s="6"/>
      <c r="L781" s="6"/>
      <c r="M781" s="6"/>
      <c r="N781" s="6"/>
      <c r="O781" s="6"/>
      <c r="P781" s="6"/>
      <c r="Q781" s="6"/>
      <c r="R781" s="6"/>
      <c r="S781" s="6"/>
      <c r="T781" s="6"/>
      <c r="U781" s="6"/>
      <c r="V781" s="6"/>
      <c r="W781" s="6"/>
    </row>
    <row r="782" spans="1:23" ht="16" x14ac:dyDescent="0.2">
      <c r="A782" s="6"/>
      <c r="B782" s="7"/>
      <c r="C782" s="7"/>
      <c r="D782" s="7"/>
      <c r="E782" s="7"/>
      <c r="F782" s="6"/>
      <c r="G782" s="6"/>
      <c r="H782" s="6"/>
      <c r="I782" s="6"/>
      <c r="J782" s="6"/>
      <c r="K782" s="6"/>
      <c r="L782" s="6"/>
      <c r="M782" s="6"/>
      <c r="N782" s="6"/>
      <c r="O782" s="6"/>
      <c r="P782" s="6"/>
      <c r="Q782" s="6"/>
      <c r="R782" s="6"/>
      <c r="S782" s="6"/>
      <c r="T782" s="6"/>
      <c r="U782" s="6"/>
      <c r="V782" s="6"/>
      <c r="W782" s="6"/>
    </row>
    <row r="783" spans="1:23" ht="16" x14ac:dyDescent="0.2">
      <c r="A783" s="6"/>
      <c r="B783" s="7"/>
      <c r="C783" s="7"/>
      <c r="D783" s="7"/>
      <c r="E783" s="7"/>
      <c r="F783" s="6"/>
      <c r="G783" s="6"/>
      <c r="H783" s="6"/>
      <c r="I783" s="6"/>
      <c r="J783" s="6"/>
      <c r="K783" s="6"/>
      <c r="L783" s="6"/>
      <c r="M783" s="6"/>
      <c r="N783" s="6"/>
      <c r="O783" s="6"/>
      <c r="P783" s="6"/>
      <c r="Q783" s="6"/>
      <c r="R783" s="6"/>
      <c r="S783" s="6"/>
      <c r="T783" s="6"/>
      <c r="U783" s="6"/>
      <c r="V783" s="6"/>
      <c r="W783" s="6"/>
    </row>
    <row r="784" spans="1:23" ht="16" x14ac:dyDescent="0.2">
      <c r="A784" s="6"/>
      <c r="B784" s="7"/>
      <c r="C784" s="7"/>
      <c r="D784" s="7"/>
      <c r="E784" s="7"/>
      <c r="F784" s="6"/>
      <c r="G784" s="6"/>
      <c r="H784" s="6"/>
      <c r="I784" s="6"/>
      <c r="J784" s="6"/>
      <c r="K784" s="6"/>
      <c r="L784" s="6"/>
      <c r="M784" s="6"/>
      <c r="N784" s="6"/>
      <c r="O784" s="6"/>
      <c r="P784" s="6"/>
      <c r="Q784" s="6"/>
      <c r="R784" s="6"/>
      <c r="S784" s="6"/>
      <c r="T784" s="6"/>
      <c r="U784" s="6"/>
      <c r="V784" s="6"/>
      <c r="W784" s="6"/>
    </row>
    <row r="785" spans="1:23" ht="16" x14ac:dyDescent="0.2">
      <c r="A785" s="6"/>
      <c r="B785" s="7"/>
      <c r="C785" s="7"/>
      <c r="D785" s="7"/>
      <c r="E785" s="7"/>
      <c r="F785" s="6"/>
      <c r="G785" s="6"/>
      <c r="H785" s="6"/>
      <c r="I785" s="6"/>
      <c r="J785" s="6"/>
      <c r="K785" s="6"/>
      <c r="L785" s="6"/>
      <c r="M785" s="6"/>
      <c r="N785" s="6"/>
      <c r="O785" s="6"/>
      <c r="P785" s="6"/>
      <c r="Q785" s="6"/>
      <c r="R785" s="6"/>
      <c r="S785" s="6"/>
      <c r="T785" s="6"/>
      <c r="U785" s="6"/>
      <c r="V785" s="6"/>
      <c r="W785" s="6"/>
    </row>
    <row r="786" spans="1:23" ht="16" x14ac:dyDescent="0.2">
      <c r="A786" s="6"/>
      <c r="B786" s="7"/>
      <c r="C786" s="7"/>
      <c r="D786" s="7"/>
      <c r="E786" s="7"/>
      <c r="F786" s="6"/>
      <c r="G786" s="6"/>
      <c r="H786" s="6"/>
      <c r="I786" s="6"/>
      <c r="J786" s="6"/>
      <c r="K786" s="6"/>
      <c r="L786" s="6"/>
      <c r="M786" s="6"/>
      <c r="N786" s="6"/>
      <c r="O786" s="6"/>
      <c r="P786" s="6"/>
      <c r="Q786" s="6"/>
      <c r="R786" s="6"/>
      <c r="S786" s="6"/>
      <c r="T786" s="6"/>
      <c r="U786" s="6"/>
      <c r="V786" s="6"/>
      <c r="W786" s="6"/>
    </row>
    <row r="787" spans="1:23" ht="16" x14ac:dyDescent="0.2">
      <c r="A787" s="6"/>
      <c r="B787" s="7"/>
      <c r="C787" s="7"/>
      <c r="D787" s="7"/>
      <c r="E787" s="7"/>
      <c r="F787" s="6"/>
      <c r="G787" s="6"/>
      <c r="H787" s="6"/>
      <c r="I787" s="6"/>
      <c r="J787" s="6"/>
      <c r="K787" s="6"/>
      <c r="L787" s="6"/>
      <c r="M787" s="6"/>
      <c r="N787" s="6"/>
      <c r="O787" s="6"/>
      <c r="P787" s="6"/>
      <c r="Q787" s="6"/>
      <c r="R787" s="6"/>
      <c r="S787" s="6"/>
      <c r="T787" s="6"/>
      <c r="U787" s="6"/>
      <c r="V787" s="6"/>
      <c r="W787" s="6"/>
    </row>
    <row r="788" spans="1:23" ht="16" x14ac:dyDescent="0.2">
      <c r="A788" s="6"/>
      <c r="B788" s="7"/>
      <c r="C788" s="7"/>
      <c r="D788" s="7"/>
      <c r="E788" s="7"/>
      <c r="F788" s="6"/>
      <c r="G788" s="6"/>
      <c r="H788" s="6"/>
      <c r="I788" s="6"/>
      <c r="J788" s="6"/>
      <c r="K788" s="6"/>
      <c r="L788" s="6"/>
      <c r="M788" s="6"/>
      <c r="N788" s="6"/>
      <c r="O788" s="6"/>
      <c r="P788" s="6"/>
      <c r="Q788" s="6"/>
      <c r="R788" s="6"/>
      <c r="S788" s="6"/>
      <c r="T788" s="6"/>
      <c r="U788" s="6"/>
      <c r="V788" s="6"/>
      <c r="W788" s="6"/>
    </row>
    <row r="789" spans="1:23" ht="16" x14ac:dyDescent="0.2">
      <c r="A789" s="6"/>
      <c r="B789" s="7"/>
      <c r="C789" s="7"/>
      <c r="D789" s="7"/>
      <c r="E789" s="7"/>
      <c r="F789" s="6"/>
      <c r="G789" s="6"/>
      <c r="H789" s="6"/>
      <c r="I789" s="6"/>
      <c r="J789" s="6"/>
      <c r="K789" s="6"/>
      <c r="L789" s="6"/>
      <c r="M789" s="6"/>
      <c r="N789" s="6"/>
      <c r="O789" s="6"/>
      <c r="P789" s="6"/>
      <c r="Q789" s="6"/>
      <c r="R789" s="6"/>
      <c r="S789" s="6"/>
      <c r="T789" s="6"/>
      <c r="U789" s="6"/>
      <c r="V789" s="6"/>
      <c r="W789" s="6"/>
    </row>
    <row r="790" spans="1:23" ht="16" x14ac:dyDescent="0.2">
      <c r="A790" s="6"/>
      <c r="B790" s="7"/>
      <c r="C790" s="7"/>
      <c r="D790" s="7"/>
      <c r="E790" s="7"/>
      <c r="F790" s="6"/>
      <c r="G790" s="6"/>
      <c r="H790" s="6"/>
      <c r="I790" s="6"/>
      <c r="J790" s="6"/>
      <c r="K790" s="6"/>
      <c r="L790" s="6"/>
      <c r="M790" s="6"/>
      <c r="N790" s="6"/>
      <c r="O790" s="6"/>
      <c r="P790" s="6"/>
      <c r="Q790" s="6"/>
      <c r="R790" s="6"/>
      <c r="S790" s="6"/>
      <c r="T790" s="6"/>
      <c r="U790" s="6"/>
      <c r="V790" s="6"/>
      <c r="W790" s="6"/>
    </row>
    <row r="791" spans="1:23" ht="16" x14ac:dyDescent="0.2">
      <c r="A791" s="6"/>
      <c r="B791" s="7"/>
      <c r="C791" s="7"/>
      <c r="D791" s="7"/>
      <c r="E791" s="7"/>
      <c r="F791" s="6"/>
      <c r="G791" s="6"/>
      <c r="H791" s="6"/>
      <c r="I791" s="6"/>
      <c r="J791" s="6"/>
      <c r="K791" s="6"/>
      <c r="L791" s="6"/>
      <c r="M791" s="6"/>
      <c r="N791" s="6"/>
      <c r="O791" s="6"/>
      <c r="P791" s="6"/>
      <c r="Q791" s="6"/>
      <c r="R791" s="6"/>
      <c r="S791" s="6"/>
      <c r="T791" s="6"/>
      <c r="U791" s="6"/>
      <c r="V791" s="6"/>
      <c r="W791" s="6"/>
    </row>
    <row r="792" spans="1:23" ht="16" x14ac:dyDescent="0.2">
      <c r="A792" s="6"/>
      <c r="B792" s="7"/>
      <c r="C792" s="7"/>
      <c r="D792" s="7"/>
      <c r="E792" s="7"/>
      <c r="F792" s="6"/>
      <c r="G792" s="6"/>
      <c r="H792" s="6"/>
      <c r="I792" s="6"/>
      <c r="J792" s="6"/>
      <c r="K792" s="6"/>
      <c r="L792" s="6"/>
      <c r="M792" s="6"/>
      <c r="N792" s="6"/>
      <c r="O792" s="6"/>
      <c r="P792" s="6"/>
      <c r="Q792" s="6"/>
      <c r="R792" s="6"/>
      <c r="S792" s="6"/>
      <c r="T792" s="6"/>
      <c r="U792" s="6"/>
      <c r="V792" s="6"/>
      <c r="W792" s="6"/>
    </row>
    <row r="793" spans="1:23" ht="16" x14ac:dyDescent="0.2">
      <c r="A793" s="6"/>
      <c r="B793" s="7"/>
      <c r="C793" s="7"/>
      <c r="D793" s="7"/>
      <c r="E793" s="7"/>
      <c r="F793" s="6"/>
      <c r="G793" s="6"/>
      <c r="H793" s="6"/>
      <c r="I793" s="6"/>
      <c r="J793" s="6"/>
      <c r="K793" s="6"/>
      <c r="L793" s="6"/>
      <c r="M793" s="6"/>
      <c r="N793" s="6"/>
      <c r="O793" s="6"/>
      <c r="P793" s="6"/>
      <c r="Q793" s="6"/>
      <c r="R793" s="6"/>
      <c r="S793" s="6"/>
      <c r="T793" s="6"/>
      <c r="U793" s="6"/>
      <c r="V793" s="6"/>
      <c r="W793" s="6"/>
    </row>
    <row r="794" spans="1:23" ht="16" x14ac:dyDescent="0.2">
      <c r="A794" s="6"/>
      <c r="B794" s="7"/>
      <c r="C794" s="7"/>
      <c r="D794" s="7"/>
      <c r="E794" s="7"/>
      <c r="F794" s="6"/>
      <c r="G794" s="6"/>
      <c r="H794" s="6"/>
      <c r="I794" s="6"/>
      <c r="J794" s="6"/>
      <c r="K794" s="6"/>
      <c r="L794" s="6"/>
      <c r="M794" s="6"/>
      <c r="N794" s="6"/>
      <c r="O794" s="6"/>
      <c r="P794" s="6"/>
      <c r="Q794" s="6"/>
      <c r="R794" s="6"/>
      <c r="S794" s="6"/>
      <c r="T794" s="6"/>
      <c r="U794" s="6"/>
      <c r="V794" s="6"/>
      <c r="W794" s="6"/>
    </row>
    <row r="795" spans="1:23" ht="16" x14ac:dyDescent="0.2">
      <c r="A795" s="6"/>
      <c r="B795" s="7"/>
      <c r="C795" s="7"/>
      <c r="D795" s="7"/>
      <c r="E795" s="7"/>
      <c r="F795" s="6"/>
      <c r="G795" s="6"/>
      <c r="H795" s="6"/>
      <c r="I795" s="6"/>
      <c r="J795" s="6"/>
      <c r="K795" s="6"/>
      <c r="L795" s="6"/>
      <c r="M795" s="6"/>
      <c r="N795" s="6"/>
      <c r="O795" s="6"/>
      <c r="P795" s="6"/>
      <c r="Q795" s="6"/>
      <c r="R795" s="6"/>
      <c r="S795" s="6"/>
      <c r="T795" s="6"/>
      <c r="U795" s="6"/>
      <c r="V795" s="6"/>
      <c r="W795" s="6"/>
    </row>
    <row r="796" spans="1:23" ht="16" x14ac:dyDescent="0.2">
      <c r="A796" s="6"/>
      <c r="B796" s="7"/>
      <c r="C796" s="7"/>
      <c r="D796" s="7"/>
      <c r="E796" s="7"/>
      <c r="F796" s="6"/>
      <c r="G796" s="6"/>
      <c r="H796" s="6"/>
      <c r="I796" s="6"/>
      <c r="J796" s="6"/>
      <c r="K796" s="6"/>
      <c r="L796" s="6"/>
      <c r="M796" s="6"/>
      <c r="N796" s="6"/>
      <c r="O796" s="6"/>
      <c r="P796" s="6"/>
      <c r="Q796" s="6"/>
      <c r="R796" s="6"/>
      <c r="S796" s="6"/>
      <c r="T796" s="6"/>
      <c r="U796" s="6"/>
      <c r="V796" s="6"/>
      <c r="W796" s="6"/>
    </row>
    <row r="797" spans="1:23" ht="16" x14ac:dyDescent="0.2">
      <c r="A797" s="6"/>
      <c r="B797" s="7"/>
      <c r="C797" s="7"/>
      <c r="D797" s="7"/>
      <c r="E797" s="7"/>
      <c r="F797" s="6"/>
      <c r="G797" s="6"/>
      <c r="H797" s="6"/>
      <c r="I797" s="6"/>
      <c r="J797" s="6"/>
      <c r="K797" s="6"/>
      <c r="L797" s="6"/>
      <c r="M797" s="6"/>
      <c r="N797" s="6"/>
      <c r="O797" s="6"/>
      <c r="P797" s="6"/>
      <c r="Q797" s="6"/>
      <c r="R797" s="6"/>
      <c r="S797" s="6"/>
      <c r="T797" s="6"/>
      <c r="U797" s="6"/>
      <c r="V797" s="6"/>
      <c r="W797" s="6"/>
    </row>
    <row r="798" spans="1:23" ht="16" x14ac:dyDescent="0.2">
      <c r="A798" s="6"/>
      <c r="B798" s="7"/>
      <c r="C798" s="7"/>
      <c r="D798" s="7"/>
      <c r="E798" s="7"/>
      <c r="F798" s="6"/>
      <c r="G798" s="6"/>
      <c r="H798" s="6"/>
      <c r="I798" s="6"/>
      <c r="J798" s="6"/>
      <c r="K798" s="6"/>
      <c r="L798" s="6"/>
      <c r="M798" s="6"/>
      <c r="N798" s="6"/>
      <c r="O798" s="6"/>
      <c r="P798" s="6"/>
      <c r="Q798" s="6"/>
      <c r="R798" s="6"/>
      <c r="S798" s="6"/>
      <c r="T798" s="6"/>
      <c r="U798" s="6"/>
      <c r="V798" s="6"/>
      <c r="W798" s="6"/>
    </row>
    <row r="799" spans="1:23" ht="16" x14ac:dyDescent="0.2">
      <c r="A799" s="6"/>
      <c r="B799" s="7"/>
      <c r="C799" s="7"/>
      <c r="D799" s="7"/>
      <c r="E799" s="7"/>
      <c r="F799" s="6"/>
      <c r="G799" s="6"/>
      <c r="H799" s="6"/>
      <c r="I799" s="6"/>
      <c r="J799" s="6"/>
      <c r="K799" s="6"/>
      <c r="L799" s="6"/>
      <c r="M799" s="6"/>
      <c r="N799" s="6"/>
      <c r="O799" s="6"/>
      <c r="P799" s="6"/>
      <c r="Q799" s="6"/>
      <c r="R799" s="6"/>
      <c r="S799" s="6"/>
      <c r="T799" s="6"/>
      <c r="U799" s="6"/>
      <c r="V799" s="6"/>
      <c r="W799" s="6"/>
    </row>
    <row r="800" spans="1:23" ht="16" x14ac:dyDescent="0.2">
      <c r="A800" s="6"/>
      <c r="B800" s="7"/>
      <c r="C800" s="7"/>
      <c r="D800" s="7"/>
      <c r="E800" s="7"/>
      <c r="F800" s="6"/>
      <c r="G800" s="6"/>
      <c r="H800" s="6"/>
      <c r="I800" s="6"/>
      <c r="J800" s="6"/>
      <c r="K800" s="6"/>
      <c r="L800" s="6"/>
      <c r="M800" s="6"/>
      <c r="N800" s="6"/>
      <c r="O800" s="6"/>
      <c r="P800" s="6"/>
      <c r="Q800" s="6"/>
      <c r="R800" s="6"/>
      <c r="S800" s="6"/>
      <c r="T800" s="6"/>
      <c r="U800" s="6"/>
      <c r="V800" s="6"/>
      <c r="W800" s="6"/>
    </row>
    <row r="801" spans="1:23" ht="16" x14ac:dyDescent="0.2">
      <c r="A801" s="6"/>
      <c r="B801" s="7"/>
      <c r="C801" s="7"/>
      <c r="D801" s="7"/>
      <c r="E801" s="7"/>
      <c r="F801" s="6"/>
      <c r="G801" s="6"/>
      <c r="H801" s="6"/>
      <c r="I801" s="6"/>
      <c r="J801" s="6"/>
      <c r="K801" s="6"/>
      <c r="L801" s="6"/>
      <c r="M801" s="6"/>
      <c r="N801" s="6"/>
      <c r="O801" s="6"/>
      <c r="P801" s="6"/>
      <c r="Q801" s="6"/>
      <c r="R801" s="6"/>
      <c r="S801" s="6"/>
      <c r="T801" s="6"/>
      <c r="U801" s="6"/>
      <c r="V801" s="6"/>
      <c r="W801" s="6"/>
    </row>
    <row r="802" spans="1:23" ht="16" x14ac:dyDescent="0.2">
      <c r="A802" s="6"/>
      <c r="B802" s="7"/>
      <c r="C802" s="7"/>
      <c r="D802" s="7"/>
      <c r="E802" s="7"/>
      <c r="F802" s="6"/>
      <c r="G802" s="6"/>
      <c r="H802" s="6"/>
      <c r="I802" s="6"/>
      <c r="J802" s="6"/>
      <c r="K802" s="6"/>
      <c r="L802" s="6"/>
      <c r="M802" s="6"/>
      <c r="N802" s="6"/>
      <c r="O802" s="6"/>
      <c r="P802" s="6"/>
      <c r="Q802" s="6"/>
      <c r="R802" s="6"/>
      <c r="S802" s="6"/>
      <c r="T802" s="6"/>
      <c r="U802" s="6"/>
      <c r="V802" s="6"/>
      <c r="W802" s="6"/>
    </row>
    <row r="803" spans="1:23" ht="16" x14ac:dyDescent="0.2">
      <c r="A803" s="6"/>
      <c r="B803" s="7"/>
      <c r="C803" s="7"/>
      <c r="D803" s="7"/>
      <c r="E803" s="7"/>
      <c r="F803" s="6"/>
      <c r="G803" s="6"/>
      <c r="H803" s="6"/>
      <c r="I803" s="6"/>
      <c r="J803" s="6"/>
      <c r="K803" s="6"/>
      <c r="L803" s="6"/>
      <c r="M803" s="6"/>
      <c r="N803" s="6"/>
      <c r="O803" s="6"/>
      <c r="P803" s="6"/>
      <c r="Q803" s="6"/>
      <c r="R803" s="6"/>
      <c r="S803" s="6"/>
      <c r="T803" s="6"/>
      <c r="U803" s="6"/>
      <c r="V803" s="6"/>
      <c r="W803" s="6"/>
    </row>
    <row r="804" spans="1:23" ht="16" x14ac:dyDescent="0.2">
      <c r="A804" s="6"/>
      <c r="B804" s="7"/>
      <c r="C804" s="7"/>
      <c r="D804" s="7"/>
      <c r="E804" s="7"/>
      <c r="F804" s="6"/>
      <c r="G804" s="6"/>
      <c r="H804" s="6"/>
      <c r="I804" s="6"/>
      <c r="J804" s="6"/>
      <c r="K804" s="6"/>
      <c r="L804" s="6"/>
      <c r="M804" s="6"/>
      <c r="N804" s="6"/>
      <c r="O804" s="6"/>
      <c r="P804" s="6"/>
      <c r="Q804" s="6"/>
      <c r="R804" s="6"/>
      <c r="S804" s="6"/>
      <c r="T804" s="6"/>
      <c r="U804" s="6"/>
      <c r="V804" s="6"/>
      <c r="W804" s="6"/>
    </row>
    <row r="805" spans="1:23" ht="16" x14ac:dyDescent="0.2">
      <c r="A805" s="6"/>
      <c r="B805" s="7"/>
      <c r="C805" s="7"/>
      <c r="D805" s="7"/>
      <c r="E805" s="7"/>
      <c r="F805" s="6"/>
      <c r="G805" s="6"/>
      <c r="H805" s="6"/>
      <c r="I805" s="6"/>
      <c r="J805" s="6"/>
      <c r="K805" s="6"/>
      <c r="L805" s="6"/>
      <c r="M805" s="6"/>
      <c r="N805" s="6"/>
      <c r="O805" s="6"/>
      <c r="P805" s="6"/>
      <c r="Q805" s="6"/>
      <c r="R805" s="6"/>
      <c r="S805" s="6"/>
      <c r="T805" s="6"/>
      <c r="U805" s="6"/>
      <c r="V805" s="6"/>
      <c r="W805" s="6"/>
    </row>
    <row r="806" spans="1:23" ht="16" x14ac:dyDescent="0.2">
      <c r="A806" s="6"/>
      <c r="B806" s="7"/>
      <c r="C806" s="7"/>
      <c r="D806" s="7"/>
      <c r="E806" s="7"/>
      <c r="F806" s="6"/>
      <c r="G806" s="6"/>
      <c r="H806" s="6"/>
      <c r="I806" s="6"/>
      <c r="J806" s="6"/>
      <c r="K806" s="6"/>
      <c r="L806" s="6"/>
      <c r="M806" s="6"/>
      <c r="N806" s="6"/>
      <c r="O806" s="6"/>
      <c r="P806" s="6"/>
      <c r="Q806" s="6"/>
      <c r="R806" s="6"/>
      <c r="S806" s="6"/>
      <c r="T806" s="6"/>
      <c r="U806" s="6"/>
      <c r="V806" s="6"/>
      <c r="W806" s="6"/>
    </row>
    <row r="807" spans="1:23" ht="16" x14ac:dyDescent="0.2">
      <c r="A807" s="6"/>
      <c r="B807" s="7"/>
      <c r="C807" s="7"/>
      <c r="D807" s="7"/>
      <c r="E807" s="7"/>
      <c r="F807" s="6"/>
      <c r="G807" s="6"/>
      <c r="H807" s="6"/>
      <c r="I807" s="6"/>
      <c r="J807" s="6"/>
      <c r="K807" s="6"/>
      <c r="L807" s="6"/>
      <c r="M807" s="6"/>
      <c r="N807" s="6"/>
      <c r="O807" s="6"/>
      <c r="P807" s="6"/>
      <c r="Q807" s="6"/>
      <c r="R807" s="6"/>
      <c r="S807" s="6"/>
      <c r="T807" s="6"/>
      <c r="U807" s="6"/>
      <c r="V807" s="6"/>
      <c r="W807" s="6"/>
    </row>
    <row r="808" spans="1:23" ht="16" x14ac:dyDescent="0.2">
      <c r="A808" s="6"/>
      <c r="B808" s="7"/>
      <c r="C808" s="7"/>
      <c r="D808" s="7"/>
      <c r="E808" s="7"/>
      <c r="F808" s="6"/>
      <c r="G808" s="6"/>
      <c r="H808" s="6"/>
      <c r="I808" s="6"/>
      <c r="J808" s="6"/>
      <c r="K808" s="6"/>
      <c r="L808" s="6"/>
      <c r="M808" s="6"/>
      <c r="N808" s="6"/>
      <c r="O808" s="6"/>
      <c r="P808" s="6"/>
      <c r="Q808" s="6"/>
      <c r="R808" s="6"/>
      <c r="S808" s="6"/>
      <c r="T808" s="6"/>
      <c r="U808" s="6"/>
      <c r="V808" s="6"/>
      <c r="W808" s="6"/>
    </row>
    <row r="809" spans="1:23" ht="16" x14ac:dyDescent="0.2">
      <c r="A809" s="6"/>
      <c r="B809" s="7"/>
      <c r="C809" s="7"/>
      <c r="D809" s="7"/>
      <c r="E809" s="7"/>
      <c r="F809" s="6"/>
      <c r="G809" s="6"/>
      <c r="H809" s="6"/>
      <c r="I809" s="6"/>
      <c r="J809" s="6"/>
      <c r="K809" s="6"/>
      <c r="L809" s="6"/>
      <c r="M809" s="6"/>
      <c r="N809" s="6"/>
      <c r="O809" s="6"/>
      <c r="P809" s="6"/>
      <c r="Q809" s="6"/>
      <c r="R809" s="6"/>
      <c r="S809" s="6"/>
      <c r="T809" s="6"/>
      <c r="U809" s="6"/>
      <c r="V809" s="6"/>
      <c r="W809" s="6"/>
    </row>
    <row r="810" spans="1:23" ht="16" x14ac:dyDescent="0.2">
      <c r="A810" s="6"/>
      <c r="B810" s="7"/>
      <c r="C810" s="7"/>
      <c r="D810" s="7"/>
      <c r="E810" s="7"/>
      <c r="F810" s="6"/>
      <c r="G810" s="6"/>
      <c r="H810" s="6"/>
      <c r="I810" s="6"/>
      <c r="J810" s="6"/>
      <c r="K810" s="6"/>
      <c r="L810" s="6"/>
      <c r="M810" s="6"/>
      <c r="N810" s="6"/>
      <c r="O810" s="6"/>
      <c r="P810" s="6"/>
      <c r="Q810" s="6"/>
      <c r="R810" s="6"/>
      <c r="S810" s="6"/>
      <c r="T810" s="6"/>
      <c r="U810" s="6"/>
      <c r="V810" s="6"/>
      <c r="W810" s="6"/>
    </row>
    <row r="811" spans="1:23" ht="16" x14ac:dyDescent="0.2">
      <c r="A811" s="6"/>
      <c r="B811" s="7"/>
      <c r="C811" s="7"/>
      <c r="D811" s="7"/>
      <c r="E811" s="7"/>
      <c r="F811" s="6"/>
      <c r="G811" s="6"/>
      <c r="H811" s="6"/>
      <c r="I811" s="6"/>
      <c r="J811" s="6"/>
      <c r="K811" s="6"/>
      <c r="L811" s="6"/>
      <c r="M811" s="6"/>
      <c r="N811" s="6"/>
      <c r="O811" s="6"/>
      <c r="P811" s="6"/>
      <c r="Q811" s="6"/>
      <c r="R811" s="6"/>
      <c r="S811" s="6"/>
      <c r="T811" s="6"/>
      <c r="U811" s="6"/>
      <c r="V811" s="6"/>
      <c r="W811" s="6"/>
    </row>
    <row r="812" spans="1:23" ht="16" x14ac:dyDescent="0.2">
      <c r="A812" s="6"/>
      <c r="B812" s="7"/>
      <c r="C812" s="7"/>
      <c r="D812" s="7"/>
      <c r="E812" s="7"/>
      <c r="F812" s="6"/>
      <c r="G812" s="6"/>
      <c r="H812" s="6"/>
      <c r="I812" s="6"/>
      <c r="J812" s="6"/>
      <c r="K812" s="6"/>
      <c r="L812" s="6"/>
      <c r="M812" s="6"/>
      <c r="N812" s="6"/>
      <c r="O812" s="6"/>
      <c r="P812" s="6"/>
      <c r="Q812" s="6"/>
      <c r="R812" s="6"/>
      <c r="S812" s="6"/>
      <c r="T812" s="6"/>
      <c r="U812" s="6"/>
      <c r="V812" s="6"/>
      <c r="W812" s="6"/>
    </row>
    <row r="813" spans="1:23" ht="16" x14ac:dyDescent="0.2">
      <c r="A813" s="6"/>
      <c r="B813" s="7"/>
      <c r="C813" s="7"/>
      <c r="D813" s="7"/>
      <c r="E813" s="7"/>
      <c r="F813" s="6"/>
      <c r="G813" s="6"/>
      <c r="H813" s="6"/>
      <c r="I813" s="6"/>
      <c r="J813" s="6"/>
      <c r="K813" s="6"/>
      <c r="L813" s="6"/>
      <c r="M813" s="6"/>
      <c r="N813" s="6"/>
      <c r="O813" s="6"/>
      <c r="P813" s="6"/>
      <c r="Q813" s="6"/>
      <c r="R813" s="6"/>
      <c r="S813" s="6"/>
      <c r="T813" s="6"/>
      <c r="U813" s="6"/>
      <c r="V813" s="6"/>
      <c r="W813" s="6"/>
    </row>
    <row r="814" spans="1:23" ht="16" x14ac:dyDescent="0.2">
      <c r="A814" s="6"/>
      <c r="B814" s="7"/>
      <c r="C814" s="7"/>
      <c r="D814" s="7"/>
      <c r="E814" s="7"/>
      <c r="F814" s="6"/>
      <c r="G814" s="6"/>
      <c r="H814" s="6"/>
      <c r="I814" s="6"/>
      <c r="J814" s="6"/>
      <c r="K814" s="6"/>
      <c r="L814" s="6"/>
      <c r="M814" s="6"/>
      <c r="N814" s="6"/>
      <c r="O814" s="6"/>
      <c r="P814" s="6"/>
      <c r="Q814" s="6"/>
      <c r="R814" s="6"/>
      <c r="S814" s="6"/>
      <c r="T814" s="6"/>
      <c r="U814" s="6"/>
      <c r="V814" s="6"/>
      <c r="W814" s="6"/>
    </row>
    <row r="815" spans="1:23" ht="16" x14ac:dyDescent="0.2">
      <c r="A815" s="6"/>
      <c r="B815" s="7"/>
      <c r="C815" s="7"/>
      <c r="D815" s="7"/>
      <c r="E815" s="7"/>
      <c r="F815" s="6"/>
      <c r="G815" s="6"/>
      <c r="H815" s="6"/>
      <c r="I815" s="6"/>
      <c r="J815" s="6"/>
      <c r="K815" s="6"/>
      <c r="L815" s="6"/>
      <c r="M815" s="6"/>
      <c r="N815" s="6"/>
      <c r="O815" s="6"/>
      <c r="P815" s="6"/>
      <c r="Q815" s="6"/>
      <c r="R815" s="6"/>
      <c r="S815" s="6"/>
      <c r="T815" s="6"/>
      <c r="U815" s="6"/>
      <c r="V815" s="6"/>
      <c r="W815" s="6"/>
    </row>
    <row r="816" spans="1:23" ht="16" x14ac:dyDescent="0.2">
      <c r="A816" s="6"/>
      <c r="B816" s="7"/>
      <c r="C816" s="7"/>
      <c r="D816" s="7"/>
      <c r="E816" s="7"/>
      <c r="F816" s="6"/>
      <c r="G816" s="6"/>
      <c r="H816" s="6"/>
      <c r="I816" s="6"/>
      <c r="J816" s="6"/>
      <c r="K816" s="6"/>
      <c r="L816" s="6"/>
      <c r="M816" s="6"/>
      <c r="N816" s="6"/>
      <c r="O816" s="6"/>
      <c r="P816" s="6"/>
      <c r="Q816" s="6"/>
      <c r="R816" s="6"/>
      <c r="S816" s="6"/>
      <c r="T816" s="6"/>
      <c r="U816" s="6"/>
      <c r="V816" s="6"/>
      <c r="W816" s="6"/>
    </row>
    <row r="817" spans="1:23" ht="16" x14ac:dyDescent="0.2">
      <c r="A817" s="6"/>
      <c r="B817" s="7"/>
      <c r="C817" s="7"/>
      <c r="D817" s="7"/>
      <c r="E817" s="7"/>
      <c r="F817" s="6"/>
      <c r="G817" s="6"/>
      <c r="H817" s="6"/>
      <c r="I817" s="6"/>
      <c r="J817" s="6"/>
      <c r="K817" s="6"/>
      <c r="L817" s="6"/>
      <c r="M817" s="6"/>
      <c r="N817" s="6"/>
      <c r="O817" s="6"/>
      <c r="P817" s="6"/>
      <c r="Q817" s="6"/>
      <c r="R817" s="6"/>
      <c r="S817" s="6"/>
      <c r="T817" s="6"/>
      <c r="U817" s="6"/>
      <c r="V817" s="6"/>
      <c r="W817" s="6"/>
    </row>
    <row r="818" spans="1:23" ht="16" x14ac:dyDescent="0.2">
      <c r="A818" s="6"/>
      <c r="B818" s="7"/>
      <c r="C818" s="7"/>
      <c r="D818" s="7"/>
      <c r="E818" s="7"/>
      <c r="F818" s="6"/>
      <c r="G818" s="6"/>
      <c r="H818" s="6"/>
      <c r="I818" s="6"/>
      <c r="J818" s="6"/>
      <c r="K818" s="6"/>
      <c r="L818" s="6"/>
      <c r="M818" s="6"/>
      <c r="N818" s="6"/>
      <c r="O818" s="6"/>
      <c r="P818" s="6"/>
      <c r="Q818" s="6"/>
      <c r="R818" s="6"/>
      <c r="S818" s="6"/>
      <c r="T818" s="6"/>
      <c r="U818" s="6"/>
      <c r="V818" s="6"/>
      <c r="W818" s="6"/>
    </row>
    <row r="819" spans="1:23" ht="16" x14ac:dyDescent="0.2">
      <c r="A819" s="6"/>
      <c r="B819" s="7"/>
      <c r="C819" s="7"/>
      <c r="D819" s="7"/>
      <c r="E819" s="7"/>
      <c r="F819" s="6"/>
      <c r="G819" s="6"/>
      <c r="H819" s="6"/>
      <c r="I819" s="6"/>
      <c r="J819" s="6"/>
      <c r="K819" s="6"/>
      <c r="L819" s="6"/>
      <c r="M819" s="6"/>
      <c r="N819" s="6"/>
      <c r="O819" s="6"/>
      <c r="P819" s="6"/>
      <c r="Q819" s="6"/>
      <c r="R819" s="6"/>
      <c r="S819" s="6"/>
      <c r="T819" s="6"/>
      <c r="U819" s="6"/>
      <c r="V819" s="6"/>
      <c r="W819" s="6"/>
    </row>
    <row r="820" spans="1:23" ht="16" x14ac:dyDescent="0.2">
      <c r="A820" s="6"/>
      <c r="B820" s="7"/>
      <c r="C820" s="7"/>
      <c r="D820" s="7"/>
      <c r="E820" s="7"/>
      <c r="F820" s="6"/>
      <c r="G820" s="6"/>
      <c r="H820" s="6"/>
      <c r="I820" s="6"/>
      <c r="J820" s="6"/>
      <c r="K820" s="6"/>
      <c r="L820" s="6"/>
      <c r="M820" s="6"/>
      <c r="N820" s="6"/>
      <c r="O820" s="6"/>
      <c r="P820" s="6"/>
      <c r="Q820" s="6"/>
      <c r="R820" s="6"/>
      <c r="S820" s="6"/>
      <c r="T820" s="6"/>
      <c r="U820" s="6"/>
      <c r="V820" s="6"/>
      <c r="W820" s="6"/>
    </row>
    <row r="821" spans="1:23" ht="16" x14ac:dyDescent="0.2">
      <c r="A821" s="6"/>
      <c r="B821" s="7"/>
      <c r="C821" s="7"/>
      <c r="D821" s="7"/>
      <c r="E821" s="7"/>
      <c r="F821" s="6"/>
      <c r="G821" s="6"/>
      <c r="H821" s="6"/>
      <c r="I821" s="6"/>
      <c r="J821" s="6"/>
      <c r="K821" s="6"/>
      <c r="L821" s="6"/>
      <c r="M821" s="6"/>
      <c r="N821" s="6"/>
      <c r="O821" s="6"/>
      <c r="P821" s="6"/>
      <c r="Q821" s="6"/>
      <c r="R821" s="6"/>
      <c r="S821" s="6"/>
      <c r="T821" s="6"/>
      <c r="U821" s="6"/>
      <c r="V821" s="6"/>
      <c r="W821" s="6"/>
    </row>
    <row r="822" spans="1:23" ht="16" x14ac:dyDescent="0.2">
      <c r="A822" s="6"/>
      <c r="B822" s="7"/>
      <c r="C822" s="7"/>
      <c r="D822" s="7"/>
      <c r="E822" s="7"/>
      <c r="F822" s="6"/>
      <c r="G822" s="6"/>
      <c r="H822" s="6"/>
      <c r="I822" s="6"/>
      <c r="J822" s="6"/>
      <c r="K822" s="6"/>
      <c r="L822" s="6"/>
      <c r="M822" s="6"/>
      <c r="N822" s="6"/>
      <c r="O822" s="6"/>
      <c r="P822" s="6"/>
      <c r="Q822" s="6"/>
      <c r="R822" s="6"/>
      <c r="S822" s="6"/>
      <c r="T822" s="6"/>
      <c r="U822" s="6"/>
      <c r="V822" s="6"/>
      <c r="W822" s="6"/>
    </row>
    <row r="823" spans="1:23" ht="16" x14ac:dyDescent="0.2">
      <c r="A823" s="6"/>
      <c r="B823" s="7"/>
      <c r="C823" s="7"/>
      <c r="D823" s="7"/>
      <c r="E823" s="7"/>
      <c r="F823" s="6"/>
      <c r="G823" s="6"/>
      <c r="H823" s="6"/>
      <c r="I823" s="6"/>
      <c r="J823" s="6"/>
      <c r="K823" s="6"/>
      <c r="L823" s="6"/>
      <c r="M823" s="6"/>
      <c r="N823" s="6"/>
      <c r="O823" s="6"/>
      <c r="P823" s="6"/>
      <c r="Q823" s="6"/>
      <c r="R823" s="6"/>
      <c r="S823" s="6"/>
      <c r="T823" s="6"/>
      <c r="U823" s="6"/>
      <c r="V823" s="6"/>
      <c r="W823" s="6"/>
    </row>
    <row r="824" spans="1:23" ht="16" x14ac:dyDescent="0.2">
      <c r="A824" s="6"/>
      <c r="B824" s="7"/>
      <c r="C824" s="7"/>
      <c r="D824" s="7"/>
      <c r="E824" s="7"/>
      <c r="F824" s="6"/>
      <c r="G824" s="6"/>
      <c r="H824" s="6"/>
      <c r="I824" s="6"/>
      <c r="J824" s="6"/>
      <c r="K824" s="6"/>
      <c r="L824" s="6"/>
      <c r="M824" s="6"/>
      <c r="N824" s="6"/>
      <c r="O824" s="6"/>
      <c r="P824" s="6"/>
      <c r="Q824" s="6"/>
      <c r="R824" s="6"/>
      <c r="S824" s="6"/>
      <c r="T824" s="6"/>
      <c r="U824" s="6"/>
      <c r="V824" s="6"/>
      <c r="W824" s="6"/>
    </row>
    <row r="825" spans="1:23" ht="16" x14ac:dyDescent="0.2">
      <c r="A825" s="6"/>
      <c r="B825" s="7"/>
      <c r="C825" s="7"/>
      <c r="D825" s="7"/>
      <c r="E825" s="7"/>
      <c r="F825" s="6"/>
      <c r="G825" s="6"/>
      <c r="H825" s="6"/>
      <c r="I825" s="6"/>
      <c r="J825" s="6"/>
      <c r="K825" s="6"/>
      <c r="L825" s="6"/>
      <c r="M825" s="6"/>
      <c r="N825" s="6"/>
      <c r="O825" s="6"/>
      <c r="P825" s="6"/>
      <c r="Q825" s="6"/>
      <c r="R825" s="6"/>
      <c r="S825" s="6"/>
      <c r="T825" s="6"/>
      <c r="U825" s="6"/>
      <c r="V825" s="6"/>
      <c r="W825" s="6"/>
    </row>
    <row r="826" spans="1:23" ht="16" x14ac:dyDescent="0.2">
      <c r="A826" s="6"/>
      <c r="B826" s="7"/>
      <c r="C826" s="7"/>
      <c r="D826" s="7"/>
      <c r="E826" s="7"/>
      <c r="F826" s="6"/>
      <c r="G826" s="6"/>
      <c r="H826" s="6"/>
      <c r="I826" s="6"/>
      <c r="J826" s="6"/>
      <c r="K826" s="6"/>
      <c r="L826" s="6"/>
      <c r="M826" s="6"/>
      <c r="N826" s="6"/>
      <c r="O826" s="6"/>
      <c r="P826" s="6"/>
      <c r="Q826" s="6"/>
      <c r="R826" s="6"/>
      <c r="S826" s="6"/>
      <c r="T826" s="6"/>
      <c r="U826" s="6"/>
      <c r="V826" s="6"/>
      <c r="W826" s="6"/>
    </row>
    <row r="827" spans="1:23" ht="16" x14ac:dyDescent="0.2">
      <c r="A827" s="6"/>
      <c r="B827" s="7"/>
      <c r="C827" s="7"/>
      <c r="D827" s="7"/>
      <c r="E827" s="7"/>
      <c r="F827" s="6"/>
      <c r="G827" s="6"/>
      <c r="H827" s="6"/>
      <c r="I827" s="6"/>
      <c r="J827" s="6"/>
      <c r="K827" s="6"/>
      <c r="L827" s="6"/>
      <c r="M827" s="6"/>
      <c r="N827" s="6"/>
      <c r="O827" s="6"/>
      <c r="P827" s="6"/>
      <c r="Q827" s="6"/>
      <c r="R827" s="6"/>
      <c r="S827" s="6"/>
      <c r="T827" s="6"/>
      <c r="U827" s="6"/>
      <c r="V827" s="6"/>
      <c r="W827" s="6"/>
    </row>
    <row r="828" spans="1:23" ht="16" x14ac:dyDescent="0.2">
      <c r="A828" s="6"/>
      <c r="B828" s="7"/>
      <c r="C828" s="7"/>
      <c r="D828" s="7"/>
      <c r="E828" s="7"/>
      <c r="F828" s="6"/>
      <c r="G828" s="6"/>
      <c r="H828" s="6"/>
      <c r="I828" s="6"/>
      <c r="J828" s="6"/>
      <c r="K828" s="6"/>
      <c r="L828" s="6"/>
      <c r="M828" s="6"/>
      <c r="N828" s="6"/>
      <c r="O828" s="6"/>
      <c r="P828" s="6"/>
      <c r="Q828" s="6"/>
      <c r="R828" s="6"/>
      <c r="S828" s="6"/>
      <c r="T828" s="6"/>
      <c r="U828" s="6"/>
      <c r="V828" s="6"/>
      <c r="W828" s="6"/>
    </row>
    <row r="829" spans="1:23" ht="16" x14ac:dyDescent="0.2">
      <c r="A829" s="6"/>
      <c r="B829" s="7"/>
      <c r="C829" s="7"/>
      <c r="D829" s="7"/>
      <c r="E829" s="7"/>
      <c r="F829" s="6"/>
      <c r="G829" s="6"/>
      <c r="H829" s="6"/>
      <c r="I829" s="6"/>
      <c r="J829" s="6"/>
      <c r="K829" s="6"/>
      <c r="L829" s="6"/>
      <c r="M829" s="6"/>
      <c r="N829" s="6"/>
      <c r="O829" s="6"/>
      <c r="P829" s="6"/>
      <c r="Q829" s="6"/>
      <c r="R829" s="6"/>
      <c r="S829" s="6"/>
      <c r="T829" s="6"/>
      <c r="U829" s="6"/>
      <c r="V829" s="6"/>
      <c r="W829" s="6"/>
    </row>
    <row r="830" spans="1:23" ht="16" x14ac:dyDescent="0.2">
      <c r="A830" s="6"/>
      <c r="B830" s="7"/>
      <c r="C830" s="7"/>
      <c r="D830" s="7"/>
      <c r="E830" s="7"/>
      <c r="F830" s="6"/>
      <c r="G830" s="6"/>
      <c r="H830" s="6"/>
      <c r="I830" s="6"/>
      <c r="J830" s="6"/>
      <c r="K830" s="6"/>
      <c r="L830" s="6"/>
      <c r="M830" s="6"/>
      <c r="N830" s="6"/>
      <c r="O830" s="6"/>
      <c r="P830" s="6"/>
      <c r="Q830" s="6"/>
      <c r="R830" s="6"/>
      <c r="S830" s="6"/>
      <c r="T830" s="6"/>
      <c r="U830" s="6"/>
      <c r="V830" s="6"/>
      <c r="W830" s="6"/>
    </row>
    <row r="831" spans="1:23" ht="16" x14ac:dyDescent="0.2">
      <c r="A831" s="6"/>
      <c r="B831" s="7"/>
      <c r="C831" s="7"/>
      <c r="D831" s="7"/>
      <c r="E831" s="7"/>
      <c r="F831" s="6"/>
      <c r="G831" s="6"/>
      <c r="H831" s="6"/>
      <c r="I831" s="6"/>
      <c r="J831" s="6"/>
      <c r="K831" s="6"/>
      <c r="L831" s="6"/>
      <c r="M831" s="6"/>
      <c r="N831" s="6"/>
      <c r="O831" s="6"/>
      <c r="P831" s="6"/>
      <c r="Q831" s="6"/>
      <c r="R831" s="6"/>
      <c r="S831" s="6"/>
      <c r="T831" s="6"/>
      <c r="U831" s="6"/>
      <c r="V831" s="6"/>
      <c r="W831" s="6"/>
    </row>
    <row r="832" spans="1:23" ht="16" x14ac:dyDescent="0.2">
      <c r="A832" s="6"/>
      <c r="B832" s="7"/>
      <c r="C832" s="7"/>
      <c r="D832" s="7"/>
      <c r="E832" s="7"/>
      <c r="F832" s="6"/>
      <c r="G832" s="6"/>
      <c r="H832" s="6"/>
      <c r="I832" s="6"/>
      <c r="J832" s="6"/>
      <c r="K832" s="6"/>
      <c r="L832" s="6"/>
      <c r="M832" s="6"/>
      <c r="N832" s="6"/>
      <c r="O832" s="6"/>
      <c r="P832" s="6"/>
      <c r="Q832" s="6"/>
      <c r="R832" s="6"/>
      <c r="S832" s="6"/>
      <c r="T832" s="6"/>
      <c r="U832" s="6"/>
      <c r="V832" s="6"/>
      <c r="W832" s="6"/>
    </row>
    <row r="833" spans="1:23" ht="16" x14ac:dyDescent="0.2">
      <c r="A833" s="6"/>
      <c r="B833" s="7"/>
      <c r="C833" s="7"/>
      <c r="D833" s="7"/>
      <c r="E833" s="7"/>
      <c r="F833" s="6"/>
      <c r="G833" s="6"/>
      <c r="H833" s="6"/>
      <c r="I833" s="6"/>
      <c r="J833" s="6"/>
      <c r="K833" s="6"/>
      <c r="L833" s="6"/>
      <c r="M833" s="6"/>
      <c r="N833" s="6"/>
      <c r="O833" s="6"/>
      <c r="P833" s="6"/>
      <c r="Q833" s="6"/>
      <c r="R833" s="6"/>
      <c r="S833" s="6"/>
      <c r="T833" s="6"/>
      <c r="U833" s="6"/>
      <c r="V833" s="6"/>
      <c r="W833" s="6"/>
    </row>
    <row r="834" spans="1:23" ht="16" x14ac:dyDescent="0.2">
      <c r="A834" s="6"/>
      <c r="B834" s="7"/>
      <c r="C834" s="7"/>
      <c r="D834" s="7"/>
      <c r="E834" s="7"/>
      <c r="F834" s="6"/>
      <c r="G834" s="6"/>
      <c r="H834" s="6"/>
      <c r="I834" s="6"/>
      <c r="J834" s="6"/>
      <c r="K834" s="6"/>
      <c r="L834" s="6"/>
      <c r="M834" s="6"/>
      <c r="N834" s="6"/>
      <c r="O834" s="6"/>
      <c r="P834" s="6"/>
      <c r="Q834" s="6"/>
      <c r="R834" s="6"/>
      <c r="S834" s="6"/>
      <c r="T834" s="6"/>
      <c r="U834" s="6"/>
      <c r="V834" s="6"/>
      <c r="W834" s="6"/>
    </row>
    <row r="835" spans="1:23" ht="16" x14ac:dyDescent="0.2">
      <c r="A835" s="6"/>
      <c r="B835" s="7"/>
      <c r="C835" s="7"/>
      <c r="D835" s="7"/>
      <c r="E835" s="7"/>
      <c r="F835" s="6"/>
      <c r="G835" s="6"/>
      <c r="H835" s="6"/>
      <c r="I835" s="6"/>
      <c r="J835" s="6"/>
      <c r="K835" s="6"/>
      <c r="L835" s="6"/>
      <c r="M835" s="6"/>
      <c r="N835" s="6"/>
      <c r="O835" s="6"/>
      <c r="P835" s="6"/>
      <c r="Q835" s="6"/>
      <c r="R835" s="6"/>
      <c r="S835" s="6"/>
      <c r="T835" s="6"/>
      <c r="U835" s="6"/>
      <c r="V835" s="6"/>
      <c r="W835" s="6"/>
    </row>
    <row r="836" spans="1:23" ht="16" x14ac:dyDescent="0.2">
      <c r="A836" s="6"/>
      <c r="B836" s="7"/>
      <c r="C836" s="7"/>
      <c r="D836" s="7"/>
      <c r="E836" s="7"/>
      <c r="F836" s="6"/>
      <c r="G836" s="6"/>
      <c r="H836" s="6"/>
      <c r="I836" s="6"/>
      <c r="J836" s="6"/>
      <c r="K836" s="6"/>
      <c r="L836" s="6"/>
      <c r="M836" s="6"/>
      <c r="N836" s="6"/>
      <c r="O836" s="6"/>
      <c r="P836" s="6"/>
      <c r="Q836" s="6"/>
      <c r="R836" s="6"/>
      <c r="S836" s="6"/>
      <c r="T836" s="6"/>
      <c r="U836" s="6"/>
      <c r="V836" s="6"/>
      <c r="W836" s="6"/>
    </row>
    <row r="837" spans="1:23" ht="16" x14ac:dyDescent="0.2">
      <c r="A837" s="6"/>
      <c r="B837" s="7"/>
      <c r="C837" s="7"/>
      <c r="D837" s="7"/>
      <c r="E837" s="7"/>
      <c r="F837" s="6"/>
      <c r="G837" s="6"/>
      <c r="H837" s="6"/>
      <c r="I837" s="6"/>
      <c r="J837" s="6"/>
      <c r="K837" s="6"/>
      <c r="L837" s="6"/>
      <c r="M837" s="6"/>
      <c r="N837" s="6"/>
      <c r="O837" s="6"/>
      <c r="P837" s="6"/>
      <c r="Q837" s="6"/>
      <c r="R837" s="6"/>
      <c r="S837" s="6"/>
      <c r="T837" s="6"/>
      <c r="U837" s="6"/>
      <c r="V837" s="6"/>
      <c r="W837" s="6"/>
    </row>
    <row r="838" spans="1:23" ht="16" x14ac:dyDescent="0.2">
      <c r="A838" s="6"/>
      <c r="B838" s="7"/>
      <c r="C838" s="7"/>
      <c r="D838" s="7"/>
      <c r="E838" s="7"/>
      <c r="F838" s="6"/>
      <c r="G838" s="6"/>
      <c r="H838" s="6"/>
      <c r="I838" s="6"/>
      <c r="J838" s="6"/>
      <c r="K838" s="6"/>
      <c r="L838" s="6"/>
      <c r="M838" s="6"/>
      <c r="N838" s="6"/>
      <c r="O838" s="6"/>
      <c r="P838" s="6"/>
      <c r="Q838" s="6"/>
      <c r="R838" s="6"/>
      <c r="S838" s="6"/>
      <c r="T838" s="6"/>
      <c r="U838" s="6"/>
      <c r="V838" s="6"/>
      <c r="W838" s="6"/>
    </row>
    <row r="839" spans="1:23" ht="16" x14ac:dyDescent="0.2">
      <c r="A839" s="6"/>
      <c r="B839" s="7"/>
      <c r="C839" s="7"/>
      <c r="D839" s="7"/>
      <c r="E839" s="7"/>
      <c r="F839" s="6"/>
      <c r="G839" s="6"/>
      <c r="H839" s="6"/>
      <c r="I839" s="6"/>
      <c r="J839" s="6"/>
      <c r="K839" s="6"/>
      <c r="L839" s="6"/>
      <c r="M839" s="6"/>
      <c r="N839" s="6"/>
      <c r="O839" s="6"/>
      <c r="P839" s="6"/>
      <c r="Q839" s="6"/>
      <c r="R839" s="6"/>
      <c r="S839" s="6"/>
      <c r="T839" s="6"/>
      <c r="U839" s="6"/>
      <c r="V839" s="6"/>
      <c r="W839" s="6"/>
    </row>
    <row r="840" spans="1:23" ht="16" x14ac:dyDescent="0.2">
      <c r="A840" s="6"/>
      <c r="B840" s="7"/>
      <c r="C840" s="7"/>
      <c r="D840" s="7"/>
      <c r="E840" s="7"/>
      <c r="F840" s="6"/>
      <c r="G840" s="6"/>
      <c r="H840" s="6"/>
      <c r="I840" s="6"/>
      <c r="J840" s="6"/>
      <c r="K840" s="6"/>
      <c r="L840" s="6"/>
      <c r="M840" s="6"/>
      <c r="N840" s="6"/>
      <c r="O840" s="6"/>
      <c r="P840" s="6"/>
      <c r="Q840" s="6"/>
      <c r="R840" s="6"/>
      <c r="S840" s="6"/>
      <c r="T840" s="6"/>
      <c r="U840" s="6"/>
      <c r="V840" s="6"/>
      <c r="W840" s="6"/>
    </row>
    <row r="841" spans="1:23" ht="16" x14ac:dyDescent="0.2">
      <c r="A841" s="6"/>
      <c r="B841" s="7"/>
      <c r="C841" s="7"/>
      <c r="D841" s="7"/>
      <c r="E841" s="7"/>
      <c r="F841" s="6"/>
      <c r="G841" s="6"/>
      <c r="H841" s="6"/>
      <c r="I841" s="6"/>
      <c r="J841" s="6"/>
      <c r="K841" s="6"/>
      <c r="L841" s="6"/>
      <c r="M841" s="6"/>
      <c r="N841" s="6"/>
      <c r="O841" s="6"/>
      <c r="P841" s="6"/>
      <c r="Q841" s="6"/>
      <c r="R841" s="6"/>
      <c r="S841" s="6"/>
      <c r="T841" s="6"/>
      <c r="U841" s="6"/>
      <c r="V841" s="6"/>
      <c r="W841" s="6"/>
    </row>
    <row r="842" spans="1:23" ht="16" x14ac:dyDescent="0.2">
      <c r="A842" s="6"/>
      <c r="B842" s="7"/>
      <c r="C842" s="7"/>
      <c r="D842" s="7"/>
      <c r="E842" s="7"/>
      <c r="F842" s="6"/>
      <c r="G842" s="6"/>
      <c r="H842" s="6"/>
      <c r="I842" s="6"/>
      <c r="J842" s="6"/>
      <c r="K842" s="6"/>
      <c r="L842" s="6"/>
      <c r="M842" s="6"/>
      <c r="N842" s="6"/>
      <c r="O842" s="6"/>
      <c r="P842" s="6"/>
      <c r="Q842" s="6"/>
      <c r="R842" s="6"/>
      <c r="S842" s="6"/>
      <c r="T842" s="6"/>
      <c r="U842" s="6"/>
      <c r="V842" s="6"/>
      <c r="W842" s="6"/>
    </row>
    <row r="843" spans="1:23" ht="16" x14ac:dyDescent="0.2">
      <c r="A843" s="6"/>
      <c r="B843" s="7"/>
      <c r="C843" s="7"/>
      <c r="D843" s="7"/>
      <c r="E843" s="7"/>
      <c r="F843" s="6"/>
      <c r="G843" s="6"/>
      <c r="H843" s="6"/>
      <c r="I843" s="6"/>
      <c r="J843" s="6"/>
      <c r="K843" s="6"/>
      <c r="L843" s="6"/>
      <c r="M843" s="6"/>
      <c r="N843" s="6"/>
      <c r="O843" s="6"/>
      <c r="P843" s="6"/>
      <c r="Q843" s="6"/>
      <c r="R843" s="6"/>
      <c r="S843" s="6"/>
      <c r="T843" s="6"/>
      <c r="U843" s="6"/>
      <c r="V843" s="6"/>
      <c r="W843" s="6"/>
    </row>
    <row r="844" spans="1:23" ht="16" x14ac:dyDescent="0.2">
      <c r="A844" s="6"/>
      <c r="B844" s="7"/>
      <c r="C844" s="7"/>
      <c r="D844" s="7"/>
      <c r="E844" s="7"/>
      <c r="F844" s="6"/>
      <c r="G844" s="6"/>
      <c r="H844" s="6"/>
      <c r="I844" s="6"/>
      <c r="J844" s="6"/>
      <c r="K844" s="6"/>
      <c r="L844" s="6"/>
      <c r="M844" s="6"/>
      <c r="N844" s="6"/>
      <c r="O844" s="6"/>
      <c r="P844" s="6"/>
      <c r="Q844" s="6"/>
      <c r="R844" s="6"/>
      <c r="S844" s="6"/>
      <c r="T844" s="6"/>
      <c r="U844" s="6"/>
      <c r="V844" s="6"/>
      <c r="W844" s="6"/>
    </row>
    <row r="845" spans="1:23" ht="16" x14ac:dyDescent="0.2">
      <c r="A845" s="6"/>
      <c r="B845" s="7"/>
      <c r="C845" s="7"/>
      <c r="D845" s="7"/>
      <c r="E845" s="7"/>
      <c r="F845" s="6"/>
      <c r="G845" s="6"/>
      <c r="H845" s="6"/>
      <c r="I845" s="6"/>
      <c r="J845" s="6"/>
      <c r="K845" s="6"/>
      <c r="L845" s="6"/>
      <c r="M845" s="6"/>
      <c r="N845" s="6"/>
      <c r="O845" s="6"/>
      <c r="P845" s="6"/>
      <c r="Q845" s="6"/>
      <c r="R845" s="6"/>
      <c r="S845" s="6"/>
      <c r="T845" s="6"/>
      <c r="U845" s="6"/>
      <c r="V845" s="6"/>
      <c r="W845" s="6"/>
    </row>
    <row r="846" spans="1:23" ht="16" x14ac:dyDescent="0.2">
      <c r="A846" s="6"/>
      <c r="B846" s="7"/>
      <c r="C846" s="7"/>
      <c r="D846" s="7"/>
      <c r="E846" s="7"/>
      <c r="F846" s="6"/>
      <c r="G846" s="6"/>
      <c r="H846" s="6"/>
      <c r="I846" s="6"/>
      <c r="J846" s="6"/>
      <c r="K846" s="6"/>
      <c r="L846" s="6"/>
      <c r="M846" s="6"/>
      <c r="N846" s="6"/>
      <c r="O846" s="6"/>
      <c r="P846" s="6"/>
      <c r="Q846" s="6"/>
      <c r="R846" s="6"/>
      <c r="S846" s="6"/>
      <c r="T846" s="6"/>
      <c r="U846" s="6"/>
      <c r="V846" s="6"/>
      <c r="W846" s="6"/>
    </row>
    <row r="847" spans="1:23" ht="16" x14ac:dyDescent="0.2">
      <c r="A847" s="6"/>
      <c r="B847" s="7"/>
      <c r="C847" s="7"/>
      <c r="D847" s="7"/>
      <c r="E847" s="7"/>
      <c r="F847" s="6"/>
      <c r="G847" s="6"/>
      <c r="H847" s="6"/>
      <c r="I847" s="6"/>
      <c r="J847" s="6"/>
      <c r="K847" s="6"/>
      <c r="L847" s="6"/>
      <c r="M847" s="6"/>
      <c r="N847" s="6"/>
      <c r="O847" s="6"/>
      <c r="P847" s="6"/>
      <c r="Q847" s="6"/>
      <c r="R847" s="6"/>
      <c r="S847" s="6"/>
      <c r="T847" s="6"/>
      <c r="U847" s="6"/>
      <c r="V847" s="6"/>
      <c r="W847" s="6"/>
    </row>
    <row r="848" spans="1:23" ht="16" x14ac:dyDescent="0.2">
      <c r="A848" s="6"/>
      <c r="B848" s="7"/>
      <c r="C848" s="7"/>
      <c r="D848" s="7"/>
      <c r="E848" s="7"/>
      <c r="F848" s="6"/>
      <c r="G848" s="6"/>
      <c r="H848" s="6"/>
      <c r="I848" s="6"/>
      <c r="J848" s="6"/>
      <c r="K848" s="6"/>
      <c r="L848" s="6"/>
      <c r="M848" s="6"/>
      <c r="N848" s="6"/>
      <c r="O848" s="6"/>
      <c r="P848" s="6"/>
      <c r="Q848" s="6"/>
      <c r="R848" s="6"/>
      <c r="S848" s="6"/>
      <c r="T848" s="6"/>
      <c r="U848" s="6"/>
      <c r="V848" s="6"/>
      <c r="W848" s="6"/>
    </row>
    <row r="849" spans="1:23" ht="16" x14ac:dyDescent="0.2">
      <c r="A849" s="6"/>
      <c r="B849" s="7"/>
      <c r="C849" s="7"/>
      <c r="D849" s="7"/>
      <c r="E849" s="7"/>
      <c r="F849" s="6"/>
      <c r="G849" s="6"/>
      <c r="H849" s="6"/>
      <c r="I849" s="6"/>
      <c r="J849" s="6"/>
      <c r="K849" s="6"/>
      <c r="L849" s="6"/>
      <c r="M849" s="6"/>
      <c r="N849" s="6"/>
      <c r="O849" s="6"/>
      <c r="P849" s="6"/>
      <c r="Q849" s="6"/>
      <c r="R849" s="6"/>
      <c r="S849" s="6"/>
      <c r="T849" s="6"/>
      <c r="U849" s="6"/>
      <c r="V849" s="6"/>
      <c r="W849" s="6"/>
    </row>
    <row r="850" spans="1:23" ht="16" x14ac:dyDescent="0.2">
      <c r="A850" s="6"/>
      <c r="B850" s="7"/>
      <c r="C850" s="7"/>
      <c r="D850" s="7"/>
      <c r="E850" s="7"/>
      <c r="F850" s="6"/>
      <c r="G850" s="6"/>
      <c r="H850" s="6"/>
      <c r="I850" s="6"/>
      <c r="J850" s="6"/>
      <c r="K850" s="6"/>
      <c r="L850" s="6"/>
      <c r="M850" s="6"/>
      <c r="N850" s="6"/>
      <c r="O850" s="6"/>
      <c r="P850" s="6"/>
      <c r="Q850" s="6"/>
      <c r="R850" s="6"/>
      <c r="S850" s="6"/>
      <c r="T850" s="6"/>
      <c r="U850" s="6"/>
      <c r="V850" s="6"/>
      <c r="W850" s="6"/>
    </row>
    <row r="851" spans="1:23" ht="16" x14ac:dyDescent="0.2">
      <c r="A851" s="6"/>
      <c r="B851" s="7"/>
      <c r="C851" s="7"/>
      <c r="D851" s="7"/>
      <c r="E851" s="7"/>
      <c r="F851" s="6"/>
      <c r="G851" s="6"/>
      <c r="H851" s="6"/>
      <c r="I851" s="6"/>
      <c r="J851" s="6"/>
      <c r="K851" s="6"/>
      <c r="L851" s="6"/>
      <c r="M851" s="6"/>
      <c r="N851" s="6"/>
      <c r="O851" s="6"/>
      <c r="P851" s="6"/>
      <c r="Q851" s="6"/>
      <c r="R851" s="6"/>
      <c r="S851" s="6"/>
      <c r="T851" s="6"/>
      <c r="U851" s="6"/>
      <c r="V851" s="6"/>
      <c r="W851" s="6"/>
    </row>
    <row r="852" spans="1:23" ht="16" x14ac:dyDescent="0.2">
      <c r="A852" s="6"/>
      <c r="B852" s="7"/>
      <c r="C852" s="7"/>
      <c r="D852" s="7"/>
      <c r="E852" s="7"/>
      <c r="F852" s="6"/>
      <c r="G852" s="6"/>
      <c r="H852" s="6"/>
      <c r="I852" s="6"/>
      <c r="J852" s="6"/>
      <c r="K852" s="6"/>
      <c r="L852" s="6"/>
      <c r="M852" s="6"/>
      <c r="N852" s="6"/>
      <c r="O852" s="6"/>
      <c r="P852" s="6"/>
      <c r="Q852" s="6"/>
      <c r="R852" s="6"/>
      <c r="S852" s="6"/>
      <c r="T852" s="6"/>
      <c r="U852" s="6"/>
      <c r="V852" s="6"/>
      <c r="W852" s="6"/>
    </row>
    <row r="853" spans="1:23" ht="16" x14ac:dyDescent="0.2">
      <c r="A853" s="6"/>
      <c r="B853" s="7"/>
      <c r="C853" s="7"/>
      <c r="D853" s="7"/>
      <c r="E853" s="7"/>
      <c r="F853" s="6"/>
      <c r="G853" s="6"/>
      <c r="H853" s="6"/>
      <c r="I853" s="6"/>
      <c r="J853" s="6"/>
      <c r="K853" s="6"/>
      <c r="L853" s="6"/>
      <c r="M853" s="6"/>
      <c r="N853" s="6"/>
      <c r="O853" s="6"/>
      <c r="P853" s="6"/>
      <c r="Q853" s="6"/>
      <c r="R853" s="6"/>
      <c r="S853" s="6"/>
      <c r="T853" s="6"/>
      <c r="U853" s="6"/>
      <c r="V853" s="6"/>
      <c r="W853" s="6"/>
    </row>
    <row r="854" spans="1:23" ht="16" x14ac:dyDescent="0.2">
      <c r="A854" s="6"/>
      <c r="B854" s="7"/>
      <c r="C854" s="7"/>
      <c r="D854" s="7"/>
      <c r="E854" s="7"/>
      <c r="F854" s="6"/>
      <c r="G854" s="6"/>
      <c r="H854" s="6"/>
      <c r="I854" s="6"/>
      <c r="J854" s="6"/>
      <c r="K854" s="6"/>
      <c r="L854" s="6"/>
      <c r="M854" s="6"/>
      <c r="N854" s="6"/>
      <c r="O854" s="6"/>
      <c r="P854" s="6"/>
      <c r="Q854" s="6"/>
      <c r="R854" s="6"/>
      <c r="S854" s="6"/>
      <c r="T854" s="6"/>
      <c r="U854" s="6"/>
      <c r="V854" s="6"/>
      <c r="W854" s="6"/>
    </row>
    <row r="855" spans="1:23" ht="16" x14ac:dyDescent="0.2">
      <c r="A855" s="6"/>
      <c r="B855" s="7"/>
      <c r="C855" s="7"/>
      <c r="D855" s="7"/>
      <c r="E855" s="7"/>
      <c r="F855" s="6"/>
      <c r="G855" s="6"/>
      <c r="H855" s="6"/>
      <c r="I855" s="6"/>
      <c r="J855" s="6"/>
      <c r="K855" s="6"/>
      <c r="L855" s="6"/>
      <c r="M855" s="6"/>
      <c r="N855" s="6"/>
      <c r="O855" s="6"/>
      <c r="P855" s="6"/>
      <c r="Q855" s="6"/>
      <c r="R855" s="6"/>
      <c r="S855" s="6"/>
      <c r="T855" s="6"/>
      <c r="U855" s="6"/>
      <c r="V855" s="6"/>
      <c r="W855" s="6"/>
    </row>
    <row r="856" spans="1:23" ht="16" x14ac:dyDescent="0.2">
      <c r="A856" s="6"/>
      <c r="B856" s="7"/>
      <c r="C856" s="7"/>
      <c r="D856" s="7"/>
      <c r="E856" s="7"/>
      <c r="F856" s="6"/>
      <c r="G856" s="6"/>
      <c r="H856" s="6"/>
      <c r="I856" s="6"/>
      <c r="J856" s="6"/>
      <c r="K856" s="6"/>
      <c r="L856" s="6"/>
      <c r="M856" s="6"/>
      <c r="N856" s="6"/>
      <c r="O856" s="6"/>
      <c r="P856" s="6"/>
      <c r="Q856" s="6"/>
      <c r="R856" s="6"/>
      <c r="S856" s="6"/>
      <c r="T856" s="6"/>
      <c r="U856" s="6"/>
      <c r="V856" s="6"/>
      <c r="W856" s="6"/>
    </row>
    <row r="857" spans="1:23" ht="16" x14ac:dyDescent="0.2">
      <c r="A857" s="6"/>
      <c r="B857" s="7"/>
      <c r="C857" s="7"/>
      <c r="D857" s="7"/>
      <c r="E857" s="7"/>
      <c r="F857" s="6"/>
      <c r="G857" s="6"/>
      <c r="H857" s="6"/>
      <c r="I857" s="6"/>
      <c r="J857" s="6"/>
      <c r="K857" s="6"/>
      <c r="L857" s="6"/>
      <c r="M857" s="6"/>
      <c r="N857" s="6"/>
      <c r="O857" s="6"/>
      <c r="P857" s="6"/>
      <c r="Q857" s="6"/>
      <c r="R857" s="6"/>
      <c r="S857" s="6"/>
      <c r="T857" s="6"/>
      <c r="U857" s="6"/>
      <c r="V857" s="6"/>
      <c r="W857" s="6"/>
    </row>
    <row r="858" spans="1:23" ht="16" x14ac:dyDescent="0.2">
      <c r="A858" s="6"/>
      <c r="B858" s="7"/>
      <c r="C858" s="7"/>
      <c r="D858" s="7"/>
      <c r="E858" s="7"/>
      <c r="F858" s="6"/>
      <c r="G858" s="6"/>
      <c r="H858" s="6"/>
      <c r="I858" s="6"/>
      <c r="J858" s="6"/>
      <c r="K858" s="6"/>
      <c r="L858" s="6"/>
      <c r="M858" s="6"/>
      <c r="N858" s="6"/>
      <c r="O858" s="6"/>
      <c r="P858" s="6"/>
      <c r="Q858" s="6"/>
      <c r="R858" s="6"/>
      <c r="S858" s="6"/>
      <c r="T858" s="6"/>
      <c r="U858" s="6"/>
      <c r="V858" s="6"/>
      <c r="W858" s="6"/>
    </row>
    <row r="859" spans="1:23" ht="16" x14ac:dyDescent="0.2">
      <c r="A859" s="6"/>
      <c r="B859" s="7"/>
      <c r="C859" s="7"/>
      <c r="D859" s="7"/>
      <c r="E859" s="7"/>
      <c r="F859" s="6"/>
      <c r="G859" s="6"/>
      <c r="H859" s="6"/>
      <c r="I859" s="6"/>
      <c r="J859" s="6"/>
      <c r="K859" s="6"/>
      <c r="L859" s="6"/>
      <c r="M859" s="6"/>
      <c r="N859" s="6"/>
      <c r="O859" s="6"/>
      <c r="P859" s="6"/>
      <c r="Q859" s="6"/>
      <c r="R859" s="6"/>
      <c r="S859" s="6"/>
      <c r="T859" s="6"/>
      <c r="U859" s="6"/>
      <c r="V859" s="6"/>
      <c r="W859" s="6"/>
    </row>
    <row r="860" spans="1:23" ht="16" x14ac:dyDescent="0.2">
      <c r="A860" s="6"/>
      <c r="B860" s="7"/>
      <c r="C860" s="7"/>
      <c r="D860" s="7"/>
      <c r="E860" s="7"/>
      <c r="F860" s="6"/>
      <c r="G860" s="6"/>
      <c r="H860" s="6"/>
      <c r="I860" s="6"/>
      <c r="J860" s="6"/>
      <c r="K860" s="6"/>
      <c r="L860" s="6"/>
      <c r="M860" s="6"/>
      <c r="N860" s="6"/>
      <c r="O860" s="6"/>
      <c r="P860" s="6"/>
      <c r="Q860" s="6"/>
      <c r="R860" s="6"/>
      <c r="S860" s="6"/>
      <c r="T860" s="6"/>
      <c r="U860" s="6"/>
      <c r="V860" s="6"/>
      <c r="W860" s="6"/>
    </row>
    <row r="861" spans="1:23" ht="16" x14ac:dyDescent="0.2">
      <c r="A861" s="6"/>
      <c r="B861" s="7"/>
      <c r="C861" s="7"/>
      <c r="D861" s="7"/>
      <c r="E861" s="7"/>
      <c r="F861" s="6"/>
      <c r="G861" s="6"/>
      <c r="H861" s="6"/>
      <c r="I861" s="6"/>
      <c r="J861" s="6"/>
      <c r="K861" s="6"/>
      <c r="L861" s="6"/>
      <c r="M861" s="6"/>
      <c r="N861" s="6"/>
      <c r="O861" s="6"/>
      <c r="P861" s="6"/>
      <c r="Q861" s="6"/>
      <c r="R861" s="6"/>
      <c r="S861" s="6"/>
      <c r="T861" s="6"/>
      <c r="U861" s="6"/>
      <c r="V861" s="6"/>
      <c r="W861" s="6"/>
    </row>
    <row r="862" spans="1:23" ht="16" x14ac:dyDescent="0.2">
      <c r="A862" s="6"/>
      <c r="B862" s="7"/>
      <c r="C862" s="7"/>
      <c r="D862" s="7"/>
      <c r="E862" s="7"/>
      <c r="F862" s="6"/>
      <c r="G862" s="6"/>
      <c r="H862" s="6"/>
      <c r="I862" s="6"/>
      <c r="J862" s="6"/>
      <c r="K862" s="6"/>
      <c r="L862" s="6"/>
      <c r="M862" s="6"/>
      <c r="N862" s="6"/>
      <c r="O862" s="6"/>
      <c r="P862" s="6"/>
      <c r="Q862" s="6"/>
      <c r="R862" s="6"/>
      <c r="S862" s="6"/>
      <c r="T862" s="6"/>
      <c r="U862" s="6"/>
      <c r="V862" s="6"/>
      <c r="W862" s="6"/>
    </row>
    <row r="863" spans="1:23" ht="16" x14ac:dyDescent="0.2">
      <c r="A863" s="6"/>
      <c r="B863" s="7"/>
      <c r="C863" s="7"/>
      <c r="D863" s="7"/>
      <c r="E863" s="7"/>
      <c r="F863" s="6"/>
      <c r="G863" s="6"/>
      <c r="H863" s="6"/>
      <c r="I863" s="6"/>
      <c r="J863" s="6"/>
      <c r="K863" s="6"/>
      <c r="L863" s="6"/>
      <c r="M863" s="6"/>
      <c r="N863" s="6"/>
      <c r="O863" s="6"/>
      <c r="P863" s="6"/>
      <c r="Q863" s="6"/>
      <c r="R863" s="6"/>
      <c r="S863" s="6"/>
      <c r="T863" s="6"/>
      <c r="U863" s="6"/>
      <c r="V863" s="6"/>
      <c r="W863" s="6"/>
    </row>
    <row r="864" spans="1:23" ht="16" x14ac:dyDescent="0.2">
      <c r="A864" s="6"/>
      <c r="B864" s="7"/>
      <c r="C864" s="7"/>
      <c r="D864" s="7"/>
      <c r="E864" s="7"/>
      <c r="F864" s="6"/>
      <c r="G864" s="6"/>
      <c r="H864" s="6"/>
      <c r="I864" s="6"/>
      <c r="J864" s="6"/>
      <c r="K864" s="6"/>
      <c r="L864" s="6"/>
      <c r="M864" s="6"/>
      <c r="N864" s="6"/>
      <c r="O864" s="6"/>
      <c r="P864" s="6"/>
      <c r="Q864" s="6"/>
      <c r="R864" s="6"/>
      <c r="S864" s="6"/>
      <c r="T864" s="6"/>
      <c r="U864" s="6"/>
      <c r="V864" s="6"/>
      <c r="W864" s="6"/>
    </row>
    <row r="865" spans="1:23" ht="16" x14ac:dyDescent="0.2">
      <c r="A865" s="6"/>
      <c r="B865" s="7"/>
      <c r="C865" s="7"/>
      <c r="D865" s="7"/>
      <c r="E865" s="7"/>
      <c r="F865" s="6"/>
      <c r="G865" s="6"/>
      <c r="H865" s="6"/>
      <c r="I865" s="6"/>
      <c r="J865" s="6"/>
      <c r="K865" s="6"/>
      <c r="L865" s="6"/>
      <c r="M865" s="6"/>
      <c r="N865" s="6"/>
      <c r="O865" s="6"/>
      <c r="P865" s="6"/>
      <c r="Q865" s="6"/>
      <c r="R865" s="6"/>
      <c r="S865" s="6"/>
      <c r="T865" s="6"/>
      <c r="U865" s="6"/>
      <c r="V865" s="6"/>
      <c r="W865" s="6"/>
    </row>
    <row r="866" spans="1:23" ht="16" x14ac:dyDescent="0.2">
      <c r="A866" s="6"/>
      <c r="B866" s="7"/>
      <c r="C866" s="7"/>
      <c r="D866" s="7"/>
      <c r="E866" s="7"/>
      <c r="F866" s="6"/>
      <c r="G866" s="6"/>
      <c r="H866" s="6"/>
      <c r="I866" s="6"/>
      <c r="J866" s="6"/>
      <c r="K866" s="6"/>
      <c r="L866" s="6"/>
      <c r="M866" s="6"/>
      <c r="N866" s="6"/>
      <c r="O866" s="6"/>
      <c r="P866" s="6"/>
      <c r="Q866" s="6"/>
      <c r="R866" s="6"/>
      <c r="S866" s="6"/>
      <c r="T866" s="6"/>
      <c r="U866" s="6"/>
      <c r="V866" s="6"/>
      <c r="W866" s="6"/>
    </row>
    <row r="867" spans="1:23" ht="16" x14ac:dyDescent="0.2">
      <c r="A867" s="6"/>
      <c r="B867" s="7"/>
      <c r="C867" s="7"/>
      <c r="D867" s="7"/>
      <c r="E867" s="7"/>
      <c r="F867" s="6"/>
      <c r="G867" s="6"/>
      <c r="H867" s="6"/>
      <c r="I867" s="6"/>
      <c r="J867" s="6"/>
      <c r="K867" s="6"/>
      <c r="L867" s="6"/>
      <c r="M867" s="6"/>
      <c r="N867" s="6"/>
      <c r="O867" s="6"/>
      <c r="P867" s="6"/>
      <c r="Q867" s="6"/>
      <c r="R867" s="6"/>
      <c r="S867" s="6"/>
      <c r="T867" s="6"/>
      <c r="U867" s="6"/>
      <c r="V867" s="6"/>
      <c r="W867" s="6"/>
    </row>
    <row r="868" spans="1:23" ht="16" x14ac:dyDescent="0.2">
      <c r="A868" s="6"/>
      <c r="B868" s="7"/>
      <c r="C868" s="7"/>
      <c r="D868" s="7"/>
      <c r="E868" s="7"/>
      <c r="F868" s="6"/>
      <c r="G868" s="6"/>
      <c r="H868" s="6"/>
      <c r="I868" s="6"/>
      <c r="J868" s="6"/>
      <c r="K868" s="6"/>
      <c r="L868" s="6"/>
      <c r="M868" s="6"/>
      <c r="N868" s="6"/>
      <c r="O868" s="6"/>
      <c r="P868" s="6"/>
      <c r="Q868" s="6"/>
      <c r="R868" s="6"/>
      <c r="S868" s="6"/>
      <c r="T868" s="6"/>
      <c r="U868" s="6"/>
      <c r="V868" s="6"/>
      <c r="W868" s="6"/>
    </row>
    <row r="869" spans="1:23" ht="16" x14ac:dyDescent="0.2">
      <c r="A869" s="6"/>
      <c r="B869" s="7"/>
      <c r="C869" s="7"/>
      <c r="D869" s="7"/>
      <c r="E869" s="7"/>
      <c r="F869" s="6"/>
      <c r="G869" s="6"/>
      <c r="H869" s="6"/>
      <c r="I869" s="6"/>
      <c r="J869" s="6"/>
      <c r="K869" s="6"/>
      <c r="L869" s="6"/>
      <c r="M869" s="6"/>
      <c r="N869" s="6"/>
      <c r="O869" s="6"/>
      <c r="P869" s="6"/>
      <c r="Q869" s="6"/>
      <c r="R869" s="6"/>
      <c r="S869" s="6"/>
      <c r="T869" s="6"/>
      <c r="U869" s="6"/>
      <c r="V869" s="6"/>
      <c r="W869" s="6"/>
    </row>
    <row r="870" spans="1:23" ht="16" x14ac:dyDescent="0.2">
      <c r="A870" s="6"/>
      <c r="B870" s="7"/>
      <c r="C870" s="7"/>
      <c r="D870" s="7"/>
      <c r="E870" s="7"/>
      <c r="F870" s="6"/>
      <c r="G870" s="6"/>
      <c r="H870" s="6"/>
      <c r="I870" s="6"/>
      <c r="J870" s="6"/>
      <c r="K870" s="6"/>
      <c r="L870" s="6"/>
      <c r="M870" s="6"/>
      <c r="N870" s="6"/>
      <c r="O870" s="6"/>
      <c r="P870" s="6"/>
      <c r="Q870" s="6"/>
      <c r="R870" s="6"/>
      <c r="S870" s="6"/>
      <c r="T870" s="6"/>
      <c r="U870" s="6"/>
      <c r="V870" s="6"/>
      <c r="W870" s="6"/>
    </row>
    <row r="871" spans="1:23" ht="16" x14ac:dyDescent="0.2">
      <c r="A871" s="6"/>
      <c r="B871" s="7"/>
      <c r="C871" s="7"/>
      <c r="D871" s="7"/>
      <c r="E871" s="7"/>
      <c r="F871" s="6"/>
      <c r="G871" s="6"/>
      <c r="H871" s="6"/>
      <c r="I871" s="6"/>
      <c r="J871" s="6"/>
      <c r="K871" s="6"/>
      <c r="L871" s="6"/>
      <c r="M871" s="6"/>
      <c r="N871" s="6"/>
      <c r="O871" s="6"/>
      <c r="P871" s="6"/>
      <c r="Q871" s="6"/>
      <c r="R871" s="6"/>
      <c r="S871" s="6"/>
      <c r="T871" s="6"/>
      <c r="U871" s="6"/>
      <c r="V871" s="6"/>
      <c r="W871" s="6"/>
    </row>
    <row r="872" spans="1:23" ht="16" x14ac:dyDescent="0.2">
      <c r="A872" s="6"/>
      <c r="B872" s="7"/>
      <c r="C872" s="7"/>
      <c r="D872" s="7"/>
      <c r="E872" s="7"/>
      <c r="F872" s="6"/>
      <c r="G872" s="6"/>
      <c r="H872" s="6"/>
      <c r="I872" s="6"/>
      <c r="J872" s="6"/>
      <c r="K872" s="6"/>
      <c r="L872" s="6"/>
      <c r="M872" s="6"/>
      <c r="N872" s="6"/>
      <c r="O872" s="6"/>
      <c r="P872" s="6"/>
      <c r="Q872" s="6"/>
      <c r="R872" s="6"/>
      <c r="S872" s="6"/>
      <c r="T872" s="6"/>
      <c r="U872" s="6"/>
      <c r="V872" s="6"/>
      <c r="W872" s="6"/>
    </row>
    <row r="873" spans="1:23" ht="16" x14ac:dyDescent="0.2">
      <c r="A873" s="6"/>
      <c r="B873" s="7"/>
      <c r="C873" s="7"/>
      <c r="D873" s="7"/>
      <c r="E873" s="7"/>
      <c r="F873" s="6"/>
      <c r="G873" s="6"/>
      <c r="H873" s="6"/>
      <c r="I873" s="6"/>
      <c r="J873" s="6"/>
      <c r="K873" s="6"/>
      <c r="L873" s="6"/>
      <c r="M873" s="6"/>
      <c r="N873" s="6"/>
      <c r="O873" s="6"/>
      <c r="P873" s="6"/>
      <c r="Q873" s="6"/>
      <c r="R873" s="6"/>
      <c r="S873" s="6"/>
      <c r="T873" s="6"/>
      <c r="U873" s="6"/>
      <c r="V873" s="6"/>
      <c r="W873" s="6"/>
    </row>
    <row r="874" spans="1:23" ht="16" x14ac:dyDescent="0.2">
      <c r="A874" s="6"/>
      <c r="B874" s="7"/>
      <c r="C874" s="7"/>
      <c r="D874" s="7"/>
      <c r="E874" s="7"/>
      <c r="F874" s="6"/>
      <c r="G874" s="6"/>
      <c r="H874" s="6"/>
      <c r="I874" s="6"/>
      <c r="J874" s="6"/>
      <c r="K874" s="6"/>
      <c r="L874" s="6"/>
      <c r="M874" s="6"/>
      <c r="N874" s="6"/>
      <c r="O874" s="6"/>
      <c r="P874" s="6"/>
      <c r="Q874" s="6"/>
      <c r="R874" s="6"/>
      <c r="S874" s="6"/>
      <c r="T874" s="6"/>
      <c r="U874" s="6"/>
      <c r="V874" s="6"/>
      <c r="W874" s="6"/>
    </row>
    <row r="875" spans="1:23" ht="16" x14ac:dyDescent="0.2">
      <c r="A875" s="6"/>
      <c r="B875" s="7"/>
      <c r="C875" s="7"/>
      <c r="D875" s="7"/>
      <c r="E875" s="7"/>
      <c r="F875" s="6"/>
      <c r="G875" s="6"/>
      <c r="H875" s="6"/>
      <c r="I875" s="6"/>
      <c r="J875" s="6"/>
      <c r="K875" s="6"/>
      <c r="L875" s="6"/>
      <c r="M875" s="6"/>
      <c r="N875" s="6"/>
      <c r="O875" s="6"/>
      <c r="P875" s="6"/>
      <c r="Q875" s="6"/>
      <c r="R875" s="6"/>
      <c r="S875" s="6"/>
      <c r="T875" s="6"/>
      <c r="U875" s="6"/>
      <c r="V875" s="6"/>
      <c r="W875" s="6"/>
    </row>
    <row r="876" spans="1:23" ht="16" x14ac:dyDescent="0.2">
      <c r="A876" s="6"/>
      <c r="B876" s="7"/>
      <c r="C876" s="7"/>
      <c r="D876" s="7"/>
      <c r="E876" s="7"/>
      <c r="F876" s="6"/>
      <c r="G876" s="6"/>
      <c r="H876" s="6"/>
      <c r="I876" s="6"/>
      <c r="J876" s="6"/>
      <c r="K876" s="6"/>
      <c r="L876" s="6"/>
      <c r="M876" s="6"/>
      <c r="N876" s="6"/>
      <c r="O876" s="6"/>
      <c r="P876" s="6"/>
      <c r="Q876" s="6"/>
      <c r="R876" s="6"/>
      <c r="S876" s="6"/>
      <c r="T876" s="6"/>
      <c r="U876" s="6"/>
      <c r="V876" s="6"/>
      <c r="W876" s="6"/>
    </row>
    <row r="877" spans="1:23" ht="16" x14ac:dyDescent="0.2">
      <c r="A877" s="6"/>
      <c r="B877" s="7"/>
      <c r="C877" s="7"/>
      <c r="D877" s="7"/>
      <c r="E877" s="7"/>
      <c r="F877" s="6"/>
      <c r="G877" s="6"/>
      <c r="H877" s="6"/>
      <c r="I877" s="6"/>
      <c r="J877" s="6"/>
      <c r="K877" s="6"/>
      <c r="L877" s="6"/>
      <c r="M877" s="6"/>
      <c r="N877" s="6"/>
      <c r="O877" s="6"/>
      <c r="P877" s="6"/>
      <c r="Q877" s="6"/>
      <c r="R877" s="6"/>
      <c r="S877" s="6"/>
      <c r="T877" s="6"/>
      <c r="U877" s="6"/>
      <c r="V877" s="6"/>
      <c r="W877" s="6"/>
    </row>
    <row r="878" spans="1:23" ht="16" x14ac:dyDescent="0.2">
      <c r="A878" s="6"/>
      <c r="B878" s="7"/>
      <c r="C878" s="7"/>
      <c r="D878" s="7"/>
      <c r="E878" s="7"/>
      <c r="F878" s="6"/>
      <c r="G878" s="6"/>
      <c r="H878" s="6"/>
      <c r="I878" s="6"/>
      <c r="J878" s="6"/>
      <c r="K878" s="6"/>
      <c r="L878" s="6"/>
      <c r="M878" s="6"/>
      <c r="N878" s="6"/>
      <c r="O878" s="6"/>
      <c r="P878" s="6"/>
      <c r="Q878" s="6"/>
      <c r="R878" s="6"/>
      <c r="S878" s="6"/>
      <c r="T878" s="6"/>
      <c r="U878" s="6"/>
      <c r="V878" s="6"/>
      <c r="W878" s="6"/>
    </row>
    <row r="879" spans="1:23" ht="16" x14ac:dyDescent="0.2">
      <c r="A879" s="6"/>
      <c r="B879" s="7"/>
      <c r="C879" s="7"/>
      <c r="D879" s="7"/>
      <c r="E879" s="7"/>
      <c r="F879" s="6"/>
      <c r="G879" s="6"/>
      <c r="H879" s="6"/>
      <c r="I879" s="6"/>
      <c r="J879" s="6"/>
      <c r="K879" s="6"/>
      <c r="L879" s="6"/>
      <c r="M879" s="6"/>
      <c r="N879" s="6"/>
      <c r="O879" s="6"/>
      <c r="P879" s="6"/>
      <c r="Q879" s="6"/>
      <c r="R879" s="6"/>
      <c r="S879" s="6"/>
      <c r="T879" s="6"/>
      <c r="U879" s="6"/>
      <c r="V879" s="6"/>
      <c r="W879" s="6"/>
    </row>
    <row r="880" spans="1:23" ht="16" x14ac:dyDescent="0.2">
      <c r="A880" s="6"/>
      <c r="B880" s="7"/>
      <c r="C880" s="7"/>
      <c r="D880" s="7"/>
      <c r="E880" s="7"/>
      <c r="F880" s="6"/>
      <c r="G880" s="6"/>
      <c r="H880" s="6"/>
      <c r="I880" s="6"/>
      <c r="J880" s="6"/>
      <c r="K880" s="6"/>
      <c r="L880" s="6"/>
      <c r="M880" s="6"/>
      <c r="N880" s="6"/>
      <c r="O880" s="6"/>
      <c r="P880" s="6"/>
      <c r="Q880" s="6"/>
      <c r="R880" s="6"/>
      <c r="S880" s="6"/>
      <c r="T880" s="6"/>
      <c r="U880" s="6"/>
      <c r="V880" s="6"/>
      <c r="W880" s="6"/>
    </row>
    <row r="881" spans="1:23" ht="16" x14ac:dyDescent="0.2">
      <c r="A881" s="6"/>
      <c r="B881" s="7"/>
      <c r="C881" s="7"/>
      <c r="D881" s="7"/>
      <c r="E881" s="7"/>
      <c r="F881" s="6"/>
      <c r="G881" s="6"/>
      <c r="H881" s="6"/>
      <c r="I881" s="6"/>
      <c r="J881" s="6"/>
      <c r="K881" s="6"/>
      <c r="L881" s="6"/>
      <c r="M881" s="6"/>
      <c r="N881" s="6"/>
      <c r="O881" s="6"/>
      <c r="P881" s="6"/>
      <c r="Q881" s="6"/>
      <c r="R881" s="6"/>
      <c r="S881" s="6"/>
      <c r="T881" s="6"/>
      <c r="U881" s="6"/>
      <c r="V881" s="6"/>
      <c r="W881" s="6"/>
    </row>
    <row r="882" spans="1:23" ht="16" x14ac:dyDescent="0.2">
      <c r="A882" s="6"/>
      <c r="B882" s="7"/>
      <c r="C882" s="7"/>
      <c r="D882" s="7"/>
      <c r="E882" s="7"/>
      <c r="F882" s="6"/>
      <c r="G882" s="6"/>
      <c r="H882" s="6"/>
      <c r="I882" s="6"/>
      <c r="J882" s="6"/>
      <c r="K882" s="6"/>
      <c r="L882" s="6"/>
      <c r="M882" s="6"/>
      <c r="N882" s="6"/>
      <c r="O882" s="6"/>
      <c r="P882" s="6"/>
      <c r="Q882" s="6"/>
      <c r="R882" s="6"/>
      <c r="S882" s="6"/>
      <c r="T882" s="6"/>
      <c r="U882" s="6"/>
      <c r="V882" s="6"/>
      <c r="W882" s="6"/>
    </row>
    <row r="883" spans="1:23" ht="16" x14ac:dyDescent="0.2">
      <c r="A883" s="6"/>
      <c r="B883" s="7"/>
      <c r="C883" s="7"/>
      <c r="D883" s="7"/>
      <c r="E883" s="7"/>
      <c r="F883" s="6"/>
      <c r="G883" s="6"/>
      <c r="H883" s="6"/>
      <c r="I883" s="6"/>
      <c r="J883" s="6"/>
      <c r="K883" s="6"/>
      <c r="L883" s="6"/>
      <c r="M883" s="6"/>
      <c r="N883" s="6"/>
      <c r="O883" s="6"/>
      <c r="P883" s="6"/>
      <c r="Q883" s="6"/>
      <c r="R883" s="6"/>
      <c r="S883" s="6"/>
      <c r="T883" s="6"/>
      <c r="U883" s="6"/>
      <c r="V883" s="6"/>
      <c r="W883" s="6"/>
    </row>
    <row r="884" spans="1:23" ht="16" x14ac:dyDescent="0.2">
      <c r="A884" s="6"/>
      <c r="B884" s="7"/>
      <c r="C884" s="7"/>
      <c r="D884" s="7"/>
      <c r="E884" s="7"/>
      <c r="F884" s="6"/>
      <c r="G884" s="6"/>
      <c r="H884" s="6"/>
      <c r="I884" s="6"/>
      <c r="J884" s="6"/>
      <c r="K884" s="6"/>
      <c r="L884" s="6"/>
      <c r="M884" s="6"/>
      <c r="N884" s="6"/>
      <c r="O884" s="6"/>
      <c r="P884" s="6"/>
      <c r="Q884" s="6"/>
      <c r="R884" s="6"/>
      <c r="S884" s="6"/>
      <c r="T884" s="6"/>
      <c r="U884" s="6"/>
      <c r="V884" s="6"/>
      <c r="W884" s="6"/>
    </row>
    <row r="885" spans="1:23" ht="16" x14ac:dyDescent="0.2">
      <c r="A885" s="6"/>
      <c r="B885" s="7"/>
      <c r="C885" s="7"/>
      <c r="D885" s="7"/>
      <c r="E885" s="7"/>
      <c r="F885" s="6"/>
      <c r="G885" s="6"/>
      <c r="H885" s="6"/>
      <c r="I885" s="6"/>
      <c r="J885" s="6"/>
      <c r="K885" s="6"/>
      <c r="L885" s="6"/>
      <c r="M885" s="6"/>
      <c r="N885" s="6"/>
      <c r="O885" s="6"/>
      <c r="P885" s="6"/>
      <c r="Q885" s="6"/>
      <c r="R885" s="6"/>
      <c r="S885" s="6"/>
      <c r="T885" s="6"/>
      <c r="U885" s="6"/>
      <c r="V885" s="6"/>
      <c r="W885" s="6"/>
    </row>
    <row r="886" spans="1:23" ht="16" x14ac:dyDescent="0.2">
      <c r="A886" s="6"/>
      <c r="B886" s="7"/>
      <c r="C886" s="7"/>
      <c r="D886" s="7"/>
      <c r="E886" s="7"/>
      <c r="F886" s="6"/>
      <c r="G886" s="6"/>
      <c r="H886" s="6"/>
      <c r="I886" s="6"/>
      <c r="J886" s="6"/>
      <c r="K886" s="6"/>
      <c r="L886" s="6"/>
      <c r="M886" s="6"/>
      <c r="N886" s="6"/>
      <c r="O886" s="6"/>
      <c r="P886" s="6"/>
      <c r="Q886" s="6"/>
      <c r="R886" s="6"/>
      <c r="S886" s="6"/>
      <c r="T886" s="6"/>
      <c r="U886" s="6"/>
      <c r="V886" s="6"/>
      <c r="W886" s="6"/>
    </row>
    <row r="887" spans="1:23" ht="16" x14ac:dyDescent="0.2">
      <c r="A887" s="6"/>
      <c r="B887" s="7"/>
      <c r="C887" s="7"/>
      <c r="D887" s="7"/>
      <c r="E887" s="7"/>
      <c r="F887" s="6"/>
      <c r="G887" s="6"/>
      <c r="H887" s="6"/>
      <c r="I887" s="6"/>
      <c r="J887" s="6"/>
      <c r="K887" s="6"/>
      <c r="L887" s="6"/>
      <c r="M887" s="6"/>
      <c r="N887" s="6"/>
      <c r="O887" s="6"/>
      <c r="P887" s="6"/>
      <c r="Q887" s="6"/>
      <c r="R887" s="6"/>
      <c r="S887" s="6"/>
      <c r="T887" s="6"/>
      <c r="U887" s="6"/>
      <c r="V887" s="6"/>
      <c r="W887" s="6"/>
    </row>
    <row r="888" spans="1:23" ht="16" x14ac:dyDescent="0.2">
      <c r="A888" s="6"/>
      <c r="B888" s="7"/>
      <c r="C888" s="7"/>
      <c r="D888" s="7"/>
      <c r="E888" s="7"/>
      <c r="F888" s="6"/>
      <c r="G888" s="6"/>
      <c r="H888" s="6"/>
      <c r="I888" s="6"/>
      <c r="J888" s="6"/>
      <c r="K888" s="6"/>
      <c r="L888" s="6"/>
      <c r="M888" s="6"/>
      <c r="N888" s="6"/>
      <c r="O888" s="6"/>
      <c r="P888" s="6"/>
      <c r="Q888" s="6"/>
      <c r="R888" s="6"/>
      <c r="S888" s="6"/>
      <c r="T888" s="6"/>
      <c r="U888" s="6"/>
      <c r="V888" s="6"/>
      <c r="W888" s="6"/>
    </row>
    <row r="889" spans="1:23" ht="16" x14ac:dyDescent="0.2">
      <c r="A889" s="6"/>
      <c r="B889" s="7"/>
      <c r="C889" s="7"/>
      <c r="D889" s="7"/>
      <c r="E889" s="7"/>
      <c r="F889" s="6"/>
      <c r="G889" s="6"/>
      <c r="H889" s="6"/>
      <c r="I889" s="6"/>
      <c r="J889" s="6"/>
      <c r="K889" s="6"/>
      <c r="L889" s="6"/>
      <c r="M889" s="6"/>
      <c r="N889" s="6"/>
      <c r="O889" s="6"/>
      <c r="P889" s="6"/>
      <c r="Q889" s="6"/>
      <c r="R889" s="6"/>
      <c r="S889" s="6"/>
      <c r="T889" s="6"/>
      <c r="U889" s="6"/>
      <c r="V889" s="6"/>
      <c r="W889" s="6"/>
    </row>
    <row r="890" spans="1:23" ht="16" x14ac:dyDescent="0.2">
      <c r="A890" s="6"/>
      <c r="B890" s="7"/>
      <c r="C890" s="7"/>
      <c r="D890" s="7"/>
      <c r="E890" s="7"/>
      <c r="F890" s="6"/>
      <c r="G890" s="6"/>
      <c r="H890" s="6"/>
      <c r="I890" s="6"/>
      <c r="J890" s="6"/>
      <c r="K890" s="6"/>
      <c r="L890" s="6"/>
      <c r="M890" s="6"/>
      <c r="N890" s="6"/>
      <c r="O890" s="6"/>
      <c r="P890" s="6"/>
      <c r="Q890" s="6"/>
      <c r="R890" s="6"/>
      <c r="S890" s="6"/>
      <c r="T890" s="6"/>
      <c r="U890" s="6"/>
      <c r="V890" s="6"/>
      <c r="W890" s="6"/>
    </row>
    <row r="891" spans="1:23" ht="16" x14ac:dyDescent="0.2">
      <c r="A891" s="6"/>
      <c r="B891" s="7"/>
      <c r="C891" s="7"/>
      <c r="D891" s="7"/>
      <c r="E891" s="7"/>
      <c r="F891" s="6"/>
      <c r="G891" s="6"/>
      <c r="H891" s="6"/>
      <c r="I891" s="6"/>
      <c r="J891" s="6"/>
      <c r="K891" s="6"/>
      <c r="L891" s="6"/>
      <c r="M891" s="6"/>
      <c r="N891" s="6"/>
      <c r="O891" s="6"/>
      <c r="P891" s="6"/>
      <c r="Q891" s="6"/>
      <c r="R891" s="6"/>
      <c r="S891" s="6"/>
      <c r="T891" s="6"/>
      <c r="U891" s="6"/>
      <c r="V891" s="6"/>
      <c r="W891" s="6"/>
    </row>
    <row r="892" spans="1:23" ht="16" x14ac:dyDescent="0.2">
      <c r="A892" s="6"/>
      <c r="B892" s="7"/>
      <c r="C892" s="7"/>
      <c r="D892" s="7"/>
      <c r="E892" s="7"/>
      <c r="F892" s="6"/>
      <c r="G892" s="6"/>
      <c r="H892" s="6"/>
      <c r="I892" s="6"/>
      <c r="J892" s="6"/>
      <c r="K892" s="6"/>
      <c r="L892" s="6"/>
      <c r="M892" s="6"/>
      <c r="N892" s="6"/>
      <c r="O892" s="6"/>
      <c r="P892" s="6"/>
      <c r="Q892" s="6"/>
      <c r="R892" s="6"/>
      <c r="S892" s="6"/>
      <c r="T892" s="6"/>
      <c r="U892" s="6"/>
      <c r="V892" s="6"/>
      <c r="W892" s="6"/>
    </row>
    <row r="893" spans="1:23" ht="16" x14ac:dyDescent="0.2">
      <c r="A893" s="6"/>
      <c r="B893" s="7"/>
      <c r="C893" s="7"/>
      <c r="D893" s="7"/>
      <c r="E893" s="7"/>
      <c r="F893" s="6"/>
      <c r="G893" s="6"/>
      <c r="H893" s="6"/>
      <c r="I893" s="6"/>
      <c r="J893" s="6"/>
      <c r="K893" s="6"/>
      <c r="L893" s="6"/>
      <c r="M893" s="6"/>
      <c r="N893" s="6"/>
      <c r="O893" s="6"/>
      <c r="P893" s="6"/>
      <c r="Q893" s="6"/>
      <c r="R893" s="6"/>
      <c r="S893" s="6"/>
      <c r="T893" s="6"/>
      <c r="U893" s="6"/>
      <c r="V893" s="6"/>
      <c r="W893" s="6"/>
    </row>
    <row r="894" spans="1:23" ht="16" x14ac:dyDescent="0.2">
      <c r="A894" s="6"/>
      <c r="B894" s="7"/>
      <c r="C894" s="7"/>
      <c r="D894" s="7"/>
      <c r="E894" s="7"/>
      <c r="F894" s="6"/>
      <c r="G894" s="6"/>
      <c r="H894" s="6"/>
      <c r="I894" s="6"/>
      <c r="J894" s="6"/>
      <c r="K894" s="6"/>
      <c r="L894" s="6"/>
      <c r="M894" s="6"/>
      <c r="N894" s="6"/>
      <c r="O894" s="6"/>
      <c r="P894" s="6"/>
      <c r="Q894" s="6"/>
      <c r="R894" s="6"/>
      <c r="S894" s="6"/>
      <c r="T894" s="6"/>
      <c r="U894" s="6"/>
      <c r="V894" s="6"/>
      <c r="W894" s="6"/>
    </row>
    <row r="895" spans="1:23" ht="16" x14ac:dyDescent="0.2">
      <c r="A895" s="6"/>
      <c r="B895" s="7"/>
      <c r="C895" s="7"/>
      <c r="D895" s="7"/>
      <c r="E895" s="7"/>
      <c r="F895" s="6"/>
      <c r="G895" s="6"/>
      <c r="H895" s="6"/>
      <c r="I895" s="6"/>
      <c r="J895" s="6"/>
      <c r="K895" s="6"/>
      <c r="L895" s="6"/>
      <c r="M895" s="6"/>
      <c r="N895" s="6"/>
      <c r="O895" s="6"/>
      <c r="P895" s="6"/>
      <c r="Q895" s="6"/>
      <c r="R895" s="6"/>
      <c r="S895" s="6"/>
      <c r="T895" s="6"/>
      <c r="U895" s="6"/>
      <c r="V895" s="6"/>
      <c r="W895" s="6"/>
    </row>
    <row r="896" spans="1:23" ht="16" x14ac:dyDescent="0.2">
      <c r="A896" s="6"/>
      <c r="B896" s="7"/>
      <c r="C896" s="7"/>
      <c r="D896" s="7"/>
      <c r="E896" s="7"/>
      <c r="F896" s="6"/>
      <c r="G896" s="6"/>
      <c r="H896" s="6"/>
      <c r="I896" s="6"/>
      <c r="J896" s="6"/>
      <c r="K896" s="6"/>
      <c r="L896" s="6"/>
      <c r="M896" s="6"/>
      <c r="N896" s="6"/>
      <c r="O896" s="6"/>
      <c r="P896" s="6"/>
      <c r="Q896" s="6"/>
      <c r="R896" s="6"/>
      <c r="S896" s="6"/>
      <c r="T896" s="6"/>
      <c r="U896" s="6"/>
      <c r="V896" s="6"/>
      <c r="W896" s="6"/>
    </row>
    <row r="897" spans="1:23" ht="16" x14ac:dyDescent="0.2">
      <c r="A897" s="6"/>
      <c r="B897" s="7"/>
      <c r="C897" s="7"/>
      <c r="D897" s="7"/>
      <c r="E897" s="7"/>
      <c r="F897" s="6"/>
      <c r="G897" s="6"/>
      <c r="H897" s="6"/>
      <c r="I897" s="6"/>
      <c r="J897" s="6"/>
      <c r="K897" s="6"/>
      <c r="L897" s="6"/>
      <c r="M897" s="6"/>
      <c r="N897" s="6"/>
      <c r="O897" s="6"/>
      <c r="P897" s="6"/>
      <c r="Q897" s="6"/>
      <c r="R897" s="6"/>
      <c r="S897" s="6"/>
      <c r="T897" s="6"/>
      <c r="U897" s="6"/>
      <c r="V897" s="6"/>
      <c r="W897" s="6"/>
    </row>
    <row r="898" spans="1:23" ht="16" x14ac:dyDescent="0.2">
      <c r="A898" s="6"/>
      <c r="B898" s="7"/>
      <c r="C898" s="7"/>
      <c r="D898" s="7"/>
      <c r="E898" s="7"/>
      <c r="F898" s="6"/>
      <c r="G898" s="6"/>
      <c r="H898" s="6"/>
      <c r="I898" s="6"/>
      <c r="J898" s="6"/>
      <c r="K898" s="6"/>
      <c r="L898" s="6"/>
      <c r="M898" s="6"/>
      <c r="N898" s="6"/>
      <c r="O898" s="6"/>
      <c r="P898" s="6"/>
      <c r="Q898" s="6"/>
      <c r="R898" s="6"/>
      <c r="S898" s="6"/>
      <c r="T898" s="6"/>
      <c r="U898" s="6"/>
      <c r="V898" s="6"/>
      <c r="W898" s="6"/>
    </row>
    <row r="899" spans="1:23" ht="16" x14ac:dyDescent="0.2">
      <c r="A899" s="6"/>
      <c r="B899" s="7"/>
      <c r="C899" s="7"/>
      <c r="D899" s="7"/>
      <c r="E899" s="7"/>
      <c r="F899" s="6"/>
      <c r="G899" s="6"/>
      <c r="H899" s="6"/>
      <c r="I899" s="6"/>
      <c r="J899" s="6"/>
      <c r="K899" s="6"/>
      <c r="L899" s="6"/>
      <c r="M899" s="6"/>
      <c r="N899" s="6"/>
      <c r="O899" s="6"/>
      <c r="P899" s="6"/>
      <c r="Q899" s="6"/>
      <c r="R899" s="6"/>
      <c r="S899" s="6"/>
      <c r="T899" s="6"/>
      <c r="U899" s="6"/>
      <c r="V899" s="6"/>
      <c r="W899" s="6"/>
    </row>
    <row r="900" spans="1:23" ht="16" x14ac:dyDescent="0.2">
      <c r="A900" s="6"/>
      <c r="B900" s="7"/>
      <c r="C900" s="7"/>
      <c r="D900" s="7"/>
      <c r="E900" s="7"/>
      <c r="F900" s="6"/>
      <c r="G900" s="6"/>
      <c r="H900" s="6"/>
      <c r="I900" s="6"/>
      <c r="J900" s="6"/>
      <c r="K900" s="6"/>
      <c r="L900" s="6"/>
      <c r="M900" s="6"/>
      <c r="N900" s="6"/>
      <c r="O900" s="6"/>
      <c r="P900" s="6"/>
      <c r="Q900" s="6"/>
      <c r="R900" s="6"/>
      <c r="S900" s="6"/>
      <c r="T900" s="6"/>
      <c r="U900" s="6"/>
      <c r="V900" s="6"/>
      <c r="W900" s="6"/>
    </row>
    <row r="901" spans="1:23" ht="16" x14ac:dyDescent="0.2">
      <c r="A901" s="6"/>
      <c r="B901" s="7"/>
      <c r="C901" s="7"/>
      <c r="D901" s="7"/>
      <c r="E901" s="7"/>
      <c r="F901" s="6"/>
      <c r="G901" s="6"/>
      <c r="H901" s="6"/>
      <c r="I901" s="6"/>
      <c r="J901" s="6"/>
      <c r="K901" s="6"/>
      <c r="L901" s="6"/>
      <c r="M901" s="6"/>
      <c r="N901" s="6"/>
      <c r="O901" s="6"/>
      <c r="P901" s="6"/>
      <c r="Q901" s="6"/>
      <c r="R901" s="6"/>
      <c r="S901" s="6"/>
      <c r="T901" s="6"/>
      <c r="U901" s="6"/>
      <c r="V901" s="6"/>
      <c r="W901" s="6"/>
    </row>
    <row r="902" spans="1:23" ht="16" x14ac:dyDescent="0.2">
      <c r="A902" s="6"/>
      <c r="B902" s="7"/>
      <c r="C902" s="7"/>
      <c r="D902" s="7"/>
      <c r="E902" s="7"/>
      <c r="F902" s="6"/>
      <c r="G902" s="6"/>
      <c r="H902" s="6"/>
      <c r="I902" s="6"/>
      <c r="J902" s="6"/>
      <c r="K902" s="6"/>
      <c r="L902" s="6"/>
      <c r="M902" s="6"/>
      <c r="N902" s="6"/>
      <c r="O902" s="6"/>
      <c r="P902" s="6"/>
      <c r="Q902" s="6"/>
      <c r="R902" s="6"/>
      <c r="S902" s="6"/>
      <c r="T902" s="6"/>
      <c r="U902" s="6"/>
      <c r="V902" s="6"/>
      <c r="W902" s="6"/>
    </row>
    <row r="903" spans="1:23" ht="16" x14ac:dyDescent="0.2">
      <c r="A903" s="6"/>
      <c r="B903" s="7"/>
      <c r="C903" s="7"/>
      <c r="D903" s="7"/>
      <c r="E903" s="7"/>
      <c r="F903" s="6"/>
      <c r="G903" s="6"/>
      <c r="H903" s="6"/>
      <c r="I903" s="6"/>
      <c r="J903" s="6"/>
      <c r="K903" s="6"/>
      <c r="L903" s="6"/>
      <c r="M903" s="6"/>
      <c r="N903" s="6"/>
      <c r="O903" s="6"/>
      <c r="P903" s="6"/>
      <c r="Q903" s="6"/>
      <c r="R903" s="6"/>
      <c r="S903" s="6"/>
      <c r="T903" s="6"/>
      <c r="U903" s="6"/>
      <c r="V903" s="6"/>
      <c r="W903" s="6"/>
    </row>
    <row r="904" spans="1:23" ht="16" x14ac:dyDescent="0.2">
      <c r="A904" s="6"/>
      <c r="B904" s="7"/>
      <c r="C904" s="7"/>
      <c r="D904" s="7"/>
      <c r="E904" s="7"/>
      <c r="F904" s="6"/>
      <c r="G904" s="6"/>
      <c r="H904" s="6"/>
      <c r="I904" s="6"/>
      <c r="J904" s="6"/>
      <c r="K904" s="6"/>
      <c r="L904" s="6"/>
      <c r="M904" s="6"/>
      <c r="N904" s="6"/>
      <c r="O904" s="6"/>
      <c r="P904" s="6"/>
      <c r="Q904" s="6"/>
      <c r="R904" s="6"/>
      <c r="S904" s="6"/>
      <c r="T904" s="6"/>
      <c r="U904" s="6"/>
      <c r="V904" s="6"/>
      <c r="W904" s="6"/>
    </row>
    <row r="905" spans="1:23" ht="16" x14ac:dyDescent="0.2">
      <c r="A905" s="6"/>
      <c r="B905" s="7"/>
      <c r="C905" s="7"/>
      <c r="D905" s="7"/>
      <c r="E905" s="7"/>
      <c r="F905" s="6"/>
      <c r="G905" s="6"/>
      <c r="H905" s="6"/>
      <c r="I905" s="6"/>
      <c r="J905" s="6"/>
      <c r="K905" s="6"/>
      <c r="L905" s="6"/>
      <c r="M905" s="6"/>
      <c r="N905" s="6"/>
      <c r="O905" s="6"/>
      <c r="P905" s="6"/>
      <c r="Q905" s="6"/>
      <c r="R905" s="6"/>
      <c r="S905" s="6"/>
      <c r="T905" s="6"/>
      <c r="U905" s="6"/>
      <c r="V905" s="6"/>
      <c r="W905" s="6"/>
    </row>
    <row r="906" spans="1:23" ht="16" x14ac:dyDescent="0.2">
      <c r="A906" s="6"/>
      <c r="B906" s="7"/>
      <c r="C906" s="7"/>
      <c r="D906" s="7"/>
      <c r="E906" s="7"/>
      <c r="F906" s="6"/>
      <c r="G906" s="6"/>
      <c r="H906" s="6"/>
      <c r="I906" s="6"/>
      <c r="J906" s="6"/>
      <c r="K906" s="6"/>
      <c r="L906" s="6"/>
      <c r="M906" s="6"/>
      <c r="N906" s="6"/>
      <c r="O906" s="6"/>
      <c r="P906" s="6"/>
      <c r="Q906" s="6"/>
      <c r="R906" s="6"/>
      <c r="S906" s="6"/>
      <c r="T906" s="6"/>
      <c r="U906" s="6"/>
      <c r="V906" s="6"/>
      <c r="W906" s="6"/>
    </row>
    <row r="907" spans="1:23" ht="16" x14ac:dyDescent="0.2">
      <c r="A907" s="6"/>
      <c r="B907" s="7"/>
      <c r="C907" s="7"/>
      <c r="D907" s="7"/>
      <c r="E907" s="7"/>
      <c r="F907" s="6"/>
      <c r="G907" s="6"/>
      <c r="H907" s="6"/>
      <c r="I907" s="6"/>
      <c r="J907" s="6"/>
      <c r="K907" s="6"/>
      <c r="L907" s="6"/>
      <c r="M907" s="6"/>
      <c r="N907" s="6"/>
      <c r="O907" s="6"/>
      <c r="P907" s="6"/>
      <c r="Q907" s="6"/>
      <c r="R907" s="6"/>
      <c r="S907" s="6"/>
      <c r="T907" s="6"/>
      <c r="U907" s="6"/>
      <c r="V907" s="6"/>
      <c r="W907" s="6"/>
    </row>
    <row r="908" spans="1:23" ht="16" x14ac:dyDescent="0.2">
      <c r="A908" s="6"/>
      <c r="B908" s="7"/>
      <c r="C908" s="7"/>
      <c r="D908" s="7"/>
      <c r="E908" s="7"/>
      <c r="F908" s="6"/>
      <c r="G908" s="6"/>
      <c r="H908" s="6"/>
      <c r="I908" s="6"/>
      <c r="J908" s="6"/>
      <c r="K908" s="6"/>
      <c r="L908" s="6"/>
      <c r="M908" s="6"/>
      <c r="N908" s="6"/>
      <c r="O908" s="6"/>
      <c r="P908" s="6"/>
      <c r="Q908" s="6"/>
      <c r="R908" s="6"/>
      <c r="S908" s="6"/>
      <c r="T908" s="6"/>
      <c r="U908" s="6"/>
      <c r="V908" s="6"/>
      <c r="W908" s="6"/>
    </row>
    <row r="909" spans="1:23" ht="16" x14ac:dyDescent="0.2">
      <c r="A909" s="6"/>
      <c r="B909" s="7"/>
      <c r="C909" s="7"/>
      <c r="D909" s="7"/>
      <c r="E909" s="7"/>
      <c r="F909" s="6"/>
      <c r="G909" s="6"/>
      <c r="H909" s="6"/>
      <c r="I909" s="6"/>
      <c r="J909" s="6"/>
      <c r="K909" s="6"/>
      <c r="L909" s="6"/>
      <c r="M909" s="6"/>
      <c r="N909" s="6"/>
      <c r="O909" s="6"/>
      <c r="P909" s="6"/>
      <c r="Q909" s="6"/>
      <c r="R909" s="6"/>
      <c r="S909" s="6"/>
      <c r="T909" s="6"/>
      <c r="U909" s="6"/>
      <c r="V909" s="6"/>
      <c r="W909" s="6"/>
    </row>
    <row r="910" spans="1:23" ht="16" x14ac:dyDescent="0.2">
      <c r="A910" s="6"/>
      <c r="B910" s="7"/>
      <c r="C910" s="7"/>
      <c r="D910" s="7"/>
      <c r="E910" s="7"/>
      <c r="F910" s="6"/>
      <c r="G910" s="6"/>
      <c r="H910" s="6"/>
      <c r="I910" s="6"/>
      <c r="J910" s="6"/>
      <c r="K910" s="6"/>
      <c r="L910" s="6"/>
      <c r="M910" s="6"/>
      <c r="N910" s="6"/>
      <c r="O910" s="6"/>
      <c r="P910" s="6"/>
      <c r="Q910" s="6"/>
      <c r="R910" s="6"/>
      <c r="S910" s="6"/>
      <c r="T910" s="6"/>
      <c r="U910" s="6"/>
      <c r="V910" s="6"/>
      <c r="W910" s="6"/>
    </row>
    <row r="911" spans="1:23" ht="16" x14ac:dyDescent="0.2">
      <c r="A911" s="6"/>
      <c r="B911" s="7"/>
      <c r="C911" s="7"/>
      <c r="D911" s="7"/>
      <c r="E911" s="7"/>
      <c r="F911" s="6"/>
      <c r="G911" s="6"/>
      <c r="H911" s="6"/>
      <c r="I911" s="6"/>
      <c r="J911" s="6"/>
      <c r="K911" s="6"/>
      <c r="L911" s="6"/>
      <c r="M911" s="6"/>
      <c r="N911" s="6"/>
      <c r="O911" s="6"/>
      <c r="P911" s="6"/>
      <c r="Q911" s="6"/>
      <c r="R911" s="6"/>
      <c r="S911" s="6"/>
      <c r="T911" s="6"/>
      <c r="U911" s="6"/>
      <c r="V911" s="6"/>
      <c r="W911" s="6"/>
    </row>
    <row r="912" spans="1:23" ht="16" x14ac:dyDescent="0.2">
      <c r="A912" s="6"/>
      <c r="B912" s="7"/>
      <c r="C912" s="7"/>
      <c r="D912" s="7"/>
      <c r="E912" s="7"/>
      <c r="F912" s="6"/>
      <c r="G912" s="6"/>
      <c r="H912" s="6"/>
      <c r="I912" s="6"/>
      <c r="J912" s="6"/>
      <c r="K912" s="6"/>
      <c r="L912" s="6"/>
      <c r="M912" s="6"/>
      <c r="N912" s="6"/>
      <c r="O912" s="6"/>
      <c r="P912" s="6"/>
      <c r="Q912" s="6"/>
      <c r="R912" s="6"/>
      <c r="S912" s="6"/>
      <c r="T912" s="6"/>
      <c r="U912" s="6"/>
      <c r="V912" s="6"/>
      <c r="W912" s="6"/>
    </row>
    <row r="913" spans="1:23" ht="16" x14ac:dyDescent="0.2">
      <c r="A913" s="6"/>
      <c r="B913" s="7"/>
      <c r="C913" s="7"/>
      <c r="D913" s="7"/>
      <c r="E913" s="7"/>
      <c r="F913" s="6"/>
      <c r="G913" s="6"/>
      <c r="H913" s="6"/>
      <c r="I913" s="6"/>
      <c r="J913" s="6"/>
      <c r="K913" s="6"/>
      <c r="L913" s="6"/>
      <c r="M913" s="6"/>
      <c r="N913" s="6"/>
      <c r="O913" s="6"/>
      <c r="P913" s="6"/>
      <c r="Q913" s="6"/>
      <c r="R913" s="6"/>
      <c r="S913" s="6"/>
      <c r="T913" s="6"/>
      <c r="U913" s="6"/>
      <c r="V913" s="6"/>
      <c r="W913" s="6"/>
    </row>
    <row r="914" spans="1:23" ht="16" x14ac:dyDescent="0.2">
      <c r="A914" s="6"/>
      <c r="B914" s="7"/>
      <c r="C914" s="7"/>
      <c r="D914" s="7"/>
      <c r="E914" s="7"/>
      <c r="F914" s="6"/>
      <c r="G914" s="6"/>
      <c r="H914" s="6"/>
      <c r="I914" s="6"/>
      <c r="J914" s="6"/>
      <c r="K914" s="6"/>
      <c r="L914" s="6"/>
      <c r="M914" s="6"/>
      <c r="N914" s="6"/>
      <c r="O914" s="6"/>
      <c r="P914" s="6"/>
      <c r="Q914" s="6"/>
      <c r="R914" s="6"/>
      <c r="S914" s="6"/>
      <c r="T914" s="6"/>
      <c r="U914" s="6"/>
      <c r="V914" s="6"/>
      <c r="W914" s="6"/>
    </row>
    <row r="915" spans="1:23" ht="16" x14ac:dyDescent="0.2">
      <c r="A915" s="6"/>
      <c r="B915" s="7"/>
      <c r="C915" s="7"/>
      <c r="D915" s="7"/>
      <c r="E915" s="7"/>
      <c r="F915" s="6"/>
      <c r="G915" s="6"/>
      <c r="H915" s="6"/>
      <c r="I915" s="6"/>
      <c r="J915" s="6"/>
      <c r="K915" s="6"/>
      <c r="L915" s="6"/>
      <c r="M915" s="6"/>
      <c r="N915" s="6"/>
      <c r="O915" s="6"/>
      <c r="P915" s="6"/>
      <c r="Q915" s="6"/>
      <c r="R915" s="6"/>
      <c r="S915" s="6"/>
      <c r="T915" s="6"/>
      <c r="U915" s="6"/>
      <c r="V915" s="6"/>
      <c r="W915" s="6"/>
    </row>
    <row r="916" spans="1:23" ht="16" x14ac:dyDescent="0.2">
      <c r="A916" s="6"/>
      <c r="B916" s="7"/>
      <c r="C916" s="7"/>
      <c r="D916" s="7"/>
      <c r="E916" s="7"/>
      <c r="F916" s="6"/>
      <c r="G916" s="6"/>
      <c r="H916" s="6"/>
      <c r="I916" s="6"/>
      <c r="J916" s="6"/>
      <c r="K916" s="6"/>
      <c r="L916" s="6"/>
      <c r="M916" s="6"/>
      <c r="N916" s="6"/>
      <c r="O916" s="6"/>
      <c r="P916" s="6"/>
      <c r="Q916" s="6"/>
      <c r="R916" s="6"/>
      <c r="S916" s="6"/>
      <c r="T916" s="6"/>
      <c r="U916" s="6"/>
      <c r="V916" s="6"/>
      <c r="W916" s="6"/>
    </row>
    <row r="917" spans="1:23" ht="16" x14ac:dyDescent="0.2">
      <c r="A917" s="6"/>
      <c r="B917" s="7"/>
      <c r="C917" s="7"/>
      <c r="D917" s="7"/>
      <c r="E917" s="7"/>
      <c r="F917" s="6"/>
      <c r="G917" s="6"/>
      <c r="H917" s="6"/>
      <c r="I917" s="6"/>
      <c r="J917" s="6"/>
      <c r="K917" s="6"/>
      <c r="L917" s="6"/>
      <c r="M917" s="6"/>
      <c r="N917" s="6"/>
      <c r="O917" s="6"/>
      <c r="P917" s="6"/>
      <c r="Q917" s="6"/>
      <c r="R917" s="6"/>
      <c r="S917" s="6"/>
      <c r="T917" s="6"/>
      <c r="U917" s="6"/>
      <c r="V917" s="6"/>
      <c r="W917" s="6"/>
    </row>
    <row r="918" spans="1:23" ht="16" x14ac:dyDescent="0.2">
      <c r="A918" s="6"/>
      <c r="B918" s="7"/>
      <c r="C918" s="7"/>
      <c r="D918" s="7"/>
      <c r="E918" s="7"/>
      <c r="F918" s="6"/>
      <c r="G918" s="6"/>
      <c r="H918" s="6"/>
      <c r="I918" s="6"/>
      <c r="J918" s="6"/>
      <c r="K918" s="6"/>
      <c r="L918" s="6"/>
      <c r="M918" s="6"/>
      <c r="N918" s="6"/>
      <c r="O918" s="6"/>
      <c r="P918" s="6"/>
      <c r="Q918" s="6"/>
      <c r="R918" s="6"/>
      <c r="S918" s="6"/>
      <c r="T918" s="6"/>
      <c r="U918" s="6"/>
      <c r="V918" s="6"/>
      <c r="W918" s="6"/>
    </row>
    <row r="919" spans="1:23" ht="16" x14ac:dyDescent="0.2">
      <c r="A919" s="6"/>
      <c r="B919" s="7"/>
      <c r="C919" s="7"/>
      <c r="D919" s="7"/>
      <c r="E919" s="7"/>
      <c r="F919" s="6"/>
      <c r="G919" s="6"/>
      <c r="H919" s="6"/>
      <c r="I919" s="6"/>
      <c r="J919" s="6"/>
      <c r="K919" s="6"/>
      <c r="L919" s="6"/>
      <c r="M919" s="6"/>
      <c r="N919" s="6"/>
      <c r="O919" s="6"/>
      <c r="P919" s="6"/>
      <c r="Q919" s="6"/>
      <c r="R919" s="6"/>
      <c r="S919" s="6"/>
      <c r="T919" s="6"/>
      <c r="U919" s="6"/>
      <c r="V919" s="6"/>
      <c r="W919" s="6"/>
    </row>
    <row r="920" spans="1:23" ht="16" x14ac:dyDescent="0.2">
      <c r="A920" s="6"/>
      <c r="B920" s="7"/>
      <c r="C920" s="7"/>
      <c r="D920" s="7"/>
      <c r="E920" s="7"/>
      <c r="F920" s="6"/>
      <c r="G920" s="6"/>
      <c r="H920" s="6"/>
      <c r="I920" s="6"/>
      <c r="J920" s="6"/>
      <c r="K920" s="6"/>
      <c r="L920" s="6"/>
      <c r="M920" s="6"/>
      <c r="N920" s="6"/>
      <c r="O920" s="6"/>
      <c r="P920" s="6"/>
      <c r="Q920" s="6"/>
      <c r="R920" s="6"/>
      <c r="S920" s="6"/>
      <c r="T920" s="6"/>
      <c r="U920" s="6"/>
      <c r="V920" s="6"/>
      <c r="W920" s="6"/>
    </row>
    <row r="921" spans="1:23" ht="16" x14ac:dyDescent="0.2">
      <c r="A921" s="6"/>
      <c r="B921" s="7"/>
      <c r="C921" s="7"/>
      <c r="D921" s="7"/>
      <c r="E921" s="7"/>
      <c r="F921" s="6"/>
      <c r="G921" s="6"/>
      <c r="H921" s="6"/>
      <c r="I921" s="6"/>
      <c r="J921" s="6"/>
      <c r="K921" s="6"/>
      <c r="L921" s="6"/>
      <c r="M921" s="6"/>
      <c r="N921" s="6"/>
      <c r="O921" s="6"/>
      <c r="P921" s="6"/>
      <c r="Q921" s="6"/>
      <c r="R921" s="6"/>
      <c r="S921" s="6"/>
      <c r="T921" s="6"/>
      <c r="U921" s="6"/>
      <c r="V921" s="6"/>
      <c r="W921" s="6"/>
    </row>
    <row r="922" spans="1:23" ht="16" x14ac:dyDescent="0.2">
      <c r="A922" s="6"/>
      <c r="B922" s="7"/>
      <c r="C922" s="7"/>
      <c r="D922" s="7"/>
      <c r="E922" s="7"/>
      <c r="F922" s="6"/>
      <c r="G922" s="6"/>
      <c r="H922" s="6"/>
      <c r="I922" s="6"/>
      <c r="J922" s="6"/>
      <c r="K922" s="6"/>
      <c r="L922" s="6"/>
      <c r="M922" s="6"/>
      <c r="N922" s="6"/>
      <c r="O922" s="6"/>
      <c r="P922" s="6"/>
      <c r="Q922" s="6"/>
      <c r="R922" s="6"/>
      <c r="S922" s="6"/>
      <c r="T922" s="6"/>
      <c r="U922" s="6"/>
      <c r="V922" s="6"/>
      <c r="W922" s="6"/>
    </row>
    <row r="923" spans="1:23" ht="16" x14ac:dyDescent="0.2">
      <c r="A923" s="6"/>
      <c r="B923" s="7"/>
      <c r="C923" s="7"/>
      <c r="D923" s="7"/>
      <c r="E923" s="7"/>
      <c r="F923" s="6"/>
      <c r="G923" s="6"/>
      <c r="H923" s="6"/>
      <c r="I923" s="6"/>
      <c r="J923" s="6"/>
      <c r="K923" s="6"/>
      <c r="L923" s="6"/>
      <c r="M923" s="6"/>
      <c r="N923" s="6"/>
      <c r="O923" s="6"/>
      <c r="P923" s="6"/>
      <c r="Q923" s="6"/>
      <c r="R923" s="6"/>
      <c r="S923" s="6"/>
      <c r="T923" s="6"/>
      <c r="U923" s="6"/>
      <c r="V923" s="6"/>
      <c r="W923" s="6"/>
    </row>
    <row r="924" spans="1:23" ht="16" x14ac:dyDescent="0.2">
      <c r="A924" s="6"/>
      <c r="B924" s="7"/>
      <c r="C924" s="7"/>
      <c r="D924" s="7"/>
      <c r="E924" s="7"/>
      <c r="F924" s="6"/>
      <c r="G924" s="6"/>
      <c r="H924" s="6"/>
      <c r="I924" s="6"/>
      <c r="J924" s="6"/>
      <c r="K924" s="6"/>
      <c r="L924" s="6"/>
      <c r="M924" s="6"/>
      <c r="N924" s="6"/>
      <c r="O924" s="6"/>
      <c r="P924" s="6"/>
      <c r="Q924" s="6"/>
      <c r="R924" s="6"/>
      <c r="S924" s="6"/>
      <c r="T924" s="6"/>
      <c r="U924" s="6"/>
      <c r="V924" s="6"/>
      <c r="W924" s="6"/>
    </row>
    <row r="925" spans="1:23" ht="16" x14ac:dyDescent="0.2">
      <c r="A925" s="6"/>
      <c r="B925" s="7"/>
      <c r="C925" s="7"/>
      <c r="D925" s="7"/>
      <c r="E925" s="7"/>
      <c r="F925" s="6"/>
      <c r="G925" s="6"/>
      <c r="H925" s="6"/>
      <c r="I925" s="6"/>
      <c r="J925" s="6"/>
      <c r="K925" s="6"/>
      <c r="L925" s="6"/>
      <c r="M925" s="6"/>
      <c r="N925" s="6"/>
      <c r="O925" s="6"/>
      <c r="P925" s="6"/>
      <c r="Q925" s="6"/>
      <c r="R925" s="6"/>
      <c r="S925" s="6"/>
      <c r="T925" s="6"/>
      <c r="U925" s="6"/>
      <c r="V925" s="6"/>
      <c r="W925" s="6"/>
    </row>
    <row r="926" spans="1:23" ht="16" x14ac:dyDescent="0.2">
      <c r="A926" s="6"/>
      <c r="B926" s="7"/>
      <c r="C926" s="7"/>
      <c r="D926" s="7"/>
      <c r="E926" s="7"/>
      <c r="F926" s="6"/>
      <c r="G926" s="6"/>
      <c r="H926" s="6"/>
      <c r="I926" s="6"/>
      <c r="J926" s="6"/>
      <c r="K926" s="6"/>
      <c r="L926" s="6"/>
      <c r="M926" s="6"/>
      <c r="N926" s="6"/>
      <c r="O926" s="6"/>
      <c r="P926" s="6"/>
      <c r="Q926" s="6"/>
      <c r="R926" s="6"/>
      <c r="S926" s="6"/>
      <c r="T926" s="6"/>
      <c r="U926" s="6"/>
      <c r="V926" s="6"/>
      <c r="W926" s="6"/>
    </row>
    <row r="927" spans="1:23" ht="16" x14ac:dyDescent="0.2">
      <c r="A927" s="6"/>
      <c r="B927" s="7"/>
      <c r="C927" s="7"/>
      <c r="D927" s="7"/>
      <c r="E927" s="7"/>
      <c r="F927" s="6"/>
      <c r="G927" s="6"/>
      <c r="H927" s="6"/>
      <c r="I927" s="6"/>
      <c r="J927" s="6"/>
      <c r="K927" s="6"/>
      <c r="L927" s="6"/>
      <c r="M927" s="6"/>
      <c r="N927" s="6"/>
      <c r="O927" s="6"/>
      <c r="P927" s="6"/>
      <c r="Q927" s="6"/>
      <c r="R927" s="6"/>
      <c r="S927" s="6"/>
      <c r="T927" s="6"/>
      <c r="U927" s="6"/>
      <c r="V927" s="6"/>
      <c r="W927" s="6"/>
    </row>
    <row r="928" spans="1:23" ht="16" x14ac:dyDescent="0.2">
      <c r="A928" s="6"/>
      <c r="B928" s="7"/>
      <c r="C928" s="7"/>
      <c r="D928" s="7"/>
      <c r="E928" s="7"/>
      <c r="F928" s="6"/>
      <c r="G928" s="6"/>
      <c r="H928" s="6"/>
      <c r="I928" s="6"/>
      <c r="J928" s="6"/>
      <c r="K928" s="6"/>
      <c r="L928" s="6"/>
      <c r="M928" s="6"/>
      <c r="N928" s="6"/>
      <c r="O928" s="6"/>
      <c r="P928" s="6"/>
      <c r="Q928" s="6"/>
      <c r="R928" s="6"/>
      <c r="S928" s="6"/>
      <c r="T928" s="6"/>
      <c r="U928" s="6"/>
      <c r="V928" s="6"/>
      <c r="W928" s="6"/>
    </row>
    <row r="929" spans="1:23" ht="16" x14ac:dyDescent="0.2">
      <c r="A929" s="6"/>
      <c r="B929" s="7"/>
      <c r="C929" s="7"/>
      <c r="D929" s="7"/>
      <c r="E929" s="7"/>
      <c r="F929" s="6"/>
      <c r="G929" s="6"/>
      <c r="H929" s="6"/>
      <c r="I929" s="6"/>
      <c r="J929" s="6"/>
      <c r="K929" s="6"/>
      <c r="L929" s="6"/>
      <c r="M929" s="6"/>
      <c r="N929" s="6"/>
      <c r="O929" s="6"/>
      <c r="P929" s="6"/>
      <c r="Q929" s="6"/>
      <c r="R929" s="6"/>
      <c r="S929" s="6"/>
      <c r="T929" s="6"/>
      <c r="U929" s="6"/>
      <c r="V929" s="6"/>
      <c r="W929" s="6"/>
    </row>
    <row r="930" spans="1:23" ht="16" x14ac:dyDescent="0.2">
      <c r="A930" s="6"/>
      <c r="B930" s="7"/>
      <c r="C930" s="7"/>
      <c r="D930" s="7"/>
      <c r="E930" s="7"/>
      <c r="F930" s="6"/>
      <c r="G930" s="6"/>
      <c r="H930" s="6"/>
      <c r="I930" s="6"/>
      <c r="J930" s="6"/>
      <c r="K930" s="6"/>
      <c r="L930" s="6"/>
      <c r="M930" s="6"/>
      <c r="N930" s="6"/>
      <c r="O930" s="6"/>
      <c r="P930" s="6"/>
      <c r="Q930" s="6"/>
      <c r="R930" s="6"/>
      <c r="S930" s="6"/>
      <c r="T930" s="6"/>
      <c r="U930" s="6"/>
      <c r="V930" s="6"/>
      <c r="W930" s="6"/>
    </row>
    <row r="931" spans="1:23" ht="16" x14ac:dyDescent="0.2">
      <c r="A931" s="6"/>
      <c r="B931" s="7"/>
      <c r="C931" s="7"/>
      <c r="D931" s="7"/>
      <c r="E931" s="7"/>
      <c r="F931" s="6"/>
      <c r="G931" s="6"/>
      <c r="H931" s="6"/>
      <c r="I931" s="6"/>
      <c r="J931" s="6"/>
      <c r="K931" s="6"/>
      <c r="L931" s="6"/>
      <c r="M931" s="6"/>
      <c r="N931" s="6"/>
      <c r="O931" s="6"/>
      <c r="P931" s="6"/>
      <c r="Q931" s="6"/>
      <c r="R931" s="6"/>
      <c r="S931" s="6"/>
      <c r="T931" s="6"/>
      <c r="U931" s="6"/>
      <c r="V931" s="6"/>
      <c r="W931" s="6"/>
    </row>
    <row r="932" spans="1:23" ht="16" x14ac:dyDescent="0.2">
      <c r="A932" s="6"/>
      <c r="B932" s="7"/>
      <c r="C932" s="7"/>
      <c r="D932" s="7"/>
      <c r="E932" s="7"/>
      <c r="F932" s="6"/>
      <c r="G932" s="6"/>
      <c r="H932" s="6"/>
      <c r="I932" s="6"/>
      <c r="J932" s="6"/>
      <c r="K932" s="6"/>
      <c r="L932" s="6"/>
      <c r="M932" s="6"/>
      <c r="N932" s="6"/>
      <c r="O932" s="6"/>
      <c r="P932" s="6"/>
      <c r="Q932" s="6"/>
      <c r="R932" s="6"/>
      <c r="S932" s="6"/>
      <c r="T932" s="6"/>
      <c r="U932" s="6"/>
      <c r="V932" s="6"/>
      <c r="W932" s="6"/>
    </row>
    <row r="933" spans="1:23" ht="16" x14ac:dyDescent="0.2">
      <c r="A933" s="6"/>
      <c r="B933" s="7"/>
      <c r="C933" s="7"/>
      <c r="D933" s="7"/>
      <c r="E933" s="7"/>
      <c r="F933" s="6"/>
      <c r="G933" s="6"/>
      <c r="H933" s="6"/>
      <c r="I933" s="6"/>
      <c r="J933" s="6"/>
      <c r="K933" s="6"/>
      <c r="L933" s="6"/>
      <c r="M933" s="6"/>
      <c r="N933" s="6"/>
      <c r="O933" s="6"/>
      <c r="P933" s="6"/>
      <c r="Q933" s="6"/>
      <c r="R933" s="6"/>
      <c r="S933" s="6"/>
      <c r="T933" s="6"/>
      <c r="U933" s="6"/>
      <c r="V933" s="6"/>
      <c r="W933" s="6"/>
    </row>
    <row r="934" spans="1:23" ht="16" x14ac:dyDescent="0.2">
      <c r="A934" s="6"/>
      <c r="B934" s="7"/>
      <c r="C934" s="7"/>
      <c r="D934" s="7"/>
      <c r="E934" s="7"/>
      <c r="F934" s="6"/>
      <c r="G934" s="6"/>
      <c r="H934" s="6"/>
      <c r="I934" s="6"/>
      <c r="J934" s="6"/>
      <c r="K934" s="6"/>
      <c r="L934" s="6"/>
      <c r="M934" s="6"/>
      <c r="N934" s="6"/>
      <c r="O934" s="6"/>
      <c r="P934" s="6"/>
      <c r="Q934" s="6"/>
      <c r="R934" s="6"/>
      <c r="S934" s="6"/>
      <c r="T934" s="6"/>
      <c r="U934" s="6"/>
      <c r="V934" s="6"/>
      <c r="W934" s="6"/>
    </row>
    <row r="935" spans="1:23" ht="16" x14ac:dyDescent="0.2">
      <c r="A935" s="6"/>
      <c r="B935" s="7"/>
      <c r="C935" s="7"/>
      <c r="D935" s="7"/>
      <c r="E935" s="7"/>
      <c r="F935" s="6"/>
      <c r="G935" s="6"/>
      <c r="H935" s="6"/>
      <c r="I935" s="6"/>
      <c r="J935" s="6"/>
      <c r="K935" s="6"/>
      <c r="L935" s="6"/>
      <c r="M935" s="6"/>
      <c r="N935" s="6"/>
      <c r="O935" s="6"/>
      <c r="P935" s="6"/>
      <c r="Q935" s="6"/>
      <c r="R935" s="6"/>
      <c r="S935" s="6"/>
      <c r="T935" s="6"/>
      <c r="U935" s="6"/>
      <c r="V935" s="6"/>
      <c r="W935" s="6"/>
    </row>
    <row r="936" spans="1:23" ht="16" x14ac:dyDescent="0.2">
      <c r="A936" s="6"/>
      <c r="B936" s="7"/>
      <c r="C936" s="7"/>
      <c r="D936" s="7"/>
      <c r="E936" s="7"/>
      <c r="F936" s="6"/>
      <c r="G936" s="6"/>
      <c r="H936" s="6"/>
      <c r="I936" s="6"/>
      <c r="J936" s="6"/>
      <c r="K936" s="6"/>
      <c r="L936" s="6"/>
      <c r="M936" s="6"/>
      <c r="N936" s="6"/>
      <c r="O936" s="6"/>
      <c r="P936" s="6"/>
      <c r="Q936" s="6"/>
      <c r="R936" s="6"/>
      <c r="S936" s="6"/>
      <c r="T936" s="6"/>
      <c r="U936" s="6"/>
      <c r="V936" s="6"/>
      <c r="W936" s="6"/>
    </row>
    <row r="937" spans="1:23" ht="16" x14ac:dyDescent="0.2">
      <c r="A937" s="6"/>
      <c r="B937" s="7"/>
      <c r="C937" s="7"/>
      <c r="D937" s="7"/>
      <c r="E937" s="7"/>
      <c r="F937" s="6"/>
      <c r="G937" s="6"/>
      <c r="H937" s="6"/>
      <c r="I937" s="6"/>
      <c r="J937" s="6"/>
      <c r="K937" s="6"/>
      <c r="L937" s="6"/>
      <c r="M937" s="6"/>
      <c r="N937" s="6"/>
      <c r="O937" s="6"/>
      <c r="P937" s="6"/>
      <c r="Q937" s="6"/>
      <c r="R937" s="6"/>
      <c r="S937" s="6"/>
      <c r="T937" s="6"/>
      <c r="U937" s="6"/>
      <c r="V937" s="6"/>
      <c r="W937" s="6"/>
    </row>
    <row r="938" spans="1:23" ht="16" x14ac:dyDescent="0.2">
      <c r="A938" s="6"/>
      <c r="B938" s="7"/>
      <c r="C938" s="7"/>
      <c r="D938" s="7"/>
      <c r="E938" s="7"/>
      <c r="F938" s="6"/>
      <c r="G938" s="6"/>
      <c r="H938" s="6"/>
      <c r="I938" s="6"/>
      <c r="J938" s="6"/>
      <c r="K938" s="6"/>
      <c r="L938" s="6"/>
      <c r="M938" s="6"/>
      <c r="N938" s="6"/>
      <c r="O938" s="6"/>
      <c r="P938" s="6"/>
      <c r="Q938" s="6"/>
      <c r="R938" s="6"/>
      <c r="S938" s="6"/>
      <c r="T938" s="6"/>
      <c r="U938" s="6"/>
      <c r="V938" s="6"/>
      <c r="W938" s="6"/>
    </row>
    <row r="939" spans="1:23" ht="16" x14ac:dyDescent="0.2">
      <c r="A939" s="6"/>
      <c r="B939" s="7"/>
      <c r="C939" s="7"/>
      <c r="D939" s="7"/>
      <c r="E939" s="7"/>
      <c r="F939" s="6"/>
      <c r="G939" s="6"/>
      <c r="H939" s="6"/>
      <c r="I939" s="6"/>
      <c r="J939" s="6"/>
      <c r="K939" s="6"/>
      <c r="L939" s="6"/>
      <c r="M939" s="6"/>
      <c r="N939" s="6"/>
      <c r="O939" s="6"/>
      <c r="P939" s="6"/>
      <c r="Q939" s="6"/>
      <c r="R939" s="6"/>
      <c r="S939" s="6"/>
      <c r="T939" s="6"/>
      <c r="U939" s="6"/>
      <c r="V939" s="6"/>
      <c r="W939" s="6"/>
    </row>
    <row r="940" spans="1:23" ht="16" x14ac:dyDescent="0.2">
      <c r="A940" s="6"/>
      <c r="B940" s="7"/>
      <c r="C940" s="7"/>
      <c r="D940" s="7"/>
      <c r="E940" s="7"/>
      <c r="F940" s="6"/>
      <c r="G940" s="6"/>
      <c r="H940" s="6"/>
      <c r="I940" s="6"/>
      <c r="J940" s="6"/>
      <c r="K940" s="6"/>
      <c r="L940" s="6"/>
      <c r="M940" s="6"/>
      <c r="N940" s="6"/>
      <c r="O940" s="6"/>
      <c r="P940" s="6"/>
      <c r="Q940" s="6"/>
      <c r="R940" s="6"/>
      <c r="S940" s="6"/>
      <c r="T940" s="6"/>
      <c r="U940" s="6"/>
      <c r="V940" s="6"/>
      <c r="W940" s="6"/>
    </row>
    <row r="941" spans="1:23" ht="16" x14ac:dyDescent="0.2">
      <c r="A941" s="6"/>
      <c r="B941" s="7"/>
      <c r="C941" s="7"/>
      <c r="D941" s="7"/>
      <c r="E941" s="7"/>
      <c r="F941" s="6"/>
      <c r="G941" s="6"/>
      <c r="H941" s="6"/>
      <c r="I941" s="6"/>
      <c r="J941" s="6"/>
      <c r="K941" s="6"/>
      <c r="L941" s="6"/>
      <c r="M941" s="6"/>
      <c r="N941" s="6"/>
      <c r="O941" s="6"/>
      <c r="P941" s="6"/>
      <c r="Q941" s="6"/>
      <c r="R941" s="6"/>
      <c r="S941" s="6"/>
      <c r="T941" s="6"/>
      <c r="U941" s="6"/>
      <c r="V941" s="6"/>
      <c r="W941" s="6"/>
    </row>
    <row r="942" spans="1:23" ht="16" x14ac:dyDescent="0.2">
      <c r="A942" s="6"/>
      <c r="B942" s="7"/>
      <c r="C942" s="7"/>
      <c r="D942" s="7"/>
      <c r="E942" s="7"/>
      <c r="F942" s="6"/>
      <c r="G942" s="6"/>
      <c r="H942" s="6"/>
      <c r="I942" s="6"/>
      <c r="J942" s="6"/>
      <c r="K942" s="6"/>
      <c r="L942" s="6"/>
      <c r="M942" s="6"/>
      <c r="N942" s="6"/>
      <c r="O942" s="6"/>
      <c r="P942" s="6"/>
      <c r="Q942" s="6"/>
      <c r="R942" s="6"/>
      <c r="S942" s="6"/>
      <c r="T942" s="6"/>
      <c r="U942" s="6"/>
      <c r="V942" s="6"/>
      <c r="W942" s="6"/>
    </row>
    <row r="943" spans="1:23" ht="16" x14ac:dyDescent="0.2">
      <c r="A943" s="6"/>
      <c r="B943" s="7"/>
      <c r="C943" s="7"/>
      <c r="D943" s="7"/>
      <c r="E943" s="7"/>
      <c r="F943" s="6"/>
      <c r="G943" s="6"/>
      <c r="H943" s="6"/>
      <c r="I943" s="6"/>
      <c r="J943" s="6"/>
      <c r="K943" s="6"/>
      <c r="L943" s="6"/>
      <c r="M943" s="6"/>
      <c r="N943" s="6"/>
      <c r="O943" s="6"/>
      <c r="P943" s="6"/>
      <c r="Q943" s="6"/>
      <c r="R943" s="6"/>
      <c r="S943" s="6"/>
      <c r="T943" s="6"/>
      <c r="U943" s="6"/>
      <c r="V943" s="6"/>
      <c r="W943" s="6"/>
    </row>
    <row r="944" spans="1:23" ht="16" x14ac:dyDescent="0.2">
      <c r="A944" s="6"/>
      <c r="B944" s="7"/>
      <c r="C944" s="7"/>
      <c r="D944" s="7"/>
      <c r="E944" s="7"/>
      <c r="F944" s="6"/>
      <c r="G944" s="6"/>
      <c r="H944" s="6"/>
      <c r="I944" s="6"/>
      <c r="J944" s="6"/>
      <c r="K944" s="6"/>
      <c r="L944" s="6"/>
      <c r="M944" s="6"/>
      <c r="N944" s="6"/>
      <c r="O944" s="6"/>
      <c r="P944" s="6"/>
      <c r="Q944" s="6"/>
      <c r="R944" s="6"/>
      <c r="S944" s="6"/>
      <c r="T944" s="6"/>
      <c r="U944" s="6"/>
      <c r="V944" s="6"/>
      <c r="W944" s="6"/>
    </row>
    <row r="945" spans="1:23" ht="16" x14ac:dyDescent="0.2">
      <c r="A945" s="6"/>
      <c r="B945" s="7"/>
      <c r="C945" s="7"/>
      <c r="D945" s="7"/>
      <c r="E945" s="7"/>
      <c r="F945" s="6"/>
      <c r="G945" s="6"/>
      <c r="H945" s="6"/>
      <c r="I945" s="6"/>
      <c r="J945" s="6"/>
      <c r="K945" s="6"/>
      <c r="L945" s="6"/>
      <c r="M945" s="6"/>
      <c r="N945" s="6"/>
      <c r="O945" s="6"/>
      <c r="P945" s="6"/>
      <c r="Q945" s="6"/>
      <c r="R945" s="6"/>
      <c r="S945" s="6"/>
      <c r="T945" s="6"/>
      <c r="U945" s="6"/>
      <c r="V945" s="6"/>
      <c r="W945" s="6"/>
    </row>
    <row r="946" spans="1:23" ht="16" x14ac:dyDescent="0.2">
      <c r="A946" s="6"/>
      <c r="B946" s="7"/>
      <c r="C946" s="7"/>
      <c r="D946" s="7"/>
      <c r="E946" s="7"/>
      <c r="F946" s="6"/>
      <c r="G946" s="6"/>
      <c r="H946" s="6"/>
      <c r="I946" s="6"/>
      <c r="J946" s="6"/>
      <c r="K946" s="6"/>
      <c r="L946" s="6"/>
      <c r="M946" s="6"/>
      <c r="N946" s="6"/>
      <c r="O946" s="6"/>
      <c r="P946" s="6"/>
      <c r="Q946" s="6"/>
      <c r="R946" s="6"/>
      <c r="S946" s="6"/>
      <c r="T946" s="6"/>
      <c r="U946" s="6"/>
      <c r="V946" s="6"/>
      <c r="W946" s="6"/>
    </row>
    <row r="947" spans="1:23" ht="16" x14ac:dyDescent="0.2">
      <c r="A947" s="6"/>
      <c r="B947" s="7"/>
      <c r="C947" s="7"/>
      <c r="D947" s="7"/>
      <c r="E947" s="7"/>
      <c r="F947" s="6"/>
      <c r="G947" s="6"/>
      <c r="H947" s="6"/>
      <c r="I947" s="6"/>
      <c r="J947" s="6"/>
      <c r="K947" s="6"/>
      <c r="L947" s="6"/>
      <c r="M947" s="6"/>
      <c r="N947" s="6"/>
      <c r="O947" s="6"/>
      <c r="P947" s="6"/>
      <c r="Q947" s="6"/>
      <c r="R947" s="6"/>
      <c r="S947" s="6"/>
      <c r="T947" s="6"/>
      <c r="U947" s="6"/>
      <c r="V947" s="6"/>
      <c r="W947" s="6"/>
    </row>
    <row r="948" spans="1:23" ht="16" x14ac:dyDescent="0.2">
      <c r="A948" s="6"/>
      <c r="B948" s="7"/>
      <c r="C948" s="7"/>
      <c r="D948" s="7"/>
      <c r="E948" s="7"/>
      <c r="F948" s="6"/>
      <c r="G948" s="6"/>
      <c r="H948" s="6"/>
      <c r="I948" s="6"/>
      <c r="J948" s="6"/>
      <c r="K948" s="6"/>
      <c r="L948" s="6"/>
      <c r="M948" s="6"/>
      <c r="N948" s="6"/>
      <c r="O948" s="6"/>
      <c r="P948" s="6"/>
      <c r="Q948" s="6"/>
      <c r="R948" s="6"/>
      <c r="S948" s="6"/>
      <c r="T948" s="6"/>
      <c r="U948" s="6"/>
      <c r="V948" s="6"/>
      <c r="W948" s="6"/>
    </row>
    <row r="949" spans="1:23" ht="16" x14ac:dyDescent="0.2">
      <c r="A949" s="6"/>
      <c r="B949" s="7"/>
      <c r="C949" s="7"/>
      <c r="D949" s="7"/>
      <c r="E949" s="7"/>
      <c r="F949" s="6"/>
      <c r="G949" s="6"/>
      <c r="H949" s="6"/>
      <c r="I949" s="6"/>
      <c r="J949" s="6"/>
      <c r="K949" s="6"/>
      <c r="L949" s="6"/>
      <c r="M949" s="6"/>
      <c r="N949" s="6"/>
      <c r="O949" s="6"/>
      <c r="P949" s="6"/>
      <c r="Q949" s="6"/>
      <c r="R949" s="6"/>
      <c r="S949" s="6"/>
      <c r="T949" s="6"/>
      <c r="U949" s="6"/>
      <c r="V949" s="6"/>
      <c r="W949" s="6"/>
    </row>
    <row r="950" spans="1:23" ht="16" x14ac:dyDescent="0.2">
      <c r="A950" s="6"/>
      <c r="B950" s="7"/>
      <c r="C950" s="7"/>
      <c r="D950" s="7"/>
      <c r="E950" s="7"/>
      <c r="F950" s="6"/>
      <c r="G950" s="6"/>
      <c r="H950" s="6"/>
      <c r="I950" s="6"/>
      <c r="J950" s="6"/>
      <c r="K950" s="6"/>
      <c r="L950" s="6"/>
      <c r="M950" s="6"/>
      <c r="N950" s="6"/>
      <c r="O950" s="6"/>
      <c r="P950" s="6"/>
      <c r="Q950" s="6"/>
      <c r="R950" s="6"/>
      <c r="S950" s="6"/>
      <c r="T950" s="6"/>
      <c r="U950" s="6"/>
      <c r="V950" s="6"/>
      <c r="W950" s="6"/>
    </row>
    <row r="951" spans="1:23" ht="16" x14ac:dyDescent="0.2">
      <c r="A951" s="6"/>
      <c r="B951" s="7"/>
      <c r="C951" s="7"/>
      <c r="D951" s="7"/>
      <c r="E951" s="7"/>
      <c r="F951" s="6"/>
      <c r="G951" s="6"/>
      <c r="H951" s="6"/>
      <c r="I951" s="6"/>
      <c r="J951" s="6"/>
      <c r="K951" s="6"/>
      <c r="L951" s="6"/>
      <c r="M951" s="6"/>
      <c r="N951" s="6"/>
      <c r="O951" s="6"/>
      <c r="P951" s="6"/>
      <c r="Q951" s="6"/>
      <c r="R951" s="6"/>
      <c r="S951" s="6"/>
      <c r="T951" s="6"/>
      <c r="U951" s="6"/>
      <c r="V951" s="6"/>
      <c r="W951" s="6"/>
    </row>
    <row r="952" spans="1:23" ht="16" x14ac:dyDescent="0.2">
      <c r="A952" s="6"/>
      <c r="B952" s="7"/>
      <c r="C952" s="7"/>
      <c r="D952" s="7"/>
      <c r="E952" s="7"/>
      <c r="F952" s="6"/>
      <c r="G952" s="6"/>
      <c r="H952" s="6"/>
      <c r="I952" s="6"/>
      <c r="J952" s="6"/>
      <c r="K952" s="6"/>
      <c r="L952" s="6"/>
      <c r="M952" s="6"/>
      <c r="N952" s="6"/>
      <c r="O952" s="6"/>
      <c r="P952" s="6"/>
      <c r="Q952" s="6"/>
      <c r="R952" s="6"/>
      <c r="S952" s="6"/>
      <c r="T952" s="6"/>
      <c r="U952" s="6"/>
      <c r="V952" s="6"/>
      <c r="W952" s="6"/>
    </row>
    <row r="953" spans="1:23" ht="16" x14ac:dyDescent="0.2">
      <c r="A953" s="6"/>
      <c r="B953" s="7"/>
      <c r="C953" s="7"/>
      <c r="D953" s="7"/>
      <c r="E953" s="7"/>
      <c r="F953" s="6"/>
      <c r="G953" s="6"/>
      <c r="H953" s="6"/>
      <c r="I953" s="6"/>
      <c r="J953" s="6"/>
      <c r="K953" s="6"/>
      <c r="L953" s="6"/>
      <c r="M953" s="6"/>
      <c r="N953" s="6"/>
      <c r="O953" s="6"/>
      <c r="P953" s="6"/>
      <c r="Q953" s="6"/>
      <c r="R953" s="6"/>
      <c r="S953" s="6"/>
      <c r="T953" s="6"/>
      <c r="U953" s="6"/>
      <c r="V953" s="6"/>
      <c r="W953" s="6"/>
    </row>
    <row r="954" spans="1:23" ht="16" x14ac:dyDescent="0.2">
      <c r="A954" s="6"/>
      <c r="B954" s="7"/>
      <c r="C954" s="7"/>
      <c r="D954" s="7"/>
      <c r="E954" s="7"/>
      <c r="F954" s="6"/>
      <c r="G954" s="6"/>
      <c r="H954" s="6"/>
      <c r="I954" s="6"/>
      <c r="J954" s="6"/>
      <c r="K954" s="6"/>
      <c r="L954" s="6"/>
      <c r="M954" s="6"/>
      <c r="N954" s="6"/>
      <c r="O954" s="6"/>
      <c r="P954" s="6"/>
      <c r="Q954" s="6"/>
      <c r="R954" s="6"/>
      <c r="S954" s="6"/>
      <c r="T954" s="6"/>
      <c r="U954" s="6"/>
      <c r="V954" s="6"/>
      <c r="W954" s="6"/>
    </row>
    <row r="955" spans="1:23" ht="16" x14ac:dyDescent="0.2">
      <c r="A955" s="6"/>
      <c r="B955" s="7"/>
      <c r="C955" s="7"/>
      <c r="D955" s="7"/>
      <c r="E955" s="7"/>
      <c r="F955" s="6"/>
      <c r="G955" s="6"/>
      <c r="H955" s="6"/>
      <c r="I955" s="6"/>
      <c r="J955" s="6"/>
      <c r="K955" s="6"/>
      <c r="L955" s="6"/>
      <c r="M955" s="6"/>
      <c r="N955" s="6"/>
      <c r="O955" s="6"/>
      <c r="P955" s="6"/>
      <c r="Q955" s="6"/>
      <c r="R955" s="6"/>
      <c r="S955" s="6"/>
      <c r="T955" s="6"/>
      <c r="U955" s="6"/>
      <c r="V955" s="6"/>
      <c r="W955" s="6"/>
    </row>
    <row r="956" spans="1:23" ht="16" x14ac:dyDescent="0.2">
      <c r="A956" s="6"/>
      <c r="B956" s="7"/>
      <c r="C956" s="7"/>
      <c r="D956" s="7"/>
      <c r="E956" s="7"/>
      <c r="F956" s="6"/>
      <c r="G956" s="6"/>
      <c r="H956" s="6"/>
      <c r="I956" s="6"/>
      <c r="J956" s="6"/>
      <c r="K956" s="6"/>
      <c r="L956" s="6"/>
      <c r="M956" s="6"/>
      <c r="N956" s="6"/>
      <c r="O956" s="6"/>
      <c r="P956" s="6"/>
      <c r="Q956" s="6"/>
      <c r="R956" s="6"/>
      <c r="S956" s="6"/>
      <c r="T956" s="6"/>
      <c r="U956" s="6"/>
      <c r="V956" s="6"/>
      <c r="W956" s="6"/>
    </row>
    <row r="957" spans="1:23" ht="16" x14ac:dyDescent="0.2">
      <c r="A957" s="6"/>
      <c r="B957" s="7"/>
      <c r="C957" s="7"/>
      <c r="D957" s="7"/>
      <c r="E957" s="7"/>
      <c r="F957" s="6"/>
      <c r="G957" s="6"/>
      <c r="H957" s="6"/>
      <c r="I957" s="6"/>
      <c r="J957" s="6"/>
      <c r="K957" s="6"/>
      <c r="L957" s="6"/>
      <c r="M957" s="6"/>
      <c r="N957" s="6"/>
      <c r="O957" s="6"/>
      <c r="P957" s="6"/>
      <c r="Q957" s="6"/>
      <c r="R957" s="6"/>
      <c r="S957" s="6"/>
      <c r="T957" s="6"/>
      <c r="U957" s="6"/>
      <c r="V957" s="6"/>
      <c r="W957" s="6"/>
    </row>
    <row r="958" spans="1:23" ht="16" x14ac:dyDescent="0.2">
      <c r="A958" s="6"/>
      <c r="B958" s="7"/>
      <c r="C958" s="7"/>
      <c r="D958" s="7"/>
      <c r="E958" s="7"/>
      <c r="F958" s="6"/>
      <c r="G958" s="6"/>
      <c r="H958" s="6"/>
      <c r="I958" s="6"/>
      <c r="J958" s="6"/>
      <c r="K958" s="6"/>
      <c r="L958" s="6"/>
      <c r="M958" s="6"/>
      <c r="N958" s="6"/>
      <c r="O958" s="6"/>
      <c r="P958" s="6"/>
      <c r="Q958" s="6"/>
      <c r="R958" s="6"/>
      <c r="S958" s="6"/>
      <c r="T958" s="6"/>
      <c r="U958" s="6"/>
      <c r="V958" s="6"/>
      <c r="W958" s="6"/>
    </row>
    <row r="959" spans="1:23" ht="16" x14ac:dyDescent="0.2">
      <c r="A959" s="6"/>
      <c r="B959" s="7"/>
      <c r="C959" s="7"/>
      <c r="D959" s="7"/>
      <c r="E959" s="7"/>
      <c r="F959" s="6"/>
      <c r="G959" s="6"/>
      <c r="H959" s="6"/>
      <c r="I959" s="6"/>
      <c r="J959" s="6"/>
      <c r="K959" s="6"/>
      <c r="L959" s="6"/>
      <c r="M959" s="6"/>
      <c r="N959" s="6"/>
      <c r="O959" s="6"/>
      <c r="P959" s="6"/>
      <c r="Q959" s="6"/>
      <c r="R959" s="6"/>
      <c r="S959" s="6"/>
      <c r="T959" s="6"/>
      <c r="U959" s="6"/>
      <c r="V959" s="6"/>
      <c r="W959" s="6"/>
    </row>
    <row r="960" spans="1:23" ht="16" x14ac:dyDescent="0.2">
      <c r="A960" s="6"/>
      <c r="B960" s="7"/>
      <c r="C960" s="7"/>
      <c r="D960" s="7"/>
      <c r="E960" s="7"/>
      <c r="F960" s="6"/>
      <c r="G960" s="6"/>
      <c r="H960" s="6"/>
      <c r="I960" s="6"/>
      <c r="J960" s="6"/>
      <c r="K960" s="6"/>
      <c r="L960" s="6"/>
      <c r="M960" s="6"/>
      <c r="N960" s="6"/>
      <c r="O960" s="6"/>
      <c r="P960" s="6"/>
      <c r="Q960" s="6"/>
      <c r="R960" s="6"/>
      <c r="S960" s="6"/>
      <c r="T960" s="6"/>
      <c r="U960" s="6"/>
      <c r="V960" s="6"/>
      <c r="W960" s="6"/>
    </row>
    <row r="961" spans="1:23" ht="16" x14ac:dyDescent="0.2">
      <c r="A961" s="6"/>
      <c r="B961" s="7"/>
      <c r="C961" s="7"/>
      <c r="D961" s="7"/>
      <c r="E961" s="7"/>
      <c r="F961" s="6"/>
      <c r="G961" s="6"/>
      <c r="H961" s="6"/>
      <c r="I961" s="6"/>
      <c r="J961" s="6"/>
      <c r="K961" s="6"/>
      <c r="L961" s="6"/>
      <c r="M961" s="6"/>
      <c r="N961" s="6"/>
      <c r="O961" s="6"/>
      <c r="P961" s="6"/>
      <c r="Q961" s="6"/>
      <c r="R961" s="6"/>
      <c r="S961" s="6"/>
      <c r="T961" s="6"/>
      <c r="U961" s="6"/>
      <c r="V961" s="6"/>
      <c r="W961" s="6"/>
    </row>
    <row r="962" spans="1:23" ht="16" x14ac:dyDescent="0.2">
      <c r="A962" s="6"/>
      <c r="B962" s="7"/>
      <c r="C962" s="7"/>
      <c r="D962" s="7"/>
      <c r="E962" s="7"/>
      <c r="F962" s="6"/>
      <c r="G962" s="6"/>
      <c r="H962" s="6"/>
      <c r="I962" s="6"/>
      <c r="J962" s="6"/>
      <c r="K962" s="6"/>
      <c r="L962" s="6"/>
      <c r="M962" s="6"/>
      <c r="N962" s="6"/>
      <c r="O962" s="6"/>
      <c r="P962" s="6"/>
      <c r="Q962" s="6"/>
      <c r="R962" s="6"/>
      <c r="S962" s="6"/>
      <c r="T962" s="6"/>
      <c r="U962" s="6"/>
      <c r="V962" s="6"/>
      <c r="W962" s="6"/>
    </row>
    <row r="963" spans="1:23" ht="16" x14ac:dyDescent="0.2">
      <c r="A963" s="6"/>
      <c r="B963" s="7"/>
      <c r="C963" s="7"/>
      <c r="D963" s="7"/>
      <c r="E963" s="7"/>
      <c r="F963" s="6"/>
      <c r="G963" s="6"/>
      <c r="H963" s="6"/>
      <c r="I963" s="6"/>
      <c r="J963" s="6"/>
      <c r="K963" s="6"/>
      <c r="L963" s="6"/>
      <c r="M963" s="6"/>
      <c r="N963" s="6"/>
      <c r="O963" s="6"/>
      <c r="P963" s="6"/>
      <c r="Q963" s="6"/>
      <c r="R963" s="6"/>
      <c r="S963" s="6"/>
      <c r="T963" s="6"/>
      <c r="U963" s="6"/>
      <c r="V963" s="6"/>
      <c r="W963" s="6"/>
    </row>
    <row r="964" spans="1:23" ht="16" x14ac:dyDescent="0.2">
      <c r="A964" s="6"/>
      <c r="B964" s="7"/>
      <c r="C964" s="7"/>
      <c r="D964" s="7"/>
      <c r="E964" s="7"/>
      <c r="F964" s="6"/>
      <c r="G964" s="6"/>
      <c r="H964" s="6"/>
      <c r="I964" s="6"/>
      <c r="J964" s="6"/>
      <c r="K964" s="6"/>
      <c r="L964" s="6"/>
      <c r="M964" s="6"/>
      <c r="N964" s="6"/>
      <c r="O964" s="6"/>
      <c r="P964" s="6"/>
      <c r="Q964" s="6"/>
      <c r="R964" s="6"/>
      <c r="S964" s="6"/>
      <c r="T964" s="6"/>
      <c r="U964" s="6"/>
      <c r="V964" s="6"/>
      <c r="W964" s="6"/>
    </row>
    <row r="965" spans="1:23" ht="16" x14ac:dyDescent="0.2">
      <c r="A965" s="6"/>
      <c r="B965" s="7"/>
      <c r="C965" s="7"/>
      <c r="D965" s="7"/>
      <c r="E965" s="7"/>
      <c r="F965" s="6"/>
      <c r="G965" s="6"/>
      <c r="H965" s="6"/>
      <c r="I965" s="6"/>
      <c r="J965" s="6"/>
      <c r="K965" s="6"/>
      <c r="L965" s="6"/>
      <c r="M965" s="6"/>
      <c r="N965" s="6"/>
      <c r="O965" s="6"/>
      <c r="P965" s="6"/>
      <c r="Q965" s="6"/>
      <c r="R965" s="6"/>
      <c r="S965" s="6"/>
      <c r="T965" s="6"/>
      <c r="U965" s="6"/>
      <c r="V965" s="6"/>
      <c r="W965" s="6"/>
    </row>
    <row r="966" spans="1:23" ht="16" x14ac:dyDescent="0.2">
      <c r="A966" s="6"/>
      <c r="B966" s="7"/>
      <c r="C966" s="7"/>
      <c r="D966" s="7"/>
      <c r="E966" s="7"/>
      <c r="F966" s="6"/>
      <c r="G966" s="6"/>
      <c r="H966" s="6"/>
      <c r="I966" s="6"/>
      <c r="J966" s="6"/>
      <c r="K966" s="6"/>
      <c r="L966" s="6"/>
      <c r="M966" s="6"/>
      <c r="N966" s="6"/>
      <c r="O966" s="6"/>
      <c r="P966" s="6"/>
      <c r="Q966" s="6"/>
      <c r="R966" s="6"/>
      <c r="S966" s="6"/>
      <c r="T966" s="6"/>
      <c r="U966" s="6"/>
      <c r="V966" s="6"/>
      <c r="W966" s="6"/>
    </row>
    <row r="967" spans="1:23" ht="16" x14ac:dyDescent="0.2">
      <c r="A967" s="6"/>
      <c r="B967" s="7"/>
      <c r="C967" s="7"/>
      <c r="D967" s="7"/>
      <c r="E967" s="7"/>
      <c r="F967" s="6"/>
      <c r="G967" s="6"/>
      <c r="H967" s="6"/>
      <c r="I967" s="6"/>
      <c r="J967" s="6"/>
      <c r="K967" s="6"/>
      <c r="L967" s="6"/>
      <c r="M967" s="6"/>
      <c r="N967" s="6"/>
      <c r="O967" s="6"/>
      <c r="P967" s="6"/>
      <c r="Q967" s="6"/>
      <c r="R967" s="6"/>
      <c r="S967" s="6"/>
      <c r="T967" s="6"/>
      <c r="U967" s="6"/>
      <c r="V967" s="6"/>
      <c r="W967" s="6"/>
    </row>
    <row r="968" spans="1:23" ht="16" x14ac:dyDescent="0.2">
      <c r="A968" s="6"/>
      <c r="B968" s="7"/>
      <c r="C968" s="7"/>
      <c r="D968" s="7"/>
      <c r="E968" s="7"/>
      <c r="F968" s="6"/>
      <c r="G968" s="6"/>
      <c r="H968" s="6"/>
      <c r="I968" s="6"/>
      <c r="J968" s="6"/>
      <c r="K968" s="6"/>
      <c r="L968" s="6"/>
      <c r="M968" s="6"/>
      <c r="N968" s="6"/>
      <c r="O968" s="6"/>
      <c r="P968" s="6"/>
      <c r="Q968" s="6"/>
      <c r="R968" s="6"/>
      <c r="S968" s="6"/>
      <c r="T968" s="6"/>
      <c r="U968" s="6"/>
      <c r="V968" s="6"/>
      <c r="W968" s="6"/>
    </row>
    <row r="969" spans="1:23" ht="16" x14ac:dyDescent="0.2">
      <c r="A969" s="6"/>
      <c r="B969" s="7"/>
      <c r="C969" s="7"/>
      <c r="D969" s="7"/>
      <c r="E969" s="7"/>
      <c r="F969" s="6"/>
      <c r="G969" s="6"/>
      <c r="H969" s="6"/>
      <c r="I969" s="6"/>
      <c r="J969" s="6"/>
      <c r="K969" s="6"/>
      <c r="L969" s="6"/>
      <c r="M969" s="6"/>
      <c r="N969" s="6"/>
      <c r="O969" s="6"/>
      <c r="P969" s="6"/>
      <c r="Q969" s="6"/>
      <c r="R969" s="6"/>
      <c r="S969" s="6"/>
      <c r="T969" s="6"/>
      <c r="U969" s="6"/>
      <c r="V969" s="6"/>
      <c r="W969" s="6"/>
    </row>
    <row r="970" spans="1:23" ht="16" x14ac:dyDescent="0.2">
      <c r="A970" s="6"/>
      <c r="B970" s="7"/>
      <c r="C970" s="7"/>
      <c r="D970" s="7"/>
      <c r="E970" s="7"/>
      <c r="F970" s="6"/>
      <c r="G970" s="6"/>
      <c r="H970" s="6"/>
      <c r="I970" s="6"/>
      <c r="J970" s="6"/>
      <c r="K970" s="6"/>
      <c r="L970" s="6"/>
      <c r="M970" s="6"/>
      <c r="N970" s="6"/>
      <c r="O970" s="6"/>
      <c r="P970" s="6"/>
      <c r="Q970" s="6"/>
      <c r="R970" s="6"/>
      <c r="S970" s="6"/>
      <c r="T970" s="6"/>
      <c r="U970" s="6"/>
      <c r="V970" s="6"/>
      <c r="W970" s="6"/>
    </row>
    <row r="971" spans="1:23" ht="16" x14ac:dyDescent="0.2">
      <c r="A971" s="6"/>
      <c r="B971" s="7"/>
      <c r="C971" s="7"/>
      <c r="D971" s="7"/>
      <c r="E971" s="7"/>
      <c r="F971" s="6"/>
      <c r="G971" s="6"/>
      <c r="H971" s="6"/>
      <c r="I971" s="6"/>
      <c r="J971" s="6"/>
      <c r="K971" s="6"/>
      <c r="L971" s="6"/>
      <c r="M971" s="6"/>
      <c r="N971" s="6"/>
      <c r="O971" s="6"/>
      <c r="P971" s="6"/>
      <c r="Q971" s="6"/>
      <c r="R971" s="6"/>
      <c r="S971" s="6"/>
      <c r="T971" s="6"/>
      <c r="U971" s="6"/>
      <c r="V971" s="6"/>
      <c r="W971" s="6"/>
    </row>
    <row r="972" spans="1:23" ht="16" x14ac:dyDescent="0.2">
      <c r="A972" s="6"/>
      <c r="B972" s="7"/>
      <c r="C972" s="7"/>
      <c r="D972" s="7"/>
      <c r="E972" s="7"/>
      <c r="F972" s="6"/>
      <c r="G972" s="6"/>
      <c r="H972" s="6"/>
      <c r="I972" s="6"/>
      <c r="J972" s="6"/>
      <c r="K972" s="6"/>
      <c r="L972" s="6"/>
      <c r="M972" s="6"/>
      <c r="N972" s="6"/>
      <c r="O972" s="6"/>
      <c r="P972" s="6"/>
      <c r="Q972" s="6"/>
      <c r="R972" s="6"/>
      <c r="S972" s="6"/>
      <c r="T972" s="6"/>
      <c r="U972" s="6"/>
      <c r="V972" s="6"/>
      <c r="W972" s="6"/>
    </row>
    <row r="973" spans="1:23" ht="16" x14ac:dyDescent="0.2">
      <c r="A973" s="6"/>
      <c r="B973" s="7"/>
      <c r="C973" s="7"/>
      <c r="D973" s="7"/>
      <c r="E973" s="7"/>
      <c r="F973" s="6"/>
      <c r="G973" s="6"/>
      <c r="H973" s="6"/>
      <c r="I973" s="6"/>
      <c r="J973" s="6"/>
      <c r="K973" s="6"/>
      <c r="L973" s="6"/>
      <c r="M973" s="6"/>
      <c r="N973" s="6"/>
      <c r="O973" s="6"/>
      <c r="P973" s="6"/>
      <c r="Q973" s="6"/>
      <c r="R973" s="6"/>
      <c r="S973" s="6"/>
      <c r="T973" s="6"/>
      <c r="U973" s="6"/>
      <c r="V973" s="6"/>
      <c r="W973" s="6"/>
    </row>
    <row r="974" spans="1:23" ht="16" x14ac:dyDescent="0.2">
      <c r="A974" s="6"/>
      <c r="B974" s="7"/>
      <c r="C974" s="7"/>
      <c r="D974" s="7"/>
      <c r="E974" s="7"/>
      <c r="F974" s="6"/>
      <c r="G974" s="6"/>
      <c r="H974" s="6"/>
      <c r="I974" s="6"/>
      <c r="J974" s="6"/>
      <c r="K974" s="6"/>
      <c r="L974" s="6"/>
      <c r="M974" s="6"/>
      <c r="N974" s="6"/>
      <c r="O974" s="6"/>
      <c r="P974" s="6"/>
      <c r="Q974" s="6"/>
      <c r="R974" s="6"/>
      <c r="S974" s="6"/>
      <c r="T974" s="6"/>
      <c r="U974" s="6"/>
      <c r="V974" s="6"/>
      <c r="W974" s="6"/>
    </row>
    <row r="975" spans="1:23" ht="16" x14ac:dyDescent="0.2">
      <c r="A975" s="6"/>
      <c r="B975" s="7"/>
      <c r="C975" s="7"/>
      <c r="D975" s="7"/>
      <c r="E975" s="7"/>
      <c r="F975" s="6"/>
      <c r="G975" s="6"/>
      <c r="H975" s="6"/>
      <c r="I975" s="6"/>
      <c r="J975" s="6"/>
      <c r="K975" s="6"/>
      <c r="L975" s="6"/>
      <c r="M975" s="6"/>
      <c r="N975" s="6"/>
      <c r="O975" s="6"/>
      <c r="P975" s="6"/>
      <c r="Q975" s="6"/>
      <c r="R975" s="6"/>
      <c r="S975" s="6"/>
      <c r="T975" s="6"/>
      <c r="U975" s="6"/>
      <c r="V975" s="6"/>
      <c r="W975" s="6"/>
    </row>
    <row r="976" spans="1:23" ht="16" x14ac:dyDescent="0.2">
      <c r="A976" s="6"/>
      <c r="B976" s="7"/>
      <c r="C976" s="7"/>
      <c r="D976" s="7"/>
      <c r="E976" s="7"/>
      <c r="F976" s="6"/>
      <c r="G976" s="6"/>
      <c r="H976" s="6"/>
      <c r="I976" s="6"/>
      <c r="J976" s="6"/>
      <c r="K976" s="6"/>
      <c r="L976" s="6"/>
      <c r="M976" s="6"/>
      <c r="N976" s="6"/>
      <c r="O976" s="6"/>
      <c r="P976" s="6"/>
      <c r="Q976" s="6"/>
      <c r="R976" s="6"/>
      <c r="S976" s="6"/>
      <c r="T976" s="6"/>
      <c r="U976" s="6"/>
      <c r="V976" s="6"/>
      <c r="W976" s="6"/>
    </row>
    <row r="977" spans="1:23" ht="16" x14ac:dyDescent="0.2">
      <c r="A977" s="6"/>
      <c r="B977" s="7"/>
      <c r="C977" s="7"/>
      <c r="D977" s="7"/>
      <c r="E977" s="7"/>
      <c r="F977" s="6"/>
      <c r="G977" s="6"/>
      <c r="H977" s="6"/>
      <c r="I977" s="6"/>
      <c r="J977" s="6"/>
      <c r="K977" s="6"/>
      <c r="L977" s="6"/>
      <c r="M977" s="6"/>
      <c r="N977" s="6"/>
      <c r="O977" s="6"/>
      <c r="P977" s="6"/>
      <c r="Q977" s="6"/>
      <c r="R977" s="6"/>
      <c r="S977" s="6"/>
      <c r="T977" s="6"/>
      <c r="U977" s="6"/>
      <c r="V977" s="6"/>
      <c r="W977" s="6"/>
    </row>
    <row r="978" spans="1:23" ht="16" x14ac:dyDescent="0.2">
      <c r="A978" s="6"/>
      <c r="B978" s="7"/>
      <c r="C978" s="7"/>
      <c r="D978" s="7"/>
      <c r="E978" s="7"/>
      <c r="F978" s="6"/>
      <c r="G978" s="6"/>
      <c r="H978" s="6"/>
      <c r="I978" s="6"/>
      <c r="J978" s="6"/>
      <c r="K978" s="6"/>
      <c r="L978" s="6"/>
      <c r="M978" s="6"/>
      <c r="N978" s="6"/>
      <c r="O978" s="6"/>
      <c r="P978" s="6"/>
      <c r="Q978" s="6"/>
      <c r="R978" s="6"/>
      <c r="S978" s="6"/>
      <c r="T978" s="6"/>
      <c r="U978" s="6"/>
      <c r="V978" s="6"/>
      <c r="W978" s="6"/>
    </row>
    <row r="979" spans="1:23" ht="16" x14ac:dyDescent="0.2">
      <c r="A979" s="6"/>
      <c r="B979" s="7"/>
      <c r="C979" s="7"/>
      <c r="D979" s="7"/>
      <c r="E979" s="7"/>
      <c r="F979" s="6"/>
      <c r="G979" s="6"/>
      <c r="H979" s="6"/>
      <c r="I979" s="6"/>
      <c r="J979" s="6"/>
      <c r="K979" s="6"/>
      <c r="L979" s="6"/>
      <c r="M979" s="6"/>
      <c r="N979" s="6"/>
      <c r="O979" s="6"/>
      <c r="P979" s="6"/>
      <c r="Q979" s="6"/>
      <c r="R979" s="6"/>
      <c r="S979" s="6"/>
      <c r="T979" s="6"/>
      <c r="U979" s="6"/>
      <c r="V979" s="6"/>
      <c r="W979" s="6"/>
    </row>
    <row r="980" spans="1:23" ht="16" x14ac:dyDescent="0.2">
      <c r="A980" s="6"/>
      <c r="B980" s="7"/>
      <c r="C980" s="7"/>
      <c r="D980" s="7"/>
      <c r="E980" s="7"/>
      <c r="F980" s="6"/>
      <c r="G980" s="6"/>
      <c r="H980" s="6"/>
      <c r="I980" s="6"/>
      <c r="J980" s="6"/>
      <c r="K980" s="6"/>
      <c r="L980" s="6"/>
      <c r="M980" s="6"/>
      <c r="N980" s="6"/>
      <c r="O980" s="6"/>
      <c r="P980" s="6"/>
      <c r="Q980" s="6"/>
      <c r="R980" s="6"/>
      <c r="S980" s="6"/>
      <c r="T980" s="6"/>
      <c r="U980" s="6"/>
      <c r="V980" s="6"/>
      <c r="W980" s="6"/>
    </row>
    <row r="981" spans="1:23" ht="16" x14ac:dyDescent="0.2">
      <c r="A981" s="6"/>
      <c r="B981" s="7"/>
      <c r="C981" s="7"/>
      <c r="D981" s="7"/>
      <c r="E981" s="7"/>
      <c r="F981" s="6"/>
      <c r="G981" s="6"/>
      <c r="H981" s="6"/>
      <c r="I981" s="6"/>
      <c r="J981" s="6"/>
      <c r="K981" s="6"/>
      <c r="L981" s="6"/>
      <c r="M981" s="6"/>
      <c r="N981" s="6"/>
      <c r="O981" s="6"/>
      <c r="P981" s="6"/>
      <c r="Q981" s="6"/>
      <c r="R981" s="6"/>
      <c r="S981" s="6"/>
      <c r="T981" s="6"/>
      <c r="U981" s="6"/>
      <c r="V981" s="6"/>
      <c r="W981" s="6"/>
    </row>
    <row r="982" spans="1:23" ht="16" x14ac:dyDescent="0.2">
      <c r="A982" s="6"/>
      <c r="B982" s="7"/>
      <c r="C982" s="7"/>
      <c r="D982" s="7"/>
      <c r="E982" s="7"/>
      <c r="F982" s="6"/>
      <c r="G982" s="6"/>
      <c r="H982" s="6"/>
      <c r="I982" s="6"/>
      <c r="J982" s="6"/>
      <c r="K982" s="6"/>
      <c r="L982" s="6"/>
      <c r="M982" s="6"/>
      <c r="N982" s="6"/>
      <c r="O982" s="6"/>
      <c r="P982" s="6"/>
      <c r="Q982" s="6"/>
      <c r="R982" s="6"/>
      <c r="S982" s="6"/>
      <c r="T982" s="6"/>
      <c r="U982" s="6"/>
      <c r="V982" s="6"/>
      <c r="W982" s="6"/>
    </row>
    <row r="983" spans="1:23" ht="16" x14ac:dyDescent="0.2">
      <c r="A983" s="6"/>
      <c r="B983" s="7"/>
      <c r="C983" s="7"/>
      <c r="D983" s="7"/>
      <c r="E983" s="7"/>
      <c r="F983" s="6"/>
      <c r="G983" s="6"/>
      <c r="H983" s="6"/>
      <c r="I983" s="6"/>
      <c r="J983" s="6"/>
      <c r="K983" s="6"/>
      <c r="L983" s="6"/>
      <c r="M983" s="6"/>
      <c r="N983" s="6"/>
      <c r="O983" s="6"/>
      <c r="P983" s="6"/>
      <c r="Q983" s="6"/>
      <c r="R983" s="6"/>
      <c r="S983" s="6"/>
      <c r="T983" s="6"/>
      <c r="U983" s="6"/>
      <c r="V983" s="6"/>
      <c r="W983" s="6"/>
    </row>
    <row r="984" spans="1:23" ht="16" x14ac:dyDescent="0.2">
      <c r="A984" s="6"/>
      <c r="B984" s="7"/>
      <c r="C984" s="7"/>
      <c r="D984" s="7"/>
      <c r="E984" s="7"/>
      <c r="F984" s="6"/>
      <c r="G984" s="6"/>
      <c r="H984" s="6"/>
      <c r="I984" s="6"/>
      <c r="J984" s="6"/>
      <c r="K984" s="6"/>
      <c r="L984" s="6"/>
      <c r="M984" s="6"/>
      <c r="N984" s="6"/>
      <c r="O984" s="6"/>
      <c r="P984" s="6"/>
      <c r="Q984" s="6"/>
      <c r="R984" s="6"/>
      <c r="S984" s="6"/>
      <c r="T984" s="6"/>
      <c r="U984" s="6"/>
      <c r="V984" s="6"/>
      <c r="W984" s="6"/>
    </row>
    <row r="985" spans="1:23" ht="16" x14ac:dyDescent="0.2">
      <c r="A985" s="6"/>
      <c r="B985" s="7"/>
      <c r="C985" s="7"/>
      <c r="D985" s="7"/>
      <c r="E985" s="7"/>
      <c r="F985" s="6"/>
      <c r="G985" s="6"/>
      <c r="H985" s="6"/>
      <c r="I985" s="6"/>
      <c r="J985" s="6"/>
      <c r="K985" s="6"/>
      <c r="L985" s="6"/>
      <c r="M985" s="6"/>
      <c r="N985" s="6"/>
      <c r="O985" s="6"/>
      <c r="P985" s="6"/>
      <c r="Q985" s="6"/>
      <c r="R985" s="6"/>
      <c r="S985" s="6"/>
      <c r="T985" s="6"/>
      <c r="U985" s="6"/>
      <c r="V985" s="6"/>
      <c r="W985" s="6"/>
    </row>
    <row r="986" spans="1:23" ht="16" x14ac:dyDescent="0.2">
      <c r="A986" s="6"/>
      <c r="B986" s="7"/>
      <c r="C986" s="7"/>
      <c r="D986" s="7"/>
      <c r="E986" s="7"/>
      <c r="F986" s="6"/>
      <c r="G986" s="6"/>
      <c r="H986" s="6"/>
      <c r="I986" s="6"/>
      <c r="J986" s="6"/>
      <c r="K986" s="6"/>
      <c r="L986" s="6"/>
      <c r="M986" s="6"/>
      <c r="N986" s="6"/>
      <c r="O986" s="6"/>
      <c r="P986" s="6"/>
      <c r="Q986" s="6"/>
      <c r="R986" s="6"/>
      <c r="S986" s="6"/>
      <c r="T986" s="6"/>
      <c r="U986" s="6"/>
      <c r="V986" s="6"/>
      <c r="W986" s="6"/>
    </row>
    <row r="987" spans="1:23" ht="16" x14ac:dyDescent="0.2">
      <c r="A987" s="6"/>
      <c r="B987" s="7"/>
      <c r="C987" s="7"/>
      <c r="D987" s="7"/>
      <c r="E987" s="7"/>
      <c r="F987" s="6"/>
      <c r="G987" s="6"/>
      <c r="H987" s="6"/>
      <c r="I987" s="6"/>
      <c r="J987" s="6"/>
      <c r="K987" s="6"/>
      <c r="L987" s="6"/>
      <c r="M987" s="6"/>
      <c r="N987" s="6"/>
      <c r="O987" s="6"/>
      <c r="P987" s="6"/>
      <c r="Q987" s="6"/>
      <c r="R987" s="6"/>
      <c r="S987" s="6"/>
      <c r="T987" s="6"/>
      <c r="U987" s="6"/>
      <c r="V987" s="6"/>
      <c r="W987" s="6"/>
    </row>
    <row r="988" spans="1:23" ht="16" x14ac:dyDescent="0.2">
      <c r="A988" s="6"/>
      <c r="B988" s="7"/>
      <c r="C988" s="7"/>
      <c r="D988" s="7"/>
      <c r="E988" s="7"/>
      <c r="F988" s="6"/>
      <c r="G988" s="6"/>
      <c r="H988" s="6"/>
      <c r="I988" s="6"/>
      <c r="J988" s="6"/>
      <c r="K988" s="6"/>
      <c r="L988" s="6"/>
      <c r="M988" s="6"/>
      <c r="N988" s="6"/>
      <c r="O988" s="6"/>
      <c r="P988" s="6"/>
      <c r="Q988" s="6"/>
      <c r="R988" s="6"/>
      <c r="S988" s="6"/>
      <c r="T988" s="6"/>
      <c r="U988" s="6"/>
      <c r="V988" s="6"/>
      <c r="W988" s="6"/>
    </row>
    <row r="989" spans="1:23" ht="16" x14ac:dyDescent="0.2">
      <c r="A989" s="6"/>
      <c r="B989" s="7"/>
      <c r="C989" s="7"/>
      <c r="D989" s="7"/>
      <c r="E989" s="7"/>
      <c r="F989" s="6"/>
      <c r="G989" s="6"/>
      <c r="H989" s="6"/>
      <c r="I989" s="6"/>
      <c r="J989" s="6"/>
      <c r="K989" s="6"/>
      <c r="L989" s="6"/>
      <c r="M989" s="6"/>
      <c r="N989" s="6"/>
      <c r="O989" s="6"/>
      <c r="P989" s="6"/>
      <c r="Q989" s="6"/>
      <c r="R989" s="6"/>
      <c r="S989" s="6"/>
      <c r="T989" s="6"/>
      <c r="U989" s="6"/>
      <c r="V989" s="6"/>
      <c r="W989" s="6"/>
    </row>
    <row r="990" spans="1:23" ht="16" x14ac:dyDescent="0.2">
      <c r="A990" s="6"/>
      <c r="B990" s="7"/>
      <c r="C990" s="7"/>
      <c r="D990" s="7"/>
      <c r="E990" s="7"/>
      <c r="F990" s="6"/>
      <c r="G990" s="6"/>
      <c r="H990" s="6"/>
      <c r="I990" s="6"/>
      <c r="J990" s="6"/>
      <c r="K990" s="6"/>
      <c r="L990" s="6"/>
      <c r="M990" s="6"/>
      <c r="N990" s="6"/>
      <c r="O990" s="6"/>
      <c r="P990" s="6"/>
      <c r="Q990" s="6"/>
      <c r="R990" s="6"/>
      <c r="S990" s="6"/>
      <c r="T990" s="6"/>
      <c r="U990" s="6"/>
      <c r="V990" s="6"/>
      <c r="W990" s="6"/>
    </row>
    <row r="991" spans="1:23" ht="16" x14ac:dyDescent="0.2">
      <c r="A991" s="6"/>
      <c r="B991" s="7"/>
      <c r="C991" s="7"/>
      <c r="D991" s="7"/>
      <c r="E991" s="7"/>
      <c r="F991" s="6"/>
      <c r="G991" s="6"/>
      <c r="H991" s="6"/>
      <c r="I991" s="6"/>
      <c r="J991" s="6"/>
      <c r="K991" s="6"/>
      <c r="L991" s="6"/>
      <c r="M991" s="6"/>
      <c r="N991" s="6"/>
      <c r="O991" s="6"/>
      <c r="P991" s="6"/>
      <c r="Q991" s="6"/>
      <c r="R991" s="6"/>
      <c r="S991" s="6"/>
      <c r="T991" s="6"/>
      <c r="U991" s="6"/>
      <c r="V991" s="6"/>
      <c r="W991" s="6"/>
    </row>
    <row r="992" spans="1:23" ht="16" x14ac:dyDescent="0.2">
      <c r="A992" s="6"/>
      <c r="B992" s="7"/>
      <c r="C992" s="7"/>
      <c r="D992" s="7"/>
      <c r="E992" s="7"/>
      <c r="F992" s="6"/>
      <c r="G992" s="6"/>
      <c r="H992" s="6"/>
      <c r="I992" s="6"/>
      <c r="J992" s="6"/>
      <c r="K992" s="6"/>
      <c r="L992" s="6"/>
      <c r="M992" s="6"/>
      <c r="N992" s="6"/>
      <c r="O992" s="6"/>
      <c r="P992" s="6"/>
      <c r="Q992" s="6"/>
      <c r="R992" s="6"/>
      <c r="S992" s="6"/>
      <c r="T992" s="6"/>
      <c r="U992" s="6"/>
      <c r="V992" s="6"/>
      <c r="W992" s="6"/>
    </row>
    <row r="993" spans="1:23" ht="16" x14ac:dyDescent="0.2">
      <c r="A993" s="6"/>
      <c r="B993" s="7"/>
      <c r="C993" s="7"/>
      <c r="D993" s="7"/>
      <c r="E993" s="7"/>
      <c r="F993" s="6"/>
      <c r="G993" s="6"/>
      <c r="H993" s="6"/>
      <c r="I993" s="6"/>
      <c r="J993" s="6"/>
      <c r="K993" s="6"/>
      <c r="L993" s="6"/>
      <c r="M993" s="6"/>
      <c r="N993" s="6"/>
      <c r="O993" s="6"/>
      <c r="P993" s="6"/>
      <c r="Q993" s="6"/>
      <c r="R993" s="6"/>
      <c r="S993" s="6"/>
      <c r="T993" s="6"/>
      <c r="U993" s="6"/>
      <c r="V993" s="6"/>
      <c r="W993" s="6"/>
    </row>
    <row r="994" spans="1:23" ht="16" x14ac:dyDescent="0.2">
      <c r="A994" s="6"/>
      <c r="B994" s="7"/>
      <c r="C994" s="7"/>
      <c r="D994" s="7"/>
      <c r="E994" s="7"/>
      <c r="F994" s="6"/>
      <c r="G994" s="6"/>
      <c r="H994" s="6"/>
      <c r="I994" s="6"/>
      <c r="J994" s="6"/>
      <c r="K994" s="6"/>
      <c r="L994" s="6"/>
      <c r="M994" s="6"/>
      <c r="N994" s="6"/>
      <c r="O994" s="6"/>
      <c r="P994" s="6"/>
      <c r="Q994" s="6"/>
      <c r="R994" s="6"/>
      <c r="S994" s="6"/>
      <c r="T994" s="6"/>
      <c r="U994" s="6"/>
      <c r="V994" s="6"/>
      <c r="W994" s="6"/>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2025-12-07T11:51:08Z</dcterms:created>
  <dcterms:modified xsi:type="dcterms:W3CDTF">2025-12-07T19:28:00Z</dcterms:modified>
</cp:coreProperties>
</file>