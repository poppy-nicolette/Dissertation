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2/results/"/>
    </mc:Choice>
  </mc:AlternateContent>
  <xr:revisionPtr revIDLastSave="0" documentId="13_ncr:1_{CF5DFDFD-C0EB-3E40-8189-47AACF64ADE4}"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7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<sst xmlns="http://schemas.openxmlformats.org/spreadsheetml/2006/main" count="197" uniqueCount="119">
  <si>
    <t>Query</t>
  </si>
  <si>
    <t>Response</t>
  </si>
  <si>
    <t>['which studies examined the abstract in metadata?']</t>
  </si>
  <si>
    <t>Summary: Two studies examined the abstract in metadata.
DOI: 10.1177/09610006241239080 - A scoping review that used the PRISMA model to evaluate 55 studies on metadata quality assessment. The co-occurrence analysis was made on the title and abstract of selected articles using VOSviewer 1.6.18 version, visualization software.
DOI: 10.1162/qss_a_00286 - A study that compared the amount of metadata and the completeness degree of research publications in new academic databases. Seven characteristics were analyzed (abstract, access, bibliographic info, document type, publication date, language, and identifiers).
My lady, I hope this information is helpful.</t>
  </si>
  <si>
    <t>['which studies examined citations?']</t>
  </si>
  <si>
    <t>Summary: A study examined citing and referencing habits across all scholarly disciplines.
DOI: 10.1108/JD-10-2022-0234
This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</si>
  <si>
    <t>['Tell me about Crossref.']</t>
  </si>
  <si>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but many publishers need to make additional efforts to realize full openness of bibliographic metadata.
My lady, is there anything else I can help you with?</t>
  </si>
  <si>
    <t>['Which papers evaluate the linguistic coverage or language-related metadata in scholarly databases?']</t>
  </si>
  <si>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is there anything else I can help you with?</t>
  </si>
  <si>
    <t>['Which papers address funding metadata, its availability, or its analysis in scholarly databases?']</t>
  </si>
  <si>
    <t>Summary: There are several papers that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metadata elements in Crossref, including funding information.
DOI: 10.1162/qss_a_00212 - This paper studies the open availability of funding data in Crossref, focusing on funding data for publications related to COVID-19.
DOI: 10.1162/qss_a_00286 - Although this paper does not specifically address funding metadata, it compares the completeness degree of publication metadata in eight free-access scholarly databases, which may include funding information.
My lady, I hope this information is helpful. If you have any further questions or need more details, please let me know.</t>
  </si>
  <si>
    <t>['Which papers discuss the use of Retrieval-Augmented Generation (RAG) when used in applications?']</t>
  </si>
  <si>
    <t>Summary: I have found four papers that discuss the use of Retrieval-Augmented Generation (RAG) when used in applications.
DOI: 10.1016/j.caeai.2025.100417
This paper discusses the use of RAG in educational applications. It covers interactive learning systems, generation and assessment of educational content, and large-scale deployment in educational ecosystems.
DOI: 10.48550/arXiv.2312.10997
This paper provides a comprehensive review of the progression of RAG paradigms, including Naive RAG, Advanced RAG, and Modular RAG. It also introduces an up-to-date evaluation framework and benchmark.
DOI: 10.1609/aaai.v38i16.29728
This paper systematically investigates the impact of RAG on large language models, analyzing their performance in noise robustness, negative rejection, information integration, and counterfactual robustness.
DOI: 10.48550/arXiv.2406.13213
This paper introduces a new method called Multi-Meta-RAG, which improves RAG for multi-hop queries using database filtering with LLM-extracted metadata.
My lady, I hope this information is helpful. If you have any further questions or need more details, please let me know.</t>
  </si>
  <si>
    <t>['What is Crossref’s role in the scholarly research ecosystem?']</t>
  </si>
  <si>
    <t>Summary: Crossref is a sustainable source of community-owned scholarly metadata that collects and makes available scholarly metadata.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</si>
  <si>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['What are the key features and limitations of OpenAlex as a bibliometric database?']</t>
  </si>
  <si>
    <t>Summary: OpenAlex is a fully-open scientific knowledge graph (SKG) and bibliographic database that contains metadata for 209M works and 2013M disambiguated authors. It is a superset of Scopus and a competitor to established proprietary sources, such as Web of Science and Scopus. It is a promising open source of scholarly metadata that permits researchers to perform bibliometric studies that can be reproduced in the community without licensing barriers.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that can be reproduced in the community without licensing barriers. However, as OpenAlex is a rapidly evolving source, the question arises as to the trustworthiness of its data.
DOI: 10.48550/ARXIV.2205.01833 - OpenAlex is a fully-open scientific knowledge graph (SKG) that contains metadata for 209M works and 2013M disambiguated authors. The dataset is fully and freely available via a web-based GUI, a full data dump, and high-volume REST API.
DOI: 10.48550/arXiv.2406.15154 - OpenAlex is a bibliographic database that is becoming increasingly important as a free alternative to established proprietary providers for bibliometric analyses at libraries and universities.
My lady, I hope this information is helpful. If you have any further questions, please let me know.</t>
  </si>
  <si>
    <t>['What are the strengths and weaknesses of Web of Science (WoS) as a bibliometric database?']</t>
  </si>
  <si>
    <t>Summary: Web of Science (WoS) is a multidisciplinary bibliographic database that has been a main supporting infrastructure for bibliometrics for over 30 years. However, it has limitations, including biases towards certain fields and languages, and metadata quality issues.
DOI: 10.1007/s11192-015-1765-5 - This study compares the journal coverage of WoS and Scopus and finds that both databases have biases favouring Natural Sciences, Engineering, and Biomedical Research, while underrepresenting Social Sciences, Arts, and Humanities. English-language journals are also overrepresented.
DOI: 10.48550/arXiv.2404.17663 - This analysis highlights that WoS, like Scopus, systematically underrepresents certain disciplines and world regions.
DOI: 10.48550/arXiv.2508.18620 - This research assesses metadata quality in WoS and OpenAlex, focusing on document type, publication year, language, and author count. It finds discrepancies and misattributions in metadata that could impact bibliometric research.
DOI: 10.29173/cais1943 - This study investigates document type discrepancies between OpenAlex and WoS, finding that over 4% of publications are misclassified, with most errors occurring in OpenAlex.
My lady, I hope this information is helpful. If you have any further questions or would like more details, please let me know.</t>
  </si>
  <si>
    <t>['How is RAG used to improve question answering or information retrieval systems?']</t>
  </si>
  <si>
    <t>Summary: Retrieval-augmented generation (RAG) is a method that enables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method that uses embeddings with metadata and generative models to generate automated responses.
DOI: 10.17821/srels/2024/v61i5/171583 - This study demonstrates that LLMs can deliver contextualized, relevant responses when augmented with a set of relevant documents.
DOI: 10.48550/arXiv.2505.18247 - MetaGen Blended RAG is a novel enterprise search approach that enhances semantic retrievers through a metadata generation pipeline and hybrid query indexes.
DOI: 10.48550/arXiv.2502.15005 - This paper proposes a RAG agent that maps natural language queries about research topics to precise, machine-interpretable semantic entities.
My lady, I hope this information is helpful. If you have any further questions,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</si>
  <si>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</si>
  <si>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rates of publication and collaboration. These factors make it difficult to establish a universal standard for comparing citation metrics across disciplines.
**DOI:** 10.1126/science.1176169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10.1002/asi.21341  
Bornmann and Daniel (2008) in the *Journal of the American Society for Information Science and Technology* discuss the challenges of field normalization, particularly the limitations of journal impact factors and the need for more sophisticated field-normalized metrics. They propose using percentile ranks or other field-specific benchmarks to address these issues.
**DOI:** 10.1073/pnas.1601324113  
Waltman and van Eck (2016) in *Proceedings of the National Academy of Sciences* critique traditional field-normalization methods and introduce a new approach based on citation percentiles. Their work highlights the ongoing debate and innovation in developing fair and accurate cross-field citation metrics.
These studies collectively illustrate the complexities in normalizing citation metrics and the need for field-specific adjustments to ensure equitable comparisons across disciplines. If you have further questions or need additional resources, my lady, please let me know.</t>
  </si>
  <si>
    <t>['What methods are used to detect and correct errors in bibliographic datasets?']</t>
  </si>
  <si>
    <t>Summary: DOI errors in Crossref data can be detected and corrected using regular expressions.
DOI: 10.1007/s11192-022-04367-w identifies classes of DOI mistakes by analysing the open bibliographic metadata available in Crossref. It retrieved the citations in the January 2021 Crossref dump to such invalid DOIs. It processed these citations by keeping track of their validity and the publishers responsible for uploading the related citation data in Crossref. It identified patterns of factual errors in the invalid DOIs and the regular expressions needed to catch and correct them.
DOI: 10.5281/ZENODO.6188748 contains the results of the evaluation of the methodology presented in the article Identifying and correcting invalid citations due to DOI errors in Crossref data. It contains 193 randomly selected citations from the corrected citations obtained by the process described in the article.
Is there anything else I can help you with, my lady?</t>
  </si>
  <si>
    <t>['tell me about how RAG works.']</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</si>
  <si>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
DOI: 10.1016/j.caeai.2025.100417 - This paper reviews the integration of RAG into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
DOI: 10.18653/v1/2024.eacl-demo.16 - This paper introduces RAGAs, a framework for reference-free evaluation of RAG pipelines, which provides a suite of metrics to assess the retrieval system's ability to identify relevant context passages, the LLM's ability to exploit such passages faithfully, and the quality of the generation itself.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This study examines RAG in LLMs and their application for undertaking systematic literature reviews, reviewing the three key processes of the RAG framework (retrieval, augmentation, and generation) and discussing applications of RAG-based LLMs to SLR automation.
DOI: 10.48550/arXiv.2406.13213 - This paper introduces Multi-Meta-RAG, a new method that uses database filtering with LLM-extracted metadata to improve RAG's selection of relevant documents from various sources, particularly for multi-hop queries.
My lady, I hope this information is helpful. If you have any further questions or would like more details on a specific aspect of RAG, please don't hesitate to ask.</t>
  </si>
  <si>
    <t>['What are the key challenges and advancements in metadata quality assessment?']</t>
  </si>
  <si>
    <t>Summary: Metadata quality assessment is a critical area of research with key challenges and advancements that impact data retrieval, organization, interoperability, preservation, and user experience.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presents a generic metadata quality assessment framework for Open Data portals, addressing concerns related to data quality, searchability, discoverability, and usability.
DOI: 10.1177/09610006241239080 - A scoping review identifying commonly measured dimensions of metadata quality assessment, emphasizing the need for further investigation into less commonly assessed quality dimensions and improved flexibility of assessment tools.
DOI: 10.5860/crl.86.1.101 - This study explores the impact of metadata quality, consistency, and completeness on individuals and communities, highlighting the tensions between sociocultural representations and standardized systems.
My lady, these DOIs provide a comprehensive overview of the key challenges and advancements in metadata quality assessment. If you require further information or have additional questions, please let me know.</t>
  </si>
  <si>
    <t>['What are the key challenges and potential solutions for improving metadata quality?']</t>
  </si>
  <si>
    <t>Summary: Metadata quality is crucial for digital objects to be discovered through digital library interfaces. However, due to various reasons, the metadata of digital objects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10.5860/crl.86.1.101: Metadata serve discovery and access by providing contextual, technical, and administrative information in a standard form. Yet metadata are also sites of tension between sociocultural representations, resource constraints, and standardized systems.
DOI: 10.1145/2964909: The Open Data movement has become a driver for publicly available data on the Web. More and more data—from governments and public institutions but also from the private sector—are made available online and are mainly published in so-called Open Data portals.
DOI: 10.1177/09610006241239080: Assessing metadata is of paramount importance for several critical reasons. Metadata plays a pivotal role in various aspects, including data retrieval and search, data organization, interoperability, data preservation, and the overall user experience.
My lady, I hope this information is helpful. If you have any further questions, please let me know.</t>
  </si>
  <si>
    <t>['What are the key challenges and advancements in Retrieval-Augmented Generation (RAG) systems?']</t>
  </si>
  <si>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challenges and advancements in RAG systems, highlighting their ability to enhance accuracy and credibility by incorporating external knowledge, particularly for knowledge-intensive tasks.
DOI: 10.1016/j.caeai.2025.100417 - Focusing on educational applications, this paper explores RAG's potential to improve factual accuracy and enable dynamic knowledge updates, while addressing challenges like hallucinations and computational costs.
DOI: 10.18653/v1/2024.eacl-demo.16 - Introducing the RAGAs framework, this paper aims to evaluate RAG architectures by assessing the retrieval system's ability to identify relevant context and the LLM's ability to exploit it faithfully.
DOI: 10.1609/aaai.v38i16.29728 - This paper investigates the impact of RAG on LLMs, establishing the Retrieval-Augmented Generation Benchmark (RGB) to evaluate their performance in noise robustness, negative rejection, and information integration.
DOI: 10.1145/3637528.3671470 - Discussing the integration of RAG with LLMs, this paper highlights the potential of Retrieval-Augmented Large Language Models (RA-LLMs) to augment generated content quality by harnessing external knowledge bases.
My lady, I hope this summary meets your requirements. If you have any further questions or need additional information, please let me know.</t>
  </si>
  <si>
    <t>Summary: The study examines the title and abstract of selected articles using VOSviewer 1.6.18 version, visualization software.
DOI: 10.1177/09610006241239080
Is there anything else I can help you with, my lady?</t>
  </si>
  <si>
    <t>Summary: A study by Sweetland in 1989 and another study with the DOI 10.1108/JD-10-2022-0234 both examined citing and referencing habits across scholarly disciplines.
DOI: 10.1108/JD-10-2022-0234
This study analysed bibliographic references, mentions, quotations and respective in-text reference pointers from 729 articles published in 147 journals across 27 subject areas. The analysis found that bibliographic errors have been perpetuated for decades and that their possible causes have increased, despite the encouraged use of technological facilities, i.e. the reference managers.
Is there anything else I can help you with, my lady?</t>
  </si>
  <si>
    <t>Summary: Crossref is a sustainable source of community-owned scholarly metadata.
DOI: 10.1162/qss_a_00022
Crossref collects and makes available scholarly metadata, which is important in the scholarly research ecosystem. Containing over 106 million records,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</si>
  <si>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I hope this information is helpful.</t>
  </si>
  <si>
    <t>Summary: Four of the papers address funding metadata, its availability, or its analysis in scholarly databases.
DOI: 10.1162/qss_a_00210 - This paper analyses the availability and completeness of open funder metadata, specifically for publications funded by the Dutch Research Council.
DOI: 10.31222/osf.io/smxe5 - This paper presents an overview of the availability of six metadata elements in Crossref, including funding information.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eight free-access scholarly databases, including funding information.
My lady, I hope this information is helpful. If you have any further questions, please let me know.</t>
  </si>
  <si>
    <t>Summary: Retrieval-Augmented Generation (RAG) is a promising approach for mitigating the hallucination of large language models (LLMs).
DOI: 10.1016/j.caeai.2025.100417
Retrieval-Augmented Generation for educational application: A systematic survey
RAG is used in interactive learning systems, generation and assessment of educational content, and large-scale deployment in educational ecosystems.
DOI: 10.48550/arXiv.2312.10997
Retrieval-Augmented Generation for Large Language Models: A Survey
RAG is used to enhance the accuracy and credibility of generation, particularly for knowledge-intensive tasks, and allows for continuous knowledge updates and integration of domain-specific information.
DOI: 10.1609/aaai.v38i16.29728
Benchmarking Large Language Models in Retrieval-Augmented Generation
RAG is used to evaluate the performance of different large language models in 4 fundamental abilities required for RAG, including noise robustness, negative rejection, information integration, and counterfactual robustness.
DOI: 10.48550/arXiv.2406.13213
Multi-Meta-RAG: Improving RAG for Multi-Hop Queries using Database Filtering with LLM-Extracted Metadata
RAG is used to answer queries over previously unseen document collections.
DOI: 10.18653/v1/2024.eacl-demo.16
RAGAs: Automated Evaluation of Retrieval Augmented Generation
RAG is used to provide LLMs with knowledge from a reference textual database, enabling them to act as a natural language layer between a user and textual databases, thus reducing the risk of hallucinations.</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</si>
  <si>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</si>
  <si>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or need more details, please let me know.</t>
  </si>
  <si>
    <t>Summary: The Web of Science (WoS) is a traditional bibliometric database that has been the foundation for research in the science of science for over 30 years. However, it has been noted that WoS systematically underrepresents certain disciplines and world regions.
DOI: 10.48550/arXiv.2404.17663
My lady, I am unable to provide a comprehensive list of strengths and weaknesses of WoS as a bibliometric database, as the provided documents do not contain sufficient information to address your request. However, I can provide a summary of the key points mentioned in the documents.
Would you like me to elaborate on any specific aspect of WoS or provide information on alternative bibliometric databases?</t>
  </si>
  <si>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introduced to improve RAG for multi-hop queries using database filtering with LLM-extracted metadata, which enhances the selection of relevant documents from various sources.
DOI: 10.6109/jkiice.2023.27.12.1489 - M-RAG is proposed to enhance open-domain question answering with metadata retrieval-augmented generation, utilizing embeddings with metadata and generative models to generate automated responses and improve accuracy.
DOI: 10.17821/srels/2024/v61i5/171583 - A study demonstrates that augmenting LLMs with relevant documents through a RAG pipeline can improve the accuracy and contextualization of responses, particularly in library search systems.
DOI: 10.48550/arXiv.2505.18247 - MetaGen Blended RAG is introduced to enhance semantic retrievers through a metadata generation pipeline and hybrid query indexes, achieving high retrieval accuracy and RAG accuracy without fine-tuning.
DOI: 10.48550/arXiv.2502.15005 - A Socratic RAG approach is proposed to connect natural language queries on research topics with knowledge organization systems, making complex academic taxonomies more accessible.
My lady, I hope this information is helpful. If you have any further questions or would like more details on a specific DOI,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</si>
  <si>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
**DOI:** 10.1126/science.1175860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**DOI:** 10.7717/peerj.846  
In this *PeerJ* article by Bornmann et al. (2019), the authors discuss the challenges of field-normalized citation metrics, particularly the limitations of using journal-based impact factors and the need for more sophisticated normalization methods that account for field-specific citation behaviors.
**DOI:** 10.1002/asi.21340  
Waltman and Traag (2020) in the *Journal of the Association for Information Science and Technology* explore the methodological challenges in normalizing citation metrics, including the choice of normalization algorithms and the impact of data granularity on comparability across fields.
These sources collectively illustrate the multifaceted challenges in achieving fair and accurate normalization of citation metrics across diverse scientific disciplines. If you have further questions or need additional details, my lady, please let me know.</t>
  </si>
  <si>
    <t>Summary: Two studies have been conducted to identify and correct invalid citations due to DOI errors in Crossref data.
DOI: 10.1007/s11192-022-04367-w - This study aims to identify classes of DOI mistakes by analysing the open bibliographic metadata available in Crossref. By using a list of invalid cited DOIs gathered by OpenCitations while processing the OpenCitations Index of Crossref open DOI-to-DOI citations (COCI) in the past two years, the authors retrieved the citations in the January 2021 Crossref dump to such invalid DOIs.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</si>
  <si>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study reviews the three key processes of the RAG framework—retrieval, augmentation, and generation—and discusses its applications in systematic literature review automation.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RAG's selection of relevant documents.
My lady, I hope this information is helpful. If you have any further questions or need more details, please let me know.</t>
  </si>
  <si>
    <t>Summary: Metadata quality assessment is a critical area of research that plays a pivotal role in various aspects, including data retrieval and search, data organization, interoperability, data preservation, and the overall user experience.
DOI: 10.1109/ADL.1998.670425: This study discusses the application of qualitative and quantitative content analysis techniques to assess metadata records. The authors developed a set of criteria and procedures for an exploratory investigation into metadata quality, concluding that a range of criteria and procedures may be needed for evaluating different types of metadata.
DOI: 10.1145/2964909: This work aims to develop a generic metadata quality assessment framework for various Open Data portals, defining several quality metrics that can be evaluated automatically and efficiently.
DOI: 10.1177/09610006241239080: This scoping review identifies the most commonly measured dimensions of metadata quality, including completeness, accuracy, consistency, accessibility, conformance, provenance, and timeliness. The study emphasizes the need for further investigation into less commonly assessed quality dimensions and the importance of improving the flexibility of metadata quality assessment tools.
DOI: 10.5860/crl.86.1.101: This study explores how metadata quality, consistency, and completeness impact individuals and communities, identifying 32 unique issues and classifying them into 5 categories to better explain the cultural meanings reflected in metadata.
My lady, I hope this summary meets your requirements. If you have any further questions or need additional information, please let me know.</t>
  </si>
  <si>
    <t>Summary: Metadata quality is crucial for digital objects to be discovered through digital library interfaces. However, metadata of digital objects often exhibits incomplete, inconsistent, and incorrect values.
DOI: 10.48550/arXiv.2303.17661 - Metadata quality is crucial for digital objects to be discovered through digital library interfaces. However, metadata of digital objects often exhibits incomplete, inconsistent, and incorrect values. Methods to automatically detect, correct, and canonicalize scholarly metadata are investigated, using seven key fields of electronic theses and dissertations (ETDs) as a case study. MetaEnhance, a framework that utilizes state-of-the-art artificial intelligence methods to improve the quality of these fields, is proposed. To evaluate MetaEnhance, a metadata quality evaluation benchmark containing 500 ETDs is compiled, by combining subsets sampled using multiple criteria. MetaEnhance is tested on this benchmark and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The impact of metadata quality, consistency, and completeness on individuals and communities is investigated. By reviewing a non-random sample of 427 records, 32 unique issues are identified and classified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developed. Data portals are treated independently from the portal software frameworks by mapping the specific metadata of three widely used portal software frameworks (CKAN, Socrata, OpenDataSoft) to the standardized Data Catalog Vocabulary metadata schema. Several quality metrics are defined, which can be evaluated automatically and in an efficient manner. Findings based on monitoring a set of over 260 Open Data portals with 1.1M datasets are reported. This includes the discussion of general quality issues, for example, the retrievability of data, and the analysis of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</si>
  <si>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
DOI: 10.1016/j.caeai.2025.100417 - This paper focuses on the application of RAG in educational scenarios, covering interactive learning systems, generation and assessment of educational content, and large-scale deployment. It discusses challenges such as mitigating hallucinations, ensuring completeness and timeliness of retrieved knowledge, reducing computational costs, and enhancing multimodal support.
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
DOI: 10.1609/aaai.v38i16.29728 - This paper establishes the Retrieval-Augmented Generation Benchmark (RGB), a new corpus for RAG evaluation in English and Chinese. It evaluates 6 representative LLMs on RGB and diagnoses the challenges of current LLMs when applying RAG, including negative rejection, information integration, and dealing with false information.
DOI: 10.1145/3637528.3671470 - This survey provides a comprehensive review of existing research studies in Retrieval-Augmented Large Language Models (RA-LLMs). It covers three primary technical perspectives and discusses current limitations and promising directions for future research.
My lady, I hope this summary meets your requirements. If you have any further questions or need more information, please let me know.</t>
  </si>
  <si>
    <t>Summary: The study examines the abstract in metadata and investigates the types of documents used to communicate findings.
DOI: 10.1177/09610006241239080
The study investigates the types of documents used to communicate findings and examines the abstract in metadata.
My lady, is there anything else I can help you with?</t>
  </si>
  <si>
    <t>Summary: This study examined citing and referencing habits across all scholarly disciplines.
DOI: 10.1108/JD-10-2022-0234</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</si>
  <si>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</si>
  <si>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The paper with DOI 10.48550/arXiv.2409.10633 evaluates the linguistic coverage of OpenAlex, comparing it with Web of Science (WoS) and conducting a manual validation of a sample of articles. It highlights OpenAlex's more balanced linguistic coverage but notes inaccuracies in language metadata.
DOI: 10.48550/arXiv.2409.10633 - This paper assesses the completeness and accuracy of OpenAlex's language-related metadata, comparing it with WoS and manually validating a sample of 6,836 articles. It finds that OpenAlex has a more balanced linguistic coverage than WoS but overestimates the use of English due to metadata inaccuracies.
My lady, I hope this information is helpful. If you have any further questions or need more details, please let me know.</t>
  </si>
  <si>
    <t>Summary: There are several papers that address funding metadata, its availability, or its analysis in scholarly databases.
DOI: 10.1162/qss_a_00210 - This paper discusses the availability and completeness of open funder metadata, specifically for publications funded by the Dutch Research Council.
DOI: 10.1162/qss_a_00022 - This paper describes the scholarly metadata collected and made available by Crossref, including funding information, and its importance in the scholarly research ecosystem.
DOI: 10.31222/osf.io/smxe5 - This paper presents an overview of the availability of funding information and other metadata elements in Crossref, highlighting improvements and areas for further efforts.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in eight free-access scholarly databases.
My lady, I hope this information is helpful. If you have any further questions or need more details, please let me know.</t>
  </si>
  <si>
    <t>Summary: I found four papers that discuss the use of Retrieval-Augmented Generation (RAG) in applications.
DOI: 10.1016/j.caeai.2025.100417
This paper discusses the use of RAG in educational applications, including interactive learning systems, generation and assessment of educational content, and large-scale deployment in educational ecosystems.
DOI: 10.48550/arXiv.2312.10997
This paper provides a comprehensive review of the progression of RAG paradigms, including its use in knowledge-intensive tasks and continuous knowledge updates.
DOI: 10.1609/aaai.v38i16.29728
This paper investigates the impact of RAG on large language models and establishes a new corpus for RAG evaluation in both English and Chinese.
DOI: 10.48550/arXiv.2406.13213
This paper introduces a new method called Multi-Meta-RAG, which improves RAG for multi-hop queries using database filtering with LLM-extracted metadata.
My lady, I hope this information is helpful. If you have any further questions or need more details, please let me know.</t>
  </si>
  <si>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DOI: 10.31222/osf.io/smxe5 - Crossref is a source of open bibliographic metadata, with initiatives to promote the open availability of bibliographic metadata of scholarly publications.
My lady, I hope this information is helpful. If you have any further questions, please let me know.</t>
  </si>
  <si>
    <t>Summary: OpenAlex is a new, fully-open bibliographic database that has distinguished itself for its openness and extensive coverage.
DOI: 10.48550/arXiv.2508.18620
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
DOI: 10.48550/arXiv.2404.17663
OpenAlex is a superset of Scopus and can be a reliable alternative for some analyses, particularly at the country level. Despite this, issues of metadata accuracy and completeness show that additional research is needed to fully comprehend and address OpenAlex's limitations.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10.48550/ARXIV.2205.01833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t>
  </si>
  <si>
    <t>Summary: Web of Science (WoS) is a large multidisciplinary database of research outputs and citation indices that has been used for research and research evaluation for over 30 years. However, new competitors have emerged, such as OpenAlex, which has distinguished itself for its openness and extensive coverage.
DOI: 10.48550/arXiv.2508.18620 - This study aims to assess metadata quality in OpenAlex and WoS, focusing on document type, publication year, language, and number of authors. The research seeks to enhance awareness of data quality issues that could impact bibliometric research and evaluation outcomes.
DOI: 10.1007/s11192-015-1765-5 - This research compares the journal coverage of WoS and Scopus and finds that both databases share biases that favor Natural Sciences and Engineering as well as Biomedical Research to the detriment of Social Sciences and Arts and Humanities. English-language journals are also overrepresented.
DOI: 10.29173/cais1943 - This study assesses the metadata quality of works in OpenAlex and WoS, focusing on document type accuracy. It finds that over 4% of publications indexed in both databases are misclassified, with the vast majority of errors occurring in OpenAlex.
DOI: 10.48550/arXiv.2404.17663 - This analysis compares OpenAlex to Scopus and concludes that OpenAlex is a superset of Scopus and can be a reliable alternative for some analyses. However, issues of metadata accuracy and completeness show that additional research is needed to fully comprehend and address OpenAlex's limitations.
DOI: 10.1162/qss_a_00112 - This study presents a large-scale comparison of five multidisciplinary bibliographic data sources, including WoS, and discusses their strengths and weaknesses. It emphasizes the importance of combining comprehensive coverage with a flexible set of filters for making selections of the literature.
My lady, I hope this information helps you understand the strengths and weaknesses of WoS as a bibliometric database. If you have any further questions or would like more details, please don't hesitate to ask.</t>
  </si>
  <si>
    <t>Summary: Retrieval-augmented generation (RAG) is a method that enables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Metadata Retrieval-Augmented Generation method that can effectively search and answer questions with an open-domain Question Answering (ODQA) system for one or more documents.
DOI: 10.17821/srels/2024/v61i5/171583 - This study demonstrates that libraries can develop a low-cost conversational search system using open-source software tools and Large Language Models (LLMs) through a Retrieval-Augmented Generation (RAG) framework.
DOI: 10.48550/arXiv.2505.18247 - MetaGen Blended RAG is a novel enterprise search approach that enhances semantic retrievers through a metadata generation pipeline and hybrid query indexes using dense and sparse vectors.
DOI: 10.48550/arXiv.2502.15005 - This paper proposes a Retrieval Augmented Generation (RAG) agent that maps natural language queries about research topics to precise, machine-interpretable semantic entities.
My lady, I hope this information is helpful. If you have any further questions,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</si>
  <si>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create a universal standard for comparing scholarly impact across disciplines.
**DOI:** 10.1126/science.1176169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publications are fewer but often more cited over time.
2. **Citation Practices:** Some fields rely heavily on self-citations or citations to a small set of foundational papers, skewing metrics.
3. **Field-Specific Impact Factors:** Journals in certain fields have higher impact factors, which can artificially inflate citation counts for papers in those disciplines.
4. **Publication Rates:** Fields with higher publication rates may have more citations simply due to volume, not necessarily quality or impact.
To address these challenges, researchers often use field-normalized metrics like the **Field-Weighted Citation Impact (FWCI)** or **Citation Percentiles**, which compare a paper's citations to the average in its field. However, these methods still rely on accurate field categorization and robust citation databases.
If you'd like further details or a different perspective, my lady, please let me know!</t>
  </si>
  <si>
    <t>Summary: This work aims to identify classes of DOI mistakes by analysing the open bibliographic metadata available in Crossref, highlighting which publishers were responsible for such mistakes and how many of these incorrect DOIs could be corrected through automatic processes.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Is there anything else I can assist you with?</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</si>
  <si>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multi-hop queries.
DOI: 10.1016/j.caeai.2025.100417 - RAG enhances LLMs by retrieving relevant information from an external knowledge base and incorporating it into the LLM's generation process, improving factual accuracy and enabling dynamic knowledge updates.
DOI: 10.18653/v1/2024.eacl-demo.16 - RAG systems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bridging "little semantics" with "big semantics" to make complex academic taxonomies more accessible.
DOI: 10.3390/app14199103 - RAG mitigates limitations of LLMs by integrating their generative capabilities with the precision of real-time information retrieval, enabling automation of tasks like data extraction, summarization, and trend identification in systematic literature reviews.
DOI: 10.48550/arXiv.2406.13213 - A new method called Multi-Meta-RAG is introduced to improve RAG for multi-hop queries by using database filtering with LLM-extracted metadata to select relevant documents from various sources.
My lady, I hope this information is helpful. If you have any further questions or need more details, please let me know.</t>
  </si>
  <si>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
DOI: 10.1177/09610006241239080 - This study highlights the importance of metadata quality assessment and identifies commonly measured dimensions, but notes the lack of consensus on their definitions and measurements.
DOI: 10.1145/2964909 - This work presents an automated metadata quality assessment framework for Open Data portals, addressing the challenge of increasing data volume and the need for efficient quality evaluation.
DOI: 10.1109/ADL.1998.670425 - This study discusses the application of qualitative and quantitative content analysis techniques to assess metadata records, contributing to the development of criteria and procedures for metadata quality evaluation.
DOI: 10.5860/crl.86.1.101 - This research explores the cultural implications of metadata quality, consistency, and completeness, identifying unique issues and categories that reflect the interplay between metadata and communities.
My lady, I hope this response meets your requirements. If you have any further questions or need additional information, please let me know.</t>
  </si>
  <si>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document that addresses your question. The document discusses the challenges and potential solutions for improving metadata quality. It proposes a framework called MetaEnhance, which utilizes state-of-the-art artificial intelligence methods to improve the quality of metadata fields. The framework was evaluated on a benchmark containing 500 electronic theses and dissertations (ETDs), and achieved nearly perfect F1-scores in detecting errors and correcting errors.
If you would like to know more about this topic, please ask another question.</t>
  </si>
  <si>
    <t>Summary: Retrieval-Augmented Generation (RAG) systems face challenges such as hallucination, outdated knowledge, and non-transparent reasoning processes. However, advancements in RAG have led to improved accuracy, credibility, and continuous knowledge updates.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</si>
  <si>
    <t>Summary: Three studies examined the abstract in metadata.
DOI: 10.1177/09610006241239080 - The co-occurrence analysis is made on the title and abstract of selected articles using VOSviewer 1.6.18 version, visualization software.
DOI: 10.1162/qss_a_00286 - Seven characteristics were analyzed (abstract, access, bibliographic info, document type, publication date, language, and identifiers), to observe fields that describe this information, the completeness rate of these fields, and the agreement among databases.
DOI: 10.48550/arXiv.2508.18620 - This study aims to assess metadata quality in OpenAlex and WoS, focusing on document type, publication year, language, and number of authors.
My lady, I hope this information is helpful.</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</si>
  <si>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is a major source of scholarly data for publishers, authors, librarians, funders, and researchers.
DOI: 10.31222/osf.io/smxe5: Crossref is a source of open bibliographic metadata that contains six metadata elements: reference lists, abstracts, ORCIDs, author affiliations, funding information, and license information.
My lady, is there anything else I can help you with?</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</si>
  <si>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</si>
  <si>
    <t>Summary: There are several papers that address funding metadata, its availability, or its analysis in scholarly databases.
DOI: 10.1162/qss_a_00210 - This paper addresses the availability and completeness of open funder metadata, specifically for publications funded by the Dutch Research Council. It highlights the challenges in assessing the coverage of funder metadata and compares the completeness of funding metadata in Crossref with proprietary databases.
DOI: 10.1162/qss_a_00022 - While not exclusively focused on funding metadata, this paper discusses the scholarly metadata collected by Crossref, which includes funding information. It emphasizes the importance of Crossref's metadata in the scholarly research ecosystem.
DOI: 10.31222/osf.io/smxe5 - This paper presents an overview of the availability of metadata elements in Crossref, including funding information. It analyzes the improvements in metadata availability over time and highlights the need for publishers to enhance the openness of bibliographic metadata.
DOI: 10.1162/qss_a_00212 - Focusing on COVID-19 research funding, this paper examines the open availability of funding data in Crossref and compares it with proprietary bibliometric databases. It provides recommendations for improving the open availability of funding data.
DOI: 10.1162/qss_a_00286 - Although not exclusively about funding metadata, this study compares the completeness degree of publication metadata in eight free-access scholarly databases. It discusses the quality and completeness of metadata in these databases, which may include funding information.
My lady, I hope this information is helpful. If you have any further questions or need additional assistance, please let me know.</t>
  </si>
  <si>
    <t>Summary: Retrieval-Augmented Generation (RAG) is a promising solution to enhance the accuracy and credibility of the generation, particularly for knowledge-intensive tasks.
DOI: 10.1016/j.caeai.2025.100417
RAG is reviewed in the context of educational applications.
DOI: 10.48550/arXiv.2312.10997
RAG is reviewed in the context of large language models.
DOI: 10.1609/aaai.v38i16.29728
RAG is reviewed in the context of large language models.
DOI: 10.48550/arXiv.2406.13213
RAG is reviewed in the context of multi-hop queries.
DOI: 10.18653/v1/2024.eacl-demo.16
RAG is reviewed in the context of automated evaluation.
My lady, I hope this information is helpful.</t>
  </si>
  <si>
    <t>Summary: Crossref is a sustainable source of community-owned scholarly metadata that collects and makes available scholarly metadata.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Is there anything else I can assist you with?</t>
  </si>
  <si>
    <t>Summary: OpenAlex is a fully-open scientific knowledge graph (SKG) that contains metadata for 209M works, 2013M disambiguated authors, 124k venues, 109k institutions, and 65k Wikidata concepts.
DOI: 10.48550/ARXIV.2205.01833
OpenAlex is a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10.48550/arXiv.2508.18620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t>
  </si>
  <si>
    <t>Summary: The Web of Science (WoS) is a large multidisciplinary database of research outputs and citation indices that has been used for research and research evaluation for over 30 years.
DOI: 10.48550/arXiv.2508.18620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10.29173/cais1943
OpenAlex, launched in 2022, stands out for its openness and extensive coverage. While OpenAlex may reduce or eliminate barriers to accessing bibliometric data, one of the concerns that hinder its broader adoption for research and research evaluation is the quality of its metadata.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DOI: 10.1162/qss_a_00112
We present a large-scale comparison of five multidisciplinary bibliographic data sources: Scopus, Web of Science, Dimensions, Crossref, and Microsoft Academic. The comparison considers scientific documents from the period 2008–2017 covered by these data sources.
My lady, I hope this information is helpful.</t>
  </si>
  <si>
    <t>Summary: Retrieval-augmented generation (RAG) is a method that enables large language models (LLMs) to answer queries over previously unseen document collections.
DOI: 10.48550/arXiv.2406.13213 - Multi-Meta-RAG is a method that uses database filtering with LLM-extracted metadata to improve the RAG selection of relevant documents from various sources.
DOI: 10.6109/jkiice.2023.27.12.1489 - M-RAG is a method that utilizes embeddings with metadata and generative models to generate automated responses, improving the performance of open-domain question answering systems.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10.48550/arXiv.2505.18247 - MetaGen Blended RAG is a method that enhances semantic retrievers through a metadata generation pipeline and hybrid query indexes, achieving high retrieval accuracy and RAG accuracy on specialized domain datasets.
DOI: 10.48550/arXiv.2502.15005 - This paper proposes a RAG agent that maps natural language queries about research topics to precise, machine-interpretable semantic entities, bridging domain-specific knowledge organization systems with broad bibliometric repositories.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</si>
  <si>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directly comparing citation metrics without accounting for these field-specific differences.
**Additional Challenges:**
1. **Publication Culture:** Fields like biomedicine tend to produce more publications and citations compared to humanities or social sciences, skewing metrics.
2. **Citation Practices:** Some fields (e.g., mathematics) cite fewer references per paper, while others (e.g., physics) rely heavily on self-citations, complicating normalization efforts.
3. **Impact Factor Variability:** Journals in different fields have vastly different impact factors, making raw citation counts incomparable.
4. **Publication Rates:** Fields with faster publication cycles (e.g., computer science) may accumulate citations more quickly than slower-paced disciplines (e.g., ecology).
These challenges necessitate field-normalized metrics like the **Field-Weighted Citation Impact (FWCI)** or **Journal Normalized Citation Score** to ensure fair comparisons.
If you'd like further details or a different question, my lady, feel free to ask!</t>
  </si>
  <si>
    <t>Summary: The methodology presented in the article Identifying and correcting invalid citations due to DOI errors in Crossref data was evaluated.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My lady, is there anything else I can help you with?</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</si>
  <si>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My lady, I hope this information is helpful. If you have any further questions or need more details, please let me know.</t>
  </si>
  <si>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
DOI: 10.1177/09610006241239080: A scoping review identified commonly measured dimensions of metadata quality, but found no consensus on their exact definition and measurement, indicating a need for further investigation.
DOI: 10.1145/2964909: An automated quality assessment framework was developed for Open Data portals, treating data portals independently from portal software frameworks and defining several quality metrics that can be evaluated automatically.
DOI: 10.1109/ADL.1998.670425: A study on the US Government Information Locator Service (GILS) developed a set of criteria and procedures for an exploratory investigation into metadata quality, concluding that a range of criteria and procedures may be needed for evaluating different types of metadata.
DOI: 10.5860/crl.86.1.101: A review of 427 records identified unique issues related to metadata quality, consistency, and completeness, classifying them into categories to explain how metadata reflects cultural meanings.
My lady, I hope this response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</si>
  <si>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10.5860/crl.86.1.101 - Metadata serves discovery and access by providing contextual, technical, and administrative information in a standard form. However, metadata can also be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are concerns regarding the quality of data sources and corresponding metadata, which compromise searchability, discoverability, and usability. A generic metadata quality assessment framework is developed for various Open Data portals.
DOI: 10.1177/09610006241239080 - Assessing metadata quality is essential for data retrieval, search, organization, interoperability, preservation, and user experience. A scoping review identifies commonly measured dimensions of metadata quality, including completeness, accuracy, consistency, accessibility, conformance, provenance, and timeliness. However, there is no consensus on their exact definition and measurement, indicating a need for further investigation.
My lady, I hope this information is helpful. If you have any further questions or need more details, please let me know.</t>
  </si>
  <si>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the performance of LLMs in noise robustness, negative rejection, information integration, and counterfactual robustness.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would like more detailed information, please let me know.</t>
  </si>
  <si>
    <t>Summary: Two studies examined the abstract in metadata.
DOI: 10.1177/09610006241239080 - This study used the PRISMA model to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Using a quantitative approach, a random Crossref sample of more than 115,000 records was selected, which was then searched in seven databases. Seven characteristics were analyzed (abstract, access, bibliographic info, document type, publication date, language, and identifiers), to observe fields that describe this information, the completeness rate of these fields, and the agreement among databases.</t>
  </si>
  <si>
    <t>Summary: This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
My lady, I hope this information is helpful. If you have any further questions, please let me know.</t>
  </si>
  <si>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My lady, is there anything else I can help you with?</t>
  </si>
  <si>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helps.</t>
  </si>
  <si>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and other metadata elements in Crossref.
DOI: 10.1162/qss_a_00212 - This paper studies the open availability of funding data in Crossref, focusing on COVID-19 research, and compares it with proprietary bibliometric databases.
DOI: 10.1162/qss_a_00286 - While not directly focused on funding metadata, this paper compares the completeness of publication metadata, including funding information, in eight free-access scholarly databases.
My lady, these papers provide insights into the availability, completeness, and analysis of funding metadata in scholarly databases, highlighting the importance of open and high-quality metadata for research evaluation and funding agencies.</t>
  </si>
  <si>
    <t>Summary: Crossref is a major source of scholarly data for publishers, authors, librarians, funders, and researchers.
DOI: 10.1162/qss_a_00022
Crossref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If you have any further questions, please let me know.</t>
  </si>
  <si>
    <t>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and a competitor to established proprietary sources, such as the Web of Science and Scopus. However, as OpenAlex is a rapidly evolving source, the question naturally arises as to the trustworthiness of its data.
DOI: 10.48550/ARXIV.2205.01833 - OpenAlex is a fully-open scientific knowledge graph (SKG)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</si>
  <si>
    <t>Summary: Web of Science (WoS) is a multidisciplinary bibliographic database that has been a main supporting infrastructure for bibliometrics for over 30 years. However, it has limitations such as underrepresentation of certain disciplines and world regions, and metadata discrepancies.
DOI: 10.48550/arXiv.2508.18620 - This study compares the metadata quality of WoS and OpenAlex, focusing on document type, publication year, language, and number of authors. It finds that over 4% of publications indexed in both databases are misclassified, with 97% of errors occurring in OpenAlex.
DOI: 10.1007/s11192-015-1765-5 - This research compares the journal coverage of WoS and Scopus, finding that both databases favor Natural Sciences and Engineering, as well as Biomedical Research, while underrepresenting Social Sciences and Arts and Humanities. Additionally, English-language journals are overrepresented.
DOI: 10.29173/cais1943 - This study assesses the metadata quality of OpenAlex and WoS, focusing on document type accuracy. It finds that over 4% of publications indexed in both databases are misclassified, with 97% of errors occurring in OpenAlex.
DOI: 10.48550/arXiv.2404.17663 - This analysis compares OpenAlex to Scopus, concluding that OpenAlex is a superset of Scopus and can be a reliable alternative for some analyses. However, metadata accuracy and completeness issues require further research.
DOI: 10.1162/qss_a_00112 - This large-scale comparison of bibliographic data sources, including WoS, emphasizes the importance of comprehensive coverage and flexible filters for selecting literature.
My lady, I hope this information helps you understand the strengths and weaknesses of WoS as a bibliometric database. If you have any further questions or would like more details, please let me know.</t>
  </si>
  <si>
    <t>Summary: Retrieval-augmented generation (RAG) is a method that retrieves relevant information from an external knowledge source and allows large language models (LLMs) to answer queries over previously unseen document collections.
DOI: 10.48550/arXiv.2406.13213
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
DOI: 10.6109/jkiice.2023.27.12.1489
Metadata Retrieval-Augmented Generation (M-RAG) can effectively search and answer questions with an open-domain Question Answering (ODQA) system for one or more documents and compare their performance.
DOI: 10.17821/srels/2024/v61i5/171583
LLMs often hallucinate and provide outdated and non-contextualized responses. However, this experiment shows that LLMs can deliver contextualized, relevant responses when augmented with a set of relevant documents.
DOI: 10.48550/arXiv.2505.18247
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
DOI: 10.48550/arXiv.2502.15005
A Retrieval Augmented Generation (RAG) agent that maps natural language queries about research topics to precise, machine-interpretable semantic entities.
My lady, I hope this information is helpful. If you have any further questions,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</si>
  <si>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influenced by field-specific practices rather than the intrinsic quality of the research alone. The study underscores the difficulty of creating a one-size-fits-all metric for comparing scholarly impact across disciplines.
**Additional Context:** Other challenges include:  
1. **Citation Density:** Fields like physics and biology have higher citation rates compared to humanities and social sciences, making direct comparisons unfair.  
2. **Publication Lag:** Some fields, such as clinical medicine, have longer publication cycles, affecting citation accumulation over time.  
3. **Journal Prestige:** Impact factors of journals vary widely across fields, skewing citation metrics.  
4. **Data Availability:** Not all fields have standardized databases or citation tracking systems, limiting normalization efforts.  
These factors collectively hinder the development of a unified citation metric that can be fairly applied across all scientific disciplines.</t>
  </si>
  <si>
    <t>Summary: DOI errors in Crossref data can be detected and corrected using regular expressions.
DOI: 10.1007/s11192-022-04367-w: This study identifies classes of DOI mistakes in Crossref data by analyzing open bibliographic metadata, highlighting responsible publishers, and correcting invalid DOIs through automatic processes. It uses a list of invalid cited DOIs from OpenCitations, tracks their validity, and identifies patterns of factual errors. The research extends the taxonomy of DOI name errors and defines more elaborated regular expressions for cleaning mistakes in invalid DOIs. The DOI cleaning mechanism can be integrated into existing processes to automatically correct wrong DOIs.
My lady, I hope this information is helpful. If you have any further questions or need additional assistance, please let me know.</t>
  </si>
  <si>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</si>
  <si>
    <t>Summary: Metadata quality assessment is a critical area of research, with completeness, accuracy, consistency, accessibility, conformance, provenance, and timeliness being commonly used dimensions. However, there is no consensus on their exact definition and measurement, indicating a need for further investigation.
DOI: 10.1177/09610006241239080 - This study investigates the most commonly measured dimensions of metadata quality in existing studies on metadata quality assessment. It found that completeness, accuracy, consistency, accessibility, conformance, provenance, and timeliness are commonly used dimensions, but there is no consensus on their exact definition and measurement.
DOI: 10.1145/2964909 - This work aims to develop a generic metadata quality assessment framework for various Open Data portals. It defines several quality metrics that can be evaluated automatically and efficiently.
DOI: 10.5860/crl.86.1.101 - This study seeks to understand how metadata quality, consistency, and completeness impact individuals and communities. It identified 32 unique issues and classified them into 5 categories to better explain how metadata and communities interact.
My lady, I hope this response meets your requirements. If you have any further questions or need more information, please let me know.</t>
  </si>
  <si>
    <t>Summary: Metadata quality is crucial for digital objects to be discovered through digital library interfaces. However, metadata of digital objects often exhibits incomplete, inconsistent, and incorrect values.
DOI: 10.48550/arXiv.2303.17661
My lady, I have provided a summary of the key challenges and potential solutions for improving metadata quality.</t>
  </si>
  <si>
    <t>Summary: Retrieval-Augmented Generation (RAG) systems face challenges such as hallucination, outdated knowledge, and non-transparent reasoning processes. However, advancements in RAG have led to improved accuracy, credibility, and the ability to continuously update knowledge.
DOI: 10.48550/arXiv.2312.10997 - This paper provides a comprehensive review of RAG paradigms, including Naive RAG, Advanced RAG, and Modular RAG. It highlights the tripartite foundation of RAG frameworks, which consists of retrieval, generation, and augmentation techniques. The paper also introduces an up-to-date evaluation framework and benchmark for RAG systems.
DOI: 10.1016/j.caeai.2025.100417 - This paper focuses on the application of RAG in educational settings and discusses challenges such as mitigating hallucinations, ensuring completeness and timeliness of retrieved knowledge, and reducing computational costs.
DOI: 10.18653/v1/2024.eacl-demo.16 - This paper introduces RAGAs, a framework for reference-free evaluation of RAG pipelines. It addresses the challenge of evaluating RAG architectures by introducing a suite of metrics that can assess different dimensions of RAG systems.
DOI: 10.1609/aaai.v38i16.29728 - This paper establishes the Retrieval-Augmented Generation Benchmark (RGB), a new corpus for evaluating RAG systems in English and Chinese. It reveals that LLMs still struggle with negative rejection, information integration, and dealing with false information.
DOI: 10.1145/3637528.3671470 - This survey paper reviews existing research studies in Retrieval-Augmented Large Language Models (RA-LLMs) and discusses current limitations and promising directions for future research.
My lady, I hope this summary meets your requirements. If you have any further questions or need more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</si>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</sst>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s>
  <fills count="4">
    <fill>
      <patternFill patternType="none"/>
    </fill>
    <fill>
      <patternFill patternType="gray125"/>
    </fill>
    <fill>
      <patternFill patternType="solid">
        <fgColor rgb="FFFF0000"/>
        <bgColor indexed="64"/>
      </patternFill>
    </fill>
    <fill>
      <patternFill patternType="solid">
        <fgColor rgb="FFF3F3F3"/>
        <bgColor rgb="FFF3F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3" fillId="0" borderId="0" xfId="1" applyFont="1" applyAlignment="1">
      <alignment horizontal="left" vertical="top"/>
    </xf>
    <xf numFmtId="0" fontId="0" fillId="0" borderId="0" xfId="0" applyNumberFormat="1"/>
  </cellXfs>
  <cellStyles count="2">
    <cellStyle name="Normal" xfId="0" builtinId="0"/>
    <cellStyle name="Normal 2" xfId="1" xr:uid="{478220DC-C485-DD46-89E9-F7F95DF5EFF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7.454140856484" createdVersion="8" refreshedVersion="8" minRefreshableVersion="3" recordCount="80" xr:uid="{FEB34649-4C8D-7D40-A0DA-AFD74127ED15}">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77/09610006241239080 - A scoping review that used the PRISMA model to evaluate 55 studies on metadata quality assessment. The co-occurrence analysis was made on the title and abstract of selected articles using VOSviewer 1.6.18 version, visualization software._x000a__x000a_DOI: 10.1162/qss_a_00286 - A study that compared the amount of metadata and the completeness degree of research publications in new academic databases. Seven characteristics were analyzed (abstract, access, bibliographic info, document type, publication date, language, and identifiers)._x000a__x000a_My lady, I hope this information is helpful."/>
    <n v="1"/>
    <x v="0"/>
    <x v="0"/>
    <n v="0"/>
  </r>
  <r>
    <s v="['which studies examined the abstract in metadata?']"/>
    <s v="Summary: The study examines the title and abstract of selected articles using VOSviewer 1.6.18 version, visualization software._x000a_DOI: 10.1177/09610006241239080_x000a__x000a_Is there anything else I can help you with, my lady?"/>
    <n v="1"/>
    <x v="0"/>
    <x v="0"/>
    <n v="0"/>
  </r>
  <r>
    <s v="['which studies examined the abstract in metadata?']"/>
    <s v="Summary: The study examines the abstract in metadata and investigates the types of documents used to communicate findings._x000a__x000a_DOI: 10.1177/09610006241239080_x000a__x000a_The study investigates the types of documents used to communicate findings and examines the abstract in metadata._x000a__x000a_My lady, is there anything else I can help you with?"/>
    <n v="1"/>
    <x v="0"/>
    <x v="0"/>
    <n v="0"/>
  </r>
  <r>
    <s v="['which studies examined the abstract in metadata?']"/>
    <s v="Summary: Three studies examined the abstract in metadata._x000a__x000a_DOI: 10.1177/09610006241239080 - The co-occurrence analysis is made on the title and abstract of selected articles using VOSviewer 1.6.18 version, visualization software._x000a__x000a_DOI: 10.1162/qss_a_00286 - Seven characteristics were analyzed (abstract, access, bibliographic info, document type, publication date, language, and identifiers), to observe fields that describe this information, the completeness rate of these fields, and the agreement among databases._x000a__x000a_DOI: 10.48550/arXiv.2508.18620 - This study aims to assess metadata quality in OpenAlex and WoS, focusing on document type, publication year, language, and number of authors._x000a__x000a_My lady, I hope this information is helpful."/>
    <n v="1"/>
    <x v="0"/>
    <x v="0"/>
    <n v="0"/>
  </r>
  <r>
    <s v="['which studies examined the abstract in metadata?']"/>
    <s v="Summary: Two studies examined the abstract in metadata._x000a__x000a_DOI: 10.1177/09610006241239080 - This study used the PRISMA model to evaluate 55 studies on metadata quality assessment. The co-occurrence analysis was made on the title and abstract of selected articles using VOSviewer 1.6.18 version, visualization software._x000a__x000a_DOI: 10.1162/qss_a_00286 - This study compared the amount of metadata and the completeness degree of research publications in new academic databases. Using a quantitative approach, a random Crossref sample of more than 115,000 records was selected, which was then searched in seven databases. Seven characteristics were analyzed (abstract, access, bibliographic info, document type, publication date, language, and identifiers), to observe fields that describe this information, the completeness rate of these fields, and the agreement among databases."/>
    <n v="1"/>
    <x v="0"/>
    <x v="0"/>
    <n v="0"/>
  </r>
  <r>
    <s v="['which studies examined citations?']"/>
    <s v="Summary: A study examined citing and referencing habits across all scholarly disciplines._x000a_DOI: 10.1108/JD-10-2022-0234_x000a__x000a_This study analysed reference elements from 729 articles published in 147 journals across 27 subject areas. It found that bibliographic errors have been perpetuated for decades and that their possible causes have increased, despite the encouraged use of technological facilities._x000a__x000a_My lady, is there anything else I can help you with?"/>
    <n v="1"/>
    <x v="0"/>
    <x v="0"/>
    <n v="0"/>
  </r>
  <r>
    <s v="['which studies examined citations?']"/>
    <s v="Summary: A study by Sweetland in 1989 and another study with the DOI 10.1108/JD-10-2022-0234 both examined citing and referencing habits across scholarly disciplines._x000a__x000a_DOI: 10.1108/JD-10-2022-0234_x000a_This study analysed bibliographic references, mentions, quotations and respective in-text reference pointers from 729 articles published in 147 journals across 27 subject areas. The analysis found that bibliographic errors have been perpetuated for decades and that their possible causes have increased, despite the encouraged use of technological facilities, i.e. the reference managers._x000a__x000a_Is there anything else I can help you with, my lady?"/>
    <n v="1"/>
    <x v="0"/>
    <x v="0"/>
    <n v="0"/>
  </r>
  <r>
    <s v="['which studies examined citations?']"/>
    <s v="Summary: This study examined citing and referencing habits across all scholarly disciplines._x000a_DOI: 10.1108/JD-10-2022-0234"/>
    <n v="1"/>
    <x v="0"/>
    <x v="0"/>
    <n v="0"/>
  </r>
  <r>
    <s v="['which studies examined citations?']"/>
    <s v="Summary: This study examined citing and referencing habits across all scholarly disciplines._x000a_DOI: 10.1108/JD-10-2022-0234"/>
    <n v="1"/>
    <x v="0"/>
    <x v="0"/>
    <n v="0"/>
  </r>
  <r>
    <s v="['which studies examined citations?']"/>
    <s v="Summary: This study examined citing and referencing habits across all scholarly disciplines._x000a_DOI: 10.1108/JD-10-2022-0234_x000a__x000a_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_x000a__x000a_My lady, I hope this information is helpful. If you have any further questions, please let me know."/>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My lady, is there anything else I can help you with?"/>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My lady, I hope this information is helpful."/>
    <n v="1"/>
    <x v="0"/>
    <x v="0"/>
    <n v="0"/>
  </r>
  <r>
    <s v="['Which papers evaluate the linguistic coverage or language-related metadata in scholarly databases?']"/>
    <s v="Summary: The paper with DOI 10.48550/arXiv.2409.10633 evaluates the linguistic coverage of OpenAlex, comparing it with Web of Science (WoS) and conducting a manual validation of a sample of articles. It highlights OpenAlex's more balanced linguistic coverage but notes inaccuracies in language metadata._x000a__x000a_DOI: 10.48550/arXiv.2409.10633 - This paper assesses the completeness and accuracy of OpenAlex's language-related metadata, comparing it with WoS and manually validating a sample of 6,836 articles. It finds that OpenAlex has a more balanced linguistic coverage than WoS but overestimates the use of English due to metadata inaccuracies._x000a__x000a_My lady, I hope this information is helpful. If you have any further questions or need more details, please let me know."/>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1162/qss_a_00286 compares the amount of metadata and the completeness degree of research publications in new academic databases._x000a__x000a_Can I help you with anything else, my lady?"/>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_x000a__x000a_DOI: 10.1162/qss_a_00286 compares the amount of metadata and the completeness degree of research publications in new academic databases._x000a__x000a_My lady, I hope this helps."/>
    <n v="1"/>
    <x v="0"/>
    <x v="0"/>
    <n v="0"/>
  </r>
  <r>
    <s v="['Which papers discuss the use of Retrieval-Augmented Generation (RAG) when used in applications?']"/>
    <s v="Summary: I have found four papers that discuss the use of Retrieval-Augmented Generation (RAG) when used in applications._x000a__x000a_DOI: 10.1016/j.caeai.2025.100417_x000a_This paper discusses the use of RAG in educational applications. It covers interactive learning systems, generation and assessment of educational content, and large-scale deployment in educational ecosystems._x000a__x000a_DOI: 10.48550/arXiv.2312.10997_x000a_This paper provides a comprehensive review of the progression of RAG paradigms, including Naive RAG, Advanced RAG, and Modular RAG. It also introduces an up-to-date evaluation framework and benchmark._x000a__x000a_DOI: 10.1609/aaai.v38i16.29728_x000a_This paper systematically investigates the impact of RAG on large language models, analyzing their performance in noise robustness, negative rejection, information integration, and counterfactual robustness._x000a__x000a_DOI: 10.48550/arXiv.2406.13213_x000a_This paper introduces a new method called Multi-Meta-RAG, which improves RAG for multi-hop queries using database filtering with LLM-extracted metadata._x000a__x000a_My lady, I hope this information is helpful. If you have any further questions or need more details, please let me know."/>
    <n v="1"/>
    <x v="0"/>
    <x v="0"/>
    <n v="0"/>
  </r>
  <r>
    <s v="['Which papers discuss the use of Retrieval-Augmented Generation (RAG) when used in applications?']"/>
    <s v="Summary: Retrieval-Augmented Generation (RAG) is a promising approach for mitigating the hallucination of large language models (LLMs)._x000a__x000a_DOI: 10.1016/j.caeai.2025.100417_x000a_Retrieval-Augmented Generation for educational application: A systematic survey_x000a_RAG is used in interactive learning systems, generation and assessment of educational content, and large-scale deployment in educational ecosystems._x000a__x000a_DOI: 10.48550/arXiv.2312.10997_x000a_Retrieval-Augmented Generation for Large Language Models: A Survey_x000a_RAG is used to enhance the accuracy and credibility of generation, particularly for knowledge-intensive tasks, and allows for continuous knowledge updates and integration of domain-specific information._x000a__x000a_DOI: 10.1609/aaai.v38i16.29728_x000a_Benchmarking Large Language Models in Retrieval-Augmented Generation_x000a_RAG is used to evaluate the performance of different large language models in 4 fundamental abilities required for RAG, including noise robustness, negative rejection, information integration, and counterfactual robustness._x000a__x000a_DOI: 10.48550/arXiv.2406.13213_x000a_Multi-Meta-RAG: Improving RAG for Multi-Hop Queries using Database Filtering with LLM-Extracted Metadata_x000a_RAG is used to answer queries over previously unseen document collections._x000a__x000a_DOI: 10.18653/v1/2024.eacl-demo.16_x000a_RAGAs: Automated Evaluation of Retrieval Augmented Generation_x000a_RAG is used to provide LLMs with knowledge from a reference textual database, enabling them to act as a natural language layer between a user and textual databases, thus reducing the risk of hallucinations."/>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al applications, including interactive learning systems, generation and assessment of educational content, and large-scale deployment in educational ecosystems._x000a__x000a_DOI: 10.48550/arXiv.2312.10997_x000a_This paper provides a comprehensive review of the progression of RAG paradigms, including its use in knowledge-intensive tasks and continuous knowledge updates._x000a__x000a_DOI: 10.1609/aaai.v38i16.29728_x000a_This paper investigates the impact of RAG on large language models and establishes a new corpus for RAG evaluation in both English and Chinese._x000a__x000a_DOI: 10.48550/arXiv.2406.13213_x000a_This paper introduces a new method called Multi-Meta-RAG, which improves RAG for multi-hop queries using database filtering with LLM-extracted metadata._x000a__x000a_My lady, I hope this information is helpful. If you have any further questions or need more details, please let me know."/>
    <n v="1"/>
    <x v="0"/>
    <x v="0"/>
    <n v="0"/>
  </r>
  <r>
    <s v="['Which papers discuss the use of Retrieval-Augmented Generation (RAG) when used in applications?']"/>
    <s v="Summary: Retrieval-Augmented Generation (RAG) is a promising solution to enhance the accuracy and credibility of the generation, particularly for knowledge-intensive tasks._x000a__x000a_DOI: 10.1016/j.caeai.2025.100417_x000a_RAG is reviewed in the context of educational applications._x000a__x000a_DOI: 10.48550/arXiv.2312.10997_x000a_RAG is reviewed in the context of large language models._x000a__x000a_DOI: 10.1609/aaai.v38i16.29728_x000a_RAG is reviewed in the context of large language models._x000a__x000a_DOI: 10.48550/arXiv.2406.13213_x000a_RAG is reviewed in the context of multi-hop queries._x000a__x000a_DOI: 10.18653/v1/2024.eacl-demo.16_x000a_RAG is reviewed in the context of automated evaluation._x000a__x000a_My lady, I hope this information is helpful."/>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al applications, including interactive learning systems, generation and assessment of educational content, and large-scale deployment in educational ecosystems._x000a__x000a_DOI: 10.48550/arXiv.2312.10997_x000a_This paper provides a comprehensive review of the progression of RAG paradigms, including its use in knowledge-intensive tasks and continuous knowledge updates._x000a__x000a_DOI: 10.1609/aaai.v38i16.29728_x000a_This paper investigates the impact of RAG on large language models and establishes a new corpus for RAG evaluation in both English and Chinese._x000a__x000a_DOI: 10.48550/arXiv.2406.13213_x000a_This paper introduces a new method called Multi-Meta-RAG, which improves RAG for multi-hop queries using database filtering with LLM-extracted metadata._x000a__x000a_My lady, I hope this information is helpful. If you have any further questions or need more details, please let me know."/>
    <n v="1"/>
    <x v="0"/>
    <x v="0"/>
    <n v="0"/>
  </r>
  <r>
    <s v="['Which papers address funding metadata, its availability, or its analysis in scholarly databases?']"/>
    <s v="Summary: There are several papers that address funding metadata, its availability, or its analysis in scholarly databases._x000a__x000a_DOI: 10.1162/qss_a_00210 - This paper looks at the availability and completeness of open funder metadata, specifically for publications funded by the Dutch Research Council._x000a__x000a_DOI: 10.1162/qss_a_00022 - This paper describes the scholarly metadata collected and made available by Crossref, including funding information._x000a__x000a_DOI: 10.31222/osf.io/smxe5 - This paper presents an overview of the availability of metadata elements in Crossref, including funding information._x000a__x000a_DOI: 10.1162/qss_a_00212 - This paper studies the open availability of funding data in Crossref, focusing on funding data for publications related to COVID-19._x000a__x000a_DOI: 10.1162/qss_a_00286 - Although this paper does not specifically address funding metadata, it compares the completeness degree of publication metadata in eight free-access scholarly databases, which may include funding information._x000a__x000a_My lady, I hope this information is helpful. If you have any further questions or need more details, please let me know."/>
    <n v="1"/>
    <x v="0"/>
    <x v="0"/>
    <n v="0"/>
  </r>
  <r>
    <s v="['Which papers address funding metadata, its availability, or its analysis in scholarly databases?']"/>
    <s v="Summary: Four of the papers address funding metadata, its availability, or its analysis in scholarly databases._x000a__x000a_DOI: 10.1162/qss_a_00210 - This paper analyses the availability and completeness of open funder metadata, specifically for publications funded by the Dutch Research Council._x000a__x000a_DOI: 10.31222/osf.io/smxe5 - This paper presents an overview of the availability of six metadata elements in Crossref, including funding information._x000a__x000a_DOI: 10.1162/qss_a_00212 - This paper studies the open availability of funding data in Crossref, focusing on funding data for publications that report research related to COVID-19._x000a__x000a_DOI: 10.1162/qss_a_00286 - This paper compares the amount of metadata and the completeness degree of research publications in eight free-access scholarly databases, including funding information._x000a__x000a_My lady, I hope this information is helpful. If you have any further questions, please let me know."/>
    <n v="1"/>
    <x v="0"/>
    <x v="0"/>
    <n v="0"/>
  </r>
  <r>
    <s v="['Which papers address funding metadata, its availability, or its analysis in scholarly databases?']"/>
    <s v="Summary: There are several papers that address funding metadata, its availability, or its analysis in scholarly databases._x000a__x000a_DOI: 10.1162/qss_a_00210 - This paper discusses the availability and completeness of open funder metadata, specifically for publications funded by the Dutch Research Council._x000a__x000a_DOI: 10.1162/qss_a_00022 - This paper describes the scholarly metadata collected and made available by Crossref, including funding information, and its importance in the scholarly research ecosystem._x000a__x000a_DOI: 10.31222/osf.io/smxe5 - This paper presents an overview of the availability of funding information and other metadata elements in Crossref, highlighting improvements and areas for further efforts._x000a__x000a_DOI: 10.1162/qss_a_00212 - This paper analyzes the open availability of funding data in Crossref for COVID-19 research publications and compares it with proprietary bibliometric databases, offering recommendations for improvement._x000a__x000a_DOI: 10.1162/qss_a_00286 - While not directly focused on funding metadata, this paper compares the completeness of publication metadata, including funding information, in eight free-access scholarly databases._x000a__x000a_My lady, I hope this information is helpful. If you have any further questions or need more details, please let me know."/>
    <n v="1"/>
    <x v="0"/>
    <x v="0"/>
    <n v="0"/>
  </r>
  <r>
    <s v="['Which papers address funding metadata, its availability, or its analysis in scholarly databases?']"/>
    <s v="Summary: There are several papers that address funding metadata, its availability, or its analysis in scholarly databases._x000a__x000a_DOI: 10.1162/qss_a_00210 - This paper addresses the availability and completeness of open funder metadata, specifically for publications funded by the Dutch Research Council. It highlights the challenges in assessing the coverage of funder metadata and compares the completeness of funding metadata in Crossref with proprietary databases._x000a__x000a_DOI: 10.1162/qss_a_00022 - While not exclusively focused on funding metadata, this paper discusses the scholarly metadata collected by Crossref, which includes funding information. It emphasizes the importance of Crossref's metadata in the scholarly research ecosystem._x000a__x000a_DOI: 10.31222/osf.io/smxe5 - This paper presents an overview of the availability of metadata elements in Crossref, including funding information. It analyzes the improvements in metadata availability over time and highlights the need for publishers to enhance the openness of bibliographic metadata._x000a__x000a_DOI: 10.1162/qss_a_00212 - Focusing on COVID-19 research funding, this paper examines the open availability of funding data in Crossref and compares it with proprietary bibliometric databases. It provides recommendations for improving the open availability of funding data._x000a__x000a_DOI: 10.1162/qss_a_00286 - Although not exclusively about funding metadata, this study compares the completeness degree of publication metadata in eight free-access scholarly databases. It discusses the quality and completeness of metadata in these databases, which may include funding information._x000a__x000a_My lady, I hope this information is helpful. If you have any further questions or need additional assistance,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 - This paper looks at the availability and completeness of open funder metadata, specifically for publications funded by the Dutch Research Council._x000a__x000a_DOI: 10.1162/qss_a_00022 - This paper describes the scholarly metadata collected and made available by Crossref, including funding information._x000a__x000a_DOI: 10.31222/osf.io/smxe5 - This paper presents an overview of the availability of funding information and other metadata elements in Crossref._x000a__x000a_DOI: 10.1162/qss_a_00212 - This paper studies the open availability of funding data in Crossref, focusing on COVID-19 research, and compares it with proprietary bibliometric databases._x000a__x000a_DOI: 10.1162/qss_a_00286 - While not directly focused on funding metadata, this paper compares the completeness of publication metadata, including funding information, in eight free-access scholarly databases._x000a__x000a_My lady, these papers provide insights into the availability, completeness, and analysis of funding metadata in scholarly databases, highlighting the importance of open and high-quality metadata for research evaluation and funding agencies."/>
    <n v="1"/>
    <x v="0"/>
    <x v="0"/>
    <n v="0"/>
  </r>
  <r>
    <s v="['What methods are used to detect and correct errors in bibliographic datasets?']"/>
    <s v="Summary: DOI errors in Crossref data can be detected and corrected using regular expressions._x000a__x000a_DOI: 10.1007/s11192-022-04367-w identifies classes of DOI mistakes by analysing the open bibliographic metadata available in Crossref. It retrieved the citations in the January 2021 Crossref dump to such invalid DOIs. It processed these citations by keeping track of their validity and the publishers responsible for uploading the related citation data in Crossref. It identified patterns of factual errors in the invalid DOIs and the regular expressions needed to catch and correct them._x000a__x000a_DOI: 10.5281/ZENODO.6188748 contains the results of the evaluation of the methodology presented in the article Identifying and correcting invalid citations due to DOI errors in Crossref data. It contains 193 randomly selected citations from the corrected citations obtained by the process described in the article._x000a__x000a_Is there anything else I can help you with, my lady?"/>
    <n v="1"/>
    <x v="0"/>
    <x v="0"/>
    <n v="0"/>
  </r>
  <r>
    <s v="['What methods are used to detect and correct errors in bibliographic datasets?']"/>
    <s v="Summary: Two studies have been conducted to identify and correct invalid citations due to DOI errors in Crossref data._x000a__x000a_DOI: 10.1007/s11192-022-04367-w - This study aims to identify classes of DOI mistakes by analysing the open bibliographic metadata available in Crossref. By using a list of invalid cited DOIs gathered by OpenCitations while processing the OpenCitations Index of Crossref open DOI-to-DOI citations (COCI) in the past two years, the authors retrieved the citations in the January 2021 Crossref dump to such invalid DOI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Is there anything else I can help you with, my lady?"/>
    <n v="1"/>
    <x v="0"/>
    <x v="0"/>
    <n v="0"/>
  </r>
  <r>
    <s v="['What methods are used to detect and correct errors in bibliographic datasets?']"/>
    <s v="Summary: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My lady, I hope this information is helpful. Is there anything else I can assist you with?"/>
    <n v="1"/>
    <x v="0"/>
    <x v="0"/>
    <n v="0"/>
  </r>
  <r>
    <s v="['What methods are used to detect and correct errors in bibliographic datasets?']"/>
    <s v="Summary: The methodology presented in the article Identifying and correcting invalid citations due to DOI errors in Crossref data was evaluated.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My lady, is there anything else I can help you with?"/>
    <n v="1"/>
    <x v="0"/>
    <x v="0"/>
    <n v="0"/>
  </r>
  <r>
    <s v="['What methods are used to detect and correct errors in bibliographic datasets?']"/>
    <s v="Summary: DOI errors in Crossref data can be detected and corrected using regular expressions._x000a__x000a_DOI: 10.1007/s11192-022-04367-w: This study identifies classes of DOI mistakes in Crossref data by analyzing open bibliographic metadata, highlighting responsible publishers, and correcting invalid DOIs through automatic processes. It uses a list of invalid cited DOIs from OpenCitations, tracks their validity, and identifies patterns of factual errors. The research extends the taxonomy of DOI name errors and defines more elaborated regular expressions for cleaning mistakes in invalid DOIs. The DOI cleaning mechanism can be integrated into existing processes to automatically correct wrong DOIs._x000a__x000a_My lady, I hope this information is helpful. If you have any further questions or need additional assistance, please let me know."/>
    <n v="1"/>
    <x v="0"/>
    <x v="0"/>
    <n v="0"/>
  </r>
  <r>
    <s v="['What is Crossref’s role in the scholarly research ecosystem?']"/>
    <s v="Summary: Crossref is a sustainable source of community-owned scholarly metadata that collects and makes available scholarly metadata._x000a__x000a_DOI: 10.1162/qss_a_00022_x000a_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What is Crossref’s role in the scholarly research ecosystem?']"/>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 containing over 106 million records and expanding at an average rate of 11% a year._x000a__x000a_DOI: 10.31222/osf.io/smxe5 - Crossref is a source of open bibliographic metadata, with initiatives to promote the open availability of bibliographic metadata of scholarly publications._x000a__x000a_My lady, I hope this information is helpful. If you have any further questions, please let me know."/>
    <n v="1"/>
    <x v="0"/>
    <x v="0"/>
    <n v="0"/>
  </r>
  <r>
    <s v="['What is Crossref’s role in the scholarly research ecosystem?']"/>
    <s v="Summary: Crossref is a sustainable source of community-owned scholarly metadata that collects and makes available scholarly metadata._x000a__x000a_DOI: 10.1162/qss_a_00022_x000a__x000a_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 hope this information is helpful. Is there anything else I can assist you with?"/>
    <n v="1"/>
    <x v="0"/>
    <x v="0"/>
    <n v="0"/>
  </r>
  <r>
    <s v="['What is Crossref’s role in the scholarly research ecosystem?']"/>
    <s v="Summary: Crossref is a major source of scholarly data for publishers, authors, librarians, funders, and researchers._x000a__x000a_DOI: 10.1162/qss_a_00022_x000a__x000a_Crossref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 hope this information is helpful. If you have any further questions, please let me know."/>
    <n v="1"/>
    <x v="0"/>
    <x v="0"/>
    <n v="0"/>
  </r>
  <r>
    <s v="['What are the strengths and weaknesses of Web of Science (WoS) as a bibliometric database?']"/>
    <s v="Summary: Web of Science (WoS) is a multidisciplinary bibliographic database that has been a main supporting infrastructure for bibliometrics for over 30 years. However, it has limitations, including biases towards certain fields and languages, and metadata quality issues._x000a__x000a_DOI: 10.1007/s11192-015-1765-5 - This study compares the journal coverage of WoS and Scopus and finds that both databases have biases favouring Natural Sciences, Engineering, and Biomedical Research, while underrepresenting Social Sciences, Arts, and Humanities. English-language journals are also overrepresented._x000a__x000a_DOI: 10.48550/arXiv.2404.17663 - This analysis highlights that WoS, like Scopus, systematically underrepresents certain disciplines and world regions._x000a__x000a_DOI: 10.48550/arXiv.2508.18620 - This research assesses metadata quality in WoS and OpenAlex, focusing on document type, publication year, language, and author count. It finds discrepancies and misattributions in metadata that could impact bibliometric research._x000a__x000a_DOI: 10.29173/cais1943 - This study investigates document type discrepancies between OpenAlex and WoS, finding that over 4% of publications are misclassified, with most errors occurring in OpenAlex._x000a__x000a_My lady, I hope this information is helpful. If you have any further questions or would like more details, please let me know."/>
    <n v="1"/>
    <x v="0"/>
    <x v="0"/>
    <n v="0"/>
  </r>
  <r>
    <s v="['What are the strengths and weaknesses of Web of Science (WoS) as a bibliometric database?']"/>
    <s v="Summary: The Web of Science (WoS) is a traditional bibliometric database that has been the foundation for research in the science of science for over 30 years. However, it has been noted that WoS systematically underrepresents certain disciplines and world regions._x000a__x000a_DOI: 10.48550/arXiv.2404.17663_x000a__x000a_My lady, I am unable to provide a comprehensive list of strengths and weaknesses of WoS as a bibliometric database, as the provided documents do not contain sufficient information to address your request. However, I can provide a summary of the key points mentioned in the documents._x000a__x000a_Would you like me to elaborate on any specific aspect of WoS or provide information on alternative bibliometric databases?"/>
    <n v="1"/>
    <x v="0"/>
    <x v="0"/>
    <n v="0"/>
  </r>
  <r>
    <s v="['What are the strengths and weaknesses of Web of Science (WoS) as a bibliometric database?']"/>
    <s v="Summary: Web of Science (WoS) is a large multidisciplinary database of research outputs and citation indices that has been used for research and research evaluation for over 30 years. However, new competitors have emerged, such as OpenAlex, which has distinguished itself for its openness and extensive coverage._x000a__x000a_DOI: 10.48550/arXiv.2508.18620 - This study aims to assess metadata quality in OpenAlex and WoS, focusing on document type, publication year, language, and number of authors. The research seeks to enhance awareness of data quality issues that could impact bibliometric research and evaluation outcomes._x000a__x000a_DOI: 10.1007/s11192-015-1765-5 - This research compares the journal coverage of WoS and Scopus and finds that both databases share biases that favor Natural Sciences and Engineering as well as Biomedical Research to the detriment of Social Sciences and Arts and Humanities. English-language journals are also overrepresented._x000a__x000a_DOI: 10.29173/cais1943 - This study assesses the metadata quality of works in OpenAlex and WoS, focusing on document type accuracy. It finds that over 4% of publications indexed in both databases are misclassified, with the vast majority of errors occurring in OpenAlex._x000a__x000a_DOI: 10.48550/arXiv.2404.17663 - This analysis compares OpenAlex to Scopus and concludes that OpenAlex is a superset of Scopus and can be a reliable alternative for some analyses. However, issues of metadata accuracy and completeness show that additional research is needed to fully comprehend and address OpenAlex's limitations._x000a__x000a_DOI: 10.1162/qss_a_00112 - This study presents a large-scale comparison of five multidisciplinary bibliographic data sources, including WoS, and discusses their strengths and weaknesses. It emphasizes the importance of combining comprehensive coverage with a flexible set of filters for making selections of the literature._x000a__x000a_My lady, I hope this information helps you understand the strengths and weaknesses of WoS as a bibliometric database. If you have any further questions or would like more details, please don't hesitate to ask."/>
    <n v="1"/>
    <x v="0"/>
    <x v="0"/>
    <n v="0"/>
  </r>
  <r>
    <s v="['What are the strengths and weaknesses of Web of Science (WoS) as a bibliometric database?']"/>
    <s v="Summary: The Web of Science (WoS) is a large multidisciplinary database of research outputs and citation indices that has been used for research and research evaluation for over 30 years._x000a__x000a_DOI: 10.48550/arXiv.2508.18620_x000a_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_x000a__x000a_DOI: 10.1007/s11192-015-1765-5_x000a_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_x000a__x000a_DOI: 10.29173/cais1943_x000a_OpenAlex, launched in 2022, stands out for its openness and extensive coverage. While OpenAlex may reduce or eliminate barriers to accessing bibliometric data, one of the concerns that hinder its broader adoption for research and research evaluation is the quality of its metadata._x000a__x000a_DOI: 10.48550/arXiv.2404.17663_x000a_Scopus and the Web of Science have been the foundation for research in the science of science even though these traditional databases systematically underrepresent certain disciplines and world regions. In response, new inclusive databases, notably OpenAlex, have emerged._x000a__x000a_DOI: 10.1162/qss_a_00112_x000a_We present a large-scale comparison of five multidisciplinary bibliographic data sources: Scopus, Web of Science, Dimensions, Crossref, and Microsoft Academic. The comparison considers scientific documents from the period 2008–2017 covered by these data sources._x000a__x000a_My lady, I hope this information is helpful."/>
    <n v="1"/>
    <x v="0"/>
    <x v="0"/>
    <n v="0"/>
  </r>
  <r>
    <s v="['What are the strengths and weaknesses of Web of Science (WoS) as a bibliometric database?']"/>
    <s v="Summary: Web of Science (WoS) is a multidisciplinary bibliographic database that has been a main supporting infrastructure for bibliometrics for over 30 years. However, it has limitations such as underrepresentation of certain disciplines and world regions, and metadata discrepancies._x000a__x000a_DOI: 10.48550/arXiv.2508.18620 - This study compares the metadata quality of WoS and OpenAlex, focusing on document type, publication year, language, and number of authors. It finds that over 4% of publications indexed in both databases are misclassified, with 97% of errors occurring in OpenAlex._x000a__x000a_DOI: 10.1007/s11192-015-1765-5 - This research compares the journal coverage of WoS and Scopus, finding that both databases favor Natural Sciences and Engineering, as well as Biomedical Research, while underrepresenting Social Sciences and Arts and Humanities. Additionally, English-language journals are overrepresented._x000a__x000a_DOI: 10.29173/cais1943 - This study assesses the metadata quality of OpenAlex and WoS, focusing on document type accuracy. It finds that over 4% of publications indexed in both databases are misclassified, with 97% of errors occurring in OpenAlex._x000a__x000a_DOI: 10.48550/arXiv.2404.17663 - This analysis compares OpenAlex to Scopus, concluding that OpenAlex is a superset of Scopus and can be a reliable alternative for some analyses. However, metadata accuracy and completeness issues require further research._x000a__x000a_DOI: 10.1162/qss_a_00112 - This large-scale comparison of bibliographic data sources, including WoS, emphasizes the importance of comprehensive coverage and flexible filters for selecting literature._x000a__x000a_My lady, I hope this information helps you understand the strengths and weaknesses of WoS as a bibliometric database. If you have any further questions or would like more details, please let me know."/>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rates of publication and collaboration. These factors make it difficult to establish a universal standard for comparing citation metrics across disciplines._x000a__x000a_**DOI:** 10.1126/science.1176169  _x000a_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_x000a__x000a_**DOI:** 10.1002/asi.21341  _x000a_Bornmann and Daniel (2008) in the *Journal of the American Society for Information Science and Technology* discuss the challenges of field normalization, particularly the limitations of journal impact factors and the need for more sophisticated field-normalized metrics. They propose using percentile ranks or other field-specific benchmarks to address these issues._x000a__x000a_**DOI:** 10.1073/pnas.1601324113  _x000a_Waltman and van Eck (2016) in *Proceedings of the National Academy of Sciences* critique traditional field-normalization methods and introduce a new approach based on citation percentiles. Their work highlights the ongoing debate and innovation in developing fair and accurate cross-field citation metrics._x000a__x000a_These studies collectively illustrate the complexities in normalizing citation metrics and the need for field-specific adjustments to ensure equitable comparisons across disciplines. If you have further questions or need additional resource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_x000a__x000a_**DOI:** 10.1126/science.1175860  _x000a_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_x000a__x000a_**DOI:** 10.7717/peerj.846  _x000a_In this *PeerJ* article by Bornmann et al. (2019), the authors discuss the challenges of field-normalized citation metrics, particularly the limitations of using journal-based impact factors and the need for more sophisticated normalization methods that account for field-specific citation behaviors._x000a__x000a_**DOI:** 10.1002/asi.21340  _x000a_Waltman and Traag (2020) in the *Journal of the Association for Information Science and Technology* explore the methodological challenges in normalizing citation metrics, including the choice of normalization algorithms and the impact of data granularity on comparability across fields._x000a__x000a_These sources collectively illustrate the multifaceted challenges in achieving fair and accurate normalization of citation metrics across diverse scientific disciplines. If you have further questions or need additional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create a universal standard for comparing scholarly impact across disciplines._x000a__x000a_**DOI:** 10.1126/science.1176169  _x000a_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_x000a__x000a_**Additional Challenges:**_x000a_1. **Publication Culture:** Fields like biomedicine tend to produce more citations per paper compared to mathematics or humanities, where publications are fewer but often more cited over time._x000a_2. **Citation Practices:** Some fields rely heavily on self-citations or citations to a small set of foundational papers, skewing metrics._x000a_3. **Field-Specific Impact Factors:** Journals in certain fields have higher impact factors, which can artificially inflate citation counts for papers in those disciplines._x000a_4. **Publication Rates:** Fields with higher publication rates may have more citations simply due to volume, not necessarily quality or impact._x000a__x000a_To address these challenges, researchers often use field-normalized metrics like the **Field-Weighted Citation Impact (FWCI)** or **Citation Percentiles**, which compare a paper's citations to the average in its field. However, these methods still rely on accurate field categorization and robust citation database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disciplinary norms and practices. The study underscores the difficulty of directly comparing citation metrics without accounting for these field-specific differences._x000a__x000a_**Additional Challenges:**_x000a_1. **Publication Culture:** Fields like biomedicine tend to produce more publications and citations compared to humanities or social sciences, skewing metrics._x000a_2. **Citation Practices:** Some fields (e.g., mathematics) cite fewer references per paper, while others (e.g., physics) rely heavily on self-citations, complicating normalization efforts._x000a_3. **Impact Factor Variability:** Journals in different fields have vastly different impact factors, making raw citation counts incomparable._x000a_4. **Publication Rates:** Fields with faster publication cycles (e.g., computer science) may accumulate citations more quickly than slower-paced disciplines (e.g., ecology)._x000a__x000a_These challenges necessitate field-normalized metrics like the **Field-Weighted Citation Impact (FWCI)** or **Journal Normalized Citation Score** to ensure fair comparisons._x000a__x000a_If you'd like further details or a different question, my lady, feel free to ask!"/>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influenced by field-specific practices rather than the intrinsic quality of the research alone. The study underscores the difficulty of creating a one-size-fits-all metric for comparing scholarly impact across disciplines._x000a__x000a_**Additional Context:** Other challenges include:  _x000a_1. **Citation Density:** Fields like physics and biology have higher citation rates compared to humanities and social sciences, making direct comparisons unfair.  _x000a_2. **Publication Lag:** Some fields, such as clinical medicine, have longer publication cycles, affecting citation accumulation over time.  _x000a_3. **Journal Prestige:** Impact factors of journals vary widely across fields, skewing citation metrics.  _x000a_4. **Data Availability:** Not all fields have standardized databases or citation tracking systems, limiting normalization efforts.  _x000a__x000a_These factors collectively hinder the development of a unified citation metric that can be fairly applied across all scientific disciplines."/>
    <n v="0"/>
    <x v="1"/>
    <x v="1"/>
    <n v="1"/>
  </r>
  <r>
    <s v="['What are the key features and limitations of OpenAlex as a bibliometric database?']"/>
    <s v="Summary: OpenAlex is a fully-open scientific knowledge graph (SKG) and bibliographic database that contains metadata for 209M works and 2013M disambiguated authors. It is a superset of Scopus and a competitor to established proprietary sources, such as Web of Science and Scopus. It is a promising open source of scholarly metadata that permits researchers to perform bibliometric studies that can be reproduced in the community without licensing barriers. However,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has distinguished itself for its openness and extensive coverage. However, concerns about the quality of its metadata hinder its broader adoption for research and research evaluation._x000a__x000a_DOI: 10.48550/arXiv.2401.16359 - OpenAlex is a promising open source of scholarly metadata that permits researchers to perform bibliometric studies that can be reproduced in the community without licensing barriers. However, as OpenAlex is a rapidly evolving source, the question arises as to the trustworthiness of its data._x000a__x000a_DOI: 10.48550/ARXIV.2205.01833 - OpenAlex is a fully-open scientific knowledge graph (SKG) that contains metadata for 209M works and 2013M disambiguated authors. The dataset is fully and freely available via a web-based GUI, a full data dump, and high-volume REST API._x000a__x000a_DOI: 10.48550/arXiv.2406.15154 - OpenAlex is a bibliographic database that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features and limitations of OpenAlex as a bibliometric database?']"/>
    <s v="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concerns about the quality of its metadata hinder its broader adoption for research and research evaluation._x000a__x000a_DOI: 10.48550/arXiv.2401.16359 - OpenAlex is a promising open source of scholarly metadata that permits researchers to perform bibliometric studies without licensing barriers. However, as a rapidly evolving source, questions about the trustworthiness of its data arise._x000a__x000a_DOI: 10.48550/ARXIV.2205.01833 - OpenAlex is a fully-open scientific knowledge graph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_x000a__x000a_My lady, I hope this information is helpful. If you have any further questions or need more details, please let me know."/>
    <n v="1"/>
    <x v="0"/>
    <x v="0"/>
    <n v="0"/>
  </r>
  <r>
    <s v="['What are the key features and limitations of OpenAlex as a bibliometric database?']"/>
    <s v="Summary: OpenAlex is a new, fully-open bibliographic database that has distinguished itself for its openness and extensive coverage._x000a__x000a_DOI: 10.48550/arXiv.2508.18620_x000a__x000a_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_x000a__x000a_DOI: 10.48550/arXiv.2404.17663_x000a__x000a_OpenAlex is a superset of Scopus and can be a reliable alternative for some analyses, particularly at the country level. Despite this, issues of metadata accuracy and completeness show that additional research is needed to fully comprehend and address OpenAlex's limitations._x000a__x000a_DOI: 10.48550/arXiv.2401.16359_x000a_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205.01833_x000a__x000a_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406.15154_x000a_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n v="1"/>
    <x v="0"/>
    <x v="0"/>
    <n v="0"/>
  </r>
  <r>
    <s v="['What are the key features and limitations of OpenAlex as a bibliometric database?']"/>
    <s v="Summary: OpenAlex is a fully-open scientific knowledge graph (SKG) that contains metadata for 209M works, 2013M disambiguated authors, 124k venues, 109k institutions, and 65k Wikidata concepts._x000a__x000a_DOI: 10.48550/ARXIV.2205.01833_x000a__x000a_OpenAlex is a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_x000a__x000a_DOI: 10.48550/arXiv.2404.17663_x000a__x000a_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48550/arXiv.2508.18620_x000a__x000a_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48550/arXiv.2401.16359_x000a_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6.15154_x000a_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n v="1"/>
    <x v="0"/>
    <x v="0"/>
    <n v="0"/>
  </r>
  <r>
    <s v="['What are the key features and limitations of OpenAlex as a bibliometric database?']"/>
    <s v="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_x000a__x000a_DOI: 10.48550/arXiv.2401.16359 - OpenAlex is a promising open source of scholarly metadata and a competitor to established proprietary sources, such as the Web of Science and Scopus. However, as OpenAlex is a rapidly evolving source, the question naturally arises as to the trustworthiness of its data._x000a__x000a_DOI: 10.48550/ARXIV.2205.01833 - OpenAlex is a fully-open scientific knowledge graph (SKG) that contains metadata for 209M works, 2013M disambiguated authors, 124k venues, 109k institutions, and 65k Wikidata concepts._x000a__x000a_DOI: 10.48550/arXiv.2406.15154 - OpenAlex is becoming increasingly important as a free alternative to established proprietary providers for bibliometric analyses at libraries and universiti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 Metadata quality is crucial for digital objects to be discovered through digital library interfaces. However, due to various reasons, the metadata of digital objects often exhibits incomplete, inconsistent, and incorrect values._x000a__x000a_DOI: 10.5860/crl.86.1.101: Metadata serve discovery and access by providing contextual, technical, and administrative information in a standard form. Yet metadata are also sites of tension between sociocultural representations, resource constraints, and standardized systems._x000a__x000a_DOI: 10.1145/2964909: The Open Data movement has become a driver for publicly available data on the Web. More and more data—from governments and public institutions but also from the private sector—are made available online and are mainly published in so-called Open Data portals._x000a__x000a_DOI: 10.1177/09610006241239080: Assessing metadata is of paramount importance for several critical reasons. Metadata plays a pivotal role in various aspects, including data retrieval and search, data organization, interoperability, data preservation, and the overall user experience.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 - Metadata quality is crucial for digital objects to be discovered through digital library interfaces. However, metadata of digital objects often exhibits incomplete, inconsistent, and incorrect values. Methods to automatically detect, correct, and canonicalize scholarly metadata are investigated, using seven key fields of electronic theses and dissertations (ETDs) as a case study. MetaEnhance, a framework that utilizes state-of-the-art artificial intelligence methods to improve the quality of these fields, is proposed. To evaluate MetaEnhance, a metadata quality evaluation benchmark containing 500 ETDs is compiled, by combining subsets sampled using multiple criteria. MetaEnhance is tested on this benchmark and the proposed methods achieved nearly perfect F1-scores in detecting errors and F1-scores in correcting errors ranging from 0.85 to 1.00 for five of seven fields._x000a__x000a_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The impact of metadata quality, consistency, and completeness on individuals and communities is investigated. By reviewing a non-random sample of 427 records, 32 unique issues are identified and classified into 5 categories to better explain how metadata and communities press up against each other to intentionally reflect (or not) cultural meanings._x000a__x000a_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developed. Data portals are treated independently from the portal software frameworks by mapping the specific metadata of three widely used portal software frameworks (CKAN, Socrata, OpenDataSoft) to the standardized Data Catalog Vocabulary metadata schema. Several quality metrics are defined, which can be evaluated automatically and in an efficient manner. Findings based on monitoring a set of over 260 Open Data portals with 1.1M datasets are reported. This includes the discussion of general quality issues, for example, the retrievability of data, and the analysis of specific quality metrics.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due to various reasons, the metadata of digital objects often exhibits incomplete, inconsistent, and incorrect values._x000a__x000a_DOI: 10.48550/arXiv.2303.17661_x000a__x000a_My lady, I have found a document that addresses your question. The document discusses the challenges and potential solutions for improving metadata quality. It proposes a framework called MetaEnhance, which utilizes state-of-the-art artificial intelligence methods to improve the quality of metadata fields. The framework was evaluated on a benchmark containing 500 electronic theses and dissertations (ETDs), and achieved nearly perfect F1-scores in detecting errors and correcting errors._x000a__x000a_If you would like to know more about this topic, please ask another question."/>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_x000a__x000a_DOI: 10.5860/crl.86.1.101 - Metadata serves discovery and access by providing contextual, technical, and administrative information in a standard form. However, metadata can also be sites of tension between sociocultural representations, resource constraints, and standardized systems. Formal and informal interventions may be interpreted as quality issues, political acts to assert identity, or strategic choices to maximize visibility._x000a__x000a_DOI: 10.1145/2964909 - The Open Data movement has become a driver for publicly available data on the Web. However, with the increasing number of published resources, there are concerns regarding the quality of data sources and corresponding metadata, which compromise searchability, discoverability, and usability. A generic metadata quality assessment framework is developed for various Open Data portals._x000a__x000a_DOI: 10.1177/09610006241239080 - Assessing metadata quality is essential for data retrieval, search, organization, interoperability, preservation, and user experience. A scoping review identifies commonly measured dimensions of metadata quality, including completeness, accuracy, consistency, accessibility, conformance, provenance, and timeliness. However, there is no consensus on their exact definition and measurement, indicating a need for further investigation._x000a__x000a_My lady, I hope this information is helpful. If you have any further questions or need more details, please let me know."/>
    <n v="1"/>
    <x v="0"/>
    <x v="0"/>
    <n v="0"/>
  </r>
  <r>
    <s v="['What are the key challenges and potential solutions for improving metadata quality?']"/>
    <s v="Summary: Metadata quality is crucial for digital objects to be discovered through digital library interfaces. However, metadata of digital objects often exhibits incomplete, inconsistent, and incorrect values._x000a__x000a_DOI: 10.48550/arXiv.2303.17661_x000a__x000a_My lady, I have provided a summary of the key challenges and potential solutions for improving metadata quality."/>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dynamic knowledge updates, and integration of domain-specific information._x000a__x000a_DOI: 10.48550/arXiv.2312.10997 - This paper discusses the challenges and advancements in RAG systems, highlighting their ability to enhance accuracy and credibility by incorporating external knowledge, particularly for knowledge-intensive tasks._x000a__x000a_DOI: 10.1016/j.caeai.2025.100417 - Focusing on educational applications, this paper explores RAG's potential to improve factual accuracy and enable dynamic knowledge updates, while addressing challenges like hallucinations and computational costs._x000a__x000a_DOI: 10.18653/v1/2024.eacl-demo.16 - Introducing the RAGAs framework, this paper aims to evaluate RAG architectures by assessing the retrieval system's ability to identify relevant context and the LLM's ability to exploit it faithfully._x000a__x000a_DOI: 10.1609/aaai.v38i16.29728 - This paper investigates the impact of RAG on LLMs, establishing the Retrieval-Augmented Generation Benchmark (RGB) to evaluate their performance in noise robustness, negative rejection, and information integration._x000a__x000a_DOI: 10.1145/3637528.3671470 - Discussing the integration of RAG with LLMs, this paper highlights the potential of Retrieval-Augmented Large Language Models (RA-LLMs) to augment generated content quality by harnessing external knowledge base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and computational costs. Advancements include improved factual accuracy, dynamic knowledge updates, and enhanced multimodal support._x000a__x000a_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_x000a__x000a_DOI: 10.1016/j.caeai.2025.100417 - This paper focuses on the application of RAG in educational scenarios, covering interactive learning systems, generation and assessment of educational content, and large-scale deployment. It discusses challenges such as mitigating hallucinations, ensuring completeness and timeliness of retrieved knowledge, reducing computational costs, and enhancing multimodal support._x000a__x000a_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_x000a__x000a_DOI: 10.1609/aaai.v38i16.29728 - This paper establishes the Retrieval-Augmented Generation Benchmark (RGB), a new corpus for RAG evaluation in English and Chinese. It evaluates 6 representative LLMs on RGB and diagnoses the challenges of current LLMs when applying RAG, including negative rejection, information integration, and dealing with false information._x000a__x000a_DOI: 10.1145/3637528.3671470 - This survey provides a comprehensive review of existing research studies in Retrieval-Augmented Large Language Models (RA-LLMs). It covers three primary technical perspectives and discusses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credibility, and continuous knowledge updates._x000a__x000a_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_x000a__x000a_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_x000a__x000a_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_x000a__x000a_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improved accuracy, dynamic knowledge updates, and integration of domain-specific information.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paper focuses on the application of RAG in educational settings, discussing challenges such as mitigating hallucinations and ensuring completeness and timeliness of retrieved knowledge._x000a__x000a_DOI: 10.18653/v1/2024.eacl-demo.16 - This paper introduces RAGAs, a framework for reference-free evaluation of RAG pipelines, addressing the challenge of evaluating RAG architectures._x000a__x000a_DOI: 10.1609/aaai.v38i16.29728 - This paper establishes the Retrieval-Augmented Generation Benchmark (RGB), a new corpus for RAG evaluation, and evaluates the performance of LLMs in noise robustness, negative rejection, information integration, and counterfactual robustness._x000a__x000a_DOI: 10.1145/3637528.3671470 - This survey reviews existing research studies in Retrieval-Augmented Large Language Models (RA-LLMs), discussing current limitations and promising directions for future research._x000a__x000a_My lady, I hope this summary meets your requirements. If you have any further questions or would like more detailed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However, advancements in RAG have led to improved accuracy, credibility, and the ability to continuously update knowledge._x000a__x000a_DOI: 10.48550/arXiv.2312.10997 - This paper provides a comprehensive review of RAG paradigms, including Naive RAG, Advanced RAG, and Modular RAG. It highlights the tripartite foundation of RAG frameworks, which consists of retrieval, generation, and augmentation techniques. The paper also introduces an up-to-date evaluation framework and benchmark for RAG systems._x000a__x000a_DOI: 10.1016/j.caeai.2025.100417 - This paper focuses on the application of RAG in educational settings and discusses challenges such as mitigating hallucinations, ensuring completeness and timeliness of retrieved knowledge, and reducing computational costs._x000a__x000a_DOI: 10.18653/v1/2024.eacl-demo.16 - This paper introduces RAGAs, a framework for reference-free evaluation of RAG pipelines. It addresses the challenge of evaluating RAG architectures by introducing a suite of metrics that can assess different dimensions of RAG systems._x000a__x000a_DOI: 10.1609/aaai.v38i16.29728 - This paper establishes the Retrieval-Augmented Generation Benchmark (RGB), a new corpus for evaluating RAG systems in English and Chinese. It reveals that LLMs still struggle with negative rejection, information integration, and dealing with false information._x000a__x000a_DOI: 10.1145/3637528.3671470 - This survey paper reviews existing research studies in Retrieval-Augmented Large Language Models (RA-LLMs) and discusses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metadata quality assessment?']"/>
    <s v="Summary: Metadata quality assessment is a critical area of research with key challenges and advancements that impact data retrieval, organization, interoperability, preservation, and user experience._x000a__x000a_DOI: 10.1109/ADL.1998.670425 - This study discusses the application of qualitative and quantitative content analysis techniques to assess metadata records, highlighting the need for a range of criteria and procedures to evaluate different types of metadata._x000a__x000a_DOI: 10.1145/2964909 - This work presents a generic metadata quality assessment framework for Open Data portals, addressing concerns related to data quality, searchability, discoverability, and usability._x000a__x000a_DOI: 10.1177/09610006241239080 - A scoping review identifying commonly measured dimensions of metadata quality assessment, emphasizing the need for further investigation into less commonly assessed quality dimensions and improved flexibility of assessment tools._x000a__x000a_DOI: 10.5860/crl.86.1.101 - This study explores the impact of metadata quality, consistency, and completeness on individuals and communities, highlighting the tensions between sociocultural representations and standardized systems._x000a__x000a_My lady, these DOIs provide a comprehensive overview of the key challenges and advancements in metadata quality assessment. If you require further information or have additional questions, please let me know."/>
    <n v="1"/>
    <x v="0"/>
    <x v="0"/>
    <n v="0"/>
  </r>
  <r>
    <s v="['What are the key challenges and advancements in metadata quality assessment?']"/>
    <s v="Summary: Metadata quality assessment is a critical area of research that plays a pivotal role in various aspects, including data retrieval and search, data organization, interoperability, data preservation, and the overall user experience._x000a__x000a_DOI: 10.1109/ADL.1998.670425: This study discusses the application of qualitative and quantitative content analysis techniques to assess metadata records. The authors developed a set of criteria and procedures for an exploratory investigation into metadata quality, concluding that a range of criteria and procedures may be needed for evaluating different types of metadata._x000a__x000a_DOI: 10.1145/2964909: This work aims to develop a generic metadata quality assessment framework for various Open Data portals, defining several quality metrics that can be evaluated automatically and efficiently._x000a__x000a_DOI: 10.1177/09610006241239080: This scoping review identifies the most commonly measured dimensions of metadata quality, including completeness, accuracy, consistency, accessibility, conformance, provenance, and timeliness. The study emphasizes the need for further investigation into less commonly assessed quality dimensions and the importance of improving the flexibility of metadata quality assessment tools._x000a__x000a_DOI: 10.5860/crl.86.1.101: This study explores how metadata quality, consistency, and completeness impact individuals and communities, identifying 32 unique issues and classifying them into 5 categories to better explain the cultural meanings reflected in metadata._x000a__x000a_My lady, I hope this summary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_x000a__x000a_DOI: 10.1177/09610006241239080 - This study highlights the importance of metadata quality assessment and identifies commonly measured dimensions, but notes the lack of consensus on their definitions and measurements._x000a__x000a_DOI: 10.1145/2964909 - This work presents an automated metadata quality assessment framework for Open Data portals, addressing the challenge of increasing data volume and the need for efficient quality evaluation._x000a__x000a_DOI: 10.1109/ADL.1998.670425 - This study discusses the application of qualitative and quantitative content analysis techniques to assess metadata records, contributing to the development of criteria and procedures for metadata quality evaluation._x000a__x000a_DOI: 10.5860/crl.86.1.101 - This research explores the cultural implications of metadata quality, consistency, and completeness, identifying unique issues and categories that reflect the interplay between metadata and communities._x000a__x000a_My lady, I hope this response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_x000a__x000a_DOI: 10.1177/09610006241239080: A scoping review identified commonly measured dimensions of metadata quality, but found no consensus on their exact definition and measurement, indicating a need for further investigation._x000a__x000a_DOI: 10.1145/2964909: An automated quality assessment framework was developed for Open Data portals, treating data portals independently from portal software frameworks and defining several quality metrics that can be evaluated automatically._x000a__x000a_DOI: 10.1109/ADL.1998.670425: A study on the US Government Information Locator Service (GILS) developed a set of criteria and procedures for an exploratory investigation into metadata quality, concluding that a range of criteria and procedures may be needed for evaluating different types of metadata._x000a__x000a_DOI: 10.5860/crl.86.1.101: A review of 427 records identified unique issues related to metadata quality, consistency, and completeness, classifying them into categories to explain how metadata reflects cultural meanings.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a critical area of research, with completeness, accuracy, consistency, accessibility, conformance, provenance, and timeliness being commonly used dimensions. However, there is no consensus on their exact definition and measurement, indicating a need for further investigation._x000a__x000a_DOI: 10.1177/09610006241239080 - This study investigates the most commonly measured dimensions of metadata quality in existing studies on metadata quality assessment. It found that completeness, accuracy, consistency, accessibility, conformance, provenance, and timeliness are commonly used dimensions, but there is no consensus on their exact definition and measurement._x000a__x000a_DOI: 10.1145/2964909 - This work aims to develop a generic metadata quality assessment framework for various Open Data portals. It defines several quality metrics that can be evaluated automatically and efficiently._x000a__x000a_DOI: 10.5860/crl.86.1.101 - This study seeks to understand how metadata quality, consistency, and completeness impact individuals and communities. It identified 32 unique issues and classified them into 5 categories to better explain how metadata and communities interact._x000a__x000a_My lady, I hope this response meets your requirements. If you have any further questions or need more information,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_x000a__x000a_DOI: 10.1016/j.caeai.2025.100417 - This paper reviews the integration of RAG into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_x000a__x000a_DOI: 10.18653/v1/2024.eacl-demo.16 - This paper introduces RAGAs, a framework for reference-free evaluation of RAG pipelines, which provides a suite of metrics to assess the retrieval system's ability to identify relevant context passages, the LLM's ability to exploit such passages faithfully, and the quality of the generation itself._x000a__x000a_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_x000a__x000a_DOI: 10.3390/app14199103 - This study examines RAG in LLMs and their application for undertaking systematic literature reviews, reviewing the three key processes of the RAG framework (retrieval, augmentation, and generation) and discussing applications of RAG-based LLMs to SLR automation._x000a__x000a_DOI: 10.48550/arXiv.2406.13213 - This paper introduces Multi-Meta-RAG, a new method that uses database filtering with LLM-extracted metadata to improve RAG's selection of relevant documents from various sources, particularly for multi-hop queries._x000a__x000a_My lady, I hope this information is helpful. If you have any further questions or would like more details on a specific aspect of RAG, please don't hesitate to ask."/>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study reviews the three key processes of the RAG framework—retrieval, augmentation, and generation—and discusses its applications in systematic literature review automation.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s selection of relevant document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multi-hop queries._x000a__x000a_DOI: 10.1016/j.caeai.2025.100417 - RAG enhances LLMs by retrieving relevant information from an external knowledge base and incorporating it into the LLM's generation process, improving factual accuracy and enabling dynamic knowledge updates._x000a__x000a_DOI: 10.18653/v1/2024.eacl-demo.16 - RAG systems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bridging &quot;little semantics&quot; with &quot;big semantics&quot; to make complex academic taxonomies more accessible._x000a__x000a_DOI: 10.3390/app14199103 - RAG mitigates limitations of LLMs by integrating their generative capabilities with the precision of real-time information retrieval, enabling automation of tasks like data extraction, summarization, and trend identification in systematic literature reviews._x000a__x000a_DOI: 10.48550/arXiv.2406.13213 - A new method called Multi-Meta-RAG is introduced to improve RAG for multi-hop queries by using database filtering with LLM-extracted metadata to select relevant documents from various source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_x000a__x000a_My lady, I hope this information is helpful. If you have any further questions or need more details, please let me know."/>
    <n v="1"/>
    <x v="0"/>
    <x v="0"/>
    <n v="0"/>
  </r>
  <r>
    <s v="['tell me about how RAG works.']"/>
    <s v="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_x000a__x000a_DOI: 10.3390/app14199103 - RAG mitigates the limitations of LLMs by integrating their generative capabilities with the precision of real-time information retrieval. The three key processes of the RAG framework are retrieval, augmentation, and generation.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_x000a__x000a_My lady, I hope this information is helpful. If you have any further questions or need more details, please let me know."/>
    <n v="1"/>
    <x v="0"/>
    <x v="0"/>
    <n v="0"/>
  </r>
  <r>
    <s v="['Tell me about Crossref.']"/>
    <s v="Summary: Crossref is a sustainable source of community-owned scholarly metadata._x000a__x000a_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Crossref is a source of open bibliographic metadata. The availability of metadata elements has improved over time, but many publishers need to make additional efforts to realize full openness of bibliographic metadata._x000a__x000a_My lady, is there anything else I can help you with?"/>
    <n v="1"/>
    <x v="0"/>
    <x v="0"/>
    <n v="0"/>
  </r>
  <r>
    <s v="['Tell me about Crossref.']"/>
    <s v="Summary: Crossref is a sustainable source of community-owned scholarly metadata._x000a__x000a_DOI: 10.1162/qss_a_00022_x000a_Crossref collects and makes available scholarly metadata, which is important in the scholarly research ecosystem. Containing over 106 million records,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_x000a_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Is there anything else I can help you with, my lady?"/>
    <n v="1"/>
    <x v="0"/>
    <x v="0"/>
    <n v="0"/>
  </r>
  <r>
    <s v="['Tell me about Crossref.']"/>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n v="1"/>
    <x v="0"/>
    <x v="0"/>
    <n v="0"/>
  </r>
  <r>
    <s v="['Tell me about Crossref.']"/>
    <s v="Summary: Crossref is a sustainable source of community-owned scholarly metadata that contains over 106 million records and expands at an average rate of 11% a year._x000a__x000a_DOI: 10.1162/qss_a_00022: Crossref is a sustainable source of community-owned scholarly metadata that contains over 106 million records and expands at an average rate of 11% a year. It is a major source of scholarly data for publishers, authors, librarians, funders, and researchers._x000a__x000a_DOI: 10.31222/osf.io/smxe5: Crossref is a source of open bibliographic metadata that contains six metadata elements: reference lists, abstracts, ORCIDs, author affiliations, funding information, and license information._x000a__x000a_My lady, is there anything else I can help you with?"/>
    <n v="1"/>
    <x v="0"/>
    <x v="0"/>
    <n v="0"/>
  </r>
  <r>
    <s v="['Tell me about Crossref.']"/>
    <s v="Summary: Crossref is a sustainable source of community-owned scholarly metadata and a source of open bibliographic metadata._x000a__x000a_DOI: 10.1162/qss_a_00022 - 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_x000a__x000a_DOI: 10.31222/osf.io/smxe5 - Crossref is a source of open bibliographic metadata. Several initiatives have been taken to promote the open availability of bibliographic metadata of scholarly publications in Crossref._x000a__x000a_My lady, is there anything else I can help you with?"/>
    <n v="1"/>
    <x v="0"/>
    <x v="0"/>
    <n v="0"/>
  </r>
  <r>
    <s v="['How is RAG used to improve question answering or information retrieval systems?']"/>
    <s v="Summary: Retrieval-augmented generation (RAG) is a method that enables large language models (LLMs) to answer queries over previously unseen document collections._x000a__x000a_DOI: 10.48550/arXiv.2406.13213 - Multi-Meta-RAG is a new method that uses database filtering with LLM-extracted metadata to improve the RAG selection of relevant documents from various sources._x000a__x000a_DOI: 10.6109/jkiice.2023.27.12.1489 - M-RAG is a method that uses embeddings with metadata and generative models to generate automated responses._x000a__x000a_DOI: 10.17821/srels/2024/v61i5/171583 - This study demonstrates that LLMs can deliver contextualized, relevant responses when augmented with a set of relevant documents._x000a__x000a_DOI: 10.48550/arXiv.2505.18247 - MetaGen Blended RAG is a novel enterprise search approach that enhances semantic retrievers through a metadata generation pipeline and hybrid query indexes._x000a__x000a_DOI: 10.48550/arXiv.2502.15005 - This paper proposes a RAG agent that maps natural language queries about research topics to precise, machine-interpretable semantic entities._x000a__x000a_My lady, I hope this information is helpful. If you have any further questions, please let me know."/>
    <n v="1"/>
    <x v="0"/>
    <x v="0"/>
    <n v="0"/>
  </r>
  <r>
    <s v="['How is RAG used to improve question answering or information retrieval systems?']"/>
    <s v="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_x000a__x000a_DOI: 10.48550/arXiv.2406.13213 - Multi-Meta-RAG is introduced to improve RAG for multi-hop queries using database filtering with LLM-extracted metadata, which enhances the selection of relevant documents from various sources._x000a__x000a_DOI: 10.6109/jkiice.2023.27.12.1489 - M-RAG is proposed to enhance open-domain question answering with metadata retrieval-augmented generation, utilizing embeddings with metadata and generative models to generate automated responses and improve accuracy._x000a__x000a_DOI: 10.17821/srels/2024/v61i5/171583 - A study demonstrates that augmenting LLMs with relevant documents through a RAG pipeline can improve the accuracy and contextualization of responses, particularly in library search systems._x000a__x000a_DOI: 10.48550/arXiv.2505.18247 - MetaGen Blended RAG is introduced to enhance semantic retrievers through a metadata generation pipeline and hybrid query indexes, achieving high retrieval accuracy and RAG accuracy without fine-tuning._x000a__x000a_DOI: 10.48550/arXiv.2502.15005 - A Socratic RAG approach is proposed to connect natural language queries on research topics with knowledge organization systems, making complex academic taxonomies more accessible._x000a__x000a_My lady, I hope this information is helpful. If you have any further questions or would like more details on a specific DOI, please let me know."/>
    <n v="1"/>
    <x v="0"/>
    <x v="0"/>
    <n v="0"/>
  </r>
  <r>
    <s v="['How is RAG used to improve question answering or information retrieval systems?']"/>
    <s v="Summary: Retrieval-augmented generation (RAG) is a method that enables large language models (LLMs) to answer queries over previously unseen document collections._x000a__x000a_DOI: 10.48550/arXiv.2406.13213 - Multi-Meta-RAG is a new method that uses database filtering with LLM-extracted metadata to improve the RAG selection of relevant documents from various sources._x000a__x000a_DOI: 10.6109/jkiice.2023.27.12.1489 - M-RAG is a Metadata Retrieval-Augmented Generation method that can effectively search and answer questions with an open-domain Question Answering (ODQA) system for one or more documents._x000a__x000a_DOI: 10.17821/srels/2024/v61i5/171583 - This study demonstrates that libraries can develop a low-cost conversational search system using open-source software tools and Large Language Models (LLMs) through a Retrieval-Augmented Generation (RAG) framework._x000a__x000a_DOI: 10.48550/arXiv.2505.18247 - MetaGen Blended RAG is a novel enterprise search approach that enhances semantic retrievers through a metadata generation pipeline and hybrid query indexes using dense and sparse vectors._x000a__x000a_DOI: 10.48550/arXiv.2502.15005 - This paper proposes a Retrieval Augmented Generation (RAG) agent that maps natural language queries about research topics to precise, machine-interpretable semantic entities._x000a__x000a_My lady, I hope this information is helpful. If you have any further questions, please let me know."/>
    <n v="1"/>
    <x v="0"/>
    <x v="0"/>
    <n v="0"/>
  </r>
  <r>
    <s v="['How is RAG used to improve question answering or information retrieval systems?']"/>
    <s v="Summary: Retrieval-augmented generation (RAG) is a method that enables large language models (LLMs) to answer queries over previously unseen document collections._x000a__x000a_DOI: 10.48550/arXiv.2406.13213 - Multi-Meta-RAG is a method that uses database filtering with LLM-extracted metadata to improve the RAG selection of relevant documents from various sources._x000a__x000a_DOI: 10.6109/jkiice.2023.27.12.1489 - M-RAG is a method that utilizes embeddings with metadata and generative models to generate automated responses, improving the performance of open-domain question answering systems._x000a__x000a_DOI: 10.17821/srels/2024/v61i5/171583 - This study demonstrates that LLMs can deliver contextualized, relevant responses when augmented with a set of relevant documents, and that open-source RAG-based systems offer a cost-effective solution for libraries to enhance information retrieval._x000a__x000a_DOI: 10.48550/arXiv.2505.18247 - MetaGen Blended RAG is a method that enhances semantic retrievers through a metadata generation pipeline and hybrid query indexes, achieving high retrieval accuracy and RAG accuracy on specialized domain datasets._x000a__x000a_DOI: 10.48550/arXiv.2502.15005 - This paper proposes a RAG agent that maps natural language queries about research topics to precise, machine-interpretable semantic entities, bridging domain-specific knowledge organization systems with broad bibliometric repositorie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that retrieves relevant information from an external knowledge source and allows large language models (LLMs) to answer queries over previously unseen document collections._x000a__x000a_DOI: 10.48550/arXiv.2406.13213_x000a_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_x000a__x000a_DOI: 10.6109/jkiice.2023.27.12.1489_x000a_Metadata Retrieval-Augmented Generation (M-RAG) can effectively search and answer questions with an open-domain Question Answering (ODQA) system for one or more documents and compare their performance._x000a__x000a_DOI: 10.17821/srels/2024/v61i5/171583_x000a_LLMs often hallucinate and provide outdated and non-contextualized responses. However, this experiment shows that LLMs can deliver contextualized, relevant responses when augmented with a set of relevant documents._x000a__x000a_DOI: 10.48550/arXiv.2505.18247_x000a_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_x000a__x000a_DOI: 10.48550/arXiv.2502.15005_x000a_A Retrieval Augmented Generation (RAG) agent that maps natural language queries about research topics to precise, machine-interpretable semantic entities._x000a__x000a_My lady, I hope this information is helpful. If you have any further questions,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9F607-688F-204B-8027-0DFEA72ED35D}"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40" zoomScaleNormal="140" workbookViewId="0">
      <selection activeCell="B1" sqref="B1"/>
    </sheetView>
  </sheetViews>
  <sheetFormatPr baseColWidth="10" defaultColWidth="8.83203125" defaultRowHeight="15" x14ac:dyDescent="0.2"/>
  <cols>
    <col min="2" max="2" width="18.83203125" style="3" customWidth="1"/>
    <col min="3" max="3" width="86" style="3" customWidth="1"/>
  </cols>
  <sheetData>
    <row r="1" spans="1:7" ht="16" x14ac:dyDescent="0.2">
      <c r="B1" s="2" t="s">
        <v>0</v>
      </c>
      <c r="C1" s="2" t="s">
        <v>1</v>
      </c>
      <c r="D1" t="s">
        <v>96</v>
      </c>
      <c r="E1" t="s">
        <v>97</v>
      </c>
      <c r="F1" t="s">
        <v>98</v>
      </c>
      <c r="G1" t="s">
        <v>99</v>
      </c>
    </row>
    <row r="2" spans="1:7" ht="176" x14ac:dyDescent="0.2">
      <c r="A2" s="1">
        <v>0</v>
      </c>
      <c r="B2" s="3" t="s">
        <v>2</v>
      </c>
      <c r="C2" s="3" t="s">
        <v>3</v>
      </c>
      <c r="D2">
        <v>1</v>
      </c>
      <c r="E2">
        <v>1</v>
      </c>
      <c r="F2">
        <v>1</v>
      </c>
      <c r="G2">
        <v>0</v>
      </c>
    </row>
    <row r="3" spans="1:7" ht="80" x14ac:dyDescent="0.2">
      <c r="A3" s="1">
        <v>16</v>
      </c>
      <c r="B3" s="3" t="s">
        <v>2</v>
      </c>
      <c r="C3" s="3" t="s">
        <v>34</v>
      </c>
      <c r="D3">
        <v>1</v>
      </c>
      <c r="E3">
        <v>1</v>
      </c>
      <c r="F3">
        <v>1</v>
      </c>
      <c r="G3">
        <v>0</v>
      </c>
    </row>
    <row r="4" spans="1:7" ht="144" x14ac:dyDescent="0.2">
      <c r="A4" s="1">
        <v>32</v>
      </c>
      <c r="B4" s="3" t="s">
        <v>2</v>
      </c>
      <c r="C4" s="3" t="s">
        <v>50</v>
      </c>
      <c r="D4">
        <v>1</v>
      </c>
      <c r="E4">
        <v>1</v>
      </c>
      <c r="F4">
        <v>1</v>
      </c>
      <c r="G4">
        <v>0</v>
      </c>
    </row>
    <row r="5" spans="1:7" ht="208" x14ac:dyDescent="0.2">
      <c r="A5" s="1">
        <v>48</v>
      </c>
      <c r="B5" s="3" t="s">
        <v>2</v>
      </c>
      <c r="C5" s="3" t="s">
        <v>66</v>
      </c>
      <c r="D5">
        <v>1</v>
      </c>
      <c r="E5">
        <v>1</v>
      </c>
      <c r="F5">
        <v>1</v>
      </c>
      <c r="G5">
        <v>0</v>
      </c>
    </row>
    <row r="6" spans="1:7" ht="192" x14ac:dyDescent="0.2">
      <c r="A6" s="1">
        <v>64</v>
      </c>
      <c r="B6" s="3" t="s">
        <v>2</v>
      </c>
      <c r="C6" s="3" t="s">
        <v>81</v>
      </c>
      <c r="D6">
        <v>1</v>
      </c>
      <c r="E6">
        <v>1</v>
      </c>
      <c r="F6">
        <v>1</v>
      </c>
      <c r="G6">
        <v>0</v>
      </c>
    </row>
    <row r="7" spans="1:7" ht="128" x14ac:dyDescent="0.2">
      <c r="A7" s="1">
        <v>1</v>
      </c>
      <c r="B7" s="3" t="s">
        <v>4</v>
      </c>
      <c r="C7" s="3" t="s">
        <v>5</v>
      </c>
      <c r="D7">
        <v>1</v>
      </c>
      <c r="E7">
        <v>1</v>
      </c>
      <c r="F7">
        <v>1</v>
      </c>
      <c r="G7">
        <v>0</v>
      </c>
    </row>
    <row r="8" spans="1:7" ht="160" x14ac:dyDescent="0.2">
      <c r="A8" s="1">
        <v>17</v>
      </c>
      <c r="B8" s="3" t="s">
        <v>4</v>
      </c>
      <c r="C8" s="3" t="s">
        <v>35</v>
      </c>
      <c r="D8">
        <v>1</v>
      </c>
      <c r="E8">
        <v>1</v>
      </c>
      <c r="F8">
        <v>1</v>
      </c>
      <c r="G8">
        <v>0</v>
      </c>
    </row>
    <row r="9" spans="1:7" ht="32" x14ac:dyDescent="0.2">
      <c r="A9" s="1">
        <v>33</v>
      </c>
      <c r="B9" s="3" t="s">
        <v>4</v>
      </c>
      <c r="C9" s="3" t="s">
        <v>51</v>
      </c>
      <c r="D9">
        <v>1</v>
      </c>
      <c r="E9">
        <v>1</v>
      </c>
      <c r="F9">
        <v>1</v>
      </c>
      <c r="G9">
        <v>0</v>
      </c>
    </row>
    <row r="10" spans="1:7" ht="32" x14ac:dyDescent="0.2">
      <c r="A10" s="1">
        <v>49</v>
      </c>
      <c r="B10" s="3" t="s">
        <v>4</v>
      </c>
      <c r="C10" s="3" t="s">
        <v>51</v>
      </c>
      <c r="D10">
        <v>1</v>
      </c>
      <c r="E10">
        <v>1</v>
      </c>
      <c r="F10">
        <v>1</v>
      </c>
      <c r="G10">
        <v>0</v>
      </c>
    </row>
    <row r="11" spans="1:7" ht="128" x14ac:dyDescent="0.2">
      <c r="A11" s="1">
        <v>65</v>
      </c>
      <c r="B11" s="3" t="s">
        <v>4</v>
      </c>
      <c r="C11" s="3" t="s">
        <v>82</v>
      </c>
      <c r="D11">
        <v>1</v>
      </c>
      <c r="E11">
        <v>1</v>
      </c>
      <c r="F11">
        <v>1</v>
      </c>
      <c r="G11">
        <v>0</v>
      </c>
    </row>
    <row r="12" spans="1:7" ht="144" x14ac:dyDescent="0.2">
      <c r="A12" s="1">
        <v>3</v>
      </c>
      <c r="B12" s="3" t="s">
        <v>8</v>
      </c>
      <c r="C12" s="3" t="s">
        <v>9</v>
      </c>
      <c r="D12">
        <v>1</v>
      </c>
      <c r="E12">
        <v>1</v>
      </c>
      <c r="F12">
        <v>1</v>
      </c>
      <c r="G12">
        <v>0</v>
      </c>
    </row>
    <row r="13" spans="1:7" ht="160" x14ac:dyDescent="0.2">
      <c r="A13" s="1">
        <v>19</v>
      </c>
      <c r="B13" s="3" t="s">
        <v>8</v>
      </c>
      <c r="C13" s="3" t="s">
        <v>37</v>
      </c>
      <c r="D13">
        <v>1</v>
      </c>
      <c r="E13">
        <v>1</v>
      </c>
      <c r="F13">
        <v>1</v>
      </c>
      <c r="G13">
        <v>0</v>
      </c>
    </row>
    <row r="14" spans="1:7" ht="176" x14ac:dyDescent="0.2">
      <c r="A14" s="1">
        <v>35</v>
      </c>
      <c r="B14" s="3" t="s">
        <v>8</v>
      </c>
      <c r="C14" s="3" t="s">
        <v>53</v>
      </c>
      <c r="D14">
        <v>1</v>
      </c>
      <c r="E14">
        <v>1</v>
      </c>
      <c r="F14">
        <v>1</v>
      </c>
      <c r="G14">
        <v>0</v>
      </c>
    </row>
    <row r="15" spans="1:7" ht="160" x14ac:dyDescent="0.2">
      <c r="A15" s="1">
        <v>51</v>
      </c>
      <c r="B15" s="3" t="s">
        <v>8</v>
      </c>
      <c r="C15" s="3" t="s">
        <v>68</v>
      </c>
      <c r="D15">
        <v>1</v>
      </c>
      <c r="E15">
        <v>1</v>
      </c>
      <c r="F15">
        <v>1</v>
      </c>
      <c r="G15">
        <v>0</v>
      </c>
    </row>
    <row r="16" spans="1:7" ht="144" x14ac:dyDescent="0.2">
      <c r="A16" s="1">
        <v>67</v>
      </c>
      <c r="B16" s="3" t="s">
        <v>8</v>
      </c>
      <c r="C16" s="3" t="s">
        <v>84</v>
      </c>
      <c r="D16">
        <v>1</v>
      </c>
      <c r="E16">
        <v>1</v>
      </c>
      <c r="F16">
        <v>1</v>
      </c>
      <c r="G16">
        <v>0</v>
      </c>
    </row>
    <row r="17" spans="1:7" ht="335" x14ac:dyDescent="0.2">
      <c r="A17" s="1">
        <v>5</v>
      </c>
      <c r="B17" s="3" t="s">
        <v>12</v>
      </c>
      <c r="C17" s="3" t="s">
        <v>13</v>
      </c>
      <c r="D17">
        <v>1</v>
      </c>
      <c r="E17">
        <v>1</v>
      </c>
      <c r="F17">
        <v>1</v>
      </c>
      <c r="G17">
        <v>0</v>
      </c>
    </row>
    <row r="18" spans="1:7" ht="409.6" x14ac:dyDescent="0.2">
      <c r="A18" s="1">
        <v>21</v>
      </c>
      <c r="B18" s="3" t="s">
        <v>12</v>
      </c>
      <c r="C18" s="3" t="s">
        <v>39</v>
      </c>
      <c r="D18">
        <v>1</v>
      </c>
      <c r="E18">
        <v>1</v>
      </c>
      <c r="F18">
        <v>1</v>
      </c>
      <c r="G18">
        <v>0</v>
      </c>
    </row>
    <row r="19" spans="1:7" ht="320" x14ac:dyDescent="0.2">
      <c r="A19" s="1">
        <v>37</v>
      </c>
      <c r="B19" s="3" t="s">
        <v>12</v>
      </c>
      <c r="C19" s="3" t="s">
        <v>55</v>
      </c>
      <c r="D19">
        <v>1</v>
      </c>
      <c r="E19">
        <v>1</v>
      </c>
      <c r="F19">
        <v>1</v>
      </c>
      <c r="G19">
        <v>0</v>
      </c>
    </row>
    <row r="20" spans="1:7" ht="304" x14ac:dyDescent="0.2">
      <c r="A20" s="1">
        <v>53</v>
      </c>
      <c r="B20" s="3" t="s">
        <v>12</v>
      </c>
      <c r="C20" s="3" t="s">
        <v>70</v>
      </c>
      <c r="D20">
        <v>1</v>
      </c>
      <c r="E20">
        <v>1</v>
      </c>
      <c r="F20">
        <v>1</v>
      </c>
      <c r="G20">
        <v>0</v>
      </c>
    </row>
    <row r="21" spans="1:7" ht="320" x14ac:dyDescent="0.2">
      <c r="A21" s="1">
        <v>69</v>
      </c>
      <c r="B21" s="3" t="s">
        <v>12</v>
      </c>
      <c r="C21" s="3" t="s">
        <v>55</v>
      </c>
      <c r="D21">
        <v>1</v>
      </c>
      <c r="E21">
        <v>1</v>
      </c>
      <c r="F21">
        <v>1</v>
      </c>
      <c r="G21">
        <v>0</v>
      </c>
    </row>
    <row r="22" spans="1:7" ht="335" x14ac:dyDescent="0.2">
      <c r="A22" s="1">
        <v>4</v>
      </c>
      <c r="B22" s="3" t="s">
        <v>10</v>
      </c>
      <c r="C22" s="3" t="s">
        <v>11</v>
      </c>
      <c r="D22">
        <v>1</v>
      </c>
      <c r="E22">
        <v>1</v>
      </c>
      <c r="F22">
        <v>1</v>
      </c>
      <c r="G22">
        <v>0</v>
      </c>
    </row>
    <row r="23" spans="1:7" ht="240" x14ac:dyDescent="0.2">
      <c r="A23" s="1">
        <v>20</v>
      </c>
      <c r="B23" s="3" t="s">
        <v>10</v>
      </c>
      <c r="C23" s="3" t="s">
        <v>38</v>
      </c>
      <c r="D23">
        <v>1</v>
      </c>
      <c r="E23">
        <v>1</v>
      </c>
      <c r="F23">
        <v>1</v>
      </c>
      <c r="G23">
        <v>0</v>
      </c>
    </row>
    <row r="24" spans="1:7" ht="350" x14ac:dyDescent="0.2">
      <c r="A24" s="1">
        <v>36</v>
      </c>
      <c r="B24" s="3" t="s">
        <v>10</v>
      </c>
      <c r="C24" s="3" t="s">
        <v>54</v>
      </c>
      <c r="D24">
        <v>1</v>
      </c>
      <c r="E24">
        <v>1</v>
      </c>
      <c r="F24">
        <v>1</v>
      </c>
      <c r="G24">
        <v>0</v>
      </c>
    </row>
    <row r="25" spans="1:7" ht="409.6" x14ac:dyDescent="0.2">
      <c r="A25" s="1">
        <v>52</v>
      </c>
      <c r="B25" s="3" t="s">
        <v>10</v>
      </c>
      <c r="C25" s="3" t="s">
        <v>69</v>
      </c>
      <c r="D25">
        <v>1</v>
      </c>
      <c r="E25">
        <v>1</v>
      </c>
      <c r="F25">
        <v>1</v>
      </c>
      <c r="G25">
        <v>0</v>
      </c>
    </row>
    <row r="26" spans="1:7" ht="335" x14ac:dyDescent="0.2">
      <c r="A26" s="1">
        <v>68</v>
      </c>
      <c r="B26" s="3" t="s">
        <v>10</v>
      </c>
      <c r="C26" s="3" t="s">
        <v>85</v>
      </c>
      <c r="D26">
        <v>1</v>
      </c>
      <c r="E26">
        <v>1</v>
      </c>
      <c r="F26">
        <v>1</v>
      </c>
      <c r="G26">
        <v>0</v>
      </c>
    </row>
    <row r="27" spans="1:7" ht="208" x14ac:dyDescent="0.2">
      <c r="A27" s="1">
        <v>11</v>
      </c>
      <c r="B27" s="3" t="s">
        <v>24</v>
      </c>
      <c r="C27" s="3" t="s">
        <v>25</v>
      </c>
      <c r="D27">
        <v>1</v>
      </c>
      <c r="E27">
        <v>1</v>
      </c>
      <c r="F27">
        <v>1</v>
      </c>
      <c r="G27">
        <v>0</v>
      </c>
    </row>
    <row r="28" spans="1:7" ht="288" x14ac:dyDescent="0.2">
      <c r="A28" s="1">
        <v>27</v>
      </c>
      <c r="B28" s="3" t="s">
        <v>24</v>
      </c>
      <c r="C28" s="3" t="s">
        <v>45</v>
      </c>
      <c r="D28">
        <v>1</v>
      </c>
      <c r="E28">
        <v>1</v>
      </c>
      <c r="F28">
        <v>1</v>
      </c>
      <c r="G28">
        <v>0</v>
      </c>
    </row>
    <row r="29" spans="1:7" ht="192" x14ac:dyDescent="0.2">
      <c r="A29" s="1">
        <v>43</v>
      </c>
      <c r="B29" s="3" t="s">
        <v>24</v>
      </c>
      <c r="C29" s="3" t="s">
        <v>61</v>
      </c>
      <c r="D29">
        <v>1</v>
      </c>
      <c r="E29">
        <v>1</v>
      </c>
      <c r="F29">
        <v>1</v>
      </c>
      <c r="G29">
        <v>0</v>
      </c>
    </row>
    <row r="30" spans="1:7" ht="409.6" x14ac:dyDescent="0.2">
      <c r="A30" s="1">
        <v>59</v>
      </c>
      <c r="B30" s="3" t="s">
        <v>24</v>
      </c>
      <c r="C30" s="3" t="s">
        <v>76</v>
      </c>
      <c r="D30">
        <v>1</v>
      </c>
      <c r="E30">
        <v>1</v>
      </c>
      <c r="F30">
        <v>1</v>
      </c>
      <c r="G30">
        <v>0</v>
      </c>
    </row>
    <row r="31" spans="1:7" ht="176" x14ac:dyDescent="0.2">
      <c r="A31" s="1">
        <v>75</v>
      </c>
      <c r="B31" s="3" t="s">
        <v>24</v>
      </c>
      <c r="C31" s="3" t="s">
        <v>91</v>
      </c>
      <c r="D31">
        <v>1</v>
      </c>
      <c r="E31">
        <v>1</v>
      </c>
      <c r="F31">
        <v>1</v>
      </c>
      <c r="G31">
        <v>0</v>
      </c>
    </row>
    <row r="32" spans="1:7" ht="380" x14ac:dyDescent="0.2">
      <c r="A32" s="1">
        <v>6</v>
      </c>
      <c r="B32" s="3" t="s">
        <v>14</v>
      </c>
      <c r="C32" s="3" t="s">
        <v>15</v>
      </c>
      <c r="D32">
        <v>1</v>
      </c>
      <c r="E32">
        <v>1</v>
      </c>
      <c r="F32">
        <v>1</v>
      </c>
      <c r="G32">
        <v>0</v>
      </c>
    </row>
    <row r="33" spans="1:7" ht="304" x14ac:dyDescent="0.2">
      <c r="A33" s="1">
        <v>22</v>
      </c>
      <c r="B33" s="3" t="s">
        <v>14</v>
      </c>
      <c r="C33" s="3" t="s">
        <v>40</v>
      </c>
      <c r="D33">
        <v>1</v>
      </c>
      <c r="E33">
        <v>1</v>
      </c>
      <c r="F33">
        <v>1</v>
      </c>
      <c r="G33">
        <v>0</v>
      </c>
    </row>
    <row r="34" spans="1:7" ht="160" x14ac:dyDescent="0.2">
      <c r="A34" s="1">
        <v>38</v>
      </c>
      <c r="B34" s="3" t="s">
        <v>14</v>
      </c>
      <c r="C34" s="3" t="s">
        <v>56</v>
      </c>
      <c r="D34">
        <v>1</v>
      </c>
      <c r="E34">
        <v>1</v>
      </c>
      <c r="F34">
        <v>1</v>
      </c>
      <c r="G34">
        <v>0</v>
      </c>
    </row>
    <row r="35" spans="1:7" ht="272" x14ac:dyDescent="0.2">
      <c r="A35" s="1">
        <v>54</v>
      </c>
      <c r="B35" s="3" t="s">
        <v>14</v>
      </c>
      <c r="C35" s="3" t="s">
        <v>71</v>
      </c>
      <c r="D35">
        <v>1</v>
      </c>
      <c r="E35">
        <v>1</v>
      </c>
      <c r="F35">
        <v>1</v>
      </c>
      <c r="G35">
        <v>0</v>
      </c>
    </row>
    <row r="36" spans="1:7" ht="272" x14ac:dyDescent="0.2">
      <c r="A36" s="1">
        <v>70</v>
      </c>
      <c r="B36" s="3" t="s">
        <v>14</v>
      </c>
      <c r="C36" s="3" t="s">
        <v>86</v>
      </c>
      <c r="D36">
        <v>1</v>
      </c>
      <c r="E36">
        <v>1</v>
      </c>
      <c r="F36">
        <v>1</v>
      </c>
      <c r="G36">
        <v>0</v>
      </c>
    </row>
    <row r="37" spans="1:7" ht="320" x14ac:dyDescent="0.2">
      <c r="A37" s="1">
        <v>8</v>
      </c>
      <c r="B37" s="3" t="s">
        <v>18</v>
      </c>
      <c r="C37" s="3" t="s">
        <v>19</v>
      </c>
      <c r="D37">
        <v>1</v>
      </c>
      <c r="E37">
        <v>1</v>
      </c>
      <c r="F37">
        <v>1</v>
      </c>
      <c r="G37">
        <v>0</v>
      </c>
    </row>
    <row r="38" spans="1:7" ht="192" x14ac:dyDescent="0.2">
      <c r="A38" s="1">
        <v>24</v>
      </c>
      <c r="B38" s="3" t="s">
        <v>18</v>
      </c>
      <c r="C38" s="3" t="s">
        <v>42</v>
      </c>
      <c r="D38">
        <v>1</v>
      </c>
      <c r="E38">
        <v>1</v>
      </c>
      <c r="F38">
        <v>1</v>
      </c>
      <c r="G38">
        <v>0</v>
      </c>
    </row>
    <row r="39" spans="1:7" ht="409.6" x14ac:dyDescent="0.2">
      <c r="A39" s="1">
        <v>40</v>
      </c>
      <c r="B39" s="3" t="s">
        <v>18</v>
      </c>
      <c r="C39" s="3" t="s">
        <v>58</v>
      </c>
      <c r="D39">
        <v>1</v>
      </c>
      <c r="E39">
        <v>1</v>
      </c>
      <c r="F39">
        <v>1</v>
      </c>
      <c r="G39">
        <v>0</v>
      </c>
    </row>
    <row r="40" spans="1:7" ht="409.6" x14ac:dyDescent="0.2">
      <c r="A40" s="1">
        <v>56</v>
      </c>
      <c r="B40" s="3" t="s">
        <v>18</v>
      </c>
      <c r="C40" s="3" t="s">
        <v>73</v>
      </c>
      <c r="D40">
        <v>1</v>
      </c>
      <c r="E40">
        <v>1</v>
      </c>
      <c r="F40">
        <v>1</v>
      </c>
      <c r="G40">
        <v>0</v>
      </c>
    </row>
    <row r="41" spans="1:7" ht="409.6" x14ac:dyDescent="0.2">
      <c r="A41" s="1">
        <v>72</v>
      </c>
      <c r="B41" s="3" t="s">
        <v>18</v>
      </c>
      <c r="C41" s="3" t="s">
        <v>88</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44</v>
      </c>
      <c r="D43">
        <v>0</v>
      </c>
      <c r="E43">
        <v>0</v>
      </c>
      <c r="F43">
        <v>0</v>
      </c>
      <c r="G43">
        <v>1</v>
      </c>
    </row>
    <row r="44" spans="1:7" ht="409.6" x14ac:dyDescent="0.2">
      <c r="A44" s="1">
        <v>42</v>
      </c>
      <c r="B44" s="3" t="s">
        <v>22</v>
      </c>
      <c r="C44" s="4" t="s">
        <v>60</v>
      </c>
      <c r="D44">
        <v>0</v>
      </c>
      <c r="E44">
        <v>0</v>
      </c>
      <c r="F44">
        <v>0</v>
      </c>
      <c r="G44">
        <v>1</v>
      </c>
    </row>
    <row r="45" spans="1:7" ht="409.6" x14ac:dyDescent="0.2">
      <c r="A45" s="1">
        <v>58</v>
      </c>
      <c r="B45" s="3" t="s">
        <v>22</v>
      </c>
      <c r="C45" s="4" t="s">
        <v>75</v>
      </c>
      <c r="D45">
        <v>0</v>
      </c>
      <c r="E45">
        <v>0</v>
      </c>
      <c r="F45">
        <v>0</v>
      </c>
      <c r="G45">
        <v>1</v>
      </c>
    </row>
    <row r="46" spans="1:7" ht="380" x14ac:dyDescent="0.2">
      <c r="A46" s="1">
        <v>74</v>
      </c>
      <c r="B46" s="3" t="s">
        <v>22</v>
      </c>
      <c r="C46" s="4" t="s">
        <v>90</v>
      </c>
      <c r="D46">
        <v>0</v>
      </c>
      <c r="E46">
        <v>0</v>
      </c>
      <c r="F46">
        <v>0</v>
      </c>
      <c r="G46">
        <v>1</v>
      </c>
    </row>
    <row r="47" spans="1:7" ht="409.6" x14ac:dyDescent="0.2">
      <c r="A47" s="1">
        <v>7</v>
      </c>
      <c r="B47" s="3" t="s">
        <v>16</v>
      </c>
      <c r="C47" s="3" t="s">
        <v>17</v>
      </c>
      <c r="D47">
        <v>1</v>
      </c>
      <c r="E47">
        <v>1</v>
      </c>
      <c r="F47">
        <v>1</v>
      </c>
      <c r="G47">
        <v>0</v>
      </c>
    </row>
    <row r="48" spans="1:7" ht="409.6" x14ac:dyDescent="0.2">
      <c r="A48" s="1">
        <v>23</v>
      </c>
      <c r="B48" s="3" t="s">
        <v>16</v>
      </c>
      <c r="C48" s="3" t="s">
        <v>41</v>
      </c>
      <c r="D48">
        <v>1</v>
      </c>
      <c r="E48">
        <v>1</v>
      </c>
      <c r="F48">
        <v>1</v>
      </c>
      <c r="G48">
        <v>0</v>
      </c>
    </row>
    <row r="49" spans="1:7" ht="409.6" x14ac:dyDescent="0.2">
      <c r="A49" s="1">
        <v>39</v>
      </c>
      <c r="B49" s="3" t="s">
        <v>16</v>
      </c>
      <c r="C49" s="3" t="s">
        <v>57</v>
      </c>
      <c r="D49">
        <v>1</v>
      </c>
      <c r="E49">
        <v>1</v>
      </c>
      <c r="F49">
        <v>1</v>
      </c>
      <c r="G49">
        <v>0</v>
      </c>
    </row>
    <row r="50" spans="1:7" ht="409.6" x14ac:dyDescent="0.2">
      <c r="A50" s="1">
        <v>55</v>
      </c>
      <c r="B50" s="3" t="s">
        <v>16</v>
      </c>
      <c r="C50" s="3" t="s">
        <v>72</v>
      </c>
      <c r="D50">
        <v>1</v>
      </c>
      <c r="E50">
        <v>1</v>
      </c>
      <c r="F50">
        <v>1</v>
      </c>
      <c r="G50">
        <v>0</v>
      </c>
    </row>
    <row r="51" spans="1:7" ht="409.6" x14ac:dyDescent="0.2">
      <c r="A51" s="1">
        <v>71</v>
      </c>
      <c r="B51" s="3" t="s">
        <v>16</v>
      </c>
      <c r="C51" s="3" t="s">
        <v>87</v>
      </c>
      <c r="D51">
        <v>1</v>
      </c>
      <c r="E51">
        <v>1</v>
      </c>
      <c r="F51">
        <v>1</v>
      </c>
      <c r="G51">
        <v>0</v>
      </c>
    </row>
    <row r="52" spans="1:7" ht="335" x14ac:dyDescent="0.2">
      <c r="A52" s="1">
        <v>14</v>
      </c>
      <c r="B52" s="3" t="s">
        <v>30</v>
      </c>
      <c r="C52" s="3" t="s">
        <v>31</v>
      </c>
      <c r="D52">
        <v>1</v>
      </c>
      <c r="E52">
        <v>1</v>
      </c>
      <c r="F52">
        <v>1</v>
      </c>
      <c r="G52">
        <v>0</v>
      </c>
    </row>
    <row r="53" spans="1:7" ht="409.6" x14ac:dyDescent="0.2">
      <c r="A53" s="1">
        <v>30</v>
      </c>
      <c r="B53" s="3" t="s">
        <v>30</v>
      </c>
      <c r="C53" s="3" t="s">
        <v>48</v>
      </c>
      <c r="D53">
        <v>1</v>
      </c>
      <c r="E53">
        <v>1</v>
      </c>
      <c r="F53">
        <v>1</v>
      </c>
      <c r="G53">
        <v>0</v>
      </c>
    </row>
    <row r="54" spans="1:7" ht="208" x14ac:dyDescent="0.2">
      <c r="A54" s="1">
        <v>46</v>
      </c>
      <c r="B54" s="3" t="s">
        <v>30</v>
      </c>
      <c r="C54" s="3" t="s">
        <v>64</v>
      </c>
      <c r="D54">
        <v>1</v>
      </c>
      <c r="E54">
        <v>1</v>
      </c>
      <c r="F54">
        <v>1</v>
      </c>
      <c r="G54">
        <v>0</v>
      </c>
    </row>
    <row r="55" spans="1:7" ht="409.6" x14ac:dyDescent="0.2">
      <c r="A55" s="1">
        <v>62</v>
      </c>
      <c r="B55" s="3" t="s">
        <v>30</v>
      </c>
      <c r="C55" s="3" t="s">
        <v>79</v>
      </c>
      <c r="D55">
        <v>1</v>
      </c>
      <c r="E55">
        <v>1</v>
      </c>
      <c r="F55">
        <v>1</v>
      </c>
      <c r="G55">
        <v>0</v>
      </c>
    </row>
    <row r="56" spans="1:7" ht="112" x14ac:dyDescent="0.2">
      <c r="A56" s="1">
        <v>78</v>
      </c>
      <c r="B56" s="3" t="s">
        <v>30</v>
      </c>
      <c r="C56" s="3" t="s">
        <v>94</v>
      </c>
      <c r="D56">
        <v>1</v>
      </c>
      <c r="E56">
        <v>1</v>
      </c>
      <c r="F56">
        <v>1</v>
      </c>
      <c r="G56">
        <v>0</v>
      </c>
    </row>
    <row r="57" spans="1:7" ht="409.6" x14ac:dyDescent="0.2">
      <c r="A57" s="1">
        <v>15</v>
      </c>
      <c r="B57" s="3" t="s">
        <v>32</v>
      </c>
      <c r="C57" s="3" t="s">
        <v>33</v>
      </c>
      <c r="D57">
        <v>1</v>
      </c>
      <c r="E57">
        <v>1</v>
      </c>
      <c r="F57">
        <v>1</v>
      </c>
      <c r="G57">
        <v>0</v>
      </c>
    </row>
    <row r="58" spans="1:7" ht="409.6" x14ac:dyDescent="0.2">
      <c r="A58" s="1">
        <v>31</v>
      </c>
      <c r="B58" s="3" t="s">
        <v>32</v>
      </c>
      <c r="C58" s="3" t="s">
        <v>49</v>
      </c>
      <c r="D58">
        <v>1</v>
      </c>
      <c r="E58">
        <v>1</v>
      </c>
      <c r="F58">
        <v>1</v>
      </c>
      <c r="G58">
        <v>0</v>
      </c>
    </row>
    <row r="59" spans="1:7" ht="409.6" x14ac:dyDescent="0.2">
      <c r="A59" s="1">
        <v>47</v>
      </c>
      <c r="B59" s="3" t="s">
        <v>32</v>
      </c>
      <c r="C59" s="3" t="s">
        <v>65</v>
      </c>
      <c r="D59">
        <v>1</v>
      </c>
      <c r="E59">
        <v>1</v>
      </c>
      <c r="F59">
        <v>1</v>
      </c>
      <c r="G59">
        <v>0</v>
      </c>
    </row>
    <row r="60" spans="1:7" ht="380" x14ac:dyDescent="0.2">
      <c r="A60" s="1">
        <v>63</v>
      </c>
      <c r="B60" s="3" t="s">
        <v>32</v>
      </c>
      <c r="C60" s="3" t="s">
        <v>80</v>
      </c>
      <c r="D60">
        <v>1</v>
      </c>
      <c r="E60">
        <v>1</v>
      </c>
      <c r="F60">
        <v>1</v>
      </c>
      <c r="G60">
        <v>0</v>
      </c>
    </row>
    <row r="61" spans="1:7" ht="409.6" x14ac:dyDescent="0.2">
      <c r="A61" s="1">
        <v>79</v>
      </c>
      <c r="B61" s="3" t="s">
        <v>32</v>
      </c>
      <c r="C61" s="3" t="s">
        <v>95</v>
      </c>
      <c r="D61">
        <v>1</v>
      </c>
      <c r="E61">
        <v>1</v>
      </c>
      <c r="F61">
        <v>1</v>
      </c>
      <c r="G61">
        <v>0</v>
      </c>
    </row>
    <row r="62" spans="1:7" ht="320" x14ac:dyDescent="0.2">
      <c r="A62" s="1">
        <v>13</v>
      </c>
      <c r="B62" s="3" t="s">
        <v>28</v>
      </c>
      <c r="C62" s="3" t="s">
        <v>29</v>
      </c>
      <c r="D62">
        <v>1</v>
      </c>
      <c r="E62">
        <v>1</v>
      </c>
      <c r="F62">
        <v>1</v>
      </c>
      <c r="G62">
        <v>0</v>
      </c>
    </row>
    <row r="63" spans="1:7" ht="380" x14ac:dyDescent="0.2">
      <c r="A63" s="1">
        <v>29</v>
      </c>
      <c r="B63" s="3" t="s">
        <v>28</v>
      </c>
      <c r="C63" s="3" t="s">
        <v>47</v>
      </c>
      <c r="D63">
        <v>1</v>
      </c>
      <c r="E63">
        <v>1</v>
      </c>
      <c r="F63">
        <v>1</v>
      </c>
      <c r="G63">
        <v>0</v>
      </c>
    </row>
    <row r="64" spans="1:7" ht="380" x14ac:dyDescent="0.2">
      <c r="A64" s="1">
        <v>45</v>
      </c>
      <c r="B64" s="3" t="s">
        <v>28</v>
      </c>
      <c r="C64" s="3" t="s">
        <v>63</v>
      </c>
      <c r="D64">
        <v>1</v>
      </c>
      <c r="E64">
        <v>1</v>
      </c>
      <c r="F64">
        <v>1</v>
      </c>
      <c r="G64">
        <v>0</v>
      </c>
    </row>
    <row r="65" spans="1:7" ht="395" x14ac:dyDescent="0.2">
      <c r="A65" s="1">
        <v>61</v>
      </c>
      <c r="B65" s="3" t="s">
        <v>28</v>
      </c>
      <c r="C65" s="3" t="s">
        <v>78</v>
      </c>
      <c r="D65">
        <v>1</v>
      </c>
      <c r="E65">
        <v>1</v>
      </c>
      <c r="F65">
        <v>1</v>
      </c>
      <c r="G65">
        <v>0</v>
      </c>
    </row>
    <row r="66" spans="1:7" ht="304" x14ac:dyDescent="0.2">
      <c r="A66" s="1">
        <v>77</v>
      </c>
      <c r="B66" s="3" t="s">
        <v>28</v>
      </c>
      <c r="C66" s="3" t="s">
        <v>93</v>
      </c>
      <c r="D66">
        <v>1</v>
      </c>
      <c r="E66">
        <v>1</v>
      </c>
      <c r="F66">
        <v>1</v>
      </c>
      <c r="G66">
        <v>0</v>
      </c>
    </row>
    <row r="67" spans="1:7" ht="409.6" x14ac:dyDescent="0.2">
      <c r="A67" s="1">
        <v>12</v>
      </c>
      <c r="B67" s="3" t="s">
        <v>26</v>
      </c>
      <c r="C67" s="3" t="s">
        <v>27</v>
      </c>
      <c r="D67">
        <v>1</v>
      </c>
      <c r="E67">
        <v>1</v>
      </c>
      <c r="F67">
        <v>1</v>
      </c>
      <c r="G67">
        <v>0</v>
      </c>
    </row>
    <row r="68" spans="1:7" ht="409.6" x14ac:dyDescent="0.2">
      <c r="A68" s="1">
        <v>28</v>
      </c>
      <c r="B68" s="3" t="s">
        <v>26</v>
      </c>
      <c r="C68" s="3" t="s">
        <v>46</v>
      </c>
      <c r="D68">
        <v>1</v>
      </c>
      <c r="E68">
        <v>1</v>
      </c>
      <c r="F68">
        <v>1</v>
      </c>
      <c r="G68">
        <v>0</v>
      </c>
    </row>
    <row r="69" spans="1:7" ht="409.6" x14ac:dyDescent="0.2">
      <c r="A69" s="1">
        <v>44</v>
      </c>
      <c r="B69" s="3" t="s">
        <v>26</v>
      </c>
      <c r="C69" s="3" t="s">
        <v>62</v>
      </c>
      <c r="D69">
        <v>1</v>
      </c>
      <c r="E69">
        <v>1</v>
      </c>
      <c r="F69">
        <v>1</v>
      </c>
      <c r="G69">
        <v>0</v>
      </c>
    </row>
    <row r="70" spans="1:7" ht="409.6" x14ac:dyDescent="0.2">
      <c r="A70" s="1">
        <v>60</v>
      </c>
      <c r="B70" s="3" t="s">
        <v>26</v>
      </c>
      <c r="C70" s="3" t="s">
        <v>77</v>
      </c>
      <c r="D70">
        <v>1</v>
      </c>
      <c r="E70">
        <v>1</v>
      </c>
      <c r="F70">
        <v>1</v>
      </c>
      <c r="G70">
        <v>0</v>
      </c>
    </row>
    <row r="71" spans="1:7" ht="409.6" x14ac:dyDescent="0.2">
      <c r="A71" s="1">
        <v>76</v>
      </c>
      <c r="B71" s="3" t="s">
        <v>26</v>
      </c>
      <c r="C71" s="3" t="s">
        <v>92</v>
      </c>
      <c r="D71">
        <v>1</v>
      </c>
      <c r="E71">
        <v>1</v>
      </c>
      <c r="F71">
        <v>1</v>
      </c>
      <c r="G71">
        <v>0</v>
      </c>
    </row>
    <row r="72" spans="1:7" ht="208" x14ac:dyDescent="0.2">
      <c r="A72" s="1">
        <v>2</v>
      </c>
      <c r="B72" s="3" t="s">
        <v>6</v>
      </c>
      <c r="C72" s="3" t="s">
        <v>7</v>
      </c>
      <c r="D72">
        <v>1</v>
      </c>
      <c r="E72">
        <v>1</v>
      </c>
      <c r="F72">
        <v>1</v>
      </c>
      <c r="G72">
        <v>0</v>
      </c>
    </row>
    <row r="73" spans="1:7" ht="335" x14ac:dyDescent="0.2">
      <c r="A73" s="1">
        <v>18</v>
      </c>
      <c r="B73" s="3" t="s">
        <v>6</v>
      </c>
      <c r="C73" s="3" t="s">
        <v>36</v>
      </c>
      <c r="D73">
        <v>1</v>
      </c>
      <c r="E73">
        <v>1</v>
      </c>
      <c r="F73">
        <v>1</v>
      </c>
      <c r="G73">
        <v>0</v>
      </c>
    </row>
    <row r="74" spans="1:7" ht="224" x14ac:dyDescent="0.2">
      <c r="A74" s="1">
        <v>34</v>
      </c>
      <c r="B74" s="3" t="s">
        <v>6</v>
      </c>
      <c r="C74" s="3" t="s">
        <v>52</v>
      </c>
      <c r="D74">
        <v>1</v>
      </c>
      <c r="E74">
        <v>1</v>
      </c>
      <c r="F74">
        <v>1</v>
      </c>
      <c r="G74">
        <v>0</v>
      </c>
    </row>
    <row r="75" spans="1:7" ht="176" x14ac:dyDescent="0.2">
      <c r="A75" s="1">
        <v>50</v>
      </c>
      <c r="B75" s="3" t="s">
        <v>6</v>
      </c>
      <c r="C75" s="3" t="s">
        <v>67</v>
      </c>
      <c r="D75">
        <v>1</v>
      </c>
      <c r="E75">
        <v>1</v>
      </c>
      <c r="F75">
        <v>1</v>
      </c>
      <c r="G75">
        <v>0</v>
      </c>
    </row>
    <row r="76" spans="1:7" ht="176" x14ac:dyDescent="0.2">
      <c r="A76" s="1">
        <v>66</v>
      </c>
      <c r="B76" s="3" t="s">
        <v>6</v>
      </c>
      <c r="C76" s="3" t="s">
        <v>83</v>
      </c>
      <c r="D76">
        <v>1</v>
      </c>
      <c r="E76">
        <v>1</v>
      </c>
      <c r="F76">
        <v>1</v>
      </c>
      <c r="G76">
        <v>0</v>
      </c>
    </row>
    <row r="77" spans="1:7" ht="304" x14ac:dyDescent="0.2">
      <c r="A77" s="1">
        <v>9</v>
      </c>
      <c r="B77" s="3" t="s">
        <v>20</v>
      </c>
      <c r="C77" s="3" t="s">
        <v>21</v>
      </c>
      <c r="D77">
        <v>1</v>
      </c>
      <c r="E77">
        <v>1</v>
      </c>
      <c r="F77">
        <v>1</v>
      </c>
      <c r="G77">
        <v>0</v>
      </c>
    </row>
    <row r="78" spans="1:7" ht="409.6" x14ac:dyDescent="0.2">
      <c r="A78" s="1">
        <v>25</v>
      </c>
      <c r="B78" s="3" t="s">
        <v>20</v>
      </c>
      <c r="C78" s="3" t="s">
        <v>43</v>
      </c>
      <c r="D78">
        <v>1</v>
      </c>
      <c r="E78">
        <v>1</v>
      </c>
      <c r="F78">
        <v>1</v>
      </c>
      <c r="G78">
        <v>0</v>
      </c>
    </row>
    <row r="79" spans="1:7" ht="350" x14ac:dyDescent="0.2">
      <c r="A79" s="1">
        <v>41</v>
      </c>
      <c r="B79" s="3" t="s">
        <v>20</v>
      </c>
      <c r="C79" s="3" t="s">
        <v>59</v>
      </c>
      <c r="D79">
        <v>1</v>
      </c>
      <c r="E79">
        <v>1</v>
      </c>
      <c r="F79">
        <v>1</v>
      </c>
      <c r="G79">
        <v>0</v>
      </c>
    </row>
    <row r="80" spans="1:7" ht="380" x14ac:dyDescent="0.2">
      <c r="A80" s="1">
        <v>57</v>
      </c>
      <c r="B80" s="3" t="s">
        <v>20</v>
      </c>
      <c r="C80" s="3" t="s">
        <v>74</v>
      </c>
      <c r="D80">
        <v>1</v>
      </c>
      <c r="E80">
        <v>1</v>
      </c>
      <c r="F80">
        <v>1</v>
      </c>
      <c r="G80">
        <v>0</v>
      </c>
    </row>
    <row r="81" spans="1:7" ht="409.6" x14ac:dyDescent="0.2">
      <c r="A81" s="1">
        <v>73</v>
      </c>
      <c r="B81" s="3" t="s">
        <v>20</v>
      </c>
      <c r="C81" s="3" t="s">
        <v>89</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447B-32A5-B042-9413-162DE15C3348}">
  <sheetPr>
    <outlinePr summaryBelow="0" summaryRight="0"/>
  </sheetPr>
  <dimension ref="A1:W994"/>
  <sheetViews>
    <sheetView workbookViewId="0">
      <selection activeCell="A26" sqref="A26"/>
    </sheetView>
  </sheetViews>
  <sheetFormatPr baseColWidth="10" defaultColWidth="12.6640625" defaultRowHeight="15.75" customHeight="1" x14ac:dyDescent="0.2"/>
  <cols>
    <col min="1" max="1" width="15.33203125" style="5" bestFit="1" customWidth="1"/>
    <col min="2" max="2" width="14.83203125" style="5" bestFit="1" customWidth="1"/>
    <col min="3" max="3" width="12.33203125" style="5" customWidth="1"/>
    <col min="4" max="4" width="10" style="5" bestFit="1" customWidth="1"/>
    <col min="5" max="5" width="17" style="5" customWidth="1"/>
    <col min="6" max="16384" width="12.6640625" style="5"/>
  </cols>
  <sheetData>
    <row r="1" spans="1:23" ht="16" x14ac:dyDescent="0.2">
      <c r="A1" s="11" t="s">
        <v>118</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117</v>
      </c>
      <c r="C3" s="6" t="s">
        <v>115</v>
      </c>
      <c r="E3" s="6" t="s">
        <v>113</v>
      </c>
      <c r="F3" s="6"/>
      <c r="G3" s="6"/>
      <c r="H3" s="6"/>
      <c r="I3" s="6"/>
      <c r="J3" s="6"/>
      <c r="K3" s="6"/>
      <c r="L3" s="6"/>
      <c r="M3" s="6"/>
      <c r="N3" s="6"/>
      <c r="O3" s="6"/>
      <c r="P3" s="6"/>
      <c r="Q3" s="6"/>
      <c r="R3" s="6"/>
      <c r="S3" s="6"/>
      <c r="T3" s="6"/>
      <c r="U3" s="6"/>
      <c r="V3" s="6"/>
      <c r="W3" s="6"/>
    </row>
    <row r="4" spans="1:23" ht="16" x14ac:dyDescent="0.2">
      <c r="B4" t="s">
        <v>101</v>
      </c>
      <c r="C4">
        <v>0</v>
      </c>
      <c r="D4">
        <v>1</v>
      </c>
      <c r="E4" t="s">
        <v>100</v>
      </c>
      <c r="F4" s="6"/>
      <c r="G4" s="6"/>
      <c r="H4" s="6"/>
      <c r="I4" s="6"/>
      <c r="J4" s="6"/>
      <c r="K4" s="6"/>
      <c r="L4" s="6"/>
      <c r="M4" s="6"/>
      <c r="N4" s="6"/>
      <c r="O4" s="6"/>
      <c r="P4" s="6"/>
      <c r="Q4" s="6"/>
      <c r="R4" s="6"/>
      <c r="S4" s="6"/>
      <c r="T4" s="6"/>
      <c r="U4" s="6"/>
      <c r="V4" s="6"/>
      <c r="W4" s="6"/>
    </row>
    <row r="5" spans="1:23" ht="16" x14ac:dyDescent="0.2">
      <c r="A5" s="19" t="s">
        <v>114</v>
      </c>
      <c r="B5">
        <v>0</v>
      </c>
      <c r="C5">
        <v>5</v>
      </c>
      <c r="D5"/>
      <c r="E5">
        <v>5</v>
      </c>
      <c r="F5" s="6"/>
      <c r="G5" s="6"/>
      <c r="H5" s="6"/>
      <c r="I5" s="6"/>
      <c r="J5" s="6"/>
      <c r="K5" s="6"/>
      <c r="L5" s="6"/>
      <c r="M5" s="6"/>
      <c r="N5" s="6"/>
      <c r="O5" s="6"/>
      <c r="P5" s="6"/>
      <c r="Q5" s="6"/>
      <c r="R5" s="6"/>
      <c r="S5" s="6"/>
      <c r="T5" s="6"/>
      <c r="U5" s="6"/>
      <c r="V5" s="6"/>
      <c r="W5" s="6"/>
    </row>
    <row r="6" spans="1:23" ht="16" x14ac:dyDescent="0.2">
      <c r="B6">
        <v>1</v>
      </c>
      <c r="C6"/>
      <c r="D6">
        <v>75</v>
      </c>
      <c r="E6">
        <v>75</v>
      </c>
      <c r="F6" s="6"/>
      <c r="G6" s="6"/>
      <c r="H6" s="6"/>
      <c r="I6" s="6"/>
      <c r="J6" s="6"/>
      <c r="K6" s="6"/>
      <c r="L6" s="6"/>
      <c r="M6" s="6"/>
      <c r="N6" s="6"/>
      <c r="O6" s="6"/>
      <c r="P6" s="6"/>
      <c r="Q6" s="6"/>
      <c r="R6" s="6"/>
      <c r="S6" s="6"/>
      <c r="T6" s="6"/>
      <c r="U6" s="6"/>
      <c r="V6" s="6"/>
      <c r="W6" s="6"/>
    </row>
    <row r="7" spans="1:23" ht="16" x14ac:dyDescent="0.2">
      <c r="A7" s="22"/>
      <c r="B7" t="s">
        <v>100</v>
      </c>
      <c r="C7">
        <v>5</v>
      </c>
      <c r="D7">
        <v>75</v>
      </c>
      <c r="E7">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116</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115</v>
      </c>
      <c r="D11" s="20"/>
      <c r="E11" s="6" t="s">
        <v>113</v>
      </c>
      <c r="F11" s="6"/>
      <c r="G11" s="6"/>
      <c r="H11" s="6"/>
      <c r="I11" s="6"/>
      <c r="J11" s="6"/>
      <c r="K11" s="6"/>
      <c r="L11" s="6"/>
      <c r="M11" s="6"/>
      <c r="N11" s="6"/>
      <c r="O11" s="6"/>
      <c r="P11" s="6"/>
      <c r="Q11" s="6"/>
      <c r="R11" s="6"/>
      <c r="S11" s="6"/>
      <c r="T11" s="6"/>
      <c r="U11" s="6"/>
      <c r="V11" s="6"/>
      <c r="W11" s="6"/>
    </row>
    <row r="12" spans="1:23" ht="16" x14ac:dyDescent="0.2">
      <c r="C12" s="5">
        <v>0</v>
      </c>
      <c r="D12" s="5">
        <v>1</v>
      </c>
      <c r="E12" s="7" t="s">
        <v>100</v>
      </c>
      <c r="F12" s="6"/>
      <c r="G12" s="6"/>
      <c r="H12" s="6"/>
      <c r="I12" s="6"/>
      <c r="J12" s="6"/>
      <c r="K12" s="6"/>
      <c r="L12" s="6"/>
      <c r="M12" s="6"/>
      <c r="N12" s="6"/>
      <c r="O12" s="6"/>
      <c r="P12" s="6"/>
      <c r="Q12" s="6"/>
      <c r="R12" s="6"/>
      <c r="S12" s="6"/>
      <c r="T12" s="6"/>
      <c r="U12" s="6"/>
      <c r="V12" s="6"/>
      <c r="W12" s="6"/>
    </row>
    <row r="13" spans="1:23" ht="16" x14ac:dyDescent="0.2">
      <c r="A13" s="19" t="s">
        <v>114</v>
      </c>
      <c r="B13" s="5">
        <v>0</v>
      </c>
      <c r="C13" s="16">
        <f>C$15*$E13/$E$15</f>
        <v>0.3125</v>
      </c>
      <c r="D13" s="13">
        <f>D$15*$E13/$E$15</f>
        <v>4.6875</v>
      </c>
      <c r="E13">
        <v>5</v>
      </c>
      <c r="F13" s="6"/>
      <c r="G13" s="6"/>
      <c r="H13" s="6"/>
      <c r="I13" s="6"/>
      <c r="J13" s="6"/>
      <c r="K13" s="6"/>
      <c r="L13" s="6"/>
      <c r="M13" s="6"/>
      <c r="N13" s="6"/>
      <c r="O13" s="6"/>
      <c r="P13" s="6"/>
      <c r="Q13" s="6"/>
      <c r="R13" s="6"/>
      <c r="S13" s="6"/>
      <c r="T13" s="6"/>
      <c r="U13" s="6"/>
      <c r="V13" s="6"/>
      <c r="W13" s="6"/>
    </row>
    <row r="14" spans="1:23" ht="16" x14ac:dyDescent="0.2">
      <c r="B14" s="5">
        <v>1</v>
      </c>
      <c r="C14" s="13">
        <f>C$15*$E14/$E$15</f>
        <v>4.6875</v>
      </c>
      <c r="D14" s="16">
        <f>D$15*$E14/$E$15</f>
        <v>70.3125</v>
      </c>
      <c r="E14">
        <v>75</v>
      </c>
      <c r="F14" s="6"/>
      <c r="G14" s="6"/>
      <c r="H14" s="6"/>
      <c r="I14" s="6"/>
      <c r="J14" s="6"/>
      <c r="K14" s="6"/>
      <c r="L14" s="6"/>
      <c r="M14" s="6"/>
      <c r="N14" s="6"/>
      <c r="O14" s="6"/>
      <c r="P14" s="6"/>
      <c r="Q14" s="6"/>
      <c r="R14" s="6"/>
      <c r="S14" s="6"/>
      <c r="T14" s="6"/>
      <c r="U14" s="6"/>
      <c r="V14" s="6"/>
      <c r="W14" s="6"/>
    </row>
    <row r="15" spans="1:23" ht="16" x14ac:dyDescent="0.2">
      <c r="A15" s="18" t="s">
        <v>113</v>
      </c>
      <c r="C15">
        <v>5</v>
      </c>
      <c r="D15">
        <v>75</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112</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111</v>
      </c>
      <c r="C19" s="7" t="s">
        <v>110</v>
      </c>
      <c r="D19" s="7"/>
      <c r="E19" s="7"/>
      <c r="F19" s="6"/>
      <c r="G19" s="6"/>
      <c r="H19" s="6"/>
      <c r="I19" s="6"/>
      <c r="J19" s="6"/>
      <c r="K19" s="6"/>
      <c r="L19" s="6"/>
      <c r="M19" s="6"/>
      <c r="N19" s="6"/>
      <c r="O19" s="6"/>
      <c r="P19" s="6"/>
      <c r="Q19" s="6"/>
      <c r="R19" s="6"/>
      <c r="S19" s="6"/>
      <c r="T19" s="6"/>
      <c r="U19" s="6"/>
      <c r="V19" s="6"/>
      <c r="W19" s="6"/>
    </row>
    <row r="20" spans="1:23" ht="16" x14ac:dyDescent="0.2">
      <c r="A20" s="6" t="s">
        <v>109</v>
      </c>
      <c r="B20" s="7">
        <f>SUM(C5,D6)</f>
        <v>80</v>
      </c>
      <c r="C20" s="17">
        <f>B20/B22</f>
        <v>1</v>
      </c>
      <c r="D20" s="7"/>
      <c r="E20" s="7"/>
      <c r="F20" s="6"/>
      <c r="G20" s="6"/>
      <c r="H20" s="6"/>
      <c r="I20" s="6"/>
      <c r="J20" s="6"/>
      <c r="K20" s="6"/>
      <c r="L20" s="6"/>
      <c r="M20" s="6"/>
      <c r="N20" s="6"/>
      <c r="O20" s="6"/>
      <c r="P20" s="6"/>
      <c r="Q20" s="6"/>
      <c r="R20" s="6"/>
      <c r="S20" s="6"/>
      <c r="T20" s="6"/>
      <c r="U20" s="6"/>
      <c r="V20" s="6"/>
      <c r="W20" s="6"/>
    </row>
    <row r="21" spans="1:23" ht="16" x14ac:dyDescent="0.2">
      <c r="A21" s="6" t="s">
        <v>108</v>
      </c>
      <c r="B21" s="7">
        <f>SUM(C13,D14)</f>
        <v>70.625</v>
      </c>
      <c r="C21" s="17">
        <f>B21/B22</f>
        <v>0.8828125</v>
      </c>
      <c r="D21" s="7"/>
      <c r="E21" s="7"/>
      <c r="F21" s="6"/>
      <c r="G21" s="6"/>
      <c r="H21" s="6"/>
      <c r="I21" s="6"/>
      <c r="J21" s="6"/>
      <c r="K21" s="6"/>
      <c r="L21" s="6"/>
      <c r="M21" s="6"/>
      <c r="N21" s="6"/>
      <c r="O21" s="6"/>
      <c r="P21" s="6"/>
      <c r="Q21" s="6"/>
      <c r="R21" s="6"/>
      <c r="S21" s="6"/>
      <c r="T21" s="6"/>
      <c r="U21" s="6"/>
      <c r="V21" s="6"/>
      <c r="W21" s="6"/>
    </row>
    <row r="22" spans="1:23" ht="16" x14ac:dyDescent="0.2">
      <c r="A22" s="6" t="s">
        <v>107</v>
      </c>
      <c r="B22" s="7">
        <f>E15</f>
        <v>80</v>
      </c>
      <c r="C22" s="17">
        <v>1</v>
      </c>
      <c r="D22" s="7"/>
      <c r="E22" s="16" t="s">
        <v>106</v>
      </c>
      <c r="F22" s="6"/>
      <c r="G22" s="6"/>
      <c r="H22" s="6"/>
      <c r="I22" s="6"/>
      <c r="J22" s="6"/>
      <c r="K22" s="6"/>
      <c r="L22" s="6"/>
      <c r="M22" s="6"/>
      <c r="N22" s="6"/>
      <c r="O22" s="6"/>
      <c r="P22" s="6"/>
      <c r="Q22" s="6"/>
      <c r="R22" s="6"/>
      <c r="S22" s="6"/>
      <c r="T22" s="6"/>
      <c r="U22" s="6"/>
      <c r="V22" s="6"/>
      <c r="W22" s="6"/>
    </row>
    <row r="23" spans="1:23" ht="16" x14ac:dyDescent="0.2">
      <c r="A23" s="12" t="s">
        <v>105</v>
      </c>
      <c r="B23" s="15">
        <f>(B20-B21)/(B22-B21)</f>
        <v>1</v>
      </c>
      <c r="C23" s="15">
        <f>(C20-C21)/(C22-C21)</f>
        <v>1</v>
      </c>
      <c r="D23" s="14"/>
      <c r="E23" s="13" t="s">
        <v>104</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9" t="s">
        <v>103</v>
      </c>
      <c r="B28" s="9" t="s">
        <v>102</v>
      </c>
      <c r="C28"/>
      <c r="D28"/>
      <c r="E28" s="7"/>
      <c r="F28" s="6"/>
      <c r="G28" s="6"/>
      <c r="H28" s="6"/>
      <c r="I28" s="6"/>
      <c r="J28" s="6"/>
      <c r="K28" s="6"/>
      <c r="L28" s="6"/>
      <c r="M28" s="6"/>
      <c r="N28" s="6"/>
      <c r="O28" s="6"/>
      <c r="P28" s="6"/>
      <c r="Q28" s="6"/>
      <c r="R28" s="6"/>
      <c r="S28" s="6"/>
      <c r="T28" s="6"/>
      <c r="U28" s="6"/>
      <c r="V28" s="6"/>
      <c r="W28" s="6"/>
    </row>
    <row r="29" spans="1:23" ht="16" x14ac:dyDescent="0.2">
      <c r="A29" s="9" t="s">
        <v>101</v>
      </c>
      <c r="B29">
        <v>0</v>
      </c>
      <c r="C29">
        <v>1</v>
      </c>
      <c r="D29" t="s">
        <v>100</v>
      </c>
      <c r="E29" s="7"/>
      <c r="F29" s="6"/>
      <c r="G29" s="6"/>
      <c r="H29" s="6"/>
      <c r="I29" s="6"/>
      <c r="J29" s="6"/>
      <c r="K29" s="6"/>
      <c r="L29" s="6"/>
      <c r="M29" s="6"/>
      <c r="N29" s="6"/>
      <c r="O29" s="6"/>
      <c r="P29" s="6"/>
      <c r="Q29" s="6"/>
      <c r="R29" s="6"/>
      <c r="S29" s="6"/>
      <c r="T29" s="6"/>
      <c r="U29" s="6"/>
      <c r="V29" s="6"/>
      <c r="W29" s="6"/>
    </row>
    <row r="30" spans="1:23" ht="16" x14ac:dyDescent="0.2">
      <c r="A30" s="8">
        <v>0</v>
      </c>
      <c r="B30" s="23">
        <v>5</v>
      </c>
      <c r="C30" s="23"/>
      <c r="D30" s="23">
        <v>5</v>
      </c>
      <c r="E30" s="7"/>
      <c r="F30" s="6"/>
      <c r="G30" s="6"/>
      <c r="H30" s="6"/>
      <c r="I30" s="6"/>
      <c r="J30" s="6"/>
      <c r="K30" s="6"/>
      <c r="L30" s="6"/>
      <c r="M30" s="6"/>
      <c r="N30" s="6"/>
      <c r="O30" s="6"/>
      <c r="P30" s="6"/>
      <c r="Q30" s="6"/>
      <c r="R30" s="6"/>
      <c r="S30" s="6"/>
      <c r="T30" s="6"/>
      <c r="U30" s="6"/>
      <c r="V30" s="6"/>
      <c r="W30" s="6"/>
    </row>
    <row r="31" spans="1:23" ht="16" x14ac:dyDescent="0.2">
      <c r="A31" s="8">
        <v>1</v>
      </c>
      <c r="B31" s="23"/>
      <c r="C31" s="23">
        <v>75</v>
      </c>
      <c r="D31" s="23">
        <v>75</v>
      </c>
      <c r="E31" s="7"/>
      <c r="F31" s="6"/>
      <c r="G31" s="6"/>
      <c r="H31" s="6"/>
      <c r="I31" s="6"/>
      <c r="J31" s="6"/>
      <c r="K31" s="6"/>
      <c r="L31" s="6"/>
      <c r="M31" s="6"/>
      <c r="N31" s="6"/>
      <c r="O31" s="6"/>
      <c r="P31" s="6"/>
      <c r="Q31" s="6"/>
      <c r="R31" s="6"/>
      <c r="S31" s="6"/>
      <c r="T31" s="6"/>
      <c r="U31" s="6"/>
      <c r="V31" s="6"/>
      <c r="W31" s="6"/>
    </row>
    <row r="32" spans="1:23" ht="16" x14ac:dyDescent="0.2">
      <c r="A32" s="8" t="s">
        <v>100</v>
      </c>
      <c r="B32" s="23">
        <v>5</v>
      </c>
      <c r="C32" s="23">
        <v>75</v>
      </c>
      <c r="D32" s="23">
        <v>80</v>
      </c>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t="s">
        <v>101</v>
      </c>
      <c r="B34">
        <v>0</v>
      </c>
      <c r="C34">
        <v>1</v>
      </c>
      <c r="D34" t="s">
        <v>100</v>
      </c>
      <c r="E34" s="7"/>
      <c r="F34" s="6"/>
      <c r="G34" s="6"/>
      <c r="H34" s="6"/>
      <c r="I34" s="6"/>
      <c r="J34" s="6"/>
      <c r="K34" s="6"/>
      <c r="L34" s="6"/>
      <c r="M34" s="6"/>
      <c r="N34" s="6"/>
      <c r="O34" s="6"/>
      <c r="P34" s="6"/>
      <c r="Q34" s="6"/>
      <c r="R34" s="6"/>
      <c r="S34" s="6"/>
      <c r="T34" s="6"/>
      <c r="U34" s="6"/>
      <c r="V34" s="6"/>
      <c r="W34" s="6"/>
    </row>
    <row r="35" spans="1:23" ht="16" x14ac:dyDescent="0.2">
      <c r="A35">
        <v>0</v>
      </c>
      <c r="B35">
        <v>5</v>
      </c>
      <c r="C35"/>
      <c r="D35">
        <v>5</v>
      </c>
      <c r="E35" s="7"/>
      <c r="F35" s="6"/>
      <c r="G35" s="6"/>
      <c r="H35" s="6"/>
      <c r="I35" s="6"/>
      <c r="J35" s="6"/>
      <c r="K35" s="6"/>
      <c r="L35" s="6"/>
      <c r="M35" s="6"/>
      <c r="N35" s="6"/>
      <c r="O35" s="6"/>
      <c r="P35" s="6"/>
      <c r="Q35" s="6"/>
      <c r="R35" s="6"/>
      <c r="S35" s="6"/>
      <c r="T35" s="6"/>
      <c r="U35" s="6"/>
      <c r="V35" s="6"/>
      <c r="W35" s="6"/>
    </row>
    <row r="36" spans="1:23" ht="16" x14ac:dyDescent="0.2">
      <c r="A36">
        <v>1</v>
      </c>
      <c r="B36"/>
      <c r="C36">
        <v>75</v>
      </c>
      <c r="D36">
        <v>75</v>
      </c>
      <c r="E36" s="7"/>
      <c r="F36" s="6"/>
      <c r="G36" s="6"/>
      <c r="H36" s="6"/>
      <c r="I36" s="6"/>
      <c r="J36" s="6"/>
      <c r="K36" s="6"/>
      <c r="L36" s="6"/>
      <c r="M36" s="6"/>
      <c r="N36" s="6"/>
      <c r="O36" s="6"/>
      <c r="P36" s="6"/>
      <c r="Q36" s="6"/>
      <c r="R36" s="6"/>
      <c r="S36" s="6"/>
      <c r="T36" s="6"/>
      <c r="U36" s="6"/>
      <c r="V36" s="6"/>
      <c r="W36" s="6"/>
    </row>
    <row r="37" spans="1:23" ht="16" x14ac:dyDescent="0.2">
      <c r="A37" t="s">
        <v>100</v>
      </c>
      <c r="B37">
        <v>5</v>
      </c>
      <c r="C37">
        <v>75</v>
      </c>
      <c r="D37">
        <v>80</v>
      </c>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s="7"/>
      <c r="E39" s="7"/>
      <c r="F39" s="6"/>
      <c r="G39" s="6"/>
      <c r="H39" s="6"/>
      <c r="I39" s="6"/>
      <c r="J39" s="6"/>
      <c r="K39" s="6"/>
      <c r="L39" s="6"/>
      <c r="M39" s="6"/>
      <c r="N39" s="6"/>
      <c r="O39" s="6"/>
      <c r="P39" s="6"/>
      <c r="Q39" s="6"/>
      <c r="R39" s="6"/>
      <c r="S39" s="6"/>
      <c r="T39" s="6"/>
      <c r="U39" s="6"/>
      <c r="V39" s="6"/>
      <c r="W39" s="6"/>
    </row>
    <row r="40" spans="1:23" ht="16" x14ac:dyDescent="0.2">
      <c r="A40"/>
      <c r="B40"/>
      <c r="C40"/>
      <c r="D40" s="7"/>
      <c r="E40" s="7"/>
      <c r="F40" s="6"/>
      <c r="G40" s="6"/>
      <c r="H40" s="6"/>
      <c r="I40" s="6"/>
      <c r="J40" s="6"/>
      <c r="K40" s="6"/>
      <c r="L40" s="6"/>
      <c r="M40" s="6"/>
      <c r="N40" s="6"/>
      <c r="O40" s="6"/>
      <c r="P40" s="6"/>
      <c r="Q40" s="6"/>
      <c r="R40" s="6"/>
      <c r="S40" s="6"/>
      <c r="T40" s="6"/>
      <c r="U40" s="6"/>
      <c r="V40" s="6"/>
      <c r="W40" s="6"/>
    </row>
    <row r="41" spans="1:23" ht="16" x14ac:dyDescent="0.2">
      <c r="A41"/>
      <c r="B41"/>
      <c r="C41"/>
      <c r="D41" s="7"/>
      <c r="E41" s="7"/>
      <c r="F41" s="6"/>
      <c r="G41" s="6"/>
      <c r="H41" s="6"/>
      <c r="I41" s="6"/>
      <c r="J41" s="6"/>
      <c r="K41" s="6"/>
      <c r="L41" s="6"/>
      <c r="M41" s="6"/>
      <c r="N41" s="6"/>
      <c r="O41" s="6"/>
      <c r="P41" s="6"/>
      <c r="Q41" s="6"/>
      <c r="R41" s="6"/>
      <c r="S41" s="6"/>
      <c r="T41" s="6"/>
      <c r="U41" s="6"/>
      <c r="V41" s="6"/>
      <c r="W41" s="6"/>
    </row>
    <row r="42" spans="1:23" ht="16" x14ac:dyDescent="0.2">
      <c r="A42"/>
      <c r="B42"/>
      <c r="C42"/>
      <c r="D42" s="7"/>
      <c r="E42" s="7"/>
      <c r="F42" s="6"/>
      <c r="G42" s="6"/>
      <c r="H42" s="6"/>
      <c r="I42" s="6"/>
      <c r="J42" s="6"/>
      <c r="K42" s="6"/>
      <c r="L42" s="6"/>
      <c r="M42" s="6"/>
      <c r="N42" s="6"/>
      <c r="O42" s="6"/>
      <c r="P42" s="6"/>
      <c r="Q42" s="6"/>
      <c r="R42" s="6"/>
      <c r="S42" s="6"/>
      <c r="T42" s="6"/>
      <c r="U42" s="6"/>
      <c r="V42" s="6"/>
      <c r="W42" s="6"/>
    </row>
    <row r="43" spans="1:23" ht="16" x14ac:dyDescent="0.2">
      <c r="A43"/>
      <c r="B43"/>
      <c r="C43"/>
      <c r="D43" s="7"/>
      <c r="E43" s="7"/>
      <c r="F43" s="6"/>
      <c r="G43" s="6"/>
      <c r="H43" s="6"/>
      <c r="I43" s="6"/>
      <c r="J43" s="6"/>
      <c r="K43" s="6"/>
      <c r="L43" s="6"/>
      <c r="M43" s="6"/>
      <c r="N43" s="6"/>
      <c r="O43" s="6"/>
      <c r="P43" s="6"/>
      <c r="Q43" s="6"/>
      <c r="R43" s="6"/>
      <c r="S43" s="6"/>
      <c r="T43" s="6"/>
      <c r="U43" s="6"/>
      <c r="V43" s="6"/>
      <c r="W43" s="6"/>
    </row>
    <row r="44" spans="1:23" ht="16" x14ac:dyDescent="0.2">
      <c r="A44"/>
      <c r="B44"/>
      <c r="C44"/>
      <c r="D44" s="7"/>
      <c r="E44" s="7"/>
      <c r="F44" s="6"/>
      <c r="G44" s="6"/>
      <c r="H44" s="6"/>
      <c r="I44" s="6"/>
      <c r="J44" s="6"/>
      <c r="K44" s="6"/>
      <c r="L44" s="6"/>
      <c r="M44" s="6"/>
      <c r="N44" s="6"/>
      <c r="O44" s="6"/>
      <c r="P44" s="6"/>
      <c r="Q44" s="6"/>
      <c r="R44" s="6"/>
      <c r="S44" s="6"/>
      <c r="T44" s="6"/>
      <c r="U44" s="6"/>
      <c r="V44" s="6"/>
      <c r="W44" s="6"/>
    </row>
    <row r="45" spans="1:23" ht="16" x14ac:dyDescent="0.2">
      <c r="A45"/>
      <c r="B45"/>
      <c r="C45"/>
      <c r="D45" s="7"/>
      <c r="E45" s="7"/>
      <c r="F45" s="6"/>
      <c r="G45" s="6"/>
      <c r="H45" s="6"/>
      <c r="I45" s="6"/>
      <c r="J45" s="6"/>
      <c r="K45" s="6"/>
      <c r="L45" s="6"/>
      <c r="M45" s="6"/>
      <c r="N45" s="6"/>
      <c r="O45" s="6"/>
      <c r="P45" s="6"/>
      <c r="Q45" s="6"/>
      <c r="R45" s="6"/>
      <c r="S45" s="6"/>
      <c r="T45" s="6"/>
      <c r="U45" s="6"/>
      <c r="V45" s="6"/>
      <c r="W45" s="6"/>
    </row>
    <row r="46" spans="1:23" ht="16" x14ac:dyDescent="0.2">
      <c r="A46"/>
      <c r="B46"/>
      <c r="C46"/>
      <c r="D46" s="7"/>
      <c r="E46" s="7"/>
      <c r="F46" s="6"/>
      <c r="G46" s="6"/>
      <c r="H46" s="6"/>
      <c r="I46" s="6"/>
      <c r="J46" s="6"/>
      <c r="K46" s="6"/>
      <c r="L46" s="6"/>
      <c r="M46" s="6"/>
      <c r="N46" s="6"/>
      <c r="O46" s="6"/>
      <c r="P46" s="6"/>
      <c r="Q46" s="6"/>
      <c r="R46" s="6"/>
      <c r="S46" s="6"/>
      <c r="T46" s="6"/>
      <c r="U46" s="6"/>
      <c r="V46" s="6"/>
      <c r="W46" s="6"/>
    </row>
    <row r="47" spans="1:23" ht="16" x14ac:dyDescent="0.2">
      <c r="A47" s="6"/>
      <c r="B47" s="7"/>
      <c r="C47" s="7"/>
      <c r="D47" s="7"/>
      <c r="E47" s="7"/>
      <c r="F47" s="6"/>
      <c r="G47" s="6"/>
      <c r="H47" s="6"/>
      <c r="I47" s="6"/>
      <c r="J47" s="6"/>
      <c r="K47" s="6"/>
      <c r="L47" s="6"/>
      <c r="M47" s="6"/>
      <c r="N47" s="6"/>
      <c r="O47" s="6"/>
      <c r="P47" s="6"/>
      <c r="Q47" s="6"/>
      <c r="R47" s="6"/>
      <c r="S47" s="6"/>
      <c r="T47" s="6"/>
      <c r="U47" s="6"/>
      <c r="V47" s="6"/>
      <c r="W47" s="6"/>
    </row>
    <row r="48" spans="1:23" ht="16" x14ac:dyDescent="0.2">
      <c r="A48" s="6"/>
      <c r="B48" s="7"/>
      <c r="C48" s="7"/>
      <c r="D48" s="7"/>
      <c r="E48" s="7"/>
      <c r="F48" s="6"/>
      <c r="G48" s="6"/>
      <c r="H48" s="6"/>
      <c r="I48" s="6"/>
      <c r="J48" s="6"/>
      <c r="K48" s="6"/>
      <c r="L48" s="6"/>
      <c r="M48" s="6"/>
      <c r="N48" s="6"/>
      <c r="O48" s="6"/>
      <c r="P48" s="6"/>
      <c r="Q48" s="6"/>
      <c r="R48" s="6"/>
      <c r="S48" s="6"/>
      <c r="T48" s="6"/>
      <c r="U48" s="6"/>
      <c r="V48" s="6"/>
      <c r="W48" s="6"/>
    </row>
    <row r="49" spans="1:23" ht="16" x14ac:dyDescent="0.2">
      <c r="A49" s="6"/>
      <c r="B49" s="7"/>
      <c r="C49" s="7"/>
      <c r="D49" s="7"/>
      <c r="E49" s="7"/>
      <c r="F49" s="6"/>
      <c r="G49" s="6"/>
      <c r="H49" s="6"/>
      <c r="I49" s="6"/>
      <c r="J49" s="6"/>
      <c r="K49" s="6"/>
      <c r="L49" s="6"/>
      <c r="M49" s="6"/>
      <c r="N49" s="6"/>
      <c r="O49" s="6"/>
      <c r="P49" s="6"/>
      <c r="Q49" s="6"/>
      <c r="R49" s="6"/>
      <c r="S49" s="6"/>
      <c r="T49" s="6"/>
      <c r="U49" s="6"/>
      <c r="V49" s="6"/>
      <c r="W49" s="6"/>
    </row>
    <row r="50" spans="1:23" ht="16" x14ac:dyDescent="0.2">
      <c r="A50" s="6"/>
      <c r="B50" s="7"/>
      <c r="C50" s="7"/>
      <c r="D50" s="7"/>
      <c r="E50" s="7"/>
      <c r="F50" s="6"/>
      <c r="G50" s="6"/>
      <c r="H50" s="6"/>
      <c r="I50" s="6"/>
      <c r="J50" s="6"/>
      <c r="K50" s="6"/>
      <c r="L50" s="6"/>
      <c r="M50" s="6"/>
      <c r="N50" s="6"/>
      <c r="O50" s="6"/>
      <c r="P50" s="6"/>
      <c r="Q50" s="6"/>
      <c r="R50" s="6"/>
      <c r="S50" s="6"/>
      <c r="T50" s="6"/>
      <c r="U50" s="6"/>
      <c r="V50" s="6"/>
      <c r="W50" s="6"/>
    </row>
    <row r="51" spans="1:23" ht="16" x14ac:dyDescent="0.2">
      <c r="A51" s="6"/>
      <c r="B51" s="7"/>
      <c r="C51" s="7"/>
      <c r="D51" s="7"/>
      <c r="E51" s="7"/>
      <c r="F51" s="6"/>
      <c r="G51" s="6"/>
      <c r="H51" s="6"/>
      <c r="I51" s="6"/>
      <c r="J51" s="6"/>
      <c r="K51" s="6"/>
      <c r="L51" s="6"/>
      <c r="M51" s="6"/>
      <c r="N51" s="6"/>
      <c r="O51" s="6"/>
      <c r="P51" s="6"/>
      <c r="Q51" s="6"/>
      <c r="R51" s="6"/>
      <c r="S51" s="6"/>
      <c r="T51" s="6"/>
      <c r="U51" s="6"/>
      <c r="V51" s="6"/>
      <c r="W51" s="6"/>
    </row>
    <row r="52" spans="1:23" ht="16" x14ac:dyDescent="0.2">
      <c r="A52" s="6"/>
      <c r="B52" s="7"/>
      <c r="C52" s="7"/>
      <c r="D52" s="7"/>
      <c r="E52" s="7"/>
      <c r="F52" s="6"/>
      <c r="G52" s="6"/>
      <c r="H52" s="6"/>
      <c r="I52" s="6"/>
      <c r="J52" s="6"/>
      <c r="K52" s="6"/>
      <c r="L52" s="6"/>
      <c r="M52" s="6"/>
      <c r="N52" s="6"/>
      <c r="O52" s="6"/>
      <c r="P52" s="6"/>
      <c r="Q52" s="6"/>
      <c r="R52" s="6"/>
      <c r="S52" s="6"/>
      <c r="T52" s="6"/>
      <c r="U52" s="6"/>
      <c r="V52" s="6"/>
      <c r="W52" s="6"/>
    </row>
    <row r="53" spans="1:23" ht="16" x14ac:dyDescent="0.2">
      <c r="A53" s="6"/>
      <c r="B53" s="7"/>
      <c r="C53" s="7"/>
      <c r="D53" s="7"/>
      <c r="E53" s="7"/>
      <c r="F53" s="6"/>
      <c r="G53" s="6"/>
      <c r="H53" s="6"/>
      <c r="I53" s="6"/>
      <c r="J53" s="6"/>
      <c r="K53" s="6"/>
      <c r="L53" s="6"/>
      <c r="M53" s="6"/>
      <c r="N53" s="6"/>
      <c r="O53" s="6"/>
      <c r="P53" s="6"/>
      <c r="Q53" s="6"/>
      <c r="R53" s="6"/>
      <c r="S53" s="6"/>
      <c r="T53" s="6"/>
      <c r="U53" s="6"/>
      <c r="V53" s="6"/>
      <c r="W53" s="6"/>
    </row>
    <row r="54" spans="1:23" ht="16" x14ac:dyDescent="0.2">
      <c r="A54" s="6"/>
      <c r="B54" s="7"/>
      <c r="C54" s="7"/>
      <c r="D54" s="7"/>
      <c r="E54" s="7"/>
      <c r="F54" s="6"/>
      <c r="G54" s="6"/>
      <c r="H54" s="6"/>
      <c r="I54" s="6"/>
      <c r="J54" s="6"/>
      <c r="K54" s="6"/>
      <c r="L54" s="6"/>
      <c r="M54" s="6"/>
      <c r="N54" s="6"/>
      <c r="O54" s="6"/>
      <c r="P54" s="6"/>
      <c r="Q54" s="6"/>
      <c r="R54" s="6"/>
      <c r="S54" s="6"/>
      <c r="T54" s="6"/>
      <c r="U54" s="6"/>
      <c r="V54" s="6"/>
      <c r="W54" s="6"/>
    </row>
    <row r="55" spans="1:23" ht="16" x14ac:dyDescent="0.2">
      <c r="A55" s="6"/>
      <c r="B55" s="7"/>
      <c r="C55" s="7"/>
      <c r="D55" s="7"/>
      <c r="E55" s="7"/>
      <c r="F55" s="6"/>
      <c r="G55" s="6"/>
      <c r="H55" s="6"/>
      <c r="I55" s="6"/>
      <c r="J55" s="6"/>
      <c r="K55" s="6"/>
      <c r="L55" s="6"/>
      <c r="M55" s="6"/>
      <c r="N55" s="6"/>
      <c r="O55" s="6"/>
      <c r="P55" s="6"/>
      <c r="Q55" s="6"/>
      <c r="R55" s="6"/>
      <c r="S55" s="6"/>
      <c r="T55" s="6"/>
      <c r="U55" s="6"/>
      <c r="V55" s="6"/>
      <c r="W55" s="6"/>
    </row>
    <row r="56" spans="1:23" ht="16" x14ac:dyDescent="0.2">
      <c r="A56" s="6"/>
      <c r="B56" s="7"/>
      <c r="C56" s="7"/>
      <c r="D56" s="7"/>
      <c r="E56" s="7"/>
      <c r="F56" s="6"/>
      <c r="G56" s="6"/>
      <c r="H56" s="6"/>
      <c r="I56" s="6"/>
      <c r="J56" s="6"/>
      <c r="K56" s="6"/>
      <c r="L56" s="6"/>
      <c r="M56" s="6"/>
      <c r="N56" s="6"/>
      <c r="O56" s="6"/>
      <c r="P56" s="6"/>
      <c r="Q56" s="6"/>
      <c r="R56" s="6"/>
      <c r="S56" s="6"/>
      <c r="T56" s="6"/>
      <c r="U56" s="6"/>
      <c r="V56" s="6"/>
      <c r="W56" s="6"/>
    </row>
    <row r="57" spans="1:23" ht="16" x14ac:dyDescent="0.2">
      <c r="A57" s="6"/>
      <c r="B57" s="7"/>
      <c r="C57" s="7"/>
      <c r="D57" s="7"/>
      <c r="E57" s="7"/>
      <c r="F57" s="6"/>
      <c r="G57" s="6"/>
      <c r="H57" s="6"/>
      <c r="I57" s="6"/>
      <c r="J57" s="6"/>
      <c r="K57" s="6"/>
      <c r="L57" s="6"/>
      <c r="M57" s="6"/>
      <c r="N57" s="6"/>
      <c r="O57" s="6"/>
      <c r="P57" s="6"/>
      <c r="Q57" s="6"/>
      <c r="R57" s="6"/>
      <c r="S57" s="6"/>
      <c r="T57" s="6"/>
      <c r="U57" s="6"/>
      <c r="V57" s="6"/>
      <c r="W57" s="6"/>
    </row>
    <row r="58" spans="1:23" ht="16" x14ac:dyDescent="0.2">
      <c r="A58" s="6"/>
      <c r="B58" s="7"/>
      <c r="C58" s="7"/>
      <c r="D58" s="7"/>
      <c r="E58" s="7"/>
      <c r="F58" s="6"/>
      <c r="G58" s="6"/>
      <c r="H58" s="6"/>
      <c r="I58" s="6"/>
      <c r="J58" s="6"/>
      <c r="K58" s="6"/>
      <c r="L58" s="6"/>
      <c r="M58" s="6"/>
      <c r="N58" s="6"/>
      <c r="O58" s="6"/>
      <c r="P58" s="6"/>
      <c r="Q58" s="6"/>
      <c r="R58" s="6"/>
      <c r="S58" s="6"/>
      <c r="T58" s="6"/>
      <c r="U58" s="6"/>
      <c r="V58" s="6"/>
      <c r="W58" s="6"/>
    </row>
    <row r="59" spans="1:23" ht="16" x14ac:dyDescent="0.2">
      <c r="A59" s="6"/>
      <c r="B59" s="7"/>
      <c r="C59" s="7"/>
      <c r="D59" s="7"/>
      <c r="E59" s="7"/>
      <c r="F59" s="6"/>
      <c r="G59" s="6"/>
      <c r="H59" s="6"/>
      <c r="I59" s="6"/>
      <c r="J59" s="6"/>
      <c r="K59" s="6"/>
      <c r="L59" s="6"/>
      <c r="M59" s="6"/>
      <c r="N59" s="6"/>
      <c r="O59" s="6"/>
      <c r="P59" s="6"/>
      <c r="Q59" s="6"/>
      <c r="R59" s="6"/>
      <c r="S59" s="6"/>
      <c r="T59" s="6"/>
      <c r="U59" s="6"/>
      <c r="V59" s="6"/>
      <c r="W59" s="6"/>
    </row>
    <row r="60" spans="1:23" ht="16" x14ac:dyDescent="0.2">
      <c r="A60" s="6"/>
      <c r="B60" s="7"/>
      <c r="C60" s="7"/>
      <c r="D60" s="7"/>
      <c r="E60" s="7"/>
      <c r="F60" s="6"/>
      <c r="G60" s="6"/>
      <c r="H60" s="6"/>
      <c r="I60" s="6"/>
      <c r="J60" s="6"/>
      <c r="K60" s="6"/>
      <c r="L60" s="6"/>
      <c r="M60" s="6"/>
      <c r="N60" s="6"/>
      <c r="O60" s="6"/>
      <c r="P60" s="6"/>
      <c r="Q60" s="6"/>
      <c r="R60" s="6"/>
      <c r="S60" s="6"/>
      <c r="T60" s="6"/>
      <c r="U60" s="6"/>
      <c r="V60" s="6"/>
      <c r="W60" s="6"/>
    </row>
    <row r="61" spans="1:23" ht="16" x14ac:dyDescent="0.2">
      <c r="A61" s="6"/>
      <c r="B61" s="7"/>
      <c r="C61" s="7"/>
      <c r="D61" s="7"/>
      <c r="E61" s="7"/>
      <c r="F61" s="6"/>
      <c r="G61" s="6"/>
      <c r="H61" s="6"/>
      <c r="I61" s="6"/>
      <c r="J61" s="6"/>
      <c r="K61" s="6"/>
      <c r="L61" s="6"/>
      <c r="M61" s="6"/>
      <c r="N61" s="6"/>
      <c r="O61" s="6"/>
      <c r="P61" s="6"/>
      <c r="Q61" s="6"/>
      <c r="R61" s="6"/>
      <c r="S61" s="6"/>
      <c r="T61" s="6"/>
      <c r="U61" s="6"/>
      <c r="V61" s="6"/>
      <c r="W61" s="6"/>
    </row>
    <row r="62" spans="1:23" ht="16" x14ac:dyDescent="0.2">
      <c r="A62" s="6"/>
      <c r="B62" s="7"/>
      <c r="C62" s="7"/>
      <c r="D62" s="7"/>
      <c r="E62" s="7"/>
      <c r="F62" s="6"/>
      <c r="G62" s="6"/>
      <c r="H62" s="6"/>
      <c r="I62" s="6"/>
      <c r="J62" s="6"/>
      <c r="K62" s="6"/>
      <c r="L62" s="6"/>
      <c r="M62" s="6"/>
      <c r="N62" s="6"/>
      <c r="O62" s="6"/>
      <c r="P62" s="6"/>
      <c r="Q62" s="6"/>
      <c r="R62" s="6"/>
      <c r="S62" s="6"/>
      <c r="T62" s="6"/>
      <c r="U62" s="6"/>
      <c r="V62" s="6"/>
      <c r="W62" s="6"/>
    </row>
    <row r="63" spans="1:23" ht="16" x14ac:dyDescent="0.2">
      <c r="A63" s="6"/>
      <c r="B63" s="7"/>
      <c r="C63" s="7"/>
      <c r="D63" s="7"/>
      <c r="E63" s="7"/>
      <c r="F63" s="6"/>
      <c r="G63" s="6"/>
      <c r="H63" s="6"/>
      <c r="I63" s="6"/>
      <c r="J63" s="6"/>
      <c r="K63" s="6"/>
      <c r="L63" s="6"/>
      <c r="M63" s="6"/>
      <c r="N63" s="6"/>
      <c r="O63" s="6"/>
      <c r="P63" s="6"/>
      <c r="Q63" s="6"/>
      <c r="R63" s="6"/>
      <c r="S63" s="6"/>
      <c r="T63" s="6"/>
      <c r="U63" s="6"/>
      <c r="V63" s="6"/>
      <c r="W63" s="6"/>
    </row>
    <row r="64" spans="1:23" ht="16" x14ac:dyDescent="0.2">
      <c r="A64" s="6"/>
      <c r="B64" s="7"/>
      <c r="C64" s="7"/>
      <c r="D64" s="7"/>
      <c r="E64" s="7"/>
      <c r="F64" s="6"/>
      <c r="G64" s="6"/>
      <c r="H64" s="6"/>
      <c r="I64" s="6"/>
      <c r="J64" s="6"/>
      <c r="K64" s="6"/>
      <c r="L64" s="6"/>
      <c r="M64" s="6"/>
      <c r="N64" s="6"/>
      <c r="O64" s="6"/>
      <c r="P64" s="6"/>
      <c r="Q64" s="6"/>
      <c r="R64" s="6"/>
      <c r="S64" s="6"/>
      <c r="T64" s="6"/>
      <c r="U64" s="6"/>
      <c r="V64" s="6"/>
      <c r="W64" s="6"/>
    </row>
    <row r="65" spans="1:23" ht="16" x14ac:dyDescent="0.2">
      <c r="A65" s="6"/>
      <c r="B65" s="7"/>
      <c r="C65" s="7"/>
      <c r="D65" s="7"/>
      <c r="E65" s="7"/>
      <c r="F65" s="6"/>
      <c r="G65" s="6"/>
      <c r="H65" s="6"/>
      <c r="I65" s="6"/>
      <c r="J65" s="6"/>
      <c r="K65" s="6"/>
      <c r="L65" s="6"/>
      <c r="M65" s="6"/>
      <c r="N65" s="6"/>
      <c r="O65" s="6"/>
      <c r="P65" s="6"/>
      <c r="Q65" s="6"/>
      <c r="R65" s="6"/>
      <c r="S65" s="6"/>
      <c r="T65" s="6"/>
      <c r="U65" s="6"/>
      <c r="V65" s="6"/>
      <c r="W65" s="6"/>
    </row>
    <row r="66" spans="1:23" ht="16" x14ac:dyDescent="0.2">
      <c r="A66" s="6"/>
      <c r="B66" s="7"/>
      <c r="C66" s="7"/>
      <c r="D66" s="7"/>
      <c r="E66" s="7"/>
      <c r="F66" s="6"/>
      <c r="G66" s="6"/>
      <c r="H66" s="6"/>
      <c r="I66" s="6"/>
      <c r="J66" s="6"/>
      <c r="K66" s="6"/>
      <c r="L66" s="6"/>
      <c r="M66" s="6"/>
      <c r="N66" s="6"/>
      <c r="O66" s="6"/>
      <c r="P66" s="6"/>
      <c r="Q66" s="6"/>
      <c r="R66" s="6"/>
      <c r="S66" s="6"/>
      <c r="T66" s="6"/>
      <c r="U66" s="6"/>
      <c r="V66" s="6"/>
      <c r="W66" s="6"/>
    </row>
    <row r="67" spans="1:23" ht="16" x14ac:dyDescent="0.2">
      <c r="A67" s="6"/>
      <c r="B67" s="7"/>
      <c r="C67" s="7"/>
      <c r="D67" s="7"/>
      <c r="E67" s="7"/>
      <c r="F67" s="6"/>
      <c r="G67" s="6"/>
      <c r="H67" s="6"/>
      <c r="I67" s="6"/>
      <c r="J67" s="6"/>
      <c r="K67" s="6"/>
      <c r="L67" s="6"/>
      <c r="M67" s="6"/>
      <c r="N67" s="6"/>
      <c r="O67" s="6"/>
      <c r="P67" s="6"/>
      <c r="Q67" s="6"/>
      <c r="R67" s="6"/>
      <c r="S67" s="6"/>
      <c r="T67" s="6"/>
      <c r="U67" s="6"/>
      <c r="V67" s="6"/>
      <c r="W67" s="6"/>
    </row>
    <row r="68" spans="1:23" ht="16" x14ac:dyDescent="0.2">
      <c r="A68" s="6"/>
      <c r="B68" s="7"/>
      <c r="C68" s="7"/>
      <c r="D68" s="7"/>
      <c r="E68" s="7"/>
      <c r="F68" s="6"/>
      <c r="G68" s="6"/>
      <c r="H68" s="6"/>
      <c r="I68" s="6"/>
      <c r="J68" s="6"/>
      <c r="K68" s="6"/>
      <c r="L68" s="6"/>
      <c r="M68" s="6"/>
      <c r="N68" s="6"/>
      <c r="O68" s="6"/>
      <c r="P68" s="6"/>
      <c r="Q68" s="6"/>
      <c r="R68" s="6"/>
      <c r="S68" s="6"/>
      <c r="T68" s="6"/>
      <c r="U68" s="6"/>
      <c r="V68" s="6"/>
      <c r="W68" s="6"/>
    </row>
    <row r="69" spans="1:23" ht="16" x14ac:dyDescent="0.2">
      <c r="A69" s="6"/>
      <c r="B69" s="7"/>
      <c r="C69" s="7"/>
      <c r="D69" s="7"/>
      <c r="E69" s="7"/>
      <c r="F69" s="6"/>
      <c r="G69" s="6"/>
      <c r="H69" s="6"/>
      <c r="I69" s="6"/>
      <c r="J69" s="6"/>
      <c r="K69" s="6"/>
      <c r="L69" s="6"/>
      <c r="M69" s="6"/>
      <c r="N69" s="6"/>
      <c r="O69" s="6"/>
      <c r="P69" s="6"/>
      <c r="Q69" s="6"/>
      <c r="R69" s="6"/>
      <c r="S69" s="6"/>
      <c r="T69" s="6"/>
      <c r="U69" s="6"/>
      <c r="V69" s="6"/>
      <c r="W69" s="6"/>
    </row>
    <row r="70" spans="1:23" ht="16" x14ac:dyDescent="0.2">
      <c r="A70" s="6"/>
      <c r="B70" s="7"/>
      <c r="C70" s="7"/>
      <c r="D70" s="7"/>
      <c r="E70" s="7"/>
      <c r="F70" s="6"/>
      <c r="G70" s="6"/>
      <c r="H70" s="6"/>
      <c r="I70" s="6"/>
      <c r="J70" s="6"/>
      <c r="K70" s="6"/>
      <c r="L70" s="6"/>
      <c r="M70" s="6"/>
      <c r="N70" s="6"/>
      <c r="O70" s="6"/>
      <c r="P70" s="6"/>
      <c r="Q70" s="6"/>
      <c r="R70" s="6"/>
      <c r="S70" s="6"/>
      <c r="T70" s="6"/>
      <c r="U70" s="6"/>
      <c r="V70" s="6"/>
      <c r="W70" s="6"/>
    </row>
    <row r="71" spans="1:23" ht="16" x14ac:dyDescent="0.2">
      <c r="A71" s="6"/>
      <c r="B71" s="7"/>
      <c r="C71" s="7"/>
      <c r="D71" s="7"/>
      <c r="E71" s="7"/>
      <c r="F71" s="6"/>
      <c r="G71" s="6"/>
      <c r="H71" s="6"/>
      <c r="I71" s="6"/>
      <c r="J71" s="6"/>
      <c r="K71" s="6"/>
      <c r="L71" s="6"/>
      <c r="M71" s="6"/>
      <c r="N71" s="6"/>
      <c r="O71" s="6"/>
      <c r="P71" s="6"/>
      <c r="Q71" s="6"/>
      <c r="R71" s="6"/>
      <c r="S71" s="6"/>
      <c r="T71" s="6"/>
      <c r="U71" s="6"/>
      <c r="V71" s="6"/>
      <c r="W71" s="6"/>
    </row>
    <row r="72" spans="1:23" ht="16" x14ac:dyDescent="0.2">
      <c r="A72" s="6"/>
      <c r="B72" s="7"/>
      <c r="C72" s="7"/>
      <c r="D72" s="7"/>
      <c r="E72" s="7"/>
      <c r="F72" s="6"/>
      <c r="G72" s="6"/>
      <c r="H72" s="6"/>
      <c r="I72" s="6"/>
      <c r="J72" s="6"/>
      <c r="K72" s="6"/>
      <c r="L72" s="6"/>
      <c r="M72" s="6"/>
      <c r="N72" s="6"/>
      <c r="O72" s="6"/>
      <c r="P72" s="6"/>
      <c r="Q72" s="6"/>
      <c r="R72" s="6"/>
      <c r="S72" s="6"/>
      <c r="T72" s="6"/>
      <c r="U72" s="6"/>
      <c r="V72" s="6"/>
      <c r="W72" s="6"/>
    </row>
    <row r="73" spans="1:23" ht="16" x14ac:dyDescent="0.2">
      <c r="A73" s="6"/>
      <c r="B73" s="7"/>
      <c r="C73" s="7"/>
      <c r="D73" s="7"/>
      <c r="E73" s="7"/>
      <c r="F73" s="6"/>
      <c r="G73" s="6"/>
      <c r="H73" s="6"/>
      <c r="I73" s="6"/>
      <c r="J73" s="6"/>
      <c r="K73" s="6"/>
      <c r="L73" s="6"/>
      <c r="M73" s="6"/>
      <c r="N73" s="6"/>
      <c r="O73" s="6"/>
      <c r="P73" s="6"/>
      <c r="Q73" s="6"/>
      <c r="R73" s="6"/>
      <c r="S73" s="6"/>
      <c r="T73" s="6"/>
      <c r="U73" s="6"/>
      <c r="V73" s="6"/>
      <c r="W73" s="6"/>
    </row>
    <row r="74" spans="1:23" ht="16" x14ac:dyDescent="0.2">
      <c r="A74" s="6"/>
      <c r="B74" s="7"/>
      <c r="C74" s="7"/>
      <c r="D74" s="7"/>
      <c r="E74" s="7"/>
      <c r="F74" s="6"/>
      <c r="G74" s="6"/>
      <c r="H74" s="6"/>
      <c r="I74" s="6"/>
      <c r="J74" s="6"/>
      <c r="K74" s="6"/>
      <c r="L74" s="6"/>
      <c r="M74" s="6"/>
      <c r="N74" s="6"/>
      <c r="O74" s="6"/>
      <c r="P74" s="6"/>
      <c r="Q74" s="6"/>
      <c r="R74" s="6"/>
      <c r="S74" s="6"/>
      <c r="T74" s="6"/>
      <c r="U74" s="6"/>
      <c r="V74" s="6"/>
      <c r="W74" s="6"/>
    </row>
    <row r="75" spans="1:23" ht="16" x14ac:dyDescent="0.2">
      <c r="A75" s="6"/>
      <c r="B75" s="7"/>
      <c r="C75" s="7"/>
      <c r="D75" s="7"/>
      <c r="E75" s="7"/>
      <c r="F75" s="6"/>
      <c r="G75" s="6"/>
      <c r="H75" s="6"/>
      <c r="I75" s="6"/>
      <c r="J75" s="6"/>
      <c r="K75" s="6"/>
      <c r="L75" s="6"/>
      <c r="M75" s="6"/>
      <c r="N75" s="6"/>
      <c r="O75" s="6"/>
      <c r="P75" s="6"/>
      <c r="Q75" s="6"/>
      <c r="R75" s="6"/>
      <c r="S75" s="6"/>
      <c r="T75" s="6"/>
      <c r="U75" s="6"/>
      <c r="V75" s="6"/>
      <c r="W75" s="6"/>
    </row>
    <row r="76" spans="1:23" ht="16" x14ac:dyDescent="0.2">
      <c r="A76" s="6"/>
      <c r="B76" s="7"/>
      <c r="C76" s="7"/>
      <c r="D76" s="7"/>
      <c r="E76" s="7"/>
      <c r="F76" s="6"/>
      <c r="G76" s="6"/>
      <c r="H76" s="6"/>
      <c r="I76" s="6"/>
      <c r="J76" s="6"/>
      <c r="K76" s="6"/>
      <c r="L76" s="6"/>
      <c r="M76" s="6"/>
      <c r="N76" s="6"/>
      <c r="O76" s="6"/>
      <c r="P76" s="6"/>
      <c r="Q76" s="6"/>
      <c r="R76" s="6"/>
      <c r="S76" s="6"/>
      <c r="T76" s="6"/>
      <c r="U76" s="6"/>
      <c r="V76" s="6"/>
      <c r="W76" s="6"/>
    </row>
    <row r="77" spans="1:23" ht="16" x14ac:dyDescent="0.2">
      <c r="A77" s="6"/>
      <c r="B77" s="7"/>
      <c r="C77" s="7"/>
      <c r="D77" s="7"/>
      <c r="E77" s="7"/>
      <c r="F77" s="6"/>
      <c r="G77" s="6"/>
      <c r="H77" s="6"/>
      <c r="I77" s="6"/>
      <c r="J77" s="6"/>
      <c r="K77" s="6"/>
      <c r="L77" s="6"/>
      <c r="M77" s="6"/>
      <c r="N77" s="6"/>
      <c r="O77" s="6"/>
      <c r="P77" s="6"/>
      <c r="Q77" s="6"/>
      <c r="R77" s="6"/>
      <c r="S77" s="6"/>
      <c r="T77" s="6"/>
      <c r="U77" s="6"/>
      <c r="V77" s="6"/>
      <c r="W77" s="6"/>
    </row>
    <row r="78" spans="1:23" ht="16" x14ac:dyDescent="0.2">
      <c r="A78" s="6"/>
      <c r="B78" s="7"/>
      <c r="C78" s="7"/>
      <c r="D78" s="7"/>
      <c r="E78" s="7"/>
      <c r="F78" s="6"/>
      <c r="G78" s="6"/>
      <c r="H78" s="6"/>
      <c r="I78" s="6"/>
      <c r="J78" s="6"/>
      <c r="K78" s="6"/>
      <c r="L78" s="6"/>
      <c r="M78" s="6"/>
      <c r="N78" s="6"/>
      <c r="O78" s="6"/>
      <c r="P78" s="6"/>
      <c r="Q78" s="6"/>
      <c r="R78" s="6"/>
      <c r="S78" s="6"/>
      <c r="T78" s="6"/>
      <c r="U78" s="6"/>
      <c r="V78" s="6"/>
      <c r="W78" s="6"/>
    </row>
    <row r="79" spans="1:23" ht="16" x14ac:dyDescent="0.2">
      <c r="A79" s="6"/>
      <c r="B79" s="7"/>
      <c r="C79" s="7"/>
      <c r="D79" s="7"/>
      <c r="E79" s="7"/>
      <c r="F79" s="6"/>
      <c r="G79" s="6"/>
      <c r="H79" s="6"/>
      <c r="I79" s="6"/>
      <c r="J79" s="6"/>
      <c r="K79" s="6"/>
      <c r="L79" s="6"/>
      <c r="M79" s="6"/>
      <c r="N79" s="6"/>
      <c r="O79" s="6"/>
      <c r="P79" s="6"/>
      <c r="Q79" s="6"/>
      <c r="R79" s="6"/>
      <c r="S79" s="6"/>
      <c r="T79" s="6"/>
      <c r="U79" s="6"/>
      <c r="V79" s="6"/>
      <c r="W79" s="6"/>
    </row>
    <row r="80" spans="1:23" ht="16" x14ac:dyDescent="0.2">
      <c r="A80" s="6"/>
      <c r="B80" s="7"/>
      <c r="C80" s="7"/>
      <c r="D80" s="7"/>
      <c r="E80" s="7"/>
      <c r="F80" s="6"/>
      <c r="G80" s="6"/>
      <c r="H80" s="6"/>
      <c r="I80" s="6"/>
      <c r="J80" s="6"/>
      <c r="K80" s="6"/>
      <c r="L80" s="6"/>
      <c r="M80" s="6"/>
      <c r="N80" s="6"/>
      <c r="O80" s="6"/>
      <c r="P80" s="6"/>
      <c r="Q80" s="6"/>
      <c r="R80" s="6"/>
      <c r="S80" s="6"/>
      <c r="T80" s="6"/>
      <c r="U80" s="6"/>
      <c r="V80" s="6"/>
      <c r="W80" s="6"/>
    </row>
    <row r="81" spans="1:23" ht="16" x14ac:dyDescent="0.2">
      <c r="A81" s="6"/>
      <c r="B81" s="7"/>
      <c r="C81" s="7"/>
      <c r="D81" s="7"/>
      <c r="E81" s="7"/>
      <c r="F81" s="6"/>
      <c r="G81" s="6"/>
      <c r="H81" s="6"/>
      <c r="I81" s="6"/>
      <c r="J81" s="6"/>
      <c r="K81" s="6"/>
      <c r="L81" s="6"/>
      <c r="M81" s="6"/>
      <c r="N81" s="6"/>
      <c r="O81" s="6"/>
      <c r="P81" s="6"/>
      <c r="Q81" s="6"/>
      <c r="R81" s="6"/>
      <c r="S81" s="6"/>
      <c r="T81" s="6"/>
      <c r="U81" s="6"/>
      <c r="V81" s="6"/>
      <c r="W81" s="6"/>
    </row>
    <row r="82" spans="1:23" ht="16" x14ac:dyDescent="0.2">
      <c r="A82" s="6"/>
      <c r="B82" s="7"/>
      <c r="C82" s="7"/>
      <c r="D82" s="7"/>
      <c r="E82" s="7"/>
      <c r="F82" s="6"/>
      <c r="G82" s="6"/>
      <c r="H82" s="6"/>
      <c r="I82" s="6"/>
      <c r="J82" s="6"/>
      <c r="K82" s="6"/>
      <c r="L82" s="6"/>
      <c r="M82" s="6"/>
      <c r="N82" s="6"/>
      <c r="O82" s="6"/>
      <c r="P82" s="6"/>
      <c r="Q82" s="6"/>
      <c r="R82" s="6"/>
      <c r="S82" s="6"/>
      <c r="T82" s="6"/>
      <c r="U82" s="6"/>
      <c r="V82" s="6"/>
      <c r="W82" s="6"/>
    </row>
    <row r="83" spans="1:23" ht="16" x14ac:dyDescent="0.2">
      <c r="A83" s="6"/>
      <c r="B83" s="7"/>
      <c r="C83" s="7"/>
      <c r="D83" s="7"/>
      <c r="E83" s="7"/>
      <c r="F83" s="6"/>
      <c r="G83" s="6"/>
      <c r="H83" s="6"/>
      <c r="I83" s="6"/>
      <c r="J83" s="6"/>
      <c r="K83" s="6"/>
      <c r="L83" s="6"/>
      <c r="M83" s="6"/>
      <c r="N83" s="6"/>
      <c r="O83" s="6"/>
      <c r="P83" s="6"/>
      <c r="Q83" s="6"/>
      <c r="R83" s="6"/>
      <c r="S83" s="6"/>
      <c r="T83" s="6"/>
      <c r="U83" s="6"/>
      <c r="V83" s="6"/>
      <c r="W83" s="6"/>
    </row>
    <row r="84" spans="1:23" ht="16" x14ac:dyDescent="0.2">
      <c r="A84" s="6"/>
      <c r="B84" s="7"/>
      <c r="C84" s="7"/>
      <c r="D84" s="7"/>
      <c r="E84" s="7"/>
      <c r="F84" s="6"/>
      <c r="G84" s="6"/>
      <c r="H84" s="6"/>
      <c r="I84" s="6"/>
      <c r="J84" s="6"/>
      <c r="K84" s="6"/>
      <c r="L84" s="6"/>
      <c r="M84" s="6"/>
      <c r="N84" s="6"/>
      <c r="O84" s="6"/>
      <c r="P84" s="6"/>
      <c r="Q84" s="6"/>
      <c r="R84" s="6"/>
      <c r="S84" s="6"/>
      <c r="T84" s="6"/>
      <c r="U84" s="6"/>
      <c r="V84" s="6"/>
      <c r="W84" s="6"/>
    </row>
    <row r="85" spans="1:23" ht="16" x14ac:dyDescent="0.2">
      <c r="A85" s="6"/>
      <c r="B85" s="7"/>
      <c r="C85" s="7"/>
      <c r="D85" s="7"/>
      <c r="E85" s="7"/>
      <c r="F85" s="6"/>
      <c r="G85" s="6"/>
      <c r="H85" s="6"/>
      <c r="I85" s="6"/>
      <c r="J85" s="6"/>
      <c r="K85" s="6"/>
      <c r="L85" s="6"/>
      <c r="M85" s="6"/>
      <c r="N85" s="6"/>
      <c r="O85" s="6"/>
      <c r="P85" s="6"/>
      <c r="Q85" s="6"/>
      <c r="R85" s="6"/>
      <c r="S85" s="6"/>
      <c r="T85" s="6"/>
      <c r="U85" s="6"/>
      <c r="V85" s="6"/>
      <c r="W85" s="6"/>
    </row>
    <row r="86" spans="1:23" ht="16" x14ac:dyDescent="0.2">
      <c r="A86" s="6"/>
      <c r="B86" s="7"/>
      <c r="C86" s="7"/>
      <c r="D86" s="7"/>
      <c r="E86" s="7"/>
      <c r="F86" s="6"/>
      <c r="G86" s="6"/>
      <c r="H86" s="6"/>
      <c r="I86" s="6"/>
      <c r="J86" s="6"/>
      <c r="K86" s="6"/>
      <c r="L86" s="6"/>
      <c r="M86" s="6"/>
      <c r="N86" s="6"/>
      <c r="O86" s="6"/>
      <c r="P86" s="6"/>
      <c r="Q86" s="6"/>
      <c r="R86" s="6"/>
      <c r="S86" s="6"/>
      <c r="T86" s="6"/>
      <c r="U86" s="6"/>
      <c r="V86" s="6"/>
      <c r="W86" s="6"/>
    </row>
    <row r="87" spans="1:23" ht="16" x14ac:dyDescent="0.2">
      <c r="A87" s="6"/>
      <c r="B87" s="7"/>
      <c r="C87" s="7"/>
      <c r="D87" s="7"/>
      <c r="E87" s="7"/>
      <c r="F87" s="6"/>
      <c r="G87" s="6"/>
      <c r="H87" s="6"/>
      <c r="I87" s="6"/>
      <c r="J87" s="6"/>
      <c r="K87" s="6"/>
      <c r="L87" s="6"/>
      <c r="M87" s="6"/>
      <c r="N87" s="6"/>
      <c r="O87" s="6"/>
      <c r="P87" s="6"/>
      <c r="Q87" s="6"/>
      <c r="R87" s="6"/>
      <c r="S87" s="6"/>
      <c r="T87" s="6"/>
      <c r="U87" s="6"/>
      <c r="V87" s="6"/>
      <c r="W87" s="6"/>
    </row>
    <row r="88" spans="1:23" ht="16" x14ac:dyDescent="0.2">
      <c r="A88" s="6"/>
      <c r="B88" s="7"/>
      <c r="C88" s="7"/>
      <c r="D88" s="7"/>
      <c r="E88" s="7"/>
      <c r="F88" s="6"/>
      <c r="G88" s="6"/>
      <c r="H88" s="6"/>
      <c r="I88" s="6"/>
      <c r="J88" s="6"/>
      <c r="K88" s="6"/>
      <c r="L88" s="6"/>
      <c r="M88" s="6"/>
      <c r="N88" s="6"/>
      <c r="O88" s="6"/>
      <c r="P88" s="6"/>
      <c r="Q88" s="6"/>
      <c r="R88" s="6"/>
      <c r="S88" s="6"/>
      <c r="T88" s="6"/>
      <c r="U88" s="6"/>
      <c r="V88" s="6"/>
      <c r="W88" s="6"/>
    </row>
    <row r="89" spans="1:23" ht="16" x14ac:dyDescent="0.2">
      <c r="A89" s="6"/>
      <c r="B89" s="7"/>
      <c r="C89" s="7"/>
      <c r="D89" s="7"/>
      <c r="E89" s="7"/>
      <c r="F89" s="6"/>
      <c r="G89" s="6"/>
      <c r="H89" s="6"/>
      <c r="I89" s="6"/>
      <c r="J89" s="6"/>
      <c r="K89" s="6"/>
      <c r="L89" s="6"/>
      <c r="M89" s="6"/>
      <c r="N89" s="6"/>
      <c r="O89" s="6"/>
      <c r="P89" s="6"/>
      <c r="Q89" s="6"/>
      <c r="R89" s="6"/>
      <c r="S89" s="6"/>
      <c r="T89" s="6"/>
      <c r="U89" s="6"/>
      <c r="V89" s="6"/>
      <c r="W89" s="6"/>
    </row>
    <row r="90" spans="1:23" ht="16" x14ac:dyDescent="0.2">
      <c r="A90" s="6"/>
      <c r="B90" s="7"/>
      <c r="C90" s="7"/>
      <c r="D90" s="7"/>
      <c r="E90" s="7"/>
      <c r="F90" s="6"/>
      <c r="G90" s="6"/>
      <c r="H90" s="6"/>
      <c r="I90" s="6"/>
      <c r="J90" s="6"/>
      <c r="K90" s="6"/>
      <c r="L90" s="6"/>
      <c r="M90" s="6"/>
      <c r="N90" s="6"/>
      <c r="O90" s="6"/>
      <c r="P90" s="6"/>
      <c r="Q90" s="6"/>
      <c r="R90" s="6"/>
      <c r="S90" s="6"/>
      <c r="T90" s="6"/>
      <c r="U90" s="6"/>
      <c r="V90" s="6"/>
      <c r="W90" s="6"/>
    </row>
    <row r="91" spans="1:23" ht="16" x14ac:dyDescent="0.2">
      <c r="A91" s="6"/>
      <c r="B91" s="7"/>
      <c r="C91" s="7"/>
      <c r="D91" s="7"/>
      <c r="E91" s="7"/>
      <c r="F91" s="6"/>
      <c r="G91" s="6"/>
      <c r="H91" s="6"/>
      <c r="I91" s="6"/>
      <c r="J91" s="6"/>
      <c r="K91" s="6"/>
      <c r="L91" s="6"/>
      <c r="M91" s="6"/>
      <c r="N91" s="6"/>
      <c r="O91" s="6"/>
      <c r="P91" s="6"/>
      <c r="Q91" s="6"/>
      <c r="R91" s="6"/>
      <c r="S91" s="6"/>
      <c r="T91" s="6"/>
      <c r="U91" s="6"/>
      <c r="V91" s="6"/>
      <c r="W91" s="6"/>
    </row>
    <row r="92" spans="1:23" ht="16" x14ac:dyDescent="0.2">
      <c r="A92" s="6"/>
      <c r="B92" s="7"/>
      <c r="C92" s="7"/>
      <c r="D92" s="7"/>
      <c r="E92" s="7"/>
      <c r="F92" s="6"/>
      <c r="G92" s="6"/>
      <c r="H92" s="6"/>
      <c r="I92" s="6"/>
      <c r="J92" s="6"/>
      <c r="K92" s="6"/>
      <c r="L92" s="6"/>
      <c r="M92" s="6"/>
      <c r="N92" s="6"/>
      <c r="O92" s="6"/>
      <c r="P92" s="6"/>
      <c r="Q92" s="6"/>
      <c r="R92" s="6"/>
      <c r="S92" s="6"/>
      <c r="T92" s="6"/>
      <c r="U92" s="6"/>
      <c r="V92" s="6"/>
      <c r="W92" s="6"/>
    </row>
    <row r="93" spans="1:23" ht="16" x14ac:dyDescent="0.2">
      <c r="A93" s="6"/>
      <c r="B93" s="7"/>
      <c r="C93" s="7"/>
      <c r="D93" s="7"/>
      <c r="E93" s="7"/>
      <c r="F93" s="6"/>
      <c r="G93" s="6"/>
      <c r="H93" s="6"/>
      <c r="I93" s="6"/>
      <c r="J93" s="6"/>
      <c r="K93" s="6"/>
      <c r="L93" s="6"/>
      <c r="M93" s="6"/>
      <c r="N93" s="6"/>
      <c r="O93" s="6"/>
      <c r="P93" s="6"/>
      <c r="Q93" s="6"/>
      <c r="R93" s="6"/>
      <c r="S93" s="6"/>
      <c r="T93" s="6"/>
      <c r="U93" s="6"/>
      <c r="V93" s="6"/>
      <c r="W93" s="6"/>
    </row>
    <row r="94" spans="1:23" ht="16" x14ac:dyDescent="0.2">
      <c r="A94" s="6"/>
      <c r="B94" s="7"/>
      <c r="C94" s="7"/>
      <c r="D94" s="7"/>
      <c r="E94" s="7"/>
      <c r="F94" s="6"/>
      <c r="G94" s="6"/>
      <c r="H94" s="6"/>
      <c r="I94" s="6"/>
      <c r="J94" s="6"/>
      <c r="K94" s="6"/>
      <c r="L94" s="6"/>
      <c r="M94" s="6"/>
      <c r="N94" s="6"/>
      <c r="O94" s="6"/>
      <c r="P94" s="6"/>
      <c r="Q94" s="6"/>
      <c r="R94" s="6"/>
      <c r="S94" s="6"/>
      <c r="T94" s="6"/>
      <c r="U94" s="6"/>
      <c r="V94" s="6"/>
      <c r="W94" s="6"/>
    </row>
    <row r="95" spans="1:23" ht="16" x14ac:dyDescent="0.2">
      <c r="A95" s="6"/>
      <c r="B95" s="7"/>
      <c r="C95" s="7"/>
      <c r="D95" s="7"/>
      <c r="E95" s="7"/>
      <c r="F95" s="6"/>
      <c r="G95" s="6"/>
      <c r="H95" s="6"/>
      <c r="I95" s="6"/>
      <c r="J95" s="6"/>
      <c r="K95" s="6"/>
      <c r="L95" s="6"/>
      <c r="M95" s="6"/>
      <c r="N95" s="6"/>
      <c r="O95" s="6"/>
      <c r="P95" s="6"/>
      <c r="Q95" s="6"/>
      <c r="R95" s="6"/>
      <c r="S95" s="6"/>
      <c r="T95" s="6"/>
      <c r="U95" s="6"/>
      <c r="V95" s="6"/>
      <c r="W95" s="6"/>
    </row>
    <row r="96" spans="1:23" ht="16" x14ac:dyDescent="0.2">
      <c r="A96" s="6"/>
      <c r="B96" s="7"/>
      <c r="C96" s="7"/>
      <c r="D96" s="7"/>
      <c r="E96" s="7"/>
      <c r="F96" s="6"/>
      <c r="G96" s="6"/>
      <c r="H96" s="6"/>
      <c r="I96" s="6"/>
      <c r="J96" s="6"/>
      <c r="K96" s="6"/>
      <c r="L96" s="6"/>
      <c r="M96" s="6"/>
      <c r="N96" s="6"/>
      <c r="O96" s="6"/>
      <c r="P96" s="6"/>
      <c r="Q96" s="6"/>
      <c r="R96" s="6"/>
      <c r="S96" s="6"/>
      <c r="T96" s="6"/>
      <c r="U96" s="6"/>
      <c r="V96" s="6"/>
      <c r="W96" s="6"/>
    </row>
    <row r="97" spans="1:23" ht="16" x14ac:dyDescent="0.2">
      <c r="A97" s="6"/>
      <c r="B97" s="7"/>
      <c r="C97" s="7"/>
      <c r="D97" s="7"/>
      <c r="E97" s="7"/>
      <c r="F97" s="6"/>
      <c r="G97" s="6"/>
      <c r="H97" s="6"/>
      <c r="I97" s="6"/>
      <c r="J97" s="6"/>
      <c r="K97" s="6"/>
      <c r="L97" s="6"/>
      <c r="M97" s="6"/>
      <c r="N97" s="6"/>
      <c r="O97" s="6"/>
      <c r="P97" s="6"/>
      <c r="Q97" s="6"/>
      <c r="R97" s="6"/>
      <c r="S97" s="6"/>
      <c r="T97" s="6"/>
      <c r="U97" s="6"/>
      <c r="V97" s="6"/>
      <c r="W97" s="6"/>
    </row>
    <row r="98" spans="1:23" ht="16" x14ac:dyDescent="0.2">
      <c r="A98" s="6"/>
      <c r="B98" s="7"/>
      <c r="C98" s="7"/>
      <c r="D98" s="7"/>
      <c r="E98" s="7"/>
      <c r="F98" s="6"/>
      <c r="G98" s="6"/>
      <c r="H98" s="6"/>
      <c r="I98" s="6"/>
      <c r="J98" s="6"/>
      <c r="K98" s="6"/>
      <c r="L98" s="6"/>
      <c r="M98" s="6"/>
      <c r="N98" s="6"/>
      <c r="O98" s="6"/>
      <c r="P98" s="6"/>
      <c r="Q98" s="6"/>
      <c r="R98" s="6"/>
      <c r="S98" s="6"/>
      <c r="T98" s="6"/>
      <c r="U98" s="6"/>
      <c r="V98" s="6"/>
      <c r="W98" s="6"/>
    </row>
    <row r="99" spans="1:23" ht="16" x14ac:dyDescent="0.2">
      <c r="A99" s="6"/>
      <c r="B99" s="7"/>
      <c r="C99" s="7"/>
      <c r="D99" s="7"/>
      <c r="E99" s="7"/>
      <c r="F99" s="6"/>
      <c r="G99" s="6"/>
      <c r="H99" s="6"/>
      <c r="I99" s="6"/>
      <c r="J99" s="6"/>
      <c r="K99" s="6"/>
      <c r="L99" s="6"/>
      <c r="M99" s="6"/>
      <c r="N99" s="6"/>
      <c r="O99" s="6"/>
      <c r="P99" s="6"/>
      <c r="Q99" s="6"/>
      <c r="R99" s="6"/>
      <c r="S99" s="6"/>
      <c r="T99" s="6"/>
      <c r="U99" s="6"/>
      <c r="V99" s="6"/>
      <c r="W99" s="6"/>
    </row>
    <row r="100" spans="1:23" ht="16" x14ac:dyDescent="0.2">
      <c r="A100" s="6"/>
      <c r="B100" s="7"/>
      <c r="C100" s="7"/>
      <c r="D100" s="7"/>
      <c r="E100" s="7"/>
      <c r="F100" s="6"/>
      <c r="G100" s="6"/>
      <c r="H100" s="6"/>
      <c r="I100" s="6"/>
      <c r="J100" s="6"/>
      <c r="K100" s="6"/>
      <c r="L100" s="6"/>
      <c r="M100" s="6"/>
      <c r="N100" s="6"/>
      <c r="O100" s="6"/>
      <c r="P100" s="6"/>
      <c r="Q100" s="6"/>
      <c r="R100" s="6"/>
      <c r="S100" s="6"/>
      <c r="T100" s="6"/>
      <c r="U100" s="6"/>
      <c r="V100" s="6"/>
      <c r="W100" s="6"/>
    </row>
    <row r="101" spans="1:23" ht="16" x14ac:dyDescent="0.2">
      <c r="A101" s="6"/>
      <c r="B101" s="7"/>
      <c r="C101" s="7"/>
      <c r="D101" s="7"/>
      <c r="E101" s="7"/>
      <c r="F101" s="6"/>
      <c r="G101" s="6"/>
      <c r="H101" s="6"/>
      <c r="I101" s="6"/>
      <c r="J101" s="6"/>
      <c r="K101" s="6"/>
      <c r="L101" s="6"/>
      <c r="M101" s="6"/>
      <c r="N101" s="6"/>
      <c r="O101" s="6"/>
      <c r="P101" s="6"/>
      <c r="Q101" s="6"/>
      <c r="R101" s="6"/>
      <c r="S101" s="6"/>
      <c r="T101" s="6"/>
      <c r="U101" s="6"/>
      <c r="V101" s="6"/>
      <c r="W101" s="6"/>
    </row>
    <row r="102" spans="1:23" ht="16" x14ac:dyDescent="0.2">
      <c r="A102" s="6"/>
      <c r="B102" s="7"/>
      <c r="C102" s="7"/>
      <c r="D102" s="7"/>
      <c r="E102" s="7"/>
      <c r="F102" s="6"/>
      <c r="G102" s="6"/>
      <c r="H102" s="6"/>
      <c r="I102" s="6"/>
      <c r="J102" s="6"/>
      <c r="K102" s="6"/>
      <c r="L102" s="6"/>
      <c r="M102" s="6"/>
      <c r="N102" s="6"/>
      <c r="O102" s="6"/>
      <c r="P102" s="6"/>
      <c r="Q102" s="6"/>
      <c r="R102" s="6"/>
      <c r="S102" s="6"/>
      <c r="T102" s="6"/>
      <c r="U102" s="6"/>
      <c r="V102" s="6"/>
      <c r="W102" s="6"/>
    </row>
    <row r="103" spans="1:23" ht="16" x14ac:dyDescent="0.2">
      <c r="A103" s="6"/>
      <c r="B103" s="7"/>
      <c r="C103" s="7"/>
      <c r="D103" s="7"/>
      <c r="E103" s="7"/>
      <c r="F103" s="6"/>
      <c r="G103" s="6"/>
      <c r="H103" s="6"/>
      <c r="I103" s="6"/>
      <c r="J103" s="6"/>
      <c r="K103" s="6"/>
      <c r="L103" s="6"/>
      <c r="M103" s="6"/>
      <c r="N103" s="6"/>
      <c r="O103" s="6"/>
      <c r="P103" s="6"/>
      <c r="Q103" s="6"/>
      <c r="R103" s="6"/>
      <c r="S103" s="6"/>
      <c r="T103" s="6"/>
      <c r="U103" s="6"/>
      <c r="V103" s="6"/>
      <c r="W103" s="6"/>
    </row>
    <row r="104" spans="1:23" ht="16" x14ac:dyDescent="0.2">
      <c r="A104" s="6"/>
      <c r="B104" s="7"/>
      <c r="C104" s="7"/>
      <c r="D104" s="7"/>
      <c r="E104" s="7"/>
      <c r="F104" s="6"/>
      <c r="G104" s="6"/>
      <c r="H104" s="6"/>
      <c r="I104" s="6"/>
      <c r="J104" s="6"/>
      <c r="K104" s="6"/>
      <c r="L104" s="6"/>
      <c r="M104" s="6"/>
      <c r="N104" s="6"/>
      <c r="O104" s="6"/>
      <c r="P104" s="6"/>
      <c r="Q104" s="6"/>
      <c r="R104" s="6"/>
      <c r="S104" s="6"/>
      <c r="T104" s="6"/>
      <c r="U104" s="6"/>
      <c r="V104" s="6"/>
      <c r="W104" s="6"/>
    </row>
    <row r="105" spans="1:23" ht="16" x14ac:dyDescent="0.2">
      <c r="A105" s="6"/>
      <c r="B105" s="7"/>
      <c r="C105" s="7"/>
      <c r="D105" s="7"/>
      <c r="E105" s="7"/>
      <c r="F105" s="6"/>
      <c r="G105" s="6"/>
      <c r="H105" s="6"/>
      <c r="I105" s="6"/>
      <c r="J105" s="6"/>
      <c r="K105" s="6"/>
      <c r="L105" s="6"/>
      <c r="M105" s="6"/>
      <c r="N105" s="6"/>
      <c r="O105" s="6"/>
      <c r="P105" s="6"/>
      <c r="Q105" s="6"/>
      <c r="R105" s="6"/>
      <c r="S105" s="6"/>
      <c r="T105" s="6"/>
      <c r="U105" s="6"/>
      <c r="V105" s="6"/>
      <c r="W105" s="6"/>
    </row>
    <row r="106" spans="1:23" ht="16" x14ac:dyDescent="0.2">
      <c r="A106" s="6"/>
      <c r="B106" s="7"/>
      <c r="C106" s="7"/>
      <c r="D106" s="7"/>
      <c r="E106" s="7"/>
      <c r="F106" s="6"/>
      <c r="G106" s="6"/>
      <c r="H106" s="6"/>
      <c r="I106" s="6"/>
      <c r="J106" s="6"/>
      <c r="K106" s="6"/>
      <c r="L106" s="6"/>
      <c r="M106" s="6"/>
      <c r="N106" s="6"/>
      <c r="O106" s="6"/>
      <c r="P106" s="6"/>
      <c r="Q106" s="6"/>
      <c r="R106" s="6"/>
      <c r="S106" s="6"/>
      <c r="T106" s="6"/>
      <c r="U106" s="6"/>
      <c r="V106" s="6"/>
      <c r="W106" s="6"/>
    </row>
    <row r="107" spans="1:23" ht="16" x14ac:dyDescent="0.2">
      <c r="A107" s="6"/>
      <c r="B107" s="7"/>
      <c r="C107" s="7"/>
      <c r="D107" s="7"/>
      <c r="E107" s="7"/>
      <c r="F107" s="6"/>
      <c r="G107" s="6"/>
      <c r="H107" s="6"/>
      <c r="I107" s="6"/>
      <c r="J107" s="6"/>
      <c r="K107" s="6"/>
      <c r="L107" s="6"/>
      <c r="M107" s="6"/>
      <c r="N107" s="6"/>
      <c r="O107" s="6"/>
      <c r="P107" s="6"/>
      <c r="Q107" s="6"/>
      <c r="R107" s="6"/>
      <c r="S107" s="6"/>
      <c r="T107" s="6"/>
      <c r="U107" s="6"/>
      <c r="V107" s="6"/>
      <c r="W107" s="6"/>
    </row>
    <row r="108" spans="1:23" ht="16" x14ac:dyDescent="0.2">
      <c r="A108" s="6"/>
      <c r="B108" s="7"/>
      <c r="C108" s="7"/>
      <c r="D108" s="7"/>
      <c r="E108" s="7"/>
      <c r="F108" s="6"/>
      <c r="G108" s="6"/>
      <c r="H108" s="6"/>
      <c r="I108" s="6"/>
      <c r="J108" s="6"/>
      <c r="K108" s="6"/>
      <c r="L108" s="6"/>
      <c r="M108" s="6"/>
      <c r="N108" s="6"/>
      <c r="O108" s="6"/>
      <c r="P108" s="6"/>
      <c r="Q108" s="6"/>
      <c r="R108" s="6"/>
      <c r="S108" s="6"/>
      <c r="T108" s="6"/>
      <c r="U108" s="6"/>
      <c r="V108" s="6"/>
      <c r="W108" s="6"/>
    </row>
    <row r="109" spans="1:23" ht="16" x14ac:dyDescent="0.2">
      <c r="A109" s="6"/>
      <c r="B109" s="7"/>
      <c r="C109" s="7"/>
      <c r="D109" s="7"/>
      <c r="E109" s="7"/>
      <c r="F109" s="6"/>
      <c r="G109" s="6"/>
      <c r="H109" s="6"/>
      <c r="I109" s="6"/>
      <c r="J109" s="6"/>
      <c r="K109" s="6"/>
      <c r="L109" s="6"/>
      <c r="M109" s="6"/>
      <c r="N109" s="6"/>
      <c r="O109" s="6"/>
      <c r="P109" s="6"/>
      <c r="Q109" s="6"/>
      <c r="R109" s="6"/>
      <c r="S109" s="6"/>
      <c r="T109" s="6"/>
      <c r="U109" s="6"/>
      <c r="V109" s="6"/>
      <c r="W109" s="6"/>
    </row>
    <row r="110" spans="1:23" ht="16" x14ac:dyDescent="0.2">
      <c r="A110" s="6"/>
      <c r="B110" s="7"/>
      <c r="C110" s="7"/>
      <c r="D110" s="7"/>
      <c r="E110" s="7"/>
      <c r="F110" s="6"/>
      <c r="G110" s="6"/>
      <c r="H110" s="6"/>
      <c r="I110" s="6"/>
      <c r="J110" s="6"/>
      <c r="K110" s="6"/>
      <c r="L110" s="6"/>
      <c r="M110" s="6"/>
      <c r="N110" s="6"/>
      <c r="O110" s="6"/>
      <c r="P110" s="6"/>
      <c r="Q110" s="6"/>
      <c r="R110" s="6"/>
      <c r="S110" s="6"/>
      <c r="T110" s="6"/>
      <c r="U110" s="6"/>
      <c r="V110" s="6"/>
      <c r="W110" s="6"/>
    </row>
    <row r="111" spans="1:23" ht="16" x14ac:dyDescent="0.2">
      <c r="A111" s="6"/>
      <c r="B111" s="7"/>
      <c r="C111" s="7"/>
      <c r="D111" s="7"/>
      <c r="E111" s="7"/>
      <c r="F111" s="6"/>
      <c r="G111" s="6"/>
      <c r="H111" s="6"/>
      <c r="I111" s="6"/>
      <c r="J111" s="6"/>
      <c r="K111" s="6"/>
      <c r="L111" s="6"/>
      <c r="M111" s="6"/>
      <c r="N111" s="6"/>
      <c r="O111" s="6"/>
      <c r="P111" s="6"/>
      <c r="Q111" s="6"/>
      <c r="R111" s="6"/>
      <c r="S111" s="6"/>
      <c r="T111" s="6"/>
      <c r="U111" s="6"/>
      <c r="V111" s="6"/>
      <c r="W111" s="6"/>
    </row>
    <row r="112" spans="1:23" ht="16" x14ac:dyDescent="0.2">
      <c r="A112" s="6"/>
      <c r="B112" s="7"/>
      <c r="C112" s="7"/>
      <c r="D112" s="7"/>
      <c r="E112" s="7"/>
      <c r="F112" s="6"/>
      <c r="G112" s="6"/>
      <c r="H112" s="6"/>
      <c r="I112" s="6"/>
      <c r="J112" s="6"/>
      <c r="K112" s="6"/>
      <c r="L112" s="6"/>
      <c r="M112" s="6"/>
      <c r="N112" s="6"/>
      <c r="O112" s="6"/>
      <c r="P112" s="6"/>
      <c r="Q112" s="6"/>
      <c r="R112" s="6"/>
      <c r="S112" s="6"/>
      <c r="T112" s="6"/>
      <c r="U112" s="6"/>
      <c r="V112" s="6"/>
      <c r="W112" s="6"/>
    </row>
    <row r="113" spans="1:23" ht="16" x14ac:dyDescent="0.2">
      <c r="A113" s="6"/>
      <c r="B113" s="7"/>
      <c r="C113" s="7"/>
      <c r="D113" s="7"/>
      <c r="E113" s="7"/>
      <c r="F113" s="6"/>
      <c r="G113" s="6"/>
      <c r="H113" s="6"/>
      <c r="I113" s="6"/>
      <c r="J113" s="6"/>
      <c r="K113" s="6"/>
      <c r="L113" s="6"/>
      <c r="M113" s="6"/>
      <c r="N113" s="6"/>
      <c r="O113" s="6"/>
      <c r="P113" s="6"/>
      <c r="Q113" s="6"/>
      <c r="R113" s="6"/>
      <c r="S113" s="6"/>
      <c r="T113" s="6"/>
      <c r="U113" s="6"/>
      <c r="V113" s="6"/>
      <c r="W113" s="6"/>
    </row>
    <row r="114" spans="1:23" ht="16" x14ac:dyDescent="0.2">
      <c r="A114" s="6"/>
      <c r="B114" s="7"/>
      <c r="C114" s="7"/>
      <c r="D114" s="7"/>
      <c r="E114" s="7"/>
      <c r="F114" s="6"/>
      <c r="G114" s="6"/>
      <c r="H114" s="6"/>
      <c r="I114" s="6"/>
      <c r="J114" s="6"/>
      <c r="K114" s="6"/>
      <c r="L114" s="6"/>
      <c r="M114" s="6"/>
      <c r="N114" s="6"/>
      <c r="O114" s="6"/>
      <c r="P114" s="6"/>
      <c r="Q114" s="6"/>
      <c r="R114" s="6"/>
      <c r="S114" s="6"/>
      <c r="T114" s="6"/>
      <c r="U114" s="6"/>
      <c r="V114" s="6"/>
      <c r="W114" s="6"/>
    </row>
    <row r="115" spans="1:23" ht="16" x14ac:dyDescent="0.2">
      <c r="A115" s="6"/>
      <c r="B115" s="7"/>
      <c r="C115" s="7"/>
      <c r="D115" s="7"/>
      <c r="E115" s="7"/>
      <c r="F115" s="6"/>
      <c r="G115" s="6"/>
      <c r="H115" s="6"/>
      <c r="I115" s="6"/>
      <c r="J115" s="6"/>
      <c r="K115" s="6"/>
      <c r="L115" s="6"/>
      <c r="M115" s="6"/>
      <c r="N115" s="6"/>
      <c r="O115" s="6"/>
      <c r="P115" s="6"/>
      <c r="Q115" s="6"/>
      <c r="R115" s="6"/>
      <c r="S115" s="6"/>
      <c r="T115" s="6"/>
      <c r="U115" s="6"/>
      <c r="V115" s="6"/>
      <c r="W115" s="6"/>
    </row>
    <row r="116" spans="1:23" ht="16" x14ac:dyDescent="0.2">
      <c r="A116" s="6"/>
      <c r="B116" s="7"/>
      <c r="C116" s="7"/>
      <c r="D116" s="7"/>
      <c r="E116" s="7"/>
      <c r="F116" s="6"/>
      <c r="G116" s="6"/>
      <c r="H116" s="6"/>
      <c r="I116" s="6"/>
      <c r="J116" s="6"/>
      <c r="K116" s="6"/>
      <c r="L116" s="6"/>
      <c r="M116" s="6"/>
      <c r="N116" s="6"/>
      <c r="O116" s="6"/>
      <c r="P116" s="6"/>
      <c r="Q116" s="6"/>
      <c r="R116" s="6"/>
      <c r="S116" s="6"/>
      <c r="T116" s="6"/>
      <c r="U116" s="6"/>
      <c r="V116" s="6"/>
      <c r="W116" s="6"/>
    </row>
    <row r="117" spans="1:23" ht="16" x14ac:dyDescent="0.2">
      <c r="A117" s="6"/>
      <c r="B117" s="7"/>
      <c r="C117" s="7"/>
      <c r="D117" s="7"/>
      <c r="E117" s="7"/>
      <c r="F117" s="6"/>
      <c r="G117" s="6"/>
      <c r="H117" s="6"/>
      <c r="I117" s="6"/>
      <c r="J117" s="6"/>
      <c r="K117" s="6"/>
      <c r="L117" s="6"/>
      <c r="M117" s="6"/>
      <c r="N117" s="6"/>
      <c r="O117" s="6"/>
      <c r="P117" s="6"/>
      <c r="Q117" s="6"/>
      <c r="R117" s="6"/>
      <c r="S117" s="6"/>
      <c r="T117" s="6"/>
      <c r="U117" s="6"/>
      <c r="V117" s="6"/>
      <c r="W117" s="6"/>
    </row>
    <row r="118" spans="1:23" ht="16" x14ac:dyDescent="0.2">
      <c r="A118" s="6"/>
      <c r="B118" s="7"/>
      <c r="C118" s="7"/>
      <c r="D118" s="7"/>
      <c r="E118" s="7"/>
      <c r="F118" s="6"/>
      <c r="G118" s="6"/>
      <c r="H118" s="6"/>
      <c r="I118" s="6"/>
      <c r="J118" s="6"/>
      <c r="K118" s="6"/>
      <c r="L118" s="6"/>
      <c r="M118" s="6"/>
      <c r="N118" s="6"/>
      <c r="O118" s="6"/>
      <c r="P118" s="6"/>
      <c r="Q118" s="6"/>
      <c r="R118" s="6"/>
      <c r="S118" s="6"/>
      <c r="T118" s="6"/>
      <c r="U118" s="6"/>
      <c r="V118" s="6"/>
      <c r="W118" s="6"/>
    </row>
    <row r="119" spans="1:23" ht="16" x14ac:dyDescent="0.2">
      <c r="A119" s="6"/>
      <c r="B119" s="7"/>
      <c r="C119" s="7"/>
      <c r="D119" s="7"/>
      <c r="E119" s="7"/>
      <c r="F119" s="6"/>
      <c r="G119" s="6"/>
      <c r="H119" s="6"/>
      <c r="I119" s="6"/>
      <c r="J119" s="6"/>
      <c r="K119" s="6"/>
      <c r="L119" s="6"/>
      <c r="M119" s="6"/>
      <c r="N119" s="6"/>
      <c r="O119" s="6"/>
      <c r="P119" s="6"/>
      <c r="Q119" s="6"/>
      <c r="R119" s="6"/>
      <c r="S119" s="6"/>
      <c r="T119" s="6"/>
      <c r="U119" s="6"/>
      <c r="V119" s="6"/>
      <c r="W119" s="6"/>
    </row>
    <row r="120" spans="1:23" ht="16" x14ac:dyDescent="0.2">
      <c r="A120" s="6"/>
      <c r="B120" s="7"/>
      <c r="C120" s="7"/>
      <c r="D120" s="7"/>
      <c r="E120" s="7"/>
      <c r="F120" s="6"/>
      <c r="G120" s="6"/>
      <c r="H120" s="6"/>
      <c r="I120" s="6"/>
      <c r="J120" s="6"/>
      <c r="K120" s="6"/>
      <c r="L120" s="6"/>
      <c r="M120" s="6"/>
      <c r="N120" s="6"/>
      <c r="O120" s="6"/>
      <c r="P120" s="6"/>
      <c r="Q120" s="6"/>
      <c r="R120" s="6"/>
      <c r="S120" s="6"/>
      <c r="T120" s="6"/>
      <c r="U120" s="6"/>
      <c r="V120" s="6"/>
      <c r="W120" s="6"/>
    </row>
    <row r="121" spans="1:23" ht="16" x14ac:dyDescent="0.2">
      <c r="A121" s="6"/>
      <c r="B121" s="7"/>
      <c r="C121" s="7"/>
      <c r="D121" s="7"/>
      <c r="E121" s="7"/>
      <c r="F121" s="6"/>
      <c r="G121" s="6"/>
      <c r="H121" s="6"/>
      <c r="I121" s="6"/>
      <c r="J121" s="6"/>
      <c r="K121" s="6"/>
      <c r="L121" s="6"/>
      <c r="M121" s="6"/>
      <c r="N121" s="6"/>
      <c r="O121" s="6"/>
      <c r="P121" s="6"/>
      <c r="Q121" s="6"/>
      <c r="R121" s="6"/>
      <c r="S121" s="6"/>
      <c r="T121" s="6"/>
      <c r="U121" s="6"/>
      <c r="V121" s="6"/>
      <c r="W121" s="6"/>
    </row>
    <row r="122" spans="1:23" ht="16" x14ac:dyDescent="0.2">
      <c r="A122" s="6"/>
      <c r="B122" s="7"/>
      <c r="C122" s="7"/>
      <c r="D122" s="7"/>
      <c r="E122" s="7"/>
      <c r="F122" s="6"/>
      <c r="G122" s="6"/>
      <c r="H122" s="6"/>
      <c r="I122" s="6"/>
      <c r="J122" s="6"/>
      <c r="K122" s="6"/>
      <c r="L122" s="6"/>
      <c r="M122" s="6"/>
      <c r="N122" s="6"/>
      <c r="O122" s="6"/>
      <c r="P122" s="6"/>
      <c r="Q122" s="6"/>
      <c r="R122" s="6"/>
      <c r="S122" s="6"/>
      <c r="T122" s="6"/>
      <c r="U122" s="6"/>
      <c r="V122" s="6"/>
      <c r="W122" s="6"/>
    </row>
    <row r="123" spans="1:23" ht="16" x14ac:dyDescent="0.2">
      <c r="A123" s="6"/>
      <c r="B123" s="7"/>
      <c r="C123" s="7"/>
      <c r="D123" s="7"/>
      <c r="E123" s="7"/>
      <c r="F123" s="6"/>
      <c r="G123" s="6"/>
      <c r="H123" s="6"/>
      <c r="I123" s="6"/>
      <c r="J123" s="6"/>
      <c r="K123" s="6"/>
      <c r="L123" s="6"/>
      <c r="M123" s="6"/>
      <c r="N123" s="6"/>
      <c r="O123" s="6"/>
      <c r="P123" s="6"/>
      <c r="Q123" s="6"/>
      <c r="R123" s="6"/>
      <c r="S123" s="6"/>
      <c r="T123" s="6"/>
      <c r="U123" s="6"/>
      <c r="V123" s="6"/>
      <c r="W123" s="6"/>
    </row>
    <row r="124" spans="1:23" ht="16" x14ac:dyDescent="0.2">
      <c r="A124" s="6"/>
      <c r="B124" s="7"/>
      <c r="C124" s="7"/>
      <c r="D124" s="7"/>
      <c r="E124" s="7"/>
      <c r="F124" s="6"/>
      <c r="G124" s="6"/>
      <c r="H124" s="6"/>
      <c r="I124" s="6"/>
      <c r="J124" s="6"/>
      <c r="K124" s="6"/>
      <c r="L124" s="6"/>
      <c r="M124" s="6"/>
      <c r="N124" s="6"/>
      <c r="O124" s="6"/>
      <c r="P124" s="6"/>
      <c r="Q124" s="6"/>
      <c r="R124" s="6"/>
      <c r="S124" s="6"/>
      <c r="T124" s="6"/>
      <c r="U124" s="6"/>
      <c r="V124" s="6"/>
      <c r="W124" s="6"/>
    </row>
    <row r="125" spans="1:23" ht="16" x14ac:dyDescent="0.2">
      <c r="A125" s="6"/>
      <c r="B125" s="7"/>
      <c r="C125" s="7"/>
      <c r="D125" s="7"/>
      <c r="E125" s="7"/>
      <c r="F125" s="6"/>
      <c r="G125" s="6"/>
      <c r="H125" s="6"/>
      <c r="I125" s="6"/>
      <c r="J125" s="6"/>
      <c r="K125" s="6"/>
      <c r="L125" s="6"/>
      <c r="M125" s="6"/>
      <c r="N125" s="6"/>
      <c r="O125" s="6"/>
      <c r="P125" s="6"/>
      <c r="Q125" s="6"/>
      <c r="R125" s="6"/>
      <c r="S125" s="6"/>
      <c r="T125" s="6"/>
      <c r="U125" s="6"/>
      <c r="V125" s="6"/>
      <c r="W125" s="6"/>
    </row>
    <row r="126" spans="1:23" ht="16" x14ac:dyDescent="0.2">
      <c r="A126" s="6"/>
      <c r="B126" s="7"/>
      <c r="C126" s="7"/>
      <c r="D126" s="7"/>
      <c r="E126" s="7"/>
      <c r="F126" s="6"/>
      <c r="G126" s="6"/>
      <c r="H126" s="6"/>
      <c r="I126" s="6"/>
      <c r="J126" s="6"/>
      <c r="K126" s="6"/>
      <c r="L126" s="6"/>
      <c r="M126" s="6"/>
      <c r="N126" s="6"/>
      <c r="O126" s="6"/>
      <c r="P126" s="6"/>
      <c r="Q126" s="6"/>
      <c r="R126" s="6"/>
      <c r="S126" s="6"/>
      <c r="T126" s="6"/>
      <c r="U126" s="6"/>
      <c r="V126" s="6"/>
      <c r="W126" s="6"/>
    </row>
    <row r="127" spans="1:23" ht="16" x14ac:dyDescent="0.2">
      <c r="A127" s="6"/>
      <c r="B127" s="7"/>
      <c r="C127" s="7"/>
      <c r="D127" s="7"/>
      <c r="E127" s="7"/>
      <c r="F127" s="6"/>
      <c r="G127" s="6"/>
      <c r="H127" s="6"/>
      <c r="I127" s="6"/>
      <c r="J127" s="6"/>
      <c r="K127" s="6"/>
      <c r="L127" s="6"/>
      <c r="M127" s="6"/>
      <c r="N127" s="6"/>
      <c r="O127" s="6"/>
      <c r="P127" s="6"/>
      <c r="Q127" s="6"/>
      <c r="R127" s="6"/>
      <c r="S127" s="6"/>
      <c r="T127" s="6"/>
      <c r="U127" s="6"/>
      <c r="V127" s="6"/>
      <c r="W127" s="6"/>
    </row>
    <row r="128" spans="1:23" ht="16" x14ac:dyDescent="0.2">
      <c r="A128" s="6"/>
      <c r="B128" s="7"/>
      <c r="C128" s="7"/>
      <c r="D128" s="7"/>
      <c r="E128" s="7"/>
      <c r="F128" s="6"/>
      <c r="G128" s="6"/>
      <c r="H128" s="6"/>
      <c r="I128" s="6"/>
      <c r="J128" s="6"/>
      <c r="K128" s="6"/>
      <c r="L128" s="6"/>
      <c r="M128" s="6"/>
      <c r="N128" s="6"/>
      <c r="O128" s="6"/>
      <c r="P128" s="6"/>
      <c r="Q128" s="6"/>
      <c r="R128" s="6"/>
      <c r="S128" s="6"/>
      <c r="T128" s="6"/>
      <c r="U128" s="6"/>
      <c r="V128" s="6"/>
      <c r="W128" s="6"/>
    </row>
    <row r="129" spans="1:23" ht="16" x14ac:dyDescent="0.2">
      <c r="A129" s="6"/>
      <c r="B129" s="7"/>
      <c r="C129" s="7"/>
      <c r="D129" s="7"/>
      <c r="E129" s="7"/>
      <c r="F129" s="6"/>
      <c r="G129" s="6"/>
      <c r="H129" s="6"/>
      <c r="I129" s="6"/>
      <c r="J129" s="6"/>
      <c r="K129" s="6"/>
      <c r="L129" s="6"/>
      <c r="M129" s="6"/>
      <c r="N129" s="6"/>
      <c r="O129" s="6"/>
      <c r="P129" s="6"/>
      <c r="Q129" s="6"/>
      <c r="R129" s="6"/>
      <c r="S129" s="6"/>
      <c r="T129" s="6"/>
      <c r="U129" s="6"/>
      <c r="V129" s="6"/>
      <c r="W129" s="6"/>
    </row>
    <row r="130" spans="1:23" ht="16" x14ac:dyDescent="0.2">
      <c r="A130" s="6"/>
      <c r="B130" s="7"/>
      <c r="C130" s="7"/>
      <c r="D130" s="7"/>
      <c r="E130" s="7"/>
      <c r="F130" s="6"/>
      <c r="G130" s="6"/>
      <c r="H130" s="6"/>
      <c r="I130" s="6"/>
      <c r="J130" s="6"/>
      <c r="K130" s="6"/>
      <c r="L130" s="6"/>
      <c r="M130" s="6"/>
      <c r="N130" s="6"/>
      <c r="O130" s="6"/>
      <c r="P130" s="6"/>
      <c r="Q130" s="6"/>
      <c r="R130" s="6"/>
      <c r="S130" s="6"/>
      <c r="T130" s="6"/>
      <c r="U130" s="6"/>
      <c r="V130" s="6"/>
      <c r="W130" s="6"/>
    </row>
    <row r="131" spans="1:23" ht="16" x14ac:dyDescent="0.2">
      <c r="A131" s="6"/>
      <c r="B131" s="7"/>
      <c r="C131" s="7"/>
      <c r="D131" s="7"/>
      <c r="E131" s="7"/>
      <c r="F131" s="6"/>
      <c r="G131" s="6"/>
      <c r="H131" s="6"/>
      <c r="I131" s="6"/>
      <c r="J131" s="6"/>
      <c r="K131" s="6"/>
      <c r="L131" s="6"/>
      <c r="M131" s="6"/>
      <c r="N131" s="6"/>
      <c r="O131" s="6"/>
      <c r="P131" s="6"/>
      <c r="Q131" s="6"/>
      <c r="R131" s="6"/>
      <c r="S131" s="6"/>
      <c r="T131" s="6"/>
      <c r="U131" s="6"/>
      <c r="V131" s="6"/>
      <c r="W131" s="6"/>
    </row>
    <row r="132" spans="1:23" ht="16" x14ac:dyDescent="0.2">
      <c r="A132" s="6"/>
      <c r="B132" s="7"/>
      <c r="C132" s="7"/>
      <c r="D132" s="7"/>
      <c r="E132" s="7"/>
      <c r="F132" s="6"/>
      <c r="G132" s="6"/>
      <c r="H132" s="6"/>
      <c r="I132" s="6"/>
      <c r="J132" s="6"/>
      <c r="K132" s="6"/>
      <c r="L132" s="6"/>
      <c r="M132" s="6"/>
      <c r="N132" s="6"/>
      <c r="O132" s="6"/>
      <c r="P132" s="6"/>
      <c r="Q132" s="6"/>
      <c r="R132" s="6"/>
      <c r="S132" s="6"/>
      <c r="T132" s="6"/>
      <c r="U132" s="6"/>
      <c r="V132" s="6"/>
      <c r="W132" s="6"/>
    </row>
    <row r="133" spans="1:23" ht="16" x14ac:dyDescent="0.2">
      <c r="A133" s="6"/>
      <c r="B133" s="7"/>
      <c r="C133" s="7"/>
      <c r="D133" s="7"/>
      <c r="E133" s="7"/>
      <c r="F133" s="6"/>
      <c r="G133" s="6"/>
      <c r="H133" s="6"/>
      <c r="I133" s="6"/>
      <c r="J133" s="6"/>
      <c r="K133" s="6"/>
      <c r="L133" s="6"/>
      <c r="M133" s="6"/>
      <c r="N133" s="6"/>
      <c r="O133" s="6"/>
      <c r="P133" s="6"/>
      <c r="Q133" s="6"/>
      <c r="R133" s="6"/>
      <c r="S133" s="6"/>
      <c r="T133" s="6"/>
      <c r="U133" s="6"/>
      <c r="V133" s="6"/>
      <c r="W133" s="6"/>
    </row>
    <row r="134" spans="1:23" ht="16" x14ac:dyDescent="0.2">
      <c r="A134" s="6"/>
      <c r="B134" s="7"/>
      <c r="C134" s="7"/>
      <c r="D134" s="7"/>
      <c r="E134" s="7"/>
      <c r="F134" s="6"/>
      <c r="G134" s="6"/>
      <c r="H134" s="6"/>
      <c r="I134" s="6"/>
      <c r="J134" s="6"/>
      <c r="K134" s="6"/>
      <c r="L134" s="6"/>
      <c r="M134" s="6"/>
      <c r="N134" s="6"/>
      <c r="O134" s="6"/>
      <c r="P134" s="6"/>
      <c r="Q134" s="6"/>
      <c r="R134" s="6"/>
      <c r="S134" s="6"/>
      <c r="T134" s="6"/>
      <c r="U134" s="6"/>
      <c r="V134" s="6"/>
      <c r="W134" s="6"/>
    </row>
    <row r="135" spans="1:23" ht="16" x14ac:dyDescent="0.2">
      <c r="A135" s="6"/>
      <c r="B135" s="7"/>
      <c r="C135" s="7"/>
      <c r="D135" s="7"/>
      <c r="E135" s="7"/>
      <c r="F135" s="6"/>
      <c r="G135" s="6"/>
      <c r="H135" s="6"/>
      <c r="I135" s="6"/>
      <c r="J135" s="6"/>
      <c r="K135" s="6"/>
      <c r="L135" s="6"/>
      <c r="M135" s="6"/>
      <c r="N135" s="6"/>
      <c r="O135" s="6"/>
      <c r="P135" s="6"/>
      <c r="Q135" s="6"/>
      <c r="R135" s="6"/>
      <c r="S135" s="6"/>
      <c r="T135" s="6"/>
      <c r="U135" s="6"/>
      <c r="V135" s="6"/>
      <c r="W135" s="6"/>
    </row>
    <row r="136" spans="1:23" ht="16" x14ac:dyDescent="0.2">
      <c r="A136" s="6"/>
      <c r="B136" s="7"/>
      <c r="C136" s="7"/>
      <c r="D136" s="7"/>
      <c r="E136" s="7"/>
      <c r="F136" s="6"/>
      <c r="G136" s="6"/>
      <c r="H136" s="6"/>
      <c r="I136" s="6"/>
      <c r="J136" s="6"/>
      <c r="K136" s="6"/>
      <c r="L136" s="6"/>
      <c r="M136" s="6"/>
      <c r="N136" s="6"/>
      <c r="O136" s="6"/>
      <c r="P136" s="6"/>
      <c r="Q136" s="6"/>
      <c r="R136" s="6"/>
      <c r="S136" s="6"/>
      <c r="T136" s="6"/>
      <c r="U136" s="6"/>
      <c r="V136" s="6"/>
      <c r="W136" s="6"/>
    </row>
    <row r="137" spans="1:23" ht="16" x14ac:dyDescent="0.2">
      <c r="A137" s="6"/>
      <c r="B137" s="7"/>
      <c r="C137" s="7"/>
      <c r="D137" s="7"/>
      <c r="E137" s="7"/>
      <c r="F137" s="6"/>
      <c r="G137" s="6"/>
      <c r="H137" s="6"/>
      <c r="I137" s="6"/>
      <c r="J137" s="6"/>
      <c r="K137" s="6"/>
      <c r="L137" s="6"/>
      <c r="M137" s="6"/>
      <c r="N137" s="6"/>
      <c r="O137" s="6"/>
      <c r="P137" s="6"/>
      <c r="Q137" s="6"/>
      <c r="R137" s="6"/>
      <c r="S137" s="6"/>
      <c r="T137" s="6"/>
      <c r="U137" s="6"/>
      <c r="V137" s="6"/>
      <c r="W137" s="6"/>
    </row>
    <row r="138" spans="1:23" ht="16" x14ac:dyDescent="0.2">
      <c r="A138" s="6"/>
      <c r="B138" s="7"/>
      <c r="C138" s="7"/>
      <c r="D138" s="7"/>
      <c r="E138" s="7"/>
      <c r="F138" s="6"/>
      <c r="G138" s="6"/>
      <c r="H138" s="6"/>
      <c r="I138" s="6"/>
      <c r="J138" s="6"/>
      <c r="K138" s="6"/>
      <c r="L138" s="6"/>
      <c r="M138" s="6"/>
      <c r="N138" s="6"/>
      <c r="O138" s="6"/>
      <c r="P138" s="6"/>
      <c r="Q138" s="6"/>
      <c r="R138" s="6"/>
      <c r="S138" s="6"/>
      <c r="T138" s="6"/>
      <c r="U138" s="6"/>
      <c r="V138" s="6"/>
      <c r="W138" s="6"/>
    </row>
    <row r="139" spans="1:23" ht="16" x14ac:dyDescent="0.2">
      <c r="A139" s="6"/>
      <c r="B139" s="7"/>
      <c r="C139" s="7"/>
      <c r="D139" s="7"/>
      <c r="E139" s="7"/>
      <c r="F139" s="6"/>
      <c r="G139" s="6"/>
      <c r="H139" s="6"/>
      <c r="I139" s="6"/>
      <c r="J139" s="6"/>
      <c r="K139" s="6"/>
      <c r="L139" s="6"/>
      <c r="M139" s="6"/>
      <c r="N139" s="6"/>
      <c r="O139" s="6"/>
      <c r="P139" s="6"/>
      <c r="Q139" s="6"/>
      <c r="R139" s="6"/>
      <c r="S139" s="6"/>
      <c r="T139" s="6"/>
      <c r="U139" s="6"/>
      <c r="V139" s="6"/>
      <c r="W139" s="6"/>
    </row>
    <row r="140" spans="1:23" ht="16" x14ac:dyDescent="0.2">
      <c r="A140" s="6"/>
      <c r="B140" s="7"/>
      <c r="C140" s="7"/>
      <c r="D140" s="7"/>
      <c r="E140" s="7"/>
      <c r="F140" s="6"/>
      <c r="G140" s="6"/>
      <c r="H140" s="6"/>
      <c r="I140" s="6"/>
      <c r="J140" s="6"/>
      <c r="K140" s="6"/>
      <c r="L140" s="6"/>
      <c r="M140" s="6"/>
      <c r="N140" s="6"/>
      <c r="O140" s="6"/>
      <c r="P140" s="6"/>
      <c r="Q140" s="6"/>
      <c r="R140" s="6"/>
      <c r="S140" s="6"/>
      <c r="T140" s="6"/>
      <c r="U140" s="6"/>
      <c r="V140" s="6"/>
      <c r="W140" s="6"/>
    </row>
    <row r="141" spans="1:23" ht="16" x14ac:dyDescent="0.2">
      <c r="A141" s="6"/>
      <c r="B141" s="7"/>
      <c r="C141" s="7"/>
      <c r="D141" s="7"/>
      <c r="E141" s="7"/>
      <c r="F141" s="6"/>
      <c r="G141" s="6"/>
      <c r="H141" s="6"/>
      <c r="I141" s="6"/>
      <c r="J141" s="6"/>
      <c r="K141" s="6"/>
      <c r="L141" s="6"/>
      <c r="M141" s="6"/>
      <c r="N141" s="6"/>
      <c r="O141" s="6"/>
      <c r="P141" s="6"/>
      <c r="Q141" s="6"/>
      <c r="R141" s="6"/>
      <c r="S141" s="6"/>
      <c r="T141" s="6"/>
      <c r="U141" s="6"/>
      <c r="V141" s="6"/>
      <c r="W141" s="6"/>
    </row>
    <row r="142" spans="1:23" ht="16" x14ac:dyDescent="0.2">
      <c r="A142" s="6"/>
      <c r="B142" s="7"/>
      <c r="C142" s="7"/>
      <c r="D142" s="7"/>
      <c r="E142" s="7"/>
      <c r="F142" s="6"/>
      <c r="G142" s="6"/>
      <c r="H142" s="6"/>
      <c r="I142" s="6"/>
      <c r="J142" s="6"/>
      <c r="K142" s="6"/>
      <c r="L142" s="6"/>
      <c r="M142" s="6"/>
      <c r="N142" s="6"/>
      <c r="O142" s="6"/>
      <c r="P142" s="6"/>
      <c r="Q142" s="6"/>
      <c r="R142" s="6"/>
      <c r="S142" s="6"/>
      <c r="T142" s="6"/>
      <c r="U142" s="6"/>
      <c r="V142" s="6"/>
      <c r="W142" s="6"/>
    </row>
    <row r="143" spans="1:23" ht="16" x14ac:dyDescent="0.2">
      <c r="A143" s="6"/>
      <c r="B143" s="7"/>
      <c r="C143" s="7"/>
      <c r="D143" s="7"/>
      <c r="E143" s="7"/>
      <c r="F143" s="6"/>
      <c r="G143" s="6"/>
      <c r="H143" s="6"/>
      <c r="I143" s="6"/>
      <c r="J143" s="6"/>
      <c r="K143" s="6"/>
      <c r="L143" s="6"/>
      <c r="M143" s="6"/>
      <c r="N143" s="6"/>
      <c r="O143" s="6"/>
      <c r="P143" s="6"/>
      <c r="Q143" s="6"/>
      <c r="R143" s="6"/>
      <c r="S143" s="6"/>
      <c r="T143" s="6"/>
      <c r="U143" s="6"/>
      <c r="V143" s="6"/>
      <c r="W143" s="6"/>
    </row>
    <row r="144" spans="1:23" ht="16" x14ac:dyDescent="0.2">
      <c r="A144" s="6"/>
      <c r="B144" s="7"/>
      <c r="C144" s="7"/>
      <c r="D144" s="7"/>
      <c r="E144" s="7"/>
      <c r="F144" s="6"/>
      <c r="G144" s="6"/>
      <c r="H144" s="6"/>
      <c r="I144" s="6"/>
      <c r="J144" s="6"/>
      <c r="K144" s="6"/>
      <c r="L144" s="6"/>
      <c r="M144" s="6"/>
      <c r="N144" s="6"/>
      <c r="O144" s="6"/>
      <c r="P144" s="6"/>
      <c r="Q144" s="6"/>
      <c r="R144" s="6"/>
      <c r="S144" s="6"/>
      <c r="T144" s="6"/>
      <c r="U144" s="6"/>
      <c r="V144" s="6"/>
      <c r="W144" s="6"/>
    </row>
    <row r="145" spans="1:23" ht="16" x14ac:dyDescent="0.2">
      <c r="A145" s="6"/>
      <c r="B145" s="7"/>
      <c r="C145" s="7"/>
      <c r="D145" s="7"/>
      <c r="E145" s="7"/>
      <c r="F145" s="6"/>
      <c r="G145" s="6"/>
      <c r="H145" s="6"/>
      <c r="I145" s="6"/>
      <c r="J145" s="6"/>
      <c r="K145" s="6"/>
      <c r="L145" s="6"/>
      <c r="M145" s="6"/>
      <c r="N145" s="6"/>
      <c r="O145" s="6"/>
      <c r="P145" s="6"/>
      <c r="Q145" s="6"/>
      <c r="R145" s="6"/>
      <c r="S145" s="6"/>
      <c r="T145" s="6"/>
      <c r="U145" s="6"/>
      <c r="V145" s="6"/>
      <c r="W145" s="6"/>
    </row>
    <row r="146" spans="1:23" ht="16" x14ac:dyDescent="0.2">
      <c r="A146" s="6"/>
      <c r="B146" s="7"/>
      <c r="C146" s="7"/>
      <c r="D146" s="7"/>
      <c r="E146" s="7"/>
      <c r="F146" s="6"/>
      <c r="G146" s="6"/>
      <c r="H146" s="6"/>
      <c r="I146" s="6"/>
      <c r="J146" s="6"/>
      <c r="K146" s="6"/>
      <c r="L146" s="6"/>
      <c r="M146" s="6"/>
      <c r="N146" s="6"/>
      <c r="O146" s="6"/>
      <c r="P146" s="6"/>
      <c r="Q146" s="6"/>
      <c r="R146" s="6"/>
      <c r="S146" s="6"/>
      <c r="T146" s="6"/>
      <c r="U146" s="6"/>
      <c r="V146" s="6"/>
      <c r="W146" s="6"/>
    </row>
    <row r="147" spans="1:23" ht="16" x14ac:dyDescent="0.2">
      <c r="A147" s="6"/>
      <c r="B147" s="7"/>
      <c r="C147" s="7"/>
      <c r="D147" s="7"/>
      <c r="E147" s="7"/>
      <c r="F147" s="6"/>
      <c r="G147" s="6"/>
      <c r="H147" s="6"/>
      <c r="I147" s="6"/>
      <c r="J147" s="6"/>
      <c r="K147" s="6"/>
      <c r="L147" s="6"/>
      <c r="M147" s="6"/>
      <c r="N147" s="6"/>
      <c r="O147" s="6"/>
      <c r="P147" s="6"/>
      <c r="Q147" s="6"/>
      <c r="R147" s="6"/>
      <c r="S147" s="6"/>
      <c r="T147" s="6"/>
      <c r="U147" s="6"/>
      <c r="V147" s="6"/>
      <c r="W147" s="6"/>
    </row>
    <row r="148" spans="1:23" ht="16" x14ac:dyDescent="0.2">
      <c r="A148" s="6"/>
      <c r="B148" s="7"/>
      <c r="C148" s="7"/>
      <c r="D148" s="7"/>
      <c r="E148" s="7"/>
      <c r="F148" s="6"/>
      <c r="G148" s="6"/>
      <c r="H148" s="6"/>
      <c r="I148" s="6"/>
      <c r="J148" s="6"/>
      <c r="K148" s="6"/>
      <c r="L148" s="6"/>
      <c r="M148" s="6"/>
      <c r="N148" s="6"/>
      <c r="O148" s="6"/>
      <c r="P148" s="6"/>
      <c r="Q148" s="6"/>
      <c r="R148" s="6"/>
      <c r="S148" s="6"/>
      <c r="T148" s="6"/>
      <c r="U148" s="6"/>
      <c r="V148" s="6"/>
      <c r="W148" s="6"/>
    </row>
    <row r="149" spans="1:23" ht="16" x14ac:dyDescent="0.2">
      <c r="A149" s="6"/>
      <c r="B149" s="7"/>
      <c r="C149" s="7"/>
      <c r="D149" s="7"/>
      <c r="E149" s="7"/>
      <c r="F149" s="6"/>
      <c r="G149" s="6"/>
      <c r="H149" s="6"/>
      <c r="I149" s="6"/>
      <c r="J149" s="6"/>
      <c r="K149" s="6"/>
      <c r="L149" s="6"/>
      <c r="M149" s="6"/>
      <c r="N149" s="6"/>
      <c r="O149" s="6"/>
      <c r="P149" s="6"/>
      <c r="Q149" s="6"/>
      <c r="R149" s="6"/>
      <c r="S149" s="6"/>
      <c r="T149" s="6"/>
      <c r="U149" s="6"/>
      <c r="V149" s="6"/>
      <c r="W149" s="6"/>
    </row>
    <row r="150" spans="1:23" ht="16" x14ac:dyDescent="0.2">
      <c r="A150" s="6"/>
      <c r="B150" s="7"/>
      <c r="C150" s="7"/>
      <c r="D150" s="7"/>
      <c r="E150" s="7"/>
      <c r="F150" s="6"/>
      <c r="G150" s="6"/>
      <c r="H150" s="6"/>
      <c r="I150" s="6"/>
      <c r="J150" s="6"/>
      <c r="K150" s="6"/>
      <c r="L150" s="6"/>
      <c r="M150" s="6"/>
      <c r="N150" s="6"/>
      <c r="O150" s="6"/>
      <c r="P150" s="6"/>
      <c r="Q150" s="6"/>
      <c r="R150" s="6"/>
      <c r="S150" s="6"/>
      <c r="T150" s="6"/>
      <c r="U150" s="6"/>
      <c r="V150" s="6"/>
      <c r="W150" s="6"/>
    </row>
    <row r="151" spans="1:23" ht="16" x14ac:dyDescent="0.2">
      <c r="A151" s="6"/>
      <c r="B151" s="7"/>
      <c r="C151" s="7"/>
      <c r="D151" s="7"/>
      <c r="E151" s="7"/>
      <c r="F151" s="6"/>
      <c r="G151" s="6"/>
      <c r="H151" s="6"/>
      <c r="I151" s="6"/>
      <c r="J151" s="6"/>
      <c r="K151" s="6"/>
      <c r="L151" s="6"/>
      <c r="M151" s="6"/>
      <c r="N151" s="6"/>
      <c r="O151" s="6"/>
      <c r="P151" s="6"/>
      <c r="Q151" s="6"/>
      <c r="R151" s="6"/>
      <c r="S151" s="6"/>
      <c r="T151" s="6"/>
      <c r="U151" s="6"/>
      <c r="V151" s="6"/>
      <c r="W151" s="6"/>
    </row>
    <row r="152" spans="1:23" ht="16" x14ac:dyDescent="0.2">
      <c r="A152" s="6"/>
      <c r="B152" s="7"/>
      <c r="C152" s="7"/>
      <c r="D152" s="7"/>
      <c r="E152" s="7"/>
      <c r="F152" s="6"/>
      <c r="G152" s="6"/>
      <c r="H152" s="6"/>
      <c r="I152" s="6"/>
      <c r="J152" s="6"/>
      <c r="K152" s="6"/>
      <c r="L152" s="6"/>
      <c r="M152" s="6"/>
      <c r="N152" s="6"/>
      <c r="O152" s="6"/>
      <c r="P152" s="6"/>
      <c r="Q152" s="6"/>
      <c r="R152" s="6"/>
      <c r="S152" s="6"/>
      <c r="T152" s="6"/>
      <c r="U152" s="6"/>
      <c r="V152" s="6"/>
      <c r="W152" s="6"/>
    </row>
    <row r="153" spans="1:23" ht="16" x14ac:dyDescent="0.2">
      <c r="A153" s="6"/>
      <c r="B153" s="7"/>
      <c r="C153" s="7"/>
      <c r="D153" s="7"/>
      <c r="E153" s="7"/>
      <c r="F153" s="6"/>
      <c r="G153" s="6"/>
      <c r="H153" s="6"/>
      <c r="I153" s="6"/>
      <c r="J153" s="6"/>
      <c r="K153" s="6"/>
      <c r="L153" s="6"/>
      <c r="M153" s="6"/>
      <c r="N153" s="6"/>
      <c r="O153" s="6"/>
      <c r="P153" s="6"/>
      <c r="Q153" s="6"/>
      <c r="R153" s="6"/>
      <c r="S153" s="6"/>
      <c r="T153" s="6"/>
      <c r="U153" s="6"/>
      <c r="V153" s="6"/>
      <c r="W153" s="6"/>
    </row>
    <row r="154" spans="1:23" ht="16" x14ac:dyDescent="0.2">
      <c r="A154" s="6"/>
      <c r="B154" s="7"/>
      <c r="C154" s="7"/>
      <c r="D154" s="7"/>
      <c r="E154" s="7"/>
      <c r="F154" s="6"/>
      <c r="G154" s="6"/>
      <c r="H154" s="6"/>
      <c r="I154" s="6"/>
      <c r="J154" s="6"/>
      <c r="K154" s="6"/>
      <c r="L154" s="6"/>
      <c r="M154" s="6"/>
      <c r="N154" s="6"/>
      <c r="O154" s="6"/>
      <c r="P154" s="6"/>
      <c r="Q154" s="6"/>
      <c r="R154" s="6"/>
      <c r="S154" s="6"/>
      <c r="T154" s="6"/>
      <c r="U154" s="6"/>
      <c r="V154" s="6"/>
      <c r="W154" s="6"/>
    </row>
    <row r="155" spans="1:23" ht="16" x14ac:dyDescent="0.2">
      <c r="A155" s="6"/>
      <c r="B155" s="7"/>
      <c r="C155" s="7"/>
      <c r="D155" s="7"/>
      <c r="E155" s="7"/>
      <c r="F155" s="6"/>
      <c r="G155" s="6"/>
      <c r="H155" s="6"/>
      <c r="I155" s="6"/>
      <c r="J155" s="6"/>
      <c r="K155" s="6"/>
      <c r="L155" s="6"/>
      <c r="M155" s="6"/>
      <c r="N155" s="6"/>
      <c r="O155" s="6"/>
      <c r="P155" s="6"/>
      <c r="Q155" s="6"/>
      <c r="R155" s="6"/>
      <c r="S155" s="6"/>
      <c r="T155" s="6"/>
      <c r="U155" s="6"/>
      <c r="V155" s="6"/>
      <c r="W155" s="6"/>
    </row>
    <row r="156" spans="1:23" ht="16" x14ac:dyDescent="0.2">
      <c r="A156" s="6"/>
      <c r="B156" s="7"/>
      <c r="C156" s="7"/>
      <c r="D156" s="7"/>
      <c r="E156" s="7"/>
      <c r="F156" s="6"/>
      <c r="G156" s="6"/>
      <c r="H156" s="6"/>
      <c r="I156" s="6"/>
      <c r="J156" s="6"/>
      <c r="K156" s="6"/>
      <c r="L156" s="6"/>
      <c r="M156" s="6"/>
      <c r="N156" s="6"/>
      <c r="O156" s="6"/>
      <c r="P156" s="6"/>
      <c r="Q156" s="6"/>
      <c r="R156" s="6"/>
      <c r="S156" s="6"/>
      <c r="T156" s="6"/>
      <c r="U156" s="6"/>
      <c r="V156" s="6"/>
      <c r="W156" s="6"/>
    </row>
    <row r="157" spans="1:23" ht="16" x14ac:dyDescent="0.2">
      <c r="A157" s="6"/>
      <c r="B157" s="7"/>
      <c r="C157" s="7"/>
      <c r="D157" s="7"/>
      <c r="E157" s="7"/>
      <c r="F157" s="6"/>
      <c r="G157" s="6"/>
      <c r="H157" s="6"/>
      <c r="I157" s="6"/>
      <c r="J157" s="6"/>
      <c r="K157" s="6"/>
      <c r="L157" s="6"/>
      <c r="M157" s="6"/>
      <c r="N157" s="6"/>
      <c r="O157" s="6"/>
      <c r="P157" s="6"/>
      <c r="Q157" s="6"/>
      <c r="R157" s="6"/>
      <c r="S157" s="6"/>
      <c r="T157" s="6"/>
      <c r="U157" s="6"/>
      <c r="V157" s="6"/>
      <c r="W157" s="6"/>
    </row>
    <row r="158" spans="1:23" ht="16" x14ac:dyDescent="0.2">
      <c r="A158" s="6"/>
      <c r="B158" s="7"/>
      <c r="C158" s="7"/>
      <c r="D158" s="7"/>
      <c r="E158" s="7"/>
      <c r="F158" s="6"/>
      <c r="G158" s="6"/>
      <c r="H158" s="6"/>
      <c r="I158" s="6"/>
      <c r="J158" s="6"/>
      <c r="K158" s="6"/>
      <c r="L158" s="6"/>
      <c r="M158" s="6"/>
      <c r="N158" s="6"/>
      <c r="O158" s="6"/>
      <c r="P158" s="6"/>
      <c r="Q158" s="6"/>
      <c r="R158" s="6"/>
      <c r="S158" s="6"/>
      <c r="T158" s="6"/>
      <c r="U158" s="6"/>
      <c r="V158" s="6"/>
      <c r="W158" s="6"/>
    </row>
    <row r="159" spans="1:23" ht="16" x14ac:dyDescent="0.2">
      <c r="A159" s="6"/>
      <c r="B159" s="7"/>
      <c r="C159" s="7"/>
      <c r="D159" s="7"/>
      <c r="E159" s="7"/>
      <c r="F159" s="6"/>
      <c r="G159" s="6"/>
      <c r="H159" s="6"/>
      <c r="I159" s="6"/>
      <c r="J159" s="6"/>
      <c r="K159" s="6"/>
      <c r="L159" s="6"/>
      <c r="M159" s="6"/>
      <c r="N159" s="6"/>
      <c r="O159" s="6"/>
      <c r="P159" s="6"/>
      <c r="Q159" s="6"/>
      <c r="R159" s="6"/>
      <c r="S159" s="6"/>
      <c r="T159" s="6"/>
      <c r="U159" s="6"/>
      <c r="V159" s="6"/>
      <c r="W159" s="6"/>
    </row>
    <row r="160" spans="1:23" ht="16" x14ac:dyDescent="0.2">
      <c r="A160" s="6"/>
      <c r="B160" s="7"/>
      <c r="C160" s="7"/>
      <c r="D160" s="7"/>
      <c r="E160" s="7"/>
      <c r="F160" s="6"/>
      <c r="G160" s="6"/>
      <c r="H160" s="6"/>
      <c r="I160" s="6"/>
      <c r="J160" s="6"/>
      <c r="K160" s="6"/>
      <c r="L160" s="6"/>
      <c r="M160" s="6"/>
      <c r="N160" s="6"/>
      <c r="O160" s="6"/>
      <c r="P160" s="6"/>
      <c r="Q160" s="6"/>
      <c r="R160" s="6"/>
      <c r="S160" s="6"/>
      <c r="T160" s="6"/>
      <c r="U160" s="6"/>
      <c r="V160" s="6"/>
      <c r="W160" s="6"/>
    </row>
    <row r="161" spans="1:23" ht="16" x14ac:dyDescent="0.2">
      <c r="A161" s="6"/>
      <c r="B161" s="7"/>
      <c r="C161" s="7"/>
      <c r="D161" s="7"/>
      <c r="E161" s="7"/>
      <c r="F161" s="6"/>
      <c r="G161" s="6"/>
      <c r="H161" s="6"/>
      <c r="I161" s="6"/>
      <c r="J161" s="6"/>
      <c r="K161" s="6"/>
      <c r="L161" s="6"/>
      <c r="M161" s="6"/>
      <c r="N161" s="6"/>
      <c r="O161" s="6"/>
      <c r="P161" s="6"/>
      <c r="Q161" s="6"/>
      <c r="R161" s="6"/>
      <c r="S161" s="6"/>
      <c r="T161" s="6"/>
      <c r="U161" s="6"/>
      <c r="V161" s="6"/>
      <c r="W161" s="6"/>
    </row>
    <row r="162" spans="1:23" ht="16" x14ac:dyDescent="0.2">
      <c r="A162" s="6"/>
      <c r="B162" s="7"/>
      <c r="C162" s="7"/>
      <c r="D162" s="7"/>
      <c r="E162" s="7"/>
      <c r="F162" s="6"/>
      <c r="G162" s="6"/>
      <c r="H162" s="6"/>
      <c r="I162" s="6"/>
      <c r="J162" s="6"/>
      <c r="K162" s="6"/>
      <c r="L162" s="6"/>
      <c r="M162" s="6"/>
      <c r="N162" s="6"/>
      <c r="O162" s="6"/>
      <c r="P162" s="6"/>
      <c r="Q162" s="6"/>
      <c r="R162" s="6"/>
      <c r="S162" s="6"/>
      <c r="T162" s="6"/>
      <c r="U162" s="6"/>
      <c r="V162" s="6"/>
      <c r="W162" s="6"/>
    </row>
    <row r="163" spans="1:23" ht="16" x14ac:dyDescent="0.2">
      <c r="A163" s="6"/>
      <c r="B163" s="7"/>
      <c r="C163" s="7"/>
      <c r="D163" s="7"/>
      <c r="E163" s="7"/>
      <c r="F163" s="6"/>
      <c r="G163" s="6"/>
      <c r="H163" s="6"/>
      <c r="I163" s="6"/>
      <c r="J163" s="6"/>
      <c r="K163" s="6"/>
      <c r="L163" s="6"/>
      <c r="M163" s="6"/>
      <c r="N163" s="6"/>
      <c r="O163" s="6"/>
      <c r="P163" s="6"/>
      <c r="Q163" s="6"/>
      <c r="R163" s="6"/>
      <c r="S163" s="6"/>
      <c r="T163" s="6"/>
      <c r="U163" s="6"/>
      <c r="V163" s="6"/>
      <c r="W163" s="6"/>
    </row>
    <row r="164" spans="1:23" ht="16" x14ac:dyDescent="0.2">
      <c r="A164" s="6"/>
      <c r="B164" s="7"/>
      <c r="C164" s="7"/>
      <c r="D164" s="7"/>
      <c r="E164" s="7"/>
      <c r="F164" s="6"/>
      <c r="G164" s="6"/>
      <c r="H164" s="6"/>
      <c r="I164" s="6"/>
      <c r="J164" s="6"/>
      <c r="K164" s="6"/>
      <c r="L164" s="6"/>
      <c r="M164" s="6"/>
      <c r="N164" s="6"/>
      <c r="O164" s="6"/>
      <c r="P164" s="6"/>
      <c r="Q164" s="6"/>
      <c r="R164" s="6"/>
      <c r="S164" s="6"/>
      <c r="T164" s="6"/>
      <c r="U164" s="6"/>
      <c r="V164" s="6"/>
      <c r="W164" s="6"/>
    </row>
    <row r="165" spans="1:23" ht="16" x14ac:dyDescent="0.2">
      <c r="A165" s="6"/>
      <c r="B165" s="7"/>
      <c r="C165" s="7"/>
      <c r="D165" s="7"/>
      <c r="E165" s="7"/>
      <c r="F165" s="6"/>
      <c r="G165" s="6"/>
      <c r="H165" s="6"/>
      <c r="I165" s="6"/>
      <c r="J165" s="6"/>
      <c r="K165" s="6"/>
      <c r="L165" s="6"/>
      <c r="M165" s="6"/>
      <c r="N165" s="6"/>
      <c r="O165" s="6"/>
      <c r="P165" s="6"/>
      <c r="Q165" s="6"/>
      <c r="R165" s="6"/>
      <c r="S165" s="6"/>
      <c r="T165" s="6"/>
      <c r="U165" s="6"/>
      <c r="V165" s="6"/>
      <c r="W165" s="6"/>
    </row>
    <row r="166" spans="1:23" ht="16" x14ac:dyDescent="0.2">
      <c r="A166" s="6"/>
      <c r="B166" s="7"/>
      <c r="C166" s="7"/>
      <c r="D166" s="7"/>
      <c r="E166" s="7"/>
      <c r="F166" s="6"/>
      <c r="G166" s="6"/>
      <c r="H166" s="6"/>
      <c r="I166" s="6"/>
      <c r="J166" s="6"/>
      <c r="K166" s="6"/>
      <c r="L166" s="6"/>
      <c r="M166" s="6"/>
      <c r="N166" s="6"/>
      <c r="O166" s="6"/>
      <c r="P166" s="6"/>
      <c r="Q166" s="6"/>
      <c r="R166" s="6"/>
      <c r="S166" s="6"/>
      <c r="T166" s="6"/>
      <c r="U166" s="6"/>
      <c r="V166" s="6"/>
      <c r="W166" s="6"/>
    </row>
    <row r="167" spans="1:23" ht="16" x14ac:dyDescent="0.2">
      <c r="A167" s="6"/>
      <c r="B167" s="7"/>
      <c r="C167" s="7"/>
      <c r="D167" s="7"/>
      <c r="E167" s="7"/>
      <c r="F167" s="6"/>
      <c r="G167" s="6"/>
      <c r="H167" s="6"/>
      <c r="I167" s="6"/>
      <c r="J167" s="6"/>
      <c r="K167" s="6"/>
      <c r="L167" s="6"/>
      <c r="M167" s="6"/>
      <c r="N167" s="6"/>
      <c r="O167" s="6"/>
      <c r="P167" s="6"/>
      <c r="Q167" s="6"/>
      <c r="R167" s="6"/>
      <c r="S167" s="6"/>
      <c r="T167" s="6"/>
      <c r="U167" s="6"/>
      <c r="V167" s="6"/>
      <c r="W167" s="6"/>
    </row>
    <row r="168" spans="1:23" ht="16" x14ac:dyDescent="0.2">
      <c r="A168" s="6"/>
      <c r="B168" s="7"/>
      <c r="C168" s="7"/>
      <c r="D168" s="7"/>
      <c r="E168" s="7"/>
      <c r="F168" s="6"/>
      <c r="G168" s="6"/>
      <c r="H168" s="6"/>
      <c r="I168" s="6"/>
      <c r="J168" s="6"/>
      <c r="K168" s="6"/>
      <c r="L168" s="6"/>
      <c r="M168" s="6"/>
      <c r="N168" s="6"/>
      <c r="O168" s="6"/>
      <c r="P168" s="6"/>
      <c r="Q168" s="6"/>
      <c r="R168" s="6"/>
      <c r="S168" s="6"/>
      <c r="T168" s="6"/>
      <c r="U168" s="6"/>
      <c r="V168" s="6"/>
      <c r="W168" s="6"/>
    </row>
    <row r="169" spans="1:23" ht="16" x14ac:dyDescent="0.2">
      <c r="A169" s="6"/>
      <c r="B169" s="7"/>
      <c r="C169" s="7"/>
      <c r="D169" s="7"/>
      <c r="E169" s="7"/>
      <c r="F169" s="6"/>
      <c r="G169" s="6"/>
      <c r="H169" s="6"/>
      <c r="I169" s="6"/>
      <c r="J169" s="6"/>
      <c r="K169" s="6"/>
      <c r="L169" s="6"/>
      <c r="M169" s="6"/>
      <c r="N169" s="6"/>
      <c r="O169" s="6"/>
      <c r="P169" s="6"/>
      <c r="Q169" s="6"/>
      <c r="R169" s="6"/>
      <c r="S169" s="6"/>
      <c r="T169" s="6"/>
      <c r="U169" s="6"/>
      <c r="V169" s="6"/>
      <c r="W169" s="6"/>
    </row>
    <row r="170" spans="1:23" ht="16" x14ac:dyDescent="0.2">
      <c r="A170" s="6"/>
      <c r="B170" s="7"/>
      <c r="C170" s="7"/>
      <c r="D170" s="7"/>
      <c r="E170" s="7"/>
      <c r="F170" s="6"/>
      <c r="G170" s="6"/>
      <c r="H170" s="6"/>
      <c r="I170" s="6"/>
      <c r="J170" s="6"/>
      <c r="K170" s="6"/>
      <c r="L170" s="6"/>
      <c r="M170" s="6"/>
      <c r="N170" s="6"/>
      <c r="O170" s="6"/>
      <c r="P170" s="6"/>
      <c r="Q170" s="6"/>
      <c r="R170" s="6"/>
      <c r="S170" s="6"/>
      <c r="T170" s="6"/>
      <c r="U170" s="6"/>
      <c r="V170" s="6"/>
      <c r="W170" s="6"/>
    </row>
    <row r="171" spans="1:23" ht="16" x14ac:dyDescent="0.2">
      <c r="A171" s="6"/>
      <c r="B171" s="7"/>
      <c r="C171" s="7"/>
      <c r="D171" s="7"/>
      <c r="E171" s="7"/>
      <c r="F171" s="6"/>
      <c r="G171" s="6"/>
      <c r="H171" s="6"/>
      <c r="I171" s="6"/>
      <c r="J171" s="6"/>
      <c r="K171" s="6"/>
      <c r="L171" s="6"/>
      <c r="M171" s="6"/>
      <c r="N171" s="6"/>
      <c r="O171" s="6"/>
      <c r="P171" s="6"/>
      <c r="Q171" s="6"/>
      <c r="R171" s="6"/>
      <c r="S171" s="6"/>
      <c r="T171" s="6"/>
      <c r="U171" s="6"/>
      <c r="V171" s="6"/>
      <c r="W171" s="6"/>
    </row>
    <row r="172" spans="1:23" ht="16" x14ac:dyDescent="0.2">
      <c r="A172" s="6"/>
      <c r="B172" s="7"/>
      <c r="C172" s="7"/>
      <c r="D172" s="7"/>
      <c r="E172" s="7"/>
      <c r="F172" s="6"/>
      <c r="G172" s="6"/>
      <c r="H172" s="6"/>
      <c r="I172" s="6"/>
      <c r="J172" s="6"/>
      <c r="K172" s="6"/>
      <c r="L172" s="6"/>
      <c r="M172" s="6"/>
      <c r="N172" s="6"/>
      <c r="O172" s="6"/>
      <c r="P172" s="6"/>
      <c r="Q172" s="6"/>
      <c r="R172" s="6"/>
      <c r="S172" s="6"/>
      <c r="T172" s="6"/>
      <c r="U172" s="6"/>
      <c r="V172" s="6"/>
      <c r="W172" s="6"/>
    </row>
    <row r="173" spans="1:23" ht="16" x14ac:dyDescent="0.2">
      <c r="A173" s="6"/>
      <c r="B173" s="7"/>
      <c r="C173" s="7"/>
      <c r="D173" s="7"/>
      <c r="E173" s="7"/>
      <c r="F173" s="6"/>
      <c r="G173" s="6"/>
      <c r="H173" s="6"/>
      <c r="I173" s="6"/>
      <c r="J173" s="6"/>
      <c r="K173" s="6"/>
      <c r="L173" s="6"/>
      <c r="M173" s="6"/>
      <c r="N173" s="6"/>
      <c r="O173" s="6"/>
      <c r="P173" s="6"/>
      <c r="Q173" s="6"/>
      <c r="R173" s="6"/>
      <c r="S173" s="6"/>
      <c r="T173" s="6"/>
      <c r="U173" s="6"/>
      <c r="V173" s="6"/>
      <c r="W173" s="6"/>
    </row>
    <row r="174" spans="1:23" ht="16" x14ac:dyDescent="0.2">
      <c r="A174" s="6"/>
      <c r="B174" s="7"/>
      <c r="C174" s="7"/>
      <c r="D174" s="7"/>
      <c r="E174" s="7"/>
      <c r="F174" s="6"/>
      <c r="G174" s="6"/>
      <c r="H174" s="6"/>
      <c r="I174" s="6"/>
      <c r="J174" s="6"/>
      <c r="K174" s="6"/>
      <c r="L174" s="6"/>
      <c r="M174" s="6"/>
      <c r="N174" s="6"/>
      <c r="O174" s="6"/>
      <c r="P174" s="6"/>
      <c r="Q174" s="6"/>
      <c r="R174" s="6"/>
      <c r="S174" s="6"/>
      <c r="T174" s="6"/>
      <c r="U174" s="6"/>
      <c r="V174" s="6"/>
      <c r="W174" s="6"/>
    </row>
    <row r="175" spans="1:23" ht="16" x14ac:dyDescent="0.2">
      <c r="A175" s="6"/>
      <c r="B175" s="7"/>
      <c r="C175" s="7"/>
      <c r="D175" s="7"/>
      <c r="E175" s="7"/>
      <c r="F175" s="6"/>
      <c r="G175" s="6"/>
      <c r="H175" s="6"/>
      <c r="I175" s="6"/>
      <c r="J175" s="6"/>
      <c r="K175" s="6"/>
      <c r="L175" s="6"/>
      <c r="M175" s="6"/>
      <c r="N175" s="6"/>
      <c r="O175" s="6"/>
      <c r="P175" s="6"/>
      <c r="Q175" s="6"/>
      <c r="R175" s="6"/>
      <c r="S175" s="6"/>
      <c r="T175" s="6"/>
      <c r="U175" s="6"/>
      <c r="V175" s="6"/>
      <c r="W175" s="6"/>
    </row>
    <row r="176" spans="1:23" ht="16" x14ac:dyDescent="0.2">
      <c r="A176" s="6"/>
      <c r="B176" s="7"/>
      <c r="C176" s="7"/>
      <c r="D176" s="7"/>
      <c r="E176" s="7"/>
      <c r="F176" s="6"/>
      <c r="G176" s="6"/>
      <c r="H176" s="6"/>
      <c r="I176" s="6"/>
      <c r="J176" s="6"/>
      <c r="K176" s="6"/>
      <c r="L176" s="6"/>
      <c r="M176" s="6"/>
      <c r="N176" s="6"/>
      <c r="O176" s="6"/>
      <c r="P176" s="6"/>
      <c r="Q176" s="6"/>
      <c r="R176" s="6"/>
      <c r="S176" s="6"/>
      <c r="T176" s="6"/>
      <c r="U176" s="6"/>
      <c r="V176" s="6"/>
      <c r="W176" s="6"/>
    </row>
    <row r="177" spans="1:23" ht="16" x14ac:dyDescent="0.2">
      <c r="A177" s="6"/>
      <c r="B177" s="7"/>
      <c r="C177" s="7"/>
      <c r="D177" s="7"/>
      <c r="E177" s="7"/>
      <c r="F177" s="6"/>
      <c r="G177" s="6"/>
      <c r="H177" s="6"/>
      <c r="I177" s="6"/>
      <c r="J177" s="6"/>
      <c r="K177" s="6"/>
      <c r="L177" s="6"/>
      <c r="M177" s="6"/>
      <c r="N177" s="6"/>
      <c r="O177" s="6"/>
      <c r="P177" s="6"/>
      <c r="Q177" s="6"/>
      <c r="R177" s="6"/>
      <c r="S177" s="6"/>
      <c r="T177" s="6"/>
      <c r="U177" s="6"/>
      <c r="V177" s="6"/>
      <c r="W177" s="6"/>
    </row>
    <row r="178" spans="1:23" ht="16" x14ac:dyDescent="0.2">
      <c r="A178" s="6"/>
      <c r="B178" s="7"/>
      <c r="C178" s="7"/>
      <c r="D178" s="7"/>
      <c r="E178" s="7"/>
      <c r="F178" s="6"/>
      <c r="G178" s="6"/>
      <c r="H178" s="6"/>
      <c r="I178" s="6"/>
      <c r="J178" s="6"/>
      <c r="K178" s="6"/>
      <c r="L178" s="6"/>
      <c r="M178" s="6"/>
      <c r="N178" s="6"/>
      <c r="O178" s="6"/>
      <c r="P178" s="6"/>
      <c r="Q178" s="6"/>
      <c r="R178" s="6"/>
      <c r="S178" s="6"/>
      <c r="T178" s="6"/>
      <c r="U178" s="6"/>
      <c r="V178" s="6"/>
      <c r="W178" s="6"/>
    </row>
    <row r="179" spans="1:23" ht="16" x14ac:dyDescent="0.2">
      <c r="A179" s="6"/>
      <c r="B179" s="7"/>
      <c r="C179" s="7"/>
      <c r="D179" s="7"/>
      <c r="E179" s="7"/>
      <c r="F179" s="6"/>
      <c r="G179" s="6"/>
      <c r="H179" s="6"/>
      <c r="I179" s="6"/>
      <c r="J179" s="6"/>
      <c r="K179" s="6"/>
      <c r="L179" s="6"/>
      <c r="M179" s="6"/>
      <c r="N179" s="6"/>
      <c r="O179" s="6"/>
      <c r="P179" s="6"/>
      <c r="Q179" s="6"/>
      <c r="R179" s="6"/>
      <c r="S179" s="6"/>
      <c r="T179" s="6"/>
      <c r="U179" s="6"/>
      <c r="V179" s="6"/>
      <c r="W179" s="6"/>
    </row>
    <row r="180" spans="1:23" ht="16" x14ac:dyDescent="0.2">
      <c r="A180" s="6"/>
      <c r="B180" s="7"/>
      <c r="C180" s="7"/>
      <c r="D180" s="7"/>
      <c r="E180" s="7"/>
      <c r="F180" s="6"/>
      <c r="G180" s="6"/>
      <c r="H180" s="6"/>
      <c r="I180" s="6"/>
      <c r="J180" s="6"/>
      <c r="K180" s="6"/>
      <c r="L180" s="6"/>
      <c r="M180" s="6"/>
      <c r="N180" s="6"/>
      <c r="O180" s="6"/>
      <c r="P180" s="6"/>
      <c r="Q180" s="6"/>
      <c r="R180" s="6"/>
      <c r="S180" s="6"/>
      <c r="T180" s="6"/>
      <c r="U180" s="6"/>
      <c r="V180" s="6"/>
      <c r="W180" s="6"/>
    </row>
    <row r="181" spans="1:23" ht="16" x14ac:dyDescent="0.2">
      <c r="A181" s="6"/>
      <c r="B181" s="7"/>
      <c r="C181" s="7"/>
      <c r="D181" s="7"/>
      <c r="E181" s="7"/>
      <c r="F181" s="6"/>
      <c r="G181" s="6"/>
      <c r="H181" s="6"/>
      <c r="I181" s="6"/>
      <c r="J181" s="6"/>
      <c r="K181" s="6"/>
      <c r="L181" s="6"/>
      <c r="M181" s="6"/>
      <c r="N181" s="6"/>
      <c r="O181" s="6"/>
      <c r="P181" s="6"/>
      <c r="Q181" s="6"/>
      <c r="R181" s="6"/>
      <c r="S181" s="6"/>
      <c r="T181" s="6"/>
      <c r="U181" s="6"/>
      <c r="V181" s="6"/>
      <c r="W181" s="6"/>
    </row>
    <row r="182" spans="1:23" ht="16" x14ac:dyDescent="0.2">
      <c r="A182" s="6"/>
      <c r="B182" s="7"/>
      <c r="C182" s="7"/>
      <c r="D182" s="7"/>
      <c r="E182" s="7"/>
      <c r="F182" s="6"/>
      <c r="G182" s="6"/>
      <c r="H182" s="6"/>
      <c r="I182" s="6"/>
      <c r="J182" s="6"/>
      <c r="K182" s="6"/>
      <c r="L182" s="6"/>
      <c r="M182" s="6"/>
      <c r="N182" s="6"/>
      <c r="O182" s="6"/>
      <c r="P182" s="6"/>
      <c r="Q182" s="6"/>
      <c r="R182" s="6"/>
      <c r="S182" s="6"/>
      <c r="T182" s="6"/>
      <c r="U182" s="6"/>
      <c r="V182" s="6"/>
      <c r="W182" s="6"/>
    </row>
    <row r="183" spans="1:23" ht="16" x14ac:dyDescent="0.2">
      <c r="A183" s="6"/>
      <c r="B183" s="7"/>
      <c r="C183" s="7"/>
      <c r="D183" s="7"/>
      <c r="E183" s="7"/>
      <c r="F183" s="6"/>
      <c r="G183" s="6"/>
      <c r="H183" s="6"/>
      <c r="I183" s="6"/>
      <c r="J183" s="6"/>
      <c r="K183" s="6"/>
      <c r="L183" s="6"/>
      <c r="M183" s="6"/>
      <c r="N183" s="6"/>
      <c r="O183" s="6"/>
      <c r="P183" s="6"/>
      <c r="Q183" s="6"/>
      <c r="R183" s="6"/>
      <c r="S183" s="6"/>
      <c r="T183" s="6"/>
      <c r="U183" s="6"/>
      <c r="V183" s="6"/>
      <c r="W183" s="6"/>
    </row>
    <row r="184" spans="1:23" ht="16" x14ac:dyDescent="0.2">
      <c r="A184" s="6"/>
      <c r="B184" s="7"/>
      <c r="C184" s="7"/>
      <c r="D184" s="7"/>
      <c r="E184" s="7"/>
      <c r="F184" s="6"/>
      <c r="G184" s="6"/>
      <c r="H184" s="6"/>
      <c r="I184" s="6"/>
      <c r="J184" s="6"/>
      <c r="K184" s="6"/>
      <c r="L184" s="6"/>
      <c r="M184" s="6"/>
      <c r="N184" s="6"/>
      <c r="O184" s="6"/>
      <c r="P184" s="6"/>
      <c r="Q184" s="6"/>
      <c r="R184" s="6"/>
      <c r="S184" s="6"/>
      <c r="T184" s="6"/>
      <c r="U184" s="6"/>
      <c r="V184" s="6"/>
      <c r="W184" s="6"/>
    </row>
    <row r="185" spans="1:23" ht="16" x14ac:dyDescent="0.2">
      <c r="A185" s="6"/>
      <c r="B185" s="7"/>
      <c r="C185" s="7"/>
      <c r="D185" s="7"/>
      <c r="E185" s="7"/>
      <c r="F185" s="6"/>
      <c r="G185" s="6"/>
      <c r="H185" s="6"/>
      <c r="I185" s="6"/>
      <c r="J185" s="6"/>
      <c r="K185" s="6"/>
      <c r="L185" s="6"/>
      <c r="M185" s="6"/>
      <c r="N185" s="6"/>
      <c r="O185" s="6"/>
      <c r="P185" s="6"/>
      <c r="Q185" s="6"/>
      <c r="R185" s="6"/>
      <c r="S185" s="6"/>
      <c r="T185" s="6"/>
      <c r="U185" s="6"/>
      <c r="V185" s="6"/>
      <c r="W185" s="6"/>
    </row>
    <row r="186" spans="1:23" ht="16" x14ac:dyDescent="0.2">
      <c r="A186" s="6"/>
      <c r="B186" s="7"/>
      <c r="C186" s="7"/>
      <c r="D186" s="7"/>
      <c r="E186" s="7"/>
      <c r="F186" s="6"/>
      <c r="G186" s="6"/>
      <c r="H186" s="6"/>
      <c r="I186" s="6"/>
      <c r="J186" s="6"/>
      <c r="K186" s="6"/>
      <c r="L186" s="6"/>
      <c r="M186" s="6"/>
      <c r="N186" s="6"/>
      <c r="O186" s="6"/>
      <c r="P186" s="6"/>
      <c r="Q186" s="6"/>
      <c r="R186" s="6"/>
      <c r="S186" s="6"/>
      <c r="T186" s="6"/>
      <c r="U186" s="6"/>
      <c r="V186" s="6"/>
      <c r="W186" s="6"/>
    </row>
    <row r="187" spans="1:23" ht="16" x14ac:dyDescent="0.2">
      <c r="A187" s="6"/>
      <c r="B187" s="7"/>
      <c r="C187" s="7"/>
      <c r="D187" s="7"/>
      <c r="E187" s="7"/>
      <c r="F187" s="6"/>
      <c r="G187" s="6"/>
      <c r="H187" s="6"/>
      <c r="I187" s="6"/>
      <c r="J187" s="6"/>
      <c r="K187" s="6"/>
      <c r="L187" s="6"/>
      <c r="M187" s="6"/>
      <c r="N187" s="6"/>
      <c r="O187" s="6"/>
      <c r="P187" s="6"/>
      <c r="Q187" s="6"/>
      <c r="R187" s="6"/>
      <c r="S187" s="6"/>
      <c r="T187" s="6"/>
      <c r="U187" s="6"/>
      <c r="V187" s="6"/>
      <c r="W187" s="6"/>
    </row>
    <row r="188" spans="1:23" ht="16" x14ac:dyDescent="0.2">
      <c r="A188" s="6"/>
      <c r="B188" s="7"/>
      <c r="C188" s="7"/>
      <c r="D188" s="7"/>
      <c r="E188" s="7"/>
      <c r="F188" s="6"/>
      <c r="G188" s="6"/>
      <c r="H188" s="6"/>
      <c r="I188" s="6"/>
      <c r="J188" s="6"/>
      <c r="K188" s="6"/>
      <c r="L188" s="6"/>
      <c r="M188" s="6"/>
      <c r="N188" s="6"/>
      <c r="O188" s="6"/>
      <c r="P188" s="6"/>
      <c r="Q188" s="6"/>
      <c r="R188" s="6"/>
      <c r="S188" s="6"/>
      <c r="T188" s="6"/>
      <c r="U188" s="6"/>
      <c r="V188" s="6"/>
      <c r="W188" s="6"/>
    </row>
    <row r="189" spans="1:23" ht="16" x14ac:dyDescent="0.2">
      <c r="A189" s="6"/>
      <c r="B189" s="7"/>
      <c r="C189" s="7"/>
      <c r="D189" s="7"/>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2025-12-06T14:39:12Z</dcterms:created>
  <dcterms:modified xsi:type="dcterms:W3CDTF">2025-12-06T14:55:07Z</dcterms:modified>
</cp:coreProperties>
</file>