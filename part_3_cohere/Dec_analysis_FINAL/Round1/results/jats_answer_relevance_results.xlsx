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PhD/Research_proposal/Part_3/part_3_cohere/analysis/Round1/results/"/>
    </mc:Choice>
  </mc:AlternateContent>
  <xr:revisionPtr revIDLastSave="0" documentId="13_ncr:1_{DE039A4A-026B-FA4D-8815-A52734507547}" xr6:coauthVersionLast="47" xr6:coauthVersionMax="47" xr10:uidLastSave="{00000000-0000-0000-0000-000000000000}"/>
  <bookViews>
    <workbookView xWindow="0" yWindow="760" windowWidth="30240" windowHeight="18880" xr2:uid="{00000000-000D-0000-FFFF-FFFF00000000}"/>
  </bookViews>
  <sheets>
    <sheet name="raw data" sheetId="1" r:id="rId1"/>
    <sheet name="Cohens Kappa - Raters A &amp; B" sheetId="2" r:id="rId2"/>
  </sheets>
  <calcPr calcId="191029"/>
  <pivotCaches>
    <pivotCache cacheId="116"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D13" i="2"/>
  <c r="C14" i="2"/>
  <c r="D14" i="2"/>
  <c r="B20" i="2"/>
  <c r="B21" i="2"/>
  <c r="B22" i="2"/>
  <c r="C21" i="2" s="1"/>
  <c r="C20" i="2" l="1"/>
  <c r="C23" i="2" s="1"/>
  <c r="B23" i="2"/>
</calcChain>
</file>

<file path=xl/sharedStrings.xml><?xml version="1.0" encoding="utf-8"?>
<sst xmlns="http://schemas.openxmlformats.org/spreadsheetml/2006/main" count="194" uniqueCount="120">
  <si>
    <t>Query</t>
  </si>
  <si>
    <t>Response</t>
  </si>
  <si>
    <t>['which studies examined the abstract in metadata?']</t>
  </si>
  <si>
    <t>Summary: Three studies examined the abstract in metadata.
DOI: 10.1162/qss_a_00286 - This study compares the amount of metadata and the completeness degree of research publications in new academic databases.
DOI: 10.1177/09610006241239080 - This study identifies the most commonly measured dimensions of metadata quality in existing studies on metadata quality assessment.
DOI: 10.31222/osf.io/smxe5 - This study presents an up-to-date overview of the availability of six metadata elements in Crossref.
My lady, I hope this information is helpful. If you have any further questions, please let me know.</t>
  </si>
  <si>
    <t>['which studies examined citations?']</t>
  </si>
  <si>
    <t>Summary: Two studies examined citations.
DOI: 10.1016/j.ipm.2023.103385 - Co-author analysis using author names and bibliometric evaluation using citations are the types of analyses that can be done with the data provided by most APIs.
DOI: 10.1162/qss_a_00112 - We then study differences in the completeness and accuracy of citation links.</t>
  </si>
  <si>
    <t>['Tell me about Crossref.']</t>
  </si>
  <si>
    <t>Summary: Crossref is a sustainable source of community-owned scholarly metadata, containing over 106 million records and expanding at an average rate of 11% a year.
DOI: 10.1162/qss_a_00022
My lady, is there anything else I can help you with?</t>
  </si>
  <si>
    <t>['Which papers evaluate the linguistic coverage or language-related metadata in scholarly databases?']</t>
  </si>
  <si>
    <t>Summary: I found four papers that evaluate the linguistic coverage or language-related metadata in scholarly databases.
DOI: 10.48550/arXiv.2409.10633
This paper evaluates the linguistic coverage of OpenAlex, assessing the completeness and accuracy of its language-related metadata through a comparison with Web of Science (WoS) and manual validation of a sample of 6,836 articles.
DOI: 10.1162/qss_a_00286
This study compares the completeness degree of publication metadata in eight free-access scholarly databases, including an analysis of language-related metadata.
DOI: 10.5281/zenodo.14006424
This paper analyses the coverage and metadata availability of African publications in OpenAlex, comparing it with Scopus, WoS, and African Journals Online (AJOL).
DOI: 10.48550/arXiv.2508.18620
This study assesses the metadata quality in OpenAlex and WoS, focusing on language and other metadata fields, to address discrepancies and misattributions.
My lady, I hope this information is helpful. If you have any further questions or need more details, please let me know.</t>
  </si>
  <si>
    <t>['Which papers address funding metadata, its availability, or its analysis in scholarly databases?']</t>
  </si>
  <si>
    <t>Summary: Several papers address funding metadata, its availability, or its analysis in scholarly databases.
DOI: 10.1162/qss_a_00210
Title: The availability and completeness of open funder metadata: Case study for publications funded by the Dutch Research Council
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10.1162/qss_a_00212
Title: Funding COVID-19 research: Insights from an exploratory analysis using open data infrastructures
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
DOI: 10.1162/qss_a_00022
Title: Crossref: The sustainable source of community-owned scholarly metadata
Abstract: This paper describes the scholarly metadata collected and made available by Crossref, as well as its importance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In this paper, we describe the kind of metadata that Crossref provides and how it is collected and curated. We also look at Crossref’s role in the research ecosystem and trends in metadata curation over the years, including the evolution of its citation data provision. We summarize the research used in Crossref’s metadata and describe plans that will improve metadata quality and retrieval in the future.
DOI: 10.1162/qss_a_00286
Title: Completeness degree of publication metadata in eight free-access scholarly databases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t>
  </si>
  <si>
    <t>['Which papers discuss the use of Retrieval-Augmented Generation (RAG) when used in applications?']</t>
  </si>
  <si>
    <t>Summary: I found four papers that discuss the use of Retrieval-Augmented Generation (RAG) when used in applications.
DOI: 10.1016/j.caeai.2025.100417 discusses the use of RAG in education, including interactive learning systems, generation and assessment of educational content, and large-scale deployment in educational ecosystems.
DOI: 10.3390/app14199103 discusses the use of RAG in systematic literature reviews, including data extraction, summarization, and trend identification.
DOI: 10.48550/arXiv.2312.10997 discusses the use of RAG in knowledge-intensive tasks, including continuous knowledge updates and integration of domain-specific information.
DOI: 10.1145/3637528.3671470 discusses the use of RAG in AI-Generated Content (AIGC), including providing additional knowledge to assist existing generative AI in producing high-quality outputs.
My lady, I hope this information is helpful. If you have any further questions, please let me know.</t>
  </si>
  <si>
    <t>['What is Crossref’s role in the scholarly research ecosystem?']</t>
  </si>
  <si>
    <t>Summary: Crossref is a major source of scholarly data for publishers, authors, librarians, funders, and researchers.
DOI: 10.1162/qss_a_00022: Crossref is a sustainable source of community-owned scholarly metadata.
DOI: 10.31222/osf.io/smxe5: Crossref is a source of open bibliographic metadata.
DOI: 10.1162/qss_a_00210: Crossref initiated FundRef in 2013, enabling publishers to register funding information using persistent identifiers.
DOI: 10.1162/qss_a_00286: Crossref is a free-access scholarly database that compares the amount of metadata and the completeness degree of research publications.
My lady, I hope this information is helpful. If you have any further questions, please let me know.</t>
  </si>
  <si>
    <t>['What are the key features and limitations of OpenAlex as a bibliometric database?']</t>
  </si>
  <si>
    <t>Summary: OpenAlex is a new bibliometric database that has been compared to other databases such as Scopus and Web of Science (WoS).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that has distinguished itself for its openness and extensive coverage. However, one of the concerns that hinders its broader adoption for research and research evaluation is the quality of its metadata.
DOI: 10.29173/cais1943 - OpenAlex is a bibliographic database that stands out for its openness and extensive coverage. However, one of the concerns that hinders its broader adoption for research and research evaluation is the quality of its metadata.
DOI: 10.48550/arXiv.2401.16359 - OpenAlex is a promising open source of scholarly metadata, and competitor to established proprietary sources, such as WoS and Scopus. However, as OpenAlex is a rapidly evolving source and the data contained within is expanding and also quickly changing, the question naturally arises as to the trustworthiness of its data.
DOI: 10.48550/arXiv.2409.10633 - OpenAlex is a bibliographic database that promised comprehensive, inclusive, and open-source research information. However, the quality of its metadata is currently being assessed.
My lady, I hope this information is helpful. If you have any further questions, please let me know.</t>
  </si>
  <si>
    <t>['What are the strengths and weaknesses of Web of Science (WoS) as a bibliometric database?']</t>
  </si>
  <si>
    <t>Summary: Web of Science (WoS) is a bibliometric database that has been used for over 30 years. It has been compared to other databases such as Scopus, OpenAlex, Dimensions, Crossref, and Microsoft Academic.
DOI: 10.1007/s11192-015-1765-5 - This study compares the journal coverage of WoS and Scopus with Ulrich's extensive periodical directory. It finds that both databases have biases towards Natural Sciences and Engineering, as well as Biomedical Research, and English-language journals. The study suggests that WoS and Scopus should be used with caution in comparative research evaluation.
DOI: 10.48550/arXiv.2508.18620 - This study investigates discrepancies in metadata quality between OpenAlex and WoS, focusing on document type, language, publication year, and author count. It finds that OpenAlex has more errors in metadata, particularly in document type classification.
DOI: 10.1162/qss_a_00112 - This study compares five bibliographic data sources, including WoS, and analyzes differences in coverage, completeness, and accuracy of citation links. It emphasizes the importance of combining comprehensive coverage with flexible filters.
DOI: 10.29173/cais1943 - This study assesses metadata quality in OpenAlex and WoS, focusing on document type accuracy. It finds that over 4% of publications are misclassified, with most errors occurring in OpenAlex.
DOI: 10.1162/qss_a_00211 - This study designs a data quality assessment framework for bibliographic data sources, including WoS, and finds that WoS has the highest overall quality among the sets considered.
My lady, based on these studies, it appears that WoS has several strengths, including high overall quality, comprehensive coverage, and accurate citation links. However, its weaknesses include biases towards certain fields and languages, and a lack of coverage in some areas, such as Social Sciences and Arts and Humanities. Additionally, WoS may have limitations in terms of accessibility and openness compared to newer databases like OpenAlex.
Please provide more context or ask a different question, my lady, as I cannot provide a comprehensive answer without further information.</t>
  </si>
  <si>
    <t>['How is RAG used to improve question answering or information retrieval systems?']</t>
  </si>
  <si>
    <t>Summary: Retrieval-Augmented Generation (RAG) is a framework that improves question answering and information retrieval systems by augmenting Large Language Models (LLMs) with relevant documents before generating answers. This approach helps LLMs provide accurate, informative, and contextualized responses, reducing hallucinations and outdated information.
DOI: 10.17821/srels/2024/v61i5/171583: This study demonstrates that RAG can enhance information retrieval in libraries by developing a low-cost conversational search system using open-source tools and LLMs. The prototype, built with LangChain, ChromaDB, and Llama3, showed that LLMs with RAG augmentation consistently provided accurate and contextualized answers compared to standard LLMs, which produced hallucinated responses.
DOI: 10.6109/jkiice.2023.27.12.1489: The Metadata Retrieval-Augmented Generation (M-RAG) method is proposed to improve open-domain question answering by utilizing embeddings with metadata and generative models like GPT-3.5-turbo-16K and GPT-4. This approach increases answer accuracy by up to 46% compared to external inference ODQA systems and 6% over conventional RAG methods.
DOI: 10.48550/arXiv.2406.13213: Multi-Meta-RAG is introduced to improve RAG for multi-hop queries by using database filtering with LLM-extracted metadata. This method significantly enhances the selection of relevant documents, improving results on the MultiHop-RAG benchmark.
DOI: 10.48550/arXiv.2505.13557: AMAQA, a metadata-based QA dataset, is presented to evaluate RAG systems in scenarios requiring both textual data and external information. The integration of metadata boosts accuracy, highlighting its importance in fields like cybersecurity and intelligence.
DOI: 10.48550/arXiv.2505.18247: MetaGen Blended RAG is introduced to achieve zero-shot precision in specialized domain question-answering. This approach enhances semantic retrievers through metadata generation and hybrid query indexes, achieving high accuracy on datasets like PubMedQA, SQuAD, and NQ.
My lady, I hope this information is helpful. If you have any further questions or need additional details, please let me know.</t>
  </si>
  <si>
    <t>['What are the main challenges in normalizing citation metrics across scientific fields?']</t>
  </si>
  <si>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rates of publication and collaboration.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heavily influenced by disciplinary norms and practices. The study underscores the difficulty of comparing citation metrics directly across fields without accounting for these differences.
**DOI:** 10.7717/peerj.427  
In this *PeerJ* article, Adams (2016) discusses the challenges of field normalization in bibliometrics, noting that fields differ in their publication rates, citation practices, and collaboration patterns. The author argues that normalization methods must consider these variations to ensure fair comparisons of scholarly impact.
**DOI:** 10.1002/asi.21334  
Bornmann and Daniel (2008) in the *Journal of the American Society for Information Science and Technology* critique traditional citation-based metrics and propose alternative approaches for field normalization. They highlight the limitations of journal impact factors and suggest using percentile ranks or other field-normalized indicators to address disciplinary disparities.
These sources collectively illustrate the main challenges in normalizing citation metrics across fields, emphasizing the need for nuanced approaches that account for disciplinary differences.</t>
  </si>
  <si>
    <t>['What methods are used to detect and correct errors in bibliographic datasets?']</t>
  </si>
  <si>
    <t>Summary: Bibliographic errors have been perpetuated for decades and their possible causes have increased.
DOI: 10.1108/JD-10-2022-0234 - Bibliographic errors have been perpetuated for decades and their possible causes have increased, despite the encouraged use of technological facilities, i.e. the reference managers.
Is there anything else I can help you with, my lady?</t>
  </si>
  <si>
    <t>['tell me about how RAG works.']</t>
  </si>
  <si>
    <t>Summary: Retrieval-Augmented Generation (RAG) is a technique that retrieves relevant information from external sources and enables large language models (LLMs) to answer queries over previously unseen document collections.
DOI: 10.48550/arXiv.2406.13213 - RAG retrieves relevant information from an external knowledge source and allows large language models (LLMs) to answer queries over previously unseen document collections. However, traditional RAG applications perform poorly in answering multi-hop questions, which require retrieving and reasoning over multiple elements of supporting evidence.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10.1145/3637528.3671470 - RAG can offer reliable and up-to-date external knowledge, providing huge convenience for numerous tasks. Retrieval-Augmented Large Language Models (RA-LLMs) have emerged to harness external and authoritative knowledge bases, rather than solely relying on the model's internal knowledge, to augment the quality of the generated content of LLMs.
DOI: 10.48550/arXiv.2404.13948 -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Is there anything else I can assist you with?</t>
  </si>
  <si>
    <t>['What are the key challenges and advancements in metadata quality assessment?']</t>
  </si>
  <si>
    <t>Summary: Metadata quality assessment is a critical aspect of data management, impacting data retrieval, search, organization, interoperability, preservation, and user experience. The field faces challenges such as a lack of consensus on the exact definition and measurement of quality dimensions, and the need for more flexible assessment tools. However, advancements include the development of automated quality assessment frameworks, the application of qualitative and quantitative content analysis techniques, and the use of artificial intelligence methods for metadata quality improvement.
DOI: 10.1145/2964909 - This study aims to develop a generic metadata quality assessment framework for various Open Data portals, addressing concerns about the quality of data sources and corresponding metadata. The authors map specific metadata of three widely used portal software frameworks to a standardized schema, define quality metrics, and report findings based on monitoring over 260 Open Data portals.
DOI: 10.1109/ADL.1998.670425 - This research discusses the application of qualitative and quantitative content analysis techniques to assess metadata records, concluding that a range of criteria and procedures may be needed for evaluating different types of metadata.
DOI: 10.1177/09610006241239080 - A scoping review identifying commonly measured dimensions of metadata quality, highlighting the need for further investigation into less commonly assessed quality dimensions and emphasizing the importance of metadata quality research.
DOI: 10.5860/crl.86.1.101 - This study explores how metadata quality, consistency, and completeness impact individuals and communities, identifying unique issues and classifying them into categories to explain the interplay between metadata and cultural meanings.
DOI: 10.48550/arXiv.2303.17661 - Introducing MetaEnhance, a framework utilizing artificial intelligence methods to improve metadata quality for electronic theses and dissertations, achieving high F1-scores in detecting and correcting errors.
My lady, I hope this summary meets your requirements. If you have any further questions or need additional information, please let me know.</t>
  </si>
  <si>
    <t>['What are the key challenges and potential solutions for improving metadata quality?']</t>
  </si>
  <si>
    <t>Summary: Metadata quality is crucial for digital objects to be discovered through digital library interfaces. However, metadata often exhibits incomplete, inconsistent, and incorrect values. MetaEnhance, a framework utilizing state-of-the-art artificial intelligence methods, has been proposed to improve metadata quality.
DOI: 10.48550/arXiv.2303.17661 - Metadata quality is crucial for digital objects to be discovered through digital library interfaces. However, metadata often exhibits incomplete, inconsistent, and incorrect values. MetaEnhance, a framework utilizing state-of-the-art artificial intelligence methods, has been proposed to improve metadata quality.
My lady, I hope this response is helpful. If you have any further questions or need more information, please let me know.</t>
  </si>
  <si>
    <t>['What are the key challenges and advancements in Retrieval-Augmented Generation (RAG) systems?']</t>
  </si>
  <si>
    <t>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DOI: 10.1016/j.caeai.2025.100417 - This study focuses on the practical applications of RAG in education, addressing challenges such as mitigating hallucinations and enhancing multimodal support.
DOI: 10.1609/aaai.v38i16.29728 - This paper introduces the Retrieval-Augmented Generation Benchmark (RGB), a new corpus for evaluating RAG systems, and highlights the struggles of LLMs in negative rejection and information integration.
DOI: 10.1007/s44427-025-00006-3 - This study provides a comprehensive evaluation of open-source LLMs within a RAG system, using the Ragas framework to assess retrieval effectiveness and answer quality.
DOI: 10.1145/3637528.3671470 - This survey reviews existing research in Retrieval-Augmented Large Language Models (RA-LLMs), discussing current limitations and promising directions for future research.
My lady, I hope this information is helpful. If you have any further questions or need more details, please let me know.</t>
  </si>
  <si>
    <t>Summary: Three studies examined the abstract in metadata.
DOI: 10.1162/qss_a_00286 - This study compares the amount of metadata and the completeness degree of research publications in new academic databases.
DOI: 10.1177/09610006241239080 - This study investigates the types of data sources and countries contributing most to the literature on metadata quality assessment and the types of documents used to communicate their findings.
DOI: 10.31222/osf.io/smxe5 - This study presents an up-to-date overview of the availability of six metadata elements in Crossref.
Is there anything else I can help you with, my lady?</t>
  </si>
  <si>
    <t>Summary: Two studies examined citations.
DOI: 10.1016/j.ipm.2023.103385 - Bibliometric evaluation using citations is one of the types of analyses that can be done with the data provided by most APIs.
DOI: 10.1162/qss_a_00112 - Differences in the completeness and accuracy of citation links were studied.
Can I help you with anything else, my lady?</t>
  </si>
  <si>
    <t>Summary: Several papers evaluate the linguistic coverage or language-related metadata in scholarly databases.
DOI: 10.48550/arXiv.2409.10633
This paper evaluates the completeness and accuracy of OpenAlex's metadata related to language, through a comparison with WoS, as well as an in-depth manual validation of a sample of 6,836 articles.
DOI: 10.1162/qss_a_00286
This paper compares the amount of metadata and the completeness degree of research publications in new academic databases, including language-related metadata.
DOI: 10.5281/zenodo.14006424
This paper analyzes OpenAlex's coverage and metadata availability of African-based publications, including a comparison with Scopus, WoS, and African Journals Online (AJOL).
DOI: 10.48550/arXiv.2508.18620
This paper assesses metadata quality in OpenAlex and WoS, focusing on document type, publication year, language, and number of authors.
DOI: 10.1007/s11192-022-04289-7
This paper introduces a novel scientometrics method to estimate the subject coverages of popular English-focused bibliographic databases, but does not specifically focus on linguistic coverage or language-related metadata.
My lady, I hope this information is helpful. If you have any further questions or need more details, please let me know.</t>
  </si>
  <si>
    <t>Summary: Several papers address funding metadata, its availability, or its analysis in scholarly databases.
DOI: 10.1162/qss_a_00210 - This paper explores the availability and completeness of open funder metadata, specifically focusing on publications funded by the Dutch Research Council. It highlights the challenges in assessing the coverage of funder metadata and compares the funding information available in Crossref with proprietary databases like Web of Science, Scopus, and Dimensions.
DOI: 10.31222/osf.io/smxe5 - This paper presents an overview of the availability of six metadata elements in Crossref, including funding information. It discusses the improvements in metadata availability over time but also highlights the need for publishers to make additional efforts to achieve full openness of bibliographic metadata.
DOI: 10.1162/qss_a_00212 - This paper analyzes the open availability of funding data in Crossref, specifically focusing on COVID-19 research. It compares the funding data available in Crossref with proprietary bibliometric databases like Scopus and Web of Science, highlighting the limited coverage and quality issues in funding data.
DOI: 10.1162/qss_a_00022 - This paper describes the scholarly metadata collected and made available by Crossref, including funding information. It highlights the importance of Crossref's metadata in the scholarly research ecosystem and discusses its role in research and metadata curation.
DOI: 10.1162/qss_a_00286 - This paper compares the completeness degree of publication metadata in eight free-access scholarly databases, including funding information. It analyzes the metadata quality and completeness rate in academic search engines and third-party databases, highlighting the strengths and weaknesses of each.
My lady, these papers provide valuable insights into the availability, analysis, and challenges associated with funding metadata in scholarly databases.</t>
  </si>
  <si>
    <t>Summary: Retrieval-Augmented Generation (RAG) is discussed in the following papers:
DOI: 10.1016/j.caeai.2025.100417
Title: Retrieval-augmented generation for educational application: A systematic survey
Abstract: This paper reviews the use of RAG in educational scenarios, exploring its practical applications in interactive learning systems, generation and assessment of educational content, and large-scale deployment in educational ecosystems.
DOI: 10.3390/app14199103
Title: Automating Systematic Literature Reviews with Retrieval-Augmented Generation: A Comprehensive Overview
Abstract: This study examines the use of RAG in automating systematic literature reviews, discussing its applications in tasks like data extraction, summarization, and trend identification.
DOI: 10.48550/arXiv.2312.10997
Title: Retrieval-Augmented Generation for Large Language Models: A Survey
Abstract: This paper provides a comprehensive review of RAG paradigms, including Naive RAG, Advanced RAG, and Modular RAG, and discusses their applications in knowledge-intensive tasks.
DOI: 10.1145/3637528.3671470
Title: A Survey on RAG Meeting LLMs: Towards Retrieval-Augmented Large Language Models
Abstract: This survey reviews existing research studies on Retrieval-Augmented Large Language Models (RA-LLMs), discussing their applications in various tasks and highlighting current limitations and future research directions.
DOI: 10.6109/jkiice.2023.27.12.1489
Title: M-RAG: Enhancing Open-domain Question Answering with Metadata Retrieval-Augmented Generation
Abstract: This paper proposes a Metadata Retrieval-Augmented Generation (M-RAG) method for open-domain question answering, demonstrating its effectiveness in improving answer accuracy and performance.
Is there anything else I can assist you with, my lady?</t>
  </si>
  <si>
    <t>Summary: Crossref is a major source of scholarly data for publishers, authors, librarians, funders, and researchers.
DOI: 10.1162/qss_a_00022: 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
DOI: 10.31222/osf.io/smxe5: Crossref is a source of open bibliographic metadata.
DOI: 10.1162/qss_a_00210: Crossref initiated FundRef in 2013, enabling publishers to register funding information using persistent identifiers.
DOI: 10.1162/qss_a_00286: This study compares the amount of metadata and the completeness degree of research publications in new academic databases.
My lady, I hope this information is helpful. If you have any further questions, please let me know.</t>
  </si>
  <si>
    <t>Summary: OpenAlex is a newly launched bibliographic database that promises comprehensive, inclusive, and open-source research information.
DOI: 10.48550/arXiv.2409.10633 - OpenAlex has more balanced linguistic coverage than WoS, but language metadata is not always accurate, which leads OpenAlex to overestimate the place of English while underestimating that of other languages.
DOI: 10.48550/arXiv.2404.17663 - OpenAlex is a superset of Scopus and can be a reliable alternative for some analyses, particularly at the country level.
DOI: 10.48550/arXiv.2401.16359 - OpenAlex has average source reference numbers and internal coverage rates comparable to both Web of Science and Scopus.
DOI: 10.48550/arXiv.2508.18620 - OpenAlex may reduce or eliminate barriers to accessing bibliometric data, but one of the concerns that hinders its broader adoption for research and research evaluation is the quality of its metadata.
DOI: 10.29173/cais1943 - OpenAlex has over 4% of the publications indexed in both OpenAlex and WoS appear to be misclassified as research articles or reviews, and that the vast majority (about 97%) of these errors occur in OpenAlex.
My lady, I hope this information is helpful. If you have any further questions, please let me know.</t>
  </si>
  <si>
    <t>Summary: Web of Science (WoS) is a large multidisciplinary database of research outputs and citation indices that is used for bibliometrics.
DOI: 10.1007/s11192-015-1765-5 - WoS is biased towards Natural Sciences and Engineering as well as Biomedical Research, and English-language journals, to the detriment of Social Sciences, Arts and Humanities, and other languages.
DOI: 10.48550/arXiv.2508.18620 and 10.29173/cais1943 - WoS has high quality metadata compared to other databases.
DOI: 10.1162/qss_a_00211 - WoS has the highest overall quality of the bibliographic data sources examined in this study.
My lady, is there anything else I can help you with?</t>
  </si>
  <si>
    <t>Summary: Retrieval-Augmented Generation (RAG) is a framework that enhances question answering and information retrieval systems by augmenting Large Language Models (LLMs) with relevant documents or metadata before generating responses.
DOI: 10.17821/srels/2024/v61i5/171583: This study demonstrates that RAG can improve the accuracy and contextual relevance of LLM responses in a library search system. By using a RAG pipeline with tools like LangChain and ChromaDB, the study shows that LLMs with RAG augmentation provide more accurate and informative answers compared to standard LLMs.
DOI: 10.6109/jkiice.2023.27.12.1489: This paper introduces Metadata Retrieval-Augmented Generation (M-RAG), which enhances open-domain question answering by utilizing embeddings with metadata and generative models like GPT-3.5-turbo-16K. The method improves performance by up to 46% compared to conventional ODQA systems.
DOI: 10.48550/arXiv.2406.13213: This research introduces Multi-Meta-RAG, a method that improves RAG for multi-hop queries by using database filtering with LLM-extracted metadata. The approach significantly enhances the selection of relevant documents and improves results on the MultiHop-RAG benchmark.
DOI: 10.48550/arXiv.2505.13557: This paper presents AMAQA, a metadata-based QA dataset designed to evaluate RAG systems in scenarios requiring both textual data and external information. The study shows that leveraging metadata boosts accuracy and establishes a new standard for metadata-driven QA research.
DOI: 10.48550/arXiv.2505.18247: This research introduces MetaGen Blended RAG, a method that enhances semantic retrievers for specialized domain question-answering without requiring fine-tuning. The approach achieves high retrieval and RAG accuracy on datasets like PubMedQA, SQuAD, and NQ.
My lady, I hope this information is helpful. If you have any further questions or need more details,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</si>
  <si>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discipline size and age. These factors make it difficult to establish a universal standard for comparing citation metrics across disciplines.
**DOI:** 10.1126/science.1177997  
This article by [Wilsdon et al. (2015)](https://doi.org/10.1126/science.1177997) discusses the limitations of using citation-based metrics in research evaluation, emphasizing the variability in citation practices across fields. The authors argue that metrics like the h-index and impact factor are not directly comparable across disciplines due to differences in publication frequency, citation norms, and the size of research communities.
**Additional Context:**  
1. **Publication Practices:** Fields like biomedicine publish more frequently and in larger volumes compared to humanities or social sciences, leading to higher citation counts that may not reflect quality.  
2. **Citation Culture:** Some fields, such as mathematics, cite fewer references per paper, while others, like biology, cite extensively. This skews citation metrics.  
3. **Field Maturity:** Older fields have a larger body of literature, making it easier to accumulate citations compared to newer disciplines.  
4. **Journal Impact Factor (JIF):** The JIF varies widely across disciplines, making it an unreliable tool for cross-field comparisons.  
To address these challenges, field-normalized metrics like the **Field-Weighted Citation Impact (FWCI)** or **Citation Percentiles** are often used, but they require robust bibliometric databases and careful categorization of disciplines.
Let me know if you'd like further details, my lady.</t>
  </si>
  <si>
    <t>Summary: There are many methods used to detect and correct errors in bibliographic datasets.
DOI: 10.48550/arXiv.2303.17661 - Metadata quality is crucial for digital objects to be discovered through digital library interfaces. However, due to various reasons, the metadata of digital objects often exhibits incomplete, inconsistent, and incorrect values. This study investigates methods to automatically detect, correct, and canonicalize scholarly metadata, using seven key fields of electronic theses and dissertations (ETDs) as a case study.
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DOI: 10.1108/JD-10-2022-0234 - This study identifies current possible causes for citing and referencing errors in scholarly literature to compare if something changed from the snapshot provided by Sweetland in his 1989 paper.
My lady, I hope this information is helpful. If you have any further questions, please let me know.</t>
  </si>
  <si>
    <t>Summary: Retrieval-Augmented Generation (RAG) is a technique that enables large language models (LLMs) to retrieve relevant information from external knowledge sources, allowing them to answer queries over previously unseen document collections. RAG systems consist of a retrieval module and an LLM-based generation module, providing LLMs with knowledge from a reference textual database and reducing the risk of hallucinations.
DOI: 10.48550/arXiv.2406.13213 - This paper introduces Multi-Meta-RAG, a method that uses database filtering with LLM-extracted metadata to improve RAG's selection of relevant documents for multi-hop queries.
DOI: 10.18653/v1/2024.eacl-demo.16 - This paper presents RAGAs, a framework for reference-free evaluation of RAG pipelines, addressing the challenges of evaluating RAG architectures by introducing a suite of metrics.
DOI: 10.1145/3637528.3671470 - This survey reviews existing research on Retrieval-Augmented Large Language Models (RA-LLMs), discussing their limitations and promising directions for future research.
DOI: 10.48550/arXiv.2404.13948 - This paper investigates the robustness of RAG and introduces a novel attack method, GARAG, to reveal vulnerabilities within RAG components.
My lady, I hope this information is helpful. If you have any further questions or need more details, please let me know.</t>
  </si>
  <si>
    <t>Summary: The key challenges in metadata quality assessment include defining and measuring quality dimensions, handling diverse data sources and cultural contexts, and automating quality evaluation processes. Advancements include the development of generic assessment frameworks, application of AI methods for error detection and correction, and exploratory investigations into metadata quality criteria.
DOI: 10.1145/2964909 - This study focuses on developing a generic metadata quality assessment framework for Open Data portals, addressing challenges in searchability, discoverability, and usability of resources. It introduces automated quality metrics and reports findings from monitoring over 260 Open Data portals.
DOI: 10.1109/ADL.1998.670425 - This research discusses the application of qualitative and quantitative content analysis techniques to assess metadata records, highlighting the need for diverse criteria and procedures for evaluating different types of metadata.
DOI: 10.1177/09610006241239080 - This scoping review identifies commonly measured dimensions of metadata quality and emphasizes the need for further investigation into less commonly assessed quality dimensions, as well as the importance of improving metadata quality assessment tools.
DOI: 10.5860/crl.86.1.101 - This study explores how metadata quality, consistency, and completeness impact individuals and communities, identifying unique issues and categories related to sociocultural representations and standardized systems.
DOI: 10.48550/arXiv.2303.17661 - This research proposes MetaEnhance, a framework utilizing AI methods to improve metadata quality for electronic theses and dissertations, achieving high accuracy in error detection and correction.
My lady, I hope this information is helpful. If you have any further questions or need more details, please let me know.</t>
  </si>
  <si>
    <t>Summary: Metadata quality is a complex issue that requires careful consideration and multiple approaches to improve.
DOI: 10.5860/crl.86.1.101: Metadata serves discovery and access by providing contextual, technical, and administrative information in a standard form. Yet metadata are also sites of tension between sociocultural representations, resource constraints, and standardized systems.
DOI: 10.48550/arXiv.2303.17661: Metadata quality is crucial for digital objects to be discovered through digital library interfaces. However, due to various reasons, the metadata of digital objects often exhibits incomplete, inconsistent, and incorrect values.
DOI: 10.1080/19386389.2011.570654: Metadata plays an important role in digital libraries. But to be useful, metadata records must be problem-free. When problems are present in the metadata, resources are not correctly represented and users are not able to reap the benefits of metadata.
DOI: 10.1177/09610006241239080: Assessing metadata is of paramount importance for several critical reasons. Metadata plays a pivotal role in various aspects, including data retrieval and search, data organization, interoperability, data preservation, and the overall user experience.
DOI: 10.1109/ADL.1998.670425: Discusses the application of qualitative and quantitative content analysis techniques to assess metadata records. As a component of a larger evaluation study of US Federal agencies' implementation of the Government Information Locator Service (GILS), this metadata assessment developed a set of criteria and procedures for an exploratory investigation into metadata quality.
My lady, I hope this information is helpful. If you have any further questions, please let me know.</t>
  </si>
  <si>
    <t>Summary: Retrieval-Augmented Generation (RAG) systems face challenges such as hallucination, outdated knowledge, and non-transparent reasoning processes, but advancements include enhanced accuracy, continuous knowledge updates, and integration of domain-specific information.
DOI: 10.48550/arXiv.2312.10997 - This paper discusses the challenges and advancements in RAG systems, highlighting the tripartite foundation of RAG frameworks and the state-of-the-art technologies embedded in each component.
DOI: 10.1016/j.caeai.2025.100417 - This study focuses on the practical applications of RAG in education, discussing challenges such as mitigating hallucinations and ensuring the completeness and timeliness of retrieved knowledge.
DOI: 10.1609/aaai.v38i16.29728 - This paper introduces the Retrieval-Augmented Generation Benchmark (RGB), a new corpus for RAG evaluation, and highlights the struggles of LLMs in negative rejection and information integration.
DOI: 10.1007/s44427-025-00006-3 - This study provides a comprehensive evaluation of open-source LLMs within a RAG system, focusing on retrieval effectiveness and answer quality.
DOI: 10.1145/3637528.3671470 - This survey reviews existing research in Retrieval-Augmented Large Language Models (RA-LLMs), discussing current limitations and promising directions for future research.
My lady, I hope this summary meets your requirements. If you have any further questions or need more information, please let me know.</t>
  </si>
  <si>
    <t>Summary: I have found four studies that examined the abstract in metadata.
DOI: 10.1162/qss_a_00286
Title: Completeness degree of publication metadata in eight free-access scholarly databases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10.1177/09610006241239080
Title: Exploring dimensions of metadata quality assessment: A scoping review
Abstract: 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10.5281/zenodo.14006424
Title: Coverage and metadata availability of African publications in OpenAlex: A comparative analysis
Abstract: Unlike traditional proprietary data sources like Scopus and Web of Science (WoS), OpenAlex emphasizes its comprehensive coverage, particularly highlighting its inclusion of the humanities, non-English languages, and research from the Global South. Strengthening diversity and inclusivity in science is crucial for ethical and practical reasons. This paper analyses OpenAlex’s coverage and metadata availability of African-based publications. For this purpose, we compare OpenAlex with Scopus, WoS, and African Journals Online (AJOL). We first compare the coverage of African research publications in OpenAlex against that of WoS, Scopus, and AJOL. We then assess and compare the available metadata for OpenAlex, Scopus, and WoS publications. Our analysis shows that OpenAlex offers the most extensive publication coverage. In terms of metadata, OpenAlex offers a high coverage of publication and author information. It performs worse regarding affiliations, references, and funder information. Importantly, our results also show that metadata availability in OpenAlex is better for publications that are also indexed in Scopus or WoS.
My lady, I hope this information is helpful.</t>
  </si>
  <si>
    <t>Summary: Two studies examined citations.
DOI: 10.1016/j.ipm.2023.103385
This study offers a comparative analysis of 44 bibliographic APIs from various non-profit and commercial organizations, analyzing their characteristics and metadata with descriptive analysis, their possible bibliometric analyses, and the interoperability of the APIs across four different data categories: general, content, search, and query modes.
DOI: 10.1162/qss_a_00112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for instance on differences over time, differences per document type, and differences per discipline. The study then examines differences in the completeness and accuracy of citation links.</t>
  </si>
  <si>
    <t>Summary: Crossref is a sustainable source of community-owned scholarly metadata, containing over 106 million records and expanding at an average rate of 11% a year.
DOI: 10.1162/qss_a_00022Summary: Crossref is a sustainable source of community-owned scholarly metadata, containing over 106 million records and expanding at an average rate of 11% a year.
DOI: 10.1162/qss_a_00022Summary: Crossref is a sustainable source of community-owned scholarly metadata, containing over 106 million records and expanding at an average rate of 11% a year.
DOI: 10.1162/qss_a_00022
My lady, is there anything else I can help you with?</t>
  </si>
  <si>
    <t>Summary: OpenAlex is a bibliographic database that launched in 2022 and promised comprehensive, inclusive, and open-source research information.
DOI: 10.48550/arXiv.2409.10633
This paper evaluates the completeness and accuracy of OpenAlex's metadata related to language, through a comparison with WoS, as well as an in-depth manual validation of a sample of 6,836 articles.
DOI: 10.1162/qss_a_00286
This paper compares the amount of metadata and the completeness degree of research publications in new academic databases.
DOI: 10.5281/zenodo.14006424
This paper analyses OpenAlex’s coverage and metadata availability of African-based publications.
DOI: 10.48550/arXiv.2508.18620
This study aims to assess metadata quality in OpenAlex and WoS, focusing on document type, publication year, language, and number of authors.
My lady, is there anything else I can help you with?</t>
  </si>
  <si>
    <t>Summary: The availability and completeness of open funder metadata is addressed in four papers, with a fifth addressing the completeness degree of publication metadata in eight free-access scholarly databases.
DOI: 10.1162/qss_a_00210
The availability and completeness of open funder metadata: Case study for publications funded by the Dutch Research Council
DOI: 10.31222/osf.io/smxe5
Crossref as a source of open bibliographic metadata
DOI: 10.1162/qss_a_00212
Funding COVID-19 research: Insights from an exploratory analysis using open data infrastructures
DOI: 10.1162/qss_a_00022
Crossref: The sustainable source of community-owned scholarly metadata
DOI: 10.1162/qss_a_00286
Completeness degree of publication metadata in eight free-access scholarly databases
My lady, is there anything else I can help you with?</t>
  </si>
  <si>
    <t>Summary: I found four papers that discuss the use of Retrieval-Augmented Generation (RAG) in applications.
DOI: 10.1016/j.caeai.2025.100417
This paper discusses the use of RAG in education, including interactive learning systems, generation and assessment of educational content, and large-scale deployment in educational ecosystems.
DOI: 10.3390/app14199103
This paper discusses the use of RAG in systematic literature reviews, including data extraction, summarization, and trend identification.
DOI: 10.48550/arXiv.2312.10997
This paper discusses the use of RAG in knowledge-intensive tasks, including continuous knowledge updates and integration of domain-specific information.
DOI: 10.1145/3637528.3671470
This paper discusses the use of RAG in AI-Generated Content (AIGC), including providing additional knowledge to assist existing generative AI in producing high-quality outputs.
My lady, I hope this information is helpful. If you have any further questions, please let me know.</t>
  </si>
  <si>
    <t>Summary: Crossref is a major source of scholarly data for publishers, authors, librarians, funders, and researchers.
DOI: 10.1162/qss_a_00022: Crossref is a sustainable source of community-owned scholarly metadata that collects and makes available over 106 million records of scholarly metadata.
DOI: 10.31222/osf.io/smxe5: Crossref is a source of open bibliographic metadata that promotes the open availability of bibliographic metadata of scholarly publications.
DOI: 10.1162/qss_a_00210: Crossref initiated FundRef in 2013 to help funders track publication output associated with their funding.
DOI: 10.1162/qss_a_00286: This study compares the amount of metadata and the completeness degree of research publications in new academic databases.
My lady, I hope this information is helpful. If you have any further questions, please let me know.</t>
  </si>
  <si>
    <t>Summary: OpenAlex is a bibliographic database launched in 2022 that has distinguished itself for its openness and extensive coverage. However, concerns about the quality of its metadata hinder its broader adoption for research and research evaluation.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10.29173/cais1943 -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DOI: 10.48550/arXiv.2401.16359 - OpenAlex has average source reference numbers and internal coverage rates comparable to both Web of Science and Scopus. However, the comparison of other core metadata covered by OpenAlex shows mixed results when broken down by journal, capturing more ORCID identifiers, fewer abstracts, and a similar number of Open Access status indicators per article when compared to both the Web of Science and Scopus.
DOI: 10.48550/arXiv.2409.10633 - OpenAlex exhibits a far more balanced linguistic coverage than WoS. However, language metadata is not always accurate, which leads OpenAlex to overestimate the place of English while underestimating that of other languages.
My lady, I hope this information is helpful. If you have any further questions or need more details, please let me know.</t>
  </si>
  <si>
    <t>Summary: Web of Science (WoS) is a bibliometric database with strengths and weaknesses.
DOI: 10.1007/s11192-015-1765-5
WoS has a journal coverage of 13,605 journals, which is substantially less than Scopus (20,346 journals).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
DOI: 10.48550/arXiv.2508.18620 and 10.29173/cais1943: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DOI: 10.1162/qss_a_00211
WoS has the highest overall quality among the sets considered; and that the differences in quality can be explained primarily by how the data sources are organized.
My lady, I hope this information is helpful. If you have any further questions, please let me know.</t>
  </si>
  <si>
    <t>Summary: Retrieval-Augmented Generation (RAG) is a method used to improve question answering and information retrieval systems by augmenting Large Language Models (LLMs) with relevant documents before generating answers. This approach helps to reduce hallucination and provide more accurate, contextualized responses.
DOI: 10.17821/srels/2024/v61i5/171583: This study demonstrates that RAG can be used to develop a low-cost conversational search system for libraries using open-source software tools and LLMs. By augmenting LLMs with relevant documents, the system provides accurate and informative responses, outperforming standard LLMs without RAG.
DOI: 10.6109/jkiice.2023.27.12.1489: This paper proposes a Metadata Retrieval-Augmented Generation (M-RAG) method that improves open-domain question answering by utilizing embeddings with metadata and generative models. The method shows a significant performance improvement compared to conventional RAG and external inference ODQA systems.
DOI: 10.48550/arXiv.2406.13213: This study introduces Multi-Meta-RAG, a new method that improves RAG for multi-hop queries by using database filtering with LLM-extracted metadata. The approach significantly enhances the selection of relevant documents and improves results on the MultiHop-RAG benchmark.
DOI: 10.48550/arXiv.2505.13557: This paper presents AMAQA, a metadata-based QA dataset for RAG systems, which highlights the importance of metadata integration in question-answering tasks. The study shows that leveraging metadata boosts accuracy and enables precise, contextualized queries.
DOI: 10.48550/arXiv.2505.18247: This study introduces MetaGen Blended RAG, a novel enterprise search approach that enhances semantic retrievers through metadata generation and hybrid query indexes. The method achieves high retrieval and RAG accuracy, surpassing prior zero-shot RAG benchmarks and rivaling fine-tuned models.
My lady, I hope this information is helpful. If you have any further questions or would like more details on a specific study,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</si>
  <si>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impact factors, field-specific citation cultures, and disparities in publication volumes and rates.
**DOI:** 10.1073/pnas.1809547115  
This article, "The shifting sands of disciplinary reputations" by James A. Evans, discusses how citation practices and metrics vary significantly across disciplines, making normalization difficult. It highlights that fields like biomedicine tend to have higher citation rates compared to social sciences, and that these differences are rooted in disciplinary cultures and publication norms.
**DOI:** 10.1126/science.1197002  
In "A systematic analysis of interdisciplinary research based on topic modeling," by Richard Klavans and Kevin W. Boyack, the authors emphasize that citation behaviors differ widely across fields, with some disciplines favoring self-citations or relying heavily on a few high-impact journals. These variations complicate efforts to create a universal citation metric.
**DOI:** 10.1002/asi.21340  
The study "Field normalization of citation impact in evaluation of research: A systematic overview" by Ludo Waltman and Nees Jan van Eck provides a comprehensive overview of field normalization challenges. It notes that publication volumes and citation lifecycles differ across fields (e.g., physics publishes rapidly with short citation windows, while humanities publications have longer citation lifecycles), making direct comparisons unfair without proper normalization techniques.
If you have a different question or need further details, my lady, please let me know!</t>
  </si>
  <si>
    <t>Summary: Bibliographic errors have been perpetuated for decades and their possible causes have increased, despite the encouraged use of technological facilities.
DOI: 10.1108/JD-10-2022-0234 - The authors analysed reference elements, i.e. bibliographic references, mentions, quotations and respective in-text reference pointers, from 729 articles published in 147 journals across the 27 subject areas.
Is there anything else I can help you with, my lady?</t>
  </si>
  <si>
    <t>Summary: Retrieval-Augmented Generation (RAG) is a technique that enables large language models (LLMs) to retrieve relevant information from external knowledge sources and answer queries over previously unseen document collections. RAG systems are composed of a retrieval and an LLM-based generation module, providing LLMs with knowledge from a reference textual database and reducing the risk of hallucinations.
DOI: 10.48550/arXiv.2406.13213 - This paper introduces Multi-Meta-RAG, a new method that uses database filtering with LLM-extracted metadata to improve RAG's selection of relevant documents from various sources. The method is shown to greatly improve results on the MultiHop-RAG benchmark.
DOI: 10.18653/v1/2024.eacl-demo.16 - This paper introduces RAGAs, a framework for reference-free evaluation of RAG pipelines. RAGAs provides a suite of metrics to evaluate the retrieval system's ability to identify relevant context passages, the LLM's ability to exploit such passages faithfully, and the quality of the generation itself.
DOI: 10.1145/3637528.3671470 - This survey comprehensively reviews existing research studies in Retrieval-Augmented Large Language Models (RA-LLMs), covering three primary technical perspectives. The survey discusses current limitations and promising directions for future research.
DOI: 10.48550/arXiv.2404.13948 - This paper investigates the robustness of RAG and introduces a novel attack method, Genetic Attack on RAG (GARAG). GARAG is designed to reveal vulnerabilities within each component and test the overall system functionality against noisy documents.
My lady, I hope this information is helpful. If you have any further questions or would like more details on a specific aspect of RAG, please don't hesitate to ask.</t>
  </si>
  <si>
    <t>Summary: Metadata quality assessment is a critical aspect of managing and utilizing data effectively, especially in the era of Open Data and digital libraries. The field faces challenges such as defining and measuring quality dimensions consistently, but advancements include automated assessment frameworks and AI-driven enhancement tools.
DOI: 10.1145/2964909 - This study addresses the challenges in metadata quality assessment by developing a generic framework for Open Data portals. It maps metadata from different portal software frameworks to a standardized schema and defines quality metrics for automated evaluation. The research highlights issues like retrievability and proposes solutions for efficient quality assessment.
DOI: 10.1109/ADL.1998.670425 - Focuses on methodological considerations for assessing metadata quality, particularly in the context of the US Government Information Locator Service (GILS). It suggests that different types of metadata may require varied evaluation criteria, contributing to the ongoing dialogue on metadata quality assessment.
DOI: 10.1177/09610006241239080 - A scoping review identifies commonly measured dimensions of metadata quality, such as completeness, accuracy, and consistency. It emphasizes the need for further research into less commonly assessed dimensions and highlights the importance of flexible assessment tools.
DOI: 10.5860/crl.86.1.101 - Explores the cultural aspects of metadata quality, identifying 32 unique issues across 427 records. It categorizes these issues to understand how metadata reflects cultural meanings, emphasizing the impact on individuals and communities.
DOI: 10.48550/arXiv.2303.17661 - Introduces MetaEnhance, an AI-based framework for improving metadata quality in electronic theses and dissertations (ETDs). The tool demonstrates high effectiveness in detecting and correcting errors, showcasing advancements in automated metadata enhancement.
My lady, these documents provide a comprehensive overview of the challenges and advancements in metadata quality assessment, highlighting the importance of standardized frameworks, cultural considerations, and AI-driven tools in improving metadata quality.</t>
  </si>
  <si>
    <t>Summary: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
DOI: 10.48550/arXiv.2303.17661
My lady, I hope this response is helpful. If you have any other questions, please let me know.</t>
  </si>
  <si>
    <t>Summary: Retrieval-Augmented Generation (RAG) systems face challenges such as hallucination, outdated knowledge, non-transparent reasoning processes, and computational costs. However, advancements include improved factual accuracy, dynamic knowledge updates, and enhanced multimodal support.
DOI: 10.48550/arXiv.2312.10997 - RAG systems have emerged as a solution to enhance the accuracy and credibility of LLMs, particularly for knowledge-intensive tasks. This paper provides a comprehensive review of RAG paradigms, including Naive RAG, Advanced RAG, and Modular RAG.
DOI: 10.1016/j.caeai.2025.100417 - RAG systems have been applied to educational scenarios, where they improve factual accuracy and enable dynamic knowledge updates. This paper discusses practical applications of RAG in education and highlights challenges such as mitigating hallucinations and reducing computational costs.
DOI: 10.1609/aaai.v38i16.29728 - This paper introduces the Retrieval-Augmented Generation Benchmark (RGB), a new corpus for evaluating RAG systems. The study reveals that LLMs struggle with negative rejection, information integration, and dealing with false information.
DOI: 10.1007/s44427-025-00006-3 - This study provides a comprehensive evaluation of open-source LLMs within a RAG system, using a dataset derived from diploma theses abstracts. The findings highlight the strengths and weaknesses of different models and retrieval strategies.
DOI: 10.1145/3637528.3671470 - This survey reviews existing research studies in Retrieval-Augmented Large Language Models (RA-LLMs), covering three primary technical perspectives. The paper discusses current limitations and promising directions for future research.
My lady, I hope this summary meets your requirements. If you have any further questions or need more information, please let me know.</t>
  </si>
  <si>
    <t>Summary: I found four studies that examined abstracts in metadata.
DOI: 10.1162/qss_a_00286
This study analysed seven characteristics, including abstracts, to compare the amount of metadata and the completeness degree of research publications in new academic databases.
DOI: 10.1177/09610006241239080
This study investigated the types of data sources and countries contributing most to the literature on metadata quality assessment and the types of documents used to communicate their findings. The methodology involved the application of PRISMA model for qualitatively evaluating 55 studies on metadata quality assessment. The co-occurrence analysis was made on the title and abstract of selected articles using VOSviewer 1.6.18 version, visualization software.
DOI: 10.31222/osf.io/smxe5
This study analysed the availability of six metadata elements in Crossref, including abstracts.
DOI: 10.5281/zenodo.14006424
This study analysed OpenAlex’s coverage and metadata availability of African-based publications.
My lady, I hope this information is helpful. If you have any further questions, please let me know.</t>
  </si>
  <si>
    <t>Summary: Two studies examined citations.
DOI: 10.1016/j.ipm.2023.103385
This study aims to establish a taxonomy and offer a comparative analysis of 44 bibliographic APIs from various non-profit and commercial organizations, analyzing their characteristics and metadata with descriptive analysis, their possible bibliometric analyses, and the interoperability of the APIs across four different data categories: general, content, search, and query modes.
DOI: 10.1162/qss_a_00112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for instance on differences over time, differences per document type, and differences per discipline. The study then examines differences in the completeness and accuracy of citation links.</t>
  </si>
  <si>
    <t>Summary: Crossref is a sustainable source of community-owned scholarly metadata that contains over 106 million records and expands at an average rate of 11% a year.
DOI: 10.1162/qss_a_00022
Is there anything else I can help you with, my lady?</t>
  </si>
  <si>
    <t>Summary: Several papers evaluate the linguistic coverage or language-related metadata in scholarly databases.
DOI: 10.48550/arXiv.2409.10633 - Evaluating the Linguistic Coverage of OpenAlex: An Assessment of Metadata Accuracy and Completeness - This paper assesses the completeness and accuracy of OpenAlex's metadata related to language, comparing it with WoS and manually validating a sample of 6,836 articles.
DOI: 10.1162/qss_a_00286 - Completeness degree of publication metadata in eight free-access scholarly databases - This study compares the amount of metadata and completeness degree of research publications in new academic databases, including an analysis of language-related metadata.
DOI: 10.5281/zenodo.14006424 - Coverage and metadata availability of African publications in OpenAlex: A comparative analysis - This paper analyzes OpenAlex's coverage and metadata availability of African-based publications, including a comparison with Scopus, WoS, and AJOL.
DOI: 10.48550/arXiv.2508.18620 - Investigating Document Type, Language, Publication Year, and Author Count Discrepancies Between OpenAlex and Web of Science - This study assesses metadata quality in OpenAlex and WoS, focusing on document type, publication year, language, and number of authors.
DOI: 10.1007/s11192-022-04289-7 - Search where you will find most: Comparing the disciplinary coverage of 56 bibliographic databases - This paper introduces a novel scientometrics method to estimate the subject coverages of popular English-focused bibliographic databases, including an analysis of disciplinary coverage and language-related metadata.
My lady, I hope this information is helpful. If you have any further questions or need additional assistance, please don't hesitate to ask.</t>
  </si>
  <si>
    <t>Summary: Four papers address funding metadata, its availability, or its analysis in scholarly databases.
DOI: 10.1162/qss_a_00210
The availability and completeness of open funder metadata: Case study for publications funded by the Dutch Research Council
DOI: 10.31222/osf.io/smxe5
Crossref as a source of open bibliographic metadata
DOI: 10.1162/qss_a_00212
Funding COVID-19 research: Insights from an exploratory analysis using open data infrastructures
DOI: 10.1162/qss_a_00022
Crossref: The sustainable source of community-owned scholarly metadata
Is there anything else I can help you with, my lady?</t>
  </si>
  <si>
    <t>Summary: I found four papers that discuss the use of Retrieval-Augmented Generation (RAG) when used in applications.
DOI: 10.1016/j.caeai.2025.100417
This paper discusses the use of RAG in education. It covers interactive learning systems, generation and assessment of educational content, and large-scale deployment in educational ecosystems.
DOI: 10.3390/app14199103
This paper discusses the use of RAG in systematic literature reviews (SLRs). It covers data extraction, summarization, and trend identification.
DOI: 10.48550/arXiv.2312.10997
This paper discusses the use of RAG in knowledge-intensive tasks. It covers continuous knowledge updates and integration of domain-specific information.
DOI: 10.1145/3637528.3671470
This paper discusses the use of RAG in AI-Generated Content (AIGC). It covers retrieval in providing additional knowledge to assist existing generative AI in producing high-quality outputs.
My lady, I hope this information is helpful. If you have any further questions, please let me know.</t>
  </si>
  <si>
    <t>Summary: Crossref is a sustainable source of community-owned scholarly metadata and one of the major sources of scholarly data for publishers, authors, librarians, funders, and researchers.
DOI: 10.1162/qss_a_00022 - Crossref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10.1162/qss_a_00286 - The main objective of this study is to compare the amount of metadata and the completeness degree of research publications in new academic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My lady, I hope this information is helpful. If you have any further questions, please let me know.</t>
  </si>
  <si>
    <t>Summary: OpenAlex is a bibliographic database that launched in 2022, and has distinguished itself for its openness and extensive coverage.
DOI: 10.48550/arXiv.2404.17663
OpenAlex is a superset of Scopus and can be a reliable alternative for some analyses, particularly at the country level.
DOI: 10.48550/arXiv.2508.18620
OpenAlex may reduce or eliminate barriers to accessing bibliometric data, but one of the concerns that hinders its broader adoption for research and research evaluation is the quality of its metadata.
DOI: 10.29173/cais1943
OpenAlex stands out for its openness and extensive coverage. However, one of the concerns that hinder its broader adoption for research and research evaluation is the quality of its metadata.
DOI: 10.48550/arXiv.2401.16359
OpenAlex is a promising open source of scholarly metadata, and competitor to established proprietary sources, such as the Web of Science and Scopus.
DOI: 10.48550/arXiv.2409.10633
OpenAlex promised comprehensive, inclusive, and open-source research information. However, more work is needed at infrastructural level to ensure the quality of metadata on language.
My lady, is there anything else I can help you with?</t>
  </si>
  <si>
    <t>Summary: Web of Science (WoS) is a bibliometric database that has been used for more than 30 years. It has a high overall quality, but it may introduce biases that favour Natural Sciences and Engineering as well as Biomedical Research to the detriment of Social Sciences and Arts and Humanities.
DOI: 10.1007/s11192-015-1765-5 - This study compares the journal coverage of WoS and Scopus with Ulrich’s extensive periodical directory. Results indicate that the use of either WoS or Scopus for research evaluation may introduce biases that favour Natural Sciences and Engineering as well as Biomedical Research to the detriment of Social Sciences and Arts and Humanities.
DOI: 10.48550/arXiv.2508.18620 - This study aims to assess metadata quality in OpenAlex and WoS, focusing on document type, publication year, language, and number of authors. It finds that over 4% of the publications indexed in both OpenAlex and WoS appear to be misclassified as research articles or reviews, with the vast majority of these errors occurring in OpenAlex.
DOI: 10.1162/qss_a_00112 - This study presents a large-scale comparison of five multidisciplinary bibliographic data sources, including WoS. It emphasizes the importance of combining comprehensive coverage with a flexible set of filters for making selections of the literature.
DOI: 10.29173/cais1943 - This study assesses the metadata quality of works in OpenAlex and WoS, focusing on document type accuracy. It finds that WoS has a lower error rate compared to OpenAlex.
DOI: 10.1162/qss_a_00211 - This study designs and implements a data quality assessment framework for bibliographic data, including WoS. It reveals that WoS has the highest overall quality among the sets considered.
My lady, I hope this information is helpful. If you have any further questions or need more details, please let me know.</t>
  </si>
  <si>
    <t>Summary: Retrieval-Augmented Generation (RAG) is a framework that can be used to improve question answering or information retrieval systems by augmenting Large Language Models (LLMs) with relevant documents before generating answers.
DOI: 10.17821/srels/2024/v61i5/171583: This study demonstrates that LLMs can provide contextualized and relevant responses when augmented with a set of relevant documents, addressing the issue of LLMs hallucinating and providing outdated or non-contextualized responses.
DOI: 10.6109/jkiice.2023.27.12.1489: This paper proposes a Metadata Retrieval-Augmented Generation (M-RAG) method that can effectively search and answer questions with an open-domain Question Answering (ODQA) system, showing a performance improvement of up to 46% compared to the same external inference ODQA system.
DOI: 10.48550/arXiv.2406.13213: This study introduces a new method called Multi-Meta-RAG, which uses database filtering with LLM-extracted metadata to improve the RAG selection of relevant documents, addressing the issue of traditional RAG applications performing poorly in answering multi-hop questions.
DOI: 10.48550/arXiv.2505.13557: This paper presents AMAQA, a new open-access QA dataset designed to evaluate tasks combining text and metadata, highlighting the value of structured context in boosting accuracy.
DOI: 10.48550/arXiv.2505.18247: This study introduces 'MetaGen Blended RAG', a novel enterprise search approach that enhances semantic retrievers through a metadata generation pipeline, achieving high retrieval accuracy and RAG accuracy on specialized domain datasets.
My lady, I hope this information is helpful. If you have any further questions or need more details,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</si>
  <si>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impact factors, field-specific citation cultures, and disparities in publication rates and lifecycles.
**DOI:** 10.1073/pnas.1616268114  
This article, "The shifting sands of disciplinary reputations" by James A. Evans, discusses how citation practices and metrics vary significantly across disciplines, making normalization difficult. It highlights that fields like biomedicine tend to have higher citation rates and shorter citation lifecycles compared to disciplines like mathematics or humanities, where citations accrue more slowly over time. The study emphasizes the need for field-specific normalization methods to account for these differences.
**Additional Challenges:**  
1. **Publication Practices:** Fields differ in their preferred publication types (e.g., journals, conference proceedings, books) and formats, which affect citation counts.  
2. **Citation Culture:** Some fields (e.g., physics) cite more extensively than others (e.g., humanities), skewing metrics.  
3. **Journal Impact Factors:** Journals in certain fields have higher impact factors, inflating citation counts for authors in those disciplines.  
4. **Publication Rates:** High-output fields (e.g., computer science) produce more papers, leading to higher citation volumes compared to low-output fields (e.g., philosophy).  
These challenges necessitate the development of field-specific normalization techniques to ensure fair comparisons across disciplines.  
If you have a different question or need further details, my lady, please let me know!</t>
  </si>
  <si>
    <t>Summary: I'm sorry, my lady, I could not find any information about the methods used to detect and correct errors in bibliographic datasets.
DOI: N/A
Is there anything else I can help you with?</t>
  </si>
  <si>
    <t>Summary: Retrieval-Augmented Generation (RAG) is a technique that enables the retrieval of relevant information from external knowledge sources and allows large language models (LLMs) to answer queries over previously unseen document collections.
DOI: 10.48550/arXiv.2406.13213 - RAG enables retrieval of relevant information from an external knowledge source and allows large language models (LLMs) to answer queries over previously unseen document collections.
DOI: 10.18653/v1/2024.eacl-demo.16 - RAG systems are composed of a retrieval and an LLM based generation module. They provide LLMs with knowledge from a reference textual database, enabling them to act as a natural language layer between a user and textual databases, thus reducing the risk of hallucinations.
DOI: 10.1145/3637528.3671470 - RAG can offer reliable and up-to-date external knowledge, providing huge convenience for numerous tasks. The powerful capacity of retrieval in providing additional knowledge enables RAG to assist existing generative AI in producing high-quality outputs.
DOI: 10.48550/arXiv.2404.13948 -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If you have any further questions, please let me know.</t>
  </si>
  <si>
    <t>Summary: Metadata quality assessment is a critical aspect of ensuring the searchability, discoverability, and usability of resources, particularly in the context of open data portals and digital libraries. Key challenges include the lack of consensus on the exact definition and measurement of quality dimensions, such as completeness, accuracy, consistency, accessibility, conformance, provenance, and timeliness. Advancements in this field involve the development of automated quality assessment frameworks, such as MetaEnhance, which utilize state-of-the-art artificial intelligence methods to detect, correct, and canonicalize metadata.
DOI: 10.1145/2964909 - This study focuses on developing a generic metadata quality assessment framework for open data portals, addressing challenges related to the increasing number of published resources and concerns about data quality. The framework maps specific metadata from three widely used portal software frameworks to a standardized schema and defines quality metrics for automated evaluation.
DOI: 10.1109/ADL.1998.670425 - This research discusses the application of qualitative and quantitative content analysis techniques to assess metadata records, highlighting the need for a range of criteria and procedures to evaluate different types of metadata.
DOI: 10.1177/09610006241239080 - A scoping review identifying commonly measured dimensions of metadata quality and emphasizing the need for further investigation into less commonly assessed quality dimensions and improvement in the flexibility of metadata quality assessment tools.
DOI: 10.5860/crl.86.1.101 - This study explores how metadata quality, consistency, and completeness impact individuals and communities, identifying unique issues and categorizing them to understand cultural meanings.
DOI: 10.48550/arXiv.2303.17661 - Introducing MetaEnhance, a framework that employs artificial intelligence to improve metadata quality in electronic theses and dissertations, demonstrating high accuracy in detecting and correcting errors.
My lady, I hope this summary meets your requirements. If you have any further questions or need additional information, please let me know.</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</si>
  <si>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DOI: 10.1080/19386389.2011.570654 - Metadata plays an important role in digital libraries. But to be useful, metadata records must be problem free. When problems are present in the metadata, resources are not correctly represented and users are not able to reap the benefits of metadata.
DOI: 10.1177/09610006241239080 - Assessing metadata is of paramount importance for several critical reasons. Metadata plays a pivotal role in various aspects, including data retrieval and search, data organization, interoperability, data preservation, and the overall user experience.
DOI: 10.1109/ADL.1998.670425 - Discusses the application of qualitative and quantitative content analysis techniques to assess metadata records. As a component of a larger evaluation study of US Federal agencies' implementation of the Government Information Locator Service (GILS), this metadata assessment developed a set of criteria and procedures for an exploratory investigation into metadata quality.
My lady, I hope this information is helpful. If you have any further questions, please let me know.</t>
  </si>
  <si>
    <t>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
DOI: 10.48550/arXiv.2312.10997 - This paper provides a comprehensive review of RAG paradigms, including Naive RAG, Advanced RAG, and Modular RAG. It examines the tripartite foundation of RAG frameworks, highlighting state-of-the-art technologies in retrieval, generation, and augmentation techniques. The study also introduces an up-to-date evaluation framework and benchmark, discussing challenges and future research directions.
DOI: 10.1016/j.caeai.2025.100417 - Focusing on educational applications, this paper explores the practical use of RAG in interactive learning systems, content generation, and large-scale deployment. It discusses challenges like mitigating hallucinations, ensuring knowledge completeness, and reducing computational costs, while emphasizing advancements in multimodal support.
DOI: 10.1609/aaai.v38i16.29728 - This study introduces the Retrieval-Augmented Generation Benchmark (RGB), evaluating six representative LLMs on four fundamental abilities: noise robustness, negative rejection, information integration, and counterfactual robustness. The findings reveal significant challenges in negative rejection and information integration, indicating the need for further research.
DOI: 10.1007/s44427-025-00006-3 - This research evaluates open-source LLMs in RAG systems using a benchmark dataset derived from diploma theses abstracts. It assesses retrieval effectiveness and answer quality, providing insights into optimizing RAG implementations for academic tasks.
DOI: 10.1145/3637528.3671470 - This survey reviews Retrieval-Augmented Large Language Models (RA-LLMs), discussing their ability to provide reliable external knowledge. It covers three primary technical perspectives and explores limitations and future research directions.
My lady, I hope this summary meets your requirements. If you have any further questions or need additional information, please let me know.</t>
  </si>
  <si>
    <t>Summary: I found four studies that examined the abstract in metadata.
DOI: 10.1162/qss_a_00286
This study analyses the completeness degree of publication metadata in eight free-access scholarly databases. Seven characteristics were analysed, including the abstract.
DOI: 10.1177/09610006241239080
This study investigates the dimensions of metadata quality assessment. The co-occurrence analysis is made on the title and abstract of selected articles.
DOI: 10.31222/osf.io/smxe5
This study presents an overview of the availability of six metadata elements in Crossref, including abstracts.
DOI: 10.5281/zenodo.14006424
This study analyses the coverage and metadata availability of African publications in OpenAlex. The analysis includes an assessment of the available metadata for OpenAlex publications.
My lady, I hope this information is helpful. If you have any further questions or need additional assistance, please let me know.</t>
  </si>
  <si>
    <t>Summary: Two studies examined citations.
DOI: 10.1016/j.ipm.2023.103385 - This study found that most APIs provide data that can be used for bibliometric evaluation using citations.
DOI: 10.1162/qss_a_00112 - This study compared the completeness and accuracy of citation links across five bibliographic data sources.
Is there anything else I can help you with, my lady?</t>
  </si>
  <si>
    <t>Summary: Crossref is a sustainable source of community-owned scholarly metadata and a source of open bibliographic metadata.
DOI: 10.1162/qss_a_00022 - Crossref is a sustainable source of community-owned scholarly metadata. It contains over 106 million records and expands at an average rate of 11% a year. It is a major source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The data gathered in our study can enable investigating possible reasons for DOI mistakes from a qualitative point of view, helping publishers identify the problems underlying their production of invalid citation data.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is there anything else I can help you with?</t>
  </si>
  <si>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10.48550/arXiv.2508.18620 assesses metadata quality in OpenAlex and WoS, focusing on document type, publication year, language, and number of authors.
My lady, is there anything else I can help you with?</t>
  </si>
  <si>
    <t>Summary: There are several papers that address funding metadata, its availability, or its analysis in scholarly databases.
DOI: 10.1162/qss_a_00210 - This paper discusses the availability and completeness of open funder metadata, specifically for publications funded by the Dutch Research Council.
DOI: 10.31222/osf.io/smxe5 - This paper presents an overview of the availability of six metadata elements in Crossref, including funding information.
DOI: 10.1162/qss_a_00212 - This paper analyzes the open availability of funding data in Crossref, focusing on funding data for publications related to COVID-19.
DOI: 10.1162/qss_a_00022 - This paper describes the scholarly metadata collected and made available by Crossref, including funding information.
DOI: 10.1162/qss_a_00286 - Although this paper does not specifically address funding metadata, it compares the completeness degree of publication metadata in eight free-access scholarly databases, which may be relevant to the topic.
My lady, I hope this information is helpful. If you have any further questions or need more details, please let me know.</t>
  </si>
  <si>
    <t>Summary: I found four papers that discuss the use of Retrieval-Augmented Generation (RAG) when used in applications.
DOI: 10.1016/j.caeai.2025.100417
This paper discusses the use of RAG in educational applications. It explores the practical applications of RAG in education, covering interactive learning systems, generation and assessment of educational content, and large-scale deployment in educational ecosystems.
DOI: 10.3390/app14199103
This paper discusses the use of RAG in systematic literature reviews (SLRs). It highlights the applications of RAG-based LLMs to SLR automation and proposes a framework for automating SRLs.
DOI: 10.48550/arXiv.2312.10997
This paper provides a comprehensive review of the progression of RAG paradigms, including Naive RAG, Advanced RAG, and Modular RAG. It discusses the state-of-the-art technologies embedded in each of the critical components of RAG frameworks.
DOI: 10.1145/3637528.3671470
This paper discusses the use of RAG in Retrieval-Augmented Large Language Models (RA-LLMs). It covers three primary technical perspectives and provides insights into current limitations and promising directions for future research.
My lady, I hope this information is helpful. If you have any further questions or need more details, please let me know.</t>
  </si>
  <si>
    <t>Summary: Crossref is a major source of scholarly data for publishers, authors, librarians, funders, and researchers.
DOI: 10.1162/qss_a_00022 - Crossref is a sustainable source of community-owned scholarly metadata, containing over 106 million records and expanding at an average rate of 11% a year.
My lady, is there anything else I can help you with?</t>
  </si>
  <si>
    <t>Summary: OpenAlex is a new open-source bibliometric database that has been compared to traditional databases such as Scopus and the Web of Science (WoS).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has distinguished itself for its openness and extensive coverage, but one of the concerns that hinders its broader adoption for research and research evaluation is the quality of its metadata. This study aims to assess metadata quality in OpenAlex and WoS, focusing on document type, publication year, language, and number of authors.
DOI: 10.29173/cais1943 - This study aims to assess the metadata quality of works in OpenAlex and WoS, focusing on document type accuracy. Over 4% of the publications indexed in both OpenAlex and WoS appear to be misclassified as research articles or reviews, and the vast majority (about 97%) of these errors occur in OpenAlex.
DOI: 10.48550/arXiv.2401.16359 - OpenAlex is a promising open source of scholarly metadata, but as it is a rapidly evolving source, the question arises as to the trustworthiness of its data. This study demonstrates that, when restricted to a cleaned dataset of 16.8 million recent publications shared by all three databases, OpenAlex has average source reference numbers and internal coverage rates comparable to both WoS and Scopus.
DOI: 10.48550/arXiv.2409.10633 - OpenAlex exhibits a far more balanced linguistic coverage than WoS. However, language metadata is not always accurate, which leads OpenAlex to overestimate the place of English while underestimating that of other languages.
My lady, I hope this summary meets your requirements. If you have any further questions or need additional information, please let me know.</t>
  </si>
  <si>
    <t>Summary: Web of Science (WoS) is a large multidisciplinary database of research outputs and citation indices that has been used for over 30 years for bibliometric research and evaluation.
DOI: 10.1007/s11192-015-1765-5
WoS has a journal coverage of 13,605 journals and favours Natural Sciences and Engineering as well as Biomedical Research over Social Sciences and Arts and Humanities. It also overrepresents English-language journals.
DOI: 10.48550/arXiv.2508.18620 and 10.29173/cais1943
WoS has high-quality metadata and fewer discrepancies and misattributions than other databases such as OpenAlex.
DOI: 10.1162/qss_a_00211
WoS has the highest overall quality among other databases such as Microsoft Academic Graph, Dimensions, and the ACM Digital Library.
My lady, I hope this information is helpful. If you have any further questions, please let me know.</t>
  </si>
  <si>
    <t>Summary: Retrieval-Augmented Generation (RAG) is a method used to improve question answering and information retrieval systems by enabling large language models (LLMs) to retrieve relevant information from external knowledge sources and generate accurate, informative, and contextualized answers.
DOI: 10.17821/srels/2024/v61i5/171583: This study demonstrates that RAG can enhance information retrieval in libraries by providing a low-cost conversational search system using open-source software tools and LLMs. The experiment shows that LLMs with RAG augmentation produce accurate and contextualized responses, compared to standard LLMs that often hallucinate and provide outdated or non-contextualized answers.
DOI: 10.6109/jkiice.2023.27.12.1489: This paper proposes a Metadata Retrieval-Augmented Generation (M-RAG) method that improves open-domain question answering by utilizing embeddings with metadata and generative models. The method activates the source indication function of the question and answer (QA) system, increasing the accuracy of the answer.
DOI: 10.48550/arXiv.2406.13213: This study introduces Multi-Meta-RAG, a new method that improves RAG for multi-hop queries by using database filtering with LLM-extracted metadata. The method enhances the selection of relevant documents from various sources, improving the results on the MultiHop-RAG benchmark.
DOI: 10.48550/arXiv.2505.13557: This paper presents AMAQA, a new open-access QA dataset designed to evaluate tasks combining text and metadata. The study shows that leveraging metadata boosts accuracy in RAG systems, highlighting the value of structured context.
DOI: 10.48550/arXiv.2505.18247: This study introduces MetaGen Blended RAG, a novel enterprise search approach that enhances semantic retrievers through a metadata generation pipeline and hybrid query indexes. The method achieves high retrieval and RAG accuracy on specialized domain datasets, surpassing prior zero-shot RAG benchmarks.
My lady, I hope this information is helpful. If you have any further questions or would like more details on a specific study,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</si>
  <si>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counts are heavily influenced by field-specific practices and traditions. The study underscores the difficulty of comparing citation metrics directly across disciplines without accounting for these differences.
**Additional Context:**  
1. **Citation Practices:** Fields like biomedicine tend to have higher citation rates compared to mathematics or humanities, where citations are fewer but often more impactful.  
2. **Publication Cultures:** Some fields prioritize journal articles, while others value books or conference proceedings, which affects citation counts.  
3. **Field-Specific Impact Factors:** Journals in certain fields have inherently higher impact factors, skewing citation metrics.  
4. **Publication Rates:** Fields with higher publication volumes may artificially inflate citation counts compared to fields with fewer publications.  
To address these challenges, researchers often use field-normalized metrics like the **Field-Weighted Citation Impact (FWCI)** or **Journal Normalized Citation Score**, which account for disciplinary differences. However, these approaches are not without limitations and require careful interpretation.
If you'd like further details or a different question addressed, my lady, please let me know!</t>
  </si>
  <si>
    <t>Summary: There are several methods used to detect and correct errors in bibliographic datasets.
DOI: 10.48550/arXiv.2303.17661 - Metadata quality is crucial for digital objects to be discovered through digital library interfaces. MetaEnhance, a framework that utilizes state-of-the-art artificial intelligence methods to improve the quality of these fields, was proposed and tested on a benchmark of 500 ETDs.
DOI: 10.1007/s11192-022-04367-w - This work aims to identify classes of DOI mistakes by analysing the open bibliographic metadata available in Crossref. Patterns of factual errors in the invalid DOIs and the regular expressions needed to catch and correct them were identified.
DOI: 10.5281/ZENODO.6188748 - This dataset contains the results of the evaluation of the methodology presented in the article Identifying and correcting invalid citations due to DOI errors in Crossref data.
DOI: 10.1108/JD-10-2022-0234 - The authors of this study analysed reference elements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My lady, I hope this information is helpful. Is there anything else I can assist you with?</t>
  </si>
  <si>
    <t>Summary: Retrieval-Augmented Generation (RAG) is a promising solution for addressing the limitations of Large Language Models (LLMs).
DOI: 10.48550/arXiv.2404.13948
My lady, I have found some information about RAG in the document.
RAG is a promising solution for addressing the limitations of LLMs, yet existing studies on the robustness of RAG often overlook the interconnected relationships between RAG components or the potential threats prevalent in real-world databases, such as minor textual errors.
DOI: 10.48550/arXiv.2406.13213
RAG enables retrieval of relevant information from an external knowledge source and allows LLMs to answer queries over previously unseen document collections. However, it was demonstrated that traditional RAG applications perform poorly in answering multi-hop questions, which require retrieving and reasoning over multiple elements of supporting evidence.
DOI: 10.18653/v1/2024.eacl-demo.16
RAG systems are composed of a retrieval and an LLM based generation module. They provide LLMs with knowledge from a reference textual database, enabling them to act as a natural language layer between a user and textual databases, thus reducing the risk of hallucinations.
DOI: 10.1145/3637528.3671470
RAG can offer reliable and up-to-date external knowledge, providing huge convenience for numerous tasks. Particularly in the era of AI-Generated Content (AIGC), the powerful capacity of retrieval in providing additional knowledge enables RAG to assist existing generative AI in producing high-quality outputs.</t>
  </si>
  <si>
    <t>Summary: Metadata quality assessment is a critical area of research, with key challenges including the lack of consensus on the exact definition and measurement of commonly used dimensions such as completeness, accuracy, consistency, accessibility, conformance, provenance, and timeliness. Advancements include the development of automated quality assessment frameworks, application of qualitative and quantitative content analysis techniques, and exploration of metadata quality issues across cultures.
DOI: 10.1145/2964909 - This study aims to develop a generic metadata quality assessment framework for various Open Data portals, treating data portals independently from the portal software frameworks and defining several quality metrics that can be evaluated automatically.
DOI: 10.1109/ADL.1998.670425 - This study discusses the application of qualitative and quantitative content analysis techniques to assess metadata records, developing a set of criteria and procedures for an exploratory investigation into metadata quality.
DOI: 10.1177/09610006241239080 - This scoping review identifies the most commonly measured dimensions of metadata quality, highlighting the need for further investigation into less commonly assessed quality dimensions and emphasizing the importance of metadata quality research.
DOI: 10.5860/crl.86.1.101 - This study explores metadata quality issues across cultures, identifying unique issues and classifying them into categories to better explain how metadata and communities interact.
DOI: 10.48550/arXiv.2303.17661 - This study proposes MetaEnhance, a framework that utilizes state-of-the-art artificial intelligence methods to improve the quality of metadata fields in electronic theses and dissertations.
My lady, I hope this response meets your requirements. If you have any further questions or need additional information, please do not hesitate to ask.</t>
  </si>
  <si>
    <t>Summary: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
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
My lady, I hope this response is helpful. If you have any further questions, please let me know.</t>
  </si>
  <si>
    <t>Summary: Retrieval-Augmented Generation (RAG) systems have emerged as a promising solution to enhance the accuracy and credibility of Large Language Models (LLMs) by incorporating external knowledge. However, challenges such as hallucination, outdated knowledge, and evaluation difficulties persist. Advancements include the development of state-of-the-art technologies in retrieval, generation, and augmentation techniques, as well as the creation of benchmarks for rigorous evaluation.
DOI: 10.48550/arXiv.2312.10997 - This paper provides a comprehensive review of RAG paradigms, including Naive RAG, Advanced RAG, and Modular RAG, highlighting the state-of-the-art technologies in retrieval, generation, and augmentation techniques. It also introduces an up-to-date evaluation framework and benchmark, while discussing challenges and prospective avenues for research.
DOI: 10.1016/j.caeai.2025.100417 - Focusing on educational applications, this paper explores the practical uses of RAG in interactive learning systems, educational content generation, and large-scale deployment. It discusses challenges such as mitigating hallucinations, ensuring knowledge completeness and timeliness, reducing computational costs, and enhancing multimodal support.
DOI: 10.1609/aaai.v38i16.29728 - This study investigates the impact of RAG on LLMs, establishing the Retrieval-Augmented Generation Benchmark (RGB) to evaluate LLMs' performance in noise robustness, negative rejection, information integration, and counterfactual robustness. The evaluation reveals that LLMs still struggle with negative rejection, information integration, and false information.
DOI: 10.1007/s44427-025-00006-3 - This research evaluates open-source LLMs in RAG systems using a benchmark dataset derived from diploma theses abstracts. It assesses retrieval effectiveness and answer quality, providing insights into optimizing RAG implementations for academic and structured knowledge tasks.
DOI: 10.1145/3637528.3671470 - This survey reviews existing research on Retrieval-Augmented Large Language Models (RA-LLMs), discussing current limitations and promising directions for future research. It emphasizes the potential of RAG to provide reliable and up-to-date external knowledge, enhancing the quality of generated content.
My lady, I hope this summary meets your requirements. If you have any further questions or need additional information, please let me know.</t>
  </si>
  <si>
    <t>Answer relevance</t>
  </si>
  <si>
    <t>RATER A</t>
  </si>
  <si>
    <t>RATER B</t>
  </si>
  <si>
    <t>fabrication</t>
  </si>
  <si>
    <t>Grand Total</t>
  </si>
  <si>
    <t>Row Labels</t>
  </si>
  <si>
    <t>Column Labels</t>
  </si>
  <si>
    <t>Count of Response</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</si>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</sst>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Calibri"/>
      <family val="2"/>
      <scheme val="minor"/>
    </font>
    <font>
      <b/>
      <sz val="11"/>
      <name val="Calibri"/>
      <family val="2"/>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
      <b/>
      <sz val="11"/>
      <color theme="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F3F3F3"/>
        <bgColor rgb="FFF3F3F3"/>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0" fontId="2" fillId="0" borderId="0"/>
  </cellStyleXfs>
  <cellXfs count="2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2" fillId="0" borderId="0" xfId="1"/>
    <xf numFmtId="0" fontId="3" fillId="0" borderId="0" xfId="1" applyFont="1"/>
    <xf numFmtId="0" fontId="3" fillId="0" borderId="0" xfId="1" applyFont="1" applyAlignment="1">
      <alignment horizontal="right"/>
    </xf>
    <xf numFmtId="0" fontId="0" fillId="0" borderId="0" xfId="0" applyAlignment="1">
      <alignment horizontal="left"/>
    </xf>
    <xf numFmtId="0" fontId="0" fillId="0" borderId="0" xfId="0" pivotButton="1"/>
    <xf numFmtId="0" fontId="3" fillId="3" borderId="0" xfId="1" applyFont="1" applyFill="1" applyAlignment="1">
      <alignment horizontal="right"/>
    </xf>
    <xf numFmtId="0" fontId="4" fillId="3" borderId="0" xfId="1" applyFont="1" applyFill="1"/>
    <xf numFmtId="0" fontId="4" fillId="0" borderId="0" xfId="1" applyFont="1"/>
    <xf numFmtId="0" fontId="5" fillId="0" borderId="0" xfId="1" applyFont="1" applyAlignment="1">
      <alignment horizontal="right"/>
    </xf>
    <xf numFmtId="0" fontId="4" fillId="0" borderId="0" xfId="1" applyFont="1" applyAlignment="1">
      <alignment horizontal="right"/>
    </xf>
    <xf numFmtId="164" fontId="4" fillId="0" borderId="0" xfId="1" applyNumberFormat="1" applyFont="1" applyAlignment="1">
      <alignment horizontal="right"/>
    </xf>
    <xf numFmtId="0" fontId="6" fillId="0" borderId="0" xfId="1" applyFont="1" applyAlignment="1">
      <alignment horizontal="right"/>
    </xf>
    <xf numFmtId="164" fontId="3" fillId="0" borderId="0" xfId="1" applyNumberFormat="1" applyFont="1" applyAlignment="1">
      <alignment horizontal="right"/>
    </xf>
    <xf numFmtId="0" fontId="3" fillId="0" borderId="0" xfId="1" applyFont="1" applyAlignment="1">
      <alignment vertical="top"/>
    </xf>
    <xf numFmtId="0" fontId="3" fillId="0" borderId="0" xfId="1" applyFont="1" applyAlignment="1">
      <alignment vertical="center"/>
    </xf>
    <xf numFmtId="0" fontId="2" fillId="0" borderId="0" xfId="1"/>
    <xf numFmtId="0" fontId="3" fillId="0" borderId="0" xfId="1" applyFont="1" applyAlignment="1">
      <alignment horizontal="center"/>
    </xf>
    <xf numFmtId="0" fontId="7" fillId="4" borderId="2" xfId="0" applyFont="1" applyFill="1" applyBorder="1" applyAlignment="1">
      <alignment horizontal="left"/>
    </xf>
    <xf numFmtId="0" fontId="3" fillId="0" borderId="0" xfId="1" applyFont="1" applyAlignment="1">
      <alignment horizontal="left" vertical="top"/>
    </xf>
    <xf numFmtId="0" fontId="7" fillId="4" borderId="3" xfId="0" applyFont="1" applyFill="1" applyBorder="1"/>
    <xf numFmtId="0" fontId="0" fillId="0" borderId="0" xfId="0" applyNumberFormat="1"/>
    <xf numFmtId="0" fontId="7" fillId="4" borderId="2" xfId="0" applyNumberFormat="1" applyFont="1" applyFill="1" applyBorder="1"/>
  </cellXfs>
  <cellStyles count="2">
    <cellStyle name="Normal" xfId="0" builtinId="0"/>
    <cellStyle name="Normal 2" xfId="1" xr:uid="{35545E38-D669-9341-B54D-46E3710DA0E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8.630322106481" createdVersion="8" refreshedVersion="8" minRefreshableVersion="3" recordCount="80" xr:uid="{4B043F12-62EC-AC45-8FD1-531741936997}">
  <cacheSource type="worksheet">
    <worksheetSource ref="B1:G81" sheet="raw data"/>
  </cacheSource>
  <cacheFields count="6">
    <cacheField name="Query" numFmtId="0">
      <sharedItems/>
    </cacheField>
    <cacheField name="Response" numFmtId="0">
      <sharedItems longText="1"/>
    </cacheField>
    <cacheField name="Answer relevance" numFmtId="0">
      <sharedItems containsSemiMixedTypes="0" containsString="0" containsNumber="1" containsInteger="1" minValue="0" maxValue="1"/>
    </cacheField>
    <cacheField name="RATER A" numFmtId="0">
      <sharedItems containsSemiMixedTypes="0" containsString="0" containsNumber="1" containsInteger="1" minValue="0" maxValue="1" count="2">
        <n v="1"/>
        <n v="0"/>
      </sharedItems>
    </cacheField>
    <cacheField name="RATER B" numFmtId="0">
      <sharedItems containsSemiMixedTypes="0" containsString="0" containsNumber="1" containsInteger="1" minValue="0" maxValue="1" count="2">
        <n v="1"/>
        <n v="0"/>
      </sharedItems>
    </cacheField>
    <cacheField name="fabrication"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which studies examined the abstract in metadata?']"/>
    <s v="Summary: Three studies examined the abstract in metadata._x000a__x000a_DOI: 10.1162/qss_a_00286 - This study compares the amount of metadata and the completeness degree of research publications in new academic databases._x000a__x000a_DOI: 10.1177/09610006241239080 - This study identifies the most commonly measured dimensions of metadata quality in existing studies on metadata quality assessment._x000a__x000a_DOI: 10.31222/osf.io/smxe5 - This study presents an up-to-date overview of the availability of six metadata elements in Crossref._x000a__x000a_My lady, I hope this information is helpful. If you have any further questions, please let me know."/>
    <n v="1"/>
    <x v="0"/>
    <x v="0"/>
    <n v="0"/>
  </r>
  <r>
    <s v="['which studies examined the abstract in metadata?']"/>
    <s v="Summary: Three studies examined the abstract in metadata._x000a__x000a_DOI: 10.1162/qss_a_00286 - This study compares the amount of metadata and the completeness degree of research publications in new academic databases._x000a__x000a_DOI: 10.1177/09610006241239080 - This study investigates the types of data sources and countries contributing most to the literature on metadata quality assessment and the types of documents used to communicate their findings._x000a__x000a_DOI: 10.31222/osf.io/smxe5 - This study presents an up-to-date overview of the availability of six metadata elements in Crossref._x000a__x000a_Is there anything else I can help you with, my lady?"/>
    <n v="1"/>
    <x v="0"/>
    <x v="0"/>
    <n v="0"/>
  </r>
  <r>
    <s v="['which studies examined the abstract in metadata?']"/>
    <s v="Summary: I have found four studies that examined the abstract in metadata._x000a__x000a_DOI: 10.1162/qss_a_00286_x000a_Title: Completeness degree of publication metadata in eight free-access scholarly databases_x000a_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DOI: 10.1177/09610006241239080_x000a_Title: Exploring dimensions of metadata quality assessment: A scoping review_x000a_Abstract: 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5281/zenodo.14006424_x000a_Title: Coverage and metadata availability of African publications in OpenAlex: A comparative analysis_x000a_Abstract: Unlike traditional proprietary data sources like Scopus and Web of Science (WoS), OpenAlex emphasizes its comprehensive coverage, particularly highlighting its inclusion of the humanities, non-English languages, and research from the Global South. Strengthening diversity and inclusivity in science is crucial for ethical and practical reasons. This paper analyses OpenAlex’s coverage and metadata availability of African-based publications. For this purpose, we compare OpenAlex with Scopus, WoS, and African Journals Online (AJOL). We first compare the coverage of African research publications in OpenAlex against that of WoS, Scopus, and AJOL. We then assess and compare the available metadata for OpenAlex, Scopus, and WoS publications. Our analysis shows that OpenAlex offers the most extensive publication coverage. In terms of metadata, OpenAlex offers a high coverage of publication and author information. It performs worse regarding affiliations, references, and funder information. Importantly, our results also show that metadata availability in OpenAlex is better for publications that are also indexed in Scopus or WoS._x000a__x000a_My lady, I hope this information is helpful."/>
    <n v="1"/>
    <x v="0"/>
    <x v="0"/>
    <n v="0"/>
  </r>
  <r>
    <s v="['which studies examined the abstract in metadata?']"/>
    <s v="Summary: I found four studies that examined abstracts in metadata._x000a__x000a_DOI: 10.1162/qss_a_00286_x000a_This study analysed seven characteristics, including abstracts, to compare the amount of metadata and the completeness degree of research publications in new academic databases._x000a__x000a_DOI: 10.1177/09610006241239080_x000a_This study investigated the types of data sources and countries contributing most to the literature on metadata quality assessment and the types of documents used to communicate their findings. The methodology involved the application of PRISMA model for qualitatively evaluating 55 studies on metadata quality assessment. The co-occurrence analysis was made on the title and abstract of selected articles using VOSviewer 1.6.18 version, visualization software._x000a__x000a_DOI: 10.31222/osf.io/smxe5_x000a_This study analysed the availability of six metadata elements in Crossref, including abstracts._x000a__x000a_DOI: 10.5281/zenodo.14006424_x000a_This study analysed OpenAlex’s coverage and metadata availability of African-based publications._x000a__x000a_My lady, I hope this information is helpful. If you have any further questions, please let me know."/>
    <n v="1"/>
    <x v="0"/>
    <x v="0"/>
    <n v="0"/>
  </r>
  <r>
    <s v="['which studies examined the abstract in metadata?']"/>
    <s v="Summary: I found four studies that examined the abstract in metadata._x000a__x000a_DOI: 10.1162/qss_a_00286_x000a_This study analyses the completeness degree of publication metadata in eight free-access scholarly databases. Seven characteristics were analysed, including the abstract._x000a__x000a_DOI: 10.1177/09610006241239080_x000a_This study investigates the dimensions of metadata quality assessment. The co-occurrence analysis is made on the title and abstract of selected articles._x000a__x000a_DOI: 10.31222/osf.io/smxe5_x000a_This study presents an overview of the availability of six metadata elements in Crossref, including abstracts._x000a__x000a_DOI: 10.5281/zenodo.14006424_x000a_This study analyses the coverage and metadata availability of African publications in OpenAlex. The analysis includes an assessment of the available metadata for OpenAlex publications._x000a__x000a_My lady, I hope this information is helpful. If you have any further questions or need additional assistance, please let me know."/>
    <n v="1"/>
    <x v="0"/>
    <x v="0"/>
    <n v="0"/>
  </r>
  <r>
    <s v="['which studies examined citations?']"/>
    <s v="Summary: Two studies examined citations._x000a__x000a_DOI: 10.1016/j.ipm.2023.103385 - Co-author analysis using author names and bibliometric evaluation using citations are the types of analyses that can be done with the data provided by most APIs._x000a__x000a_DOI: 10.1162/qss_a_00112 - We then study differences in the completeness and accuracy of citation links."/>
    <n v="1"/>
    <x v="0"/>
    <x v="0"/>
    <n v="0"/>
  </r>
  <r>
    <s v="['which studies examined citations?']"/>
    <s v="Summary: Two studies examined citations._x000a__x000a_DOI: 10.1016/j.ipm.2023.103385 - Bibliometric evaluation using citations is one of the types of analyses that can be done with the data provided by most APIs._x000a__x000a_DOI: 10.1162/qss_a_00112 - Differences in the completeness and accuracy of citation links were studied._x000a__x000a_Can I help you with anything else, my lady?"/>
    <n v="1"/>
    <x v="0"/>
    <x v="0"/>
    <n v="0"/>
  </r>
  <r>
    <s v="['which studies examined citations?']"/>
    <s v="Summary: Two studies examined citations._x000a__x000a_DOI: 10.1016/j.ipm.2023.103385_x000a_This study offers a comparative analysis of 44 bibliographic APIs from various non-profit and commercial organizations, analyzing their characteristics and metadata with descriptive analysis, their possible bibliometric analyses, and the interoperability of the APIs across four different data categories: general, content, search, and query modes._x000a__x000a_DOI: 10.1162/qss_a_00112_x000a_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for instance on differences over time, differences per document type, and differences per discipline. The study then examines differences in the completeness and accuracy of citation links."/>
    <n v="1"/>
    <x v="0"/>
    <x v="0"/>
    <n v="0"/>
  </r>
  <r>
    <s v="['which studies examined citations?']"/>
    <s v="Summary: Two studies examined citations._x000a__x000a_DOI: 10.1016/j.ipm.2023.103385_x000a_This study aims to establish a taxonomy and offer a comparative analysis of 44 bibliographic APIs from various non-profit and commercial organizations, analyzing their characteristics and metadata with descriptive analysis, their possible bibliometric analyses, and the interoperability of the APIs across four different data categories: general, content, search, and query modes._x000a__x000a_DOI: 10.1162/qss_a_00112_x000a_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for instance on differences over time, differences per document type, and differences per discipline. The study then examines differences in the completeness and accuracy of citation links."/>
    <n v="1"/>
    <x v="0"/>
    <x v="0"/>
    <n v="0"/>
  </r>
  <r>
    <s v="['which studies examined citations?']"/>
    <s v="Summary: Two studies examined citations._x000a__x000a_DOI: 10.1016/j.ipm.2023.103385 - This study found that most APIs provide data that can be used for bibliometric evaluation using citations._x000a__x000a_DOI: 10.1162/qss_a_00112 - This study compared the completeness and accuracy of citation links across five bibliographic data sources._x000a__x000a_Is there anything else I can help you with, my lady?"/>
    <n v="1"/>
    <x v="0"/>
    <x v="0"/>
    <n v="0"/>
  </r>
  <r>
    <s v="['Which papers evaluate the linguistic coverage or language-related metadata in scholarly databases?']"/>
    <s v="Summary: I found four papers that evaluate the linguistic coverage or language-related metadata in scholarly databases._x000a__x000a_DOI: 10.48550/arXiv.2409.10633_x000a_This paper evaluates the linguistic coverage of OpenAlex, assessing the completeness and accuracy of its language-related metadata through a comparison with Web of Science (WoS) and manual validation of a sample of 6,836 articles._x000a__x000a_DOI: 10.1162/qss_a_00286_x000a_This study compares the completeness degree of publication metadata in eight free-access scholarly databases, including an analysis of language-related metadata._x000a__x000a_DOI: 10.5281/zenodo.14006424_x000a_This paper analyses the coverage and metadata availability of African publications in OpenAlex, comparing it with Scopus, WoS, and African Journals Online (AJOL)._x000a__x000a_DOI: 10.48550/arXiv.2508.18620_x000a_This study assesses the metadata quality in OpenAlex and WoS, focusing on language and other metadata fields, to address discrepancies and misattributions._x000a__x000a_My lady, I hope this information is helpful. If you have any further questions or need more details, please let me know."/>
    <n v="1"/>
    <x v="0"/>
    <x v="0"/>
    <n v="0"/>
  </r>
  <r>
    <s v="['Which papers evaluate the linguistic coverage or language-related metadata in scholarly databases?']"/>
    <s v="Summary: Several papers evaluate the linguistic coverage or language-related metadata in scholarly databases._x000a__x000a_DOI: 10.48550/arXiv.2409.10633_x000a_This paper evaluates the completeness and accuracy of OpenAlex's metadata related to language, through a comparison with WoS, as well as an in-depth manual validation of a sample of 6,836 articles._x000a__x000a_DOI: 10.1162/qss_a_00286_x000a_This paper compares the amount of metadata and the completeness degree of research publications in new academic databases, including language-related metadata._x000a__x000a_DOI: 10.5281/zenodo.14006424_x000a_This paper analyzes OpenAlex's coverage and metadata availability of African-based publications, including a comparison with Scopus, WoS, and African Journals Online (AJOL)._x000a__x000a_DOI: 10.48550/arXiv.2508.18620_x000a_This paper assesses metadata quality in OpenAlex and WoS, focusing on document type, publication year, language, and number of authors._x000a__x000a_DOI: 10.1007/s11192-022-04289-7_x000a_This paper introduces a novel scientometrics method to estimate the subject coverages of popular English-focused bibliographic databases, but does not specifically focus on linguistic coverage or language-related metadata._x000a__x000a_My lady, I hope this information is helpful. If you have any further questions or need more details, please let me know."/>
    <n v="1"/>
    <x v="0"/>
    <x v="0"/>
    <n v="0"/>
  </r>
  <r>
    <s v="['Which papers evaluate the linguistic coverage or language-related metadata in scholarly databases?']"/>
    <s v="Summary: OpenAlex is a bibliographic database that launched in 2022 and promised comprehensive, inclusive, and open-source research information._x000a__x000a_DOI: 10.48550/arXiv.2409.10633_x000a_This paper evaluates the completeness and accuracy of OpenAlex's metadata related to language, through a comparison with WoS, as well as an in-depth manual validation of a sample of 6,836 articles._x000a__x000a_DOI: 10.1162/qss_a_00286_x000a_This paper compares the amount of metadata and the completeness degree of research publications in new academic databases._x000a__x000a_DOI: 10.5281/zenodo.14006424_x000a_This paper analyses OpenAlex’s coverage and metadata availability of African-based publications._x000a__x000a_DOI: 10.48550/arXiv.2508.18620_x000a_This study aims to assess metadata quality in OpenAlex and WoS, focusing on document type, publication year, language, and number of authors._x000a__x000a_My lady, is there anything else I can help you with?"/>
    <n v="1"/>
    <x v="0"/>
    <x v="0"/>
    <n v="0"/>
  </r>
  <r>
    <s v="['Which papers evaluate the linguistic coverage or language-related metadata in scholarly databases?']"/>
    <s v="Summary: Several papers evaluate the linguistic coverage or language-related metadata in scholarly databases._x000a__x000a_DOI: 10.48550/arXiv.2409.10633 - Evaluating the Linguistic Coverage of OpenAlex: An Assessment of Metadata Accuracy and Completeness - This paper assesses the completeness and accuracy of OpenAlex's metadata related to language, comparing it with WoS and manually validating a sample of 6,836 articles._x000a__x000a_DOI: 10.1162/qss_a_00286 - Completeness degree of publication metadata in eight free-access scholarly databases - This study compares the amount of metadata and completeness degree of research publications in new academic databases, including an analysis of language-related metadata._x000a__x000a_DOI: 10.5281/zenodo.14006424 - Coverage and metadata availability of African publications in OpenAlex: A comparative analysis - This paper analyzes OpenAlex's coverage and metadata availability of African-based publications, including a comparison with Scopus, WoS, and AJOL._x000a__x000a_DOI: 10.48550/arXiv.2508.18620 - Investigating Document Type, Language, Publication Year, and Author Count Discrepancies Between OpenAlex and Web of Science - This study assesses metadata quality in OpenAlex and WoS, focusing on document type, publication year, language, and number of authors._x000a__x000a_DOI: 10.1007/s11192-022-04289-7 - Search where you will find most: Comparing the disciplinary coverage of 56 bibliographic databases - This paper introduces a novel scientometrics method to estimate the subject coverages of popular English-focused bibliographic databases, including an analysis of disciplinary coverage and language-related metadata._x000a__x000a_My lady, I hope this information is helpful. If you have any further questions or need additional assistance, please don't hesitate to ask."/>
    <n v="1"/>
    <x v="0"/>
    <x v="0"/>
    <n v="0"/>
  </r>
  <r>
    <s v="['Which papers evaluate the linguistic coverage or language-related metadata in scholarly databases?']"/>
    <s v="Summary: Two papers evaluate the linguistic coverage or language-related metadata in scholarly databases._x000a__x000a_DOI: 10.48550/arXiv.2409.10633 evaluates the completeness and accuracy of OpenAlex's metadata related to language, through a comparison with WoS, as well as an in-depth manual validation of a sample of 6,836 articles._x000a__x000a_DOI: 10.48550/arXiv.2508.18620 assesses metadata quality in OpenAlex and WoS, focusing on document type, publication year, language, and number of authors._x000a__x000a_My lady, is there anything else I can help you with?"/>
    <n v="1"/>
    <x v="0"/>
    <x v="0"/>
    <n v="0"/>
  </r>
  <r>
    <s v="['Which papers discuss the use of Retrieval-Augmented Generation (RAG) when used in applications?']"/>
    <s v="Summary: I found four papers that discuss the use of Retrieval-Augmented Generation (RAG) when used in applications._x000a__x000a_DOI: 10.1016/j.caeai.2025.100417 discusses the use of RAG in education, including interactive learning systems, generation and assessment of educational content, and large-scale deployment in educational ecosystems._x000a__x000a_DOI: 10.3390/app14199103 discusses the use of RAG in systematic literature reviews, including data extraction, summarization, and trend identification._x000a__x000a_DOI: 10.48550/arXiv.2312.10997 discusses the use of RAG in knowledge-intensive tasks, including continuous knowledge updates and integration of domain-specific information._x000a__x000a_DOI: 10.1145/3637528.3671470 discusses the use of RAG in AI-Generated Content (AIGC), including providing additional knowledge to assist existing generative AI in producing high-quality outputs._x000a__x000a_My lady, I hope this information is helpful. If you have any further questions, please let me know."/>
    <n v="1"/>
    <x v="0"/>
    <x v="0"/>
    <n v="0"/>
  </r>
  <r>
    <s v="['Which papers discuss the use of Retrieval-Augmented Generation (RAG) when used in applications?']"/>
    <s v="Summary: Retrieval-Augmented Generation (RAG) is discussed in the following papers:_x000a__x000a_DOI: 10.1016/j.caeai.2025.100417_x000a_Title: Retrieval-augmented generation for educational application: A systematic survey_x000a_Abstract: This paper reviews the use of RAG in educational scenarios, exploring its practical applications in interactive learning systems, generation and assessment of educational content, and large-scale deployment in educational ecosystems._x000a__x000a_DOI: 10.3390/app14199103_x000a_Title: Automating Systematic Literature Reviews with Retrieval-Augmented Generation: A Comprehensive Overview_x000a_Abstract: This study examines the use of RAG in automating systematic literature reviews, discussing its applications in tasks like data extraction, summarization, and trend identification._x000a__x000a_DOI: 10.48550/arXiv.2312.10997_x000a_Title: Retrieval-Augmented Generation for Large Language Models: A Survey_x000a_Abstract: This paper provides a comprehensive review of RAG paradigms, including Naive RAG, Advanced RAG, and Modular RAG, and discusses their applications in knowledge-intensive tasks._x000a__x000a_DOI: 10.1145/3637528.3671470_x000a_Title: A Survey on RAG Meeting LLMs: Towards Retrieval-Augmented Large Language Models_x000a_Abstract: This survey reviews existing research studies on Retrieval-Augmented Large Language Models (RA-LLMs), discussing their applications in various tasks and highlighting current limitations and future research directions._x000a__x000a_DOI: 10.6109/jkiice.2023.27.12.1489_x000a_Title: M-RAG: Enhancing Open-domain Question Answering with Metadata Retrieval-Augmented Generation_x000a_Abstract: This paper proposes a Metadata Retrieval-Augmented Generation (M-RAG) method for open-domain question answering, demonstrating its effectiveness in improving answer accuracy and performance._x000a__x000a_Is there anything else I can assist you with, my lady?"/>
    <n v="1"/>
    <x v="0"/>
    <x v="0"/>
    <n v="0"/>
  </r>
  <r>
    <s v="['Which papers discuss the use of Retrieval-Augmented Generation (RAG) when used in applications?']"/>
    <s v="Summary: I found four papers that discuss the use of Retrieval-Augmented Generation (RAG) in applications._x000a__x000a_DOI: 10.1016/j.caeai.2025.100417_x000a_This paper discusses the use of RAG in education, including interactive learning systems, generation and assessment of educational content, and large-scale deployment in educational ecosystems._x000a__x000a_DOI: 10.3390/app14199103_x000a_This paper discusses the use of RAG in systematic literature reviews, including data extraction, summarization, and trend identification._x000a__x000a_DOI: 10.48550/arXiv.2312.10997_x000a_This paper discusses the use of RAG in knowledge-intensive tasks, including continuous knowledge updates and integration of domain-specific information._x000a__x000a_DOI: 10.1145/3637528.3671470_x000a_This paper discusses the use of RAG in AI-Generated Content (AIGC), including providing additional knowledge to assist existing generative AI in producing high-quality outputs._x000a__x000a_My lady, I hope this information is helpful. If you have any further questions, please let me know."/>
    <n v="1"/>
    <x v="0"/>
    <x v="0"/>
    <n v="0"/>
  </r>
  <r>
    <s v="['Which papers discuss the use of Retrieval-Augmented Generation (RAG) when used in applications?']"/>
    <s v="Summary: I found four papers that discuss the use of Retrieval-Augmented Generation (RAG) when used in applications._x000a__x000a_DOI: 10.1016/j.caeai.2025.100417_x000a_This paper discusses the use of RAG in education. It covers interactive learning systems, generation and assessment of educational content, and large-scale deployment in educational ecosystems._x000a__x000a_DOI: 10.3390/app14199103_x000a_This paper discusses the use of RAG in systematic literature reviews (SLRs). It covers data extraction, summarization, and trend identification._x000a__x000a_DOI: 10.48550/arXiv.2312.10997_x000a_This paper discusses the use of RAG in knowledge-intensive tasks. It covers continuous knowledge updates and integration of domain-specific information._x000a__x000a_DOI: 10.1145/3637528.3671470_x000a_This paper discusses the use of RAG in AI-Generated Content (AIGC). It covers retrieval in providing additional knowledge to assist existing generative AI in producing high-quality outputs._x000a__x000a_My lady, I hope this information is helpful. If you have any further questions, please let me know."/>
    <n v="1"/>
    <x v="0"/>
    <x v="0"/>
    <n v="0"/>
  </r>
  <r>
    <s v="['Which papers discuss the use of Retrieval-Augmented Generation (RAG) when used in applications?']"/>
    <s v="Summary: I found four papers that discuss the use of Retrieval-Augmented Generation (RAG) when used in applications._x000a__x000a_DOI: 10.1016/j.caeai.2025.100417_x000a_This paper discusses the use of RAG in educational applications. It explores the practical applications of RAG in education, covering interactive learning systems, generation and assessment of educational content, and large-scale deployment in educational ecosystems._x000a__x000a_DOI: 10.3390/app14199103_x000a_This paper discusses the use of RAG in systematic literature reviews (SLRs). It highlights the applications of RAG-based LLMs to SLR automation and proposes a framework for automating SRLs._x000a__x000a_DOI: 10.48550/arXiv.2312.10997_x000a_This paper provides a comprehensive review of the progression of RAG paradigms, including Naive RAG, Advanced RAG, and Modular RAG. It discusses the state-of-the-art technologies embedded in each of the critical components of RAG frameworks._x000a__x000a_DOI: 10.1145/3637528.3671470_x000a_This paper discusses the use of RAG in Retrieval-Augmented Large Language Models (RA-LLMs). It covers three primary technical perspectives and provides insights into current limitations and promising directions for future research._x000a__x000a_My lady, I hope this information is helpful. If you have any further questions or need more details, please let me know."/>
    <n v="1"/>
    <x v="0"/>
    <x v="0"/>
    <n v="0"/>
  </r>
  <r>
    <s v="['Which papers address funding metadata, its availability, or its analysis in scholarly databases?']"/>
    <s v="Summary: Several papers address funding metadata, its availability, or its analysis in scholarly databases._x000a__x000a_DOI: 10.1162/qss_a_00210_x000a_Title: The availability and completeness of open funder metadata: Case study for publications funded by the Dutch Research Council_x000a_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2_x000a_Title: Funding COVID-19 research: Insights from an exploratory analysis using open data infrastructures_x000a_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_x000a__x000a_DOI: 10.1162/qss_a_00022_x000a_Title: Crossref: The sustainable source of community-owned scholarly metadata_x000a_Abstract: This paper describes the scholarly metadata collected and made available by Crossref, as well as its importance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In this paper, we describe the kind of metadata that Crossref provides and how it is collected and curated. We also look at Crossref’s role in the research ecosystem and trends in metadata curation over the years, including the evolution of its citation data provision. We summarize the research used in Crossref’s metadata and describe plans that will improve metadata quality and retrieval in the future._x000a__x000a_DOI: 10.1162/qss_a_00286_x000a_Title: Completeness degree of publication metadata in eight free-access scholarly databases_x000a_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n v="1"/>
    <x v="0"/>
    <x v="0"/>
    <n v="0"/>
  </r>
  <r>
    <s v="['Which papers address funding metadata, its availability, or its analysis in scholarly databases?']"/>
    <s v="Summary: Several papers address funding metadata, its availability, or its analysis in scholarly databases._x000a__x000a_DOI: 10.1162/qss_a_00210 - This paper explores the availability and completeness of open funder metadata, specifically focusing on publications funded by the Dutch Research Council. It highlights the challenges in assessing the coverage of funder metadata and compares the funding information available in Crossref with proprietary databases like Web of Science, Scopus, and Dimensions._x000a__x000a_DOI: 10.31222/osf.io/smxe5 - This paper presents an overview of the availability of six metadata elements in Crossref, including funding information. It discusses the improvements in metadata availability over time but also highlights the need for publishers to make additional efforts to achieve full openness of bibliographic metadata._x000a__x000a_DOI: 10.1162/qss_a_00212 - This paper analyzes the open availability of funding data in Crossref, specifically focusing on COVID-19 research. It compares the funding data available in Crossref with proprietary bibliometric databases like Scopus and Web of Science, highlighting the limited coverage and quality issues in funding data._x000a__x000a_DOI: 10.1162/qss_a_00022 - This paper describes the scholarly metadata collected and made available by Crossref, including funding information. It highlights the importance of Crossref's metadata in the scholarly research ecosystem and discusses its role in research and metadata curation._x000a__x000a_DOI: 10.1162/qss_a_00286 - This paper compares the completeness degree of publication metadata in eight free-access scholarly databases, including funding information. It analyzes the metadata quality and completeness rate in academic search engines and third-party databases, highlighting the strengths and weaknesses of each._x000a__x000a_My lady, these papers provide valuable insights into the availability, analysis, and challenges associated with funding metadata in scholarly databases."/>
    <n v="1"/>
    <x v="0"/>
    <x v="0"/>
    <n v="0"/>
  </r>
  <r>
    <s v="['Which papers address funding metadata, its availability, or its analysis in scholarly databases?']"/>
    <s v="Summary: The availability and completeness of open funder metadata is addressed in four papers, with a fifth addressing the completeness degree of publication metadata in eight free-access scholarly databases._x000a__x000a_DOI: 10.1162/qss_a_00210_x000a_The availability and completeness of open funder metadata: Case study for publications funded by the Dutch Research Council_x000a__x000a_DOI: 10.31222/osf.io/smxe5_x000a_Crossref as a source of open bibliographic metadata_x000a__x000a_DOI: 10.1162/qss_a_00212_x000a_Funding COVID-19 research: Insights from an exploratory analysis using open data infrastructures_x000a__x000a_DOI: 10.1162/qss_a_00022_x000a_Crossref: The sustainable source of community-owned scholarly metadata_x000a__x000a_DOI: 10.1162/qss_a_00286_x000a_Completeness degree of publication metadata in eight free-access scholarly databases_x000a__x000a_My lady, is there anything else I can help you with?"/>
    <n v="1"/>
    <x v="0"/>
    <x v="0"/>
    <n v="0"/>
  </r>
  <r>
    <s v="['Which papers address funding metadata, its availability, or its analysis in scholarly databases?']"/>
    <s v="Summary: Four papers address funding metadata, its availability, or its analysis in scholarly databases._x000a__x000a_DOI: 10.1162/qss_a_00210_x000a_The availability and completeness of open funder metadata: Case study for publications funded by the Dutch Research Council_x000a__x000a_DOI: 10.31222/osf.io/smxe5_x000a_Crossref as a source of open bibliographic metadata_x000a__x000a_DOI: 10.1162/qss_a_00212_x000a_Funding COVID-19 research: Insights from an exploratory analysis using open data infrastructures_x000a__x000a_DOI: 10.1162/qss_a_00022_x000a_Crossref: The sustainable source of community-owned scholarly metadata_x000a__x000a_Is there anything else I can help you with, my lady?"/>
    <n v="1"/>
    <x v="0"/>
    <x v="0"/>
    <n v="0"/>
  </r>
  <r>
    <s v="['Which papers address funding metadata, its availability, or its analysis in scholarly databases?']"/>
    <s v="Summary: There are several papers that address funding metadata, its availability, or its analysis in scholarly databases._x000a__x000a_DOI: 10.1162/qss_a_00210 - This paper discusses the availability and completeness of open funder metadata, specifically for publications funded by the Dutch Research Council._x000a__x000a_DOI: 10.31222/osf.io/smxe5 - This paper presents an overview of the availability of six metadata elements in Crossref, including funding information._x000a__x000a_DOI: 10.1162/qss_a_00212 - This paper analyzes the open availability of funding data in Crossref, focusing on funding data for publications related to COVID-19._x000a__x000a_DOI: 10.1162/qss_a_00022 - This paper describes the scholarly metadata collected and made available by Crossref, including funding information._x000a__x000a_DOI: 10.1162/qss_a_00286 - Although this paper does not specifically address funding metadata, it compares the completeness degree of publication metadata in eight free-access scholarly databases, which may be relevant to the topic._x000a__x000a_My lady, I hope this information is helpful. If you have any further questions or need more details, please let me know."/>
    <n v="1"/>
    <x v="0"/>
    <x v="0"/>
    <n v="0"/>
  </r>
  <r>
    <s v="['What methods are used to detect and correct errors in bibliographic datasets?']"/>
    <s v="Summary: Bibliographic errors have been perpetuated for decades and their possible causes have increased._x000a__x000a_DOI: 10.1108/JD-10-2022-0234 - Bibliographic errors have been perpetuated for decades and their possible causes have increased, despite the encouraged use of technological facilities, i.e. the reference managers._x000a__x000a_Is there anything else I can help you with, my lady?"/>
    <n v="0"/>
    <x v="1"/>
    <x v="1"/>
    <n v="0"/>
  </r>
  <r>
    <s v="['What methods are used to detect and correct errors in bibliographic datasets?']"/>
    <s v="Summary: There are many methods used to detect and correct errors in bibliographic datasets._x000a__x000a_DOI: 10.48550/arXiv.2303.17661 - Metadata quality is crucial for digital objects to be discovered through digital library interfaces. However, due to various reasons, the metadata of digital objects often exhibits incomplete, inconsistent, and incorrect values. This study investigates methods to automatically detect, correct, and canonicalize scholarly metadata, using seven key fields of electronic theses and dissertations (ETDs) as a case study._x000a__x000a_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_x000a__x000a_DOI: 10.5281/ZENODO.6188748 - This dataset contains the results of the evaluation of the methodology presented in the article Identifying and correcting invalid citations due to DOI errors in Crossref data._x000a__x000a_DOI: 10.1108/JD-10-2022-0234 - This study identifies current possible causes for citing and referencing errors in scholarly literature to compare if something changed from the snapshot provided by Sweetland in his 1989 paper._x000a__x000a_My lady, I hope this information is helpful. If you have any further questions, please let me know."/>
    <n v="1"/>
    <x v="0"/>
    <x v="0"/>
    <n v="0"/>
  </r>
  <r>
    <s v="['What methods are used to detect and correct errors in bibliographic datasets?']"/>
    <s v="Summary: Bibliographic errors have been perpetuated for decades and their possible causes have increased, despite the encouraged use of technological facilities._x000a__x000a_DOI: 10.1108/JD-10-2022-0234 - The authors analysed reference elements, i.e. bibliographic references, mentions, quotations and respective in-text reference pointers, from 729 articles published in 147 journals across the 27 subject areas._x000a__x000a_Is there anything else I can help you with, my lady?"/>
    <n v="0"/>
    <x v="1"/>
    <x v="1"/>
    <n v="0"/>
  </r>
  <r>
    <s v="['What methods are used to detect and correct errors in bibliographic datasets?']"/>
    <s v="Summary: I'm sorry, my lady, I could not find any information about the methods used to detect and correct errors in bibliographic datasets._x000a__x000a_DOI: N/A_x000a__x000a_Is there anything else I can help you with?"/>
    <n v="0"/>
    <x v="1"/>
    <x v="1"/>
    <n v="0"/>
  </r>
  <r>
    <s v="['What methods are used to detect and correct errors in bibliographic datasets?']"/>
    <s v="Summary: There are several methods used to detect and correct errors in bibliographic datasets._x000a__x000a_DOI: 10.48550/arXiv.2303.17661 - Metadata quality is crucial for digital objects to be discovered through digital library interfaces. MetaEnhance, a framework that utilizes state-of-the-art artificial intelligence methods to improve the quality of these fields, was proposed and tested on a benchmark of 500 ETDs._x000a__x000a_DOI: 10.1007/s11192-022-04367-w - This work aims to identify classes of DOI mistakes by analysing the open bibliographic metadata available in Crossref. Patterns of factual errors in the invalid DOIs and the regular expressions needed to catch and correct them were identified._x000a__x000a_DOI: 10.5281/ZENODO.6188748 - This dataset contains the results of the evaluation of the methodology presented in the article Identifying and correcting invalid citations due to DOI errors in Crossref data._x000a__x000a_DOI: 10.1108/JD-10-2022-0234 - The authors of this study analysed reference element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_x000a__x000a_My lady, I hope this information is helpful. Is there anything else I can assist you with?"/>
    <n v="1"/>
    <x v="0"/>
    <x v="0"/>
    <n v="0"/>
  </r>
  <r>
    <s v="['What is Crossref’s role in the scholarly research ecosystem?']"/>
    <s v="Summary: Crossref is a major source of scholarly data for publishers, authors, librarians, funders, and researchers._x000a__x000a_DOI: 10.1162/qss_a_00022: Crossref is a sustainable source of community-owned scholarly metadata._x000a__x000a_DOI: 10.31222/osf.io/smxe5: Crossref is a source of open bibliographic metadata._x000a__x000a_DOI: 10.1162/qss_a_00210: Crossref initiated FundRef in 2013, enabling publishers to register funding information using persistent identifiers._x000a__x000a_DOI: 10.1162/qss_a_00286: Crossref is a free-access scholarly database that compares the amount of metadata and the completeness degree of research publications._x000a__x000a_My lady, I hope this information is helpful. If you have any further questions, please let me know."/>
    <n v="1"/>
    <x v="0"/>
    <x v="0"/>
    <n v="0"/>
  </r>
  <r>
    <s v="['What is Crossref’s role in the scholarly research ecosystem?']"/>
    <s v="Summary: Crossref is a major source of scholarly data for publishers, authors, librarians, funders, and researchers._x000a__x000a_DOI: 10.1162/qss_a_00022: 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_x000a__x000a_DOI: 10.31222/osf.io/smxe5: Crossref is a source of open bibliographic metadata._x000a__x000a_DOI: 10.1162/qss_a_00210: Crossref initiated FundRef in 2013, enabling publishers to register funding information using persistent identifiers._x000a__x000a_DOI: 10.1162/qss_a_00286: This study compares the amount of metadata and the completeness degree of research publications in new academic databases._x000a__x000a_My lady, I hope this information is helpful. If you have any further questions, please let me know."/>
    <n v="1"/>
    <x v="0"/>
    <x v="0"/>
    <n v="0"/>
  </r>
  <r>
    <s v="['What is Crossref’s role in the scholarly research ecosystem?']"/>
    <s v="Summary: Crossref is a major source of scholarly data for publishers, authors, librarians, funders, and researchers._x000a__x000a_DOI: 10.1162/qss_a_00022: Crossref is a sustainable source of community-owned scholarly metadata that collects and makes available over 106 million records of scholarly metadata._x000a__x000a_DOI: 10.31222/osf.io/smxe5: Crossref is a source of open bibliographic metadata that promotes the open availability of bibliographic metadata of scholarly publications._x000a__x000a_DOI: 10.1162/qss_a_00210: Crossref initiated FundRef in 2013 to help funders track publication output associated with their funding._x000a__x000a_DOI: 10.1162/qss_a_00286: This study compares the amount of metadata and the completeness degree of research publications in new academic databases._x000a__x000a_My lady, I hope this information is helpful. If you have any further questions, please let me know."/>
    <n v="1"/>
    <x v="0"/>
    <x v="0"/>
    <n v="0"/>
  </r>
  <r>
    <s v="['What is Crossref’s role in the scholarly research ecosystem?']"/>
    <s v="Summary: Crossref is a sustainable source of community-owned scholarly metadata and one of the major sources of scholarly data for publishers, authors, librarians, funders, and researchers._x000a__x000a_DOI: 10.1162/qss_a_00022 - Crossref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162/qss_a_00286 - The main objective of this study is to compare the amount of metadata and the completeness degree of research publications in new academic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_x000a__x000a_My lady, I hope this information is helpful. If you have any further questions, please let me know."/>
    <n v="1"/>
    <x v="0"/>
    <x v="0"/>
    <n v="0"/>
  </r>
  <r>
    <s v="['What is Crossref’s role in the scholarly research ecosystem?']"/>
    <s v="Summary: Crossref is a major source of scholarly data for publishers, authors, librarians, funders, and researchers._x000a__x000a_DOI: 10.1162/qss_a_00022 - Crossref is a sustainable source of community-owned scholarly metadata, containing over 106 million records and expanding at an average rate of 11% a year._x000a__x000a_My lady, is there anything else I can help you with?"/>
    <n v="1"/>
    <x v="0"/>
    <x v="0"/>
    <n v="0"/>
  </r>
  <r>
    <s v="['What are the strengths and weaknesses of Web of Science (WoS) as a bibliometric database?']"/>
    <s v="Summary: Web of Science (WoS) is a bibliometric database that has been used for over 30 years. It has been compared to other databases such as Scopus, OpenAlex, Dimensions, Crossref, and Microsoft Academic._x000a__x000a_DOI: 10.1007/s11192-015-1765-5 - This study compares the journal coverage of WoS and Scopus with Ulrich's extensive periodical directory. It finds that both databases have biases towards Natural Sciences and Engineering, as well as Biomedical Research, and English-language journals. The study suggests that WoS and Scopus should be used with caution in comparative research evaluation._x000a__x000a_DOI: 10.48550/arXiv.2508.18620 - This study investigates discrepancies in metadata quality between OpenAlex and WoS, focusing on document type, language, publication year, and author count. It finds that OpenAlex has more errors in metadata, particularly in document type classification._x000a__x000a_DOI: 10.1162/qss_a_00112 - This study compares five bibliographic data sources, including WoS, and analyzes differences in coverage, completeness, and accuracy of citation links. It emphasizes the importance of combining comprehensive coverage with flexible filters._x000a__x000a_DOI: 10.29173/cais1943 - This study assesses metadata quality in OpenAlex and WoS, focusing on document type accuracy. It finds that over 4% of publications are misclassified, with most errors occurring in OpenAlex._x000a__x000a_DOI: 10.1162/qss_a_00211 - This study designs a data quality assessment framework for bibliographic data sources, including WoS, and finds that WoS has the highest overall quality among the sets considered._x000a__x000a_My lady, based on these studies, it appears that WoS has several strengths, including high overall quality, comprehensive coverage, and accurate citation links. However, its weaknesses include biases towards certain fields and languages, and a lack of coverage in some areas, such as Social Sciences and Arts and Humanities. Additionally, WoS may have limitations in terms of accessibility and openness compared to newer databases like OpenAlex._x000a__x000a_Please provide more context or ask a different question, my lady, as I cannot provide a comprehensive answer without further information."/>
    <n v="1"/>
    <x v="0"/>
    <x v="0"/>
    <n v="0"/>
  </r>
  <r>
    <s v="['What are the strengths and weaknesses of Web of Science (WoS) as a bibliometric database?']"/>
    <s v="Summary: Web of Science (WoS) is a large multidisciplinary database of research outputs and citation indices that is used for bibliometrics._x000a__x000a_DOI: 10.1007/s11192-015-1765-5 - WoS is biased towards Natural Sciences and Engineering as well as Biomedical Research, and English-language journals, to the detriment of Social Sciences, Arts and Humanities, and other languages._x000a__x000a_DOI: 10.48550/arXiv.2508.18620 and 10.29173/cais1943 - WoS has high quality metadata compared to other databases._x000a__x000a_DOI: 10.1162/qss_a_00211 - WoS has the highest overall quality of the bibliographic data sources examined in this study._x000a__x000a_My lady, is there anything else I can help you with?"/>
    <n v="0"/>
    <x v="1"/>
    <x v="1"/>
    <n v="0"/>
  </r>
  <r>
    <s v="['What are the strengths and weaknesses of Web of Science (WoS) as a bibliometric database?']"/>
    <s v="Summary: Web of Science (WoS) is a bibliometric database with strengths and weaknesses._x000a__x000a_DOI: 10.1007/s11192-015-1765-5_x000a_WoS has a journal coverage of 13,605 journals, which is substantially less than Scopus (20,346 journals).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_x000a__x000a_DOI: 10.48550/arXiv.2508.18620 and 10.29173/cais1943:_x000a_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_x000a__x000a_DOI: 10.1162/qss_a_00211_x000a_WoS has the highest overall quality among the sets considered; and that the differences in quality can be explained primarily by how the data sources are organized._x000a__x000a_My lady, I hope this information is helpful. If you have any further questions, please let me know."/>
    <n v="1"/>
    <x v="0"/>
    <x v="0"/>
    <n v="0"/>
  </r>
  <r>
    <s v="['What are the strengths and weaknesses of Web of Science (WoS) as a bibliometric database?']"/>
    <s v="Summary: Web of Science (WoS) is a bibliometric database that has been used for more than 30 years. It has a high overall quality, but it may introduce biases that favour Natural Sciences and Engineering as well as Biomedical Research to the detriment of Social Sciences and Arts and Humanities._x000a__x000a_DOI: 10.1007/s11192-015-1765-5 - This study compares the journal coverage of WoS and Scopus with Ulrich’s extensive periodical directory. Results indicate that the use of either WoS or Scopus for research evaluation may introduce biases that favour Natural Sciences and Engineering as well as Biomedical Research to the detriment of Social Sciences and Arts and Humanities._x000a__x000a_DOI: 10.48550/arXiv.2508.18620 - This study aims to assess metadata quality in OpenAlex and WoS, focusing on document type, publication year, language, and number of authors. It finds that over 4% of the publications indexed in both OpenAlex and WoS appear to be misclassified as research articles or reviews, with the vast majority of these errors occurring in OpenAlex._x000a__x000a_DOI: 10.1162/qss_a_00112 - This study presents a large-scale comparison of five multidisciplinary bibliographic data sources, including WoS. It emphasizes the importance of combining comprehensive coverage with a flexible set of filters for making selections of the literature._x000a__x000a_DOI: 10.29173/cais1943 - This study assesses the metadata quality of works in OpenAlex and WoS, focusing on document type accuracy. It finds that WoS has a lower error rate compared to OpenAlex._x000a__x000a_DOI: 10.1162/qss_a_00211 - This study designs and implements a data quality assessment framework for bibliographic data, including WoS. It reveals that WoS has the highest overall quality among the sets considered._x000a__x000a_My lady, I hope this information is helpful. If you have any further questions or need more details, please let me know."/>
    <n v="1"/>
    <x v="0"/>
    <x v="0"/>
    <n v="0"/>
  </r>
  <r>
    <s v="['What are the strengths and weaknesses of Web of Science (WoS) as a bibliometric database?']"/>
    <s v="Summary: Web of Science (WoS) is a large multidisciplinary database of research outputs and citation indices that has been used for over 30 years for bibliometric research and evaluation._x000a__x000a_DOI: 10.1007/s11192-015-1765-5_x000a_WoS has a journal coverage of 13,605 journals and favours Natural Sciences and Engineering as well as Biomedical Research over Social Sciences and Arts and Humanities. It also overrepresents English-language journals._x000a__x000a_DOI: 10.48550/arXiv.2508.18620 and 10.29173/cais1943_x000a_WoS has high-quality metadata and fewer discrepancies and misattributions than other databases such as OpenAlex._x000a__x000a_DOI: 10.1162/qss_a_00211_x000a_WoS has the highest overall quality among other databases such as Microsoft Academic Graph, Dimensions, and the ACM Digital Library._x000a__x000a_My lady, I hope this information is helpful. If you have any further questions, please let me know."/>
    <n v="1"/>
    <x v="0"/>
    <x v="0"/>
    <n v="0"/>
  </r>
  <r>
    <s v="['What are the main challenges in normalizing citation metrics across scientific fields?']"/>
    <s v="My lady, normalizing citation metrics across scientific fields is a complex task due to several inherent challenges. Below is a structured response to your query:_x000a__x000a_**Summary:** Normalizing citation metrics across scientific fields is challenging due to differences in publication cultures, citation practices, field-specific impact factors, and varying rates of publication and collaboration. These factors make it difficult to establish a universal standard for comparing scholarly impact across disciplines._x000a__x000a_**DOI:** 10.1126/science.1175862  _x000a_This article by Seglen (1997) in *Science* highlights the variability in citation patterns across different scientific fields, emphasizing that citation counts are heavily influenced by disciplinary norms and practices. The study underscores the difficulty of comparing citation metrics directly across fields without accounting for these differences._x000a__x000a_**DOI:** 10.7717/peerj.427  _x000a_In this *PeerJ* article, Adams (2016) discusses the challenges of field normalization in bibliometrics, noting that fields differ in their publication rates, citation practices, and collaboration patterns. The author argues that normalization methods must consider these variations to ensure fair comparisons of scholarly impact._x000a__x000a_**DOI:** 10.1002/asi.21334  _x000a_Bornmann and Daniel (2008) in the *Journal of the American Society for Information Science and Technology* critique traditional citation-based metrics and propose alternative approaches for field normalization. They highlight the limitations of journal impact factors and suggest using percentile ranks or other field-normalized indicators to address disciplinary disparities._x000a__x000a_These sources collectively illustrate the main challenges in normalizing citation metrics across fields, emphasizing the need for nuanced approaches that account for disciplinary differences."/>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impact of discipline size and age. These factors make it difficult to establish a universal standard for comparing citation metrics across disciplines._x000a__x000a_**DOI:** 10.1126/science.1177997  _x000a_This article by [Wilsdon et al. (2015)](https://doi.org/10.1126/science.1177997) discusses the limitations of using citation-based metrics in research evaluation, emphasizing the variability in citation practices across fields. The authors argue that metrics like the h-index and impact factor are not directly comparable across disciplines due to differences in publication frequency, citation norms, and the size of research communities._x000a__x000a_**Additional Context:**  _x000a_1. **Publication Practices:** Fields like biomedicine publish more frequently and in larger volumes compared to humanities or social sciences, leading to higher citation counts that may not reflect quality.  _x000a_2. **Citation Culture:** Some fields, such as mathematics, cite fewer references per paper, while others, like biology, cite extensively. This skews citation metrics.  _x000a_3. **Field Maturity:** Older fields have a larger body of literature, making it easier to accumulate citations compared to newer disciplines.  _x000a_4. **Journal Impact Factor (JIF):** The JIF varies widely across disciplines, making it an unreliable tool for cross-field comparisons.  _x000a__x000a_To address these challenges, field-normalized metrics like the **Field-Weighted Citation Impact (FWCI)** or **Citation Percentiles** are often used, but they require robust bibliometric databases and careful categorization of disciplines._x000a__x000a_Let me know if you'd like further details, my lady."/>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impact factors, field-specific citation cultures, and disparities in publication volumes and rates._x000a__x000a_**DOI:** 10.1073/pnas.1809547115  _x000a_This article, &quot;The shifting sands of disciplinary reputations&quot; by James A. Evans, discusses how citation practices and metrics vary significantly across disciplines, making normalization difficult. It highlights that fields like biomedicine tend to have higher citation rates compared to social sciences, and that these differences are rooted in disciplinary cultures and publication norms._x000a__x000a_**DOI:** 10.1126/science.1197002  _x000a_In &quot;A systematic analysis of interdisciplinary research based on topic modeling,&quot; by Richard Klavans and Kevin W. Boyack, the authors emphasize that citation behaviors differ widely across fields, with some disciplines favoring self-citations or relying heavily on a few high-impact journals. These variations complicate efforts to create a universal citation metric._x000a__x000a_**DOI:** 10.1002/asi.21340  _x000a_The study &quot;Field normalization of citation impact in evaluation of research: A systematic overview&quot; by Ludo Waltman and Nees Jan van Eck provides a comprehensive overview of field normalization challenges. It notes that publication volumes and citation lifecycles differ across fields (e.g., physics publishes rapidly with short citation windows, while humanities publications have longer citation lifecycles), making direct comparisons unfair without proper normalization techniques._x000a__x000a_If you have a different question or need further details,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impact factors, field-specific citation cultures, and disparities in publication rates and lifecycles._x000a__x000a_**DOI:** 10.1073/pnas.1616268114  _x000a_This article, &quot;The shifting sands of disciplinary reputations&quot; by James A. Evans, discusses how citation practices and metrics vary significantly across disciplines, making normalization difficult. It highlights that fields like biomedicine tend to have higher citation rates and shorter citation lifecycles compared to disciplines like mathematics or humanities, where citations accrue more slowly over time. The study emphasizes the need for field-specific normalization methods to account for these differences._x000a__x000a_**Additional Challenges:**  _x000a_1. **Publication Practices:** Fields differ in their preferred publication types (e.g., journals, conference proceedings, books) and formats, which affect citation counts.  _x000a_2. **Citation Culture:** Some fields (e.g., physics) cite more extensively than others (e.g., humanities), skewing metrics.  _x000a_3. **Journal Impact Factors:** Journals in certain fields have higher impact factors, inflating citation counts for authors in those disciplines.  _x000a_4. **Publication Rates:** High-output fields (e.g., computer science) produce more papers, leading to higher citation volumes compared to low-output fields (e.g., philosophy).  _x000a__x000a_These challenges necessitate the development of field-specific normalization techniques to ensure fair comparisons across disciplines.  _x000a__x000a_If you have a different question or need further details,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_x000a__x000a_**DOI:** 10.1126/science.1175862  _x000a_This article by Seglen (1997) in *Science* highlights the variability in citation patterns across different scientific fields, emphasizing that citation counts are heavily influenced by field-specific practices and traditions. The study underscores the difficulty of comparing citation metrics directly across disciplines without accounting for these differences._x000a__x000a_**Additional Context:**  _x000a_1. **Citation Practices:** Fields like biomedicine tend to have higher citation rates compared to mathematics or humanities, where citations are fewer but often more impactful.  _x000a_2. **Publication Cultures:** Some fields prioritize journal articles, while others value books or conference proceedings, which affects citation counts.  _x000a_3. **Field-Specific Impact Factors:** Journals in certain fields have inherently higher impact factors, skewing citation metrics.  _x000a_4. **Publication Rates:** Fields with higher publication volumes may artificially inflate citation counts compared to fields with fewer publications.  _x000a__x000a_To address these challenges, researchers often use field-normalized metrics like the **Field-Weighted Citation Impact (FWCI)** or **Journal Normalized Citation Score**, which account for disciplinary differences. However, these approaches are not without limitations and require careful interpretation._x000a__x000a_If you'd like further details or a different question addressed, my lady, please let me know!"/>
    <n v="0"/>
    <x v="1"/>
    <x v="1"/>
    <n v="1"/>
  </r>
  <r>
    <s v="['What are the key features and limitations of OpenAlex as a bibliometric database?']"/>
    <s v="Summary: OpenAlex is a new bibliometric database that has been compared to other databases such as Scopus and Web of Science (Wo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that has distinguished itself for its openness and extensive coverage. However, one of the concerns that hinders its broader adoption for research and research evaluation is the quality of its metadata._x000a__x000a_DOI: 10.29173/cais1943 - OpenAlex is a bibliographic database that stands out for its openness and extensive coverage. However, one of the concerns that hinders its broader adoption for research and research evaluation is the quality of its metadata._x000a__x000a_DOI: 10.48550/arXiv.2401.16359 - OpenAlex is a promising open source of scholarly metadata, and competitor to established proprietary sources, such as WoS and Scopus. However, as OpenAlex is a rapidly evolving source and the data contained within is expanding and also quickly changing, the question naturally arises as to the trustworthiness of its data._x000a__x000a_DOI: 10.48550/arXiv.2409.10633 - OpenAlex is a bibliographic database that promised comprehensive, inclusive, and open-source research information. However, the quality of its metadata is currently being assessed._x000a__x000a_My lady, I hope this information is helpful. If you have any further questions, please let me know."/>
    <n v="1"/>
    <x v="0"/>
    <x v="0"/>
    <n v="0"/>
  </r>
  <r>
    <s v="['What are the key features and limitations of OpenAlex as a bibliometric database?']"/>
    <s v="Summary: OpenAlex is a newly launched bibliographic database that promises comprehensive, inclusive, and open-source research information._x000a__x000a_DOI: 10.48550/arXiv.2409.10633 - OpenAlex has more balanced linguistic coverage than WoS, but language metadata is not always accurate, which leads OpenAlex to overestimate the place of English while underestimating that of other languages._x000a__x000a_DOI: 10.48550/arXiv.2404.17663 - OpenAlex is a superset of Scopus and can be a reliable alternative for some analyses, particularly at the country level._x000a__x000a_DOI: 10.48550/arXiv.2401.16359 - OpenAlex has average source reference numbers and internal coverage rates comparable to both Web of Science and Scopus._x000a__x000a_DOI: 10.48550/arXiv.2508.18620 - OpenAlex may reduce or eliminate barriers to accessing bibliometric data, but one of the concerns that hinders its broader adoption for research and research evaluation is the quality of its metadata._x000a__x000a_DOI: 10.29173/cais1943 - OpenAlex has over 4% of the publications indexed in both OpenAlex and WoS appear to be misclassified as research articles or reviews, and that the vast majority (about 97%) of these errors occur in OpenAlex._x000a__x000a_My lady, I hope this information is helpful. If you have any further questions, please let me know."/>
    <n v="1"/>
    <x v="0"/>
    <x v="0"/>
    <n v="0"/>
  </r>
  <r>
    <s v="['What are the key features and limitations of OpenAlex as a bibliometric database?']"/>
    <s v="Summary: OpenAlex is a bibliographic database launched in 2022 that has distinguished itself for its openness and extensive coverage. However, concerns about the quality of its metadata hinder its broader adoption for research and research evaluation.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_x000a__x000a_DOI: 10.29173/cais1943 -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_x000a__x000a_DOI: 10.48550/arXiv.2401.16359 - OpenAlex has average source reference numbers and internal coverage rates comparable to both Web of Science and Scopus. However, the comparison of other core metadata covered by OpenAlex shows mixed results when broken down by journal, capturing more ORCID identifiers, fewer abstracts, and a similar number of Open Access status indicators per article when compared to both the Web of Science and Scopus._x000a__x000a_DOI: 10.48550/arXiv.2409.10633 - OpenAlex exhibits a far more balanced linguistic coverage than WoS. However, language metadata is not always accurate, which leads OpenAlex to overestimate the place of English while underestimating that of other languages._x000a__x000a_My lady, I hope this information is helpful. If you have any further questions or need more details, please let me know."/>
    <n v="1"/>
    <x v="0"/>
    <x v="0"/>
    <n v="0"/>
  </r>
  <r>
    <s v="['What are the key features and limitations of OpenAlex as a bibliometric database?']"/>
    <s v="Summary: OpenAlex is a bibliographic database that launched in 2022, and has distinguished itself for its openness and extensive coverage._x000a__x000a_DOI: 10.48550/arXiv.2404.17663_x000a_OpenAlex is a superset of Scopus and can be a reliable alternative for some analyses, particularly at the country level._x000a__x000a_DOI: 10.48550/arXiv.2508.18620_x000a_OpenAlex may reduce or eliminate barriers to accessing bibliometric data, but one of the concerns that hinders its broader adoption for research and research evaluation is the quality of its metadata._x000a__x000a_DOI: 10.29173/cais1943_x000a_OpenAlex stands out for its openness and extensive coverage. However, one of the concerns that hinder its broader adoption for research and research evaluation is the quality of its metadata._x000a__x000a_DOI: 10.48550/arXiv.2401.16359_x000a_OpenAlex is a promising open source of scholarly metadata, and competitor to established proprietary sources, such as the Web of Science and Scopus._x000a__x000a_DOI: 10.48550/arXiv.2409.10633_x000a_OpenAlex promised comprehensive, inclusive, and open-source research information. However, more work is needed at infrastructural level to ensure the quality of metadata on language._x000a__x000a_My lady, is there anything else I can help you with?"/>
    <n v="1"/>
    <x v="0"/>
    <x v="0"/>
    <n v="0"/>
  </r>
  <r>
    <s v="['What are the key features and limitations of OpenAlex as a bibliometric database?']"/>
    <s v="Summary: OpenAlex is a new open-source bibliometric database that has been compared to traditional databases such as Scopus and the Web of Science (Wo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has distinguished itself for its openness and extensive coverage, but one of the concerns that hinders its broader adoption for research and research evaluation is the quality of its metadata. This study aims to assess metadata quality in OpenAlex and WoS, focusing on document type, publication year, language, and number of authors._x000a__x000a_DOI: 10.29173/cais1943 - This study aims to assess the metadata quality of works in OpenAlex and WoS, focusing on document type accuracy. Over 4% of the publications indexed in both OpenAlex and WoS appear to be misclassified as research articles or reviews, and the vast majority (about 97%) of these errors occur in OpenAlex._x000a__x000a_DOI: 10.48550/arXiv.2401.16359 - OpenAlex is a promising open source of scholarly metadata, but as it is a rapidly evolving source, the question arises as to the trustworthiness of its data. This study demonstrates that, when restricted to a cleaned dataset of 16.8 million recent publications shared by all three databases, OpenAlex has average source reference numbers and internal coverage rates comparable to both WoS and Scopus._x000a__x000a_DOI: 10.48550/arXiv.2409.10633 - OpenAlex exhibits a far more balanced linguistic coverage than WoS. However, language metadata is not always accurate, which leads OpenAlex to overestimate the place of English while underestimating that of other languages._x000a__x000a_My lady, I hope this summary meets your requirements. If you have any further questions or need additional information, please let me know."/>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 MetaEnhance, a framework utilizing state-of-the-art artificial intelligence methods, has been proposed to improve metadata quality._x000a__x000a_DOI: 10.48550/arXiv.2303.17661 - Metadata quality is crucial for digital objects to be discovered through digital library interfaces. However, metadata often exhibits incomplete, inconsistent, and incorrect values. MetaEnhance, a framework utilizing state-of-the-art artificial intelligence methods, has been proposed to improve metadata quality._x000a__x000a_My lady, I hope this response is helpful. If you have any further questions or need more information, please let me know."/>
    <n v="1"/>
    <x v="0"/>
    <x v="0"/>
    <n v="0"/>
  </r>
  <r>
    <s v="['What are the key challenges and potential solutions for improving metadata quality?']"/>
    <s v="Summary: Metadata quality is a complex issue that requires careful consideration and multiple approaches to improve._x000a__x000a_DOI: 10.5860/crl.86.1.101: Metadata serves discovery and access by providing contextual, technical, and administrative information in a standard form. Yet metadata are also sites of tension between sociocultural representations, resource constraints, and standardized systems._x000a__x000a_DOI: 10.48550/arXiv.2303.17661: Metadata quality is crucial for digital objects to be discovered through digital library interfaces. However, due to various reasons, the metadata of digital objects often exhibits incomplete, inconsistent, and incorrect values._x000a__x000a_DOI: 10.1080/19386389.2011.570654: Metadata plays an important role in digital libraries. But to be useful, metadata records must be problem-free. When problems are present in the metadata, resources are not correctly represented and users are not able to reap the benefits of metadata._x000a__x000a_DOI: 10.1177/09610006241239080: Assessing metadata is of paramount importance for several critical reasons. Metadata plays a pivotal role in various aspects, including data retrieval and search, data organization, interoperability, data preservation, and the overall user experience._x000a__x000a_DOI: 10.1109/ADL.1998.670425: Discusses the application of qualitative and quantitative content analysis techniques to assess metadata records. As a component of a larger evaluation study of US Federal agencies' implementation of the Government Information Locator Service (GILS), this metadata assessment developed a set of criteria and procedures for an exploratory investigation into metadata quality.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_x000a__x000a_DOI: 10.48550/arXiv.2303.17661_x000a__x000a_My lady, I hope this response is helpful. If you have any other questions, please let me know."/>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due to various reasons, the metadata of digital objects often exhibits incomplete, inconsistent, and incorrect values._x000a__x000a_DOI: 10.1080/19386389.2011.570654 - Metadata plays an important role in digital libraries. But to be useful, metadata records must be problem free. When problems are present in the metadata, resources are not correctly represented and users are not able to reap the benefits of metadata._x000a__x000a_DOI: 10.1177/09610006241239080 - Assessing metadata is of paramount importance for several critical reasons. Metadata plays a pivotal role in various aspects, including data retrieval and search, data organization, interoperability, data preservation, and the overall user experience._x000a__x000a_DOI: 10.1109/ADL.1998.670425 - Discusses the application of qualitative and quantitative content analysis techniques to assess metadata records. As a component of a larger evaluation study of US Federal agencies' implementation of the Government Information Locator Service (GILS), this metadata assessment developed a set of criteria and procedures for an exploratory investigation into metadata quality.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_x000a__x000a_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_x000a__x000a_My lady, I hope this response is helpful. If you have any further questions, please let me know."/>
    <n v="1"/>
    <x v="0"/>
    <x v="0"/>
    <n v="0"/>
  </r>
  <r>
    <s v="['What are the key challenges and advancements in Retrieval-Augmented Generation (RAG) systems?']"/>
    <s v="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_x000a__x000a_DOI: 10.48550/arXiv.2312.10997 - This paper discusses the progression of RAG paradigms, including Naive RAG, Advanced RAG, and Modular RAG, and highlights the state-of-the-art technologies in retrieval, generation, and augmentation techniques._x000a__x000a_DOI: 10.1016/j.caeai.2025.100417 - This study focuses on the practical applications of RAG in education, addressing challenges such as mitigating hallucinations and enhancing multimodal support._x000a__x000a_DOI: 10.1609/aaai.v38i16.29728 - This paper introduces the Retrieval-Augmented Generation Benchmark (RGB), a new corpus for evaluating RAG systems, and highlights the struggles of LLMs in negative rejection and information integration._x000a__x000a_DOI: 10.1007/s44427-025-00006-3 - This study provides a comprehensive evaluation of open-source LLMs within a RAG system, using the Ragas framework to assess retrieval effectiveness and answer quality._x000a__x000a_DOI: 10.1145/3637528.3671470 - This survey reviews existing research in Retrieval-Augmented Large Language Models (RA-LLMs), discussing current limitations and promising directions for future research._x000a__x000a_My lady, I hope this information is helpful. If you have any further questions or need more details,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but advancements include enhanced accuracy, continuous knowledge updates, and integration of domain-specific information._x000a__x000a_DOI: 10.48550/arXiv.2312.10997 - This paper discusses the challenges and advancements in RAG systems, highlighting the tripartite foundation of RAG frameworks and the state-of-the-art technologies embedded in each component._x000a__x000a_DOI: 10.1016/j.caeai.2025.100417 - This study focuses on the practical applications of RAG in education, discussing challenges such as mitigating hallucinations and ensuring the completeness and timeliness of retrieved knowledge._x000a__x000a_DOI: 10.1609/aaai.v38i16.29728 - This paper introduces the Retrieval-Augmented Generation Benchmark (RGB), a new corpus for RAG evaluation, and highlights the struggles of LLMs in negative rejection and information integration._x000a__x000a_DOI: 10.1007/s44427-025-00006-3 - This study provides a comprehensive evaluation of open-source LLMs within a RAG system, focusing on retrieval effectiveness and answer quality._x000a__x000a_DOI: 10.1145/3637528.3671470 - This survey reviews existing research in Retrieval-Augmented Large Language Models (RA-LLMs), discussing current limitations and promising directions for future research._x000a__x000a_My lady, I hope this summary meets your requirements. If you have any further questions or need more information, please let me know."/>
    <n v="1"/>
    <x v="0"/>
    <x v="0"/>
    <n v="0"/>
  </r>
  <r>
    <s v="['What are the key challenges and advancements in Retrieval-Augmented Generation (RAG) systems?']"/>
    <s v="Summary: Retrieval-Augmented Generation (RAG) systems face challenges such as hallucination, outdated knowledge, non-transparent reasoning processes, and computational costs. However, advancements include improved factual accuracy, dynamic knowledge updates, and enhanced multimodal support._x000a__x000a_DOI: 10.48550/arXiv.2312.10997 - RAG systems have emerged as a solution to enhance the accuracy and credibility of LLMs, particularly for knowledge-intensive tasks. This paper provides a comprehensive review of RAG paradigms, including Naive RAG, Advanced RAG, and Modular RAG._x000a__x000a_DOI: 10.1016/j.caeai.2025.100417 - RAG systems have been applied to educational scenarios, where they improve factual accuracy and enable dynamic knowledge updates. This paper discusses practical applications of RAG in education and highlights challenges such as mitigating hallucinations and reducing computational costs._x000a__x000a_DOI: 10.1609/aaai.v38i16.29728 - This paper introduces the Retrieval-Augmented Generation Benchmark (RGB), a new corpus for evaluating RAG systems. The study reveals that LLMs struggle with negative rejection, information integration, and dealing with false information._x000a__x000a_DOI: 10.1007/s44427-025-00006-3 - This study provides a comprehensive evaluation of open-source LLMs within a RAG system, using a dataset derived from diploma theses abstracts. The findings highlight the strengths and weaknesses of different models and retrieval strategies._x000a__x000a_DOI: 10.1145/3637528.3671470 - This survey reviews existing research studies in Retrieval-Augmented Large Language Models (RA-LLMs), covering three primary technical perspectives. The paper discusses current limitations and promising directions for future research._x000a__x000a_My lady, I hope this summary meets your requirements. If you have any further questions or need more information, please let me know."/>
    <n v="1"/>
    <x v="0"/>
    <x v="0"/>
    <n v="0"/>
  </r>
  <r>
    <s v="['What are the key challenges and advancements in Retrieval-Augmented Generation (RAG) systems?']"/>
    <s v="Summary: Retrieval-Augmented Generation (RAG) systems face challenges such as evaluating effectiveness, mitigating hallucinations, ensuring completeness and timeliness of retrieved knowledge, and reducing computational costs. Advancements include improved factual accuracy, dynamic knowledge updates, and enhanced multimodal support._x000a__x000a_DOI: 10.48550/arXiv.2312.10997 - This paper provides a comprehensive review of RAG paradigms, including Naive RAG, Advanced RAG, and Modular RAG. It examines the tripartite foundation of RAG frameworks, highlighting state-of-the-art technologies in retrieval, generation, and augmentation techniques. The study also introduces an up-to-date evaluation framework and benchmark, discussing challenges and future research directions._x000a__x000a_DOI: 10.1016/j.caeai.2025.100417 - Focusing on educational applications, this paper explores the practical use of RAG in interactive learning systems, content generation, and large-scale deployment. It discusses challenges like mitigating hallucinations, ensuring knowledge completeness, and reducing computational costs, while emphasizing advancements in multimodal support._x000a__x000a_DOI: 10.1609/aaai.v38i16.29728 - This study introduces the Retrieval-Augmented Generation Benchmark (RGB), evaluating six representative LLMs on four fundamental abilities: noise robustness, negative rejection, information integration, and counterfactual robustness. The findings reveal significant challenges in negative rejection and information integration, indicating the need for further research._x000a__x000a_DOI: 10.1007/s44427-025-00006-3 - This research evaluates open-source LLMs in RAG systems using a benchmark dataset derived from diploma theses abstracts. It assesses retrieval effectiveness and answer quality, providing insights into optimizing RAG implementations for academic tasks._x000a__x000a_DOI: 10.1145/3637528.3671470 - This survey reviews Retrieval-Augmented Large Language Models (RA-LLMs), discussing their ability to provide reliable external knowledge. It covers three primary technical perspectives and explores limitations and future research directions.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have emerged as a promising solution to enhance the accuracy and credibility of Large Language Models (LLMs) by incorporating external knowledge. However, challenges such as hallucination, outdated knowledge, and evaluation difficulties persist. Advancements include the development of state-of-the-art technologies in retrieval, generation, and augmentation techniques, as well as the creation of benchmarks for rigorous evaluation._x000a__x000a_DOI: 10.48550/arXiv.2312.10997 - This paper provides a comprehensive review of RAG paradigms, including Naive RAG, Advanced RAG, and Modular RAG, highlighting the state-of-the-art technologies in retrieval, generation, and augmentation techniques. It also introduces an up-to-date evaluation framework and benchmark, while discussing challenges and prospective avenues for research._x000a__x000a_DOI: 10.1016/j.caeai.2025.100417 - Focusing on educational applications, this paper explores the practical uses of RAG in interactive learning systems, educational content generation, and large-scale deployment. It discusses challenges such as mitigating hallucinations, ensuring knowledge completeness and timeliness, reducing computational costs, and enhancing multimodal support._x000a__x000a_DOI: 10.1609/aaai.v38i16.29728 - This study investigates the impact of RAG on LLMs, establishing the Retrieval-Augmented Generation Benchmark (RGB) to evaluate LLMs' performance in noise robustness, negative rejection, information integration, and counterfactual robustness. The evaluation reveals that LLMs still struggle with negative rejection, information integration, and false information._x000a__x000a_DOI: 10.1007/s44427-025-00006-3 - This research evaluates open-source LLMs in RAG systems using a benchmark dataset derived from diploma theses abstracts. It assesses retrieval effectiveness and answer quality, providing insights into optimizing RAG implementations for academic and structured knowledge tasks._x000a__x000a_DOI: 10.1145/3637528.3671470 - This survey reviews existing research on Retrieval-Augmented Large Language Models (RA-LLMs), discussing current limitations and promising directions for future research. It emphasizes the potential of RAG to provide reliable and up-to-date external knowledge, enhancing the quality of generated content._x000a__x000a_My lady, I hope this summary meets your requirements. If you have any further questions or need additional information, please let me know."/>
    <n v="1"/>
    <x v="0"/>
    <x v="0"/>
    <n v="0"/>
  </r>
  <r>
    <s v="['What are the key challenges and advancements in metadata quality assessment?']"/>
    <s v="Summary: Metadata quality assessment is a critical aspect of data management, impacting data retrieval, search, organization, interoperability, preservation, and user experience. The field faces challenges such as a lack of consensus on the exact definition and measurement of quality dimensions, and the need for more flexible assessment tools. However, advancements include the development of automated quality assessment frameworks, the application of qualitative and quantitative content analysis techniques, and the use of artificial intelligence methods for metadata quality improvement._x000a__x000a_DOI: 10.1145/2964909 - This study aims to develop a generic metadata quality assessment framework for various Open Data portals, addressing concerns about the quality of data sources and corresponding metadata. The authors map specific metadata of three widely used portal software frameworks to a standardized schema, define quality metrics, and report findings based on monitoring over 260 Open Data portals._x000a__x000a_DOI: 10.1109/ADL.1998.670425 - This research discusses the application of qualitative and quantitative content analysis techniques to assess metadata records, concluding that a range of criteria and procedures may be needed for evaluating different types of metadata._x000a__x000a_DOI: 10.1177/09610006241239080 - A scoping review identifying commonly measured dimensions of metadata quality, highlighting the need for further investigation into less commonly assessed quality dimensions and emphasizing the importance of metadata quality research._x000a__x000a_DOI: 10.5860/crl.86.1.101 - This study explores how metadata quality, consistency, and completeness impact individuals and communities, identifying unique issues and classifying them into categories to explain the interplay between metadata and cultural meanings._x000a__x000a_DOI: 10.48550/arXiv.2303.17661 - Introducing MetaEnhance, a framework utilizing artificial intelligence methods to improve metadata quality for electronic theses and dissertations, achieving high F1-scores in detecting and correcting errors._x000a__x000a_My lady, I hope this summary meets your requirements. If you have any further questions or need additional information, please let me know."/>
    <n v="1"/>
    <x v="0"/>
    <x v="0"/>
    <n v="0"/>
  </r>
  <r>
    <s v="['What are the key challenges and advancements in metadata quality assessment?']"/>
    <s v="Summary: The key challenges in metadata quality assessment include defining and measuring quality dimensions, handling diverse data sources and cultural contexts, and automating quality evaluation processes. Advancements include the development of generic assessment frameworks, application of AI methods for error detection and correction, and exploratory investigations into metadata quality criteria._x000a__x000a_DOI: 10.1145/2964909 - This study focuses on developing a generic metadata quality assessment framework for Open Data portals, addressing challenges in searchability, discoverability, and usability of resources. It introduces automated quality metrics and reports findings from monitoring over 260 Open Data portals._x000a__x000a_DOI: 10.1109/ADL.1998.670425 - This research discusses the application of qualitative and quantitative content analysis techniques to assess metadata records, highlighting the need for diverse criteria and procedures for evaluating different types of metadata._x000a__x000a_DOI: 10.1177/09610006241239080 - This scoping review identifies commonly measured dimensions of metadata quality and emphasizes the need for further investigation into less commonly assessed quality dimensions, as well as the importance of improving metadata quality assessment tools._x000a__x000a_DOI: 10.5860/crl.86.1.101 - This study explores how metadata quality, consistency, and completeness impact individuals and communities, identifying unique issues and categories related to sociocultural representations and standardized systems._x000a__x000a_DOI: 10.48550/arXiv.2303.17661 - This research proposes MetaEnhance, a framework utilizing AI methods to improve metadata quality for electronic theses and dissertations, achieving high accuracy in error detection and correction._x000a__x000a_My lady, I hope this information is helpful. If you have any further questions or need more details, please let me know."/>
    <n v="1"/>
    <x v="0"/>
    <x v="0"/>
    <n v="0"/>
  </r>
  <r>
    <s v="['What are the key challenges and advancements in metadata quality assessment?']"/>
    <s v="Summary: Metadata quality assessment is a critical aspect of managing and utilizing data effectively, especially in the era of Open Data and digital libraries. The field faces challenges such as defining and measuring quality dimensions consistently, but advancements include automated assessment frameworks and AI-driven enhancement tools._x000a__x000a_DOI: 10.1145/2964909 - This study addresses the challenges in metadata quality assessment by developing a generic framework for Open Data portals. It maps metadata from different portal software frameworks to a standardized schema and defines quality metrics for automated evaluation. The research highlights issues like retrievability and proposes solutions for efficient quality assessment._x000a__x000a_DOI: 10.1109/ADL.1998.670425 - Focuses on methodological considerations for assessing metadata quality, particularly in the context of the US Government Information Locator Service (GILS). It suggests that different types of metadata may require varied evaluation criteria, contributing to the ongoing dialogue on metadata quality assessment._x000a__x000a_DOI: 10.1177/09610006241239080 - A scoping review identifies commonly measured dimensions of metadata quality, such as completeness, accuracy, and consistency. It emphasizes the need for further research into less commonly assessed dimensions and highlights the importance of flexible assessment tools._x000a__x000a_DOI: 10.5860/crl.86.1.101 - Explores the cultural aspects of metadata quality, identifying 32 unique issues across 427 records. It categorizes these issues to understand how metadata reflects cultural meanings, emphasizing the impact on individuals and communities._x000a__x000a_DOI: 10.48550/arXiv.2303.17661 - Introduces MetaEnhance, an AI-based framework for improving metadata quality in electronic theses and dissertations (ETDs). The tool demonstrates high effectiveness in detecting and correcting errors, showcasing advancements in automated metadata enhancement._x000a__x000a_My lady, these documents provide a comprehensive overview of the challenges and advancements in metadata quality assessment, highlighting the importance of standardized frameworks, cultural considerations, and AI-driven tools in improving metadata quality."/>
    <n v="1"/>
    <x v="0"/>
    <x v="0"/>
    <n v="0"/>
  </r>
  <r>
    <s v="['What are the key challenges and advancements in metadata quality assessment?']"/>
    <s v="Summary: Metadata quality assessment is a critical aspect of ensuring the searchability, discoverability, and usability of resources, particularly in the context of open data portals and digital libraries. Key challenges include the lack of consensus on the exact definition and measurement of quality dimensions, such as completeness, accuracy, consistency, accessibility, conformance, provenance, and timeliness. Advancements in this field involve the development of automated quality assessment frameworks, such as MetaEnhance, which utilize state-of-the-art artificial intelligence methods to detect, correct, and canonicalize metadata._x000a__x000a_DOI: 10.1145/2964909 - This study focuses on developing a generic metadata quality assessment framework for open data portals, addressing challenges related to the increasing number of published resources and concerns about data quality. The framework maps specific metadata from three widely used portal software frameworks to a standardized schema and defines quality metrics for automated evaluation._x000a__x000a_DOI: 10.1109/ADL.1998.670425 - This research discusses the application of qualitative and quantitative content analysis techniques to assess metadata records, highlighting the need for a range of criteria and procedures to evaluate different types of metadata._x000a__x000a_DOI: 10.1177/09610006241239080 - A scoping review identifying commonly measured dimensions of metadata quality and emphasizing the need for further investigation into less commonly assessed quality dimensions and improvement in the flexibility of metadata quality assessment tools._x000a__x000a_DOI: 10.5860/crl.86.1.101 - This study explores how metadata quality, consistency, and completeness impact individuals and communities, identifying unique issues and categorizing them to understand cultural meanings._x000a__x000a_DOI: 10.48550/arXiv.2303.17661 - Introducing MetaEnhance, a framework that employs artificial intelligence to improve metadata quality in electronic theses and dissertations, demonstrating high accuracy in detecting and correcting errors._x000a__x000a_My lady, I hope this summary meets your requirements. If you have any further questions or need additional information, please let me know."/>
    <n v="1"/>
    <x v="0"/>
    <x v="0"/>
    <n v="0"/>
  </r>
  <r>
    <s v="['What are the key challenges and advancements in metadata quality assessment?']"/>
    <s v="Summary: Metadata quality assessment is a critical area of research, with key challenges including the lack of consensus on the exact definition and measurement of commonly used dimensions such as completeness, accuracy, consistency, accessibility, conformance, provenance, and timeliness. Advancements include the development of automated quality assessment frameworks, application of qualitative and quantitative content analysis techniques, and exploration of metadata quality issues across cultures._x000a__x000a_DOI: 10.1145/2964909 - This study aims to develop a generic metadata quality assessment framework for various Open Data portals, treating data portals independently from the portal software frameworks and defining several quality metrics that can be evaluated automatically._x000a__x000a_DOI: 10.1109/ADL.1998.670425 - This study discusses the application of qualitative and quantitative content analysis techniques to assess metadata records, developing a set of criteria and procedures for an exploratory investigation into metadata quality._x000a__x000a_DOI: 10.1177/09610006241239080 - This scoping review identifies the most commonly measured dimensions of metadata quality, highlighting the need for further investigation into less commonly assessed quality dimensions and emphasizing the importance of metadata quality research._x000a__x000a_DOI: 10.5860/crl.86.1.101 - This study explores metadata quality issues across cultures, identifying unique issues and classifying them into categories to better explain how metadata and communities interact._x000a__x000a_DOI: 10.48550/arXiv.2303.17661 - This study proposes MetaEnhance, a framework that utilizes state-of-the-art artificial intelligence methods to improve the quality of metadata fields in electronic theses and dissertations._x000a__x000a_My lady, I hope this response meets your requirements. If you have any further questions or need additional information, please do not hesitate to ask."/>
    <n v="1"/>
    <x v="0"/>
    <x v="0"/>
    <n v="0"/>
  </r>
  <r>
    <s v="['tell me about how RAG works.']"/>
    <s v="Summary: Retrieval-Augmented Generation (RAG) is a technique that retrieves relevant information from external sources and enables large language models (LLMs) to answer queries over previously unseen document collections._x000a__x000a_DOI: 10.48550/arXiv.2406.13213 - RAG retrieves relevant information from an external knowledge source and allows large language models (LLMs) to answer queries over previously unseen document collections. However, traditional RAG applications perform poorly in answering multi-hop questions, which require retrieving and reasoning over multiple elements of supporting evidence._x000a__x000a_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_x000a__x000a_DOI: 10.1145/3637528.3671470 - RAG can offer reliable and up-to-date external knowledge, providing huge convenience for numerous tasks. Retrieval-Augmented Large Language Models (RA-LLMs) have emerged to harness external and authoritative knowledge bases, rather than solely relying on the model's internal knowledge, to augment the quality of the generated content of LLMs._x000a__x000a_DOI: 10.48550/arXiv.2404.13948 - 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 hope this information is helpful. Is there anything else I can assist you with?"/>
    <n v="1"/>
    <x v="0"/>
    <x v="0"/>
    <n v="0"/>
  </r>
  <r>
    <s v="['tell me about how RAG works.']"/>
    <s v="Summary: Retrieval-Augmented Generation (RAG) is a technique that enables large language models (LLMs) to retrieve relevant information from external knowledge sources, allowing them to answer queries over previously unseen document collections. RAG systems consist of a retrieval module and an LLM-based generation module, providing LLMs with knowledge from a reference textual database and reducing the risk of hallucinations._x000a__x000a_DOI: 10.48550/arXiv.2406.13213 - This paper introduces Multi-Meta-RAG, a method that uses database filtering with LLM-extracted metadata to improve RAG's selection of relevant documents for multi-hop queries._x000a__x000a_DOI: 10.18653/v1/2024.eacl-demo.16 - This paper presents RAGAs, a framework for reference-free evaluation of RAG pipelines, addressing the challenges of evaluating RAG architectures by introducing a suite of metrics._x000a__x000a_DOI: 10.1145/3637528.3671470 - This survey reviews existing research on Retrieval-Augmented Large Language Models (RA-LLMs), discussing their limitations and promising directions for future research._x000a__x000a_DOI: 10.48550/arXiv.2404.13948 - This paper investigates the robustness of RAG and introduces a novel attack method, GARAG, to reveal vulnerabilities within RAG components._x000a__x000a_My lady, I hope this information is helpful. If you have any further questions or need more details, please let me know."/>
    <n v="1"/>
    <x v="0"/>
    <x v="0"/>
    <n v="0"/>
  </r>
  <r>
    <s v="['tell me about how RAG works.']"/>
    <s v="Summary: Retrieval-Augmented Generation (RAG) is a technique that enables large language models (LLMs) to retrieve relevant information from external knowledge sources and answer queries over previously unseen document collections. RAG systems are composed of a retrieval and an LLM-based generation module, providing LLMs with knowledge from a reference textual database and reducing the risk of hallucinations._x000a__x000a_DOI: 10.48550/arXiv.2406.13213 - This paper introduces Multi-Meta-RAG, a new method that uses database filtering with LLM-extracted metadata to improve RAG's selection of relevant documents from various sources. The method is shown to greatly improve results on the MultiHop-RAG benchmark._x000a__x000a_DOI: 10.18653/v1/2024.eacl-demo.16 - This paper introduces RAGAs, a framework for reference-free evaluation of RAG pipelines. RAGAs provides a suite of metrics to evaluate the retrieval system's ability to identify relevant context passages, the LLM's ability to exploit such passages faithfully, and the quality of the generation itself._x000a__x000a_DOI: 10.1145/3637528.3671470 - This survey comprehensively reviews existing research studies in Retrieval-Augmented Large Language Models (RA-LLMs), covering three primary technical perspectives. The survey discusses current limitations and promising directions for future research._x000a__x000a_DOI: 10.48550/arXiv.2404.13948 - This paper investigates the robustness of RAG and introduces a novel attack method, Genetic Attack on RAG (GARAG). GARAG is designed to reveal vulnerabilities within each component and test the overall system functionality against noisy documents._x000a__x000a_My lady, I hope this information is helpful. If you have any further questions or would like more details on a specific aspect of RAG, please don't hesitate to ask."/>
    <n v="1"/>
    <x v="0"/>
    <x v="0"/>
    <n v="0"/>
  </r>
  <r>
    <s v="['tell me about how RAG works.']"/>
    <s v="Summary: Retrieval-Augmented Generation (RAG) is a technique that enables the retrieval of relevant information from external knowledge sources and allows large language models (LLMs) to answer queries over previously unseen document collections._x000a__x000a_DOI: 10.48550/arXiv.2406.13213 - RAG enables retrieval of relevant information from an external knowledge source and allows large language models (LLMs) to answer queries over previously unseen document collections._x000a__x000a_DOI: 10.18653/v1/2024.eacl-demo.16 - RAG systems are composed of a retrieval and an LLM based generation module. They provide LLMs with knowledge from a reference textual database, enabling them to act as a natural language layer between a user and textual databases, thus reducing the risk of hallucinations._x000a__x000a_DOI: 10.1145/3637528.3671470 - RAG can offer reliable and up-to-date external knowledge, providing huge convenience for numerous tasks. The powerful capacity of retrieval in providing additional knowledge enables RAG to assist existing generative AI in producing high-quality outputs._x000a__x000a_DOI: 10.48550/arXiv.2404.13948 - 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 hope this information is helpful. If you have any further questions, please let me know."/>
    <n v="1"/>
    <x v="0"/>
    <x v="0"/>
    <n v="0"/>
  </r>
  <r>
    <s v="['tell me about how RAG works.']"/>
    <s v="Summary: Retrieval-Augmented Generation (RAG) is a promising solution for addressing the limitations of Large Language Models (LLMs)._x000a__x000a_DOI: 10.48550/arXiv.2404.13948_x000a__x000a_My lady, I have found some information about RAG in the document._x000a__x000a_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DOI: 10.48550/arXiv.2406.13213_x000a__x000a_RAG enables retrieval of relevant information from an external knowledge source and allows LLMs to answer queries over previously unseen document collections. However, it was demonstrated that traditional RAG applications perform poorly in answering multi-hop questions, which require retrieving and reasoning over multiple elements of supporting evidence._x000a__x000a_DOI: 10.18653/v1/2024.eacl-demo.16_x000a__x000a_RAG systems are composed of a retrieval and an LLM based generation module. They provide LLMs with knowledge from a reference textual database, enabling them to act as a natural language layer between a user and textual databases, thus reducing the risk of hallucinations._x000a__x000a_DOI: 10.1145/3637528.3671470_x000a__x000a_RAG can offer reliable and up-to-date external knowledge, providing huge convenience for numerous tasks. Particularly in the era of AI-Generated Content (AIGC), the powerful capacity of retrieval in providing additional knowledge enables RAG to assist existing generative AI in producing high-quality outputs."/>
    <n v="1"/>
    <x v="0"/>
    <x v="0"/>
    <n v="0"/>
  </r>
  <r>
    <s v="['Tell me about Crossref.']"/>
    <s v="Summary: Crossref is a sustainable source of community-owned scholarly metadata, containing over 106 million records and expanding at an average rate of 11% a year._x000a__x000a_DOI: 10.1162/qss_a_00022_x000a__x000a_My lady, is there anything else I can help you with?"/>
    <n v="1"/>
    <x v="0"/>
    <x v="0"/>
    <n v="0"/>
  </r>
  <r>
    <s v="['Tell me about Crossref.']"/>
    <s v="Summary: Crossref is a sustainable source of community-owned scholarly metadata, containing over 106 million records and expanding at an average rate of 11% a year._x000a__x000a_DOI: 10.1162/qss_a_00022_x000a__x000a_My lady, is there anything else I can help you with?"/>
    <n v="1"/>
    <x v="0"/>
    <x v="0"/>
    <n v="0"/>
  </r>
  <r>
    <s v="['Tell me about Crossref.']"/>
    <s v="Summary: Crossref is a sustainable source of community-owned scholarly metadata, containing over 106 million records and expanding at an average rate of 11% a year._x000a__x000a_DOI: 10.1162/qss_a_00022Summary: Crossref is a sustainable source of community-owned scholarly metadata, containing over 106 million records and expanding at an average rate of 11% a year._x000a__x000a_DOI: 10.1162/qss_a_00022Summary: Crossref is a sustainable source of community-owned scholarly metadata, containing over 106 million records and expanding at an average rate of 11% a year._x000a__x000a_DOI: 10.1162/qss_a_00022_x000a__x000a_My lady, is there anything else I can help you with?"/>
    <n v="1"/>
    <x v="0"/>
    <x v="0"/>
    <n v="0"/>
  </r>
  <r>
    <s v="['Tell me about Crossref.']"/>
    <s v="Summary: Crossref is a sustainable source of community-owned scholarly metadata that contains over 106 million records and expands at an average rate of 11% a year._x000a__x000a_DOI: 10.1162/qss_a_00022_x000a__x000a_Is there anything else I can help you with, my lady?"/>
    <n v="1"/>
    <x v="0"/>
    <x v="0"/>
    <n v="0"/>
  </r>
  <r>
    <s v="['Tell me about Crossref.']"/>
    <s v="Summary: Crossref is a sustainable source of community-owned scholarly metadata and a source of open bibliographic metadata._x000a__x000a_DOI: 10.1162/qss_a_00022 - Crossref is a sustainable source of community-owned scholarly metadata. It contains over 106 million records and expands at an average rate of 11% a year. It is a major source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The data gathered in our study can enable investigating possible reasons for DOI mistakes from a qualitative point of view, helping publishers identify the problems underlying their production of invalid citation data.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_x000a__x000a_My lady, is there anything else I can help you with?"/>
    <n v="1"/>
    <x v="0"/>
    <x v="0"/>
    <n v="0"/>
  </r>
  <r>
    <s v="['How is RAG used to improve question answering or information retrieval systems?']"/>
    <s v="Summary: Retrieval-Augmented Generation (RAG) is a framework that improves question answering and information retrieval systems by augmenting Large Language Models (LLMs) with relevant documents before generating answers. This approach helps LLMs provide accurate, informative, and contextualized responses, reducing hallucinations and outdated information._x000a__x000a_DOI: 10.17821/srels/2024/v61i5/171583: This study demonstrates that RAG can enhance information retrieval in libraries by developing a low-cost conversational search system using open-source tools and LLMs. The prototype, built with LangChain, ChromaDB, and Llama3, showed that LLMs with RAG augmentation consistently provided accurate and contextualized answers compared to standard LLMs, which produced hallucinated responses._x000a__x000a_DOI: 10.6109/jkiice.2023.27.12.1489: The Metadata Retrieval-Augmented Generation (M-RAG) method is proposed to improve open-domain question answering by utilizing embeddings with metadata and generative models like GPT-3.5-turbo-16K and GPT-4. This approach increases answer accuracy by up to 46% compared to external inference ODQA systems and 6% over conventional RAG methods._x000a__x000a_DOI: 10.48550/arXiv.2406.13213: Multi-Meta-RAG is introduced to improve RAG for multi-hop queries by using database filtering with LLM-extracted metadata. This method significantly enhances the selection of relevant documents, improving results on the MultiHop-RAG benchmark._x000a__x000a_DOI: 10.48550/arXiv.2505.13557: AMAQA, a metadata-based QA dataset, is presented to evaluate RAG systems in scenarios requiring both textual data and external information. The integration of metadata boosts accuracy, highlighting its importance in fields like cybersecurity and intelligence._x000a__x000a_DOI: 10.48550/arXiv.2505.18247: MetaGen Blended RAG is introduced to achieve zero-shot precision in specialized domain question-answering. This approach enhances semantic retrievers through metadata generation and hybrid query indexes, achieving high accuracy on datasets like PubMedQA, SQuAD, and NQ._x000a__x000a_My lady, I hope this information is helpful. If you have any further questions or need additional details, please let me know."/>
    <n v="1"/>
    <x v="0"/>
    <x v="0"/>
    <n v="0"/>
  </r>
  <r>
    <s v="['How is RAG used to improve question answering or information retrieval systems?']"/>
    <s v="Summary: Retrieval-Augmented Generation (RAG) is a framework that enhances question answering and information retrieval systems by augmenting Large Language Models (LLMs) with relevant documents or metadata before generating responses._x000a__x000a_DOI: 10.17821/srels/2024/v61i5/171583: This study demonstrates that RAG can improve the accuracy and contextual relevance of LLM responses in a library search system. By using a RAG pipeline with tools like LangChain and ChromaDB, the study shows that LLMs with RAG augmentation provide more accurate and informative answers compared to standard LLMs._x000a__x000a_DOI: 10.6109/jkiice.2023.27.12.1489: This paper introduces Metadata Retrieval-Augmented Generation (M-RAG), which enhances open-domain question answering by utilizing embeddings with metadata and generative models like GPT-3.5-turbo-16K. The method improves performance by up to 46% compared to conventional ODQA systems._x000a__x000a_DOI: 10.48550/arXiv.2406.13213: This research introduces Multi-Meta-RAG, a method that improves RAG for multi-hop queries by using database filtering with LLM-extracted metadata. The approach significantly enhances the selection of relevant documents and improves results on the MultiHop-RAG benchmark._x000a__x000a_DOI: 10.48550/arXiv.2505.13557: This paper presents AMAQA, a metadata-based QA dataset designed to evaluate RAG systems in scenarios requiring both textual data and external information. The study shows that leveraging metadata boosts accuracy and establishes a new standard for metadata-driven QA research._x000a__x000a_DOI: 10.48550/arXiv.2505.18247: This research introduces MetaGen Blended RAG, a method that enhances semantic retrievers for specialized domain question-answering without requiring fine-tuning. The approach achieves high retrieval and RAG accuracy on datasets like PubMedQA, SQuAD, and NQ._x000a__x000a_My lady, I hope this information is helpful. If you have any further questions or need more details, please let me know."/>
    <n v="1"/>
    <x v="0"/>
    <x v="0"/>
    <n v="0"/>
  </r>
  <r>
    <s v="['How is RAG used to improve question answering or information retrieval systems?']"/>
    <s v="Summary: Retrieval-Augmented Generation (RAG) is a method used to improve question answering and information retrieval systems by augmenting Large Language Models (LLMs) with relevant documents before generating answers. This approach helps to reduce hallucination and provide more accurate, contextualized responses._x000a__x000a_DOI: 10.17821/srels/2024/v61i5/171583: This study demonstrates that RAG can be used to develop a low-cost conversational search system for libraries using open-source software tools and LLMs. By augmenting LLMs with relevant documents, the system provides accurate and informative responses, outperforming standard LLMs without RAG._x000a__x000a_DOI: 10.6109/jkiice.2023.27.12.1489: This paper proposes a Metadata Retrieval-Augmented Generation (M-RAG) method that improves open-domain question answering by utilizing embeddings with metadata and generative models. The method shows a significant performance improvement compared to conventional RAG and external inference ODQA systems._x000a__x000a_DOI: 10.48550/arXiv.2406.13213: This study introduces Multi-Meta-RAG, a new method that improves RAG for multi-hop queries by using database filtering with LLM-extracted metadata. The approach significantly enhances the selection of relevant documents and improves results on the MultiHop-RAG benchmark._x000a__x000a_DOI: 10.48550/arXiv.2505.13557: This paper presents AMAQA, a metadata-based QA dataset for RAG systems, which highlights the importance of metadata integration in question-answering tasks. The study shows that leveraging metadata boosts accuracy and enables precise, contextualized queries._x000a__x000a_DOI: 10.48550/arXiv.2505.18247: This study introduces MetaGen Blended RAG, a novel enterprise search approach that enhances semantic retrievers through metadata generation and hybrid query indexes. The method achieves high retrieval and RAG accuracy, surpassing prior zero-shot RAG benchmarks and rivaling fine-tuned models._x000a__x000a_My lady, I hope this information is helpful. If you have any further questions or would like more details on a specific study, please let me know."/>
    <n v="1"/>
    <x v="0"/>
    <x v="0"/>
    <n v="0"/>
  </r>
  <r>
    <s v="['How is RAG used to improve question answering or information retrieval systems?']"/>
    <s v="Summary: Retrieval-Augmented Generation (RAG) is a framework that can be used to improve question answering or information retrieval systems by augmenting Large Language Models (LLMs) with relevant documents before generating answers._x000a__x000a_DOI: 10.17821/srels/2024/v61i5/171583: This study demonstrates that LLMs can provide contextualized and relevant responses when augmented with a set of relevant documents, addressing the issue of LLMs hallucinating and providing outdated or non-contextualized responses._x000a__x000a_DOI: 10.6109/jkiice.2023.27.12.1489: This paper proposes a Metadata Retrieval-Augmented Generation (M-RAG) method that can effectively search and answer questions with an open-domain Question Answering (ODQA) system, showing a performance improvement of up to 46% compared to the same external inference ODQA system._x000a__x000a_DOI: 10.48550/arXiv.2406.13213: This study introduces a new method called Multi-Meta-RAG, which uses database filtering with LLM-extracted metadata to improve the RAG selection of relevant documents, addressing the issue of traditional RAG applications performing poorly in answering multi-hop questions._x000a__x000a_DOI: 10.48550/arXiv.2505.13557: This paper presents AMAQA, a new open-access QA dataset designed to evaluate tasks combining text and metadata, highlighting the value of structured context in boosting accuracy._x000a__x000a_DOI: 10.48550/arXiv.2505.18247: This study introduces 'MetaGen Blended RAG', a novel enterprise search approach that enhances semantic retrievers through a metadata generation pipeline, achieving high retrieval accuracy and RAG accuracy on specialized domain datasets._x000a__x000a_My lady, I hope this information is helpful. If you have any further questions or need more details, please let me know."/>
    <n v="1"/>
    <x v="0"/>
    <x v="0"/>
    <n v="0"/>
  </r>
  <r>
    <s v="['How is RAG used to improve question answering or information retrieval systems?']"/>
    <s v="Summary: Retrieval-Augmented Generation (RAG) is a method used to improve question answering and information retrieval systems by enabling large language models (LLMs) to retrieve relevant information from external knowledge sources and generate accurate, informative, and contextualized answers._x000a__x000a_DOI: 10.17821/srels/2024/v61i5/171583: This study demonstrates that RAG can enhance information retrieval in libraries by providing a low-cost conversational search system using open-source software tools and LLMs. The experiment shows that LLMs with RAG augmentation produce accurate and contextualized responses, compared to standard LLMs that often hallucinate and provide outdated or non-contextualized answers._x000a__x000a_DOI: 10.6109/jkiice.2023.27.12.1489: This paper proposes a Metadata Retrieval-Augmented Generation (M-RAG) method that improves open-domain question answering by utilizing embeddings with metadata and generative models. The method activates the source indication function of the question and answer (QA) system, increasing the accuracy of the answer._x000a__x000a_DOI: 10.48550/arXiv.2406.13213: This study introduces Multi-Meta-RAG, a new method that improves RAG for multi-hop queries by using database filtering with LLM-extracted metadata. The method enhances the selection of relevant documents from various sources, improving the results on the MultiHop-RAG benchmark._x000a__x000a_DOI: 10.48550/arXiv.2505.13557: This paper presents AMAQA, a new open-access QA dataset designed to evaluate tasks combining text and metadata. The study shows that leveraging metadata boosts accuracy in RAG systems, highlighting the value of structured context._x000a__x000a_DOI: 10.48550/arXiv.2505.18247: This study introduces MetaGen Blended RAG, a novel enterprise search approach that enhances semantic retrievers through a metadata generation pipeline and hybrid query indexes. The method achieves high retrieval and RAG accuracy on specialized domain datasets, surpassing prior zero-shot RAG benchmarks._x000a__x000a_My lady, I hope this information is helpful. If you have any further questions or would like more details on a specific study, please let me know."/>
    <n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107D53-D6A6-684B-965F-FFD7836F5923}" name="PivotTable13"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D32" firstHeaderRow="1" firstDataRow="2" firstDataCol="1"/>
  <pivotFields count="6">
    <pivotField showAll="0"/>
    <pivotField dataField="1" showAll="0"/>
    <pivotField showAll="0"/>
    <pivotField axis="axisRow" showAll="0">
      <items count="3">
        <item x="1"/>
        <item x="0"/>
        <item t="default"/>
      </items>
    </pivotField>
    <pivotField axis="axisCol" showAll="0">
      <items count="3">
        <item x="1"/>
        <item x="0"/>
        <item t="default"/>
      </items>
    </pivotField>
    <pivotField showAll="0"/>
  </pivotFields>
  <rowFields count="1">
    <field x="3"/>
  </rowFields>
  <rowItems count="3">
    <i>
      <x/>
    </i>
    <i>
      <x v="1"/>
    </i>
    <i t="grand">
      <x/>
    </i>
  </rowItems>
  <colFields count="1">
    <field x="4"/>
  </colFields>
  <colItems count="3">
    <i>
      <x/>
    </i>
    <i>
      <x v="1"/>
    </i>
    <i t="grand">
      <x/>
    </i>
  </colItems>
  <dataFields count="1">
    <dataField name="Count of Respons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topLeftCell="A2" zoomScale="140" zoomScaleNormal="140" workbookViewId="0">
      <selection activeCell="A2" sqref="A2"/>
    </sheetView>
  </sheetViews>
  <sheetFormatPr baseColWidth="10" defaultColWidth="8.83203125" defaultRowHeight="15" x14ac:dyDescent="0.2"/>
  <cols>
    <col min="2" max="2" width="27.1640625" style="3" customWidth="1"/>
    <col min="3" max="3" width="85.6640625" style="3" customWidth="1"/>
  </cols>
  <sheetData>
    <row r="1" spans="1:7" ht="16" x14ac:dyDescent="0.2">
      <c r="B1" s="2" t="s">
        <v>0</v>
      </c>
      <c r="C1" s="2" t="s">
        <v>1</v>
      </c>
      <c r="D1" t="s">
        <v>97</v>
      </c>
      <c r="E1" t="s">
        <v>98</v>
      </c>
      <c r="F1" t="s">
        <v>99</v>
      </c>
      <c r="G1" t="s">
        <v>100</v>
      </c>
    </row>
    <row r="2" spans="1:7" ht="192" x14ac:dyDescent="0.2">
      <c r="A2" s="1">
        <v>0</v>
      </c>
      <c r="B2" s="3" t="s">
        <v>2</v>
      </c>
      <c r="C2" s="3" t="s">
        <v>3</v>
      </c>
      <c r="D2">
        <v>1</v>
      </c>
      <c r="E2">
        <v>1</v>
      </c>
      <c r="F2">
        <v>1</v>
      </c>
      <c r="G2">
        <v>0</v>
      </c>
    </row>
    <row r="3" spans="1:7" ht="208" x14ac:dyDescent="0.2">
      <c r="A3" s="1">
        <v>16</v>
      </c>
      <c r="B3" s="3" t="s">
        <v>2</v>
      </c>
      <c r="C3" s="3" t="s">
        <v>34</v>
      </c>
      <c r="D3">
        <v>1</v>
      </c>
      <c r="E3">
        <v>1</v>
      </c>
      <c r="F3">
        <v>1</v>
      </c>
      <c r="G3">
        <v>0</v>
      </c>
    </row>
    <row r="4" spans="1:7" ht="409.6" x14ac:dyDescent="0.2">
      <c r="A4" s="1">
        <v>32</v>
      </c>
      <c r="B4" s="3" t="s">
        <v>2</v>
      </c>
      <c r="C4" s="3" t="s">
        <v>49</v>
      </c>
      <c r="D4">
        <v>1</v>
      </c>
      <c r="E4">
        <v>1</v>
      </c>
      <c r="F4">
        <v>1</v>
      </c>
      <c r="G4">
        <v>0</v>
      </c>
    </row>
    <row r="5" spans="1:7" ht="320" x14ac:dyDescent="0.2">
      <c r="A5" s="1">
        <v>48</v>
      </c>
      <c r="B5" s="3" t="s">
        <v>2</v>
      </c>
      <c r="C5" s="3" t="s">
        <v>65</v>
      </c>
      <c r="D5">
        <v>1</v>
      </c>
      <c r="E5">
        <v>1</v>
      </c>
      <c r="F5">
        <v>1</v>
      </c>
      <c r="G5">
        <v>0</v>
      </c>
    </row>
    <row r="6" spans="1:7" ht="304" x14ac:dyDescent="0.2">
      <c r="A6" s="1">
        <v>64</v>
      </c>
      <c r="B6" s="3" t="s">
        <v>2</v>
      </c>
      <c r="C6" s="3" t="s">
        <v>81</v>
      </c>
      <c r="D6">
        <v>1</v>
      </c>
      <c r="E6">
        <v>1</v>
      </c>
      <c r="F6">
        <v>1</v>
      </c>
      <c r="G6">
        <v>0</v>
      </c>
    </row>
    <row r="7" spans="1:7" ht="96" x14ac:dyDescent="0.2">
      <c r="A7" s="1">
        <v>1</v>
      </c>
      <c r="B7" s="3" t="s">
        <v>4</v>
      </c>
      <c r="C7" s="3" t="s">
        <v>5</v>
      </c>
      <c r="D7">
        <v>1</v>
      </c>
      <c r="E7">
        <v>1</v>
      </c>
      <c r="F7">
        <v>1</v>
      </c>
      <c r="G7">
        <v>0</v>
      </c>
    </row>
    <row r="8" spans="1:7" ht="128" x14ac:dyDescent="0.2">
      <c r="A8" s="1">
        <v>17</v>
      </c>
      <c r="B8" s="3" t="s">
        <v>4</v>
      </c>
      <c r="C8" s="3" t="s">
        <v>35</v>
      </c>
      <c r="D8">
        <v>1</v>
      </c>
      <c r="E8">
        <v>1</v>
      </c>
      <c r="F8">
        <v>1</v>
      </c>
      <c r="G8">
        <v>0</v>
      </c>
    </row>
    <row r="9" spans="1:7" ht="240" x14ac:dyDescent="0.2">
      <c r="A9" s="1">
        <v>33</v>
      </c>
      <c r="B9" s="3" t="s">
        <v>4</v>
      </c>
      <c r="C9" s="3" t="s">
        <v>50</v>
      </c>
      <c r="D9">
        <v>1</v>
      </c>
      <c r="E9">
        <v>1</v>
      </c>
      <c r="F9">
        <v>1</v>
      </c>
      <c r="G9">
        <v>0</v>
      </c>
    </row>
    <row r="10" spans="1:7" ht="240" x14ac:dyDescent="0.2">
      <c r="A10" s="1">
        <v>49</v>
      </c>
      <c r="B10" s="3" t="s">
        <v>4</v>
      </c>
      <c r="C10" s="3" t="s">
        <v>66</v>
      </c>
      <c r="D10">
        <v>1</v>
      </c>
      <c r="E10">
        <v>1</v>
      </c>
      <c r="F10">
        <v>1</v>
      </c>
      <c r="G10">
        <v>0</v>
      </c>
    </row>
    <row r="11" spans="1:7" ht="144" x14ac:dyDescent="0.2">
      <c r="A11" s="1">
        <v>65</v>
      </c>
      <c r="B11" s="3" t="s">
        <v>4</v>
      </c>
      <c r="C11" s="3" t="s">
        <v>82</v>
      </c>
      <c r="D11">
        <v>1</v>
      </c>
      <c r="E11">
        <v>1</v>
      </c>
      <c r="F11">
        <v>1</v>
      </c>
      <c r="G11">
        <v>0</v>
      </c>
    </row>
    <row r="12" spans="1:7" ht="350" x14ac:dyDescent="0.2">
      <c r="A12" s="1">
        <v>3</v>
      </c>
      <c r="B12" s="3" t="s">
        <v>8</v>
      </c>
      <c r="C12" s="3" t="s">
        <v>9</v>
      </c>
      <c r="D12">
        <v>1</v>
      </c>
      <c r="E12">
        <v>1</v>
      </c>
      <c r="F12">
        <v>1</v>
      </c>
      <c r="G12">
        <v>0</v>
      </c>
    </row>
    <row r="13" spans="1:7" ht="395" x14ac:dyDescent="0.2">
      <c r="A13" s="1">
        <v>19</v>
      </c>
      <c r="B13" s="3" t="s">
        <v>8</v>
      </c>
      <c r="C13" s="3" t="s">
        <v>36</v>
      </c>
      <c r="D13">
        <v>1</v>
      </c>
      <c r="E13">
        <v>1</v>
      </c>
      <c r="F13">
        <v>1</v>
      </c>
      <c r="G13">
        <v>0</v>
      </c>
    </row>
    <row r="14" spans="1:7" ht="304" x14ac:dyDescent="0.2">
      <c r="A14" s="1">
        <v>35</v>
      </c>
      <c r="B14" s="3" t="s">
        <v>8</v>
      </c>
      <c r="C14" s="3" t="s">
        <v>52</v>
      </c>
      <c r="D14">
        <v>1</v>
      </c>
      <c r="E14">
        <v>1</v>
      </c>
      <c r="F14">
        <v>1</v>
      </c>
      <c r="G14">
        <v>0</v>
      </c>
    </row>
    <row r="15" spans="1:7" ht="395" x14ac:dyDescent="0.2">
      <c r="A15" s="1">
        <v>51</v>
      </c>
      <c r="B15" s="3" t="s">
        <v>8</v>
      </c>
      <c r="C15" s="3" t="s">
        <v>68</v>
      </c>
      <c r="D15">
        <v>1</v>
      </c>
      <c r="E15">
        <v>1</v>
      </c>
      <c r="F15">
        <v>1</v>
      </c>
      <c r="G15">
        <v>0</v>
      </c>
    </row>
    <row r="16" spans="1:7" ht="160" x14ac:dyDescent="0.2">
      <c r="A16" s="1">
        <v>67</v>
      </c>
      <c r="B16" s="3" t="s">
        <v>8</v>
      </c>
      <c r="C16" s="3" t="s">
        <v>84</v>
      </c>
      <c r="D16">
        <v>1</v>
      </c>
      <c r="E16">
        <v>1</v>
      </c>
      <c r="F16">
        <v>1</v>
      </c>
      <c r="G16">
        <v>0</v>
      </c>
    </row>
    <row r="17" spans="1:7" ht="272" x14ac:dyDescent="0.2">
      <c r="A17" s="1">
        <v>5</v>
      </c>
      <c r="B17" s="3" t="s">
        <v>12</v>
      </c>
      <c r="C17" s="3" t="s">
        <v>13</v>
      </c>
      <c r="D17">
        <v>1</v>
      </c>
      <c r="E17">
        <v>1</v>
      </c>
      <c r="F17">
        <v>1</v>
      </c>
      <c r="G17">
        <v>0</v>
      </c>
    </row>
    <row r="18" spans="1:7" ht="409.6" x14ac:dyDescent="0.2">
      <c r="A18" s="1">
        <v>21</v>
      </c>
      <c r="B18" s="3" t="s">
        <v>12</v>
      </c>
      <c r="C18" s="3" t="s">
        <v>38</v>
      </c>
      <c r="D18">
        <v>1</v>
      </c>
      <c r="E18">
        <v>1</v>
      </c>
      <c r="F18">
        <v>1</v>
      </c>
      <c r="G18">
        <v>0</v>
      </c>
    </row>
    <row r="19" spans="1:7" ht="304" x14ac:dyDescent="0.2">
      <c r="A19" s="1">
        <v>37</v>
      </c>
      <c r="B19" s="3" t="s">
        <v>12</v>
      </c>
      <c r="C19" s="3" t="s">
        <v>54</v>
      </c>
      <c r="D19">
        <v>1</v>
      </c>
      <c r="E19">
        <v>1</v>
      </c>
      <c r="F19">
        <v>1</v>
      </c>
      <c r="G19">
        <v>0</v>
      </c>
    </row>
    <row r="20" spans="1:7" ht="320" x14ac:dyDescent="0.2">
      <c r="A20" s="1">
        <v>53</v>
      </c>
      <c r="B20" s="3" t="s">
        <v>12</v>
      </c>
      <c r="C20" s="3" t="s">
        <v>70</v>
      </c>
      <c r="D20">
        <v>1</v>
      </c>
      <c r="E20">
        <v>1</v>
      </c>
      <c r="F20">
        <v>1</v>
      </c>
      <c r="G20">
        <v>0</v>
      </c>
    </row>
    <row r="21" spans="1:7" ht="380" x14ac:dyDescent="0.2">
      <c r="A21" s="1">
        <v>69</v>
      </c>
      <c r="B21" s="3" t="s">
        <v>12</v>
      </c>
      <c r="C21" s="3" t="s">
        <v>86</v>
      </c>
      <c r="D21">
        <v>1</v>
      </c>
      <c r="E21">
        <v>1</v>
      </c>
      <c r="F21">
        <v>1</v>
      </c>
      <c r="G21">
        <v>0</v>
      </c>
    </row>
    <row r="22" spans="1:7" ht="409.6" x14ac:dyDescent="0.2">
      <c r="A22" s="1">
        <v>4</v>
      </c>
      <c r="B22" s="3" t="s">
        <v>10</v>
      </c>
      <c r="C22" s="3" t="s">
        <v>11</v>
      </c>
      <c r="D22">
        <v>1</v>
      </c>
      <c r="E22">
        <v>1</v>
      </c>
      <c r="F22">
        <v>1</v>
      </c>
      <c r="G22">
        <v>0</v>
      </c>
    </row>
    <row r="23" spans="1:7" ht="409.6" x14ac:dyDescent="0.2">
      <c r="A23" s="1">
        <v>20</v>
      </c>
      <c r="B23" s="3" t="s">
        <v>10</v>
      </c>
      <c r="C23" s="3" t="s">
        <v>37</v>
      </c>
      <c r="D23">
        <v>1</v>
      </c>
      <c r="E23">
        <v>1</v>
      </c>
      <c r="F23">
        <v>1</v>
      </c>
      <c r="G23">
        <v>0</v>
      </c>
    </row>
    <row r="24" spans="1:7" ht="320" x14ac:dyDescent="0.2">
      <c r="A24" s="1">
        <v>36</v>
      </c>
      <c r="B24" s="3" t="s">
        <v>10</v>
      </c>
      <c r="C24" s="3" t="s">
        <v>53</v>
      </c>
      <c r="D24">
        <v>1</v>
      </c>
      <c r="E24">
        <v>1</v>
      </c>
      <c r="F24">
        <v>1</v>
      </c>
      <c r="G24">
        <v>0</v>
      </c>
    </row>
    <row r="25" spans="1:7" ht="256" x14ac:dyDescent="0.2">
      <c r="A25" s="1">
        <v>52</v>
      </c>
      <c r="B25" s="3" t="s">
        <v>10</v>
      </c>
      <c r="C25" s="3" t="s">
        <v>69</v>
      </c>
      <c r="D25">
        <v>1</v>
      </c>
      <c r="E25">
        <v>1</v>
      </c>
      <c r="F25">
        <v>1</v>
      </c>
      <c r="G25">
        <v>0</v>
      </c>
    </row>
    <row r="26" spans="1:7" ht="335" x14ac:dyDescent="0.2">
      <c r="A26" s="1">
        <v>68</v>
      </c>
      <c r="B26" s="3" t="s">
        <v>10</v>
      </c>
      <c r="C26" s="3" t="s">
        <v>85</v>
      </c>
      <c r="D26">
        <v>1</v>
      </c>
      <c r="E26">
        <v>1</v>
      </c>
      <c r="F26">
        <v>1</v>
      </c>
      <c r="G26">
        <v>0</v>
      </c>
    </row>
    <row r="27" spans="1:7" ht="96" x14ac:dyDescent="0.2">
      <c r="A27" s="1">
        <v>11</v>
      </c>
      <c r="B27" s="3" t="s">
        <v>24</v>
      </c>
      <c r="C27" s="3" t="s">
        <v>25</v>
      </c>
      <c r="D27">
        <v>0</v>
      </c>
      <c r="E27">
        <v>0</v>
      </c>
      <c r="F27">
        <v>0</v>
      </c>
      <c r="G27">
        <v>0</v>
      </c>
    </row>
    <row r="28" spans="1:7" ht="320" x14ac:dyDescent="0.2">
      <c r="A28" s="1">
        <v>27</v>
      </c>
      <c r="B28" s="3" t="s">
        <v>24</v>
      </c>
      <c r="C28" s="3" t="s">
        <v>44</v>
      </c>
      <c r="D28">
        <v>1</v>
      </c>
      <c r="E28">
        <v>1</v>
      </c>
      <c r="F28">
        <v>1</v>
      </c>
      <c r="G28">
        <v>0</v>
      </c>
    </row>
    <row r="29" spans="1:7" ht="128" x14ac:dyDescent="0.2">
      <c r="A29" s="1">
        <v>43</v>
      </c>
      <c r="B29" s="3" t="s">
        <v>24</v>
      </c>
      <c r="C29" s="3" t="s">
        <v>60</v>
      </c>
      <c r="D29">
        <v>0</v>
      </c>
      <c r="E29">
        <v>0</v>
      </c>
      <c r="F29">
        <v>0</v>
      </c>
      <c r="G29">
        <v>0</v>
      </c>
    </row>
    <row r="30" spans="1:7" ht="96" x14ac:dyDescent="0.2">
      <c r="A30" s="1">
        <v>59</v>
      </c>
      <c r="B30" s="3" t="s">
        <v>24</v>
      </c>
      <c r="C30" s="3" t="s">
        <v>76</v>
      </c>
      <c r="D30">
        <v>0</v>
      </c>
      <c r="E30">
        <v>0</v>
      </c>
      <c r="F30">
        <v>0</v>
      </c>
      <c r="G30">
        <v>0</v>
      </c>
    </row>
    <row r="31" spans="1:7" ht="304" x14ac:dyDescent="0.2">
      <c r="A31" s="1">
        <v>75</v>
      </c>
      <c r="B31" s="3" t="s">
        <v>24</v>
      </c>
      <c r="C31" s="3" t="s">
        <v>92</v>
      </c>
      <c r="D31">
        <v>1</v>
      </c>
      <c r="E31">
        <v>1</v>
      </c>
      <c r="F31">
        <v>1</v>
      </c>
      <c r="G31">
        <v>0</v>
      </c>
    </row>
    <row r="32" spans="1:7" ht="224" x14ac:dyDescent="0.2">
      <c r="A32" s="1">
        <v>6</v>
      </c>
      <c r="B32" s="3" t="s">
        <v>14</v>
      </c>
      <c r="C32" s="3" t="s">
        <v>15</v>
      </c>
      <c r="D32">
        <v>1</v>
      </c>
      <c r="E32">
        <v>1</v>
      </c>
      <c r="F32">
        <v>1</v>
      </c>
      <c r="G32">
        <v>0</v>
      </c>
    </row>
    <row r="33" spans="1:7" ht="272" x14ac:dyDescent="0.2">
      <c r="A33" s="1">
        <v>22</v>
      </c>
      <c r="B33" s="3" t="s">
        <v>14</v>
      </c>
      <c r="C33" s="3" t="s">
        <v>39</v>
      </c>
      <c r="D33">
        <v>1</v>
      </c>
      <c r="E33">
        <v>1</v>
      </c>
      <c r="F33">
        <v>1</v>
      </c>
      <c r="G33">
        <v>0</v>
      </c>
    </row>
    <row r="34" spans="1:7" ht="256" x14ac:dyDescent="0.2">
      <c r="A34" s="1">
        <v>38</v>
      </c>
      <c r="B34" s="3" t="s">
        <v>14</v>
      </c>
      <c r="C34" s="3" t="s">
        <v>55</v>
      </c>
      <c r="D34">
        <v>1</v>
      </c>
      <c r="E34">
        <v>1</v>
      </c>
      <c r="F34">
        <v>1</v>
      </c>
      <c r="G34">
        <v>0</v>
      </c>
    </row>
    <row r="35" spans="1:7" ht="409.6" x14ac:dyDescent="0.2">
      <c r="A35" s="1">
        <v>54</v>
      </c>
      <c r="B35" s="3" t="s">
        <v>14</v>
      </c>
      <c r="C35" s="3" t="s">
        <v>71</v>
      </c>
      <c r="D35">
        <v>1</v>
      </c>
      <c r="E35">
        <v>1</v>
      </c>
      <c r="F35">
        <v>1</v>
      </c>
      <c r="G35">
        <v>0</v>
      </c>
    </row>
    <row r="36" spans="1:7" ht="112" x14ac:dyDescent="0.2">
      <c r="A36" s="1">
        <v>70</v>
      </c>
      <c r="B36" s="3" t="s">
        <v>14</v>
      </c>
      <c r="C36" s="3" t="s">
        <v>87</v>
      </c>
      <c r="D36">
        <v>1</v>
      </c>
      <c r="E36">
        <v>1</v>
      </c>
      <c r="F36">
        <v>1</v>
      </c>
      <c r="G36">
        <v>0</v>
      </c>
    </row>
    <row r="37" spans="1:7" ht="409.6" x14ac:dyDescent="0.2">
      <c r="A37" s="1">
        <v>8</v>
      </c>
      <c r="B37" s="3" t="s">
        <v>18</v>
      </c>
      <c r="C37" s="3" t="s">
        <v>19</v>
      </c>
      <c r="D37">
        <v>1</v>
      </c>
      <c r="E37">
        <v>1</v>
      </c>
      <c r="F37">
        <v>1</v>
      </c>
      <c r="G37">
        <v>0</v>
      </c>
    </row>
    <row r="38" spans="1:7" ht="224" x14ac:dyDescent="0.2">
      <c r="A38" s="1">
        <v>24</v>
      </c>
      <c r="B38" s="3" t="s">
        <v>18</v>
      </c>
      <c r="C38" s="3" t="s">
        <v>41</v>
      </c>
      <c r="D38">
        <v>0</v>
      </c>
      <c r="E38">
        <v>0</v>
      </c>
      <c r="F38">
        <v>0</v>
      </c>
      <c r="G38">
        <v>0</v>
      </c>
    </row>
    <row r="39" spans="1:7" ht="320" x14ac:dyDescent="0.2">
      <c r="A39" s="1">
        <v>40</v>
      </c>
      <c r="B39" s="3" t="s">
        <v>18</v>
      </c>
      <c r="C39" s="3" t="s">
        <v>57</v>
      </c>
      <c r="D39">
        <v>1</v>
      </c>
      <c r="E39">
        <v>1</v>
      </c>
      <c r="F39">
        <v>1</v>
      </c>
      <c r="G39">
        <v>0</v>
      </c>
    </row>
    <row r="40" spans="1:7" ht="409.6" x14ac:dyDescent="0.2">
      <c r="A40" s="1">
        <v>56</v>
      </c>
      <c r="B40" s="3" t="s">
        <v>18</v>
      </c>
      <c r="C40" s="3" t="s">
        <v>73</v>
      </c>
      <c r="D40">
        <v>1</v>
      </c>
      <c r="E40">
        <v>1</v>
      </c>
      <c r="F40">
        <v>1</v>
      </c>
      <c r="G40">
        <v>0</v>
      </c>
    </row>
    <row r="41" spans="1:7" ht="272" x14ac:dyDescent="0.2">
      <c r="A41" s="1">
        <v>72</v>
      </c>
      <c r="B41" s="3" t="s">
        <v>18</v>
      </c>
      <c r="C41" s="3" t="s">
        <v>89</v>
      </c>
      <c r="D41">
        <v>1</v>
      </c>
      <c r="E41">
        <v>1</v>
      </c>
      <c r="F41">
        <v>1</v>
      </c>
      <c r="G41">
        <v>0</v>
      </c>
    </row>
    <row r="42" spans="1:7" ht="409.6" x14ac:dyDescent="0.2">
      <c r="A42" s="1">
        <v>10</v>
      </c>
      <c r="B42" s="3" t="s">
        <v>22</v>
      </c>
      <c r="C42" s="4" t="s">
        <v>23</v>
      </c>
      <c r="D42">
        <v>0</v>
      </c>
      <c r="E42">
        <v>0</v>
      </c>
      <c r="F42">
        <v>0</v>
      </c>
      <c r="G42">
        <v>1</v>
      </c>
    </row>
    <row r="43" spans="1:7" ht="409.6" x14ac:dyDescent="0.2">
      <c r="A43" s="1">
        <v>26</v>
      </c>
      <c r="B43" s="3" t="s">
        <v>22</v>
      </c>
      <c r="C43" s="4" t="s">
        <v>43</v>
      </c>
      <c r="D43">
        <v>0</v>
      </c>
      <c r="E43">
        <v>0</v>
      </c>
      <c r="F43">
        <v>0</v>
      </c>
      <c r="G43">
        <v>1</v>
      </c>
    </row>
    <row r="44" spans="1:7" ht="409.6" x14ac:dyDescent="0.2">
      <c r="A44" s="1">
        <v>42</v>
      </c>
      <c r="B44" s="3" t="s">
        <v>22</v>
      </c>
      <c r="C44" s="4" t="s">
        <v>59</v>
      </c>
      <c r="D44">
        <v>0</v>
      </c>
      <c r="E44">
        <v>0</v>
      </c>
      <c r="F44">
        <v>0</v>
      </c>
      <c r="G44">
        <v>1</v>
      </c>
    </row>
    <row r="45" spans="1:7" ht="409.6" x14ac:dyDescent="0.2">
      <c r="A45" s="1">
        <v>58</v>
      </c>
      <c r="B45" s="3" t="s">
        <v>22</v>
      </c>
      <c r="C45" s="4" t="s">
        <v>75</v>
      </c>
      <c r="D45">
        <v>0</v>
      </c>
      <c r="E45">
        <v>0</v>
      </c>
      <c r="F45">
        <v>0</v>
      </c>
      <c r="G45">
        <v>1</v>
      </c>
    </row>
    <row r="46" spans="1:7" ht="409.6" x14ac:dyDescent="0.2">
      <c r="A46" s="1">
        <v>74</v>
      </c>
      <c r="B46" s="3" t="s">
        <v>22</v>
      </c>
      <c r="C46" s="4" t="s">
        <v>91</v>
      </c>
      <c r="D46">
        <v>0</v>
      </c>
      <c r="E46">
        <v>0</v>
      </c>
      <c r="F46">
        <v>0</v>
      </c>
      <c r="G46">
        <v>1</v>
      </c>
    </row>
    <row r="47" spans="1:7" ht="409.6" x14ac:dyDescent="0.2">
      <c r="A47" s="1">
        <v>7</v>
      </c>
      <c r="B47" s="3" t="s">
        <v>16</v>
      </c>
      <c r="C47" s="3" t="s">
        <v>17</v>
      </c>
      <c r="D47">
        <v>1</v>
      </c>
      <c r="E47">
        <v>1</v>
      </c>
      <c r="F47">
        <v>1</v>
      </c>
      <c r="G47">
        <v>0</v>
      </c>
    </row>
    <row r="48" spans="1:7" ht="350" x14ac:dyDescent="0.2">
      <c r="A48" s="1">
        <v>23</v>
      </c>
      <c r="B48" s="3" t="s">
        <v>16</v>
      </c>
      <c r="C48" s="3" t="s">
        <v>40</v>
      </c>
      <c r="D48">
        <v>1</v>
      </c>
      <c r="E48">
        <v>1</v>
      </c>
      <c r="F48">
        <v>1</v>
      </c>
      <c r="G48">
        <v>0</v>
      </c>
    </row>
    <row r="49" spans="1:7" ht="409.6" x14ac:dyDescent="0.2">
      <c r="A49" s="1">
        <v>39</v>
      </c>
      <c r="B49" s="3" t="s">
        <v>16</v>
      </c>
      <c r="C49" s="3" t="s">
        <v>56</v>
      </c>
      <c r="D49">
        <v>1</v>
      </c>
      <c r="E49">
        <v>1</v>
      </c>
      <c r="F49">
        <v>1</v>
      </c>
      <c r="G49">
        <v>0</v>
      </c>
    </row>
    <row r="50" spans="1:7" ht="380" x14ac:dyDescent="0.2">
      <c r="A50" s="1">
        <v>55</v>
      </c>
      <c r="B50" s="3" t="s">
        <v>16</v>
      </c>
      <c r="C50" s="3" t="s">
        <v>72</v>
      </c>
      <c r="D50">
        <v>1</v>
      </c>
      <c r="E50">
        <v>1</v>
      </c>
      <c r="F50">
        <v>1</v>
      </c>
      <c r="G50">
        <v>0</v>
      </c>
    </row>
    <row r="51" spans="1:7" ht="409.6" x14ac:dyDescent="0.2">
      <c r="A51" s="1">
        <v>71</v>
      </c>
      <c r="B51" s="3" t="s">
        <v>16</v>
      </c>
      <c r="C51" s="3" t="s">
        <v>88</v>
      </c>
      <c r="D51">
        <v>1</v>
      </c>
      <c r="E51">
        <v>1</v>
      </c>
      <c r="F51">
        <v>1</v>
      </c>
      <c r="G51">
        <v>0</v>
      </c>
    </row>
    <row r="52" spans="1:7" ht="176" x14ac:dyDescent="0.2">
      <c r="A52" s="1">
        <v>14</v>
      </c>
      <c r="B52" s="3" t="s">
        <v>30</v>
      </c>
      <c r="C52" s="3" t="s">
        <v>31</v>
      </c>
      <c r="D52">
        <v>1</v>
      </c>
      <c r="E52">
        <v>1</v>
      </c>
      <c r="F52">
        <v>1</v>
      </c>
      <c r="G52">
        <v>0</v>
      </c>
    </row>
    <row r="53" spans="1:7" ht="395" x14ac:dyDescent="0.2">
      <c r="A53" s="1">
        <v>30</v>
      </c>
      <c r="B53" s="3" t="s">
        <v>30</v>
      </c>
      <c r="C53" s="3" t="s">
        <v>47</v>
      </c>
      <c r="D53">
        <v>1</v>
      </c>
      <c r="E53">
        <v>1</v>
      </c>
      <c r="F53">
        <v>1</v>
      </c>
      <c r="G53">
        <v>0</v>
      </c>
    </row>
    <row r="54" spans="1:7" ht="128" x14ac:dyDescent="0.2">
      <c r="A54" s="1">
        <v>46</v>
      </c>
      <c r="B54" s="3" t="s">
        <v>30</v>
      </c>
      <c r="C54" s="3" t="s">
        <v>63</v>
      </c>
      <c r="D54">
        <v>1</v>
      </c>
      <c r="E54">
        <v>1</v>
      </c>
      <c r="F54">
        <v>1</v>
      </c>
      <c r="G54">
        <v>0</v>
      </c>
    </row>
    <row r="55" spans="1:7" ht="335" x14ac:dyDescent="0.2">
      <c r="A55" s="1">
        <v>62</v>
      </c>
      <c r="B55" s="3" t="s">
        <v>30</v>
      </c>
      <c r="C55" s="3" t="s">
        <v>79</v>
      </c>
      <c r="D55">
        <v>1</v>
      </c>
      <c r="E55">
        <v>1</v>
      </c>
      <c r="F55">
        <v>1</v>
      </c>
      <c r="G55">
        <v>0</v>
      </c>
    </row>
    <row r="56" spans="1:7" ht="176" x14ac:dyDescent="0.2">
      <c r="A56" s="1">
        <v>78</v>
      </c>
      <c r="B56" s="3" t="s">
        <v>30</v>
      </c>
      <c r="C56" s="3" t="s">
        <v>95</v>
      </c>
      <c r="D56">
        <v>1</v>
      </c>
      <c r="E56">
        <v>1</v>
      </c>
      <c r="F56">
        <v>1</v>
      </c>
      <c r="G56">
        <v>0</v>
      </c>
    </row>
    <row r="57" spans="1:7" ht="380" x14ac:dyDescent="0.2">
      <c r="A57" s="1">
        <v>15</v>
      </c>
      <c r="B57" s="3" t="s">
        <v>32</v>
      </c>
      <c r="C57" s="3" t="s">
        <v>33</v>
      </c>
      <c r="D57">
        <v>1</v>
      </c>
      <c r="E57">
        <v>1</v>
      </c>
      <c r="F57">
        <v>1</v>
      </c>
      <c r="G57">
        <v>0</v>
      </c>
    </row>
    <row r="58" spans="1:7" ht="380" x14ac:dyDescent="0.2">
      <c r="A58" s="1">
        <v>31</v>
      </c>
      <c r="B58" s="3" t="s">
        <v>32</v>
      </c>
      <c r="C58" s="3" t="s">
        <v>48</v>
      </c>
      <c r="D58">
        <v>1</v>
      </c>
      <c r="E58">
        <v>1</v>
      </c>
      <c r="F58">
        <v>1</v>
      </c>
      <c r="G58">
        <v>0</v>
      </c>
    </row>
    <row r="59" spans="1:7" ht="409.6" x14ac:dyDescent="0.2">
      <c r="A59" s="1">
        <v>47</v>
      </c>
      <c r="B59" s="3" t="s">
        <v>32</v>
      </c>
      <c r="C59" s="3" t="s">
        <v>64</v>
      </c>
      <c r="D59">
        <v>1</v>
      </c>
      <c r="E59">
        <v>1</v>
      </c>
      <c r="F59">
        <v>1</v>
      </c>
      <c r="G59">
        <v>0</v>
      </c>
    </row>
    <row r="60" spans="1:7" ht="409.6" x14ac:dyDescent="0.2">
      <c r="A60" s="1">
        <v>63</v>
      </c>
      <c r="B60" s="3" t="s">
        <v>32</v>
      </c>
      <c r="C60" s="3" t="s">
        <v>80</v>
      </c>
      <c r="D60">
        <v>1</v>
      </c>
      <c r="E60">
        <v>1</v>
      </c>
      <c r="F60">
        <v>1</v>
      </c>
      <c r="G60">
        <v>0</v>
      </c>
    </row>
    <row r="61" spans="1:7" ht="409.6" x14ac:dyDescent="0.2">
      <c r="A61" s="1">
        <v>79</v>
      </c>
      <c r="B61" s="3" t="s">
        <v>32</v>
      </c>
      <c r="C61" s="3" t="s">
        <v>96</v>
      </c>
      <c r="D61">
        <v>1</v>
      </c>
      <c r="E61">
        <v>1</v>
      </c>
      <c r="F61">
        <v>1</v>
      </c>
      <c r="G61">
        <v>0</v>
      </c>
    </row>
    <row r="62" spans="1:7" ht="409.6" x14ac:dyDescent="0.2">
      <c r="A62" s="1">
        <v>13</v>
      </c>
      <c r="B62" s="3" t="s">
        <v>28</v>
      </c>
      <c r="C62" s="3" t="s">
        <v>29</v>
      </c>
      <c r="D62">
        <v>1</v>
      </c>
      <c r="E62">
        <v>1</v>
      </c>
      <c r="F62">
        <v>1</v>
      </c>
      <c r="G62">
        <v>0</v>
      </c>
    </row>
    <row r="63" spans="1:7" ht="409.6" x14ac:dyDescent="0.2">
      <c r="A63" s="1">
        <v>29</v>
      </c>
      <c r="B63" s="3" t="s">
        <v>28</v>
      </c>
      <c r="C63" s="3" t="s">
        <v>46</v>
      </c>
      <c r="D63">
        <v>1</v>
      </c>
      <c r="E63">
        <v>1</v>
      </c>
      <c r="F63">
        <v>1</v>
      </c>
      <c r="G63">
        <v>0</v>
      </c>
    </row>
    <row r="64" spans="1:7" ht="409.6" x14ac:dyDescent="0.2">
      <c r="A64" s="1">
        <v>45</v>
      </c>
      <c r="B64" s="3" t="s">
        <v>28</v>
      </c>
      <c r="C64" s="3" t="s">
        <v>62</v>
      </c>
      <c r="D64">
        <v>1</v>
      </c>
      <c r="E64">
        <v>1</v>
      </c>
      <c r="F64">
        <v>1</v>
      </c>
      <c r="G64">
        <v>0</v>
      </c>
    </row>
    <row r="65" spans="1:7" ht="409.6" x14ac:dyDescent="0.2">
      <c r="A65" s="1">
        <v>61</v>
      </c>
      <c r="B65" s="3" t="s">
        <v>28</v>
      </c>
      <c r="C65" s="3" t="s">
        <v>78</v>
      </c>
      <c r="D65">
        <v>1</v>
      </c>
      <c r="E65">
        <v>1</v>
      </c>
      <c r="F65">
        <v>1</v>
      </c>
      <c r="G65">
        <v>0</v>
      </c>
    </row>
    <row r="66" spans="1:7" ht="409.6" x14ac:dyDescent="0.2">
      <c r="A66" s="1">
        <v>77</v>
      </c>
      <c r="B66" s="3" t="s">
        <v>28</v>
      </c>
      <c r="C66" s="3" t="s">
        <v>94</v>
      </c>
      <c r="D66">
        <v>1</v>
      </c>
      <c r="E66">
        <v>1</v>
      </c>
      <c r="F66">
        <v>1</v>
      </c>
      <c r="G66">
        <v>0</v>
      </c>
    </row>
    <row r="67" spans="1:7" ht="365" x14ac:dyDescent="0.2">
      <c r="A67" s="1">
        <v>12</v>
      </c>
      <c r="B67" s="3" t="s">
        <v>26</v>
      </c>
      <c r="C67" s="3" t="s">
        <v>27</v>
      </c>
      <c r="D67">
        <v>1</v>
      </c>
      <c r="E67">
        <v>1</v>
      </c>
      <c r="F67">
        <v>1</v>
      </c>
      <c r="G67">
        <v>0</v>
      </c>
    </row>
    <row r="68" spans="1:7" ht="335" x14ac:dyDescent="0.2">
      <c r="A68" s="1">
        <v>28</v>
      </c>
      <c r="B68" s="3" t="s">
        <v>26</v>
      </c>
      <c r="C68" s="3" t="s">
        <v>45</v>
      </c>
      <c r="D68">
        <v>1</v>
      </c>
      <c r="E68">
        <v>1</v>
      </c>
      <c r="F68">
        <v>1</v>
      </c>
      <c r="G68">
        <v>0</v>
      </c>
    </row>
    <row r="69" spans="1:7" ht="380" x14ac:dyDescent="0.2">
      <c r="A69" s="1">
        <v>44</v>
      </c>
      <c r="B69" s="3" t="s">
        <v>26</v>
      </c>
      <c r="C69" s="3" t="s">
        <v>61</v>
      </c>
      <c r="D69">
        <v>1</v>
      </c>
      <c r="E69">
        <v>1</v>
      </c>
      <c r="F69">
        <v>1</v>
      </c>
      <c r="G69">
        <v>0</v>
      </c>
    </row>
    <row r="70" spans="1:7" ht="335" x14ac:dyDescent="0.2">
      <c r="A70" s="1">
        <v>60</v>
      </c>
      <c r="B70" s="3" t="s">
        <v>26</v>
      </c>
      <c r="C70" s="3" t="s">
        <v>77</v>
      </c>
      <c r="D70">
        <v>1</v>
      </c>
      <c r="E70">
        <v>1</v>
      </c>
      <c r="F70">
        <v>1</v>
      </c>
      <c r="G70">
        <v>0</v>
      </c>
    </row>
    <row r="71" spans="1:7" ht="409.6" x14ac:dyDescent="0.2">
      <c r="A71" s="1">
        <v>76</v>
      </c>
      <c r="B71" s="3" t="s">
        <v>26</v>
      </c>
      <c r="C71" s="3" t="s">
        <v>93</v>
      </c>
      <c r="D71">
        <v>1</v>
      </c>
      <c r="E71">
        <v>1</v>
      </c>
      <c r="F71">
        <v>1</v>
      </c>
      <c r="G71">
        <v>0</v>
      </c>
    </row>
    <row r="72" spans="1:7" ht="96" x14ac:dyDescent="0.2">
      <c r="A72" s="1">
        <v>2</v>
      </c>
      <c r="B72" s="3" t="s">
        <v>6</v>
      </c>
      <c r="C72" s="3" t="s">
        <v>7</v>
      </c>
      <c r="D72">
        <v>1</v>
      </c>
      <c r="E72">
        <v>1</v>
      </c>
      <c r="F72">
        <v>1</v>
      </c>
      <c r="G72">
        <v>0</v>
      </c>
    </row>
    <row r="73" spans="1:7" ht="96" x14ac:dyDescent="0.2">
      <c r="A73" s="1">
        <v>18</v>
      </c>
      <c r="B73" s="3" t="s">
        <v>6</v>
      </c>
      <c r="C73" s="3" t="s">
        <v>7</v>
      </c>
      <c r="D73">
        <v>1</v>
      </c>
      <c r="E73">
        <v>1</v>
      </c>
      <c r="F73">
        <v>1</v>
      </c>
      <c r="G73">
        <v>0</v>
      </c>
    </row>
    <row r="74" spans="1:7" ht="192" x14ac:dyDescent="0.2">
      <c r="A74" s="1">
        <v>34</v>
      </c>
      <c r="B74" s="3" t="s">
        <v>6</v>
      </c>
      <c r="C74" s="3" t="s">
        <v>51</v>
      </c>
      <c r="D74">
        <v>1</v>
      </c>
      <c r="E74">
        <v>1</v>
      </c>
      <c r="F74">
        <v>1</v>
      </c>
      <c r="G74">
        <v>0</v>
      </c>
    </row>
    <row r="75" spans="1:7" ht="96" x14ac:dyDescent="0.2">
      <c r="A75" s="1">
        <v>50</v>
      </c>
      <c r="B75" s="3" t="s">
        <v>6</v>
      </c>
      <c r="C75" s="3" t="s">
        <v>67</v>
      </c>
      <c r="D75">
        <v>1</v>
      </c>
      <c r="E75">
        <v>1</v>
      </c>
      <c r="F75">
        <v>1</v>
      </c>
      <c r="G75">
        <v>0</v>
      </c>
    </row>
    <row r="76" spans="1:7" ht="409.6" x14ac:dyDescent="0.2">
      <c r="A76" s="1">
        <v>66</v>
      </c>
      <c r="B76" s="3" t="s">
        <v>6</v>
      </c>
      <c r="C76" s="3" t="s">
        <v>83</v>
      </c>
      <c r="D76">
        <v>1</v>
      </c>
      <c r="E76">
        <v>1</v>
      </c>
      <c r="F76">
        <v>1</v>
      </c>
      <c r="G76">
        <v>0</v>
      </c>
    </row>
    <row r="77" spans="1:7" ht="409.6" x14ac:dyDescent="0.2">
      <c r="A77" s="1">
        <v>9</v>
      </c>
      <c r="B77" s="3" t="s">
        <v>20</v>
      </c>
      <c r="C77" s="3" t="s">
        <v>21</v>
      </c>
      <c r="D77">
        <v>1</v>
      </c>
      <c r="E77">
        <v>1</v>
      </c>
      <c r="F77">
        <v>1</v>
      </c>
      <c r="G77">
        <v>0</v>
      </c>
    </row>
    <row r="78" spans="1:7" ht="409.6" x14ac:dyDescent="0.2">
      <c r="A78" s="1">
        <v>25</v>
      </c>
      <c r="B78" s="3" t="s">
        <v>20</v>
      </c>
      <c r="C78" s="3" t="s">
        <v>42</v>
      </c>
      <c r="D78">
        <v>1</v>
      </c>
      <c r="E78">
        <v>1</v>
      </c>
      <c r="F78">
        <v>1</v>
      </c>
      <c r="G78">
        <v>0</v>
      </c>
    </row>
    <row r="79" spans="1:7" ht="409.6" x14ac:dyDescent="0.2">
      <c r="A79" s="1">
        <v>41</v>
      </c>
      <c r="B79" s="3" t="s">
        <v>20</v>
      </c>
      <c r="C79" s="3" t="s">
        <v>58</v>
      </c>
      <c r="D79">
        <v>1</v>
      </c>
      <c r="E79">
        <v>1</v>
      </c>
      <c r="F79">
        <v>1</v>
      </c>
      <c r="G79">
        <v>0</v>
      </c>
    </row>
    <row r="80" spans="1:7" ht="409.6" x14ac:dyDescent="0.2">
      <c r="A80" s="1">
        <v>57</v>
      </c>
      <c r="B80" s="3" t="s">
        <v>20</v>
      </c>
      <c r="C80" s="3" t="s">
        <v>74</v>
      </c>
      <c r="D80">
        <v>1</v>
      </c>
      <c r="E80">
        <v>1</v>
      </c>
      <c r="F80">
        <v>1</v>
      </c>
      <c r="G80">
        <v>0</v>
      </c>
    </row>
    <row r="81" spans="1:7" ht="409.6" x14ac:dyDescent="0.2">
      <c r="A81" s="1">
        <v>73</v>
      </c>
      <c r="B81" s="3" t="s">
        <v>20</v>
      </c>
      <c r="C81" s="3" t="s">
        <v>90</v>
      </c>
      <c r="D81">
        <v>1</v>
      </c>
      <c r="E81">
        <v>1</v>
      </c>
      <c r="F81">
        <v>1</v>
      </c>
      <c r="G81">
        <v>0</v>
      </c>
    </row>
  </sheetData>
  <sortState xmlns:xlrd2="http://schemas.microsoft.com/office/spreadsheetml/2017/richdata2" ref="A2:G81">
    <sortCondition descending="1" ref="B2:B8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FF9B5-4DA0-124B-8B9F-8881F361B6A0}">
  <sheetPr>
    <outlinePr summaryBelow="0" summaryRight="0"/>
  </sheetPr>
  <dimension ref="A1:W994"/>
  <sheetViews>
    <sheetView workbookViewId="0">
      <selection activeCell="B25" sqref="B25"/>
    </sheetView>
  </sheetViews>
  <sheetFormatPr baseColWidth="10" defaultColWidth="12.6640625" defaultRowHeight="15.75" customHeight="1" x14ac:dyDescent="0.2"/>
  <cols>
    <col min="1" max="1" width="15.33203125" style="5" bestFit="1" customWidth="1"/>
    <col min="2" max="2" width="14.83203125" style="5" bestFit="1" customWidth="1"/>
    <col min="3" max="3" width="7.1640625" style="5" customWidth="1"/>
    <col min="4" max="4" width="10" style="5" bestFit="1" customWidth="1"/>
    <col min="5" max="5" width="17" style="5" customWidth="1"/>
    <col min="6" max="16384" width="12.6640625" style="5"/>
  </cols>
  <sheetData>
    <row r="1" spans="1:23" ht="16" x14ac:dyDescent="0.2">
      <c r="A1" s="11" t="s">
        <v>119</v>
      </c>
      <c r="B1" s="10"/>
      <c r="C1" s="10"/>
      <c r="D1" s="10"/>
      <c r="E1" s="10"/>
      <c r="F1" s="6"/>
      <c r="H1" s="6"/>
      <c r="I1" s="6"/>
      <c r="J1" s="6"/>
      <c r="K1" s="6"/>
      <c r="L1" s="6"/>
      <c r="M1" s="6"/>
      <c r="N1" s="6"/>
      <c r="O1" s="6"/>
      <c r="P1" s="6"/>
      <c r="Q1" s="6"/>
      <c r="R1" s="6"/>
      <c r="S1" s="6"/>
      <c r="T1" s="6"/>
      <c r="U1" s="6"/>
      <c r="V1" s="6"/>
      <c r="W1" s="6"/>
    </row>
    <row r="2" spans="1:23" ht="16" x14ac:dyDescent="0.2">
      <c r="A2" s="6"/>
      <c r="B2" s="7"/>
      <c r="C2" s="7"/>
      <c r="D2" s="7"/>
      <c r="E2" s="7"/>
      <c r="F2" s="6"/>
      <c r="H2" s="6"/>
      <c r="I2" s="6"/>
      <c r="J2" s="6"/>
      <c r="K2" s="6"/>
      <c r="L2" s="6"/>
      <c r="M2" s="6"/>
      <c r="N2" s="6"/>
      <c r="O2" s="6"/>
      <c r="P2" s="6"/>
      <c r="Q2" s="6"/>
      <c r="R2" s="6"/>
      <c r="S2" s="6"/>
      <c r="T2" s="6"/>
      <c r="U2" s="6"/>
      <c r="V2" s="6"/>
      <c r="W2" s="6"/>
    </row>
    <row r="3" spans="1:23" ht="16" x14ac:dyDescent="0.2">
      <c r="A3" s="6" t="s">
        <v>118</v>
      </c>
      <c r="C3" s="6" t="s">
        <v>116</v>
      </c>
      <c r="E3" s="6" t="s">
        <v>114</v>
      </c>
      <c r="F3" s="6"/>
      <c r="G3" s="6"/>
      <c r="H3" s="6"/>
      <c r="I3" s="6"/>
      <c r="J3" s="6"/>
      <c r="K3" s="6"/>
      <c r="L3" s="6"/>
      <c r="M3" s="6"/>
      <c r="N3" s="6"/>
      <c r="O3" s="6"/>
      <c r="P3" s="6"/>
      <c r="Q3" s="6"/>
      <c r="R3" s="6"/>
      <c r="S3" s="6"/>
      <c r="T3" s="6"/>
      <c r="U3" s="6"/>
      <c r="V3" s="6"/>
      <c r="W3" s="6"/>
    </row>
    <row r="4" spans="1:23" ht="16" x14ac:dyDescent="0.2">
      <c r="B4" s="24" t="s">
        <v>102</v>
      </c>
      <c r="C4" s="24">
        <v>0</v>
      </c>
      <c r="D4" s="24">
        <v>1</v>
      </c>
      <c r="E4" s="24" t="s">
        <v>101</v>
      </c>
      <c r="F4" s="6"/>
      <c r="G4" s="6"/>
      <c r="H4" s="6"/>
      <c r="I4" s="6"/>
      <c r="J4" s="6"/>
      <c r="K4" s="6"/>
      <c r="L4" s="6"/>
      <c r="M4" s="6"/>
      <c r="N4" s="6"/>
      <c r="O4" s="6"/>
      <c r="P4" s="6"/>
      <c r="Q4" s="6"/>
      <c r="R4" s="6"/>
      <c r="S4" s="6"/>
      <c r="T4" s="6"/>
      <c r="U4" s="6"/>
      <c r="V4" s="6"/>
      <c r="W4" s="6"/>
    </row>
    <row r="5" spans="1:23" ht="16" x14ac:dyDescent="0.2">
      <c r="A5" s="19" t="s">
        <v>115</v>
      </c>
      <c r="B5" s="8">
        <v>0</v>
      </c>
      <c r="C5" s="25">
        <v>9</v>
      </c>
      <c r="D5" s="25"/>
      <c r="E5" s="25">
        <v>9</v>
      </c>
      <c r="F5" s="6"/>
      <c r="G5" s="6"/>
      <c r="H5" s="6"/>
      <c r="I5" s="6"/>
      <c r="J5" s="6"/>
      <c r="K5" s="6"/>
      <c r="L5" s="6"/>
      <c r="M5" s="6"/>
      <c r="N5" s="6"/>
      <c r="O5" s="6"/>
      <c r="P5" s="6"/>
      <c r="Q5" s="6"/>
      <c r="R5" s="6"/>
      <c r="S5" s="6"/>
      <c r="T5" s="6"/>
      <c r="U5" s="6"/>
      <c r="V5" s="6"/>
      <c r="W5" s="6"/>
    </row>
    <row r="6" spans="1:23" ht="16" x14ac:dyDescent="0.2">
      <c r="B6" s="8">
        <v>1</v>
      </c>
      <c r="C6" s="25"/>
      <c r="D6" s="25">
        <v>71</v>
      </c>
      <c r="E6" s="25">
        <v>71</v>
      </c>
      <c r="F6" s="6"/>
      <c r="G6" s="6"/>
      <c r="H6" s="6"/>
      <c r="I6" s="6"/>
      <c r="J6" s="6"/>
      <c r="K6" s="6"/>
      <c r="L6" s="6"/>
      <c r="M6" s="6"/>
      <c r="N6" s="6"/>
      <c r="O6" s="6"/>
      <c r="P6" s="6"/>
      <c r="Q6" s="6"/>
      <c r="R6" s="6"/>
      <c r="S6" s="6"/>
      <c r="T6" s="6"/>
      <c r="U6" s="6"/>
      <c r="V6" s="6"/>
      <c r="W6" s="6"/>
    </row>
    <row r="7" spans="1:23" ht="16" x14ac:dyDescent="0.2">
      <c r="A7" s="23"/>
      <c r="B7" s="22" t="s">
        <v>101</v>
      </c>
      <c r="C7" s="26">
        <v>9</v>
      </c>
      <c r="D7" s="26">
        <v>71</v>
      </c>
      <c r="E7" s="26">
        <v>80</v>
      </c>
      <c r="H7" s="6"/>
      <c r="I7" s="6"/>
      <c r="J7" s="6"/>
      <c r="K7" s="6"/>
      <c r="L7" s="6"/>
      <c r="M7" s="6"/>
      <c r="N7" s="6"/>
      <c r="O7" s="6"/>
      <c r="P7" s="6"/>
      <c r="Q7" s="6"/>
      <c r="R7" s="6"/>
      <c r="S7" s="6"/>
      <c r="T7" s="6"/>
      <c r="U7" s="6"/>
      <c r="V7" s="6"/>
      <c r="W7" s="6"/>
    </row>
    <row r="8" spans="1:23" ht="16" x14ac:dyDescent="0.2">
      <c r="A8" s="6"/>
      <c r="B8" s="7"/>
      <c r="C8" s="7"/>
      <c r="D8" s="7"/>
      <c r="E8" s="7"/>
      <c r="F8" s="6"/>
      <c r="G8" s="6"/>
      <c r="H8" s="6"/>
      <c r="I8" s="6"/>
      <c r="J8" s="6"/>
      <c r="K8" s="6"/>
      <c r="L8" s="6"/>
      <c r="M8" s="6"/>
      <c r="N8" s="6"/>
      <c r="O8" s="6"/>
      <c r="P8" s="6"/>
      <c r="Q8" s="6"/>
      <c r="R8" s="6"/>
      <c r="S8" s="6"/>
      <c r="T8" s="6"/>
      <c r="U8" s="6"/>
      <c r="V8" s="6"/>
      <c r="W8" s="6"/>
    </row>
    <row r="9" spans="1:23" ht="16" x14ac:dyDescent="0.2">
      <c r="A9" s="11" t="s">
        <v>117</v>
      </c>
      <c r="B9" s="10"/>
      <c r="C9" s="10"/>
      <c r="D9" s="10"/>
      <c r="E9" s="10"/>
      <c r="F9" s="6"/>
      <c r="G9" s="6"/>
      <c r="H9" s="6"/>
      <c r="I9" s="6"/>
      <c r="J9" s="6"/>
      <c r="K9" s="6"/>
      <c r="L9" s="6"/>
      <c r="M9" s="6"/>
      <c r="N9" s="6"/>
      <c r="O9" s="6"/>
      <c r="P9" s="6"/>
      <c r="Q9" s="6"/>
      <c r="R9" s="6"/>
      <c r="S9" s="6"/>
      <c r="T9" s="6"/>
      <c r="U9" s="6"/>
      <c r="V9" s="6"/>
      <c r="W9" s="6"/>
    </row>
    <row r="10" spans="1:23" ht="16" x14ac:dyDescent="0.2">
      <c r="A10" s="6"/>
      <c r="B10" s="7"/>
      <c r="C10" s="7"/>
      <c r="D10" s="7"/>
      <c r="E10" s="7"/>
      <c r="F10" s="6"/>
      <c r="G10" s="6"/>
      <c r="H10" s="6"/>
      <c r="I10" s="6"/>
      <c r="J10" s="6"/>
      <c r="K10" s="6"/>
      <c r="L10" s="6"/>
      <c r="M10" s="6"/>
      <c r="N10" s="6"/>
      <c r="O10" s="6"/>
      <c r="P10" s="6"/>
      <c r="Q10" s="6"/>
      <c r="R10" s="6"/>
      <c r="S10" s="6"/>
      <c r="T10" s="6"/>
      <c r="U10" s="6"/>
      <c r="V10" s="6"/>
      <c r="W10" s="6"/>
    </row>
    <row r="11" spans="1:23" ht="16" x14ac:dyDescent="0.2">
      <c r="A11" s="6"/>
      <c r="C11" s="21" t="s">
        <v>116</v>
      </c>
      <c r="D11" s="20"/>
      <c r="E11" s="6" t="s">
        <v>114</v>
      </c>
      <c r="F11" s="6"/>
      <c r="G11" s="6"/>
      <c r="H11" s="6"/>
      <c r="I11" s="6"/>
      <c r="J11" s="6"/>
      <c r="K11" s="6"/>
      <c r="L11" s="6"/>
      <c r="M11" s="6"/>
      <c r="N11" s="6"/>
      <c r="O11" s="6"/>
      <c r="P11" s="6"/>
      <c r="Q11" s="6"/>
      <c r="R11" s="6"/>
      <c r="S11" s="6"/>
      <c r="T11" s="6"/>
      <c r="U11" s="6"/>
      <c r="V11" s="6"/>
      <c r="W11" s="6"/>
    </row>
    <row r="12" spans="1:23" ht="16" x14ac:dyDescent="0.2">
      <c r="C12" s="5">
        <v>0</v>
      </c>
      <c r="D12" s="5">
        <v>1</v>
      </c>
      <c r="E12" s="7" t="s">
        <v>101</v>
      </c>
      <c r="F12" s="6"/>
      <c r="G12" s="6"/>
      <c r="H12" s="6"/>
      <c r="I12" s="6"/>
      <c r="J12" s="6"/>
      <c r="K12" s="6"/>
      <c r="L12" s="6"/>
      <c r="M12" s="6"/>
      <c r="N12" s="6"/>
      <c r="O12" s="6"/>
      <c r="P12" s="6"/>
      <c r="Q12" s="6"/>
      <c r="R12" s="6"/>
      <c r="S12" s="6"/>
      <c r="T12" s="6"/>
      <c r="U12" s="6"/>
      <c r="V12" s="6"/>
      <c r="W12" s="6"/>
    </row>
    <row r="13" spans="1:23" ht="16" x14ac:dyDescent="0.2">
      <c r="A13" s="19" t="s">
        <v>115</v>
      </c>
      <c r="B13" s="5">
        <v>0</v>
      </c>
      <c r="C13" s="16">
        <f>C$15*$E13/$E$15</f>
        <v>1.0125</v>
      </c>
      <c r="D13" s="13">
        <f>D$15*$E13/$E$15</f>
        <v>7.9874999999999998</v>
      </c>
      <c r="E13">
        <v>9</v>
      </c>
      <c r="F13" s="6"/>
      <c r="G13" s="6"/>
      <c r="H13" s="6"/>
      <c r="I13" s="6"/>
      <c r="J13" s="6"/>
      <c r="K13" s="6"/>
      <c r="L13" s="6"/>
      <c r="M13" s="6"/>
      <c r="N13" s="6"/>
      <c r="O13" s="6"/>
      <c r="P13" s="6"/>
      <c r="Q13" s="6"/>
      <c r="R13" s="6"/>
      <c r="S13" s="6"/>
      <c r="T13" s="6"/>
      <c r="U13" s="6"/>
      <c r="V13" s="6"/>
      <c r="W13" s="6"/>
    </row>
    <row r="14" spans="1:23" ht="16" x14ac:dyDescent="0.2">
      <c r="B14" s="5">
        <v>1</v>
      </c>
      <c r="C14" s="13">
        <f>C$15*$E14/$E$15</f>
        <v>7.9874999999999998</v>
      </c>
      <c r="D14" s="16">
        <f>D$15*$E14/$E$15</f>
        <v>63.012500000000003</v>
      </c>
      <c r="E14">
        <v>71</v>
      </c>
      <c r="F14" s="6"/>
      <c r="G14" s="6"/>
      <c r="H14" s="6"/>
      <c r="I14" s="6"/>
      <c r="J14" s="6"/>
      <c r="K14" s="6"/>
      <c r="L14" s="6"/>
      <c r="M14" s="6"/>
      <c r="N14" s="6"/>
      <c r="O14" s="6"/>
      <c r="P14" s="6"/>
      <c r="Q14" s="6"/>
      <c r="R14" s="6"/>
      <c r="S14" s="6"/>
      <c r="T14" s="6"/>
      <c r="U14" s="6"/>
      <c r="V14" s="6"/>
      <c r="W14" s="6"/>
    </row>
    <row r="15" spans="1:23" ht="16" x14ac:dyDescent="0.2">
      <c r="A15" s="18" t="s">
        <v>114</v>
      </c>
      <c r="C15">
        <v>9</v>
      </c>
      <c r="D15">
        <v>71</v>
      </c>
      <c r="E15">
        <v>80</v>
      </c>
      <c r="F15" s="6"/>
      <c r="G15" s="6"/>
      <c r="H15" s="6"/>
      <c r="I15" s="6"/>
      <c r="J15" s="6"/>
      <c r="K15" s="6"/>
      <c r="L15" s="6"/>
      <c r="M15" s="6"/>
      <c r="N15" s="6"/>
      <c r="O15" s="6"/>
      <c r="P15" s="6"/>
      <c r="Q15" s="6"/>
      <c r="R15" s="6"/>
      <c r="S15" s="6"/>
      <c r="T15" s="6"/>
      <c r="U15" s="6"/>
      <c r="V15" s="6"/>
      <c r="W15" s="6"/>
    </row>
    <row r="16" spans="1:23" ht="16" x14ac:dyDescent="0.2">
      <c r="A16" s="6"/>
      <c r="B16" s="7"/>
      <c r="C16" s="7"/>
      <c r="D16" s="7"/>
      <c r="E16" s="7"/>
      <c r="F16" s="6"/>
      <c r="G16" s="6"/>
      <c r="H16" s="6"/>
      <c r="I16" s="6"/>
      <c r="J16" s="6"/>
      <c r="K16" s="6"/>
      <c r="L16" s="6"/>
      <c r="M16" s="6"/>
      <c r="N16" s="6"/>
      <c r="O16" s="6"/>
      <c r="P16" s="6"/>
      <c r="Q16" s="6"/>
      <c r="R16" s="6"/>
      <c r="S16" s="6"/>
      <c r="T16" s="6"/>
      <c r="U16" s="6"/>
      <c r="V16" s="6"/>
      <c r="W16" s="6"/>
    </row>
    <row r="17" spans="1:23" ht="16" x14ac:dyDescent="0.2">
      <c r="A17" s="11" t="s">
        <v>113</v>
      </c>
      <c r="B17" s="10"/>
      <c r="C17" s="10"/>
      <c r="D17" s="10"/>
      <c r="E17" s="10"/>
      <c r="F17" s="6"/>
      <c r="G17" s="6"/>
      <c r="H17" s="6"/>
      <c r="I17" s="6"/>
      <c r="J17" s="6"/>
      <c r="K17" s="6"/>
      <c r="L17" s="6"/>
      <c r="M17" s="6"/>
      <c r="N17" s="6"/>
      <c r="O17" s="6"/>
      <c r="P17" s="6"/>
      <c r="Q17" s="6"/>
      <c r="R17" s="6"/>
      <c r="S17" s="6"/>
      <c r="T17" s="6"/>
      <c r="U17" s="6"/>
      <c r="V17" s="6"/>
      <c r="W17" s="6"/>
    </row>
    <row r="18" spans="1:23" ht="16" x14ac:dyDescent="0.2">
      <c r="B18" s="7"/>
      <c r="C18" s="7"/>
      <c r="D18" s="7"/>
      <c r="E18" s="7"/>
      <c r="F18" s="6"/>
      <c r="G18" s="6"/>
      <c r="H18" s="6"/>
      <c r="I18" s="6"/>
      <c r="J18" s="6"/>
      <c r="K18" s="6"/>
      <c r="L18" s="6"/>
      <c r="M18" s="6"/>
      <c r="N18" s="6"/>
      <c r="O18" s="6"/>
      <c r="P18" s="6"/>
      <c r="Q18" s="6"/>
      <c r="R18" s="6"/>
      <c r="S18" s="6"/>
      <c r="T18" s="6"/>
      <c r="U18" s="6"/>
      <c r="V18" s="6"/>
      <c r="W18" s="6"/>
    </row>
    <row r="19" spans="1:23" ht="16" x14ac:dyDescent="0.2">
      <c r="B19" s="7" t="s">
        <v>112</v>
      </c>
      <c r="C19" s="7" t="s">
        <v>111</v>
      </c>
      <c r="D19" s="7"/>
      <c r="E19" s="7"/>
      <c r="F19" s="6"/>
      <c r="G19" s="6"/>
      <c r="H19" s="6"/>
      <c r="I19" s="6"/>
      <c r="J19" s="6"/>
      <c r="K19" s="6"/>
      <c r="L19" s="6"/>
      <c r="M19" s="6"/>
      <c r="N19" s="6"/>
      <c r="O19" s="6"/>
      <c r="P19" s="6"/>
      <c r="Q19" s="6"/>
      <c r="R19" s="6"/>
      <c r="S19" s="6"/>
      <c r="T19" s="6"/>
      <c r="U19" s="6"/>
      <c r="V19" s="6"/>
      <c r="W19" s="6"/>
    </row>
    <row r="20" spans="1:23" ht="16" x14ac:dyDescent="0.2">
      <c r="A20" s="6" t="s">
        <v>110</v>
      </c>
      <c r="B20" s="7">
        <f>SUM(C5,D6)</f>
        <v>80</v>
      </c>
      <c r="C20" s="17">
        <f>B20/B22</f>
        <v>1</v>
      </c>
      <c r="D20" s="7"/>
      <c r="E20" s="7"/>
      <c r="F20" s="6"/>
      <c r="G20" s="6"/>
      <c r="H20" s="6"/>
      <c r="I20" s="6"/>
      <c r="J20" s="6"/>
      <c r="K20" s="6"/>
      <c r="L20" s="6"/>
      <c r="M20" s="6"/>
      <c r="N20" s="6"/>
      <c r="O20" s="6"/>
      <c r="P20" s="6"/>
      <c r="Q20" s="6"/>
      <c r="R20" s="6"/>
      <c r="S20" s="6"/>
      <c r="T20" s="6"/>
      <c r="U20" s="6"/>
      <c r="V20" s="6"/>
      <c r="W20" s="6"/>
    </row>
    <row r="21" spans="1:23" ht="16" x14ac:dyDescent="0.2">
      <c r="A21" s="6" t="s">
        <v>109</v>
      </c>
      <c r="B21" s="7">
        <f>SUM(C13,D14)</f>
        <v>64.025000000000006</v>
      </c>
      <c r="C21" s="17">
        <f>B21/B22</f>
        <v>0.80031250000000009</v>
      </c>
      <c r="D21" s="7"/>
      <c r="E21" s="7"/>
      <c r="F21" s="6"/>
      <c r="G21" s="6"/>
      <c r="H21" s="6"/>
      <c r="I21" s="6"/>
      <c r="J21" s="6"/>
      <c r="K21" s="6"/>
      <c r="L21" s="6"/>
      <c r="M21" s="6"/>
      <c r="N21" s="6"/>
      <c r="O21" s="6"/>
      <c r="P21" s="6"/>
      <c r="Q21" s="6"/>
      <c r="R21" s="6"/>
      <c r="S21" s="6"/>
      <c r="T21" s="6"/>
      <c r="U21" s="6"/>
      <c r="V21" s="6"/>
      <c r="W21" s="6"/>
    </row>
    <row r="22" spans="1:23" ht="16" x14ac:dyDescent="0.2">
      <c r="A22" s="6" t="s">
        <v>108</v>
      </c>
      <c r="B22" s="7">
        <f>E15</f>
        <v>80</v>
      </c>
      <c r="C22" s="17">
        <v>1</v>
      </c>
      <c r="D22" s="7"/>
      <c r="E22" s="16" t="s">
        <v>107</v>
      </c>
      <c r="F22" s="6"/>
      <c r="G22" s="6"/>
      <c r="H22" s="6"/>
      <c r="I22" s="6"/>
      <c r="J22" s="6"/>
      <c r="K22" s="6"/>
      <c r="L22" s="6"/>
      <c r="M22" s="6"/>
      <c r="N22" s="6"/>
      <c r="O22" s="6"/>
      <c r="P22" s="6"/>
      <c r="Q22" s="6"/>
      <c r="R22" s="6"/>
      <c r="S22" s="6"/>
      <c r="T22" s="6"/>
      <c r="U22" s="6"/>
      <c r="V22" s="6"/>
      <c r="W22" s="6"/>
    </row>
    <row r="23" spans="1:23" ht="16" x14ac:dyDescent="0.2">
      <c r="A23" s="12" t="s">
        <v>106</v>
      </c>
      <c r="B23" s="15">
        <f>(B20-B21)/(B22-B21)</f>
        <v>1</v>
      </c>
      <c r="C23" s="15">
        <f>(C20-C21)/(C22-C21)</f>
        <v>1</v>
      </c>
      <c r="D23" s="14"/>
      <c r="E23" s="13" t="s">
        <v>105</v>
      </c>
      <c r="F23" s="12"/>
      <c r="G23" s="12"/>
      <c r="H23" s="12"/>
      <c r="I23" s="12"/>
      <c r="J23" s="12"/>
      <c r="K23" s="12"/>
      <c r="L23" s="12"/>
      <c r="M23" s="12"/>
      <c r="N23" s="12"/>
      <c r="O23" s="12"/>
      <c r="P23" s="12"/>
      <c r="Q23" s="12"/>
      <c r="R23" s="12"/>
      <c r="S23" s="12"/>
      <c r="T23" s="12"/>
      <c r="U23" s="12"/>
      <c r="V23" s="12"/>
      <c r="W23" s="12"/>
    </row>
    <row r="24" spans="1:23" ht="16" x14ac:dyDescent="0.2">
      <c r="A24" s="6"/>
      <c r="B24" s="7"/>
      <c r="C24" s="7"/>
      <c r="D24" s="7"/>
      <c r="E24" s="7"/>
      <c r="F24" s="6"/>
      <c r="G24" s="6"/>
      <c r="H24" s="6"/>
      <c r="I24" s="6"/>
      <c r="J24" s="6"/>
      <c r="K24" s="6"/>
      <c r="L24" s="6"/>
      <c r="M24" s="6"/>
      <c r="N24" s="6"/>
      <c r="O24" s="6"/>
      <c r="P24" s="6"/>
      <c r="Q24" s="6"/>
      <c r="R24" s="6"/>
      <c r="S24" s="6"/>
      <c r="T24" s="6"/>
      <c r="U24" s="6"/>
      <c r="V24" s="6"/>
      <c r="W24" s="6"/>
    </row>
    <row r="25" spans="1:23" ht="16" x14ac:dyDescent="0.2">
      <c r="A25" s="11"/>
      <c r="B25" s="10"/>
      <c r="C25" s="10"/>
      <c r="D25" s="10"/>
      <c r="E25" s="10"/>
      <c r="F25" s="6"/>
      <c r="G25" s="6"/>
      <c r="H25" s="6"/>
      <c r="I25" s="6"/>
      <c r="J25" s="6"/>
      <c r="K25" s="6"/>
      <c r="L25" s="6"/>
      <c r="M25" s="6"/>
      <c r="N25" s="6"/>
      <c r="O25" s="6"/>
      <c r="P25" s="6"/>
      <c r="Q25" s="6"/>
      <c r="R25" s="6"/>
      <c r="S25" s="6"/>
      <c r="T25" s="6"/>
      <c r="U25" s="6"/>
      <c r="V25" s="6"/>
      <c r="W25" s="6"/>
    </row>
    <row r="26" spans="1:23" ht="16" x14ac:dyDescent="0.2">
      <c r="A26" s="6"/>
      <c r="B26" s="7"/>
      <c r="C26" s="7"/>
      <c r="D26" s="7"/>
      <c r="E26" s="7"/>
      <c r="F26" s="6"/>
      <c r="G26" s="6"/>
      <c r="H26" s="6"/>
      <c r="I26" s="6"/>
      <c r="J26" s="6"/>
      <c r="K26" s="6"/>
      <c r="L26" s="6"/>
      <c r="M26" s="6"/>
      <c r="N26" s="6"/>
      <c r="O26" s="6"/>
      <c r="P26" s="6"/>
      <c r="Q26" s="6"/>
      <c r="R26" s="6"/>
      <c r="S26" s="6"/>
      <c r="T26" s="6"/>
      <c r="U26" s="6"/>
      <c r="V26" s="6"/>
      <c r="W26" s="6"/>
    </row>
    <row r="27" spans="1:23" ht="16" x14ac:dyDescent="0.2">
      <c r="A27" s="6"/>
      <c r="B27" s="7"/>
      <c r="C27" s="7"/>
      <c r="D27" s="7"/>
      <c r="E27" s="7"/>
      <c r="F27" s="6"/>
      <c r="G27" s="6"/>
      <c r="H27" s="6"/>
      <c r="I27" s="6"/>
      <c r="J27" s="6"/>
      <c r="K27" s="6"/>
      <c r="L27" s="6"/>
      <c r="M27" s="6"/>
      <c r="N27" s="6"/>
      <c r="O27" s="6"/>
      <c r="P27" s="6"/>
      <c r="Q27" s="6"/>
      <c r="R27" s="6"/>
      <c r="S27" s="6"/>
      <c r="T27" s="6"/>
      <c r="U27" s="6"/>
      <c r="V27" s="6"/>
      <c r="W27" s="6"/>
    </row>
    <row r="28" spans="1:23" ht="16" x14ac:dyDescent="0.2">
      <c r="A28" s="9" t="s">
        <v>104</v>
      </c>
      <c r="B28" s="9" t="s">
        <v>103</v>
      </c>
      <c r="C28"/>
      <c r="D28"/>
      <c r="E28" s="7"/>
      <c r="F28" s="6"/>
      <c r="G28" s="6"/>
      <c r="H28" s="6"/>
      <c r="I28" s="6"/>
      <c r="J28" s="6"/>
      <c r="K28" s="6"/>
      <c r="L28" s="6"/>
      <c r="M28" s="6"/>
      <c r="N28" s="6"/>
      <c r="O28" s="6"/>
      <c r="P28" s="6"/>
      <c r="Q28" s="6"/>
      <c r="R28" s="6"/>
      <c r="S28" s="6"/>
      <c r="T28" s="6"/>
      <c r="U28" s="6"/>
      <c r="V28" s="6"/>
      <c r="W28" s="6"/>
    </row>
    <row r="29" spans="1:23" ht="16" x14ac:dyDescent="0.2">
      <c r="A29" s="9" t="s">
        <v>102</v>
      </c>
      <c r="B29">
        <v>0</v>
      </c>
      <c r="C29">
        <v>1</v>
      </c>
      <c r="D29" t="s">
        <v>101</v>
      </c>
      <c r="E29" s="7"/>
      <c r="F29" s="6"/>
      <c r="G29" s="6"/>
      <c r="H29" s="6"/>
      <c r="I29" s="6"/>
      <c r="J29" s="6"/>
      <c r="K29" s="6"/>
      <c r="L29" s="6"/>
      <c r="M29" s="6"/>
      <c r="N29" s="6"/>
      <c r="O29" s="6"/>
      <c r="P29" s="6"/>
      <c r="Q29" s="6"/>
      <c r="R29" s="6"/>
      <c r="S29" s="6"/>
      <c r="T29" s="6"/>
      <c r="U29" s="6"/>
      <c r="V29" s="6"/>
      <c r="W29" s="6"/>
    </row>
    <row r="30" spans="1:23" ht="16" x14ac:dyDescent="0.2">
      <c r="A30" s="8">
        <v>0</v>
      </c>
      <c r="B30" s="25">
        <v>9</v>
      </c>
      <c r="C30" s="25"/>
      <c r="D30" s="25">
        <v>9</v>
      </c>
      <c r="E30" s="7"/>
      <c r="F30" s="6"/>
      <c r="G30" s="6"/>
      <c r="H30" s="6"/>
      <c r="I30" s="6"/>
      <c r="J30" s="6"/>
      <c r="K30" s="6"/>
      <c r="L30" s="6"/>
      <c r="M30" s="6"/>
      <c r="N30" s="6"/>
      <c r="O30" s="6"/>
      <c r="P30" s="6"/>
      <c r="Q30" s="6"/>
      <c r="R30" s="6"/>
      <c r="S30" s="6"/>
      <c r="T30" s="6"/>
      <c r="U30" s="6"/>
      <c r="V30" s="6"/>
      <c r="W30" s="6"/>
    </row>
    <row r="31" spans="1:23" ht="16" x14ac:dyDescent="0.2">
      <c r="A31" s="8">
        <v>1</v>
      </c>
      <c r="B31" s="25"/>
      <c r="C31" s="25">
        <v>71</v>
      </c>
      <c r="D31" s="25">
        <v>71</v>
      </c>
      <c r="E31" s="7"/>
      <c r="F31" s="6"/>
      <c r="G31" s="6"/>
      <c r="H31" s="6"/>
      <c r="I31" s="6"/>
      <c r="J31" s="6"/>
      <c r="K31" s="6"/>
      <c r="L31" s="6"/>
      <c r="M31" s="6"/>
      <c r="N31" s="6"/>
      <c r="O31" s="6"/>
      <c r="P31" s="6"/>
      <c r="Q31" s="6"/>
      <c r="R31" s="6"/>
      <c r="S31" s="6"/>
      <c r="T31" s="6"/>
      <c r="U31" s="6"/>
      <c r="V31" s="6"/>
      <c r="W31" s="6"/>
    </row>
    <row r="32" spans="1:23" ht="16" x14ac:dyDescent="0.2">
      <c r="A32" s="8" t="s">
        <v>101</v>
      </c>
      <c r="B32" s="25">
        <v>9</v>
      </c>
      <c r="C32" s="25">
        <v>71</v>
      </c>
      <c r="D32" s="25">
        <v>80</v>
      </c>
      <c r="E32" s="7"/>
      <c r="F32" s="6"/>
      <c r="G32" s="6"/>
      <c r="H32" s="6"/>
      <c r="I32" s="6"/>
      <c r="J32" s="6"/>
      <c r="K32" s="6"/>
      <c r="L32" s="6"/>
      <c r="M32" s="6"/>
      <c r="N32" s="6"/>
      <c r="O32" s="6"/>
      <c r="P32" s="6"/>
      <c r="Q32" s="6"/>
      <c r="R32" s="6"/>
      <c r="S32" s="6"/>
      <c r="T32" s="6"/>
      <c r="U32" s="6"/>
      <c r="V32" s="6"/>
      <c r="W32" s="6"/>
    </row>
    <row r="33" spans="1:23" ht="16" x14ac:dyDescent="0.2">
      <c r="A33"/>
      <c r="B33"/>
      <c r="C33"/>
      <c r="D33"/>
      <c r="E33" s="7"/>
      <c r="F33" s="6"/>
      <c r="G33" s="6"/>
      <c r="H33" s="6"/>
      <c r="I33" s="6"/>
      <c r="J33" s="6"/>
      <c r="K33" s="6"/>
      <c r="L33" s="6"/>
      <c r="M33" s="6"/>
      <c r="N33" s="6"/>
      <c r="O33" s="6"/>
      <c r="P33" s="6"/>
      <c r="Q33" s="6"/>
      <c r="R33" s="6"/>
      <c r="S33" s="6"/>
      <c r="T33" s="6"/>
      <c r="U33" s="6"/>
      <c r="V33" s="6"/>
      <c r="W33" s="6"/>
    </row>
    <row r="34" spans="1:23" ht="16" x14ac:dyDescent="0.2">
      <c r="A34"/>
      <c r="B34"/>
      <c r="C34"/>
      <c r="D34"/>
      <c r="E34" s="7"/>
      <c r="F34" s="6"/>
      <c r="G34" s="6"/>
      <c r="H34" s="6"/>
      <c r="I34" s="6"/>
      <c r="J34" s="6"/>
      <c r="K34" s="6"/>
      <c r="L34" s="6"/>
      <c r="M34" s="6"/>
      <c r="N34" s="6"/>
      <c r="O34" s="6"/>
      <c r="P34" s="6"/>
      <c r="Q34" s="6"/>
      <c r="R34" s="6"/>
      <c r="S34" s="6"/>
      <c r="T34" s="6"/>
      <c r="U34" s="6"/>
      <c r="V34" s="6"/>
      <c r="W34" s="6"/>
    </row>
    <row r="35" spans="1:23" ht="16" x14ac:dyDescent="0.2">
      <c r="A35"/>
      <c r="B35"/>
      <c r="C35"/>
      <c r="D35"/>
      <c r="E35" s="7"/>
      <c r="F35" s="6"/>
      <c r="G35" s="6"/>
      <c r="H35" s="6"/>
      <c r="I35" s="6"/>
      <c r="J35" s="6"/>
      <c r="K35" s="6"/>
      <c r="L35" s="6"/>
      <c r="M35" s="6"/>
      <c r="N35" s="6"/>
      <c r="O35" s="6"/>
      <c r="P35" s="6"/>
      <c r="Q35" s="6"/>
      <c r="R35" s="6"/>
      <c r="S35" s="6"/>
      <c r="T35" s="6"/>
      <c r="U35" s="6"/>
      <c r="V35" s="6"/>
      <c r="W35" s="6"/>
    </row>
    <row r="36" spans="1:23" ht="16" x14ac:dyDescent="0.2">
      <c r="A36"/>
      <c r="B36"/>
      <c r="C36"/>
      <c r="D36"/>
      <c r="E36" s="7"/>
      <c r="F36" s="6"/>
      <c r="G36" s="6"/>
      <c r="H36" s="6"/>
      <c r="I36" s="6"/>
      <c r="J36" s="6"/>
      <c r="K36" s="6"/>
      <c r="L36" s="6"/>
      <c r="M36" s="6"/>
      <c r="N36" s="6"/>
      <c r="O36" s="6"/>
      <c r="P36" s="6"/>
      <c r="Q36" s="6"/>
      <c r="R36" s="6"/>
      <c r="S36" s="6"/>
      <c r="T36" s="6"/>
      <c r="U36" s="6"/>
      <c r="V36" s="6"/>
      <c r="W36" s="6"/>
    </row>
    <row r="37" spans="1:23" ht="16" x14ac:dyDescent="0.2">
      <c r="A37"/>
      <c r="B37"/>
      <c r="C37"/>
      <c r="D37"/>
      <c r="E37" s="7"/>
      <c r="F37" s="6"/>
      <c r="G37" s="6"/>
      <c r="H37" s="6"/>
      <c r="I37" s="6"/>
      <c r="J37" s="6"/>
      <c r="K37" s="6"/>
      <c r="L37" s="6"/>
      <c r="M37" s="6"/>
      <c r="N37" s="6"/>
      <c r="O37" s="6"/>
      <c r="P37" s="6"/>
      <c r="Q37" s="6"/>
      <c r="R37" s="6"/>
      <c r="S37" s="6"/>
      <c r="T37" s="6"/>
      <c r="U37" s="6"/>
      <c r="V37" s="6"/>
      <c r="W37" s="6"/>
    </row>
    <row r="38" spans="1:23" ht="16" x14ac:dyDescent="0.2">
      <c r="A38"/>
      <c r="B38"/>
      <c r="C38"/>
      <c r="D38"/>
      <c r="E38" s="7"/>
      <c r="F38" s="6"/>
      <c r="G38" s="6"/>
      <c r="H38" s="6"/>
      <c r="I38" s="6"/>
      <c r="J38" s="6"/>
      <c r="K38" s="6"/>
      <c r="L38" s="6"/>
      <c r="M38" s="6"/>
      <c r="N38" s="6"/>
      <c r="O38" s="6"/>
      <c r="P38" s="6"/>
      <c r="Q38" s="6"/>
      <c r="R38" s="6"/>
      <c r="S38" s="6"/>
      <c r="T38" s="6"/>
      <c r="U38" s="6"/>
      <c r="V38" s="6"/>
      <c r="W38" s="6"/>
    </row>
    <row r="39" spans="1:23" ht="16" x14ac:dyDescent="0.2">
      <c r="A39"/>
      <c r="B39"/>
      <c r="C39"/>
      <c r="D39"/>
      <c r="E39" s="7"/>
      <c r="F39" s="6"/>
      <c r="G39" s="6"/>
      <c r="H39" s="6"/>
      <c r="I39" s="6"/>
      <c r="J39" s="6"/>
      <c r="K39" s="6"/>
      <c r="L39" s="6"/>
      <c r="M39" s="6"/>
      <c r="N39" s="6"/>
      <c r="O39" s="6"/>
      <c r="P39" s="6"/>
      <c r="Q39" s="6"/>
      <c r="R39" s="6"/>
      <c r="S39" s="6"/>
      <c r="T39" s="6"/>
      <c r="U39" s="6"/>
      <c r="V39" s="6"/>
      <c r="W39" s="6"/>
    </row>
    <row r="40" spans="1:23" ht="16" x14ac:dyDescent="0.2">
      <c r="A40"/>
      <c r="B40"/>
      <c r="C40"/>
      <c r="D40"/>
      <c r="E40" s="7"/>
      <c r="F40" s="6"/>
      <c r="G40" s="6"/>
      <c r="H40" s="6"/>
      <c r="I40" s="6"/>
      <c r="J40" s="6"/>
      <c r="K40" s="6"/>
      <c r="L40" s="6"/>
      <c r="M40" s="6"/>
      <c r="N40" s="6"/>
      <c r="O40" s="6"/>
      <c r="P40" s="6"/>
      <c r="Q40" s="6"/>
      <c r="R40" s="6"/>
      <c r="S40" s="6"/>
      <c r="T40" s="6"/>
      <c r="U40" s="6"/>
      <c r="V40" s="6"/>
      <c r="W40" s="6"/>
    </row>
    <row r="41" spans="1:23" ht="16" x14ac:dyDescent="0.2">
      <c r="A41"/>
      <c r="B41"/>
      <c r="C41"/>
      <c r="D41"/>
      <c r="E41" s="7"/>
      <c r="F41" s="6"/>
      <c r="G41" s="6"/>
      <c r="H41" s="6"/>
      <c r="I41" s="6"/>
      <c r="J41" s="6"/>
      <c r="K41" s="6"/>
      <c r="L41" s="6"/>
      <c r="M41" s="6"/>
      <c r="N41" s="6"/>
      <c r="O41" s="6"/>
      <c r="P41" s="6"/>
      <c r="Q41" s="6"/>
      <c r="R41" s="6"/>
      <c r="S41" s="6"/>
      <c r="T41" s="6"/>
      <c r="U41" s="6"/>
      <c r="V41" s="6"/>
      <c r="W41" s="6"/>
    </row>
    <row r="42" spans="1:23" ht="16" x14ac:dyDescent="0.2">
      <c r="A42"/>
      <c r="B42"/>
      <c r="C42"/>
      <c r="D42"/>
      <c r="E42" s="7"/>
      <c r="F42" s="6"/>
      <c r="G42" s="6"/>
      <c r="H42" s="6"/>
      <c r="I42" s="6"/>
      <c r="J42" s="6"/>
      <c r="K42" s="6"/>
      <c r="L42" s="6"/>
      <c r="M42" s="6"/>
      <c r="N42" s="6"/>
      <c r="O42" s="6"/>
      <c r="P42" s="6"/>
      <c r="Q42" s="6"/>
      <c r="R42" s="6"/>
      <c r="S42" s="6"/>
      <c r="T42" s="6"/>
      <c r="U42" s="6"/>
      <c r="V42" s="6"/>
      <c r="W42" s="6"/>
    </row>
    <row r="43" spans="1:23" ht="16" x14ac:dyDescent="0.2">
      <c r="A43"/>
      <c r="B43"/>
      <c r="C43"/>
      <c r="D43"/>
      <c r="E43" s="7"/>
      <c r="F43" s="6"/>
      <c r="G43" s="6"/>
      <c r="H43" s="6"/>
      <c r="I43" s="6"/>
      <c r="J43" s="6"/>
      <c r="K43" s="6"/>
      <c r="L43" s="6"/>
      <c r="M43" s="6"/>
      <c r="N43" s="6"/>
      <c r="O43" s="6"/>
      <c r="P43" s="6"/>
      <c r="Q43" s="6"/>
      <c r="R43" s="6"/>
      <c r="S43" s="6"/>
      <c r="T43" s="6"/>
      <c r="U43" s="6"/>
      <c r="V43" s="6"/>
      <c r="W43" s="6"/>
    </row>
    <row r="44" spans="1:23" ht="16" x14ac:dyDescent="0.2">
      <c r="A44"/>
      <c r="B44"/>
      <c r="C44"/>
      <c r="D44"/>
      <c r="E44" s="7"/>
      <c r="F44" s="6"/>
      <c r="G44" s="6"/>
      <c r="H44" s="6"/>
      <c r="I44" s="6"/>
      <c r="J44" s="6"/>
      <c r="K44" s="6"/>
      <c r="L44" s="6"/>
      <c r="M44" s="6"/>
      <c r="N44" s="6"/>
      <c r="O44" s="6"/>
      <c r="P44" s="6"/>
      <c r="Q44" s="6"/>
      <c r="R44" s="6"/>
      <c r="S44" s="6"/>
      <c r="T44" s="6"/>
      <c r="U44" s="6"/>
      <c r="V44" s="6"/>
      <c r="W44" s="6"/>
    </row>
    <row r="45" spans="1:23" ht="16" x14ac:dyDescent="0.2">
      <c r="A45"/>
      <c r="B45"/>
      <c r="C45"/>
      <c r="D45"/>
      <c r="E45" s="7"/>
      <c r="F45" s="6"/>
      <c r="G45" s="6"/>
      <c r="H45" s="6"/>
      <c r="I45" s="6"/>
      <c r="J45" s="6"/>
      <c r="K45" s="6"/>
      <c r="L45" s="6"/>
      <c r="M45" s="6"/>
      <c r="N45" s="6"/>
      <c r="O45" s="6"/>
      <c r="P45" s="6"/>
      <c r="Q45" s="6"/>
      <c r="R45" s="6"/>
      <c r="S45" s="6"/>
      <c r="T45" s="6"/>
      <c r="U45" s="6"/>
      <c r="V45" s="6"/>
      <c r="W45" s="6"/>
    </row>
    <row r="46" spans="1:23" ht="16" x14ac:dyDescent="0.2">
      <c r="A46"/>
      <c r="B46"/>
      <c r="C46"/>
      <c r="D46"/>
      <c r="E46" s="7"/>
      <c r="F46" s="6"/>
      <c r="G46" s="6"/>
      <c r="H46" s="6"/>
      <c r="I46" s="6"/>
      <c r="J46" s="6"/>
      <c r="K46" s="6"/>
      <c r="L46" s="6"/>
      <c r="M46" s="6"/>
      <c r="N46" s="6"/>
      <c r="O46" s="6"/>
      <c r="P46" s="6"/>
      <c r="Q46" s="6"/>
      <c r="R46" s="6"/>
      <c r="S46" s="6"/>
      <c r="T46" s="6"/>
      <c r="U46" s="6"/>
      <c r="V46" s="6"/>
      <c r="W46" s="6"/>
    </row>
    <row r="47" spans="1:23" ht="16" x14ac:dyDescent="0.2">
      <c r="A47"/>
      <c r="B47"/>
      <c r="C47"/>
      <c r="D47"/>
      <c r="E47" s="7"/>
      <c r="F47" s="6"/>
      <c r="G47" s="6"/>
      <c r="H47" s="6"/>
      <c r="I47" s="6"/>
      <c r="J47" s="6"/>
      <c r="K47" s="6"/>
      <c r="L47" s="6"/>
      <c r="M47" s="6"/>
      <c r="N47" s="6"/>
      <c r="O47" s="6"/>
      <c r="P47" s="6"/>
      <c r="Q47" s="6"/>
      <c r="R47" s="6"/>
      <c r="S47" s="6"/>
      <c r="T47" s="6"/>
      <c r="U47" s="6"/>
      <c r="V47" s="6"/>
      <c r="W47" s="6"/>
    </row>
    <row r="48" spans="1:23" ht="16" x14ac:dyDescent="0.2">
      <c r="A48"/>
      <c r="B48"/>
      <c r="C48"/>
      <c r="D48"/>
      <c r="E48" s="7"/>
      <c r="F48" s="6"/>
      <c r="G48" s="6"/>
      <c r="H48" s="6"/>
      <c r="I48" s="6"/>
      <c r="J48" s="6"/>
      <c r="K48" s="6"/>
      <c r="L48" s="6"/>
      <c r="M48" s="6"/>
      <c r="N48" s="6"/>
      <c r="O48" s="6"/>
      <c r="P48" s="6"/>
      <c r="Q48" s="6"/>
      <c r="R48" s="6"/>
      <c r="S48" s="6"/>
      <c r="T48" s="6"/>
      <c r="U48" s="6"/>
      <c r="V48" s="6"/>
      <c r="W48" s="6"/>
    </row>
    <row r="49" spans="1:23" ht="16" x14ac:dyDescent="0.2">
      <c r="A49"/>
      <c r="B49"/>
      <c r="C49"/>
      <c r="D49"/>
      <c r="E49" s="7"/>
      <c r="F49" s="6"/>
      <c r="G49" s="6"/>
      <c r="H49" s="6"/>
      <c r="I49" s="6"/>
      <c r="J49" s="6"/>
      <c r="K49" s="6"/>
      <c r="L49" s="6"/>
      <c r="M49" s="6"/>
      <c r="N49" s="6"/>
      <c r="O49" s="6"/>
      <c r="P49" s="6"/>
      <c r="Q49" s="6"/>
      <c r="R49" s="6"/>
      <c r="S49" s="6"/>
      <c r="T49" s="6"/>
      <c r="U49" s="6"/>
      <c r="V49" s="6"/>
      <c r="W49" s="6"/>
    </row>
    <row r="50" spans="1:23" ht="16" x14ac:dyDescent="0.2">
      <c r="A50"/>
      <c r="B50"/>
      <c r="C50"/>
      <c r="D50"/>
      <c r="E50" s="7"/>
      <c r="F50" s="6"/>
      <c r="G50" s="6"/>
      <c r="H50" s="6"/>
      <c r="I50" s="6"/>
      <c r="J50" s="6"/>
      <c r="K50" s="6"/>
      <c r="L50" s="6"/>
      <c r="M50" s="6"/>
      <c r="N50" s="6"/>
      <c r="O50" s="6"/>
      <c r="P50" s="6"/>
      <c r="Q50" s="6"/>
      <c r="R50" s="6"/>
      <c r="S50" s="6"/>
      <c r="T50" s="6"/>
      <c r="U50" s="6"/>
      <c r="V50" s="6"/>
      <c r="W50" s="6"/>
    </row>
    <row r="51" spans="1:23" ht="16" x14ac:dyDescent="0.2">
      <c r="A51"/>
      <c r="B51"/>
      <c r="C51"/>
      <c r="D51"/>
      <c r="E51" s="7"/>
      <c r="F51" s="6"/>
      <c r="G51" s="6"/>
      <c r="H51" s="6"/>
      <c r="I51" s="6"/>
      <c r="J51" s="6"/>
      <c r="K51" s="6"/>
      <c r="L51" s="6"/>
      <c r="M51" s="6"/>
      <c r="N51" s="6"/>
      <c r="O51" s="6"/>
      <c r="P51" s="6"/>
      <c r="Q51" s="6"/>
      <c r="R51" s="6"/>
      <c r="S51" s="6"/>
      <c r="T51" s="6"/>
      <c r="U51" s="6"/>
      <c r="V51" s="6"/>
      <c r="W51" s="6"/>
    </row>
    <row r="52" spans="1:23" ht="16" x14ac:dyDescent="0.2">
      <c r="A52"/>
      <c r="B52"/>
      <c r="C52"/>
      <c r="D52"/>
      <c r="E52" s="7"/>
      <c r="F52" s="6"/>
      <c r="G52" s="6"/>
      <c r="H52" s="6"/>
      <c r="I52" s="6"/>
      <c r="J52" s="6"/>
      <c r="K52" s="6"/>
      <c r="L52" s="6"/>
      <c r="M52" s="6"/>
      <c r="N52" s="6"/>
      <c r="O52" s="6"/>
      <c r="P52" s="6"/>
      <c r="Q52" s="6"/>
      <c r="R52" s="6"/>
      <c r="S52" s="6"/>
      <c r="T52" s="6"/>
      <c r="U52" s="6"/>
      <c r="V52" s="6"/>
      <c r="W52" s="6"/>
    </row>
    <row r="53" spans="1:23" ht="16" x14ac:dyDescent="0.2">
      <c r="A53"/>
      <c r="B53"/>
      <c r="C53"/>
      <c r="D53"/>
      <c r="E53" s="7"/>
      <c r="F53" s="6"/>
      <c r="G53" s="6"/>
      <c r="H53" s="6"/>
      <c r="I53" s="6"/>
      <c r="J53" s="6"/>
      <c r="K53" s="6"/>
      <c r="L53" s="6"/>
      <c r="M53" s="6"/>
      <c r="N53" s="6"/>
      <c r="O53" s="6"/>
      <c r="P53" s="6"/>
      <c r="Q53" s="6"/>
      <c r="R53" s="6"/>
      <c r="S53" s="6"/>
      <c r="T53" s="6"/>
      <c r="U53" s="6"/>
      <c r="V53" s="6"/>
      <c r="W53" s="6"/>
    </row>
    <row r="54" spans="1:23" ht="16" x14ac:dyDescent="0.2">
      <c r="A54"/>
      <c r="B54"/>
      <c r="C54"/>
      <c r="D54"/>
      <c r="E54" s="7"/>
      <c r="F54" s="6"/>
      <c r="G54" s="6"/>
      <c r="H54" s="6"/>
      <c r="I54" s="6"/>
      <c r="J54" s="6"/>
      <c r="K54" s="6"/>
      <c r="L54" s="6"/>
      <c r="M54" s="6"/>
      <c r="N54" s="6"/>
      <c r="O54" s="6"/>
      <c r="P54" s="6"/>
      <c r="Q54" s="6"/>
      <c r="R54" s="6"/>
      <c r="S54" s="6"/>
      <c r="T54" s="6"/>
      <c r="U54" s="6"/>
      <c r="V54" s="6"/>
      <c r="W54" s="6"/>
    </row>
    <row r="55" spans="1:23" ht="16" x14ac:dyDescent="0.2">
      <c r="A55"/>
      <c r="B55"/>
      <c r="C55"/>
      <c r="D55"/>
      <c r="E55" s="7"/>
      <c r="F55" s="6"/>
      <c r="G55" s="6"/>
      <c r="H55" s="6"/>
      <c r="I55" s="6"/>
      <c r="J55" s="6"/>
      <c r="K55" s="6"/>
      <c r="L55" s="6"/>
      <c r="M55" s="6"/>
      <c r="N55" s="6"/>
      <c r="O55" s="6"/>
      <c r="P55" s="6"/>
      <c r="Q55" s="6"/>
      <c r="R55" s="6"/>
      <c r="S55" s="6"/>
      <c r="T55" s="6"/>
      <c r="U55" s="6"/>
      <c r="V55" s="6"/>
      <c r="W55" s="6"/>
    </row>
    <row r="56" spans="1:23" ht="16" x14ac:dyDescent="0.2">
      <c r="A56"/>
      <c r="B56"/>
      <c r="C56"/>
      <c r="D56"/>
      <c r="E56" s="7"/>
      <c r="F56" s="6"/>
      <c r="G56" s="6"/>
      <c r="H56" s="6"/>
      <c r="I56" s="6"/>
      <c r="J56" s="6"/>
      <c r="K56" s="6"/>
      <c r="L56" s="6"/>
      <c r="M56" s="6"/>
      <c r="N56" s="6"/>
      <c r="O56" s="6"/>
      <c r="P56" s="6"/>
      <c r="Q56" s="6"/>
      <c r="R56" s="6"/>
      <c r="S56" s="6"/>
      <c r="T56" s="6"/>
      <c r="U56" s="6"/>
      <c r="V56" s="6"/>
      <c r="W56" s="6"/>
    </row>
    <row r="57" spans="1:23" ht="16" x14ac:dyDescent="0.2">
      <c r="A57"/>
      <c r="B57"/>
      <c r="C57"/>
      <c r="D57"/>
      <c r="E57" s="7"/>
      <c r="F57" s="6"/>
      <c r="G57" s="6"/>
      <c r="H57" s="6"/>
      <c r="I57" s="6"/>
      <c r="J57" s="6"/>
      <c r="K57" s="6"/>
      <c r="L57" s="6"/>
      <c r="M57" s="6"/>
      <c r="N57" s="6"/>
      <c r="O57" s="6"/>
      <c r="P57" s="6"/>
      <c r="Q57" s="6"/>
      <c r="R57" s="6"/>
      <c r="S57" s="6"/>
      <c r="T57" s="6"/>
      <c r="U57" s="6"/>
      <c r="V57" s="6"/>
      <c r="W57" s="6"/>
    </row>
    <row r="58" spans="1:23" ht="16" x14ac:dyDescent="0.2">
      <c r="A58"/>
      <c r="B58"/>
      <c r="C58"/>
      <c r="D58"/>
      <c r="E58" s="7"/>
      <c r="F58" s="6"/>
      <c r="G58" s="6"/>
      <c r="H58" s="6"/>
      <c r="I58" s="6"/>
      <c r="J58" s="6"/>
      <c r="K58" s="6"/>
      <c r="L58" s="6"/>
      <c r="M58" s="6"/>
      <c r="N58" s="6"/>
      <c r="O58" s="6"/>
      <c r="P58" s="6"/>
      <c r="Q58" s="6"/>
      <c r="R58" s="6"/>
      <c r="S58" s="6"/>
      <c r="T58" s="6"/>
      <c r="U58" s="6"/>
      <c r="V58" s="6"/>
      <c r="W58" s="6"/>
    </row>
    <row r="59" spans="1:23" ht="16" x14ac:dyDescent="0.2">
      <c r="A59"/>
      <c r="B59"/>
      <c r="C59"/>
      <c r="D59"/>
      <c r="E59" s="7"/>
      <c r="F59" s="6"/>
      <c r="G59" s="6"/>
      <c r="H59" s="6"/>
      <c r="I59" s="6"/>
      <c r="J59" s="6"/>
      <c r="K59" s="6"/>
      <c r="L59" s="6"/>
      <c r="M59" s="6"/>
      <c r="N59" s="6"/>
      <c r="O59" s="6"/>
      <c r="P59" s="6"/>
      <c r="Q59" s="6"/>
      <c r="R59" s="6"/>
      <c r="S59" s="6"/>
      <c r="T59" s="6"/>
      <c r="U59" s="6"/>
      <c r="V59" s="6"/>
      <c r="W59" s="6"/>
    </row>
    <row r="60" spans="1:23" ht="16" x14ac:dyDescent="0.2">
      <c r="A60"/>
      <c r="B60"/>
      <c r="C60"/>
      <c r="D60"/>
      <c r="E60" s="7"/>
      <c r="F60" s="6"/>
      <c r="G60" s="6"/>
      <c r="H60" s="6"/>
      <c r="I60" s="6"/>
      <c r="J60" s="6"/>
      <c r="K60" s="6"/>
      <c r="L60" s="6"/>
      <c r="M60" s="6"/>
      <c r="N60" s="6"/>
      <c r="O60" s="6"/>
      <c r="P60" s="6"/>
      <c r="Q60" s="6"/>
      <c r="R60" s="6"/>
      <c r="S60" s="6"/>
      <c r="T60" s="6"/>
      <c r="U60" s="6"/>
      <c r="V60" s="6"/>
      <c r="W60" s="6"/>
    </row>
    <row r="61" spans="1:23" ht="16" x14ac:dyDescent="0.2">
      <c r="A61"/>
      <c r="B61"/>
      <c r="C61"/>
      <c r="D61"/>
      <c r="E61" s="7"/>
      <c r="F61" s="6"/>
      <c r="G61" s="6"/>
      <c r="H61" s="6"/>
      <c r="I61" s="6"/>
      <c r="J61" s="6"/>
      <c r="K61" s="6"/>
      <c r="L61" s="6"/>
      <c r="M61" s="6"/>
      <c r="N61" s="6"/>
      <c r="O61" s="6"/>
      <c r="P61" s="6"/>
      <c r="Q61" s="6"/>
      <c r="R61" s="6"/>
      <c r="S61" s="6"/>
      <c r="T61" s="6"/>
      <c r="U61" s="6"/>
      <c r="V61" s="6"/>
      <c r="W61" s="6"/>
    </row>
    <row r="62" spans="1:23" ht="16" x14ac:dyDescent="0.2">
      <c r="A62"/>
      <c r="B62"/>
      <c r="C62"/>
      <c r="D62"/>
      <c r="E62" s="7"/>
      <c r="F62" s="6"/>
      <c r="G62" s="6"/>
      <c r="H62" s="6"/>
      <c r="I62" s="6"/>
      <c r="J62" s="6"/>
      <c r="K62" s="6"/>
      <c r="L62" s="6"/>
      <c r="M62" s="6"/>
      <c r="N62" s="6"/>
      <c r="O62" s="6"/>
      <c r="P62" s="6"/>
      <c r="Q62" s="6"/>
      <c r="R62" s="6"/>
      <c r="S62" s="6"/>
      <c r="T62" s="6"/>
      <c r="U62" s="6"/>
      <c r="V62" s="6"/>
      <c r="W62" s="6"/>
    </row>
    <row r="63" spans="1:23" ht="16" x14ac:dyDescent="0.2">
      <c r="A63"/>
      <c r="B63"/>
      <c r="C63"/>
      <c r="D63"/>
      <c r="E63" s="7"/>
      <c r="F63" s="6"/>
      <c r="G63" s="6"/>
      <c r="H63" s="6"/>
      <c r="I63" s="6"/>
      <c r="J63" s="6"/>
      <c r="K63" s="6"/>
      <c r="L63" s="6"/>
      <c r="M63" s="6"/>
      <c r="N63" s="6"/>
      <c r="O63" s="6"/>
      <c r="P63" s="6"/>
      <c r="Q63" s="6"/>
      <c r="R63" s="6"/>
      <c r="S63" s="6"/>
      <c r="T63" s="6"/>
      <c r="U63" s="6"/>
      <c r="V63" s="6"/>
      <c r="W63" s="6"/>
    </row>
    <row r="64" spans="1:23" ht="16" x14ac:dyDescent="0.2">
      <c r="A64"/>
      <c r="B64"/>
      <c r="C64"/>
      <c r="D64"/>
      <c r="E64" s="7"/>
      <c r="F64" s="6"/>
      <c r="G64" s="6"/>
      <c r="H64" s="6"/>
      <c r="I64" s="6"/>
      <c r="J64" s="6"/>
      <c r="K64" s="6"/>
      <c r="L64" s="6"/>
      <c r="M64" s="6"/>
      <c r="N64" s="6"/>
      <c r="O64" s="6"/>
      <c r="P64" s="6"/>
      <c r="Q64" s="6"/>
      <c r="R64" s="6"/>
      <c r="S64" s="6"/>
      <c r="T64" s="6"/>
      <c r="U64" s="6"/>
      <c r="V64" s="6"/>
      <c r="W64" s="6"/>
    </row>
    <row r="65" spans="1:23" ht="16" x14ac:dyDescent="0.2">
      <c r="A65"/>
      <c r="B65"/>
      <c r="C65"/>
      <c r="D65"/>
      <c r="E65" s="7"/>
      <c r="F65" s="6"/>
      <c r="G65" s="6"/>
      <c r="H65" s="6"/>
      <c r="I65" s="6"/>
      <c r="J65" s="6"/>
      <c r="K65" s="6"/>
      <c r="L65" s="6"/>
      <c r="M65" s="6"/>
      <c r="N65" s="6"/>
      <c r="O65" s="6"/>
      <c r="P65" s="6"/>
      <c r="Q65" s="6"/>
      <c r="R65" s="6"/>
      <c r="S65" s="6"/>
      <c r="T65" s="6"/>
      <c r="U65" s="6"/>
      <c r="V65" s="6"/>
      <c r="W65" s="6"/>
    </row>
    <row r="66" spans="1:23" ht="16" x14ac:dyDescent="0.2">
      <c r="A66"/>
      <c r="B66"/>
      <c r="C66"/>
      <c r="D66"/>
      <c r="E66" s="7"/>
      <c r="F66" s="6"/>
      <c r="G66" s="6"/>
      <c r="H66" s="6"/>
      <c r="I66" s="6"/>
      <c r="J66" s="6"/>
      <c r="K66" s="6"/>
      <c r="L66" s="6"/>
      <c r="M66" s="6"/>
      <c r="N66" s="6"/>
      <c r="O66" s="6"/>
      <c r="P66" s="6"/>
      <c r="Q66" s="6"/>
      <c r="R66" s="6"/>
      <c r="S66" s="6"/>
      <c r="T66" s="6"/>
      <c r="U66" s="6"/>
      <c r="V66" s="6"/>
      <c r="W66" s="6"/>
    </row>
    <row r="67" spans="1:23" ht="16" x14ac:dyDescent="0.2">
      <c r="A67"/>
      <c r="B67"/>
      <c r="C67"/>
      <c r="D67"/>
      <c r="E67" s="7"/>
      <c r="F67" s="6"/>
      <c r="G67" s="6"/>
      <c r="H67" s="6"/>
      <c r="I67" s="6"/>
      <c r="J67" s="6"/>
      <c r="K67" s="6"/>
      <c r="L67" s="6"/>
      <c r="M67" s="6"/>
      <c r="N67" s="6"/>
      <c r="O67" s="6"/>
      <c r="P67" s="6"/>
      <c r="Q67" s="6"/>
      <c r="R67" s="6"/>
      <c r="S67" s="6"/>
      <c r="T67" s="6"/>
      <c r="U67" s="6"/>
      <c r="V67" s="6"/>
      <c r="W67" s="6"/>
    </row>
    <row r="68" spans="1:23" ht="16" x14ac:dyDescent="0.2">
      <c r="A68"/>
      <c r="B68"/>
      <c r="C68"/>
      <c r="D68"/>
      <c r="E68" s="7"/>
      <c r="F68" s="6"/>
      <c r="G68" s="6"/>
      <c r="H68" s="6"/>
      <c r="I68" s="6"/>
      <c r="J68" s="6"/>
      <c r="K68" s="6"/>
      <c r="L68" s="6"/>
      <c r="M68" s="6"/>
      <c r="N68" s="6"/>
      <c r="O68" s="6"/>
      <c r="P68" s="6"/>
      <c r="Q68" s="6"/>
      <c r="R68" s="6"/>
      <c r="S68" s="6"/>
      <c r="T68" s="6"/>
      <c r="U68" s="6"/>
      <c r="V68" s="6"/>
      <c r="W68" s="6"/>
    </row>
    <row r="69" spans="1:23" ht="16" x14ac:dyDescent="0.2">
      <c r="A69"/>
      <c r="B69"/>
      <c r="C69"/>
      <c r="D69"/>
      <c r="E69" s="7"/>
      <c r="F69" s="6"/>
      <c r="G69" s="6"/>
      <c r="H69" s="6"/>
      <c r="I69" s="6"/>
      <c r="J69" s="6"/>
      <c r="K69" s="6"/>
      <c r="L69" s="6"/>
      <c r="M69" s="6"/>
      <c r="N69" s="6"/>
      <c r="O69" s="6"/>
      <c r="P69" s="6"/>
      <c r="Q69" s="6"/>
      <c r="R69" s="6"/>
      <c r="S69" s="6"/>
      <c r="T69" s="6"/>
      <c r="U69" s="6"/>
      <c r="V69" s="6"/>
      <c r="W69" s="6"/>
    </row>
    <row r="70" spans="1:23" ht="16" x14ac:dyDescent="0.2">
      <c r="A70"/>
      <c r="B70"/>
      <c r="C70"/>
      <c r="D70"/>
      <c r="E70" s="7"/>
      <c r="F70" s="6"/>
      <c r="G70" s="6"/>
      <c r="H70" s="6"/>
      <c r="I70" s="6"/>
      <c r="J70" s="6"/>
      <c r="K70" s="6"/>
      <c r="L70" s="6"/>
      <c r="M70" s="6"/>
      <c r="N70" s="6"/>
      <c r="O70" s="6"/>
      <c r="P70" s="6"/>
      <c r="Q70" s="6"/>
      <c r="R70" s="6"/>
      <c r="S70" s="6"/>
      <c r="T70" s="6"/>
      <c r="U70" s="6"/>
      <c r="V70" s="6"/>
      <c r="W70" s="6"/>
    </row>
    <row r="71" spans="1:23" ht="16" x14ac:dyDescent="0.2">
      <c r="A71"/>
      <c r="B71"/>
      <c r="C71"/>
      <c r="D71"/>
      <c r="E71" s="7"/>
      <c r="F71" s="6"/>
      <c r="G71" s="6"/>
      <c r="H71" s="6"/>
      <c r="I71" s="6"/>
      <c r="J71" s="6"/>
      <c r="K71" s="6"/>
      <c r="L71" s="6"/>
      <c r="M71" s="6"/>
      <c r="N71" s="6"/>
      <c r="O71" s="6"/>
      <c r="P71" s="6"/>
      <c r="Q71" s="6"/>
      <c r="R71" s="6"/>
      <c r="S71" s="6"/>
      <c r="T71" s="6"/>
      <c r="U71" s="6"/>
      <c r="V71" s="6"/>
      <c r="W71" s="6"/>
    </row>
    <row r="72" spans="1:23" ht="16" x14ac:dyDescent="0.2">
      <c r="A72"/>
      <c r="B72"/>
      <c r="C72"/>
      <c r="D72"/>
      <c r="E72" s="7"/>
      <c r="F72" s="6"/>
      <c r="G72" s="6"/>
      <c r="H72" s="6"/>
      <c r="I72" s="6"/>
      <c r="J72" s="6"/>
      <c r="K72" s="6"/>
      <c r="L72" s="6"/>
      <c r="M72" s="6"/>
      <c r="N72" s="6"/>
      <c r="O72" s="6"/>
      <c r="P72" s="6"/>
      <c r="Q72" s="6"/>
      <c r="R72" s="6"/>
      <c r="S72" s="6"/>
      <c r="T72" s="6"/>
      <c r="U72" s="6"/>
      <c r="V72" s="6"/>
      <c r="W72" s="6"/>
    </row>
    <row r="73" spans="1:23" ht="16" x14ac:dyDescent="0.2">
      <c r="A73"/>
      <c r="B73"/>
      <c r="C73"/>
      <c r="D73"/>
      <c r="E73" s="7"/>
      <c r="F73" s="6"/>
      <c r="G73" s="6"/>
      <c r="H73" s="6"/>
      <c r="I73" s="6"/>
      <c r="J73" s="6"/>
      <c r="K73" s="6"/>
      <c r="L73" s="6"/>
      <c r="M73" s="6"/>
      <c r="N73" s="6"/>
      <c r="O73" s="6"/>
      <c r="P73" s="6"/>
      <c r="Q73" s="6"/>
      <c r="R73" s="6"/>
      <c r="S73" s="6"/>
      <c r="T73" s="6"/>
      <c r="U73" s="6"/>
      <c r="V73" s="6"/>
      <c r="W73" s="6"/>
    </row>
    <row r="74" spans="1:23" ht="16" x14ac:dyDescent="0.2">
      <c r="A74"/>
      <c r="B74"/>
      <c r="C74"/>
      <c r="D74"/>
      <c r="E74" s="7"/>
      <c r="F74" s="6"/>
      <c r="G74" s="6"/>
      <c r="H74" s="6"/>
      <c r="I74" s="6"/>
      <c r="J74" s="6"/>
      <c r="K74" s="6"/>
      <c r="L74" s="6"/>
      <c r="M74" s="6"/>
      <c r="N74" s="6"/>
      <c r="O74" s="6"/>
      <c r="P74" s="6"/>
      <c r="Q74" s="6"/>
      <c r="R74" s="6"/>
      <c r="S74" s="6"/>
      <c r="T74" s="6"/>
      <c r="U74" s="6"/>
      <c r="V74" s="6"/>
      <c r="W74" s="6"/>
    </row>
    <row r="75" spans="1:23" ht="16" x14ac:dyDescent="0.2">
      <c r="A75"/>
      <c r="B75"/>
      <c r="C75"/>
      <c r="D75"/>
      <c r="E75" s="7"/>
      <c r="F75" s="6"/>
      <c r="G75" s="6"/>
      <c r="H75" s="6"/>
      <c r="I75" s="6"/>
      <c r="J75" s="6"/>
      <c r="K75" s="6"/>
      <c r="L75" s="6"/>
      <c r="M75" s="6"/>
      <c r="N75" s="6"/>
      <c r="O75" s="6"/>
      <c r="P75" s="6"/>
      <c r="Q75" s="6"/>
      <c r="R75" s="6"/>
      <c r="S75" s="6"/>
      <c r="T75" s="6"/>
      <c r="U75" s="6"/>
      <c r="V75" s="6"/>
      <c r="W75" s="6"/>
    </row>
    <row r="76" spans="1:23" ht="16" x14ac:dyDescent="0.2">
      <c r="A76"/>
      <c r="B76"/>
      <c r="C76"/>
      <c r="D76"/>
      <c r="E76" s="7"/>
      <c r="F76" s="6"/>
      <c r="G76" s="6"/>
      <c r="H76" s="6"/>
      <c r="I76" s="6"/>
      <c r="J76" s="6"/>
      <c r="K76" s="6"/>
      <c r="L76" s="6"/>
      <c r="M76" s="6"/>
      <c r="N76" s="6"/>
      <c r="O76" s="6"/>
      <c r="P76" s="6"/>
      <c r="Q76" s="6"/>
      <c r="R76" s="6"/>
      <c r="S76" s="6"/>
      <c r="T76" s="6"/>
      <c r="U76" s="6"/>
      <c r="V76" s="6"/>
      <c r="W76" s="6"/>
    </row>
    <row r="77" spans="1:23" ht="16" x14ac:dyDescent="0.2">
      <c r="A77"/>
      <c r="B77"/>
      <c r="C77"/>
      <c r="D77"/>
      <c r="E77" s="7"/>
      <c r="F77" s="6"/>
      <c r="G77" s="6"/>
      <c r="H77" s="6"/>
      <c r="I77" s="6"/>
      <c r="J77" s="6"/>
      <c r="K77" s="6"/>
      <c r="L77" s="6"/>
      <c r="M77" s="6"/>
      <c r="N77" s="6"/>
      <c r="O77" s="6"/>
      <c r="P77" s="6"/>
      <c r="Q77" s="6"/>
      <c r="R77" s="6"/>
      <c r="S77" s="6"/>
      <c r="T77" s="6"/>
      <c r="U77" s="6"/>
      <c r="V77" s="6"/>
      <c r="W77" s="6"/>
    </row>
    <row r="78" spans="1:23" ht="16" x14ac:dyDescent="0.2">
      <c r="A78"/>
      <c r="B78"/>
      <c r="C78"/>
      <c r="D78"/>
      <c r="E78" s="7"/>
      <c r="F78" s="6"/>
      <c r="G78" s="6"/>
      <c r="H78" s="6"/>
      <c r="I78" s="6"/>
      <c r="J78" s="6"/>
      <c r="K78" s="6"/>
      <c r="L78" s="6"/>
      <c r="M78" s="6"/>
      <c r="N78" s="6"/>
      <c r="O78" s="6"/>
      <c r="P78" s="6"/>
      <c r="Q78" s="6"/>
      <c r="R78" s="6"/>
      <c r="S78" s="6"/>
      <c r="T78" s="6"/>
      <c r="U78" s="6"/>
      <c r="V78" s="6"/>
      <c r="W78" s="6"/>
    </row>
    <row r="79" spans="1:23" ht="16" x14ac:dyDescent="0.2">
      <c r="A79"/>
      <c r="B79"/>
      <c r="C79"/>
      <c r="D79"/>
      <c r="E79" s="7"/>
      <c r="F79" s="6"/>
      <c r="G79" s="6"/>
      <c r="H79" s="6"/>
      <c r="I79" s="6"/>
      <c r="J79" s="6"/>
      <c r="K79" s="6"/>
      <c r="L79" s="6"/>
      <c r="M79" s="6"/>
      <c r="N79" s="6"/>
      <c r="O79" s="6"/>
      <c r="P79" s="6"/>
      <c r="Q79" s="6"/>
      <c r="R79" s="6"/>
      <c r="S79" s="6"/>
      <c r="T79" s="6"/>
      <c r="U79" s="6"/>
      <c r="V79" s="6"/>
      <c r="W79" s="6"/>
    </row>
    <row r="80" spans="1:23" ht="16" x14ac:dyDescent="0.2">
      <c r="A80"/>
      <c r="B80"/>
      <c r="C80"/>
      <c r="D80"/>
      <c r="E80" s="7"/>
      <c r="F80" s="6"/>
      <c r="G80" s="6"/>
      <c r="H80" s="6"/>
      <c r="I80" s="6"/>
      <c r="J80" s="6"/>
      <c r="K80" s="6"/>
      <c r="L80" s="6"/>
      <c r="M80" s="6"/>
      <c r="N80" s="6"/>
      <c r="O80" s="6"/>
      <c r="P80" s="6"/>
      <c r="Q80" s="6"/>
      <c r="R80" s="6"/>
      <c r="S80" s="6"/>
      <c r="T80" s="6"/>
      <c r="U80" s="6"/>
      <c r="V80" s="6"/>
      <c r="W80" s="6"/>
    </row>
    <row r="81" spans="1:23" ht="16" x14ac:dyDescent="0.2">
      <c r="A81"/>
      <c r="B81"/>
      <c r="C81"/>
      <c r="D81"/>
      <c r="E81" s="7"/>
      <c r="F81" s="6"/>
      <c r="G81" s="6"/>
      <c r="H81" s="6"/>
      <c r="I81" s="6"/>
      <c r="J81" s="6"/>
      <c r="K81" s="6"/>
      <c r="L81" s="6"/>
      <c r="M81" s="6"/>
      <c r="N81" s="6"/>
      <c r="O81" s="6"/>
      <c r="P81" s="6"/>
      <c r="Q81" s="6"/>
      <c r="R81" s="6"/>
      <c r="S81" s="6"/>
      <c r="T81" s="6"/>
      <c r="U81" s="6"/>
      <c r="V81" s="6"/>
      <c r="W81" s="6"/>
    </row>
    <row r="82" spans="1:23" ht="16" x14ac:dyDescent="0.2">
      <c r="A82"/>
      <c r="B82"/>
      <c r="C82"/>
      <c r="D82"/>
      <c r="E82" s="7"/>
      <c r="F82" s="6"/>
      <c r="G82" s="6"/>
      <c r="H82" s="6"/>
      <c r="I82" s="6"/>
      <c r="J82" s="6"/>
      <c r="K82" s="6"/>
      <c r="L82" s="6"/>
      <c r="M82" s="6"/>
      <c r="N82" s="6"/>
      <c r="O82" s="6"/>
      <c r="P82" s="6"/>
      <c r="Q82" s="6"/>
      <c r="R82" s="6"/>
      <c r="S82" s="6"/>
      <c r="T82" s="6"/>
      <c r="U82" s="6"/>
      <c r="V82" s="6"/>
      <c r="W82" s="6"/>
    </row>
    <row r="83" spans="1:23" ht="16" x14ac:dyDescent="0.2">
      <c r="A83"/>
      <c r="B83"/>
      <c r="C83"/>
      <c r="D83"/>
      <c r="E83" s="7"/>
      <c r="F83" s="6"/>
      <c r="G83" s="6"/>
      <c r="H83" s="6"/>
      <c r="I83" s="6"/>
      <c r="J83" s="6"/>
      <c r="K83" s="6"/>
      <c r="L83" s="6"/>
      <c r="M83" s="6"/>
      <c r="N83" s="6"/>
      <c r="O83" s="6"/>
      <c r="P83" s="6"/>
      <c r="Q83" s="6"/>
      <c r="R83" s="6"/>
      <c r="S83" s="6"/>
      <c r="T83" s="6"/>
      <c r="U83" s="6"/>
      <c r="V83" s="6"/>
      <c r="W83" s="6"/>
    </row>
    <row r="84" spans="1:23" ht="16" x14ac:dyDescent="0.2">
      <c r="A84"/>
      <c r="B84"/>
      <c r="C84"/>
      <c r="D84"/>
      <c r="E84" s="7"/>
      <c r="F84" s="6"/>
      <c r="G84" s="6"/>
      <c r="H84" s="6"/>
      <c r="I84" s="6"/>
      <c r="J84" s="6"/>
      <c r="K84" s="6"/>
      <c r="L84" s="6"/>
      <c r="M84" s="6"/>
      <c r="N84" s="6"/>
      <c r="O84" s="6"/>
      <c r="P84" s="6"/>
      <c r="Q84" s="6"/>
      <c r="R84" s="6"/>
      <c r="S84" s="6"/>
      <c r="T84" s="6"/>
      <c r="U84" s="6"/>
      <c r="V84" s="6"/>
      <c r="W84" s="6"/>
    </row>
    <row r="85" spans="1:23" ht="16" x14ac:dyDescent="0.2">
      <c r="A85"/>
      <c r="B85"/>
      <c r="C85"/>
      <c r="D85"/>
      <c r="E85" s="7"/>
      <c r="F85" s="6"/>
      <c r="G85" s="6"/>
      <c r="H85" s="6"/>
      <c r="I85" s="6"/>
      <c r="J85" s="6"/>
      <c r="K85" s="6"/>
      <c r="L85" s="6"/>
      <c r="M85" s="6"/>
      <c r="N85" s="6"/>
      <c r="O85" s="6"/>
      <c r="P85" s="6"/>
      <c r="Q85" s="6"/>
      <c r="R85" s="6"/>
      <c r="S85" s="6"/>
      <c r="T85" s="6"/>
      <c r="U85" s="6"/>
      <c r="V85" s="6"/>
      <c r="W85" s="6"/>
    </row>
    <row r="86" spans="1:23" ht="16" x14ac:dyDescent="0.2">
      <c r="A86"/>
      <c r="B86"/>
      <c r="C86"/>
      <c r="D86"/>
      <c r="E86" s="7"/>
      <c r="F86" s="6"/>
      <c r="G86" s="6"/>
      <c r="H86" s="6"/>
      <c r="I86" s="6"/>
      <c r="J86" s="6"/>
      <c r="K86" s="6"/>
      <c r="L86" s="6"/>
      <c r="M86" s="6"/>
      <c r="N86" s="6"/>
      <c r="O86" s="6"/>
      <c r="P86" s="6"/>
      <c r="Q86" s="6"/>
      <c r="R86" s="6"/>
      <c r="S86" s="6"/>
      <c r="T86" s="6"/>
      <c r="U86" s="6"/>
      <c r="V86" s="6"/>
      <c r="W86" s="6"/>
    </row>
    <row r="87" spans="1:23" ht="16" x14ac:dyDescent="0.2">
      <c r="A87"/>
      <c r="B87"/>
      <c r="C87"/>
      <c r="D87"/>
      <c r="E87" s="7"/>
      <c r="F87" s="6"/>
      <c r="G87" s="6"/>
      <c r="H87" s="6"/>
      <c r="I87" s="6"/>
      <c r="J87" s="6"/>
      <c r="K87" s="6"/>
      <c r="L87" s="6"/>
      <c r="M87" s="6"/>
      <c r="N87" s="6"/>
      <c r="O87" s="6"/>
      <c r="P87" s="6"/>
      <c r="Q87" s="6"/>
      <c r="R87" s="6"/>
      <c r="S87" s="6"/>
      <c r="T87" s="6"/>
      <c r="U87" s="6"/>
      <c r="V87" s="6"/>
      <c r="W87" s="6"/>
    </row>
    <row r="88" spans="1:23" ht="16" x14ac:dyDescent="0.2">
      <c r="A88"/>
      <c r="B88"/>
      <c r="C88"/>
      <c r="D88"/>
      <c r="E88" s="7"/>
      <c r="F88" s="6"/>
      <c r="G88" s="6"/>
      <c r="H88" s="6"/>
      <c r="I88" s="6"/>
      <c r="J88" s="6"/>
      <c r="K88" s="6"/>
      <c r="L88" s="6"/>
      <c r="M88" s="6"/>
      <c r="N88" s="6"/>
      <c r="O88" s="6"/>
      <c r="P88" s="6"/>
      <c r="Q88" s="6"/>
      <c r="R88" s="6"/>
      <c r="S88" s="6"/>
      <c r="T88" s="6"/>
      <c r="U88" s="6"/>
      <c r="V88" s="6"/>
      <c r="W88" s="6"/>
    </row>
    <row r="89" spans="1:23" ht="16" x14ac:dyDescent="0.2">
      <c r="A89"/>
      <c r="B89"/>
      <c r="C89"/>
      <c r="D89"/>
      <c r="E89" s="7"/>
      <c r="F89" s="6"/>
      <c r="G89" s="6"/>
      <c r="H89" s="6"/>
      <c r="I89" s="6"/>
      <c r="J89" s="6"/>
      <c r="K89" s="6"/>
      <c r="L89" s="6"/>
      <c r="M89" s="6"/>
      <c r="N89" s="6"/>
      <c r="O89" s="6"/>
      <c r="P89" s="6"/>
      <c r="Q89" s="6"/>
      <c r="R89" s="6"/>
      <c r="S89" s="6"/>
      <c r="T89" s="6"/>
      <c r="U89" s="6"/>
      <c r="V89" s="6"/>
      <c r="W89" s="6"/>
    </row>
    <row r="90" spans="1:23" ht="16" x14ac:dyDescent="0.2">
      <c r="A90"/>
      <c r="B90"/>
      <c r="C90"/>
      <c r="D90"/>
      <c r="E90" s="7"/>
      <c r="F90" s="6"/>
      <c r="G90" s="6"/>
      <c r="H90" s="6"/>
      <c r="I90" s="6"/>
      <c r="J90" s="6"/>
      <c r="K90" s="6"/>
      <c r="L90" s="6"/>
      <c r="M90" s="6"/>
      <c r="N90" s="6"/>
      <c r="O90" s="6"/>
      <c r="P90" s="6"/>
      <c r="Q90" s="6"/>
      <c r="R90" s="6"/>
      <c r="S90" s="6"/>
      <c r="T90" s="6"/>
      <c r="U90" s="6"/>
      <c r="V90" s="6"/>
      <c r="W90" s="6"/>
    </row>
    <row r="91" spans="1:23" ht="16" x14ac:dyDescent="0.2">
      <c r="A91"/>
      <c r="B91"/>
      <c r="C91"/>
      <c r="D91"/>
      <c r="E91" s="7"/>
      <c r="F91" s="6"/>
      <c r="G91" s="6"/>
      <c r="H91" s="6"/>
      <c r="I91" s="6"/>
      <c r="J91" s="6"/>
      <c r="K91" s="6"/>
      <c r="L91" s="6"/>
      <c r="M91" s="6"/>
      <c r="N91" s="6"/>
      <c r="O91" s="6"/>
      <c r="P91" s="6"/>
      <c r="Q91" s="6"/>
      <c r="R91" s="6"/>
      <c r="S91" s="6"/>
      <c r="T91" s="6"/>
      <c r="U91" s="6"/>
      <c r="V91" s="6"/>
      <c r="W91" s="6"/>
    </row>
    <row r="92" spans="1:23" ht="16" x14ac:dyDescent="0.2">
      <c r="A92"/>
      <c r="B92"/>
      <c r="C92"/>
      <c r="D92"/>
      <c r="E92" s="7"/>
      <c r="F92" s="6"/>
      <c r="G92" s="6"/>
      <c r="H92" s="6"/>
      <c r="I92" s="6"/>
      <c r="J92" s="6"/>
      <c r="K92" s="6"/>
      <c r="L92" s="6"/>
      <c r="M92" s="6"/>
      <c r="N92" s="6"/>
      <c r="O92" s="6"/>
      <c r="P92" s="6"/>
      <c r="Q92" s="6"/>
      <c r="R92" s="6"/>
      <c r="S92" s="6"/>
      <c r="T92" s="6"/>
      <c r="U92" s="6"/>
      <c r="V92" s="6"/>
      <c r="W92" s="6"/>
    </row>
    <row r="93" spans="1:23" ht="16" x14ac:dyDescent="0.2">
      <c r="A93"/>
      <c r="B93"/>
      <c r="C93"/>
      <c r="D93"/>
      <c r="E93" s="7"/>
      <c r="F93" s="6"/>
      <c r="G93" s="6"/>
      <c r="H93" s="6"/>
      <c r="I93" s="6"/>
      <c r="J93" s="6"/>
      <c r="K93" s="6"/>
      <c r="L93" s="6"/>
      <c r="M93" s="6"/>
      <c r="N93" s="6"/>
      <c r="O93" s="6"/>
      <c r="P93" s="6"/>
      <c r="Q93" s="6"/>
      <c r="R93" s="6"/>
      <c r="S93" s="6"/>
      <c r="T93" s="6"/>
      <c r="U93" s="6"/>
      <c r="V93" s="6"/>
      <c r="W93" s="6"/>
    </row>
    <row r="94" spans="1:23" ht="16" x14ac:dyDescent="0.2">
      <c r="A94"/>
      <c r="B94"/>
      <c r="C94"/>
      <c r="D94"/>
      <c r="E94" s="7"/>
      <c r="F94" s="6"/>
      <c r="G94" s="6"/>
      <c r="H94" s="6"/>
      <c r="I94" s="6"/>
      <c r="J94" s="6"/>
      <c r="K94" s="6"/>
      <c r="L94" s="6"/>
      <c r="M94" s="6"/>
      <c r="N94" s="6"/>
      <c r="O94" s="6"/>
      <c r="P94" s="6"/>
      <c r="Q94" s="6"/>
      <c r="R94" s="6"/>
      <c r="S94" s="6"/>
      <c r="T94" s="6"/>
      <c r="U94" s="6"/>
      <c r="V94" s="6"/>
      <c r="W94" s="6"/>
    </row>
    <row r="95" spans="1:23" ht="16" x14ac:dyDescent="0.2">
      <c r="A95"/>
      <c r="B95"/>
      <c r="C95"/>
      <c r="D95"/>
      <c r="E95" s="7"/>
      <c r="F95" s="6"/>
      <c r="G95" s="6"/>
      <c r="H95" s="6"/>
      <c r="I95" s="6"/>
      <c r="J95" s="6"/>
      <c r="K95" s="6"/>
      <c r="L95" s="6"/>
      <c r="M95" s="6"/>
      <c r="N95" s="6"/>
      <c r="O95" s="6"/>
      <c r="P95" s="6"/>
      <c r="Q95" s="6"/>
      <c r="R95" s="6"/>
      <c r="S95" s="6"/>
      <c r="T95" s="6"/>
      <c r="U95" s="6"/>
      <c r="V95" s="6"/>
      <c r="W95" s="6"/>
    </row>
    <row r="96" spans="1:23" ht="16" x14ac:dyDescent="0.2">
      <c r="A96"/>
      <c r="B96"/>
      <c r="C96"/>
      <c r="D96"/>
      <c r="E96" s="7"/>
      <c r="F96" s="6"/>
      <c r="G96" s="6"/>
      <c r="H96" s="6"/>
      <c r="I96" s="6"/>
      <c r="J96" s="6"/>
      <c r="K96" s="6"/>
      <c r="L96" s="6"/>
      <c r="M96" s="6"/>
      <c r="N96" s="6"/>
      <c r="O96" s="6"/>
      <c r="P96" s="6"/>
      <c r="Q96" s="6"/>
      <c r="R96" s="6"/>
      <c r="S96" s="6"/>
      <c r="T96" s="6"/>
      <c r="U96" s="6"/>
      <c r="V96" s="6"/>
      <c r="W96" s="6"/>
    </row>
    <row r="97" spans="1:23" ht="16" x14ac:dyDescent="0.2">
      <c r="A97"/>
      <c r="B97"/>
      <c r="C97"/>
      <c r="D97"/>
      <c r="E97" s="7"/>
      <c r="F97" s="6"/>
      <c r="G97" s="6"/>
      <c r="H97" s="6"/>
      <c r="I97" s="6"/>
      <c r="J97" s="6"/>
      <c r="K97" s="6"/>
      <c r="L97" s="6"/>
      <c r="M97" s="6"/>
      <c r="N97" s="6"/>
      <c r="O97" s="6"/>
      <c r="P97" s="6"/>
      <c r="Q97" s="6"/>
      <c r="R97" s="6"/>
      <c r="S97" s="6"/>
      <c r="T97" s="6"/>
      <c r="U97" s="6"/>
      <c r="V97" s="6"/>
      <c r="W97" s="6"/>
    </row>
    <row r="98" spans="1:23" ht="16" x14ac:dyDescent="0.2">
      <c r="A98"/>
      <c r="B98"/>
      <c r="C98"/>
      <c r="D98"/>
      <c r="E98" s="7"/>
      <c r="F98" s="6"/>
      <c r="G98" s="6"/>
      <c r="H98" s="6"/>
      <c r="I98" s="6"/>
      <c r="J98" s="6"/>
      <c r="K98" s="6"/>
      <c r="L98" s="6"/>
      <c r="M98" s="6"/>
      <c r="N98" s="6"/>
      <c r="O98" s="6"/>
      <c r="P98" s="6"/>
      <c r="Q98" s="6"/>
      <c r="R98" s="6"/>
      <c r="S98" s="6"/>
      <c r="T98" s="6"/>
      <c r="U98" s="6"/>
      <c r="V98" s="6"/>
      <c r="W98" s="6"/>
    </row>
    <row r="99" spans="1:23" ht="16" x14ac:dyDescent="0.2">
      <c r="A99"/>
      <c r="B99"/>
      <c r="C99"/>
      <c r="D99"/>
      <c r="E99" s="7"/>
      <c r="F99" s="6"/>
      <c r="G99" s="6"/>
      <c r="H99" s="6"/>
      <c r="I99" s="6"/>
      <c r="J99" s="6"/>
      <c r="K99" s="6"/>
      <c r="L99" s="6"/>
      <c r="M99" s="6"/>
      <c r="N99" s="6"/>
      <c r="O99" s="6"/>
      <c r="P99" s="6"/>
      <c r="Q99" s="6"/>
      <c r="R99" s="6"/>
      <c r="S99" s="6"/>
      <c r="T99" s="6"/>
      <c r="U99" s="6"/>
      <c r="V99" s="6"/>
      <c r="W99" s="6"/>
    </row>
    <row r="100" spans="1:23" ht="16" x14ac:dyDescent="0.2">
      <c r="A100"/>
      <c r="B100"/>
      <c r="C100"/>
      <c r="D100"/>
      <c r="E100" s="7"/>
      <c r="F100" s="6"/>
      <c r="G100" s="6"/>
      <c r="H100" s="6"/>
      <c r="I100" s="6"/>
      <c r="J100" s="6"/>
      <c r="K100" s="6"/>
      <c r="L100" s="6"/>
      <c r="M100" s="6"/>
      <c r="N100" s="6"/>
      <c r="O100" s="6"/>
      <c r="P100" s="6"/>
      <c r="Q100" s="6"/>
      <c r="R100" s="6"/>
      <c r="S100" s="6"/>
      <c r="T100" s="6"/>
      <c r="U100" s="6"/>
      <c r="V100" s="6"/>
      <c r="W100" s="6"/>
    </row>
    <row r="101" spans="1:23" ht="16" x14ac:dyDescent="0.2">
      <c r="A101"/>
      <c r="B101"/>
      <c r="C101"/>
      <c r="D101"/>
      <c r="E101" s="7"/>
      <c r="F101" s="6"/>
      <c r="G101" s="6"/>
      <c r="H101" s="6"/>
      <c r="I101" s="6"/>
      <c r="J101" s="6"/>
      <c r="K101" s="6"/>
      <c r="L101" s="6"/>
      <c r="M101" s="6"/>
      <c r="N101" s="6"/>
      <c r="O101" s="6"/>
      <c r="P101" s="6"/>
      <c r="Q101" s="6"/>
      <c r="R101" s="6"/>
      <c r="S101" s="6"/>
      <c r="T101" s="6"/>
      <c r="U101" s="6"/>
      <c r="V101" s="6"/>
      <c r="W101" s="6"/>
    </row>
    <row r="102" spans="1:23" ht="16" x14ac:dyDescent="0.2">
      <c r="A102"/>
      <c r="B102"/>
      <c r="C102"/>
      <c r="D102"/>
      <c r="E102" s="7"/>
      <c r="F102" s="6"/>
      <c r="G102" s="6"/>
      <c r="H102" s="6"/>
      <c r="I102" s="6"/>
      <c r="J102" s="6"/>
      <c r="K102" s="6"/>
      <c r="L102" s="6"/>
      <c r="M102" s="6"/>
      <c r="N102" s="6"/>
      <c r="O102" s="6"/>
      <c r="P102" s="6"/>
      <c r="Q102" s="6"/>
      <c r="R102" s="6"/>
      <c r="S102" s="6"/>
      <c r="T102" s="6"/>
      <c r="U102" s="6"/>
      <c r="V102" s="6"/>
      <c r="W102" s="6"/>
    </row>
    <row r="103" spans="1:23" ht="16" x14ac:dyDescent="0.2">
      <c r="A103"/>
      <c r="B103"/>
      <c r="C103"/>
      <c r="D103"/>
      <c r="E103" s="7"/>
      <c r="F103" s="6"/>
      <c r="G103" s="6"/>
      <c r="H103" s="6"/>
      <c r="I103" s="6"/>
      <c r="J103" s="6"/>
      <c r="K103" s="6"/>
      <c r="L103" s="6"/>
      <c r="M103" s="6"/>
      <c r="N103" s="6"/>
      <c r="O103" s="6"/>
      <c r="P103" s="6"/>
      <c r="Q103" s="6"/>
      <c r="R103" s="6"/>
      <c r="S103" s="6"/>
      <c r="T103" s="6"/>
      <c r="U103" s="6"/>
      <c r="V103" s="6"/>
      <c r="W103" s="6"/>
    </row>
    <row r="104" spans="1:23" ht="16" x14ac:dyDescent="0.2">
      <c r="A104"/>
      <c r="B104"/>
      <c r="C104"/>
      <c r="D104"/>
      <c r="E104" s="7"/>
      <c r="F104" s="6"/>
      <c r="G104" s="6"/>
      <c r="H104" s="6"/>
      <c r="I104" s="6"/>
      <c r="J104" s="6"/>
      <c r="K104" s="6"/>
      <c r="L104" s="6"/>
      <c r="M104" s="6"/>
      <c r="N104" s="6"/>
      <c r="O104" s="6"/>
      <c r="P104" s="6"/>
      <c r="Q104" s="6"/>
      <c r="R104" s="6"/>
      <c r="S104" s="6"/>
      <c r="T104" s="6"/>
      <c r="U104" s="6"/>
      <c r="V104" s="6"/>
      <c r="W104" s="6"/>
    </row>
    <row r="105" spans="1:23" ht="16" x14ac:dyDescent="0.2">
      <c r="A105"/>
      <c r="B105"/>
      <c r="C105"/>
      <c r="D105"/>
      <c r="E105" s="7"/>
      <c r="F105" s="6"/>
      <c r="G105" s="6"/>
      <c r="H105" s="6"/>
      <c r="I105" s="6"/>
      <c r="J105" s="6"/>
      <c r="K105" s="6"/>
      <c r="L105" s="6"/>
      <c r="M105" s="6"/>
      <c r="N105" s="6"/>
      <c r="O105" s="6"/>
      <c r="P105" s="6"/>
      <c r="Q105" s="6"/>
      <c r="R105" s="6"/>
      <c r="S105" s="6"/>
      <c r="T105" s="6"/>
      <c r="U105" s="6"/>
      <c r="V105" s="6"/>
      <c r="W105" s="6"/>
    </row>
    <row r="106" spans="1:23" ht="16" x14ac:dyDescent="0.2">
      <c r="A106"/>
      <c r="B106"/>
      <c r="C106"/>
      <c r="D106"/>
      <c r="E106" s="7"/>
      <c r="F106" s="6"/>
      <c r="G106" s="6"/>
      <c r="H106" s="6"/>
      <c r="I106" s="6"/>
      <c r="J106" s="6"/>
      <c r="K106" s="6"/>
      <c r="L106" s="6"/>
      <c r="M106" s="6"/>
      <c r="N106" s="6"/>
      <c r="O106" s="6"/>
      <c r="P106" s="6"/>
      <c r="Q106" s="6"/>
      <c r="R106" s="6"/>
      <c r="S106" s="6"/>
      <c r="T106" s="6"/>
      <c r="U106" s="6"/>
      <c r="V106" s="6"/>
      <c r="W106" s="6"/>
    </row>
    <row r="107" spans="1:23" ht="16" x14ac:dyDescent="0.2">
      <c r="A107"/>
      <c r="B107"/>
      <c r="C107"/>
      <c r="D107"/>
      <c r="E107" s="7"/>
      <c r="F107" s="6"/>
      <c r="G107" s="6"/>
      <c r="H107" s="6"/>
      <c r="I107" s="6"/>
      <c r="J107" s="6"/>
      <c r="K107" s="6"/>
      <c r="L107" s="6"/>
      <c r="M107" s="6"/>
      <c r="N107" s="6"/>
      <c r="O107" s="6"/>
      <c r="P107" s="6"/>
      <c r="Q107" s="6"/>
      <c r="R107" s="6"/>
      <c r="S107" s="6"/>
      <c r="T107" s="6"/>
      <c r="U107" s="6"/>
      <c r="V107" s="6"/>
      <c r="W107" s="6"/>
    </row>
    <row r="108" spans="1:23" ht="16" x14ac:dyDescent="0.2">
      <c r="A108"/>
      <c r="B108"/>
      <c r="C108"/>
      <c r="D108"/>
      <c r="E108" s="7"/>
      <c r="F108" s="6"/>
      <c r="G108" s="6"/>
      <c r="H108" s="6"/>
      <c r="I108" s="6"/>
      <c r="J108" s="6"/>
      <c r="K108" s="6"/>
      <c r="L108" s="6"/>
      <c r="M108" s="6"/>
      <c r="N108" s="6"/>
      <c r="O108" s="6"/>
      <c r="P108" s="6"/>
      <c r="Q108" s="6"/>
      <c r="R108" s="6"/>
      <c r="S108" s="6"/>
      <c r="T108" s="6"/>
      <c r="U108" s="6"/>
      <c r="V108" s="6"/>
      <c r="W108" s="6"/>
    </row>
    <row r="109" spans="1:23" ht="16" x14ac:dyDescent="0.2">
      <c r="A109"/>
      <c r="B109"/>
      <c r="C109"/>
      <c r="D109"/>
      <c r="E109" s="7"/>
      <c r="F109" s="6"/>
      <c r="G109" s="6"/>
      <c r="H109" s="6"/>
      <c r="I109" s="6"/>
      <c r="J109" s="6"/>
      <c r="K109" s="6"/>
      <c r="L109" s="6"/>
      <c r="M109" s="6"/>
      <c r="N109" s="6"/>
      <c r="O109" s="6"/>
      <c r="P109" s="6"/>
      <c r="Q109" s="6"/>
      <c r="R109" s="6"/>
      <c r="S109" s="6"/>
      <c r="T109" s="6"/>
      <c r="U109" s="6"/>
      <c r="V109" s="6"/>
      <c r="W109" s="6"/>
    </row>
    <row r="110" spans="1:23" ht="16" x14ac:dyDescent="0.2">
      <c r="A110"/>
      <c r="B110"/>
      <c r="C110"/>
      <c r="D110"/>
      <c r="E110" s="7"/>
      <c r="F110" s="6"/>
      <c r="G110" s="6"/>
      <c r="H110" s="6"/>
      <c r="I110" s="6"/>
      <c r="J110" s="6"/>
      <c r="K110" s="6"/>
      <c r="L110" s="6"/>
      <c r="M110" s="6"/>
      <c r="N110" s="6"/>
      <c r="O110" s="6"/>
      <c r="P110" s="6"/>
      <c r="Q110" s="6"/>
      <c r="R110" s="6"/>
      <c r="S110" s="6"/>
      <c r="T110" s="6"/>
      <c r="U110" s="6"/>
      <c r="V110" s="6"/>
      <c r="W110" s="6"/>
    </row>
    <row r="111" spans="1:23" ht="16" x14ac:dyDescent="0.2">
      <c r="A111"/>
      <c r="B111"/>
      <c r="C111"/>
      <c r="D111"/>
      <c r="E111" s="7"/>
      <c r="F111" s="6"/>
      <c r="G111" s="6"/>
      <c r="H111" s="6"/>
      <c r="I111" s="6"/>
      <c r="J111" s="6"/>
      <c r="K111" s="6"/>
      <c r="L111" s="6"/>
      <c r="M111" s="6"/>
      <c r="N111" s="6"/>
      <c r="O111" s="6"/>
      <c r="P111" s="6"/>
      <c r="Q111" s="6"/>
      <c r="R111" s="6"/>
      <c r="S111" s="6"/>
      <c r="T111" s="6"/>
      <c r="U111" s="6"/>
      <c r="V111" s="6"/>
      <c r="W111" s="6"/>
    </row>
    <row r="112" spans="1:23" ht="16" x14ac:dyDescent="0.2">
      <c r="A112"/>
      <c r="B112"/>
      <c r="C112"/>
      <c r="D112"/>
      <c r="E112" s="7"/>
      <c r="F112" s="6"/>
      <c r="G112" s="6"/>
      <c r="H112" s="6"/>
      <c r="I112" s="6"/>
      <c r="J112" s="6"/>
      <c r="K112" s="6"/>
      <c r="L112" s="6"/>
      <c r="M112" s="6"/>
      <c r="N112" s="6"/>
      <c r="O112" s="6"/>
      <c r="P112" s="6"/>
      <c r="Q112" s="6"/>
      <c r="R112" s="6"/>
      <c r="S112" s="6"/>
      <c r="T112" s="6"/>
      <c r="U112" s="6"/>
      <c r="V112" s="6"/>
      <c r="W112" s="6"/>
    </row>
    <row r="113" spans="1:23" ht="16" x14ac:dyDescent="0.2">
      <c r="A113"/>
      <c r="B113"/>
      <c r="C113"/>
      <c r="D113"/>
      <c r="E113" s="7"/>
      <c r="F113" s="6"/>
      <c r="G113" s="6"/>
      <c r="H113" s="6"/>
      <c r="I113" s="6"/>
      <c r="J113" s="6"/>
      <c r="K113" s="6"/>
      <c r="L113" s="6"/>
      <c r="M113" s="6"/>
      <c r="N113" s="6"/>
      <c r="O113" s="6"/>
      <c r="P113" s="6"/>
      <c r="Q113" s="6"/>
      <c r="R113" s="6"/>
      <c r="S113" s="6"/>
      <c r="T113" s="6"/>
      <c r="U113" s="6"/>
      <c r="V113" s="6"/>
      <c r="W113" s="6"/>
    </row>
    <row r="114" spans="1:23" ht="16" x14ac:dyDescent="0.2">
      <c r="A114"/>
      <c r="B114"/>
      <c r="C114"/>
      <c r="D114"/>
      <c r="E114" s="7"/>
      <c r="F114" s="6"/>
      <c r="G114" s="6"/>
      <c r="H114" s="6"/>
      <c r="I114" s="6"/>
      <c r="J114" s="6"/>
      <c r="K114" s="6"/>
      <c r="L114" s="6"/>
      <c r="M114" s="6"/>
      <c r="N114" s="6"/>
      <c r="O114" s="6"/>
      <c r="P114" s="6"/>
      <c r="Q114" s="6"/>
      <c r="R114" s="6"/>
      <c r="S114" s="6"/>
      <c r="T114" s="6"/>
      <c r="U114" s="6"/>
      <c r="V114" s="6"/>
      <c r="W114" s="6"/>
    </row>
    <row r="115" spans="1:23" ht="16" x14ac:dyDescent="0.2">
      <c r="A115"/>
      <c r="B115"/>
      <c r="C115"/>
      <c r="D115"/>
      <c r="E115" s="7"/>
      <c r="F115" s="6"/>
      <c r="G115" s="6"/>
      <c r="H115" s="6"/>
      <c r="I115" s="6"/>
      <c r="J115" s="6"/>
      <c r="K115" s="6"/>
      <c r="L115" s="6"/>
      <c r="M115" s="6"/>
      <c r="N115" s="6"/>
      <c r="O115" s="6"/>
      <c r="P115" s="6"/>
      <c r="Q115" s="6"/>
      <c r="R115" s="6"/>
      <c r="S115" s="6"/>
      <c r="T115" s="6"/>
      <c r="U115" s="6"/>
      <c r="V115" s="6"/>
      <c r="W115" s="6"/>
    </row>
    <row r="116" spans="1:23" ht="16" x14ac:dyDescent="0.2">
      <c r="A116"/>
      <c r="B116"/>
      <c r="C116"/>
      <c r="D116"/>
      <c r="E116" s="7"/>
      <c r="F116" s="6"/>
      <c r="G116" s="6"/>
      <c r="H116" s="6"/>
      <c r="I116" s="6"/>
      <c r="J116" s="6"/>
      <c r="K116" s="6"/>
      <c r="L116" s="6"/>
      <c r="M116" s="6"/>
      <c r="N116" s="6"/>
      <c r="O116" s="6"/>
      <c r="P116" s="6"/>
      <c r="Q116" s="6"/>
      <c r="R116" s="6"/>
      <c r="S116" s="6"/>
      <c r="T116" s="6"/>
      <c r="U116" s="6"/>
      <c r="V116" s="6"/>
      <c r="W116" s="6"/>
    </row>
    <row r="117" spans="1:23" ht="16" x14ac:dyDescent="0.2">
      <c r="A117"/>
      <c r="B117"/>
      <c r="C117"/>
      <c r="D117"/>
      <c r="E117" s="7"/>
      <c r="F117" s="6"/>
      <c r="G117" s="6"/>
      <c r="H117" s="6"/>
      <c r="I117" s="6"/>
      <c r="J117" s="6"/>
      <c r="K117" s="6"/>
      <c r="L117" s="6"/>
      <c r="M117" s="6"/>
      <c r="N117" s="6"/>
      <c r="O117" s="6"/>
      <c r="P117" s="6"/>
      <c r="Q117" s="6"/>
      <c r="R117" s="6"/>
      <c r="S117" s="6"/>
      <c r="T117" s="6"/>
      <c r="U117" s="6"/>
      <c r="V117" s="6"/>
      <c r="W117" s="6"/>
    </row>
    <row r="118" spans="1:23" ht="16" x14ac:dyDescent="0.2">
      <c r="A118"/>
      <c r="B118"/>
      <c r="C118"/>
      <c r="D118"/>
      <c r="E118" s="7"/>
      <c r="F118" s="6"/>
      <c r="G118" s="6"/>
      <c r="H118" s="6"/>
      <c r="I118" s="6"/>
      <c r="J118" s="6"/>
      <c r="K118" s="6"/>
      <c r="L118" s="6"/>
      <c r="M118" s="6"/>
      <c r="N118" s="6"/>
      <c r="O118" s="6"/>
      <c r="P118" s="6"/>
      <c r="Q118" s="6"/>
      <c r="R118" s="6"/>
      <c r="S118" s="6"/>
      <c r="T118" s="6"/>
      <c r="U118" s="6"/>
      <c r="V118" s="6"/>
      <c r="W118" s="6"/>
    </row>
    <row r="119" spans="1:23" ht="16" x14ac:dyDescent="0.2">
      <c r="A119"/>
      <c r="B119"/>
      <c r="C119"/>
      <c r="D119"/>
      <c r="E119" s="7"/>
      <c r="F119" s="6"/>
      <c r="G119" s="6"/>
      <c r="H119" s="6"/>
      <c r="I119" s="6"/>
      <c r="J119" s="6"/>
      <c r="K119" s="6"/>
      <c r="L119" s="6"/>
      <c r="M119" s="6"/>
      <c r="N119" s="6"/>
      <c r="O119" s="6"/>
      <c r="P119" s="6"/>
      <c r="Q119" s="6"/>
      <c r="R119" s="6"/>
      <c r="S119" s="6"/>
      <c r="T119" s="6"/>
      <c r="U119" s="6"/>
      <c r="V119" s="6"/>
      <c r="W119" s="6"/>
    </row>
    <row r="120" spans="1:23" ht="16" x14ac:dyDescent="0.2">
      <c r="A120"/>
      <c r="B120"/>
      <c r="C120"/>
      <c r="D120"/>
      <c r="E120" s="7"/>
      <c r="F120" s="6"/>
      <c r="G120" s="6"/>
      <c r="H120" s="6"/>
      <c r="I120" s="6"/>
      <c r="J120" s="6"/>
      <c r="K120" s="6"/>
      <c r="L120" s="6"/>
      <c r="M120" s="6"/>
      <c r="N120" s="6"/>
      <c r="O120" s="6"/>
      <c r="P120" s="6"/>
      <c r="Q120" s="6"/>
      <c r="R120" s="6"/>
      <c r="S120" s="6"/>
      <c r="T120" s="6"/>
      <c r="U120" s="6"/>
      <c r="V120" s="6"/>
      <c r="W120" s="6"/>
    </row>
    <row r="121" spans="1:23" ht="16" x14ac:dyDescent="0.2">
      <c r="A121"/>
      <c r="B121"/>
      <c r="C121"/>
      <c r="D121"/>
      <c r="E121" s="7"/>
      <c r="F121" s="6"/>
      <c r="G121" s="6"/>
      <c r="H121" s="6"/>
      <c r="I121" s="6"/>
      <c r="J121" s="6"/>
      <c r="K121" s="6"/>
      <c r="L121" s="6"/>
      <c r="M121" s="6"/>
      <c r="N121" s="6"/>
      <c r="O121" s="6"/>
      <c r="P121" s="6"/>
      <c r="Q121" s="6"/>
      <c r="R121" s="6"/>
      <c r="S121" s="6"/>
      <c r="T121" s="6"/>
      <c r="U121" s="6"/>
      <c r="V121" s="6"/>
      <c r="W121" s="6"/>
    </row>
    <row r="122" spans="1:23" ht="16" x14ac:dyDescent="0.2">
      <c r="A122"/>
      <c r="B122"/>
      <c r="C122"/>
      <c r="D122"/>
      <c r="E122" s="7"/>
      <c r="F122" s="6"/>
      <c r="G122" s="6"/>
      <c r="H122" s="6"/>
      <c r="I122" s="6"/>
      <c r="J122" s="6"/>
      <c r="K122" s="6"/>
      <c r="L122" s="6"/>
      <c r="M122" s="6"/>
      <c r="N122" s="6"/>
      <c r="O122" s="6"/>
      <c r="P122" s="6"/>
      <c r="Q122" s="6"/>
      <c r="R122" s="6"/>
      <c r="S122" s="6"/>
      <c r="T122" s="6"/>
      <c r="U122" s="6"/>
      <c r="V122" s="6"/>
      <c r="W122" s="6"/>
    </row>
    <row r="123" spans="1:23" ht="16" x14ac:dyDescent="0.2">
      <c r="A123"/>
      <c r="B123"/>
      <c r="C123"/>
      <c r="D123"/>
      <c r="E123" s="7"/>
      <c r="F123" s="6"/>
      <c r="G123" s="6"/>
      <c r="H123" s="6"/>
      <c r="I123" s="6"/>
      <c r="J123" s="6"/>
      <c r="K123" s="6"/>
      <c r="L123" s="6"/>
      <c r="M123" s="6"/>
      <c r="N123" s="6"/>
      <c r="O123" s="6"/>
      <c r="P123" s="6"/>
      <c r="Q123" s="6"/>
      <c r="R123" s="6"/>
      <c r="S123" s="6"/>
      <c r="T123" s="6"/>
      <c r="U123" s="6"/>
      <c r="V123" s="6"/>
      <c r="W123" s="6"/>
    </row>
    <row r="124" spans="1:23" ht="16" x14ac:dyDescent="0.2">
      <c r="A124"/>
      <c r="B124"/>
      <c r="C124"/>
      <c r="D124"/>
      <c r="E124" s="7"/>
      <c r="F124" s="6"/>
      <c r="G124" s="6"/>
      <c r="H124" s="6"/>
      <c r="I124" s="6"/>
      <c r="J124" s="6"/>
      <c r="K124" s="6"/>
      <c r="L124" s="6"/>
      <c r="M124" s="6"/>
      <c r="N124" s="6"/>
      <c r="O124" s="6"/>
      <c r="P124" s="6"/>
      <c r="Q124" s="6"/>
      <c r="R124" s="6"/>
      <c r="S124" s="6"/>
      <c r="T124" s="6"/>
      <c r="U124" s="6"/>
      <c r="V124" s="6"/>
      <c r="W124" s="6"/>
    </row>
    <row r="125" spans="1:23" ht="16" x14ac:dyDescent="0.2">
      <c r="A125"/>
      <c r="B125"/>
      <c r="C125"/>
      <c r="D125"/>
      <c r="E125" s="7"/>
      <c r="F125" s="6"/>
      <c r="G125" s="6"/>
      <c r="H125" s="6"/>
      <c r="I125" s="6"/>
      <c r="J125" s="6"/>
      <c r="K125" s="6"/>
      <c r="L125" s="6"/>
      <c r="M125" s="6"/>
      <c r="N125" s="6"/>
      <c r="O125" s="6"/>
      <c r="P125" s="6"/>
      <c r="Q125" s="6"/>
      <c r="R125" s="6"/>
      <c r="S125" s="6"/>
      <c r="T125" s="6"/>
      <c r="U125" s="6"/>
      <c r="V125" s="6"/>
      <c r="W125" s="6"/>
    </row>
    <row r="126" spans="1:23" ht="16" x14ac:dyDescent="0.2">
      <c r="A126"/>
      <c r="B126"/>
      <c r="C126"/>
      <c r="D126"/>
      <c r="E126" s="7"/>
      <c r="F126" s="6"/>
      <c r="G126" s="6"/>
      <c r="H126" s="6"/>
      <c r="I126" s="6"/>
      <c r="J126" s="6"/>
      <c r="K126" s="6"/>
      <c r="L126" s="6"/>
      <c r="M126" s="6"/>
      <c r="N126" s="6"/>
      <c r="O126" s="6"/>
      <c r="P126" s="6"/>
      <c r="Q126" s="6"/>
      <c r="R126" s="6"/>
      <c r="S126" s="6"/>
      <c r="T126" s="6"/>
      <c r="U126" s="6"/>
      <c r="V126" s="6"/>
      <c r="W126" s="6"/>
    </row>
    <row r="127" spans="1:23" ht="16" x14ac:dyDescent="0.2">
      <c r="A127"/>
      <c r="B127"/>
      <c r="C127"/>
      <c r="D127"/>
      <c r="E127" s="7"/>
      <c r="F127" s="6"/>
      <c r="G127" s="6"/>
      <c r="H127" s="6"/>
      <c r="I127" s="6"/>
      <c r="J127" s="6"/>
      <c r="K127" s="6"/>
      <c r="L127" s="6"/>
      <c r="M127" s="6"/>
      <c r="N127" s="6"/>
      <c r="O127" s="6"/>
      <c r="P127" s="6"/>
      <c r="Q127" s="6"/>
      <c r="R127" s="6"/>
      <c r="S127" s="6"/>
      <c r="T127" s="6"/>
      <c r="U127" s="6"/>
      <c r="V127" s="6"/>
      <c r="W127" s="6"/>
    </row>
    <row r="128" spans="1:23" ht="16" x14ac:dyDescent="0.2">
      <c r="A128"/>
      <c r="B128"/>
      <c r="C128"/>
      <c r="D128"/>
      <c r="E128" s="7"/>
      <c r="F128" s="6"/>
      <c r="G128" s="6"/>
      <c r="H128" s="6"/>
      <c r="I128" s="6"/>
      <c r="J128" s="6"/>
      <c r="K128" s="6"/>
      <c r="L128" s="6"/>
      <c r="M128" s="6"/>
      <c r="N128" s="6"/>
      <c r="O128" s="6"/>
      <c r="P128" s="6"/>
      <c r="Q128" s="6"/>
      <c r="R128" s="6"/>
      <c r="S128" s="6"/>
      <c r="T128" s="6"/>
      <c r="U128" s="6"/>
      <c r="V128" s="6"/>
      <c r="W128" s="6"/>
    </row>
    <row r="129" spans="1:23" ht="16" x14ac:dyDescent="0.2">
      <c r="A129"/>
      <c r="B129"/>
      <c r="C129"/>
      <c r="D129"/>
      <c r="E129" s="7"/>
      <c r="F129" s="6"/>
      <c r="G129" s="6"/>
      <c r="H129" s="6"/>
      <c r="I129" s="6"/>
      <c r="J129" s="6"/>
      <c r="K129" s="6"/>
      <c r="L129" s="6"/>
      <c r="M129" s="6"/>
      <c r="N129" s="6"/>
      <c r="O129" s="6"/>
      <c r="P129" s="6"/>
      <c r="Q129" s="6"/>
      <c r="R129" s="6"/>
      <c r="S129" s="6"/>
      <c r="T129" s="6"/>
      <c r="U129" s="6"/>
      <c r="V129" s="6"/>
      <c r="W129" s="6"/>
    </row>
    <row r="130" spans="1:23" ht="16" x14ac:dyDescent="0.2">
      <c r="A130"/>
      <c r="B130"/>
      <c r="C130"/>
      <c r="D130"/>
      <c r="E130" s="7"/>
      <c r="F130" s="6"/>
      <c r="G130" s="6"/>
      <c r="H130" s="6"/>
      <c r="I130" s="6"/>
      <c r="J130" s="6"/>
      <c r="K130" s="6"/>
      <c r="L130" s="6"/>
      <c r="M130" s="6"/>
      <c r="N130" s="6"/>
      <c r="O130" s="6"/>
      <c r="P130" s="6"/>
      <c r="Q130" s="6"/>
      <c r="R130" s="6"/>
      <c r="S130" s="6"/>
      <c r="T130" s="6"/>
      <c r="U130" s="6"/>
      <c r="V130" s="6"/>
      <c r="W130" s="6"/>
    </row>
    <row r="131" spans="1:23" ht="16" x14ac:dyDescent="0.2">
      <c r="A131"/>
      <c r="B131"/>
      <c r="C131"/>
      <c r="D131"/>
      <c r="E131" s="7"/>
      <c r="F131" s="6"/>
      <c r="G131" s="6"/>
      <c r="H131" s="6"/>
      <c r="I131" s="6"/>
      <c r="J131" s="6"/>
      <c r="K131" s="6"/>
      <c r="L131" s="6"/>
      <c r="M131" s="6"/>
      <c r="N131" s="6"/>
      <c r="O131" s="6"/>
      <c r="P131" s="6"/>
      <c r="Q131" s="6"/>
      <c r="R131" s="6"/>
      <c r="S131" s="6"/>
      <c r="T131" s="6"/>
      <c r="U131" s="6"/>
      <c r="V131" s="6"/>
      <c r="W131" s="6"/>
    </row>
    <row r="132" spans="1:23" ht="16" x14ac:dyDescent="0.2">
      <c r="A132"/>
      <c r="B132"/>
      <c r="C132"/>
      <c r="D132"/>
      <c r="E132" s="7"/>
      <c r="F132" s="6"/>
      <c r="G132" s="6"/>
      <c r="H132" s="6"/>
      <c r="I132" s="6"/>
      <c r="J132" s="6"/>
      <c r="K132" s="6"/>
      <c r="L132" s="6"/>
      <c r="M132" s="6"/>
      <c r="N132" s="6"/>
      <c r="O132" s="6"/>
      <c r="P132" s="6"/>
      <c r="Q132" s="6"/>
      <c r="R132" s="6"/>
      <c r="S132" s="6"/>
      <c r="T132" s="6"/>
      <c r="U132" s="6"/>
      <c r="V132" s="6"/>
      <c r="W132" s="6"/>
    </row>
    <row r="133" spans="1:23" ht="16" x14ac:dyDescent="0.2">
      <c r="A133"/>
      <c r="B133"/>
      <c r="C133"/>
      <c r="D133"/>
      <c r="E133" s="7"/>
      <c r="F133" s="6"/>
      <c r="G133" s="6"/>
      <c r="H133" s="6"/>
      <c r="I133" s="6"/>
      <c r="J133" s="6"/>
      <c r="K133" s="6"/>
      <c r="L133" s="6"/>
      <c r="M133" s="6"/>
      <c r="N133" s="6"/>
      <c r="O133" s="6"/>
      <c r="P133" s="6"/>
      <c r="Q133" s="6"/>
      <c r="R133" s="6"/>
      <c r="S133" s="6"/>
      <c r="T133" s="6"/>
      <c r="U133" s="6"/>
      <c r="V133" s="6"/>
      <c r="W133" s="6"/>
    </row>
    <row r="134" spans="1:23" ht="16" x14ac:dyDescent="0.2">
      <c r="A134"/>
      <c r="B134"/>
      <c r="C134"/>
      <c r="D134"/>
      <c r="E134" s="7"/>
      <c r="F134" s="6"/>
      <c r="G134" s="6"/>
      <c r="H134" s="6"/>
      <c r="I134" s="6"/>
      <c r="J134" s="6"/>
      <c r="K134" s="6"/>
      <c r="L134" s="6"/>
      <c r="M134" s="6"/>
      <c r="N134" s="6"/>
      <c r="O134" s="6"/>
      <c r="P134" s="6"/>
      <c r="Q134" s="6"/>
      <c r="R134" s="6"/>
      <c r="S134" s="6"/>
      <c r="T134" s="6"/>
      <c r="U134" s="6"/>
      <c r="V134" s="6"/>
      <c r="W134" s="6"/>
    </row>
    <row r="135" spans="1:23" ht="16" x14ac:dyDescent="0.2">
      <c r="A135"/>
      <c r="B135"/>
      <c r="C135"/>
      <c r="D135"/>
      <c r="E135" s="7"/>
      <c r="F135" s="6"/>
      <c r="G135" s="6"/>
      <c r="H135" s="6"/>
      <c r="I135" s="6"/>
      <c r="J135" s="6"/>
      <c r="K135" s="6"/>
      <c r="L135" s="6"/>
      <c r="M135" s="6"/>
      <c r="N135" s="6"/>
      <c r="O135" s="6"/>
      <c r="P135" s="6"/>
      <c r="Q135" s="6"/>
      <c r="R135" s="6"/>
      <c r="S135" s="6"/>
      <c r="T135" s="6"/>
      <c r="U135" s="6"/>
      <c r="V135" s="6"/>
      <c r="W135" s="6"/>
    </row>
    <row r="136" spans="1:23" ht="16" x14ac:dyDescent="0.2">
      <c r="A136"/>
      <c r="B136"/>
      <c r="C136"/>
      <c r="D136"/>
      <c r="E136" s="7"/>
      <c r="F136" s="6"/>
      <c r="G136" s="6"/>
      <c r="H136" s="6"/>
      <c r="I136" s="6"/>
      <c r="J136" s="6"/>
      <c r="K136" s="6"/>
      <c r="L136" s="6"/>
      <c r="M136" s="6"/>
      <c r="N136" s="6"/>
      <c r="O136" s="6"/>
      <c r="P136" s="6"/>
      <c r="Q136" s="6"/>
      <c r="R136" s="6"/>
      <c r="S136" s="6"/>
      <c r="T136" s="6"/>
      <c r="U136" s="6"/>
      <c r="V136" s="6"/>
      <c r="W136" s="6"/>
    </row>
    <row r="137" spans="1:23" ht="16" x14ac:dyDescent="0.2">
      <c r="A137"/>
      <c r="B137"/>
      <c r="C137"/>
      <c r="D137"/>
      <c r="E137" s="7"/>
      <c r="F137" s="6"/>
      <c r="G137" s="6"/>
      <c r="H137" s="6"/>
      <c r="I137" s="6"/>
      <c r="J137" s="6"/>
      <c r="K137" s="6"/>
      <c r="L137" s="6"/>
      <c r="M137" s="6"/>
      <c r="N137" s="6"/>
      <c r="O137" s="6"/>
      <c r="P137" s="6"/>
      <c r="Q137" s="6"/>
      <c r="R137" s="6"/>
      <c r="S137" s="6"/>
      <c r="T137" s="6"/>
      <c r="U137" s="6"/>
      <c r="V137" s="6"/>
      <c r="W137" s="6"/>
    </row>
    <row r="138" spans="1:23" ht="16" x14ac:dyDescent="0.2">
      <c r="A138"/>
      <c r="B138"/>
      <c r="C138"/>
      <c r="D138"/>
      <c r="E138" s="7"/>
      <c r="F138" s="6"/>
      <c r="G138" s="6"/>
      <c r="H138" s="6"/>
      <c r="I138" s="6"/>
      <c r="J138" s="6"/>
      <c r="K138" s="6"/>
      <c r="L138" s="6"/>
      <c r="M138" s="6"/>
      <c r="N138" s="6"/>
      <c r="O138" s="6"/>
      <c r="P138" s="6"/>
      <c r="Q138" s="6"/>
      <c r="R138" s="6"/>
      <c r="S138" s="6"/>
      <c r="T138" s="6"/>
      <c r="U138" s="6"/>
      <c r="V138" s="6"/>
      <c r="W138" s="6"/>
    </row>
    <row r="139" spans="1:23" ht="16" x14ac:dyDescent="0.2">
      <c r="A139"/>
      <c r="B139"/>
      <c r="C139"/>
      <c r="D139"/>
      <c r="E139" s="7"/>
      <c r="F139" s="6"/>
      <c r="G139" s="6"/>
      <c r="H139" s="6"/>
      <c r="I139" s="6"/>
      <c r="J139" s="6"/>
      <c r="K139" s="6"/>
      <c r="L139" s="6"/>
      <c r="M139" s="6"/>
      <c r="N139" s="6"/>
      <c r="O139" s="6"/>
      <c r="P139" s="6"/>
      <c r="Q139" s="6"/>
      <c r="R139" s="6"/>
      <c r="S139" s="6"/>
      <c r="T139" s="6"/>
      <c r="U139" s="6"/>
      <c r="V139" s="6"/>
      <c r="W139" s="6"/>
    </row>
    <row r="140" spans="1:23" ht="16" x14ac:dyDescent="0.2">
      <c r="A140"/>
      <c r="B140"/>
      <c r="C140"/>
      <c r="D140"/>
      <c r="E140" s="7"/>
      <c r="F140" s="6"/>
      <c r="G140" s="6"/>
      <c r="H140" s="6"/>
      <c r="I140" s="6"/>
      <c r="J140" s="6"/>
      <c r="K140" s="6"/>
      <c r="L140" s="6"/>
      <c r="M140" s="6"/>
      <c r="N140" s="6"/>
      <c r="O140" s="6"/>
      <c r="P140" s="6"/>
      <c r="Q140" s="6"/>
      <c r="R140" s="6"/>
      <c r="S140" s="6"/>
      <c r="T140" s="6"/>
      <c r="U140" s="6"/>
      <c r="V140" s="6"/>
      <c r="W140" s="6"/>
    </row>
    <row r="141" spans="1:23" ht="16" x14ac:dyDescent="0.2">
      <c r="A141"/>
      <c r="B141"/>
      <c r="C141"/>
      <c r="D141"/>
      <c r="E141" s="7"/>
      <c r="F141" s="6"/>
      <c r="G141" s="6"/>
      <c r="H141" s="6"/>
      <c r="I141" s="6"/>
      <c r="J141" s="6"/>
      <c r="K141" s="6"/>
      <c r="L141" s="6"/>
      <c r="M141" s="6"/>
      <c r="N141" s="6"/>
      <c r="O141" s="6"/>
      <c r="P141" s="6"/>
      <c r="Q141" s="6"/>
      <c r="R141" s="6"/>
      <c r="S141" s="6"/>
      <c r="T141" s="6"/>
      <c r="U141" s="6"/>
      <c r="V141" s="6"/>
      <c r="W141" s="6"/>
    </row>
    <row r="142" spans="1:23" ht="16" x14ac:dyDescent="0.2">
      <c r="A142"/>
      <c r="B142"/>
      <c r="C142"/>
      <c r="D142"/>
      <c r="E142" s="7"/>
      <c r="F142" s="6"/>
      <c r="G142" s="6"/>
      <c r="H142" s="6"/>
      <c r="I142" s="6"/>
      <c r="J142" s="6"/>
      <c r="K142" s="6"/>
      <c r="L142" s="6"/>
      <c r="M142" s="6"/>
      <c r="N142" s="6"/>
      <c r="O142" s="6"/>
      <c r="P142" s="6"/>
      <c r="Q142" s="6"/>
      <c r="R142" s="6"/>
      <c r="S142" s="6"/>
      <c r="T142" s="6"/>
      <c r="U142" s="6"/>
      <c r="V142" s="6"/>
      <c r="W142" s="6"/>
    </row>
    <row r="143" spans="1:23" ht="16" x14ac:dyDescent="0.2">
      <c r="A143"/>
      <c r="B143"/>
      <c r="C143"/>
      <c r="D143"/>
      <c r="E143" s="7"/>
      <c r="F143" s="6"/>
      <c r="G143" s="6"/>
      <c r="H143" s="6"/>
      <c r="I143" s="6"/>
      <c r="J143" s="6"/>
      <c r="K143" s="6"/>
      <c r="L143" s="6"/>
      <c r="M143" s="6"/>
      <c r="N143" s="6"/>
      <c r="O143" s="6"/>
      <c r="P143" s="6"/>
      <c r="Q143" s="6"/>
      <c r="R143" s="6"/>
      <c r="S143" s="6"/>
      <c r="T143" s="6"/>
      <c r="U143" s="6"/>
      <c r="V143" s="6"/>
      <c r="W143" s="6"/>
    </row>
    <row r="144" spans="1:23" ht="16" x14ac:dyDescent="0.2">
      <c r="A144"/>
      <c r="B144"/>
      <c r="C144"/>
      <c r="D144"/>
      <c r="E144" s="7"/>
      <c r="F144" s="6"/>
      <c r="G144" s="6"/>
      <c r="H144" s="6"/>
      <c r="I144" s="6"/>
      <c r="J144" s="6"/>
      <c r="K144" s="6"/>
      <c r="L144" s="6"/>
      <c r="M144" s="6"/>
      <c r="N144" s="6"/>
      <c r="O144" s="6"/>
      <c r="P144" s="6"/>
      <c r="Q144" s="6"/>
      <c r="R144" s="6"/>
      <c r="S144" s="6"/>
      <c r="T144" s="6"/>
      <c r="U144" s="6"/>
      <c r="V144" s="6"/>
      <c r="W144" s="6"/>
    </row>
    <row r="145" spans="1:23" ht="16" x14ac:dyDescent="0.2">
      <c r="A145"/>
      <c r="B145"/>
      <c r="C145"/>
      <c r="D145"/>
      <c r="E145" s="7"/>
      <c r="F145" s="6"/>
      <c r="G145" s="6"/>
      <c r="H145" s="6"/>
      <c r="I145" s="6"/>
      <c r="J145" s="6"/>
      <c r="K145" s="6"/>
      <c r="L145" s="6"/>
      <c r="M145" s="6"/>
      <c r="N145" s="6"/>
      <c r="O145" s="6"/>
      <c r="P145" s="6"/>
      <c r="Q145" s="6"/>
      <c r="R145" s="6"/>
      <c r="S145" s="6"/>
      <c r="T145" s="6"/>
      <c r="U145" s="6"/>
      <c r="V145" s="6"/>
      <c r="W145" s="6"/>
    </row>
    <row r="146" spans="1:23" ht="16" x14ac:dyDescent="0.2">
      <c r="A146"/>
      <c r="B146"/>
      <c r="C146"/>
      <c r="D146"/>
      <c r="E146" s="7"/>
      <c r="F146" s="6"/>
      <c r="G146" s="6"/>
      <c r="H146" s="6"/>
      <c r="I146" s="6"/>
      <c r="J146" s="6"/>
      <c r="K146" s="6"/>
      <c r="L146" s="6"/>
      <c r="M146" s="6"/>
      <c r="N146" s="6"/>
      <c r="O146" s="6"/>
      <c r="P146" s="6"/>
      <c r="Q146" s="6"/>
      <c r="R146" s="6"/>
      <c r="S146" s="6"/>
      <c r="T146" s="6"/>
      <c r="U146" s="6"/>
      <c r="V146" s="6"/>
      <c r="W146" s="6"/>
    </row>
    <row r="147" spans="1:23" ht="16" x14ac:dyDescent="0.2">
      <c r="A147"/>
      <c r="B147"/>
      <c r="C147"/>
      <c r="D147"/>
      <c r="E147" s="7"/>
      <c r="F147" s="6"/>
      <c r="G147" s="6"/>
      <c r="H147" s="6"/>
      <c r="I147" s="6"/>
      <c r="J147" s="6"/>
      <c r="K147" s="6"/>
      <c r="L147" s="6"/>
      <c r="M147" s="6"/>
      <c r="N147" s="6"/>
      <c r="O147" s="6"/>
      <c r="P147" s="6"/>
      <c r="Q147" s="6"/>
      <c r="R147" s="6"/>
      <c r="S147" s="6"/>
      <c r="T147" s="6"/>
      <c r="U147" s="6"/>
      <c r="V147" s="6"/>
      <c r="W147" s="6"/>
    </row>
    <row r="148" spans="1:23" ht="16" x14ac:dyDescent="0.2">
      <c r="A148"/>
      <c r="B148"/>
      <c r="C148"/>
      <c r="D148"/>
      <c r="E148" s="7"/>
      <c r="F148" s="6"/>
      <c r="G148" s="6"/>
      <c r="H148" s="6"/>
      <c r="I148" s="6"/>
      <c r="J148" s="6"/>
      <c r="K148" s="6"/>
      <c r="L148" s="6"/>
      <c r="M148" s="6"/>
      <c r="N148" s="6"/>
      <c r="O148" s="6"/>
      <c r="P148" s="6"/>
      <c r="Q148" s="6"/>
      <c r="R148" s="6"/>
      <c r="S148" s="6"/>
      <c r="T148" s="6"/>
      <c r="U148" s="6"/>
      <c r="V148" s="6"/>
      <c r="W148" s="6"/>
    </row>
    <row r="149" spans="1:23" ht="16" x14ac:dyDescent="0.2">
      <c r="A149"/>
      <c r="B149"/>
      <c r="C149"/>
      <c r="D149"/>
      <c r="E149" s="7"/>
      <c r="F149" s="6"/>
      <c r="G149" s="6"/>
      <c r="H149" s="6"/>
      <c r="I149" s="6"/>
      <c r="J149" s="6"/>
      <c r="K149" s="6"/>
      <c r="L149" s="6"/>
      <c r="M149" s="6"/>
      <c r="N149" s="6"/>
      <c r="O149" s="6"/>
      <c r="P149" s="6"/>
      <c r="Q149" s="6"/>
      <c r="R149" s="6"/>
      <c r="S149" s="6"/>
      <c r="T149" s="6"/>
      <c r="U149" s="6"/>
      <c r="V149" s="6"/>
      <c r="W149" s="6"/>
    </row>
    <row r="150" spans="1:23" ht="16" x14ac:dyDescent="0.2">
      <c r="A150"/>
      <c r="B150"/>
      <c r="C150"/>
      <c r="D150"/>
      <c r="E150" s="7"/>
      <c r="F150" s="6"/>
      <c r="G150" s="6"/>
      <c r="H150" s="6"/>
      <c r="I150" s="6"/>
      <c r="J150" s="6"/>
      <c r="K150" s="6"/>
      <c r="L150" s="6"/>
      <c r="M150" s="6"/>
      <c r="N150" s="6"/>
      <c r="O150" s="6"/>
      <c r="P150" s="6"/>
      <c r="Q150" s="6"/>
      <c r="R150" s="6"/>
      <c r="S150" s="6"/>
      <c r="T150" s="6"/>
      <c r="U150" s="6"/>
      <c r="V150" s="6"/>
      <c r="W150" s="6"/>
    </row>
    <row r="151" spans="1:23" ht="16" x14ac:dyDescent="0.2">
      <c r="A151"/>
      <c r="B151"/>
      <c r="C151"/>
      <c r="D151"/>
      <c r="E151" s="7"/>
      <c r="F151" s="6"/>
      <c r="G151" s="6"/>
      <c r="H151" s="6"/>
      <c r="I151" s="6"/>
      <c r="J151" s="6"/>
      <c r="K151" s="6"/>
      <c r="L151" s="6"/>
      <c r="M151" s="6"/>
      <c r="N151" s="6"/>
      <c r="O151" s="6"/>
      <c r="P151" s="6"/>
      <c r="Q151" s="6"/>
      <c r="R151" s="6"/>
      <c r="S151" s="6"/>
      <c r="T151" s="6"/>
      <c r="U151" s="6"/>
      <c r="V151" s="6"/>
      <c r="W151" s="6"/>
    </row>
    <row r="152" spans="1:23" ht="16" x14ac:dyDescent="0.2">
      <c r="A152"/>
      <c r="B152"/>
      <c r="C152"/>
      <c r="D152"/>
      <c r="E152" s="7"/>
      <c r="F152" s="6"/>
      <c r="G152" s="6"/>
      <c r="H152" s="6"/>
      <c r="I152" s="6"/>
      <c r="J152" s="6"/>
      <c r="K152" s="6"/>
      <c r="L152" s="6"/>
      <c r="M152" s="6"/>
      <c r="N152" s="6"/>
      <c r="O152" s="6"/>
      <c r="P152" s="6"/>
      <c r="Q152" s="6"/>
      <c r="R152" s="6"/>
      <c r="S152" s="6"/>
      <c r="T152" s="6"/>
      <c r="U152" s="6"/>
      <c r="V152" s="6"/>
      <c r="W152" s="6"/>
    </row>
    <row r="153" spans="1:23" ht="16" x14ac:dyDescent="0.2">
      <c r="A153"/>
      <c r="B153"/>
      <c r="C153"/>
      <c r="D153"/>
      <c r="E153" s="7"/>
      <c r="F153" s="6"/>
      <c r="G153" s="6"/>
      <c r="H153" s="6"/>
      <c r="I153" s="6"/>
      <c r="J153" s="6"/>
      <c r="K153" s="6"/>
      <c r="L153" s="6"/>
      <c r="M153" s="6"/>
      <c r="N153" s="6"/>
      <c r="O153" s="6"/>
      <c r="P153" s="6"/>
      <c r="Q153" s="6"/>
      <c r="R153" s="6"/>
      <c r="S153" s="6"/>
      <c r="T153" s="6"/>
      <c r="U153" s="6"/>
      <c r="V153" s="6"/>
      <c r="W153" s="6"/>
    </row>
    <row r="154" spans="1:23" ht="16" x14ac:dyDescent="0.2">
      <c r="A154"/>
      <c r="B154"/>
      <c r="C154"/>
      <c r="D154"/>
      <c r="E154" s="7"/>
      <c r="F154" s="6"/>
      <c r="G154" s="6"/>
      <c r="H154" s="6"/>
      <c r="I154" s="6"/>
      <c r="J154" s="6"/>
      <c r="K154" s="6"/>
      <c r="L154" s="6"/>
      <c r="M154" s="6"/>
      <c r="N154" s="6"/>
      <c r="O154" s="6"/>
      <c r="P154" s="6"/>
      <c r="Q154" s="6"/>
      <c r="R154" s="6"/>
      <c r="S154" s="6"/>
      <c r="T154" s="6"/>
      <c r="U154" s="6"/>
      <c r="V154" s="6"/>
      <c r="W154" s="6"/>
    </row>
    <row r="155" spans="1:23" ht="16" x14ac:dyDescent="0.2">
      <c r="A155"/>
      <c r="B155"/>
      <c r="C155"/>
      <c r="D155"/>
      <c r="E155" s="7"/>
      <c r="F155" s="6"/>
      <c r="G155" s="6"/>
      <c r="H155" s="6"/>
      <c r="I155" s="6"/>
      <c r="J155" s="6"/>
      <c r="K155" s="6"/>
      <c r="L155" s="6"/>
      <c r="M155" s="6"/>
      <c r="N155" s="6"/>
      <c r="O155" s="6"/>
      <c r="P155" s="6"/>
      <c r="Q155" s="6"/>
      <c r="R155" s="6"/>
      <c r="S155" s="6"/>
      <c r="T155" s="6"/>
      <c r="U155" s="6"/>
      <c r="V155" s="6"/>
      <c r="W155" s="6"/>
    </row>
    <row r="156" spans="1:23" ht="16" x14ac:dyDescent="0.2">
      <c r="A156"/>
      <c r="B156"/>
      <c r="C156"/>
      <c r="D156"/>
      <c r="E156" s="7"/>
      <c r="F156" s="6"/>
      <c r="G156" s="6"/>
      <c r="H156" s="6"/>
      <c r="I156" s="6"/>
      <c r="J156" s="6"/>
      <c r="K156" s="6"/>
      <c r="L156" s="6"/>
      <c r="M156" s="6"/>
      <c r="N156" s="6"/>
      <c r="O156" s="6"/>
      <c r="P156" s="6"/>
      <c r="Q156" s="6"/>
      <c r="R156" s="6"/>
      <c r="S156" s="6"/>
      <c r="T156" s="6"/>
      <c r="U156" s="6"/>
      <c r="V156" s="6"/>
      <c r="W156" s="6"/>
    </row>
    <row r="157" spans="1:23" ht="16" x14ac:dyDescent="0.2">
      <c r="A157"/>
      <c r="B157"/>
      <c r="C157"/>
      <c r="D157"/>
      <c r="E157" s="7"/>
      <c r="F157" s="6"/>
      <c r="G157" s="6"/>
      <c r="H157" s="6"/>
      <c r="I157" s="6"/>
      <c r="J157" s="6"/>
      <c r="K157" s="6"/>
      <c r="L157" s="6"/>
      <c r="M157" s="6"/>
      <c r="N157" s="6"/>
      <c r="O157" s="6"/>
      <c r="P157" s="6"/>
      <c r="Q157" s="6"/>
      <c r="R157" s="6"/>
      <c r="S157" s="6"/>
      <c r="T157" s="6"/>
      <c r="U157" s="6"/>
      <c r="V157" s="6"/>
      <c r="W157" s="6"/>
    </row>
    <row r="158" spans="1:23" ht="16" x14ac:dyDescent="0.2">
      <c r="A158"/>
      <c r="B158"/>
      <c r="C158"/>
      <c r="D158"/>
      <c r="E158" s="7"/>
      <c r="F158" s="6"/>
      <c r="G158" s="6"/>
      <c r="H158" s="6"/>
      <c r="I158" s="6"/>
      <c r="J158" s="6"/>
      <c r="K158" s="6"/>
      <c r="L158" s="6"/>
      <c r="M158" s="6"/>
      <c r="N158" s="6"/>
      <c r="O158" s="6"/>
      <c r="P158" s="6"/>
      <c r="Q158" s="6"/>
      <c r="R158" s="6"/>
      <c r="S158" s="6"/>
      <c r="T158" s="6"/>
      <c r="U158" s="6"/>
      <c r="V158" s="6"/>
      <c r="W158" s="6"/>
    </row>
    <row r="159" spans="1:23" ht="16" x14ac:dyDescent="0.2">
      <c r="A159"/>
      <c r="B159"/>
      <c r="C159"/>
      <c r="D159"/>
      <c r="E159" s="7"/>
      <c r="F159" s="6"/>
      <c r="G159" s="6"/>
      <c r="H159" s="6"/>
      <c r="I159" s="6"/>
      <c r="J159" s="6"/>
      <c r="K159" s="6"/>
      <c r="L159" s="6"/>
      <c r="M159" s="6"/>
      <c r="N159" s="6"/>
      <c r="O159" s="6"/>
      <c r="P159" s="6"/>
      <c r="Q159" s="6"/>
      <c r="R159" s="6"/>
      <c r="S159" s="6"/>
      <c r="T159" s="6"/>
      <c r="U159" s="6"/>
      <c r="V159" s="6"/>
      <c r="W159" s="6"/>
    </row>
    <row r="160" spans="1:23" ht="16" x14ac:dyDescent="0.2">
      <c r="A160"/>
      <c r="B160"/>
      <c r="C160"/>
      <c r="D160"/>
      <c r="E160" s="7"/>
      <c r="F160" s="6"/>
      <c r="G160" s="6"/>
      <c r="H160" s="6"/>
      <c r="I160" s="6"/>
      <c r="J160" s="6"/>
      <c r="K160" s="6"/>
      <c r="L160" s="6"/>
      <c r="M160" s="6"/>
      <c r="N160" s="6"/>
      <c r="O160" s="6"/>
      <c r="P160" s="6"/>
      <c r="Q160" s="6"/>
      <c r="R160" s="6"/>
      <c r="S160" s="6"/>
      <c r="T160" s="6"/>
      <c r="U160" s="6"/>
      <c r="V160" s="6"/>
      <c r="W160" s="6"/>
    </row>
    <row r="161" spans="1:23" ht="16" x14ac:dyDescent="0.2">
      <c r="A161"/>
      <c r="B161"/>
      <c r="C161"/>
      <c r="D161"/>
      <c r="E161" s="7"/>
      <c r="F161" s="6"/>
      <c r="G161" s="6"/>
      <c r="H161" s="6"/>
      <c r="I161" s="6"/>
      <c r="J161" s="6"/>
      <c r="K161" s="6"/>
      <c r="L161" s="6"/>
      <c r="M161" s="6"/>
      <c r="N161" s="6"/>
      <c r="O161" s="6"/>
      <c r="P161" s="6"/>
      <c r="Q161" s="6"/>
      <c r="R161" s="6"/>
      <c r="S161" s="6"/>
      <c r="T161" s="6"/>
      <c r="U161" s="6"/>
      <c r="V161" s="6"/>
      <c r="W161" s="6"/>
    </row>
    <row r="162" spans="1:23" ht="16" x14ac:dyDescent="0.2">
      <c r="A162"/>
      <c r="B162"/>
      <c r="C162"/>
      <c r="D162"/>
      <c r="E162" s="7"/>
      <c r="F162" s="6"/>
      <c r="G162" s="6"/>
      <c r="H162" s="6"/>
      <c r="I162" s="6"/>
      <c r="J162" s="6"/>
      <c r="K162" s="6"/>
      <c r="L162" s="6"/>
      <c r="M162" s="6"/>
      <c r="N162" s="6"/>
      <c r="O162" s="6"/>
      <c r="P162" s="6"/>
      <c r="Q162" s="6"/>
      <c r="R162" s="6"/>
      <c r="S162" s="6"/>
      <c r="T162" s="6"/>
      <c r="U162" s="6"/>
      <c r="V162" s="6"/>
      <c r="W162" s="6"/>
    </row>
    <row r="163" spans="1:23" ht="16" x14ac:dyDescent="0.2">
      <c r="A163"/>
      <c r="B163"/>
      <c r="C163"/>
      <c r="D163"/>
      <c r="E163" s="7"/>
      <c r="F163" s="6"/>
      <c r="G163" s="6"/>
      <c r="H163" s="6"/>
      <c r="I163" s="6"/>
      <c r="J163" s="6"/>
      <c r="K163" s="6"/>
      <c r="L163" s="6"/>
      <c r="M163" s="6"/>
      <c r="N163" s="6"/>
      <c r="O163" s="6"/>
      <c r="P163" s="6"/>
      <c r="Q163" s="6"/>
      <c r="R163" s="6"/>
      <c r="S163" s="6"/>
      <c r="T163" s="6"/>
      <c r="U163" s="6"/>
      <c r="V163" s="6"/>
      <c r="W163" s="6"/>
    </row>
    <row r="164" spans="1:23" ht="16" x14ac:dyDescent="0.2">
      <c r="A164"/>
      <c r="B164"/>
      <c r="C164"/>
      <c r="D164"/>
      <c r="E164" s="7"/>
      <c r="F164" s="6"/>
      <c r="G164" s="6"/>
      <c r="H164" s="6"/>
      <c r="I164" s="6"/>
      <c r="J164" s="6"/>
      <c r="K164" s="6"/>
      <c r="L164" s="6"/>
      <c r="M164" s="6"/>
      <c r="N164" s="6"/>
      <c r="O164" s="6"/>
      <c r="P164" s="6"/>
      <c r="Q164" s="6"/>
      <c r="R164" s="6"/>
      <c r="S164" s="6"/>
      <c r="T164" s="6"/>
      <c r="U164" s="6"/>
      <c r="V164" s="6"/>
      <c r="W164" s="6"/>
    </row>
    <row r="165" spans="1:23" ht="16" x14ac:dyDescent="0.2">
      <c r="A165"/>
      <c r="B165"/>
      <c r="C165"/>
      <c r="D165"/>
      <c r="E165" s="7"/>
      <c r="F165" s="6"/>
      <c r="G165" s="6"/>
      <c r="H165" s="6"/>
      <c r="I165" s="6"/>
      <c r="J165" s="6"/>
      <c r="K165" s="6"/>
      <c r="L165" s="6"/>
      <c r="M165" s="6"/>
      <c r="N165" s="6"/>
      <c r="O165" s="6"/>
      <c r="P165" s="6"/>
      <c r="Q165" s="6"/>
      <c r="R165" s="6"/>
      <c r="S165" s="6"/>
      <c r="T165" s="6"/>
      <c r="U165" s="6"/>
      <c r="V165" s="6"/>
      <c r="W165" s="6"/>
    </row>
    <row r="166" spans="1:23" ht="16" x14ac:dyDescent="0.2">
      <c r="A166"/>
      <c r="B166"/>
      <c r="C166"/>
      <c r="D166"/>
      <c r="E166" s="7"/>
      <c r="F166" s="6"/>
      <c r="G166" s="6"/>
      <c r="H166" s="6"/>
      <c r="I166" s="6"/>
      <c r="J166" s="6"/>
      <c r="K166" s="6"/>
      <c r="L166" s="6"/>
      <c r="M166" s="6"/>
      <c r="N166" s="6"/>
      <c r="O166" s="6"/>
      <c r="P166" s="6"/>
      <c r="Q166" s="6"/>
      <c r="R166" s="6"/>
      <c r="S166" s="6"/>
      <c r="T166" s="6"/>
      <c r="U166" s="6"/>
      <c r="V166" s="6"/>
      <c r="W166" s="6"/>
    </row>
    <row r="167" spans="1:23" ht="16" x14ac:dyDescent="0.2">
      <c r="A167"/>
      <c r="B167"/>
      <c r="C167"/>
      <c r="D167"/>
      <c r="E167" s="7"/>
      <c r="F167" s="6"/>
      <c r="G167" s="6"/>
      <c r="H167" s="6"/>
      <c r="I167" s="6"/>
      <c r="J167" s="6"/>
      <c r="K167" s="6"/>
      <c r="L167" s="6"/>
      <c r="M167" s="6"/>
      <c r="N167" s="6"/>
      <c r="O167" s="6"/>
      <c r="P167" s="6"/>
      <c r="Q167" s="6"/>
      <c r="R167" s="6"/>
      <c r="S167" s="6"/>
      <c r="T167" s="6"/>
      <c r="U167" s="6"/>
      <c r="V167" s="6"/>
      <c r="W167" s="6"/>
    </row>
    <row r="168" spans="1:23" ht="16" x14ac:dyDescent="0.2">
      <c r="A168"/>
      <c r="B168"/>
      <c r="C168"/>
      <c r="D168"/>
      <c r="E168" s="7"/>
      <c r="F168" s="6"/>
      <c r="G168" s="6"/>
      <c r="H168" s="6"/>
      <c r="I168" s="6"/>
      <c r="J168" s="6"/>
      <c r="K168" s="6"/>
      <c r="L168" s="6"/>
      <c r="M168" s="6"/>
      <c r="N168" s="6"/>
      <c r="O168" s="6"/>
      <c r="P168" s="6"/>
      <c r="Q168" s="6"/>
      <c r="R168" s="6"/>
      <c r="S168" s="6"/>
      <c r="T168" s="6"/>
      <c r="U168" s="6"/>
      <c r="V168" s="6"/>
      <c r="W168" s="6"/>
    </row>
    <row r="169" spans="1:23" ht="16" x14ac:dyDescent="0.2">
      <c r="A169"/>
      <c r="B169"/>
      <c r="C169"/>
      <c r="D169"/>
      <c r="E169" s="7"/>
      <c r="F169" s="6"/>
      <c r="G169" s="6"/>
      <c r="H169" s="6"/>
      <c r="I169" s="6"/>
      <c r="J169" s="6"/>
      <c r="K169" s="6"/>
      <c r="L169" s="6"/>
      <c r="M169" s="6"/>
      <c r="N169" s="6"/>
      <c r="O169" s="6"/>
      <c r="P169" s="6"/>
      <c r="Q169" s="6"/>
      <c r="R169" s="6"/>
      <c r="S169" s="6"/>
      <c r="T169" s="6"/>
      <c r="U169" s="6"/>
      <c r="V169" s="6"/>
      <c r="W169" s="6"/>
    </row>
    <row r="170" spans="1:23" ht="16" x14ac:dyDescent="0.2">
      <c r="A170"/>
      <c r="B170"/>
      <c r="C170"/>
      <c r="D170"/>
      <c r="E170" s="7"/>
      <c r="F170" s="6"/>
      <c r="G170" s="6"/>
      <c r="H170" s="6"/>
      <c r="I170" s="6"/>
      <c r="J170" s="6"/>
      <c r="K170" s="6"/>
      <c r="L170" s="6"/>
      <c r="M170" s="6"/>
      <c r="N170" s="6"/>
      <c r="O170" s="6"/>
      <c r="P170" s="6"/>
      <c r="Q170" s="6"/>
      <c r="R170" s="6"/>
      <c r="S170" s="6"/>
      <c r="T170" s="6"/>
      <c r="U170" s="6"/>
      <c r="V170" s="6"/>
      <c r="W170" s="6"/>
    </row>
    <row r="171" spans="1:23" ht="16" x14ac:dyDescent="0.2">
      <c r="A171"/>
      <c r="B171"/>
      <c r="C171"/>
      <c r="D171"/>
      <c r="E171" s="7"/>
      <c r="F171" s="6"/>
      <c r="G171" s="6"/>
      <c r="H171" s="6"/>
      <c r="I171" s="6"/>
      <c r="J171" s="6"/>
      <c r="K171" s="6"/>
      <c r="L171" s="6"/>
      <c r="M171" s="6"/>
      <c r="N171" s="6"/>
      <c r="O171" s="6"/>
      <c r="P171" s="6"/>
      <c r="Q171" s="6"/>
      <c r="R171" s="6"/>
      <c r="S171" s="6"/>
      <c r="T171" s="6"/>
      <c r="U171" s="6"/>
      <c r="V171" s="6"/>
      <c r="W171" s="6"/>
    </row>
    <row r="172" spans="1:23" ht="16" x14ac:dyDescent="0.2">
      <c r="A172"/>
      <c r="B172"/>
      <c r="C172"/>
      <c r="D172"/>
      <c r="E172" s="7"/>
      <c r="F172" s="6"/>
      <c r="G172" s="6"/>
      <c r="H172" s="6"/>
      <c r="I172" s="6"/>
      <c r="J172" s="6"/>
      <c r="K172" s="6"/>
      <c r="L172" s="6"/>
      <c r="M172" s="6"/>
      <c r="N172" s="6"/>
      <c r="O172" s="6"/>
      <c r="P172" s="6"/>
      <c r="Q172" s="6"/>
      <c r="R172" s="6"/>
      <c r="S172" s="6"/>
      <c r="T172" s="6"/>
      <c r="U172" s="6"/>
      <c r="V172" s="6"/>
      <c r="W172" s="6"/>
    </row>
    <row r="173" spans="1:23" ht="16" x14ac:dyDescent="0.2">
      <c r="A173"/>
      <c r="B173"/>
      <c r="C173"/>
      <c r="D173"/>
      <c r="E173" s="7"/>
      <c r="F173" s="6"/>
      <c r="G173" s="6"/>
      <c r="H173" s="6"/>
      <c r="I173" s="6"/>
      <c r="J173" s="6"/>
      <c r="K173" s="6"/>
      <c r="L173" s="6"/>
      <c r="M173" s="6"/>
      <c r="N173" s="6"/>
      <c r="O173" s="6"/>
      <c r="P173" s="6"/>
      <c r="Q173" s="6"/>
      <c r="R173" s="6"/>
      <c r="S173" s="6"/>
      <c r="T173" s="6"/>
      <c r="U173" s="6"/>
      <c r="V173" s="6"/>
      <c r="W173" s="6"/>
    </row>
    <row r="174" spans="1:23" ht="16" x14ac:dyDescent="0.2">
      <c r="A174"/>
      <c r="B174"/>
      <c r="C174"/>
      <c r="D174"/>
      <c r="E174" s="7"/>
      <c r="F174" s="6"/>
      <c r="G174" s="6"/>
      <c r="H174" s="6"/>
      <c r="I174" s="6"/>
      <c r="J174" s="6"/>
      <c r="K174" s="6"/>
      <c r="L174" s="6"/>
      <c r="M174" s="6"/>
      <c r="N174" s="6"/>
      <c r="O174" s="6"/>
      <c r="P174" s="6"/>
      <c r="Q174" s="6"/>
      <c r="R174" s="6"/>
      <c r="S174" s="6"/>
      <c r="T174" s="6"/>
      <c r="U174" s="6"/>
      <c r="V174" s="6"/>
      <c r="W174" s="6"/>
    </row>
    <row r="175" spans="1:23" ht="16" x14ac:dyDescent="0.2">
      <c r="A175"/>
      <c r="B175"/>
      <c r="C175"/>
      <c r="D175"/>
      <c r="E175" s="7"/>
      <c r="F175" s="6"/>
      <c r="G175" s="6"/>
      <c r="H175" s="6"/>
      <c r="I175" s="6"/>
      <c r="J175" s="6"/>
      <c r="K175" s="6"/>
      <c r="L175" s="6"/>
      <c r="M175" s="6"/>
      <c r="N175" s="6"/>
      <c r="O175" s="6"/>
      <c r="P175" s="6"/>
      <c r="Q175" s="6"/>
      <c r="R175" s="6"/>
      <c r="S175" s="6"/>
      <c r="T175" s="6"/>
      <c r="U175" s="6"/>
      <c r="V175" s="6"/>
      <c r="W175" s="6"/>
    </row>
    <row r="176" spans="1:23" ht="16" x14ac:dyDescent="0.2">
      <c r="A176"/>
      <c r="B176"/>
      <c r="C176"/>
      <c r="D176"/>
      <c r="E176" s="7"/>
      <c r="F176" s="6"/>
      <c r="G176" s="6"/>
      <c r="H176" s="6"/>
      <c r="I176" s="6"/>
      <c r="J176" s="6"/>
      <c r="K176" s="6"/>
      <c r="L176" s="6"/>
      <c r="M176" s="6"/>
      <c r="N176" s="6"/>
      <c r="O176" s="6"/>
      <c r="P176" s="6"/>
      <c r="Q176" s="6"/>
      <c r="R176" s="6"/>
      <c r="S176" s="6"/>
      <c r="T176" s="6"/>
      <c r="U176" s="6"/>
      <c r="V176" s="6"/>
      <c r="W176" s="6"/>
    </row>
    <row r="177" spans="1:23" ht="16" x14ac:dyDescent="0.2">
      <c r="A177"/>
      <c r="B177"/>
      <c r="C177"/>
      <c r="D177"/>
      <c r="E177" s="7"/>
      <c r="F177" s="6"/>
      <c r="G177" s="6"/>
      <c r="H177" s="6"/>
      <c r="I177" s="6"/>
      <c r="J177" s="6"/>
      <c r="K177" s="6"/>
      <c r="L177" s="6"/>
      <c r="M177" s="6"/>
      <c r="N177" s="6"/>
      <c r="O177" s="6"/>
      <c r="P177" s="6"/>
      <c r="Q177" s="6"/>
      <c r="R177" s="6"/>
      <c r="S177" s="6"/>
      <c r="T177" s="6"/>
      <c r="U177" s="6"/>
      <c r="V177" s="6"/>
      <c r="W177" s="6"/>
    </row>
    <row r="178" spans="1:23" ht="16" x14ac:dyDescent="0.2">
      <c r="A178"/>
      <c r="B178"/>
      <c r="C178"/>
      <c r="D178"/>
      <c r="E178" s="7"/>
      <c r="F178" s="6"/>
      <c r="G178" s="6"/>
      <c r="H178" s="6"/>
      <c r="I178" s="6"/>
      <c r="J178" s="6"/>
      <c r="K178" s="6"/>
      <c r="L178" s="6"/>
      <c r="M178" s="6"/>
      <c r="N178" s="6"/>
      <c r="O178" s="6"/>
      <c r="P178" s="6"/>
      <c r="Q178" s="6"/>
      <c r="R178" s="6"/>
      <c r="S178" s="6"/>
      <c r="T178" s="6"/>
      <c r="U178" s="6"/>
      <c r="V178" s="6"/>
      <c r="W178" s="6"/>
    </row>
    <row r="179" spans="1:23" ht="16" x14ac:dyDescent="0.2">
      <c r="A179"/>
      <c r="B179"/>
      <c r="C179"/>
      <c r="D179"/>
      <c r="E179" s="7"/>
      <c r="F179" s="6"/>
      <c r="G179" s="6"/>
      <c r="H179" s="6"/>
      <c r="I179" s="6"/>
      <c r="J179" s="6"/>
      <c r="K179" s="6"/>
      <c r="L179" s="6"/>
      <c r="M179" s="6"/>
      <c r="N179" s="6"/>
      <c r="O179" s="6"/>
      <c r="P179" s="6"/>
      <c r="Q179" s="6"/>
      <c r="R179" s="6"/>
      <c r="S179" s="6"/>
      <c r="T179" s="6"/>
      <c r="U179" s="6"/>
      <c r="V179" s="6"/>
      <c r="W179" s="6"/>
    </row>
    <row r="180" spans="1:23" ht="16" x14ac:dyDescent="0.2">
      <c r="A180"/>
      <c r="B180"/>
      <c r="C180"/>
      <c r="D180"/>
      <c r="E180" s="7"/>
      <c r="F180" s="6"/>
      <c r="G180" s="6"/>
      <c r="H180" s="6"/>
      <c r="I180" s="6"/>
      <c r="J180" s="6"/>
      <c r="K180" s="6"/>
      <c r="L180" s="6"/>
      <c r="M180" s="6"/>
      <c r="N180" s="6"/>
      <c r="O180" s="6"/>
      <c r="P180" s="6"/>
      <c r="Q180" s="6"/>
      <c r="R180" s="6"/>
      <c r="S180" s="6"/>
      <c r="T180" s="6"/>
      <c r="U180" s="6"/>
      <c r="V180" s="6"/>
      <c r="W180" s="6"/>
    </row>
    <row r="181" spans="1:23" ht="16" x14ac:dyDescent="0.2">
      <c r="A181"/>
      <c r="B181"/>
      <c r="C181"/>
      <c r="D181"/>
      <c r="E181" s="7"/>
      <c r="F181" s="6"/>
      <c r="G181" s="6"/>
      <c r="H181" s="6"/>
      <c r="I181" s="6"/>
      <c r="J181" s="6"/>
      <c r="K181" s="6"/>
      <c r="L181" s="6"/>
      <c r="M181" s="6"/>
      <c r="N181" s="6"/>
      <c r="O181" s="6"/>
      <c r="P181" s="6"/>
      <c r="Q181" s="6"/>
      <c r="R181" s="6"/>
      <c r="S181" s="6"/>
      <c r="T181" s="6"/>
      <c r="U181" s="6"/>
      <c r="V181" s="6"/>
      <c r="W181" s="6"/>
    </row>
    <row r="182" spans="1:23" ht="16" x14ac:dyDescent="0.2">
      <c r="A182"/>
      <c r="B182"/>
      <c r="C182"/>
      <c r="D182"/>
      <c r="E182" s="7"/>
      <c r="F182" s="6"/>
      <c r="G182" s="6"/>
      <c r="H182" s="6"/>
      <c r="I182" s="6"/>
      <c r="J182" s="6"/>
      <c r="K182" s="6"/>
      <c r="L182" s="6"/>
      <c r="M182" s="6"/>
      <c r="N182" s="6"/>
      <c r="O182" s="6"/>
      <c r="P182" s="6"/>
      <c r="Q182" s="6"/>
      <c r="R182" s="6"/>
      <c r="S182" s="6"/>
      <c r="T182" s="6"/>
      <c r="U182" s="6"/>
      <c r="V182" s="6"/>
      <c r="W182" s="6"/>
    </row>
    <row r="183" spans="1:23" ht="16" x14ac:dyDescent="0.2">
      <c r="A183"/>
      <c r="B183"/>
      <c r="C183"/>
      <c r="D183"/>
      <c r="E183" s="7"/>
      <c r="F183" s="6"/>
      <c r="G183" s="6"/>
      <c r="H183" s="6"/>
      <c r="I183" s="6"/>
      <c r="J183" s="6"/>
      <c r="K183" s="6"/>
      <c r="L183" s="6"/>
      <c r="M183" s="6"/>
      <c r="N183" s="6"/>
      <c r="O183" s="6"/>
      <c r="P183" s="6"/>
      <c r="Q183" s="6"/>
      <c r="R183" s="6"/>
      <c r="S183" s="6"/>
      <c r="T183" s="6"/>
      <c r="U183" s="6"/>
      <c r="V183" s="6"/>
      <c r="W183" s="6"/>
    </row>
    <row r="184" spans="1:23" ht="16" x14ac:dyDescent="0.2">
      <c r="A184"/>
      <c r="B184"/>
      <c r="C184"/>
      <c r="D184"/>
      <c r="E184" s="7"/>
      <c r="F184" s="6"/>
      <c r="G184" s="6"/>
      <c r="H184" s="6"/>
      <c r="I184" s="6"/>
      <c r="J184" s="6"/>
      <c r="K184" s="6"/>
      <c r="L184" s="6"/>
      <c r="M184" s="6"/>
      <c r="N184" s="6"/>
      <c r="O184" s="6"/>
      <c r="P184" s="6"/>
      <c r="Q184" s="6"/>
      <c r="R184" s="6"/>
      <c r="S184" s="6"/>
      <c r="T184" s="6"/>
      <c r="U184" s="6"/>
      <c r="V184" s="6"/>
      <c r="W184" s="6"/>
    </row>
    <row r="185" spans="1:23" ht="16" x14ac:dyDescent="0.2">
      <c r="A185"/>
      <c r="B185"/>
      <c r="C185"/>
      <c r="D185"/>
      <c r="E185" s="7"/>
      <c r="F185" s="6"/>
      <c r="G185" s="6"/>
      <c r="H185" s="6"/>
      <c r="I185" s="6"/>
      <c r="J185" s="6"/>
      <c r="K185" s="6"/>
      <c r="L185" s="6"/>
      <c r="M185" s="6"/>
      <c r="N185" s="6"/>
      <c r="O185" s="6"/>
      <c r="P185" s="6"/>
      <c r="Q185" s="6"/>
      <c r="R185" s="6"/>
      <c r="S185" s="6"/>
      <c r="T185" s="6"/>
      <c r="U185" s="6"/>
      <c r="V185" s="6"/>
      <c r="W185" s="6"/>
    </row>
    <row r="186" spans="1:23" ht="16" x14ac:dyDescent="0.2">
      <c r="A186"/>
      <c r="B186"/>
      <c r="C186"/>
      <c r="D186"/>
      <c r="E186" s="7"/>
      <c r="F186" s="6"/>
      <c r="G186" s="6"/>
      <c r="H186" s="6"/>
      <c r="I186" s="6"/>
      <c r="J186" s="6"/>
      <c r="K186" s="6"/>
      <c r="L186" s="6"/>
      <c r="M186" s="6"/>
      <c r="N186" s="6"/>
      <c r="O186" s="6"/>
      <c r="P186" s="6"/>
      <c r="Q186" s="6"/>
      <c r="R186" s="6"/>
      <c r="S186" s="6"/>
      <c r="T186" s="6"/>
      <c r="U186" s="6"/>
      <c r="V186" s="6"/>
      <c r="W186" s="6"/>
    </row>
    <row r="187" spans="1:23" ht="16" x14ac:dyDescent="0.2">
      <c r="A187"/>
      <c r="B187"/>
      <c r="C187"/>
      <c r="D187"/>
      <c r="E187" s="7"/>
      <c r="F187" s="6"/>
      <c r="G187" s="6"/>
      <c r="H187" s="6"/>
      <c r="I187" s="6"/>
      <c r="J187" s="6"/>
      <c r="K187" s="6"/>
      <c r="L187" s="6"/>
      <c r="M187" s="6"/>
      <c r="N187" s="6"/>
      <c r="O187" s="6"/>
      <c r="P187" s="6"/>
      <c r="Q187" s="6"/>
      <c r="R187" s="6"/>
      <c r="S187" s="6"/>
      <c r="T187" s="6"/>
      <c r="U187" s="6"/>
      <c r="V187" s="6"/>
      <c r="W187" s="6"/>
    </row>
    <row r="188" spans="1:23" ht="16" x14ac:dyDescent="0.2">
      <c r="A188"/>
      <c r="B188"/>
      <c r="C188"/>
      <c r="D188"/>
      <c r="E188" s="7"/>
      <c r="F188" s="6"/>
      <c r="G188" s="6"/>
      <c r="H188" s="6"/>
      <c r="I188" s="6"/>
      <c r="J188" s="6"/>
      <c r="K188" s="6"/>
      <c r="L188" s="6"/>
      <c r="M188" s="6"/>
      <c r="N188" s="6"/>
      <c r="O188" s="6"/>
      <c r="P188" s="6"/>
      <c r="Q188" s="6"/>
      <c r="R188" s="6"/>
      <c r="S188" s="6"/>
      <c r="T188" s="6"/>
      <c r="U188" s="6"/>
      <c r="V188" s="6"/>
      <c r="W188" s="6"/>
    </row>
    <row r="189" spans="1:23" ht="16" x14ac:dyDescent="0.2">
      <c r="A189"/>
      <c r="B189"/>
      <c r="C189"/>
      <c r="D189"/>
      <c r="E189" s="7"/>
      <c r="F189" s="6"/>
      <c r="G189" s="6"/>
      <c r="H189" s="6"/>
      <c r="I189" s="6"/>
      <c r="J189" s="6"/>
      <c r="K189" s="6"/>
      <c r="L189" s="6"/>
      <c r="M189" s="6"/>
      <c r="N189" s="6"/>
      <c r="O189" s="6"/>
      <c r="P189" s="6"/>
      <c r="Q189" s="6"/>
      <c r="R189" s="6"/>
      <c r="S189" s="6"/>
      <c r="T189" s="6"/>
      <c r="U189" s="6"/>
      <c r="V189" s="6"/>
      <c r="W189" s="6"/>
    </row>
    <row r="190" spans="1:23" ht="16" x14ac:dyDescent="0.2">
      <c r="A190" s="6"/>
      <c r="B190" s="7"/>
      <c r="C190" s="7"/>
      <c r="D190" s="7"/>
      <c r="E190" s="7"/>
      <c r="F190" s="6"/>
      <c r="G190" s="6"/>
      <c r="H190" s="6"/>
      <c r="I190" s="6"/>
      <c r="J190" s="6"/>
      <c r="K190" s="6"/>
      <c r="L190" s="6"/>
      <c r="M190" s="6"/>
      <c r="N190" s="6"/>
      <c r="O190" s="6"/>
      <c r="P190" s="6"/>
      <c r="Q190" s="6"/>
      <c r="R190" s="6"/>
      <c r="S190" s="6"/>
      <c r="T190" s="6"/>
      <c r="U190" s="6"/>
      <c r="V190" s="6"/>
      <c r="W190" s="6"/>
    </row>
    <row r="191" spans="1:23" ht="16" x14ac:dyDescent="0.2">
      <c r="A191" s="6"/>
      <c r="B191" s="7"/>
      <c r="C191" s="7"/>
      <c r="D191" s="7"/>
      <c r="E191" s="7"/>
      <c r="F191" s="6"/>
      <c r="G191" s="6"/>
      <c r="H191" s="6"/>
      <c r="I191" s="6"/>
      <c r="J191" s="6"/>
      <c r="K191" s="6"/>
      <c r="L191" s="6"/>
      <c r="M191" s="6"/>
      <c r="N191" s="6"/>
      <c r="O191" s="6"/>
      <c r="P191" s="6"/>
      <c r="Q191" s="6"/>
      <c r="R191" s="6"/>
      <c r="S191" s="6"/>
      <c r="T191" s="6"/>
      <c r="U191" s="6"/>
      <c r="V191" s="6"/>
      <c r="W191" s="6"/>
    </row>
    <row r="192" spans="1:23" ht="16" x14ac:dyDescent="0.2">
      <c r="A192" s="6"/>
      <c r="B192" s="7"/>
      <c r="C192" s="7"/>
      <c r="D192" s="7"/>
      <c r="E192" s="7"/>
      <c r="F192" s="6"/>
      <c r="G192" s="6"/>
      <c r="H192" s="6"/>
      <c r="I192" s="6"/>
      <c r="J192" s="6"/>
      <c r="K192" s="6"/>
      <c r="L192" s="6"/>
      <c r="M192" s="6"/>
      <c r="N192" s="6"/>
      <c r="O192" s="6"/>
      <c r="P192" s="6"/>
      <c r="Q192" s="6"/>
      <c r="R192" s="6"/>
      <c r="S192" s="6"/>
      <c r="T192" s="6"/>
      <c r="U192" s="6"/>
      <c r="V192" s="6"/>
      <c r="W192" s="6"/>
    </row>
    <row r="193" spans="1:23" ht="16" x14ac:dyDescent="0.2">
      <c r="A193" s="6"/>
      <c r="B193" s="7"/>
      <c r="C193" s="7"/>
      <c r="D193" s="7"/>
      <c r="E193" s="7"/>
      <c r="F193" s="6"/>
      <c r="G193" s="6"/>
      <c r="H193" s="6"/>
      <c r="I193" s="6"/>
      <c r="J193" s="6"/>
      <c r="K193" s="6"/>
      <c r="L193" s="6"/>
      <c r="M193" s="6"/>
      <c r="N193" s="6"/>
      <c r="O193" s="6"/>
      <c r="P193" s="6"/>
      <c r="Q193" s="6"/>
      <c r="R193" s="6"/>
      <c r="S193" s="6"/>
      <c r="T193" s="6"/>
      <c r="U193" s="6"/>
      <c r="V193" s="6"/>
      <c r="W193" s="6"/>
    </row>
    <row r="194" spans="1:23" ht="16" x14ac:dyDescent="0.2">
      <c r="A194" s="6"/>
      <c r="B194" s="7"/>
      <c r="C194" s="7"/>
      <c r="D194" s="7"/>
      <c r="E194" s="7"/>
      <c r="F194" s="6"/>
      <c r="G194" s="6"/>
      <c r="H194" s="6"/>
      <c r="I194" s="6"/>
      <c r="J194" s="6"/>
      <c r="K194" s="6"/>
      <c r="L194" s="6"/>
      <c r="M194" s="6"/>
      <c r="N194" s="6"/>
      <c r="O194" s="6"/>
      <c r="P194" s="6"/>
      <c r="Q194" s="6"/>
      <c r="R194" s="6"/>
      <c r="S194" s="6"/>
      <c r="T194" s="6"/>
      <c r="U194" s="6"/>
      <c r="V194" s="6"/>
      <c r="W194" s="6"/>
    </row>
    <row r="195" spans="1:23" ht="16" x14ac:dyDescent="0.2">
      <c r="A195" s="6"/>
      <c r="B195" s="7"/>
      <c r="C195" s="7"/>
      <c r="D195" s="7"/>
      <c r="E195" s="7"/>
      <c r="F195" s="6"/>
      <c r="G195" s="6"/>
      <c r="H195" s="6"/>
      <c r="I195" s="6"/>
      <c r="J195" s="6"/>
      <c r="K195" s="6"/>
      <c r="L195" s="6"/>
      <c r="M195" s="6"/>
      <c r="N195" s="6"/>
      <c r="O195" s="6"/>
      <c r="P195" s="6"/>
      <c r="Q195" s="6"/>
      <c r="R195" s="6"/>
      <c r="S195" s="6"/>
      <c r="T195" s="6"/>
      <c r="U195" s="6"/>
      <c r="V195" s="6"/>
      <c r="W195" s="6"/>
    </row>
    <row r="196" spans="1:23" ht="16" x14ac:dyDescent="0.2">
      <c r="A196" s="6"/>
      <c r="B196" s="7"/>
      <c r="C196" s="7"/>
      <c r="D196" s="7"/>
      <c r="E196" s="7"/>
      <c r="F196" s="6"/>
      <c r="G196" s="6"/>
      <c r="H196" s="6"/>
      <c r="I196" s="6"/>
      <c r="J196" s="6"/>
      <c r="K196" s="6"/>
      <c r="L196" s="6"/>
      <c r="M196" s="6"/>
      <c r="N196" s="6"/>
      <c r="O196" s="6"/>
      <c r="P196" s="6"/>
      <c r="Q196" s="6"/>
      <c r="R196" s="6"/>
      <c r="S196" s="6"/>
      <c r="T196" s="6"/>
      <c r="U196" s="6"/>
      <c r="V196" s="6"/>
      <c r="W196" s="6"/>
    </row>
    <row r="197" spans="1:23" ht="16" x14ac:dyDescent="0.2">
      <c r="A197" s="6"/>
      <c r="B197" s="7"/>
      <c r="C197" s="7"/>
      <c r="D197" s="7"/>
      <c r="E197" s="7"/>
      <c r="F197" s="6"/>
      <c r="G197" s="6"/>
      <c r="H197" s="6"/>
      <c r="I197" s="6"/>
      <c r="J197" s="6"/>
      <c r="K197" s="6"/>
      <c r="L197" s="6"/>
      <c r="M197" s="6"/>
      <c r="N197" s="6"/>
      <c r="O197" s="6"/>
      <c r="P197" s="6"/>
      <c r="Q197" s="6"/>
      <c r="R197" s="6"/>
      <c r="S197" s="6"/>
      <c r="T197" s="6"/>
      <c r="U197" s="6"/>
      <c r="V197" s="6"/>
      <c r="W197" s="6"/>
    </row>
    <row r="198" spans="1:23" ht="16" x14ac:dyDescent="0.2">
      <c r="A198" s="6"/>
      <c r="B198" s="7"/>
      <c r="C198" s="7"/>
      <c r="D198" s="7"/>
      <c r="E198" s="7"/>
      <c r="F198" s="6"/>
      <c r="G198" s="6"/>
      <c r="H198" s="6"/>
      <c r="I198" s="6"/>
      <c r="J198" s="6"/>
      <c r="K198" s="6"/>
      <c r="L198" s="6"/>
      <c r="M198" s="6"/>
      <c r="N198" s="6"/>
      <c r="O198" s="6"/>
      <c r="P198" s="6"/>
      <c r="Q198" s="6"/>
      <c r="R198" s="6"/>
      <c r="S198" s="6"/>
      <c r="T198" s="6"/>
      <c r="U198" s="6"/>
      <c r="V198" s="6"/>
      <c r="W198" s="6"/>
    </row>
    <row r="199" spans="1:23" ht="16" x14ac:dyDescent="0.2">
      <c r="A199" s="6"/>
      <c r="B199" s="7"/>
      <c r="C199" s="7"/>
      <c r="D199" s="7"/>
      <c r="E199" s="7"/>
      <c r="F199" s="6"/>
      <c r="G199" s="6"/>
      <c r="H199" s="6"/>
      <c r="I199" s="6"/>
      <c r="J199" s="6"/>
      <c r="K199" s="6"/>
      <c r="L199" s="6"/>
      <c r="M199" s="6"/>
      <c r="N199" s="6"/>
      <c r="O199" s="6"/>
      <c r="P199" s="6"/>
      <c r="Q199" s="6"/>
      <c r="R199" s="6"/>
      <c r="S199" s="6"/>
      <c r="T199" s="6"/>
      <c r="U199" s="6"/>
      <c r="V199" s="6"/>
      <c r="W199" s="6"/>
    </row>
    <row r="200" spans="1:23" ht="16" x14ac:dyDescent="0.2">
      <c r="A200" s="6"/>
      <c r="B200" s="7"/>
      <c r="C200" s="7"/>
      <c r="D200" s="7"/>
      <c r="E200" s="7"/>
      <c r="F200" s="6"/>
      <c r="G200" s="6"/>
      <c r="H200" s="6"/>
      <c r="I200" s="6"/>
      <c r="J200" s="6"/>
      <c r="K200" s="6"/>
      <c r="L200" s="6"/>
      <c r="M200" s="6"/>
      <c r="N200" s="6"/>
      <c r="O200" s="6"/>
      <c r="P200" s="6"/>
      <c r="Q200" s="6"/>
      <c r="R200" s="6"/>
      <c r="S200" s="6"/>
      <c r="T200" s="6"/>
      <c r="U200" s="6"/>
      <c r="V200" s="6"/>
      <c r="W200" s="6"/>
    </row>
    <row r="201" spans="1:23" ht="16" x14ac:dyDescent="0.2">
      <c r="A201" s="6"/>
      <c r="B201" s="7"/>
      <c r="C201" s="7"/>
      <c r="D201" s="7"/>
      <c r="E201" s="7"/>
      <c r="F201" s="6"/>
      <c r="G201" s="6"/>
      <c r="H201" s="6"/>
      <c r="I201" s="6"/>
      <c r="J201" s="6"/>
      <c r="K201" s="6"/>
      <c r="L201" s="6"/>
      <c r="M201" s="6"/>
      <c r="N201" s="6"/>
      <c r="O201" s="6"/>
      <c r="P201" s="6"/>
      <c r="Q201" s="6"/>
      <c r="R201" s="6"/>
      <c r="S201" s="6"/>
      <c r="T201" s="6"/>
      <c r="U201" s="6"/>
      <c r="V201" s="6"/>
      <c r="W201" s="6"/>
    </row>
    <row r="202" spans="1:23" ht="16" x14ac:dyDescent="0.2">
      <c r="A202" s="6"/>
      <c r="B202" s="7"/>
      <c r="C202" s="7"/>
      <c r="D202" s="7"/>
      <c r="E202" s="7"/>
      <c r="F202" s="6"/>
      <c r="G202" s="6"/>
      <c r="H202" s="6"/>
      <c r="I202" s="6"/>
      <c r="J202" s="6"/>
      <c r="K202" s="6"/>
      <c r="L202" s="6"/>
      <c r="M202" s="6"/>
      <c r="N202" s="6"/>
      <c r="O202" s="6"/>
      <c r="P202" s="6"/>
      <c r="Q202" s="6"/>
      <c r="R202" s="6"/>
      <c r="S202" s="6"/>
      <c r="T202" s="6"/>
      <c r="U202" s="6"/>
      <c r="V202" s="6"/>
      <c r="W202" s="6"/>
    </row>
    <row r="203" spans="1:23" ht="16" x14ac:dyDescent="0.2">
      <c r="A203" s="6"/>
      <c r="B203" s="7"/>
      <c r="C203" s="7"/>
      <c r="D203" s="7"/>
      <c r="E203" s="7"/>
      <c r="F203" s="6"/>
      <c r="G203" s="6"/>
      <c r="H203" s="6"/>
      <c r="I203" s="6"/>
      <c r="J203" s="6"/>
      <c r="K203" s="6"/>
      <c r="L203" s="6"/>
      <c r="M203" s="6"/>
      <c r="N203" s="6"/>
      <c r="O203" s="6"/>
      <c r="P203" s="6"/>
      <c r="Q203" s="6"/>
      <c r="R203" s="6"/>
      <c r="S203" s="6"/>
      <c r="T203" s="6"/>
      <c r="U203" s="6"/>
      <c r="V203" s="6"/>
      <c r="W203" s="6"/>
    </row>
    <row r="204" spans="1:23" ht="16" x14ac:dyDescent="0.2">
      <c r="A204" s="6"/>
      <c r="B204" s="7"/>
      <c r="C204" s="7"/>
      <c r="D204" s="7"/>
      <c r="E204" s="7"/>
      <c r="F204" s="6"/>
      <c r="G204" s="6"/>
      <c r="H204" s="6"/>
      <c r="I204" s="6"/>
      <c r="J204" s="6"/>
      <c r="K204" s="6"/>
      <c r="L204" s="6"/>
      <c r="M204" s="6"/>
      <c r="N204" s="6"/>
      <c r="O204" s="6"/>
      <c r="P204" s="6"/>
      <c r="Q204" s="6"/>
      <c r="R204" s="6"/>
      <c r="S204" s="6"/>
      <c r="T204" s="6"/>
      <c r="U204" s="6"/>
      <c r="V204" s="6"/>
      <c r="W204" s="6"/>
    </row>
    <row r="205" spans="1:23" ht="16" x14ac:dyDescent="0.2">
      <c r="A205" s="6"/>
      <c r="B205" s="7"/>
      <c r="C205" s="7"/>
      <c r="D205" s="7"/>
      <c r="E205" s="7"/>
      <c r="F205" s="6"/>
      <c r="G205" s="6"/>
      <c r="H205" s="6"/>
      <c r="I205" s="6"/>
      <c r="J205" s="6"/>
      <c r="K205" s="6"/>
      <c r="L205" s="6"/>
      <c r="M205" s="6"/>
      <c r="N205" s="6"/>
      <c r="O205" s="6"/>
      <c r="P205" s="6"/>
      <c r="Q205" s="6"/>
      <c r="R205" s="6"/>
      <c r="S205" s="6"/>
      <c r="T205" s="6"/>
      <c r="U205" s="6"/>
      <c r="V205" s="6"/>
      <c r="W205" s="6"/>
    </row>
    <row r="206" spans="1:23" ht="16" x14ac:dyDescent="0.2">
      <c r="A206" s="6"/>
      <c r="B206" s="7"/>
      <c r="C206" s="7"/>
      <c r="D206" s="7"/>
      <c r="E206" s="7"/>
      <c r="F206" s="6"/>
      <c r="G206" s="6"/>
      <c r="H206" s="6"/>
      <c r="I206" s="6"/>
      <c r="J206" s="6"/>
      <c r="K206" s="6"/>
      <c r="L206" s="6"/>
      <c r="M206" s="6"/>
      <c r="N206" s="6"/>
      <c r="O206" s="6"/>
      <c r="P206" s="6"/>
      <c r="Q206" s="6"/>
      <c r="R206" s="6"/>
      <c r="S206" s="6"/>
      <c r="T206" s="6"/>
      <c r="U206" s="6"/>
      <c r="V206" s="6"/>
      <c r="W206" s="6"/>
    </row>
    <row r="207" spans="1:23" ht="16" x14ac:dyDescent="0.2">
      <c r="A207" s="6"/>
      <c r="B207" s="7"/>
      <c r="C207" s="7"/>
      <c r="D207" s="7"/>
      <c r="E207" s="7"/>
      <c r="F207" s="6"/>
      <c r="G207" s="6"/>
      <c r="H207" s="6"/>
      <c r="I207" s="6"/>
      <c r="J207" s="6"/>
      <c r="K207" s="6"/>
      <c r="L207" s="6"/>
      <c r="M207" s="6"/>
      <c r="N207" s="6"/>
      <c r="O207" s="6"/>
      <c r="P207" s="6"/>
      <c r="Q207" s="6"/>
      <c r="R207" s="6"/>
      <c r="S207" s="6"/>
      <c r="T207" s="6"/>
      <c r="U207" s="6"/>
      <c r="V207" s="6"/>
      <c r="W207" s="6"/>
    </row>
    <row r="208" spans="1:23" ht="16" x14ac:dyDescent="0.2">
      <c r="A208" s="6"/>
      <c r="B208" s="7"/>
      <c r="C208" s="7"/>
      <c r="D208" s="7"/>
      <c r="E208" s="7"/>
      <c r="F208" s="6"/>
      <c r="G208" s="6"/>
      <c r="H208" s="6"/>
      <c r="I208" s="6"/>
      <c r="J208" s="6"/>
      <c r="K208" s="6"/>
      <c r="L208" s="6"/>
      <c r="M208" s="6"/>
      <c r="N208" s="6"/>
      <c r="O208" s="6"/>
      <c r="P208" s="6"/>
      <c r="Q208" s="6"/>
      <c r="R208" s="6"/>
      <c r="S208" s="6"/>
      <c r="T208" s="6"/>
      <c r="U208" s="6"/>
      <c r="V208" s="6"/>
      <c r="W208" s="6"/>
    </row>
    <row r="209" spans="1:23" ht="16" x14ac:dyDescent="0.2">
      <c r="A209" s="6"/>
      <c r="B209" s="7"/>
      <c r="C209" s="7"/>
      <c r="D209" s="7"/>
      <c r="E209" s="7"/>
      <c r="F209" s="6"/>
      <c r="G209" s="6"/>
      <c r="H209" s="6"/>
      <c r="I209" s="6"/>
      <c r="J209" s="6"/>
      <c r="K209" s="6"/>
      <c r="L209" s="6"/>
      <c r="M209" s="6"/>
      <c r="N209" s="6"/>
      <c r="O209" s="6"/>
      <c r="P209" s="6"/>
      <c r="Q209" s="6"/>
      <c r="R209" s="6"/>
      <c r="S209" s="6"/>
      <c r="T209" s="6"/>
      <c r="U209" s="6"/>
      <c r="V209" s="6"/>
      <c r="W209" s="6"/>
    </row>
    <row r="210" spans="1:23" ht="16" x14ac:dyDescent="0.2">
      <c r="A210" s="6"/>
      <c r="B210" s="7"/>
      <c r="C210" s="7"/>
      <c r="D210" s="7"/>
      <c r="E210" s="7"/>
      <c r="F210" s="6"/>
      <c r="G210" s="6"/>
      <c r="H210" s="6"/>
      <c r="I210" s="6"/>
      <c r="J210" s="6"/>
      <c r="K210" s="6"/>
      <c r="L210" s="6"/>
      <c r="M210" s="6"/>
      <c r="N210" s="6"/>
      <c r="O210" s="6"/>
      <c r="P210" s="6"/>
      <c r="Q210" s="6"/>
      <c r="R210" s="6"/>
      <c r="S210" s="6"/>
      <c r="T210" s="6"/>
      <c r="U210" s="6"/>
      <c r="V210" s="6"/>
      <c r="W210" s="6"/>
    </row>
    <row r="211" spans="1:23" ht="16" x14ac:dyDescent="0.2">
      <c r="A211" s="6"/>
      <c r="B211" s="7"/>
      <c r="C211" s="7"/>
      <c r="D211" s="7"/>
      <c r="E211" s="7"/>
      <c r="F211" s="6"/>
      <c r="G211" s="6"/>
      <c r="H211" s="6"/>
      <c r="I211" s="6"/>
      <c r="J211" s="6"/>
      <c r="K211" s="6"/>
      <c r="L211" s="6"/>
      <c r="M211" s="6"/>
      <c r="N211" s="6"/>
      <c r="O211" s="6"/>
      <c r="P211" s="6"/>
      <c r="Q211" s="6"/>
      <c r="R211" s="6"/>
      <c r="S211" s="6"/>
      <c r="T211" s="6"/>
      <c r="U211" s="6"/>
      <c r="V211" s="6"/>
      <c r="W211" s="6"/>
    </row>
    <row r="212" spans="1:23" ht="16" x14ac:dyDescent="0.2">
      <c r="A212" s="6"/>
      <c r="B212" s="7"/>
      <c r="C212" s="7"/>
      <c r="D212" s="7"/>
      <c r="E212" s="7"/>
      <c r="F212" s="6"/>
      <c r="G212" s="6"/>
      <c r="H212" s="6"/>
      <c r="I212" s="6"/>
      <c r="J212" s="6"/>
      <c r="K212" s="6"/>
      <c r="L212" s="6"/>
      <c r="M212" s="6"/>
      <c r="N212" s="6"/>
      <c r="O212" s="6"/>
      <c r="P212" s="6"/>
      <c r="Q212" s="6"/>
      <c r="R212" s="6"/>
      <c r="S212" s="6"/>
      <c r="T212" s="6"/>
      <c r="U212" s="6"/>
      <c r="V212" s="6"/>
      <c r="W212" s="6"/>
    </row>
    <row r="213" spans="1:23" ht="16" x14ac:dyDescent="0.2">
      <c r="A213" s="6"/>
      <c r="B213" s="7"/>
      <c r="C213" s="7"/>
      <c r="D213" s="7"/>
      <c r="E213" s="7"/>
      <c r="F213" s="6"/>
      <c r="G213" s="6"/>
      <c r="H213" s="6"/>
      <c r="I213" s="6"/>
      <c r="J213" s="6"/>
      <c r="K213" s="6"/>
      <c r="L213" s="6"/>
      <c r="M213" s="6"/>
      <c r="N213" s="6"/>
      <c r="O213" s="6"/>
      <c r="P213" s="6"/>
      <c r="Q213" s="6"/>
      <c r="R213" s="6"/>
      <c r="S213" s="6"/>
      <c r="T213" s="6"/>
      <c r="U213" s="6"/>
      <c r="V213" s="6"/>
      <c r="W213" s="6"/>
    </row>
    <row r="214" spans="1:23" ht="16" x14ac:dyDescent="0.2">
      <c r="A214" s="6"/>
      <c r="B214" s="7"/>
      <c r="C214" s="7"/>
      <c r="D214" s="7"/>
      <c r="E214" s="7"/>
      <c r="F214" s="6"/>
      <c r="G214" s="6"/>
      <c r="H214" s="6"/>
      <c r="I214" s="6"/>
      <c r="J214" s="6"/>
      <c r="K214" s="6"/>
      <c r="L214" s="6"/>
      <c r="M214" s="6"/>
      <c r="N214" s="6"/>
      <c r="O214" s="6"/>
      <c r="P214" s="6"/>
      <c r="Q214" s="6"/>
      <c r="R214" s="6"/>
      <c r="S214" s="6"/>
      <c r="T214" s="6"/>
      <c r="U214" s="6"/>
      <c r="V214" s="6"/>
      <c r="W214" s="6"/>
    </row>
    <row r="215" spans="1:23" ht="16" x14ac:dyDescent="0.2">
      <c r="A215" s="6"/>
      <c r="B215" s="7"/>
      <c r="C215" s="7"/>
      <c r="D215" s="7"/>
      <c r="E215" s="7"/>
      <c r="F215" s="6"/>
      <c r="G215" s="6"/>
      <c r="H215" s="6"/>
      <c r="I215" s="6"/>
      <c r="J215" s="6"/>
      <c r="K215" s="6"/>
      <c r="L215" s="6"/>
      <c r="M215" s="6"/>
      <c r="N215" s="6"/>
      <c r="O215" s="6"/>
      <c r="P215" s="6"/>
      <c r="Q215" s="6"/>
      <c r="R215" s="6"/>
      <c r="S215" s="6"/>
      <c r="T215" s="6"/>
      <c r="U215" s="6"/>
      <c r="V215" s="6"/>
      <c r="W215" s="6"/>
    </row>
    <row r="216" spans="1:23" ht="16" x14ac:dyDescent="0.2">
      <c r="A216" s="6"/>
      <c r="B216" s="7"/>
      <c r="C216" s="7"/>
      <c r="D216" s="7"/>
      <c r="E216" s="7"/>
      <c r="F216" s="6"/>
      <c r="G216" s="6"/>
      <c r="H216" s="6"/>
      <c r="I216" s="6"/>
      <c r="J216" s="6"/>
      <c r="K216" s="6"/>
      <c r="L216" s="6"/>
      <c r="M216" s="6"/>
      <c r="N216" s="6"/>
      <c r="O216" s="6"/>
      <c r="P216" s="6"/>
      <c r="Q216" s="6"/>
      <c r="R216" s="6"/>
      <c r="S216" s="6"/>
      <c r="T216" s="6"/>
      <c r="U216" s="6"/>
      <c r="V216" s="6"/>
      <c r="W216" s="6"/>
    </row>
    <row r="217" spans="1:23" ht="16" x14ac:dyDescent="0.2">
      <c r="A217" s="6"/>
      <c r="B217" s="7"/>
      <c r="C217" s="7"/>
      <c r="D217" s="7"/>
      <c r="E217" s="7"/>
      <c r="F217" s="6"/>
      <c r="G217" s="6"/>
      <c r="H217" s="6"/>
      <c r="I217" s="6"/>
      <c r="J217" s="6"/>
      <c r="K217" s="6"/>
      <c r="L217" s="6"/>
      <c r="M217" s="6"/>
      <c r="N217" s="6"/>
      <c r="O217" s="6"/>
      <c r="P217" s="6"/>
      <c r="Q217" s="6"/>
      <c r="R217" s="6"/>
      <c r="S217" s="6"/>
      <c r="T217" s="6"/>
      <c r="U217" s="6"/>
      <c r="V217" s="6"/>
      <c r="W217" s="6"/>
    </row>
    <row r="218" spans="1:23" ht="16" x14ac:dyDescent="0.2">
      <c r="A218" s="6"/>
      <c r="B218" s="7"/>
      <c r="C218" s="7"/>
      <c r="D218" s="7"/>
      <c r="E218" s="7"/>
      <c r="F218" s="6"/>
      <c r="G218" s="6"/>
      <c r="H218" s="6"/>
      <c r="I218" s="6"/>
      <c r="J218" s="6"/>
      <c r="K218" s="6"/>
      <c r="L218" s="6"/>
      <c r="M218" s="6"/>
      <c r="N218" s="6"/>
      <c r="O218" s="6"/>
      <c r="P218" s="6"/>
      <c r="Q218" s="6"/>
      <c r="R218" s="6"/>
      <c r="S218" s="6"/>
      <c r="T218" s="6"/>
      <c r="U218" s="6"/>
      <c r="V218" s="6"/>
      <c r="W218" s="6"/>
    </row>
    <row r="219" spans="1:23" ht="16" x14ac:dyDescent="0.2">
      <c r="A219" s="6"/>
      <c r="B219" s="7"/>
      <c r="C219" s="7"/>
      <c r="D219" s="7"/>
      <c r="E219" s="7"/>
      <c r="F219" s="6"/>
      <c r="G219" s="6"/>
      <c r="H219" s="6"/>
      <c r="I219" s="6"/>
      <c r="J219" s="6"/>
      <c r="K219" s="6"/>
      <c r="L219" s="6"/>
      <c r="M219" s="6"/>
      <c r="N219" s="6"/>
      <c r="O219" s="6"/>
      <c r="P219" s="6"/>
      <c r="Q219" s="6"/>
      <c r="R219" s="6"/>
      <c r="S219" s="6"/>
      <c r="T219" s="6"/>
      <c r="U219" s="6"/>
      <c r="V219" s="6"/>
      <c r="W219" s="6"/>
    </row>
    <row r="220" spans="1:23" ht="16" x14ac:dyDescent="0.2">
      <c r="A220" s="6"/>
      <c r="B220" s="7"/>
      <c r="C220" s="7"/>
      <c r="D220" s="7"/>
      <c r="E220" s="7"/>
      <c r="F220" s="6"/>
      <c r="G220" s="6"/>
      <c r="H220" s="6"/>
      <c r="I220" s="6"/>
      <c r="J220" s="6"/>
      <c r="K220" s="6"/>
      <c r="L220" s="6"/>
      <c r="M220" s="6"/>
      <c r="N220" s="6"/>
      <c r="O220" s="6"/>
      <c r="P220" s="6"/>
      <c r="Q220" s="6"/>
      <c r="R220" s="6"/>
      <c r="S220" s="6"/>
      <c r="T220" s="6"/>
      <c r="U220" s="6"/>
      <c r="V220" s="6"/>
      <c r="W220" s="6"/>
    </row>
    <row r="221" spans="1:23" ht="16" x14ac:dyDescent="0.2">
      <c r="A221" s="6"/>
      <c r="B221" s="7"/>
      <c r="C221" s="7"/>
      <c r="D221" s="7"/>
      <c r="E221" s="7"/>
      <c r="F221" s="6"/>
      <c r="G221" s="6"/>
      <c r="H221" s="6"/>
      <c r="I221" s="6"/>
      <c r="J221" s="6"/>
      <c r="K221" s="6"/>
      <c r="L221" s="6"/>
      <c r="M221" s="6"/>
      <c r="N221" s="6"/>
      <c r="O221" s="6"/>
      <c r="P221" s="6"/>
      <c r="Q221" s="6"/>
      <c r="R221" s="6"/>
      <c r="S221" s="6"/>
      <c r="T221" s="6"/>
      <c r="U221" s="6"/>
      <c r="V221" s="6"/>
      <c r="W221" s="6"/>
    </row>
    <row r="222" spans="1:23" ht="16" x14ac:dyDescent="0.2">
      <c r="A222" s="6"/>
      <c r="B222" s="7"/>
      <c r="C222" s="7"/>
      <c r="D222" s="7"/>
      <c r="E222" s="7"/>
      <c r="F222" s="6"/>
      <c r="G222" s="6"/>
      <c r="H222" s="6"/>
      <c r="I222" s="6"/>
      <c r="J222" s="6"/>
      <c r="K222" s="6"/>
      <c r="L222" s="6"/>
      <c r="M222" s="6"/>
      <c r="N222" s="6"/>
      <c r="O222" s="6"/>
      <c r="P222" s="6"/>
      <c r="Q222" s="6"/>
      <c r="R222" s="6"/>
      <c r="S222" s="6"/>
      <c r="T222" s="6"/>
      <c r="U222" s="6"/>
      <c r="V222" s="6"/>
      <c r="W222" s="6"/>
    </row>
    <row r="223" spans="1:23" ht="16" x14ac:dyDescent="0.2">
      <c r="A223" s="6"/>
      <c r="B223" s="7"/>
      <c r="C223" s="7"/>
      <c r="D223" s="7"/>
      <c r="E223" s="7"/>
      <c r="F223" s="6"/>
      <c r="G223" s="6"/>
      <c r="H223" s="6"/>
      <c r="I223" s="6"/>
      <c r="J223" s="6"/>
      <c r="K223" s="6"/>
      <c r="L223" s="6"/>
      <c r="M223" s="6"/>
      <c r="N223" s="6"/>
      <c r="O223" s="6"/>
      <c r="P223" s="6"/>
      <c r="Q223" s="6"/>
      <c r="R223" s="6"/>
      <c r="S223" s="6"/>
      <c r="T223" s="6"/>
      <c r="U223" s="6"/>
      <c r="V223" s="6"/>
      <c r="W223" s="6"/>
    </row>
    <row r="224" spans="1:23" ht="16" x14ac:dyDescent="0.2">
      <c r="A224" s="6"/>
      <c r="B224" s="7"/>
      <c r="C224" s="7"/>
      <c r="D224" s="7"/>
      <c r="E224" s="7"/>
      <c r="F224" s="6"/>
      <c r="G224" s="6"/>
      <c r="H224" s="6"/>
      <c r="I224" s="6"/>
      <c r="J224" s="6"/>
      <c r="K224" s="6"/>
      <c r="L224" s="6"/>
      <c r="M224" s="6"/>
      <c r="N224" s="6"/>
      <c r="O224" s="6"/>
      <c r="P224" s="6"/>
      <c r="Q224" s="6"/>
      <c r="R224" s="6"/>
      <c r="S224" s="6"/>
      <c r="T224" s="6"/>
      <c r="U224" s="6"/>
      <c r="V224" s="6"/>
      <c r="W224" s="6"/>
    </row>
    <row r="225" spans="1:23" ht="16" x14ac:dyDescent="0.2">
      <c r="A225" s="6"/>
      <c r="B225" s="7"/>
      <c r="C225" s="7"/>
      <c r="D225" s="7"/>
      <c r="E225" s="7"/>
      <c r="F225" s="6"/>
      <c r="G225" s="6"/>
      <c r="H225" s="6"/>
      <c r="I225" s="6"/>
      <c r="J225" s="6"/>
      <c r="K225" s="6"/>
      <c r="L225" s="6"/>
      <c r="M225" s="6"/>
      <c r="N225" s="6"/>
      <c r="O225" s="6"/>
      <c r="P225" s="6"/>
      <c r="Q225" s="6"/>
      <c r="R225" s="6"/>
      <c r="S225" s="6"/>
      <c r="T225" s="6"/>
      <c r="U225" s="6"/>
      <c r="V225" s="6"/>
      <c r="W225" s="6"/>
    </row>
    <row r="226" spans="1:23" ht="16" x14ac:dyDescent="0.2">
      <c r="A226" s="6"/>
      <c r="B226" s="7"/>
      <c r="C226" s="7"/>
      <c r="D226" s="7"/>
      <c r="E226" s="7"/>
      <c r="F226" s="6"/>
      <c r="G226" s="6"/>
      <c r="H226" s="6"/>
      <c r="I226" s="6"/>
      <c r="J226" s="6"/>
      <c r="K226" s="6"/>
      <c r="L226" s="6"/>
      <c r="M226" s="6"/>
      <c r="N226" s="6"/>
      <c r="O226" s="6"/>
      <c r="P226" s="6"/>
      <c r="Q226" s="6"/>
      <c r="R226" s="6"/>
      <c r="S226" s="6"/>
      <c r="T226" s="6"/>
      <c r="U226" s="6"/>
      <c r="V226" s="6"/>
      <c r="W226" s="6"/>
    </row>
    <row r="227" spans="1:23" ht="16" x14ac:dyDescent="0.2">
      <c r="A227" s="6"/>
      <c r="B227" s="7"/>
      <c r="C227" s="7"/>
      <c r="D227" s="7"/>
      <c r="E227" s="7"/>
      <c r="F227" s="6"/>
      <c r="G227" s="6"/>
      <c r="H227" s="6"/>
      <c r="I227" s="6"/>
      <c r="J227" s="6"/>
      <c r="K227" s="6"/>
      <c r="L227" s="6"/>
      <c r="M227" s="6"/>
      <c r="N227" s="6"/>
      <c r="O227" s="6"/>
      <c r="P227" s="6"/>
      <c r="Q227" s="6"/>
      <c r="R227" s="6"/>
      <c r="S227" s="6"/>
      <c r="T227" s="6"/>
      <c r="U227" s="6"/>
      <c r="V227" s="6"/>
      <c r="W227" s="6"/>
    </row>
    <row r="228" spans="1:23" ht="16" x14ac:dyDescent="0.2">
      <c r="A228" s="6"/>
      <c r="B228" s="7"/>
      <c r="C228" s="7"/>
      <c r="D228" s="7"/>
      <c r="E228" s="7"/>
      <c r="F228" s="6"/>
      <c r="G228" s="6"/>
      <c r="H228" s="6"/>
      <c r="I228" s="6"/>
      <c r="J228" s="6"/>
      <c r="K228" s="6"/>
      <c r="L228" s="6"/>
      <c r="M228" s="6"/>
      <c r="N228" s="6"/>
      <c r="O228" s="6"/>
      <c r="P228" s="6"/>
      <c r="Q228" s="6"/>
      <c r="R228" s="6"/>
      <c r="S228" s="6"/>
      <c r="T228" s="6"/>
      <c r="U228" s="6"/>
      <c r="V228" s="6"/>
      <c r="W228" s="6"/>
    </row>
    <row r="229" spans="1:23" ht="16" x14ac:dyDescent="0.2">
      <c r="A229" s="6"/>
      <c r="B229" s="7"/>
      <c r="C229" s="7"/>
      <c r="D229" s="7"/>
      <c r="E229" s="7"/>
      <c r="F229" s="6"/>
      <c r="G229" s="6"/>
      <c r="H229" s="6"/>
      <c r="I229" s="6"/>
      <c r="J229" s="6"/>
      <c r="K229" s="6"/>
      <c r="L229" s="6"/>
      <c r="M229" s="6"/>
      <c r="N229" s="6"/>
      <c r="O229" s="6"/>
      <c r="P229" s="6"/>
      <c r="Q229" s="6"/>
      <c r="R229" s="6"/>
      <c r="S229" s="6"/>
      <c r="T229" s="6"/>
      <c r="U229" s="6"/>
      <c r="V229" s="6"/>
      <c r="W229" s="6"/>
    </row>
    <row r="230" spans="1:23" ht="16" x14ac:dyDescent="0.2">
      <c r="A230" s="6"/>
      <c r="B230" s="7"/>
      <c r="C230" s="7"/>
      <c r="D230" s="7"/>
      <c r="E230" s="7"/>
      <c r="F230" s="6"/>
      <c r="G230" s="6"/>
      <c r="H230" s="6"/>
      <c r="I230" s="6"/>
      <c r="J230" s="6"/>
      <c r="K230" s="6"/>
      <c r="L230" s="6"/>
      <c r="M230" s="6"/>
      <c r="N230" s="6"/>
      <c r="O230" s="6"/>
      <c r="P230" s="6"/>
      <c r="Q230" s="6"/>
      <c r="R230" s="6"/>
      <c r="S230" s="6"/>
      <c r="T230" s="6"/>
      <c r="U230" s="6"/>
      <c r="V230" s="6"/>
      <c r="W230" s="6"/>
    </row>
    <row r="231" spans="1:23" ht="16" x14ac:dyDescent="0.2">
      <c r="A231" s="6"/>
      <c r="B231" s="7"/>
      <c r="C231" s="7"/>
      <c r="D231" s="7"/>
      <c r="E231" s="7"/>
      <c r="F231" s="6"/>
      <c r="G231" s="6"/>
      <c r="H231" s="6"/>
      <c r="I231" s="6"/>
      <c r="J231" s="6"/>
      <c r="K231" s="6"/>
      <c r="L231" s="6"/>
      <c r="M231" s="6"/>
      <c r="N231" s="6"/>
      <c r="O231" s="6"/>
      <c r="P231" s="6"/>
      <c r="Q231" s="6"/>
      <c r="R231" s="6"/>
      <c r="S231" s="6"/>
      <c r="T231" s="6"/>
      <c r="U231" s="6"/>
      <c r="V231" s="6"/>
      <c r="W231" s="6"/>
    </row>
    <row r="232" spans="1:23" ht="16" x14ac:dyDescent="0.2">
      <c r="A232" s="6"/>
      <c r="B232" s="7"/>
      <c r="C232" s="7"/>
      <c r="D232" s="7"/>
      <c r="E232" s="7"/>
      <c r="F232" s="6"/>
      <c r="G232" s="6"/>
      <c r="H232" s="6"/>
      <c r="I232" s="6"/>
      <c r="J232" s="6"/>
      <c r="K232" s="6"/>
      <c r="L232" s="6"/>
      <c r="M232" s="6"/>
      <c r="N232" s="6"/>
      <c r="O232" s="6"/>
      <c r="P232" s="6"/>
      <c r="Q232" s="6"/>
      <c r="R232" s="6"/>
      <c r="S232" s="6"/>
      <c r="T232" s="6"/>
      <c r="U232" s="6"/>
      <c r="V232" s="6"/>
      <c r="W232" s="6"/>
    </row>
    <row r="233" spans="1:23" ht="16" x14ac:dyDescent="0.2">
      <c r="A233" s="6"/>
      <c r="B233" s="7"/>
      <c r="C233" s="7"/>
      <c r="D233" s="7"/>
      <c r="E233" s="7"/>
      <c r="F233" s="6"/>
      <c r="G233" s="6"/>
      <c r="H233" s="6"/>
      <c r="I233" s="6"/>
      <c r="J233" s="6"/>
      <c r="K233" s="6"/>
      <c r="L233" s="6"/>
      <c r="M233" s="6"/>
      <c r="N233" s="6"/>
      <c r="O233" s="6"/>
      <c r="P233" s="6"/>
      <c r="Q233" s="6"/>
      <c r="R233" s="6"/>
      <c r="S233" s="6"/>
      <c r="T233" s="6"/>
      <c r="U233" s="6"/>
      <c r="V233" s="6"/>
      <c r="W233" s="6"/>
    </row>
    <row r="234" spans="1:23" ht="16" x14ac:dyDescent="0.2">
      <c r="A234" s="6"/>
      <c r="B234" s="7"/>
      <c r="C234" s="7"/>
      <c r="D234" s="7"/>
      <c r="E234" s="7"/>
      <c r="F234" s="6"/>
      <c r="G234" s="6"/>
      <c r="H234" s="6"/>
      <c r="I234" s="6"/>
      <c r="J234" s="6"/>
      <c r="K234" s="6"/>
      <c r="L234" s="6"/>
      <c r="M234" s="6"/>
      <c r="N234" s="6"/>
      <c r="O234" s="6"/>
      <c r="P234" s="6"/>
      <c r="Q234" s="6"/>
      <c r="R234" s="6"/>
      <c r="S234" s="6"/>
      <c r="T234" s="6"/>
      <c r="U234" s="6"/>
      <c r="V234" s="6"/>
      <c r="W234" s="6"/>
    </row>
    <row r="235" spans="1:23" ht="16" x14ac:dyDescent="0.2">
      <c r="A235" s="6"/>
      <c r="B235" s="7"/>
      <c r="C235" s="7"/>
      <c r="D235" s="7"/>
      <c r="E235" s="7"/>
      <c r="F235" s="6"/>
      <c r="G235" s="6"/>
      <c r="H235" s="6"/>
      <c r="I235" s="6"/>
      <c r="J235" s="6"/>
      <c r="K235" s="6"/>
      <c r="L235" s="6"/>
      <c r="M235" s="6"/>
      <c r="N235" s="6"/>
      <c r="O235" s="6"/>
      <c r="P235" s="6"/>
      <c r="Q235" s="6"/>
      <c r="R235" s="6"/>
      <c r="S235" s="6"/>
      <c r="T235" s="6"/>
      <c r="U235" s="6"/>
      <c r="V235" s="6"/>
      <c r="W235" s="6"/>
    </row>
    <row r="236" spans="1:23" ht="16" x14ac:dyDescent="0.2">
      <c r="A236" s="6"/>
      <c r="B236" s="7"/>
      <c r="C236" s="7"/>
      <c r="D236" s="7"/>
      <c r="E236" s="7"/>
      <c r="F236" s="6"/>
      <c r="G236" s="6"/>
      <c r="H236" s="6"/>
      <c r="I236" s="6"/>
      <c r="J236" s="6"/>
      <c r="K236" s="6"/>
      <c r="L236" s="6"/>
      <c r="M236" s="6"/>
      <c r="N236" s="6"/>
      <c r="O236" s="6"/>
      <c r="P236" s="6"/>
      <c r="Q236" s="6"/>
      <c r="R236" s="6"/>
      <c r="S236" s="6"/>
      <c r="T236" s="6"/>
      <c r="U236" s="6"/>
      <c r="V236" s="6"/>
      <c r="W236" s="6"/>
    </row>
    <row r="237" spans="1:23" ht="16" x14ac:dyDescent="0.2">
      <c r="A237" s="6"/>
      <c r="B237" s="7"/>
      <c r="C237" s="7"/>
      <c r="D237" s="7"/>
      <c r="E237" s="7"/>
      <c r="F237" s="6"/>
      <c r="G237" s="6"/>
      <c r="H237" s="6"/>
      <c r="I237" s="6"/>
      <c r="J237" s="6"/>
      <c r="K237" s="6"/>
      <c r="L237" s="6"/>
      <c r="M237" s="6"/>
      <c r="N237" s="6"/>
      <c r="O237" s="6"/>
      <c r="P237" s="6"/>
      <c r="Q237" s="6"/>
      <c r="R237" s="6"/>
      <c r="S237" s="6"/>
      <c r="T237" s="6"/>
      <c r="U237" s="6"/>
      <c r="V237" s="6"/>
      <c r="W237" s="6"/>
    </row>
    <row r="238" spans="1:23" ht="16" x14ac:dyDescent="0.2">
      <c r="A238" s="6"/>
      <c r="B238" s="7"/>
      <c r="C238" s="7"/>
      <c r="D238" s="7"/>
      <c r="E238" s="7"/>
      <c r="F238" s="6"/>
      <c r="G238" s="6"/>
      <c r="H238" s="6"/>
      <c r="I238" s="6"/>
      <c r="J238" s="6"/>
      <c r="K238" s="6"/>
      <c r="L238" s="6"/>
      <c r="M238" s="6"/>
      <c r="N238" s="6"/>
      <c r="O238" s="6"/>
      <c r="P238" s="6"/>
      <c r="Q238" s="6"/>
      <c r="R238" s="6"/>
      <c r="S238" s="6"/>
      <c r="T238" s="6"/>
      <c r="U238" s="6"/>
      <c r="V238" s="6"/>
      <c r="W238" s="6"/>
    </row>
    <row r="239" spans="1:23" ht="16" x14ac:dyDescent="0.2">
      <c r="A239" s="6"/>
      <c r="B239" s="7"/>
      <c r="C239" s="7"/>
      <c r="D239" s="7"/>
      <c r="E239" s="7"/>
      <c r="F239" s="6"/>
      <c r="G239" s="6"/>
      <c r="H239" s="6"/>
      <c r="I239" s="6"/>
      <c r="J239" s="6"/>
      <c r="K239" s="6"/>
      <c r="L239" s="6"/>
      <c r="M239" s="6"/>
      <c r="N239" s="6"/>
      <c r="O239" s="6"/>
      <c r="P239" s="6"/>
      <c r="Q239" s="6"/>
      <c r="R239" s="6"/>
      <c r="S239" s="6"/>
      <c r="T239" s="6"/>
      <c r="U239" s="6"/>
      <c r="V239" s="6"/>
      <c r="W239" s="6"/>
    </row>
    <row r="240" spans="1:23" ht="16" x14ac:dyDescent="0.2">
      <c r="A240" s="6"/>
      <c r="B240" s="7"/>
      <c r="C240" s="7"/>
      <c r="D240" s="7"/>
      <c r="E240" s="7"/>
      <c r="F240" s="6"/>
      <c r="G240" s="6"/>
      <c r="H240" s="6"/>
      <c r="I240" s="6"/>
      <c r="J240" s="6"/>
      <c r="K240" s="6"/>
      <c r="L240" s="6"/>
      <c r="M240" s="6"/>
      <c r="N240" s="6"/>
      <c r="O240" s="6"/>
      <c r="P240" s="6"/>
      <c r="Q240" s="6"/>
      <c r="R240" s="6"/>
      <c r="S240" s="6"/>
      <c r="T240" s="6"/>
      <c r="U240" s="6"/>
      <c r="V240" s="6"/>
      <c r="W240" s="6"/>
    </row>
    <row r="241" spans="1:23" ht="16" x14ac:dyDescent="0.2">
      <c r="A241" s="6"/>
      <c r="B241" s="7"/>
      <c r="C241" s="7"/>
      <c r="D241" s="7"/>
      <c r="E241" s="7"/>
      <c r="F241" s="6"/>
      <c r="G241" s="6"/>
      <c r="H241" s="6"/>
      <c r="I241" s="6"/>
      <c r="J241" s="6"/>
      <c r="K241" s="6"/>
      <c r="L241" s="6"/>
      <c r="M241" s="6"/>
      <c r="N241" s="6"/>
      <c r="O241" s="6"/>
      <c r="P241" s="6"/>
      <c r="Q241" s="6"/>
      <c r="R241" s="6"/>
      <c r="S241" s="6"/>
      <c r="T241" s="6"/>
      <c r="U241" s="6"/>
      <c r="V241" s="6"/>
      <c r="W241" s="6"/>
    </row>
    <row r="242" spans="1:23" ht="16" x14ac:dyDescent="0.2">
      <c r="A242" s="6"/>
      <c r="B242" s="7"/>
      <c r="C242" s="7"/>
      <c r="D242" s="7"/>
      <c r="E242" s="7"/>
      <c r="F242" s="6"/>
      <c r="G242" s="6"/>
      <c r="H242" s="6"/>
      <c r="I242" s="6"/>
      <c r="J242" s="6"/>
      <c r="K242" s="6"/>
      <c r="L242" s="6"/>
      <c r="M242" s="6"/>
      <c r="N242" s="6"/>
      <c r="O242" s="6"/>
      <c r="P242" s="6"/>
      <c r="Q242" s="6"/>
      <c r="R242" s="6"/>
      <c r="S242" s="6"/>
      <c r="T242" s="6"/>
      <c r="U242" s="6"/>
      <c r="V242" s="6"/>
      <c r="W242" s="6"/>
    </row>
    <row r="243" spans="1:23" ht="16" x14ac:dyDescent="0.2">
      <c r="A243" s="6"/>
      <c r="B243" s="7"/>
      <c r="C243" s="7"/>
      <c r="D243" s="7"/>
      <c r="E243" s="7"/>
      <c r="F243" s="6"/>
      <c r="G243" s="6"/>
      <c r="H243" s="6"/>
      <c r="I243" s="6"/>
      <c r="J243" s="6"/>
      <c r="K243" s="6"/>
      <c r="L243" s="6"/>
      <c r="M243" s="6"/>
      <c r="N243" s="6"/>
      <c r="O243" s="6"/>
      <c r="P243" s="6"/>
      <c r="Q243" s="6"/>
      <c r="R243" s="6"/>
      <c r="S243" s="6"/>
      <c r="T243" s="6"/>
      <c r="U243" s="6"/>
      <c r="V243" s="6"/>
      <c r="W243" s="6"/>
    </row>
    <row r="244" spans="1:23" ht="16" x14ac:dyDescent="0.2">
      <c r="A244" s="6"/>
      <c r="B244" s="7"/>
      <c r="C244" s="7"/>
      <c r="D244" s="7"/>
      <c r="E244" s="7"/>
      <c r="F244" s="6"/>
      <c r="G244" s="6"/>
      <c r="H244" s="6"/>
      <c r="I244" s="6"/>
      <c r="J244" s="6"/>
      <c r="K244" s="6"/>
      <c r="L244" s="6"/>
      <c r="M244" s="6"/>
      <c r="N244" s="6"/>
      <c r="O244" s="6"/>
      <c r="P244" s="6"/>
      <c r="Q244" s="6"/>
      <c r="R244" s="6"/>
      <c r="S244" s="6"/>
      <c r="T244" s="6"/>
      <c r="U244" s="6"/>
      <c r="V244" s="6"/>
      <c r="W244" s="6"/>
    </row>
    <row r="245" spans="1:23" ht="16" x14ac:dyDescent="0.2">
      <c r="A245" s="6"/>
      <c r="B245" s="7"/>
      <c r="C245" s="7"/>
      <c r="D245" s="7"/>
      <c r="E245" s="7"/>
      <c r="F245" s="6"/>
      <c r="G245" s="6"/>
      <c r="H245" s="6"/>
      <c r="I245" s="6"/>
      <c r="J245" s="6"/>
      <c r="K245" s="6"/>
      <c r="L245" s="6"/>
      <c r="M245" s="6"/>
      <c r="N245" s="6"/>
      <c r="O245" s="6"/>
      <c r="P245" s="6"/>
      <c r="Q245" s="6"/>
      <c r="R245" s="6"/>
      <c r="S245" s="6"/>
      <c r="T245" s="6"/>
      <c r="U245" s="6"/>
      <c r="V245" s="6"/>
      <c r="W245" s="6"/>
    </row>
    <row r="246" spans="1:23" ht="16" x14ac:dyDescent="0.2">
      <c r="A246" s="6"/>
      <c r="B246" s="7"/>
      <c r="C246" s="7"/>
      <c r="D246" s="7"/>
      <c r="E246" s="7"/>
      <c r="F246" s="6"/>
      <c r="G246" s="6"/>
      <c r="H246" s="6"/>
      <c r="I246" s="6"/>
      <c r="J246" s="6"/>
      <c r="K246" s="6"/>
      <c r="L246" s="6"/>
      <c r="M246" s="6"/>
      <c r="N246" s="6"/>
      <c r="O246" s="6"/>
      <c r="P246" s="6"/>
      <c r="Q246" s="6"/>
      <c r="R246" s="6"/>
      <c r="S246" s="6"/>
      <c r="T246" s="6"/>
      <c r="U246" s="6"/>
      <c r="V246" s="6"/>
      <c r="W246" s="6"/>
    </row>
    <row r="247" spans="1:23" ht="16" x14ac:dyDescent="0.2">
      <c r="A247" s="6"/>
      <c r="B247" s="7"/>
      <c r="C247" s="7"/>
      <c r="D247" s="7"/>
      <c r="E247" s="7"/>
      <c r="F247" s="6"/>
      <c r="G247" s="6"/>
      <c r="H247" s="6"/>
      <c r="I247" s="6"/>
      <c r="J247" s="6"/>
      <c r="K247" s="6"/>
      <c r="L247" s="6"/>
      <c r="M247" s="6"/>
      <c r="N247" s="6"/>
      <c r="O247" s="6"/>
      <c r="P247" s="6"/>
      <c r="Q247" s="6"/>
      <c r="R247" s="6"/>
      <c r="S247" s="6"/>
      <c r="T247" s="6"/>
      <c r="U247" s="6"/>
      <c r="V247" s="6"/>
      <c r="W247" s="6"/>
    </row>
    <row r="248" spans="1:23" ht="16" x14ac:dyDescent="0.2">
      <c r="A248" s="6"/>
      <c r="B248" s="7"/>
      <c r="C248" s="7"/>
      <c r="D248" s="7"/>
      <c r="E248" s="7"/>
      <c r="F248" s="6"/>
      <c r="G248" s="6"/>
      <c r="H248" s="6"/>
      <c r="I248" s="6"/>
      <c r="J248" s="6"/>
      <c r="K248" s="6"/>
      <c r="L248" s="6"/>
      <c r="M248" s="6"/>
      <c r="N248" s="6"/>
      <c r="O248" s="6"/>
      <c r="P248" s="6"/>
      <c r="Q248" s="6"/>
      <c r="R248" s="6"/>
      <c r="S248" s="6"/>
      <c r="T248" s="6"/>
      <c r="U248" s="6"/>
      <c r="V248" s="6"/>
      <c r="W248" s="6"/>
    </row>
    <row r="249" spans="1:23" ht="16" x14ac:dyDescent="0.2">
      <c r="A249" s="6"/>
      <c r="B249" s="7"/>
      <c r="C249" s="7"/>
      <c r="D249" s="7"/>
      <c r="E249" s="7"/>
      <c r="F249" s="6"/>
      <c r="G249" s="6"/>
      <c r="H249" s="6"/>
      <c r="I249" s="6"/>
      <c r="J249" s="6"/>
      <c r="K249" s="6"/>
      <c r="L249" s="6"/>
      <c r="M249" s="6"/>
      <c r="N249" s="6"/>
      <c r="O249" s="6"/>
      <c r="P249" s="6"/>
      <c r="Q249" s="6"/>
      <c r="R249" s="6"/>
      <c r="S249" s="6"/>
      <c r="T249" s="6"/>
      <c r="U249" s="6"/>
      <c r="V249" s="6"/>
      <c r="W249" s="6"/>
    </row>
    <row r="250" spans="1:23" ht="16" x14ac:dyDescent="0.2">
      <c r="A250" s="6"/>
      <c r="B250" s="7"/>
      <c r="C250" s="7"/>
      <c r="D250" s="7"/>
      <c r="E250" s="7"/>
      <c r="F250" s="6"/>
      <c r="G250" s="6"/>
      <c r="H250" s="6"/>
      <c r="I250" s="6"/>
      <c r="J250" s="6"/>
      <c r="K250" s="6"/>
      <c r="L250" s="6"/>
      <c r="M250" s="6"/>
      <c r="N250" s="6"/>
      <c r="O250" s="6"/>
      <c r="P250" s="6"/>
      <c r="Q250" s="6"/>
      <c r="R250" s="6"/>
      <c r="S250" s="6"/>
      <c r="T250" s="6"/>
      <c r="U250" s="6"/>
      <c r="V250" s="6"/>
      <c r="W250" s="6"/>
    </row>
    <row r="251" spans="1:23" ht="16" x14ac:dyDescent="0.2">
      <c r="A251" s="6"/>
      <c r="B251" s="7"/>
      <c r="C251" s="7"/>
      <c r="D251" s="7"/>
      <c r="E251" s="7"/>
      <c r="F251" s="6"/>
      <c r="G251" s="6"/>
      <c r="H251" s="6"/>
      <c r="I251" s="6"/>
      <c r="J251" s="6"/>
      <c r="K251" s="6"/>
      <c r="L251" s="6"/>
      <c r="M251" s="6"/>
      <c r="N251" s="6"/>
      <c r="O251" s="6"/>
      <c r="P251" s="6"/>
      <c r="Q251" s="6"/>
      <c r="R251" s="6"/>
      <c r="S251" s="6"/>
      <c r="T251" s="6"/>
      <c r="U251" s="6"/>
      <c r="V251" s="6"/>
      <c r="W251" s="6"/>
    </row>
    <row r="252" spans="1:23" ht="16" x14ac:dyDescent="0.2">
      <c r="A252" s="6"/>
      <c r="B252" s="7"/>
      <c r="C252" s="7"/>
      <c r="D252" s="7"/>
      <c r="E252" s="7"/>
      <c r="F252" s="6"/>
      <c r="G252" s="6"/>
      <c r="H252" s="6"/>
      <c r="I252" s="6"/>
      <c r="J252" s="6"/>
      <c r="K252" s="6"/>
      <c r="L252" s="6"/>
      <c r="M252" s="6"/>
      <c r="N252" s="6"/>
      <c r="O252" s="6"/>
      <c r="P252" s="6"/>
      <c r="Q252" s="6"/>
      <c r="R252" s="6"/>
      <c r="S252" s="6"/>
      <c r="T252" s="6"/>
      <c r="U252" s="6"/>
      <c r="V252" s="6"/>
      <c r="W252" s="6"/>
    </row>
    <row r="253" spans="1:23" ht="16" x14ac:dyDescent="0.2">
      <c r="A253" s="6"/>
      <c r="B253" s="7"/>
      <c r="C253" s="7"/>
      <c r="D253" s="7"/>
      <c r="E253" s="7"/>
      <c r="F253" s="6"/>
      <c r="G253" s="6"/>
      <c r="H253" s="6"/>
      <c r="I253" s="6"/>
      <c r="J253" s="6"/>
      <c r="K253" s="6"/>
      <c r="L253" s="6"/>
      <c r="M253" s="6"/>
      <c r="N253" s="6"/>
      <c r="O253" s="6"/>
      <c r="P253" s="6"/>
      <c r="Q253" s="6"/>
      <c r="R253" s="6"/>
      <c r="S253" s="6"/>
      <c r="T253" s="6"/>
      <c r="U253" s="6"/>
      <c r="V253" s="6"/>
      <c r="W253" s="6"/>
    </row>
    <row r="254" spans="1:23" ht="16" x14ac:dyDescent="0.2">
      <c r="A254" s="6"/>
      <c r="B254" s="7"/>
      <c r="C254" s="7"/>
      <c r="D254" s="7"/>
      <c r="E254" s="7"/>
      <c r="F254" s="6"/>
      <c r="G254" s="6"/>
      <c r="H254" s="6"/>
      <c r="I254" s="6"/>
      <c r="J254" s="6"/>
      <c r="K254" s="6"/>
      <c r="L254" s="6"/>
      <c r="M254" s="6"/>
      <c r="N254" s="6"/>
      <c r="O254" s="6"/>
      <c r="P254" s="6"/>
      <c r="Q254" s="6"/>
      <c r="R254" s="6"/>
      <c r="S254" s="6"/>
      <c r="T254" s="6"/>
      <c r="U254" s="6"/>
      <c r="V254" s="6"/>
      <c r="W254" s="6"/>
    </row>
    <row r="255" spans="1:23" ht="16" x14ac:dyDescent="0.2">
      <c r="A255" s="6"/>
      <c r="B255" s="7"/>
      <c r="C255" s="7"/>
      <c r="D255" s="7"/>
      <c r="E255" s="7"/>
      <c r="F255" s="6"/>
      <c r="G255" s="6"/>
      <c r="H255" s="6"/>
      <c r="I255" s="6"/>
      <c r="J255" s="6"/>
      <c r="K255" s="6"/>
      <c r="L255" s="6"/>
      <c r="M255" s="6"/>
      <c r="N255" s="6"/>
      <c r="O255" s="6"/>
      <c r="P255" s="6"/>
      <c r="Q255" s="6"/>
      <c r="R255" s="6"/>
      <c r="S255" s="6"/>
      <c r="T255" s="6"/>
      <c r="U255" s="6"/>
      <c r="V255" s="6"/>
      <c r="W255" s="6"/>
    </row>
    <row r="256" spans="1:23" ht="16" x14ac:dyDescent="0.2">
      <c r="A256" s="6"/>
      <c r="B256" s="7"/>
      <c r="C256" s="7"/>
      <c r="D256" s="7"/>
      <c r="E256" s="7"/>
      <c r="F256" s="6"/>
      <c r="G256" s="6"/>
      <c r="H256" s="6"/>
      <c r="I256" s="6"/>
      <c r="J256" s="6"/>
      <c r="K256" s="6"/>
      <c r="L256" s="6"/>
      <c r="M256" s="6"/>
      <c r="N256" s="6"/>
      <c r="O256" s="6"/>
      <c r="P256" s="6"/>
      <c r="Q256" s="6"/>
      <c r="R256" s="6"/>
      <c r="S256" s="6"/>
      <c r="T256" s="6"/>
      <c r="U256" s="6"/>
      <c r="V256" s="6"/>
      <c r="W256" s="6"/>
    </row>
    <row r="257" spans="1:23" ht="16" x14ac:dyDescent="0.2">
      <c r="A257" s="6"/>
      <c r="B257" s="7"/>
      <c r="C257" s="7"/>
      <c r="D257" s="7"/>
      <c r="E257" s="7"/>
      <c r="F257" s="6"/>
      <c r="G257" s="6"/>
      <c r="H257" s="6"/>
      <c r="I257" s="6"/>
      <c r="J257" s="6"/>
      <c r="K257" s="6"/>
      <c r="L257" s="6"/>
      <c r="M257" s="6"/>
      <c r="N257" s="6"/>
      <c r="O257" s="6"/>
      <c r="P257" s="6"/>
      <c r="Q257" s="6"/>
      <c r="R257" s="6"/>
      <c r="S257" s="6"/>
      <c r="T257" s="6"/>
      <c r="U257" s="6"/>
      <c r="V257" s="6"/>
      <c r="W257" s="6"/>
    </row>
    <row r="258" spans="1:23" ht="16" x14ac:dyDescent="0.2">
      <c r="A258" s="6"/>
      <c r="B258" s="7"/>
      <c r="C258" s="7"/>
      <c r="D258" s="7"/>
      <c r="E258" s="7"/>
      <c r="F258" s="6"/>
      <c r="G258" s="6"/>
      <c r="H258" s="6"/>
      <c r="I258" s="6"/>
      <c r="J258" s="6"/>
      <c r="K258" s="6"/>
      <c r="L258" s="6"/>
      <c r="M258" s="6"/>
      <c r="N258" s="6"/>
      <c r="O258" s="6"/>
      <c r="P258" s="6"/>
      <c r="Q258" s="6"/>
      <c r="R258" s="6"/>
      <c r="S258" s="6"/>
      <c r="T258" s="6"/>
      <c r="U258" s="6"/>
      <c r="V258" s="6"/>
      <c r="W258" s="6"/>
    </row>
    <row r="259" spans="1:23" ht="16" x14ac:dyDescent="0.2">
      <c r="A259" s="6"/>
      <c r="B259" s="7"/>
      <c r="C259" s="7"/>
      <c r="D259" s="7"/>
      <c r="E259" s="7"/>
      <c r="F259" s="6"/>
      <c r="G259" s="6"/>
      <c r="H259" s="6"/>
      <c r="I259" s="6"/>
      <c r="J259" s="6"/>
      <c r="K259" s="6"/>
      <c r="L259" s="6"/>
      <c r="M259" s="6"/>
      <c r="N259" s="6"/>
      <c r="O259" s="6"/>
      <c r="P259" s="6"/>
      <c r="Q259" s="6"/>
      <c r="R259" s="6"/>
      <c r="S259" s="6"/>
      <c r="T259" s="6"/>
      <c r="U259" s="6"/>
      <c r="V259" s="6"/>
      <c r="W259" s="6"/>
    </row>
    <row r="260" spans="1:23" ht="16" x14ac:dyDescent="0.2">
      <c r="A260" s="6"/>
      <c r="B260" s="7"/>
      <c r="C260" s="7"/>
      <c r="D260" s="7"/>
      <c r="E260" s="7"/>
      <c r="F260" s="6"/>
      <c r="G260" s="6"/>
      <c r="H260" s="6"/>
      <c r="I260" s="6"/>
      <c r="J260" s="6"/>
      <c r="K260" s="6"/>
      <c r="L260" s="6"/>
      <c r="M260" s="6"/>
      <c r="N260" s="6"/>
      <c r="O260" s="6"/>
      <c r="P260" s="6"/>
      <c r="Q260" s="6"/>
      <c r="R260" s="6"/>
      <c r="S260" s="6"/>
      <c r="T260" s="6"/>
      <c r="U260" s="6"/>
      <c r="V260" s="6"/>
      <c r="W260" s="6"/>
    </row>
    <row r="261" spans="1:23" ht="16" x14ac:dyDescent="0.2">
      <c r="A261" s="6"/>
      <c r="B261" s="7"/>
      <c r="C261" s="7"/>
      <c r="D261" s="7"/>
      <c r="E261" s="7"/>
      <c r="F261" s="6"/>
      <c r="G261" s="6"/>
      <c r="H261" s="6"/>
      <c r="I261" s="6"/>
      <c r="J261" s="6"/>
      <c r="K261" s="6"/>
      <c r="L261" s="6"/>
      <c r="M261" s="6"/>
      <c r="N261" s="6"/>
      <c r="O261" s="6"/>
      <c r="P261" s="6"/>
      <c r="Q261" s="6"/>
      <c r="R261" s="6"/>
      <c r="S261" s="6"/>
      <c r="T261" s="6"/>
      <c r="U261" s="6"/>
      <c r="V261" s="6"/>
      <c r="W261" s="6"/>
    </row>
    <row r="262" spans="1:23" ht="16" x14ac:dyDescent="0.2">
      <c r="A262" s="6"/>
      <c r="B262" s="7"/>
      <c r="C262" s="7"/>
      <c r="D262" s="7"/>
      <c r="E262" s="7"/>
      <c r="F262" s="6"/>
      <c r="G262" s="6"/>
      <c r="H262" s="6"/>
      <c r="I262" s="6"/>
      <c r="J262" s="6"/>
      <c r="K262" s="6"/>
      <c r="L262" s="6"/>
      <c r="M262" s="6"/>
      <c r="N262" s="6"/>
      <c r="O262" s="6"/>
      <c r="P262" s="6"/>
      <c r="Q262" s="6"/>
      <c r="R262" s="6"/>
      <c r="S262" s="6"/>
      <c r="T262" s="6"/>
      <c r="U262" s="6"/>
      <c r="V262" s="6"/>
      <c r="W262" s="6"/>
    </row>
    <row r="263" spans="1:23" ht="16" x14ac:dyDescent="0.2">
      <c r="A263" s="6"/>
      <c r="B263" s="7"/>
      <c r="C263" s="7"/>
      <c r="D263" s="7"/>
      <c r="E263" s="7"/>
      <c r="F263" s="6"/>
      <c r="G263" s="6"/>
      <c r="H263" s="6"/>
      <c r="I263" s="6"/>
      <c r="J263" s="6"/>
      <c r="K263" s="6"/>
      <c r="L263" s="6"/>
      <c r="M263" s="6"/>
      <c r="N263" s="6"/>
      <c r="O263" s="6"/>
      <c r="P263" s="6"/>
      <c r="Q263" s="6"/>
      <c r="R263" s="6"/>
      <c r="S263" s="6"/>
      <c r="T263" s="6"/>
      <c r="U263" s="6"/>
      <c r="V263" s="6"/>
      <c r="W263" s="6"/>
    </row>
    <row r="264" spans="1:23" ht="16" x14ac:dyDescent="0.2">
      <c r="A264" s="6"/>
      <c r="B264" s="7"/>
      <c r="C264" s="7"/>
      <c r="D264" s="7"/>
      <c r="E264" s="7"/>
      <c r="F264" s="6"/>
      <c r="G264" s="6"/>
      <c r="H264" s="6"/>
      <c r="I264" s="6"/>
      <c r="J264" s="6"/>
      <c r="K264" s="6"/>
      <c r="L264" s="6"/>
      <c r="M264" s="6"/>
      <c r="N264" s="6"/>
      <c r="O264" s="6"/>
      <c r="P264" s="6"/>
      <c r="Q264" s="6"/>
      <c r="R264" s="6"/>
      <c r="S264" s="6"/>
      <c r="T264" s="6"/>
      <c r="U264" s="6"/>
      <c r="V264" s="6"/>
      <c r="W264" s="6"/>
    </row>
    <row r="265" spans="1:23" ht="16" x14ac:dyDescent="0.2">
      <c r="A265" s="6"/>
      <c r="B265" s="7"/>
      <c r="C265" s="7"/>
      <c r="D265" s="7"/>
      <c r="E265" s="7"/>
      <c r="F265" s="6"/>
      <c r="G265" s="6"/>
      <c r="H265" s="6"/>
      <c r="I265" s="6"/>
      <c r="J265" s="6"/>
      <c r="K265" s="6"/>
      <c r="L265" s="6"/>
      <c r="M265" s="6"/>
      <c r="N265" s="6"/>
      <c r="O265" s="6"/>
      <c r="P265" s="6"/>
      <c r="Q265" s="6"/>
      <c r="R265" s="6"/>
      <c r="S265" s="6"/>
      <c r="T265" s="6"/>
      <c r="U265" s="6"/>
      <c r="V265" s="6"/>
      <c r="W265" s="6"/>
    </row>
    <row r="266" spans="1:23" ht="16" x14ac:dyDescent="0.2">
      <c r="A266" s="6"/>
      <c r="B266" s="7"/>
      <c r="C266" s="7"/>
      <c r="D266" s="7"/>
      <c r="E266" s="7"/>
      <c r="F266" s="6"/>
      <c r="G266" s="6"/>
      <c r="H266" s="6"/>
      <c r="I266" s="6"/>
      <c r="J266" s="6"/>
      <c r="K266" s="6"/>
      <c r="L266" s="6"/>
      <c r="M266" s="6"/>
      <c r="N266" s="6"/>
      <c r="O266" s="6"/>
      <c r="P266" s="6"/>
      <c r="Q266" s="6"/>
      <c r="R266" s="6"/>
      <c r="S266" s="6"/>
      <c r="T266" s="6"/>
      <c r="U266" s="6"/>
      <c r="V266" s="6"/>
      <c r="W266" s="6"/>
    </row>
    <row r="267" spans="1:23" ht="16" x14ac:dyDescent="0.2">
      <c r="A267" s="6"/>
      <c r="B267" s="7"/>
      <c r="C267" s="7"/>
      <c r="D267" s="7"/>
      <c r="E267" s="7"/>
      <c r="F267" s="6"/>
      <c r="G267" s="6"/>
      <c r="H267" s="6"/>
      <c r="I267" s="6"/>
      <c r="J267" s="6"/>
      <c r="K267" s="6"/>
      <c r="L267" s="6"/>
      <c r="M267" s="6"/>
      <c r="N267" s="6"/>
      <c r="O267" s="6"/>
      <c r="P267" s="6"/>
      <c r="Q267" s="6"/>
      <c r="R267" s="6"/>
      <c r="S267" s="6"/>
      <c r="T267" s="6"/>
      <c r="U267" s="6"/>
      <c r="V267" s="6"/>
      <c r="W267" s="6"/>
    </row>
    <row r="268" spans="1:23" ht="16" x14ac:dyDescent="0.2">
      <c r="A268" s="6"/>
      <c r="B268" s="7"/>
      <c r="C268" s="7"/>
      <c r="D268" s="7"/>
      <c r="E268" s="7"/>
      <c r="F268" s="6"/>
      <c r="G268" s="6"/>
      <c r="H268" s="6"/>
      <c r="I268" s="6"/>
      <c r="J268" s="6"/>
      <c r="K268" s="6"/>
      <c r="L268" s="6"/>
      <c r="M268" s="6"/>
      <c r="N268" s="6"/>
      <c r="O268" s="6"/>
      <c r="P268" s="6"/>
      <c r="Q268" s="6"/>
      <c r="R268" s="6"/>
      <c r="S268" s="6"/>
      <c r="T268" s="6"/>
      <c r="U268" s="6"/>
      <c r="V268" s="6"/>
      <c r="W268" s="6"/>
    </row>
    <row r="269" spans="1:23" ht="16" x14ac:dyDescent="0.2">
      <c r="A269" s="6"/>
      <c r="B269" s="7"/>
      <c r="C269" s="7"/>
      <c r="D269" s="7"/>
      <c r="E269" s="7"/>
      <c r="F269" s="6"/>
      <c r="G269" s="6"/>
      <c r="H269" s="6"/>
      <c r="I269" s="6"/>
      <c r="J269" s="6"/>
      <c r="K269" s="6"/>
      <c r="L269" s="6"/>
      <c r="M269" s="6"/>
      <c r="N269" s="6"/>
      <c r="O269" s="6"/>
      <c r="P269" s="6"/>
      <c r="Q269" s="6"/>
      <c r="R269" s="6"/>
      <c r="S269" s="6"/>
      <c r="T269" s="6"/>
      <c r="U269" s="6"/>
      <c r="V269" s="6"/>
      <c r="W269" s="6"/>
    </row>
    <row r="270" spans="1:23" ht="16" x14ac:dyDescent="0.2">
      <c r="A270" s="6"/>
      <c r="B270" s="7"/>
      <c r="C270" s="7"/>
      <c r="D270" s="7"/>
      <c r="E270" s="7"/>
      <c r="F270" s="6"/>
      <c r="G270" s="6"/>
      <c r="H270" s="6"/>
      <c r="I270" s="6"/>
      <c r="J270" s="6"/>
      <c r="K270" s="6"/>
      <c r="L270" s="6"/>
      <c r="M270" s="6"/>
      <c r="N270" s="6"/>
      <c r="O270" s="6"/>
      <c r="P270" s="6"/>
      <c r="Q270" s="6"/>
      <c r="R270" s="6"/>
      <c r="S270" s="6"/>
      <c r="T270" s="6"/>
      <c r="U270" s="6"/>
      <c r="V270" s="6"/>
      <c r="W270" s="6"/>
    </row>
    <row r="271" spans="1:23" ht="16" x14ac:dyDescent="0.2">
      <c r="A271" s="6"/>
      <c r="B271" s="7"/>
      <c r="C271" s="7"/>
      <c r="D271" s="7"/>
      <c r="E271" s="7"/>
      <c r="F271" s="6"/>
      <c r="G271" s="6"/>
      <c r="H271" s="6"/>
      <c r="I271" s="6"/>
      <c r="J271" s="6"/>
      <c r="K271" s="6"/>
      <c r="L271" s="6"/>
      <c r="M271" s="6"/>
      <c r="N271" s="6"/>
      <c r="O271" s="6"/>
      <c r="P271" s="6"/>
      <c r="Q271" s="6"/>
      <c r="R271" s="6"/>
      <c r="S271" s="6"/>
      <c r="T271" s="6"/>
      <c r="U271" s="6"/>
      <c r="V271" s="6"/>
      <c r="W271" s="6"/>
    </row>
    <row r="272" spans="1:23" ht="16" x14ac:dyDescent="0.2">
      <c r="A272" s="6"/>
      <c r="B272" s="7"/>
      <c r="C272" s="7"/>
      <c r="D272" s="7"/>
      <c r="E272" s="7"/>
      <c r="F272" s="6"/>
      <c r="G272" s="6"/>
      <c r="H272" s="6"/>
      <c r="I272" s="6"/>
      <c r="J272" s="6"/>
      <c r="K272" s="6"/>
      <c r="L272" s="6"/>
      <c r="M272" s="6"/>
      <c r="N272" s="6"/>
      <c r="O272" s="6"/>
      <c r="P272" s="6"/>
      <c r="Q272" s="6"/>
      <c r="R272" s="6"/>
      <c r="S272" s="6"/>
      <c r="T272" s="6"/>
      <c r="U272" s="6"/>
      <c r="V272" s="6"/>
      <c r="W272" s="6"/>
    </row>
    <row r="273" spans="1:23" ht="16" x14ac:dyDescent="0.2">
      <c r="A273" s="6"/>
      <c r="B273" s="7"/>
      <c r="C273" s="7"/>
      <c r="D273" s="7"/>
      <c r="E273" s="7"/>
      <c r="F273" s="6"/>
      <c r="G273" s="6"/>
      <c r="H273" s="6"/>
      <c r="I273" s="6"/>
      <c r="J273" s="6"/>
      <c r="K273" s="6"/>
      <c r="L273" s="6"/>
      <c r="M273" s="6"/>
      <c r="N273" s="6"/>
      <c r="O273" s="6"/>
      <c r="P273" s="6"/>
      <c r="Q273" s="6"/>
      <c r="R273" s="6"/>
      <c r="S273" s="6"/>
      <c r="T273" s="6"/>
      <c r="U273" s="6"/>
      <c r="V273" s="6"/>
      <c r="W273" s="6"/>
    </row>
    <row r="274" spans="1:23" ht="16" x14ac:dyDescent="0.2">
      <c r="A274" s="6"/>
      <c r="B274" s="7"/>
      <c r="C274" s="7"/>
      <c r="D274" s="7"/>
      <c r="E274" s="7"/>
      <c r="F274" s="6"/>
      <c r="G274" s="6"/>
      <c r="H274" s="6"/>
      <c r="I274" s="6"/>
      <c r="J274" s="6"/>
      <c r="K274" s="6"/>
      <c r="L274" s="6"/>
      <c r="M274" s="6"/>
      <c r="N274" s="6"/>
      <c r="O274" s="6"/>
      <c r="P274" s="6"/>
      <c r="Q274" s="6"/>
      <c r="R274" s="6"/>
      <c r="S274" s="6"/>
      <c r="T274" s="6"/>
      <c r="U274" s="6"/>
      <c r="V274" s="6"/>
      <c r="W274" s="6"/>
    </row>
    <row r="275" spans="1:23" ht="16" x14ac:dyDescent="0.2">
      <c r="A275" s="6"/>
      <c r="B275" s="7"/>
      <c r="C275" s="7"/>
      <c r="D275" s="7"/>
      <c r="E275" s="7"/>
      <c r="F275" s="6"/>
      <c r="G275" s="6"/>
      <c r="H275" s="6"/>
      <c r="I275" s="6"/>
      <c r="J275" s="6"/>
      <c r="K275" s="6"/>
      <c r="L275" s="6"/>
      <c r="M275" s="6"/>
      <c r="N275" s="6"/>
      <c r="O275" s="6"/>
      <c r="P275" s="6"/>
      <c r="Q275" s="6"/>
      <c r="R275" s="6"/>
      <c r="S275" s="6"/>
      <c r="T275" s="6"/>
      <c r="U275" s="6"/>
      <c r="V275" s="6"/>
      <c r="W275" s="6"/>
    </row>
    <row r="276" spans="1:23" ht="16" x14ac:dyDescent="0.2">
      <c r="A276" s="6"/>
      <c r="B276" s="7"/>
      <c r="C276" s="7"/>
      <c r="D276" s="7"/>
      <c r="E276" s="7"/>
      <c r="F276" s="6"/>
      <c r="G276" s="6"/>
      <c r="H276" s="6"/>
      <c r="I276" s="6"/>
      <c r="J276" s="6"/>
      <c r="K276" s="6"/>
      <c r="L276" s="6"/>
      <c r="M276" s="6"/>
      <c r="N276" s="6"/>
      <c r="O276" s="6"/>
      <c r="P276" s="6"/>
      <c r="Q276" s="6"/>
      <c r="R276" s="6"/>
      <c r="S276" s="6"/>
      <c r="T276" s="6"/>
      <c r="U276" s="6"/>
      <c r="V276" s="6"/>
      <c r="W276" s="6"/>
    </row>
    <row r="277" spans="1:23" ht="16" x14ac:dyDescent="0.2">
      <c r="A277" s="6"/>
      <c r="B277" s="7"/>
      <c r="C277" s="7"/>
      <c r="D277" s="7"/>
      <c r="E277" s="7"/>
      <c r="F277" s="6"/>
      <c r="G277" s="6"/>
      <c r="H277" s="6"/>
      <c r="I277" s="6"/>
      <c r="J277" s="6"/>
      <c r="K277" s="6"/>
      <c r="L277" s="6"/>
      <c r="M277" s="6"/>
      <c r="N277" s="6"/>
      <c r="O277" s="6"/>
      <c r="P277" s="6"/>
      <c r="Q277" s="6"/>
      <c r="R277" s="6"/>
      <c r="S277" s="6"/>
      <c r="T277" s="6"/>
      <c r="U277" s="6"/>
      <c r="V277" s="6"/>
      <c r="W277" s="6"/>
    </row>
    <row r="278" spans="1:23" ht="16" x14ac:dyDescent="0.2">
      <c r="A278" s="6"/>
      <c r="B278" s="7"/>
      <c r="C278" s="7"/>
      <c r="D278" s="7"/>
      <c r="E278" s="7"/>
      <c r="F278" s="6"/>
      <c r="G278" s="6"/>
      <c r="H278" s="6"/>
      <c r="I278" s="6"/>
      <c r="J278" s="6"/>
      <c r="K278" s="6"/>
      <c r="L278" s="6"/>
      <c r="M278" s="6"/>
      <c r="N278" s="6"/>
      <c r="O278" s="6"/>
      <c r="P278" s="6"/>
      <c r="Q278" s="6"/>
      <c r="R278" s="6"/>
      <c r="S278" s="6"/>
      <c r="T278" s="6"/>
      <c r="U278" s="6"/>
      <c r="V278" s="6"/>
      <c r="W278" s="6"/>
    </row>
    <row r="279" spans="1:23" ht="16" x14ac:dyDescent="0.2">
      <c r="A279" s="6"/>
      <c r="B279" s="7"/>
      <c r="C279" s="7"/>
      <c r="D279" s="7"/>
      <c r="E279" s="7"/>
      <c r="F279" s="6"/>
      <c r="G279" s="6"/>
      <c r="H279" s="6"/>
      <c r="I279" s="6"/>
      <c r="J279" s="6"/>
      <c r="K279" s="6"/>
      <c r="L279" s="6"/>
      <c r="M279" s="6"/>
      <c r="N279" s="6"/>
      <c r="O279" s="6"/>
      <c r="P279" s="6"/>
      <c r="Q279" s="6"/>
      <c r="R279" s="6"/>
      <c r="S279" s="6"/>
      <c r="T279" s="6"/>
      <c r="U279" s="6"/>
      <c r="V279" s="6"/>
      <c r="W279" s="6"/>
    </row>
    <row r="280" spans="1:23" ht="16" x14ac:dyDescent="0.2">
      <c r="A280" s="6"/>
      <c r="B280" s="7"/>
      <c r="C280" s="7"/>
      <c r="D280" s="7"/>
      <c r="E280" s="7"/>
      <c r="F280" s="6"/>
      <c r="G280" s="6"/>
      <c r="H280" s="6"/>
      <c r="I280" s="6"/>
      <c r="J280" s="6"/>
      <c r="K280" s="6"/>
      <c r="L280" s="6"/>
      <c r="M280" s="6"/>
      <c r="N280" s="6"/>
      <c r="O280" s="6"/>
      <c r="P280" s="6"/>
      <c r="Q280" s="6"/>
      <c r="R280" s="6"/>
      <c r="S280" s="6"/>
      <c r="T280" s="6"/>
      <c r="U280" s="6"/>
      <c r="V280" s="6"/>
      <c r="W280" s="6"/>
    </row>
    <row r="281" spans="1:23" ht="16" x14ac:dyDescent="0.2">
      <c r="A281" s="6"/>
      <c r="B281" s="7"/>
      <c r="C281" s="7"/>
      <c r="D281" s="7"/>
      <c r="E281" s="7"/>
      <c r="F281" s="6"/>
      <c r="G281" s="6"/>
      <c r="H281" s="6"/>
      <c r="I281" s="6"/>
      <c r="J281" s="6"/>
      <c r="K281" s="6"/>
      <c r="L281" s="6"/>
      <c r="M281" s="6"/>
      <c r="N281" s="6"/>
      <c r="O281" s="6"/>
      <c r="P281" s="6"/>
      <c r="Q281" s="6"/>
      <c r="R281" s="6"/>
      <c r="S281" s="6"/>
      <c r="T281" s="6"/>
      <c r="U281" s="6"/>
      <c r="V281" s="6"/>
      <c r="W281" s="6"/>
    </row>
    <row r="282" spans="1:23" ht="16" x14ac:dyDescent="0.2">
      <c r="A282" s="6"/>
      <c r="B282" s="7"/>
      <c r="C282" s="7"/>
      <c r="D282" s="7"/>
      <c r="E282" s="7"/>
      <c r="F282" s="6"/>
      <c r="G282" s="6"/>
      <c r="H282" s="6"/>
      <c r="I282" s="6"/>
      <c r="J282" s="6"/>
      <c r="K282" s="6"/>
      <c r="L282" s="6"/>
      <c r="M282" s="6"/>
      <c r="N282" s="6"/>
      <c r="O282" s="6"/>
      <c r="P282" s="6"/>
      <c r="Q282" s="6"/>
      <c r="R282" s="6"/>
      <c r="S282" s="6"/>
      <c r="T282" s="6"/>
      <c r="U282" s="6"/>
      <c r="V282" s="6"/>
      <c r="W282" s="6"/>
    </row>
    <row r="283" spans="1:23" ht="16" x14ac:dyDescent="0.2">
      <c r="A283" s="6"/>
      <c r="B283" s="7"/>
      <c r="C283" s="7"/>
      <c r="D283" s="7"/>
      <c r="E283" s="7"/>
      <c r="F283" s="6"/>
      <c r="G283" s="6"/>
      <c r="H283" s="6"/>
      <c r="I283" s="6"/>
      <c r="J283" s="6"/>
      <c r="K283" s="6"/>
      <c r="L283" s="6"/>
      <c r="M283" s="6"/>
      <c r="N283" s="6"/>
      <c r="O283" s="6"/>
      <c r="P283" s="6"/>
      <c r="Q283" s="6"/>
      <c r="R283" s="6"/>
      <c r="S283" s="6"/>
      <c r="T283" s="6"/>
      <c r="U283" s="6"/>
      <c r="V283" s="6"/>
      <c r="W283" s="6"/>
    </row>
    <row r="284" spans="1:23" ht="16" x14ac:dyDescent="0.2">
      <c r="A284" s="6"/>
      <c r="B284" s="7"/>
      <c r="C284" s="7"/>
      <c r="D284" s="7"/>
      <c r="E284" s="7"/>
      <c r="F284" s="6"/>
      <c r="G284" s="6"/>
      <c r="H284" s="6"/>
      <c r="I284" s="6"/>
      <c r="J284" s="6"/>
      <c r="K284" s="6"/>
      <c r="L284" s="6"/>
      <c r="M284" s="6"/>
      <c r="N284" s="6"/>
      <c r="O284" s="6"/>
      <c r="P284" s="6"/>
      <c r="Q284" s="6"/>
      <c r="R284" s="6"/>
      <c r="S284" s="6"/>
      <c r="T284" s="6"/>
      <c r="U284" s="6"/>
      <c r="V284" s="6"/>
      <c r="W284" s="6"/>
    </row>
    <row r="285" spans="1:23" ht="16" x14ac:dyDescent="0.2">
      <c r="A285" s="6"/>
      <c r="B285" s="7"/>
      <c r="C285" s="7"/>
      <c r="D285" s="7"/>
      <c r="E285" s="7"/>
      <c r="F285" s="6"/>
      <c r="G285" s="6"/>
      <c r="H285" s="6"/>
      <c r="I285" s="6"/>
      <c r="J285" s="6"/>
      <c r="K285" s="6"/>
      <c r="L285" s="6"/>
      <c r="M285" s="6"/>
      <c r="N285" s="6"/>
      <c r="O285" s="6"/>
      <c r="P285" s="6"/>
      <c r="Q285" s="6"/>
      <c r="R285" s="6"/>
      <c r="S285" s="6"/>
      <c r="T285" s="6"/>
      <c r="U285" s="6"/>
      <c r="V285" s="6"/>
      <c r="W285" s="6"/>
    </row>
    <row r="286" spans="1:23" ht="16" x14ac:dyDescent="0.2">
      <c r="A286" s="6"/>
      <c r="B286" s="7"/>
      <c r="C286" s="7"/>
      <c r="D286" s="7"/>
      <c r="E286" s="7"/>
      <c r="F286" s="6"/>
      <c r="G286" s="6"/>
      <c r="H286" s="6"/>
      <c r="I286" s="6"/>
      <c r="J286" s="6"/>
      <c r="K286" s="6"/>
      <c r="L286" s="6"/>
      <c r="M286" s="6"/>
      <c r="N286" s="6"/>
      <c r="O286" s="6"/>
      <c r="P286" s="6"/>
      <c r="Q286" s="6"/>
      <c r="R286" s="6"/>
      <c r="S286" s="6"/>
      <c r="T286" s="6"/>
      <c r="U286" s="6"/>
      <c r="V286" s="6"/>
      <c r="W286" s="6"/>
    </row>
    <row r="287" spans="1:23" ht="16" x14ac:dyDescent="0.2">
      <c r="A287" s="6"/>
      <c r="B287" s="7"/>
      <c r="C287" s="7"/>
      <c r="D287" s="7"/>
      <c r="E287" s="7"/>
      <c r="F287" s="6"/>
      <c r="G287" s="6"/>
      <c r="H287" s="6"/>
      <c r="I287" s="6"/>
      <c r="J287" s="6"/>
      <c r="K287" s="6"/>
      <c r="L287" s="6"/>
      <c r="M287" s="6"/>
      <c r="N287" s="6"/>
      <c r="O287" s="6"/>
      <c r="P287" s="6"/>
      <c r="Q287" s="6"/>
      <c r="R287" s="6"/>
      <c r="S287" s="6"/>
      <c r="T287" s="6"/>
      <c r="U287" s="6"/>
      <c r="V287" s="6"/>
      <c r="W287" s="6"/>
    </row>
    <row r="288" spans="1:23" ht="16" x14ac:dyDescent="0.2">
      <c r="A288" s="6"/>
      <c r="B288" s="7"/>
      <c r="C288" s="7"/>
      <c r="D288" s="7"/>
      <c r="E288" s="7"/>
      <c r="F288" s="6"/>
      <c r="G288" s="6"/>
      <c r="H288" s="6"/>
      <c r="I288" s="6"/>
      <c r="J288" s="6"/>
      <c r="K288" s="6"/>
      <c r="L288" s="6"/>
      <c r="M288" s="6"/>
      <c r="N288" s="6"/>
      <c r="O288" s="6"/>
      <c r="P288" s="6"/>
      <c r="Q288" s="6"/>
      <c r="R288" s="6"/>
      <c r="S288" s="6"/>
      <c r="T288" s="6"/>
      <c r="U288" s="6"/>
      <c r="V288" s="6"/>
      <c r="W288" s="6"/>
    </row>
    <row r="289" spans="1:23" ht="16" x14ac:dyDescent="0.2">
      <c r="A289" s="6"/>
      <c r="B289" s="7"/>
      <c r="C289" s="7"/>
      <c r="D289" s="7"/>
      <c r="E289" s="7"/>
      <c r="F289" s="6"/>
      <c r="G289" s="6"/>
      <c r="H289" s="6"/>
      <c r="I289" s="6"/>
      <c r="J289" s="6"/>
      <c r="K289" s="6"/>
      <c r="L289" s="6"/>
      <c r="M289" s="6"/>
      <c r="N289" s="6"/>
      <c r="O289" s="6"/>
      <c r="P289" s="6"/>
      <c r="Q289" s="6"/>
      <c r="R289" s="6"/>
      <c r="S289" s="6"/>
      <c r="T289" s="6"/>
      <c r="U289" s="6"/>
      <c r="V289" s="6"/>
      <c r="W289" s="6"/>
    </row>
    <row r="290" spans="1:23" ht="16" x14ac:dyDescent="0.2">
      <c r="A290" s="6"/>
      <c r="B290" s="7"/>
      <c r="C290" s="7"/>
      <c r="D290" s="7"/>
      <c r="E290" s="7"/>
      <c r="F290" s="6"/>
      <c r="G290" s="6"/>
      <c r="H290" s="6"/>
      <c r="I290" s="6"/>
      <c r="J290" s="6"/>
      <c r="K290" s="6"/>
      <c r="L290" s="6"/>
      <c r="M290" s="6"/>
      <c r="N290" s="6"/>
      <c r="O290" s="6"/>
      <c r="P290" s="6"/>
      <c r="Q290" s="6"/>
      <c r="R290" s="6"/>
      <c r="S290" s="6"/>
      <c r="T290" s="6"/>
      <c r="U290" s="6"/>
      <c r="V290" s="6"/>
      <c r="W290" s="6"/>
    </row>
    <row r="291" spans="1:23" ht="16" x14ac:dyDescent="0.2">
      <c r="A291" s="6"/>
      <c r="B291" s="7"/>
      <c r="C291" s="7"/>
      <c r="D291" s="7"/>
      <c r="E291" s="7"/>
      <c r="F291" s="6"/>
      <c r="G291" s="6"/>
      <c r="H291" s="6"/>
      <c r="I291" s="6"/>
      <c r="J291" s="6"/>
      <c r="K291" s="6"/>
      <c r="L291" s="6"/>
      <c r="M291" s="6"/>
      <c r="N291" s="6"/>
      <c r="O291" s="6"/>
      <c r="P291" s="6"/>
      <c r="Q291" s="6"/>
      <c r="R291" s="6"/>
      <c r="S291" s="6"/>
      <c r="T291" s="6"/>
      <c r="U291" s="6"/>
      <c r="V291" s="6"/>
      <c r="W291" s="6"/>
    </row>
    <row r="292" spans="1:23" ht="16" x14ac:dyDescent="0.2">
      <c r="A292" s="6"/>
      <c r="B292" s="7"/>
      <c r="C292" s="7"/>
      <c r="D292" s="7"/>
      <c r="E292" s="7"/>
      <c r="F292" s="6"/>
      <c r="G292" s="6"/>
      <c r="H292" s="6"/>
      <c r="I292" s="6"/>
      <c r="J292" s="6"/>
      <c r="K292" s="6"/>
      <c r="L292" s="6"/>
      <c r="M292" s="6"/>
      <c r="N292" s="6"/>
      <c r="O292" s="6"/>
      <c r="P292" s="6"/>
      <c r="Q292" s="6"/>
      <c r="R292" s="6"/>
      <c r="S292" s="6"/>
      <c r="T292" s="6"/>
      <c r="U292" s="6"/>
      <c r="V292" s="6"/>
      <c r="W292" s="6"/>
    </row>
    <row r="293" spans="1:23" ht="16" x14ac:dyDescent="0.2">
      <c r="A293" s="6"/>
      <c r="B293" s="7"/>
      <c r="C293" s="7"/>
      <c r="D293" s="7"/>
      <c r="E293" s="7"/>
      <c r="F293" s="6"/>
      <c r="G293" s="6"/>
      <c r="H293" s="6"/>
      <c r="I293" s="6"/>
      <c r="J293" s="6"/>
      <c r="K293" s="6"/>
      <c r="L293" s="6"/>
      <c r="M293" s="6"/>
      <c r="N293" s="6"/>
      <c r="O293" s="6"/>
      <c r="P293" s="6"/>
      <c r="Q293" s="6"/>
      <c r="R293" s="6"/>
      <c r="S293" s="6"/>
      <c r="T293" s="6"/>
      <c r="U293" s="6"/>
      <c r="V293" s="6"/>
      <c r="W293" s="6"/>
    </row>
    <row r="294" spans="1:23" ht="16" x14ac:dyDescent="0.2">
      <c r="A294" s="6"/>
      <c r="B294" s="7"/>
      <c r="C294" s="7"/>
      <c r="D294" s="7"/>
      <c r="E294" s="7"/>
      <c r="F294" s="6"/>
      <c r="G294" s="6"/>
      <c r="H294" s="6"/>
      <c r="I294" s="6"/>
      <c r="J294" s="6"/>
      <c r="K294" s="6"/>
      <c r="L294" s="6"/>
      <c r="M294" s="6"/>
      <c r="N294" s="6"/>
      <c r="O294" s="6"/>
      <c r="P294" s="6"/>
      <c r="Q294" s="6"/>
      <c r="R294" s="6"/>
      <c r="S294" s="6"/>
      <c r="T294" s="6"/>
      <c r="U294" s="6"/>
      <c r="V294" s="6"/>
      <c r="W294" s="6"/>
    </row>
    <row r="295" spans="1:23" ht="16" x14ac:dyDescent="0.2">
      <c r="A295" s="6"/>
      <c r="B295" s="7"/>
      <c r="C295" s="7"/>
      <c r="D295" s="7"/>
      <c r="E295" s="7"/>
      <c r="F295" s="6"/>
      <c r="G295" s="6"/>
      <c r="H295" s="6"/>
      <c r="I295" s="6"/>
      <c r="J295" s="6"/>
      <c r="K295" s="6"/>
      <c r="L295" s="6"/>
      <c r="M295" s="6"/>
      <c r="N295" s="6"/>
      <c r="O295" s="6"/>
      <c r="P295" s="6"/>
      <c r="Q295" s="6"/>
      <c r="R295" s="6"/>
      <c r="S295" s="6"/>
      <c r="T295" s="6"/>
      <c r="U295" s="6"/>
      <c r="V295" s="6"/>
      <c r="W295" s="6"/>
    </row>
    <row r="296" spans="1:23" ht="16" x14ac:dyDescent="0.2">
      <c r="A296" s="6"/>
      <c r="B296" s="7"/>
      <c r="C296" s="7"/>
      <c r="D296" s="7"/>
      <c r="E296" s="7"/>
      <c r="F296" s="6"/>
      <c r="G296" s="6"/>
      <c r="H296" s="6"/>
      <c r="I296" s="6"/>
      <c r="J296" s="6"/>
      <c r="K296" s="6"/>
      <c r="L296" s="6"/>
      <c r="M296" s="6"/>
      <c r="N296" s="6"/>
      <c r="O296" s="6"/>
      <c r="P296" s="6"/>
      <c r="Q296" s="6"/>
      <c r="R296" s="6"/>
      <c r="S296" s="6"/>
      <c r="T296" s="6"/>
      <c r="U296" s="6"/>
      <c r="V296" s="6"/>
      <c r="W296" s="6"/>
    </row>
    <row r="297" spans="1:23" ht="16" x14ac:dyDescent="0.2">
      <c r="A297" s="6"/>
      <c r="B297" s="7"/>
      <c r="C297" s="7"/>
      <c r="D297" s="7"/>
      <c r="E297" s="7"/>
      <c r="F297" s="6"/>
      <c r="G297" s="6"/>
      <c r="H297" s="6"/>
      <c r="I297" s="6"/>
      <c r="J297" s="6"/>
      <c r="K297" s="6"/>
      <c r="L297" s="6"/>
      <c r="M297" s="6"/>
      <c r="N297" s="6"/>
      <c r="O297" s="6"/>
      <c r="P297" s="6"/>
      <c r="Q297" s="6"/>
      <c r="R297" s="6"/>
      <c r="S297" s="6"/>
      <c r="T297" s="6"/>
      <c r="U297" s="6"/>
      <c r="V297" s="6"/>
      <c r="W297" s="6"/>
    </row>
    <row r="298" spans="1:23" ht="16" x14ac:dyDescent="0.2">
      <c r="A298" s="6"/>
      <c r="B298" s="7"/>
      <c r="C298" s="7"/>
      <c r="D298" s="7"/>
      <c r="E298" s="7"/>
      <c r="F298" s="6"/>
      <c r="G298" s="6"/>
      <c r="H298" s="6"/>
      <c r="I298" s="6"/>
      <c r="J298" s="6"/>
      <c r="K298" s="6"/>
      <c r="L298" s="6"/>
      <c r="M298" s="6"/>
      <c r="N298" s="6"/>
      <c r="O298" s="6"/>
      <c r="P298" s="6"/>
      <c r="Q298" s="6"/>
      <c r="R298" s="6"/>
      <c r="S298" s="6"/>
      <c r="T298" s="6"/>
      <c r="U298" s="6"/>
      <c r="V298" s="6"/>
      <c r="W298" s="6"/>
    </row>
    <row r="299" spans="1:23" ht="16" x14ac:dyDescent="0.2">
      <c r="A299" s="6"/>
      <c r="B299" s="7"/>
      <c r="C299" s="7"/>
      <c r="D299" s="7"/>
      <c r="E299" s="7"/>
      <c r="F299" s="6"/>
      <c r="G299" s="6"/>
      <c r="H299" s="6"/>
      <c r="I299" s="6"/>
      <c r="J299" s="6"/>
      <c r="K299" s="6"/>
      <c r="L299" s="6"/>
      <c r="M299" s="6"/>
      <c r="N299" s="6"/>
      <c r="O299" s="6"/>
      <c r="P299" s="6"/>
      <c r="Q299" s="6"/>
      <c r="R299" s="6"/>
      <c r="S299" s="6"/>
      <c r="T299" s="6"/>
      <c r="U299" s="6"/>
      <c r="V299" s="6"/>
      <c r="W299" s="6"/>
    </row>
    <row r="300" spans="1:23" ht="16" x14ac:dyDescent="0.2">
      <c r="A300" s="6"/>
      <c r="B300" s="7"/>
      <c r="C300" s="7"/>
      <c r="D300" s="7"/>
      <c r="E300" s="7"/>
      <c r="F300" s="6"/>
      <c r="G300" s="6"/>
      <c r="H300" s="6"/>
      <c r="I300" s="6"/>
      <c r="J300" s="6"/>
      <c r="K300" s="6"/>
      <c r="L300" s="6"/>
      <c r="M300" s="6"/>
      <c r="N300" s="6"/>
      <c r="O300" s="6"/>
      <c r="P300" s="6"/>
      <c r="Q300" s="6"/>
      <c r="R300" s="6"/>
      <c r="S300" s="6"/>
      <c r="T300" s="6"/>
      <c r="U300" s="6"/>
      <c r="V300" s="6"/>
      <c r="W300" s="6"/>
    </row>
    <row r="301" spans="1:23" ht="16" x14ac:dyDescent="0.2">
      <c r="A301" s="6"/>
      <c r="B301" s="7"/>
      <c r="C301" s="7"/>
      <c r="D301" s="7"/>
      <c r="E301" s="7"/>
      <c r="F301" s="6"/>
      <c r="G301" s="6"/>
      <c r="H301" s="6"/>
      <c r="I301" s="6"/>
      <c r="J301" s="6"/>
      <c r="K301" s="6"/>
      <c r="L301" s="6"/>
      <c r="M301" s="6"/>
      <c r="N301" s="6"/>
      <c r="O301" s="6"/>
      <c r="P301" s="6"/>
      <c r="Q301" s="6"/>
      <c r="R301" s="6"/>
      <c r="S301" s="6"/>
      <c r="T301" s="6"/>
      <c r="U301" s="6"/>
      <c r="V301" s="6"/>
      <c r="W301" s="6"/>
    </row>
    <row r="302" spans="1:23" ht="16" x14ac:dyDescent="0.2">
      <c r="A302" s="6"/>
      <c r="B302" s="7"/>
      <c r="C302" s="7"/>
      <c r="D302" s="7"/>
      <c r="E302" s="7"/>
      <c r="F302" s="6"/>
      <c r="G302" s="6"/>
      <c r="H302" s="6"/>
      <c r="I302" s="6"/>
      <c r="J302" s="6"/>
      <c r="K302" s="6"/>
      <c r="L302" s="6"/>
      <c r="M302" s="6"/>
      <c r="N302" s="6"/>
      <c r="O302" s="6"/>
      <c r="P302" s="6"/>
      <c r="Q302" s="6"/>
      <c r="R302" s="6"/>
      <c r="S302" s="6"/>
      <c r="T302" s="6"/>
      <c r="U302" s="6"/>
      <c r="V302" s="6"/>
      <c r="W302" s="6"/>
    </row>
    <row r="303" spans="1:23" ht="16" x14ac:dyDescent="0.2">
      <c r="A303" s="6"/>
      <c r="B303" s="7"/>
      <c r="C303" s="7"/>
      <c r="D303" s="7"/>
      <c r="E303" s="7"/>
      <c r="F303" s="6"/>
      <c r="G303" s="6"/>
      <c r="H303" s="6"/>
      <c r="I303" s="6"/>
      <c r="J303" s="6"/>
      <c r="K303" s="6"/>
      <c r="L303" s="6"/>
      <c r="M303" s="6"/>
      <c r="N303" s="6"/>
      <c r="O303" s="6"/>
      <c r="P303" s="6"/>
      <c r="Q303" s="6"/>
      <c r="R303" s="6"/>
      <c r="S303" s="6"/>
      <c r="T303" s="6"/>
      <c r="U303" s="6"/>
      <c r="V303" s="6"/>
      <c r="W303" s="6"/>
    </row>
    <row r="304" spans="1:23" ht="16" x14ac:dyDescent="0.2">
      <c r="A304" s="6"/>
      <c r="B304" s="7"/>
      <c r="C304" s="7"/>
      <c r="D304" s="7"/>
      <c r="E304" s="7"/>
      <c r="F304" s="6"/>
      <c r="G304" s="6"/>
      <c r="H304" s="6"/>
      <c r="I304" s="6"/>
      <c r="J304" s="6"/>
      <c r="K304" s="6"/>
      <c r="L304" s="6"/>
      <c r="M304" s="6"/>
      <c r="N304" s="6"/>
      <c r="O304" s="6"/>
      <c r="P304" s="6"/>
      <c r="Q304" s="6"/>
      <c r="R304" s="6"/>
      <c r="S304" s="6"/>
      <c r="T304" s="6"/>
      <c r="U304" s="6"/>
      <c r="V304" s="6"/>
      <c r="W304" s="6"/>
    </row>
    <row r="305" spans="1:23" ht="16" x14ac:dyDescent="0.2">
      <c r="A305" s="6"/>
      <c r="B305" s="7"/>
      <c r="C305" s="7"/>
      <c r="D305" s="7"/>
      <c r="E305" s="7"/>
      <c r="F305" s="6"/>
      <c r="G305" s="6"/>
      <c r="H305" s="6"/>
      <c r="I305" s="6"/>
      <c r="J305" s="6"/>
      <c r="K305" s="6"/>
      <c r="L305" s="6"/>
      <c r="M305" s="6"/>
      <c r="N305" s="6"/>
      <c r="O305" s="6"/>
      <c r="P305" s="6"/>
      <c r="Q305" s="6"/>
      <c r="R305" s="6"/>
      <c r="S305" s="6"/>
      <c r="T305" s="6"/>
      <c r="U305" s="6"/>
      <c r="V305" s="6"/>
      <c r="W305" s="6"/>
    </row>
    <row r="306" spans="1:23" ht="16" x14ac:dyDescent="0.2">
      <c r="A306" s="6"/>
      <c r="B306" s="7"/>
      <c r="C306" s="7"/>
      <c r="D306" s="7"/>
      <c r="E306" s="7"/>
      <c r="F306" s="6"/>
      <c r="G306" s="6"/>
      <c r="H306" s="6"/>
      <c r="I306" s="6"/>
      <c r="J306" s="6"/>
      <c r="K306" s="6"/>
      <c r="L306" s="6"/>
      <c r="M306" s="6"/>
      <c r="N306" s="6"/>
      <c r="O306" s="6"/>
      <c r="P306" s="6"/>
      <c r="Q306" s="6"/>
      <c r="R306" s="6"/>
      <c r="S306" s="6"/>
      <c r="T306" s="6"/>
      <c r="U306" s="6"/>
      <c r="V306" s="6"/>
      <c r="W306" s="6"/>
    </row>
    <row r="307" spans="1:23" ht="16" x14ac:dyDescent="0.2">
      <c r="A307" s="6"/>
      <c r="B307" s="7"/>
      <c r="C307" s="7"/>
      <c r="D307" s="7"/>
      <c r="E307" s="7"/>
      <c r="F307" s="6"/>
      <c r="G307" s="6"/>
      <c r="H307" s="6"/>
      <c r="I307" s="6"/>
      <c r="J307" s="6"/>
      <c r="K307" s="6"/>
      <c r="L307" s="6"/>
      <c r="M307" s="6"/>
      <c r="N307" s="6"/>
      <c r="O307" s="6"/>
      <c r="P307" s="6"/>
      <c r="Q307" s="6"/>
      <c r="R307" s="6"/>
      <c r="S307" s="6"/>
      <c r="T307" s="6"/>
      <c r="U307" s="6"/>
      <c r="V307" s="6"/>
      <c r="W307" s="6"/>
    </row>
    <row r="308" spans="1:23" ht="16" x14ac:dyDescent="0.2">
      <c r="A308" s="6"/>
      <c r="B308" s="7"/>
      <c r="C308" s="7"/>
      <c r="D308" s="7"/>
      <c r="E308" s="7"/>
      <c r="F308" s="6"/>
      <c r="G308" s="6"/>
      <c r="H308" s="6"/>
      <c r="I308" s="6"/>
      <c r="J308" s="6"/>
      <c r="K308" s="6"/>
      <c r="L308" s="6"/>
      <c r="M308" s="6"/>
      <c r="N308" s="6"/>
      <c r="O308" s="6"/>
      <c r="P308" s="6"/>
      <c r="Q308" s="6"/>
      <c r="R308" s="6"/>
      <c r="S308" s="6"/>
      <c r="T308" s="6"/>
      <c r="U308" s="6"/>
      <c r="V308" s="6"/>
      <c r="W308" s="6"/>
    </row>
    <row r="309" spans="1:23" ht="16" x14ac:dyDescent="0.2">
      <c r="A309" s="6"/>
      <c r="B309" s="7"/>
      <c r="C309" s="7"/>
      <c r="D309" s="7"/>
      <c r="E309" s="7"/>
      <c r="F309" s="6"/>
      <c r="G309" s="6"/>
      <c r="H309" s="6"/>
      <c r="I309" s="6"/>
      <c r="J309" s="6"/>
      <c r="K309" s="6"/>
      <c r="L309" s="6"/>
      <c r="M309" s="6"/>
      <c r="N309" s="6"/>
      <c r="O309" s="6"/>
      <c r="P309" s="6"/>
      <c r="Q309" s="6"/>
      <c r="R309" s="6"/>
      <c r="S309" s="6"/>
      <c r="T309" s="6"/>
      <c r="U309" s="6"/>
      <c r="V309" s="6"/>
      <c r="W309" s="6"/>
    </row>
    <row r="310" spans="1:23" ht="16" x14ac:dyDescent="0.2">
      <c r="A310" s="6"/>
      <c r="B310" s="7"/>
      <c r="C310" s="7"/>
      <c r="D310" s="7"/>
      <c r="E310" s="7"/>
      <c r="F310" s="6"/>
      <c r="G310" s="6"/>
      <c r="H310" s="6"/>
      <c r="I310" s="6"/>
      <c r="J310" s="6"/>
      <c r="K310" s="6"/>
      <c r="L310" s="6"/>
      <c r="M310" s="6"/>
      <c r="N310" s="6"/>
      <c r="O310" s="6"/>
      <c r="P310" s="6"/>
      <c r="Q310" s="6"/>
      <c r="R310" s="6"/>
      <c r="S310" s="6"/>
      <c r="T310" s="6"/>
      <c r="U310" s="6"/>
      <c r="V310" s="6"/>
      <c r="W310" s="6"/>
    </row>
    <row r="311" spans="1:23" ht="16" x14ac:dyDescent="0.2">
      <c r="A311" s="6"/>
      <c r="B311" s="7"/>
      <c r="C311" s="7"/>
      <c r="D311" s="7"/>
      <c r="E311" s="7"/>
      <c r="F311" s="6"/>
      <c r="G311" s="6"/>
      <c r="H311" s="6"/>
      <c r="I311" s="6"/>
      <c r="J311" s="6"/>
      <c r="K311" s="6"/>
      <c r="L311" s="6"/>
      <c r="M311" s="6"/>
      <c r="N311" s="6"/>
      <c r="O311" s="6"/>
      <c r="P311" s="6"/>
      <c r="Q311" s="6"/>
      <c r="R311" s="6"/>
      <c r="S311" s="6"/>
      <c r="T311" s="6"/>
      <c r="U311" s="6"/>
      <c r="V311" s="6"/>
      <c r="W311" s="6"/>
    </row>
    <row r="312" spans="1:23" ht="16" x14ac:dyDescent="0.2">
      <c r="A312" s="6"/>
      <c r="B312" s="7"/>
      <c r="C312" s="7"/>
      <c r="D312" s="7"/>
      <c r="E312" s="7"/>
      <c r="F312" s="6"/>
      <c r="G312" s="6"/>
      <c r="H312" s="6"/>
      <c r="I312" s="6"/>
      <c r="J312" s="6"/>
      <c r="K312" s="6"/>
      <c r="L312" s="6"/>
      <c r="M312" s="6"/>
      <c r="N312" s="6"/>
      <c r="O312" s="6"/>
      <c r="P312" s="6"/>
      <c r="Q312" s="6"/>
      <c r="R312" s="6"/>
      <c r="S312" s="6"/>
      <c r="T312" s="6"/>
      <c r="U312" s="6"/>
      <c r="V312" s="6"/>
      <c r="W312" s="6"/>
    </row>
    <row r="313" spans="1:23" ht="16" x14ac:dyDescent="0.2">
      <c r="A313" s="6"/>
      <c r="B313" s="7"/>
      <c r="C313" s="7"/>
      <c r="D313" s="7"/>
      <c r="E313" s="7"/>
      <c r="F313" s="6"/>
      <c r="G313" s="6"/>
      <c r="H313" s="6"/>
      <c r="I313" s="6"/>
      <c r="J313" s="6"/>
      <c r="K313" s="6"/>
      <c r="L313" s="6"/>
      <c r="M313" s="6"/>
      <c r="N313" s="6"/>
      <c r="O313" s="6"/>
      <c r="P313" s="6"/>
      <c r="Q313" s="6"/>
      <c r="R313" s="6"/>
      <c r="S313" s="6"/>
      <c r="T313" s="6"/>
      <c r="U313" s="6"/>
      <c r="V313" s="6"/>
      <c r="W313" s="6"/>
    </row>
    <row r="314" spans="1:23" ht="16" x14ac:dyDescent="0.2">
      <c r="A314" s="6"/>
      <c r="B314" s="7"/>
      <c r="C314" s="7"/>
      <c r="D314" s="7"/>
      <c r="E314" s="7"/>
      <c r="F314" s="6"/>
      <c r="G314" s="6"/>
      <c r="H314" s="6"/>
      <c r="I314" s="6"/>
      <c r="J314" s="6"/>
      <c r="K314" s="6"/>
      <c r="L314" s="6"/>
      <c r="M314" s="6"/>
      <c r="N314" s="6"/>
      <c r="O314" s="6"/>
      <c r="P314" s="6"/>
      <c r="Q314" s="6"/>
      <c r="R314" s="6"/>
      <c r="S314" s="6"/>
      <c r="T314" s="6"/>
      <c r="U314" s="6"/>
      <c r="V314" s="6"/>
      <c r="W314" s="6"/>
    </row>
    <row r="315" spans="1:23" ht="16" x14ac:dyDescent="0.2">
      <c r="A315" s="6"/>
      <c r="B315" s="7"/>
      <c r="C315" s="7"/>
      <c r="D315" s="7"/>
      <c r="E315" s="7"/>
      <c r="F315" s="6"/>
      <c r="G315" s="6"/>
      <c r="H315" s="6"/>
      <c r="I315" s="6"/>
      <c r="J315" s="6"/>
      <c r="K315" s="6"/>
      <c r="L315" s="6"/>
      <c r="M315" s="6"/>
      <c r="N315" s="6"/>
      <c r="O315" s="6"/>
      <c r="P315" s="6"/>
      <c r="Q315" s="6"/>
      <c r="R315" s="6"/>
      <c r="S315" s="6"/>
      <c r="T315" s="6"/>
      <c r="U315" s="6"/>
      <c r="V315" s="6"/>
      <c r="W315" s="6"/>
    </row>
    <row r="316" spans="1:23" ht="16" x14ac:dyDescent="0.2">
      <c r="A316" s="6"/>
      <c r="B316" s="7"/>
      <c r="C316" s="7"/>
      <c r="D316" s="7"/>
      <c r="E316" s="7"/>
      <c r="F316" s="6"/>
      <c r="G316" s="6"/>
      <c r="H316" s="6"/>
      <c r="I316" s="6"/>
      <c r="J316" s="6"/>
      <c r="K316" s="6"/>
      <c r="L316" s="6"/>
      <c r="M316" s="6"/>
      <c r="N316" s="6"/>
      <c r="O316" s="6"/>
      <c r="P316" s="6"/>
      <c r="Q316" s="6"/>
      <c r="R316" s="6"/>
      <c r="S316" s="6"/>
      <c r="T316" s="6"/>
      <c r="U316" s="6"/>
      <c r="V316" s="6"/>
      <c r="W316" s="6"/>
    </row>
    <row r="317" spans="1:23" ht="16" x14ac:dyDescent="0.2">
      <c r="A317" s="6"/>
      <c r="B317" s="7"/>
      <c r="C317" s="7"/>
      <c r="D317" s="7"/>
      <c r="E317" s="7"/>
      <c r="F317" s="6"/>
      <c r="G317" s="6"/>
      <c r="H317" s="6"/>
      <c r="I317" s="6"/>
      <c r="J317" s="6"/>
      <c r="K317" s="6"/>
      <c r="L317" s="6"/>
      <c r="M317" s="6"/>
      <c r="N317" s="6"/>
      <c r="O317" s="6"/>
      <c r="P317" s="6"/>
      <c r="Q317" s="6"/>
      <c r="R317" s="6"/>
      <c r="S317" s="6"/>
      <c r="T317" s="6"/>
      <c r="U317" s="6"/>
      <c r="V317" s="6"/>
      <c r="W317" s="6"/>
    </row>
    <row r="318" spans="1:23" ht="16" x14ac:dyDescent="0.2">
      <c r="A318" s="6"/>
      <c r="B318" s="7"/>
      <c r="C318" s="7"/>
      <c r="D318" s="7"/>
      <c r="E318" s="7"/>
      <c r="F318" s="6"/>
      <c r="G318" s="6"/>
      <c r="H318" s="6"/>
      <c r="I318" s="6"/>
      <c r="J318" s="6"/>
      <c r="K318" s="6"/>
      <c r="L318" s="6"/>
      <c r="M318" s="6"/>
      <c r="N318" s="6"/>
      <c r="O318" s="6"/>
      <c r="P318" s="6"/>
      <c r="Q318" s="6"/>
      <c r="R318" s="6"/>
      <c r="S318" s="6"/>
      <c r="T318" s="6"/>
      <c r="U318" s="6"/>
      <c r="V318" s="6"/>
      <c r="W318" s="6"/>
    </row>
    <row r="319" spans="1:23" ht="16" x14ac:dyDescent="0.2">
      <c r="A319" s="6"/>
      <c r="B319" s="7"/>
      <c r="C319" s="7"/>
      <c r="D319" s="7"/>
      <c r="E319" s="7"/>
      <c r="F319" s="6"/>
      <c r="G319" s="6"/>
      <c r="H319" s="6"/>
      <c r="I319" s="6"/>
      <c r="J319" s="6"/>
      <c r="K319" s="6"/>
      <c r="L319" s="6"/>
      <c r="M319" s="6"/>
      <c r="N319" s="6"/>
      <c r="O319" s="6"/>
      <c r="P319" s="6"/>
      <c r="Q319" s="6"/>
      <c r="R319" s="6"/>
      <c r="S319" s="6"/>
      <c r="T319" s="6"/>
      <c r="U319" s="6"/>
      <c r="V319" s="6"/>
      <c r="W319" s="6"/>
    </row>
    <row r="320" spans="1:23" ht="16" x14ac:dyDescent="0.2">
      <c r="A320" s="6"/>
      <c r="B320" s="7"/>
      <c r="C320" s="7"/>
      <c r="D320" s="7"/>
      <c r="E320" s="7"/>
      <c r="F320" s="6"/>
      <c r="G320" s="6"/>
      <c r="H320" s="6"/>
      <c r="I320" s="6"/>
      <c r="J320" s="6"/>
      <c r="K320" s="6"/>
      <c r="L320" s="6"/>
      <c r="M320" s="6"/>
      <c r="N320" s="6"/>
      <c r="O320" s="6"/>
      <c r="P320" s="6"/>
      <c r="Q320" s="6"/>
      <c r="R320" s="6"/>
      <c r="S320" s="6"/>
      <c r="T320" s="6"/>
      <c r="U320" s="6"/>
      <c r="V320" s="6"/>
      <c r="W320" s="6"/>
    </row>
    <row r="321" spans="1:23" ht="16" x14ac:dyDescent="0.2">
      <c r="A321" s="6"/>
      <c r="B321" s="7"/>
      <c r="C321" s="7"/>
      <c r="D321" s="7"/>
      <c r="E321" s="7"/>
      <c r="F321" s="6"/>
      <c r="G321" s="6"/>
      <c r="H321" s="6"/>
      <c r="I321" s="6"/>
      <c r="J321" s="6"/>
      <c r="K321" s="6"/>
      <c r="L321" s="6"/>
      <c r="M321" s="6"/>
      <c r="N321" s="6"/>
      <c r="O321" s="6"/>
      <c r="P321" s="6"/>
      <c r="Q321" s="6"/>
      <c r="R321" s="6"/>
      <c r="S321" s="6"/>
      <c r="T321" s="6"/>
      <c r="U321" s="6"/>
      <c r="V321" s="6"/>
      <c r="W321" s="6"/>
    </row>
    <row r="322" spans="1:23" ht="16" x14ac:dyDescent="0.2">
      <c r="A322" s="6"/>
      <c r="B322" s="7"/>
      <c r="C322" s="7"/>
      <c r="D322" s="7"/>
      <c r="E322" s="7"/>
      <c r="F322" s="6"/>
      <c r="G322" s="6"/>
      <c r="H322" s="6"/>
      <c r="I322" s="6"/>
      <c r="J322" s="6"/>
      <c r="K322" s="6"/>
      <c r="L322" s="6"/>
      <c r="M322" s="6"/>
      <c r="N322" s="6"/>
      <c r="O322" s="6"/>
      <c r="P322" s="6"/>
      <c r="Q322" s="6"/>
      <c r="R322" s="6"/>
      <c r="S322" s="6"/>
      <c r="T322" s="6"/>
      <c r="U322" s="6"/>
      <c r="V322" s="6"/>
      <c r="W322" s="6"/>
    </row>
    <row r="323" spans="1:23" ht="16" x14ac:dyDescent="0.2">
      <c r="A323" s="6"/>
      <c r="B323" s="7"/>
      <c r="C323" s="7"/>
      <c r="D323" s="7"/>
      <c r="E323" s="7"/>
      <c r="F323" s="6"/>
      <c r="G323" s="6"/>
      <c r="H323" s="6"/>
      <c r="I323" s="6"/>
      <c r="J323" s="6"/>
      <c r="K323" s="6"/>
      <c r="L323" s="6"/>
      <c r="M323" s="6"/>
      <c r="N323" s="6"/>
      <c r="O323" s="6"/>
      <c r="P323" s="6"/>
      <c r="Q323" s="6"/>
      <c r="R323" s="6"/>
      <c r="S323" s="6"/>
      <c r="T323" s="6"/>
      <c r="U323" s="6"/>
      <c r="V323" s="6"/>
      <c r="W323" s="6"/>
    </row>
    <row r="324" spans="1:23" ht="16" x14ac:dyDescent="0.2">
      <c r="A324" s="6"/>
      <c r="B324" s="7"/>
      <c r="C324" s="7"/>
      <c r="D324" s="7"/>
      <c r="E324" s="7"/>
      <c r="F324" s="6"/>
      <c r="G324" s="6"/>
      <c r="H324" s="6"/>
      <c r="I324" s="6"/>
      <c r="J324" s="6"/>
      <c r="K324" s="6"/>
      <c r="L324" s="6"/>
      <c r="M324" s="6"/>
      <c r="N324" s="6"/>
      <c r="O324" s="6"/>
      <c r="P324" s="6"/>
      <c r="Q324" s="6"/>
      <c r="R324" s="6"/>
      <c r="S324" s="6"/>
      <c r="T324" s="6"/>
      <c r="U324" s="6"/>
      <c r="V324" s="6"/>
      <c r="W324" s="6"/>
    </row>
    <row r="325" spans="1:23" ht="16" x14ac:dyDescent="0.2">
      <c r="A325" s="6"/>
      <c r="B325" s="7"/>
      <c r="C325" s="7"/>
      <c r="D325" s="7"/>
      <c r="E325" s="7"/>
      <c r="F325" s="6"/>
      <c r="G325" s="6"/>
      <c r="H325" s="6"/>
      <c r="I325" s="6"/>
      <c r="J325" s="6"/>
      <c r="K325" s="6"/>
      <c r="L325" s="6"/>
      <c r="M325" s="6"/>
      <c r="N325" s="6"/>
      <c r="O325" s="6"/>
      <c r="P325" s="6"/>
      <c r="Q325" s="6"/>
      <c r="R325" s="6"/>
      <c r="S325" s="6"/>
      <c r="T325" s="6"/>
      <c r="U325" s="6"/>
      <c r="V325" s="6"/>
      <c r="W325" s="6"/>
    </row>
    <row r="326" spans="1:23" ht="16" x14ac:dyDescent="0.2">
      <c r="A326" s="6"/>
      <c r="B326" s="7"/>
      <c r="C326" s="7"/>
      <c r="D326" s="7"/>
      <c r="E326" s="7"/>
      <c r="F326" s="6"/>
      <c r="G326" s="6"/>
      <c r="H326" s="6"/>
      <c r="I326" s="6"/>
      <c r="J326" s="6"/>
      <c r="K326" s="6"/>
      <c r="L326" s="6"/>
      <c r="M326" s="6"/>
      <c r="N326" s="6"/>
      <c r="O326" s="6"/>
      <c r="P326" s="6"/>
      <c r="Q326" s="6"/>
      <c r="R326" s="6"/>
      <c r="S326" s="6"/>
      <c r="T326" s="6"/>
      <c r="U326" s="6"/>
      <c r="V326" s="6"/>
      <c r="W326" s="6"/>
    </row>
    <row r="327" spans="1:23" ht="16" x14ac:dyDescent="0.2">
      <c r="A327" s="6"/>
      <c r="B327" s="7"/>
      <c r="C327" s="7"/>
      <c r="D327" s="7"/>
      <c r="E327" s="7"/>
      <c r="F327" s="6"/>
      <c r="G327" s="6"/>
      <c r="H327" s="6"/>
      <c r="I327" s="6"/>
      <c r="J327" s="6"/>
      <c r="K327" s="6"/>
      <c r="L327" s="6"/>
      <c r="M327" s="6"/>
      <c r="N327" s="6"/>
      <c r="O327" s="6"/>
      <c r="P327" s="6"/>
      <c r="Q327" s="6"/>
      <c r="R327" s="6"/>
      <c r="S327" s="6"/>
      <c r="T327" s="6"/>
      <c r="U327" s="6"/>
      <c r="V327" s="6"/>
      <c r="W327" s="6"/>
    </row>
    <row r="328" spans="1:23" ht="16" x14ac:dyDescent="0.2">
      <c r="A328" s="6"/>
      <c r="B328" s="7"/>
      <c r="C328" s="7"/>
      <c r="D328" s="7"/>
      <c r="E328" s="7"/>
      <c r="F328" s="6"/>
      <c r="G328" s="6"/>
      <c r="H328" s="6"/>
      <c r="I328" s="6"/>
      <c r="J328" s="6"/>
      <c r="K328" s="6"/>
      <c r="L328" s="6"/>
      <c r="M328" s="6"/>
      <c r="N328" s="6"/>
      <c r="O328" s="6"/>
      <c r="P328" s="6"/>
      <c r="Q328" s="6"/>
      <c r="R328" s="6"/>
      <c r="S328" s="6"/>
      <c r="T328" s="6"/>
      <c r="U328" s="6"/>
      <c r="V328" s="6"/>
      <c r="W328" s="6"/>
    </row>
    <row r="329" spans="1:23" ht="16" x14ac:dyDescent="0.2">
      <c r="A329" s="6"/>
      <c r="B329" s="7"/>
      <c r="C329" s="7"/>
      <c r="D329" s="7"/>
      <c r="E329" s="7"/>
      <c r="F329" s="6"/>
      <c r="G329" s="6"/>
      <c r="H329" s="6"/>
      <c r="I329" s="6"/>
      <c r="J329" s="6"/>
      <c r="K329" s="6"/>
      <c r="L329" s="6"/>
      <c r="M329" s="6"/>
      <c r="N329" s="6"/>
      <c r="O329" s="6"/>
      <c r="P329" s="6"/>
      <c r="Q329" s="6"/>
      <c r="R329" s="6"/>
      <c r="S329" s="6"/>
      <c r="T329" s="6"/>
      <c r="U329" s="6"/>
      <c r="V329" s="6"/>
      <c r="W329" s="6"/>
    </row>
    <row r="330" spans="1:23" ht="16" x14ac:dyDescent="0.2">
      <c r="A330" s="6"/>
      <c r="B330" s="7"/>
      <c r="C330" s="7"/>
      <c r="D330" s="7"/>
      <c r="E330" s="7"/>
      <c r="F330" s="6"/>
      <c r="G330" s="6"/>
      <c r="H330" s="6"/>
      <c r="I330" s="6"/>
      <c r="J330" s="6"/>
      <c r="K330" s="6"/>
      <c r="L330" s="6"/>
      <c r="M330" s="6"/>
      <c r="N330" s="6"/>
      <c r="O330" s="6"/>
      <c r="P330" s="6"/>
      <c r="Q330" s="6"/>
      <c r="R330" s="6"/>
      <c r="S330" s="6"/>
      <c r="T330" s="6"/>
      <c r="U330" s="6"/>
      <c r="V330" s="6"/>
      <c r="W330" s="6"/>
    </row>
    <row r="331" spans="1:23" ht="16" x14ac:dyDescent="0.2">
      <c r="A331" s="6"/>
      <c r="B331" s="7"/>
      <c r="C331" s="7"/>
      <c r="D331" s="7"/>
      <c r="E331" s="7"/>
      <c r="F331" s="6"/>
      <c r="G331" s="6"/>
      <c r="H331" s="6"/>
      <c r="I331" s="6"/>
      <c r="J331" s="6"/>
      <c r="K331" s="6"/>
      <c r="L331" s="6"/>
      <c r="M331" s="6"/>
      <c r="N331" s="6"/>
      <c r="O331" s="6"/>
      <c r="P331" s="6"/>
      <c r="Q331" s="6"/>
      <c r="R331" s="6"/>
      <c r="S331" s="6"/>
      <c r="T331" s="6"/>
      <c r="U331" s="6"/>
      <c r="V331" s="6"/>
      <c r="W331" s="6"/>
    </row>
    <row r="332" spans="1:23" ht="16" x14ac:dyDescent="0.2">
      <c r="A332" s="6"/>
      <c r="B332" s="7"/>
      <c r="C332" s="7"/>
      <c r="D332" s="7"/>
      <c r="E332" s="7"/>
      <c r="F332" s="6"/>
      <c r="G332" s="6"/>
      <c r="H332" s="6"/>
      <c r="I332" s="6"/>
      <c r="J332" s="6"/>
      <c r="K332" s="6"/>
      <c r="L332" s="6"/>
      <c r="M332" s="6"/>
      <c r="N332" s="6"/>
      <c r="O332" s="6"/>
      <c r="P332" s="6"/>
      <c r="Q332" s="6"/>
      <c r="R332" s="6"/>
      <c r="S332" s="6"/>
      <c r="T332" s="6"/>
      <c r="U332" s="6"/>
      <c r="V332" s="6"/>
      <c r="W332" s="6"/>
    </row>
    <row r="333" spans="1:23" ht="16" x14ac:dyDescent="0.2">
      <c r="A333" s="6"/>
      <c r="B333" s="7"/>
      <c r="C333" s="7"/>
      <c r="D333" s="7"/>
      <c r="E333" s="7"/>
      <c r="F333" s="6"/>
      <c r="G333" s="6"/>
      <c r="H333" s="6"/>
      <c r="I333" s="6"/>
      <c r="J333" s="6"/>
      <c r="K333" s="6"/>
      <c r="L333" s="6"/>
      <c r="M333" s="6"/>
      <c r="N333" s="6"/>
      <c r="O333" s="6"/>
      <c r="P333" s="6"/>
      <c r="Q333" s="6"/>
      <c r="R333" s="6"/>
      <c r="S333" s="6"/>
      <c r="T333" s="6"/>
      <c r="U333" s="6"/>
      <c r="V333" s="6"/>
      <c r="W333" s="6"/>
    </row>
    <row r="334" spans="1:23" ht="16" x14ac:dyDescent="0.2">
      <c r="A334" s="6"/>
      <c r="B334" s="7"/>
      <c r="C334" s="7"/>
      <c r="D334" s="7"/>
      <c r="E334" s="7"/>
      <c r="F334" s="6"/>
      <c r="G334" s="6"/>
      <c r="H334" s="6"/>
      <c r="I334" s="6"/>
      <c r="J334" s="6"/>
      <c r="K334" s="6"/>
      <c r="L334" s="6"/>
      <c r="M334" s="6"/>
      <c r="N334" s="6"/>
      <c r="O334" s="6"/>
      <c r="P334" s="6"/>
      <c r="Q334" s="6"/>
      <c r="R334" s="6"/>
      <c r="S334" s="6"/>
      <c r="T334" s="6"/>
      <c r="U334" s="6"/>
      <c r="V334" s="6"/>
      <c r="W334" s="6"/>
    </row>
    <row r="335" spans="1:23" ht="16" x14ac:dyDescent="0.2">
      <c r="A335" s="6"/>
      <c r="B335" s="7"/>
      <c r="C335" s="7"/>
      <c r="D335" s="7"/>
      <c r="E335" s="7"/>
      <c r="F335" s="6"/>
      <c r="G335" s="6"/>
      <c r="H335" s="6"/>
      <c r="I335" s="6"/>
      <c r="J335" s="6"/>
      <c r="K335" s="6"/>
      <c r="L335" s="6"/>
      <c r="M335" s="6"/>
      <c r="N335" s="6"/>
      <c r="O335" s="6"/>
      <c r="P335" s="6"/>
      <c r="Q335" s="6"/>
      <c r="R335" s="6"/>
      <c r="S335" s="6"/>
      <c r="T335" s="6"/>
      <c r="U335" s="6"/>
      <c r="V335" s="6"/>
      <c r="W335" s="6"/>
    </row>
    <row r="336" spans="1:23" ht="16" x14ac:dyDescent="0.2">
      <c r="A336" s="6"/>
      <c r="B336" s="7"/>
      <c r="C336" s="7"/>
      <c r="D336" s="7"/>
      <c r="E336" s="7"/>
      <c r="F336" s="6"/>
      <c r="G336" s="6"/>
      <c r="H336" s="6"/>
      <c r="I336" s="6"/>
      <c r="J336" s="6"/>
      <c r="K336" s="6"/>
      <c r="L336" s="6"/>
      <c r="M336" s="6"/>
      <c r="N336" s="6"/>
      <c r="O336" s="6"/>
      <c r="P336" s="6"/>
      <c r="Q336" s="6"/>
      <c r="R336" s="6"/>
      <c r="S336" s="6"/>
      <c r="T336" s="6"/>
      <c r="U336" s="6"/>
      <c r="V336" s="6"/>
      <c r="W336" s="6"/>
    </row>
    <row r="337" spans="1:23" ht="16" x14ac:dyDescent="0.2">
      <c r="A337" s="6"/>
      <c r="B337" s="7"/>
      <c r="C337" s="7"/>
      <c r="D337" s="7"/>
      <c r="E337" s="7"/>
      <c r="F337" s="6"/>
      <c r="G337" s="6"/>
      <c r="H337" s="6"/>
      <c r="I337" s="6"/>
      <c r="J337" s="6"/>
      <c r="K337" s="6"/>
      <c r="L337" s="6"/>
      <c r="M337" s="6"/>
      <c r="N337" s="6"/>
      <c r="O337" s="6"/>
      <c r="P337" s="6"/>
      <c r="Q337" s="6"/>
      <c r="R337" s="6"/>
      <c r="S337" s="6"/>
      <c r="T337" s="6"/>
      <c r="U337" s="6"/>
      <c r="V337" s="6"/>
      <c r="W337" s="6"/>
    </row>
    <row r="338" spans="1:23" ht="16" x14ac:dyDescent="0.2">
      <c r="A338" s="6"/>
      <c r="B338" s="7"/>
      <c r="C338" s="7"/>
      <c r="D338" s="7"/>
      <c r="E338" s="7"/>
      <c r="F338" s="6"/>
      <c r="G338" s="6"/>
      <c r="H338" s="6"/>
      <c r="I338" s="6"/>
      <c r="J338" s="6"/>
      <c r="K338" s="6"/>
      <c r="L338" s="6"/>
      <c r="M338" s="6"/>
      <c r="N338" s="6"/>
      <c r="O338" s="6"/>
      <c r="P338" s="6"/>
      <c r="Q338" s="6"/>
      <c r="R338" s="6"/>
      <c r="S338" s="6"/>
      <c r="T338" s="6"/>
      <c r="U338" s="6"/>
      <c r="V338" s="6"/>
      <c r="W338" s="6"/>
    </row>
    <row r="339" spans="1:23" ht="16" x14ac:dyDescent="0.2">
      <c r="A339" s="6"/>
      <c r="B339" s="7"/>
      <c r="C339" s="7"/>
      <c r="D339" s="7"/>
      <c r="E339" s="7"/>
      <c r="F339" s="6"/>
      <c r="G339" s="6"/>
      <c r="H339" s="6"/>
      <c r="I339" s="6"/>
      <c r="J339" s="6"/>
      <c r="K339" s="6"/>
      <c r="L339" s="6"/>
      <c r="M339" s="6"/>
      <c r="N339" s="6"/>
      <c r="O339" s="6"/>
      <c r="P339" s="6"/>
      <c r="Q339" s="6"/>
      <c r="R339" s="6"/>
      <c r="S339" s="6"/>
      <c r="T339" s="6"/>
      <c r="U339" s="6"/>
      <c r="V339" s="6"/>
      <c r="W339" s="6"/>
    </row>
    <row r="340" spans="1:23" ht="16" x14ac:dyDescent="0.2">
      <c r="A340" s="6"/>
      <c r="B340" s="7"/>
      <c r="C340" s="7"/>
      <c r="D340" s="7"/>
      <c r="E340" s="7"/>
      <c r="F340" s="6"/>
      <c r="G340" s="6"/>
      <c r="H340" s="6"/>
      <c r="I340" s="6"/>
      <c r="J340" s="6"/>
      <c r="K340" s="6"/>
      <c r="L340" s="6"/>
      <c r="M340" s="6"/>
      <c r="N340" s="6"/>
      <c r="O340" s="6"/>
      <c r="P340" s="6"/>
      <c r="Q340" s="6"/>
      <c r="R340" s="6"/>
      <c r="S340" s="6"/>
      <c r="T340" s="6"/>
      <c r="U340" s="6"/>
      <c r="V340" s="6"/>
      <c r="W340" s="6"/>
    </row>
    <row r="341" spans="1:23" ht="16" x14ac:dyDescent="0.2">
      <c r="A341" s="6"/>
      <c r="B341" s="7"/>
      <c r="C341" s="7"/>
      <c r="D341" s="7"/>
      <c r="E341" s="7"/>
      <c r="F341" s="6"/>
      <c r="G341" s="6"/>
      <c r="H341" s="6"/>
      <c r="I341" s="6"/>
      <c r="J341" s="6"/>
      <c r="K341" s="6"/>
      <c r="L341" s="6"/>
      <c r="M341" s="6"/>
      <c r="N341" s="6"/>
      <c r="O341" s="6"/>
      <c r="P341" s="6"/>
      <c r="Q341" s="6"/>
      <c r="R341" s="6"/>
      <c r="S341" s="6"/>
      <c r="T341" s="6"/>
      <c r="U341" s="6"/>
      <c r="V341" s="6"/>
      <c r="W341" s="6"/>
    </row>
    <row r="342" spans="1:23" ht="16" x14ac:dyDescent="0.2">
      <c r="A342" s="6"/>
      <c r="B342" s="7"/>
      <c r="C342" s="7"/>
      <c r="D342" s="7"/>
      <c r="E342" s="7"/>
      <c r="F342" s="6"/>
      <c r="G342" s="6"/>
      <c r="H342" s="6"/>
      <c r="I342" s="6"/>
      <c r="J342" s="6"/>
      <c r="K342" s="6"/>
      <c r="L342" s="6"/>
      <c r="M342" s="6"/>
      <c r="N342" s="6"/>
      <c r="O342" s="6"/>
      <c r="P342" s="6"/>
      <c r="Q342" s="6"/>
      <c r="R342" s="6"/>
      <c r="S342" s="6"/>
      <c r="T342" s="6"/>
      <c r="U342" s="6"/>
      <c r="V342" s="6"/>
      <c r="W342" s="6"/>
    </row>
    <row r="343" spans="1:23" ht="16" x14ac:dyDescent="0.2">
      <c r="A343" s="6"/>
      <c r="B343" s="7"/>
      <c r="C343" s="7"/>
      <c r="D343" s="7"/>
      <c r="E343" s="7"/>
      <c r="F343" s="6"/>
      <c r="G343" s="6"/>
      <c r="H343" s="6"/>
      <c r="I343" s="6"/>
      <c r="J343" s="6"/>
      <c r="K343" s="6"/>
      <c r="L343" s="6"/>
      <c r="M343" s="6"/>
      <c r="N343" s="6"/>
      <c r="O343" s="6"/>
      <c r="P343" s="6"/>
      <c r="Q343" s="6"/>
      <c r="R343" s="6"/>
      <c r="S343" s="6"/>
      <c r="T343" s="6"/>
      <c r="U343" s="6"/>
      <c r="V343" s="6"/>
      <c r="W343" s="6"/>
    </row>
    <row r="344" spans="1:23" ht="16" x14ac:dyDescent="0.2">
      <c r="A344" s="6"/>
      <c r="B344" s="7"/>
      <c r="C344" s="7"/>
      <c r="D344" s="7"/>
      <c r="E344" s="7"/>
      <c r="F344" s="6"/>
      <c r="G344" s="6"/>
      <c r="H344" s="6"/>
      <c r="I344" s="6"/>
      <c r="J344" s="6"/>
      <c r="K344" s="6"/>
      <c r="L344" s="6"/>
      <c r="M344" s="6"/>
      <c r="N344" s="6"/>
      <c r="O344" s="6"/>
      <c r="P344" s="6"/>
      <c r="Q344" s="6"/>
      <c r="R344" s="6"/>
      <c r="S344" s="6"/>
      <c r="T344" s="6"/>
      <c r="U344" s="6"/>
      <c r="V344" s="6"/>
      <c r="W344" s="6"/>
    </row>
    <row r="345" spans="1:23" ht="16" x14ac:dyDescent="0.2">
      <c r="A345" s="6"/>
      <c r="B345" s="7"/>
      <c r="C345" s="7"/>
      <c r="D345" s="7"/>
      <c r="E345" s="7"/>
      <c r="F345" s="6"/>
      <c r="G345" s="6"/>
      <c r="H345" s="6"/>
      <c r="I345" s="6"/>
      <c r="J345" s="6"/>
      <c r="K345" s="6"/>
      <c r="L345" s="6"/>
      <c r="M345" s="6"/>
      <c r="N345" s="6"/>
      <c r="O345" s="6"/>
      <c r="P345" s="6"/>
      <c r="Q345" s="6"/>
      <c r="R345" s="6"/>
      <c r="S345" s="6"/>
      <c r="T345" s="6"/>
      <c r="U345" s="6"/>
      <c r="V345" s="6"/>
      <c r="W345" s="6"/>
    </row>
    <row r="346" spans="1:23" ht="16" x14ac:dyDescent="0.2">
      <c r="A346" s="6"/>
      <c r="B346" s="7"/>
      <c r="C346" s="7"/>
      <c r="D346" s="7"/>
      <c r="E346" s="7"/>
      <c r="F346" s="6"/>
      <c r="G346" s="6"/>
      <c r="H346" s="6"/>
      <c r="I346" s="6"/>
      <c r="J346" s="6"/>
      <c r="K346" s="6"/>
      <c r="L346" s="6"/>
      <c r="M346" s="6"/>
      <c r="N346" s="6"/>
      <c r="O346" s="6"/>
      <c r="P346" s="6"/>
      <c r="Q346" s="6"/>
      <c r="R346" s="6"/>
      <c r="S346" s="6"/>
      <c r="T346" s="6"/>
      <c r="U346" s="6"/>
      <c r="V346" s="6"/>
      <c r="W346" s="6"/>
    </row>
    <row r="347" spans="1:23" ht="16" x14ac:dyDescent="0.2">
      <c r="A347" s="6"/>
      <c r="B347" s="7"/>
      <c r="C347" s="7"/>
      <c r="D347" s="7"/>
      <c r="E347" s="7"/>
      <c r="F347" s="6"/>
      <c r="G347" s="6"/>
      <c r="H347" s="6"/>
      <c r="I347" s="6"/>
      <c r="J347" s="6"/>
      <c r="K347" s="6"/>
      <c r="L347" s="6"/>
      <c r="M347" s="6"/>
      <c r="N347" s="6"/>
      <c r="O347" s="6"/>
      <c r="P347" s="6"/>
      <c r="Q347" s="6"/>
      <c r="R347" s="6"/>
      <c r="S347" s="6"/>
      <c r="T347" s="6"/>
      <c r="U347" s="6"/>
      <c r="V347" s="6"/>
      <c r="W347" s="6"/>
    </row>
    <row r="348" spans="1:23" ht="16" x14ac:dyDescent="0.2">
      <c r="A348" s="6"/>
      <c r="B348" s="7"/>
      <c r="C348" s="7"/>
      <c r="D348" s="7"/>
      <c r="E348" s="7"/>
      <c r="F348" s="6"/>
      <c r="G348" s="6"/>
      <c r="H348" s="6"/>
      <c r="I348" s="6"/>
      <c r="J348" s="6"/>
      <c r="K348" s="6"/>
      <c r="L348" s="6"/>
      <c r="M348" s="6"/>
      <c r="N348" s="6"/>
      <c r="O348" s="6"/>
      <c r="P348" s="6"/>
      <c r="Q348" s="6"/>
      <c r="R348" s="6"/>
      <c r="S348" s="6"/>
      <c r="T348" s="6"/>
      <c r="U348" s="6"/>
      <c r="V348" s="6"/>
      <c r="W348" s="6"/>
    </row>
    <row r="349" spans="1:23" ht="16" x14ac:dyDescent="0.2">
      <c r="A349" s="6"/>
      <c r="B349" s="7"/>
      <c r="C349" s="7"/>
      <c r="D349" s="7"/>
      <c r="E349" s="7"/>
      <c r="F349" s="6"/>
      <c r="G349" s="6"/>
      <c r="H349" s="6"/>
      <c r="I349" s="6"/>
      <c r="J349" s="6"/>
      <c r="K349" s="6"/>
      <c r="L349" s="6"/>
      <c r="M349" s="6"/>
      <c r="N349" s="6"/>
      <c r="O349" s="6"/>
      <c r="P349" s="6"/>
      <c r="Q349" s="6"/>
      <c r="R349" s="6"/>
      <c r="S349" s="6"/>
      <c r="T349" s="6"/>
      <c r="U349" s="6"/>
      <c r="V349" s="6"/>
      <c r="W349" s="6"/>
    </row>
    <row r="350" spans="1:23" ht="16" x14ac:dyDescent="0.2">
      <c r="A350" s="6"/>
      <c r="B350" s="7"/>
      <c r="C350" s="7"/>
      <c r="D350" s="7"/>
      <c r="E350" s="7"/>
      <c r="F350" s="6"/>
      <c r="G350" s="6"/>
      <c r="H350" s="6"/>
      <c r="I350" s="6"/>
      <c r="J350" s="6"/>
      <c r="K350" s="6"/>
      <c r="L350" s="6"/>
      <c r="M350" s="6"/>
      <c r="N350" s="6"/>
      <c r="O350" s="6"/>
      <c r="P350" s="6"/>
      <c r="Q350" s="6"/>
      <c r="R350" s="6"/>
      <c r="S350" s="6"/>
      <c r="T350" s="6"/>
      <c r="U350" s="6"/>
      <c r="V350" s="6"/>
      <c r="W350" s="6"/>
    </row>
    <row r="351" spans="1:23" ht="16" x14ac:dyDescent="0.2">
      <c r="A351" s="6"/>
      <c r="B351" s="7"/>
      <c r="C351" s="7"/>
      <c r="D351" s="7"/>
      <c r="E351" s="7"/>
      <c r="F351" s="6"/>
      <c r="G351" s="6"/>
      <c r="H351" s="6"/>
      <c r="I351" s="6"/>
      <c r="J351" s="6"/>
      <c r="K351" s="6"/>
      <c r="L351" s="6"/>
      <c r="M351" s="6"/>
      <c r="N351" s="6"/>
      <c r="O351" s="6"/>
      <c r="P351" s="6"/>
      <c r="Q351" s="6"/>
      <c r="R351" s="6"/>
      <c r="S351" s="6"/>
      <c r="T351" s="6"/>
      <c r="U351" s="6"/>
      <c r="V351" s="6"/>
      <c r="W351" s="6"/>
    </row>
    <row r="352" spans="1:23" ht="16" x14ac:dyDescent="0.2">
      <c r="A352" s="6"/>
      <c r="B352" s="7"/>
      <c r="C352" s="7"/>
      <c r="D352" s="7"/>
      <c r="E352" s="7"/>
      <c r="F352" s="6"/>
      <c r="G352" s="6"/>
      <c r="H352" s="6"/>
      <c r="I352" s="6"/>
      <c r="J352" s="6"/>
      <c r="K352" s="6"/>
      <c r="L352" s="6"/>
      <c r="M352" s="6"/>
      <c r="N352" s="6"/>
      <c r="O352" s="6"/>
      <c r="P352" s="6"/>
      <c r="Q352" s="6"/>
      <c r="R352" s="6"/>
      <c r="S352" s="6"/>
      <c r="T352" s="6"/>
      <c r="U352" s="6"/>
      <c r="V352" s="6"/>
      <c r="W352" s="6"/>
    </row>
    <row r="353" spans="1:23" ht="16" x14ac:dyDescent="0.2">
      <c r="A353" s="6"/>
      <c r="B353" s="7"/>
      <c r="C353" s="7"/>
      <c r="D353" s="7"/>
      <c r="E353" s="7"/>
      <c r="F353" s="6"/>
      <c r="G353" s="6"/>
      <c r="H353" s="6"/>
      <c r="I353" s="6"/>
      <c r="J353" s="6"/>
      <c r="K353" s="6"/>
      <c r="L353" s="6"/>
      <c r="M353" s="6"/>
      <c r="N353" s="6"/>
      <c r="O353" s="6"/>
      <c r="P353" s="6"/>
      <c r="Q353" s="6"/>
      <c r="R353" s="6"/>
      <c r="S353" s="6"/>
      <c r="T353" s="6"/>
      <c r="U353" s="6"/>
      <c r="V353" s="6"/>
      <c r="W353" s="6"/>
    </row>
    <row r="354" spans="1:23" ht="16" x14ac:dyDescent="0.2">
      <c r="A354" s="6"/>
      <c r="B354" s="7"/>
      <c r="C354" s="7"/>
      <c r="D354" s="7"/>
      <c r="E354" s="7"/>
      <c r="F354" s="6"/>
      <c r="G354" s="6"/>
      <c r="H354" s="6"/>
      <c r="I354" s="6"/>
      <c r="J354" s="6"/>
      <c r="K354" s="6"/>
      <c r="L354" s="6"/>
      <c r="M354" s="6"/>
      <c r="N354" s="6"/>
      <c r="O354" s="6"/>
      <c r="P354" s="6"/>
      <c r="Q354" s="6"/>
      <c r="R354" s="6"/>
      <c r="S354" s="6"/>
      <c r="T354" s="6"/>
      <c r="U354" s="6"/>
      <c r="V354" s="6"/>
      <c r="W354" s="6"/>
    </row>
    <row r="355" spans="1:23" ht="16" x14ac:dyDescent="0.2">
      <c r="A355" s="6"/>
      <c r="B355" s="7"/>
      <c r="C355" s="7"/>
      <c r="D355" s="7"/>
      <c r="E355" s="7"/>
      <c r="F355" s="6"/>
      <c r="G355" s="6"/>
      <c r="H355" s="6"/>
      <c r="I355" s="6"/>
      <c r="J355" s="6"/>
      <c r="K355" s="6"/>
      <c r="L355" s="6"/>
      <c r="M355" s="6"/>
      <c r="N355" s="6"/>
      <c r="O355" s="6"/>
      <c r="P355" s="6"/>
      <c r="Q355" s="6"/>
      <c r="R355" s="6"/>
      <c r="S355" s="6"/>
      <c r="T355" s="6"/>
      <c r="U355" s="6"/>
      <c r="V355" s="6"/>
      <c r="W355" s="6"/>
    </row>
    <row r="356" spans="1:23" ht="16" x14ac:dyDescent="0.2">
      <c r="A356" s="6"/>
      <c r="B356" s="7"/>
      <c r="C356" s="7"/>
      <c r="D356" s="7"/>
      <c r="E356" s="7"/>
      <c r="F356" s="6"/>
      <c r="G356" s="6"/>
      <c r="H356" s="6"/>
      <c r="I356" s="6"/>
      <c r="J356" s="6"/>
      <c r="K356" s="6"/>
      <c r="L356" s="6"/>
      <c r="M356" s="6"/>
      <c r="N356" s="6"/>
      <c r="O356" s="6"/>
      <c r="P356" s="6"/>
      <c r="Q356" s="6"/>
      <c r="R356" s="6"/>
      <c r="S356" s="6"/>
      <c r="T356" s="6"/>
      <c r="U356" s="6"/>
      <c r="V356" s="6"/>
      <c r="W356" s="6"/>
    </row>
    <row r="357" spans="1:23" ht="16" x14ac:dyDescent="0.2">
      <c r="A357" s="6"/>
      <c r="B357" s="7"/>
      <c r="C357" s="7"/>
      <c r="D357" s="7"/>
      <c r="E357" s="7"/>
      <c r="F357" s="6"/>
      <c r="G357" s="6"/>
      <c r="H357" s="6"/>
      <c r="I357" s="6"/>
      <c r="J357" s="6"/>
      <c r="K357" s="6"/>
      <c r="L357" s="6"/>
      <c r="M357" s="6"/>
      <c r="N357" s="6"/>
      <c r="O357" s="6"/>
      <c r="P357" s="6"/>
      <c r="Q357" s="6"/>
      <c r="R357" s="6"/>
      <c r="S357" s="6"/>
      <c r="T357" s="6"/>
      <c r="U357" s="6"/>
      <c r="V357" s="6"/>
      <c r="W357" s="6"/>
    </row>
    <row r="358" spans="1:23" ht="16" x14ac:dyDescent="0.2">
      <c r="A358" s="6"/>
      <c r="B358" s="7"/>
      <c r="C358" s="7"/>
      <c r="D358" s="7"/>
      <c r="E358" s="7"/>
      <c r="F358" s="6"/>
      <c r="G358" s="6"/>
      <c r="H358" s="6"/>
      <c r="I358" s="6"/>
      <c r="J358" s="6"/>
      <c r="K358" s="6"/>
      <c r="L358" s="6"/>
      <c r="M358" s="6"/>
      <c r="N358" s="6"/>
      <c r="O358" s="6"/>
      <c r="P358" s="6"/>
      <c r="Q358" s="6"/>
      <c r="R358" s="6"/>
      <c r="S358" s="6"/>
      <c r="T358" s="6"/>
      <c r="U358" s="6"/>
      <c r="V358" s="6"/>
      <c r="W358" s="6"/>
    </row>
    <row r="359" spans="1:23" ht="16" x14ac:dyDescent="0.2">
      <c r="A359" s="6"/>
      <c r="B359" s="7"/>
      <c r="C359" s="7"/>
      <c r="D359" s="7"/>
      <c r="E359" s="7"/>
      <c r="F359" s="6"/>
      <c r="G359" s="6"/>
      <c r="H359" s="6"/>
      <c r="I359" s="6"/>
      <c r="J359" s="6"/>
      <c r="K359" s="6"/>
      <c r="L359" s="6"/>
      <c r="M359" s="6"/>
      <c r="N359" s="6"/>
      <c r="O359" s="6"/>
      <c r="P359" s="6"/>
      <c r="Q359" s="6"/>
      <c r="R359" s="6"/>
      <c r="S359" s="6"/>
      <c r="T359" s="6"/>
      <c r="U359" s="6"/>
      <c r="V359" s="6"/>
      <c r="W359" s="6"/>
    </row>
    <row r="360" spans="1:23" ht="16" x14ac:dyDescent="0.2">
      <c r="A360" s="6"/>
      <c r="B360" s="7"/>
      <c r="C360" s="7"/>
      <c r="D360" s="7"/>
      <c r="E360" s="7"/>
      <c r="F360" s="6"/>
      <c r="G360" s="6"/>
      <c r="H360" s="6"/>
      <c r="I360" s="6"/>
      <c r="J360" s="6"/>
      <c r="K360" s="6"/>
      <c r="L360" s="6"/>
      <c r="M360" s="6"/>
      <c r="N360" s="6"/>
      <c r="O360" s="6"/>
      <c r="P360" s="6"/>
      <c r="Q360" s="6"/>
      <c r="R360" s="6"/>
      <c r="S360" s="6"/>
      <c r="T360" s="6"/>
      <c r="U360" s="6"/>
      <c r="V360" s="6"/>
      <c r="W360" s="6"/>
    </row>
    <row r="361" spans="1:23" ht="16" x14ac:dyDescent="0.2">
      <c r="A361" s="6"/>
      <c r="B361" s="7"/>
      <c r="C361" s="7"/>
      <c r="D361" s="7"/>
      <c r="E361" s="7"/>
      <c r="F361" s="6"/>
      <c r="G361" s="6"/>
      <c r="H361" s="6"/>
      <c r="I361" s="6"/>
      <c r="J361" s="6"/>
      <c r="K361" s="6"/>
      <c r="L361" s="6"/>
      <c r="M361" s="6"/>
      <c r="N361" s="6"/>
      <c r="O361" s="6"/>
      <c r="P361" s="6"/>
      <c r="Q361" s="6"/>
      <c r="R361" s="6"/>
      <c r="S361" s="6"/>
      <c r="T361" s="6"/>
      <c r="U361" s="6"/>
      <c r="V361" s="6"/>
      <c r="W361" s="6"/>
    </row>
    <row r="362" spans="1:23" ht="16" x14ac:dyDescent="0.2">
      <c r="A362" s="6"/>
      <c r="B362" s="7"/>
      <c r="C362" s="7"/>
      <c r="D362" s="7"/>
      <c r="E362" s="7"/>
      <c r="F362" s="6"/>
      <c r="G362" s="6"/>
      <c r="H362" s="6"/>
      <c r="I362" s="6"/>
      <c r="J362" s="6"/>
      <c r="K362" s="6"/>
      <c r="L362" s="6"/>
      <c r="M362" s="6"/>
      <c r="N362" s="6"/>
      <c r="O362" s="6"/>
      <c r="P362" s="6"/>
      <c r="Q362" s="6"/>
      <c r="R362" s="6"/>
      <c r="S362" s="6"/>
      <c r="T362" s="6"/>
      <c r="U362" s="6"/>
      <c r="V362" s="6"/>
      <c r="W362" s="6"/>
    </row>
    <row r="363" spans="1:23" ht="16" x14ac:dyDescent="0.2">
      <c r="A363" s="6"/>
      <c r="B363" s="7"/>
      <c r="C363" s="7"/>
      <c r="D363" s="7"/>
      <c r="E363" s="7"/>
      <c r="F363" s="6"/>
      <c r="G363" s="6"/>
      <c r="H363" s="6"/>
      <c r="I363" s="6"/>
      <c r="J363" s="6"/>
      <c r="K363" s="6"/>
      <c r="L363" s="6"/>
      <c r="M363" s="6"/>
      <c r="N363" s="6"/>
      <c r="O363" s="6"/>
      <c r="P363" s="6"/>
      <c r="Q363" s="6"/>
      <c r="R363" s="6"/>
      <c r="S363" s="6"/>
      <c r="T363" s="6"/>
      <c r="U363" s="6"/>
      <c r="V363" s="6"/>
      <c r="W363" s="6"/>
    </row>
    <row r="364" spans="1:23" ht="16" x14ac:dyDescent="0.2">
      <c r="A364" s="6"/>
      <c r="B364" s="7"/>
      <c r="C364" s="7"/>
      <c r="D364" s="7"/>
      <c r="E364" s="7"/>
      <c r="F364" s="6"/>
      <c r="G364" s="6"/>
      <c r="H364" s="6"/>
      <c r="I364" s="6"/>
      <c r="J364" s="6"/>
      <c r="K364" s="6"/>
      <c r="L364" s="6"/>
      <c r="M364" s="6"/>
      <c r="N364" s="6"/>
      <c r="O364" s="6"/>
      <c r="P364" s="6"/>
      <c r="Q364" s="6"/>
      <c r="R364" s="6"/>
      <c r="S364" s="6"/>
      <c r="T364" s="6"/>
      <c r="U364" s="6"/>
      <c r="V364" s="6"/>
      <c r="W364" s="6"/>
    </row>
    <row r="365" spans="1:23" ht="16" x14ac:dyDescent="0.2">
      <c r="A365" s="6"/>
      <c r="B365" s="7"/>
      <c r="C365" s="7"/>
      <c r="D365" s="7"/>
      <c r="E365" s="7"/>
      <c r="F365" s="6"/>
      <c r="G365" s="6"/>
      <c r="H365" s="6"/>
      <c r="I365" s="6"/>
      <c r="J365" s="6"/>
      <c r="K365" s="6"/>
      <c r="L365" s="6"/>
      <c r="M365" s="6"/>
      <c r="N365" s="6"/>
      <c r="O365" s="6"/>
      <c r="P365" s="6"/>
      <c r="Q365" s="6"/>
      <c r="R365" s="6"/>
      <c r="S365" s="6"/>
      <c r="T365" s="6"/>
      <c r="U365" s="6"/>
      <c r="V365" s="6"/>
      <c r="W365" s="6"/>
    </row>
    <row r="366" spans="1:23" ht="16" x14ac:dyDescent="0.2">
      <c r="A366" s="6"/>
      <c r="B366" s="7"/>
      <c r="C366" s="7"/>
      <c r="D366" s="7"/>
      <c r="E366" s="7"/>
      <c r="F366" s="6"/>
      <c r="G366" s="6"/>
      <c r="H366" s="6"/>
      <c r="I366" s="6"/>
      <c r="J366" s="6"/>
      <c r="K366" s="6"/>
      <c r="L366" s="6"/>
      <c r="M366" s="6"/>
      <c r="N366" s="6"/>
      <c r="O366" s="6"/>
      <c r="P366" s="6"/>
      <c r="Q366" s="6"/>
      <c r="R366" s="6"/>
      <c r="S366" s="6"/>
      <c r="T366" s="6"/>
      <c r="U366" s="6"/>
      <c r="V366" s="6"/>
      <c r="W366" s="6"/>
    </row>
    <row r="367" spans="1:23" ht="16" x14ac:dyDescent="0.2">
      <c r="A367" s="6"/>
      <c r="B367" s="7"/>
      <c r="C367" s="7"/>
      <c r="D367" s="7"/>
      <c r="E367" s="7"/>
      <c r="F367" s="6"/>
      <c r="G367" s="6"/>
      <c r="H367" s="6"/>
      <c r="I367" s="6"/>
      <c r="J367" s="6"/>
      <c r="K367" s="6"/>
      <c r="L367" s="6"/>
      <c r="M367" s="6"/>
      <c r="N367" s="6"/>
      <c r="O367" s="6"/>
      <c r="P367" s="6"/>
      <c r="Q367" s="6"/>
      <c r="R367" s="6"/>
      <c r="S367" s="6"/>
      <c r="T367" s="6"/>
      <c r="U367" s="6"/>
      <c r="V367" s="6"/>
      <c r="W367" s="6"/>
    </row>
    <row r="368" spans="1:23" ht="16" x14ac:dyDescent="0.2">
      <c r="A368" s="6"/>
      <c r="B368" s="7"/>
      <c r="C368" s="7"/>
      <c r="D368" s="7"/>
      <c r="E368" s="7"/>
      <c r="F368" s="6"/>
      <c r="G368" s="6"/>
      <c r="H368" s="6"/>
      <c r="I368" s="6"/>
      <c r="J368" s="6"/>
      <c r="K368" s="6"/>
      <c r="L368" s="6"/>
      <c r="M368" s="6"/>
      <c r="N368" s="6"/>
      <c r="O368" s="6"/>
      <c r="P368" s="6"/>
      <c r="Q368" s="6"/>
      <c r="R368" s="6"/>
      <c r="S368" s="6"/>
      <c r="T368" s="6"/>
      <c r="U368" s="6"/>
      <c r="V368" s="6"/>
      <c r="W368" s="6"/>
    </row>
    <row r="369" spans="1:23" ht="16" x14ac:dyDescent="0.2">
      <c r="A369" s="6"/>
      <c r="B369" s="7"/>
      <c r="C369" s="7"/>
      <c r="D369" s="7"/>
      <c r="E369" s="7"/>
      <c r="F369" s="6"/>
      <c r="G369" s="6"/>
      <c r="H369" s="6"/>
      <c r="I369" s="6"/>
      <c r="J369" s="6"/>
      <c r="K369" s="6"/>
      <c r="L369" s="6"/>
      <c r="M369" s="6"/>
      <c r="N369" s="6"/>
      <c r="O369" s="6"/>
      <c r="P369" s="6"/>
      <c r="Q369" s="6"/>
      <c r="R369" s="6"/>
      <c r="S369" s="6"/>
      <c r="T369" s="6"/>
      <c r="U369" s="6"/>
      <c r="V369" s="6"/>
      <c r="W369" s="6"/>
    </row>
    <row r="370" spans="1:23" ht="16" x14ac:dyDescent="0.2">
      <c r="A370" s="6"/>
      <c r="B370" s="7"/>
      <c r="C370" s="7"/>
      <c r="D370" s="7"/>
      <c r="E370" s="7"/>
      <c r="F370" s="6"/>
      <c r="G370" s="6"/>
      <c r="H370" s="6"/>
      <c r="I370" s="6"/>
      <c r="J370" s="6"/>
      <c r="K370" s="6"/>
      <c r="L370" s="6"/>
      <c r="M370" s="6"/>
      <c r="N370" s="6"/>
      <c r="O370" s="6"/>
      <c r="P370" s="6"/>
      <c r="Q370" s="6"/>
      <c r="R370" s="6"/>
      <c r="S370" s="6"/>
      <c r="T370" s="6"/>
      <c r="U370" s="6"/>
      <c r="V370" s="6"/>
      <c r="W370" s="6"/>
    </row>
    <row r="371" spans="1:23" ht="16" x14ac:dyDescent="0.2">
      <c r="A371" s="6"/>
      <c r="B371" s="7"/>
      <c r="C371" s="7"/>
      <c r="D371" s="7"/>
      <c r="E371" s="7"/>
      <c r="F371" s="6"/>
      <c r="G371" s="6"/>
      <c r="H371" s="6"/>
      <c r="I371" s="6"/>
      <c r="J371" s="6"/>
      <c r="K371" s="6"/>
      <c r="L371" s="6"/>
      <c r="M371" s="6"/>
      <c r="N371" s="6"/>
      <c r="O371" s="6"/>
      <c r="P371" s="6"/>
      <c r="Q371" s="6"/>
      <c r="R371" s="6"/>
      <c r="S371" s="6"/>
      <c r="T371" s="6"/>
      <c r="U371" s="6"/>
      <c r="V371" s="6"/>
      <c r="W371" s="6"/>
    </row>
    <row r="372" spans="1:23" ht="16" x14ac:dyDescent="0.2">
      <c r="A372" s="6"/>
      <c r="B372" s="7"/>
      <c r="C372" s="7"/>
      <c r="D372" s="7"/>
      <c r="E372" s="7"/>
      <c r="F372" s="6"/>
      <c r="G372" s="6"/>
      <c r="H372" s="6"/>
      <c r="I372" s="6"/>
      <c r="J372" s="6"/>
      <c r="K372" s="6"/>
      <c r="L372" s="6"/>
      <c r="M372" s="6"/>
      <c r="N372" s="6"/>
      <c r="O372" s="6"/>
      <c r="P372" s="6"/>
      <c r="Q372" s="6"/>
      <c r="R372" s="6"/>
      <c r="S372" s="6"/>
      <c r="T372" s="6"/>
      <c r="U372" s="6"/>
      <c r="V372" s="6"/>
      <c r="W372" s="6"/>
    </row>
    <row r="373" spans="1:23" ht="16" x14ac:dyDescent="0.2">
      <c r="A373" s="6"/>
      <c r="B373" s="7"/>
      <c r="C373" s="7"/>
      <c r="D373" s="7"/>
      <c r="E373" s="7"/>
      <c r="F373" s="6"/>
      <c r="G373" s="6"/>
      <c r="H373" s="6"/>
      <c r="I373" s="6"/>
      <c r="J373" s="6"/>
      <c r="K373" s="6"/>
      <c r="L373" s="6"/>
      <c r="M373" s="6"/>
      <c r="N373" s="6"/>
      <c r="O373" s="6"/>
      <c r="P373" s="6"/>
      <c r="Q373" s="6"/>
      <c r="R373" s="6"/>
      <c r="S373" s="6"/>
      <c r="T373" s="6"/>
      <c r="U373" s="6"/>
      <c r="V373" s="6"/>
      <c r="W373" s="6"/>
    </row>
    <row r="374" spans="1:23" ht="16" x14ac:dyDescent="0.2">
      <c r="A374" s="6"/>
      <c r="B374" s="7"/>
      <c r="C374" s="7"/>
      <c r="D374" s="7"/>
      <c r="E374" s="7"/>
      <c r="F374" s="6"/>
      <c r="G374" s="6"/>
      <c r="H374" s="6"/>
      <c r="I374" s="6"/>
      <c r="J374" s="6"/>
      <c r="K374" s="6"/>
      <c r="L374" s="6"/>
      <c r="M374" s="6"/>
      <c r="N374" s="6"/>
      <c r="O374" s="6"/>
      <c r="P374" s="6"/>
      <c r="Q374" s="6"/>
      <c r="R374" s="6"/>
      <c r="S374" s="6"/>
      <c r="T374" s="6"/>
      <c r="U374" s="6"/>
      <c r="V374" s="6"/>
      <c r="W374" s="6"/>
    </row>
    <row r="375" spans="1:23" ht="16" x14ac:dyDescent="0.2">
      <c r="A375" s="6"/>
      <c r="B375" s="7"/>
      <c r="C375" s="7"/>
      <c r="D375" s="7"/>
      <c r="E375" s="7"/>
      <c r="F375" s="6"/>
      <c r="G375" s="6"/>
      <c r="H375" s="6"/>
      <c r="I375" s="6"/>
      <c r="J375" s="6"/>
      <c r="K375" s="6"/>
      <c r="L375" s="6"/>
      <c r="M375" s="6"/>
      <c r="N375" s="6"/>
      <c r="O375" s="6"/>
      <c r="P375" s="6"/>
      <c r="Q375" s="6"/>
      <c r="R375" s="6"/>
      <c r="S375" s="6"/>
      <c r="T375" s="6"/>
      <c r="U375" s="6"/>
      <c r="V375" s="6"/>
      <c r="W375" s="6"/>
    </row>
    <row r="376" spans="1:23" ht="16" x14ac:dyDescent="0.2">
      <c r="A376" s="6"/>
      <c r="B376" s="7"/>
      <c r="C376" s="7"/>
      <c r="D376" s="7"/>
      <c r="E376" s="7"/>
      <c r="F376" s="6"/>
      <c r="G376" s="6"/>
      <c r="H376" s="6"/>
      <c r="I376" s="6"/>
      <c r="J376" s="6"/>
      <c r="K376" s="6"/>
      <c r="L376" s="6"/>
      <c r="M376" s="6"/>
      <c r="N376" s="6"/>
      <c r="O376" s="6"/>
      <c r="P376" s="6"/>
      <c r="Q376" s="6"/>
      <c r="R376" s="6"/>
      <c r="S376" s="6"/>
      <c r="T376" s="6"/>
      <c r="U376" s="6"/>
      <c r="V376" s="6"/>
      <c r="W376" s="6"/>
    </row>
    <row r="377" spans="1:23" ht="16" x14ac:dyDescent="0.2">
      <c r="A377" s="6"/>
      <c r="B377" s="7"/>
      <c r="C377" s="7"/>
      <c r="D377" s="7"/>
      <c r="E377" s="7"/>
      <c r="F377" s="6"/>
      <c r="G377" s="6"/>
      <c r="H377" s="6"/>
      <c r="I377" s="6"/>
      <c r="J377" s="6"/>
      <c r="K377" s="6"/>
      <c r="L377" s="6"/>
      <c r="M377" s="6"/>
      <c r="N377" s="6"/>
      <c r="O377" s="6"/>
      <c r="P377" s="6"/>
      <c r="Q377" s="6"/>
      <c r="R377" s="6"/>
      <c r="S377" s="6"/>
      <c r="T377" s="6"/>
      <c r="U377" s="6"/>
      <c r="V377" s="6"/>
      <c r="W377" s="6"/>
    </row>
    <row r="378" spans="1:23" ht="16" x14ac:dyDescent="0.2">
      <c r="A378" s="6"/>
      <c r="B378" s="7"/>
      <c r="C378" s="7"/>
      <c r="D378" s="7"/>
      <c r="E378" s="7"/>
      <c r="F378" s="6"/>
      <c r="G378" s="6"/>
      <c r="H378" s="6"/>
      <c r="I378" s="6"/>
      <c r="J378" s="6"/>
      <c r="K378" s="6"/>
      <c r="L378" s="6"/>
      <c r="M378" s="6"/>
      <c r="N378" s="6"/>
      <c r="O378" s="6"/>
      <c r="P378" s="6"/>
      <c r="Q378" s="6"/>
      <c r="R378" s="6"/>
      <c r="S378" s="6"/>
      <c r="T378" s="6"/>
      <c r="U378" s="6"/>
      <c r="V378" s="6"/>
      <c r="W378" s="6"/>
    </row>
    <row r="379" spans="1:23" ht="16" x14ac:dyDescent="0.2">
      <c r="A379" s="6"/>
      <c r="B379" s="7"/>
      <c r="C379" s="7"/>
      <c r="D379" s="7"/>
      <c r="E379" s="7"/>
      <c r="F379" s="6"/>
      <c r="G379" s="6"/>
      <c r="H379" s="6"/>
      <c r="I379" s="6"/>
      <c r="J379" s="6"/>
      <c r="K379" s="6"/>
      <c r="L379" s="6"/>
      <c r="M379" s="6"/>
      <c r="N379" s="6"/>
      <c r="O379" s="6"/>
      <c r="P379" s="6"/>
      <c r="Q379" s="6"/>
      <c r="R379" s="6"/>
      <c r="S379" s="6"/>
      <c r="T379" s="6"/>
      <c r="U379" s="6"/>
      <c r="V379" s="6"/>
      <c r="W379" s="6"/>
    </row>
    <row r="380" spans="1:23" ht="16" x14ac:dyDescent="0.2">
      <c r="A380" s="6"/>
      <c r="B380" s="7"/>
      <c r="C380" s="7"/>
      <c r="D380" s="7"/>
      <c r="E380" s="7"/>
      <c r="F380" s="6"/>
      <c r="G380" s="6"/>
      <c r="H380" s="6"/>
      <c r="I380" s="6"/>
      <c r="J380" s="6"/>
      <c r="K380" s="6"/>
      <c r="L380" s="6"/>
      <c r="M380" s="6"/>
      <c r="N380" s="6"/>
      <c r="O380" s="6"/>
      <c r="P380" s="6"/>
      <c r="Q380" s="6"/>
      <c r="R380" s="6"/>
      <c r="S380" s="6"/>
      <c r="T380" s="6"/>
      <c r="U380" s="6"/>
      <c r="V380" s="6"/>
      <c r="W380" s="6"/>
    </row>
    <row r="381" spans="1:23" ht="16" x14ac:dyDescent="0.2">
      <c r="A381" s="6"/>
      <c r="B381" s="7"/>
      <c r="C381" s="7"/>
      <c r="D381" s="7"/>
      <c r="E381" s="7"/>
      <c r="F381" s="6"/>
      <c r="G381" s="6"/>
      <c r="H381" s="6"/>
      <c r="I381" s="6"/>
      <c r="J381" s="6"/>
      <c r="K381" s="6"/>
      <c r="L381" s="6"/>
      <c r="M381" s="6"/>
      <c r="N381" s="6"/>
      <c r="O381" s="6"/>
      <c r="P381" s="6"/>
      <c r="Q381" s="6"/>
      <c r="R381" s="6"/>
      <c r="S381" s="6"/>
      <c r="T381" s="6"/>
      <c r="U381" s="6"/>
      <c r="V381" s="6"/>
      <c r="W381" s="6"/>
    </row>
    <row r="382" spans="1:23" ht="16" x14ac:dyDescent="0.2">
      <c r="A382" s="6"/>
      <c r="B382" s="7"/>
      <c r="C382" s="7"/>
      <c r="D382" s="7"/>
      <c r="E382" s="7"/>
      <c r="F382" s="6"/>
      <c r="G382" s="6"/>
      <c r="H382" s="6"/>
      <c r="I382" s="6"/>
      <c r="J382" s="6"/>
      <c r="K382" s="6"/>
      <c r="L382" s="6"/>
      <c r="M382" s="6"/>
      <c r="N382" s="6"/>
      <c r="O382" s="6"/>
      <c r="P382" s="6"/>
      <c r="Q382" s="6"/>
      <c r="R382" s="6"/>
      <c r="S382" s="6"/>
      <c r="T382" s="6"/>
      <c r="U382" s="6"/>
      <c r="V382" s="6"/>
      <c r="W382" s="6"/>
    </row>
    <row r="383" spans="1:23" ht="16" x14ac:dyDescent="0.2">
      <c r="A383" s="6"/>
      <c r="B383" s="7"/>
      <c r="C383" s="7"/>
      <c r="D383" s="7"/>
      <c r="E383" s="7"/>
      <c r="F383" s="6"/>
      <c r="G383" s="6"/>
      <c r="H383" s="6"/>
      <c r="I383" s="6"/>
      <c r="J383" s="6"/>
      <c r="K383" s="6"/>
      <c r="L383" s="6"/>
      <c r="M383" s="6"/>
      <c r="N383" s="6"/>
      <c r="O383" s="6"/>
      <c r="P383" s="6"/>
      <c r="Q383" s="6"/>
      <c r="R383" s="6"/>
      <c r="S383" s="6"/>
      <c r="T383" s="6"/>
      <c r="U383" s="6"/>
      <c r="V383" s="6"/>
      <c r="W383" s="6"/>
    </row>
    <row r="384" spans="1:23" ht="16" x14ac:dyDescent="0.2">
      <c r="A384" s="6"/>
      <c r="B384" s="7"/>
      <c r="C384" s="7"/>
      <c r="D384" s="7"/>
      <c r="E384" s="7"/>
      <c r="F384" s="6"/>
      <c r="G384" s="6"/>
      <c r="H384" s="6"/>
      <c r="I384" s="6"/>
      <c r="J384" s="6"/>
      <c r="K384" s="6"/>
      <c r="L384" s="6"/>
      <c r="M384" s="6"/>
      <c r="N384" s="6"/>
      <c r="O384" s="6"/>
      <c r="P384" s="6"/>
      <c r="Q384" s="6"/>
      <c r="R384" s="6"/>
      <c r="S384" s="6"/>
      <c r="T384" s="6"/>
      <c r="U384" s="6"/>
      <c r="V384" s="6"/>
      <c r="W384" s="6"/>
    </row>
    <row r="385" spans="1:23" ht="16" x14ac:dyDescent="0.2">
      <c r="A385" s="6"/>
      <c r="B385" s="7"/>
      <c r="C385" s="7"/>
      <c r="D385" s="7"/>
      <c r="E385" s="7"/>
      <c r="F385" s="6"/>
      <c r="G385" s="6"/>
      <c r="H385" s="6"/>
      <c r="I385" s="6"/>
      <c r="J385" s="6"/>
      <c r="K385" s="6"/>
      <c r="L385" s="6"/>
      <c r="M385" s="6"/>
      <c r="N385" s="6"/>
      <c r="O385" s="6"/>
      <c r="P385" s="6"/>
      <c r="Q385" s="6"/>
      <c r="R385" s="6"/>
      <c r="S385" s="6"/>
      <c r="T385" s="6"/>
      <c r="U385" s="6"/>
      <c r="V385" s="6"/>
      <c r="W385" s="6"/>
    </row>
    <row r="386" spans="1:23" ht="16" x14ac:dyDescent="0.2">
      <c r="A386" s="6"/>
      <c r="B386" s="7"/>
      <c r="C386" s="7"/>
      <c r="D386" s="7"/>
      <c r="E386" s="7"/>
      <c r="F386" s="6"/>
      <c r="G386" s="6"/>
      <c r="H386" s="6"/>
      <c r="I386" s="6"/>
      <c r="J386" s="6"/>
      <c r="K386" s="6"/>
      <c r="L386" s="6"/>
      <c r="M386" s="6"/>
      <c r="N386" s="6"/>
      <c r="O386" s="6"/>
      <c r="P386" s="6"/>
      <c r="Q386" s="6"/>
      <c r="R386" s="6"/>
      <c r="S386" s="6"/>
      <c r="T386" s="6"/>
      <c r="U386" s="6"/>
      <c r="V386" s="6"/>
      <c r="W386" s="6"/>
    </row>
    <row r="387" spans="1:23" ht="16" x14ac:dyDescent="0.2">
      <c r="A387" s="6"/>
      <c r="B387" s="7"/>
      <c r="C387" s="7"/>
      <c r="D387" s="7"/>
      <c r="E387" s="7"/>
      <c r="F387" s="6"/>
      <c r="G387" s="6"/>
      <c r="H387" s="6"/>
      <c r="I387" s="6"/>
      <c r="J387" s="6"/>
      <c r="K387" s="6"/>
      <c r="L387" s="6"/>
      <c r="M387" s="6"/>
      <c r="N387" s="6"/>
      <c r="O387" s="6"/>
      <c r="P387" s="6"/>
      <c r="Q387" s="6"/>
      <c r="R387" s="6"/>
      <c r="S387" s="6"/>
      <c r="T387" s="6"/>
      <c r="U387" s="6"/>
      <c r="V387" s="6"/>
      <c r="W387" s="6"/>
    </row>
    <row r="388" spans="1:23" ht="16" x14ac:dyDescent="0.2">
      <c r="A388" s="6"/>
      <c r="B388" s="7"/>
      <c r="C388" s="7"/>
      <c r="D388" s="7"/>
      <c r="E388" s="7"/>
      <c r="F388" s="6"/>
      <c r="G388" s="6"/>
      <c r="H388" s="6"/>
      <c r="I388" s="6"/>
      <c r="J388" s="6"/>
      <c r="K388" s="6"/>
      <c r="L388" s="6"/>
      <c r="M388" s="6"/>
      <c r="N388" s="6"/>
      <c r="O388" s="6"/>
      <c r="P388" s="6"/>
      <c r="Q388" s="6"/>
      <c r="R388" s="6"/>
      <c r="S388" s="6"/>
      <c r="T388" s="6"/>
      <c r="U388" s="6"/>
      <c r="V388" s="6"/>
      <c r="W388" s="6"/>
    </row>
    <row r="389" spans="1:23" ht="16" x14ac:dyDescent="0.2">
      <c r="A389" s="6"/>
      <c r="B389" s="7"/>
      <c r="C389" s="7"/>
      <c r="D389" s="7"/>
      <c r="E389" s="7"/>
      <c r="F389" s="6"/>
      <c r="G389" s="6"/>
      <c r="H389" s="6"/>
      <c r="I389" s="6"/>
      <c r="J389" s="6"/>
      <c r="K389" s="6"/>
      <c r="L389" s="6"/>
      <c r="M389" s="6"/>
      <c r="N389" s="6"/>
      <c r="O389" s="6"/>
      <c r="P389" s="6"/>
      <c r="Q389" s="6"/>
      <c r="R389" s="6"/>
      <c r="S389" s="6"/>
      <c r="T389" s="6"/>
      <c r="U389" s="6"/>
      <c r="V389" s="6"/>
      <c r="W389" s="6"/>
    </row>
    <row r="390" spans="1:23" ht="16" x14ac:dyDescent="0.2">
      <c r="A390" s="6"/>
      <c r="B390" s="7"/>
      <c r="C390" s="7"/>
      <c r="D390" s="7"/>
      <c r="E390" s="7"/>
      <c r="F390" s="6"/>
      <c r="G390" s="6"/>
      <c r="H390" s="6"/>
      <c r="I390" s="6"/>
      <c r="J390" s="6"/>
      <c r="K390" s="6"/>
      <c r="L390" s="6"/>
      <c r="M390" s="6"/>
      <c r="N390" s="6"/>
      <c r="O390" s="6"/>
      <c r="P390" s="6"/>
      <c r="Q390" s="6"/>
      <c r="R390" s="6"/>
      <c r="S390" s="6"/>
      <c r="T390" s="6"/>
      <c r="U390" s="6"/>
      <c r="V390" s="6"/>
      <c r="W390" s="6"/>
    </row>
    <row r="391" spans="1:23" ht="16" x14ac:dyDescent="0.2">
      <c r="A391" s="6"/>
      <c r="B391" s="7"/>
      <c r="C391" s="7"/>
      <c r="D391" s="7"/>
      <c r="E391" s="7"/>
      <c r="F391" s="6"/>
      <c r="G391" s="6"/>
      <c r="H391" s="6"/>
      <c r="I391" s="6"/>
      <c r="J391" s="6"/>
      <c r="K391" s="6"/>
      <c r="L391" s="6"/>
      <c r="M391" s="6"/>
      <c r="N391" s="6"/>
      <c r="O391" s="6"/>
      <c r="P391" s="6"/>
      <c r="Q391" s="6"/>
      <c r="R391" s="6"/>
      <c r="S391" s="6"/>
      <c r="T391" s="6"/>
      <c r="U391" s="6"/>
      <c r="V391" s="6"/>
      <c r="W391" s="6"/>
    </row>
    <row r="392" spans="1:23" ht="16" x14ac:dyDescent="0.2">
      <c r="A392" s="6"/>
      <c r="B392" s="7"/>
      <c r="C392" s="7"/>
      <c r="D392" s="7"/>
      <c r="E392" s="7"/>
      <c r="F392" s="6"/>
      <c r="G392" s="6"/>
      <c r="H392" s="6"/>
      <c r="I392" s="6"/>
      <c r="J392" s="6"/>
      <c r="K392" s="6"/>
      <c r="L392" s="6"/>
      <c r="M392" s="6"/>
      <c r="N392" s="6"/>
      <c r="O392" s="6"/>
      <c r="P392" s="6"/>
      <c r="Q392" s="6"/>
      <c r="R392" s="6"/>
      <c r="S392" s="6"/>
      <c r="T392" s="6"/>
      <c r="U392" s="6"/>
      <c r="V392" s="6"/>
      <c r="W392" s="6"/>
    </row>
    <row r="393" spans="1:23" ht="16" x14ac:dyDescent="0.2">
      <c r="A393" s="6"/>
      <c r="B393" s="7"/>
      <c r="C393" s="7"/>
      <c r="D393" s="7"/>
      <c r="E393" s="7"/>
      <c r="F393" s="6"/>
      <c r="G393" s="6"/>
      <c r="H393" s="6"/>
      <c r="I393" s="6"/>
      <c r="J393" s="6"/>
      <c r="K393" s="6"/>
      <c r="L393" s="6"/>
      <c r="M393" s="6"/>
      <c r="N393" s="6"/>
      <c r="O393" s="6"/>
      <c r="P393" s="6"/>
      <c r="Q393" s="6"/>
      <c r="R393" s="6"/>
      <c r="S393" s="6"/>
      <c r="T393" s="6"/>
      <c r="U393" s="6"/>
      <c r="V393" s="6"/>
      <c r="W393" s="6"/>
    </row>
    <row r="394" spans="1:23" ht="16" x14ac:dyDescent="0.2">
      <c r="A394" s="6"/>
      <c r="B394" s="7"/>
      <c r="C394" s="7"/>
      <c r="D394" s="7"/>
      <c r="E394" s="7"/>
      <c r="F394" s="6"/>
      <c r="G394" s="6"/>
      <c r="H394" s="6"/>
      <c r="I394" s="6"/>
      <c r="J394" s="6"/>
      <c r="K394" s="6"/>
      <c r="L394" s="6"/>
      <c r="M394" s="6"/>
      <c r="N394" s="6"/>
      <c r="O394" s="6"/>
      <c r="P394" s="6"/>
      <c r="Q394" s="6"/>
      <c r="R394" s="6"/>
      <c r="S394" s="6"/>
      <c r="T394" s="6"/>
      <c r="U394" s="6"/>
      <c r="V394" s="6"/>
      <c r="W394" s="6"/>
    </row>
    <row r="395" spans="1:23" ht="16" x14ac:dyDescent="0.2">
      <c r="A395" s="6"/>
      <c r="B395" s="7"/>
      <c r="C395" s="7"/>
      <c r="D395" s="7"/>
      <c r="E395" s="7"/>
      <c r="F395" s="6"/>
      <c r="G395" s="6"/>
      <c r="H395" s="6"/>
      <c r="I395" s="6"/>
      <c r="J395" s="6"/>
      <c r="K395" s="6"/>
      <c r="L395" s="6"/>
      <c r="M395" s="6"/>
      <c r="N395" s="6"/>
      <c r="O395" s="6"/>
      <c r="P395" s="6"/>
      <c r="Q395" s="6"/>
      <c r="R395" s="6"/>
      <c r="S395" s="6"/>
      <c r="T395" s="6"/>
      <c r="U395" s="6"/>
      <c r="V395" s="6"/>
      <c r="W395" s="6"/>
    </row>
    <row r="396" spans="1:23" ht="16" x14ac:dyDescent="0.2">
      <c r="A396" s="6"/>
      <c r="B396" s="7"/>
      <c r="C396" s="7"/>
      <c r="D396" s="7"/>
      <c r="E396" s="7"/>
      <c r="F396" s="6"/>
      <c r="G396" s="6"/>
      <c r="H396" s="6"/>
      <c r="I396" s="6"/>
      <c r="J396" s="6"/>
      <c r="K396" s="6"/>
      <c r="L396" s="6"/>
      <c r="M396" s="6"/>
      <c r="N396" s="6"/>
      <c r="O396" s="6"/>
      <c r="P396" s="6"/>
      <c r="Q396" s="6"/>
      <c r="R396" s="6"/>
      <c r="S396" s="6"/>
      <c r="T396" s="6"/>
      <c r="U396" s="6"/>
      <c r="V396" s="6"/>
      <c r="W396" s="6"/>
    </row>
    <row r="397" spans="1:23" ht="16" x14ac:dyDescent="0.2">
      <c r="A397" s="6"/>
      <c r="B397" s="7"/>
      <c r="C397" s="7"/>
      <c r="D397" s="7"/>
      <c r="E397" s="7"/>
      <c r="F397" s="6"/>
      <c r="G397" s="6"/>
      <c r="H397" s="6"/>
      <c r="I397" s="6"/>
      <c r="J397" s="6"/>
      <c r="K397" s="6"/>
      <c r="L397" s="6"/>
      <c r="M397" s="6"/>
      <c r="N397" s="6"/>
      <c r="O397" s="6"/>
      <c r="P397" s="6"/>
      <c r="Q397" s="6"/>
      <c r="R397" s="6"/>
      <c r="S397" s="6"/>
      <c r="T397" s="6"/>
      <c r="U397" s="6"/>
      <c r="V397" s="6"/>
      <c r="W397" s="6"/>
    </row>
    <row r="398" spans="1:23" ht="16" x14ac:dyDescent="0.2">
      <c r="A398" s="6"/>
      <c r="B398" s="7"/>
      <c r="C398" s="7"/>
      <c r="D398" s="7"/>
      <c r="E398" s="7"/>
      <c r="F398" s="6"/>
      <c r="G398" s="6"/>
      <c r="H398" s="6"/>
      <c r="I398" s="6"/>
      <c r="J398" s="6"/>
      <c r="K398" s="6"/>
      <c r="L398" s="6"/>
      <c r="M398" s="6"/>
      <c r="N398" s="6"/>
      <c r="O398" s="6"/>
      <c r="P398" s="6"/>
      <c r="Q398" s="6"/>
      <c r="R398" s="6"/>
      <c r="S398" s="6"/>
      <c r="T398" s="6"/>
      <c r="U398" s="6"/>
      <c r="V398" s="6"/>
      <c r="W398" s="6"/>
    </row>
    <row r="399" spans="1:23" ht="16" x14ac:dyDescent="0.2">
      <c r="A399" s="6"/>
      <c r="B399" s="7"/>
      <c r="C399" s="7"/>
      <c r="D399" s="7"/>
      <c r="E399" s="7"/>
      <c r="F399" s="6"/>
      <c r="G399" s="6"/>
      <c r="H399" s="6"/>
      <c r="I399" s="6"/>
      <c r="J399" s="6"/>
      <c r="K399" s="6"/>
      <c r="L399" s="6"/>
      <c r="M399" s="6"/>
      <c r="N399" s="6"/>
      <c r="O399" s="6"/>
      <c r="P399" s="6"/>
      <c r="Q399" s="6"/>
      <c r="R399" s="6"/>
      <c r="S399" s="6"/>
      <c r="T399" s="6"/>
      <c r="U399" s="6"/>
      <c r="V399" s="6"/>
      <c r="W399" s="6"/>
    </row>
    <row r="400" spans="1:23" ht="16" x14ac:dyDescent="0.2">
      <c r="A400" s="6"/>
      <c r="B400" s="7"/>
      <c r="C400" s="7"/>
      <c r="D400" s="7"/>
      <c r="E400" s="7"/>
      <c r="F400" s="6"/>
      <c r="G400" s="6"/>
      <c r="H400" s="6"/>
      <c r="I400" s="6"/>
      <c r="J400" s="6"/>
      <c r="K400" s="6"/>
      <c r="L400" s="6"/>
      <c r="M400" s="6"/>
      <c r="N400" s="6"/>
      <c r="O400" s="6"/>
      <c r="P400" s="6"/>
      <c r="Q400" s="6"/>
      <c r="R400" s="6"/>
      <c r="S400" s="6"/>
      <c r="T400" s="6"/>
      <c r="U400" s="6"/>
      <c r="V400" s="6"/>
      <c r="W400" s="6"/>
    </row>
    <row r="401" spans="1:23" ht="16" x14ac:dyDescent="0.2">
      <c r="A401" s="6"/>
      <c r="B401" s="7"/>
      <c r="C401" s="7"/>
      <c r="D401" s="7"/>
      <c r="E401" s="7"/>
      <c r="F401" s="6"/>
      <c r="G401" s="6"/>
      <c r="H401" s="6"/>
      <c r="I401" s="6"/>
      <c r="J401" s="6"/>
      <c r="K401" s="6"/>
      <c r="L401" s="6"/>
      <c r="M401" s="6"/>
      <c r="N401" s="6"/>
      <c r="O401" s="6"/>
      <c r="P401" s="6"/>
      <c r="Q401" s="6"/>
      <c r="R401" s="6"/>
      <c r="S401" s="6"/>
      <c r="T401" s="6"/>
      <c r="U401" s="6"/>
      <c r="V401" s="6"/>
      <c r="W401" s="6"/>
    </row>
    <row r="402" spans="1:23" ht="16" x14ac:dyDescent="0.2">
      <c r="A402" s="6"/>
      <c r="B402" s="7"/>
      <c r="C402" s="7"/>
      <c r="D402" s="7"/>
      <c r="E402" s="7"/>
      <c r="F402" s="6"/>
      <c r="G402" s="6"/>
      <c r="H402" s="6"/>
      <c r="I402" s="6"/>
      <c r="J402" s="6"/>
      <c r="K402" s="6"/>
      <c r="L402" s="6"/>
      <c r="M402" s="6"/>
      <c r="N402" s="6"/>
      <c r="O402" s="6"/>
      <c r="P402" s="6"/>
      <c r="Q402" s="6"/>
      <c r="R402" s="6"/>
      <c r="S402" s="6"/>
      <c r="T402" s="6"/>
      <c r="U402" s="6"/>
      <c r="V402" s="6"/>
      <c r="W402" s="6"/>
    </row>
    <row r="403" spans="1:23" ht="16" x14ac:dyDescent="0.2">
      <c r="A403" s="6"/>
      <c r="B403" s="7"/>
      <c r="C403" s="7"/>
      <c r="D403" s="7"/>
      <c r="E403" s="7"/>
      <c r="F403" s="6"/>
      <c r="G403" s="6"/>
      <c r="H403" s="6"/>
      <c r="I403" s="6"/>
      <c r="J403" s="6"/>
      <c r="K403" s="6"/>
      <c r="L403" s="6"/>
      <c r="M403" s="6"/>
      <c r="N403" s="6"/>
      <c r="O403" s="6"/>
      <c r="P403" s="6"/>
      <c r="Q403" s="6"/>
      <c r="R403" s="6"/>
      <c r="S403" s="6"/>
      <c r="T403" s="6"/>
      <c r="U403" s="6"/>
      <c r="V403" s="6"/>
      <c r="W403" s="6"/>
    </row>
    <row r="404" spans="1:23" ht="16" x14ac:dyDescent="0.2">
      <c r="A404" s="6"/>
      <c r="B404" s="7"/>
      <c r="C404" s="7"/>
      <c r="D404" s="7"/>
      <c r="E404" s="7"/>
      <c r="F404" s="6"/>
      <c r="G404" s="6"/>
      <c r="H404" s="6"/>
      <c r="I404" s="6"/>
      <c r="J404" s="6"/>
      <c r="K404" s="6"/>
      <c r="L404" s="6"/>
      <c r="M404" s="6"/>
      <c r="N404" s="6"/>
      <c r="O404" s="6"/>
      <c r="P404" s="6"/>
      <c r="Q404" s="6"/>
      <c r="R404" s="6"/>
      <c r="S404" s="6"/>
      <c r="T404" s="6"/>
      <c r="U404" s="6"/>
      <c r="V404" s="6"/>
      <c r="W404" s="6"/>
    </row>
    <row r="405" spans="1:23" ht="16" x14ac:dyDescent="0.2">
      <c r="A405" s="6"/>
      <c r="B405" s="7"/>
      <c r="C405" s="7"/>
      <c r="D405" s="7"/>
      <c r="E405" s="7"/>
      <c r="F405" s="6"/>
      <c r="G405" s="6"/>
      <c r="H405" s="6"/>
      <c r="I405" s="6"/>
      <c r="J405" s="6"/>
      <c r="K405" s="6"/>
      <c r="L405" s="6"/>
      <c r="M405" s="6"/>
      <c r="N405" s="6"/>
      <c r="O405" s="6"/>
      <c r="P405" s="6"/>
      <c r="Q405" s="6"/>
      <c r="R405" s="6"/>
      <c r="S405" s="6"/>
      <c r="T405" s="6"/>
      <c r="U405" s="6"/>
      <c r="V405" s="6"/>
      <c r="W405" s="6"/>
    </row>
    <row r="406" spans="1:23" ht="16" x14ac:dyDescent="0.2">
      <c r="A406" s="6"/>
      <c r="B406" s="7"/>
      <c r="C406" s="7"/>
      <c r="D406" s="7"/>
      <c r="E406" s="7"/>
      <c r="F406" s="6"/>
      <c r="G406" s="6"/>
      <c r="H406" s="6"/>
      <c r="I406" s="6"/>
      <c r="J406" s="6"/>
      <c r="K406" s="6"/>
      <c r="L406" s="6"/>
      <c r="M406" s="6"/>
      <c r="N406" s="6"/>
      <c r="O406" s="6"/>
      <c r="P406" s="6"/>
      <c r="Q406" s="6"/>
      <c r="R406" s="6"/>
      <c r="S406" s="6"/>
      <c r="T406" s="6"/>
      <c r="U406" s="6"/>
      <c r="V406" s="6"/>
      <c r="W406" s="6"/>
    </row>
    <row r="407" spans="1:23" ht="16" x14ac:dyDescent="0.2">
      <c r="A407" s="6"/>
      <c r="B407" s="7"/>
      <c r="C407" s="7"/>
      <c r="D407" s="7"/>
      <c r="E407" s="7"/>
      <c r="F407" s="6"/>
      <c r="G407" s="6"/>
      <c r="H407" s="6"/>
      <c r="I407" s="6"/>
      <c r="J407" s="6"/>
      <c r="K407" s="6"/>
      <c r="L407" s="6"/>
      <c r="M407" s="6"/>
      <c r="N407" s="6"/>
      <c r="O407" s="6"/>
      <c r="P407" s="6"/>
      <c r="Q407" s="6"/>
      <c r="R407" s="6"/>
      <c r="S407" s="6"/>
      <c r="T407" s="6"/>
      <c r="U407" s="6"/>
      <c r="V407" s="6"/>
      <c r="W407" s="6"/>
    </row>
    <row r="408" spans="1:23" ht="16" x14ac:dyDescent="0.2">
      <c r="A408" s="6"/>
      <c r="B408" s="7"/>
      <c r="C408" s="7"/>
      <c r="D408" s="7"/>
      <c r="E408" s="7"/>
      <c r="F408" s="6"/>
      <c r="G408" s="6"/>
      <c r="H408" s="6"/>
      <c r="I408" s="6"/>
      <c r="J408" s="6"/>
      <c r="K408" s="6"/>
      <c r="L408" s="6"/>
      <c r="M408" s="6"/>
      <c r="N408" s="6"/>
      <c r="O408" s="6"/>
      <c r="P408" s="6"/>
      <c r="Q408" s="6"/>
      <c r="R408" s="6"/>
      <c r="S408" s="6"/>
      <c r="T408" s="6"/>
      <c r="U408" s="6"/>
      <c r="V408" s="6"/>
      <c r="W408" s="6"/>
    </row>
    <row r="409" spans="1:23" ht="16" x14ac:dyDescent="0.2">
      <c r="A409" s="6"/>
      <c r="B409" s="7"/>
      <c r="C409" s="7"/>
      <c r="D409" s="7"/>
      <c r="E409" s="7"/>
      <c r="F409" s="6"/>
      <c r="G409" s="6"/>
      <c r="H409" s="6"/>
      <c r="I409" s="6"/>
      <c r="J409" s="6"/>
      <c r="K409" s="6"/>
      <c r="L409" s="6"/>
      <c r="M409" s="6"/>
      <c r="N409" s="6"/>
      <c r="O409" s="6"/>
      <c r="P409" s="6"/>
      <c r="Q409" s="6"/>
      <c r="R409" s="6"/>
      <c r="S409" s="6"/>
      <c r="T409" s="6"/>
      <c r="U409" s="6"/>
      <c r="V409" s="6"/>
      <c r="W409" s="6"/>
    </row>
    <row r="410" spans="1:23" ht="16" x14ac:dyDescent="0.2">
      <c r="A410" s="6"/>
      <c r="B410" s="7"/>
      <c r="C410" s="7"/>
      <c r="D410" s="7"/>
      <c r="E410" s="7"/>
      <c r="F410" s="6"/>
      <c r="G410" s="6"/>
      <c r="H410" s="6"/>
      <c r="I410" s="6"/>
      <c r="J410" s="6"/>
      <c r="K410" s="6"/>
      <c r="L410" s="6"/>
      <c r="M410" s="6"/>
      <c r="N410" s="6"/>
      <c r="O410" s="6"/>
      <c r="P410" s="6"/>
      <c r="Q410" s="6"/>
      <c r="R410" s="6"/>
      <c r="S410" s="6"/>
      <c r="T410" s="6"/>
      <c r="U410" s="6"/>
      <c r="V410" s="6"/>
      <c r="W410" s="6"/>
    </row>
    <row r="411" spans="1:23" ht="16" x14ac:dyDescent="0.2">
      <c r="A411" s="6"/>
      <c r="B411" s="7"/>
      <c r="C411" s="7"/>
      <c r="D411" s="7"/>
      <c r="E411" s="7"/>
      <c r="F411" s="6"/>
      <c r="G411" s="6"/>
      <c r="H411" s="6"/>
      <c r="I411" s="6"/>
      <c r="J411" s="6"/>
      <c r="K411" s="6"/>
      <c r="L411" s="6"/>
      <c r="M411" s="6"/>
      <c r="N411" s="6"/>
      <c r="O411" s="6"/>
      <c r="P411" s="6"/>
      <c r="Q411" s="6"/>
      <c r="R411" s="6"/>
      <c r="S411" s="6"/>
      <c r="T411" s="6"/>
      <c r="U411" s="6"/>
      <c r="V411" s="6"/>
      <c r="W411" s="6"/>
    </row>
    <row r="412" spans="1:23" ht="16" x14ac:dyDescent="0.2">
      <c r="A412" s="6"/>
      <c r="B412" s="7"/>
      <c r="C412" s="7"/>
      <c r="D412" s="7"/>
      <c r="E412" s="7"/>
      <c r="F412" s="6"/>
      <c r="G412" s="6"/>
      <c r="H412" s="6"/>
      <c r="I412" s="6"/>
      <c r="J412" s="6"/>
      <c r="K412" s="6"/>
      <c r="L412" s="6"/>
      <c r="M412" s="6"/>
      <c r="N412" s="6"/>
      <c r="O412" s="6"/>
      <c r="P412" s="6"/>
      <c r="Q412" s="6"/>
      <c r="R412" s="6"/>
      <c r="S412" s="6"/>
      <c r="T412" s="6"/>
      <c r="U412" s="6"/>
      <c r="V412" s="6"/>
      <c r="W412" s="6"/>
    </row>
    <row r="413" spans="1:23" ht="16" x14ac:dyDescent="0.2">
      <c r="A413" s="6"/>
      <c r="B413" s="7"/>
      <c r="C413" s="7"/>
      <c r="D413" s="7"/>
      <c r="E413" s="7"/>
      <c r="F413" s="6"/>
      <c r="G413" s="6"/>
      <c r="H413" s="6"/>
      <c r="I413" s="6"/>
      <c r="J413" s="6"/>
      <c r="K413" s="6"/>
      <c r="L413" s="6"/>
      <c r="M413" s="6"/>
      <c r="N413" s="6"/>
      <c r="O413" s="6"/>
      <c r="P413" s="6"/>
      <c r="Q413" s="6"/>
      <c r="R413" s="6"/>
      <c r="S413" s="6"/>
      <c r="T413" s="6"/>
      <c r="U413" s="6"/>
      <c r="V413" s="6"/>
      <c r="W413" s="6"/>
    </row>
    <row r="414" spans="1:23" ht="16" x14ac:dyDescent="0.2">
      <c r="A414" s="6"/>
      <c r="B414" s="7"/>
      <c r="C414" s="7"/>
      <c r="D414" s="7"/>
      <c r="E414" s="7"/>
      <c r="F414" s="6"/>
      <c r="G414" s="6"/>
      <c r="H414" s="6"/>
      <c r="I414" s="6"/>
      <c r="J414" s="6"/>
      <c r="K414" s="6"/>
      <c r="L414" s="6"/>
      <c r="M414" s="6"/>
      <c r="N414" s="6"/>
      <c r="O414" s="6"/>
      <c r="P414" s="6"/>
      <c r="Q414" s="6"/>
      <c r="R414" s="6"/>
      <c r="S414" s="6"/>
      <c r="T414" s="6"/>
      <c r="U414" s="6"/>
      <c r="V414" s="6"/>
      <c r="W414" s="6"/>
    </row>
    <row r="415" spans="1:23" ht="16" x14ac:dyDescent="0.2">
      <c r="A415" s="6"/>
      <c r="B415" s="7"/>
      <c r="C415" s="7"/>
      <c r="D415" s="7"/>
      <c r="E415" s="7"/>
      <c r="F415" s="6"/>
      <c r="G415" s="6"/>
      <c r="H415" s="6"/>
      <c r="I415" s="6"/>
      <c r="J415" s="6"/>
      <c r="K415" s="6"/>
      <c r="L415" s="6"/>
      <c r="M415" s="6"/>
      <c r="N415" s="6"/>
      <c r="O415" s="6"/>
      <c r="P415" s="6"/>
      <c r="Q415" s="6"/>
      <c r="R415" s="6"/>
      <c r="S415" s="6"/>
      <c r="T415" s="6"/>
      <c r="U415" s="6"/>
      <c r="V415" s="6"/>
      <c r="W415" s="6"/>
    </row>
    <row r="416" spans="1:23" ht="16" x14ac:dyDescent="0.2">
      <c r="A416" s="6"/>
      <c r="B416" s="7"/>
      <c r="C416" s="7"/>
      <c r="D416" s="7"/>
      <c r="E416" s="7"/>
      <c r="F416" s="6"/>
      <c r="G416" s="6"/>
      <c r="H416" s="6"/>
      <c r="I416" s="6"/>
      <c r="J416" s="6"/>
      <c r="K416" s="6"/>
      <c r="L416" s="6"/>
      <c r="M416" s="6"/>
      <c r="N416" s="6"/>
      <c r="O416" s="6"/>
      <c r="P416" s="6"/>
      <c r="Q416" s="6"/>
      <c r="R416" s="6"/>
      <c r="S416" s="6"/>
      <c r="T416" s="6"/>
      <c r="U416" s="6"/>
      <c r="V416" s="6"/>
      <c r="W416" s="6"/>
    </row>
    <row r="417" spans="1:23" ht="16" x14ac:dyDescent="0.2">
      <c r="A417" s="6"/>
      <c r="B417" s="7"/>
      <c r="C417" s="7"/>
      <c r="D417" s="7"/>
      <c r="E417" s="7"/>
      <c r="F417" s="6"/>
      <c r="G417" s="6"/>
      <c r="H417" s="6"/>
      <c r="I417" s="6"/>
      <c r="J417" s="6"/>
      <c r="K417" s="6"/>
      <c r="L417" s="6"/>
      <c r="M417" s="6"/>
      <c r="N417" s="6"/>
      <c r="O417" s="6"/>
      <c r="P417" s="6"/>
      <c r="Q417" s="6"/>
      <c r="R417" s="6"/>
      <c r="S417" s="6"/>
      <c r="T417" s="6"/>
      <c r="U417" s="6"/>
      <c r="V417" s="6"/>
      <c r="W417" s="6"/>
    </row>
    <row r="418" spans="1:23" ht="16" x14ac:dyDescent="0.2">
      <c r="A418" s="6"/>
      <c r="B418" s="7"/>
      <c r="C418" s="7"/>
      <c r="D418" s="7"/>
      <c r="E418" s="7"/>
      <c r="F418" s="6"/>
      <c r="G418" s="6"/>
      <c r="H418" s="6"/>
      <c r="I418" s="6"/>
      <c r="J418" s="6"/>
      <c r="K418" s="6"/>
      <c r="L418" s="6"/>
      <c r="M418" s="6"/>
      <c r="N418" s="6"/>
      <c r="O418" s="6"/>
      <c r="P418" s="6"/>
      <c r="Q418" s="6"/>
      <c r="R418" s="6"/>
      <c r="S418" s="6"/>
      <c r="T418" s="6"/>
      <c r="U418" s="6"/>
      <c r="V418" s="6"/>
      <c r="W418" s="6"/>
    </row>
    <row r="419" spans="1:23" ht="16" x14ac:dyDescent="0.2">
      <c r="A419" s="6"/>
      <c r="B419" s="7"/>
      <c r="C419" s="7"/>
      <c r="D419" s="7"/>
      <c r="E419" s="7"/>
      <c r="F419" s="6"/>
      <c r="G419" s="6"/>
      <c r="H419" s="6"/>
      <c r="I419" s="6"/>
      <c r="J419" s="6"/>
      <c r="K419" s="6"/>
      <c r="L419" s="6"/>
      <c r="M419" s="6"/>
      <c r="N419" s="6"/>
      <c r="O419" s="6"/>
      <c r="P419" s="6"/>
      <c r="Q419" s="6"/>
      <c r="R419" s="6"/>
      <c r="S419" s="6"/>
      <c r="T419" s="6"/>
      <c r="U419" s="6"/>
      <c r="V419" s="6"/>
      <c r="W419" s="6"/>
    </row>
    <row r="420" spans="1:23" ht="16" x14ac:dyDescent="0.2">
      <c r="A420" s="6"/>
      <c r="B420" s="7"/>
      <c r="C420" s="7"/>
      <c r="D420" s="7"/>
      <c r="E420" s="7"/>
      <c r="F420" s="6"/>
      <c r="G420" s="6"/>
      <c r="H420" s="6"/>
      <c r="I420" s="6"/>
      <c r="J420" s="6"/>
      <c r="K420" s="6"/>
      <c r="L420" s="6"/>
      <c r="M420" s="6"/>
      <c r="N420" s="6"/>
      <c r="O420" s="6"/>
      <c r="P420" s="6"/>
      <c r="Q420" s="6"/>
      <c r="R420" s="6"/>
      <c r="S420" s="6"/>
      <c r="T420" s="6"/>
      <c r="U420" s="6"/>
      <c r="V420" s="6"/>
      <c r="W420" s="6"/>
    </row>
    <row r="421" spans="1:23" ht="16" x14ac:dyDescent="0.2">
      <c r="A421" s="6"/>
      <c r="B421" s="7"/>
      <c r="C421" s="7"/>
      <c r="D421" s="7"/>
      <c r="E421" s="7"/>
      <c r="F421" s="6"/>
      <c r="G421" s="6"/>
      <c r="H421" s="6"/>
      <c r="I421" s="6"/>
      <c r="J421" s="6"/>
      <c r="K421" s="6"/>
      <c r="L421" s="6"/>
      <c r="M421" s="6"/>
      <c r="N421" s="6"/>
      <c r="O421" s="6"/>
      <c r="P421" s="6"/>
      <c r="Q421" s="6"/>
      <c r="R421" s="6"/>
      <c r="S421" s="6"/>
      <c r="T421" s="6"/>
      <c r="U421" s="6"/>
      <c r="V421" s="6"/>
      <c r="W421" s="6"/>
    </row>
    <row r="422" spans="1:23" ht="16" x14ac:dyDescent="0.2">
      <c r="A422" s="6"/>
      <c r="B422" s="7"/>
      <c r="C422" s="7"/>
      <c r="D422" s="7"/>
      <c r="E422" s="7"/>
      <c r="F422" s="6"/>
      <c r="G422" s="6"/>
      <c r="H422" s="6"/>
      <c r="I422" s="6"/>
      <c r="J422" s="6"/>
      <c r="K422" s="6"/>
      <c r="L422" s="6"/>
      <c r="M422" s="6"/>
      <c r="N422" s="6"/>
      <c r="O422" s="6"/>
      <c r="P422" s="6"/>
      <c r="Q422" s="6"/>
      <c r="R422" s="6"/>
      <c r="S422" s="6"/>
      <c r="T422" s="6"/>
      <c r="U422" s="6"/>
      <c r="V422" s="6"/>
      <c r="W422" s="6"/>
    </row>
    <row r="423" spans="1:23" ht="16" x14ac:dyDescent="0.2">
      <c r="A423" s="6"/>
      <c r="B423" s="7"/>
      <c r="C423" s="7"/>
      <c r="D423" s="7"/>
      <c r="E423" s="7"/>
      <c r="F423" s="6"/>
      <c r="G423" s="6"/>
      <c r="H423" s="6"/>
      <c r="I423" s="6"/>
      <c r="J423" s="6"/>
      <c r="K423" s="6"/>
      <c r="L423" s="6"/>
      <c r="M423" s="6"/>
      <c r="N423" s="6"/>
      <c r="O423" s="6"/>
      <c r="P423" s="6"/>
      <c r="Q423" s="6"/>
      <c r="R423" s="6"/>
      <c r="S423" s="6"/>
      <c r="T423" s="6"/>
      <c r="U423" s="6"/>
      <c r="V423" s="6"/>
      <c r="W423" s="6"/>
    </row>
    <row r="424" spans="1:23" ht="16" x14ac:dyDescent="0.2">
      <c r="A424" s="6"/>
      <c r="B424" s="7"/>
      <c r="C424" s="7"/>
      <c r="D424" s="7"/>
      <c r="E424" s="7"/>
      <c r="F424" s="6"/>
      <c r="G424" s="6"/>
      <c r="H424" s="6"/>
      <c r="I424" s="6"/>
      <c r="J424" s="6"/>
      <c r="K424" s="6"/>
      <c r="L424" s="6"/>
      <c r="M424" s="6"/>
      <c r="N424" s="6"/>
      <c r="O424" s="6"/>
      <c r="P424" s="6"/>
      <c r="Q424" s="6"/>
      <c r="R424" s="6"/>
      <c r="S424" s="6"/>
      <c r="T424" s="6"/>
      <c r="U424" s="6"/>
      <c r="V424" s="6"/>
      <c r="W424" s="6"/>
    </row>
    <row r="425" spans="1:23" ht="16" x14ac:dyDescent="0.2">
      <c r="A425" s="6"/>
      <c r="B425" s="7"/>
      <c r="C425" s="7"/>
      <c r="D425" s="7"/>
      <c r="E425" s="7"/>
      <c r="F425" s="6"/>
      <c r="G425" s="6"/>
      <c r="H425" s="6"/>
      <c r="I425" s="6"/>
      <c r="J425" s="6"/>
      <c r="K425" s="6"/>
      <c r="L425" s="6"/>
      <c r="M425" s="6"/>
      <c r="N425" s="6"/>
      <c r="O425" s="6"/>
      <c r="P425" s="6"/>
      <c r="Q425" s="6"/>
      <c r="R425" s="6"/>
      <c r="S425" s="6"/>
      <c r="T425" s="6"/>
      <c r="U425" s="6"/>
      <c r="V425" s="6"/>
      <c r="W425" s="6"/>
    </row>
    <row r="426" spans="1:23" ht="16" x14ac:dyDescent="0.2">
      <c r="A426" s="6"/>
      <c r="B426" s="7"/>
      <c r="C426" s="7"/>
      <c r="D426" s="7"/>
      <c r="E426" s="7"/>
      <c r="F426" s="6"/>
      <c r="G426" s="6"/>
      <c r="H426" s="6"/>
      <c r="I426" s="6"/>
      <c r="J426" s="6"/>
      <c r="K426" s="6"/>
      <c r="L426" s="6"/>
      <c r="M426" s="6"/>
      <c r="N426" s="6"/>
      <c r="O426" s="6"/>
      <c r="P426" s="6"/>
      <c r="Q426" s="6"/>
      <c r="R426" s="6"/>
      <c r="S426" s="6"/>
      <c r="T426" s="6"/>
      <c r="U426" s="6"/>
      <c r="V426" s="6"/>
      <c r="W426" s="6"/>
    </row>
    <row r="427" spans="1:23" ht="16" x14ac:dyDescent="0.2">
      <c r="A427" s="6"/>
      <c r="B427" s="7"/>
      <c r="C427" s="7"/>
      <c r="D427" s="7"/>
      <c r="E427" s="7"/>
      <c r="F427" s="6"/>
      <c r="G427" s="6"/>
      <c r="H427" s="6"/>
      <c r="I427" s="6"/>
      <c r="J427" s="6"/>
      <c r="K427" s="6"/>
      <c r="L427" s="6"/>
      <c r="M427" s="6"/>
      <c r="N427" s="6"/>
      <c r="O427" s="6"/>
      <c r="P427" s="6"/>
      <c r="Q427" s="6"/>
      <c r="R427" s="6"/>
      <c r="S427" s="6"/>
      <c r="T427" s="6"/>
      <c r="U427" s="6"/>
      <c r="V427" s="6"/>
      <c r="W427" s="6"/>
    </row>
    <row r="428" spans="1:23" ht="16" x14ac:dyDescent="0.2">
      <c r="A428" s="6"/>
      <c r="B428" s="7"/>
      <c r="C428" s="7"/>
      <c r="D428" s="7"/>
      <c r="E428" s="7"/>
      <c r="F428" s="6"/>
      <c r="G428" s="6"/>
      <c r="H428" s="6"/>
      <c r="I428" s="6"/>
      <c r="J428" s="6"/>
      <c r="K428" s="6"/>
      <c r="L428" s="6"/>
      <c r="M428" s="6"/>
      <c r="N428" s="6"/>
      <c r="O428" s="6"/>
      <c r="P428" s="6"/>
      <c r="Q428" s="6"/>
      <c r="R428" s="6"/>
      <c r="S428" s="6"/>
      <c r="T428" s="6"/>
      <c r="U428" s="6"/>
      <c r="V428" s="6"/>
      <c r="W428" s="6"/>
    </row>
    <row r="429" spans="1:23" ht="16" x14ac:dyDescent="0.2">
      <c r="A429" s="6"/>
      <c r="B429" s="7"/>
      <c r="C429" s="7"/>
      <c r="D429" s="7"/>
      <c r="E429" s="7"/>
      <c r="F429" s="6"/>
      <c r="G429" s="6"/>
      <c r="H429" s="6"/>
      <c r="I429" s="6"/>
      <c r="J429" s="6"/>
      <c r="K429" s="6"/>
      <c r="L429" s="6"/>
      <c r="M429" s="6"/>
      <c r="N429" s="6"/>
      <c r="O429" s="6"/>
      <c r="P429" s="6"/>
      <c r="Q429" s="6"/>
      <c r="R429" s="6"/>
      <c r="S429" s="6"/>
      <c r="T429" s="6"/>
      <c r="U429" s="6"/>
      <c r="V429" s="6"/>
      <c r="W429" s="6"/>
    </row>
    <row r="430" spans="1:23" ht="16" x14ac:dyDescent="0.2">
      <c r="A430" s="6"/>
      <c r="B430" s="7"/>
      <c r="C430" s="7"/>
      <c r="D430" s="7"/>
      <c r="E430" s="7"/>
      <c r="F430" s="6"/>
      <c r="G430" s="6"/>
      <c r="H430" s="6"/>
      <c r="I430" s="6"/>
      <c r="J430" s="6"/>
      <c r="K430" s="6"/>
      <c r="L430" s="6"/>
      <c r="M430" s="6"/>
      <c r="N430" s="6"/>
      <c r="O430" s="6"/>
      <c r="P430" s="6"/>
      <c r="Q430" s="6"/>
      <c r="R430" s="6"/>
      <c r="S430" s="6"/>
      <c r="T430" s="6"/>
      <c r="U430" s="6"/>
      <c r="V430" s="6"/>
      <c r="W430" s="6"/>
    </row>
    <row r="431" spans="1:23" ht="16" x14ac:dyDescent="0.2">
      <c r="A431" s="6"/>
      <c r="B431" s="7"/>
      <c r="C431" s="7"/>
      <c r="D431" s="7"/>
      <c r="E431" s="7"/>
      <c r="F431" s="6"/>
      <c r="G431" s="6"/>
      <c r="H431" s="6"/>
      <c r="I431" s="6"/>
      <c r="J431" s="6"/>
      <c r="K431" s="6"/>
      <c r="L431" s="6"/>
      <c r="M431" s="6"/>
      <c r="N431" s="6"/>
      <c r="O431" s="6"/>
      <c r="P431" s="6"/>
      <c r="Q431" s="6"/>
      <c r="R431" s="6"/>
      <c r="S431" s="6"/>
      <c r="T431" s="6"/>
      <c r="U431" s="6"/>
      <c r="V431" s="6"/>
      <c r="W431" s="6"/>
    </row>
    <row r="432" spans="1:23" ht="16" x14ac:dyDescent="0.2">
      <c r="A432" s="6"/>
      <c r="B432" s="7"/>
      <c r="C432" s="7"/>
      <c r="D432" s="7"/>
      <c r="E432" s="7"/>
      <c r="F432" s="6"/>
      <c r="G432" s="6"/>
      <c r="H432" s="6"/>
      <c r="I432" s="6"/>
      <c r="J432" s="6"/>
      <c r="K432" s="6"/>
      <c r="L432" s="6"/>
      <c r="M432" s="6"/>
      <c r="N432" s="6"/>
      <c r="O432" s="6"/>
      <c r="P432" s="6"/>
      <c r="Q432" s="6"/>
      <c r="R432" s="6"/>
      <c r="S432" s="6"/>
      <c r="T432" s="6"/>
      <c r="U432" s="6"/>
      <c r="V432" s="6"/>
      <c r="W432" s="6"/>
    </row>
    <row r="433" spans="1:23" ht="16" x14ac:dyDescent="0.2">
      <c r="A433" s="6"/>
      <c r="B433" s="7"/>
      <c r="C433" s="7"/>
      <c r="D433" s="7"/>
      <c r="E433" s="7"/>
      <c r="F433" s="6"/>
      <c r="G433" s="6"/>
      <c r="H433" s="6"/>
      <c r="I433" s="6"/>
      <c r="J433" s="6"/>
      <c r="K433" s="6"/>
      <c r="L433" s="6"/>
      <c r="M433" s="6"/>
      <c r="N433" s="6"/>
      <c r="O433" s="6"/>
      <c r="P433" s="6"/>
      <c r="Q433" s="6"/>
      <c r="R433" s="6"/>
      <c r="S433" s="6"/>
      <c r="T433" s="6"/>
      <c r="U433" s="6"/>
      <c r="V433" s="6"/>
      <c r="W433" s="6"/>
    </row>
    <row r="434" spans="1:23" ht="16" x14ac:dyDescent="0.2">
      <c r="A434" s="6"/>
      <c r="B434" s="7"/>
      <c r="C434" s="7"/>
      <c r="D434" s="7"/>
      <c r="E434" s="7"/>
      <c r="F434" s="6"/>
      <c r="G434" s="6"/>
      <c r="H434" s="6"/>
      <c r="I434" s="6"/>
      <c r="J434" s="6"/>
      <c r="K434" s="6"/>
      <c r="L434" s="6"/>
      <c r="M434" s="6"/>
      <c r="N434" s="6"/>
      <c r="O434" s="6"/>
      <c r="P434" s="6"/>
      <c r="Q434" s="6"/>
      <c r="R434" s="6"/>
      <c r="S434" s="6"/>
      <c r="T434" s="6"/>
      <c r="U434" s="6"/>
      <c r="V434" s="6"/>
      <c r="W434" s="6"/>
    </row>
    <row r="435" spans="1:23" ht="16" x14ac:dyDescent="0.2">
      <c r="A435" s="6"/>
      <c r="B435" s="7"/>
      <c r="C435" s="7"/>
      <c r="D435" s="7"/>
      <c r="E435" s="7"/>
      <c r="F435" s="6"/>
      <c r="G435" s="6"/>
      <c r="H435" s="6"/>
      <c r="I435" s="6"/>
      <c r="J435" s="6"/>
      <c r="K435" s="6"/>
      <c r="L435" s="6"/>
      <c r="M435" s="6"/>
      <c r="N435" s="6"/>
      <c r="O435" s="6"/>
      <c r="P435" s="6"/>
      <c r="Q435" s="6"/>
      <c r="R435" s="6"/>
      <c r="S435" s="6"/>
      <c r="T435" s="6"/>
      <c r="U435" s="6"/>
      <c r="V435" s="6"/>
      <c r="W435" s="6"/>
    </row>
    <row r="436" spans="1:23" ht="16" x14ac:dyDescent="0.2">
      <c r="A436" s="6"/>
      <c r="B436" s="7"/>
      <c r="C436" s="7"/>
      <c r="D436" s="7"/>
      <c r="E436" s="7"/>
      <c r="F436" s="6"/>
      <c r="G436" s="6"/>
      <c r="H436" s="6"/>
      <c r="I436" s="6"/>
      <c r="J436" s="6"/>
      <c r="K436" s="6"/>
      <c r="L436" s="6"/>
      <c r="M436" s="6"/>
      <c r="N436" s="6"/>
      <c r="O436" s="6"/>
      <c r="P436" s="6"/>
      <c r="Q436" s="6"/>
      <c r="R436" s="6"/>
      <c r="S436" s="6"/>
      <c r="T436" s="6"/>
      <c r="U436" s="6"/>
      <c r="V436" s="6"/>
      <c r="W436" s="6"/>
    </row>
    <row r="437" spans="1:23" ht="16" x14ac:dyDescent="0.2">
      <c r="A437" s="6"/>
      <c r="B437" s="7"/>
      <c r="C437" s="7"/>
      <c r="D437" s="7"/>
      <c r="E437" s="7"/>
      <c r="F437" s="6"/>
      <c r="G437" s="6"/>
      <c r="H437" s="6"/>
      <c r="I437" s="6"/>
      <c r="J437" s="6"/>
      <c r="K437" s="6"/>
      <c r="L437" s="6"/>
      <c r="M437" s="6"/>
      <c r="N437" s="6"/>
      <c r="O437" s="6"/>
      <c r="P437" s="6"/>
      <c r="Q437" s="6"/>
      <c r="R437" s="6"/>
      <c r="S437" s="6"/>
      <c r="T437" s="6"/>
      <c r="U437" s="6"/>
      <c r="V437" s="6"/>
      <c r="W437" s="6"/>
    </row>
    <row r="438" spans="1:23" ht="16" x14ac:dyDescent="0.2">
      <c r="A438" s="6"/>
      <c r="B438" s="7"/>
      <c r="C438" s="7"/>
      <c r="D438" s="7"/>
      <c r="E438" s="7"/>
      <c r="F438" s="6"/>
      <c r="G438" s="6"/>
      <c r="H438" s="6"/>
      <c r="I438" s="6"/>
      <c r="J438" s="6"/>
      <c r="K438" s="6"/>
      <c r="L438" s="6"/>
      <c r="M438" s="6"/>
      <c r="N438" s="6"/>
      <c r="O438" s="6"/>
      <c r="P438" s="6"/>
      <c r="Q438" s="6"/>
      <c r="R438" s="6"/>
      <c r="S438" s="6"/>
      <c r="T438" s="6"/>
      <c r="U438" s="6"/>
      <c r="V438" s="6"/>
      <c r="W438" s="6"/>
    </row>
    <row r="439" spans="1:23" ht="16" x14ac:dyDescent="0.2">
      <c r="A439" s="6"/>
      <c r="B439" s="7"/>
      <c r="C439" s="7"/>
      <c r="D439" s="7"/>
      <c r="E439" s="7"/>
      <c r="F439" s="6"/>
      <c r="G439" s="6"/>
      <c r="H439" s="6"/>
      <c r="I439" s="6"/>
      <c r="J439" s="6"/>
      <c r="K439" s="6"/>
      <c r="L439" s="6"/>
      <c r="M439" s="6"/>
      <c r="N439" s="6"/>
      <c r="O439" s="6"/>
      <c r="P439" s="6"/>
      <c r="Q439" s="6"/>
      <c r="R439" s="6"/>
      <c r="S439" s="6"/>
      <c r="T439" s="6"/>
      <c r="U439" s="6"/>
      <c r="V439" s="6"/>
      <c r="W439" s="6"/>
    </row>
    <row r="440" spans="1:23" ht="16" x14ac:dyDescent="0.2">
      <c r="A440" s="6"/>
      <c r="B440" s="7"/>
      <c r="C440" s="7"/>
      <c r="D440" s="7"/>
      <c r="E440" s="7"/>
      <c r="F440" s="6"/>
      <c r="G440" s="6"/>
      <c r="H440" s="6"/>
      <c r="I440" s="6"/>
      <c r="J440" s="6"/>
      <c r="K440" s="6"/>
      <c r="L440" s="6"/>
      <c r="M440" s="6"/>
      <c r="N440" s="6"/>
      <c r="O440" s="6"/>
      <c r="P440" s="6"/>
      <c r="Q440" s="6"/>
      <c r="R440" s="6"/>
      <c r="S440" s="6"/>
      <c r="T440" s="6"/>
      <c r="U440" s="6"/>
      <c r="V440" s="6"/>
      <c r="W440" s="6"/>
    </row>
    <row r="441" spans="1:23" ht="16" x14ac:dyDescent="0.2">
      <c r="A441" s="6"/>
      <c r="B441" s="7"/>
      <c r="C441" s="7"/>
      <c r="D441" s="7"/>
      <c r="E441" s="7"/>
      <c r="F441" s="6"/>
      <c r="G441" s="6"/>
      <c r="H441" s="6"/>
      <c r="I441" s="6"/>
      <c r="J441" s="6"/>
      <c r="K441" s="6"/>
      <c r="L441" s="6"/>
      <c r="M441" s="6"/>
      <c r="N441" s="6"/>
      <c r="O441" s="6"/>
      <c r="P441" s="6"/>
      <c r="Q441" s="6"/>
      <c r="R441" s="6"/>
      <c r="S441" s="6"/>
      <c r="T441" s="6"/>
      <c r="U441" s="6"/>
      <c r="V441" s="6"/>
      <c r="W441" s="6"/>
    </row>
    <row r="442" spans="1:23" ht="16" x14ac:dyDescent="0.2">
      <c r="A442" s="6"/>
      <c r="B442" s="7"/>
      <c r="C442" s="7"/>
      <c r="D442" s="7"/>
      <c r="E442" s="7"/>
      <c r="F442" s="6"/>
      <c r="G442" s="6"/>
      <c r="H442" s="6"/>
      <c r="I442" s="6"/>
      <c r="J442" s="6"/>
      <c r="K442" s="6"/>
      <c r="L442" s="6"/>
      <c r="M442" s="6"/>
      <c r="N442" s="6"/>
      <c r="O442" s="6"/>
      <c r="P442" s="6"/>
      <c r="Q442" s="6"/>
      <c r="R442" s="6"/>
      <c r="S442" s="6"/>
      <c r="T442" s="6"/>
      <c r="U442" s="6"/>
      <c r="V442" s="6"/>
      <c r="W442" s="6"/>
    </row>
    <row r="443" spans="1:23" ht="16" x14ac:dyDescent="0.2">
      <c r="A443" s="6"/>
      <c r="B443" s="7"/>
      <c r="C443" s="7"/>
      <c r="D443" s="7"/>
      <c r="E443" s="7"/>
      <c r="F443" s="6"/>
      <c r="G443" s="6"/>
      <c r="H443" s="6"/>
      <c r="I443" s="6"/>
      <c r="J443" s="6"/>
      <c r="K443" s="6"/>
      <c r="L443" s="6"/>
      <c r="M443" s="6"/>
      <c r="N443" s="6"/>
      <c r="O443" s="6"/>
      <c r="P443" s="6"/>
      <c r="Q443" s="6"/>
      <c r="R443" s="6"/>
      <c r="S443" s="6"/>
      <c r="T443" s="6"/>
      <c r="U443" s="6"/>
      <c r="V443" s="6"/>
      <c r="W443" s="6"/>
    </row>
    <row r="444" spans="1:23" ht="16" x14ac:dyDescent="0.2">
      <c r="A444" s="6"/>
      <c r="B444" s="7"/>
      <c r="C444" s="7"/>
      <c r="D444" s="7"/>
      <c r="E444" s="7"/>
      <c r="F444" s="6"/>
      <c r="G444" s="6"/>
      <c r="H444" s="6"/>
      <c r="I444" s="6"/>
      <c r="J444" s="6"/>
      <c r="K444" s="6"/>
      <c r="L444" s="6"/>
      <c r="M444" s="6"/>
      <c r="N444" s="6"/>
      <c r="O444" s="6"/>
      <c r="P444" s="6"/>
      <c r="Q444" s="6"/>
      <c r="R444" s="6"/>
      <c r="S444" s="6"/>
      <c r="T444" s="6"/>
      <c r="U444" s="6"/>
      <c r="V444" s="6"/>
      <c r="W444" s="6"/>
    </row>
    <row r="445" spans="1:23" ht="16" x14ac:dyDescent="0.2">
      <c r="A445" s="6"/>
      <c r="B445" s="7"/>
      <c r="C445" s="7"/>
      <c r="D445" s="7"/>
      <c r="E445" s="7"/>
      <c r="F445" s="6"/>
      <c r="G445" s="6"/>
      <c r="H445" s="6"/>
      <c r="I445" s="6"/>
      <c r="J445" s="6"/>
      <c r="K445" s="6"/>
      <c r="L445" s="6"/>
      <c r="M445" s="6"/>
      <c r="N445" s="6"/>
      <c r="O445" s="6"/>
      <c r="P445" s="6"/>
      <c r="Q445" s="6"/>
      <c r="R445" s="6"/>
      <c r="S445" s="6"/>
      <c r="T445" s="6"/>
      <c r="U445" s="6"/>
      <c r="V445" s="6"/>
      <c r="W445" s="6"/>
    </row>
    <row r="446" spans="1:23" ht="16" x14ac:dyDescent="0.2">
      <c r="A446" s="6"/>
      <c r="B446" s="7"/>
      <c r="C446" s="7"/>
      <c r="D446" s="7"/>
      <c r="E446" s="7"/>
      <c r="F446" s="6"/>
      <c r="G446" s="6"/>
      <c r="H446" s="6"/>
      <c r="I446" s="6"/>
      <c r="J446" s="6"/>
      <c r="K446" s="6"/>
      <c r="L446" s="6"/>
      <c r="M446" s="6"/>
      <c r="N446" s="6"/>
      <c r="O446" s="6"/>
      <c r="P446" s="6"/>
      <c r="Q446" s="6"/>
      <c r="R446" s="6"/>
      <c r="S446" s="6"/>
      <c r="T446" s="6"/>
      <c r="U446" s="6"/>
      <c r="V446" s="6"/>
      <c r="W446" s="6"/>
    </row>
    <row r="447" spans="1:23" ht="16" x14ac:dyDescent="0.2">
      <c r="A447" s="6"/>
      <c r="B447" s="7"/>
      <c r="C447" s="7"/>
      <c r="D447" s="7"/>
      <c r="E447" s="7"/>
      <c r="F447" s="6"/>
      <c r="G447" s="6"/>
      <c r="H447" s="6"/>
      <c r="I447" s="6"/>
      <c r="J447" s="6"/>
      <c r="K447" s="6"/>
      <c r="L447" s="6"/>
      <c r="M447" s="6"/>
      <c r="N447" s="6"/>
      <c r="O447" s="6"/>
      <c r="P447" s="6"/>
      <c r="Q447" s="6"/>
      <c r="R447" s="6"/>
      <c r="S447" s="6"/>
      <c r="T447" s="6"/>
      <c r="U447" s="6"/>
      <c r="V447" s="6"/>
      <c r="W447" s="6"/>
    </row>
    <row r="448" spans="1:23" ht="16" x14ac:dyDescent="0.2">
      <c r="A448" s="6"/>
      <c r="B448" s="7"/>
      <c r="C448" s="7"/>
      <c r="D448" s="7"/>
      <c r="E448" s="7"/>
      <c r="F448" s="6"/>
      <c r="G448" s="6"/>
      <c r="H448" s="6"/>
      <c r="I448" s="6"/>
      <c r="J448" s="6"/>
      <c r="K448" s="6"/>
      <c r="L448" s="6"/>
      <c r="M448" s="6"/>
      <c r="N448" s="6"/>
      <c r="O448" s="6"/>
      <c r="P448" s="6"/>
      <c r="Q448" s="6"/>
      <c r="R448" s="6"/>
      <c r="S448" s="6"/>
      <c r="T448" s="6"/>
      <c r="U448" s="6"/>
      <c r="V448" s="6"/>
      <c r="W448" s="6"/>
    </row>
    <row r="449" spans="1:23" ht="16" x14ac:dyDescent="0.2">
      <c r="A449" s="6"/>
      <c r="B449" s="7"/>
      <c r="C449" s="7"/>
      <c r="D449" s="7"/>
      <c r="E449" s="7"/>
      <c r="F449" s="6"/>
      <c r="G449" s="6"/>
      <c r="H449" s="6"/>
      <c r="I449" s="6"/>
      <c r="J449" s="6"/>
      <c r="K449" s="6"/>
      <c r="L449" s="6"/>
      <c r="M449" s="6"/>
      <c r="N449" s="6"/>
      <c r="O449" s="6"/>
      <c r="P449" s="6"/>
      <c r="Q449" s="6"/>
      <c r="R449" s="6"/>
      <c r="S449" s="6"/>
      <c r="T449" s="6"/>
      <c r="U449" s="6"/>
      <c r="V449" s="6"/>
      <c r="W449" s="6"/>
    </row>
    <row r="450" spans="1:23" ht="16" x14ac:dyDescent="0.2">
      <c r="A450" s="6"/>
      <c r="B450" s="7"/>
      <c r="C450" s="7"/>
      <c r="D450" s="7"/>
      <c r="E450" s="7"/>
      <c r="F450" s="6"/>
      <c r="G450" s="6"/>
      <c r="H450" s="6"/>
      <c r="I450" s="6"/>
      <c r="J450" s="6"/>
      <c r="K450" s="6"/>
      <c r="L450" s="6"/>
      <c r="M450" s="6"/>
      <c r="N450" s="6"/>
      <c r="O450" s="6"/>
      <c r="P450" s="6"/>
      <c r="Q450" s="6"/>
      <c r="R450" s="6"/>
      <c r="S450" s="6"/>
      <c r="T450" s="6"/>
      <c r="U450" s="6"/>
      <c r="V450" s="6"/>
      <c r="W450" s="6"/>
    </row>
    <row r="451" spans="1:23" ht="16" x14ac:dyDescent="0.2">
      <c r="A451" s="6"/>
      <c r="B451" s="7"/>
      <c r="C451" s="7"/>
      <c r="D451" s="7"/>
      <c r="E451" s="7"/>
      <c r="F451" s="6"/>
      <c r="G451" s="6"/>
      <c r="H451" s="6"/>
      <c r="I451" s="6"/>
      <c r="J451" s="6"/>
      <c r="K451" s="6"/>
      <c r="L451" s="6"/>
      <c r="M451" s="6"/>
      <c r="N451" s="6"/>
      <c r="O451" s="6"/>
      <c r="P451" s="6"/>
      <c r="Q451" s="6"/>
      <c r="R451" s="6"/>
      <c r="S451" s="6"/>
      <c r="T451" s="6"/>
      <c r="U451" s="6"/>
      <c r="V451" s="6"/>
      <c r="W451" s="6"/>
    </row>
    <row r="452" spans="1:23" ht="16" x14ac:dyDescent="0.2">
      <c r="A452" s="6"/>
      <c r="B452" s="7"/>
      <c r="C452" s="7"/>
      <c r="D452" s="7"/>
      <c r="E452" s="7"/>
      <c r="F452" s="6"/>
      <c r="G452" s="6"/>
      <c r="H452" s="6"/>
      <c r="I452" s="6"/>
      <c r="J452" s="6"/>
      <c r="K452" s="6"/>
      <c r="L452" s="6"/>
      <c r="M452" s="6"/>
      <c r="N452" s="6"/>
      <c r="O452" s="6"/>
      <c r="P452" s="6"/>
      <c r="Q452" s="6"/>
      <c r="R452" s="6"/>
      <c r="S452" s="6"/>
      <c r="T452" s="6"/>
      <c r="U452" s="6"/>
      <c r="V452" s="6"/>
      <c r="W452" s="6"/>
    </row>
    <row r="453" spans="1:23" ht="16" x14ac:dyDescent="0.2">
      <c r="A453" s="6"/>
      <c r="B453" s="7"/>
      <c r="C453" s="7"/>
      <c r="D453" s="7"/>
      <c r="E453" s="7"/>
      <c r="F453" s="6"/>
      <c r="G453" s="6"/>
      <c r="H453" s="6"/>
      <c r="I453" s="6"/>
      <c r="J453" s="6"/>
      <c r="K453" s="6"/>
      <c r="L453" s="6"/>
      <c r="M453" s="6"/>
      <c r="N453" s="6"/>
      <c r="O453" s="6"/>
      <c r="P453" s="6"/>
      <c r="Q453" s="6"/>
      <c r="R453" s="6"/>
      <c r="S453" s="6"/>
      <c r="T453" s="6"/>
      <c r="U453" s="6"/>
      <c r="V453" s="6"/>
      <c r="W453" s="6"/>
    </row>
    <row r="454" spans="1:23" ht="16" x14ac:dyDescent="0.2">
      <c r="A454" s="6"/>
      <c r="B454" s="7"/>
      <c r="C454" s="7"/>
      <c r="D454" s="7"/>
      <c r="E454" s="7"/>
      <c r="F454" s="6"/>
      <c r="G454" s="6"/>
      <c r="H454" s="6"/>
      <c r="I454" s="6"/>
      <c r="J454" s="6"/>
      <c r="K454" s="6"/>
      <c r="L454" s="6"/>
      <c r="M454" s="6"/>
      <c r="N454" s="6"/>
      <c r="O454" s="6"/>
      <c r="P454" s="6"/>
      <c r="Q454" s="6"/>
      <c r="R454" s="6"/>
      <c r="S454" s="6"/>
      <c r="T454" s="6"/>
      <c r="U454" s="6"/>
      <c r="V454" s="6"/>
      <c r="W454" s="6"/>
    </row>
    <row r="455" spans="1:23" ht="16" x14ac:dyDescent="0.2">
      <c r="A455" s="6"/>
      <c r="B455" s="7"/>
      <c r="C455" s="7"/>
      <c r="D455" s="7"/>
      <c r="E455" s="7"/>
      <c r="F455" s="6"/>
      <c r="G455" s="6"/>
      <c r="H455" s="6"/>
      <c r="I455" s="6"/>
      <c r="J455" s="6"/>
      <c r="K455" s="6"/>
      <c r="L455" s="6"/>
      <c r="M455" s="6"/>
      <c r="N455" s="6"/>
      <c r="O455" s="6"/>
      <c r="P455" s="6"/>
      <c r="Q455" s="6"/>
      <c r="R455" s="6"/>
      <c r="S455" s="6"/>
      <c r="T455" s="6"/>
      <c r="U455" s="6"/>
      <c r="V455" s="6"/>
      <c r="W455" s="6"/>
    </row>
    <row r="456" spans="1:23" ht="16" x14ac:dyDescent="0.2">
      <c r="A456" s="6"/>
      <c r="B456" s="7"/>
      <c r="C456" s="7"/>
      <c r="D456" s="7"/>
      <c r="E456" s="7"/>
      <c r="F456" s="6"/>
      <c r="G456" s="6"/>
      <c r="H456" s="6"/>
      <c r="I456" s="6"/>
      <c r="J456" s="6"/>
      <c r="K456" s="6"/>
      <c r="L456" s="6"/>
      <c r="M456" s="6"/>
      <c r="N456" s="6"/>
      <c r="O456" s="6"/>
      <c r="P456" s="6"/>
      <c r="Q456" s="6"/>
      <c r="R456" s="6"/>
      <c r="S456" s="6"/>
      <c r="T456" s="6"/>
      <c r="U456" s="6"/>
      <c r="V456" s="6"/>
      <c r="W456" s="6"/>
    </row>
    <row r="457" spans="1:23" ht="16" x14ac:dyDescent="0.2">
      <c r="A457" s="6"/>
      <c r="B457" s="7"/>
      <c r="C457" s="7"/>
      <c r="D457" s="7"/>
      <c r="E457" s="7"/>
      <c r="F457" s="6"/>
      <c r="G457" s="6"/>
      <c r="H457" s="6"/>
      <c r="I457" s="6"/>
      <c r="J457" s="6"/>
      <c r="K457" s="6"/>
      <c r="L457" s="6"/>
      <c r="M457" s="6"/>
      <c r="N457" s="6"/>
      <c r="O457" s="6"/>
      <c r="P457" s="6"/>
      <c r="Q457" s="6"/>
      <c r="R457" s="6"/>
      <c r="S457" s="6"/>
      <c r="T457" s="6"/>
      <c r="U457" s="6"/>
      <c r="V457" s="6"/>
      <c r="W457" s="6"/>
    </row>
    <row r="458" spans="1:23" ht="16" x14ac:dyDescent="0.2">
      <c r="A458" s="6"/>
      <c r="B458" s="7"/>
      <c r="C458" s="7"/>
      <c r="D458" s="7"/>
      <c r="E458" s="7"/>
      <c r="F458" s="6"/>
      <c r="G458" s="6"/>
      <c r="H458" s="6"/>
      <c r="I458" s="6"/>
      <c r="J458" s="6"/>
      <c r="K458" s="6"/>
      <c r="L458" s="6"/>
      <c r="M458" s="6"/>
      <c r="N458" s="6"/>
      <c r="O458" s="6"/>
      <c r="P458" s="6"/>
      <c r="Q458" s="6"/>
      <c r="R458" s="6"/>
      <c r="S458" s="6"/>
      <c r="T458" s="6"/>
      <c r="U458" s="6"/>
      <c r="V458" s="6"/>
      <c r="W458" s="6"/>
    </row>
    <row r="459" spans="1:23" ht="16" x14ac:dyDescent="0.2">
      <c r="A459" s="6"/>
      <c r="B459" s="7"/>
      <c r="C459" s="7"/>
      <c r="D459" s="7"/>
      <c r="E459" s="7"/>
      <c r="F459" s="6"/>
      <c r="G459" s="6"/>
      <c r="H459" s="6"/>
      <c r="I459" s="6"/>
      <c r="J459" s="6"/>
      <c r="K459" s="6"/>
      <c r="L459" s="6"/>
      <c r="M459" s="6"/>
      <c r="N459" s="6"/>
      <c r="O459" s="6"/>
      <c r="P459" s="6"/>
      <c r="Q459" s="6"/>
      <c r="R459" s="6"/>
      <c r="S459" s="6"/>
      <c r="T459" s="6"/>
      <c r="U459" s="6"/>
      <c r="V459" s="6"/>
      <c r="W459" s="6"/>
    </row>
    <row r="460" spans="1:23" ht="16" x14ac:dyDescent="0.2">
      <c r="A460" s="6"/>
      <c r="B460" s="7"/>
      <c r="C460" s="7"/>
      <c r="D460" s="7"/>
      <c r="E460" s="7"/>
      <c r="F460" s="6"/>
      <c r="G460" s="6"/>
      <c r="H460" s="6"/>
      <c r="I460" s="6"/>
      <c r="J460" s="6"/>
      <c r="K460" s="6"/>
      <c r="L460" s="6"/>
      <c r="M460" s="6"/>
      <c r="N460" s="6"/>
      <c r="O460" s="6"/>
      <c r="P460" s="6"/>
      <c r="Q460" s="6"/>
      <c r="R460" s="6"/>
      <c r="S460" s="6"/>
      <c r="T460" s="6"/>
      <c r="U460" s="6"/>
      <c r="V460" s="6"/>
      <c r="W460" s="6"/>
    </row>
    <row r="461" spans="1:23" ht="16" x14ac:dyDescent="0.2">
      <c r="A461" s="6"/>
      <c r="B461" s="7"/>
      <c r="C461" s="7"/>
      <c r="D461" s="7"/>
      <c r="E461" s="7"/>
      <c r="F461" s="6"/>
      <c r="G461" s="6"/>
      <c r="H461" s="6"/>
      <c r="I461" s="6"/>
      <c r="J461" s="6"/>
      <c r="K461" s="6"/>
      <c r="L461" s="6"/>
      <c r="M461" s="6"/>
      <c r="N461" s="6"/>
      <c r="O461" s="6"/>
      <c r="P461" s="6"/>
      <c r="Q461" s="6"/>
      <c r="R461" s="6"/>
      <c r="S461" s="6"/>
      <c r="T461" s="6"/>
      <c r="U461" s="6"/>
      <c r="V461" s="6"/>
      <c r="W461" s="6"/>
    </row>
    <row r="462" spans="1:23" ht="16" x14ac:dyDescent="0.2">
      <c r="A462" s="6"/>
      <c r="B462" s="7"/>
      <c r="C462" s="7"/>
      <c r="D462" s="7"/>
      <c r="E462" s="7"/>
      <c r="F462" s="6"/>
      <c r="G462" s="6"/>
      <c r="H462" s="6"/>
      <c r="I462" s="6"/>
      <c r="J462" s="6"/>
      <c r="K462" s="6"/>
      <c r="L462" s="6"/>
      <c r="M462" s="6"/>
      <c r="N462" s="6"/>
      <c r="O462" s="6"/>
      <c r="P462" s="6"/>
      <c r="Q462" s="6"/>
      <c r="R462" s="6"/>
      <c r="S462" s="6"/>
      <c r="T462" s="6"/>
      <c r="U462" s="6"/>
      <c r="V462" s="6"/>
      <c r="W462" s="6"/>
    </row>
    <row r="463" spans="1:23" ht="16" x14ac:dyDescent="0.2">
      <c r="A463" s="6"/>
      <c r="B463" s="7"/>
      <c r="C463" s="7"/>
      <c r="D463" s="7"/>
      <c r="E463" s="7"/>
      <c r="F463" s="6"/>
      <c r="G463" s="6"/>
      <c r="H463" s="6"/>
      <c r="I463" s="6"/>
      <c r="J463" s="6"/>
      <c r="K463" s="6"/>
      <c r="L463" s="6"/>
      <c r="M463" s="6"/>
      <c r="N463" s="6"/>
      <c r="O463" s="6"/>
      <c r="P463" s="6"/>
      <c r="Q463" s="6"/>
      <c r="R463" s="6"/>
      <c r="S463" s="6"/>
      <c r="T463" s="6"/>
      <c r="U463" s="6"/>
      <c r="V463" s="6"/>
      <c r="W463" s="6"/>
    </row>
    <row r="464" spans="1:23" ht="16" x14ac:dyDescent="0.2">
      <c r="A464" s="6"/>
      <c r="B464" s="7"/>
      <c r="C464" s="7"/>
      <c r="D464" s="7"/>
      <c r="E464" s="7"/>
      <c r="F464" s="6"/>
      <c r="G464" s="6"/>
      <c r="H464" s="6"/>
      <c r="I464" s="6"/>
      <c r="J464" s="6"/>
      <c r="K464" s="6"/>
      <c r="L464" s="6"/>
      <c r="M464" s="6"/>
      <c r="N464" s="6"/>
      <c r="O464" s="6"/>
      <c r="P464" s="6"/>
      <c r="Q464" s="6"/>
      <c r="R464" s="6"/>
      <c r="S464" s="6"/>
      <c r="T464" s="6"/>
      <c r="U464" s="6"/>
      <c r="V464" s="6"/>
      <c r="W464" s="6"/>
    </row>
    <row r="465" spans="1:23" ht="16" x14ac:dyDescent="0.2">
      <c r="A465" s="6"/>
      <c r="B465" s="7"/>
      <c r="C465" s="7"/>
      <c r="D465" s="7"/>
      <c r="E465" s="7"/>
      <c r="F465" s="6"/>
      <c r="G465" s="6"/>
      <c r="H465" s="6"/>
      <c r="I465" s="6"/>
      <c r="J465" s="6"/>
      <c r="K465" s="6"/>
      <c r="L465" s="6"/>
      <c r="M465" s="6"/>
      <c r="N465" s="6"/>
      <c r="O465" s="6"/>
      <c r="P465" s="6"/>
      <c r="Q465" s="6"/>
      <c r="R465" s="6"/>
      <c r="S465" s="6"/>
      <c r="T465" s="6"/>
      <c r="U465" s="6"/>
      <c r="V465" s="6"/>
      <c r="W465" s="6"/>
    </row>
    <row r="466" spans="1:23" ht="16" x14ac:dyDescent="0.2">
      <c r="A466" s="6"/>
      <c r="B466" s="7"/>
      <c r="C466" s="7"/>
      <c r="D466" s="7"/>
      <c r="E466" s="7"/>
      <c r="F466" s="6"/>
      <c r="G466" s="6"/>
      <c r="H466" s="6"/>
      <c r="I466" s="6"/>
      <c r="J466" s="6"/>
      <c r="K466" s="6"/>
      <c r="L466" s="6"/>
      <c r="M466" s="6"/>
      <c r="N466" s="6"/>
      <c r="O466" s="6"/>
      <c r="P466" s="6"/>
      <c r="Q466" s="6"/>
      <c r="R466" s="6"/>
      <c r="S466" s="6"/>
      <c r="T466" s="6"/>
      <c r="U466" s="6"/>
      <c r="V466" s="6"/>
      <c r="W466" s="6"/>
    </row>
    <row r="467" spans="1:23" ht="16" x14ac:dyDescent="0.2">
      <c r="A467" s="6"/>
      <c r="B467" s="7"/>
      <c r="C467" s="7"/>
      <c r="D467" s="7"/>
      <c r="E467" s="7"/>
      <c r="F467" s="6"/>
      <c r="G467" s="6"/>
      <c r="H467" s="6"/>
      <c r="I467" s="6"/>
      <c r="J467" s="6"/>
      <c r="K467" s="6"/>
      <c r="L467" s="6"/>
      <c r="M467" s="6"/>
      <c r="N467" s="6"/>
      <c r="O467" s="6"/>
      <c r="P467" s="6"/>
      <c r="Q467" s="6"/>
      <c r="R467" s="6"/>
      <c r="S467" s="6"/>
      <c r="T467" s="6"/>
      <c r="U467" s="6"/>
      <c r="V467" s="6"/>
      <c r="W467" s="6"/>
    </row>
    <row r="468" spans="1:23" ht="16" x14ac:dyDescent="0.2">
      <c r="A468" s="6"/>
      <c r="B468" s="7"/>
      <c r="C468" s="7"/>
      <c r="D468" s="7"/>
      <c r="E468" s="7"/>
      <c r="F468" s="6"/>
      <c r="G468" s="6"/>
      <c r="H468" s="6"/>
      <c r="I468" s="6"/>
      <c r="J468" s="6"/>
      <c r="K468" s="6"/>
      <c r="L468" s="6"/>
      <c r="M468" s="6"/>
      <c r="N468" s="6"/>
      <c r="O468" s="6"/>
      <c r="P468" s="6"/>
      <c r="Q468" s="6"/>
      <c r="R468" s="6"/>
      <c r="S468" s="6"/>
      <c r="T468" s="6"/>
      <c r="U468" s="6"/>
      <c r="V468" s="6"/>
      <c r="W468" s="6"/>
    </row>
    <row r="469" spans="1:23" ht="16" x14ac:dyDescent="0.2">
      <c r="A469" s="6"/>
      <c r="B469" s="7"/>
      <c r="C469" s="7"/>
      <c r="D469" s="7"/>
      <c r="E469" s="7"/>
      <c r="F469" s="6"/>
      <c r="G469" s="6"/>
      <c r="H469" s="6"/>
      <c r="I469" s="6"/>
      <c r="J469" s="6"/>
      <c r="K469" s="6"/>
      <c r="L469" s="6"/>
      <c r="M469" s="6"/>
      <c r="N469" s="6"/>
      <c r="O469" s="6"/>
      <c r="P469" s="6"/>
      <c r="Q469" s="6"/>
      <c r="R469" s="6"/>
      <c r="S469" s="6"/>
      <c r="T469" s="6"/>
      <c r="U469" s="6"/>
      <c r="V469" s="6"/>
      <c r="W469" s="6"/>
    </row>
    <row r="470" spans="1:23" ht="16" x14ac:dyDescent="0.2">
      <c r="A470" s="6"/>
      <c r="B470" s="7"/>
      <c r="C470" s="7"/>
      <c r="D470" s="7"/>
      <c r="E470" s="7"/>
      <c r="F470" s="6"/>
      <c r="G470" s="6"/>
      <c r="H470" s="6"/>
      <c r="I470" s="6"/>
      <c r="J470" s="6"/>
      <c r="K470" s="6"/>
      <c r="L470" s="6"/>
      <c r="M470" s="6"/>
      <c r="N470" s="6"/>
      <c r="O470" s="6"/>
      <c r="P470" s="6"/>
      <c r="Q470" s="6"/>
      <c r="R470" s="6"/>
      <c r="S470" s="6"/>
      <c r="T470" s="6"/>
      <c r="U470" s="6"/>
      <c r="V470" s="6"/>
      <c r="W470" s="6"/>
    </row>
    <row r="471" spans="1:23" ht="16" x14ac:dyDescent="0.2">
      <c r="A471" s="6"/>
      <c r="B471" s="7"/>
      <c r="C471" s="7"/>
      <c r="D471" s="7"/>
      <c r="E471" s="7"/>
      <c r="F471" s="6"/>
      <c r="G471" s="6"/>
      <c r="H471" s="6"/>
      <c r="I471" s="6"/>
      <c r="J471" s="6"/>
      <c r="K471" s="6"/>
      <c r="L471" s="6"/>
      <c r="M471" s="6"/>
      <c r="N471" s="6"/>
      <c r="O471" s="6"/>
      <c r="P471" s="6"/>
      <c r="Q471" s="6"/>
      <c r="R471" s="6"/>
      <c r="S471" s="6"/>
      <c r="T471" s="6"/>
      <c r="U471" s="6"/>
      <c r="V471" s="6"/>
      <c r="W471" s="6"/>
    </row>
    <row r="472" spans="1:23" ht="16" x14ac:dyDescent="0.2">
      <c r="A472" s="6"/>
      <c r="B472" s="7"/>
      <c r="C472" s="7"/>
      <c r="D472" s="7"/>
      <c r="E472" s="7"/>
      <c r="F472" s="6"/>
      <c r="G472" s="6"/>
      <c r="H472" s="6"/>
      <c r="I472" s="6"/>
      <c r="J472" s="6"/>
      <c r="K472" s="6"/>
      <c r="L472" s="6"/>
      <c r="M472" s="6"/>
      <c r="N472" s="6"/>
      <c r="O472" s="6"/>
      <c r="P472" s="6"/>
      <c r="Q472" s="6"/>
      <c r="R472" s="6"/>
      <c r="S472" s="6"/>
      <c r="T472" s="6"/>
      <c r="U472" s="6"/>
      <c r="V472" s="6"/>
      <c r="W472" s="6"/>
    </row>
    <row r="473" spans="1:23" ht="16" x14ac:dyDescent="0.2">
      <c r="A473" s="6"/>
      <c r="B473" s="7"/>
      <c r="C473" s="7"/>
      <c r="D473" s="7"/>
      <c r="E473" s="7"/>
      <c r="F473" s="6"/>
      <c r="G473" s="6"/>
      <c r="H473" s="6"/>
      <c r="I473" s="6"/>
      <c r="J473" s="6"/>
      <c r="K473" s="6"/>
      <c r="L473" s="6"/>
      <c r="M473" s="6"/>
      <c r="N473" s="6"/>
      <c r="O473" s="6"/>
      <c r="P473" s="6"/>
      <c r="Q473" s="6"/>
      <c r="R473" s="6"/>
      <c r="S473" s="6"/>
      <c r="T473" s="6"/>
      <c r="U473" s="6"/>
      <c r="V473" s="6"/>
      <c r="W473" s="6"/>
    </row>
    <row r="474" spans="1:23" ht="16" x14ac:dyDescent="0.2">
      <c r="A474" s="6"/>
      <c r="B474" s="7"/>
      <c r="C474" s="7"/>
      <c r="D474" s="7"/>
      <c r="E474" s="7"/>
      <c r="F474" s="6"/>
      <c r="G474" s="6"/>
      <c r="H474" s="6"/>
      <c r="I474" s="6"/>
      <c r="J474" s="6"/>
      <c r="K474" s="6"/>
      <c r="L474" s="6"/>
      <c r="M474" s="6"/>
      <c r="N474" s="6"/>
      <c r="O474" s="6"/>
      <c r="P474" s="6"/>
      <c r="Q474" s="6"/>
      <c r="R474" s="6"/>
      <c r="S474" s="6"/>
      <c r="T474" s="6"/>
      <c r="U474" s="6"/>
      <c r="V474" s="6"/>
      <c r="W474" s="6"/>
    </row>
    <row r="475" spans="1:23" ht="16" x14ac:dyDescent="0.2">
      <c r="A475" s="6"/>
      <c r="B475" s="7"/>
      <c r="C475" s="7"/>
      <c r="D475" s="7"/>
      <c r="E475" s="7"/>
      <c r="F475" s="6"/>
      <c r="G475" s="6"/>
      <c r="H475" s="6"/>
      <c r="I475" s="6"/>
      <c r="J475" s="6"/>
      <c r="K475" s="6"/>
      <c r="L475" s="6"/>
      <c r="M475" s="6"/>
      <c r="N475" s="6"/>
      <c r="O475" s="6"/>
      <c r="P475" s="6"/>
      <c r="Q475" s="6"/>
      <c r="R475" s="6"/>
      <c r="S475" s="6"/>
      <c r="T475" s="6"/>
      <c r="U475" s="6"/>
      <c r="V475" s="6"/>
      <c r="W475" s="6"/>
    </row>
    <row r="476" spans="1:23" ht="16" x14ac:dyDescent="0.2">
      <c r="A476" s="6"/>
      <c r="B476" s="7"/>
      <c r="C476" s="7"/>
      <c r="D476" s="7"/>
      <c r="E476" s="7"/>
      <c r="F476" s="6"/>
      <c r="G476" s="6"/>
      <c r="H476" s="6"/>
      <c r="I476" s="6"/>
      <c r="J476" s="6"/>
      <c r="K476" s="6"/>
      <c r="L476" s="6"/>
      <c r="M476" s="6"/>
      <c r="N476" s="6"/>
      <c r="O476" s="6"/>
      <c r="P476" s="6"/>
      <c r="Q476" s="6"/>
      <c r="R476" s="6"/>
      <c r="S476" s="6"/>
      <c r="T476" s="6"/>
      <c r="U476" s="6"/>
      <c r="V476" s="6"/>
      <c r="W476" s="6"/>
    </row>
    <row r="477" spans="1:23" ht="16" x14ac:dyDescent="0.2">
      <c r="A477" s="6"/>
      <c r="B477" s="7"/>
      <c r="C477" s="7"/>
      <c r="D477" s="7"/>
      <c r="E477" s="7"/>
      <c r="F477" s="6"/>
      <c r="G477" s="6"/>
      <c r="H477" s="6"/>
      <c r="I477" s="6"/>
      <c r="J477" s="6"/>
      <c r="K477" s="6"/>
      <c r="L477" s="6"/>
      <c r="M477" s="6"/>
      <c r="N477" s="6"/>
      <c r="O477" s="6"/>
      <c r="P477" s="6"/>
      <c r="Q477" s="6"/>
      <c r="R477" s="6"/>
      <c r="S477" s="6"/>
      <c r="T477" s="6"/>
      <c r="U477" s="6"/>
      <c r="V477" s="6"/>
      <c r="W477" s="6"/>
    </row>
    <row r="478" spans="1:23" ht="16" x14ac:dyDescent="0.2">
      <c r="A478" s="6"/>
      <c r="B478" s="7"/>
      <c r="C478" s="7"/>
      <c r="D478" s="7"/>
      <c r="E478" s="7"/>
      <c r="F478" s="6"/>
      <c r="G478" s="6"/>
      <c r="H478" s="6"/>
      <c r="I478" s="6"/>
      <c r="J478" s="6"/>
      <c r="K478" s="6"/>
      <c r="L478" s="6"/>
      <c r="M478" s="6"/>
      <c r="N478" s="6"/>
      <c r="O478" s="6"/>
      <c r="P478" s="6"/>
      <c r="Q478" s="6"/>
      <c r="R478" s="6"/>
      <c r="S478" s="6"/>
      <c r="T478" s="6"/>
      <c r="U478" s="6"/>
      <c r="V478" s="6"/>
      <c r="W478" s="6"/>
    </row>
    <row r="479" spans="1:23" ht="16" x14ac:dyDescent="0.2">
      <c r="A479" s="6"/>
      <c r="B479" s="7"/>
      <c r="C479" s="7"/>
      <c r="D479" s="7"/>
      <c r="E479" s="7"/>
      <c r="F479" s="6"/>
      <c r="G479" s="6"/>
      <c r="H479" s="6"/>
      <c r="I479" s="6"/>
      <c r="J479" s="6"/>
      <c r="K479" s="6"/>
      <c r="L479" s="6"/>
      <c r="M479" s="6"/>
      <c r="N479" s="6"/>
      <c r="O479" s="6"/>
      <c r="P479" s="6"/>
      <c r="Q479" s="6"/>
      <c r="R479" s="6"/>
      <c r="S479" s="6"/>
      <c r="T479" s="6"/>
      <c r="U479" s="6"/>
      <c r="V479" s="6"/>
      <c r="W479" s="6"/>
    </row>
    <row r="480" spans="1:23" ht="16" x14ac:dyDescent="0.2">
      <c r="A480" s="6"/>
      <c r="B480" s="7"/>
      <c r="C480" s="7"/>
      <c r="D480" s="7"/>
      <c r="E480" s="7"/>
      <c r="F480" s="6"/>
      <c r="G480" s="6"/>
      <c r="H480" s="6"/>
      <c r="I480" s="6"/>
      <c r="J480" s="6"/>
      <c r="K480" s="6"/>
      <c r="L480" s="6"/>
      <c r="M480" s="6"/>
      <c r="N480" s="6"/>
      <c r="O480" s="6"/>
      <c r="P480" s="6"/>
      <c r="Q480" s="6"/>
      <c r="R480" s="6"/>
      <c r="S480" s="6"/>
      <c r="T480" s="6"/>
      <c r="U480" s="6"/>
      <c r="V480" s="6"/>
      <c r="W480" s="6"/>
    </row>
    <row r="481" spans="1:23" ht="16" x14ac:dyDescent="0.2">
      <c r="A481" s="6"/>
      <c r="B481" s="7"/>
      <c r="C481" s="7"/>
      <c r="D481" s="7"/>
      <c r="E481" s="7"/>
      <c r="F481" s="6"/>
      <c r="G481" s="6"/>
      <c r="H481" s="6"/>
      <c r="I481" s="6"/>
      <c r="J481" s="6"/>
      <c r="K481" s="6"/>
      <c r="L481" s="6"/>
      <c r="M481" s="6"/>
      <c r="N481" s="6"/>
      <c r="O481" s="6"/>
      <c r="P481" s="6"/>
      <c r="Q481" s="6"/>
      <c r="R481" s="6"/>
      <c r="S481" s="6"/>
      <c r="T481" s="6"/>
      <c r="U481" s="6"/>
      <c r="V481" s="6"/>
      <c r="W481" s="6"/>
    </row>
    <row r="482" spans="1:23" ht="16" x14ac:dyDescent="0.2">
      <c r="A482" s="6"/>
      <c r="B482" s="7"/>
      <c r="C482" s="7"/>
      <c r="D482" s="7"/>
      <c r="E482" s="7"/>
      <c r="F482" s="6"/>
      <c r="G482" s="6"/>
      <c r="H482" s="6"/>
      <c r="I482" s="6"/>
      <c r="J482" s="6"/>
      <c r="K482" s="6"/>
      <c r="L482" s="6"/>
      <c r="M482" s="6"/>
      <c r="N482" s="6"/>
      <c r="O482" s="6"/>
      <c r="P482" s="6"/>
      <c r="Q482" s="6"/>
      <c r="R482" s="6"/>
      <c r="S482" s="6"/>
      <c r="T482" s="6"/>
      <c r="U482" s="6"/>
      <c r="V482" s="6"/>
      <c r="W482" s="6"/>
    </row>
    <row r="483" spans="1:23" ht="16" x14ac:dyDescent="0.2">
      <c r="A483" s="6"/>
      <c r="B483" s="7"/>
      <c r="C483" s="7"/>
      <c r="D483" s="7"/>
      <c r="E483" s="7"/>
      <c r="F483" s="6"/>
      <c r="G483" s="6"/>
      <c r="H483" s="6"/>
      <c r="I483" s="6"/>
      <c r="J483" s="6"/>
      <c r="K483" s="6"/>
      <c r="L483" s="6"/>
      <c r="M483" s="6"/>
      <c r="N483" s="6"/>
      <c r="O483" s="6"/>
      <c r="P483" s="6"/>
      <c r="Q483" s="6"/>
      <c r="R483" s="6"/>
      <c r="S483" s="6"/>
      <c r="T483" s="6"/>
      <c r="U483" s="6"/>
      <c r="V483" s="6"/>
      <c r="W483" s="6"/>
    </row>
    <row r="484" spans="1:23" ht="16" x14ac:dyDescent="0.2">
      <c r="A484" s="6"/>
      <c r="B484" s="7"/>
      <c r="C484" s="7"/>
      <c r="D484" s="7"/>
      <c r="E484" s="7"/>
      <c r="F484" s="6"/>
      <c r="G484" s="6"/>
      <c r="H484" s="6"/>
      <c r="I484" s="6"/>
      <c r="J484" s="6"/>
      <c r="K484" s="6"/>
      <c r="L484" s="6"/>
      <c r="M484" s="6"/>
      <c r="N484" s="6"/>
      <c r="O484" s="6"/>
      <c r="P484" s="6"/>
      <c r="Q484" s="6"/>
      <c r="R484" s="6"/>
      <c r="S484" s="6"/>
      <c r="T484" s="6"/>
      <c r="U484" s="6"/>
      <c r="V484" s="6"/>
      <c r="W484" s="6"/>
    </row>
    <row r="485" spans="1:23" ht="16" x14ac:dyDescent="0.2">
      <c r="A485" s="6"/>
      <c r="B485" s="7"/>
      <c r="C485" s="7"/>
      <c r="D485" s="7"/>
      <c r="E485" s="7"/>
      <c r="F485" s="6"/>
      <c r="G485" s="6"/>
      <c r="H485" s="6"/>
      <c r="I485" s="6"/>
      <c r="J485" s="6"/>
      <c r="K485" s="6"/>
      <c r="L485" s="6"/>
      <c r="M485" s="6"/>
      <c r="N485" s="6"/>
      <c r="O485" s="6"/>
      <c r="P485" s="6"/>
      <c r="Q485" s="6"/>
      <c r="R485" s="6"/>
      <c r="S485" s="6"/>
      <c r="T485" s="6"/>
      <c r="U485" s="6"/>
      <c r="V485" s="6"/>
      <c r="W485" s="6"/>
    </row>
    <row r="486" spans="1:23" ht="16" x14ac:dyDescent="0.2">
      <c r="A486" s="6"/>
      <c r="B486" s="7"/>
      <c r="C486" s="7"/>
      <c r="D486" s="7"/>
      <c r="E486" s="7"/>
      <c r="F486" s="6"/>
      <c r="G486" s="6"/>
      <c r="H486" s="6"/>
      <c r="I486" s="6"/>
      <c r="J486" s="6"/>
      <c r="K486" s="6"/>
      <c r="L486" s="6"/>
      <c r="M486" s="6"/>
      <c r="N486" s="6"/>
      <c r="O486" s="6"/>
      <c r="P486" s="6"/>
      <c r="Q486" s="6"/>
      <c r="R486" s="6"/>
      <c r="S486" s="6"/>
      <c r="T486" s="6"/>
      <c r="U486" s="6"/>
      <c r="V486" s="6"/>
      <c r="W486" s="6"/>
    </row>
    <row r="487" spans="1:23" ht="16" x14ac:dyDescent="0.2">
      <c r="A487" s="6"/>
      <c r="B487" s="7"/>
      <c r="C487" s="7"/>
      <c r="D487" s="7"/>
      <c r="E487" s="7"/>
      <c r="F487" s="6"/>
      <c r="G487" s="6"/>
      <c r="H487" s="6"/>
      <c r="I487" s="6"/>
      <c r="J487" s="6"/>
      <c r="K487" s="6"/>
      <c r="L487" s="6"/>
      <c r="M487" s="6"/>
      <c r="N487" s="6"/>
      <c r="O487" s="6"/>
      <c r="P487" s="6"/>
      <c r="Q487" s="6"/>
      <c r="R487" s="6"/>
      <c r="S487" s="6"/>
      <c r="T487" s="6"/>
      <c r="U487" s="6"/>
      <c r="V487" s="6"/>
      <c r="W487" s="6"/>
    </row>
    <row r="488" spans="1:23" ht="16" x14ac:dyDescent="0.2">
      <c r="A488" s="6"/>
      <c r="B488" s="7"/>
      <c r="C488" s="7"/>
      <c r="D488" s="7"/>
      <c r="E488" s="7"/>
      <c r="F488" s="6"/>
      <c r="G488" s="6"/>
      <c r="H488" s="6"/>
      <c r="I488" s="6"/>
      <c r="J488" s="6"/>
      <c r="K488" s="6"/>
      <c r="L488" s="6"/>
      <c r="M488" s="6"/>
      <c r="N488" s="6"/>
      <c r="O488" s="6"/>
      <c r="P488" s="6"/>
      <c r="Q488" s="6"/>
      <c r="R488" s="6"/>
      <c r="S488" s="6"/>
      <c r="T488" s="6"/>
      <c r="U488" s="6"/>
      <c r="V488" s="6"/>
      <c r="W488" s="6"/>
    </row>
    <row r="489" spans="1:23" ht="16" x14ac:dyDescent="0.2">
      <c r="A489" s="6"/>
      <c r="B489" s="7"/>
      <c r="C489" s="7"/>
      <c r="D489" s="7"/>
      <c r="E489" s="7"/>
      <c r="F489" s="6"/>
      <c r="G489" s="6"/>
      <c r="H489" s="6"/>
      <c r="I489" s="6"/>
      <c r="J489" s="6"/>
      <c r="K489" s="6"/>
      <c r="L489" s="6"/>
      <c r="M489" s="6"/>
      <c r="N489" s="6"/>
      <c r="O489" s="6"/>
      <c r="P489" s="6"/>
      <c r="Q489" s="6"/>
      <c r="R489" s="6"/>
      <c r="S489" s="6"/>
      <c r="T489" s="6"/>
      <c r="U489" s="6"/>
      <c r="V489" s="6"/>
      <c r="W489" s="6"/>
    </row>
    <row r="490" spans="1:23" ht="16" x14ac:dyDescent="0.2">
      <c r="A490" s="6"/>
      <c r="B490" s="7"/>
      <c r="C490" s="7"/>
      <c r="D490" s="7"/>
      <c r="E490" s="7"/>
      <c r="F490" s="6"/>
      <c r="G490" s="6"/>
      <c r="H490" s="6"/>
      <c r="I490" s="6"/>
      <c r="J490" s="6"/>
      <c r="K490" s="6"/>
      <c r="L490" s="6"/>
      <c r="M490" s="6"/>
      <c r="N490" s="6"/>
      <c r="O490" s="6"/>
      <c r="P490" s="6"/>
      <c r="Q490" s="6"/>
      <c r="R490" s="6"/>
      <c r="S490" s="6"/>
      <c r="T490" s="6"/>
      <c r="U490" s="6"/>
      <c r="V490" s="6"/>
      <c r="W490" s="6"/>
    </row>
    <row r="491" spans="1:23" ht="16" x14ac:dyDescent="0.2">
      <c r="A491" s="6"/>
      <c r="B491" s="7"/>
      <c r="C491" s="7"/>
      <c r="D491" s="7"/>
      <c r="E491" s="7"/>
      <c r="F491" s="6"/>
      <c r="G491" s="6"/>
      <c r="H491" s="6"/>
      <c r="I491" s="6"/>
      <c r="J491" s="6"/>
      <c r="K491" s="6"/>
      <c r="L491" s="6"/>
      <c r="M491" s="6"/>
      <c r="N491" s="6"/>
      <c r="O491" s="6"/>
      <c r="P491" s="6"/>
      <c r="Q491" s="6"/>
      <c r="R491" s="6"/>
      <c r="S491" s="6"/>
      <c r="T491" s="6"/>
      <c r="U491" s="6"/>
      <c r="V491" s="6"/>
      <c r="W491" s="6"/>
    </row>
    <row r="492" spans="1:23" ht="16" x14ac:dyDescent="0.2">
      <c r="A492" s="6"/>
      <c r="B492" s="7"/>
      <c r="C492" s="7"/>
      <c r="D492" s="7"/>
      <c r="E492" s="7"/>
      <c r="F492" s="6"/>
      <c r="G492" s="6"/>
      <c r="H492" s="6"/>
      <c r="I492" s="6"/>
      <c r="J492" s="6"/>
      <c r="K492" s="6"/>
      <c r="L492" s="6"/>
      <c r="M492" s="6"/>
      <c r="N492" s="6"/>
      <c r="O492" s="6"/>
      <c r="P492" s="6"/>
      <c r="Q492" s="6"/>
      <c r="R492" s="6"/>
      <c r="S492" s="6"/>
      <c r="T492" s="6"/>
      <c r="U492" s="6"/>
      <c r="V492" s="6"/>
      <c r="W492" s="6"/>
    </row>
    <row r="493" spans="1:23" ht="16" x14ac:dyDescent="0.2">
      <c r="A493" s="6"/>
      <c r="B493" s="7"/>
      <c r="C493" s="7"/>
      <c r="D493" s="7"/>
      <c r="E493" s="7"/>
      <c r="F493" s="6"/>
      <c r="G493" s="6"/>
      <c r="H493" s="6"/>
      <c r="I493" s="6"/>
      <c r="J493" s="6"/>
      <c r="K493" s="6"/>
      <c r="L493" s="6"/>
      <c r="M493" s="6"/>
      <c r="N493" s="6"/>
      <c r="O493" s="6"/>
      <c r="P493" s="6"/>
      <c r="Q493" s="6"/>
      <c r="R493" s="6"/>
      <c r="S493" s="6"/>
      <c r="T493" s="6"/>
      <c r="U493" s="6"/>
      <c r="V493" s="6"/>
      <c r="W493" s="6"/>
    </row>
    <row r="494" spans="1:23" ht="16" x14ac:dyDescent="0.2">
      <c r="A494" s="6"/>
      <c r="B494" s="7"/>
      <c r="C494" s="7"/>
      <c r="D494" s="7"/>
      <c r="E494" s="7"/>
      <c r="F494" s="6"/>
      <c r="G494" s="6"/>
      <c r="H494" s="6"/>
      <c r="I494" s="6"/>
      <c r="J494" s="6"/>
      <c r="K494" s="6"/>
      <c r="L494" s="6"/>
      <c r="M494" s="6"/>
      <c r="N494" s="6"/>
      <c r="O494" s="6"/>
      <c r="P494" s="6"/>
      <c r="Q494" s="6"/>
      <c r="R494" s="6"/>
      <c r="S494" s="6"/>
      <c r="T494" s="6"/>
      <c r="U494" s="6"/>
      <c r="V494" s="6"/>
      <c r="W494" s="6"/>
    </row>
    <row r="495" spans="1:23" ht="16" x14ac:dyDescent="0.2">
      <c r="A495" s="6"/>
      <c r="B495" s="7"/>
      <c r="C495" s="7"/>
      <c r="D495" s="7"/>
      <c r="E495" s="7"/>
      <c r="F495" s="6"/>
      <c r="G495" s="6"/>
      <c r="H495" s="6"/>
      <c r="I495" s="6"/>
      <c r="J495" s="6"/>
      <c r="K495" s="6"/>
      <c r="L495" s="6"/>
      <c r="M495" s="6"/>
      <c r="N495" s="6"/>
      <c r="O495" s="6"/>
      <c r="P495" s="6"/>
      <c r="Q495" s="6"/>
      <c r="R495" s="6"/>
      <c r="S495" s="6"/>
      <c r="T495" s="6"/>
      <c r="U495" s="6"/>
      <c r="V495" s="6"/>
      <c r="W495" s="6"/>
    </row>
    <row r="496" spans="1:23" ht="16" x14ac:dyDescent="0.2">
      <c r="A496" s="6"/>
      <c r="B496" s="7"/>
      <c r="C496" s="7"/>
      <c r="D496" s="7"/>
      <c r="E496" s="7"/>
      <c r="F496" s="6"/>
      <c r="G496" s="6"/>
      <c r="H496" s="6"/>
      <c r="I496" s="6"/>
      <c r="J496" s="6"/>
      <c r="K496" s="6"/>
      <c r="L496" s="6"/>
      <c r="M496" s="6"/>
      <c r="N496" s="6"/>
      <c r="O496" s="6"/>
      <c r="P496" s="6"/>
      <c r="Q496" s="6"/>
      <c r="R496" s="6"/>
      <c r="S496" s="6"/>
      <c r="T496" s="6"/>
      <c r="U496" s="6"/>
      <c r="V496" s="6"/>
      <c r="W496" s="6"/>
    </row>
    <row r="497" spans="1:23" ht="16" x14ac:dyDescent="0.2">
      <c r="A497" s="6"/>
      <c r="B497" s="7"/>
      <c r="C497" s="7"/>
      <c r="D497" s="7"/>
      <c r="E497" s="7"/>
      <c r="F497" s="6"/>
      <c r="G497" s="6"/>
      <c r="H497" s="6"/>
      <c r="I497" s="6"/>
      <c r="J497" s="6"/>
      <c r="K497" s="6"/>
      <c r="L497" s="6"/>
      <c r="M497" s="6"/>
      <c r="N497" s="6"/>
      <c r="O497" s="6"/>
      <c r="P497" s="6"/>
      <c r="Q497" s="6"/>
      <c r="R497" s="6"/>
      <c r="S497" s="6"/>
      <c r="T497" s="6"/>
      <c r="U497" s="6"/>
      <c r="V497" s="6"/>
      <c r="W497" s="6"/>
    </row>
    <row r="498" spans="1:23" ht="16" x14ac:dyDescent="0.2">
      <c r="A498" s="6"/>
      <c r="B498" s="7"/>
      <c r="C498" s="7"/>
      <c r="D498" s="7"/>
      <c r="E498" s="7"/>
      <c r="F498" s="6"/>
      <c r="G498" s="6"/>
      <c r="H498" s="6"/>
      <c r="I498" s="6"/>
      <c r="J498" s="6"/>
      <c r="K498" s="6"/>
      <c r="L498" s="6"/>
      <c r="M498" s="6"/>
      <c r="N498" s="6"/>
      <c r="O498" s="6"/>
      <c r="P498" s="6"/>
      <c r="Q498" s="6"/>
      <c r="R498" s="6"/>
      <c r="S498" s="6"/>
      <c r="T498" s="6"/>
      <c r="U498" s="6"/>
      <c r="V498" s="6"/>
      <c r="W498" s="6"/>
    </row>
    <row r="499" spans="1:23" ht="16" x14ac:dyDescent="0.2">
      <c r="A499" s="6"/>
      <c r="B499" s="7"/>
      <c r="C499" s="7"/>
      <c r="D499" s="7"/>
      <c r="E499" s="7"/>
      <c r="F499" s="6"/>
      <c r="G499" s="6"/>
      <c r="H499" s="6"/>
      <c r="I499" s="6"/>
      <c r="J499" s="6"/>
      <c r="K499" s="6"/>
      <c r="L499" s="6"/>
      <c r="M499" s="6"/>
      <c r="N499" s="6"/>
      <c r="O499" s="6"/>
      <c r="P499" s="6"/>
      <c r="Q499" s="6"/>
      <c r="R499" s="6"/>
      <c r="S499" s="6"/>
      <c r="T499" s="6"/>
      <c r="U499" s="6"/>
      <c r="V499" s="6"/>
      <c r="W499" s="6"/>
    </row>
    <row r="500" spans="1:23" ht="16" x14ac:dyDescent="0.2">
      <c r="A500" s="6"/>
      <c r="B500" s="7"/>
      <c r="C500" s="7"/>
      <c r="D500" s="7"/>
      <c r="E500" s="7"/>
      <c r="F500" s="6"/>
      <c r="G500" s="6"/>
      <c r="H500" s="6"/>
      <c r="I500" s="6"/>
      <c r="J500" s="6"/>
      <c r="K500" s="6"/>
      <c r="L500" s="6"/>
      <c r="M500" s="6"/>
      <c r="N500" s="6"/>
      <c r="O500" s="6"/>
      <c r="P500" s="6"/>
      <c r="Q500" s="6"/>
      <c r="R500" s="6"/>
      <c r="S500" s="6"/>
      <c r="T500" s="6"/>
      <c r="U500" s="6"/>
      <c r="V500" s="6"/>
      <c r="W500" s="6"/>
    </row>
    <row r="501" spans="1:23" ht="16" x14ac:dyDescent="0.2">
      <c r="A501" s="6"/>
      <c r="B501" s="7"/>
      <c r="C501" s="7"/>
      <c r="D501" s="7"/>
      <c r="E501" s="7"/>
      <c r="F501" s="6"/>
      <c r="G501" s="6"/>
      <c r="H501" s="6"/>
      <c r="I501" s="6"/>
      <c r="J501" s="6"/>
      <c r="K501" s="6"/>
      <c r="L501" s="6"/>
      <c r="M501" s="6"/>
      <c r="N501" s="6"/>
      <c r="O501" s="6"/>
      <c r="P501" s="6"/>
      <c r="Q501" s="6"/>
      <c r="R501" s="6"/>
      <c r="S501" s="6"/>
      <c r="T501" s="6"/>
      <c r="U501" s="6"/>
      <c r="V501" s="6"/>
      <c r="W501" s="6"/>
    </row>
    <row r="502" spans="1:23" ht="16" x14ac:dyDescent="0.2">
      <c r="A502" s="6"/>
      <c r="B502" s="7"/>
      <c r="C502" s="7"/>
      <c r="D502" s="7"/>
      <c r="E502" s="7"/>
      <c r="F502" s="6"/>
      <c r="G502" s="6"/>
      <c r="H502" s="6"/>
      <c r="I502" s="6"/>
      <c r="J502" s="6"/>
      <c r="K502" s="6"/>
      <c r="L502" s="6"/>
      <c r="M502" s="6"/>
      <c r="N502" s="6"/>
      <c r="O502" s="6"/>
      <c r="P502" s="6"/>
      <c r="Q502" s="6"/>
      <c r="R502" s="6"/>
      <c r="S502" s="6"/>
      <c r="T502" s="6"/>
      <c r="U502" s="6"/>
      <c r="V502" s="6"/>
      <c r="W502" s="6"/>
    </row>
    <row r="503" spans="1:23" ht="16" x14ac:dyDescent="0.2">
      <c r="A503" s="6"/>
      <c r="B503" s="7"/>
      <c r="C503" s="7"/>
      <c r="D503" s="7"/>
      <c r="E503" s="7"/>
      <c r="F503" s="6"/>
      <c r="G503" s="6"/>
      <c r="H503" s="6"/>
      <c r="I503" s="6"/>
      <c r="J503" s="6"/>
      <c r="K503" s="6"/>
      <c r="L503" s="6"/>
      <c r="M503" s="6"/>
      <c r="N503" s="6"/>
      <c r="O503" s="6"/>
      <c r="P503" s="6"/>
      <c r="Q503" s="6"/>
      <c r="R503" s="6"/>
      <c r="S503" s="6"/>
      <c r="T503" s="6"/>
      <c r="U503" s="6"/>
      <c r="V503" s="6"/>
      <c r="W503" s="6"/>
    </row>
    <row r="504" spans="1:23" ht="16" x14ac:dyDescent="0.2">
      <c r="A504" s="6"/>
      <c r="B504" s="7"/>
      <c r="C504" s="7"/>
      <c r="D504" s="7"/>
      <c r="E504" s="7"/>
      <c r="F504" s="6"/>
      <c r="G504" s="6"/>
      <c r="H504" s="6"/>
      <c r="I504" s="6"/>
      <c r="J504" s="6"/>
      <c r="K504" s="6"/>
      <c r="L504" s="6"/>
      <c r="M504" s="6"/>
      <c r="N504" s="6"/>
      <c r="O504" s="6"/>
      <c r="P504" s="6"/>
      <c r="Q504" s="6"/>
      <c r="R504" s="6"/>
      <c r="S504" s="6"/>
      <c r="T504" s="6"/>
      <c r="U504" s="6"/>
      <c r="V504" s="6"/>
      <c r="W504" s="6"/>
    </row>
    <row r="505" spans="1:23" ht="16" x14ac:dyDescent="0.2">
      <c r="A505" s="6"/>
      <c r="B505" s="7"/>
      <c r="C505" s="7"/>
      <c r="D505" s="7"/>
      <c r="E505" s="7"/>
      <c r="F505" s="6"/>
      <c r="G505" s="6"/>
      <c r="H505" s="6"/>
      <c r="I505" s="6"/>
      <c r="J505" s="6"/>
      <c r="K505" s="6"/>
      <c r="L505" s="6"/>
      <c r="M505" s="6"/>
      <c r="N505" s="6"/>
      <c r="O505" s="6"/>
      <c r="P505" s="6"/>
      <c r="Q505" s="6"/>
      <c r="R505" s="6"/>
      <c r="S505" s="6"/>
      <c r="T505" s="6"/>
      <c r="U505" s="6"/>
      <c r="V505" s="6"/>
      <c r="W505" s="6"/>
    </row>
    <row r="506" spans="1:23" ht="16" x14ac:dyDescent="0.2">
      <c r="A506" s="6"/>
      <c r="B506" s="7"/>
      <c r="C506" s="7"/>
      <c r="D506" s="7"/>
      <c r="E506" s="7"/>
      <c r="F506" s="6"/>
      <c r="G506" s="6"/>
      <c r="H506" s="6"/>
      <c r="I506" s="6"/>
      <c r="J506" s="6"/>
      <c r="K506" s="6"/>
      <c r="L506" s="6"/>
      <c r="M506" s="6"/>
      <c r="N506" s="6"/>
      <c r="O506" s="6"/>
      <c r="P506" s="6"/>
      <c r="Q506" s="6"/>
      <c r="R506" s="6"/>
      <c r="S506" s="6"/>
      <c r="T506" s="6"/>
      <c r="U506" s="6"/>
      <c r="V506" s="6"/>
      <c r="W506" s="6"/>
    </row>
    <row r="507" spans="1:23" ht="16" x14ac:dyDescent="0.2">
      <c r="A507" s="6"/>
      <c r="B507" s="7"/>
      <c r="C507" s="7"/>
      <c r="D507" s="7"/>
      <c r="E507" s="7"/>
      <c r="F507" s="6"/>
      <c r="G507" s="6"/>
      <c r="H507" s="6"/>
      <c r="I507" s="6"/>
      <c r="J507" s="6"/>
      <c r="K507" s="6"/>
      <c r="L507" s="6"/>
      <c r="M507" s="6"/>
      <c r="N507" s="6"/>
      <c r="O507" s="6"/>
      <c r="P507" s="6"/>
      <c r="Q507" s="6"/>
      <c r="R507" s="6"/>
      <c r="S507" s="6"/>
      <c r="T507" s="6"/>
      <c r="U507" s="6"/>
      <c r="V507" s="6"/>
      <c r="W507" s="6"/>
    </row>
    <row r="508" spans="1:23" ht="16" x14ac:dyDescent="0.2">
      <c r="A508" s="6"/>
      <c r="B508" s="7"/>
      <c r="C508" s="7"/>
      <c r="D508" s="7"/>
      <c r="E508" s="7"/>
      <c r="F508" s="6"/>
      <c r="G508" s="6"/>
      <c r="H508" s="6"/>
      <c r="I508" s="6"/>
      <c r="J508" s="6"/>
      <c r="K508" s="6"/>
      <c r="L508" s="6"/>
      <c r="M508" s="6"/>
      <c r="N508" s="6"/>
      <c r="O508" s="6"/>
      <c r="P508" s="6"/>
      <c r="Q508" s="6"/>
      <c r="R508" s="6"/>
      <c r="S508" s="6"/>
      <c r="T508" s="6"/>
      <c r="U508" s="6"/>
      <c r="V508" s="6"/>
      <c r="W508" s="6"/>
    </row>
    <row r="509" spans="1:23" ht="16" x14ac:dyDescent="0.2">
      <c r="A509" s="6"/>
      <c r="B509" s="7"/>
      <c r="C509" s="7"/>
      <c r="D509" s="7"/>
      <c r="E509" s="7"/>
      <c r="F509" s="6"/>
      <c r="G509" s="6"/>
      <c r="H509" s="6"/>
      <c r="I509" s="6"/>
      <c r="J509" s="6"/>
      <c r="K509" s="6"/>
      <c r="L509" s="6"/>
      <c r="M509" s="6"/>
      <c r="N509" s="6"/>
      <c r="O509" s="6"/>
      <c r="P509" s="6"/>
      <c r="Q509" s="6"/>
      <c r="R509" s="6"/>
      <c r="S509" s="6"/>
      <c r="T509" s="6"/>
      <c r="U509" s="6"/>
      <c r="V509" s="6"/>
      <c r="W509" s="6"/>
    </row>
    <row r="510" spans="1:23" ht="16" x14ac:dyDescent="0.2">
      <c r="A510" s="6"/>
      <c r="B510" s="7"/>
      <c r="C510" s="7"/>
      <c r="D510" s="7"/>
      <c r="E510" s="7"/>
      <c r="F510" s="6"/>
      <c r="G510" s="6"/>
      <c r="H510" s="6"/>
      <c r="I510" s="6"/>
      <c r="J510" s="6"/>
      <c r="K510" s="6"/>
      <c r="L510" s="6"/>
      <c r="M510" s="6"/>
      <c r="N510" s="6"/>
      <c r="O510" s="6"/>
      <c r="P510" s="6"/>
      <c r="Q510" s="6"/>
      <c r="R510" s="6"/>
      <c r="S510" s="6"/>
      <c r="T510" s="6"/>
      <c r="U510" s="6"/>
      <c r="V510" s="6"/>
      <c r="W510" s="6"/>
    </row>
    <row r="511" spans="1:23" ht="16" x14ac:dyDescent="0.2">
      <c r="A511" s="6"/>
      <c r="B511" s="7"/>
      <c r="C511" s="7"/>
      <c r="D511" s="7"/>
      <c r="E511" s="7"/>
      <c r="F511" s="6"/>
      <c r="G511" s="6"/>
      <c r="H511" s="6"/>
      <c r="I511" s="6"/>
      <c r="J511" s="6"/>
      <c r="K511" s="6"/>
      <c r="L511" s="6"/>
      <c r="M511" s="6"/>
      <c r="N511" s="6"/>
      <c r="O511" s="6"/>
      <c r="P511" s="6"/>
      <c r="Q511" s="6"/>
      <c r="R511" s="6"/>
      <c r="S511" s="6"/>
      <c r="T511" s="6"/>
      <c r="U511" s="6"/>
      <c r="V511" s="6"/>
      <c r="W511" s="6"/>
    </row>
    <row r="512" spans="1:23" ht="16" x14ac:dyDescent="0.2">
      <c r="A512" s="6"/>
      <c r="B512" s="7"/>
      <c r="C512" s="7"/>
      <c r="D512" s="7"/>
      <c r="E512" s="7"/>
      <c r="F512" s="6"/>
      <c r="G512" s="6"/>
      <c r="H512" s="6"/>
      <c r="I512" s="6"/>
      <c r="J512" s="6"/>
      <c r="K512" s="6"/>
      <c r="L512" s="6"/>
      <c r="M512" s="6"/>
      <c r="N512" s="6"/>
      <c r="O512" s="6"/>
      <c r="P512" s="6"/>
      <c r="Q512" s="6"/>
      <c r="R512" s="6"/>
      <c r="S512" s="6"/>
      <c r="T512" s="6"/>
      <c r="U512" s="6"/>
      <c r="V512" s="6"/>
      <c r="W512" s="6"/>
    </row>
    <row r="513" spans="1:23" ht="16" x14ac:dyDescent="0.2">
      <c r="A513" s="6"/>
      <c r="B513" s="7"/>
      <c r="C513" s="7"/>
      <c r="D513" s="7"/>
      <c r="E513" s="7"/>
      <c r="F513" s="6"/>
      <c r="G513" s="6"/>
      <c r="H513" s="6"/>
      <c r="I513" s="6"/>
      <c r="J513" s="6"/>
      <c r="K513" s="6"/>
      <c r="L513" s="6"/>
      <c r="M513" s="6"/>
      <c r="N513" s="6"/>
      <c r="O513" s="6"/>
      <c r="P513" s="6"/>
      <c r="Q513" s="6"/>
      <c r="R513" s="6"/>
      <c r="S513" s="6"/>
      <c r="T513" s="6"/>
      <c r="U513" s="6"/>
      <c r="V513" s="6"/>
      <c r="W513" s="6"/>
    </row>
    <row r="514" spans="1:23" ht="16" x14ac:dyDescent="0.2">
      <c r="A514" s="6"/>
      <c r="B514" s="7"/>
      <c r="C514" s="7"/>
      <c r="D514" s="7"/>
      <c r="E514" s="7"/>
      <c r="F514" s="6"/>
      <c r="G514" s="6"/>
      <c r="H514" s="6"/>
      <c r="I514" s="6"/>
      <c r="J514" s="6"/>
      <c r="K514" s="6"/>
      <c r="L514" s="6"/>
      <c r="M514" s="6"/>
      <c r="N514" s="6"/>
      <c r="O514" s="6"/>
      <c r="P514" s="6"/>
      <c r="Q514" s="6"/>
      <c r="R514" s="6"/>
      <c r="S514" s="6"/>
      <c r="T514" s="6"/>
      <c r="U514" s="6"/>
      <c r="V514" s="6"/>
      <c r="W514" s="6"/>
    </row>
    <row r="515" spans="1:23" ht="16" x14ac:dyDescent="0.2">
      <c r="A515" s="6"/>
      <c r="B515" s="7"/>
      <c r="C515" s="7"/>
      <c r="D515" s="7"/>
      <c r="E515" s="7"/>
      <c r="F515" s="6"/>
      <c r="G515" s="6"/>
      <c r="H515" s="6"/>
      <c r="I515" s="6"/>
      <c r="J515" s="6"/>
      <c r="K515" s="6"/>
      <c r="L515" s="6"/>
      <c r="M515" s="6"/>
      <c r="N515" s="6"/>
      <c r="O515" s="6"/>
      <c r="P515" s="6"/>
      <c r="Q515" s="6"/>
      <c r="R515" s="6"/>
      <c r="S515" s="6"/>
      <c r="T515" s="6"/>
      <c r="U515" s="6"/>
      <c r="V515" s="6"/>
      <c r="W515" s="6"/>
    </row>
    <row r="516" spans="1:23" ht="16" x14ac:dyDescent="0.2">
      <c r="A516" s="6"/>
      <c r="B516" s="7"/>
      <c r="C516" s="7"/>
      <c r="D516" s="7"/>
      <c r="E516" s="7"/>
      <c r="F516" s="6"/>
      <c r="G516" s="6"/>
      <c r="H516" s="6"/>
      <c r="I516" s="6"/>
      <c r="J516" s="6"/>
      <c r="K516" s="6"/>
      <c r="L516" s="6"/>
      <c r="M516" s="6"/>
      <c r="N516" s="6"/>
      <c r="O516" s="6"/>
      <c r="P516" s="6"/>
      <c r="Q516" s="6"/>
      <c r="R516" s="6"/>
      <c r="S516" s="6"/>
      <c r="T516" s="6"/>
      <c r="U516" s="6"/>
      <c r="V516" s="6"/>
      <c r="W516" s="6"/>
    </row>
    <row r="517" spans="1:23" ht="16" x14ac:dyDescent="0.2">
      <c r="A517" s="6"/>
      <c r="B517" s="7"/>
      <c r="C517" s="7"/>
      <c r="D517" s="7"/>
      <c r="E517" s="7"/>
      <c r="F517" s="6"/>
      <c r="G517" s="6"/>
      <c r="H517" s="6"/>
      <c r="I517" s="6"/>
      <c r="J517" s="6"/>
      <c r="K517" s="6"/>
      <c r="L517" s="6"/>
      <c r="M517" s="6"/>
      <c r="N517" s="6"/>
      <c r="O517" s="6"/>
      <c r="P517" s="6"/>
      <c r="Q517" s="6"/>
      <c r="R517" s="6"/>
      <c r="S517" s="6"/>
      <c r="T517" s="6"/>
      <c r="U517" s="6"/>
      <c r="V517" s="6"/>
      <c r="W517" s="6"/>
    </row>
    <row r="518" spans="1:23" ht="16" x14ac:dyDescent="0.2">
      <c r="A518" s="6"/>
      <c r="B518" s="7"/>
      <c r="C518" s="7"/>
      <c r="D518" s="7"/>
      <c r="E518" s="7"/>
      <c r="F518" s="6"/>
      <c r="G518" s="6"/>
      <c r="H518" s="6"/>
      <c r="I518" s="6"/>
      <c r="J518" s="6"/>
      <c r="K518" s="6"/>
      <c r="L518" s="6"/>
      <c r="M518" s="6"/>
      <c r="N518" s="6"/>
      <c r="O518" s="6"/>
      <c r="P518" s="6"/>
      <c r="Q518" s="6"/>
      <c r="R518" s="6"/>
      <c r="S518" s="6"/>
      <c r="T518" s="6"/>
      <c r="U518" s="6"/>
      <c r="V518" s="6"/>
      <c r="W518" s="6"/>
    </row>
    <row r="519" spans="1:23" ht="16" x14ac:dyDescent="0.2">
      <c r="A519" s="6"/>
      <c r="B519" s="7"/>
      <c r="C519" s="7"/>
      <c r="D519" s="7"/>
      <c r="E519" s="7"/>
      <c r="F519" s="6"/>
      <c r="G519" s="6"/>
      <c r="H519" s="6"/>
      <c r="I519" s="6"/>
      <c r="J519" s="6"/>
      <c r="K519" s="6"/>
      <c r="L519" s="6"/>
      <c r="M519" s="6"/>
      <c r="N519" s="6"/>
      <c r="O519" s="6"/>
      <c r="P519" s="6"/>
      <c r="Q519" s="6"/>
      <c r="R519" s="6"/>
      <c r="S519" s="6"/>
      <c r="T519" s="6"/>
      <c r="U519" s="6"/>
      <c r="V519" s="6"/>
      <c r="W519" s="6"/>
    </row>
    <row r="520" spans="1:23" ht="16" x14ac:dyDescent="0.2">
      <c r="A520" s="6"/>
      <c r="B520" s="7"/>
      <c r="C520" s="7"/>
      <c r="D520" s="7"/>
      <c r="E520" s="7"/>
      <c r="F520" s="6"/>
      <c r="G520" s="6"/>
      <c r="H520" s="6"/>
      <c r="I520" s="6"/>
      <c r="J520" s="6"/>
      <c r="K520" s="6"/>
      <c r="L520" s="6"/>
      <c r="M520" s="6"/>
      <c r="N520" s="6"/>
      <c r="O520" s="6"/>
      <c r="P520" s="6"/>
      <c r="Q520" s="6"/>
      <c r="R520" s="6"/>
      <c r="S520" s="6"/>
      <c r="T520" s="6"/>
      <c r="U520" s="6"/>
      <c r="V520" s="6"/>
      <c r="W520" s="6"/>
    </row>
    <row r="521" spans="1:23" ht="16" x14ac:dyDescent="0.2">
      <c r="A521" s="6"/>
      <c r="B521" s="7"/>
      <c r="C521" s="7"/>
      <c r="D521" s="7"/>
      <c r="E521" s="7"/>
      <c r="F521" s="6"/>
      <c r="G521" s="6"/>
      <c r="H521" s="6"/>
      <c r="I521" s="6"/>
      <c r="J521" s="6"/>
      <c r="K521" s="6"/>
      <c r="L521" s="6"/>
      <c r="M521" s="6"/>
      <c r="N521" s="6"/>
      <c r="O521" s="6"/>
      <c r="P521" s="6"/>
      <c r="Q521" s="6"/>
      <c r="R521" s="6"/>
      <c r="S521" s="6"/>
      <c r="T521" s="6"/>
      <c r="U521" s="6"/>
      <c r="V521" s="6"/>
      <c r="W521" s="6"/>
    </row>
    <row r="522" spans="1:23" ht="16" x14ac:dyDescent="0.2">
      <c r="A522" s="6"/>
      <c r="B522" s="7"/>
      <c r="C522" s="7"/>
      <c r="D522" s="7"/>
      <c r="E522" s="7"/>
      <c r="F522" s="6"/>
      <c r="G522" s="6"/>
      <c r="H522" s="6"/>
      <c r="I522" s="6"/>
      <c r="J522" s="6"/>
      <c r="K522" s="6"/>
      <c r="L522" s="6"/>
      <c r="M522" s="6"/>
      <c r="N522" s="6"/>
      <c r="O522" s="6"/>
      <c r="P522" s="6"/>
      <c r="Q522" s="6"/>
      <c r="R522" s="6"/>
      <c r="S522" s="6"/>
      <c r="T522" s="6"/>
      <c r="U522" s="6"/>
      <c r="V522" s="6"/>
      <c r="W522" s="6"/>
    </row>
    <row r="523" spans="1:23" ht="16" x14ac:dyDescent="0.2">
      <c r="A523" s="6"/>
      <c r="B523" s="7"/>
      <c r="C523" s="7"/>
      <c r="D523" s="7"/>
      <c r="E523" s="7"/>
      <c r="F523" s="6"/>
      <c r="G523" s="6"/>
      <c r="H523" s="6"/>
      <c r="I523" s="6"/>
      <c r="J523" s="6"/>
      <c r="K523" s="6"/>
      <c r="L523" s="6"/>
      <c r="M523" s="6"/>
      <c r="N523" s="6"/>
      <c r="O523" s="6"/>
      <c r="P523" s="6"/>
      <c r="Q523" s="6"/>
      <c r="R523" s="6"/>
      <c r="S523" s="6"/>
      <c r="T523" s="6"/>
      <c r="U523" s="6"/>
      <c r="V523" s="6"/>
      <c r="W523" s="6"/>
    </row>
    <row r="524" spans="1:23" ht="16" x14ac:dyDescent="0.2">
      <c r="A524" s="6"/>
      <c r="B524" s="7"/>
      <c r="C524" s="7"/>
      <c r="D524" s="7"/>
      <c r="E524" s="7"/>
      <c r="F524" s="6"/>
      <c r="G524" s="6"/>
      <c r="H524" s="6"/>
      <c r="I524" s="6"/>
      <c r="J524" s="6"/>
      <c r="K524" s="6"/>
      <c r="L524" s="6"/>
      <c r="M524" s="6"/>
      <c r="N524" s="6"/>
      <c r="O524" s="6"/>
      <c r="P524" s="6"/>
      <c r="Q524" s="6"/>
      <c r="R524" s="6"/>
      <c r="S524" s="6"/>
      <c r="T524" s="6"/>
      <c r="U524" s="6"/>
      <c r="V524" s="6"/>
      <c r="W524" s="6"/>
    </row>
    <row r="525" spans="1:23" ht="16" x14ac:dyDescent="0.2">
      <c r="A525" s="6"/>
      <c r="B525" s="7"/>
      <c r="C525" s="7"/>
      <c r="D525" s="7"/>
      <c r="E525" s="7"/>
      <c r="F525" s="6"/>
      <c r="G525" s="6"/>
      <c r="H525" s="6"/>
      <c r="I525" s="6"/>
      <c r="J525" s="6"/>
      <c r="K525" s="6"/>
      <c r="L525" s="6"/>
      <c r="M525" s="6"/>
      <c r="N525" s="6"/>
      <c r="O525" s="6"/>
      <c r="P525" s="6"/>
      <c r="Q525" s="6"/>
      <c r="R525" s="6"/>
      <c r="S525" s="6"/>
      <c r="T525" s="6"/>
      <c r="U525" s="6"/>
      <c r="V525" s="6"/>
      <c r="W525" s="6"/>
    </row>
    <row r="526" spans="1:23" ht="16" x14ac:dyDescent="0.2">
      <c r="A526" s="6"/>
      <c r="B526" s="7"/>
      <c r="C526" s="7"/>
      <c r="D526" s="7"/>
      <c r="E526" s="7"/>
      <c r="F526" s="6"/>
      <c r="G526" s="6"/>
      <c r="H526" s="6"/>
      <c r="I526" s="6"/>
      <c r="J526" s="6"/>
      <c r="K526" s="6"/>
      <c r="L526" s="6"/>
      <c r="M526" s="6"/>
      <c r="N526" s="6"/>
      <c r="O526" s="6"/>
      <c r="P526" s="6"/>
      <c r="Q526" s="6"/>
      <c r="R526" s="6"/>
      <c r="S526" s="6"/>
      <c r="T526" s="6"/>
      <c r="U526" s="6"/>
      <c r="V526" s="6"/>
      <c r="W526" s="6"/>
    </row>
    <row r="527" spans="1:23" ht="16" x14ac:dyDescent="0.2">
      <c r="A527" s="6"/>
      <c r="B527" s="7"/>
      <c r="C527" s="7"/>
      <c r="D527" s="7"/>
      <c r="E527" s="7"/>
      <c r="F527" s="6"/>
      <c r="G527" s="6"/>
      <c r="H527" s="6"/>
      <c r="I527" s="6"/>
      <c r="J527" s="6"/>
      <c r="K527" s="6"/>
      <c r="L527" s="6"/>
      <c r="M527" s="6"/>
      <c r="N527" s="6"/>
      <c r="O527" s="6"/>
      <c r="P527" s="6"/>
      <c r="Q527" s="6"/>
      <c r="R527" s="6"/>
      <c r="S527" s="6"/>
      <c r="T527" s="6"/>
      <c r="U527" s="6"/>
      <c r="V527" s="6"/>
      <c r="W527" s="6"/>
    </row>
    <row r="528" spans="1:23" ht="16" x14ac:dyDescent="0.2">
      <c r="A528" s="6"/>
      <c r="B528" s="7"/>
      <c r="C528" s="7"/>
      <c r="D528" s="7"/>
      <c r="E528" s="7"/>
      <c r="F528" s="6"/>
      <c r="G528" s="6"/>
      <c r="H528" s="6"/>
      <c r="I528" s="6"/>
      <c r="J528" s="6"/>
      <c r="K528" s="6"/>
      <c r="L528" s="6"/>
      <c r="M528" s="6"/>
      <c r="N528" s="6"/>
      <c r="O528" s="6"/>
      <c r="P528" s="6"/>
      <c r="Q528" s="6"/>
      <c r="R528" s="6"/>
      <c r="S528" s="6"/>
      <c r="T528" s="6"/>
      <c r="U528" s="6"/>
      <c r="V528" s="6"/>
      <c r="W528" s="6"/>
    </row>
    <row r="529" spans="1:23" ht="16" x14ac:dyDescent="0.2">
      <c r="A529" s="6"/>
      <c r="B529" s="7"/>
      <c r="C529" s="7"/>
      <c r="D529" s="7"/>
      <c r="E529" s="7"/>
      <c r="F529" s="6"/>
      <c r="G529" s="6"/>
      <c r="H529" s="6"/>
      <c r="I529" s="6"/>
      <c r="J529" s="6"/>
      <c r="K529" s="6"/>
      <c r="L529" s="6"/>
      <c r="M529" s="6"/>
      <c r="N529" s="6"/>
      <c r="O529" s="6"/>
      <c r="P529" s="6"/>
      <c r="Q529" s="6"/>
      <c r="R529" s="6"/>
      <c r="S529" s="6"/>
      <c r="T529" s="6"/>
      <c r="U529" s="6"/>
      <c r="V529" s="6"/>
      <c r="W529" s="6"/>
    </row>
    <row r="530" spans="1:23" ht="16" x14ac:dyDescent="0.2">
      <c r="A530" s="6"/>
      <c r="B530" s="7"/>
      <c r="C530" s="7"/>
      <c r="D530" s="7"/>
      <c r="E530" s="7"/>
      <c r="F530" s="6"/>
      <c r="G530" s="6"/>
      <c r="H530" s="6"/>
      <c r="I530" s="6"/>
      <c r="J530" s="6"/>
      <c r="K530" s="6"/>
      <c r="L530" s="6"/>
      <c r="M530" s="6"/>
      <c r="N530" s="6"/>
      <c r="O530" s="6"/>
      <c r="P530" s="6"/>
      <c r="Q530" s="6"/>
      <c r="R530" s="6"/>
      <c r="S530" s="6"/>
      <c r="T530" s="6"/>
      <c r="U530" s="6"/>
      <c r="V530" s="6"/>
      <c r="W530" s="6"/>
    </row>
    <row r="531" spans="1:23" ht="16" x14ac:dyDescent="0.2">
      <c r="A531" s="6"/>
      <c r="B531" s="7"/>
      <c r="C531" s="7"/>
      <c r="D531" s="7"/>
      <c r="E531" s="7"/>
      <c r="F531" s="6"/>
      <c r="G531" s="6"/>
      <c r="H531" s="6"/>
      <c r="I531" s="6"/>
      <c r="J531" s="6"/>
      <c r="K531" s="6"/>
      <c r="L531" s="6"/>
      <c r="M531" s="6"/>
      <c r="N531" s="6"/>
      <c r="O531" s="6"/>
      <c r="P531" s="6"/>
      <c r="Q531" s="6"/>
      <c r="R531" s="6"/>
      <c r="S531" s="6"/>
      <c r="T531" s="6"/>
      <c r="U531" s="6"/>
      <c r="V531" s="6"/>
      <c r="W531" s="6"/>
    </row>
    <row r="532" spans="1:23" ht="16" x14ac:dyDescent="0.2">
      <c r="A532" s="6"/>
      <c r="B532" s="7"/>
      <c r="C532" s="7"/>
      <c r="D532" s="7"/>
      <c r="E532" s="7"/>
      <c r="F532" s="6"/>
      <c r="G532" s="6"/>
      <c r="H532" s="6"/>
      <c r="I532" s="6"/>
      <c r="J532" s="6"/>
      <c r="K532" s="6"/>
      <c r="L532" s="6"/>
      <c r="M532" s="6"/>
      <c r="N532" s="6"/>
      <c r="O532" s="6"/>
      <c r="P532" s="6"/>
      <c r="Q532" s="6"/>
      <c r="R532" s="6"/>
      <c r="S532" s="6"/>
      <c r="T532" s="6"/>
      <c r="U532" s="6"/>
      <c r="V532" s="6"/>
      <c r="W532" s="6"/>
    </row>
    <row r="533" spans="1:23" ht="16" x14ac:dyDescent="0.2">
      <c r="A533" s="6"/>
      <c r="B533" s="7"/>
      <c r="C533" s="7"/>
      <c r="D533" s="7"/>
      <c r="E533" s="7"/>
      <c r="F533" s="6"/>
      <c r="G533" s="6"/>
      <c r="H533" s="6"/>
      <c r="I533" s="6"/>
      <c r="J533" s="6"/>
      <c r="K533" s="6"/>
      <c r="L533" s="6"/>
      <c r="M533" s="6"/>
      <c r="N533" s="6"/>
      <c r="O533" s="6"/>
      <c r="P533" s="6"/>
      <c r="Q533" s="6"/>
      <c r="R533" s="6"/>
      <c r="S533" s="6"/>
      <c r="T533" s="6"/>
      <c r="U533" s="6"/>
      <c r="V533" s="6"/>
      <c r="W533" s="6"/>
    </row>
    <row r="534" spans="1:23" ht="16" x14ac:dyDescent="0.2">
      <c r="A534" s="6"/>
      <c r="B534" s="7"/>
      <c r="C534" s="7"/>
      <c r="D534" s="7"/>
      <c r="E534" s="7"/>
      <c r="F534" s="6"/>
      <c r="G534" s="6"/>
      <c r="H534" s="6"/>
      <c r="I534" s="6"/>
      <c r="J534" s="6"/>
      <c r="K534" s="6"/>
      <c r="L534" s="6"/>
      <c r="M534" s="6"/>
      <c r="N534" s="6"/>
      <c r="O534" s="6"/>
      <c r="P534" s="6"/>
      <c r="Q534" s="6"/>
      <c r="R534" s="6"/>
      <c r="S534" s="6"/>
      <c r="T534" s="6"/>
      <c r="U534" s="6"/>
      <c r="V534" s="6"/>
      <c r="W534" s="6"/>
    </row>
    <row r="535" spans="1:23" ht="16" x14ac:dyDescent="0.2">
      <c r="A535" s="6"/>
      <c r="B535" s="7"/>
      <c r="C535" s="7"/>
      <c r="D535" s="7"/>
      <c r="E535" s="7"/>
      <c r="F535" s="6"/>
      <c r="G535" s="6"/>
      <c r="H535" s="6"/>
      <c r="I535" s="6"/>
      <c r="J535" s="6"/>
      <c r="K535" s="6"/>
      <c r="L535" s="6"/>
      <c r="M535" s="6"/>
      <c r="N535" s="6"/>
      <c r="O535" s="6"/>
      <c r="P535" s="6"/>
      <c r="Q535" s="6"/>
      <c r="R535" s="6"/>
      <c r="S535" s="6"/>
      <c r="T535" s="6"/>
      <c r="U535" s="6"/>
      <c r="V535" s="6"/>
      <c r="W535" s="6"/>
    </row>
    <row r="536" spans="1:23" ht="16" x14ac:dyDescent="0.2">
      <c r="A536" s="6"/>
      <c r="B536" s="7"/>
      <c r="C536" s="7"/>
      <c r="D536" s="7"/>
      <c r="E536" s="7"/>
      <c r="F536" s="6"/>
      <c r="G536" s="6"/>
      <c r="H536" s="6"/>
      <c r="I536" s="6"/>
      <c r="J536" s="6"/>
      <c r="K536" s="6"/>
      <c r="L536" s="6"/>
      <c r="M536" s="6"/>
      <c r="N536" s="6"/>
      <c r="O536" s="6"/>
      <c r="P536" s="6"/>
      <c r="Q536" s="6"/>
      <c r="R536" s="6"/>
      <c r="S536" s="6"/>
      <c r="T536" s="6"/>
      <c r="U536" s="6"/>
      <c r="V536" s="6"/>
      <c r="W536" s="6"/>
    </row>
    <row r="537" spans="1:23" ht="16" x14ac:dyDescent="0.2">
      <c r="A537" s="6"/>
      <c r="B537" s="7"/>
      <c r="C537" s="7"/>
      <c r="D537" s="7"/>
      <c r="E537" s="7"/>
      <c r="F537" s="6"/>
      <c r="G537" s="6"/>
      <c r="H537" s="6"/>
      <c r="I537" s="6"/>
      <c r="J537" s="6"/>
      <c r="K537" s="6"/>
      <c r="L537" s="6"/>
      <c r="M537" s="6"/>
      <c r="N537" s="6"/>
      <c r="O537" s="6"/>
      <c r="P537" s="6"/>
      <c r="Q537" s="6"/>
      <c r="R537" s="6"/>
      <c r="S537" s="6"/>
      <c r="T537" s="6"/>
      <c r="U537" s="6"/>
      <c r="V537" s="6"/>
      <c r="W537" s="6"/>
    </row>
    <row r="538" spans="1:23" ht="16" x14ac:dyDescent="0.2">
      <c r="A538" s="6"/>
      <c r="B538" s="7"/>
      <c r="C538" s="7"/>
      <c r="D538" s="7"/>
      <c r="E538" s="7"/>
      <c r="F538" s="6"/>
      <c r="G538" s="6"/>
      <c r="H538" s="6"/>
      <c r="I538" s="6"/>
      <c r="J538" s="6"/>
      <c r="K538" s="6"/>
      <c r="L538" s="6"/>
      <c r="M538" s="6"/>
      <c r="N538" s="6"/>
      <c r="O538" s="6"/>
      <c r="P538" s="6"/>
      <c r="Q538" s="6"/>
      <c r="R538" s="6"/>
      <c r="S538" s="6"/>
      <c r="T538" s="6"/>
      <c r="U538" s="6"/>
      <c r="V538" s="6"/>
      <c r="W538" s="6"/>
    </row>
    <row r="539" spans="1:23" ht="16" x14ac:dyDescent="0.2">
      <c r="A539" s="6"/>
      <c r="B539" s="7"/>
      <c r="C539" s="7"/>
      <c r="D539" s="7"/>
      <c r="E539" s="7"/>
      <c r="F539" s="6"/>
      <c r="G539" s="6"/>
      <c r="H539" s="6"/>
      <c r="I539" s="6"/>
      <c r="J539" s="6"/>
      <c r="K539" s="6"/>
      <c r="L539" s="6"/>
      <c r="M539" s="6"/>
      <c r="N539" s="6"/>
      <c r="O539" s="6"/>
      <c r="P539" s="6"/>
      <c r="Q539" s="6"/>
      <c r="R539" s="6"/>
      <c r="S539" s="6"/>
      <c r="T539" s="6"/>
      <c r="U539" s="6"/>
      <c r="V539" s="6"/>
      <c r="W539" s="6"/>
    </row>
    <row r="540" spans="1:23" ht="16" x14ac:dyDescent="0.2">
      <c r="A540" s="6"/>
      <c r="B540" s="7"/>
      <c r="C540" s="7"/>
      <c r="D540" s="7"/>
      <c r="E540" s="7"/>
      <c r="F540" s="6"/>
      <c r="G540" s="6"/>
      <c r="H540" s="6"/>
      <c r="I540" s="6"/>
      <c r="J540" s="6"/>
      <c r="K540" s="6"/>
      <c r="L540" s="6"/>
      <c r="M540" s="6"/>
      <c r="N540" s="6"/>
      <c r="O540" s="6"/>
      <c r="P540" s="6"/>
      <c r="Q540" s="6"/>
      <c r="R540" s="6"/>
      <c r="S540" s="6"/>
      <c r="T540" s="6"/>
      <c r="U540" s="6"/>
      <c r="V540" s="6"/>
      <c r="W540" s="6"/>
    </row>
    <row r="541" spans="1:23" ht="16" x14ac:dyDescent="0.2">
      <c r="A541" s="6"/>
      <c r="B541" s="7"/>
      <c r="C541" s="7"/>
      <c r="D541" s="7"/>
      <c r="E541" s="7"/>
      <c r="F541" s="6"/>
      <c r="G541" s="6"/>
      <c r="H541" s="6"/>
      <c r="I541" s="6"/>
      <c r="J541" s="6"/>
      <c r="K541" s="6"/>
      <c r="L541" s="6"/>
      <c r="M541" s="6"/>
      <c r="N541" s="6"/>
      <c r="O541" s="6"/>
      <c r="P541" s="6"/>
      <c r="Q541" s="6"/>
      <c r="R541" s="6"/>
      <c r="S541" s="6"/>
      <c r="T541" s="6"/>
      <c r="U541" s="6"/>
      <c r="V541" s="6"/>
      <c r="W541" s="6"/>
    </row>
    <row r="542" spans="1:23" ht="16" x14ac:dyDescent="0.2">
      <c r="A542" s="6"/>
      <c r="B542" s="7"/>
      <c r="C542" s="7"/>
      <c r="D542" s="7"/>
      <c r="E542" s="7"/>
      <c r="F542" s="6"/>
      <c r="G542" s="6"/>
      <c r="H542" s="6"/>
      <c r="I542" s="6"/>
      <c r="J542" s="6"/>
      <c r="K542" s="6"/>
      <c r="L542" s="6"/>
      <c r="M542" s="6"/>
      <c r="N542" s="6"/>
      <c r="O542" s="6"/>
      <c r="P542" s="6"/>
      <c r="Q542" s="6"/>
      <c r="R542" s="6"/>
      <c r="S542" s="6"/>
      <c r="T542" s="6"/>
      <c r="U542" s="6"/>
      <c r="V542" s="6"/>
      <c r="W542" s="6"/>
    </row>
    <row r="543" spans="1:23" ht="16" x14ac:dyDescent="0.2">
      <c r="A543" s="6"/>
      <c r="B543" s="7"/>
      <c r="C543" s="7"/>
      <c r="D543" s="7"/>
      <c r="E543" s="7"/>
      <c r="F543" s="6"/>
      <c r="G543" s="6"/>
      <c r="H543" s="6"/>
      <c r="I543" s="6"/>
      <c r="J543" s="6"/>
      <c r="K543" s="6"/>
      <c r="L543" s="6"/>
      <c r="M543" s="6"/>
      <c r="N543" s="6"/>
      <c r="O543" s="6"/>
      <c r="P543" s="6"/>
      <c r="Q543" s="6"/>
      <c r="R543" s="6"/>
      <c r="S543" s="6"/>
      <c r="T543" s="6"/>
      <c r="U543" s="6"/>
      <c r="V543" s="6"/>
      <c r="W543" s="6"/>
    </row>
    <row r="544" spans="1:23" ht="16" x14ac:dyDescent="0.2">
      <c r="A544" s="6"/>
      <c r="B544" s="7"/>
      <c r="C544" s="7"/>
      <c r="D544" s="7"/>
      <c r="E544" s="7"/>
      <c r="F544" s="6"/>
      <c r="G544" s="6"/>
      <c r="H544" s="6"/>
      <c r="I544" s="6"/>
      <c r="J544" s="6"/>
      <c r="K544" s="6"/>
      <c r="L544" s="6"/>
      <c r="M544" s="6"/>
      <c r="N544" s="6"/>
      <c r="O544" s="6"/>
      <c r="P544" s="6"/>
      <c r="Q544" s="6"/>
      <c r="R544" s="6"/>
      <c r="S544" s="6"/>
      <c r="T544" s="6"/>
      <c r="U544" s="6"/>
      <c r="V544" s="6"/>
      <c r="W544" s="6"/>
    </row>
    <row r="545" spans="1:23" ht="16" x14ac:dyDescent="0.2">
      <c r="A545" s="6"/>
      <c r="B545" s="7"/>
      <c r="C545" s="7"/>
      <c r="D545" s="7"/>
      <c r="E545" s="7"/>
      <c r="F545" s="6"/>
      <c r="G545" s="6"/>
      <c r="H545" s="6"/>
      <c r="I545" s="6"/>
      <c r="J545" s="6"/>
      <c r="K545" s="6"/>
      <c r="L545" s="6"/>
      <c r="M545" s="6"/>
      <c r="N545" s="6"/>
      <c r="O545" s="6"/>
      <c r="P545" s="6"/>
      <c r="Q545" s="6"/>
      <c r="R545" s="6"/>
      <c r="S545" s="6"/>
      <c r="T545" s="6"/>
      <c r="U545" s="6"/>
      <c r="V545" s="6"/>
      <c r="W545" s="6"/>
    </row>
    <row r="546" spans="1:23" ht="16" x14ac:dyDescent="0.2">
      <c r="A546" s="6"/>
      <c r="B546" s="7"/>
      <c r="C546" s="7"/>
      <c r="D546" s="7"/>
      <c r="E546" s="7"/>
      <c r="F546" s="6"/>
      <c r="G546" s="6"/>
      <c r="H546" s="6"/>
      <c r="I546" s="6"/>
      <c r="J546" s="6"/>
      <c r="K546" s="6"/>
      <c r="L546" s="6"/>
      <c r="M546" s="6"/>
      <c r="N546" s="6"/>
      <c r="O546" s="6"/>
      <c r="P546" s="6"/>
      <c r="Q546" s="6"/>
      <c r="R546" s="6"/>
      <c r="S546" s="6"/>
      <c r="T546" s="6"/>
      <c r="U546" s="6"/>
      <c r="V546" s="6"/>
      <c r="W546" s="6"/>
    </row>
    <row r="547" spans="1:23" ht="16" x14ac:dyDescent="0.2">
      <c r="A547" s="6"/>
      <c r="B547" s="7"/>
      <c r="C547" s="7"/>
      <c r="D547" s="7"/>
      <c r="E547" s="7"/>
      <c r="F547" s="6"/>
      <c r="G547" s="6"/>
      <c r="H547" s="6"/>
      <c r="I547" s="6"/>
      <c r="J547" s="6"/>
      <c r="K547" s="6"/>
      <c r="L547" s="6"/>
      <c r="M547" s="6"/>
      <c r="N547" s="6"/>
      <c r="O547" s="6"/>
      <c r="P547" s="6"/>
      <c r="Q547" s="6"/>
      <c r="R547" s="6"/>
      <c r="S547" s="6"/>
      <c r="T547" s="6"/>
      <c r="U547" s="6"/>
      <c r="V547" s="6"/>
      <c r="W547" s="6"/>
    </row>
    <row r="548" spans="1:23" ht="16" x14ac:dyDescent="0.2">
      <c r="A548" s="6"/>
      <c r="B548" s="7"/>
      <c r="C548" s="7"/>
      <c r="D548" s="7"/>
      <c r="E548" s="7"/>
      <c r="F548" s="6"/>
      <c r="G548" s="6"/>
      <c r="H548" s="6"/>
      <c r="I548" s="6"/>
      <c r="J548" s="6"/>
      <c r="K548" s="6"/>
      <c r="L548" s="6"/>
      <c r="M548" s="6"/>
      <c r="N548" s="6"/>
      <c r="O548" s="6"/>
      <c r="P548" s="6"/>
      <c r="Q548" s="6"/>
      <c r="R548" s="6"/>
      <c r="S548" s="6"/>
      <c r="T548" s="6"/>
      <c r="U548" s="6"/>
      <c r="V548" s="6"/>
      <c r="W548" s="6"/>
    </row>
    <row r="549" spans="1:23" ht="16" x14ac:dyDescent="0.2">
      <c r="A549" s="6"/>
      <c r="B549" s="7"/>
      <c r="C549" s="7"/>
      <c r="D549" s="7"/>
      <c r="E549" s="7"/>
      <c r="F549" s="6"/>
      <c r="G549" s="6"/>
      <c r="H549" s="6"/>
      <c r="I549" s="6"/>
      <c r="J549" s="6"/>
      <c r="K549" s="6"/>
      <c r="L549" s="6"/>
      <c r="M549" s="6"/>
      <c r="N549" s="6"/>
      <c r="O549" s="6"/>
      <c r="P549" s="6"/>
      <c r="Q549" s="6"/>
      <c r="R549" s="6"/>
      <c r="S549" s="6"/>
      <c r="T549" s="6"/>
      <c r="U549" s="6"/>
      <c r="V549" s="6"/>
      <c r="W549" s="6"/>
    </row>
    <row r="550" spans="1:23" ht="16" x14ac:dyDescent="0.2">
      <c r="A550" s="6"/>
      <c r="B550" s="7"/>
      <c r="C550" s="7"/>
      <c r="D550" s="7"/>
      <c r="E550" s="7"/>
      <c r="F550" s="6"/>
      <c r="G550" s="6"/>
      <c r="H550" s="6"/>
      <c r="I550" s="6"/>
      <c r="J550" s="6"/>
      <c r="K550" s="6"/>
      <c r="L550" s="6"/>
      <c r="M550" s="6"/>
      <c r="N550" s="6"/>
      <c r="O550" s="6"/>
      <c r="P550" s="6"/>
      <c r="Q550" s="6"/>
      <c r="R550" s="6"/>
      <c r="S550" s="6"/>
      <c r="T550" s="6"/>
      <c r="U550" s="6"/>
      <c r="V550" s="6"/>
      <c r="W550" s="6"/>
    </row>
    <row r="551" spans="1:23" ht="16" x14ac:dyDescent="0.2">
      <c r="A551" s="6"/>
      <c r="B551" s="7"/>
      <c r="C551" s="7"/>
      <c r="D551" s="7"/>
      <c r="E551" s="7"/>
      <c r="F551" s="6"/>
      <c r="G551" s="6"/>
      <c r="H551" s="6"/>
      <c r="I551" s="6"/>
      <c r="J551" s="6"/>
      <c r="K551" s="6"/>
      <c r="L551" s="6"/>
      <c r="M551" s="6"/>
      <c r="N551" s="6"/>
      <c r="O551" s="6"/>
      <c r="P551" s="6"/>
      <c r="Q551" s="6"/>
      <c r="R551" s="6"/>
      <c r="S551" s="6"/>
      <c r="T551" s="6"/>
      <c r="U551" s="6"/>
      <c r="V551" s="6"/>
      <c r="W551" s="6"/>
    </row>
    <row r="552" spans="1:23" ht="16" x14ac:dyDescent="0.2">
      <c r="A552" s="6"/>
      <c r="B552" s="7"/>
      <c r="C552" s="7"/>
      <c r="D552" s="7"/>
      <c r="E552" s="7"/>
      <c r="F552" s="6"/>
      <c r="G552" s="6"/>
      <c r="H552" s="6"/>
      <c r="I552" s="6"/>
      <c r="J552" s="6"/>
      <c r="K552" s="6"/>
      <c r="L552" s="6"/>
      <c r="M552" s="6"/>
      <c r="N552" s="6"/>
      <c r="O552" s="6"/>
      <c r="P552" s="6"/>
      <c r="Q552" s="6"/>
      <c r="R552" s="6"/>
      <c r="S552" s="6"/>
      <c r="T552" s="6"/>
      <c r="U552" s="6"/>
      <c r="V552" s="6"/>
      <c r="W552" s="6"/>
    </row>
    <row r="553" spans="1:23" ht="16" x14ac:dyDescent="0.2">
      <c r="A553" s="6"/>
      <c r="B553" s="7"/>
      <c r="C553" s="7"/>
      <c r="D553" s="7"/>
      <c r="E553" s="7"/>
      <c r="F553" s="6"/>
      <c r="G553" s="6"/>
      <c r="H553" s="6"/>
      <c r="I553" s="6"/>
      <c r="J553" s="6"/>
      <c r="K553" s="6"/>
      <c r="L553" s="6"/>
      <c r="M553" s="6"/>
      <c r="N553" s="6"/>
      <c r="O553" s="6"/>
      <c r="P553" s="6"/>
      <c r="Q553" s="6"/>
      <c r="R553" s="6"/>
      <c r="S553" s="6"/>
      <c r="T553" s="6"/>
      <c r="U553" s="6"/>
      <c r="V553" s="6"/>
      <c r="W553" s="6"/>
    </row>
    <row r="554" spans="1:23" ht="16" x14ac:dyDescent="0.2">
      <c r="A554" s="6"/>
      <c r="B554" s="7"/>
      <c r="C554" s="7"/>
      <c r="D554" s="7"/>
      <c r="E554" s="7"/>
      <c r="F554" s="6"/>
      <c r="G554" s="6"/>
      <c r="H554" s="6"/>
      <c r="I554" s="6"/>
      <c r="J554" s="6"/>
      <c r="K554" s="6"/>
      <c r="L554" s="6"/>
      <c r="M554" s="6"/>
      <c r="N554" s="6"/>
      <c r="O554" s="6"/>
      <c r="P554" s="6"/>
      <c r="Q554" s="6"/>
      <c r="R554" s="6"/>
      <c r="S554" s="6"/>
      <c r="T554" s="6"/>
      <c r="U554" s="6"/>
      <c r="V554" s="6"/>
      <c r="W554" s="6"/>
    </row>
    <row r="555" spans="1:23" ht="16" x14ac:dyDescent="0.2">
      <c r="A555" s="6"/>
      <c r="B555" s="7"/>
      <c r="C555" s="7"/>
      <c r="D555" s="7"/>
      <c r="E555" s="7"/>
      <c r="F555" s="6"/>
      <c r="G555" s="6"/>
      <c r="H555" s="6"/>
      <c r="I555" s="6"/>
      <c r="J555" s="6"/>
      <c r="K555" s="6"/>
      <c r="L555" s="6"/>
      <c r="M555" s="6"/>
      <c r="N555" s="6"/>
      <c r="O555" s="6"/>
      <c r="P555" s="6"/>
      <c r="Q555" s="6"/>
      <c r="R555" s="6"/>
      <c r="S555" s="6"/>
      <c r="T555" s="6"/>
      <c r="U555" s="6"/>
      <c r="V555" s="6"/>
      <c r="W555" s="6"/>
    </row>
    <row r="556" spans="1:23" ht="16" x14ac:dyDescent="0.2">
      <c r="A556" s="6"/>
      <c r="B556" s="7"/>
      <c r="C556" s="7"/>
      <c r="D556" s="7"/>
      <c r="E556" s="7"/>
      <c r="F556" s="6"/>
      <c r="G556" s="6"/>
      <c r="H556" s="6"/>
      <c r="I556" s="6"/>
      <c r="J556" s="6"/>
      <c r="K556" s="6"/>
      <c r="L556" s="6"/>
      <c r="M556" s="6"/>
      <c r="N556" s="6"/>
      <c r="O556" s="6"/>
      <c r="P556" s="6"/>
      <c r="Q556" s="6"/>
      <c r="R556" s="6"/>
      <c r="S556" s="6"/>
      <c r="T556" s="6"/>
      <c r="U556" s="6"/>
      <c r="V556" s="6"/>
      <c r="W556" s="6"/>
    </row>
    <row r="557" spans="1:23" ht="16" x14ac:dyDescent="0.2">
      <c r="A557" s="6"/>
      <c r="B557" s="7"/>
      <c r="C557" s="7"/>
      <c r="D557" s="7"/>
      <c r="E557" s="7"/>
      <c r="F557" s="6"/>
      <c r="G557" s="6"/>
      <c r="H557" s="6"/>
      <c r="I557" s="6"/>
      <c r="J557" s="6"/>
      <c r="K557" s="6"/>
      <c r="L557" s="6"/>
      <c r="M557" s="6"/>
      <c r="N557" s="6"/>
      <c r="O557" s="6"/>
      <c r="P557" s="6"/>
      <c r="Q557" s="6"/>
      <c r="R557" s="6"/>
      <c r="S557" s="6"/>
      <c r="T557" s="6"/>
      <c r="U557" s="6"/>
      <c r="V557" s="6"/>
      <c r="W557" s="6"/>
    </row>
    <row r="558" spans="1:23" ht="16" x14ac:dyDescent="0.2">
      <c r="A558" s="6"/>
      <c r="B558" s="7"/>
      <c r="C558" s="7"/>
      <c r="D558" s="7"/>
      <c r="E558" s="7"/>
      <c r="F558" s="6"/>
      <c r="G558" s="6"/>
      <c r="H558" s="6"/>
      <c r="I558" s="6"/>
      <c r="J558" s="6"/>
      <c r="K558" s="6"/>
      <c r="L558" s="6"/>
      <c r="M558" s="6"/>
      <c r="N558" s="6"/>
      <c r="O558" s="6"/>
      <c r="P558" s="6"/>
      <c r="Q558" s="6"/>
      <c r="R558" s="6"/>
      <c r="S558" s="6"/>
      <c r="T558" s="6"/>
      <c r="U558" s="6"/>
      <c r="V558" s="6"/>
      <c r="W558" s="6"/>
    </row>
    <row r="559" spans="1:23" ht="16" x14ac:dyDescent="0.2">
      <c r="A559" s="6"/>
      <c r="B559" s="7"/>
      <c r="C559" s="7"/>
      <c r="D559" s="7"/>
      <c r="E559" s="7"/>
      <c r="F559" s="6"/>
      <c r="G559" s="6"/>
      <c r="H559" s="6"/>
      <c r="I559" s="6"/>
      <c r="J559" s="6"/>
      <c r="K559" s="6"/>
      <c r="L559" s="6"/>
      <c r="M559" s="6"/>
      <c r="N559" s="6"/>
      <c r="O559" s="6"/>
      <c r="P559" s="6"/>
      <c r="Q559" s="6"/>
      <c r="R559" s="6"/>
      <c r="S559" s="6"/>
      <c r="T559" s="6"/>
      <c r="U559" s="6"/>
      <c r="V559" s="6"/>
      <c r="W559" s="6"/>
    </row>
    <row r="560" spans="1:23" ht="16" x14ac:dyDescent="0.2">
      <c r="A560" s="6"/>
      <c r="B560" s="7"/>
      <c r="C560" s="7"/>
      <c r="D560" s="7"/>
      <c r="E560" s="7"/>
      <c r="F560" s="6"/>
      <c r="G560" s="6"/>
      <c r="H560" s="6"/>
      <c r="I560" s="6"/>
      <c r="J560" s="6"/>
      <c r="K560" s="6"/>
      <c r="L560" s="6"/>
      <c r="M560" s="6"/>
      <c r="N560" s="6"/>
      <c r="O560" s="6"/>
      <c r="P560" s="6"/>
      <c r="Q560" s="6"/>
      <c r="R560" s="6"/>
      <c r="S560" s="6"/>
      <c r="T560" s="6"/>
      <c r="U560" s="6"/>
      <c r="V560" s="6"/>
      <c r="W560" s="6"/>
    </row>
    <row r="561" spans="1:23" ht="16" x14ac:dyDescent="0.2">
      <c r="A561" s="6"/>
      <c r="B561" s="7"/>
      <c r="C561" s="7"/>
      <c r="D561" s="7"/>
      <c r="E561" s="7"/>
      <c r="F561" s="6"/>
      <c r="G561" s="6"/>
      <c r="H561" s="6"/>
      <c r="I561" s="6"/>
      <c r="J561" s="6"/>
      <c r="K561" s="6"/>
      <c r="L561" s="6"/>
      <c r="M561" s="6"/>
      <c r="N561" s="6"/>
      <c r="O561" s="6"/>
      <c r="P561" s="6"/>
      <c r="Q561" s="6"/>
      <c r="R561" s="6"/>
      <c r="S561" s="6"/>
      <c r="T561" s="6"/>
      <c r="U561" s="6"/>
      <c r="V561" s="6"/>
      <c r="W561" s="6"/>
    </row>
    <row r="562" spans="1:23" ht="16" x14ac:dyDescent="0.2">
      <c r="A562" s="6"/>
      <c r="B562" s="7"/>
      <c r="C562" s="7"/>
      <c r="D562" s="7"/>
      <c r="E562" s="7"/>
      <c r="F562" s="6"/>
      <c r="G562" s="6"/>
      <c r="H562" s="6"/>
      <c r="I562" s="6"/>
      <c r="J562" s="6"/>
      <c r="K562" s="6"/>
      <c r="L562" s="6"/>
      <c r="M562" s="6"/>
      <c r="N562" s="6"/>
      <c r="O562" s="6"/>
      <c r="P562" s="6"/>
      <c r="Q562" s="6"/>
      <c r="R562" s="6"/>
      <c r="S562" s="6"/>
      <c r="T562" s="6"/>
      <c r="U562" s="6"/>
      <c r="V562" s="6"/>
      <c r="W562" s="6"/>
    </row>
    <row r="563" spans="1:23" ht="16" x14ac:dyDescent="0.2">
      <c r="A563" s="6"/>
      <c r="B563" s="7"/>
      <c r="C563" s="7"/>
      <c r="D563" s="7"/>
      <c r="E563" s="7"/>
      <c r="F563" s="6"/>
      <c r="G563" s="6"/>
      <c r="H563" s="6"/>
      <c r="I563" s="6"/>
      <c r="J563" s="6"/>
      <c r="K563" s="6"/>
      <c r="L563" s="6"/>
      <c r="M563" s="6"/>
      <c r="N563" s="6"/>
      <c r="O563" s="6"/>
      <c r="P563" s="6"/>
      <c r="Q563" s="6"/>
      <c r="R563" s="6"/>
      <c r="S563" s="6"/>
      <c r="T563" s="6"/>
      <c r="U563" s="6"/>
      <c r="V563" s="6"/>
      <c r="W563" s="6"/>
    </row>
    <row r="564" spans="1:23" ht="16" x14ac:dyDescent="0.2">
      <c r="A564" s="6"/>
      <c r="B564" s="7"/>
      <c r="C564" s="7"/>
      <c r="D564" s="7"/>
      <c r="E564" s="7"/>
      <c r="F564" s="6"/>
      <c r="G564" s="6"/>
      <c r="H564" s="6"/>
      <c r="I564" s="6"/>
      <c r="J564" s="6"/>
      <c r="K564" s="6"/>
      <c r="L564" s="6"/>
      <c r="M564" s="6"/>
      <c r="N564" s="6"/>
      <c r="O564" s="6"/>
      <c r="P564" s="6"/>
      <c r="Q564" s="6"/>
      <c r="R564" s="6"/>
      <c r="S564" s="6"/>
      <c r="T564" s="6"/>
      <c r="U564" s="6"/>
      <c r="V564" s="6"/>
      <c r="W564" s="6"/>
    </row>
    <row r="565" spans="1:23" ht="16" x14ac:dyDescent="0.2">
      <c r="A565" s="6"/>
      <c r="B565" s="7"/>
      <c r="C565" s="7"/>
      <c r="D565" s="7"/>
      <c r="E565" s="7"/>
      <c r="F565" s="6"/>
      <c r="G565" s="6"/>
      <c r="H565" s="6"/>
      <c r="I565" s="6"/>
      <c r="J565" s="6"/>
      <c r="K565" s="6"/>
      <c r="L565" s="6"/>
      <c r="M565" s="6"/>
      <c r="N565" s="6"/>
      <c r="O565" s="6"/>
      <c r="P565" s="6"/>
      <c r="Q565" s="6"/>
      <c r="R565" s="6"/>
      <c r="S565" s="6"/>
      <c r="T565" s="6"/>
      <c r="U565" s="6"/>
      <c r="V565" s="6"/>
      <c r="W565" s="6"/>
    </row>
    <row r="566" spans="1:23" ht="16" x14ac:dyDescent="0.2">
      <c r="A566" s="6"/>
      <c r="B566" s="7"/>
      <c r="C566" s="7"/>
      <c r="D566" s="7"/>
      <c r="E566" s="7"/>
      <c r="F566" s="6"/>
      <c r="G566" s="6"/>
      <c r="H566" s="6"/>
      <c r="I566" s="6"/>
      <c r="J566" s="6"/>
      <c r="K566" s="6"/>
      <c r="L566" s="6"/>
      <c r="M566" s="6"/>
      <c r="N566" s="6"/>
      <c r="O566" s="6"/>
      <c r="P566" s="6"/>
      <c r="Q566" s="6"/>
      <c r="R566" s="6"/>
      <c r="S566" s="6"/>
      <c r="T566" s="6"/>
      <c r="U566" s="6"/>
      <c r="V566" s="6"/>
      <c r="W566" s="6"/>
    </row>
    <row r="567" spans="1:23" ht="16" x14ac:dyDescent="0.2">
      <c r="A567" s="6"/>
      <c r="B567" s="7"/>
      <c r="C567" s="7"/>
      <c r="D567" s="7"/>
      <c r="E567" s="7"/>
      <c r="F567" s="6"/>
      <c r="G567" s="6"/>
      <c r="H567" s="6"/>
      <c r="I567" s="6"/>
      <c r="J567" s="6"/>
      <c r="K567" s="6"/>
      <c r="L567" s="6"/>
      <c r="M567" s="6"/>
      <c r="N567" s="6"/>
      <c r="O567" s="6"/>
      <c r="P567" s="6"/>
      <c r="Q567" s="6"/>
      <c r="R567" s="6"/>
      <c r="S567" s="6"/>
      <c r="T567" s="6"/>
      <c r="U567" s="6"/>
      <c r="V567" s="6"/>
      <c r="W567" s="6"/>
    </row>
    <row r="568" spans="1:23" ht="16" x14ac:dyDescent="0.2">
      <c r="A568" s="6"/>
      <c r="B568" s="7"/>
      <c r="C568" s="7"/>
      <c r="D568" s="7"/>
      <c r="E568" s="7"/>
      <c r="F568" s="6"/>
      <c r="G568" s="6"/>
      <c r="H568" s="6"/>
      <c r="I568" s="6"/>
      <c r="J568" s="6"/>
      <c r="K568" s="6"/>
      <c r="L568" s="6"/>
      <c r="M568" s="6"/>
      <c r="N568" s="6"/>
      <c r="O568" s="6"/>
      <c r="P568" s="6"/>
      <c r="Q568" s="6"/>
      <c r="R568" s="6"/>
      <c r="S568" s="6"/>
      <c r="T568" s="6"/>
      <c r="U568" s="6"/>
      <c r="V568" s="6"/>
      <c r="W568" s="6"/>
    </row>
    <row r="569" spans="1:23" ht="16" x14ac:dyDescent="0.2">
      <c r="A569" s="6"/>
      <c r="B569" s="7"/>
      <c r="C569" s="7"/>
      <c r="D569" s="7"/>
      <c r="E569" s="7"/>
      <c r="F569" s="6"/>
      <c r="G569" s="6"/>
      <c r="H569" s="6"/>
      <c r="I569" s="6"/>
      <c r="J569" s="6"/>
      <c r="K569" s="6"/>
      <c r="L569" s="6"/>
      <c r="M569" s="6"/>
      <c r="N569" s="6"/>
      <c r="O569" s="6"/>
      <c r="P569" s="6"/>
      <c r="Q569" s="6"/>
      <c r="R569" s="6"/>
      <c r="S569" s="6"/>
      <c r="T569" s="6"/>
      <c r="U569" s="6"/>
      <c r="V569" s="6"/>
      <c r="W569" s="6"/>
    </row>
    <row r="570" spans="1:23" ht="16" x14ac:dyDescent="0.2">
      <c r="A570" s="6"/>
      <c r="B570" s="7"/>
      <c r="C570" s="7"/>
      <c r="D570" s="7"/>
      <c r="E570" s="7"/>
      <c r="F570" s="6"/>
      <c r="G570" s="6"/>
      <c r="H570" s="6"/>
      <c r="I570" s="6"/>
      <c r="J570" s="6"/>
      <c r="K570" s="6"/>
      <c r="L570" s="6"/>
      <c r="M570" s="6"/>
      <c r="N570" s="6"/>
      <c r="O570" s="6"/>
      <c r="P570" s="6"/>
      <c r="Q570" s="6"/>
      <c r="R570" s="6"/>
      <c r="S570" s="6"/>
      <c r="T570" s="6"/>
      <c r="U570" s="6"/>
      <c r="V570" s="6"/>
      <c r="W570" s="6"/>
    </row>
    <row r="571" spans="1:23" ht="16" x14ac:dyDescent="0.2">
      <c r="A571" s="6"/>
      <c r="B571" s="7"/>
      <c r="C571" s="7"/>
      <c r="D571" s="7"/>
      <c r="E571" s="7"/>
      <c r="F571" s="6"/>
      <c r="G571" s="6"/>
      <c r="H571" s="6"/>
      <c r="I571" s="6"/>
      <c r="J571" s="6"/>
      <c r="K571" s="6"/>
      <c r="L571" s="6"/>
      <c r="M571" s="6"/>
      <c r="N571" s="6"/>
      <c r="O571" s="6"/>
      <c r="P571" s="6"/>
      <c r="Q571" s="6"/>
      <c r="R571" s="6"/>
      <c r="S571" s="6"/>
      <c r="T571" s="6"/>
      <c r="U571" s="6"/>
      <c r="V571" s="6"/>
      <c r="W571" s="6"/>
    </row>
    <row r="572" spans="1:23" ht="16" x14ac:dyDescent="0.2">
      <c r="A572" s="6"/>
      <c r="B572" s="7"/>
      <c r="C572" s="7"/>
      <c r="D572" s="7"/>
      <c r="E572" s="7"/>
      <c r="F572" s="6"/>
      <c r="G572" s="6"/>
      <c r="H572" s="6"/>
      <c r="I572" s="6"/>
      <c r="J572" s="6"/>
      <c r="K572" s="6"/>
      <c r="L572" s="6"/>
      <c r="M572" s="6"/>
      <c r="N572" s="6"/>
      <c r="O572" s="6"/>
      <c r="P572" s="6"/>
      <c r="Q572" s="6"/>
      <c r="R572" s="6"/>
      <c r="S572" s="6"/>
      <c r="T572" s="6"/>
      <c r="U572" s="6"/>
      <c r="V572" s="6"/>
      <c r="W572" s="6"/>
    </row>
    <row r="573" spans="1:23" ht="16" x14ac:dyDescent="0.2">
      <c r="A573" s="6"/>
      <c r="B573" s="7"/>
      <c r="C573" s="7"/>
      <c r="D573" s="7"/>
      <c r="E573" s="7"/>
      <c r="F573" s="6"/>
      <c r="G573" s="6"/>
      <c r="H573" s="6"/>
      <c r="I573" s="6"/>
      <c r="J573" s="6"/>
      <c r="K573" s="6"/>
      <c r="L573" s="6"/>
      <c r="M573" s="6"/>
      <c r="N573" s="6"/>
      <c r="O573" s="6"/>
      <c r="P573" s="6"/>
      <c r="Q573" s="6"/>
      <c r="R573" s="6"/>
      <c r="S573" s="6"/>
      <c r="T573" s="6"/>
      <c r="U573" s="6"/>
      <c r="V573" s="6"/>
      <c r="W573" s="6"/>
    </row>
    <row r="574" spans="1:23" ht="16" x14ac:dyDescent="0.2">
      <c r="A574" s="6"/>
      <c r="B574" s="7"/>
      <c r="C574" s="7"/>
      <c r="D574" s="7"/>
      <c r="E574" s="7"/>
      <c r="F574" s="6"/>
      <c r="G574" s="6"/>
      <c r="H574" s="6"/>
      <c r="I574" s="6"/>
      <c r="J574" s="6"/>
      <c r="K574" s="6"/>
      <c r="L574" s="6"/>
      <c r="M574" s="6"/>
      <c r="N574" s="6"/>
      <c r="O574" s="6"/>
      <c r="P574" s="6"/>
      <c r="Q574" s="6"/>
      <c r="R574" s="6"/>
      <c r="S574" s="6"/>
      <c r="T574" s="6"/>
      <c r="U574" s="6"/>
      <c r="V574" s="6"/>
      <c r="W574" s="6"/>
    </row>
    <row r="575" spans="1:23" ht="16" x14ac:dyDescent="0.2">
      <c r="A575" s="6"/>
      <c r="B575" s="7"/>
      <c r="C575" s="7"/>
      <c r="D575" s="7"/>
      <c r="E575" s="7"/>
      <c r="F575" s="6"/>
      <c r="G575" s="6"/>
      <c r="H575" s="6"/>
      <c r="I575" s="6"/>
      <c r="J575" s="6"/>
      <c r="K575" s="6"/>
      <c r="L575" s="6"/>
      <c r="M575" s="6"/>
      <c r="N575" s="6"/>
      <c r="O575" s="6"/>
      <c r="P575" s="6"/>
      <c r="Q575" s="6"/>
      <c r="R575" s="6"/>
      <c r="S575" s="6"/>
      <c r="T575" s="6"/>
      <c r="U575" s="6"/>
      <c r="V575" s="6"/>
      <c r="W575" s="6"/>
    </row>
    <row r="576" spans="1:23" ht="16" x14ac:dyDescent="0.2">
      <c r="A576" s="6"/>
      <c r="B576" s="7"/>
      <c r="C576" s="7"/>
      <c r="D576" s="7"/>
      <c r="E576" s="7"/>
      <c r="F576" s="6"/>
      <c r="G576" s="6"/>
      <c r="H576" s="6"/>
      <c r="I576" s="6"/>
      <c r="J576" s="6"/>
      <c r="K576" s="6"/>
      <c r="L576" s="6"/>
      <c r="M576" s="6"/>
      <c r="N576" s="6"/>
      <c r="O576" s="6"/>
      <c r="P576" s="6"/>
      <c r="Q576" s="6"/>
      <c r="R576" s="6"/>
      <c r="S576" s="6"/>
      <c r="T576" s="6"/>
      <c r="U576" s="6"/>
      <c r="V576" s="6"/>
      <c r="W576" s="6"/>
    </row>
    <row r="577" spans="1:23" ht="16" x14ac:dyDescent="0.2">
      <c r="A577" s="6"/>
      <c r="B577" s="7"/>
      <c r="C577" s="7"/>
      <c r="D577" s="7"/>
      <c r="E577" s="7"/>
      <c r="F577" s="6"/>
      <c r="G577" s="6"/>
      <c r="H577" s="6"/>
      <c r="I577" s="6"/>
      <c r="J577" s="6"/>
      <c r="K577" s="6"/>
      <c r="L577" s="6"/>
      <c r="M577" s="6"/>
      <c r="N577" s="6"/>
      <c r="O577" s="6"/>
      <c r="P577" s="6"/>
      <c r="Q577" s="6"/>
      <c r="R577" s="6"/>
      <c r="S577" s="6"/>
      <c r="T577" s="6"/>
      <c r="U577" s="6"/>
      <c r="V577" s="6"/>
      <c r="W577" s="6"/>
    </row>
    <row r="578" spans="1:23" ht="16" x14ac:dyDescent="0.2">
      <c r="A578" s="6"/>
      <c r="B578" s="7"/>
      <c r="C578" s="7"/>
      <c r="D578" s="7"/>
      <c r="E578" s="7"/>
      <c r="F578" s="6"/>
      <c r="G578" s="6"/>
      <c r="H578" s="6"/>
      <c r="I578" s="6"/>
      <c r="J578" s="6"/>
      <c r="K578" s="6"/>
      <c r="L578" s="6"/>
      <c r="M578" s="6"/>
      <c r="N578" s="6"/>
      <c r="O578" s="6"/>
      <c r="P578" s="6"/>
      <c r="Q578" s="6"/>
      <c r="R578" s="6"/>
      <c r="S578" s="6"/>
      <c r="T578" s="6"/>
      <c r="U578" s="6"/>
      <c r="V578" s="6"/>
      <c r="W578" s="6"/>
    </row>
    <row r="579" spans="1:23" ht="16" x14ac:dyDescent="0.2">
      <c r="A579" s="6"/>
      <c r="B579" s="7"/>
      <c r="C579" s="7"/>
      <c r="D579" s="7"/>
      <c r="E579" s="7"/>
      <c r="F579" s="6"/>
      <c r="G579" s="6"/>
      <c r="H579" s="6"/>
      <c r="I579" s="6"/>
      <c r="J579" s="6"/>
      <c r="K579" s="6"/>
      <c r="L579" s="6"/>
      <c r="M579" s="6"/>
      <c r="N579" s="6"/>
      <c r="O579" s="6"/>
      <c r="P579" s="6"/>
      <c r="Q579" s="6"/>
      <c r="R579" s="6"/>
      <c r="S579" s="6"/>
      <c r="T579" s="6"/>
      <c r="U579" s="6"/>
      <c r="V579" s="6"/>
      <c r="W579" s="6"/>
    </row>
    <row r="580" spans="1:23" ht="16" x14ac:dyDescent="0.2">
      <c r="A580" s="6"/>
      <c r="B580" s="7"/>
      <c r="C580" s="7"/>
      <c r="D580" s="7"/>
      <c r="E580" s="7"/>
      <c r="F580" s="6"/>
      <c r="G580" s="6"/>
      <c r="H580" s="6"/>
      <c r="I580" s="6"/>
      <c r="J580" s="6"/>
      <c r="K580" s="6"/>
      <c r="L580" s="6"/>
      <c r="M580" s="6"/>
      <c r="N580" s="6"/>
      <c r="O580" s="6"/>
      <c r="P580" s="6"/>
      <c r="Q580" s="6"/>
      <c r="R580" s="6"/>
      <c r="S580" s="6"/>
      <c r="T580" s="6"/>
      <c r="U580" s="6"/>
      <c r="V580" s="6"/>
      <c r="W580" s="6"/>
    </row>
    <row r="581" spans="1:23" ht="16" x14ac:dyDescent="0.2">
      <c r="A581" s="6"/>
      <c r="B581" s="7"/>
      <c r="C581" s="7"/>
      <c r="D581" s="7"/>
      <c r="E581" s="7"/>
      <c r="F581" s="6"/>
      <c r="G581" s="6"/>
      <c r="H581" s="6"/>
      <c r="I581" s="6"/>
      <c r="J581" s="6"/>
      <c r="K581" s="6"/>
      <c r="L581" s="6"/>
      <c r="M581" s="6"/>
      <c r="N581" s="6"/>
      <c r="O581" s="6"/>
      <c r="P581" s="6"/>
      <c r="Q581" s="6"/>
      <c r="R581" s="6"/>
      <c r="S581" s="6"/>
      <c r="T581" s="6"/>
      <c r="U581" s="6"/>
      <c r="V581" s="6"/>
      <c r="W581" s="6"/>
    </row>
    <row r="582" spans="1:23" ht="16" x14ac:dyDescent="0.2">
      <c r="A582" s="6"/>
      <c r="B582" s="7"/>
      <c r="C582" s="7"/>
      <c r="D582" s="7"/>
      <c r="E582" s="7"/>
      <c r="F582" s="6"/>
      <c r="G582" s="6"/>
      <c r="H582" s="6"/>
      <c r="I582" s="6"/>
      <c r="J582" s="6"/>
      <c r="K582" s="6"/>
      <c r="L582" s="6"/>
      <c r="M582" s="6"/>
      <c r="N582" s="6"/>
      <c r="O582" s="6"/>
      <c r="P582" s="6"/>
      <c r="Q582" s="6"/>
      <c r="R582" s="6"/>
      <c r="S582" s="6"/>
      <c r="T582" s="6"/>
      <c r="U582" s="6"/>
      <c r="V582" s="6"/>
      <c r="W582" s="6"/>
    </row>
    <row r="583" spans="1:23" ht="16" x14ac:dyDescent="0.2">
      <c r="A583" s="6"/>
      <c r="B583" s="7"/>
      <c r="C583" s="7"/>
      <c r="D583" s="7"/>
      <c r="E583" s="7"/>
      <c r="F583" s="6"/>
      <c r="G583" s="6"/>
      <c r="H583" s="6"/>
      <c r="I583" s="6"/>
      <c r="J583" s="6"/>
      <c r="K583" s="6"/>
      <c r="L583" s="6"/>
      <c r="M583" s="6"/>
      <c r="N583" s="6"/>
      <c r="O583" s="6"/>
      <c r="P583" s="6"/>
      <c r="Q583" s="6"/>
      <c r="R583" s="6"/>
      <c r="S583" s="6"/>
      <c r="T583" s="6"/>
      <c r="U583" s="6"/>
      <c r="V583" s="6"/>
      <c r="W583" s="6"/>
    </row>
    <row r="584" spans="1:23" ht="16" x14ac:dyDescent="0.2">
      <c r="A584" s="6"/>
      <c r="B584" s="7"/>
      <c r="C584" s="7"/>
      <c r="D584" s="7"/>
      <c r="E584" s="7"/>
      <c r="F584" s="6"/>
      <c r="G584" s="6"/>
      <c r="H584" s="6"/>
      <c r="I584" s="6"/>
      <c r="J584" s="6"/>
      <c r="K584" s="6"/>
      <c r="L584" s="6"/>
      <c r="M584" s="6"/>
      <c r="N584" s="6"/>
      <c r="O584" s="6"/>
      <c r="P584" s="6"/>
      <c r="Q584" s="6"/>
      <c r="R584" s="6"/>
      <c r="S584" s="6"/>
      <c r="T584" s="6"/>
      <c r="U584" s="6"/>
      <c r="V584" s="6"/>
      <c r="W584" s="6"/>
    </row>
    <row r="585" spans="1:23" ht="16" x14ac:dyDescent="0.2">
      <c r="A585" s="6"/>
      <c r="B585" s="7"/>
      <c r="C585" s="7"/>
      <c r="D585" s="7"/>
      <c r="E585" s="7"/>
      <c r="F585" s="6"/>
      <c r="G585" s="6"/>
      <c r="H585" s="6"/>
      <c r="I585" s="6"/>
      <c r="J585" s="6"/>
      <c r="K585" s="6"/>
      <c r="L585" s="6"/>
      <c r="M585" s="6"/>
      <c r="N585" s="6"/>
      <c r="O585" s="6"/>
      <c r="P585" s="6"/>
      <c r="Q585" s="6"/>
      <c r="R585" s="6"/>
      <c r="S585" s="6"/>
      <c r="T585" s="6"/>
      <c r="U585" s="6"/>
      <c r="V585" s="6"/>
      <c r="W585" s="6"/>
    </row>
    <row r="586" spans="1:23" ht="16" x14ac:dyDescent="0.2">
      <c r="A586" s="6"/>
      <c r="B586" s="7"/>
      <c r="C586" s="7"/>
      <c r="D586" s="7"/>
      <c r="E586" s="7"/>
      <c r="F586" s="6"/>
      <c r="G586" s="6"/>
      <c r="H586" s="6"/>
      <c r="I586" s="6"/>
      <c r="J586" s="6"/>
      <c r="K586" s="6"/>
      <c r="L586" s="6"/>
      <c r="M586" s="6"/>
      <c r="N586" s="6"/>
      <c r="O586" s="6"/>
      <c r="P586" s="6"/>
      <c r="Q586" s="6"/>
      <c r="R586" s="6"/>
      <c r="S586" s="6"/>
      <c r="T586" s="6"/>
      <c r="U586" s="6"/>
      <c r="V586" s="6"/>
      <c r="W586" s="6"/>
    </row>
    <row r="587" spans="1:23" ht="16" x14ac:dyDescent="0.2">
      <c r="A587" s="6"/>
      <c r="B587" s="7"/>
      <c r="C587" s="7"/>
      <c r="D587" s="7"/>
      <c r="E587" s="7"/>
      <c r="F587" s="6"/>
      <c r="G587" s="6"/>
      <c r="H587" s="6"/>
      <c r="I587" s="6"/>
      <c r="J587" s="6"/>
      <c r="K587" s="6"/>
      <c r="L587" s="6"/>
      <c r="M587" s="6"/>
      <c r="N587" s="6"/>
      <c r="O587" s="6"/>
      <c r="P587" s="6"/>
      <c r="Q587" s="6"/>
      <c r="R587" s="6"/>
      <c r="S587" s="6"/>
      <c r="T587" s="6"/>
      <c r="U587" s="6"/>
      <c r="V587" s="6"/>
      <c r="W587" s="6"/>
    </row>
    <row r="588" spans="1:23" ht="16" x14ac:dyDescent="0.2">
      <c r="A588" s="6"/>
      <c r="B588" s="7"/>
      <c r="C588" s="7"/>
      <c r="D588" s="7"/>
      <c r="E588" s="7"/>
      <c r="F588" s="6"/>
      <c r="G588" s="6"/>
      <c r="H588" s="6"/>
      <c r="I588" s="6"/>
      <c r="J588" s="6"/>
      <c r="K588" s="6"/>
      <c r="L588" s="6"/>
      <c r="M588" s="6"/>
      <c r="N588" s="6"/>
      <c r="O588" s="6"/>
      <c r="P588" s="6"/>
      <c r="Q588" s="6"/>
      <c r="R588" s="6"/>
      <c r="S588" s="6"/>
      <c r="T588" s="6"/>
      <c r="U588" s="6"/>
      <c r="V588" s="6"/>
      <c r="W588" s="6"/>
    </row>
    <row r="589" spans="1:23" ht="16" x14ac:dyDescent="0.2">
      <c r="A589" s="6"/>
      <c r="B589" s="7"/>
      <c r="C589" s="7"/>
      <c r="D589" s="7"/>
      <c r="E589" s="7"/>
      <c r="F589" s="6"/>
      <c r="G589" s="6"/>
      <c r="H589" s="6"/>
      <c r="I589" s="6"/>
      <c r="J589" s="6"/>
      <c r="K589" s="6"/>
      <c r="L589" s="6"/>
      <c r="M589" s="6"/>
      <c r="N589" s="6"/>
      <c r="O589" s="6"/>
      <c r="P589" s="6"/>
      <c r="Q589" s="6"/>
      <c r="R589" s="6"/>
      <c r="S589" s="6"/>
      <c r="T589" s="6"/>
      <c r="U589" s="6"/>
      <c r="V589" s="6"/>
      <c r="W589" s="6"/>
    </row>
    <row r="590" spans="1:23" ht="16" x14ac:dyDescent="0.2">
      <c r="A590" s="6"/>
      <c r="B590" s="7"/>
      <c r="C590" s="7"/>
      <c r="D590" s="7"/>
      <c r="E590" s="7"/>
      <c r="F590" s="6"/>
      <c r="G590" s="6"/>
      <c r="H590" s="6"/>
      <c r="I590" s="6"/>
      <c r="J590" s="6"/>
      <c r="K590" s="6"/>
      <c r="L590" s="6"/>
      <c r="M590" s="6"/>
      <c r="N590" s="6"/>
      <c r="O590" s="6"/>
      <c r="P590" s="6"/>
      <c r="Q590" s="6"/>
      <c r="R590" s="6"/>
      <c r="S590" s="6"/>
      <c r="T590" s="6"/>
      <c r="U590" s="6"/>
      <c r="V590" s="6"/>
      <c r="W590" s="6"/>
    </row>
    <row r="591" spans="1:23" ht="16" x14ac:dyDescent="0.2">
      <c r="A591" s="6"/>
      <c r="B591" s="7"/>
      <c r="C591" s="7"/>
      <c r="D591" s="7"/>
      <c r="E591" s="7"/>
      <c r="F591" s="6"/>
      <c r="G591" s="6"/>
      <c r="H591" s="6"/>
      <c r="I591" s="6"/>
      <c r="J591" s="6"/>
      <c r="K591" s="6"/>
      <c r="L591" s="6"/>
      <c r="M591" s="6"/>
      <c r="N591" s="6"/>
      <c r="O591" s="6"/>
      <c r="P591" s="6"/>
      <c r="Q591" s="6"/>
      <c r="R591" s="6"/>
      <c r="S591" s="6"/>
      <c r="T591" s="6"/>
      <c r="U591" s="6"/>
      <c r="V591" s="6"/>
      <c r="W591" s="6"/>
    </row>
    <row r="592" spans="1:23" ht="16" x14ac:dyDescent="0.2">
      <c r="A592" s="6"/>
      <c r="B592" s="7"/>
      <c r="C592" s="7"/>
      <c r="D592" s="7"/>
      <c r="E592" s="7"/>
      <c r="F592" s="6"/>
      <c r="G592" s="6"/>
      <c r="H592" s="6"/>
      <c r="I592" s="6"/>
      <c r="J592" s="6"/>
      <c r="K592" s="6"/>
      <c r="L592" s="6"/>
      <c r="M592" s="6"/>
      <c r="N592" s="6"/>
      <c r="O592" s="6"/>
      <c r="P592" s="6"/>
      <c r="Q592" s="6"/>
      <c r="R592" s="6"/>
      <c r="S592" s="6"/>
      <c r="T592" s="6"/>
      <c r="U592" s="6"/>
      <c r="V592" s="6"/>
      <c r="W592" s="6"/>
    </row>
    <row r="593" spans="1:23" ht="16" x14ac:dyDescent="0.2">
      <c r="A593" s="6"/>
      <c r="B593" s="7"/>
      <c r="C593" s="7"/>
      <c r="D593" s="7"/>
      <c r="E593" s="7"/>
      <c r="F593" s="6"/>
      <c r="G593" s="6"/>
      <c r="H593" s="6"/>
      <c r="I593" s="6"/>
      <c r="J593" s="6"/>
      <c r="K593" s="6"/>
      <c r="L593" s="6"/>
      <c r="M593" s="6"/>
      <c r="N593" s="6"/>
      <c r="O593" s="6"/>
      <c r="P593" s="6"/>
      <c r="Q593" s="6"/>
      <c r="R593" s="6"/>
      <c r="S593" s="6"/>
      <c r="T593" s="6"/>
      <c r="U593" s="6"/>
      <c r="V593" s="6"/>
      <c r="W593" s="6"/>
    </row>
    <row r="594" spans="1:23" ht="16" x14ac:dyDescent="0.2">
      <c r="A594" s="6"/>
      <c r="B594" s="7"/>
      <c r="C594" s="7"/>
      <c r="D594" s="7"/>
      <c r="E594" s="7"/>
      <c r="F594" s="6"/>
      <c r="G594" s="6"/>
      <c r="H594" s="6"/>
      <c r="I594" s="6"/>
      <c r="J594" s="6"/>
      <c r="K594" s="6"/>
      <c r="L594" s="6"/>
      <c r="M594" s="6"/>
      <c r="N594" s="6"/>
      <c r="O594" s="6"/>
      <c r="P594" s="6"/>
      <c r="Q594" s="6"/>
      <c r="R594" s="6"/>
      <c r="S594" s="6"/>
      <c r="T594" s="6"/>
      <c r="U594" s="6"/>
      <c r="V594" s="6"/>
      <c r="W594" s="6"/>
    </row>
    <row r="595" spans="1:23" ht="16" x14ac:dyDescent="0.2">
      <c r="A595" s="6"/>
      <c r="B595" s="7"/>
      <c r="C595" s="7"/>
      <c r="D595" s="7"/>
      <c r="E595" s="7"/>
      <c r="F595" s="6"/>
      <c r="G595" s="6"/>
      <c r="H595" s="6"/>
      <c r="I595" s="6"/>
      <c r="J595" s="6"/>
      <c r="K595" s="6"/>
      <c r="L595" s="6"/>
      <c r="M595" s="6"/>
      <c r="N595" s="6"/>
      <c r="O595" s="6"/>
      <c r="P595" s="6"/>
      <c r="Q595" s="6"/>
      <c r="R595" s="6"/>
      <c r="S595" s="6"/>
      <c r="T595" s="6"/>
      <c r="U595" s="6"/>
      <c r="V595" s="6"/>
      <c r="W595" s="6"/>
    </row>
    <row r="596" spans="1:23" ht="16" x14ac:dyDescent="0.2">
      <c r="A596" s="6"/>
      <c r="B596" s="7"/>
      <c r="C596" s="7"/>
      <c r="D596" s="7"/>
      <c r="E596" s="7"/>
      <c r="F596" s="6"/>
      <c r="G596" s="6"/>
      <c r="H596" s="6"/>
      <c r="I596" s="6"/>
      <c r="J596" s="6"/>
      <c r="K596" s="6"/>
      <c r="L596" s="6"/>
      <c r="M596" s="6"/>
      <c r="N596" s="6"/>
      <c r="O596" s="6"/>
      <c r="P596" s="6"/>
      <c r="Q596" s="6"/>
      <c r="R596" s="6"/>
      <c r="S596" s="6"/>
      <c r="T596" s="6"/>
      <c r="U596" s="6"/>
      <c r="V596" s="6"/>
      <c r="W596" s="6"/>
    </row>
    <row r="597" spans="1:23" ht="16" x14ac:dyDescent="0.2">
      <c r="A597" s="6"/>
      <c r="B597" s="7"/>
      <c r="C597" s="7"/>
      <c r="D597" s="7"/>
      <c r="E597" s="7"/>
      <c r="F597" s="6"/>
      <c r="G597" s="6"/>
      <c r="H597" s="6"/>
      <c r="I597" s="6"/>
      <c r="J597" s="6"/>
      <c r="K597" s="6"/>
      <c r="L597" s="6"/>
      <c r="M597" s="6"/>
      <c r="N597" s="6"/>
      <c r="O597" s="6"/>
      <c r="P597" s="6"/>
      <c r="Q597" s="6"/>
      <c r="R597" s="6"/>
      <c r="S597" s="6"/>
      <c r="T597" s="6"/>
      <c r="U597" s="6"/>
      <c r="V597" s="6"/>
      <c r="W597" s="6"/>
    </row>
    <row r="598" spans="1:23" ht="16" x14ac:dyDescent="0.2">
      <c r="A598" s="6"/>
      <c r="B598" s="7"/>
      <c r="C598" s="7"/>
      <c r="D598" s="7"/>
      <c r="E598" s="7"/>
      <c r="F598" s="6"/>
      <c r="G598" s="6"/>
      <c r="H598" s="6"/>
      <c r="I598" s="6"/>
      <c r="J598" s="6"/>
      <c r="K598" s="6"/>
      <c r="L598" s="6"/>
      <c r="M598" s="6"/>
      <c r="N598" s="6"/>
      <c r="O598" s="6"/>
      <c r="P598" s="6"/>
      <c r="Q598" s="6"/>
      <c r="R598" s="6"/>
      <c r="S598" s="6"/>
      <c r="T598" s="6"/>
      <c r="U598" s="6"/>
      <c r="V598" s="6"/>
      <c r="W598" s="6"/>
    </row>
    <row r="599" spans="1:23" ht="16" x14ac:dyDescent="0.2">
      <c r="A599" s="6"/>
      <c r="B599" s="7"/>
      <c r="C599" s="7"/>
      <c r="D599" s="7"/>
      <c r="E599" s="7"/>
      <c r="F599" s="6"/>
      <c r="G599" s="6"/>
      <c r="H599" s="6"/>
      <c r="I599" s="6"/>
      <c r="J599" s="6"/>
      <c r="K599" s="6"/>
      <c r="L599" s="6"/>
      <c r="M599" s="6"/>
      <c r="N599" s="6"/>
      <c r="O599" s="6"/>
      <c r="P599" s="6"/>
      <c r="Q599" s="6"/>
      <c r="R599" s="6"/>
      <c r="S599" s="6"/>
      <c r="T599" s="6"/>
      <c r="U599" s="6"/>
      <c r="V599" s="6"/>
      <c r="W599" s="6"/>
    </row>
    <row r="600" spans="1:23" ht="16" x14ac:dyDescent="0.2">
      <c r="A600" s="6"/>
      <c r="B600" s="7"/>
      <c r="C600" s="7"/>
      <c r="D600" s="7"/>
      <c r="E600" s="7"/>
      <c r="F600" s="6"/>
      <c r="G600" s="6"/>
      <c r="H600" s="6"/>
      <c r="I600" s="6"/>
      <c r="J600" s="6"/>
      <c r="K600" s="6"/>
      <c r="L600" s="6"/>
      <c r="M600" s="6"/>
      <c r="N600" s="6"/>
      <c r="O600" s="6"/>
      <c r="P600" s="6"/>
      <c r="Q600" s="6"/>
      <c r="R600" s="6"/>
      <c r="S600" s="6"/>
      <c r="T600" s="6"/>
      <c r="U600" s="6"/>
      <c r="V600" s="6"/>
      <c r="W600" s="6"/>
    </row>
    <row r="601" spans="1:23" ht="16" x14ac:dyDescent="0.2">
      <c r="A601" s="6"/>
      <c r="B601" s="7"/>
      <c r="C601" s="7"/>
      <c r="D601" s="7"/>
      <c r="E601" s="7"/>
      <c r="F601" s="6"/>
      <c r="G601" s="6"/>
      <c r="H601" s="6"/>
      <c r="I601" s="6"/>
      <c r="J601" s="6"/>
      <c r="K601" s="6"/>
      <c r="L601" s="6"/>
      <c r="M601" s="6"/>
      <c r="N601" s="6"/>
      <c r="O601" s="6"/>
      <c r="P601" s="6"/>
      <c r="Q601" s="6"/>
      <c r="R601" s="6"/>
      <c r="S601" s="6"/>
      <c r="T601" s="6"/>
      <c r="U601" s="6"/>
      <c r="V601" s="6"/>
      <c r="W601" s="6"/>
    </row>
    <row r="602" spans="1:23" ht="16" x14ac:dyDescent="0.2">
      <c r="A602" s="6"/>
      <c r="B602" s="7"/>
      <c r="C602" s="7"/>
      <c r="D602" s="7"/>
      <c r="E602" s="7"/>
      <c r="F602" s="6"/>
      <c r="G602" s="6"/>
      <c r="H602" s="6"/>
      <c r="I602" s="6"/>
      <c r="J602" s="6"/>
      <c r="K602" s="6"/>
      <c r="L602" s="6"/>
      <c r="M602" s="6"/>
      <c r="N602" s="6"/>
      <c r="O602" s="6"/>
      <c r="P602" s="6"/>
      <c r="Q602" s="6"/>
      <c r="R602" s="6"/>
      <c r="S602" s="6"/>
      <c r="T602" s="6"/>
      <c r="U602" s="6"/>
      <c r="V602" s="6"/>
      <c r="W602" s="6"/>
    </row>
    <row r="603" spans="1:23" ht="16" x14ac:dyDescent="0.2">
      <c r="A603" s="6"/>
      <c r="B603" s="7"/>
      <c r="C603" s="7"/>
      <c r="D603" s="7"/>
      <c r="E603" s="7"/>
      <c r="F603" s="6"/>
      <c r="G603" s="6"/>
      <c r="H603" s="6"/>
      <c r="I603" s="6"/>
      <c r="J603" s="6"/>
      <c r="K603" s="6"/>
      <c r="L603" s="6"/>
      <c r="M603" s="6"/>
      <c r="N603" s="6"/>
      <c r="O603" s="6"/>
      <c r="P603" s="6"/>
      <c r="Q603" s="6"/>
      <c r="R603" s="6"/>
      <c r="S603" s="6"/>
      <c r="T603" s="6"/>
      <c r="U603" s="6"/>
      <c r="V603" s="6"/>
      <c r="W603" s="6"/>
    </row>
    <row r="604" spans="1:23" ht="16" x14ac:dyDescent="0.2">
      <c r="A604" s="6"/>
      <c r="B604" s="7"/>
      <c r="C604" s="7"/>
      <c r="D604" s="7"/>
      <c r="E604" s="7"/>
      <c r="F604" s="6"/>
      <c r="G604" s="6"/>
      <c r="H604" s="6"/>
      <c r="I604" s="6"/>
      <c r="J604" s="6"/>
      <c r="K604" s="6"/>
      <c r="L604" s="6"/>
      <c r="M604" s="6"/>
      <c r="N604" s="6"/>
      <c r="O604" s="6"/>
      <c r="P604" s="6"/>
      <c r="Q604" s="6"/>
      <c r="R604" s="6"/>
      <c r="S604" s="6"/>
      <c r="T604" s="6"/>
      <c r="U604" s="6"/>
      <c r="V604" s="6"/>
      <c r="W604" s="6"/>
    </row>
    <row r="605" spans="1:23" ht="16" x14ac:dyDescent="0.2">
      <c r="A605" s="6"/>
      <c r="B605" s="7"/>
      <c r="C605" s="7"/>
      <c r="D605" s="7"/>
      <c r="E605" s="7"/>
      <c r="F605" s="6"/>
      <c r="G605" s="6"/>
      <c r="H605" s="6"/>
      <c r="I605" s="6"/>
      <c r="J605" s="6"/>
      <c r="K605" s="6"/>
      <c r="L605" s="6"/>
      <c r="M605" s="6"/>
      <c r="N605" s="6"/>
      <c r="O605" s="6"/>
      <c r="P605" s="6"/>
      <c r="Q605" s="6"/>
      <c r="R605" s="6"/>
      <c r="S605" s="6"/>
      <c r="T605" s="6"/>
      <c r="U605" s="6"/>
      <c r="V605" s="6"/>
      <c r="W605" s="6"/>
    </row>
    <row r="606" spans="1:23" ht="16" x14ac:dyDescent="0.2">
      <c r="A606" s="6"/>
      <c r="B606" s="7"/>
      <c r="C606" s="7"/>
      <c r="D606" s="7"/>
      <c r="E606" s="7"/>
      <c r="F606" s="6"/>
      <c r="G606" s="6"/>
      <c r="H606" s="6"/>
      <c r="I606" s="6"/>
      <c r="J606" s="6"/>
      <c r="K606" s="6"/>
      <c r="L606" s="6"/>
      <c r="M606" s="6"/>
      <c r="N606" s="6"/>
      <c r="O606" s="6"/>
      <c r="P606" s="6"/>
      <c r="Q606" s="6"/>
      <c r="R606" s="6"/>
      <c r="S606" s="6"/>
      <c r="T606" s="6"/>
      <c r="U606" s="6"/>
      <c r="V606" s="6"/>
      <c r="W606" s="6"/>
    </row>
    <row r="607" spans="1:23" ht="16" x14ac:dyDescent="0.2">
      <c r="A607" s="6"/>
      <c r="B607" s="7"/>
      <c r="C607" s="7"/>
      <c r="D607" s="7"/>
      <c r="E607" s="7"/>
      <c r="F607" s="6"/>
      <c r="G607" s="6"/>
      <c r="H607" s="6"/>
      <c r="I607" s="6"/>
      <c r="J607" s="6"/>
      <c r="K607" s="6"/>
      <c r="L607" s="6"/>
      <c r="M607" s="6"/>
      <c r="N607" s="6"/>
      <c r="O607" s="6"/>
      <c r="P607" s="6"/>
      <c r="Q607" s="6"/>
      <c r="R607" s="6"/>
      <c r="S607" s="6"/>
      <c r="T607" s="6"/>
      <c r="U607" s="6"/>
      <c r="V607" s="6"/>
      <c r="W607" s="6"/>
    </row>
    <row r="608" spans="1:23" ht="16" x14ac:dyDescent="0.2">
      <c r="A608" s="6"/>
      <c r="B608" s="7"/>
      <c r="C608" s="7"/>
      <c r="D608" s="7"/>
      <c r="E608" s="7"/>
      <c r="F608" s="6"/>
      <c r="G608" s="6"/>
      <c r="H608" s="6"/>
      <c r="I608" s="6"/>
      <c r="J608" s="6"/>
      <c r="K608" s="6"/>
      <c r="L608" s="6"/>
      <c r="M608" s="6"/>
      <c r="N608" s="6"/>
      <c r="O608" s="6"/>
      <c r="P608" s="6"/>
      <c r="Q608" s="6"/>
      <c r="R608" s="6"/>
      <c r="S608" s="6"/>
      <c r="T608" s="6"/>
      <c r="U608" s="6"/>
      <c r="V608" s="6"/>
      <c r="W608" s="6"/>
    </row>
    <row r="609" spans="1:23" ht="16" x14ac:dyDescent="0.2">
      <c r="A609" s="6"/>
      <c r="B609" s="7"/>
      <c r="C609" s="7"/>
      <c r="D609" s="7"/>
      <c r="E609" s="7"/>
      <c r="F609" s="6"/>
      <c r="G609" s="6"/>
      <c r="H609" s="6"/>
      <c r="I609" s="6"/>
      <c r="J609" s="6"/>
      <c r="K609" s="6"/>
      <c r="L609" s="6"/>
      <c r="M609" s="6"/>
      <c r="N609" s="6"/>
      <c r="O609" s="6"/>
      <c r="P609" s="6"/>
      <c r="Q609" s="6"/>
      <c r="R609" s="6"/>
      <c r="S609" s="6"/>
      <c r="T609" s="6"/>
      <c r="U609" s="6"/>
      <c r="V609" s="6"/>
      <c r="W609" s="6"/>
    </row>
    <row r="610" spans="1:23" ht="16" x14ac:dyDescent="0.2">
      <c r="A610" s="6"/>
      <c r="B610" s="7"/>
      <c r="C610" s="7"/>
      <c r="D610" s="7"/>
      <c r="E610" s="7"/>
      <c r="F610" s="6"/>
      <c r="G610" s="6"/>
      <c r="H610" s="6"/>
      <c r="I610" s="6"/>
      <c r="J610" s="6"/>
      <c r="K610" s="6"/>
      <c r="L610" s="6"/>
      <c r="M610" s="6"/>
      <c r="N610" s="6"/>
      <c r="O610" s="6"/>
      <c r="P610" s="6"/>
      <c r="Q610" s="6"/>
      <c r="R610" s="6"/>
      <c r="S610" s="6"/>
      <c r="T610" s="6"/>
      <c r="U610" s="6"/>
      <c r="V610" s="6"/>
      <c r="W610" s="6"/>
    </row>
    <row r="611" spans="1:23" ht="16" x14ac:dyDescent="0.2">
      <c r="A611" s="6"/>
      <c r="B611" s="7"/>
      <c r="C611" s="7"/>
      <c r="D611" s="7"/>
      <c r="E611" s="7"/>
      <c r="F611" s="6"/>
      <c r="G611" s="6"/>
      <c r="H611" s="6"/>
      <c r="I611" s="6"/>
      <c r="J611" s="6"/>
      <c r="K611" s="6"/>
      <c r="L611" s="6"/>
      <c r="M611" s="6"/>
      <c r="N611" s="6"/>
      <c r="O611" s="6"/>
      <c r="P611" s="6"/>
      <c r="Q611" s="6"/>
      <c r="R611" s="6"/>
      <c r="S611" s="6"/>
      <c r="T611" s="6"/>
      <c r="U611" s="6"/>
      <c r="V611" s="6"/>
      <c r="W611" s="6"/>
    </row>
    <row r="612" spans="1:23" ht="16" x14ac:dyDescent="0.2">
      <c r="A612" s="6"/>
      <c r="B612" s="7"/>
      <c r="C612" s="7"/>
      <c r="D612" s="7"/>
      <c r="E612" s="7"/>
      <c r="F612" s="6"/>
      <c r="G612" s="6"/>
      <c r="H612" s="6"/>
      <c r="I612" s="6"/>
      <c r="J612" s="6"/>
      <c r="K612" s="6"/>
      <c r="L612" s="6"/>
      <c r="M612" s="6"/>
      <c r="N612" s="6"/>
      <c r="O612" s="6"/>
      <c r="P612" s="6"/>
      <c r="Q612" s="6"/>
      <c r="R612" s="6"/>
      <c r="S612" s="6"/>
      <c r="T612" s="6"/>
      <c r="U612" s="6"/>
      <c r="V612" s="6"/>
      <c r="W612" s="6"/>
    </row>
    <row r="613" spans="1:23" ht="16" x14ac:dyDescent="0.2">
      <c r="A613" s="6"/>
      <c r="B613" s="7"/>
      <c r="C613" s="7"/>
      <c r="D613" s="7"/>
      <c r="E613" s="7"/>
      <c r="F613" s="6"/>
      <c r="G613" s="6"/>
      <c r="H613" s="6"/>
      <c r="I613" s="6"/>
      <c r="J613" s="6"/>
      <c r="K613" s="6"/>
      <c r="L613" s="6"/>
      <c r="M613" s="6"/>
      <c r="N613" s="6"/>
      <c r="O613" s="6"/>
      <c r="P613" s="6"/>
      <c r="Q613" s="6"/>
      <c r="R613" s="6"/>
      <c r="S613" s="6"/>
      <c r="T613" s="6"/>
      <c r="U613" s="6"/>
      <c r="V613" s="6"/>
      <c r="W613" s="6"/>
    </row>
    <row r="614" spans="1:23" ht="16" x14ac:dyDescent="0.2">
      <c r="A614" s="6"/>
      <c r="B614" s="7"/>
      <c r="C614" s="7"/>
      <c r="D614" s="7"/>
      <c r="E614" s="7"/>
      <c r="F614" s="6"/>
      <c r="G614" s="6"/>
      <c r="H614" s="6"/>
      <c r="I614" s="6"/>
      <c r="J614" s="6"/>
      <c r="K614" s="6"/>
      <c r="L614" s="6"/>
      <c r="M614" s="6"/>
      <c r="N614" s="6"/>
      <c r="O614" s="6"/>
      <c r="P614" s="6"/>
      <c r="Q614" s="6"/>
      <c r="R614" s="6"/>
      <c r="S614" s="6"/>
      <c r="T614" s="6"/>
      <c r="U614" s="6"/>
      <c r="V614" s="6"/>
      <c r="W614" s="6"/>
    </row>
    <row r="615" spans="1:23" ht="16" x14ac:dyDescent="0.2">
      <c r="A615" s="6"/>
      <c r="B615" s="7"/>
      <c r="C615" s="7"/>
      <c r="D615" s="7"/>
      <c r="E615" s="7"/>
      <c r="F615" s="6"/>
      <c r="G615" s="6"/>
      <c r="H615" s="6"/>
      <c r="I615" s="6"/>
      <c r="J615" s="6"/>
      <c r="K615" s="6"/>
      <c r="L615" s="6"/>
      <c r="M615" s="6"/>
      <c r="N615" s="6"/>
      <c r="O615" s="6"/>
      <c r="P615" s="6"/>
      <c r="Q615" s="6"/>
      <c r="R615" s="6"/>
      <c r="S615" s="6"/>
      <c r="T615" s="6"/>
      <c r="U615" s="6"/>
      <c r="V615" s="6"/>
      <c r="W615" s="6"/>
    </row>
    <row r="616" spans="1:23" ht="16" x14ac:dyDescent="0.2">
      <c r="A616" s="6"/>
      <c r="B616" s="7"/>
      <c r="C616" s="7"/>
      <c r="D616" s="7"/>
      <c r="E616" s="7"/>
      <c r="F616" s="6"/>
      <c r="G616" s="6"/>
      <c r="H616" s="6"/>
      <c r="I616" s="6"/>
      <c r="J616" s="6"/>
      <c r="K616" s="6"/>
      <c r="L616" s="6"/>
      <c r="M616" s="6"/>
      <c r="N616" s="6"/>
      <c r="O616" s="6"/>
      <c r="P616" s="6"/>
      <c r="Q616" s="6"/>
      <c r="R616" s="6"/>
      <c r="S616" s="6"/>
      <c r="T616" s="6"/>
      <c r="U616" s="6"/>
      <c r="V616" s="6"/>
      <c r="W616" s="6"/>
    </row>
    <row r="617" spans="1:23" ht="16" x14ac:dyDescent="0.2">
      <c r="A617" s="6"/>
      <c r="B617" s="7"/>
      <c r="C617" s="7"/>
      <c r="D617" s="7"/>
      <c r="E617" s="7"/>
      <c r="F617" s="6"/>
      <c r="G617" s="6"/>
      <c r="H617" s="6"/>
      <c r="I617" s="6"/>
      <c r="J617" s="6"/>
      <c r="K617" s="6"/>
      <c r="L617" s="6"/>
      <c r="M617" s="6"/>
      <c r="N617" s="6"/>
      <c r="O617" s="6"/>
      <c r="P617" s="6"/>
      <c r="Q617" s="6"/>
      <c r="R617" s="6"/>
      <c r="S617" s="6"/>
      <c r="T617" s="6"/>
      <c r="U617" s="6"/>
      <c r="V617" s="6"/>
      <c r="W617" s="6"/>
    </row>
    <row r="618" spans="1:23" ht="16" x14ac:dyDescent="0.2">
      <c r="A618" s="6"/>
      <c r="B618" s="7"/>
      <c r="C618" s="7"/>
      <c r="D618" s="7"/>
      <c r="E618" s="7"/>
      <c r="F618" s="6"/>
      <c r="G618" s="6"/>
      <c r="H618" s="6"/>
      <c r="I618" s="6"/>
      <c r="J618" s="6"/>
      <c r="K618" s="6"/>
      <c r="L618" s="6"/>
      <c r="M618" s="6"/>
      <c r="N618" s="6"/>
      <c r="O618" s="6"/>
      <c r="P618" s="6"/>
      <c r="Q618" s="6"/>
      <c r="R618" s="6"/>
      <c r="S618" s="6"/>
      <c r="T618" s="6"/>
      <c r="U618" s="6"/>
      <c r="V618" s="6"/>
      <c r="W618" s="6"/>
    </row>
    <row r="619" spans="1:23" ht="16" x14ac:dyDescent="0.2">
      <c r="A619" s="6"/>
      <c r="B619" s="7"/>
      <c r="C619" s="7"/>
      <c r="D619" s="7"/>
      <c r="E619" s="7"/>
      <c r="F619" s="6"/>
      <c r="G619" s="6"/>
      <c r="H619" s="6"/>
      <c r="I619" s="6"/>
      <c r="J619" s="6"/>
      <c r="K619" s="6"/>
      <c r="L619" s="6"/>
      <c r="M619" s="6"/>
      <c r="N619" s="6"/>
      <c r="O619" s="6"/>
      <c r="P619" s="6"/>
      <c r="Q619" s="6"/>
      <c r="R619" s="6"/>
      <c r="S619" s="6"/>
      <c r="T619" s="6"/>
      <c r="U619" s="6"/>
      <c r="V619" s="6"/>
      <c r="W619" s="6"/>
    </row>
    <row r="620" spans="1:23" ht="16" x14ac:dyDescent="0.2">
      <c r="A620" s="6"/>
      <c r="B620" s="7"/>
      <c r="C620" s="7"/>
      <c r="D620" s="7"/>
      <c r="E620" s="7"/>
      <c r="F620" s="6"/>
      <c r="G620" s="6"/>
      <c r="H620" s="6"/>
      <c r="I620" s="6"/>
      <c r="J620" s="6"/>
      <c r="K620" s="6"/>
      <c r="L620" s="6"/>
      <c r="M620" s="6"/>
      <c r="N620" s="6"/>
      <c r="O620" s="6"/>
      <c r="P620" s="6"/>
      <c r="Q620" s="6"/>
      <c r="R620" s="6"/>
      <c r="S620" s="6"/>
      <c r="T620" s="6"/>
      <c r="U620" s="6"/>
      <c r="V620" s="6"/>
      <c r="W620" s="6"/>
    </row>
    <row r="621" spans="1:23" ht="16" x14ac:dyDescent="0.2">
      <c r="A621" s="6"/>
      <c r="B621" s="7"/>
      <c r="C621" s="7"/>
      <c r="D621" s="7"/>
      <c r="E621" s="7"/>
      <c r="F621" s="6"/>
      <c r="G621" s="6"/>
      <c r="H621" s="6"/>
      <c r="I621" s="6"/>
      <c r="J621" s="6"/>
      <c r="K621" s="6"/>
      <c r="L621" s="6"/>
      <c r="M621" s="6"/>
      <c r="N621" s="6"/>
      <c r="O621" s="6"/>
      <c r="P621" s="6"/>
      <c r="Q621" s="6"/>
      <c r="R621" s="6"/>
      <c r="S621" s="6"/>
      <c r="T621" s="6"/>
      <c r="U621" s="6"/>
      <c r="V621" s="6"/>
      <c r="W621" s="6"/>
    </row>
    <row r="622" spans="1:23" ht="16" x14ac:dyDescent="0.2">
      <c r="A622" s="6"/>
      <c r="B622" s="7"/>
      <c r="C622" s="7"/>
      <c r="D622" s="7"/>
      <c r="E622" s="7"/>
      <c r="F622" s="6"/>
      <c r="G622" s="6"/>
      <c r="H622" s="6"/>
      <c r="I622" s="6"/>
      <c r="J622" s="6"/>
      <c r="K622" s="6"/>
      <c r="L622" s="6"/>
      <c r="M622" s="6"/>
      <c r="N622" s="6"/>
      <c r="O622" s="6"/>
      <c r="P622" s="6"/>
      <c r="Q622" s="6"/>
      <c r="R622" s="6"/>
      <c r="S622" s="6"/>
      <c r="T622" s="6"/>
      <c r="U622" s="6"/>
      <c r="V622" s="6"/>
      <c r="W622" s="6"/>
    </row>
    <row r="623" spans="1:23" ht="16" x14ac:dyDescent="0.2">
      <c r="A623" s="6"/>
      <c r="B623" s="7"/>
      <c r="C623" s="7"/>
      <c r="D623" s="7"/>
      <c r="E623" s="7"/>
      <c r="F623" s="6"/>
      <c r="G623" s="6"/>
      <c r="H623" s="6"/>
      <c r="I623" s="6"/>
      <c r="J623" s="6"/>
      <c r="K623" s="6"/>
      <c r="L623" s="6"/>
      <c r="M623" s="6"/>
      <c r="N623" s="6"/>
      <c r="O623" s="6"/>
      <c r="P623" s="6"/>
      <c r="Q623" s="6"/>
      <c r="R623" s="6"/>
      <c r="S623" s="6"/>
      <c r="T623" s="6"/>
      <c r="U623" s="6"/>
      <c r="V623" s="6"/>
      <c r="W623" s="6"/>
    </row>
    <row r="624" spans="1:23" ht="16" x14ac:dyDescent="0.2">
      <c r="A624" s="6"/>
      <c r="B624" s="7"/>
      <c r="C624" s="7"/>
      <c r="D624" s="7"/>
      <c r="E624" s="7"/>
      <c r="F624" s="6"/>
      <c r="G624" s="6"/>
      <c r="H624" s="6"/>
      <c r="I624" s="6"/>
      <c r="J624" s="6"/>
      <c r="K624" s="6"/>
      <c r="L624" s="6"/>
      <c r="M624" s="6"/>
      <c r="N624" s="6"/>
      <c r="O624" s="6"/>
      <c r="P624" s="6"/>
      <c r="Q624" s="6"/>
      <c r="R624" s="6"/>
      <c r="S624" s="6"/>
      <c r="T624" s="6"/>
      <c r="U624" s="6"/>
      <c r="V624" s="6"/>
      <c r="W624" s="6"/>
    </row>
    <row r="625" spans="1:23" ht="16" x14ac:dyDescent="0.2">
      <c r="A625" s="6"/>
      <c r="B625" s="7"/>
      <c r="C625" s="7"/>
      <c r="D625" s="7"/>
      <c r="E625" s="7"/>
      <c r="F625" s="6"/>
      <c r="G625" s="6"/>
      <c r="H625" s="6"/>
      <c r="I625" s="6"/>
      <c r="J625" s="6"/>
      <c r="K625" s="6"/>
      <c r="L625" s="6"/>
      <c r="M625" s="6"/>
      <c r="N625" s="6"/>
      <c r="O625" s="6"/>
      <c r="P625" s="6"/>
      <c r="Q625" s="6"/>
      <c r="R625" s="6"/>
      <c r="S625" s="6"/>
      <c r="T625" s="6"/>
      <c r="U625" s="6"/>
      <c r="V625" s="6"/>
      <c r="W625" s="6"/>
    </row>
    <row r="626" spans="1:23" ht="16" x14ac:dyDescent="0.2">
      <c r="A626" s="6"/>
      <c r="B626" s="7"/>
      <c r="C626" s="7"/>
      <c r="D626" s="7"/>
      <c r="E626" s="7"/>
      <c r="F626" s="6"/>
      <c r="G626" s="6"/>
      <c r="H626" s="6"/>
      <c r="I626" s="6"/>
      <c r="J626" s="6"/>
      <c r="K626" s="6"/>
      <c r="L626" s="6"/>
      <c r="M626" s="6"/>
      <c r="N626" s="6"/>
      <c r="O626" s="6"/>
      <c r="P626" s="6"/>
      <c r="Q626" s="6"/>
      <c r="R626" s="6"/>
      <c r="S626" s="6"/>
      <c r="T626" s="6"/>
      <c r="U626" s="6"/>
      <c r="V626" s="6"/>
      <c r="W626" s="6"/>
    </row>
    <row r="627" spans="1:23" ht="16" x14ac:dyDescent="0.2">
      <c r="A627" s="6"/>
      <c r="B627" s="7"/>
      <c r="C627" s="7"/>
      <c r="D627" s="7"/>
      <c r="E627" s="7"/>
      <c r="F627" s="6"/>
      <c r="G627" s="6"/>
      <c r="H627" s="6"/>
      <c r="I627" s="6"/>
      <c r="J627" s="6"/>
      <c r="K627" s="6"/>
      <c r="L627" s="6"/>
      <c r="M627" s="6"/>
      <c r="N627" s="6"/>
      <c r="O627" s="6"/>
      <c r="P627" s="6"/>
      <c r="Q627" s="6"/>
      <c r="R627" s="6"/>
      <c r="S627" s="6"/>
      <c r="T627" s="6"/>
      <c r="U627" s="6"/>
      <c r="V627" s="6"/>
      <c r="W627" s="6"/>
    </row>
    <row r="628" spans="1:23" ht="16" x14ac:dyDescent="0.2">
      <c r="A628" s="6"/>
      <c r="B628" s="7"/>
      <c r="C628" s="7"/>
      <c r="D628" s="7"/>
      <c r="E628" s="7"/>
      <c r="F628" s="6"/>
      <c r="G628" s="6"/>
      <c r="H628" s="6"/>
      <c r="I628" s="6"/>
      <c r="J628" s="6"/>
      <c r="K628" s="6"/>
      <c r="L628" s="6"/>
      <c r="M628" s="6"/>
      <c r="N628" s="6"/>
      <c r="O628" s="6"/>
      <c r="P628" s="6"/>
      <c r="Q628" s="6"/>
      <c r="R628" s="6"/>
      <c r="S628" s="6"/>
      <c r="T628" s="6"/>
      <c r="U628" s="6"/>
      <c r="V628" s="6"/>
      <c r="W628" s="6"/>
    </row>
    <row r="629" spans="1:23" ht="16" x14ac:dyDescent="0.2">
      <c r="A629" s="6"/>
      <c r="B629" s="7"/>
      <c r="C629" s="7"/>
      <c r="D629" s="7"/>
      <c r="E629" s="7"/>
      <c r="F629" s="6"/>
      <c r="G629" s="6"/>
      <c r="H629" s="6"/>
      <c r="I629" s="6"/>
      <c r="J629" s="6"/>
      <c r="K629" s="6"/>
      <c r="L629" s="6"/>
      <c r="M629" s="6"/>
      <c r="N629" s="6"/>
      <c r="O629" s="6"/>
      <c r="P629" s="6"/>
      <c r="Q629" s="6"/>
      <c r="R629" s="6"/>
      <c r="S629" s="6"/>
      <c r="T629" s="6"/>
      <c r="U629" s="6"/>
      <c r="V629" s="6"/>
      <c r="W629" s="6"/>
    </row>
    <row r="630" spans="1:23" ht="16" x14ac:dyDescent="0.2">
      <c r="A630" s="6"/>
      <c r="B630" s="7"/>
      <c r="C630" s="7"/>
      <c r="D630" s="7"/>
      <c r="E630" s="7"/>
      <c r="F630" s="6"/>
      <c r="G630" s="6"/>
      <c r="H630" s="6"/>
      <c r="I630" s="6"/>
      <c r="J630" s="6"/>
      <c r="K630" s="6"/>
      <c r="L630" s="6"/>
      <c r="M630" s="6"/>
      <c r="N630" s="6"/>
      <c r="O630" s="6"/>
      <c r="P630" s="6"/>
      <c r="Q630" s="6"/>
      <c r="R630" s="6"/>
      <c r="S630" s="6"/>
      <c r="T630" s="6"/>
      <c r="U630" s="6"/>
      <c r="V630" s="6"/>
      <c r="W630" s="6"/>
    </row>
    <row r="631" spans="1:23" ht="16" x14ac:dyDescent="0.2">
      <c r="A631" s="6"/>
      <c r="B631" s="7"/>
      <c r="C631" s="7"/>
      <c r="D631" s="7"/>
      <c r="E631" s="7"/>
      <c r="F631" s="6"/>
      <c r="G631" s="6"/>
      <c r="H631" s="6"/>
      <c r="I631" s="6"/>
      <c r="J631" s="6"/>
      <c r="K631" s="6"/>
      <c r="L631" s="6"/>
      <c r="M631" s="6"/>
      <c r="N631" s="6"/>
      <c r="O631" s="6"/>
      <c r="P631" s="6"/>
      <c r="Q631" s="6"/>
      <c r="R631" s="6"/>
      <c r="S631" s="6"/>
      <c r="T631" s="6"/>
      <c r="U631" s="6"/>
      <c r="V631" s="6"/>
      <c r="W631" s="6"/>
    </row>
    <row r="632" spans="1:23" ht="16" x14ac:dyDescent="0.2">
      <c r="A632" s="6"/>
      <c r="B632" s="7"/>
      <c r="C632" s="7"/>
      <c r="D632" s="7"/>
      <c r="E632" s="7"/>
      <c r="F632" s="6"/>
      <c r="G632" s="6"/>
      <c r="H632" s="6"/>
      <c r="I632" s="6"/>
      <c r="J632" s="6"/>
      <c r="K632" s="6"/>
      <c r="L632" s="6"/>
      <c r="M632" s="6"/>
      <c r="N632" s="6"/>
      <c r="O632" s="6"/>
      <c r="P632" s="6"/>
      <c r="Q632" s="6"/>
      <c r="R632" s="6"/>
      <c r="S632" s="6"/>
      <c r="T632" s="6"/>
      <c r="U632" s="6"/>
      <c r="V632" s="6"/>
      <c r="W632" s="6"/>
    </row>
    <row r="633" spans="1:23" ht="16" x14ac:dyDescent="0.2">
      <c r="A633" s="6"/>
      <c r="B633" s="7"/>
      <c r="C633" s="7"/>
      <c r="D633" s="7"/>
      <c r="E633" s="7"/>
      <c r="F633" s="6"/>
      <c r="G633" s="6"/>
      <c r="H633" s="6"/>
      <c r="I633" s="6"/>
      <c r="J633" s="6"/>
      <c r="K633" s="6"/>
      <c r="L633" s="6"/>
      <c r="M633" s="6"/>
      <c r="N633" s="6"/>
      <c r="O633" s="6"/>
      <c r="P633" s="6"/>
      <c r="Q633" s="6"/>
      <c r="R633" s="6"/>
      <c r="S633" s="6"/>
      <c r="T633" s="6"/>
      <c r="U633" s="6"/>
      <c r="V633" s="6"/>
      <c r="W633" s="6"/>
    </row>
    <row r="634" spans="1:23" ht="16" x14ac:dyDescent="0.2">
      <c r="A634" s="6"/>
      <c r="B634" s="7"/>
      <c r="C634" s="7"/>
      <c r="D634" s="7"/>
      <c r="E634" s="7"/>
      <c r="F634" s="6"/>
      <c r="G634" s="6"/>
      <c r="H634" s="6"/>
      <c r="I634" s="6"/>
      <c r="J634" s="6"/>
      <c r="K634" s="6"/>
      <c r="L634" s="6"/>
      <c r="M634" s="6"/>
      <c r="N634" s="6"/>
      <c r="O634" s="6"/>
      <c r="P634" s="6"/>
      <c r="Q634" s="6"/>
      <c r="R634" s="6"/>
      <c r="S634" s="6"/>
      <c r="T634" s="6"/>
      <c r="U634" s="6"/>
      <c r="V634" s="6"/>
      <c r="W634" s="6"/>
    </row>
    <row r="635" spans="1:23" ht="16" x14ac:dyDescent="0.2">
      <c r="A635" s="6"/>
      <c r="B635" s="7"/>
      <c r="C635" s="7"/>
      <c r="D635" s="7"/>
      <c r="E635" s="7"/>
      <c r="F635" s="6"/>
      <c r="G635" s="6"/>
      <c r="H635" s="6"/>
      <c r="I635" s="6"/>
      <c r="J635" s="6"/>
      <c r="K635" s="6"/>
      <c r="L635" s="6"/>
      <c r="M635" s="6"/>
      <c r="N635" s="6"/>
      <c r="O635" s="6"/>
      <c r="P635" s="6"/>
      <c r="Q635" s="6"/>
      <c r="R635" s="6"/>
      <c r="S635" s="6"/>
      <c r="T635" s="6"/>
      <c r="U635" s="6"/>
      <c r="V635" s="6"/>
      <c r="W635" s="6"/>
    </row>
    <row r="636" spans="1:23" ht="16" x14ac:dyDescent="0.2">
      <c r="A636" s="6"/>
      <c r="B636" s="7"/>
      <c r="C636" s="7"/>
      <c r="D636" s="7"/>
      <c r="E636" s="7"/>
      <c r="F636" s="6"/>
      <c r="G636" s="6"/>
      <c r="H636" s="6"/>
      <c r="I636" s="6"/>
      <c r="J636" s="6"/>
      <c r="K636" s="6"/>
      <c r="L636" s="6"/>
      <c r="M636" s="6"/>
      <c r="N636" s="6"/>
      <c r="O636" s="6"/>
      <c r="P636" s="6"/>
      <c r="Q636" s="6"/>
      <c r="R636" s="6"/>
      <c r="S636" s="6"/>
      <c r="T636" s="6"/>
      <c r="U636" s="6"/>
      <c r="V636" s="6"/>
      <c r="W636" s="6"/>
    </row>
    <row r="637" spans="1:23" ht="16" x14ac:dyDescent="0.2">
      <c r="A637" s="6"/>
      <c r="B637" s="7"/>
      <c r="C637" s="7"/>
      <c r="D637" s="7"/>
      <c r="E637" s="7"/>
      <c r="F637" s="6"/>
      <c r="G637" s="6"/>
      <c r="H637" s="6"/>
      <c r="I637" s="6"/>
      <c r="J637" s="6"/>
      <c r="K637" s="6"/>
      <c r="L637" s="6"/>
      <c r="M637" s="6"/>
      <c r="N637" s="6"/>
      <c r="O637" s="6"/>
      <c r="P637" s="6"/>
      <c r="Q637" s="6"/>
      <c r="R637" s="6"/>
      <c r="S637" s="6"/>
      <c r="T637" s="6"/>
      <c r="U637" s="6"/>
      <c r="V637" s="6"/>
      <c r="W637" s="6"/>
    </row>
    <row r="638" spans="1:23" ht="16" x14ac:dyDescent="0.2">
      <c r="A638" s="6"/>
      <c r="B638" s="7"/>
      <c r="C638" s="7"/>
      <c r="D638" s="7"/>
      <c r="E638" s="7"/>
      <c r="F638" s="6"/>
      <c r="G638" s="6"/>
      <c r="H638" s="6"/>
      <c r="I638" s="6"/>
      <c r="J638" s="6"/>
      <c r="K638" s="6"/>
      <c r="L638" s="6"/>
      <c r="M638" s="6"/>
      <c r="N638" s="6"/>
      <c r="O638" s="6"/>
      <c r="P638" s="6"/>
      <c r="Q638" s="6"/>
      <c r="R638" s="6"/>
      <c r="S638" s="6"/>
      <c r="T638" s="6"/>
      <c r="U638" s="6"/>
      <c r="V638" s="6"/>
      <c r="W638" s="6"/>
    </row>
    <row r="639" spans="1:23" ht="16" x14ac:dyDescent="0.2">
      <c r="A639" s="6"/>
      <c r="B639" s="7"/>
      <c r="C639" s="7"/>
      <c r="D639" s="7"/>
      <c r="E639" s="7"/>
      <c r="F639" s="6"/>
      <c r="G639" s="6"/>
      <c r="H639" s="6"/>
      <c r="I639" s="6"/>
      <c r="J639" s="6"/>
      <c r="K639" s="6"/>
      <c r="L639" s="6"/>
      <c r="M639" s="6"/>
      <c r="N639" s="6"/>
      <c r="O639" s="6"/>
      <c r="P639" s="6"/>
      <c r="Q639" s="6"/>
      <c r="R639" s="6"/>
      <c r="S639" s="6"/>
      <c r="T639" s="6"/>
      <c r="U639" s="6"/>
      <c r="V639" s="6"/>
      <c r="W639" s="6"/>
    </row>
    <row r="640" spans="1:23" ht="16" x14ac:dyDescent="0.2">
      <c r="A640" s="6"/>
      <c r="B640" s="7"/>
      <c r="C640" s="7"/>
      <c r="D640" s="7"/>
      <c r="E640" s="7"/>
      <c r="F640" s="6"/>
      <c r="G640" s="6"/>
      <c r="H640" s="6"/>
      <c r="I640" s="6"/>
      <c r="J640" s="6"/>
      <c r="K640" s="6"/>
      <c r="L640" s="6"/>
      <c r="M640" s="6"/>
      <c r="N640" s="6"/>
      <c r="O640" s="6"/>
      <c r="P640" s="6"/>
      <c r="Q640" s="6"/>
      <c r="R640" s="6"/>
      <c r="S640" s="6"/>
      <c r="T640" s="6"/>
      <c r="U640" s="6"/>
      <c r="V640" s="6"/>
      <c r="W640" s="6"/>
    </row>
    <row r="641" spans="1:23" ht="16" x14ac:dyDescent="0.2">
      <c r="A641" s="6"/>
      <c r="B641" s="7"/>
      <c r="C641" s="7"/>
      <c r="D641" s="7"/>
      <c r="E641" s="7"/>
      <c r="F641" s="6"/>
      <c r="G641" s="6"/>
      <c r="H641" s="6"/>
      <c r="I641" s="6"/>
      <c r="J641" s="6"/>
      <c r="K641" s="6"/>
      <c r="L641" s="6"/>
      <c r="M641" s="6"/>
      <c r="N641" s="6"/>
      <c r="O641" s="6"/>
      <c r="P641" s="6"/>
      <c r="Q641" s="6"/>
      <c r="R641" s="6"/>
      <c r="S641" s="6"/>
      <c r="T641" s="6"/>
      <c r="U641" s="6"/>
      <c r="V641" s="6"/>
      <c r="W641" s="6"/>
    </row>
    <row r="642" spans="1:23" ht="16" x14ac:dyDescent="0.2">
      <c r="A642" s="6"/>
      <c r="B642" s="7"/>
      <c r="C642" s="7"/>
      <c r="D642" s="7"/>
      <c r="E642" s="7"/>
      <c r="F642" s="6"/>
      <c r="G642" s="6"/>
      <c r="H642" s="6"/>
      <c r="I642" s="6"/>
      <c r="J642" s="6"/>
      <c r="K642" s="6"/>
      <c r="L642" s="6"/>
      <c r="M642" s="6"/>
      <c r="N642" s="6"/>
      <c r="O642" s="6"/>
      <c r="P642" s="6"/>
      <c r="Q642" s="6"/>
      <c r="R642" s="6"/>
      <c r="S642" s="6"/>
      <c r="T642" s="6"/>
      <c r="U642" s="6"/>
      <c r="V642" s="6"/>
      <c r="W642" s="6"/>
    </row>
    <row r="643" spans="1:23" ht="16" x14ac:dyDescent="0.2">
      <c r="A643" s="6"/>
      <c r="B643" s="7"/>
      <c r="C643" s="7"/>
      <c r="D643" s="7"/>
      <c r="E643" s="7"/>
      <c r="F643" s="6"/>
      <c r="G643" s="6"/>
      <c r="H643" s="6"/>
      <c r="I643" s="6"/>
      <c r="J643" s="6"/>
      <c r="K643" s="6"/>
      <c r="L643" s="6"/>
      <c r="M643" s="6"/>
      <c r="N643" s="6"/>
      <c r="O643" s="6"/>
      <c r="P643" s="6"/>
      <c r="Q643" s="6"/>
      <c r="R643" s="6"/>
      <c r="S643" s="6"/>
      <c r="T643" s="6"/>
      <c r="U643" s="6"/>
      <c r="V643" s="6"/>
      <c r="W643" s="6"/>
    </row>
    <row r="644" spans="1:23" ht="16" x14ac:dyDescent="0.2">
      <c r="A644" s="6"/>
      <c r="B644" s="7"/>
      <c r="C644" s="7"/>
      <c r="D644" s="7"/>
      <c r="E644" s="7"/>
      <c r="F644" s="6"/>
      <c r="G644" s="6"/>
      <c r="H644" s="6"/>
      <c r="I644" s="6"/>
      <c r="J644" s="6"/>
      <c r="K644" s="6"/>
      <c r="L644" s="6"/>
      <c r="M644" s="6"/>
      <c r="N644" s="6"/>
      <c r="O644" s="6"/>
      <c r="P644" s="6"/>
      <c r="Q644" s="6"/>
      <c r="R644" s="6"/>
      <c r="S644" s="6"/>
      <c r="T644" s="6"/>
      <c r="U644" s="6"/>
      <c r="V644" s="6"/>
      <c r="W644" s="6"/>
    </row>
    <row r="645" spans="1:23" ht="16" x14ac:dyDescent="0.2">
      <c r="A645" s="6"/>
      <c r="B645" s="7"/>
      <c r="C645" s="7"/>
      <c r="D645" s="7"/>
      <c r="E645" s="7"/>
      <c r="F645" s="6"/>
      <c r="G645" s="6"/>
      <c r="H645" s="6"/>
      <c r="I645" s="6"/>
      <c r="J645" s="6"/>
      <c r="K645" s="6"/>
      <c r="L645" s="6"/>
      <c r="M645" s="6"/>
      <c r="N645" s="6"/>
      <c r="O645" s="6"/>
      <c r="P645" s="6"/>
      <c r="Q645" s="6"/>
      <c r="R645" s="6"/>
      <c r="S645" s="6"/>
      <c r="T645" s="6"/>
      <c r="U645" s="6"/>
      <c r="V645" s="6"/>
      <c r="W645" s="6"/>
    </row>
    <row r="646" spans="1:23" ht="16" x14ac:dyDescent="0.2">
      <c r="A646" s="6"/>
      <c r="B646" s="7"/>
      <c r="C646" s="7"/>
      <c r="D646" s="7"/>
      <c r="E646" s="7"/>
      <c r="F646" s="6"/>
      <c r="G646" s="6"/>
      <c r="H646" s="6"/>
      <c r="I646" s="6"/>
      <c r="J646" s="6"/>
      <c r="K646" s="6"/>
      <c r="L646" s="6"/>
      <c r="M646" s="6"/>
      <c r="N646" s="6"/>
      <c r="O646" s="6"/>
      <c r="P646" s="6"/>
      <c r="Q646" s="6"/>
      <c r="R646" s="6"/>
      <c r="S646" s="6"/>
      <c r="T646" s="6"/>
      <c r="U646" s="6"/>
      <c r="V646" s="6"/>
      <c r="W646" s="6"/>
    </row>
    <row r="647" spans="1:23" ht="16" x14ac:dyDescent="0.2">
      <c r="A647" s="6"/>
      <c r="B647" s="7"/>
      <c r="C647" s="7"/>
      <c r="D647" s="7"/>
      <c r="E647" s="7"/>
      <c r="F647" s="6"/>
      <c r="G647" s="6"/>
      <c r="H647" s="6"/>
      <c r="I647" s="6"/>
      <c r="J647" s="6"/>
      <c r="K647" s="6"/>
      <c r="L647" s="6"/>
      <c r="M647" s="6"/>
      <c r="N647" s="6"/>
      <c r="O647" s="6"/>
      <c r="P647" s="6"/>
      <c r="Q647" s="6"/>
      <c r="R647" s="6"/>
      <c r="S647" s="6"/>
      <c r="T647" s="6"/>
      <c r="U647" s="6"/>
      <c r="V647" s="6"/>
      <c r="W647" s="6"/>
    </row>
    <row r="648" spans="1:23" ht="16" x14ac:dyDescent="0.2">
      <c r="A648" s="6"/>
      <c r="B648" s="7"/>
      <c r="C648" s="7"/>
      <c r="D648" s="7"/>
      <c r="E648" s="7"/>
      <c r="F648" s="6"/>
      <c r="G648" s="6"/>
      <c r="H648" s="6"/>
      <c r="I648" s="6"/>
      <c r="J648" s="6"/>
      <c r="K648" s="6"/>
      <c r="L648" s="6"/>
      <c r="M648" s="6"/>
      <c r="N648" s="6"/>
      <c r="O648" s="6"/>
      <c r="P648" s="6"/>
      <c r="Q648" s="6"/>
      <c r="R648" s="6"/>
      <c r="S648" s="6"/>
      <c r="T648" s="6"/>
      <c r="U648" s="6"/>
      <c r="V648" s="6"/>
      <c r="W648" s="6"/>
    </row>
    <row r="649" spans="1:23" ht="16" x14ac:dyDescent="0.2">
      <c r="A649" s="6"/>
      <c r="B649" s="7"/>
      <c r="C649" s="7"/>
      <c r="D649" s="7"/>
      <c r="E649" s="7"/>
      <c r="F649" s="6"/>
      <c r="G649" s="6"/>
      <c r="H649" s="6"/>
      <c r="I649" s="6"/>
      <c r="J649" s="6"/>
      <c r="K649" s="6"/>
      <c r="L649" s="6"/>
      <c r="M649" s="6"/>
      <c r="N649" s="6"/>
      <c r="O649" s="6"/>
      <c r="P649" s="6"/>
      <c r="Q649" s="6"/>
      <c r="R649" s="6"/>
      <c r="S649" s="6"/>
      <c r="T649" s="6"/>
      <c r="U649" s="6"/>
      <c r="V649" s="6"/>
      <c r="W649" s="6"/>
    </row>
    <row r="650" spans="1:23" ht="16" x14ac:dyDescent="0.2">
      <c r="A650" s="6"/>
      <c r="B650" s="7"/>
      <c r="C650" s="7"/>
      <c r="D650" s="7"/>
      <c r="E650" s="7"/>
      <c r="F650" s="6"/>
      <c r="G650" s="6"/>
      <c r="H650" s="6"/>
      <c r="I650" s="6"/>
      <c r="J650" s="6"/>
      <c r="K650" s="6"/>
      <c r="L650" s="6"/>
      <c r="M650" s="6"/>
      <c r="N650" s="6"/>
      <c r="O650" s="6"/>
      <c r="P650" s="6"/>
      <c r="Q650" s="6"/>
      <c r="R650" s="6"/>
      <c r="S650" s="6"/>
      <c r="T650" s="6"/>
      <c r="U650" s="6"/>
      <c r="V650" s="6"/>
      <c r="W650" s="6"/>
    </row>
    <row r="651" spans="1:23" ht="16" x14ac:dyDescent="0.2">
      <c r="A651" s="6"/>
      <c r="B651" s="7"/>
      <c r="C651" s="7"/>
      <c r="D651" s="7"/>
      <c r="E651" s="7"/>
      <c r="F651" s="6"/>
      <c r="G651" s="6"/>
      <c r="H651" s="6"/>
      <c r="I651" s="6"/>
      <c r="J651" s="6"/>
      <c r="K651" s="6"/>
      <c r="L651" s="6"/>
      <c r="M651" s="6"/>
      <c r="N651" s="6"/>
      <c r="O651" s="6"/>
      <c r="P651" s="6"/>
      <c r="Q651" s="6"/>
      <c r="R651" s="6"/>
      <c r="S651" s="6"/>
      <c r="T651" s="6"/>
      <c r="U651" s="6"/>
      <c r="V651" s="6"/>
      <c r="W651" s="6"/>
    </row>
    <row r="652" spans="1:23" ht="16" x14ac:dyDescent="0.2">
      <c r="A652" s="6"/>
      <c r="B652" s="7"/>
      <c r="C652" s="7"/>
      <c r="D652" s="7"/>
      <c r="E652" s="7"/>
      <c r="F652" s="6"/>
      <c r="G652" s="6"/>
      <c r="H652" s="6"/>
      <c r="I652" s="6"/>
      <c r="J652" s="6"/>
      <c r="K652" s="6"/>
      <c r="L652" s="6"/>
      <c r="M652" s="6"/>
      <c r="N652" s="6"/>
      <c r="O652" s="6"/>
      <c r="P652" s="6"/>
      <c r="Q652" s="6"/>
      <c r="R652" s="6"/>
      <c r="S652" s="6"/>
      <c r="T652" s="6"/>
      <c r="U652" s="6"/>
      <c r="V652" s="6"/>
      <c r="W652" s="6"/>
    </row>
    <row r="653" spans="1:23" ht="16" x14ac:dyDescent="0.2">
      <c r="A653" s="6"/>
      <c r="B653" s="7"/>
      <c r="C653" s="7"/>
      <c r="D653" s="7"/>
      <c r="E653" s="7"/>
      <c r="F653" s="6"/>
      <c r="G653" s="6"/>
      <c r="H653" s="6"/>
      <c r="I653" s="6"/>
      <c r="J653" s="6"/>
      <c r="K653" s="6"/>
      <c r="L653" s="6"/>
      <c r="M653" s="6"/>
      <c r="N653" s="6"/>
      <c r="O653" s="6"/>
      <c r="P653" s="6"/>
      <c r="Q653" s="6"/>
      <c r="R653" s="6"/>
      <c r="S653" s="6"/>
      <c r="T653" s="6"/>
      <c r="U653" s="6"/>
      <c r="V653" s="6"/>
      <c r="W653" s="6"/>
    </row>
    <row r="654" spans="1:23" ht="16" x14ac:dyDescent="0.2">
      <c r="A654" s="6"/>
      <c r="B654" s="7"/>
      <c r="C654" s="7"/>
      <c r="D654" s="7"/>
      <c r="E654" s="7"/>
      <c r="F654" s="6"/>
      <c r="G654" s="6"/>
      <c r="H654" s="6"/>
      <c r="I654" s="6"/>
      <c r="J654" s="6"/>
      <c r="K654" s="6"/>
      <c r="L654" s="6"/>
      <c r="M654" s="6"/>
      <c r="N654" s="6"/>
      <c r="O654" s="6"/>
      <c r="P654" s="6"/>
      <c r="Q654" s="6"/>
      <c r="R654" s="6"/>
      <c r="S654" s="6"/>
      <c r="T654" s="6"/>
      <c r="U654" s="6"/>
      <c r="V654" s="6"/>
      <c r="W654" s="6"/>
    </row>
    <row r="655" spans="1:23" ht="16" x14ac:dyDescent="0.2">
      <c r="A655" s="6"/>
      <c r="B655" s="7"/>
      <c r="C655" s="7"/>
      <c r="D655" s="7"/>
      <c r="E655" s="7"/>
      <c r="F655" s="6"/>
      <c r="G655" s="6"/>
      <c r="H655" s="6"/>
      <c r="I655" s="6"/>
      <c r="J655" s="6"/>
      <c r="K655" s="6"/>
      <c r="L655" s="6"/>
      <c r="M655" s="6"/>
      <c r="N655" s="6"/>
      <c r="O655" s="6"/>
      <c r="P655" s="6"/>
      <c r="Q655" s="6"/>
      <c r="R655" s="6"/>
      <c r="S655" s="6"/>
      <c r="T655" s="6"/>
      <c r="U655" s="6"/>
      <c r="V655" s="6"/>
      <c r="W655" s="6"/>
    </row>
    <row r="656" spans="1:23" ht="16" x14ac:dyDescent="0.2">
      <c r="A656" s="6"/>
      <c r="B656" s="7"/>
      <c r="C656" s="7"/>
      <c r="D656" s="7"/>
      <c r="E656" s="7"/>
      <c r="F656" s="6"/>
      <c r="G656" s="6"/>
      <c r="H656" s="6"/>
      <c r="I656" s="6"/>
      <c r="J656" s="6"/>
      <c r="K656" s="6"/>
      <c r="L656" s="6"/>
      <c r="M656" s="6"/>
      <c r="N656" s="6"/>
      <c r="O656" s="6"/>
      <c r="P656" s="6"/>
      <c r="Q656" s="6"/>
      <c r="R656" s="6"/>
      <c r="S656" s="6"/>
      <c r="T656" s="6"/>
      <c r="U656" s="6"/>
      <c r="V656" s="6"/>
      <c r="W656" s="6"/>
    </row>
    <row r="657" spans="1:23" ht="16" x14ac:dyDescent="0.2">
      <c r="A657" s="6"/>
      <c r="B657" s="7"/>
      <c r="C657" s="7"/>
      <c r="D657" s="7"/>
      <c r="E657" s="7"/>
      <c r="F657" s="6"/>
      <c r="G657" s="6"/>
      <c r="H657" s="6"/>
      <c r="I657" s="6"/>
      <c r="J657" s="6"/>
      <c r="K657" s="6"/>
      <c r="L657" s="6"/>
      <c r="M657" s="6"/>
      <c r="N657" s="6"/>
      <c r="O657" s="6"/>
      <c r="P657" s="6"/>
      <c r="Q657" s="6"/>
      <c r="R657" s="6"/>
      <c r="S657" s="6"/>
      <c r="T657" s="6"/>
      <c r="U657" s="6"/>
      <c r="V657" s="6"/>
      <c r="W657" s="6"/>
    </row>
    <row r="658" spans="1:23" ht="16" x14ac:dyDescent="0.2">
      <c r="A658" s="6"/>
      <c r="B658" s="7"/>
      <c r="C658" s="7"/>
      <c r="D658" s="7"/>
      <c r="E658" s="7"/>
      <c r="F658" s="6"/>
      <c r="G658" s="6"/>
      <c r="H658" s="6"/>
      <c r="I658" s="6"/>
      <c r="J658" s="6"/>
      <c r="K658" s="6"/>
      <c r="L658" s="6"/>
      <c r="M658" s="6"/>
      <c r="N658" s="6"/>
      <c r="O658" s="6"/>
      <c r="P658" s="6"/>
      <c r="Q658" s="6"/>
      <c r="R658" s="6"/>
      <c r="S658" s="6"/>
      <c r="T658" s="6"/>
      <c r="U658" s="6"/>
      <c r="V658" s="6"/>
      <c r="W658" s="6"/>
    </row>
    <row r="659" spans="1:23" ht="16" x14ac:dyDescent="0.2">
      <c r="A659" s="6"/>
      <c r="B659" s="7"/>
      <c r="C659" s="7"/>
      <c r="D659" s="7"/>
      <c r="E659" s="7"/>
      <c r="F659" s="6"/>
      <c r="G659" s="6"/>
      <c r="H659" s="6"/>
      <c r="I659" s="6"/>
      <c r="J659" s="6"/>
      <c r="K659" s="6"/>
      <c r="L659" s="6"/>
      <c r="M659" s="6"/>
      <c r="N659" s="6"/>
      <c r="O659" s="6"/>
      <c r="P659" s="6"/>
      <c r="Q659" s="6"/>
      <c r="R659" s="6"/>
      <c r="S659" s="6"/>
      <c r="T659" s="6"/>
      <c r="U659" s="6"/>
      <c r="V659" s="6"/>
      <c r="W659" s="6"/>
    </row>
    <row r="660" spans="1:23" ht="16" x14ac:dyDescent="0.2">
      <c r="A660" s="6"/>
      <c r="B660" s="7"/>
      <c r="C660" s="7"/>
      <c r="D660" s="7"/>
      <c r="E660" s="7"/>
      <c r="F660" s="6"/>
      <c r="G660" s="6"/>
      <c r="H660" s="6"/>
      <c r="I660" s="6"/>
      <c r="J660" s="6"/>
      <c r="K660" s="6"/>
      <c r="L660" s="6"/>
      <c r="M660" s="6"/>
      <c r="N660" s="6"/>
      <c r="O660" s="6"/>
      <c r="P660" s="6"/>
      <c r="Q660" s="6"/>
      <c r="R660" s="6"/>
      <c r="S660" s="6"/>
      <c r="T660" s="6"/>
      <c r="U660" s="6"/>
      <c r="V660" s="6"/>
      <c r="W660" s="6"/>
    </row>
    <row r="661" spans="1:23" ht="16" x14ac:dyDescent="0.2">
      <c r="A661" s="6"/>
      <c r="B661" s="7"/>
      <c r="C661" s="7"/>
      <c r="D661" s="7"/>
      <c r="E661" s="7"/>
      <c r="F661" s="6"/>
      <c r="G661" s="6"/>
      <c r="H661" s="6"/>
      <c r="I661" s="6"/>
      <c r="J661" s="6"/>
      <c r="K661" s="6"/>
      <c r="L661" s="6"/>
      <c r="M661" s="6"/>
      <c r="N661" s="6"/>
      <c r="O661" s="6"/>
      <c r="P661" s="6"/>
      <c r="Q661" s="6"/>
      <c r="R661" s="6"/>
      <c r="S661" s="6"/>
      <c r="T661" s="6"/>
      <c r="U661" s="6"/>
      <c r="V661" s="6"/>
      <c r="W661" s="6"/>
    </row>
    <row r="662" spans="1:23" ht="16" x14ac:dyDescent="0.2">
      <c r="A662" s="6"/>
      <c r="B662" s="7"/>
      <c r="C662" s="7"/>
      <c r="D662" s="7"/>
      <c r="E662" s="7"/>
      <c r="F662" s="6"/>
      <c r="G662" s="6"/>
      <c r="H662" s="6"/>
      <c r="I662" s="6"/>
      <c r="J662" s="6"/>
      <c r="K662" s="6"/>
      <c r="L662" s="6"/>
      <c r="M662" s="6"/>
      <c r="N662" s="6"/>
      <c r="O662" s="6"/>
      <c r="P662" s="6"/>
      <c r="Q662" s="6"/>
      <c r="R662" s="6"/>
      <c r="S662" s="6"/>
      <c r="T662" s="6"/>
      <c r="U662" s="6"/>
      <c r="V662" s="6"/>
      <c r="W662" s="6"/>
    </row>
    <row r="663" spans="1:23" ht="16" x14ac:dyDescent="0.2">
      <c r="A663" s="6"/>
      <c r="B663" s="7"/>
      <c r="C663" s="7"/>
      <c r="D663" s="7"/>
      <c r="E663" s="7"/>
      <c r="F663" s="6"/>
      <c r="G663" s="6"/>
      <c r="H663" s="6"/>
      <c r="I663" s="6"/>
      <c r="J663" s="6"/>
      <c r="K663" s="6"/>
      <c r="L663" s="6"/>
      <c r="M663" s="6"/>
      <c r="N663" s="6"/>
      <c r="O663" s="6"/>
      <c r="P663" s="6"/>
      <c r="Q663" s="6"/>
      <c r="R663" s="6"/>
      <c r="S663" s="6"/>
      <c r="T663" s="6"/>
      <c r="U663" s="6"/>
      <c r="V663" s="6"/>
      <c r="W663" s="6"/>
    </row>
    <row r="664" spans="1:23" ht="16" x14ac:dyDescent="0.2">
      <c r="A664" s="6"/>
      <c r="B664" s="7"/>
      <c r="C664" s="7"/>
      <c r="D664" s="7"/>
      <c r="E664" s="7"/>
      <c r="F664" s="6"/>
      <c r="G664" s="6"/>
      <c r="H664" s="6"/>
      <c r="I664" s="6"/>
      <c r="J664" s="6"/>
      <c r="K664" s="6"/>
      <c r="L664" s="6"/>
      <c r="M664" s="6"/>
      <c r="N664" s="6"/>
      <c r="O664" s="6"/>
      <c r="P664" s="6"/>
      <c r="Q664" s="6"/>
      <c r="R664" s="6"/>
      <c r="S664" s="6"/>
      <c r="T664" s="6"/>
      <c r="U664" s="6"/>
      <c r="V664" s="6"/>
      <c r="W664" s="6"/>
    </row>
    <row r="665" spans="1:23" ht="16" x14ac:dyDescent="0.2">
      <c r="A665" s="6"/>
      <c r="B665" s="7"/>
      <c r="C665" s="7"/>
      <c r="D665" s="7"/>
      <c r="E665" s="7"/>
      <c r="F665" s="6"/>
      <c r="G665" s="6"/>
      <c r="H665" s="6"/>
      <c r="I665" s="6"/>
      <c r="J665" s="6"/>
      <c r="K665" s="6"/>
      <c r="L665" s="6"/>
      <c r="M665" s="6"/>
      <c r="N665" s="6"/>
      <c r="O665" s="6"/>
      <c r="P665" s="6"/>
      <c r="Q665" s="6"/>
      <c r="R665" s="6"/>
      <c r="S665" s="6"/>
      <c r="T665" s="6"/>
      <c r="U665" s="6"/>
      <c r="V665" s="6"/>
      <c r="W665" s="6"/>
    </row>
    <row r="666" spans="1:23" ht="16" x14ac:dyDescent="0.2">
      <c r="A666" s="6"/>
      <c r="B666" s="7"/>
      <c r="C666" s="7"/>
      <c r="D666" s="7"/>
      <c r="E666" s="7"/>
      <c r="F666" s="6"/>
      <c r="G666" s="6"/>
      <c r="H666" s="6"/>
      <c r="I666" s="6"/>
      <c r="J666" s="6"/>
      <c r="K666" s="6"/>
      <c r="L666" s="6"/>
      <c r="M666" s="6"/>
      <c r="N666" s="6"/>
      <c r="O666" s="6"/>
      <c r="P666" s="6"/>
      <c r="Q666" s="6"/>
      <c r="R666" s="6"/>
      <c r="S666" s="6"/>
      <c r="T666" s="6"/>
      <c r="U666" s="6"/>
      <c r="V666" s="6"/>
      <c r="W666" s="6"/>
    </row>
    <row r="667" spans="1:23" ht="16" x14ac:dyDescent="0.2">
      <c r="A667" s="6"/>
      <c r="B667" s="7"/>
      <c r="C667" s="7"/>
      <c r="D667" s="7"/>
      <c r="E667" s="7"/>
      <c r="F667" s="6"/>
      <c r="G667" s="6"/>
      <c r="H667" s="6"/>
      <c r="I667" s="6"/>
      <c r="J667" s="6"/>
      <c r="K667" s="6"/>
      <c r="L667" s="6"/>
      <c r="M667" s="6"/>
      <c r="N667" s="6"/>
      <c r="O667" s="6"/>
      <c r="P667" s="6"/>
      <c r="Q667" s="6"/>
      <c r="R667" s="6"/>
      <c r="S667" s="6"/>
      <c r="T667" s="6"/>
      <c r="U667" s="6"/>
      <c r="V667" s="6"/>
      <c r="W667" s="6"/>
    </row>
    <row r="668" spans="1:23" ht="16" x14ac:dyDescent="0.2">
      <c r="A668" s="6"/>
      <c r="B668" s="7"/>
      <c r="C668" s="7"/>
      <c r="D668" s="7"/>
      <c r="E668" s="7"/>
      <c r="F668" s="6"/>
      <c r="G668" s="6"/>
      <c r="H668" s="6"/>
      <c r="I668" s="6"/>
      <c r="J668" s="6"/>
      <c r="K668" s="6"/>
      <c r="L668" s="6"/>
      <c r="M668" s="6"/>
      <c r="N668" s="6"/>
      <c r="O668" s="6"/>
      <c r="P668" s="6"/>
      <c r="Q668" s="6"/>
      <c r="R668" s="6"/>
      <c r="S668" s="6"/>
      <c r="T668" s="6"/>
      <c r="U668" s="6"/>
      <c r="V668" s="6"/>
      <c r="W668" s="6"/>
    </row>
    <row r="669" spans="1:23" ht="16" x14ac:dyDescent="0.2">
      <c r="A669" s="6"/>
      <c r="B669" s="7"/>
      <c r="C669" s="7"/>
      <c r="D669" s="7"/>
      <c r="E669" s="7"/>
      <c r="F669" s="6"/>
      <c r="G669" s="6"/>
      <c r="H669" s="6"/>
      <c r="I669" s="6"/>
      <c r="J669" s="6"/>
      <c r="K669" s="6"/>
      <c r="L669" s="6"/>
      <c r="M669" s="6"/>
      <c r="N669" s="6"/>
      <c r="O669" s="6"/>
      <c r="P669" s="6"/>
      <c r="Q669" s="6"/>
      <c r="R669" s="6"/>
      <c r="S669" s="6"/>
      <c r="T669" s="6"/>
      <c r="U669" s="6"/>
      <c r="V669" s="6"/>
      <c r="W669" s="6"/>
    </row>
    <row r="670" spans="1:23" ht="16" x14ac:dyDescent="0.2">
      <c r="A670" s="6"/>
      <c r="B670" s="7"/>
      <c r="C670" s="7"/>
      <c r="D670" s="7"/>
      <c r="E670" s="7"/>
      <c r="F670" s="6"/>
      <c r="G670" s="6"/>
      <c r="H670" s="6"/>
      <c r="I670" s="6"/>
      <c r="J670" s="6"/>
      <c r="K670" s="6"/>
      <c r="L670" s="6"/>
      <c r="M670" s="6"/>
      <c r="N670" s="6"/>
      <c r="O670" s="6"/>
      <c r="P670" s="6"/>
      <c r="Q670" s="6"/>
      <c r="R670" s="6"/>
      <c r="S670" s="6"/>
      <c r="T670" s="6"/>
      <c r="U670" s="6"/>
      <c r="V670" s="6"/>
      <c r="W670" s="6"/>
    </row>
    <row r="671" spans="1:23" ht="16" x14ac:dyDescent="0.2">
      <c r="A671" s="6"/>
      <c r="B671" s="7"/>
      <c r="C671" s="7"/>
      <c r="D671" s="7"/>
      <c r="E671" s="7"/>
      <c r="F671" s="6"/>
      <c r="G671" s="6"/>
      <c r="H671" s="6"/>
      <c r="I671" s="6"/>
      <c r="J671" s="6"/>
      <c r="K671" s="6"/>
      <c r="L671" s="6"/>
      <c r="M671" s="6"/>
      <c r="N671" s="6"/>
      <c r="O671" s="6"/>
      <c r="P671" s="6"/>
      <c r="Q671" s="6"/>
      <c r="R671" s="6"/>
      <c r="S671" s="6"/>
      <c r="T671" s="6"/>
      <c r="U671" s="6"/>
      <c r="V671" s="6"/>
      <c r="W671" s="6"/>
    </row>
    <row r="672" spans="1:23" ht="16" x14ac:dyDescent="0.2">
      <c r="A672" s="6"/>
      <c r="B672" s="7"/>
      <c r="C672" s="7"/>
      <c r="D672" s="7"/>
      <c r="E672" s="7"/>
      <c r="F672" s="6"/>
      <c r="G672" s="6"/>
      <c r="H672" s="6"/>
      <c r="I672" s="6"/>
      <c r="J672" s="6"/>
      <c r="K672" s="6"/>
      <c r="L672" s="6"/>
      <c r="M672" s="6"/>
      <c r="N672" s="6"/>
      <c r="O672" s="6"/>
      <c r="P672" s="6"/>
      <c r="Q672" s="6"/>
      <c r="R672" s="6"/>
      <c r="S672" s="6"/>
      <c r="T672" s="6"/>
      <c r="U672" s="6"/>
      <c r="V672" s="6"/>
      <c r="W672" s="6"/>
    </row>
    <row r="673" spans="1:23" ht="16" x14ac:dyDescent="0.2">
      <c r="A673" s="6"/>
      <c r="B673" s="7"/>
      <c r="C673" s="7"/>
      <c r="D673" s="7"/>
      <c r="E673" s="7"/>
      <c r="F673" s="6"/>
      <c r="G673" s="6"/>
      <c r="H673" s="6"/>
      <c r="I673" s="6"/>
      <c r="J673" s="6"/>
      <c r="K673" s="6"/>
      <c r="L673" s="6"/>
      <c r="M673" s="6"/>
      <c r="N673" s="6"/>
      <c r="O673" s="6"/>
      <c r="P673" s="6"/>
      <c r="Q673" s="6"/>
      <c r="R673" s="6"/>
      <c r="S673" s="6"/>
      <c r="T673" s="6"/>
      <c r="U673" s="6"/>
      <c r="V673" s="6"/>
      <c r="W673" s="6"/>
    </row>
    <row r="674" spans="1:23" ht="16" x14ac:dyDescent="0.2">
      <c r="A674" s="6"/>
      <c r="B674" s="7"/>
      <c r="C674" s="7"/>
      <c r="D674" s="7"/>
      <c r="E674" s="7"/>
      <c r="F674" s="6"/>
      <c r="G674" s="6"/>
      <c r="H674" s="6"/>
      <c r="I674" s="6"/>
      <c r="J674" s="6"/>
      <c r="K674" s="6"/>
      <c r="L674" s="6"/>
      <c r="M674" s="6"/>
      <c r="N674" s="6"/>
      <c r="O674" s="6"/>
      <c r="P674" s="6"/>
      <c r="Q674" s="6"/>
      <c r="R674" s="6"/>
      <c r="S674" s="6"/>
      <c r="T674" s="6"/>
      <c r="U674" s="6"/>
      <c r="V674" s="6"/>
      <c r="W674" s="6"/>
    </row>
    <row r="675" spans="1:23" ht="16" x14ac:dyDescent="0.2">
      <c r="A675" s="6"/>
      <c r="B675" s="7"/>
      <c r="C675" s="7"/>
      <c r="D675" s="7"/>
      <c r="E675" s="7"/>
      <c r="F675" s="6"/>
      <c r="G675" s="6"/>
      <c r="H675" s="6"/>
      <c r="I675" s="6"/>
      <c r="J675" s="6"/>
      <c r="K675" s="6"/>
      <c r="L675" s="6"/>
      <c r="M675" s="6"/>
      <c r="N675" s="6"/>
      <c r="O675" s="6"/>
      <c r="P675" s="6"/>
      <c r="Q675" s="6"/>
      <c r="R675" s="6"/>
      <c r="S675" s="6"/>
      <c r="T675" s="6"/>
      <c r="U675" s="6"/>
      <c r="V675" s="6"/>
      <c r="W675" s="6"/>
    </row>
    <row r="676" spans="1:23" ht="16" x14ac:dyDescent="0.2">
      <c r="A676" s="6"/>
      <c r="B676" s="7"/>
      <c r="C676" s="7"/>
      <c r="D676" s="7"/>
      <c r="E676" s="7"/>
      <c r="F676" s="6"/>
      <c r="G676" s="6"/>
      <c r="H676" s="6"/>
      <c r="I676" s="6"/>
      <c r="J676" s="6"/>
      <c r="K676" s="6"/>
      <c r="L676" s="6"/>
      <c r="M676" s="6"/>
      <c r="N676" s="6"/>
      <c r="O676" s="6"/>
      <c r="P676" s="6"/>
      <c r="Q676" s="6"/>
      <c r="R676" s="6"/>
      <c r="S676" s="6"/>
      <c r="T676" s="6"/>
      <c r="U676" s="6"/>
      <c r="V676" s="6"/>
      <c r="W676" s="6"/>
    </row>
    <row r="677" spans="1:23" ht="16" x14ac:dyDescent="0.2">
      <c r="A677" s="6"/>
      <c r="B677" s="7"/>
      <c r="C677" s="7"/>
      <c r="D677" s="7"/>
      <c r="E677" s="7"/>
      <c r="F677" s="6"/>
      <c r="G677" s="6"/>
      <c r="H677" s="6"/>
      <c r="I677" s="6"/>
      <c r="J677" s="6"/>
      <c r="K677" s="6"/>
      <c r="L677" s="6"/>
      <c r="M677" s="6"/>
      <c r="N677" s="6"/>
      <c r="O677" s="6"/>
      <c r="P677" s="6"/>
      <c r="Q677" s="6"/>
      <c r="R677" s="6"/>
      <c r="S677" s="6"/>
      <c r="T677" s="6"/>
      <c r="U677" s="6"/>
      <c r="V677" s="6"/>
      <c r="W677" s="6"/>
    </row>
    <row r="678" spans="1:23" ht="16" x14ac:dyDescent="0.2">
      <c r="A678" s="6"/>
      <c r="B678" s="7"/>
      <c r="C678" s="7"/>
      <c r="D678" s="7"/>
      <c r="E678" s="7"/>
      <c r="F678" s="6"/>
      <c r="G678" s="6"/>
      <c r="H678" s="6"/>
      <c r="I678" s="6"/>
      <c r="J678" s="6"/>
      <c r="K678" s="6"/>
      <c r="L678" s="6"/>
      <c r="M678" s="6"/>
      <c r="N678" s="6"/>
      <c r="O678" s="6"/>
      <c r="P678" s="6"/>
      <c r="Q678" s="6"/>
      <c r="R678" s="6"/>
      <c r="S678" s="6"/>
      <c r="T678" s="6"/>
      <c r="U678" s="6"/>
      <c r="V678" s="6"/>
      <c r="W678" s="6"/>
    </row>
    <row r="679" spans="1:23" ht="16" x14ac:dyDescent="0.2">
      <c r="A679" s="6"/>
      <c r="B679" s="7"/>
      <c r="C679" s="7"/>
      <c r="D679" s="7"/>
      <c r="E679" s="7"/>
      <c r="F679" s="6"/>
      <c r="G679" s="6"/>
      <c r="H679" s="6"/>
      <c r="I679" s="6"/>
      <c r="J679" s="6"/>
      <c r="K679" s="6"/>
      <c r="L679" s="6"/>
      <c r="M679" s="6"/>
      <c r="N679" s="6"/>
      <c r="O679" s="6"/>
      <c r="P679" s="6"/>
      <c r="Q679" s="6"/>
      <c r="R679" s="6"/>
      <c r="S679" s="6"/>
      <c r="T679" s="6"/>
      <c r="U679" s="6"/>
      <c r="V679" s="6"/>
      <c r="W679" s="6"/>
    </row>
    <row r="680" spans="1:23" ht="16" x14ac:dyDescent="0.2">
      <c r="A680" s="6"/>
      <c r="B680" s="7"/>
      <c r="C680" s="7"/>
      <c r="D680" s="7"/>
      <c r="E680" s="7"/>
      <c r="F680" s="6"/>
      <c r="G680" s="6"/>
      <c r="H680" s="6"/>
      <c r="I680" s="6"/>
      <c r="J680" s="6"/>
      <c r="K680" s="6"/>
      <c r="L680" s="6"/>
      <c r="M680" s="6"/>
      <c r="N680" s="6"/>
      <c r="O680" s="6"/>
      <c r="P680" s="6"/>
      <c r="Q680" s="6"/>
      <c r="R680" s="6"/>
      <c r="S680" s="6"/>
      <c r="T680" s="6"/>
      <c r="U680" s="6"/>
      <c r="V680" s="6"/>
      <c r="W680" s="6"/>
    </row>
    <row r="681" spans="1:23" ht="16" x14ac:dyDescent="0.2">
      <c r="A681" s="6"/>
      <c r="B681" s="7"/>
      <c r="C681" s="7"/>
      <c r="D681" s="7"/>
      <c r="E681" s="7"/>
      <c r="F681" s="6"/>
      <c r="G681" s="6"/>
      <c r="H681" s="6"/>
      <c r="I681" s="6"/>
      <c r="J681" s="6"/>
      <c r="K681" s="6"/>
      <c r="L681" s="6"/>
      <c r="M681" s="6"/>
      <c r="N681" s="6"/>
      <c r="O681" s="6"/>
      <c r="P681" s="6"/>
      <c r="Q681" s="6"/>
      <c r="R681" s="6"/>
      <c r="S681" s="6"/>
      <c r="T681" s="6"/>
      <c r="U681" s="6"/>
      <c r="V681" s="6"/>
      <c r="W681" s="6"/>
    </row>
    <row r="682" spans="1:23" ht="16" x14ac:dyDescent="0.2">
      <c r="A682" s="6"/>
      <c r="B682" s="7"/>
      <c r="C682" s="7"/>
      <c r="D682" s="7"/>
      <c r="E682" s="7"/>
      <c r="F682" s="6"/>
      <c r="G682" s="6"/>
      <c r="H682" s="6"/>
      <c r="I682" s="6"/>
      <c r="J682" s="6"/>
      <c r="K682" s="6"/>
      <c r="L682" s="6"/>
      <c r="M682" s="6"/>
      <c r="N682" s="6"/>
      <c r="O682" s="6"/>
      <c r="P682" s="6"/>
      <c r="Q682" s="6"/>
      <c r="R682" s="6"/>
      <c r="S682" s="6"/>
      <c r="T682" s="6"/>
      <c r="U682" s="6"/>
      <c r="V682" s="6"/>
      <c r="W682" s="6"/>
    </row>
    <row r="683" spans="1:23" ht="16" x14ac:dyDescent="0.2">
      <c r="A683" s="6"/>
      <c r="B683" s="7"/>
      <c r="C683" s="7"/>
      <c r="D683" s="7"/>
      <c r="E683" s="7"/>
      <c r="F683" s="6"/>
      <c r="G683" s="6"/>
      <c r="H683" s="6"/>
      <c r="I683" s="6"/>
      <c r="J683" s="6"/>
      <c r="K683" s="6"/>
      <c r="L683" s="6"/>
      <c r="M683" s="6"/>
      <c r="N683" s="6"/>
      <c r="O683" s="6"/>
      <c r="P683" s="6"/>
      <c r="Q683" s="6"/>
      <c r="R683" s="6"/>
      <c r="S683" s="6"/>
      <c r="T683" s="6"/>
      <c r="U683" s="6"/>
      <c r="V683" s="6"/>
      <c r="W683" s="6"/>
    </row>
    <row r="684" spans="1:23" ht="16" x14ac:dyDescent="0.2">
      <c r="A684" s="6"/>
      <c r="B684" s="7"/>
      <c r="C684" s="7"/>
      <c r="D684" s="7"/>
      <c r="E684" s="7"/>
      <c r="F684" s="6"/>
      <c r="G684" s="6"/>
      <c r="H684" s="6"/>
      <c r="I684" s="6"/>
      <c r="J684" s="6"/>
      <c r="K684" s="6"/>
      <c r="L684" s="6"/>
      <c r="M684" s="6"/>
      <c r="N684" s="6"/>
      <c r="O684" s="6"/>
      <c r="P684" s="6"/>
      <c r="Q684" s="6"/>
      <c r="R684" s="6"/>
      <c r="S684" s="6"/>
      <c r="T684" s="6"/>
      <c r="U684" s="6"/>
      <c r="V684" s="6"/>
      <c r="W684" s="6"/>
    </row>
    <row r="685" spans="1:23" ht="16" x14ac:dyDescent="0.2">
      <c r="A685" s="6"/>
      <c r="B685" s="7"/>
      <c r="C685" s="7"/>
      <c r="D685" s="7"/>
      <c r="E685" s="7"/>
      <c r="F685" s="6"/>
      <c r="G685" s="6"/>
      <c r="H685" s="6"/>
      <c r="I685" s="6"/>
      <c r="J685" s="6"/>
      <c r="K685" s="6"/>
      <c r="L685" s="6"/>
      <c r="M685" s="6"/>
      <c r="N685" s="6"/>
      <c r="O685" s="6"/>
      <c r="P685" s="6"/>
      <c r="Q685" s="6"/>
      <c r="R685" s="6"/>
      <c r="S685" s="6"/>
      <c r="T685" s="6"/>
      <c r="U685" s="6"/>
      <c r="V685" s="6"/>
      <c r="W685" s="6"/>
    </row>
    <row r="686" spans="1:23" ht="16" x14ac:dyDescent="0.2">
      <c r="A686" s="6"/>
      <c r="B686" s="7"/>
      <c r="C686" s="7"/>
      <c r="D686" s="7"/>
      <c r="E686" s="7"/>
      <c r="F686" s="6"/>
      <c r="G686" s="6"/>
      <c r="H686" s="6"/>
      <c r="I686" s="6"/>
      <c r="J686" s="6"/>
      <c r="K686" s="6"/>
      <c r="L686" s="6"/>
      <c r="M686" s="6"/>
      <c r="N686" s="6"/>
      <c r="O686" s="6"/>
      <c r="P686" s="6"/>
      <c r="Q686" s="6"/>
      <c r="R686" s="6"/>
      <c r="S686" s="6"/>
      <c r="T686" s="6"/>
      <c r="U686" s="6"/>
      <c r="V686" s="6"/>
      <c r="W686" s="6"/>
    </row>
    <row r="687" spans="1:23" ht="16" x14ac:dyDescent="0.2">
      <c r="A687" s="6"/>
      <c r="B687" s="7"/>
      <c r="C687" s="7"/>
      <c r="D687" s="7"/>
      <c r="E687" s="7"/>
      <c r="F687" s="6"/>
      <c r="G687" s="6"/>
      <c r="H687" s="6"/>
      <c r="I687" s="6"/>
      <c r="J687" s="6"/>
      <c r="K687" s="6"/>
      <c r="L687" s="6"/>
      <c r="M687" s="6"/>
      <c r="N687" s="6"/>
      <c r="O687" s="6"/>
      <c r="P687" s="6"/>
      <c r="Q687" s="6"/>
      <c r="R687" s="6"/>
      <c r="S687" s="6"/>
      <c r="T687" s="6"/>
      <c r="U687" s="6"/>
      <c r="V687" s="6"/>
      <c r="W687" s="6"/>
    </row>
    <row r="688" spans="1:23" ht="16" x14ac:dyDescent="0.2">
      <c r="A688" s="6"/>
      <c r="B688" s="7"/>
      <c r="C688" s="7"/>
      <c r="D688" s="7"/>
      <c r="E688" s="7"/>
      <c r="F688" s="6"/>
      <c r="G688" s="6"/>
      <c r="H688" s="6"/>
      <c r="I688" s="6"/>
      <c r="J688" s="6"/>
      <c r="K688" s="6"/>
      <c r="L688" s="6"/>
      <c r="M688" s="6"/>
      <c r="N688" s="6"/>
      <c r="O688" s="6"/>
      <c r="P688" s="6"/>
      <c r="Q688" s="6"/>
      <c r="R688" s="6"/>
      <c r="S688" s="6"/>
      <c r="T688" s="6"/>
      <c r="U688" s="6"/>
      <c r="V688" s="6"/>
      <c r="W688" s="6"/>
    </row>
    <row r="689" spans="1:23" ht="16" x14ac:dyDescent="0.2">
      <c r="A689" s="6"/>
      <c r="B689" s="7"/>
      <c r="C689" s="7"/>
      <c r="D689" s="7"/>
      <c r="E689" s="7"/>
      <c r="F689" s="6"/>
      <c r="G689" s="6"/>
      <c r="H689" s="6"/>
      <c r="I689" s="6"/>
      <c r="J689" s="6"/>
      <c r="K689" s="6"/>
      <c r="L689" s="6"/>
      <c r="M689" s="6"/>
      <c r="N689" s="6"/>
      <c r="O689" s="6"/>
      <c r="P689" s="6"/>
      <c r="Q689" s="6"/>
      <c r="R689" s="6"/>
      <c r="S689" s="6"/>
      <c r="T689" s="6"/>
      <c r="U689" s="6"/>
      <c r="V689" s="6"/>
      <c r="W689" s="6"/>
    </row>
    <row r="690" spans="1:23" ht="16" x14ac:dyDescent="0.2">
      <c r="A690" s="6"/>
      <c r="B690" s="7"/>
      <c r="C690" s="7"/>
      <c r="D690" s="7"/>
      <c r="E690" s="7"/>
      <c r="F690" s="6"/>
      <c r="G690" s="6"/>
      <c r="H690" s="6"/>
      <c r="I690" s="6"/>
      <c r="J690" s="6"/>
      <c r="K690" s="6"/>
      <c r="L690" s="6"/>
      <c r="M690" s="6"/>
      <c r="N690" s="6"/>
      <c r="O690" s="6"/>
      <c r="P690" s="6"/>
      <c r="Q690" s="6"/>
      <c r="R690" s="6"/>
      <c r="S690" s="6"/>
      <c r="T690" s="6"/>
      <c r="U690" s="6"/>
      <c r="V690" s="6"/>
      <c r="W690" s="6"/>
    </row>
    <row r="691" spans="1:23" ht="16" x14ac:dyDescent="0.2">
      <c r="A691" s="6"/>
      <c r="B691" s="7"/>
      <c r="C691" s="7"/>
      <c r="D691" s="7"/>
      <c r="E691" s="7"/>
      <c r="F691" s="6"/>
      <c r="G691" s="6"/>
      <c r="H691" s="6"/>
      <c r="I691" s="6"/>
      <c r="J691" s="6"/>
      <c r="K691" s="6"/>
      <c r="L691" s="6"/>
      <c r="M691" s="6"/>
      <c r="N691" s="6"/>
      <c r="O691" s="6"/>
      <c r="P691" s="6"/>
      <c r="Q691" s="6"/>
      <c r="R691" s="6"/>
      <c r="S691" s="6"/>
      <c r="T691" s="6"/>
      <c r="U691" s="6"/>
      <c r="V691" s="6"/>
      <c r="W691" s="6"/>
    </row>
    <row r="692" spans="1:23" ht="16" x14ac:dyDescent="0.2">
      <c r="A692" s="6"/>
      <c r="B692" s="7"/>
      <c r="C692" s="7"/>
      <c r="D692" s="7"/>
      <c r="E692" s="7"/>
      <c r="F692" s="6"/>
      <c r="G692" s="6"/>
      <c r="H692" s="6"/>
      <c r="I692" s="6"/>
      <c r="J692" s="6"/>
      <c r="K692" s="6"/>
      <c r="L692" s="6"/>
      <c r="M692" s="6"/>
      <c r="N692" s="6"/>
      <c r="O692" s="6"/>
      <c r="P692" s="6"/>
      <c r="Q692" s="6"/>
      <c r="R692" s="6"/>
      <c r="S692" s="6"/>
      <c r="T692" s="6"/>
      <c r="U692" s="6"/>
      <c r="V692" s="6"/>
      <c r="W692" s="6"/>
    </row>
    <row r="693" spans="1:23" ht="16" x14ac:dyDescent="0.2">
      <c r="A693" s="6"/>
      <c r="B693" s="7"/>
      <c r="C693" s="7"/>
      <c r="D693" s="7"/>
      <c r="E693" s="7"/>
      <c r="F693" s="6"/>
      <c r="G693" s="6"/>
      <c r="H693" s="6"/>
      <c r="I693" s="6"/>
      <c r="J693" s="6"/>
      <c r="K693" s="6"/>
      <c r="L693" s="6"/>
      <c r="M693" s="6"/>
      <c r="N693" s="6"/>
      <c r="O693" s="6"/>
      <c r="P693" s="6"/>
      <c r="Q693" s="6"/>
      <c r="R693" s="6"/>
      <c r="S693" s="6"/>
      <c r="T693" s="6"/>
      <c r="U693" s="6"/>
      <c r="V693" s="6"/>
      <c r="W693" s="6"/>
    </row>
    <row r="694" spans="1:23" ht="16" x14ac:dyDescent="0.2">
      <c r="A694" s="6"/>
      <c r="B694" s="7"/>
      <c r="C694" s="7"/>
      <c r="D694" s="7"/>
      <c r="E694" s="7"/>
      <c r="F694" s="6"/>
      <c r="G694" s="6"/>
      <c r="H694" s="6"/>
      <c r="I694" s="6"/>
      <c r="J694" s="6"/>
      <c r="K694" s="6"/>
      <c r="L694" s="6"/>
      <c r="M694" s="6"/>
      <c r="N694" s="6"/>
      <c r="O694" s="6"/>
      <c r="P694" s="6"/>
      <c r="Q694" s="6"/>
      <c r="R694" s="6"/>
      <c r="S694" s="6"/>
      <c r="T694" s="6"/>
      <c r="U694" s="6"/>
      <c r="V694" s="6"/>
      <c r="W694" s="6"/>
    </row>
    <row r="695" spans="1:23" ht="16" x14ac:dyDescent="0.2">
      <c r="A695" s="6"/>
      <c r="B695" s="7"/>
      <c r="C695" s="7"/>
      <c r="D695" s="7"/>
      <c r="E695" s="7"/>
      <c r="F695" s="6"/>
      <c r="G695" s="6"/>
      <c r="H695" s="6"/>
      <c r="I695" s="6"/>
      <c r="J695" s="6"/>
      <c r="K695" s="6"/>
      <c r="L695" s="6"/>
      <c r="M695" s="6"/>
      <c r="N695" s="6"/>
      <c r="O695" s="6"/>
      <c r="P695" s="6"/>
      <c r="Q695" s="6"/>
      <c r="R695" s="6"/>
      <c r="S695" s="6"/>
      <c r="T695" s="6"/>
      <c r="U695" s="6"/>
      <c r="V695" s="6"/>
      <c r="W695" s="6"/>
    </row>
    <row r="696" spans="1:23" ht="16" x14ac:dyDescent="0.2">
      <c r="A696" s="6"/>
      <c r="B696" s="7"/>
      <c r="C696" s="7"/>
      <c r="D696" s="7"/>
      <c r="E696" s="7"/>
      <c r="F696" s="6"/>
      <c r="G696" s="6"/>
      <c r="H696" s="6"/>
      <c r="I696" s="6"/>
      <c r="J696" s="6"/>
      <c r="K696" s="6"/>
      <c r="L696" s="6"/>
      <c r="M696" s="6"/>
      <c r="N696" s="6"/>
      <c r="O696" s="6"/>
      <c r="P696" s="6"/>
      <c r="Q696" s="6"/>
      <c r="R696" s="6"/>
      <c r="S696" s="6"/>
      <c r="T696" s="6"/>
      <c r="U696" s="6"/>
      <c r="V696" s="6"/>
      <c r="W696" s="6"/>
    </row>
    <row r="697" spans="1:23" ht="16" x14ac:dyDescent="0.2">
      <c r="A697" s="6"/>
      <c r="B697" s="7"/>
      <c r="C697" s="7"/>
      <c r="D697" s="7"/>
      <c r="E697" s="7"/>
      <c r="F697" s="6"/>
      <c r="G697" s="6"/>
      <c r="H697" s="6"/>
      <c r="I697" s="6"/>
      <c r="J697" s="6"/>
      <c r="K697" s="6"/>
      <c r="L697" s="6"/>
      <c r="M697" s="6"/>
      <c r="N697" s="6"/>
      <c r="O697" s="6"/>
      <c r="P697" s="6"/>
      <c r="Q697" s="6"/>
      <c r="R697" s="6"/>
      <c r="S697" s="6"/>
      <c r="T697" s="6"/>
      <c r="U697" s="6"/>
      <c r="V697" s="6"/>
      <c r="W697" s="6"/>
    </row>
    <row r="698" spans="1:23" ht="16" x14ac:dyDescent="0.2">
      <c r="A698" s="6"/>
      <c r="B698" s="7"/>
      <c r="C698" s="7"/>
      <c r="D698" s="7"/>
      <c r="E698" s="7"/>
      <c r="F698" s="6"/>
      <c r="G698" s="6"/>
      <c r="H698" s="6"/>
      <c r="I698" s="6"/>
      <c r="J698" s="6"/>
      <c r="K698" s="6"/>
      <c r="L698" s="6"/>
      <c r="M698" s="6"/>
      <c r="N698" s="6"/>
      <c r="O698" s="6"/>
      <c r="P698" s="6"/>
      <c r="Q698" s="6"/>
      <c r="R698" s="6"/>
      <c r="S698" s="6"/>
      <c r="T698" s="6"/>
      <c r="U698" s="6"/>
      <c r="V698" s="6"/>
      <c r="W698" s="6"/>
    </row>
    <row r="699" spans="1:23" ht="16" x14ac:dyDescent="0.2">
      <c r="A699" s="6"/>
      <c r="B699" s="7"/>
      <c r="C699" s="7"/>
      <c r="D699" s="7"/>
      <c r="E699" s="7"/>
      <c r="F699" s="6"/>
      <c r="G699" s="6"/>
      <c r="H699" s="6"/>
      <c r="I699" s="6"/>
      <c r="J699" s="6"/>
      <c r="K699" s="6"/>
      <c r="L699" s="6"/>
      <c r="M699" s="6"/>
      <c r="N699" s="6"/>
      <c r="O699" s="6"/>
      <c r="P699" s="6"/>
      <c r="Q699" s="6"/>
      <c r="R699" s="6"/>
      <c r="S699" s="6"/>
      <c r="T699" s="6"/>
      <c r="U699" s="6"/>
      <c r="V699" s="6"/>
      <c r="W699" s="6"/>
    </row>
    <row r="700" spans="1:23" ht="16" x14ac:dyDescent="0.2">
      <c r="A700" s="6"/>
      <c r="B700" s="7"/>
      <c r="C700" s="7"/>
      <c r="D700" s="7"/>
      <c r="E700" s="7"/>
      <c r="F700" s="6"/>
      <c r="G700" s="6"/>
      <c r="H700" s="6"/>
      <c r="I700" s="6"/>
      <c r="J700" s="6"/>
      <c r="K700" s="6"/>
      <c r="L700" s="6"/>
      <c r="M700" s="6"/>
      <c r="N700" s="6"/>
      <c r="O700" s="6"/>
      <c r="P700" s="6"/>
      <c r="Q700" s="6"/>
      <c r="R700" s="6"/>
      <c r="S700" s="6"/>
      <c r="T700" s="6"/>
      <c r="U700" s="6"/>
      <c r="V700" s="6"/>
      <c r="W700" s="6"/>
    </row>
    <row r="701" spans="1:23" ht="16" x14ac:dyDescent="0.2">
      <c r="A701" s="6"/>
      <c r="B701" s="7"/>
      <c r="C701" s="7"/>
      <c r="D701" s="7"/>
      <c r="E701" s="7"/>
      <c r="F701" s="6"/>
      <c r="G701" s="6"/>
      <c r="H701" s="6"/>
      <c r="I701" s="6"/>
      <c r="J701" s="6"/>
      <c r="K701" s="6"/>
      <c r="L701" s="6"/>
      <c r="M701" s="6"/>
      <c r="N701" s="6"/>
      <c r="O701" s="6"/>
      <c r="P701" s="6"/>
      <c r="Q701" s="6"/>
      <c r="R701" s="6"/>
      <c r="S701" s="6"/>
      <c r="T701" s="6"/>
      <c r="U701" s="6"/>
      <c r="V701" s="6"/>
      <c r="W701" s="6"/>
    </row>
    <row r="702" spans="1:23" ht="16" x14ac:dyDescent="0.2">
      <c r="A702" s="6"/>
      <c r="B702" s="7"/>
      <c r="C702" s="7"/>
      <c r="D702" s="7"/>
      <c r="E702" s="7"/>
      <c r="F702" s="6"/>
      <c r="G702" s="6"/>
      <c r="H702" s="6"/>
      <c r="I702" s="6"/>
      <c r="J702" s="6"/>
      <c r="K702" s="6"/>
      <c r="L702" s="6"/>
      <c r="M702" s="6"/>
      <c r="N702" s="6"/>
      <c r="O702" s="6"/>
      <c r="P702" s="6"/>
      <c r="Q702" s="6"/>
      <c r="R702" s="6"/>
      <c r="S702" s="6"/>
      <c r="T702" s="6"/>
      <c r="U702" s="6"/>
      <c r="V702" s="6"/>
      <c r="W702" s="6"/>
    </row>
    <row r="703" spans="1:23" ht="16" x14ac:dyDescent="0.2">
      <c r="A703" s="6"/>
      <c r="B703" s="7"/>
      <c r="C703" s="7"/>
      <c r="D703" s="7"/>
      <c r="E703" s="7"/>
      <c r="F703" s="6"/>
      <c r="G703" s="6"/>
      <c r="H703" s="6"/>
      <c r="I703" s="6"/>
      <c r="J703" s="6"/>
      <c r="K703" s="6"/>
      <c r="L703" s="6"/>
      <c r="M703" s="6"/>
      <c r="N703" s="6"/>
      <c r="O703" s="6"/>
      <c r="P703" s="6"/>
      <c r="Q703" s="6"/>
      <c r="R703" s="6"/>
      <c r="S703" s="6"/>
      <c r="T703" s="6"/>
      <c r="U703" s="6"/>
      <c r="V703" s="6"/>
      <c r="W703" s="6"/>
    </row>
    <row r="704" spans="1:23" ht="16" x14ac:dyDescent="0.2">
      <c r="A704" s="6"/>
      <c r="B704" s="7"/>
      <c r="C704" s="7"/>
      <c r="D704" s="7"/>
      <c r="E704" s="7"/>
      <c r="F704" s="6"/>
      <c r="G704" s="6"/>
      <c r="H704" s="6"/>
      <c r="I704" s="6"/>
      <c r="J704" s="6"/>
      <c r="K704" s="6"/>
      <c r="L704" s="6"/>
      <c r="M704" s="6"/>
      <c r="N704" s="6"/>
      <c r="O704" s="6"/>
      <c r="P704" s="6"/>
      <c r="Q704" s="6"/>
      <c r="R704" s="6"/>
      <c r="S704" s="6"/>
      <c r="T704" s="6"/>
      <c r="U704" s="6"/>
      <c r="V704" s="6"/>
      <c r="W704" s="6"/>
    </row>
    <row r="705" spans="1:23" ht="16" x14ac:dyDescent="0.2">
      <c r="A705" s="6"/>
      <c r="B705" s="7"/>
      <c r="C705" s="7"/>
      <c r="D705" s="7"/>
      <c r="E705" s="7"/>
      <c r="F705" s="6"/>
      <c r="G705" s="6"/>
      <c r="H705" s="6"/>
      <c r="I705" s="6"/>
      <c r="J705" s="6"/>
      <c r="K705" s="6"/>
      <c r="L705" s="6"/>
      <c r="M705" s="6"/>
      <c r="N705" s="6"/>
      <c r="O705" s="6"/>
      <c r="P705" s="6"/>
      <c r="Q705" s="6"/>
      <c r="R705" s="6"/>
      <c r="S705" s="6"/>
      <c r="T705" s="6"/>
      <c r="U705" s="6"/>
      <c r="V705" s="6"/>
      <c r="W705" s="6"/>
    </row>
    <row r="706" spans="1:23" ht="16" x14ac:dyDescent="0.2">
      <c r="A706" s="6"/>
      <c r="B706" s="7"/>
      <c r="C706" s="7"/>
      <c r="D706" s="7"/>
      <c r="E706" s="7"/>
      <c r="F706" s="6"/>
      <c r="G706" s="6"/>
      <c r="H706" s="6"/>
      <c r="I706" s="6"/>
      <c r="J706" s="6"/>
      <c r="K706" s="6"/>
      <c r="L706" s="6"/>
      <c r="M706" s="6"/>
      <c r="N706" s="6"/>
      <c r="O706" s="6"/>
      <c r="P706" s="6"/>
      <c r="Q706" s="6"/>
      <c r="R706" s="6"/>
      <c r="S706" s="6"/>
      <c r="T706" s="6"/>
      <c r="U706" s="6"/>
      <c r="V706" s="6"/>
      <c r="W706" s="6"/>
    </row>
    <row r="707" spans="1:23" ht="16" x14ac:dyDescent="0.2">
      <c r="A707" s="6"/>
      <c r="B707" s="7"/>
      <c r="C707" s="7"/>
      <c r="D707" s="7"/>
      <c r="E707" s="7"/>
      <c r="F707" s="6"/>
      <c r="G707" s="6"/>
      <c r="H707" s="6"/>
      <c r="I707" s="6"/>
      <c r="J707" s="6"/>
      <c r="K707" s="6"/>
      <c r="L707" s="6"/>
      <c r="M707" s="6"/>
      <c r="N707" s="6"/>
      <c r="O707" s="6"/>
      <c r="P707" s="6"/>
      <c r="Q707" s="6"/>
      <c r="R707" s="6"/>
      <c r="S707" s="6"/>
      <c r="T707" s="6"/>
      <c r="U707" s="6"/>
      <c r="V707" s="6"/>
      <c r="W707" s="6"/>
    </row>
    <row r="708" spans="1:23" ht="16" x14ac:dyDescent="0.2">
      <c r="A708" s="6"/>
      <c r="B708" s="7"/>
      <c r="C708" s="7"/>
      <c r="D708" s="7"/>
      <c r="E708" s="7"/>
      <c r="F708" s="6"/>
      <c r="G708" s="6"/>
      <c r="H708" s="6"/>
      <c r="I708" s="6"/>
      <c r="J708" s="6"/>
      <c r="K708" s="6"/>
      <c r="L708" s="6"/>
      <c r="M708" s="6"/>
      <c r="N708" s="6"/>
      <c r="O708" s="6"/>
      <c r="P708" s="6"/>
      <c r="Q708" s="6"/>
      <c r="R708" s="6"/>
      <c r="S708" s="6"/>
      <c r="T708" s="6"/>
      <c r="U708" s="6"/>
      <c r="V708" s="6"/>
      <c r="W708" s="6"/>
    </row>
    <row r="709" spans="1:23" ht="16" x14ac:dyDescent="0.2">
      <c r="A709" s="6"/>
      <c r="B709" s="7"/>
      <c r="C709" s="7"/>
      <c r="D709" s="7"/>
      <c r="E709" s="7"/>
      <c r="F709" s="6"/>
      <c r="G709" s="6"/>
      <c r="H709" s="6"/>
      <c r="I709" s="6"/>
      <c r="J709" s="6"/>
      <c r="K709" s="6"/>
      <c r="L709" s="6"/>
      <c r="M709" s="6"/>
      <c r="N709" s="6"/>
      <c r="O709" s="6"/>
      <c r="P709" s="6"/>
      <c r="Q709" s="6"/>
      <c r="R709" s="6"/>
      <c r="S709" s="6"/>
      <c r="T709" s="6"/>
      <c r="U709" s="6"/>
      <c r="V709" s="6"/>
      <c r="W709" s="6"/>
    </row>
    <row r="710" spans="1:23" ht="16" x14ac:dyDescent="0.2">
      <c r="A710" s="6"/>
      <c r="B710" s="7"/>
      <c r="C710" s="7"/>
      <c r="D710" s="7"/>
      <c r="E710" s="7"/>
      <c r="F710" s="6"/>
      <c r="G710" s="6"/>
      <c r="H710" s="6"/>
      <c r="I710" s="6"/>
      <c r="J710" s="6"/>
      <c r="K710" s="6"/>
      <c r="L710" s="6"/>
      <c r="M710" s="6"/>
      <c r="N710" s="6"/>
      <c r="O710" s="6"/>
      <c r="P710" s="6"/>
      <c r="Q710" s="6"/>
      <c r="R710" s="6"/>
      <c r="S710" s="6"/>
      <c r="T710" s="6"/>
      <c r="U710" s="6"/>
      <c r="V710" s="6"/>
      <c r="W710" s="6"/>
    </row>
    <row r="711" spans="1:23" ht="16" x14ac:dyDescent="0.2">
      <c r="A711" s="6"/>
      <c r="B711" s="7"/>
      <c r="C711" s="7"/>
      <c r="D711" s="7"/>
      <c r="E711" s="7"/>
      <c r="F711" s="6"/>
      <c r="G711" s="6"/>
      <c r="H711" s="6"/>
      <c r="I711" s="6"/>
      <c r="J711" s="6"/>
      <c r="K711" s="6"/>
      <c r="L711" s="6"/>
      <c r="M711" s="6"/>
      <c r="N711" s="6"/>
      <c r="O711" s="6"/>
      <c r="P711" s="6"/>
      <c r="Q711" s="6"/>
      <c r="R711" s="6"/>
      <c r="S711" s="6"/>
      <c r="T711" s="6"/>
      <c r="U711" s="6"/>
      <c r="V711" s="6"/>
      <c r="W711" s="6"/>
    </row>
    <row r="712" spans="1:23" ht="16" x14ac:dyDescent="0.2">
      <c r="A712" s="6"/>
      <c r="B712" s="7"/>
      <c r="C712" s="7"/>
      <c r="D712" s="7"/>
      <c r="E712" s="7"/>
      <c r="F712" s="6"/>
      <c r="G712" s="6"/>
      <c r="H712" s="6"/>
      <c r="I712" s="6"/>
      <c r="J712" s="6"/>
      <c r="K712" s="6"/>
      <c r="L712" s="6"/>
      <c r="M712" s="6"/>
      <c r="N712" s="6"/>
      <c r="O712" s="6"/>
      <c r="P712" s="6"/>
      <c r="Q712" s="6"/>
      <c r="R712" s="6"/>
      <c r="S712" s="6"/>
      <c r="T712" s="6"/>
      <c r="U712" s="6"/>
      <c r="V712" s="6"/>
      <c r="W712" s="6"/>
    </row>
    <row r="713" spans="1:23" ht="16" x14ac:dyDescent="0.2">
      <c r="A713" s="6"/>
      <c r="B713" s="7"/>
      <c r="C713" s="7"/>
      <c r="D713" s="7"/>
      <c r="E713" s="7"/>
      <c r="F713" s="6"/>
      <c r="G713" s="6"/>
      <c r="H713" s="6"/>
      <c r="I713" s="6"/>
      <c r="J713" s="6"/>
      <c r="K713" s="6"/>
      <c r="L713" s="6"/>
      <c r="M713" s="6"/>
      <c r="N713" s="6"/>
      <c r="O713" s="6"/>
      <c r="P713" s="6"/>
      <c r="Q713" s="6"/>
      <c r="R713" s="6"/>
      <c r="S713" s="6"/>
      <c r="T713" s="6"/>
      <c r="U713" s="6"/>
      <c r="V713" s="6"/>
      <c r="W713" s="6"/>
    </row>
    <row r="714" spans="1:23" ht="16" x14ac:dyDescent="0.2">
      <c r="A714" s="6"/>
      <c r="B714" s="7"/>
      <c r="C714" s="7"/>
      <c r="D714" s="7"/>
      <c r="E714" s="7"/>
      <c r="F714" s="6"/>
      <c r="G714" s="6"/>
      <c r="H714" s="6"/>
      <c r="I714" s="6"/>
      <c r="J714" s="6"/>
      <c r="K714" s="6"/>
      <c r="L714" s="6"/>
      <c r="M714" s="6"/>
      <c r="N714" s="6"/>
      <c r="O714" s="6"/>
      <c r="P714" s="6"/>
      <c r="Q714" s="6"/>
      <c r="R714" s="6"/>
      <c r="S714" s="6"/>
      <c r="T714" s="6"/>
      <c r="U714" s="6"/>
      <c r="V714" s="6"/>
      <c r="W714" s="6"/>
    </row>
    <row r="715" spans="1:23" ht="16" x14ac:dyDescent="0.2">
      <c r="A715" s="6"/>
      <c r="B715" s="7"/>
      <c r="C715" s="7"/>
      <c r="D715" s="7"/>
      <c r="E715" s="7"/>
      <c r="F715" s="6"/>
      <c r="G715" s="6"/>
      <c r="H715" s="6"/>
      <c r="I715" s="6"/>
      <c r="J715" s="6"/>
      <c r="K715" s="6"/>
      <c r="L715" s="6"/>
      <c r="M715" s="6"/>
      <c r="N715" s="6"/>
      <c r="O715" s="6"/>
      <c r="P715" s="6"/>
      <c r="Q715" s="6"/>
      <c r="R715" s="6"/>
      <c r="S715" s="6"/>
      <c r="T715" s="6"/>
      <c r="U715" s="6"/>
      <c r="V715" s="6"/>
      <c r="W715" s="6"/>
    </row>
    <row r="716" spans="1:23" ht="16" x14ac:dyDescent="0.2">
      <c r="A716" s="6"/>
      <c r="B716" s="7"/>
      <c r="C716" s="7"/>
      <c r="D716" s="7"/>
      <c r="E716" s="7"/>
      <c r="F716" s="6"/>
      <c r="G716" s="6"/>
      <c r="H716" s="6"/>
      <c r="I716" s="6"/>
      <c r="J716" s="6"/>
      <c r="K716" s="6"/>
      <c r="L716" s="6"/>
      <c r="M716" s="6"/>
      <c r="N716" s="6"/>
      <c r="O716" s="6"/>
      <c r="P716" s="6"/>
      <c r="Q716" s="6"/>
      <c r="R716" s="6"/>
      <c r="S716" s="6"/>
      <c r="T716" s="6"/>
      <c r="U716" s="6"/>
      <c r="V716" s="6"/>
      <c r="W716" s="6"/>
    </row>
    <row r="717" spans="1:23" ht="16" x14ac:dyDescent="0.2">
      <c r="A717" s="6"/>
      <c r="B717" s="7"/>
      <c r="C717" s="7"/>
      <c r="D717" s="7"/>
      <c r="E717" s="7"/>
      <c r="F717" s="6"/>
      <c r="G717" s="6"/>
      <c r="H717" s="6"/>
      <c r="I717" s="6"/>
      <c r="J717" s="6"/>
      <c r="K717" s="6"/>
      <c r="L717" s="6"/>
      <c r="M717" s="6"/>
      <c r="N717" s="6"/>
      <c r="O717" s="6"/>
      <c r="P717" s="6"/>
      <c r="Q717" s="6"/>
      <c r="R717" s="6"/>
      <c r="S717" s="6"/>
      <c r="T717" s="6"/>
      <c r="U717" s="6"/>
      <c r="V717" s="6"/>
      <c r="W717" s="6"/>
    </row>
    <row r="718" spans="1:23" ht="16" x14ac:dyDescent="0.2">
      <c r="A718" s="6"/>
      <c r="B718" s="7"/>
      <c r="C718" s="7"/>
      <c r="D718" s="7"/>
      <c r="E718" s="7"/>
      <c r="F718" s="6"/>
      <c r="G718" s="6"/>
      <c r="H718" s="6"/>
      <c r="I718" s="6"/>
      <c r="J718" s="6"/>
      <c r="K718" s="6"/>
      <c r="L718" s="6"/>
      <c r="M718" s="6"/>
      <c r="N718" s="6"/>
      <c r="O718" s="6"/>
      <c r="P718" s="6"/>
      <c r="Q718" s="6"/>
      <c r="R718" s="6"/>
      <c r="S718" s="6"/>
      <c r="T718" s="6"/>
      <c r="U718" s="6"/>
      <c r="V718" s="6"/>
      <c r="W718" s="6"/>
    </row>
    <row r="719" spans="1:23" ht="16" x14ac:dyDescent="0.2">
      <c r="A719" s="6"/>
      <c r="B719" s="7"/>
      <c r="C719" s="7"/>
      <c r="D719" s="7"/>
      <c r="E719" s="7"/>
      <c r="F719" s="6"/>
      <c r="G719" s="6"/>
      <c r="H719" s="6"/>
      <c r="I719" s="6"/>
      <c r="J719" s="6"/>
      <c r="K719" s="6"/>
      <c r="L719" s="6"/>
      <c r="M719" s="6"/>
      <c r="N719" s="6"/>
      <c r="O719" s="6"/>
      <c r="P719" s="6"/>
      <c r="Q719" s="6"/>
      <c r="R719" s="6"/>
      <c r="S719" s="6"/>
      <c r="T719" s="6"/>
      <c r="U719" s="6"/>
      <c r="V719" s="6"/>
      <c r="W719" s="6"/>
    </row>
    <row r="720" spans="1:23" ht="16" x14ac:dyDescent="0.2">
      <c r="A720" s="6"/>
      <c r="B720" s="7"/>
      <c r="C720" s="7"/>
      <c r="D720" s="7"/>
      <c r="E720" s="7"/>
      <c r="F720" s="6"/>
      <c r="G720" s="6"/>
      <c r="H720" s="6"/>
      <c r="I720" s="6"/>
      <c r="J720" s="6"/>
      <c r="K720" s="6"/>
      <c r="L720" s="6"/>
      <c r="M720" s="6"/>
      <c r="N720" s="6"/>
      <c r="O720" s="6"/>
      <c r="P720" s="6"/>
      <c r="Q720" s="6"/>
      <c r="R720" s="6"/>
      <c r="S720" s="6"/>
      <c r="T720" s="6"/>
      <c r="U720" s="6"/>
      <c r="V720" s="6"/>
      <c r="W720" s="6"/>
    </row>
    <row r="721" spans="1:23" ht="16" x14ac:dyDescent="0.2">
      <c r="A721" s="6"/>
      <c r="B721" s="7"/>
      <c r="C721" s="7"/>
      <c r="D721" s="7"/>
      <c r="E721" s="7"/>
      <c r="F721" s="6"/>
      <c r="G721" s="6"/>
      <c r="H721" s="6"/>
      <c r="I721" s="6"/>
      <c r="J721" s="6"/>
      <c r="K721" s="6"/>
      <c r="L721" s="6"/>
      <c r="M721" s="6"/>
      <c r="N721" s="6"/>
      <c r="O721" s="6"/>
      <c r="P721" s="6"/>
      <c r="Q721" s="6"/>
      <c r="R721" s="6"/>
      <c r="S721" s="6"/>
      <c r="T721" s="6"/>
      <c r="U721" s="6"/>
      <c r="V721" s="6"/>
      <c r="W721" s="6"/>
    </row>
    <row r="722" spans="1:23" ht="16" x14ac:dyDescent="0.2">
      <c r="A722" s="6"/>
      <c r="B722" s="7"/>
      <c r="C722" s="7"/>
      <c r="D722" s="7"/>
      <c r="E722" s="7"/>
      <c r="F722" s="6"/>
      <c r="G722" s="6"/>
      <c r="H722" s="6"/>
      <c r="I722" s="6"/>
      <c r="J722" s="6"/>
      <c r="K722" s="6"/>
      <c r="L722" s="6"/>
      <c r="M722" s="6"/>
      <c r="N722" s="6"/>
      <c r="O722" s="6"/>
      <c r="P722" s="6"/>
      <c r="Q722" s="6"/>
      <c r="R722" s="6"/>
      <c r="S722" s="6"/>
      <c r="T722" s="6"/>
      <c r="U722" s="6"/>
      <c r="V722" s="6"/>
      <c r="W722" s="6"/>
    </row>
    <row r="723" spans="1:23" ht="16" x14ac:dyDescent="0.2">
      <c r="A723" s="6"/>
      <c r="B723" s="7"/>
      <c r="C723" s="7"/>
      <c r="D723" s="7"/>
      <c r="E723" s="7"/>
      <c r="F723" s="6"/>
      <c r="G723" s="6"/>
      <c r="H723" s="6"/>
      <c r="I723" s="6"/>
      <c r="J723" s="6"/>
      <c r="K723" s="6"/>
      <c r="L723" s="6"/>
      <c r="M723" s="6"/>
      <c r="N723" s="6"/>
      <c r="O723" s="6"/>
      <c r="P723" s="6"/>
      <c r="Q723" s="6"/>
      <c r="R723" s="6"/>
      <c r="S723" s="6"/>
      <c r="T723" s="6"/>
      <c r="U723" s="6"/>
      <c r="V723" s="6"/>
      <c r="W723" s="6"/>
    </row>
    <row r="724" spans="1:23" ht="16" x14ac:dyDescent="0.2">
      <c r="A724" s="6"/>
      <c r="B724" s="7"/>
      <c r="C724" s="7"/>
      <c r="D724" s="7"/>
      <c r="E724" s="7"/>
      <c r="F724" s="6"/>
      <c r="G724" s="6"/>
      <c r="H724" s="6"/>
      <c r="I724" s="6"/>
      <c r="J724" s="6"/>
      <c r="K724" s="6"/>
      <c r="L724" s="6"/>
      <c r="M724" s="6"/>
      <c r="N724" s="6"/>
      <c r="O724" s="6"/>
      <c r="P724" s="6"/>
      <c r="Q724" s="6"/>
      <c r="R724" s="6"/>
      <c r="S724" s="6"/>
      <c r="T724" s="6"/>
      <c r="U724" s="6"/>
      <c r="V724" s="6"/>
      <c r="W724" s="6"/>
    </row>
    <row r="725" spans="1:23" ht="16" x14ac:dyDescent="0.2">
      <c r="A725" s="6"/>
      <c r="B725" s="7"/>
      <c r="C725" s="7"/>
      <c r="D725" s="7"/>
      <c r="E725" s="7"/>
      <c r="F725" s="6"/>
      <c r="G725" s="6"/>
      <c r="H725" s="6"/>
      <c r="I725" s="6"/>
      <c r="J725" s="6"/>
      <c r="K725" s="6"/>
      <c r="L725" s="6"/>
      <c r="M725" s="6"/>
      <c r="N725" s="6"/>
      <c r="O725" s="6"/>
      <c r="P725" s="6"/>
      <c r="Q725" s="6"/>
      <c r="R725" s="6"/>
      <c r="S725" s="6"/>
      <c r="T725" s="6"/>
      <c r="U725" s="6"/>
      <c r="V725" s="6"/>
      <c r="W725" s="6"/>
    </row>
    <row r="726" spans="1:23" ht="16" x14ac:dyDescent="0.2">
      <c r="A726" s="6"/>
      <c r="B726" s="7"/>
      <c r="C726" s="7"/>
      <c r="D726" s="7"/>
      <c r="E726" s="7"/>
      <c r="F726" s="6"/>
      <c r="G726" s="6"/>
      <c r="H726" s="6"/>
      <c r="I726" s="6"/>
      <c r="J726" s="6"/>
      <c r="K726" s="6"/>
      <c r="L726" s="6"/>
      <c r="M726" s="6"/>
      <c r="N726" s="6"/>
      <c r="O726" s="6"/>
      <c r="P726" s="6"/>
      <c r="Q726" s="6"/>
      <c r="R726" s="6"/>
      <c r="S726" s="6"/>
      <c r="T726" s="6"/>
      <c r="U726" s="6"/>
      <c r="V726" s="6"/>
      <c r="W726" s="6"/>
    </row>
    <row r="727" spans="1:23" ht="16" x14ac:dyDescent="0.2">
      <c r="A727" s="6"/>
      <c r="B727" s="7"/>
      <c r="C727" s="7"/>
      <c r="D727" s="7"/>
      <c r="E727" s="7"/>
      <c r="F727" s="6"/>
      <c r="G727" s="6"/>
      <c r="H727" s="6"/>
      <c r="I727" s="6"/>
      <c r="J727" s="6"/>
      <c r="K727" s="6"/>
      <c r="L727" s="6"/>
      <c r="M727" s="6"/>
      <c r="N727" s="6"/>
      <c r="O727" s="6"/>
      <c r="P727" s="6"/>
      <c r="Q727" s="6"/>
      <c r="R727" s="6"/>
      <c r="S727" s="6"/>
      <c r="T727" s="6"/>
      <c r="U727" s="6"/>
      <c r="V727" s="6"/>
      <c r="W727" s="6"/>
    </row>
    <row r="728" spans="1:23" ht="16" x14ac:dyDescent="0.2">
      <c r="A728" s="6"/>
      <c r="B728" s="7"/>
      <c r="C728" s="7"/>
      <c r="D728" s="7"/>
      <c r="E728" s="7"/>
      <c r="F728" s="6"/>
      <c r="G728" s="6"/>
      <c r="H728" s="6"/>
      <c r="I728" s="6"/>
      <c r="J728" s="6"/>
      <c r="K728" s="6"/>
      <c r="L728" s="6"/>
      <c r="M728" s="6"/>
      <c r="N728" s="6"/>
      <c r="O728" s="6"/>
      <c r="P728" s="6"/>
      <c r="Q728" s="6"/>
      <c r="R728" s="6"/>
      <c r="S728" s="6"/>
      <c r="T728" s="6"/>
      <c r="U728" s="6"/>
      <c r="V728" s="6"/>
      <c r="W728" s="6"/>
    </row>
    <row r="729" spans="1:23" ht="16" x14ac:dyDescent="0.2">
      <c r="A729" s="6"/>
      <c r="B729" s="7"/>
      <c r="C729" s="7"/>
      <c r="D729" s="7"/>
      <c r="E729" s="7"/>
      <c r="F729" s="6"/>
      <c r="G729" s="6"/>
      <c r="H729" s="6"/>
      <c r="I729" s="6"/>
      <c r="J729" s="6"/>
      <c r="K729" s="6"/>
      <c r="L729" s="6"/>
      <c r="M729" s="6"/>
      <c r="N729" s="6"/>
      <c r="O729" s="6"/>
      <c r="P729" s="6"/>
      <c r="Q729" s="6"/>
      <c r="R729" s="6"/>
      <c r="S729" s="6"/>
      <c r="T729" s="6"/>
      <c r="U729" s="6"/>
      <c r="V729" s="6"/>
      <c r="W729" s="6"/>
    </row>
    <row r="730" spans="1:23" ht="16" x14ac:dyDescent="0.2">
      <c r="A730" s="6"/>
      <c r="B730" s="7"/>
      <c r="C730" s="7"/>
      <c r="D730" s="7"/>
      <c r="E730" s="7"/>
      <c r="F730" s="6"/>
      <c r="G730" s="6"/>
      <c r="H730" s="6"/>
      <c r="I730" s="6"/>
      <c r="J730" s="6"/>
      <c r="K730" s="6"/>
      <c r="L730" s="6"/>
      <c r="M730" s="6"/>
      <c r="N730" s="6"/>
      <c r="O730" s="6"/>
      <c r="P730" s="6"/>
      <c r="Q730" s="6"/>
      <c r="R730" s="6"/>
      <c r="S730" s="6"/>
      <c r="T730" s="6"/>
      <c r="U730" s="6"/>
      <c r="V730" s="6"/>
      <c r="W730" s="6"/>
    </row>
    <row r="731" spans="1:23" ht="16" x14ac:dyDescent="0.2">
      <c r="A731" s="6"/>
      <c r="B731" s="7"/>
      <c r="C731" s="7"/>
      <c r="D731" s="7"/>
      <c r="E731" s="7"/>
      <c r="F731" s="6"/>
      <c r="G731" s="6"/>
      <c r="H731" s="6"/>
      <c r="I731" s="6"/>
      <c r="J731" s="6"/>
      <c r="K731" s="6"/>
      <c r="L731" s="6"/>
      <c r="M731" s="6"/>
      <c r="N731" s="6"/>
      <c r="O731" s="6"/>
      <c r="P731" s="6"/>
      <c r="Q731" s="6"/>
      <c r="R731" s="6"/>
      <c r="S731" s="6"/>
      <c r="T731" s="6"/>
      <c r="U731" s="6"/>
      <c r="V731" s="6"/>
      <c r="W731" s="6"/>
    </row>
    <row r="732" spans="1:23" ht="16" x14ac:dyDescent="0.2">
      <c r="A732" s="6"/>
      <c r="B732" s="7"/>
      <c r="C732" s="7"/>
      <c r="D732" s="7"/>
      <c r="E732" s="7"/>
      <c r="F732" s="6"/>
      <c r="G732" s="6"/>
      <c r="H732" s="6"/>
      <c r="I732" s="6"/>
      <c r="J732" s="6"/>
      <c r="K732" s="6"/>
      <c r="L732" s="6"/>
      <c r="M732" s="6"/>
      <c r="N732" s="6"/>
      <c r="O732" s="6"/>
      <c r="P732" s="6"/>
      <c r="Q732" s="6"/>
      <c r="R732" s="6"/>
      <c r="S732" s="6"/>
      <c r="T732" s="6"/>
      <c r="U732" s="6"/>
      <c r="V732" s="6"/>
      <c r="W732" s="6"/>
    </row>
    <row r="733" spans="1:23" ht="16" x14ac:dyDescent="0.2">
      <c r="A733" s="6"/>
      <c r="B733" s="7"/>
      <c r="C733" s="7"/>
      <c r="D733" s="7"/>
      <c r="E733" s="7"/>
      <c r="F733" s="6"/>
      <c r="G733" s="6"/>
      <c r="H733" s="6"/>
      <c r="I733" s="6"/>
      <c r="J733" s="6"/>
      <c r="K733" s="6"/>
      <c r="L733" s="6"/>
      <c r="M733" s="6"/>
      <c r="N733" s="6"/>
      <c r="O733" s="6"/>
      <c r="P733" s="6"/>
      <c r="Q733" s="6"/>
      <c r="R733" s="6"/>
      <c r="S733" s="6"/>
      <c r="T733" s="6"/>
      <c r="U733" s="6"/>
      <c r="V733" s="6"/>
      <c r="W733" s="6"/>
    </row>
    <row r="734" spans="1:23" ht="16" x14ac:dyDescent="0.2">
      <c r="A734" s="6"/>
      <c r="B734" s="7"/>
      <c r="C734" s="7"/>
      <c r="D734" s="7"/>
      <c r="E734" s="7"/>
      <c r="F734" s="6"/>
      <c r="G734" s="6"/>
      <c r="H734" s="6"/>
      <c r="I734" s="6"/>
      <c r="J734" s="6"/>
      <c r="K734" s="6"/>
      <c r="L734" s="6"/>
      <c r="M734" s="6"/>
      <c r="N734" s="6"/>
      <c r="O734" s="6"/>
      <c r="P734" s="6"/>
      <c r="Q734" s="6"/>
      <c r="R734" s="6"/>
      <c r="S734" s="6"/>
      <c r="T734" s="6"/>
      <c r="U734" s="6"/>
      <c r="V734" s="6"/>
      <c r="W734" s="6"/>
    </row>
    <row r="735" spans="1:23" ht="16" x14ac:dyDescent="0.2">
      <c r="A735" s="6"/>
      <c r="B735" s="7"/>
      <c r="C735" s="7"/>
      <c r="D735" s="7"/>
      <c r="E735" s="7"/>
      <c r="F735" s="6"/>
      <c r="G735" s="6"/>
      <c r="H735" s="6"/>
      <c r="I735" s="6"/>
      <c r="J735" s="6"/>
      <c r="K735" s="6"/>
      <c r="L735" s="6"/>
      <c r="M735" s="6"/>
      <c r="N735" s="6"/>
      <c r="O735" s="6"/>
      <c r="P735" s="6"/>
      <c r="Q735" s="6"/>
      <c r="R735" s="6"/>
      <c r="S735" s="6"/>
      <c r="T735" s="6"/>
      <c r="U735" s="6"/>
      <c r="V735" s="6"/>
      <c r="W735" s="6"/>
    </row>
    <row r="736" spans="1:23" ht="16" x14ac:dyDescent="0.2">
      <c r="A736" s="6"/>
      <c r="B736" s="7"/>
      <c r="C736" s="7"/>
      <c r="D736" s="7"/>
      <c r="E736" s="7"/>
      <c r="F736" s="6"/>
      <c r="G736" s="6"/>
      <c r="H736" s="6"/>
      <c r="I736" s="6"/>
      <c r="J736" s="6"/>
      <c r="K736" s="6"/>
      <c r="L736" s="6"/>
      <c r="M736" s="6"/>
      <c r="N736" s="6"/>
      <c r="O736" s="6"/>
      <c r="P736" s="6"/>
      <c r="Q736" s="6"/>
      <c r="R736" s="6"/>
      <c r="S736" s="6"/>
      <c r="T736" s="6"/>
      <c r="U736" s="6"/>
      <c r="V736" s="6"/>
      <c r="W736" s="6"/>
    </row>
    <row r="737" spans="1:23" ht="16" x14ac:dyDescent="0.2">
      <c r="A737" s="6"/>
      <c r="B737" s="7"/>
      <c r="C737" s="7"/>
      <c r="D737" s="7"/>
      <c r="E737" s="7"/>
      <c r="F737" s="6"/>
      <c r="G737" s="6"/>
      <c r="H737" s="6"/>
      <c r="I737" s="6"/>
      <c r="J737" s="6"/>
      <c r="K737" s="6"/>
      <c r="L737" s="6"/>
      <c r="M737" s="6"/>
      <c r="N737" s="6"/>
      <c r="O737" s="6"/>
      <c r="P737" s="6"/>
      <c r="Q737" s="6"/>
      <c r="R737" s="6"/>
      <c r="S737" s="6"/>
      <c r="T737" s="6"/>
      <c r="U737" s="6"/>
      <c r="V737" s="6"/>
      <c r="W737" s="6"/>
    </row>
    <row r="738" spans="1:23" ht="16" x14ac:dyDescent="0.2">
      <c r="A738" s="6"/>
      <c r="B738" s="7"/>
      <c r="C738" s="7"/>
      <c r="D738" s="7"/>
      <c r="E738" s="7"/>
      <c r="F738" s="6"/>
      <c r="G738" s="6"/>
      <c r="H738" s="6"/>
      <c r="I738" s="6"/>
      <c r="J738" s="6"/>
      <c r="K738" s="6"/>
      <c r="L738" s="6"/>
      <c r="M738" s="6"/>
      <c r="N738" s="6"/>
      <c r="O738" s="6"/>
      <c r="P738" s="6"/>
      <c r="Q738" s="6"/>
      <c r="R738" s="6"/>
      <c r="S738" s="6"/>
      <c r="T738" s="6"/>
      <c r="U738" s="6"/>
      <c r="V738" s="6"/>
      <c r="W738" s="6"/>
    </row>
    <row r="739" spans="1:23" ht="16" x14ac:dyDescent="0.2">
      <c r="A739" s="6"/>
      <c r="B739" s="7"/>
      <c r="C739" s="7"/>
      <c r="D739" s="7"/>
      <c r="E739" s="7"/>
      <c r="F739" s="6"/>
      <c r="G739" s="6"/>
      <c r="H739" s="6"/>
      <c r="I739" s="6"/>
      <c r="J739" s="6"/>
      <c r="K739" s="6"/>
      <c r="L739" s="6"/>
      <c r="M739" s="6"/>
      <c r="N739" s="6"/>
      <c r="O739" s="6"/>
      <c r="P739" s="6"/>
      <c r="Q739" s="6"/>
      <c r="R739" s="6"/>
      <c r="S739" s="6"/>
      <c r="T739" s="6"/>
      <c r="U739" s="6"/>
      <c r="V739" s="6"/>
      <c r="W739" s="6"/>
    </row>
    <row r="740" spans="1:23" ht="16" x14ac:dyDescent="0.2">
      <c r="A740" s="6"/>
      <c r="B740" s="7"/>
      <c r="C740" s="7"/>
      <c r="D740" s="7"/>
      <c r="E740" s="7"/>
      <c r="F740" s="6"/>
      <c r="G740" s="6"/>
      <c r="H740" s="6"/>
      <c r="I740" s="6"/>
      <c r="J740" s="6"/>
      <c r="K740" s="6"/>
      <c r="L740" s="6"/>
      <c r="M740" s="6"/>
      <c r="N740" s="6"/>
      <c r="O740" s="6"/>
      <c r="P740" s="6"/>
      <c r="Q740" s="6"/>
      <c r="R740" s="6"/>
      <c r="S740" s="6"/>
      <c r="T740" s="6"/>
      <c r="U740" s="6"/>
      <c r="V740" s="6"/>
      <c r="W740" s="6"/>
    </row>
    <row r="741" spans="1:23" ht="16" x14ac:dyDescent="0.2">
      <c r="A741" s="6"/>
      <c r="B741" s="7"/>
      <c r="C741" s="7"/>
      <c r="D741" s="7"/>
      <c r="E741" s="7"/>
      <c r="F741" s="6"/>
      <c r="G741" s="6"/>
      <c r="H741" s="6"/>
      <c r="I741" s="6"/>
      <c r="J741" s="6"/>
      <c r="K741" s="6"/>
      <c r="L741" s="6"/>
      <c r="M741" s="6"/>
      <c r="N741" s="6"/>
      <c r="O741" s="6"/>
      <c r="P741" s="6"/>
      <c r="Q741" s="6"/>
      <c r="R741" s="6"/>
      <c r="S741" s="6"/>
      <c r="T741" s="6"/>
      <c r="U741" s="6"/>
      <c r="V741" s="6"/>
      <c r="W741" s="6"/>
    </row>
    <row r="742" spans="1:23" ht="16" x14ac:dyDescent="0.2">
      <c r="A742" s="6"/>
      <c r="B742" s="7"/>
      <c r="C742" s="7"/>
      <c r="D742" s="7"/>
      <c r="E742" s="7"/>
      <c r="F742" s="6"/>
      <c r="G742" s="6"/>
      <c r="H742" s="6"/>
      <c r="I742" s="6"/>
      <c r="J742" s="6"/>
      <c r="K742" s="6"/>
      <c r="L742" s="6"/>
      <c r="M742" s="6"/>
      <c r="N742" s="6"/>
      <c r="O742" s="6"/>
      <c r="P742" s="6"/>
      <c r="Q742" s="6"/>
      <c r="R742" s="6"/>
      <c r="S742" s="6"/>
      <c r="T742" s="6"/>
      <c r="U742" s="6"/>
      <c r="V742" s="6"/>
      <c r="W742" s="6"/>
    </row>
    <row r="743" spans="1:23" ht="16" x14ac:dyDescent="0.2">
      <c r="A743" s="6"/>
      <c r="B743" s="7"/>
      <c r="C743" s="7"/>
      <c r="D743" s="7"/>
      <c r="E743" s="7"/>
      <c r="F743" s="6"/>
      <c r="G743" s="6"/>
      <c r="H743" s="6"/>
      <c r="I743" s="6"/>
      <c r="J743" s="6"/>
      <c r="K743" s="6"/>
      <c r="L743" s="6"/>
      <c r="M743" s="6"/>
      <c r="N743" s="6"/>
      <c r="O743" s="6"/>
      <c r="P743" s="6"/>
      <c r="Q743" s="6"/>
      <c r="R743" s="6"/>
      <c r="S743" s="6"/>
      <c r="T743" s="6"/>
      <c r="U743" s="6"/>
      <c r="V743" s="6"/>
      <c r="W743" s="6"/>
    </row>
    <row r="744" spans="1:23" ht="16" x14ac:dyDescent="0.2">
      <c r="A744" s="6"/>
      <c r="B744" s="7"/>
      <c r="C744" s="7"/>
      <c r="D744" s="7"/>
      <c r="E744" s="7"/>
      <c r="F744" s="6"/>
      <c r="G744" s="6"/>
      <c r="H744" s="6"/>
      <c r="I744" s="6"/>
      <c r="J744" s="6"/>
      <c r="K744" s="6"/>
      <c r="L744" s="6"/>
      <c r="M744" s="6"/>
      <c r="N744" s="6"/>
      <c r="O744" s="6"/>
      <c r="P744" s="6"/>
      <c r="Q744" s="6"/>
      <c r="R744" s="6"/>
      <c r="S744" s="6"/>
      <c r="T744" s="6"/>
      <c r="U744" s="6"/>
      <c r="V744" s="6"/>
      <c r="W744" s="6"/>
    </row>
    <row r="745" spans="1:23" ht="16" x14ac:dyDescent="0.2">
      <c r="A745" s="6"/>
      <c r="B745" s="7"/>
      <c r="C745" s="7"/>
      <c r="D745" s="7"/>
      <c r="E745" s="7"/>
      <c r="F745" s="6"/>
      <c r="G745" s="6"/>
      <c r="H745" s="6"/>
      <c r="I745" s="6"/>
      <c r="J745" s="6"/>
      <c r="K745" s="6"/>
      <c r="L745" s="6"/>
      <c r="M745" s="6"/>
      <c r="N745" s="6"/>
      <c r="O745" s="6"/>
      <c r="P745" s="6"/>
      <c r="Q745" s="6"/>
      <c r="R745" s="6"/>
      <c r="S745" s="6"/>
      <c r="T745" s="6"/>
      <c r="U745" s="6"/>
      <c r="V745" s="6"/>
      <c r="W745" s="6"/>
    </row>
    <row r="746" spans="1:23" ht="16" x14ac:dyDescent="0.2">
      <c r="A746" s="6"/>
      <c r="B746" s="7"/>
      <c r="C746" s="7"/>
      <c r="D746" s="7"/>
      <c r="E746" s="7"/>
      <c r="F746" s="6"/>
      <c r="G746" s="6"/>
      <c r="H746" s="6"/>
      <c r="I746" s="6"/>
      <c r="J746" s="6"/>
      <c r="K746" s="6"/>
      <c r="L746" s="6"/>
      <c r="M746" s="6"/>
      <c r="N746" s="6"/>
      <c r="O746" s="6"/>
      <c r="P746" s="6"/>
      <c r="Q746" s="6"/>
      <c r="R746" s="6"/>
      <c r="S746" s="6"/>
      <c r="T746" s="6"/>
      <c r="U746" s="6"/>
      <c r="V746" s="6"/>
      <c r="W746" s="6"/>
    </row>
    <row r="747" spans="1:23" ht="16" x14ac:dyDescent="0.2">
      <c r="A747" s="6"/>
      <c r="B747" s="7"/>
      <c r="C747" s="7"/>
      <c r="D747" s="7"/>
      <c r="E747" s="7"/>
      <c r="F747" s="6"/>
      <c r="G747" s="6"/>
      <c r="H747" s="6"/>
      <c r="I747" s="6"/>
      <c r="J747" s="6"/>
      <c r="K747" s="6"/>
      <c r="L747" s="6"/>
      <c r="M747" s="6"/>
      <c r="N747" s="6"/>
      <c r="O747" s="6"/>
      <c r="P747" s="6"/>
      <c r="Q747" s="6"/>
      <c r="R747" s="6"/>
      <c r="S747" s="6"/>
      <c r="T747" s="6"/>
      <c r="U747" s="6"/>
      <c r="V747" s="6"/>
      <c r="W747" s="6"/>
    </row>
    <row r="748" spans="1:23" ht="16" x14ac:dyDescent="0.2">
      <c r="A748" s="6"/>
      <c r="B748" s="7"/>
      <c r="C748" s="7"/>
      <c r="D748" s="7"/>
      <c r="E748" s="7"/>
      <c r="F748" s="6"/>
      <c r="G748" s="6"/>
      <c r="H748" s="6"/>
      <c r="I748" s="6"/>
      <c r="J748" s="6"/>
      <c r="K748" s="6"/>
      <c r="L748" s="6"/>
      <c r="M748" s="6"/>
      <c r="N748" s="6"/>
      <c r="O748" s="6"/>
      <c r="P748" s="6"/>
      <c r="Q748" s="6"/>
      <c r="R748" s="6"/>
      <c r="S748" s="6"/>
      <c r="T748" s="6"/>
      <c r="U748" s="6"/>
      <c r="V748" s="6"/>
      <c r="W748" s="6"/>
    </row>
    <row r="749" spans="1:23" ht="16" x14ac:dyDescent="0.2">
      <c r="A749" s="6"/>
      <c r="B749" s="7"/>
      <c r="C749" s="7"/>
      <c r="D749" s="7"/>
      <c r="E749" s="7"/>
      <c r="F749" s="6"/>
      <c r="G749" s="6"/>
      <c r="H749" s="6"/>
      <c r="I749" s="6"/>
      <c r="J749" s="6"/>
      <c r="K749" s="6"/>
      <c r="L749" s="6"/>
      <c r="M749" s="6"/>
      <c r="N749" s="6"/>
      <c r="O749" s="6"/>
      <c r="P749" s="6"/>
      <c r="Q749" s="6"/>
      <c r="R749" s="6"/>
      <c r="S749" s="6"/>
      <c r="T749" s="6"/>
      <c r="U749" s="6"/>
      <c r="V749" s="6"/>
      <c r="W749" s="6"/>
    </row>
    <row r="750" spans="1:23" ht="16" x14ac:dyDescent="0.2">
      <c r="A750" s="6"/>
      <c r="B750" s="7"/>
      <c r="C750" s="7"/>
      <c r="D750" s="7"/>
      <c r="E750" s="7"/>
      <c r="F750" s="6"/>
      <c r="G750" s="6"/>
      <c r="H750" s="6"/>
      <c r="I750" s="6"/>
      <c r="J750" s="6"/>
      <c r="K750" s="6"/>
      <c r="L750" s="6"/>
      <c r="M750" s="6"/>
      <c r="N750" s="6"/>
      <c r="O750" s="6"/>
      <c r="P750" s="6"/>
      <c r="Q750" s="6"/>
      <c r="R750" s="6"/>
      <c r="S750" s="6"/>
      <c r="T750" s="6"/>
      <c r="U750" s="6"/>
      <c r="V750" s="6"/>
      <c r="W750" s="6"/>
    </row>
    <row r="751" spans="1:23" ht="16" x14ac:dyDescent="0.2">
      <c r="A751" s="6"/>
      <c r="B751" s="7"/>
      <c r="C751" s="7"/>
      <c r="D751" s="7"/>
      <c r="E751" s="7"/>
      <c r="F751" s="6"/>
      <c r="G751" s="6"/>
      <c r="H751" s="6"/>
      <c r="I751" s="6"/>
      <c r="J751" s="6"/>
      <c r="K751" s="6"/>
      <c r="L751" s="6"/>
      <c r="M751" s="6"/>
      <c r="N751" s="6"/>
      <c r="O751" s="6"/>
      <c r="P751" s="6"/>
      <c r="Q751" s="6"/>
      <c r="R751" s="6"/>
      <c r="S751" s="6"/>
      <c r="T751" s="6"/>
      <c r="U751" s="6"/>
      <c r="V751" s="6"/>
      <c r="W751" s="6"/>
    </row>
    <row r="752" spans="1:23" ht="16" x14ac:dyDescent="0.2">
      <c r="A752" s="6"/>
      <c r="B752" s="7"/>
      <c r="C752" s="7"/>
      <c r="D752" s="7"/>
      <c r="E752" s="7"/>
      <c r="F752" s="6"/>
      <c r="G752" s="6"/>
      <c r="H752" s="6"/>
      <c r="I752" s="6"/>
      <c r="J752" s="6"/>
      <c r="K752" s="6"/>
      <c r="L752" s="6"/>
      <c r="M752" s="6"/>
      <c r="N752" s="6"/>
      <c r="O752" s="6"/>
      <c r="P752" s="6"/>
      <c r="Q752" s="6"/>
      <c r="R752" s="6"/>
      <c r="S752" s="6"/>
      <c r="T752" s="6"/>
      <c r="U752" s="6"/>
      <c r="V752" s="6"/>
      <c r="W752" s="6"/>
    </row>
    <row r="753" spans="1:23" ht="16" x14ac:dyDescent="0.2">
      <c r="A753" s="6"/>
      <c r="B753" s="7"/>
      <c r="C753" s="7"/>
      <c r="D753" s="7"/>
      <c r="E753" s="7"/>
      <c r="F753" s="6"/>
      <c r="G753" s="6"/>
      <c r="H753" s="6"/>
      <c r="I753" s="6"/>
      <c r="J753" s="6"/>
      <c r="K753" s="6"/>
      <c r="L753" s="6"/>
      <c r="M753" s="6"/>
      <c r="N753" s="6"/>
      <c r="O753" s="6"/>
      <c r="P753" s="6"/>
      <c r="Q753" s="6"/>
      <c r="R753" s="6"/>
      <c r="S753" s="6"/>
      <c r="T753" s="6"/>
      <c r="U753" s="6"/>
      <c r="V753" s="6"/>
      <c r="W753" s="6"/>
    </row>
    <row r="754" spans="1:23" ht="16" x14ac:dyDescent="0.2">
      <c r="A754" s="6"/>
      <c r="B754" s="7"/>
      <c r="C754" s="7"/>
      <c r="D754" s="7"/>
      <c r="E754" s="7"/>
      <c r="F754" s="6"/>
      <c r="G754" s="6"/>
      <c r="H754" s="6"/>
      <c r="I754" s="6"/>
      <c r="J754" s="6"/>
      <c r="K754" s="6"/>
      <c r="L754" s="6"/>
      <c r="M754" s="6"/>
      <c r="N754" s="6"/>
      <c r="O754" s="6"/>
      <c r="P754" s="6"/>
      <c r="Q754" s="6"/>
      <c r="R754" s="6"/>
      <c r="S754" s="6"/>
      <c r="T754" s="6"/>
      <c r="U754" s="6"/>
      <c r="V754" s="6"/>
      <c r="W754" s="6"/>
    </row>
    <row r="755" spans="1:23" ht="16" x14ac:dyDescent="0.2">
      <c r="A755" s="6"/>
      <c r="B755" s="7"/>
      <c r="C755" s="7"/>
      <c r="D755" s="7"/>
      <c r="E755" s="7"/>
      <c r="F755" s="6"/>
      <c r="G755" s="6"/>
      <c r="H755" s="6"/>
      <c r="I755" s="6"/>
      <c r="J755" s="6"/>
      <c r="K755" s="6"/>
      <c r="L755" s="6"/>
      <c r="M755" s="6"/>
      <c r="N755" s="6"/>
      <c r="O755" s="6"/>
      <c r="P755" s="6"/>
      <c r="Q755" s="6"/>
      <c r="R755" s="6"/>
      <c r="S755" s="6"/>
      <c r="T755" s="6"/>
      <c r="U755" s="6"/>
      <c r="V755" s="6"/>
      <c r="W755" s="6"/>
    </row>
    <row r="756" spans="1:23" ht="16" x14ac:dyDescent="0.2">
      <c r="A756" s="6"/>
      <c r="B756" s="7"/>
      <c r="C756" s="7"/>
      <c r="D756" s="7"/>
      <c r="E756" s="7"/>
      <c r="F756" s="6"/>
      <c r="G756" s="6"/>
      <c r="H756" s="6"/>
      <c r="I756" s="6"/>
      <c r="J756" s="6"/>
      <c r="K756" s="6"/>
      <c r="L756" s="6"/>
      <c r="M756" s="6"/>
      <c r="N756" s="6"/>
      <c r="O756" s="6"/>
      <c r="P756" s="6"/>
      <c r="Q756" s="6"/>
      <c r="R756" s="6"/>
      <c r="S756" s="6"/>
      <c r="T756" s="6"/>
      <c r="U756" s="6"/>
      <c r="V756" s="6"/>
      <c r="W756" s="6"/>
    </row>
    <row r="757" spans="1:23" ht="16" x14ac:dyDescent="0.2">
      <c r="A757" s="6"/>
      <c r="B757" s="7"/>
      <c r="C757" s="7"/>
      <c r="D757" s="7"/>
      <c r="E757" s="7"/>
      <c r="F757" s="6"/>
      <c r="G757" s="6"/>
      <c r="H757" s="6"/>
      <c r="I757" s="6"/>
      <c r="J757" s="6"/>
      <c r="K757" s="6"/>
      <c r="L757" s="6"/>
      <c r="M757" s="6"/>
      <c r="N757" s="6"/>
      <c r="O757" s="6"/>
      <c r="P757" s="6"/>
      <c r="Q757" s="6"/>
      <c r="R757" s="6"/>
      <c r="S757" s="6"/>
      <c r="T757" s="6"/>
      <c r="U757" s="6"/>
      <c r="V757" s="6"/>
      <c r="W757" s="6"/>
    </row>
    <row r="758" spans="1:23" ht="16" x14ac:dyDescent="0.2">
      <c r="A758" s="6"/>
      <c r="B758" s="7"/>
      <c r="C758" s="7"/>
      <c r="D758" s="7"/>
      <c r="E758" s="7"/>
      <c r="F758" s="6"/>
      <c r="G758" s="6"/>
      <c r="H758" s="6"/>
      <c r="I758" s="6"/>
      <c r="J758" s="6"/>
      <c r="K758" s="6"/>
      <c r="L758" s="6"/>
      <c r="M758" s="6"/>
      <c r="N758" s="6"/>
      <c r="O758" s="6"/>
      <c r="P758" s="6"/>
      <c r="Q758" s="6"/>
      <c r="R758" s="6"/>
      <c r="S758" s="6"/>
      <c r="T758" s="6"/>
      <c r="U758" s="6"/>
      <c r="V758" s="6"/>
      <c r="W758" s="6"/>
    </row>
    <row r="759" spans="1:23" ht="16" x14ac:dyDescent="0.2">
      <c r="A759" s="6"/>
      <c r="B759" s="7"/>
      <c r="C759" s="7"/>
      <c r="D759" s="7"/>
      <c r="E759" s="7"/>
      <c r="F759" s="6"/>
      <c r="G759" s="6"/>
      <c r="H759" s="6"/>
      <c r="I759" s="6"/>
      <c r="J759" s="6"/>
      <c r="K759" s="6"/>
      <c r="L759" s="6"/>
      <c r="M759" s="6"/>
      <c r="N759" s="6"/>
      <c r="O759" s="6"/>
      <c r="P759" s="6"/>
      <c r="Q759" s="6"/>
      <c r="R759" s="6"/>
      <c r="S759" s="6"/>
      <c r="T759" s="6"/>
      <c r="U759" s="6"/>
      <c r="V759" s="6"/>
      <c r="W759" s="6"/>
    </row>
    <row r="760" spans="1:23" ht="16" x14ac:dyDescent="0.2">
      <c r="A760" s="6"/>
      <c r="B760" s="7"/>
      <c r="C760" s="7"/>
      <c r="D760" s="7"/>
      <c r="E760" s="7"/>
      <c r="F760" s="6"/>
      <c r="G760" s="6"/>
      <c r="H760" s="6"/>
      <c r="I760" s="6"/>
      <c r="J760" s="6"/>
      <c r="K760" s="6"/>
      <c r="L760" s="6"/>
      <c r="M760" s="6"/>
      <c r="N760" s="6"/>
      <c r="O760" s="6"/>
      <c r="P760" s="6"/>
      <c r="Q760" s="6"/>
      <c r="R760" s="6"/>
      <c r="S760" s="6"/>
      <c r="T760" s="6"/>
      <c r="U760" s="6"/>
      <c r="V760" s="6"/>
      <c r="W760" s="6"/>
    </row>
    <row r="761" spans="1:23" ht="16" x14ac:dyDescent="0.2">
      <c r="A761" s="6"/>
      <c r="B761" s="7"/>
      <c r="C761" s="7"/>
      <c r="D761" s="7"/>
      <c r="E761" s="7"/>
      <c r="F761" s="6"/>
      <c r="G761" s="6"/>
      <c r="H761" s="6"/>
      <c r="I761" s="6"/>
      <c r="J761" s="6"/>
      <c r="K761" s="6"/>
      <c r="L761" s="6"/>
      <c r="M761" s="6"/>
      <c r="N761" s="6"/>
      <c r="O761" s="6"/>
      <c r="P761" s="6"/>
      <c r="Q761" s="6"/>
      <c r="R761" s="6"/>
      <c r="S761" s="6"/>
      <c r="T761" s="6"/>
      <c r="U761" s="6"/>
      <c r="V761" s="6"/>
      <c r="W761" s="6"/>
    </row>
    <row r="762" spans="1:23" ht="16" x14ac:dyDescent="0.2">
      <c r="A762" s="6"/>
      <c r="B762" s="7"/>
      <c r="C762" s="7"/>
      <c r="D762" s="7"/>
      <c r="E762" s="7"/>
      <c r="F762" s="6"/>
      <c r="G762" s="6"/>
      <c r="H762" s="6"/>
      <c r="I762" s="6"/>
      <c r="J762" s="6"/>
      <c r="K762" s="6"/>
      <c r="L762" s="6"/>
      <c r="M762" s="6"/>
      <c r="N762" s="6"/>
      <c r="O762" s="6"/>
      <c r="P762" s="6"/>
      <c r="Q762" s="6"/>
      <c r="R762" s="6"/>
      <c r="S762" s="6"/>
      <c r="T762" s="6"/>
      <c r="U762" s="6"/>
      <c r="V762" s="6"/>
      <c r="W762" s="6"/>
    </row>
    <row r="763" spans="1:23" ht="16" x14ac:dyDescent="0.2">
      <c r="A763" s="6"/>
      <c r="B763" s="7"/>
      <c r="C763" s="7"/>
      <c r="D763" s="7"/>
      <c r="E763" s="7"/>
      <c r="F763" s="6"/>
      <c r="G763" s="6"/>
      <c r="H763" s="6"/>
      <c r="I763" s="6"/>
      <c r="J763" s="6"/>
      <c r="K763" s="6"/>
      <c r="L763" s="6"/>
      <c r="M763" s="6"/>
      <c r="N763" s="6"/>
      <c r="O763" s="6"/>
      <c r="P763" s="6"/>
      <c r="Q763" s="6"/>
      <c r="R763" s="6"/>
      <c r="S763" s="6"/>
      <c r="T763" s="6"/>
      <c r="U763" s="6"/>
      <c r="V763" s="6"/>
      <c r="W763" s="6"/>
    </row>
    <row r="764" spans="1:23" ht="16" x14ac:dyDescent="0.2">
      <c r="A764" s="6"/>
      <c r="B764" s="7"/>
      <c r="C764" s="7"/>
      <c r="D764" s="7"/>
      <c r="E764" s="7"/>
      <c r="F764" s="6"/>
      <c r="G764" s="6"/>
      <c r="H764" s="6"/>
      <c r="I764" s="6"/>
      <c r="J764" s="6"/>
      <c r="K764" s="6"/>
      <c r="L764" s="6"/>
      <c r="M764" s="6"/>
      <c r="N764" s="6"/>
      <c r="O764" s="6"/>
      <c r="P764" s="6"/>
      <c r="Q764" s="6"/>
      <c r="R764" s="6"/>
      <c r="S764" s="6"/>
      <c r="T764" s="6"/>
      <c r="U764" s="6"/>
      <c r="V764" s="6"/>
      <c r="W764" s="6"/>
    </row>
    <row r="765" spans="1:23" ht="16" x14ac:dyDescent="0.2">
      <c r="A765" s="6"/>
      <c r="B765" s="7"/>
      <c r="C765" s="7"/>
      <c r="D765" s="7"/>
      <c r="E765" s="7"/>
      <c r="F765" s="6"/>
      <c r="G765" s="6"/>
      <c r="H765" s="6"/>
      <c r="I765" s="6"/>
      <c r="J765" s="6"/>
      <c r="K765" s="6"/>
      <c r="L765" s="6"/>
      <c r="M765" s="6"/>
      <c r="N765" s="6"/>
      <c r="O765" s="6"/>
      <c r="P765" s="6"/>
      <c r="Q765" s="6"/>
      <c r="R765" s="6"/>
      <c r="S765" s="6"/>
      <c r="T765" s="6"/>
      <c r="U765" s="6"/>
      <c r="V765" s="6"/>
      <c r="W765" s="6"/>
    </row>
    <row r="766" spans="1:23" ht="16" x14ac:dyDescent="0.2">
      <c r="A766" s="6"/>
      <c r="B766" s="7"/>
      <c r="C766" s="7"/>
      <c r="D766" s="7"/>
      <c r="E766" s="7"/>
      <c r="F766" s="6"/>
      <c r="G766" s="6"/>
      <c r="H766" s="6"/>
      <c r="I766" s="6"/>
      <c r="J766" s="6"/>
      <c r="K766" s="6"/>
      <c r="L766" s="6"/>
      <c r="M766" s="6"/>
      <c r="N766" s="6"/>
      <c r="O766" s="6"/>
      <c r="P766" s="6"/>
      <c r="Q766" s="6"/>
      <c r="R766" s="6"/>
      <c r="S766" s="6"/>
      <c r="T766" s="6"/>
      <c r="U766" s="6"/>
      <c r="V766" s="6"/>
      <c r="W766" s="6"/>
    </row>
    <row r="767" spans="1:23" ht="16" x14ac:dyDescent="0.2">
      <c r="A767" s="6"/>
      <c r="B767" s="7"/>
      <c r="C767" s="7"/>
      <c r="D767" s="7"/>
      <c r="E767" s="7"/>
      <c r="F767" s="6"/>
      <c r="G767" s="6"/>
      <c r="H767" s="6"/>
      <c r="I767" s="6"/>
      <c r="J767" s="6"/>
      <c r="K767" s="6"/>
      <c r="L767" s="6"/>
      <c r="M767" s="6"/>
      <c r="N767" s="6"/>
      <c r="O767" s="6"/>
      <c r="P767" s="6"/>
      <c r="Q767" s="6"/>
      <c r="R767" s="6"/>
      <c r="S767" s="6"/>
      <c r="T767" s="6"/>
      <c r="U767" s="6"/>
      <c r="V767" s="6"/>
      <c r="W767" s="6"/>
    </row>
    <row r="768" spans="1:23" ht="16" x14ac:dyDescent="0.2">
      <c r="A768" s="6"/>
      <c r="B768" s="7"/>
      <c r="C768" s="7"/>
      <c r="D768" s="7"/>
      <c r="E768" s="7"/>
      <c r="F768" s="6"/>
      <c r="G768" s="6"/>
      <c r="H768" s="6"/>
      <c r="I768" s="6"/>
      <c r="J768" s="6"/>
      <c r="K768" s="6"/>
      <c r="L768" s="6"/>
      <c r="M768" s="6"/>
      <c r="N768" s="6"/>
      <c r="O768" s="6"/>
      <c r="P768" s="6"/>
      <c r="Q768" s="6"/>
      <c r="R768" s="6"/>
      <c r="S768" s="6"/>
      <c r="T768" s="6"/>
      <c r="U768" s="6"/>
      <c r="V768" s="6"/>
      <c r="W768" s="6"/>
    </row>
    <row r="769" spans="1:23" ht="16" x14ac:dyDescent="0.2">
      <c r="A769" s="6"/>
      <c r="B769" s="7"/>
      <c r="C769" s="7"/>
      <c r="D769" s="7"/>
      <c r="E769" s="7"/>
      <c r="F769" s="6"/>
      <c r="G769" s="6"/>
      <c r="H769" s="6"/>
      <c r="I769" s="6"/>
      <c r="J769" s="6"/>
      <c r="K769" s="6"/>
      <c r="L769" s="6"/>
      <c r="M769" s="6"/>
      <c r="N769" s="6"/>
      <c r="O769" s="6"/>
      <c r="P769" s="6"/>
      <c r="Q769" s="6"/>
      <c r="R769" s="6"/>
      <c r="S769" s="6"/>
      <c r="T769" s="6"/>
      <c r="U769" s="6"/>
      <c r="V769" s="6"/>
      <c r="W769" s="6"/>
    </row>
    <row r="770" spans="1:23" ht="16" x14ac:dyDescent="0.2">
      <c r="A770" s="6"/>
      <c r="B770" s="7"/>
      <c r="C770" s="7"/>
      <c r="D770" s="7"/>
      <c r="E770" s="7"/>
      <c r="F770" s="6"/>
      <c r="G770" s="6"/>
      <c r="H770" s="6"/>
      <c r="I770" s="6"/>
      <c r="J770" s="6"/>
      <c r="K770" s="6"/>
      <c r="L770" s="6"/>
      <c r="M770" s="6"/>
      <c r="N770" s="6"/>
      <c r="O770" s="6"/>
      <c r="P770" s="6"/>
      <c r="Q770" s="6"/>
      <c r="R770" s="6"/>
      <c r="S770" s="6"/>
      <c r="T770" s="6"/>
      <c r="U770" s="6"/>
      <c r="V770" s="6"/>
      <c r="W770" s="6"/>
    </row>
    <row r="771" spans="1:23" ht="16" x14ac:dyDescent="0.2">
      <c r="A771" s="6"/>
      <c r="B771" s="7"/>
      <c r="C771" s="7"/>
      <c r="D771" s="7"/>
      <c r="E771" s="7"/>
      <c r="F771" s="6"/>
      <c r="G771" s="6"/>
      <c r="H771" s="6"/>
      <c r="I771" s="6"/>
      <c r="J771" s="6"/>
      <c r="K771" s="6"/>
      <c r="L771" s="6"/>
      <c r="M771" s="6"/>
      <c r="N771" s="6"/>
      <c r="O771" s="6"/>
      <c r="P771" s="6"/>
      <c r="Q771" s="6"/>
      <c r="R771" s="6"/>
      <c r="S771" s="6"/>
      <c r="T771" s="6"/>
      <c r="U771" s="6"/>
      <c r="V771" s="6"/>
      <c r="W771" s="6"/>
    </row>
    <row r="772" spans="1:23" ht="16" x14ac:dyDescent="0.2">
      <c r="A772" s="6"/>
      <c r="B772" s="7"/>
      <c r="C772" s="7"/>
      <c r="D772" s="7"/>
      <c r="E772" s="7"/>
      <c r="F772" s="6"/>
      <c r="G772" s="6"/>
      <c r="H772" s="6"/>
      <c r="I772" s="6"/>
      <c r="J772" s="6"/>
      <c r="K772" s="6"/>
      <c r="L772" s="6"/>
      <c r="M772" s="6"/>
      <c r="N772" s="6"/>
      <c r="O772" s="6"/>
      <c r="P772" s="6"/>
      <c r="Q772" s="6"/>
      <c r="R772" s="6"/>
      <c r="S772" s="6"/>
      <c r="T772" s="6"/>
      <c r="U772" s="6"/>
      <c r="V772" s="6"/>
      <c r="W772" s="6"/>
    </row>
    <row r="773" spans="1:23" ht="16" x14ac:dyDescent="0.2">
      <c r="A773" s="6"/>
      <c r="B773" s="7"/>
      <c r="C773" s="7"/>
      <c r="D773" s="7"/>
      <c r="E773" s="7"/>
      <c r="F773" s="6"/>
      <c r="G773" s="6"/>
      <c r="H773" s="6"/>
      <c r="I773" s="6"/>
      <c r="J773" s="6"/>
      <c r="K773" s="6"/>
      <c r="L773" s="6"/>
      <c r="M773" s="6"/>
      <c r="N773" s="6"/>
      <c r="O773" s="6"/>
      <c r="P773" s="6"/>
      <c r="Q773" s="6"/>
      <c r="R773" s="6"/>
      <c r="S773" s="6"/>
      <c r="T773" s="6"/>
      <c r="U773" s="6"/>
      <c r="V773" s="6"/>
      <c r="W773" s="6"/>
    </row>
    <row r="774" spans="1:23" ht="16" x14ac:dyDescent="0.2">
      <c r="A774" s="6"/>
      <c r="B774" s="7"/>
      <c r="C774" s="7"/>
      <c r="D774" s="7"/>
      <c r="E774" s="7"/>
      <c r="F774" s="6"/>
      <c r="G774" s="6"/>
      <c r="H774" s="6"/>
      <c r="I774" s="6"/>
      <c r="J774" s="6"/>
      <c r="K774" s="6"/>
      <c r="L774" s="6"/>
      <c r="M774" s="6"/>
      <c r="N774" s="6"/>
      <c r="O774" s="6"/>
      <c r="P774" s="6"/>
      <c r="Q774" s="6"/>
      <c r="R774" s="6"/>
      <c r="S774" s="6"/>
      <c r="T774" s="6"/>
      <c r="U774" s="6"/>
      <c r="V774" s="6"/>
      <c r="W774" s="6"/>
    </row>
    <row r="775" spans="1:23" ht="16" x14ac:dyDescent="0.2">
      <c r="A775" s="6"/>
      <c r="B775" s="7"/>
      <c r="C775" s="7"/>
      <c r="D775" s="7"/>
      <c r="E775" s="7"/>
      <c r="F775" s="6"/>
      <c r="G775" s="6"/>
      <c r="H775" s="6"/>
      <c r="I775" s="6"/>
      <c r="J775" s="6"/>
      <c r="K775" s="6"/>
      <c r="L775" s="6"/>
      <c r="M775" s="6"/>
      <c r="N775" s="6"/>
      <c r="O775" s="6"/>
      <c r="P775" s="6"/>
      <c r="Q775" s="6"/>
      <c r="R775" s="6"/>
      <c r="S775" s="6"/>
      <c r="T775" s="6"/>
      <c r="U775" s="6"/>
      <c r="V775" s="6"/>
      <c r="W775" s="6"/>
    </row>
    <row r="776" spans="1:23" ht="16" x14ac:dyDescent="0.2">
      <c r="A776" s="6"/>
      <c r="B776" s="7"/>
      <c r="C776" s="7"/>
      <c r="D776" s="7"/>
      <c r="E776" s="7"/>
      <c r="F776" s="6"/>
      <c r="G776" s="6"/>
      <c r="H776" s="6"/>
      <c r="I776" s="6"/>
      <c r="J776" s="6"/>
      <c r="K776" s="6"/>
      <c r="L776" s="6"/>
      <c r="M776" s="6"/>
      <c r="N776" s="6"/>
      <c r="O776" s="6"/>
      <c r="P776" s="6"/>
      <c r="Q776" s="6"/>
      <c r="R776" s="6"/>
      <c r="S776" s="6"/>
      <c r="T776" s="6"/>
      <c r="U776" s="6"/>
      <c r="V776" s="6"/>
      <c r="W776" s="6"/>
    </row>
    <row r="777" spans="1:23" ht="16" x14ac:dyDescent="0.2">
      <c r="A777" s="6"/>
      <c r="B777" s="7"/>
      <c r="C777" s="7"/>
      <c r="D777" s="7"/>
      <c r="E777" s="7"/>
      <c r="F777" s="6"/>
      <c r="G777" s="6"/>
      <c r="H777" s="6"/>
      <c r="I777" s="6"/>
      <c r="J777" s="6"/>
      <c r="K777" s="6"/>
      <c r="L777" s="6"/>
      <c r="M777" s="6"/>
      <c r="N777" s="6"/>
      <c r="O777" s="6"/>
      <c r="P777" s="6"/>
      <c r="Q777" s="6"/>
      <c r="R777" s="6"/>
      <c r="S777" s="6"/>
      <c r="T777" s="6"/>
      <c r="U777" s="6"/>
      <c r="V777" s="6"/>
      <c r="W777" s="6"/>
    </row>
    <row r="778" spans="1:23" ht="16" x14ac:dyDescent="0.2">
      <c r="A778" s="6"/>
      <c r="B778" s="7"/>
      <c r="C778" s="7"/>
      <c r="D778" s="7"/>
      <c r="E778" s="7"/>
      <c r="F778" s="6"/>
      <c r="G778" s="6"/>
      <c r="H778" s="6"/>
      <c r="I778" s="6"/>
      <c r="J778" s="6"/>
      <c r="K778" s="6"/>
      <c r="L778" s="6"/>
      <c r="M778" s="6"/>
      <c r="N778" s="6"/>
      <c r="O778" s="6"/>
      <c r="P778" s="6"/>
      <c r="Q778" s="6"/>
      <c r="R778" s="6"/>
      <c r="S778" s="6"/>
      <c r="T778" s="6"/>
      <c r="U778" s="6"/>
      <c r="V778" s="6"/>
      <c r="W778" s="6"/>
    </row>
    <row r="779" spans="1:23" ht="16" x14ac:dyDescent="0.2">
      <c r="A779" s="6"/>
      <c r="B779" s="7"/>
      <c r="C779" s="7"/>
      <c r="D779" s="7"/>
      <c r="E779" s="7"/>
      <c r="F779" s="6"/>
      <c r="G779" s="6"/>
      <c r="H779" s="6"/>
      <c r="I779" s="6"/>
      <c r="J779" s="6"/>
      <c r="K779" s="6"/>
      <c r="L779" s="6"/>
      <c r="M779" s="6"/>
      <c r="N779" s="6"/>
      <c r="O779" s="6"/>
      <c r="P779" s="6"/>
      <c r="Q779" s="6"/>
      <c r="R779" s="6"/>
      <c r="S779" s="6"/>
      <c r="T779" s="6"/>
      <c r="U779" s="6"/>
      <c r="V779" s="6"/>
      <c r="W779" s="6"/>
    </row>
    <row r="780" spans="1:23" ht="16" x14ac:dyDescent="0.2">
      <c r="A780" s="6"/>
      <c r="B780" s="7"/>
      <c r="C780" s="7"/>
      <c r="D780" s="7"/>
      <c r="E780" s="7"/>
      <c r="F780" s="6"/>
      <c r="G780" s="6"/>
      <c r="H780" s="6"/>
      <c r="I780" s="6"/>
      <c r="J780" s="6"/>
      <c r="K780" s="6"/>
      <c r="L780" s="6"/>
      <c r="M780" s="6"/>
      <c r="N780" s="6"/>
      <c r="O780" s="6"/>
      <c r="P780" s="6"/>
      <c r="Q780" s="6"/>
      <c r="R780" s="6"/>
      <c r="S780" s="6"/>
      <c r="T780" s="6"/>
      <c r="U780" s="6"/>
      <c r="V780" s="6"/>
      <c r="W780" s="6"/>
    </row>
    <row r="781" spans="1:23" ht="16" x14ac:dyDescent="0.2">
      <c r="A781" s="6"/>
      <c r="B781" s="7"/>
      <c r="C781" s="7"/>
      <c r="D781" s="7"/>
      <c r="E781" s="7"/>
      <c r="F781" s="6"/>
      <c r="G781" s="6"/>
      <c r="H781" s="6"/>
      <c r="I781" s="6"/>
      <c r="J781" s="6"/>
      <c r="K781" s="6"/>
      <c r="L781" s="6"/>
      <c r="M781" s="6"/>
      <c r="N781" s="6"/>
      <c r="O781" s="6"/>
      <c r="P781" s="6"/>
      <c r="Q781" s="6"/>
      <c r="R781" s="6"/>
      <c r="S781" s="6"/>
      <c r="T781" s="6"/>
      <c r="U781" s="6"/>
      <c r="V781" s="6"/>
      <c r="W781" s="6"/>
    </row>
    <row r="782" spans="1:23" ht="16" x14ac:dyDescent="0.2">
      <c r="A782" s="6"/>
      <c r="B782" s="7"/>
      <c r="C782" s="7"/>
      <c r="D782" s="7"/>
      <c r="E782" s="7"/>
      <c r="F782" s="6"/>
      <c r="G782" s="6"/>
      <c r="H782" s="6"/>
      <c r="I782" s="6"/>
      <c r="J782" s="6"/>
      <c r="K782" s="6"/>
      <c r="L782" s="6"/>
      <c r="M782" s="6"/>
      <c r="N782" s="6"/>
      <c r="O782" s="6"/>
      <c r="P782" s="6"/>
      <c r="Q782" s="6"/>
      <c r="R782" s="6"/>
      <c r="S782" s="6"/>
      <c r="T782" s="6"/>
      <c r="U782" s="6"/>
      <c r="V782" s="6"/>
      <c r="W782" s="6"/>
    </row>
    <row r="783" spans="1:23" ht="16" x14ac:dyDescent="0.2">
      <c r="A783" s="6"/>
      <c r="B783" s="7"/>
      <c r="C783" s="7"/>
      <c r="D783" s="7"/>
      <c r="E783" s="7"/>
      <c r="F783" s="6"/>
      <c r="G783" s="6"/>
      <c r="H783" s="6"/>
      <c r="I783" s="6"/>
      <c r="J783" s="6"/>
      <c r="K783" s="6"/>
      <c r="L783" s="6"/>
      <c r="M783" s="6"/>
      <c r="N783" s="6"/>
      <c r="O783" s="6"/>
      <c r="P783" s="6"/>
      <c r="Q783" s="6"/>
      <c r="R783" s="6"/>
      <c r="S783" s="6"/>
      <c r="T783" s="6"/>
      <c r="U783" s="6"/>
      <c r="V783" s="6"/>
      <c r="W783" s="6"/>
    </row>
    <row r="784" spans="1:23" ht="16" x14ac:dyDescent="0.2">
      <c r="A784" s="6"/>
      <c r="B784" s="7"/>
      <c r="C784" s="7"/>
      <c r="D784" s="7"/>
      <c r="E784" s="7"/>
      <c r="F784" s="6"/>
      <c r="G784" s="6"/>
      <c r="H784" s="6"/>
      <c r="I784" s="6"/>
      <c r="J784" s="6"/>
      <c r="K784" s="6"/>
      <c r="L784" s="6"/>
      <c r="M784" s="6"/>
      <c r="N784" s="6"/>
      <c r="O784" s="6"/>
      <c r="P784" s="6"/>
      <c r="Q784" s="6"/>
      <c r="R784" s="6"/>
      <c r="S784" s="6"/>
      <c r="T784" s="6"/>
      <c r="U784" s="6"/>
      <c r="V784" s="6"/>
      <c r="W784" s="6"/>
    </row>
    <row r="785" spans="1:23" ht="16" x14ac:dyDescent="0.2">
      <c r="A785" s="6"/>
      <c r="B785" s="7"/>
      <c r="C785" s="7"/>
      <c r="D785" s="7"/>
      <c r="E785" s="7"/>
      <c r="F785" s="6"/>
      <c r="G785" s="6"/>
      <c r="H785" s="6"/>
      <c r="I785" s="6"/>
      <c r="J785" s="6"/>
      <c r="K785" s="6"/>
      <c r="L785" s="6"/>
      <c r="M785" s="6"/>
      <c r="N785" s="6"/>
      <c r="O785" s="6"/>
      <c r="P785" s="6"/>
      <c r="Q785" s="6"/>
      <c r="R785" s="6"/>
      <c r="S785" s="6"/>
      <c r="T785" s="6"/>
      <c r="U785" s="6"/>
      <c r="V785" s="6"/>
      <c r="W785" s="6"/>
    </row>
    <row r="786" spans="1:23" ht="16" x14ac:dyDescent="0.2">
      <c r="A786" s="6"/>
      <c r="B786" s="7"/>
      <c r="C786" s="7"/>
      <c r="D786" s="7"/>
      <c r="E786" s="7"/>
      <c r="F786" s="6"/>
      <c r="G786" s="6"/>
      <c r="H786" s="6"/>
      <c r="I786" s="6"/>
      <c r="J786" s="6"/>
      <c r="K786" s="6"/>
      <c r="L786" s="6"/>
      <c r="M786" s="6"/>
      <c r="N786" s="6"/>
      <c r="O786" s="6"/>
      <c r="P786" s="6"/>
      <c r="Q786" s="6"/>
      <c r="R786" s="6"/>
      <c r="S786" s="6"/>
      <c r="T786" s="6"/>
      <c r="U786" s="6"/>
      <c r="V786" s="6"/>
      <c r="W786" s="6"/>
    </row>
    <row r="787" spans="1:23" ht="16" x14ac:dyDescent="0.2">
      <c r="A787" s="6"/>
      <c r="B787" s="7"/>
      <c r="C787" s="7"/>
      <c r="D787" s="7"/>
      <c r="E787" s="7"/>
      <c r="F787" s="6"/>
      <c r="G787" s="6"/>
      <c r="H787" s="6"/>
      <c r="I787" s="6"/>
      <c r="J787" s="6"/>
      <c r="K787" s="6"/>
      <c r="L787" s="6"/>
      <c r="M787" s="6"/>
      <c r="N787" s="6"/>
      <c r="O787" s="6"/>
      <c r="P787" s="6"/>
      <c r="Q787" s="6"/>
      <c r="R787" s="6"/>
      <c r="S787" s="6"/>
      <c r="T787" s="6"/>
      <c r="U787" s="6"/>
      <c r="V787" s="6"/>
      <c r="W787" s="6"/>
    </row>
    <row r="788" spans="1:23" ht="16" x14ac:dyDescent="0.2">
      <c r="A788" s="6"/>
      <c r="B788" s="7"/>
      <c r="C788" s="7"/>
      <c r="D788" s="7"/>
      <c r="E788" s="7"/>
      <c r="F788" s="6"/>
      <c r="G788" s="6"/>
      <c r="H788" s="6"/>
      <c r="I788" s="6"/>
      <c r="J788" s="6"/>
      <c r="K788" s="6"/>
      <c r="L788" s="6"/>
      <c r="M788" s="6"/>
      <c r="N788" s="6"/>
      <c r="O788" s="6"/>
      <c r="P788" s="6"/>
      <c r="Q788" s="6"/>
      <c r="R788" s="6"/>
      <c r="S788" s="6"/>
      <c r="T788" s="6"/>
      <c r="U788" s="6"/>
      <c r="V788" s="6"/>
      <c r="W788" s="6"/>
    </row>
    <row r="789" spans="1:23" ht="16" x14ac:dyDescent="0.2">
      <c r="A789" s="6"/>
      <c r="B789" s="7"/>
      <c r="C789" s="7"/>
      <c r="D789" s="7"/>
      <c r="E789" s="7"/>
      <c r="F789" s="6"/>
      <c r="G789" s="6"/>
      <c r="H789" s="6"/>
      <c r="I789" s="6"/>
      <c r="J789" s="6"/>
      <c r="K789" s="6"/>
      <c r="L789" s="6"/>
      <c r="M789" s="6"/>
      <c r="N789" s="6"/>
      <c r="O789" s="6"/>
      <c r="P789" s="6"/>
      <c r="Q789" s="6"/>
      <c r="R789" s="6"/>
      <c r="S789" s="6"/>
      <c r="T789" s="6"/>
      <c r="U789" s="6"/>
      <c r="V789" s="6"/>
      <c r="W789" s="6"/>
    </row>
    <row r="790" spans="1:23" ht="16" x14ac:dyDescent="0.2">
      <c r="A790" s="6"/>
      <c r="B790" s="7"/>
      <c r="C790" s="7"/>
      <c r="D790" s="7"/>
      <c r="E790" s="7"/>
      <c r="F790" s="6"/>
      <c r="G790" s="6"/>
      <c r="H790" s="6"/>
      <c r="I790" s="6"/>
      <c r="J790" s="6"/>
      <c r="K790" s="6"/>
      <c r="L790" s="6"/>
      <c r="M790" s="6"/>
      <c r="N790" s="6"/>
      <c r="O790" s="6"/>
      <c r="P790" s="6"/>
      <c r="Q790" s="6"/>
      <c r="R790" s="6"/>
      <c r="S790" s="6"/>
      <c r="T790" s="6"/>
      <c r="U790" s="6"/>
      <c r="V790" s="6"/>
      <c r="W790" s="6"/>
    </row>
    <row r="791" spans="1:23" ht="16" x14ac:dyDescent="0.2">
      <c r="A791" s="6"/>
      <c r="B791" s="7"/>
      <c r="C791" s="7"/>
      <c r="D791" s="7"/>
      <c r="E791" s="7"/>
      <c r="F791" s="6"/>
      <c r="G791" s="6"/>
      <c r="H791" s="6"/>
      <c r="I791" s="6"/>
      <c r="J791" s="6"/>
      <c r="K791" s="6"/>
      <c r="L791" s="6"/>
      <c r="M791" s="6"/>
      <c r="N791" s="6"/>
      <c r="O791" s="6"/>
      <c r="P791" s="6"/>
      <c r="Q791" s="6"/>
      <c r="R791" s="6"/>
      <c r="S791" s="6"/>
      <c r="T791" s="6"/>
      <c r="U791" s="6"/>
      <c r="V791" s="6"/>
      <c r="W791" s="6"/>
    </row>
    <row r="792" spans="1:23" ht="16" x14ac:dyDescent="0.2">
      <c r="A792" s="6"/>
      <c r="B792" s="7"/>
      <c r="C792" s="7"/>
      <c r="D792" s="7"/>
      <c r="E792" s="7"/>
      <c r="F792" s="6"/>
      <c r="G792" s="6"/>
      <c r="H792" s="6"/>
      <c r="I792" s="6"/>
      <c r="J792" s="6"/>
      <c r="K792" s="6"/>
      <c r="L792" s="6"/>
      <c r="M792" s="6"/>
      <c r="N792" s="6"/>
      <c r="O792" s="6"/>
      <c r="P792" s="6"/>
      <c r="Q792" s="6"/>
      <c r="R792" s="6"/>
      <c r="S792" s="6"/>
      <c r="T792" s="6"/>
      <c r="U792" s="6"/>
      <c r="V792" s="6"/>
      <c r="W792" s="6"/>
    </row>
    <row r="793" spans="1:23" ht="16" x14ac:dyDescent="0.2">
      <c r="A793" s="6"/>
      <c r="B793" s="7"/>
      <c r="C793" s="7"/>
      <c r="D793" s="7"/>
      <c r="E793" s="7"/>
      <c r="F793" s="6"/>
      <c r="G793" s="6"/>
      <c r="H793" s="6"/>
      <c r="I793" s="6"/>
      <c r="J793" s="6"/>
      <c r="K793" s="6"/>
      <c r="L793" s="6"/>
      <c r="M793" s="6"/>
      <c r="N793" s="6"/>
      <c r="O793" s="6"/>
      <c r="P793" s="6"/>
      <c r="Q793" s="6"/>
      <c r="R793" s="6"/>
      <c r="S793" s="6"/>
      <c r="T793" s="6"/>
      <c r="U793" s="6"/>
      <c r="V793" s="6"/>
      <c r="W793" s="6"/>
    </row>
    <row r="794" spans="1:23" ht="16" x14ac:dyDescent="0.2">
      <c r="A794" s="6"/>
      <c r="B794" s="7"/>
      <c r="C794" s="7"/>
      <c r="D794" s="7"/>
      <c r="E794" s="7"/>
      <c r="F794" s="6"/>
      <c r="G794" s="6"/>
      <c r="H794" s="6"/>
      <c r="I794" s="6"/>
      <c r="J794" s="6"/>
      <c r="K794" s="6"/>
      <c r="L794" s="6"/>
      <c r="M794" s="6"/>
      <c r="N794" s="6"/>
      <c r="O794" s="6"/>
      <c r="P794" s="6"/>
      <c r="Q794" s="6"/>
      <c r="R794" s="6"/>
      <c r="S794" s="6"/>
      <c r="T794" s="6"/>
      <c r="U794" s="6"/>
      <c r="V794" s="6"/>
      <c r="W794" s="6"/>
    </row>
    <row r="795" spans="1:23" ht="16" x14ac:dyDescent="0.2">
      <c r="A795" s="6"/>
      <c r="B795" s="7"/>
      <c r="C795" s="7"/>
      <c r="D795" s="7"/>
      <c r="E795" s="7"/>
      <c r="F795" s="6"/>
      <c r="G795" s="6"/>
      <c r="H795" s="6"/>
      <c r="I795" s="6"/>
      <c r="J795" s="6"/>
      <c r="K795" s="6"/>
      <c r="L795" s="6"/>
      <c r="M795" s="6"/>
      <c r="N795" s="6"/>
      <c r="O795" s="6"/>
      <c r="P795" s="6"/>
      <c r="Q795" s="6"/>
      <c r="R795" s="6"/>
      <c r="S795" s="6"/>
      <c r="T795" s="6"/>
      <c r="U795" s="6"/>
      <c r="V795" s="6"/>
      <c r="W795" s="6"/>
    </row>
    <row r="796" spans="1:23" ht="16" x14ac:dyDescent="0.2">
      <c r="A796" s="6"/>
      <c r="B796" s="7"/>
      <c r="C796" s="7"/>
      <c r="D796" s="7"/>
      <c r="E796" s="7"/>
      <c r="F796" s="6"/>
      <c r="G796" s="6"/>
      <c r="H796" s="6"/>
      <c r="I796" s="6"/>
      <c r="J796" s="6"/>
      <c r="K796" s="6"/>
      <c r="L796" s="6"/>
      <c r="M796" s="6"/>
      <c r="N796" s="6"/>
      <c r="O796" s="6"/>
      <c r="P796" s="6"/>
      <c r="Q796" s="6"/>
      <c r="R796" s="6"/>
      <c r="S796" s="6"/>
      <c r="T796" s="6"/>
      <c r="U796" s="6"/>
      <c r="V796" s="6"/>
      <c r="W796" s="6"/>
    </row>
    <row r="797" spans="1:23" ht="16" x14ac:dyDescent="0.2">
      <c r="A797" s="6"/>
      <c r="B797" s="7"/>
      <c r="C797" s="7"/>
      <c r="D797" s="7"/>
      <c r="E797" s="7"/>
      <c r="F797" s="6"/>
      <c r="G797" s="6"/>
      <c r="H797" s="6"/>
      <c r="I797" s="6"/>
      <c r="J797" s="6"/>
      <c r="K797" s="6"/>
      <c r="L797" s="6"/>
      <c r="M797" s="6"/>
      <c r="N797" s="6"/>
      <c r="O797" s="6"/>
      <c r="P797" s="6"/>
      <c r="Q797" s="6"/>
      <c r="R797" s="6"/>
      <c r="S797" s="6"/>
      <c r="T797" s="6"/>
      <c r="U797" s="6"/>
      <c r="V797" s="6"/>
      <c r="W797" s="6"/>
    </row>
    <row r="798" spans="1:23" ht="16" x14ac:dyDescent="0.2">
      <c r="A798" s="6"/>
      <c r="B798" s="7"/>
      <c r="C798" s="7"/>
      <c r="D798" s="7"/>
      <c r="E798" s="7"/>
      <c r="F798" s="6"/>
      <c r="G798" s="6"/>
      <c r="H798" s="6"/>
      <c r="I798" s="6"/>
      <c r="J798" s="6"/>
      <c r="K798" s="6"/>
      <c r="L798" s="6"/>
      <c r="M798" s="6"/>
      <c r="N798" s="6"/>
      <c r="O798" s="6"/>
      <c r="P798" s="6"/>
      <c r="Q798" s="6"/>
      <c r="R798" s="6"/>
      <c r="S798" s="6"/>
      <c r="T798" s="6"/>
      <c r="U798" s="6"/>
      <c r="V798" s="6"/>
      <c r="W798" s="6"/>
    </row>
    <row r="799" spans="1:23" ht="16" x14ac:dyDescent="0.2">
      <c r="A799" s="6"/>
      <c r="B799" s="7"/>
      <c r="C799" s="7"/>
      <c r="D799" s="7"/>
      <c r="E799" s="7"/>
      <c r="F799" s="6"/>
      <c r="G799" s="6"/>
      <c r="H799" s="6"/>
      <c r="I799" s="6"/>
      <c r="J799" s="6"/>
      <c r="K799" s="6"/>
      <c r="L799" s="6"/>
      <c r="M799" s="6"/>
      <c r="N799" s="6"/>
      <c r="O799" s="6"/>
      <c r="P799" s="6"/>
      <c r="Q799" s="6"/>
      <c r="R799" s="6"/>
      <c r="S799" s="6"/>
      <c r="T799" s="6"/>
      <c r="U799" s="6"/>
      <c r="V799" s="6"/>
      <c r="W799" s="6"/>
    </row>
    <row r="800" spans="1:23" ht="16" x14ac:dyDescent="0.2">
      <c r="A800" s="6"/>
      <c r="B800" s="7"/>
      <c r="C800" s="7"/>
      <c r="D800" s="7"/>
      <c r="E800" s="7"/>
      <c r="F800" s="6"/>
      <c r="G800" s="6"/>
      <c r="H800" s="6"/>
      <c r="I800" s="6"/>
      <c r="J800" s="6"/>
      <c r="K800" s="6"/>
      <c r="L800" s="6"/>
      <c r="M800" s="6"/>
      <c r="N800" s="6"/>
      <c r="O800" s="6"/>
      <c r="P800" s="6"/>
      <c r="Q800" s="6"/>
      <c r="R800" s="6"/>
      <c r="S800" s="6"/>
      <c r="T800" s="6"/>
      <c r="U800" s="6"/>
      <c r="V800" s="6"/>
      <c r="W800" s="6"/>
    </row>
    <row r="801" spans="1:23" ht="16" x14ac:dyDescent="0.2">
      <c r="A801" s="6"/>
      <c r="B801" s="7"/>
      <c r="C801" s="7"/>
      <c r="D801" s="7"/>
      <c r="E801" s="7"/>
      <c r="F801" s="6"/>
      <c r="G801" s="6"/>
      <c r="H801" s="6"/>
      <c r="I801" s="6"/>
      <c r="J801" s="6"/>
      <c r="K801" s="6"/>
      <c r="L801" s="6"/>
      <c r="M801" s="6"/>
      <c r="N801" s="6"/>
      <c r="O801" s="6"/>
      <c r="P801" s="6"/>
      <c r="Q801" s="6"/>
      <c r="R801" s="6"/>
      <c r="S801" s="6"/>
      <c r="T801" s="6"/>
      <c r="U801" s="6"/>
      <c r="V801" s="6"/>
      <c r="W801" s="6"/>
    </row>
    <row r="802" spans="1:23" ht="16" x14ac:dyDescent="0.2">
      <c r="A802" s="6"/>
      <c r="B802" s="7"/>
      <c r="C802" s="7"/>
      <c r="D802" s="7"/>
      <c r="E802" s="7"/>
      <c r="F802" s="6"/>
      <c r="G802" s="6"/>
      <c r="H802" s="6"/>
      <c r="I802" s="6"/>
      <c r="J802" s="6"/>
      <c r="K802" s="6"/>
      <c r="L802" s="6"/>
      <c r="M802" s="6"/>
      <c r="N802" s="6"/>
      <c r="O802" s="6"/>
      <c r="P802" s="6"/>
      <c r="Q802" s="6"/>
      <c r="R802" s="6"/>
      <c r="S802" s="6"/>
      <c r="T802" s="6"/>
      <c r="U802" s="6"/>
      <c r="V802" s="6"/>
      <c r="W802" s="6"/>
    </row>
    <row r="803" spans="1:23" ht="16" x14ac:dyDescent="0.2">
      <c r="A803" s="6"/>
      <c r="B803" s="7"/>
      <c r="C803" s="7"/>
      <c r="D803" s="7"/>
      <c r="E803" s="7"/>
      <c r="F803" s="6"/>
      <c r="G803" s="6"/>
      <c r="H803" s="6"/>
      <c r="I803" s="6"/>
      <c r="J803" s="6"/>
      <c r="K803" s="6"/>
      <c r="L803" s="6"/>
      <c r="M803" s="6"/>
      <c r="N803" s="6"/>
      <c r="O803" s="6"/>
      <c r="P803" s="6"/>
      <c r="Q803" s="6"/>
      <c r="R803" s="6"/>
      <c r="S803" s="6"/>
      <c r="T803" s="6"/>
      <c r="U803" s="6"/>
      <c r="V803" s="6"/>
      <c r="W803" s="6"/>
    </row>
    <row r="804" spans="1:23" ht="16" x14ac:dyDescent="0.2">
      <c r="A804" s="6"/>
      <c r="B804" s="7"/>
      <c r="C804" s="7"/>
      <c r="D804" s="7"/>
      <c r="E804" s="7"/>
      <c r="F804" s="6"/>
      <c r="G804" s="6"/>
      <c r="H804" s="6"/>
      <c r="I804" s="6"/>
      <c r="J804" s="6"/>
      <c r="K804" s="6"/>
      <c r="L804" s="6"/>
      <c r="M804" s="6"/>
      <c r="N804" s="6"/>
      <c r="O804" s="6"/>
      <c r="P804" s="6"/>
      <c r="Q804" s="6"/>
      <c r="R804" s="6"/>
      <c r="S804" s="6"/>
      <c r="T804" s="6"/>
      <c r="U804" s="6"/>
      <c r="V804" s="6"/>
      <c r="W804" s="6"/>
    </row>
    <row r="805" spans="1:23" ht="16" x14ac:dyDescent="0.2">
      <c r="A805" s="6"/>
      <c r="B805" s="7"/>
      <c r="C805" s="7"/>
      <c r="D805" s="7"/>
      <c r="E805" s="7"/>
      <c r="F805" s="6"/>
      <c r="G805" s="6"/>
      <c r="H805" s="6"/>
      <c r="I805" s="6"/>
      <c r="J805" s="6"/>
      <c r="K805" s="6"/>
      <c r="L805" s="6"/>
      <c r="M805" s="6"/>
      <c r="N805" s="6"/>
      <c r="O805" s="6"/>
      <c r="P805" s="6"/>
      <c r="Q805" s="6"/>
      <c r="R805" s="6"/>
      <c r="S805" s="6"/>
      <c r="T805" s="6"/>
      <c r="U805" s="6"/>
      <c r="V805" s="6"/>
      <c r="W805" s="6"/>
    </row>
    <row r="806" spans="1:23" ht="16" x14ac:dyDescent="0.2">
      <c r="A806" s="6"/>
      <c r="B806" s="7"/>
      <c r="C806" s="7"/>
      <c r="D806" s="7"/>
      <c r="E806" s="7"/>
      <c r="F806" s="6"/>
      <c r="G806" s="6"/>
      <c r="H806" s="6"/>
      <c r="I806" s="6"/>
      <c r="J806" s="6"/>
      <c r="K806" s="6"/>
      <c r="L806" s="6"/>
      <c r="M806" s="6"/>
      <c r="N806" s="6"/>
      <c r="O806" s="6"/>
      <c r="P806" s="6"/>
      <c r="Q806" s="6"/>
      <c r="R806" s="6"/>
      <c r="S806" s="6"/>
      <c r="T806" s="6"/>
      <c r="U806" s="6"/>
      <c r="V806" s="6"/>
      <c r="W806" s="6"/>
    </row>
    <row r="807" spans="1:23" ht="16" x14ac:dyDescent="0.2">
      <c r="A807" s="6"/>
      <c r="B807" s="7"/>
      <c r="C807" s="7"/>
      <c r="D807" s="7"/>
      <c r="E807" s="7"/>
      <c r="F807" s="6"/>
      <c r="G807" s="6"/>
      <c r="H807" s="6"/>
      <c r="I807" s="6"/>
      <c r="J807" s="6"/>
      <c r="K807" s="6"/>
      <c r="L807" s="6"/>
      <c r="M807" s="6"/>
      <c r="N807" s="6"/>
      <c r="O807" s="6"/>
      <c r="P807" s="6"/>
      <c r="Q807" s="6"/>
      <c r="R807" s="6"/>
      <c r="S807" s="6"/>
      <c r="T807" s="6"/>
      <c r="U807" s="6"/>
      <c r="V807" s="6"/>
      <c r="W807" s="6"/>
    </row>
    <row r="808" spans="1:23" ht="16" x14ac:dyDescent="0.2">
      <c r="A808" s="6"/>
      <c r="B808" s="7"/>
      <c r="C808" s="7"/>
      <c r="D808" s="7"/>
      <c r="E808" s="7"/>
      <c r="F808" s="6"/>
      <c r="G808" s="6"/>
      <c r="H808" s="6"/>
      <c r="I808" s="6"/>
      <c r="J808" s="6"/>
      <c r="K808" s="6"/>
      <c r="L808" s="6"/>
      <c r="M808" s="6"/>
      <c r="N808" s="6"/>
      <c r="O808" s="6"/>
      <c r="P808" s="6"/>
      <c r="Q808" s="6"/>
      <c r="R808" s="6"/>
      <c r="S808" s="6"/>
      <c r="T808" s="6"/>
      <c r="U808" s="6"/>
      <c r="V808" s="6"/>
      <c r="W808" s="6"/>
    </row>
    <row r="809" spans="1:23" ht="16" x14ac:dyDescent="0.2">
      <c r="A809" s="6"/>
      <c r="B809" s="7"/>
      <c r="C809" s="7"/>
      <c r="D809" s="7"/>
      <c r="E809" s="7"/>
      <c r="F809" s="6"/>
      <c r="G809" s="6"/>
      <c r="H809" s="6"/>
      <c r="I809" s="6"/>
      <c r="J809" s="6"/>
      <c r="K809" s="6"/>
      <c r="L809" s="6"/>
      <c r="M809" s="6"/>
      <c r="N809" s="6"/>
      <c r="O809" s="6"/>
      <c r="P809" s="6"/>
      <c r="Q809" s="6"/>
      <c r="R809" s="6"/>
      <c r="S809" s="6"/>
      <c r="T809" s="6"/>
      <c r="U809" s="6"/>
      <c r="V809" s="6"/>
      <c r="W809" s="6"/>
    </row>
    <row r="810" spans="1:23" ht="16" x14ac:dyDescent="0.2">
      <c r="A810" s="6"/>
      <c r="B810" s="7"/>
      <c r="C810" s="7"/>
      <c r="D810" s="7"/>
      <c r="E810" s="7"/>
      <c r="F810" s="6"/>
      <c r="G810" s="6"/>
      <c r="H810" s="6"/>
      <c r="I810" s="6"/>
      <c r="J810" s="6"/>
      <c r="K810" s="6"/>
      <c r="L810" s="6"/>
      <c r="M810" s="6"/>
      <c r="N810" s="6"/>
      <c r="O810" s="6"/>
      <c r="P810" s="6"/>
      <c r="Q810" s="6"/>
      <c r="R810" s="6"/>
      <c r="S810" s="6"/>
      <c r="T810" s="6"/>
      <c r="U810" s="6"/>
      <c r="V810" s="6"/>
      <c r="W810" s="6"/>
    </row>
    <row r="811" spans="1:23" ht="16" x14ac:dyDescent="0.2">
      <c r="A811" s="6"/>
      <c r="B811" s="7"/>
      <c r="C811" s="7"/>
      <c r="D811" s="7"/>
      <c r="E811" s="7"/>
      <c r="F811" s="6"/>
      <c r="G811" s="6"/>
      <c r="H811" s="6"/>
      <c r="I811" s="6"/>
      <c r="J811" s="6"/>
      <c r="K811" s="6"/>
      <c r="L811" s="6"/>
      <c r="M811" s="6"/>
      <c r="N811" s="6"/>
      <c r="O811" s="6"/>
      <c r="P811" s="6"/>
      <c r="Q811" s="6"/>
      <c r="R811" s="6"/>
      <c r="S811" s="6"/>
      <c r="T811" s="6"/>
      <c r="U811" s="6"/>
      <c r="V811" s="6"/>
      <c r="W811" s="6"/>
    </row>
    <row r="812" spans="1:23" ht="16" x14ac:dyDescent="0.2">
      <c r="A812" s="6"/>
      <c r="B812" s="7"/>
      <c r="C812" s="7"/>
      <c r="D812" s="7"/>
      <c r="E812" s="7"/>
      <c r="F812" s="6"/>
      <c r="G812" s="6"/>
      <c r="H812" s="6"/>
      <c r="I812" s="6"/>
      <c r="J812" s="6"/>
      <c r="K812" s="6"/>
      <c r="L812" s="6"/>
      <c r="M812" s="6"/>
      <c r="N812" s="6"/>
      <c r="O812" s="6"/>
      <c r="P812" s="6"/>
      <c r="Q812" s="6"/>
      <c r="R812" s="6"/>
      <c r="S812" s="6"/>
      <c r="T812" s="6"/>
      <c r="U812" s="6"/>
      <c r="V812" s="6"/>
      <c r="W812" s="6"/>
    </row>
    <row r="813" spans="1:23" ht="16" x14ac:dyDescent="0.2">
      <c r="A813" s="6"/>
      <c r="B813" s="7"/>
      <c r="C813" s="7"/>
      <c r="D813" s="7"/>
      <c r="E813" s="7"/>
      <c r="F813" s="6"/>
      <c r="G813" s="6"/>
      <c r="H813" s="6"/>
      <c r="I813" s="6"/>
      <c r="J813" s="6"/>
      <c r="K813" s="6"/>
      <c r="L813" s="6"/>
      <c r="M813" s="6"/>
      <c r="N813" s="6"/>
      <c r="O813" s="6"/>
      <c r="P813" s="6"/>
      <c r="Q813" s="6"/>
      <c r="R813" s="6"/>
      <c r="S813" s="6"/>
      <c r="T813" s="6"/>
      <c r="U813" s="6"/>
      <c r="V813" s="6"/>
      <c r="W813" s="6"/>
    </row>
    <row r="814" spans="1:23" ht="16" x14ac:dyDescent="0.2">
      <c r="A814" s="6"/>
      <c r="B814" s="7"/>
      <c r="C814" s="7"/>
      <c r="D814" s="7"/>
      <c r="E814" s="7"/>
      <c r="F814" s="6"/>
      <c r="G814" s="6"/>
      <c r="H814" s="6"/>
      <c r="I814" s="6"/>
      <c r="J814" s="6"/>
      <c r="K814" s="6"/>
      <c r="L814" s="6"/>
      <c r="M814" s="6"/>
      <c r="N814" s="6"/>
      <c r="O814" s="6"/>
      <c r="P814" s="6"/>
      <c r="Q814" s="6"/>
      <c r="R814" s="6"/>
      <c r="S814" s="6"/>
      <c r="T814" s="6"/>
      <c r="U814" s="6"/>
      <c r="V814" s="6"/>
      <c r="W814" s="6"/>
    </row>
    <row r="815" spans="1:23" ht="16" x14ac:dyDescent="0.2">
      <c r="A815" s="6"/>
      <c r="B815" s="7"/>
      <c r="C815" s="7"/>
      <c r="D815" s="7"/>
      <c r="E815" s="7"/>
      <c r="F815" s="6"/>
      <c r="G815" s="6"/>
      <c r="H815" s="6"/>
      <c r="I815" s="6"/>
      <c r="J815" s="6"/>
      <c r="K815" s="6"/>
      <c r="L815" s="6"/>
      <c r="M815" s="6"/>
      <c r="N815" s="6"/>
      <c r="O815" s="6"/>
      <c r="P815" s="6"/>
      <c r="Q815" s="6"/>
      <c r="R815" s="6"/>
      <c r="S815" s="6"/>
      <c r="T815" s="6"/>
      <c r="U815" s="6"/>
      <c r="V815" s="6"/>
      <c r="W815" s="6"/>
    </row>
    <row r="816" spans="1:23" ht="16" x14ac:dyDescent="0.2">
      <c r="A816" s="6"/>
      <c r="B816" s="7"/>
      <c r="C816" s="7"/>
      <c r="D816" s="7"/>
      <c r="E816" s="7"/>
      <c r="F816" s="6"/>
      <c r="G816" s="6"/>
      <c r="H816" s="6"/>
      <c r="I816" s="6"/>
      <c r="J816" s="6"/>
      <c r="K816" s="6"/>
      <c r="L816" s="6"/>
      <c r="M816" s="6"/>
      <c r="N816" s="6"/>
      <c r="O816" s="6"/>
      <c r="P816" s="6"/>
      <c r="Q816" s="6"/>
      <c r="R816" s="6"/>
      <c r="S816" s="6"/>
      <c r="T816" s="6"/>
      <c r="U816" s="6"/>
      <c r="V816" s="6"/>
      <c r="W816" s="6"/>
    </row>
    <row r="817" spans="1:23" ht="16" x14ac:dyDescent="0.2">
      <c r="A817" s="6"/>
      <c r="B817" s="7"/>
      <c r="C817" s="7"/>
      <c r="D817" s="7"/>
      <c r="E817" s="7"/>
      <c r="F817" s="6"/>
      <c r="G817" s="6"/>
      <c r="H817" s="6"/>
      <c r="I817" s="6"/>
      <c r="J817" s="6"/>
      <c r="K817" s="6"/>
      <c r="L817" s="6"/>
      <c r="M817" s="6"/>
      <c r="N817" s="6"/>
      <c r="O817" s="6"/>
      <c r="P817" s="6"/>
      <c r="Q817" s="6"/>
      <c r="R817" s="6"/>
      <c r="S817" s="6"/>
      <c r="T817" s="6"/>
      <c r="U817" s="6"/>
      <c r="V817" s="6"/>
      <c r="W817" s="6"/>
    </row>
    <row r="818" spans="1:23" ht="16" x14ac:dyDescent="0.2">
      <c r="A818" s="6"/>
      <c r="B818" s="7"/>
      <c r="C818" s="7"/>
      <c r="D818" s="7"/>
      <c r="E818" s="7"/>
      <c r="F818" s="6"/>
      <c r="G818" s="6"/>
      <c r="H818" s="6"/>
      <c r="I818" s="6"/>
      <c r="J818" s="6"/>
      <c r="K818" s="6"/>
      <c r="L818" s="6"/>
      <c r="M818" s="6"/>
      <c r="N818" s="6"/>
      <c r="O818" s="6"/>
      <c r="P818" s="6"/>
      <c r="Q818" s="6"/>
      <c r="R818" s="6"/>
      <c r="S818" s="6"/>
      <c r="T818" s="6"/>
      <c r="U818" s="6"/>
      <c r="V818" s="6"/>
      <c r="W818" s="6"/>
    </row>
    <row r="819" spans="1:23" ht="16" x14ac:dyDescent="0.2">
      <c r="A819" s="6"/>
      <c r="B819" s="7"/>
      <c r="C819" s="7"/>
      <c r="D819" s="7"/>
      <c r="E819" s="7"/>
      <c r="F819" s="6"/>
      <c r="G819" s="6"/>
      <c r="H819" s="6"/>
      <c r="I819" s="6"/>
      <c r="J819" s="6"/>
      <c r="K819" s="6"/>
      <c r="L819" s="6"/>
      <c r="M819" s="6"/>
      <c r="N819" s="6"/>
      <c r="O819" s="6"/>
      <c r="P819" s="6"/>
      <c r="Q819" s="6"/>
      <c r="R819" s="6"/>
      <c r="S819" s="6"/>
      <c r="T819" s="6"/>
      <c r="U819" s="6"/>
      <c r="V819" s="6"/>
      <c r="W819" s="6"/>
    </row>
    <row r="820" spans="1:23" ht="16" x14ac:dyDescent="0.2">
      <c r="A820" s="6"/>
      <c r="B820" s="7"/>
      <c r="C820" s="7"/>
      <c r="D820" s="7"/>
      <c r="E820" s="7"/>
      <c r="F820" s="6"/>
      <c r="G820" s="6"/>
      <c r="H820" s="6"/>
      <c r="I820" s="6"/>
      <c r="J820" s="6"/>
      <c r="K820" s="6"/>
      <c r="L820" s="6"/>
      <c r="M820" s="6"/>
      <c r="N820" s="6"/>
      <c r="O820" s="6"/>
      <c r="P820" s="6"/>
      <c r="Q820" s="6"/>
      <c r="R820" s="6"/>
      <c r="S820" s="6"/>
      <c r="T820" s="6"/>
      <c r="U820" s="6"/>
      <c r="V820" s="6"/>
      <c r="W820" s="6"/>
    </row>
    <row r="821" spans="1:23" ht="16" x14ac:dyDescent="0.2">
      <c r="A821" s="6"/>
      <c r="B821" s="7"/>
      <c r="C821" s="7"/>
      <c r="D821" s="7"/>
      <c r="E821" s="7"/>
      <c r="F821" s="6"/>
      <c r="G821" s="6"/>
      <c r="H821" s="6"/>
      <c r="I821" s="6"/>
      <c r="J821" s="6"/>
      <c r="K821" s="6"/>
      <c r="L821" s="6"/>
      <c r="M821" s="6"/>
      <c r="N821" s="6"/>
      <c r="O821" s="6"/>
      <c r="P821" s="6"/>
      <c r="Q821" s="6"/>
      <c r="R821" s="6"/>
      <c r="S821" s="6"/>
      <c r="T821" s="6"/>
      <c r="U821" s="6"/>
      <c r="V821" s="6"/>
      <c r="W821" s="6"/>
    </row>
    <row r="822" spans="1:23" ht="16" x14ac:dyDescent="0.2">
      <c r="A822" s="6"/>
      <c r="B822" s="7"/>
      <c r="C822" s="7"/>
      <c r="D822" s="7"/>
      <c r="E822" s="7"/>
      <c r="F822" s="6"/>
      <c r="G822" s="6"/>
      <c r="H822" s="6"/>
      <c r="I822" s="6"/>
      <c r="J822" s="6"/>
      <c r="K822" s="6"/>
      <c r="L822" s="6"/>
      <c r="M822" s="6"/>
      <c r="N822" s="6"/>
      <c r="O822" s="6"/>
      <c r="P822" s="6"/>
      <c r="Q822" s="6"/>
      <c r="R822" s="6"/>
      <c r="S822" s="6"/>
      <c r="T822" s="6"/>
      <c r="U822" s="6"/>
      <c r="V822" s="6"/>
      <c r="W822" s="6"/>
    </row>
    <row r="823" spans="1:23" ht="16" x14ac:dyDescent="0.2">
      <c r="A823" s="6"/>
      <c r="B823" s="7"/>
      <c r="C823" s="7"/>
      <c r="D823" s="7"/>
      <c r="E823" s="7"/>
      <c r="F823" s="6"/>
      <c r="G823" s="6"/>
      <c r="H823" s="6"/>
      <c r="I823" s="6"/>
      <c r="J823" s="6"/>
      <c r="K823" s="6"/>
      <c r="L823" s="6"/>
      <c r="M823" s="6"/>
      <c r="N823" s="6"/>
      <c r="O823" s="6"/>
      <c r="P823" s="6"/>
      <c r="Q823" s="6"/>
      <c r="R823" s="6"/>
      <c r="S823" s="6"/>
      <c r="T823" s="6"/>
      <c r="U823" s="6"/>
      <c r="V823" s="6"/>
      <c r="W823" s="6"/>
    </row>
    <row r="824" spans="1:23" ht="16" x14ac:dyDescent="0.2">
      <c r="A824" s="6"/>
      <c r="B824" s="7"/>
      <c r="C824" s="7"/>
      <c r="D824" s="7"/>
      <c r="E824" s="7"/>
      <c r="F824" s="6"/>
      <c r="G824" s="6"/>
      <c r="H824" s="6"/>
      <c r="I824" s="6"/>
      <c r="J824" s="6"/>
      <c r="K824" s="6"/>
      <c r="L824" s="6"/>
      <c r="M824" s="6"/>
      <c r="N824" s="6"/>
      <c r="O824" s="6"/>
      <c r="P824" s="6"/>
      <c r="Q824" s="6"/>
      <c r="R824" s="6"/>
      <c r="S824" s="6"/>
      <c r="T824" s="6"/>
      <c r="U824" s="6"/>
      <c r="V824" s="6"/>
      <c r="W824" s="6"/>
    </row>
    <row r="825" spans="1:23" ht="16" x14ac:dyDescent="0.2">
      <c r="A825" s="6"/>
      <c r="B825" s="7"/>
      <c r="C825" s="7"/>
      <c r="D825" s="7"/>
      <c r="E825" s="7"/>
      <c r="F825" s="6"/>
      <c r="G825" s="6"/>
      <c r="H825" s="6"/>
      <c r="I825" s="6"/>
      <c r="J825" s="6"/>
      <c r="K825" s="6"/>
      <c r="L825" s="6"/>
      <c r="M825" s="6"/>
      <c r="N825" s="6"/>
      <c r="O825" s="6"/>
      <c r="P825" s="6"/>
      <c r="Q825" s="6"/>
      <c r="R825" s="6"/>
      <c r="S825" s="6"/>
      <c r="T825" s="6"/>
      <c r="U825" s="6"/>
      <c r="V825" s="6"/>
      <c r="W825" s="6"/>
    </row>
    <row r="826" spans="1:23" ht="16" x14ac:dyDescent="0.2">
      <c r="A826" s="6"/>
      <c r="B826" s="7"/>
      <c r="C826" s="7"/>
      <c r="D826" s="7"/>
      <c r="E826" s="7"/>
      <c r="F826" s="6"/>
      <c r="G826" s="6"/>
      <c r="H826" s="6"/>
      <c r="I826" s="6"/>
      <c r="J826" s="6"/>
      <c r="K826" s="6"/>
      <c r="L826" s="6"/>
      <c r="M826" s="6"/>
      <c r="N826" s="6"/>
      <c r="O826" s="6"/>
      <c r="P826" s="6"/>
      <c r="Q826" s="6"/>
      <c r="R826" s="6"/>
      <c r="S826" s="6"/>
      <c r="T826" s="6"/>
      <c r="U826" s="6"/>
      <c r="V826" s="6"/>
      <c r="W826" s="6"/>
    </row>
    <row r="827" spans="1:23" ht="16" x14ac:dyDescent="0.2">
      <c r="A827" s="6"/>
      <c r="B827" s="7"/>
      <c r="C827" s="7"/>
      <c r="D827" s="7"/>
      <c r="E827" s="7"/>
      <c r="F827" s="6"/>
      <c r="G827" s="6"/>
      <c r="H827" s="6"/>
      <c r="I827" s="6"/>
      <c r="J827" s="6"/>
      <c r="K827" s="6"/>
      <c r="L827" s="6"/>
      <c r="M827" s="6"/>
      <c r="N827" s="6"/>
      <c r="O827" s="6"/>
      <c r="P827" s="6"/>
      <c r="Q827" s="6"/>
      <c r="R827" s="6"/>
      <c r="S827" s="6"/>
      <c r="T827" s="6"/>
      <c r="U827" s="6"/>
      <c r="V827" s="6"/>
      <c r="W827" s="6"/>
    </row>
    <row r="828" spans="1:23" ht="16" x14ac:dyDescent="0.2">
      <c r="A828" s="6"/>
      <c r="B828" s="7"/>
      <c r="C828" s="7"/>
      <c r="D828" s="7"/>
      <c r="E828" s="7"/>
      <c r="F828" s="6"/>
      <c r="G828" s="6"/>
      <c r="H828" s="6"/>
      <c r="I828" s="6"/>
      <c r="J828" s="6"/>
      <c r="K828" s="6"/>
      <c r="L828" s="6"/>
      <c r="M828" s="6"/>
      <c r="N828" s="6"/>
      <c r="O828" s="6"/>
      <c r="P828" s="6"/>
      <c r="Q828" s="6"/>
      <c r="R828" s="6"/>
      <c r="S828" s="6"/>
      <c r="T828" s="6"/>
      <c r="U828" s="6"/>
      <c r="V828" s="6"/>
      <c r="W828" s="6"/>
    </row>
    <row r="829" spans="1:23" ht="16" x14ac:dyDescent="0.2">
      <c r="A829" s="6"/>
      <c r="B829" s="7"/>
      <c r="C829" s="7"/>
      <c r="D829" s="7"/>
      <c r="E829" s="7"/>
      <c r="F829" s="6"/>
      <c r="G829" s="6"/>
      <c r="H829" s="6"/>
      <c r="I829" s="6"/>
      <c r="J829" s="6"/>
      <c r="K829" s="6"/>
      <c r="L829" s="6"/>
      <c r="M829" s="6"/>
      <c r="N829" s="6"/>
      <c r="O829" s="6"/>
      <c r="P829" s="6"/>
      <c r="Q829" s="6"/>
      <c r="R829" s="6"/>
      <c r="S829" s="6"/>
      <c r="T829" s="6"/>
      <c r="U829" s="6"/>
      <c r="V829" s="6"/>
      <c r="W829" s="6"/>
    </row>
    <row r="830" spans="1:23" ht="16" x14ac:dyDescent="0.2">
      <c r="A830" s="6"/>
      <c r="B830" s="7"/>
      <c r="C830" s="7"/>
      <c r="D830" s="7"/>
      <c r="E830" s="7"/>
      <c r="F830" s="6"/>
      <c r="G830" s="6"/>
      <c r="H830" s="6"/>
      <c r="I830" s="6"/>
      <c r="J830" s="6"/>
      <c r="K830" s="6"/>
      <c r="L830" s="6"/>
      <c r="M830" s="6"/>
      <c r="N830" s="6"/>
      <c r="O830" s="6"/>
      <c r="P830" s="6"/>
      <c r="Q830" s="6"/>
      <c r="R830" s="6"/>
      <c r="S830" s="6"/>
      <c r="T830" s="6"/>
      <c r="U830" s="6"/>
      <c r="V830" s="6"/>
      <c r="W830" s="6"/>
    </row>
    <row r="831" spans="1:23" ht="16" x14ac:dyDescent="0.2">
      <c r="A831" s="6"/>
      <c r="B831" s="7"/>
      <c r="C831" s="7"/>
      <c r="D831" s="7"/>
      <c r="E831" s="7"/>
      <c r="F831" s="6"/>
      <c r="G831" s="6"/>
      <c r="H831" s="6"/>
      <c r="I831" s="6"/>
      <c r="J831" s="6"/>
      <c r="K831" s="6"/>
      <c r="L831" s="6"/>
      <c r="M831" s="6"/>
      <c r="N831" s="6"/>
      <c r="O831" s="6"/>
      <c r="P831" s="6"/>
      <c r="Q831" s="6"/>
      <c r="R831" s="6"/>
      <c r="S831" s="6"/>
      <c r="T831" s="6"/>
      <c r="U831" s="6"/>
      <c r="V831" s="6"/>
      <c r="W831" s="6"/>
    </row>
    <row r="832" spans="1:23" ht="16" x14ac:dyDescent="0.2">
      <c r="A832" s="6"/>
      <c r="B832" s="7"/>
      <c r="C832" s="7"/>
      <c r="D832" s="7"/>
      <c r="E832" s="7"/>
      <c r="F832" s="6"/>
      <c r="G832" s="6"/>
      <c r="H832" s="6"/>
      <c r="I832" s="6"/>
      <c r="J832" s="6"/>
      <c r="K832" s="6"/>
      <c r="L832" s="6"/>
      <c r="M832" s="6"/>
      <c r="N832" s="6"/>
      <c r="O832" s="6"/>
      <c r="P832" s="6"/>
      <c r="Q832" s="6"/>
      <c r="R832" s="6"/>
      <c r="S832" s="6"/>
      <c r="T832" s="6"/>
      <c r="U832" s="6"/>
      <c r="V832" s="6"/>
      <c r="W832" s="6"/>
    </row>
    <row r="833" spans="1:23" ht="16" x14ac:dyDescent="0.2">
      <c r="A833" s="6"/>
      <c r="B833" s="7"/>
      <c r="C833" s="7"/>
      <c r="D833" s="7"/>
      <c r="E833" s="7"/>
      <c r="F833" s="6"/>
      <c r="G833" s="6"/>
      <c r="H833" s="6"/>
      <c r="I833" s="6"/>
      <c r="J833" s="6"/>
      <c r="K833" s="6"/>
      <c r="L833" s="6"/>
      <c r="M833" s="6"/>
      <c r="N833" s="6"/>
      <c r="O833" s="6"/>
      <c r="P833" s="6"/>
      <c r="Q833" s="6"/>
      <c r="R833" s="6"/>
      <c r="S833" s="6"/>
      <c r="T833" s="6"/>
      <c r="U833" s="6"/>
      <c r="V833" s="6"/>
      <c r="W833" s="6"/>
    </row>
    <row r="834" spans="1:23" ht="16" x14ac:dyDescent="0.2">
      <c r="A834" s="6"/>
      <c r="B834" s="7"/>
      <c r="C834" s="7"/>
      <c r="D834" s="7"/>
      <c r="E834" s="7"/>
      <c r="F834" s="6"/>
      <c r="G834" s="6"/>
      <c r="H834" s="6"/>
      <c r="I834" s="6"/>
      <c r="J834" s="6"/>
      <c r="K834" s="6"/>
      <c r="L834" s="6"/>
      <c r="M834" s="6"/>
      <c r="N834" s="6"/>
      <c r="O834" s="6"/>
      <c r="P834" s="6"/>
      <c r="Q834" s="6"/>
      <c r="R834" s="6"/>
      <c r="S834" s="6"/>
      <c r="T834" s="6"/>
      <c r="U834" s="6"/>
      <c r="V834" s="6"/>
      <c r="W834" s="6"/>
    </row>
    <row r="835" spans="1:23" ht="16" x14ac:dyDescent="0.2">
      <c r="A835" s="6"/>
      <c r="B835" s="7"/>
      <c r="C835" s="7"/>
      <c r="D835" s="7"/>
      <c r="E835" s="7"/>
      <c r="F835" s="6"/>
      <c r="G835" s="6"/>
      <c r="H835" s="6"/>
      <c r="I835" s="6"/>
      <c r="J835" s="6"/>
      <c r="K835" s="6"/>
      <c r="L835" s="6"/>
      <c r="M835" s="6"/>
      <c r="N835" s="6"/>
      <c r="O835" s="6"/>
      <c r="P835" s="6"/>
      <c r="Q835" s="6"/>
      <c r="R835" s="6"/>
      <c r="S835" s="6"/>
      <c r="T835" s="6"/>
      <c r="U835" s="6"/>
      <c r="V835" s="6"/>
      <c r="W835" s="6"/>
    </row>
    <row r="836" spans="1:23" ht="16" x14ac:dyDescent="0.2">
      <c r="A836" s="6"/>
      <c r="B836" s="7"/>
      <c r="C836" s="7"/>
      <c r="D836" s="7"/>
      <c r="E836" s="7"/>
      <c r="F836" s="6"/>
      <c r="G836" s="6"/>
      <c r="H836" s="6"/>
      <c r="I836" s="6"/>
      <c r="J836" s="6"/>
      <c r="K836" s="6"/>
      <c r="L836" s="6"/>
      <c r="M836" s="6"/>
      <c r="N836" s="6"/>
      <c r="O836" s="6"/>
      <c r="P836" s="6"/>
      <c r="Q836" s="6"/>
      <c r="R836" s="6"/>
      <c r="S836" s="6"/>
      <c r="T836" s="6"/>
      <c r="U836" s="6"/>
      <c r="V836" s="6"/>
      <c r="W836" s="6"/>
    </row>
    <row r="837" spans="1:23" ht="16" x14ac:dyDescent="0.2">
      <c r="A837" s="6"/>
      <c r="B837" s="7"/>
      <c r="C837" s="7"/>
      <c r="D837" s="7"/>
      <c r="E837" s="7"/>
      <c r="F837" s="6"/>
      <c r="G837" s="6"/>
      <c r="H837" s="6"/>
      <c r="I837" s="6"/>
      <c r="J837" s="6"/>
      <c r="K837" s="6"/>
      <c r="L837" s="6"/>
      <c r="M837" s="6"/>
      <c r="N837" s="6"/>
      <c r="O837" s="6"/>
      <c r="P837" s="6"/>
      <c r="Q837" s="6"/>
      <c r="R837" s="6"/>
      <c r="S837" s="6"/>
      <c r="T837" s="6"/>
      <c r="U837" s="6"/>
      <c r="V837" s="6"/>
      <c r="W837" s="6"/>
    </row>
    <row r="838" spans="1:23" ht="16" x14ac:dyDescent="0.2">
      <c r="A838" s="6"/>
      <c r="B838" s="7"/>
      <c r="C838" s="7"/>
      <c r="D838" s="7"/>
      <c r="E838" s="7"/>
      <c r="F838" s="6"/>
      <c r="G838" s="6"/>
      <c r="H838" s="6"/>
      <c r="I838" s="6"/>
      <c r="J838" s="6"/>
      <c r="K838" s="6"/>
      <c r="L838" s="6"/>
      <c r="M838" s="6"/>
      <c r="N838" s="6"/>
      <c r="O838" s="6"/>
      <c r="P838" s="6"/>
      <c r="Q838" s="6"/>
      <c r="R838" s="6"/>
      <c r="S838" s="6"/>
      <c r="T838" s="6"/>
      <c r="U838" s="6"/>
      <c r="V838" s="6"/>
      <c r="W838" s="6"/>
    </row>
    <row r="839" spans="1:23" ht="16" x14ac:dyDescent="0.2">
      <c r="A839" s="6"/>
      <c r="B839" s="7"/>
      <c r="C839" s="7"/>
      <c r="D839" s="7"/>
      <c r="E839" s="7"/>
      <c r="F839" s="6"/>
      <c r="G839" s="6"/>
      <c r="H839" s="6"/>
      <c r="I839" s="6"/>
      <c r="J839" s="6"/>
      <c r="K839" s="6"/>
      <c r="L839" s="6"/>
      <c r="M839" s="6"/>
      <c r="N839" s="6"/>
      <c r="O839" s="6"/>
      <c r="P839" s="6"/>
      <c r="Q839" s="6"/>
      <c r="R839" s="6"/>
      <c r="S839" s="6"/>
      <c r="T839" s="6"/>
      <c r="U839" s="6"/>
      <c r="V839" s="6"/>
      <c r="W839" s="6"/>
    </row>
    <row r="840" spans="1:23" ht="16" x14ac:dyDescent="0.2">
      <c r="A840" s="6"/>
      <c r="B840" s="7"/>
      <c r="C840" s="7"/>
      <c r="D840" s="7"/>
      <c r="E840" s="7"/>
      <c r="F840" s="6"/>
      <c r="G840" s="6"/>
      <c r="H840" s="6"/>
      <c r="I840" s="6"/>
      <c r="J840" s="6"/>
      <c r="K840" s="6"/>
      <c r="L840" s="6"/>
      <c r="M840" s="6"/>
      <c r="N840" s="6"/>
      <c r="O840" s="6"/>
      <c r="P840" s="6"/>
      <c r="Q840" s="6"/>
      <c r="R840" s="6"/>
      <c r="S840" s="6"/>
      <c r="T840" s="6"/>
      <c r="U840" s="6"/>
      <c r="V840" s="6"/>
      <c r="W840" s="6"/>
    </row>
    <row r="841" spans="1:23" ht="16" x14ac:dyDescent="0.2">
      <c r="A841" s="6"/>
      <c r="B841" s="7"/>
      <c r="C841" s="7"/>
      <c r="D841" s="7"/>
      <c r="E841" s="7"/>
      <c r="F841" s="6"/>
      <c r="G841" s="6"/>
      <c r="H841" s="6"/>
      <c r="I841" s="6"/>
      <c r="J841" s="6"/>
      <c r="K841" s="6"/>
      <c r="L841" s="6"/>
      <c r="M841" s="6"/>
      <c r="N841" s="6"/>
      <c r="O841" s="6"/>
      <c r="P841" s="6"/>
      <c r="Q841" s="6"/>
      <c r="R841" s="6"/>
      <c r="S841" s="6"/>
      <c r="T841" s="6"/>
      <c r="U841" s="6"/>
      <c r="V841" s="6"/>
      <c r="W841" s="6"/>
    </row>
    <row r="842" spans="1:23" ht="16" x14ac:dyDescent="0.2">
      <c r="A842" s="6"/>
      <c r="B842" s="7"/>
      <c r="C842" s="7"/>
      <c r="D842" s="7"/>
      <c r="E842" s="7"/>
      <c r="F842" s="6"/>
      <c r="G842" s="6"/>
      <c r="H842" s="6"/>
      <c r="I842" s="6"/>
      <c r="J842" s="6"/>
      <c r="K842" s="6"/>
      <c r="L842" s="6"/>
      <c r="M842" s="6"/>
      <c r="N842" s="6"/>
      <c r="O842" s="6"/>
      <c r="P842" s="6"/>
      <c r="Q842" s="6"/>
      <c r="R842" s="6"/>
      <c r="S842" s="6"/>
      <c r="T842" s="6"/>
      <c r="U842" s="6"/>
      <c r="V842" s="6"/>
      <c r="W842" s="6"/>
    </row>
    <row r="843" spans="1:23" ht="16" x14ac:dyDescent="0.2">
      <c r="A843" s="6"/>
      <c r="B843" s="7"/>
      <c r="C843" s="7"/>
      <c r="D843" s="7"/>
      <c r="E843" s="7"/>
      <c r="F843" s="6"/>
      <c r="G843" s="6"/>
      <c r="H843" s="6"/>
      <c r="I843" s="6"/>
      <c r="J843" s="6"/>
      <c r="K843" s="6"/>
      <c r="L843" s="6"/>
      <c r="M843" s="6"/>
      <c r="N843" s="6"/>
      <c r="O843" s="6"/>
      <c r="P843" s="6"/>
      <c r="Q843" s="6"/>
      <c r="R843" s="6"/>
      <c r="S843" s="6"/>
      <c r="T843" s="6"/>
      <c r="U843" s="6"/>
      <c r="V843" s="6"/>
      <c r="W843" s="6"/>
    </row>
    <row r="844" spans="1:23" ht="16" x14ac:dyDescent="0.2">
      <c r="A844" s="6"/>
      <c r="B844" s="7"/>
      <c r="C844" s="7"/>
      <c r="D844" s="7"/>
      <c r="E844" s="7"/>
      <c r="F844" s="6"/>
      <c r="G844" s="6"/>
      <c r="H844" s="6"/>
      <c r="I844" s="6"/>
      <c r="J844" s="6"/>
      <c r="K844" s="6"/>
      <c r="L844" s="6"/>
      <c r="M844" s="6"/>
      <c r="N844" s="6"/>
      <c r="O844" s="6"/>
      <c r="P844" s="6"/>
      <c r="Q844" s="6"/>
      <c r="R844" s="6"/>
      <c r="S844" s="6"/>
      <c r="T844" s="6"/>
      <c r="U844" s="6"/>
      <c r="V844" s="6"/>
      <c r="W844" s="6"/>
    </row>
    <row r="845" spans="1:23" ht="16" x14ac:dyDescent="0.2">
      <c r="A845" s="6"/>
      <c r="B845" s="7"/>
      <c r="C845" s="7"/>
      <c r="D845" s="7"/>
      <c r="E845" s="7"/>
      <c r="F845" s="6"/>
      <c r="G845" s="6"/>
      <c r="H845" s="6"/>
      <c r="I845" s="6"/>
      <c r="J845" s="6"/>
      <c r="K845" s="6"/>
      <c r="L845" s="6"/>
      <c r="M845" s="6"/>
      <c r="N845" s="6"/>
      <c r="O845" s="6"/>
      <c r="P845" s="6"/>
      <c r="Q845" s="6"/>
      <c r="R845" s="6"/>
      <c r="S845" s="6"/>
      <c r="T845" s="6"/>
      <c r="U845" s="6"/>
      <c r="V845" s="6"/>
      <c r="W845" s="6"/>
    </row>
    <row r="846" spans="1:23" ht="16" x14ac:dyDescent="0.2">
      <c r="A846" s="6"/>
      <c r="B846" s="7"/>
      <c r="C846" s="7"/>
      <c r="D846" s="7"/>
      <c r="E846" s="7"/>
      <c r="F846" s="6"/>
      <c r="G846" s="6"/>
      <c r="H846" s="6"/>
      <c r="I846" s="6"/>
      <c r="J846" s="6"/>
      <c r="K846" s="6"/>
      <c r="L846" s="6"/>
      <c r="M846" s="6"/>
      <c r="N846" s="6"/>
      <c r="O846" s="6"/>
      <c r="P846" s="6"/>
      <c r="Q846" s="6"/>
      <c r="R846" s="6"/>
      <c r="S846" s="6"/>
      <c r="T846" s="6"/>
      <c r="U846" s="6"/>
      <c r="V846" s="6"/>
      <c r="W846" s="6"/>
    </row>
    <row r="847" spans="1:23" ht="16" x14ac:dyDescent="0.2">
      <c r="A847" s="6"/>
      <c r="B847" s="7"/>
      <c r="C847" s="7"/>
      <c r="D847" s="7"/>
      <c r="E847" s="7"/>
      <c r="F847" s="6"/>
      <c r="G847" s="6"/>
      <c r="H847" s="6"/>
      <c r="I847" s="6"/>
      <c r="J847" s="6"/>
      <c r="K847" s="6"/>
      <c r="L847" s="6"/>
      <c r="M847" s="6"/>
      <c r="N847" s="6"/>
      <c r="O847" s="6"/>
      <c r="P847" s="6"/>
      <c r="Q847" s="6"/>
      <c r="R847" s="6"/>
      <c r="S847" s="6"/>
      <c r="T847" s="6"/>
      <c r="U847" s="6"/>
      <c r="V847" s="6"/>
      <c r="W847" s="6"/>
    </row>
    <row r="848" spans="1:23" ht="16" x14ac:dyDescent="0.2">
      <c r="A848" s="6"/>
      <c r="B848" s="7"/>
      <c r="C848" s="7"/>
      <c r="D848" s="7"/>
      <c r="E848" s="7"/>
      <c r="F848" s="6"/>
      <c r="G848" s="6"/>
      <c r="H848" s="6"/>
      <c r="I848" s="6"/>
      <c r="J848" s="6"/>
      <c r="K848" s="6"/>
      <c r="L848" s="6"/>
      <c r="M848" s="6"/>
      <c r="N848" s="6"/>
      <c r="O848" s="6"/>
      <c r="P848" s="6"/>
      <c r="Q848" s="6"/>
      <c r="R848" s="6"/>
      <c r="S848" s="6"/>
      <c r="T848" s="6"/>
      <c r="U848" s="6"/>
      <c r="V848" s="6"/>
      <c r="W848" s="6"/>
    </row>
    <row r="849" spans="1:23" ht="16" x14ac:dyDescent="0.2">
      <c r="A849" s="6"/>
      <c r="B849" s="7"/>
      <c r="C849" s="7"/>
      <c r="D849" s="7"/>
      <c r="E849" s="7"/>
      <c r="F849" s="6"/>
      <c r="G849" s="6"/>
      <c r="H849" s="6"/>
      <c r="I849" s="6"/>
      <c r="J849" s="6"/>
      <c r="K849" s="6"/>
      <c r="L849" s="6"/>
      <c r="M849" s="6"/>
      <c r="N849" s="6"/>
      <c r="O849" s="6"/>
      <c r="P849" s="6"/>
      <c r="Q849" s="6"/>
      <c r="R849" s="6"/>
      <c r="S849" s="6"/>
      <c r="T849" s="6"/>
      <c r="U849" s="6"/>
      <c r="V849" s="6"/>
      <c r="W849" s="6"/>
    </row>
    <row r="850" spans="1:23" ht="16" x14ac:dyDescent="0.2">
      <c r="A850" s="6"/>
      <c r="B850" s="7"/>
      <c r="C850" s="7"/>
      <c r="D850" s="7"/>
      <c r="E850" s="7"/>
      <c r="F850" s="6"/>
      <c r="G850" s="6"/>
      <c r="H850" s="6"/>
      <c r="I850" s="6"/>
      <c r="J850" s="6"/>
      <c r="K850" s="6"/>
      <c r="L850" s="6"/>
      <c r="M850" s="6"/>
      <c r="N850" s="6"/>
      <c r="O850" s="6"/>
      <c r="P850" s="6"/>
      <c r="Q850" s="6"/>
      <c r="R850" s="6"/>
      <c r="S850" s="6"/>
      <c r="T850" s="6"/>
      <c r="U850" s="6"/>
      <c r="V850" s="6"/>
      <c r="W850" s="6"/>
    </row>
    <row r="851" spans="1:23" ht="16" x14ac:dyDescent="0.2">
      <c r="A851" s="6"/>
      <c r="B851" s="7"/>
      <c r="C851" s="7"/>
      <c r="D851" s="7"/>
      <c r="E851" s="7"/>
      <c r="F851" s="6"/>
      <c r="G851" s="6"/>
      <c r="H851" s="6"/>
      <c r="I851" s="6"/>
      <c r="J851" s="6"/>
      <c r="K851" s="6"/>
      <c r="L851" s="6"/>
      <c r="M851" s="6"/>
      <c r="N851" s="6"/>
      <c r="O851" s="6"/>
      <c r="P851" s="6"/>
      <c r="Q851" s="6"/>
      <c r="R851" s="6"/>
      <c r="S851" s="6"/>
      <c r="T851" s="6"/>
      <c r="U851" s="6"/>
      <c r="V851" s="6"/>
      <c r="W851" s="6"/>
    </row>
    <row r="852" spans="1:23" ht="16" x14ac:dyDescent="0.2">
      <c r="A852" s="6"/>
      <c r="B852" s="7"/>
      <c r="C852" s="7"/>
      <c r="D852" s="7"/>
      <c r="E852" s="7"/>
      <c r="F852" s="6"/>
      <c r="G852" s="6"/>
      <c r="H852" s="6"/>
      <c r="I852" s="6"/>
      <c r="J852" s="6"/>
      <c r="K852" s="6"/>
      <c r="L852" s="6"/>
      <c r="M852" s="6"/>
      <c r="N852" s="6"/>
      <c r="O852" s="6"/>
      <c r="P852" s="6"/>
      <c r="Q852" s="6"/>
      <c r="R852" s="6"/>
      <c r="S852" s="6"/>
      <c r="T852" s="6"/>
      <c r="U852" s="6"/>
      <c r="V852" s="6"/>
      <c r="W852" s="6"/>
    </row>
    <row r="853" spans="1:23" ht="16" x14ac:dyDescent="0.2">
      <c r="A853" s="6"/>
      <c r="B853" s="7"/>
      <c r="C853" s="7"/>
      <c r="D853" s="7"/>
      <c r="E853" s="7"/>
      <c r="F853" s="6"/>
      <c r="G853" s="6"/>
      <c r="H853" s="6"/>
      <c r="I853" s="6"/>
      <c r="J853" s="6"/>
      <c r="K853" s="6"/>
      <c r="L853" s="6"/>
      <c r="M853" s="6"/>
      <c r="N853" s="6"/>
      <c r="O853" s="6"/>
      <c r="P853" s="6"/>
      <c r="Q853" s="6"/>
      <c r="R853" s="6"/>
      <c r="S853" s="6"/>
      <c r="T853" s="6"/>
      <c r="U853" s="6"/>
      <c r="V853" s="6"/>
      <c r="W853" s="6"/>
    </row>
    <row r="854" spans="1:23" ht="16" x14ac:dyDescent="0.2">
      <c r="A854" s="6"/>
      <c r="B854" s="7"/>
      <c r="C854" s="7"/>
      <c r="D854" s="7"/>
      <c r="E854" s="7"/>
      <c r="F854" s="6"/>
      <c r="G854" s="6"/>
      <c r="H854" s="6"/>
      <c r="I854" s="6"/>
      <c r="J854" s="6"/>
      <c r="K854" s="6"/>
      <c r="L854" s="6"/>
      <c r="M854" s="6"/>
      <c r="N854" s="6"/>
      <c r="O854" s="6"/>
      <c r="P854" s="6"/>
      <c r="Q854" s="6"/>
      <c r="R854" s="6"/>
      <c r="S854" s="6"/>
      <c r="T854" s="6"/>
      <c r="U854" s="6"/>
      <c r="V854" s="6"/>
      <c r="W854" s="6"/>
    </row>
    <row r="855" spans="1:23" ht="16" x14ac:dyDescent="0.2">
      <c r="A855" s="6"/>
      <c r="B855" s="7"/>
      <c r="C855" s="7"/>
      <c r="D855" s="7"/>
      <c r="E855" s="7"/>
      <c r="F855" s="6"/>
      <c r="G855" s="6"/>
      <c r="H855" s="6"/>
      <c r="I855" s="6"/>
      <c r="J855" s="6"/>
      <c r="K855" s="6"/>
      <c r="L855" s="6"/>
      <c r="M855" s="6"/>
      <c r="N855" s="6"/>
      <c r="O855" s="6"/>
      <c r="P855" s="6"/>
      <c r="Q855" s="6"/>
      <c r="R855" s="6"/>
      <c r="S855" s="6"/>
      <c r="T855" s="6"/>
      <c r="U855" s="6"/>
      <c r="V855" s="6"/>
      <c r="W855" s="6"/>
    </row>
    <row r="856" spans="1:23" ht="16" x14ac:dyDescent="0.2">
      <c r="A856" s="6"/>
      <c r="B856" s="7"/>
      <c r="C856" s="7"/>
      <c r="D856" s="7"/>
      <c r="E856" s="7"/>
      <c r="F856" s="6"/>
      <c r="G856" s="6"/>
      <c r="H856" s="6"/>
      <c r="I856" s="6"/>
      <c r="J856" s="6"/>
      <c r="K856" s="6"/>
      <c r="L856" s="6"/>
      <c r="M856" s="6"/>
      <c r="N856" s="6"/>
      <c r="O856" s="6"/>
      <c r="P856" s="6"/>
      <c r="Q856" s="6"/>
      <c r="R856" s="6"/>
      <c r="S856" s="6"/>
      <c r="T856" s="6"/>
      <c r="U856" s="6"/>
      <c r="V856" s="6"/>
      <c r="W856" s="6"/>
    </row>
    <row r="857" spans="1:23" ht="16" x14ac:dyDescent="0.2">
      <c r="A857" s="6"/>
      <c r="B857" s="7"/>
      <c r="C857" s="7"/>
      <c r="D857" s="7"/>
      <c r="E857" s="7"/>
      <c r="F857" s="6"/>
      <c r="G857" s="6"/>
      <c r="H857" s="6"/>
      <c r="I857" s="6"/>
      <c r="J857" s="6"/>
      <c r="K857" s="6"/>
      <c r="L857" s="6"/>
      <c r="M857" s="6"/>
      <c r="N857" s="6"/>
      <c r="O857" s="6"/>
      <c r="P857" s="6"/>
      <c r="Q857" s="6"/>
      <c r="R857" s="6"/>
      <c r="S857" s="6"/>
      <c r="T857" s="6"/>
      <c r="U857" s="6"/>
      <c r="V857" s="6"/>
      <c r="W857" s="6"/>
    </row>
    <row r="858" spans="1:23" ht="16" x14ac:dyDescent="0.2">
      <c r="A858" s="6"/>
      <c r="B858" s="7"/>
      <c r="C858" s="7"/>
      <c r="D858" s="7"/>
      <c r="E858" s="7"/>
      <c r="F858" s="6"/>
      <c r="G858" s="6"/>
      <c r="H858" s="6"/>
      <c r="I858" s="6"/>
      <c r="J858" s="6"/>
      <c r="K858" s="6"/>
      <c r="L858" s="6"/>
      <c r="M858" s="6"/>
      <c r="N858" s="6"/>
      <c r="O858" s="6"/>
      <c r="P858" s="6"/>
      <c r="Q858" s="6"/>
      <c r="R858" s="6"/>
      <c r="S858" s="6"/>
      <c r="T858" s="6"/>
      <c r="U858" s="6"/>
      <c r="V858" s="6"/>
      <c r="W858" s="6"/>
    </row>
    <row r="859" spans="1:23" ht="16" x14ac:dyDescent="0.2">
      <c r="A859" s="6"/>
      <c r="B859" s="7"/>
      <c r="C859" s="7"/>
      <c r="D859" s="7"/>
      <c r="E859" s="7"/>
      <c r="F859" s="6"/>
      <c r="G859" s="6"/>
      <c r="H859" s="6"/>
      <c r="I859" s="6"/>
      <c r="J859" s="6"/>
      <c r="K859" s="6"/>
      <c r="L859" s="6"/>
      <c r="M859" s="6"/>
      <c r="N859" s="6"/>
      <c r="O859" s="6"/>
      <c r="P859" s="6"/>
      <c r="Q859" s="6"/>
      <c r="R859" s="6"/>
      <c r="S859" s="6"/>
      <c r="T859" s="6"/>
      <c r="U859" s="6"/>
      <c r="V859" s="6"/>
      <c r="W859" s="6"/>
    </row>
    <row r="860" spans="1:23" ht="16" x14ac:dyDescent="0.2">
      <c r="A860" s="6"/>
      <c r="B860" s="7"/>
      <c r="C860" s="7"/>
      <c r="D860" s="7"/>
      <c r="E860" s="7"/>
      <c r="F860" s="6"/>
      <c r="G860" s="6"/>
      <c r="H860" s="6"/>
      <c r="I860" s="6"/>
      <c r="J860" s="6"/>
      <c r="K860" s="6"/>
      <c r="L860" s="6"/>
      <c r="M860" s="6"/>
      <c r="N860" s="6"/>
      <c r="O860" s="6"/>
      <c r="P860" s="6"/>
      <c r="Q860" s="6"/>
      <c r="R860" s="6"/>
      <c r="S860" s="6"/>
      <c r="T860" s="6"/>
      <c r="U860" s="6"/>
      <c r="V860" s="6"/>
      <c r="W860" s="6"/>
    </row>
    <row r="861" spans="1:23" ht="16" x14ac:dyDescent="0.2">
      <c r="A861" s="6"/>
      <c r="B861" s="7"/>
      <c r="C861" s="7"/>
      <c r="D861" s="7"/>
      <c r="E861" s="7"/>
      <c r="F861" s="6"/>
      <c r="G861" s="6"/>
      <c r="H861" s="6"/>
      <c r="I861" s="6"/>
      <c r="J861" s="6"/>
      <c r="K861" s="6"/>
      <c r="L861" s="6"/>
      <c r="M861" s="6"/>
      <c r="N861" s="6"/>
      <c r="O861" s="6"/>
      <c r="P861" s="6"/>
      <c r="Q861" s="6"/>
      <c r="R861" s="6"/>
      <c r="S861" s="6"/>
      <c r="T861" s="6"/>
      <c r="U861" s="6"/>
      <c r="V861" s="6"/>
      <c r="W861" s="6"/>
    </row>
    <row r="862" spans="1:23" ht="16" x14ac:dyDescent="0.2">
      <c r="A862" s="6"/>
      <c r="B862" s="7"/>
      <c r="C862" s="7"/>
      <c r="D862" s="7"/>
      <c r="E862" s="7"/>
      <c r="F862" s="6"/>
      <c r="G862" s="6"/>
      <c r="H862" s="6"/>
      <c r="I862" s="6"/>
      <c r="J862" s="6"/>
      <c r="K862" s="6"/>
      <c r="L862" s="6"/>
      <c r="M862" s="6"/>
      <c r="N862" s="6"/>
      <c r="O862" s="6"/>
      <c r="P862" s="6"/>
      <c r="Q862" s="6"/>
      <c r="R862" s="6"/>
      <c r="S862" s="6"/>
      <c r="T862" s="6"/>
      <c r="U862" s="6"/>
      <c r="V862" s="6"/>
      <c r="W862" s="6"/>
    </row>
    <row r="863" spans="1:23" ht="16" x14ac:dyDescent="0.2">
      <c r="A863" s="6"/>
      <c r="B863" s="7"/>
      <c r="C863" s="7"/>
      <c r="D863" s="7"/>
      <c r="E863" s="7"/>
      <c r="F863" s="6"/>
      <c r="G863" s="6"/>
      <c r="H863" s="6"/>
      <c r="I863" s="6"/>
      <c r="J863" s="6"/>
      <c r="K863" s="6"/>
      <c r="L863" s="6"/>
      <c r="M863" s="6"/>
      <c r="N863" s="6"/>
      <c r="O863" s="6"/>
      <c r="P863" s="6"/>
      <c r="Q863" s="6"/>
      <c r="R863" s="6"/>
      <c r="S863" s="6"/>
      <c r="T863" s="6"/>
      <c r="U863" s="6"/>
      <c r="V863" s="6"/>
      <c r="W863" s="6"/>
    </row>
    <row r="864" spans="1:23" ht="16" x14ac:dyDescent="0.2">
      <c r="A864" s="6"/>
      <c r="B864" s="7"/>
      <c r="C864" s="7"/>
      <c r="D864" s="7"/>
      <c r="E864" s="7"/>
      <c r="F864" s="6"/>
      <c r="G864" s="6"/>
      <c r="H864" s="6"/>
      <c r="I864" s="6"/>
      <c r="J864" s="6"/>
      <c r="K864" s="6"/>
      <c r="L864" s="6"/>
      <c r="M864" s="6"/>
      <c r="N864" s="6"/>
      <c r="O864" s="6"/>
      <c r="P864" s="6"/>
      <c r="Q864" s="6"/>
      <c r="R864" s="6"/>
      <c r="S864" s="6"/>
      <c r="T864" s="6"/>
      <c r="U864" s="6"/>
      <c r="V864" s="6"/>
      <c r="W864" s="6"/>
    </row>
    <row r="865" spans="1:23" ht="16" x14ac:dyDescent="0.2">
      <c r="A865" s="6"/>
      <c r="B865" s="7"/>
      <c r="C865" s="7"/>
      <c r="D865" s="7"/>
      <c r="E865" s="7"/>
      <c r="F865" s="6"/>
      <c r="G865" s="6"/>
      <c r="H865" s="6"/>
      <c r="I865" s="6"/>
      <c r="J865" s="6"/>
      <c r="K865" s="6"/>
      <c r="L865" s="6"/>
      <c r="M865" s="6"/>
      <c r="N865" s="6"/>
      <c r="O865" s="6"/>
      <c r="P865" s="6"/>
      <c r="Q865" s="6"/>
      <c r="R865" s="6"/>
      <c r="S865" s="6"/>
      <c r="T865" s="6"/>
      <c r="U865" s="6"/>
      <c r="V865" s="6"/>
      <c r="W865" s="6"/>
    </row>
    <row r="866" spans="1:23" ht="16" x14ac:dyDescent="0.2">
      <c r="A866" s="6"/>
      <c r="B866" s="7"/>
      <c r="C866" s="7"/>
      <c r="D866" s="7"/>
      <c r="E866" s="7"/>
      <c r="F866" s="6"/>
      <c r="G866" s="6"/>
      <c r="H866" s="6"/>
      <c r="I866" s="6"/>
      <c r="J866" s="6"/>
      <c r="K866" s="6"/>
      <c r="L866" s="6"/>
      <c r="M866" s="6"/>
      <c r="N866" s="6"/>
      <c r="O866" s="6"/>
      <c r="P866" s="6"/>
      <c r="Q866" s="6"/>
      <c r="R866" s="6"/>
      <c r="S866" s="6"/>
      <c r="T866" s="6"/>
      <c r="U866" s="6"/>
      <c r="V866" s="6"/>
      <c r="W866" s="6"/>
    </row>
    <row r="867" spans="1:23" ht="16" x14ac:dyDescent="0.2">
      <c r="A867" s="6"/>
      <c r="B867" s="7"/>
      <c r="C867" s="7"/>
      <c r="D867" s="7"/>
      <c r="E867" s="7"/>
      <c r="F867" s="6"/>
      <c r="G867" s="6"/>
      <c r="H867" s="6"/>
      <c r="I867" s="6"/>
      <c r="J867" s="6"/>
      <c r="K867" s="6"/>
      <c r="L867" s="6"/>
      <c r="M867" s="6"/>
      <c r="N867" s="6"/>
      <c r="O867" s="6"/>
      <c r="P867" s="6"/>
      <c r="Q867" s="6"/>
      <c r="R867" s="6"/>
      <c r="S867" s="6"/>
      <c r="T867" s="6"/>
      <c r="U867" s="6"/>
      <c r="V867" s="6"/>
      <c r="W867" s="6"/>
    </row>
    <row r="868" spans="1:23" ht="16" x14ac:dyDescent="0.2">
      <c r="A868" s="6"/>
      <c r="B868" s="7"/>
      <c r="C868" s="7"/>
      <c r="D868" s="7"/>
      <c r="E868" s="7"/>
      <c r="F868" s="6"/>
      <c r="G868" s="6"/>
      <c r="H868" s="6"/>
      <c r="I868" s="6"/>
      <c r="J868" s="6"/>
      <c r="K868" s="6"/>
      <c r="L868" s="6"/>
      <c r="M868" s="6"/>
      <c r="N868" s="6"/>
      <c r="O868" s="6"/>
      <c r="P868" s="6"/>
      <c r="Q868" s="6"/>
      <c r="R868" s="6"/>
      <c r="S868" s="6"/>
      <c r="T868" s="6"/>
      <c r="U868" s="6"/>
      <c r="V868" s="6"/>
      <c r="W868" s="6"/>
    </row>
    <row r="869" spans="1:23" ht="16" x14ac:dyDescent="0.2">
      <c r="A869" s="6"/>
      <c r="B869" s="7"/>
      <c r="C869" s="7"/>
      <c r="D869" s="7"/>
      <c r="E869" s="7"/>
      <c r="F869" s="6"/>
      <c r="G869" s="6"/>
      <c r="H869" s="6"/>
      <c r="I869" s="6"/>
      <c r="J869" s="6"/>
      <c r="K869" s="6"/>
      <c r="L869" s="6"/>
      <c r="M869" s="6"/>
      <c r="N869" s="6"/>
      <c r="O869" s="6"/>
      <c r="P869" s="6"/>
      <c r="Q869" s="6"/>
      <c r="R869" s="6"/>
      <c r="S869" s="6"/>
      <c r="T869" s="6"/>
      <c r="U869" s="6"/>
      <c r="V869" s="6"/>
      <c r="W869" s="6"/>
    </row>
    <row r="870" spans="1:23" ht="16" x14ac:dyDescent="0.2">
      <c r="A870" s="6"/>
      <c r="B870" s="7"/>
      <c r="C870" s="7"/>
      <c r="D870" s="7"/>
      <c r="E870" s="7"/>
      <c r="F870" s="6"/>
      <c r="G870" s="6"/>
      <c r="H870" s="6"/>
      <c r="I870" s="6"/>
      <c r="J870" s="6"/>
      <c r="K870" s="6"/>
      <c r="L870" s="6"/>
      <c r="M870" s="6"/>
      <c r="N870" s="6"/>
      <c r="O870" s="6"/>
      <c r="P870" s="6"/>
      <c r="Q870" s="6"/>
      <c r="R870" s="6"/>
      <c r="S870" s="6"/>
      <c r="T870" s="6"/>
      <c r="U870" s="6"/>
      <c r="V870" s="6"/>
      <c r="W870" s="6"/>
    </row>
    <row r="871" spans="1:23" ht="16" x14ac:dyDescent="0.2">
      <c r="A871" s="6"/>
      <c r="B871" s="7"/>
      <c r="C871" s="7"/>
      <c r="D871" s="7"/>
      <c r="E871" s="7"/>
      <c r="F871" s="6"/>
      <c r="G871" s="6"/>
      <c r="H871" s="6"/>
      <c r="I871" s="6"/>
      <c r="J871" s="6"/>
      <c r="K871" s="6"/>
      <c r="L871" s="6"/>
      <c r="M871" s="6"/>
      <c r="N871" s="6"/>
      <c r="O871" s="6"/>
      <c r="P871" s="6"/>
      <c r="Q871" s="6"/>
      <c r="R871" s="6"/>
      <c r="S871" s="6"/>
      <c r="T871" s="6"/>
      <c r="U871" s="6"/>
      <c r="V871" s="6"/>
      <c r="W871" s="6"/>
    </row>
    <row r="872" spans="1:23" ht="16" x14ac:dyDescent="0.2">
      <c r="A872" s="6"/>
      <c r="B872" s="7"/>
      <c r="C872" s="7"/>
      <c r="D872" s="7"/>
      <c r="E872" s="7"/>
      <c r="F872" s="6"/>
      <c r="G872" s="6"/>
      <c r="H872" s="6"/>
      <c r="I872" s="6"/>
      <c r="J872" s="6"/>
      <c r="K872" s="6"/>
      <c r="L872" s="6"/>
      <c r="M872" s="6"/>
      <c r="N872" s="6"/>
      <c r="O872" s="6"/>
      <c r="P872" s="6"/>
      <c r="Q872" s="6"/>
      <c r="R872" s="6"/>
      <c r="S872" s="6"/>
      <c r="T872" s="6"/>
      <c r="U872" s="6"/>
      <c r="V872" s="6"/>
      <c r="W872" s="6"/>
    </row>
    <row r="873" spans="1:23" ht="16" x14ac:dyDescent="0.2">
      <c r="A873" s="6"/>
      <c r="B873" s="7"/>
      <c r="C873" s="7"/>
      <c r="D873" s="7"/>
      <c r="E873" s="7"/>
      <c r="F873" s="6"/>
      <c r="G873" s="6"/>
      <c r="H873" s="6"/>
      <c r="I873" s="6"/>
      <c r="J873" s="6"/>
      <c r="K873" s="6"/>
      <c r="L873" s="6"/>
      <c r="M873" s="6"/>
      <c r="N873" s="6"/>
      <c r="O873" s="6"/>
      <c r="P873" s="6"/>
      <c r="Q873" s="6"/>
      <c r="R873" s="6"/>
      <c r="S873" s="6"/>
      <c r="T873" s="6"/>
      <c r="U873" s="6"/>
      <c r="V873" s="6"/>
      <c r="W873" s="6"/>
    </row>
    <row r="874" spans="1:23" ht="16" x14ac:dyDescent="0.2">
      <c r="A874" s="6"/>
      <c r="B874" s="7"/>
      <c r="C874" s="7"/>
      <c r="D874" s="7"/>
      <c r="E874" s="7"/>
      <c r="F874" s="6"/>
      <c r="G874" s="6"/>
      <c r="H874" s="6"/>
      <c r="I874" s="6"/>
      <c r="J874" s="6"/>
      <c r="K874" s="6"/>
      <c r="L874" s="6"/>
      <c r="M874" s="6"/>
      <c r="N874" s="6"/>
      <c r="O874" s="6"/>
      <c r="P874" s="6"/>
      <c r="Q874" s="6"/>
      <c r="R874" s="6"/>
      <c r="S874" s="6"/>
      <c r="T874" s="6"/>
      <c r="U874" s="6"/>
      <c r="V874" s="6"/>
      <c r="W874" s="6"/>
    </row>
    <row r="875" spans="1:23" ht="16" x14ac:dyDescent="0.2">
      <c r="A875" s="6"/>
      <c r="B875" s="7"/>
      <c r="C875" s="7"/>
      <c r="D875" s="7"/>
      <c r="E875" s="7"/>
      <c r="F875" s="6"/>
      <c r="G875" s="6"/>
      <c r="H875" s="6"/>
      <c r="I875" s="6"/>
      <c r="J875" s="6"/>
      <c r="K875" s="6"/>
      <c r="L875" s="6"/>
      <c r="M875" s="6"/>
      <c r="N875" s="6"/>
      <c r="O875" s="6"/>
      <c r="P875" s="6"/>
      <c r="Q875" s="6"/>
      <c r="R875" s="6"/>
      <c r="S875" s="6"/>
      <c r="T875" s="6"/>
      <c r="U875" s="6"/>
      <c r="V875" s="6"/>
      <c r="W875" s="6"/>
    </row>
    <row r="876" spans="1:23" ht="16" x14ac:dyDescent="0.2">
      <c r="A876" s="6"/>
      <c r="B876" s="7"/>
      <c r="C876" s="7"/>
      <c r="D876" s="7"/>
      <c r="E876" s="7"/>
      <c r="F876" s="6"/>
      <c r="G876" s="6"/>
      <c r="H876" s="6"/>
      <c r="I876" s="6"/>
      <c r="J876" s="6"/>
      <c r="K876" s="6"/>
      <c r="L876" s="6"/>
      <c r="M876" s="6"/>
      <c r="N876" s="6"/>
      <c r="O876" s="6"/>
      <c r="P876" s="6"/>
      <c r="Q876" s="6"/>
      <c r="R876" s="6"/>
      <c r="S876" s="6"/>
      <c r="T876" s="6"/>
      <c r="U876" s="6"/>
      <c r="V876" s="6"/>
      <c r="W876" s="6"/>
    </row>
    <row r="877" spans="1:23" ht="16" x14ac:dyDescent="0.2">
      <c r="A877" s="6"/>
      <c r="B877" s="7"/>
      <c r="C877" s="7"/>
      <c r="D877" s="7"/>
      <c r="E877" s="7"/>
      <c r="F877" s="6"/>
      <c r="G877" s="6"/>
      <c r="H877" s="6"/>
      <c r="I877" s="6"/>
      <c r="J877" s="6"/>
      <c r="K877" s="6"/>
      <c r="L877" s="6"/>
      <c r="M877" s="6"/>
      <c r="N877" s="6"/>
      <c r="O877" s="6"/>
      <c r="P877" s="6"/>
      <c r="Q877" s="6"/>
      <c r="R877" s="6"/>
      <c r="S877" s="6"/>
      <c r="T877" s="6"/>
      <c r="U877" s="6"/>
      <c r="V877" s="6"/>
      <c r="W877" s="6"/>
    </row>
    <row r="878" spans="1:23" ht="16" x14ac:dyDescent="0.2">
      <c r="A878" s="6"/>
      <c r="B878" s="7"/>
      <c r="C878" s="7"/>
      <c r="D878" s="7"/>
      <c r="E878" s="7"/>
      <c r="F878" s="6"/>
      <c r="G878" s="6"/>
      <c r="H878" s="6"/>
      <c r="I878" s="6"/>
      <c r="J878" s="6"/>
      <c r="K878" s="6"/>
      <c r="L878" s="6"/>
      <c r="M878" s="6"/>
      <c r="N878" s="6"/>
      <c r="O878" s="6"/>
      <c r="P878" s="6"/>
      <c r="Q878" s="6"/>
      <c r="R878" s="6"/>
      <c r="S878" s="6"/>
      <c r="T878" s="6"/>
      <c r="U878" s="6"/>
      <c r="V878" s="6"/>
      <c r="W878" s="6"/>
    </row>
    <row r="879" spans="1:23" ht="16" x14ac:dyDescent="0.2">
      <c r="A879" s="6"/>
      <c r="B879" s="7"/>
      <c r="C879" s="7"/>
      <c r="D879" s="7"/>
      <c r="E879" s="7"/>
      <c r="F879" s="6"/>
      <c r="G879" s="6"/>
      <c r="H879" s="6"/>
      <c r="I879" s="6"/>
      <c r="J879" s="6"/>
      <c r="K879" s="6"/>
      <c r="L879" s="6"/>
      <c r="M879" s="6"/>
      <c r="N879" s="6"/>
      <c r="O879" s="6"/>
      <c r="P879" s="6"/>
      <c r="Q879" s="6"/>
      <c r="R879" s="6"/>
      <c r="S879" s="6"/>
      <c r="T879" s="6"/>
      <c r="U879" s="6"/>
      <c r="V879" s="6"/>
      <c r="W879" s="6"/>
    </row>
    <row r="880" spans="1:23" ht="16" x14ac:dyDescent="0.2">
      <c r="A880" s="6"/>
      <c r="B880" s="7"/>
      <c r="C880" s="7"/>
      <c r="D880" s="7"/>
      <c r="E880" s="7"/>
      <c r="F880" s="6"/>
      <c r="G880" s="6"/>
      <c r="H880" s="6"/>
      <c r="I880" s="6"/>
      <c r="J880" s="6"/>
      <c r="K880" s="6"/>
      <c r="L880" s="6"/>
      <c r="M880" s="6"/>
      <c r="N880" s="6"/>
      <c r="O880" s="6"/>
      <c r="P880" s="6"/>
      <c r="Q880" s="6"/>
      <c r="R880" s="6"/>
      <c r="S880" s="6"/>
      <c r="T880" s="6"/>
      <c r="U880" s="6"/>
      <c r="V880" s="6"/>
      <c r="W880" s="6"/>
    </row>
    <row r="881" spans="1:23" ht="16" x14ac:dyDescent="0.2">
      <c r="A881" s="6"/>
      <c r="B881" s="7"/>
      <c r="C881" s="7"/>
      <c r="D881" s="7"/>
      <c r="E881" s="7"/>
      <c r="F881" s="6"/>
      <c r="G881" s="6"/>
      <c r="H881" s="6"/>
      <c r="I881" s="6"/>
      <c r="J881" s="6"/>
      <c r="K881" s="6"/>
      <c r="L881" s="6"/>
      <c r="M881" s="6"/>
      <c r="N881" s="6"/>
      <c r="O881" s="6"/>
      <c r="P881" s="6"/>
      <c r="Q881" s="6"/>
      <c r="R881" s="6"/>
      <c r="S881" s="6"/>
      <c r="T881" s="6"/>
      <c r="U881" s="6"/>
      <c r="V881" s="6"/>
      <c r="W881" s="6"/>
    </row>
    <row r="882" spans="1:23" ht="16" x14ac:dyDescent="0.2">
      <c r="A882" s="6"/>
      <c r="B882" s="7"/>
      <c r="C882" s="7"/>
      <c r="D882" s="7"/>
      <c r="E882" s="7"/>
      <c r="F882" s="6"/>
      <c r="G882" s="6"/>
      <c r="H882" s="6"/>
      <c r="I882" s="6"/>
      <c r="J882" s="6"/>
      <c r="K882" s="6"/>
      <c r="L882" s="6"/>
      <c r="M882" s="6"/>
      <c r="N882" s="6"/>
      <c r="O882" s="6"/>
      <c r="P882" s="6"/>
      <c r="Q882" s="6"/>
      <c r="R882" s="6"/>
      <c r="S882" s="6"/>
      <c r="T882" s="6"/>
      <c r="U882" s="6"/>
      <c r="V882" s="6"/>
      <c r="W882" s="6"/>
    </row>
    <row r="883" spans="1:23" ht="16" x14ac:dyDescent="0.2">
      <c r="A883" s="6"/>
      <c r="B883" s="7"/>
      <c r="C883" s="7"/>
      <c r="D883" s="7"/>
      <c r="E883" s="7"/>
      <c r="F883" s="6"/>
      <c r="G883" s="6"/>
      <c r="H883" s="6"/>
      <c r="I883" s="6"/>
      <c r="J883" s="6"/>
      <c r="K883" s="6"/>
      <c r="L883" s="6"/>
      <c r="M883" s="6"/>
      <c r="N883" s="6"/>
      <c r="O883" s="6"/>
      <c r="P883" s="6"/>
      <c r="Q883" s="6"/>
      <c r="R883" s="6"/>
      <c r="S883" s="6"/>
      <c r="T883" s="6"/>
      <c r="U883" s="6"/>
      <c r="V883" s="6"/>
      <c r="W883" s="6"/>
    </row>
    <row r="884" spans="1:23" ht="16" x14ac:dyDescent="0.2">
      <c r="A884" s="6"/>
      <c r="B884" s="7"/>
      <c r="C884" s="7"/>
      <c r="D884" s="7"/>
      <c r="E884" s="7"/>
      <c r="F884" s="6"/>
      <c r="G884" s="6"/>
      <c r="H884" s="6"/>
      <c r="I884" s="6"/>
      <c r="J884" s="6"/>
      <c r="K884" s="6"/>
      <c r="L884" s="6"/>
      <c r="M884" s="6"/>
      <c r="N884" s="6"/>
      <c r="O884" s="6"/>
      <c r="P884" s="6"/>
      <c r="Q884" s="6"/>
      <c r="R884" s="6"/>
      <c r="S884" s="6"/>
      <c r="T884" s="6"/>
      <c r="U884" s="6"/>
      <c r="V884" s="6"/>
      <c r="W884" s="6"/>
    </row>
    <row r="885" spans="1:23" ht="16" x14ac:dyDescent="0.2">
      <c r="A885" s="6"/>
      <c r="B885" s="7"/>
      <c r="C885" s="7"/>
      <c r="D885" s="7"/>
      <c r="E885" s="7"/>
      <c r="F885" s="6"/>
      <c r="G885" s="6"/>
      <c r="H885" s="6"/>
      <c r="I885" s="6"/>
      <c r="J885" s="6"/>
      <c r="K885" s="6"/>
      <c r="L885" s="6"/>
      <c r="M885" s="6"/>
      <c r="N885" s="6"/>
      <c r="O885" s="6"/>
      <c r="P885" s="6"/>
      <c r="Q885" s="6"/>
      <c r="R885" s="6"/>
      <c r="S885" s="6"/>
      <c r="T885" s="6"/>
      <c r="U885" s="6"/>
      <c r="V885" s="6"/>
      <c r="W885" s="6"/>
    </row>
    <row r="886" spans="1:23" ht="16" x14ac:dyDescent="0.2">
      <c r="A886" s="6"/>
      <c r="B886" s="7"/>
      <c r="C886" s="7"/>
      <c r="D886" s="7"/>
      <c r="E886" s="7"/>
      <c r="F886" s="6"/>
      <c r="G886" s="6"/>
      <c r="H886" s="6"/>
      <c r="I886" s="6"/>
      <c r="J886" s="6"/>
      <c r="K886" s="6"/>
      <c r="L886" s="6"/>
      <c r="M886" s="6"/>
      <c r="N886" s="6"/>
      <c r="O886" s="6"/>
      <c r="P886" s="6"/>
      <c r="Q886" s="6"/>
      <c r="R886" s="6"/>
      <c r="S886" s="6"/>
      <c r="T886" s="6"/>
      <c r="U886" s="6"/>
      <c r="V886" s="6"/>
      <c r="W886" s="6"/>
    </row>
    <row r="887" spans="1:23" ht="16" x14ac:dyDescent="0.2">
      <c r="A887" s="6"/>
      <c r="B887" s="7"/>
      <c r="C887" s="7"/>
      <c r="D887" s="7"/>
      <c r="E887" s="7"/>
      <c r="F887" s="6"/>
      <c r="G887" s="6"/>
      <c r="H887" s="6"/>
      <c r="I887" s="6"/>
      <c r="J887" s="6"/>
      <c r="K887" s="6"/>
      <c r="L887" s="6"/>
      <c r="M887" s="6"/>
      <c r="N887" s="6"/>
      <c r="O887" s="6"/>
      <c r="P887" s="6"/>
      <c r="Q887" s="6"/>
      <c r="R887" s="6"/>
      <c r="S887" s="6"/>
      <c r="T887" s="6"/>
      <c r="U887" s="6"/>
      <c r="V887" s="6"/>
      <c r="W887" s="6"/>
    </row>
    <row r="888" spans="1:23" ht="16" x14ac:dyDescent="0.2">
      <c r="A888" s="6"/>
      <c r="B888" s="7"/>
      <c r="C888" s="7"/>
      <c r="D888" s="7"/>
      <c r="E888" s="7"/>
      <c r="F888" s="6"/>
      <c r="G888" s="6"/>
      <c r="H888" s="6"/>
      <c r="I888" s="6"/>
      <c r="J888" s="6"/>
      <c r="K888" s="6"/>
      <c r="L888" s="6"/>
      <c r="M888" s="6"/>
      <c r="N888" s="6"/>
      <c r="O888" s="6"/>
      <c r="P888" s="6"/>
      <c r="Q888" s="6"/>
      <c r="R888" s="6"/>
      <c r="S888" s="6"/>
      <c r="T888" s="6"/>
      <c r="U888" s="6"/>
      <c r="V888" s="6"/>
      <c r="W888" s="6"/>
    </row>
    <row r="889" spans="1:23" ht="16" x14ac:dyDescent="0.2">
      <c r="A889" s="6"/>
      <c r="B889" s="7"/>
      <c r="C889" s="7"/>
      <c r="D889" s="7"/>
      <c r="E889" s="7"/>
      <c r="F889" s="6"/>
      <c r="G889" s="6"/>
      <c r="H889" s="6"/>
      <c r="I889" s="6"/>
      <c r="J889" s="6"/>
      <c r="K889" s="6"/>
      <c r="L889" s="6"/>
      <c r="M889" s="6"/>
      <c r="N889" s="6"/>
      <c r="O889" s="6"/>
      <c r="P889" s="6"/>
      <c r="Q889" s="6"/>
      <c r="R889" s="6"/>
      <c r="S889" s="6"/>
      <c r="T889" s="6"/>
      <c r="U889" s="6"/>
      <c r="V889" s="6"/>
      <c r="W889" s="6"/>
    </row>
    <row r="890" spans="1:23" ht="16" x14ac:dyDescent="0.2">
      <c r="A890" s="6"/>
      <c r="B890" s="7"/>
      <c r="C890" s="7"/>
      <c r="D890" s="7"/>
      <c r="E890" s="7"/>
      <c r="F890" s="6"/>
      <c r="G890" s="6"/>
      <c r="H890" s="6"/>
      <c r="I890" s="6"/>
      <c r="J890" s="6"/>
      <c r="K890" s="6"/>
      <c r="L890" s="6"/>
      <c r="M890" s="6"/>
      <c r="N890" s="6"/>
      <c r="O890" s="6"/>
      <c r="P890" s="6"/>
      <c r="Q890" s="6"/>
      <c r="R890" s="6"/>
      <c r="S890" s="6"/>
      <c r="T890" s="6"/>
      <c r="U890" s="6"/>
      <c r="V890" s="6"/>
      <c r="W890" s="6"/>
    </row>
    <row r="891" spans="1:23" ht="16" x14ac:dyDescent="0.2">
      <c r="A891" s="6"/>
      <c r="B891" s="7"/>
      <c r="C891" s="7"/>
      <c r="D891" s="7"/>
      <c r="E891" s="7"/>
      <c r="F891" s="6"/>
      <c r="G891" s="6"/>
      <c r="H891" s="6"/>
      <c r="I891" s="6"/>
      <c r="J891" s="6"/>
      <c r="K891" s="6"/>
      <c r="L891" s="6"/>
      <c r="M891" s="6"/>
      <c r="N891" s="6"/>
      <c r="O891" s="6"/>
      <c r="P891" s="6"/>
      <c r="Q891" s="6"/>
      <c r="R891" s="6"/>
      <c r="S891" s="6"/>
      <c r="T891" s="6"/>
      <c r="U891" s="6"/>
      <c r="V891" s="6"/>
      <c r="W891" s="6"/>
    </row>
    <row r="892" spans="1:23" ht="16" x14ac:dyDescent="0.2">
      <c r="A892" s="6"/>
      <c r="B892" s="7"/>
      <c r="C892" s="7"/>
      <c r="D892" s="7"/>
      <c r="E892" s="7"/>
      <c r="F892" s="6"/>
      <c r="G892" s="6"/>
      <c r="H892" s="6"/>
      <c r="I892" s="6"/>
      <c r="J892" s="6"/>
      <c r="K892" s="6"/>
      <c r="L892" s="6"/>
      <c r="M892" s="6"/>
      <c r="N892" s="6"/>
      <c r="O892" s="6"/>
      <c r="P892" s="6"/>
      <c r="Q892" s="6"/>
      <c r="R892" s="6"/>
      <c r="S892" s="6"/>
      <c r="T892" s="6"/>
      <c r="U892" s="6"/>
      <c r="V892" s="6"/>
      <c r="W892" s="6"/>
    </row>
    <row r="893" spans="1:23" ht="16" x14ac:dyDescent="0.2">
      <c r="A893" s="6"/>
      <c r="B893" s="7"/>
      <c r="C893" s="7"/>
      <c r="D893" s="7"/>
      <c r="E893" s="7"/>
      <c r="F893" s="6"/>
      <c r="G893" s="6"/>
      <c r="H893" s="6"/>
      <c r="I893" s="6"/>
      <c r="J893" s="6"/>
      <c r="K893" s="6"/>
      <c r="L893" s="6"/>
      <c r="M893" s="6"/>
      <c r="N893" s="6"/>
      <c r="O893" s="6"/>
      <c r="P893" s="6"/>
      <c r="Q893" s="6"/>
      <c r="R893" s="6"/>
      <c r="S893" s="6"/>
      <c r="T893" s="6"/>
      <c r="U893" s="6"/>
      <c r="V893" s="6"/>
      <c r="W893" s="6"/>
    </row>
    <row r="894" spans="1:23" ht="16" x14ac:dyDescent="0.2">
      <c r="A894" s="6"/>
      <c r="B894" s="7"/>
      <c r="C894" s="7"/>
      <c r="D894" s="7"/>
      <c r="E894" s="7"/>
      <c r="F894" s="6"/>
      <c r="G894" s="6"/>
      <c r="H894" s="6"/>
      <c r="I894" s="6"/>
      <c r="J894" s="6"/>
      <c r="K894" s="6"/>
      <c r="L894" s="6"/>
      <c r="M894" s="6"/>
      <c r="N894" s="6"/>
      <c r="O894" s="6"/>
      <c r="P894" s="6"/>
      <c r="Q894" s="6"/>
      <c r="R894" s="6"/>
      <c r="S894" s="6"/>
      <c r="T894" s="6"/>
      <c r="U894" s="6"/>
      <c r="V894" s="6"/>
      <c r="W894" s="6"/>
    </row>
    <row r="895" spans="1:23" ht="16" x14ac:dyDescent="0.2">
      <c r="A895" s="6"/>
      <c r="B895" s="7"/>
      <c r="C895" s="7"/>
      <c r="D895" s="7"/>
      <c r="E895" s="7"/>
      <c r="F895" s="6"/>
      <c r="G895" s="6"/>
      <c r="H895" s="6"/>
      <c r="I895" s="6"/>
      <c r="J895" s="6"/>
      <c r="K895" s="6"/>
      <c r="L895" s="6"/>
      <c r="M895" s="6"/>
      <c r="N895" s="6"/>
      <c r="O895" s="6"/>
      <c r="P895" s="6"/>
      <c r="Q895" s="6"/>
      <c r="R895" s="6"/>
      <c r="S895" s="6"/>
      <c r="T895" s="6"/>
      <c r="U895" s="6"/>
      <c r="V895" s="6"/>
      <c r="W895" s="6"/>
    </row>
    <row r="896" spans="1:23" ht="16" x14ac:dyDescent="0.2">
      <c r="A896" s="6"/>
      <c r="B896" s="7"/>
      <c r="C896" s="7"/>
      <c r="D896" s="7"/>
      <c r="E896" s="7"/>
      <c r="F896" s="6"/>
      <c r="G896" s="6"/>
      <c r="H896" s="6"/>
      <c r="I896" s="6"/>
      <c r="J896" s="6"/>
      <c r="K896" s="6"/>
      <c r="L896" s="6"/>
      <c r="M896" s="6"/>
      <c r="N896" s="6"/>
      <c r="O896" s="6"/>
      <c r="P896" s="6"/>
      <c r="Q896" s="6"/>
      <c r="R896" s="6"/>
      <c r="S896" s="6"/>
      <c r="T896" s="6"/>
      <c r="U896" s="6"/>
      <c r="V896" s="6"/>
      <c r="W896" s="6"/>
    </row>
    <row r="897" spans="1:23" ht="16" x14ac:dyDescent="0.2">
      <c r="A897" s="6"/>
      <c r="B897" s="7"/>
      <c r="C897" s="7"/>
      <c r="D897" s="7"/>
      <c r="E897" s="7"/>
      <c r="F897" s="6"/>
      <c r="G897" s="6"/>
      <c r="H897" s="6"/>
      <c r="I897" s="6"/>
      <c r="J897" s="6"/>
      <c r="K897" s="6"/>
      <c r="L897" s="6"/>
      <c r="M897" s="6"/>
      <c r="N897" s="6"/>
      <c r="O897" s="6"/>
      <c r="P897" s="6"/>
      <c r="Q897" s="6"/>
      <c r="R897" s="6"/>
      <c r="S897" s="6"/>
      <c r="T897" s="6"/>
      <c r="U897" s="6"/>
      <c r="V897" s="6"/>
      <c r="W897" s="6"/>
    </row>
    <row r="898" spans="1:23" ht="16" x14ac:dyDescent="0.2">
      <c r="A898" s="6"/>
      <c r="B898" s="7"/>
      <c r="C898" s="7"/>
      <c r="D898" s="7"/>
      <c r="E898" s="7"/>
      <c r="F898" s="6"/>
      <c r="G898" s="6"/>
      <c r="H898" s="6"/>
      <c r="I898" s="6"/>
      <c r="J898" s="6"/>
      <c r="K898" s="6"/>
      <c r="L898" s="6"/>
      <c r="M898" s="6"/>
      <c r="N898" s="6"/>
      <c r="O898" s="6"/>
      <c r="P898" s="6"/>
      <c r="Q898" s="6"/>
      <c r="R898" s="6"/>
      <c r="S898" s="6"/>
      <c r="T898" s="6"/>
      <c r="U898" s="6"/>
      <c r="V898" s="6"/>
      <c r="W898" s="6"/>
    </row>
    <row r="899" spans="1:23" ht="16" x14ac:dyDescent="0.2">
      <c r="A899" s="6"/>
      <c r="B899" s="7"/>
      <c r="C899" s="7"/>
      <c r="D899" s="7"/>
      <c r="E899" s="7"/>
      <c r="F899" s="6"/>
      <c r="G899" s="6"/>
      <c r="H899" s="6"/>
      <c r="I899" s="6"/>
      <c r="J899" s="6"/>
      <c r="K899" s="6"/>
      <c r="L899" s="6"/>
      <c r="M899" s="6"/>
      <c r="N899" s="6"/>
      <c r="O899" s="6"/>
      <c r="P899" s="6"/>
      <c r="Q899" s="6"/>
      <c r="R899" s="6"/>
      <c r="S899" s="6"/>
      <c r="T899" s="6"/>
      <c r="U899" s="6"/>
      <c r="V899" s="6"/>
      <c r="W899" s="6"/>
    </row>
    <row r="900" spans="1:23" ht="16" x14ac:dyDescent="0.2">
      <c r="A900" s="6"/>
      <c r="B900" s="7"/>
      <c r="C900" s="7"/>
      <c r="D900" s="7"/>
      <c r="E900" s="7"/>
      <c r="F900" s="6"/>
      <c r="G900" s="6"/>
      <c r="H900" s="6"/>
      <c r="I900" s="6"/>
      <c r="J900" s="6"/>
      <c r="K900" s="6"/>
      <c r="L900" s="6"/>
      <c r="M900" s="6"/>
      <c r="N900" s="6"/>
      <c r="O900" s="6"/>
      <c r="P900" s="6"/>
      <c r="Q900" s="6"/>
      <c r="R900" s="6"/>
      <c r="S900" s="6"/>
      <c r="T900" s="6"/>
      <c r="U900" s="6"/>
      <c r="V900" s="6"/>
      <c r="W900" s="6"/>
    </row>
    <row r="901" spans="1:23" ht="16" x14ac:dyDescent="0.2">
      <c r="A901" s="6"/>
      <c r="B901" s="7"/>
      <c r="C901" s="7"/>
      <c r="D901" s="7"/>
      <c r="E901" s="7"/>
      <c r="F901" s="6"/>
      <c r="G901" s="6"/>
      <c r="H901" s="6"/>
      <c r="I901" s="6"/>
      <c r="J901" s="6"/>
      <c r="K901" s="6"/>
      <c r="L901" s="6"/>
      <c r="M901" s="6"/>
      <c r="N901" s="6"/>
      <c r="O901" s="6"/>
      <c r="P901" s="6"/>
      <c r="Q901" s="6"/>
      <c r="R901" s="6"/>
      <c r="S901" s="6"/>
      <c r="T901" s="6"/>
      <c r="U901" s="6"/>
      <c r="V901" s="6"/>
      <c r="W901" s="6"/>
    </row>
    <row r="902" spans="1:23" ht="16" x14ac:dyDescent="0.2">
      <c r="A902" s="6"/>
      <c r="B902" s="7"/>
      <c r="C902" s="7"/>
      <c r="D902" s="7"/>
      <c r="E902" s="7"/>
      <c r="F902" s="6"/>
      <c r="G902" s="6"/>
      <c r="H902" s="6"/>
      <c r="I902" s="6"/>
      <c r="J902" s="6"/>
      <c r="K902" s="6"/>
      <c r="L902" s="6"/>
      <c r="M902" s="6"/>
      <c r="N902" s="6"/>
      <c r="O902" s="6"/>
      <c r="P902" s="6"/>
      <c r="Q902" s="6"/>
      <c r="R902" s="6"/>
      <c r="S902" s="6"/>
      <c r="T902" s="6"/>
      <c r="U902" s="6"/>
      <c r="V902" s="6"/>
      <c r="W902" s="6"/>
    </row>
    <row r="903" spans="1:23" ht="16" x14ac:dyDescent="0.2">
      <c r="A903" s="6"/>
      <c r="B903" s="7"/>
      <c r="C903" s="7"/>
      <c r="D903" s="7"/>
      <c r="E903" s="7"/>
      <c r="F903" s="6"/>
      <c r="G903" s="6"/>
      <c r="H903" s="6"/>
      <c r="I903" s="6"/>
      <c r="J903" s="6"/>
      <c r="K903" s="6"/>
      <c r="L903" s="6"/>
      <c r="M903" s="6"/>
      <c r="N903" s="6"/>
      <c r="O903" s="6"/>
      <c r="P903" s="6"/>
      <c r="Q903" s="6"/>
      <c r="R903" s="6"/>
      <c r="S903" s="6"/>
      <c r="T903" s="6"/>
      <c r="U903" s="6"/>
      <c r="V903" s="6"/>
      <c r="W903" s="6"/>
    </row>
    <row r="904" spans="1:23" ht="16" x14ac:dyDescent="0.2">
      <c r="A904" s="6"/>
      <c r="B904" s="7"/>
      <c r="C904" s="7"/>
      <c r="D904" s="7"/>
      <c r="E904" s="7"/>
      <c r="F904" s="6"/>
      <c r="G904" s="6"/>
      <c r="H904" s="6"/>
      <c r="I904" s="6"/>
      <c r="J904" s="6"/>
      <c r="K904" s="6"/>
      <c r="L904" s="6"/>
      <c r="M904" s="6"/>
      <c r="N904" s="6"/>
      <c r="O904" s="6"/>
      <c r="P904" s="6"/>
      <c r="Q904" s="6"/>
      <c r="R904" s="6"/>
      <c r="S904" s="6"/>
      <c r="T904" s="6"/>
      <c r="U904" s="6"/>
      <c r="V904" s="6"/>
      <c r="W904" s="6"/>
    </row>
    <row r="905" spans="1:23" ht="16" x14ac:dyDescent="0.2">
      <c r="A905" s="6"/>
      <c r="B905" s="7"/>
      <c r="C905" s="7"/>
      <c r="D905" s="7"/>
      <c r="E905" s="7"/>
      <c r="F905" s="6"/>
      <c r="G905" s="6"/>
      <c r="H905" s="6"/>
      <c r="I905" s="6"/>
      <c r="J905" s="6"/>
      <c r="K905" s="6"/>
      <c r="L905" s="6"/>
      <c r="M905" s="6"/>
      <c r="N905" s="6"/>
      <c r="O905" s="6"/>
      <c r="P905" s="6"/>
      <c r="Q905" s="6"/>
      <c r="R905" s="6"/>
      <c r="S905" s="6"/>
      <c r="T905" s="6"/>
      <c r="U905" s="6"/>
      <c r="V905" s="6"/>
      <c r="W905" s="6"/>
    </row>
    <row r="906" spans="1:23" ht="16" x14ac:dyDescent="0.2">
      <c r="A906" s="6"/>
      <c r="B906" s="7"/>
      <c r="C906" s="7"/>
      <c r="D906" s="7"/>
      <c r="E906" s="7"/>
      <c r="F906" s="6"/>
      <c r="G906" s="6"/>
      <c r="H906" s="6"/>
      <c r="I906" s="6"/>
      <c r="J906" s="6"/>
      <c r="K906" s="6"/>
      <c r="L906" s="6"/>
      <c r="M906" s="6"/>
      <c r="N906" s="6"/>
      <c r="O906" s="6"/>
      <c r="P906" s="6"/>
      <c r="Q906" s="6"/>
      <c r="R906" s="6"/>
      <c r="S906" s="6"/>
      <c r="T906" s="6"/>
      <c r="U906" s="6"/>
      <c r="V906" s="6"/>
      <c r="W906" s="6"/>
    </row>
    <row r="907" spans="1:23" ht="16" x14ac:dyDescent="0.2">
      <c r="A907" s="6"/>
      <c r="B907" s="7"/>
      <c r="C907" s="7"/>
      <c r="D907" s="7"/>
      <c r="E907" s="7"/>
      <c r="F907" s="6"/>
      <c r="G907" s="6"/>
      <c r="H907" s="6"/>
      <c r="I907" s="6"/>
      <c r="J907" s="6"/>
      <c r="K907" s="6"/>
      <c r="L907" s="6"/>
      <c r="M907" s="6"/>
      <c r="N907" s="6"/>
      <c r="O907" s="6"/>
      <c r="P907" s="6"/>
      <c r="Q907" s="6"/>
      <c r="R907" s="6"/>
      <c r="S907" s="6"/>
      <c r="T907" s="6"/>
      <c r="U907" s="6"/>
      <c r="V907" s="6"/>
      <c r="W907" s="6"/>
    </row>
    <row r="908" spans="1:23" ht="16" x14ac:dyDescent="0.2">
      <c r="A908" s="6"/>
      <c r="B908" s="7"/>
      <c r="C908" s="7"/>
      <c r="D908" s="7"/>
      <c r="E908" s="7"/>
      <c r="F908" s="6"/>
      <c r="G908" s="6"/>
      <c r="H908" s="6"/>
      <c r="I908" s="6"/>
      <c r="J908" s="6"/>
      <c r="K908" s="6"/>
      <c r="L908" s="6"/>
      <c r="M908" s="6"/>
      <c r="N908" s="6"/>
      <c r="O908" s="6"/>
      <c r="P908" s="6"/>
      <c r="Q908" s="6"/>
      <c r="R908" s="6"/>
      <c r="S908" s="6"/>
      <c r="T908" s="6"/>
      <c r="U908" s="6"/>
      <c r="V908" s="6"/>
      <c r="W908" s="6"/>
    </row>
    <row r="909" spans="1:23" ht="16" x14ac:dyDescent="0.2">
      <c r="A909" s="6"/>
      <c r="B909" s="7"/>
      <c r="C909" s="7"/>
      <c r="D909" s="7"/>
      <c r="E909" s="7"/>
      <c r="F909" s="6"/>
      <c r="G909" s="6"/>
      <c r="H909" s="6"/>
      <c r="I909" s="6"/>
      <c r="J909" s="6"/>
      <c r="K909" s="6"/>
      <c r="L909" s="6"/>
      <c r="M909" s="6"/>
      <c r="N909" s="6"/>
      <c r="O909" s="6"/>
      <c r="P909" s="6"/>
      <c r="Q909" s="6"/>
      <c r="R909" s="6"/>
      <c r="S909" s="6"/>
      <c r="T909" s="6"/>
      <c r="U909" s="6"/>
      <c r="V909" s="6"/>
      <c r="W909" s="6"/>
    </row>
    <row r="910" spans="1:23" ht="16" x14ac:dyDescent="0.2">
      <c r="A910" s="6"/>
      <c r="B910" s="7"/>
      <c r="C910" s="7"/>
      <c r="D910" s="7"/>
      <c r="E910" s="7"/>
      <c r="F910" s="6"/>
      <c r="G910" s="6"/>
      <c r="H910" s="6"/>
      <c r="I910" s="6"/>
      <c r="J910" s="6"/>
      <c r="K910" s="6"/>
      <c r="L910" s="6"/>
      <c r="M910" s="6"/>
      <c r="N910" s="6"/>
      <c r="O910" s="6"/>
      <c r="P910" s="6"/>
      <c r="Q910" s="6"/>
      <c r="R910" s="6"/>
      <c r="S910" s="6"/>
      <c r="T910" s="6"/>
      <c r="U910" s="6"/>
      <c r="V910" s="6"/>
      <c r="W910" s="6"/>
    </row>
    <row r="911" spans="1:23" ht="16" x14ac:dyDescent="0.2">
      <c r="A911" s="6"/>
      <c r="B911" s="7"/>
      <c r="C911" s="7"/>
      <c r="D911" s="7"/>
      <c r="E911" s="7"/>
      <c r="F911" s="6"/>
      <c r="G911" s="6"/>
      <c r="H911" s="6"/>
      <c r="I911" s="6"/>
      <c r="J911" s="6"/>
      <c r="K911" s="6"/>
      <c r="L911" s="6"/>
      <c r="M911" s="6"/>
      <c r="N911" s="6"/>
      <c r="O911" s="6"/>
      <c r="P911" s="6"/>
      <c r="Q911" s="6"/>
      <c r="R911" s="6"/>
      <c r="S911" s="6"/>
      <c r="T911" s="6"/>
      <c r="U911" s="6"/>
      <c r="V911" s="6"/>
      <c r="W911" s="6"/>
    </row>
    <row r="912" spans="1:23" ht="16" x14ac:dyDescent="0.2">
      <c r="A912" s="6"/>
      <c r="B912" s="7"/>
      <c r="C912" s="7"/>
      <c r="D912" s="7"/>
      <c r="E912" s="7"/>
      <c r="F912" s="6"/>
      <c r="G912" s="6"/>
      <c r="H912" s="6"/>
      <c r="I912" s="6"/>
      <c r="J912" s="6"/>
      <c r="K912" s="6"/>
      <c r="L912" s="6"/>
      <c r="M912" s="6"/>
      <c r="N912" s="6"/>
      <c r="O912" s="6"/>
      <c r="P912" s="6"/>
      <c r="Q912" s="6"/>
      <c r="R912" s="6"/>
      <c r="S912" s="6"/>
      <c r="T912" s="6"/>
      <c r="U912" s="6"/>
      <c r="V912" s="6"/>
      <c r="W912" s="6"/>
    </row>
    <row r="913" spans="1:23" ht="16" x14ac:dyDescent="0.2">
      <c r="A913" s="6"/>
      <c r="B913" s="7"/>
      <c r="C913" s="7"/>
      <c r="D913" s="7"/>
      <c r="E913" s="7"/>
      <c r="F913" s="6"/>
      <c r="G913" s="6"/>
      <c r="H913" s="6"/>
      <c r="I913" s="6"/>
      <c r="J913" s="6"/>
      <c r="K913" s="6"/>
      <c r="L913" s="6"/>
      <c r="M913" s="6"/>
      <c r="N913" s="6"/>
      <c r="O913" s="6"/>
      <c r="P913" s="6"/>
      <c r="Q913" s="6"/>
      <c r="R913" s="6"/>
      <c r="S913" s="6"/>
      <c r="T913" s="6"/>
      <c r="U913" s="6"/>
      <c r="V913" s="6"/>
      <c r="W913" s="6"/>
    </row>
    <row r="914" spans="1:23" ht="16" x14ac:dyDescent="0.2">
      <c r="A914" s="6"/>
      <c r="B914" s="7"/>
      <c r="C914" s="7"/>
      <c r="D914" s="7"/>
      <c r="E914" s="7"/>
      <c r="F914" s="6"/>
      <c r="G914" s="6"/>
      <c r="H914" s="6"/>
      <c r="I914" s="6"/>
      <c r="J914" s="6"/>
      <c r="K914" s="6"/>
      <c r="L914" s="6"/>
      <c r="M914" s="6"/>
      <c r="N914" s="6"/>
      <c r="O914" s="6"/>
      <c r="P914" s="6"/>
      <c r="Q914" s="6"/>
      <c r="R914" s="6"/>
      <c r="S914" s="6"/>
      <c r="T914" s="6"/>
      <c r="U914" s="6"/>
      <c r="V914" s="6"/>
      <c r="W914" s="6"/>
    </row>
    <row r="915" spans="1:23" ht="16" x14ac:dyDescent="0.2">
      <c r="A915" s="6"/>
      <c r="B915" s="7"/>
      <c r="C915" s="7"/>
      <c r="D915" s="7"/>
      <c r="E915" s="7"/>
      <c r="F915" s="6"/>
      <c r="G915" s="6"/>
      <c r="H915" s="6"/>
      <c r="I915" s="6"/>
      <c r="J915" s="6"/>
      <c r="K915" s="6"/>
      <c r="L915" s="6"/>
      <c r="M915" s="6"/>
      <c r="N915" s="6"/>
      <c r="O915" s="6"/>
      <c r="P915" s="6"/>
      <c r="Q915" s="6"/>
      <c r="R915" s="6"/>
      <c r="S915" s="6"/>
      <c r="T915" s="6"/>
      <c r="U915" s="6"/>
      <c r="V915" s="6"/>
      <c r="W915" s="6"/>
    </row>
    <row r="916" spans="1:23" ht="16" x14ac:dyDescent="0.2">
      <c r="A916" s="6"/>
      <c r="B916" s="7"/>
      <c r="C916" s="7"/>
      <c r="D916" s="7"/>
      <c r="E916" s="7"/>
      <c r="F916" s="6"/>
      <c r="G916" s="6"/>
      <c r="H916" s="6"/>
      <c r="I916" s="6"/>
      <c r="J916" s="6"/>
      <c r="K916" s="6"/>
      <c r="L916" s="6"/>
      <c r="M916" s="6"/>
      <c r="N916" s="6"/>
      <c r="O916" s="6"/>
      <c r="P916" s="6"/>
      <c r="Q916" s="6"/>
      <c r="R916" s="6"/>
      <c r="S916" s="6"/>
      <c r="T916" s="6"/>
      <c r="U916" s="6"/>
      <c r="V916" s="6"/>
      <c r="W916" s="6"/>
    </row>
    <row r="917" spans="1:23" ht="16" x14ac:dyDescent="0.2">
      <c r="A917" s="6"/>
      <c r="B917" s="7"/>
      <c r="C917" s="7"/>
      <c r="D917" s="7"/>
      <c r="E917" s="7"/>
      <c r="F917" s="6"/>
      <c r="G917" s="6"/>
      <c r="H917" s="6"/>
      <c r="I917" s="6"/>
      <c r="J917" s="6"/>
      <c r="K917" s="6"/>
      <c r="L917" s="6"/>
      <c r="M917" s="6"/>
      <c r="N917" s="6"/>
      <c r="O917" s="6"/>
      <c r="P917" s="6"/>
      <c r="Q917" s="6"/>
      <c r="R917" s="6"/>
      <c r="S917" s="6"/>
      <c r="T917" s="6"/>
      <c r="U917" s="6"/>
      <c r="V917" s="6"/>
      <c r="W917" s="6"/>
    </row>
    <row r="918" spans="1:23" ht="16" x14ac:dyDescent="0.2">
      <c r="A918" s="6"/>
      <c r="B918" s="7"/>
      <c r="C918" s="7"/>
      <c r="D918" s="7"/>
      <c r="E918" s="7"/>
      <c r="F918" s="6"/>
      <c r="G918" s="6"/>
      <c r="H918" s="6"/>
      <c r="I918" s="6"/>
      <c r="J918" s="6"/>
      <c r="K918" s="6"/>
      <c r="L918" s="6"/>
      <c r="M918" s="6"/>
      <c r="N918" s="6"/>
      <c r="O918" s="6"/>
      <c r="P918" s="6"/>
      <c r="Q918" s="6"/>
      <c r="R918" s="6"/>
      <c r="S918" s="6"/>
      <c r="T918" s="6"/>
      <c r="U918" s="6"/>
      <c r="V918" s="6"/>
      <c r="W918" s="6"/>
    </row>
    <row r="919" spans="1:23" ht="16" x14ac:dyDescent="0.2">
      <c r="A919" s="6"/>
      <c r="B919" s="7"/>
      <c r="C919" s="7"/>
      <c r="D919" s="7"/>
      <c r="E919" s="7"/>
      <c r="F919" s="6"/>
      <c r="G919" s="6"/>
      <c r="H919" s="6"/>
      <c r="I919" s="6"/>
      <c r="J919" s="6"/>
      <c r="K919" s="6"/>
      <c r="L919" s="6"/>
      <c r="M919" s="6"/>
      <c r="N919" s="6"/>
      <c r="O919" s="6"/>
      <c r="P919" s="6"/>
      <c r="Q919" s="6"/>
      <c r="R919" s="6"/>
      <c r="S919" s="6"/>
      <c r="T919" s="6"/>
      <c r="U919" s="6"/>
      <c r="V919" s="6"/>
      <c r="W919" s="6"/>
    </row>
    <row r="920" spans="1:23" ht="16" x14ac:dyDescent="0.2">
      <c r="A920" s="6"/>
      <c r="B920" s="7"/>
      <c r="C920" s="7"/>
      <c r="D920" s="7"/>
      <c r="E920" s="7"/>
      <c r="F920" s="6"/>
      <c r="G920" s="6"/>
      <c r="H920" s="6"/>
      <c r="I920" s="6"/>
      <c r="J920" s="6"/>
      <c r="K920" s="6"/>
      <c r="L920" s="6"/>
      <c r="M920" s="6"/>
      <c r="N920" s="6"/>
      <c r="O920" s="6"/>
      <c r="P920" s="6"/>
      <c r="Q920" s="6"/>
      <c r="R920" s="6"/>
      <c r="S920" s="6"/>
      <c r="T920" s="6"/>
      <c r="U920" s="6"/>
      <c r="V920" s="6"/>
      <c r="W920" s="6"/>
    </row>
    <row r="921" spans="1:23" ht="16" x14ac:dyDescent="0.2">
      <c r="A921" s="6"/>
      <c r="B921" s="7"/>
      <c r="C921" s="7"/>
      <c r="D921" s="7"/>
      <c r="E921" s="7"/>
      <c r="F921" s="6"/>
      <c r="G921" s="6"/>
      <c r="H921" s="6"/>
      <c r="I921" s="6"/>
      <c r="J921" s="6"/>
      <c r="K921" s="6"/>
      <c r="L921" s="6"/>
      <c r="M921" s="6"/>
      <c r="N921" s="6"/>
      <c r="O921" s="6"/>
      <c r="P921" s="6"/>
      <c r="Q921" s="6"/>
      <c r="R921" s="6"/>
      <c r="S921" s="6"/>
      <c r="T921" s="6"/>
      <c r="U921" s="6"/>
      <c r="V921" s="6"/>
      <c r="W921" s="6"/>
    </row>
    <row r="922" spans="1:23" ht="16" x14ac:dyDescent="0.2">
      <c r="A922" s="6"/>
      <c r="B922" s="7"/>
      <c r="C922" s="7"/>
      <c r="D922" s="7"/>
      <c r="E922" s="7"/>
      <c r="F922" s="6"/>
      <c r="G922" s="6"/>
      <c r="H922" s="6"/>
      <c r="I922" s="6"/>
      <c r="J922" s="6"/>
      <c r="K922" s="6"/>
      <c r="L922" s="6"/>
      <c r="M922" s="6"/>
      <c r="N922" s="6"/>
      <c r="O922" s="6"/>
      <c r="P922" s="6"/>
      <c r="Q922" s="6"/>
      <c r="R922" s="6"/>
      <c r="S922" s="6"/>
      <c r="T922" s="6"/>
      <c r="U922" s="6"/>
      <c r="V922" s="6"/>
      <c r="W922" s="6"/>
    </row>
    <row r="923" spans="1:23" ht="16" x14ac:dyDescent="0.2">
      <c r="A923" s="6"/>
      <c r="B923" s="7"/>
      <c r="C923" s="7"/>
      <c r="D923" s="7"/>
      <c r="E923" s="7"/>
      <c r="F923" s="6"/>
      <c r="G923" s="6"/>
      <c r="H923" s="6"/>
      <c r="I923" s="6"/>
      <c r="J923" s="6"/>
      <c r="K923" s="6"/>
      <c r="L923" s="6"/>
      <c r="M923" s="6"/>
      <c r="N923" s="6"/>
      <c r="O923" s="6"/>
      <c r="P923" s="6"/>
      <c r="Q923" s="6"/>
      <c r="R923" s="6"/>
      <c r="S923" s="6"/>
      <c r="T923" s="6"/>
      <c r="U923" s="6"/>
      <c r="V923" s="6"/>
      <c r="W923" s="6"/>
    </row>
    <row r="924" spans="1:23" ht="16" x14ac:dyDescent="0.2">
      <c r="A924" s="6"/>
      <c r="B924" s="7"/>
      <c r="C924" s="7"/>
      <c r="D924" s="7"/>
      <c r="E924" s="7"/>
      <c r="F924" s="6"/>
      <c r="G924" s="6"/>
      <c r="H924" s="6"/>
      <c r="I924" s="6"/>
      <c r="J924" s="6"/>
      <c r="K924" s="6"/>
      <c r="L924" s="6"/>
      <c r="M924" s="6"/>
      <c r="N924" s="6"/>
      <c r="O924" s="6"/>
      <c r="P924" s="6"/>
      <c r="Q924" s="6"/>
      <c r="R924" s="6"/>
      <c r="S924" s="6"/>
      <c r="T924" s="6"/>
      <c r="U924" s="6"/>
      <c r="V924" s="6"/>
      <c r="W924" s="6"/>
    </row>
    <row r="925" spans="1:23" ht="16" x14ac:dyDescent="0.2">
      <c r="A925" s="6"/>
      <c r="B925" s="7"/>
      <c r="C925" s="7"/>
      <c r="D925" s="7"/>
      <c r="E925" s="7"/>
      <c r="F925" s="6"/>
      <c r="G925" s="6"/>
      <c r="H925" s="6"/>
      <c r="I925" s="6"/>
      <c r="J925" s="6"/>
      <c r="K925" s="6"/>
      <c r="L925" s="6"/>
      <c r="M925" s="6"/>
      <c r="N925" s="6"/>
      <c r="O925" s="6"/>
      <c r="P925" s="6"/>
      <c r="Q925" s="6"/>
      <c r="R925" s="6"/>
      <c r="S925" s="6"/>
      <c r="T925" s="6"/>
      <c r="U925" s="6"/>
      <c r="V925" s="6"/>
      <c r="W925" s="6"/>
    </row>
    <row r="926" spans="1:23" ht="16" x14ac:dyDescent="0.2">
      <c r="A926" s="6"/>
      <c r="B926" s="7"/>
      <c r="C926" s="7"/>
      <c r="D926" s="7"/>
      <c r="E926" s="7"/>
      <c r="F926" s="6"/>
      <c r="G926" s="6"/>
      <c r="H926" s="6"/>
      <c r="I926" s="6"/>
      <c r="J926" s="6"/>
      <c r="K926" s="6"/>
      <c r="L926" s="6"/>
      <c r="M926" s="6"/>
      <c r="N926" s="6"/>
      <c r="O926" s="6"/>
      <c r="P926" s="6"/>
      <c r="Q926" s="6"/>
      <c r="R926" s="6"/>
      <c r="S926" s="6"/>
      <c r="T926" s="6"/>
      <c r="U926" s="6"/>
      <c r="V926" s="6"/>
      <c r="W926" s="6"/>
    </row>
    <row r="927" spans="1:23" ht="16" x14ac:dyDescent="0.2">
      <c r="A927" s="6"/>
      <c r="B927" s="7"/>
      <c r="C927" s="7"/>
      <c r="D927" s="7"/>
      <c r="E927" s="7"/>
      <c r="F927" s="6"/>
      <c r="G927" s="6"/>
      <c r="H927" s="6"/>
      <c r="I927" s="6"/>
      <c r="J927" s="6"/>
      <c r="K927" s="6"/>
      <c r="L927" s="6"/>
      <c r="M927" s="6"/>
      <c r="N927" s="6"/>
      <c r="O927" s="6"/>
      <c r="P927" s="6"/>
      <c r="Q927" s="6"/>
      <c r="R927" s="6"/>
      <c r="S927" s="6"/>
      <c r="T927" s="6"/>
      <c r="U927" s="6"/>
      <c r="V927" s="6"/>
      <c r="W927" s="6"/>
    </row>
    <row r="928" spans="1:23" ht="16" x14ac:dyDescent="0.2">
      <c r="A928" s="6"/>
      <c r="B928" s="7"/>
      <c r="C928" s="7"/>
      <c r="D928" s="7"/>
      <c r="E928" s="7"/>
      <c r="F928" s="6"/>
      <c r="G928" s="6"/>
      <c r="H928" s="6"/>
      <c r="I928" s="6"/>
      <c r="J928" s="6"/>
      <c r="K928" s="6"/>
      <c r="L928" s="6"/>
      <c r="M928" s="6"/>
      <c r="N928" s="6"/>
      <c r="O928" s="6"/>
      <c r="P928" s="6"/>
      <c r="Q928" s="6"/>
      <c r="R928" s="6"/>
      <c r="S928" s="6"/>
      <c r="T928" s="6"/>
      <c r="U928" s="6"/>
      <c r="V928" s="6"/>
      <c r="W928" s="6"/>
    </row>
    <row r="929" spans="1:23" ht="16" x14ac:dyDescent="0.2">
      <c r="A929" s="6"/>
      <c r="B929" s="7"/>
      <c r="C929" s="7"/>
      <c r="D929" s="7"/>
      <c r="E929" s="7"/>
      <c r="F929" s="6"/>
      <c r="G929" s="6"/>
      <c r="H929" s="6"/>
      <c r="I929" s="6"/>
      <c r="J929" s="6"/>
      <c r="K929" s="6"/>
      <c r="L929" s="6"/>
      <c r="M929" s="6"/>
      <c r="N929" s="6"/>
      <c r="O929" s="6"/>
      <c r="P929" s="6"/>
      <c r="Q929" s="6"/>
      <c r="R929" s="6"/>
      <c r="S929" s="6"/>
      <c r="T929" s="6"/>
      <c r="U929" s="6"/>
      <c r="V929" s="6"/>
      <c r="W929" s="6"/>
    </row>
    <row r="930" spans="1:23" ht="16" x14ac:dyDescent="0.2">
      <c r="A930" s="6"/>
      <c r="B930" s="7"/>
      <c r="C930" s="7"/>
      <c r="D930" s="7"/>
      <c r="E930" s="7"/>
      <c r="F930" s="6"/>
      <c r="G930" s="6"/>
      <c r="H930" s="6"/>
      <c r="I930" s="6"/>
      <c r="J930" s="6"/>
      <c r="K930" s="6"/>
      <c r="L930" s="6"/>
      <c r="M930" s="6"/>
      <c r="N930" s="6"/>
      <c r="O930" s="6"/>
      <c r="P930" s="6"/>
      <c r="Q930" s="6"/>
      <c r="R930" s="6"/>
      <c r="S930" s="6"/>
      <c r="T930" s="6"/>
      <c r="U930" s="6"/>
      <c r="V930" s="6"/>
      <c r="W930" s="6"/>
    </row>
    <row r="931" spans="1:23" ht="16" x14ac:dyDescent="0.2">
      <c r="A931" s="6"/>
      <c r="B931" s="7"/>
      <c r="C931" s="7"/>
      <c r="D931" s="7"/>
      <c r="E931" s="7"/>
      <c r="F931" s="6"/>
      <c r="G931" s="6"/>
      <c r="H931" s="6"/>
      <c r="I931" s="6"/>
      <c r="J931" s="6"/>
      <c r="K931" s="6"/>
      <c r="L931" s="6"/>
      <c r="M931" s="6"/>
      <c r="N931" s="6"/>
      <c r="O931" s="6"/>
      <c r="P931" s="6"/>
      <c r="Q931" s="6"/>
      <c r="R931" s="6"/>
      <c r="S931" s="6"/>
      <c r="T931" s="6"/>
      <c r="U931" s="6"/>
      <c r="V931" s="6"/>
      <c r="W931" s="6"/>
    </row>
    <row r="932" spans="1:23" ht="16" x14ac:dyDescent="0.2">
      <c r="A932" s="6"/>
      <c r="B932" s="7"/>
      <c r="C932" s="7"/>
      <c r="D932" s="7"/>
      <c r="E932" s="7"/>
      <c r="F932" s="6"/>
      <c r="G932" s="6"/>
      <c r="H932" s="6"/>
      <c r="I932" s="6"/>
      <c r="J932" s="6"/>
      <c r="K932" s="6"/>
      <c r="L932" s="6"/>
      <c r="M932" s="6"/>
      <c r="N932" s="6"/>
      <c r="O932" s="6"/>
      <c r="P932" s="6"/>
      <c r="Q932" s="6"/>
      <c r="R932" s="6"/>
      <c r="S932" s="6"/>
      <c r="T932" s="6"/>
      <c r="U932" s="6"/>
      <c r="V932" s="6"/>
      <c r="W932" s="6"/>
    </row>
    <row r="933" spans="1:23" ht="16" x14ac:dyDescent="0.2">
      <c r="A933" s="6"/>
      <c r="B933" s="7"/>
      <c r="C933" s="7"/>
      <c r="D933" s="7"/>
      <c r="E933" s="7"/>
      <c r="F933" s="6"/>
      <c r="G933" s="6"/>
      <c r="H933" s="6"/>
      <c r="I933" s="6"/>
      <c r="J933" s="6"/>
      <c r="K933" s="6"/>
      <c r="L933" s="6"/>
      <c r="M933" s="6"/>
      <c r="N933" s="6"/>
      <c r="O933" s="6"/>
      <c r="P933" s="6"/>
      <c r="Q933" s="6"/>
      <c r="R933" s="6"/>
      <c r="S933" s="6"/>
      <c r="T933" s="6"/>
      <c r="U933" s="6"/>
      <c r="V933" s="6"/>
      <c r="W933" s="6"/>
    </row>
    <row r="934" spans="1:23" ht="16" x14ac:dyDescent="0.2">
      <c r="A934" s="6"/>
      <c r="B934" s="7"/>
      <c r="C934" s="7"/>
      <c r="D934" s="7"/>
      <c r="E934" s="7"/>
      <c r="F934" s="6"/>
      <c r="G934" s="6"/>
      <c r="H934" s="6"/>
      <c r="I934" s="6"/>
      <c r="J934" s="6"/>
      <c r="K934" s="6"/>
      <c r="L934" s="6"/>
      <c r="M934" s="6"/>
      <c r="N934" s="6"/>
      <c r="O934" s="6"/>
      <c r="P934" s="6"/>
      <c r="Q934" s="6"/>
      <c r="R934" s="6"/>
      <c r="S934" s="6"/>
      <c r="T934" s="6"/>
      <c r="U934" s="6"/>
      <c r="V934" s="6"/>
      <c r="W934" s="6"/>
    </row>
    <row r="935" spans="1:23" ht="16" x14ac:dyDescent="0.2">
      <c r="A935" s="6"/>
      <c r="B935" s="7"/>
      <c r="C935" s="7"/>
      <c r="D935" s="7"/>
      <c r="E935" s="7"/>
      <c r="F935" s="6"/>
      <c r="G935" s="6"/>
      <c r="H935" s="6"/>
      <c r="I935" s="6"/>
      <c r="J935" s="6"/>
      <c r="K935" s="6"/>
      <c r="L935" s="6"/>
      <c r="M935" s="6"/>
      <c r="N935" s="6"/>
      <c r="O935" s="6"/>
      <c r="P935" s="6"/>
      <c r="Q935" s="6"/>
      <c r="R935" s="6"/>
      <c r="S935" s="6"/>
      <c r="T935" s="6"/>
      <c r="U935" s="6"/>
      <c r="V935" s="6"/>
      <c r="W935" s="6"/>
    </row>
    <row r="936" spans="1:23" ht="16" x14ac:dyDescent="0.2">
      <c r="A936" s="6"/>
      <c r="B936" s="7"/>
      <c r="C936" s="7"/>
      <c r="D936" s="7"/>
      <c r="E936" s="7"/>
      <c r="F936" s="6"/>
      <c r="G936" s="6"/>
      <c r="H936" s="6"/>
      <c r="I936" s="6"/>
      <c r="J936" s="6"/>
      <c r="K936" s="6"/>
      <c r="L936" s="6"/>
      <c r="M936" s="6"/>
      <c r="N936" s="6"/>
      <c r="O936" s="6"/>
      <c r="P936" s="6"/>
      <c r="Q936" s="6"/>
      <c r="R936" s="6"/>
      <c r="S936" s="6"/>
      <c r="T936" s="6"/>
      <c r="U936" s="6"/>
      <c r="V936" s="6"/>
      <c r="W936" s="6"/>
    </row>
    <row r="937" spans="1:23" ht="16" x14ac:dyDescent="0.2">
      <c r="A937" s="6"/>
      <c r="B937" s="7"/>
      <c r="C937" s="7"/>
      <c r="D937" s="7"/>
      <c r="E937" s="7"/>
      <c r="F937" s="6"/>
      <c r="G937" s="6"/>
      <c r="H937" s="6"/>
      <c r="I937" s="6"/>
      <c r="J937" s="6"/>
      <c r="K937" s="6"/>
      <c r="L937" s="6"/>
      <c r="M937" s="6"/>
      <c r="N937" s="6"/>
      <c r="O937" s="6"/>
      <c r="P937" s="6"/>
      <c r="Q937" s="6"/>
      <c r="R937" s="6"/>
      <c r="S937" s="6"/>
      <c r="T937" s="6"/>
      <c r="U937" s="6"/>
      <c r="V937" s="6"/>
      <c r="W937" s="6"/>
    </row>
    <row r="938" spans="1:23" ht="16" x14ac:dyDescent="0.2">
      <c r="A938" s="6"/>
      <c r="B938" s="7"/>
      <c r="C938" s="7"/>
      <c r="D938" s="7"/>
      <c r="E938" s="7"/>
      <c r="F938" s="6"/>
      <c r="G938" s="6"/>
      <c r="H938" s="6"/>
      <c r="I938" s="6"/>
      <c r="J938" s="6"/>
      <c r="K938" s="6"/>
      <c r="L938" s="6"/>
      <c r="M938" s="6"/>
      <c r="N938" s="6"/>
      <c r="O938" s="6"/>
      <c r="P938" s="6"/>
      <c r="Q938" s="6"/>
      <c r="R938" s="6"/>
      <c r="S938" s="6"/>
      <c r="T938" s="6"/>
      <c r="U938" s="6"/>
      <c r="V938" s="6"/>
      <c r="W938" s="6"/>
    </row>
    <row r="939" spans="1:23" ht="16" x14ac:dyDescent="0.2">
      <c r="A939" s="6"/>
      <c r="B939" s="7"/>
      <c r="C939" s="7"/>
      <c r="D939" s="7"/>
      <c r="E939" s="7"/>
      <c r="F939" s="6"/>
      <c r="G939" s="6"/>
      <c r="H939" s="6"/>
      <c r="I939" s="6"/>
      <c r="J939" s="6"/>
      <c r="K939" s="6"/>
      <c r="L939" s="6"/>
      <c r="M939" s="6"/>
      <c r="N939" s="6"/>
      <c r="O939" s="6"/>
      <c r="P939" s="6"/>
      <c r="Q939" s="6"/>
      <c r="R939" s="6"/>
      <c r="S939" s="6"/>
      <c r="T939" s="6"/>
      <c r="U939" s="6"/>
      <c r="V939" s="6"/>
      <c r="W939" s="6"/>
    </row>
    <row r="940" spans="1:23" ht="16" x14ac:dyDescent="0.2">
      <c r="A940" s="6"/>
      <c r="B940" s="7"/>
      <c r="C940" s="7"/>
      <c r="D940" s="7"/>
      <c r="E940" s="7"/>
      <c r="F940" s="6"/>
      <c r="G940" s="6"/>
      <c r="H940" s="6"/>
      <c r="I940" s="6"/>
      <c r="J940" s="6"/>
      <c r="K940" s="6"/>
      <c r="L940" s="6"/>
      <c r="M940" s="6"/>
      <c r="N940" s="6"/>
      <c r="O940" s="6"/>
      <c r="P940" s="6"/>
      <c r="Q940" s="6"/>
      <c r="R940" s="6"/>
      <c r="S940" s="6"/>
      <c r="T940" s="6"/>
      <c r="U940" s="6"/>
      <c r="V940" s="6"/>
      <c r="W940" s="6"/>
    </row>
    <row r="941" spans="1:23" ht="16" x14ac:dyDescent="0.2">
      <c r="A941" s="6"/>
      <c r="B941" s="7"/>
      <c r="C941" s="7"/>
      <c r="D941" s="7"/>
      <c r="E941" s="7"/>
      <c r="F941" s="6"/>
      <c r="G941" s="6"/>
      <c r="H941" s="6"/>
      <c r="I941" s="6"/>
      <c r="J941" s="6"/>
      <c r="K941" s="6"/>
      <c r="L941" s="6"/>
      <c r="M941" s="6"/>
      <c r="N941" s="6"/>
      <c r="O941" s="6"/>
      <c r="P941" s="6"/>
      <c r="Q941" s="6"/>
      <c r="R941" s="6"/>
      <c r="S941" s="6"/>
      <c r="T941" s="6"/>
      <c r="U941" s="6"/>
      <c r="V941" s="6"/>
      <c r="W941" s="6"/>
    </row>
    <row r="942" spans="1:23" ht="16" x14ac:dyDescent="0.2">
      <c r="A942" s="6"/>
      <c r="B942" s="7"/>
      <c r="C942" s="7"/>
      <c r="D942" s="7"/>
      <c r="E942" s="7"/>
      <c r="F942" s="6"/>
      <c r="G942" s="6"/>
      <c r="H942" s="6"/>
      <c r="I942" s="6"/>
      <c r="J942" s="6"/>
      <c r="K942" s="6"/>
      <c r="L942" s="6"/>
      <c r="M942" s="6"/>
      <c r="N942" s="6"/>
      <c r="O942" s="6"/>
      <c r="P942" s="6"/>
      <c r="Q942" s="6"/>
      <c r="R942" s="6"/>
      <c r="S942" s="6"/>
      <c r="T942" s="6"/>
      <c r="U942" s="6"/>
      <c r="V942" s="6"/>
      <c r="W942" s="6"/>
    </row>
    <row r="943" spans="1:23" ht="16" x14ac:dyDescent="0.2">
      <c r="A943" s="6"/>
      <c r="B943" s="7"/>
      <c r="C943" s="7"/>
      <c r="D943" s="7"/>
      <c r="E943" s="7"/>
      <c r="F943" s="6"/>
      <c r="G943" s="6"/>
      <c r="H943" s="6"/>
      <c r="I943" s="6"/>
      <c r="J943" s="6"/>
      <c r="K943" s="6"/>
      <c r="L943" s="6"/>
      <c r="M943" s="6"/>
      <c r="N943" s="6"/>
      <c r="O943" s="6"/>
      <c r="P943" s="6"/>
      <c r="Q943" s="6"/>
      <c r="R943" s="6"/>
      <c r="S943" s="6"/>
      <c r="T943" s="6"/>
      <c r="U943" s="6"/>
      <c r="V943" s="6"/>
      <c r="W943" s="6"/>
    </row>
    <row r="944" spans="1:23" ht="16" x14ac:dyDescent="0.2">
      <c r="A944" s="6"/>
      <c r="B944" s="7"/>
      <c r="C944" s="7"/>
      <c r="D944" s="7"/>
      <c r="E944" s="7"/>
      <c r="F944" s="6"/>
      <c r="G944" s="6"/>
      <c r="H944" s="6"/>
      <c r="I944" s="6"/>
      <c r="J944" s="6"/>
      <c r="K944" s="6"/>
      <c r="L944" s="6"/>
      <c r="M944" s="6"/>
      <c r="N944" s="6"/>
      <c r="O944" s="6"/>
      <c r="P944" s="6"/>
      <c r="Q944" s="6"/>
      <c r="R944" s="6"/>
      <c r="S944" s="6"/>
      <c r="T944" s="6"/>
      <c r="U944" s="6"/>
      <c r="V944" s="6"/>
      <c r="W944" s="6"/>
    </row>
    <row r="945" spans="1:23" ht="16" x14ac:dyDescent="0.2">
      <c r="A945" s="6"/>
      <c r="B945" s="7"/>
      <c r="C945" s="7"/>
      <c r="D945" s="7"/>
      <c r="E945" s="7"/>
      <c r="F945" s="6"/>
      <c r="G945" s="6"/>
      <c r="H945" s="6"/>
      <c r="I945" s="6"/>
      <c r="J945" s="6"/>
      <c r="K945" s="6"/>
      <c r="L945" s="6"/>
      <c r="M945" s="6"/>
      <c r="N945" s="6"/>
      <c r="O945" s="6"/>
      <c r="P945" s="6"/>
      <c r="Q945" s="6"/>
      <c r="R945" s="6"/>
      <c r="S945" s="6"/>
      <c r="T945" s="6"/>
      <c r="U945" s="6"/>
      <c r="V945" s="6"/>
      <c r="W945" s="6"/>
    </row>
    <row r="946" spans="1:23" ht="16" x14ac:dyDescent="0.2">
      <c r="A946" s="6"/>
      <c r="B946" s="7"/>
      <c r="C946" s="7"/>
      <c r="D946" s="7"/>
      <c r="E946" s="7"/>
      <c r="F946" s="6"/>
      <c r="G946" s="6"/>
      <c r="H946" s="6"/>
      <c r="I946" s="6"/>
      <c r="J946" s="6"/>
      <c r="K946" s="6"/>
      <c r="L946" s="6"/>
      <c r="M946" s="6"/>
      <c r="N946" s="6"/>
      <c r="O946" s="6"/>
      <c r="P946" s="6"/>
      <c r="Q946" s="6"/>
      <c r="R946" s="6"/>
      <c r="S946" s="6"/>
      <c r="T946" s="6"/>
      <c r="U946" s="6"/>
      <c r="V946" s="6"/>
      <c r="W946" s="6"/>
    </row>
    <row r="947" spans="1:23" ht="16" x14ac:dyDescent="0.2">
      <c r="A947" s="6"/>
      <c r="B947" s="7"/>
      <c r="C947" s="7"/>
      <c r="D947" s="7"/>
      <c r="E947" s="7"/>
      <c r="F947" s="6"/>
      <c r="G947" s="6"/>
      <c r="H947" s="6"/>
      <c r="I947" s="6"/>
      <c r="J947" s="6"/>
      <c r="K947" s="6"/>
      <c r="L947" s="6"/>
      <c r="M947" s="6"/>
      <c r="N947" s="6"/>
      <c r="O947" s="6"/>
      <c r="P947" s="6"/>
      <c r="Q947" s="6"/>
      <c r="R947" s="6"/>
      <c r="S947" s="6"/>
      <c r="T947" s="6"/>
      <c r="U947" s="6"/>
      <c r="V947" s="6"/>
      <c r="W947" s="6"/>
    </row>
    <row r="948" spans="1:23" ht="16" x14ac:dyDescent="0.2">
      <c r="A948" s="6"/>
      <c r="B948" s="7"/>
      <c r="C948" s="7"/>
      <c r="D948" s="7"/>
      <c r="E948" s="7"/>
      <c r="F948" s="6"/>
      <c r="G948" s="6"/>
      <c r="H948" s="6"/>
      <c r="I948" s="6"/>
      <c r="J948" s="6"/>
      <c r="K948" s="6"/>
      <c r="L948" s="6"/>
      <c r="M948" s="6"/>
      <c r="N948" s="6"/>
      <c r="O948" s="6"/>
      <c r="P948" s="6"/>
      <c r="Q948" s="6"/>
      <c r="R948" s="6"/>
      <c r="S948" s="6"/>
      <c r="T948" s="6"/>
      <c r="U948" s="6"/>
      <c r="V948" s="6"/>
      <c r="W948" s="6"/>
    </row>
    <row r="949" spans="1:23" ht="16" x14ac:dyDescent="0.2">
      <c r="A949" s="6"/>
      <c r="B949" s="7"/>
      <c r="C949" s="7"/>
      <c r="D949" s="7"/>
      <c r="E949" s="7"/>
      <c r="F949" s="6"/>
      <c r="G949" s="6"/>
      <c r="H949" s="6"/>
      <c r="I949" s="6"/>
      <c r="J949" s="6"/>
      <c r="K949" s="6"/>
      <c r="L949" s="6"/>
      <c r="M949" s="6"/>
      <c r="N949" s="6"/>
      <c r="O949" s="6"/>
      <c r="P949" s="6"/>
      <c r="Q949" s="6"/>
      <c r="R949" s="6"/>
      <c r="S949" s="6"/>
      <c r="T949" s="6"/>
      <c r="U949" s="6"/>
      <c r="V949" s="6"/>
      <c r="W949" s="6"/>
    </row>
    <row r="950" spans="1:23" ht="16" x14ac:dyDescent="0.2">
      <c r="A950" s="6"/>
      <c r="B950" s="7"/>
      <c r="C950" s="7"/>
      <c r="D950" s="7"/>
      <c r="E950" s="7"/>
      <c r="F950" s="6"/>
      <c r="G950" s="6"/>
      <c r="H950" s="6"/>
      <c r="I950" s="6"/>
      <c r="J950" s="6"/>
      <c r="K950" s="6"/>
      <c r="L950" s="6"/>
      <c r="M950" s="6"/>
      <c r="N950" s="6"/>
      <c r="O950" s="6"/>
      <c r="P950" s="6"/>
      <c r="Q950" s="6"/>
      <c r="R950" s="6"/>
      <c r="S950" s="6"/>
      <c r="T950" s="6"/>
      <c r="U950" s="6"/>
      <c r="V950" s="6"/>
      <c r="W950" s="6"/>
    </row>
    <row r="951" spans="1:23" ht="16" x14ac:dyDescent="0.2">
      <c r="A951" s="6"/>
      <c r="B951" s="7"/>
      <c r="C951" s="7"/>
      <c r="D951" s="7"/>
      <c r="E951" s="7"/>
      <c r="F951" s="6"/>
      <c r="G951" s="6"/>
      <c r="H951" s="6"/>
      <c r="I951" s="6"/>
      <c r="J951" s="6"/>
      <c r="K951" s="6"/>
      <c r="L951" s="6"/>
      <c r="M951" s="6"/>
      <c r="N951" s="6"/>
      <c r="O951" s="6"/>
      <c r="P951" s="6"/>
      <c r="Q951" s="6"/>
      <c r="R951" s="6"/>
      <c r="S951" s="6"/>
      <c r="T951" s="6"/>
      <c r="U951" s="6"/>
      <c r="V951" s="6"/>
      <c r="W951" s="6"/>
    </row>
    <row r="952" spans="1:23" ht="16" x14ac:dyDescent="0.2">
      <c r="A952" s="6"/>
      <c r="B952" s="7"/>
      <c r="C952" s="7"/>
      <c r="D952" s="7"/>
      <c r="E952" s="7"/>
      <c r="F952" s="6"/>
      <c r="G952" s="6"/>
      <c r="H952" s="6"/>
      <c r="I952" s="6"/>
      <c r="J952" s="6"/>
      <c r="K952" s="6"/>
      <c r="L952" s="6"/>
      <c r="M952" s="6"/>
      <c r="N952" s="6"/>
      <c r="O952" s="6"/>
      <c r="P952" s="6"/>
      <c r="Q952" s="6"/>
      <c r="R952" s="6"/>
      <c r="S952" s="6"/>
      <c r="T952" s="6"/>
      <c r="U952" s="6"/>
      <c r="V952" s="6"/>
      <c r="W952" s="6"/>
    </row>
    <row r="953" spans="1:23" ht="16" x14ac:dyDescent="0.2">
      <c r="A953" s="6"/>
      <c r="B953" s="7"/>
      <c r="C953" s="7"/>
      <c r="D953" s="7"/>
      <c r="E953" s="7"/>
      <c r="F953" s="6"/>
      <c r="G953" s="6"/>
      <c r="H953" s="6"/>
      <c r="I953" s="6"/>
      <c r="J953" s="6"/>
      <c r="K953" s="6"/>
      <c r="L953" s="6"/>
      <c r="M953" s="6"/>
      <c r="N953" s="6"/>
      <c r="O953" s="6"/>
      <c r="P953" s="6"/>
      <c r="Q953" s="6"/>
      <c r="R953" s="6"/>
      <c r="S953" s="6"/>
      <c r="T953" s="6"/>
      <c r="U953" s="6"/>
      <c r="V953" s="6"/>
      <c r="W953" s="6"/>
    </row>
    <row r="954" spans="1:23" ht="16" x14ac:dyDescent="0.2">
      <c r="A954" s="6"/>
      <c r="B954" s="7"/>
      <c r="C954" s="7"/>
      <c r="D954" s="7"/>
      <c r="E954" s="7"/>
      <c r="F954" s="6"/>
      <c r="G954" s="6"/>
      <c r="H954" s="6"/>
      <c r="I954" s="6"/>
      <c r="J954" s="6"/>
      <c r="K954" s="6"/>
      <c r="L954" s="6"/>
      <c r="M954" s="6"/>
      <c r="N954" s="6"/>
      <c r="O954" s="6"/>
      <c r="P954" s="6"/>
      <c r="Q954" s="6"/>
      <c r="R954" s="6"/>
      <c r="S954" s="6"/>
      <c r="T954" s="6"/>
      <c r="U954" s="6"/>
      <c r="V954" s="6"/>
      <c r="W954" s="6"/>
    </row>
    <row r="955" spans="1:23" ht="16" x14ac:dyDescent="0.2">
      <c r="A955" s="6"/>
      <c r="B955" s="7"/>
      <c r="C955" s="7"/>
      <c r="D955" s="7"/>
      <c r="E955" s="7"/>
      <c r="F955" s="6"/>
      <c r="G955" s="6"/>
      <c r="H955" s="6"/>
      <c r="I955" s="6"/>
      <c r="J955" s="6"/>
      <c r="K955" s="6"/>
      <c r="L955" s="6"/>
      <c r="M955" s="6"/>
      <c r="N955" s="6"/>
      <c r="O955" s="6"/>
      <c r="P955" s="6"/>
      <c r="Q955" s="6"/>
      <c r="R955" s="6"/>
      <c r="S955" s="6"/>
      <c r="T955" s="6"/>
      <c r="U955" s="6"/>
      <c r="V955" s="6"/>
      <c r="W955" s="6"/>
    </row>
    <row r="956" spans="1:23" ht="16" x14ac:dyDescent="0.2">
      <c r="A956" s="6"/>
      <c r="B956" s="7"/>
      <c r="C956" s="7"/>
      <c r="D956" s="7"/>
      <c r="E956" s="7"/>
      <c r="F956" s="6"/>
      <c r="G956" s="6"/>
      <c r="H956" s="6"/>
      <c r="I956" s="6"/>
      <c r="J956" s="6"/>
      <c r="K956" s="6"/>
      <c r="L956" s="6"/>
      <c r="M956" s="6"/>
      <c r="N956" s="6"/>
      <c r="O956" s="6"/>
      <c r="P956" s="6"/>
      <c r="Q956" s="6"/>
      <c r="R956" s="6"/>
      <c r="S956" s="6"/>
      <c r="T956" s="6"/>
      <c r="U956" s="6"/>
      <c r="V956" s="6"/>
      <c r="W956" s="6"/>
    </row>
    <row r="957" spans="1:23" ht="16" x14ac:dyDescent="0.2">
      <c r="A957" s="6"/>
      <c r="B957" s="7"/>
      <c r="C957" s="7"/>
      <c r="D957" s="7"/>
      <c r="E957" s="7"/>
      <c r="F957" s="6"/>
      <c r="G957" s="6"/>
      <c r="H957" s="6"/>
      <c r="I957" s="6"/>
      <c r="J957" s="6"/>
      <c r="K957" s="6"/>
      <c r="L957" s="6"/>
      <c r="M957" s="6"/>
      <c r="N957" s="6"/>
      <c r="O957" s="6"/>
      <c r="P957" s="6"/>
      <c r="Q957" s="6"/>
      <c r="R957" s="6"/>
      <c r="S957" s="6"/>
      <c r="T957" s="6"/>
      <c r="U957" s="6"/>
      <c r="V957" s="6"/>
      <c r="W957" s="6"/>
    </row>
    <row r="958" spans="1:23" ht="16" x14ac:dyDescent="0.2">
      <c r="A958" s="6"/>
      <c r="B958" s="7"/>
      <c r="C958" s="7"/>
      <c r="D958" s="7"/>
      <c r="E958" s="7"/>
      <c r="F958" s="6"/>
      <c r="G958" s="6"/>
      <c r="H958" s="6"/>
      <c r="I958" s="6"/>
      <c r="J958" s="6"/>
      <c r="K958" s="6"/>
      <c r="L958" s="6"/>
      <c r="M958" s="6"/>
      <c r="N958" s="6"/>
      <c r="O958" s="6"/>
      <c r="P958" s="6"/>
      <c r="Q958" s="6"/>
      <c r="R958" s="6"/>
      <c r="S958" s="6"/>
      <c r="T958" s="6"/>
      <c r="U958" s="6"/>
      <c r="V958" s="6"/>
      <c r="W958" s="6"/>
    </row>
    <row r="959" spans="1:23" ht="16" x14ac:dyDescent="0.2">
      <c r="A959" s="6"/>
      <c r="B959" s="7"/>
      <c r="C959" s="7"/>
      <c r="D959" s="7"/>
      <c r="E959" s="7"/>
      <c r="F959" s="6"/>
      <c r="G959" s="6"/>
      <c r="H959" s="6"/>
      <c r="I959" s="6"/>
      <c r="J959" s="6"/>
      <c r="K959" s="6"/>
      <c r="L959" s="6"/>
      <c r="M959" s="6"/>
      <c r="N959" s="6"/>
      <c r="O959" s="6"/>
      <c r="P959" s="6"/>
      <c r="Q959" s="6"/>
      <c r="R959" s="6"/>
      <c r="S959" s="6"/>
      <c r="T959" s="6"/>
      <c r="U959" s="6"/>
      <c r="V959" s="6"/>
      <c r="W959" s="6"/>
    </row>
    <row r="960" spans="1:23" ht="16" x14ac:dyDescent="0.2">
      <c r="A960" s="6"/>
      <c r="B960" s="7"/>
      <c r="C960" s="7"/>
      <c r="D960" s="7"/>
      <c r="E960" s="7"/>
      <c r="F960" s="6"/>
      <c r="G960" s="6"/>
      <c r="H960" s="6"/>
      <c r="I960" s="6"/>
      <c r="J960" s="6"/>
      <c r="K960" s="6"/>
      <c r="L960" s="6"/>
      <c r="M960" s="6"/>
      <c r="N960" s="6"/>
      <c r="O960" s="6"/>
      <c r="P960" s="6"/>
      <c r="Q960" s="6"/>
      <c r="R960" s="6"/>
      <c r="S960" s="6"/>
      <c r="T960" s="6"/>
      <c r="U960" s="6"/>
      <c r="V960" s="6"/>
      <c r="W960" s="6"/>
    </row>
    <row r="961" spans="1:23" ht="16" x14ac:dyDescent="0.2">
      <c r="A961" s="6"/>
      <c r="B961" s="7"/>
      <c r="C961" s="7"/>
      <c r="D961" s="7"/>
      <c r="E961" s="7"/>
      <c r="F961" s="6"/>
      <c r="G961" s="6"/>
      <c r="H961" s="6"/>
      <c r="I961" s="6"/>
      <c r="J961" s="6"/>
      <c r="K961" s="6"/>
      <c r="L961" s="6"/>
      <c r="M961" s="6"/>
      <c r="N961" s="6"/>
      <c r="O961" s="6"/>
      <c r="P961" s="6"/>
      <c r="Q961" s="6"/>
      <c r="R961" s="6"/>
      <c r="S961" s="6"/>
      <c r="T961" s="6"/>
      <c r="U961" s="6"/>
      <c r="V961" s="6"/>
      <c r="W961" s="6"/>
    </row>
    <row r="962" spans="1:23" ht="16" x14ac:dyDescent="0.2">
      <c r="A962" s="6"/>
      <c r="B962" s="7"/>
      <c r="C962" s="7"/>
      <c r="D962" s="7"/>
      <c r="E962" s="7"/>
      <c r="F962" s="6"/>
      <c r="G962" s="6"/>
      <c r="H962" s="6"/>
      <c r="I962" s="6"/>
      <c r="J962" s="6"/>
      <c r="K962" s="6"/>
      <c r="L962" s="6"/>
      <c r="M962" s="6"/>
      <c r="N962" s="6"/>
      <c r="O962" s="6"/>
      <c r="P962" s="6"/>
      <c r="Q962" s="6"/>
      <c r="R962" s="6"/>
      <c r="S962" s="6"/>
      <c r="T962" s="6"/>
      <c r="U962" s="6"/>
      <c r="V962" s="6"/>
      <c r="W962" s="6"/>
    </row>
    <row r="963" spans="1:23" ht="16" x14ac:dyDescent="0.2">
      <c r="A963" s="6"/>
      <c r="B963" s="7"/>
      <c r="C963" s="7"/>
      <c r="D963" s="7"/>
      <c r="E963" s="7"/>
      <c r="F963" s="6"/>
      <c r="G963" s="6"/>
      <c r="H963" s="6"/>
      <c r="I963" s="6"/>
      <c r="J963" s="6"/>
      <c r="K963" s="6"/>
      <c r="L963" s="6"/>
      <c r="M963" s="6"/>
      <c r="N963" s="6"/>
      <c r="O963" s="6"/>
      <c r="P963" s="6"/>
      <c r="Q963" s="6"/>
      <c r="R963" s="6"/>
      <c r="S963" s="6"/>
      <c r="T963" s="6"/>
      <c r="U963" s="6"/>
      <c r="V963" s="6"/>
      <c r="W963" s="6"/>
    </row>
    <row r="964" spans="1:23" ht="16" x14ac:dyDescent="0.2">
      <c r="A964" s="6"/>
      <c r="B964" s="7"/>
      <c r="C964" s="7"/>
      <c r="D964" s="7"/>
      <c r="E964" s="7"/>
      <c r="F964" s="6"/>
      <c r="G964" s="6"/>
      <c r="H964" s="6"/>
      <c r="I964" s="6"/>
      <c r="J964" s="6"/>
      <c r="K964" s="6"/>
      <c r="L964" s="6"/>
      <c r="M964" s="6"/>
      <c r="N964" s="6"/>
      <c r="O964" s="6"/>
      <c r="P964" s="6"/>
      <c r="Q964" s="6"/>
      <c r="R964" s="6"/>
      <c r="S964" s="6"/>
      <c r="T964" s="6"/>
      <c r="U964" s="6"/>
      <c r="V964" s="6"/>
      <c r="W964" s="6"/>
    </row>
    <row r="965" spans="1:23" ht="16" x14ac:dyDescent="0.2">
      <c r="A965" s="6"/>
      <c r="B965" s="7"/>
      <c r="C965" s="7"/>
      <c r="D965" s="7"/>
      <c r="E965" s="7"/>
      <c r="F965" s="6"/>
      <c r="G965" s="6"/>
      <c r="H965" s="6"/>
      <c r="I965" s="6"/>
      <c r="J965" s="6"/>
      <c r="K965" s="6"/>
      <c r="L965" s="6"/>
      <c r="M965" s="6"/>
      <c r="N965" s="6"/>
      <c r="O965" s="6"/>
      <c r="P965" s="6"/>
      <c r="Q965" s="6"/>
      <c r="R965" s="6"/>
      <c r="S965" s="6"/>
      <c r="T965" s="6"/>
      <c r="U965" s="6"/>
      <c r="V965" s="6"/>
      <c r="W965" s="6"/>
    </row>
    <row r="966" spans="1:23" ht="16" x14ac:dyDescent="0.2">
      <c r="A966" s="6"/>
      <c r="B966" s="7"/>
      <c r="C966" s="7"/>
      <c r="D966" s="7"/>
      <c r="E966" s="7"/>
      <c r="F966" s="6"/>
      <c r="G966" s="6"/>
      <c r="H966" s="6"/>
      <c r="I966" s="6"/>
      <c r="J966" s="6"/>
      <c r="K966" s="6"/>
      <c r="L966" s="6"/>
      <c r="M966" s="6"/>
      <c r="N966" s="6"/>
      <c r="O966" s="6"/>
      <c r="P966" s="6"/>
      <c r="Q966" s="6"/>
      <c r="R966" s="6"/>
      <c r="S966" s="6"/>
      <c r="T966" s="6"/>
      <c r="U966" s="6"/>
      <c r="V966" s="6"/>
      <c r="W966" s="6"/>
    </row>
    <row r="967" spans="1:23" ht="16" x14ac:dyDescent="0.2">
      <c r="A967" s="6"/>
      <c r="B967" s="7"/>
      <c r="C967" s="7"/>
      <c r="D967" s="7"/>
      <c r="E967" s="7"/>
      <c r="F967" s="6"/>
      <c r="G967" s="6"/>
      <c r="H967" s="6"/>
      <c r="I967" s="6"/>
      <c r="J967" s="6"/>
      <c r="K967" s="6"/>
      <c r="L967" s="6"/>
      <c r="M967" s="6"/>
      <c r="N967" s="6"/>
      <c r="O967" s="6"/>
      <c r="P967" s="6"/>
      <c r="Q967" s="6"/>
      <c r="R967" s="6"/>
      <c r="S967" s="6"/>
      <c r="T967" s="6"/>
      <c r="U967" s="6"/>
      <c r="V967" s="6"/>
      <c r="W967" s="6"/>
    </row>
    <row r="968" spans="1:23" ht="16" x14ac:dyDescent="0.2">
      <c r="A968" s="6"/>
      <c r="B968" s="7"/>
      <c r="C968" s="7"/>
      <c r="D968" s="7"/>
      <c r="E968" s="7"/>
      <c r="F968" s="6"/>
      <c r="G968" s="6"/>
      <c r="H968" s="6"/>
      <c r="I968" s="6"/>
      <c r="J968" s="6"/>
      <c r="K968" s="6"/>
      <c r="L968" s="6"/>
      <c r="M968" s="6"/>
      <c r="N968" s="6"/>
      <c r="O968" s="6"/>
      <c r="P968" s="6"/>
      <c r="Q968" s="6"/>
      <c r="R968" s="6"/>
      <c r="S968" s="6"/>
      <c r="T968" s="6"/>
      <c r="U968" s="6"/>
      <c r="V968" s="6"/>
      <c r="W968" s="6"/>
    </row>
    <row r="969" spans="1:23" ht="16" x14ac:dyDescent="0.2">
      <c r="A969" s="6"/>
      <c r="B969" s="7"/>
      <c r="C969" s="7"/>
      <c r="D969" s="7"/>
      <c r="E969" s="7"/>
      <c r="F969" s="6"/>
      <c r="G969" s="6"/>
      <c r="H969" s="6"/>
      <c r="I969" s="6"/>
      <c r="J969" s="6"/>
      <c r="K969" s="6"/>
      <c r="L969" s="6"/>
      <c r="M969" s="6"/>
      <c r="N969" s="6"/>
      <c r="O969" s="6"/>
      <c r="P969" s="6"/>
      <c r="Q969" s="6"/>
      <c r="R969" s="6"/>
      <c r="S969" s="6"/>
      <c r="T969" s="6"/>
      <c r="U969" s="6"/>
      <c r="V969" s="6"/>
      <c r="W969" s="6"/>
    </row>
    <row r="970" spans="1:23" ht="16" x14ac:dyDescent="0.2">
      <c r="A970" s="6"/>
      <c r="B970" s="7"/>
      <c r="C970" s="7"/>
      <c r="D970" s="7"/>
      <c r="E970" s="7"/>
      <c r="F970" s="6"/>
      <c r="G970" s="6"/>
      <c r="H970" s="6"/>
      <c r="I970" s="6"/>
      <c r="J970" s="6"/>
      <c r="K970" s="6"/>
      <c r="L970" s="6"/>
      <c r="M970" s="6"/>
      <c r="N970" s="6"/>
      <c r="O970" s="6"/>
      <c r="P970" s="6"/>
      <c r="Q970" s="6"/>
      <c r="R970" s="6"/>
      <c r="S970" s="6"/>
      <c r="T970" s="6"/>
      <c r="U970" s="6"/>
      <c r="V970" s="6"/>
      <c r="W970" s="6"/>
    </row>
    <row r="971" spans="1:23" ht="16" x14ac:dyDescent="0.2">
      <c r="A971" s="6"/>
      <c r="B971" s="7"/>
      <c r="C971" s="7"/>
      <c r="D971" s="7"/>
      <c r="E971" s="7"/>
      <c r="F971" s="6"/>
      <c r="G971" s="6"/>
      <c r="H971" s="6"/>
      <c r="I971" s="6"/>
      <c r="J971" s="6"/>
      <c r="K971" s="6"/>
      <c r="L971" s="6"/>
      <c r="M971" s="6"/>
      <c r="N971" s="6"/>
      <c r="O971" s="6"/>
      <c r="P971" s="6"/>
      <c r="Q971" s="6"/>
      <c r="R971" s="6"/>
      <c r="S971" s="6"/>
      <c r="T971" s="6"/>
      <c r="U971" s="6"/>
      <c r="V971" s="6"/>
      <c r="W971" s="6"/>
    </row>
    <row r="972" spans="1:23" ht="16" x14ac:dyDescent="0.2">
      <c r="A972" s="6"/>
      <c r="B972" s="7"/>
      <c r="C972" s="7"/>
      <c r="D972" s="7"/>
      <c r="E972" s="7"/>
      <c r="F972" s="6"/>
      <c r="G972" s="6"/>
      <c r="H972" s="6"/>
      <c r="I972" s="6"/>
      <c r="J972" s="6"/>
      <c r="K972" s="6"/>
      <c r="L972" s="6"/>
      <c r="M972" s="6"/>
      <c r="N972" s="6"/>
      <c r="O972" s="6"/>
      <c r="P972" s="6"/>
      <c r="Q972" s="6"/>
      <c r="R972" s="6"/>
      <c r="S972" s="6"/>
      <c r="T972" s="6"/>
      <c r="U972" s="6"/>
      <c r="V972" s="6"/>
      <c r="W972" s="6"/>
    </row>
    <row r="973" spans="1:23" ht="16" x14ac:dyDescent="0.2">
      <c r="A973" s="6"/>
      <c r="B973" s="7"/>
      <c r="C973" s="7"/>
      <c r="D973" s="7"/>
      <c r="E973" s="7"/>
      <c r="F973" s="6"/>
      <c r="G973" s="6"/>
      <c r="H973" s="6"/>
      <c r="I973" s="6"/>
      <c r="J973" s="6"/>
      <c r="K973" s="6"/>
      <c r="L973" s="6"/>
      <c r="M973" s="6"/>
      <c r="N973" s="6"/>
      <c r="O973" s="6"/>
      <c r="P973" s="6"/>
      <c r="Q973" s="6"/>
      <c r="R973" s="6"/>
      <c r="S973" s="6"/>
      <c r="T973" s="6"/>
      <c r="U973" s="6"/>
      <c r="V973" s="6"/>
      <c r="W973" s="6"/>
    </row>
    <row r="974" spans="1:23" ht="16" x14ac:dyDescent="0.2">
      <c r="A974" s="6"/>
      <c r="B974" s="7"/>
      <c r="C974" s="7"/>
      <c r="D974" s="7"/>
      <c r="E974" s="7"/>
      <c r="F974" s="6"/>
      <c r="G974" s="6"/>
      <c r="H974" s="6"/>
      <c r="I974" s="6"/>
      <c r="J974" s="6"/>
      <c r="K974" s="6"/>
      <c r="L974" s="6"/>
      <c r="M974" s="6"/>
      <c r="N974" s="6"/>
      <c r="O974" s="6"/>
      <c r="P974" s="6"/>
      <c r="Q974" s="6"/>
      <c r="R974" s="6"/>
      <c r="S974" s="6"/>
      <c r="T974" s="6"/>
      <c r="U974" s="6"/>
      <c r="V974" s="6"/>
      <c r="W974" s="6"/>
    </row>
    <row r="975" spans="1:23" ht="16" x14ac:dyDescent="0.2">
      <c r="A975" s="6"/>
      <c r="B975" s="7"/>
      <c r="C975" s="7"/>
      <c r="D975" s="7"/>
      <c r="E975" s="7"/>
      <c r="F975" s="6"/>
      <c r="G975" s="6"/>
      <c r="H975" s="6"/>
      <c r="I975" s="6"/>
      <c r="J975" s="6"/>
      <c r="K975" s="6"/>
      <c r="L975" s="6"/>
      <c r="M975" s="6"/>
      <c r="N975" s="6"/>
      <c r="O975" s="6"/>
      <c r="P975" s="6"/>
      <c r="Q975" s="6"/>
      <c r="R975" s="6"/>
      <c r="S975" s="6"/>
      <c r="T975" s="6"/>
      <c r="U975" s="6"/>
      <c r="V975" s="6"/>
      <c r="W975" s="6"/>
    </row>
    <row r="976" spans="1:23" ht="16" x14ac:dyDescent="0.2">
      <c r="A976" s="6"/>
      <c r="B976" s="7"/>
      <c r="C976" s="7"/>
      <c r="D976" s="7"/>
      <c r="E976" s="7"/>
      <c r="F976" s="6"/>
      <c r="G976" s="6"/>
      <c r="H976" s="6"/>
      <c r="I976" s="6"/>
      <c r="J976" s="6"/>
      <c r="K976" s="6"/>
      <c r="L976" s="6"/>
      <c r="M976" s="6"/>
      <c r="N976" s="6"/>
      <c r="O976" s="6"/>
      <c r="P976" s="6"/>
      <c r="Q976" s="6"/>
      <c r="R976" s="6"/>
      <c r="S976" s="6"/>
      <c r="T976" s="6"/>
      <c r="U976" s="6"/>
      <c r="V976" s="6"/>
      <c r="W976" s="6"/>
    </row>
    <row r="977" spans="1:23" ht="16" x14ac:dyDescent="0.2">
      <c r="A977" s="6"/>
      <c r="B977" s="7"/>
      <c r="C977" s="7"/>
      <c r="D977" s="7"/>
      <c r="E977" s="7"/>
      <c r="F977" s="6"/>
      <c r="G977" s="6"/>
      <c r="H977" s="6"/>
      <c r="I977" s="6"/>
      <c r="J977" s="6"/>
      <c r="K977" s="6"/>
      <c r="L977" s="6"/>
      <c r="M977" s="6"/>
      <c r="N977" s="6"/>
      <c r="O977" s="6"/>
      <c r="P977" s="6"/>
      <c r="Q977" s="6"/>
      <c r="R977" s="6"/>
      <c r="S977" s="6"/>
      <c r="T977" s="6"/>
      <c r="U977" s="6"/>
      <c r="V977" s="6"/>
      <c r="W977" s="6"/>
    </row>
    <row r="978" spans="1:23" ht="16" x14ac:dyDescent="0.2">
      <c r="A978" s="6"/>
      <c r="B978" s="7"/>
      <c r="C978" s="7"/>
      <c r="D978" s="7"/>
      <c r="E978" s="7"/>
      <c r="F978" s="6"/>
      <c r="G978" s="6"/>
      <c r="H978" s="6"/>
      <c r="I978" s="6"/>
      <c r="J978" s="6"/>
      <c r="K978" s="6"/>
      <c r="L978" s="6"/>
      <c r="M978" s="6"/>
      <c r="N978" s="6"/>
      <c r="O978" s="6"/>
      <c r="P978" s="6"/>
      <c r="Q978" s="6"/>
      <c r="R978" s="6"/>
      <c r="S978" s="6"/>
      <c r="T978" s="6"/>
      <c r="U978" s="6"/>
      <c r="V978" s="6"/>
      <c r="W978" s="6"/>
    </row>
    <row r="979" spans="1:23" ht="16" x14ac:dyDescent="0.2">
      <c r="A979" s="6"/>
      <c r="B979" s="7"/>
      <c r="C979" s="7"/>
      <c r="D979" s="7"/>
      <c r="E979" s="7"/>
      <c r="F979" s="6"/>
      <c r="G979" s="6"/>
      <c r="H979" s="6"/>
      <c r="I979" s="6"/>
      <c r="J979" s="6"/>
      <c r="K979" s="6"/>
      <c r="L979" s="6"/>
      <c r="M979" s="6"/>
      <c r="N979" s="6"/>
      <c r="O979" s="6"/>
      <c r="P979" s="6"/>
      <c r="Q979" s="6"/>
      <c r="R979" s="6"/>
      <c r="S979" s="6"/>
      <c r="T979" s="6"/>
      <c r="U979" s="6"/>
      <c r="V979" s="6"/>
      <c r="W979" s="6"/>
    </row>
    <row r="980" spans="1:23" ht="16" x14ac:dyDescent="0.2">
      <c r="A980" s="6"/>
      <c r="B980" s="7"/>
      <c r="C980" s="7"/>
      <c r="D980" s="7"/>
      <c r="E980" s="7"/>
      <c r="F980" s="6"/>
      <c r="G980" s="6"/>
      <c r="H980" s="6"/>
      <c r="I980" s="6"/>
      <c r="J980" s="6"/>
      <c r="K980" s="6"/>
      <c r="L980" s="6"/>
      <c r="M980" s="6"/>
      <c r="N980" s="6"/>
      <c r="O980" s="6"/>
      <c r="P980" s="6"/>
      <c r="Q980" s="6"/>
      <c r="R980" s="6"/>
      <c r="S980" s="6"/>
      <c r="T980" s="6"/>
      <c r="U980" s="6"/>
      <c r="V980" s="6"/>
      <c r="W980" s="6"/>
    </row>
    <row r="981" spans="1:23" ht="16" x14ac:dyDescent="0.2">
      <c r="A981" s="6"/>
      <c r="B981" s="7"/>
      <c r="C981" s="7"/>
      <c r="D981" s="7"/>
      <c r="E981" s="7"/>
      <c r="F981" s="6"/>
      <c r="G981" s="6"/>
      <c r="H981" s="6"/>
      <c r="I981" s="6"/>
      <c r="J981" s="6"/>
      <c r="K981" s="6"/>
      <c r="L981" s="6"/>
      <c r="M981" s="6"/>
      <c r="N981" s="6"/>
      <c r="O981" s="6"/>
      <c r="P981" s="6"/>
      <c r="Q981" s="6"/>
      <c r="R981" s="6"/>
      <c r="S981" s="6"/>
      <c r="T981" s="6"/>
      <c r="U981" s="6"/>
      <c r="V981" s="6"/>
      <c r="W981" s="6"/>
    </row>
    <row r="982" spans="1:23" ht="16" x14ac:dyDescent="0.2">
      <c r="A982" s="6"/>
      <c r="B982" s="7"/>
      <c r="C982" s="7"/>
      <c r="D982" s="7"/>
      <c r="E982" s="7"/>
      <c r="F982" s="6"/>
      <c r="G982" s="6"/>
      <c r="H982" s="6"/>
      <c r="I982" s="6"/>
      <c r="J982" s="6"/>
      <c r="K982" s="6"/>
      <c r="L982" s="6"/>
      <c r="M982" s="6"/>
      <c r="N982" s="6"/>
      <c r="O982" s="6"/>
      <c r="P982" s="6"/>
      <c r="Q982" s="6"/>
      <c r="R982" s="6"/>
      <c r="S982" s="6"/>
      <c r="T982" s="6"/>
      <c r="U982" s="6"/>
      <c r="V982" s="6"/>
      <c r="W982" s="6"/>
    </row>
    <row r="983" spans="1:23" ht="16" x14ac:dyDescent="0.2">
      <c r="A983" s="6"/>
      <c r="B983" s="7"/>
      <c r="C983" s="7"/>
      <c r="D983" s="7"/>
      <c r="E983" s="7"/>
      <c r="F983" s="6"/>
      <c r="G983" s="6"/>
      <c r="H983" s="6"/>
      <c r="I983" s="6"/>
      <c r="J983" s="6"/>
      <c r="K983" s="6"/>
      <c r="L983" s="6"/>
      <c r="M983" s="6"/>
      <c r="N983" s="6"/>
      <c r="O983" s="6"/>
      <c r="P983" s="6"/>
      <c r="Q983" s="6"/>
      <c r="R983" s="6"/>
      <c r="S983" s="6"/>
      <c r="T983" s="6"/>
      <c r="U983" s="6"/>
      <c r="V983" s="6"/>
      <c r="W983" s="6"/>
    </row>
    <row r="984" spans="1:23" ht="16" x14ac:dyDescent="0.2">
      <c r="A984" s="6"/>
      <c r="B984" s="7"/>
      <c r="C984" s="7"/>
      <c r="D984" s="7"/>
      <c r="E984" s="7"/>
      <c r="F984" s="6"/>
      <c r="G984" s="6"/>
      <c r="H984" s="6"/>
      <c r="I984" s="6"/>
      <c r="J984" s="6"/>
      <c r="K984" s="6"/>
      <c r="L984" s="6"/>
      <c r="M984" s="6"/>
      <c r="N984" s="6"/>
      <c r="O984" s="6"/>
      <c r="P984" s="6"/>
      <c r="Q984" s="6"/>
      <c r="R984" s="6"/>
      <c r="S984" s="6"/>
      <c r="T984" s="6"/>
      <c r="U984" s="6"/>
      <c r="V984" s="6"/>
      <c r="W984" s="6"/>
    </row>
    <row r="985" spans="1:23" ht="16" x14ac:dyDescent="0.2">
      <c r="A985" s="6"/>
      <c r="B985" s="7"/>
      <c r="C985" s="7"/>
      <c r="D985" s="7"/>
      <c r="E985" s="7"/>
      <c r="F985" s="6"/>
      <c r="G985" s="6"/>
      <c r="H985" s="6"/>
      <c r="I985" s="6"/>
      <c r="J985" s="6"/>
      <c r="K985" s="6"/>
      <c r="L985" s="6"/>
      <c r="M985" s="6"/>
      <c r="N985" s="6"/>
      <c r="O985" s="6"/>
      <c r="P985" s="6"/>
      <c r="Q985" s="6"/>
      <c r="R985" s="6"/>
      <c r="S985" s="6"/>
      <c r="T985" s="6"/>
      <c r="U985" s="6"/>
      <c r="V985" s="6"/>
      <c r="W985" s="6"/>
    </row>
    <row r="986" spans="1:23" ht="16" x14ac:dyDescent="0.2">
      <c r="A986" s="6"/>
      <c r="B986" s="7"/>
      <c r="C986" s="7"/>
      <c r="D986" s="7"/>
      <c r="E986" s="7"/>
      <c r="F986" s="6"/>
      <c r="G986" s="6"/>
      <c r="H986" s="6"/>
      <c r="I986" s="6"/>
      <c r="J986" s="6"/>
      <c r="K986" s="6"/>
      <c r="L986" s="6"/>
      <c r="M986" s="6"/>
      <c r="N986" s="6"/>
      <c r="O986" s="6"/>
      <c r="P986" s="6"/>
      <c r="Q986" s="6"/>
      <c r="R986" s="6"/>
      <c r="S986" s="6"/>
      <c r="T986" s="6"/>
      <c r="U986" s="6"/>
      <c r="V986" s="6"/>
      <c r="W986" s="6"/>
    </row>
    <row r="987" spans="1:23" ht="16" x14ac:dyDescent="0.2">
      <c r="A987" s="6"/>
      <c r="B987" s="7"/>
      <c r="C987" s="7"/>
      <c r="D987" s="7"/>
      <c r="E987" s="7"/>
      <c r="F987" s="6"/>
      <c r="G987" s="6"/>
      <c r="H987" s="6"/>
      <c r="I987" s="6"/>
      <c r="J987" s="6"/>
      <c r="K987" s="6"/>
      <c r="L987" s="6"/>
      <c r="M987" s="6"/>
      <c r="N987" s="6"/>
      <c r="O987" s="6"/>
      <c r="P987" s="6"/>
      <c r="Q987" s="6"/>
      <c r="R987" s="6"/>
      <c r="S987" s="6"/>
      <c r="T987" s="6"/>
      <c r="U987" s="6"/>
      <c r="V987" s="6"/>
      <c r="W987" s="6"/>
    </row>
    <row r="988" spans="1:23" ht="16" x14ac:dyDescent="0.2">
      <c r="A988" s="6"/>
      <c r="B988" s="7"/>
      <c r="C988" s="7"/>
      <c r="D988" s="7"/>
      <c r="E988" s="7"/>
      <c r="F988" s="6"/>
      <c r="G988" s="6"/>
      <c r="H988" s="6"/>
      <c r="I988" s="6"/>
      <c r="J988" s="6"/>
      <c r="K988" s="6"/>
      <c r="L988" s="6"/>
      <c r="M988" s="6"/>
      <c r="N988" s="6"/>
      <c r="O988" s="6"/>
      <c r="P988" s="6"/>
      <c r="Q988" s="6"/>
      <c r="R988" s="6"/>
      <c r="S988" s="6"/>
      <c r="T988" s="6"/>
      <c r="U988" s="6"/>
      <c r="V988" s="6"/>
      <c r="W988" s="6"/>
    </row>
    <row r="989" spans="1:23" ht="16" x14ac:dyDescent="0.2">
      <c r="A989" s="6"/>
      <c r="B989" s="7"/>
      <c r="C989" s="7"/>
      <c r="D989" s="7"/>
      <c r="E989" s="7"/>
      <c r="F989" s="6"/>
      <c r="G989" s="6"/>
      <c r="H989" s="6"/>
      <c r="I989" s="6"/>
      <c r="J989" s="6"/>
      <c r="K989" s="6"/>
      <c r="L989" s="6"/>
      <c r="M989" s="6"/>
      <c r="N989" s="6"/>
      <c r="O989" s="6"/>
      <c r="P989" s="6"/>
      <c r="Q989" s="6"/>
      <c r="R989" s="6"/>
      <c r="S989" s="6"/>
      <c r="T989" s="6"/>
      <c r="U989" s="6"/>
      <c r="V989" s="6"/>
      <c r="W989" s="6"/>
    </row>
    <row r="990" spans="1:23" ht="16" x14ac:dyDescent="0.2">
      <c r="A990" s="6"/>
      <c r="B990" s="7"/>
      <c r="C990" s="7"/>
      <c r="D990" s="7"/>
      <c r="E990" s="7"/>
      <c r="F990" s="6"/>
      <c r="G990" s="6"/>
      <c r="H990" s="6"/>
      <c r="I990" s="6"/>
      <c r="J990" s="6"/>
      <c r="K990" s="6"/>
      <c r="L990" s="6"/>
      <c r="M990" s="6"/>
      <c r="N990" s="6"/>
      <c r="O990" s="6"/>
      <c r="P990" s="6"/>
      <c r="Q990" s="6"/>
      <c r="R990" s="6"/>
      <c r="S990" s="6"/>
      <c r="T990" s="6"/>
      <c r="U990" s="6"/>
      <c r="V990" s="6"/>
      <c r="W990" s="6"/>
    </row>
    <row r="991" spans="1:23" ht="16" x14ac:dyDescent="0.2">
      <c r="A991" s="6"/>
      <c r="B991" s="7"/>
      <c r="C991" s="7"/>
      <c r="D991" s="7"/>
      <c r="E991" s="7"/>
      <c r="F991" s="6"/>
      <c r="G991" s="6"/>
      <c r="H991" s="6"/>
      <c r="I991" s="6"/>
      <c r="J991" s="6"/>
      <c r="K991" s="6"/>
      <c r="L991" s="6"/>
      <c r="M991" s="6"/>
      <c r="N991" s="6"/>
      <c r="O991" s="6"/>
      <c r="P991" s="6"/>
      <c r="Q991" s="6"/>
      <c r="R991" s="6"/>
      <c r="S991" s="6"/>
      <c r="T991" s="6"/>
      <c r="U991" s="6"/>
      <c r="V991" s="6"/>
      <c r="W991" s="6"/>
    </row>
    <row r="992" spans="1:23" ht="16" x14ac:dyDescent="0.2">
      <c r="A992" s="6"/>
      <c r="B992" s="7"/>
      <c r="C992" s="7"/>
      <c r="D992" s="7"/>
      <c r="E992" s="7"/>
      <c r="F992" s="6"/>
      <c r="G992" s="6"/>
      <c r="H992" s="6"/>
      <c r="I992" s="6"/>
      <c r="J992" s="6"/>
      <c r="K992" s="6"/>
      <c r="L992" s="6"/>
      <c r="M992" s="6"/>
      <c r="N992" s="6"/>
      <c r="O992" s="6"/>
      <c r="P992" s="6"/>
      <c r="Q992" s="6"/>
      <c r="R992" s="6"/>
      <c r="S992" s="6"/>
      <c r="T992" s="6"/>
      <c r="U992" s="6"/>
      <c r="V992" s="6"/>
      <c r="W992" s="6"/>
    </row>
    <row r="993" spans="1:23" ht="16" x14ac:dyDescent="0.2">
      <c r="A993" s="6"/>
      <c r="B993" s="7"/>
      <c r="C993" s="7"/>
      <c r="D993" s="7"/>
      <c r="E993" s="7"/>
      <c r="F993" s="6"/>
      <c r="G993" s="6"/>
      <c r="H993" s="6"/>
      <c r="I993" s="6"/>
      <c r="J993" s="6"/>
      <c r="K993" s="6"/>
      <c r="L993" s="6"/>
      <c r="M993" s="6"/>
      <c r="N993" s="6"/>
      <c r="O993" s="6"/>
      <c r="P993" s="6"/>
      <c r="Q993" s="6"/>
      <c r="R993" s="6"/>
      <c r="S993" s="6"/>
      <c r="T993" s="6"/>
      <c r="U993" s="6"/>
      <c r="V993" s="6"/>
      <c r="W993" s="6"/>
    </row>
    <row r="994" spans="1:23" ht="16" x14ac:dyDescent="0.2">
      <c r="A994" s="6"/>
      <c r="B994" s="7"/>
      <c r="C994" s="7"/>
      <c r="D994" s="7"/>
      <c r="E994" s="7"/>
      <c r="F994" s="6"/>
      <c r="G994" s="6"/>
      <c r="H994" s="6"/>
      <c r="I994" s="6"/>
      <c r="J994" s="6"/>
      <c r="K994" s="6"/>
      <c r="L994" s="6"/>
      <c r="M994" s="6"/>
      <c r="N994" s="6"/>
      <c r="O994" s="6"/>
      <c r="P994" s="6"/>
      <c r="Q994" s="6"/>
      <c r="R994" s="6"/>
      <c r="S994" s="6"/>
      <c r="T994" s="6"/>
      <c r="U994" s="6"/>
      <c r="V994" s="6"/>
      <c r="W994" s="6"/>
    </row>
  </sheetData>
  <mergeCells count="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2025-12-07T14:00:26Z</dcterms:created>
  <dcterms:modified xsi:type="dcterms:W3CDTF">2025-12-07T19:08:27Z</dcterms:modified>
</cp:coreProperties>
</file>