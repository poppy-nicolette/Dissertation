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2/results/"/>
    </mc:Choice>
  </mc:AlternateContent>
  <xr:revisionPtr revIDLastSave="0" documentId="13_ncr:1_{3698E86C-DC4D-C24A-8AA1-85BD064A98F8}" xr6:coauthVersionLast="47" xr6:coauthVersionMax="47" xr10:uidLastSave="{00000000-0000-0000-0000-000000000000}"/>
  <bookViews>
    <workbookView xWindow="0" yWindow="760" windowWidth="30240" windowHeight="18880" xr2:uid="{00000000-000D-0000-FFFF-FFFF00000000}"/>
  </bookViews>
  <sheets>
    <sheet name="raw data" sheetId="1" r:id="rId1"/>
    <sheet name="Cohens Kappa - Raters A &amp; B" sheetId="2" r:id="rId2"/>
  </sheets>
  <calcPr calcId="191029"/>
  <pivotCaches>
    <pivotCache cacheId="6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C21" i="2" s="1"/>
  <c r="B22" i="2"/>
  <c r="C20" i="2" l="1"/>
  <c r="C23" i="2" s="1"/>
  <c r="B23" i="2"/>
</calcChain>
</file>

<file path=xl/sharedStrings.xml><?xml version="1.0" encoding="utf-8"?>
<sst xmlns="http://schemas.openxmlformats.org/spreadsheetml/2006/main" count="197" uniqueCount="119">
  <si>
    <t>Query</t>
  </si>
  <si>
    <t>Response</t>
  </si>
  <si>
    <t>['which studies examined the abstract in metadata?']</t>
  </si>
  <si>
    <t>Summary: Three studies examined the abstract in metadata.
DOI: 10.1177/09610006241239080 - The co-occurrence analysis is made on the title and abstract of selected articles using VOSviewer 1.6.18 version, visualization software.
DOI: 10.1109/ADL.1998.670425 - The authors used record content analysis and several other methods to examine whether GILS is helping agencies fulfill information dissemination and management responsibilities and the extent to which GILS is meeting users' expectations.
DOI: 10.1162/qss_a_00286 - Seven characteristics were analyzed (abstract, access, bibliographic info, document type, publication date, language, and identifiers), to observe fields that describe this information, the completeness rate of these fields, and the agreement among databases.
My lady, is there anything else I can help you with?</t>
  </si>
  <si>
    <t>['which studies examined citations?']</t>
  </si>
  <si>
    <t>Summary: The study 'An analysis of citing and referencing habits across all scholarly disciplines: approaches and trends in bibliographic referencing and citing practices' examined bibliographic references, mentions, quotations and respective in-text reference pointers.
DOI: 10.1108/JD-10-2022-0234.</t>
  </si>
  <si>
    <t>['Tell me about Crossref.']</t>
  </si>
  <si>
    <t>Summary: Crossref is a sustainable source of community-owned scholarly metadata.
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</si>
  <si>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['Which papers evaluate the linguistic coverage or language-related metadata in scholarly databases?']</t>
  </si>
  <si>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Can I help you with anything else, my lady?</t>
  </si>
  <si>
    <t>['Which papers address funding metadata, its availability, or its analysis in scholarly databases?']</t>
  </si>
  <si>
    <t>Summary: The availability and completeness of open funder metadata is addressed in the following papers.
DOI: 10.1162/qss_a_00210 addresses the availability and completeness of open funder metadata by looking at 5,004 publications reported by researchers to be the result of funding by a specific funding agency: the Dutch Research Council NWO.
DOI: 10.1162/qss_a_00022 addresses the availability of open funder metadata by describing the scholarly metadata collected and made available by Crossref.
DOI: 10.31222/osf.io/smxe5 addresses the availability of open funder metadata by presenting an up-to-date overview of the availability of six metadata elements in Crossref.
DOI: 10.1162/qss_a_00212 addresses the availability of open funder metadata by studying the open availability of funding data in Crossref, focusing on funding data for publications that report research related to COVID-19.
DOI: 10.1162/qss_a_00286 addresses the completeness of open funder metadata by comparing the amount of metadata and the completeness degree of research publications in new academic databases.
Is there anything else I can help you with, my lady?</t>
  </si>
  <si>
    <t>['Which papers discuss the use of Retrieval-Augmented Generation (RAG) when used in applications?']</t>
  </si>
  <si>
    <t>Summary: I found four papers that discuss the use of Retrieval-Augmented Generation (RAG) when used in applications.
DOI: 10.1016/j.caeai.2025.100417
This paper discusses the use of RAG in educational applications.
DOI: 10.48550/arXiv.2312.10997
This paper discusses the use of RAG in knowledge-intensive tasks.
DOI: 10.1145/3637528.3671470
This paper discusses the use of RAG in AI-Generated Content (AIGC).
DOI: 10.48550/arXiv.2406.13213
This paper discusses the use of RAG in multi-hop queries.
Is there anything else I can help you with, my lady?</t>
  </si>
  <si>
    <t>['What is Crossref’s role in the scholarly research ecosystem?']</t>
  </si>
  <si>
    <t>Summary: Crossref is a sustainable source of community-owned scholarly metadata that is available to publishers, authors, librarians, funders and researchers.
DOI: 10.1162/qss_a_00022
Crossref is a sustainable source of community-owned scholarly metadata that is available to publishers, authors, librarians, funders and researchers. Containing over 106 million records and expanding at an average rate of 11% a year, Crossref’s metadata has become one of the major sources of scholarly data.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</si>
  <si>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['What are the key features and limitations of OpenAlex as a bibliometric database?']</t>
  </si>
  <si>
    <t>Summary: OpenAlex is a fully-open scientific knowledge graph that has distinguished itself for its openness and extensive coverage.
DOI: 10.48550/arXiv.2404.17663 - OpenAlex is a superset of Scopus and can be a reliable alternative for some analyses, particularly at the country level.
DOI: 10.48550/arXiv.2508.18620 - OpenAlex may reduce or eliminate barriers to accessing bibliometric data, but concerns about the quality of its metadata hinder its broader adoption.
DOI: 10.48550/arXiv.2401.16359 - OpenAlex has average source reference numbers and internal coverage rates comparable to Web of Science and Scopus, but the trustworthiness of its rapidly evolving data is a concern.
DOI: 10.48550/ARXIV.2205.01833 - OpenAlex contains metadata for 209M works, 2013M disambiguated authors, 124k venues, 109k institutions, and 65k Wikidata concepts.
DOI: 10.48550/arXiv.2406.15154 - OpenAlex is becoming an increasingly important free alternative to established proprietary providers for bibliometric analyses.
My lady, I hope this information is helpful. If you have any further questions or need more details, please let me know.</t>
  </si>
  <si>
    <t>['What are the strengths and weaknesses of Web of Science (WoS) as a bibliometric database?']</t>
  </si>
  <si>
    <t>Summary: I'm sorry, my lady, I could not find any information about the strengths and weaknesses of Web of Science (WoS) as a bibliometric database.
DOI: 10.48550/arXiv.2508.18620: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</si>
  <si>
    <t>['How is RAG used to improve question answering or information retrieval systems?']</t>
  </si>
  <si>
    <t>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
DOI: 10.48550/arXiv.2406.13213 - This study introduces a new method called Multi-Meta-RAG, which uses database filtering with LLM-extracted metadata to improve the RAG selection of relevant documents from various sources, relevant to the question.
DOI: 10.6109/jkiice.2023.27.12.1489 - This paper proposes a Metadata Retrieval-Augmented Generation (M-RAG) method that can effectively search and answer questions with an open-domain Question Answering (ODQA) system for one or more documents and compare their performance.
DOI: 10.17821/srels/2024/v61i5/171583 - This study demonstrates that LLMs can deliver contextualized, relevant responses when augmented with a set of relevant documents, and that open-source RAG-based systems offer a cost-effective solution for libraries to enhance information retrieval.
DOI: 10.48550/ARXIV.2504.08231 - This work systematically analyzes how varying linguistic dimensions impact RAG performance, highlighting the need for improved robustness techniques to enhance reliability in diverse user interactions.
DOI: 10.48550/arXiv.2502.15005 - This paper proposes a RAG agent that maps natural language queries about research topics to precise, machine-interpretable semantic entities, effectively bridging "little semantics" with "big semantics".
My lady, I hope this information is helpful. If you have any further questions or would like more details on a specific study, please let me know.</t>
  </si>
  <si>
    <t>['What are the main challenges in normalizing citation metrics across scientific fields?']</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</si>
  <si>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10.1126/science.1177997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comparing citation metrics without accounting for these differences.
**DOI:** 10.7717/peerj.175  
This paper by Bornmann et al. (2013) in *PeerJ* discusses the challenges of field normalization in bibliometrics. It argues that traditional methods like journal-based normalization (e.g., Journal Impact Factor) are insufficient due to the heterogeneity of citation behaviors across fields. The authors propose more sophisticated approaches, such as fractional counting and field-normalized indicators, to address these challenges.
**DOI:** 10.1002/asi.21337  
In this article by Waltman and van Eck (2012) in *Journal of the American Society for Information Science and Technology*, the authors explore the limitations of citation-based metrics for cross-field comparisons. They highlight issues such as the skewness of citation distributions and the impact of disciplinary differences on normalization efforts, advocating for careful consideration of field-specific contexts.
These sources collectively illustrate the multifaceted challenges in normalizing citation metrics across scientific fields, emphasizing the need for nuanced and context-aware approaches.</t>
  </si>
  <si>
    <t>['What methods are used to detect and correct errors in bibliographic datasets?']</t>
  </si>
  <si>
    <t>Summary: DOI errors in Crossref data are detected and corrected using regular expressions.
DOI: 10.1007/s11192-022-04367-w analyses the open bibliographic metadata available in Crossref to identify classes of DOI mistakes. Invalid cited DOIs were retrieved from the OpenCitations Index of Crossref open DOI-to-DOI citations (COCI). Patterns of factual errors in the invalid DOIs and the regular expressions needed to catch and correct them were identified.
My lady, I hope this helps.</t>
  </si>
  <si>
    <t>['tell me about how RAG works.']</t>
  </si>
  <si>
    <t>Summary: Retrieval-Augmented Generation (RAG) is a method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
DOI: 10.1016/j.caeai.2025.100417 - This paper reviews the integration of RAG into educational scenarios, covering interactive learning systems, generation and assessment of educational content, and large-scale deployment in educational ecosystems.
DOI: 10.18653/v1/2024.eacl-demo.16 - This paper introduces RAGAs, a framework for reference-free evaluation of RAG pipelines, which can evaluate the retrieval system's ability to identify relevant context passages, the LLM's ability to exploit such passages faithfully, and the quality of the generation itself.
DOI: 10.48550/arXiv.2502.15005 - This paper proposes a RAG agent that maps natural language queries about research topics to precise, machine-interpretable semantic entities, combining RAG with Socratic dialogue to align a user's intuitive understanding of research topics with established Knowledge Organization Systems (KOSs).
DOI: 10.3390/app14199103 - This study examines RAG in LLMs and their application for undertaking systematic literature reviews (SLRs), highlighting the potential to automate tasks like data extraction, summarization, and trend identification.
DOI: 10.48550/arXiv.2406.13213 - This paper introduces Multi-Meta-RAG, a new method that uses database filtering with LLM-extracted metadata to improve RAG selection of relevant documents from various sources, particularly for multi-hop queries.
My lady, I hope this information is helpful. If you have any further questions or would like more details on a specific aspect of RAG, please don't hesitate to ask.</t>
  </si>
  <si>
    <t>['What are the key challenges and advancements in metadata quality assessment?']</t>
  </si>
  <si>
    <t>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
DOI: 10.1109/ADL.1998.670425 - This study discusses the application of qualitative and quantitative content analysis techniques to assess metadata records, highlighting the need for a range of criteria and procedures to evaluate different types of metadata.
DOI: 10.1145/2964909 - This work aims to develop a generic metadata quality assessment framework for Open Data portals, treating data portals independently from the portal software frameworks and defining several quality metrics that can be evaluated automatically.
DOI: 10.1177/09610006241239080 - This scoping review identifies the most commonly measured dimensions of metadata quality, including completeness, accuracy, consistency, accessibility, conformance, provenance, and timeliness, but notes the lack of consensus on their exact definition and measurement.
DOI: 10.5860/crl.86.1.101 - This study explores the impact of metadata quality, consistency, and completeness on individuals and communities, identifying 32 unique issues and classifying them into 5 categories to better understand the cultural meanings reflected in metadata.
My lady, I hope this response meets your requirements. If you have any further questions or need additional information, please let me know.</t>
  </si>
  <si>
    <t>['What are the key challenges and potential solutions for improving metadata quality?']</t>
  </si>
  <si>
    <t>Summary: Metadata quality is crucial for digital objects to be discovered through digital library interfaces. However, metadata of digital objects often exhibits incomplete, inconsistent, and incorrect values.
DOI: 10.48550/arXiv.2303.17661
My lady, the metadata of digital objects often exhibits incomplete, inconsistent, and incorrect values. MetaEnhance, a framework that utilizes state-of-the-art artificial intelligence methods, is proposed to improve the quality of metadata fields.
DOI: 10.5860/crl.86.1.101
My lady, metadata serves discovery and access by providing contextual, technical, and administrative information in a standard form. However, metadata are also sites of tension between sociocultural representations, resource constraints, and standardized systems. Formal and informal interventions may be interpreted as quality issues, political acts to assert identity, or strategic choices to maximize visibility.
DOI: 10.1145/2964909
My lady,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
DOI: 10.1177/09610006241239080
My lady,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t>
  </si>
  <si>
    <t>['What are the key challenges and advancements in Retrieval-Augmented Generation (RAG) systems?']</t>
  </si>
  <si>
    <t>Summary: Retrieval-Augmented Generation (RAG) systems face challenges such as hallucination, outdated knowledge, and non-transparent reasoning processes, but advancements include improved accuracy, continuous knowledge updates, and integration of domain-specific information.
DOI: 10.48550/arXiv.2312.10997 - This paper discusses the progression of RAG paradigms, including Naive RAG, Advanced RAG, and Modular RAG, and highlights the state-of-the-art technologies in retrieval, generation, and augmentation techniques.
DOI: 10.1016/j.caeai.2025.100417 - Focusing on educational applications, this paper explores the practical uses of RAG in interactive learning systems, educational content generation, and large-scale deployment, while addressing challenges like mitigating hallucinations and reducing computational costs.
DOI: 10.18653/v1/2024.eacl-demo.16 - Introducing RAGAs, a reference-free evaluation framework for RAG pipelines, this paper emphasizes the importance of faster evaluation cycles in the rapid adoption of LLMs.
DOI: 10.1609/aaai.v38i16.29728 - This study establishes the Retrieval-Augmented Generation Benchmark (RGB), a new corpus for evaluating RAG in English and Chinese, and reveals that LLMs struggle with negative rejection, information integration, and false information handling.
DOI: 10.1145/3637528.3671470 - This survey reviews existing research in Retrieval-Augmented Large Language Models (RA-LLMs), discussing current limitations and future research directions to enhance the quality of generated content.
My lady, I hope this summary meets your requirements. If you have any further questions or need additional information, please let me know.</t>
  </si>
  <si>
    <t>Summary: Three studies examined the abstract in metadata.
DOI: 10.1177/09610006241239080 - The co-occurrence analysis is made on the title and abstract of selected articles using VOSviewer 1.6.18 version, visualization software.
DOI: 10.1109/ADL.1998.670425 - Discusses the application of qualitative and quantitative content analysis techniques to assess metadata records.
DOI: 10.1162/qss_a_00286 - Seven characteristics were analyzed (abstract, access, bibliographic info, document type, publication date, language, and identifiers), to observe fields that describe this information, the completeness rate of these fields, and the agreement among databases.</t>
  </si>
  <si>
    <t>Summary: A study examined citing and referencing habits across all scholarly disciplines.
DOI: 10.1108/JD-10-2022-0234
This study analysed reference elements from 729 articles published in 147 journals across 27 subject areas. It found that bibliographic errors have been perpetuated for decades and that their possible causes have increased, despite the encouraged use of technological facilities.
My lady, is there anything else I can help you with?</t>
  </si>
  <si>
    <t>Summary: Crossref is a community-owned source of scholarly metadata that is available to publishers, authors, librarians, funders, and researchers.
DOI: 10.1162/qss_a_00022 - Crossref is a sustainable source of community-owned scholarly metadata that is available to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</si>
  <si>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My lady, I hope this information is helpful.</t>
  </si>
  <si>
    <t>Summary: Four papers address funding metadata, its availability, or its analysis in scholarly databases.
DOI: 10.1162/qss_a_00210 - The availability and completeness of open funder metadata: Case study for publications funded by the Dutch Research Council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10.31222/osf.io/smxe5 - Crossref as a source of open bibliographic metadata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 Funding COVID-19 research: Insights from an exploratory analysis using open data infrastructures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 The paper offers recommendations for improving the open availability of funding data in Crossref.
DOI: 10.1162/qss_a_00286 - Completeness degree of publication metadata in eight free-access scholarly databases - This paper compares the amount of metadata and the completeness degree of research publications in new academic databases. Using a quantitative approach, the authors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Is there anything else I can help you with, my lady?</t>
  </si>
  <si>
    <t>I'm sorry, my lady, I am unable to answer your question.</t>
  </si>
  <si>
    <t>Summary: Crossref is a sustainable source of community-owned scholarly metadata that contains over 106 million records and expands at an average rate of 11% a year. It is a major source of scholarly data for publishers, authors, librarians, funders, and researchers.
DOI: 10.1162/qss_a_00022
My lady, this DOI is associated with a text that describes the scholarly metadata collected and made available by Crossref, as well as its importance in the scholarly research ecosystem. The metadata set consists of 13 content types, including traditional types, such as journals and conference papers, but also data sets, reports, preprints, peer reviews, and grants.
Is there anything else I can help you with, my lady?</t>
  </si>
  <si>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that permits researchers to perform bibliometric studies without licensing barriers. However, as OpenAlex is a rapidly evolving source, the question arises as to the trustworthiness of its data.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at libraries and universities.
My lady, I hope this information is helpful. If you have any further questions, please let me know.</t>
  </si>
  <si>
    <t>Summary: I'm sorry, my lady, but I could not find any information about the strengths and weaknesses of Web of Science (WoS) as a bibliometric database.
DOI: 10.48550/arXiv.2508.18620: This study compares the metadata quality of OpenAlex and WoS, focusing on document type, publication year, language, and number of authors. It aims to address discrepancies and misattributions in metadata to enhance awareness of data quality issues in bibliometric research and evaluation.
DOI: 10.1007/s11192-015-1765-5: This research compares the journal coverage of WoS and Scopus, highlighting biases in favor of Natural Sciences, Engineering, and Biomedical Research, as well as English-language journals. It suggests caution when using these databases for comparative research evaluation.
DOI: 10.29173/cais1943: This study assesses the metadata quality of OpenAlex and WoS, specifically focusing on document type accuracy. It finds that over 4% of publications indexed in both databases are misclassified, with the majority of errors occurring in OpenAlex.
DOI: 10.48550/arXiv.2404.17663: This analysis compares OpenAlex to Scopus, concluding that OpenAlex is a superset of Scopus and can be a reliable alternative for some analyses. However, it highlights issues with metadata accuracy and completeness in OpenAlex.
DOI: 10.1162/qss_a_00112: This large-scale comparison of bibliographic data sources, including WoS, Scopus, Dimensions, Crossref, and Microsoft Academic, analyzes differences in coverage, completeness, and accuracy of citation links. It emphasizes the importance of combining comprehensive coverage with flexible filters for literature selection.
Unfortunately, my lady, none of the provided documents directly address the strengths and weaknesses of WoS as a bibliometric database. If you have any other questions or need further assistance, please let me know.</t>
  </si>
  <si>
    <t>Summary: Retrieval-augmented generation (RAG) is used to improve question answering and information retrieval systems by enabling large language models (LLMs) to retrieve relevant information from external knowledge sources and answer queries over previously unseen document collections.
DOI: 10.48550/arXiv.2406.13213 introduces Multi-Meta-RAG, a method that uses database filtering with LLM-extracted metadata to improve RAG's selection of relevant documents, particularly for multi-hop questions.
DOI: 10.6109/jkiice.2023.27.12.1489 proposes M-RAG, a method that utilizes embeddings with metadata and generative models to enhance open-domain question answering by understanding the order and context of documents.
DOI: 10.17821/srels/2024/v61i5/171583 demonstrates that augmenting LLMs with relevant documents through RAG can provide accurate, informative, and contextualized answers, reducing hallucinations and improving information retrieval in library search systems.
DOI: 10.48550/ARXIV.2504.08231 analyzes the impact of linguistic variations on RAG performance, highlighting the need for improved robustness techniques to enhance reliability in diverse user interactions.
DOI: 10.48550/arXiv.2502.15005 proposes a RAG agent that maps natural language queries to precise semantic entities, bridging the gap between domain-specific knowledge organization systems and broad bibliometric repositories.
My lady, I hope this information is helpful. If you have any further questions or would like more details on a specific DOI,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</si>
  <si>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
**DOI:** 10.1126/science.1177977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10.7717/peerj.425  
In this *PeerJ* article by Bornmann et al. (2018), the authors discuss the challenges of field normalization in bibliometrics. They argue that traditional methods, such as journal-based normalization, often fail to account for the diversity of research outputs and citation behaviors across fields. The paper suggests that more sophisticated approaches, like reference-based normalization, are needed to improve comparability.
**DOI:** 10.1002/asi.21340  
Waltman and Traag (2020) in the *Journal of the Association for Information Science and Technology* critique existing normalization methods and propose a new approach based on citation percentiles. They highlight the limitations of current methods in capturing field-specific citation dynamics and advocate for more robust and flexible normalization techniques.
These sources collectively illustrate the multifaceted challenges in normalizing citation metrics across scientific fields, emphasizing the need for nuanced and context-aware approaches.</t>
  </si>
  <si>
    <t>Summary: Analysis of open bibliographic metadata in Crossref and evaluation of the methodology presented in the article 'Identifying and correcting invalid citations due to DOI errors in Crossref 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This dataset contains the results of the evaluation of the methodology presented in the article Identifying and correcting invalid citations due to DOI errors in Crossref data.
Is there anything else I can help you with, my lady?</t>
  </si>
  <si>
    <t>Summary: Retrieval-Augmented Generation (RAG) is a method that enhances large language models (LLMs) by retrieving relevant information from an external knowledge base and incorporating it into the LLM's generation process.
DOI: 10.1016/j.caeai.2025.100417 - RAG improves factual accuracy and enables dynamic knowledge updates, making LLMs particularly suitable for educational applications.
DOI: 10.18653/v1/2024.eacl-demo.16 - RAG systems are composed of a retrieval and an LLM-based generation module, providing LLMs with knowledge from a reference textual database and reducing the risk of hallucinations.
DOI: 10.48550/arXiv.2502.15005 - A proposed RAG agent maps natural language queries about research topics to precise, machine-interpretable semantic entities, bridging "little semantics" with "big semantics" and making complex academic taxonomies more accessible.
DOI: 10.3390/app14199103 - RAG mitigates limitations of LLMs by integrating their generative capabilities with the precision of real-time information retrieval, enabling automation of tasks like data extraction, summarization, and trend identification in systematic literature reviews.
DOI: 10.48550/arXiv.2406.13213 - Multi-Meta-RAG, a new method, improves RAG for multi-hop queries by using database filtering with LLM-extracted metadata to select relevant documents from various sources.
My lady, I hope this information is helpful. If you have any further questions or need more details, please let me know.</t>
  </si>
  <si>
    <t>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 There is also a need for further investigation into less commonly assessed quality dimensions and the improvement of flexibility in metadata quality assessment tools.
DOI: 10.1109/ADL.1998.670425 - This study discusses the application of qualitative and quantitative content analysis techniques to assess metadata records, concluding that a range of criteria and procedures may be needed for evaluating different types of metadata.
DOI: 10.1145/2964909 - This work aims to develop a generic metadata quality assessment framework for various Open Data portals, defining several quality metrics that can be evaluated automatically and efficiently.
DOI: 10.1177/09610006241239080 - This scoping review identifies commonly measured dimensions of metadata quality, highlighting the need for further investigation into less commonly assessed quality dimensions and the improvement of flexibility in metadata quality assessment tools.
DOI: 10.5860/crl.86.1.101 - This study examines how metadata quality, consistency, and completeness impact individuals and communities, identifying unique issues and classifying them into categories to better understand the cultural meanings reflected in metadata.
My lady, I hope this summary meets your requirements. If you have any further questions or would like more detailed information, please let me know.</t>
  </si>
  <si>
    <t>Summary: Metadata quality is crucial for digital objects to be discovered through digital library interfaces. However, due to various reasons, the metadata of digital objects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By reviewing a non-random sample of 427 records, we identified 32 unique issues and classified them into 5 categories to better explain how metadata and communities press up against each other to intentionally reflect (or not) cultural meanings.
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In order to get a more complete picture of the severity of these issues, the present work aims at developing a generic metadata quality assessment framework for various Open Data portals: We treat data portals independently from the portal software frameworks by mapping the specific metadata of three widely used portal software frameworks (CKAN, Socrata, OpenDataSoft) to the standardized Data Catalog Vocabulary metadata schema. We subsequently define several quality metrics, which can be evaluated automatically and in an efficient manner. Finally, we report findings based on monitoring a set of over 260 Open Data portals with 1.1M datasets. This includes the discussion of general quality issues, for example, the retrievability of data, and the analysis of our specific quality metrics.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answers your question.</t>
  </si>
  <si>
    <t>Summary: Retrieval-Augmented Generation (RAG) systems face challenges such as hallucination, outdated knowledge, and non-transparent reasoning processes, but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Focusing on educational applications, this paper explores the practical uses of RAG in interactive learning systems, educational content generation, and large-scale deployment, while addressing challenges like hallucinations and computational costs.
DOI: 10.18653/v1/2024.eacl-demo.16 - Introducing RAGAs, a reference-free evaluation framework for RAG pipelines, this paper emphasizes the importance of faster evaluation cycles in the rapid adoption of LLMs.
DOI: 10.1609/aaai.v38i16.29728 - This study establishes the Retrieval-Augmented Generation Benchmark (RGB), evaluating six representative LLMs on four fundamental abilities required for RAG, revealing significant challenges in negative rejection and information integration.
DOI: 10.1145/3637528.3671470 - A comprehensive review of Retrieval-Augmented Large Language Models (RA-LLMs), this survey discusses current limitations and future research directions, highlighting the potential of RAG in providing reliable and up-to-date external knowledge.
My lady, I hope this summary meets your requirements. If you have any further questions or need additional information, please let me know.</t>
  </si>
  <si>
    <t>Summary: A study examined bibliographic errors in 729 articles published in 147 journals across 27 subject areas.
DOI: 10.1108/JD-10-2022-0234
The study analysed reference elements, i.e. bibliographic references, mentions, quotations and respective in-text reference pointers. The outcomes of the analysis pointed out that bibliographic errors have been perpetuated for decades and that their possible causes have increased, despite the encouraged use of technological facilities, i.e. the reference managers.
My lady, is there anything else I can help you with?</t>
  </si>
  <si>
    <t>Summary: Crossref is a sustainable source of community-owned scholarly metadata.
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available through a number of APIs, including REST API and OAI-PMH.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Is there anything else I can help you with, my lady?</t>
  </si>
  <si>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Is there anything else I can help you with, my lady?</t>
  </si>
  <si>
    <t>Summary: Three papers address funding metadata, its availability, or its analysis in scholarly databases.
DOI: 10.1162/qss_a_00210 - The availability and completeness of open funder metadata: Case study for publications funded by the Dutch Research Council
DOI: 10.31222/osf.io/smxe5 - Crossref as a source of open bibliographic metadata
DOI: 10.1162/qss_a_00212 - Funding COVID-19 research: Insights from an exploratory analysis using open data infrastructures
Is there anything else I can help you with, my lady?</t>
  </si>
  <si>
    <t>I'm sorry, my lady, I cannot find any papers that discuss the use of Retrieval-Augmented Generation (RAG) when used in applications.</t>
  </si>
  <si>
    <t>Summary: Crossref is a sustainable source of community-owned scholarly metadata that contains over 106 million records and expands at an average rate of 11% a year.
DOI: 10.1162/qss_a_00022
My lady, this DOI is associated with a paper that describes the scholarly metadata collected and made available by Crossref, as well as its importance in the scholarly research ecosystem.
Is there anything else I can help you with?</t>
  </si>
  <si>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concerns about the quality of its metadata hinder its broader adoption for research and research evaluation.
DOI: 10.48550/arXiv.2401.16359 - OpenAlex is a promising open source of scholarly metadata that permits researchers to perform bibliometric studies without licensing barriers. However, as a rapidly evolving source, questions about the trustworthiness of its data arise.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However, typologies can differ considerably between individual database providers, and the distinction between research and non-research texts can vary depending on the data source.
My lady, I hope this information is helpful. If you have any further questions, please let me know.</t>
  </si>
  <si>
    <t>Summary: Web of Science (WoS) is a multidisciplinary bibliographic database that has been a foundation for research in the science of science for over 30 years. However, it has been noted that WoS underrepresents certain disciplines and world regions, particularly in the Social Sciences, Arts, and Humanities. Additionally, WoS has been observed to have metadata discrepancies and misclassifications in document types, which can impact bibliometric research and evaluation outcomes.
DOI: 10.1007/s11192-015-1765-5 - This study compares the journal coverage of WoS and Scopus, highlighting the overrepresentation of Natural Sciences, Engineering, and Biomedical Research, as well as English-language journals, in both databases. The authors emphasize the need for caution when using WoS for comparative research evaluation, especially across different fields, institutions, countries, or languages.
DOI: 10.29173/cais1943 - This research investigates document type discrepancies between OpenAlex and WoS, finding that over 4% of publications indexed in both databases are misclassified, with the majority of errors occurring in OpenAlex. The study highlights the importance of addressing metadata quality issues in bibliometric databases.
DOI: 10.48550/arXiv.2404.17663 - This analysis compares OpenAlex to Scopus, noting that WoS and Scopus underrepresent certain disciplines and world regions. The study suggests that OpenAlex can be a reliable alternative for some analyses, but further research is needed to address its limitations.
My lady, I hope this information helps you understand the strengths and weaknesses of WoS as a bibliometric database. If you have any further questions or would like to explore a specific aspect in more detail, please let me know.</t>
  </si>
  <si>
    <t>Summary: Retrieval-Augmented Generation (RAG) is used to improve question answering or information retrieval systems by retrieving relevant information from an external knowledge source and allowing large language models (LLMs) to answer queries over previously unseen document collections.
DOI: 10.48550/arXiv.2406.13213 - Multi-Meta-RAG is a new method that uses database filtering with LLM-extracted metadata to improve the RAG selection of relevant documents from various sources, relevant to the question.
DOI: 10.6109/jkiice.2023.27.12.1489 - M-RAG is a method that utilizes embeddings with metadata and generative models to generate automated responses, improving the performance of open-domain question answering systems.
DOI: 10.17821/srels/2024/v61i5/171583 - A study that demonstrates the effectiveness of RAG in improving the accuracy and contextualization of LLM responses, particularly in library search systems.
DOI: 10.48550/ARXIV.2504.08231 - A study that analyzes the impact of linguistic variations on RAG performance, highlighting the need for improved robustness techniques.
DOI: 10.48550/arXiv.2502.15005 - A proposed RAG agent that maps natural language queries to precise semantic entities, bridging the gap between domain-specific knowledge organization systems and broad bibliometric repositories.
My lady, I hope this information is helpful. If you have any further questions or would like more details on a specific study,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</si>
  <si>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
**DOI:** 10.1126/science.1177977  
This article by [Wilsdon et al. (2015)](https://doi.org/10.1126/science.1177977) discusses the limitations of using citation-based metrics in research evaluation, emphasizing the variability in citation practices across fields. It highlights that fields like biomedicine tend to have higher citation rates compared to social sciences or humanities, making direct comparisons unfair.
**Additional Context:**  
1. **Publication Practices:** Fields differ in their preferred publication types (e.g., journals, books, conference proceedings), which affects citation counts.  
2. **Citation Cultures:** Some fields cite more extensively than others, leading to higher citation counts regardless of impact.  
3. **Field Size and Age:** Larger or older fields may have more cumulative citations, skewing metrics.  
4. **Journal Impact Factors:** Journals in certain fields have higher impact factors, inflating citation metrics for those disciplines.  
To address these challenges, field-normalized metrics like the **Field-Weighted Citation Impact (FWCI)** or **Citation Percentiles** are often used, but they are not without limitations.  
If you'd like further details or a different perspective, my lady, please let me know!</t>
  </si>
  <si>
    <t>Summary: The methods used to detect and correct errors in bibliographic datasets involve analysing open bibliographic metadata available in Crossref, identifying patterns of factual errors in invalid DOIs, and defining regular expressions to catch and correct them.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My lady, I hope this information is helpful. If you have any further questions, please let me know.</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</si>
  <si>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queries over previously unseen document collections.
DOI: 10.1016/j.caeai.2025.100417 - This paper provides a comprehensive review of RAG in educational scenarios, covering its definition, workflow, indexing mechanism, retrievers, and generation optimization methods. It also explores practical applications of RAG in education, including interactive learning systems, generation and assessment of educational content, and large-scale deployment in educational ecosystems.
DOI: 10.18653/v1/2024.eacl-demo.16 - This paper introduces RAGAs, a framework for reference-free evaluation of RAG pipelines. It discusses the challenges of evaluating RAG architectures and proposes a suite of metrics to assess the retrieval system, LLM's ability to exploit retrieved passages, and the quality of generation.
DOI: 10.48550/arXiv.2502.15005 - This paper proposes a RAG agent that maps natural language queries about research topics to precise, machine-interpretable semantic entities. It combines RAG with Socratic dialogue to align user understanding with established Knowledge Organization Systems (KOSs), making complex academic taxonomies more accessible.
DOI: 10.3390/app14199103 - This study examines RAG in LLMs and its application for undertaking systematic literature reviews (SLRs). It reviews the three key processes of the RAG framework - retrieval, augmentation, and generation - and discusses applications of RAG-based LLMs to SLR automation.
DOI: 10.48550/arXiv.2406.13213 - This paper introduces Multi-Meta-RAG, a new method to improve RAG for multi-hop queries using database filtering with LLM-extracted metadata. It demonstrates that Multi-Meta-RAG greatly improves results on the MultiHop-RAG benchmark.
My lady, I hope this information is helpful. If you have any further questions or need more details, please let me know.</t>
  </si>
  <si>
    <t>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
DOI: 10.1109/ADL.1998.670425 - This study discusses the application of qualitative and quantitative content analysis techniques to assess metadata records, highlighting the need for a range of criteria and procedures to evaluate different types of metadata.
DOI: 10.1145/2964909 - This work aims to develop a generic metadata quality assessment framework for Open Data portals, treating data portals independently from the portal software frameworks and defining several quality metrics that can be evaluated automatically.
DOI: 10.1177/09610006241239080 - This scoping review identifies the most commonly measured dimensions of metadata quality, including completeness, accuracy, consistency, accessibility, conformance, provenance, and timeliness, and emphasizes the need for further investigation into less commonly assessed quality dimensions.
DOI: 10.5860/crl.86.1.101 - This study explores how metadata quality, consistency, and completeness impact individuals and communities, identifying 32 unique issues and classifying them into 5 categories to better understand the cultural meanings reflected in metadata.
My lady, I hope this response meets your requirements. If you have any further questions or need additional information, please let me know.</t>
  </si>
  <si>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a summary of the key challenges and potential solutions for improving metadata quality. Is there anything else I can help you with?</t>
  </si>
  <si>
    <t>Summary: Retrieval-Augmented Generation (RAG) systems face challenges such as hallucination, outdated knowledge, and non-transparent reasoning processes. However, advancements in RAG have led to improved accuracy, dynamic knowledge updates, and integration of domain-specific information.
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
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
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
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need additional information, please let me know.</t>
  </si>
  <si>
    <t>Summary: Three studies examined the abstract in metadata.
DOI: 10.1177/09610006241239080 - A scoping review that identifies the most commonly measured dimensions of metadata quality in existing studies on metadata quality assessment.
DOI: 10.1109/ADL.1998.670425 - Discusses the application of qualitative and quantitative content analysis techniques to assess metadata records.
DOI: 10.1162/qss_a_00286 - Compares the amount of metadata and the completeness degree of research publications in new academic databases.
Is there anything else I can help you with, my lady?</t>
  </si>
  <si>
    <t>Summary: A study examined citing and referencing habits across all scholarly disciplines.
DOI: 10.1108/JD-10-2022-0234
The study analysed reference elements from 729 articles published in 147 journals across 27 subject areas. The analysis pointed out that bibliographic errors have been perpetuated for decades and that their possible causes have increased, despite the encouraged use of technological facilities.
My lady, is there anything else I can help you with?</t>
  </si>
  <si>
    <t>Summary: Crossref is a sustainable source of community-owned scholarly metadata and a source of open bibliographic metadata.
DOI: 10.1162/qss_a_00022 - Crossref is a sustainable source of community-owned scholarly metadata.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metadata.Summary: Crossref is a sustainable source of community-owned scholarly metadata and a source of open bibliographic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 Crossref is a source of open bibliographic metadata. The availability of six metadata elements in Crossref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</si>
  <si>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Seven characteristics were analyzed, including language.
Is there anything else I can help you with, my lady?</t>
  </si>
  <si>
    <t>Summary: Several papers address funding metadata, its availability, or its analysis in scholarly databases.
DOI: 10.1162/qss_a_00210 - This paper looks at the availability and completeness of open funder metadata, specifically for publications funded by the Dutch Research Council.
DOI: 10.1162/qss_a_00022 - This paper describes the scholarly metadata collected and made available by Crossref, including funding information.
DOI: 10.31222/osf.io/smxe5 - This paper presents an overview of the availability of funding information in Crossref.
DOI: 10.1162/qss_a_00212 - This paper studies the open availability of funding data in Crossref, focusing on COVID-19 research.
DOI: 10.1162/qss_a_00286 - While not directly addressing funding metadata, this paper compares the completeness of metadata in various scholarly databases, which may include funding information.
My lady, I hope this information is helpful. If you have any further questions or need more details, please let me know.</t>
  </si>
  <si>
    <t>Summary: I have found four papers that discuss the use of Retrieval-Augmented Generation (RAG) when used in applications.
DOI: 10.1016/j.caeai.2025.100417
This paper discusses the use of RAG in education.
DOI: 10.48550/arXiv.2312.10997
This paper discusses the use of RAG in knowledge-intensive tasks.
DOI: 10.1145/3637528.3671470
This paper discusses the use of RAG in AI-Generated Content (AIGC).
DOI: 10.48550/arXiv.2406.13213
This paper discusses the use of RAG in multi-hop queries.
Is there anything else I can help you with, my lady?</t>
  </si>
  <si>
    <t>Summary: Crossref is a sustainable source of community-owned scholarly metadata that contains over 106 million records and expands at an average rate of 11% a year.
DOI: 10.1162/qss_a_00022
My lady, this DOI is associated with a paper that describes the scholarly metadata collected and made available by Crossref, as well as its importance in the scholarly research ecosystem.
DOI: 10.31222/osf.io/smxe5
My lady, this DOI is associated with a paper that presents an up-to-date overview of the availability of six metadata elements in Crossref: reference lists, abstracts, ORCIDs, author affiliations, funding information, and license information.</t>
  </si>
  <si>
    <t>Summary: OpenAlex is a fully-open scientific knowledge graph (SKG) and bibliographic database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is a bibliographic database that has distinguished itself for its openness and extensive coverage. However, one of the concerns that hinders its broader adoption for research and research evaluation is the quality of its metadata.
DOI: 10.48550/arXiv.2401.16359
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
DOI: 10.48550/ARXIV.2205.01833
OpenAlex is a fully-open scientific knowledge graph (SKG) that contains metadata for 209M works, 2013M disambiguated authors, 124k venues, 109k institutions, and 65k Wikidata concepts.
DOI: 10.48550/arXiv.2406.15154
OpenAlex is a bibliographic database that is becoming increasingly important as a free alternative to established proprietary providers for bibliometric analyses at libraries and universities.
My lady, is there anything else I can help you with?</t>
  </si>
  <si>
    <t>Summary: I'm sorry, my lady, I could not find any information about the strengths and weaknesses of Web of Science (WoS) as a bibliometric database.
DOI: 10.48550/arXiv.2508.18620 -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</si>
  <si>
    <t>Summary: Retrieval-augmented generation (RAG) is used to improve question answering or information retrieval systems by retrieving relevant information from an external knowledge source and allowing large language models (LLMs) to answer queries over previously unseen document collections.
DOI: 10.48550/arXiv.2406.13213
Traditional RAG applications perform poorly in answering multi-hop questions, which require retrieving and reasoning over multiple elements of supporting evidence. A new method called Multi-Meta-RAG uses database filtering with LLM-extracted metadata to improve the RAG selection of relevant documents from various sources, relevant to the question.
DOI: 10.6109/jkiice.2023.27.12.1489
A Metadata Retrieval-Augmented Generation (M-RAG) method can effectively search and answer questions with an open-domain Question Answering (ODQA) system for one or more documents and compare their performance. It utilizes embeddings with metadata and generative models such as GPT-3.5-turbo-16K and GPT-4 to generate automated responses.
DOI: 10.17821/srels/2024/v61i5/171583
LLMs often hallucinate and provide outdated and non-contextualized responses. However, this experiment shows that LLMs can deliver contextualized, relevant responses when augmented with a set of relevant documents. The methodology involved creating a RAG pipeline using tools like LangChain, vector databases like ChromaDB, and open-source LLMs like Llama3 (a 70-billion parameter-based model).
DOI: 10.48550/ARXIV.2504.08231
RAG systems exhibit greater sensitivity to linguistic variations compared to LLM-only generations, highlighting their vulnerability to error propagation due to linguistic shifts. These findings highlight the need for improved robustness techniques to enhance reliability in diverse user interactions.
DOI: 10.48550/arXiv.2502.15005
A RAG agent that maps natural language queries about research topics to precise, machine-interpretable semantic entities is proposed. This approach combines RAG with Socratic dialogue to align a user's intuitive understanding of research topics with established Knowledge Organization Systems (KOSs).
My lady, I hope this information is helpful. If you have any further questions,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</si>
  <si>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rates are influenced by field-specific practices, such as the average number of references per paper and the time it takes for research to be cited. The study underscores the difficulty of directly comparing citation metrics without accounting for these differences.
**DOI:** 10.7717/peerj.814  
In this *PeerJ* article by Adams (2013), the author discusses the challenges of field normalization in bibliometrics, particularly the limitations of existing normalization methods like the Journal Impact Factor (JIF). The paper argues that field-specific citation distributions and the lack of a standardized approach to normalization hinder fair comparisons across disciplines.
**DOI:** 10.1002/asi.21337  
Bornmann and Daniel (2008) in the *Journal of the American Society for Information Science and Technology* explore the issues of citation differences across fields and propose percentile-based methods as a more robust alternative to traditional normalization techniques. They highlight the need for field-specific benchmarks to ensure accurate comparisons.
These challenges necessitate the development of more sophisticated and field-sensitive normalization methods to ensure fair and meaningful comparisons of citation metrics across scientific disciplines. If you have further questions or need additional details, my lady, feel free to ask!</t>
  </si>
  <si>
    <t>Summary: DOI errors in Crossref data can be detected and corrected using regular expressions.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This dataset contains the results of the evaluation of the methodology presented in the article Identifying and correcting invalid citations due to DOI errors in Crossref data.
Is there anything else I can help you with, my lady?</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</si>
  <si>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queries over previously unseen document collections.
DOI: 10.1016/j.caeai.2025.100417 - This paper provides a comprehensive review of RAG in educational scenarios, covering its definition, workflow, indexing mechanism, retrievers, and generation optimization methods. It explores practical applications in education, including interactive learning systems, generation and assessment of educational content, and large-scale deployment in educational ecosystems.
DOI: 10.18653/v1/2024.eacl-demo.16 - This paper introduces RAGAs, a framework for reference-free evaluation of RAG pipelines. It discusses the challenges of evaluating RAG architectures and proposes a suite of metrics to assess the retrieval system, LLM's ability to exploit passages, and generation quality.
DOI: 10.48550/arXiv.2502.15005 - This paper proposes a RAG agent that maps natural language queries to machine-interpretable semantic entities, combining RAG with Socratic dialogue to align user understanding with Knowledge Organization Systems (KOSs). It illustrates the approach with a sample application called CollabNext, which is a person-centric knowledge graph connecting people, organizations, and research topics.
DOI: 10.3390/app14199103 - This study examines RAG in LLMs for systematic literature reviews (SLRs), discussing its potential to automate tasks like data extraction, summarization, and trend identification. It reviews the three key processes of the RAG framework and proposes a framework for automating SRLs using RAG-based LLMs.
DOI: 10.48550/arXiv.2406.13213 - This paper introduces Multi-Meta-RAG, a new method to improve RAG for multi-hop queries using database filtering with LLM-extracted metadata. It demonstrates that Multi-Meta-RAG greatly improves results on the MultiHop-RAG benchmark.
My lady, I hope this information is helpful. If you have any further questions or need more details, please let me know.</t>
  </si>
  <si>
    <t>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generic metadata quality assessment frameworks for various Open Data portals, the application of qualitative and quantitative content analysis techniques, and the use of automated quality metrics.
DOI: 10.1177/09610006241239080 - This study highlights the importance of metadata quality assessment and identifies commonly measured dimensions, but notes the lack of consensus on their definitions and measurements.
DOI: 10.1145/2964909 - This work presents a generic metadata quality assessment framework for Open Data portals, including automated quality metrics and findings from monitoring over 260 portals.
DOI: 10.1109/ADL.1998.670425 - This study discusses the application of qualitative and quantitative content analysis techniques to assess metadata records and develops criteria and procedures for evaluating different types of metadata.
My lady, I hope this response meets your requirements. If you have any further questions or need additional information, please let me know.</t>
  </si>
  <si>
    <t>Summary: Metadata quality is crucial for digital objects to be discovered through digital library interfaces. However, metadata of digital objects often exhibits incomplete, inconsistent, and incorrect values.
DOI: 10.48550/arXiv.2303.17661
My lady, the above DOI is the most relevant to your question. Would you like me to provide more information on this topic?</t>
  </si>
  <si>
    <t>Summary: Retrieval-Augmented Generation (RAG) systems face challenges such as hallucination, outdated knowledge, and non-transparent reasoning processes, but advancements include improved accuracy, continuous knowledge updates, and integration of domain-specific information.
DOI: 10.48550/arXiv.2312.10997 - This paper discusses the progression of RAG paradigms, including Naive RAG, Advanced RAG, and Modular RAG, and highlights the state-of-the-art technologies in retrieval, generation, and augmentation techniques.
DOI: 10.1016/j.caeai.2025.100417 - This paper focuses on the application of RAG in educational settings, discussing challenges such as mitigating hallucinations and ensuring completeness and timeliness of retrieved knowledge.
DOI: 10.18653/v1/2024.eacl-demo.16 - This paper introduces RAGAs, a framework for reference-free evaluation of RAG pipelines, addressing the challenge of evaluating RAG architectures.
DOI: 10.1609/aaai.v38i16.29728 - This paper establishes the Retrieval-Augmented Generation Benchmark (RGB), a new corpus for evaluating RAG systems, and highlights challenges such as negative rejection and information integration.
DOI: 10.1145/3637528.3671470 - This survey discusses the current limitations of RAG systems and promising directions for future research, including the integration of external knowledge bases.
My lady, I hope this summary meets your requirements. If you have any further questions or need more detailed information, please let me know.</t>
  </si>
  <si>
    <t>Summary: Three studies examined the abstract in metadata.
DOI: 10.1177/09610006241239080 - A scoping review that investigates the types of documents used to communicate findings on metadata quality assessment.
DOI: 10.1109/ADL.1998.670425 - An evaluation study of the US Government Information Locator Service (GILS) that developed a set of criteria and procedures for an exploratory investigation into metadata quality.
DOI: 10.1162/qss_a_00286 - A study that compares the amount of metadata and the completeness degree of research publications in new academic databases.
My lady, I hope this information is helpful. If you have any further questions, please let me know.</t>
  </si>
  <si>
    <t>Summary: The study DOI: 10.1108/JD-10-2022-0234 analysed reference elements from 729 articles published in 147 journals across 27 subject areas.
DOI: 10.1108/JD-10-2022-0234: The study analysed reference elements from 729 articles published in 147 journals across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My lady, is there anything else I can help you with?</t>
  </si>
  <si>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It is a major source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An up-to-date overview of the availability of six metadata elements in Crossref: reference lists, abstracts, ORCIDs, author affiliations, funding information, and license information is presented.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</si>
  <si>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Four papers address funding metadata, its availability, or its analysis in scholarly databases.
DOI: 10.1162/qss_a_00210
Title: The availability and completeness of open funder metadata: Case study for publications funded by the Dutch Research Council
Abstract: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Title: Crossref as a source of open bibliographic metadata
Abstract: This paper presents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Title: Funding COVID-19 research: Insights from an exploratory analysis using open data infrastructures
Abstract: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10.1162/qss_a_00286
Title: Completeness degree of publication metadata in eight free-access scholarly databases
Abstract: This paper compares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is there anything else I can help you with?</t>
  </si>
  <si>
    <t>I'm sorry, my lady, I cannot find the information you are looking for.
I have found several papers that discuss the use of Retrieval-Augmented Generation (RAG) in applications, but none that specifically address its use in applications.
Would you like me to tell you more about the papers I have found?</t>
  </si>
  <si>
    <t>Summary: Crossref is a sustainable source of community-owned scholarly metadata and open bibliographic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</si>
  <si>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While OpenAlex may reduce or eliminate barriers to accessing bibliometric data, one of the concerns that hinders its broader adoption for research and research evaluation is the quality of its metadata.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10.48550/ARXIV.2205.01833
OpenAlex is a fully-open scientific knowledge graph that contains metadata for 209M works, 2013M disambiguated authors, 124k venues, 109k institutions, and 65k Wikidata concepts.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10.48550/arXiv.2406.15154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My lady, I hope this information is helpful. If you have any further questions, please don't hesitate to ask.</t>
  </si>
  <si>
    <t>Summary: I'm sorry, my lady, I couldn't find any information about the strengths and weaknesses of Web of Science (WoS) as a bibliometric database.
DOI: 10.48550/arXiv.2508.18620 - OpenAlex is a new bibliographic database that may reduce or eliminate barriers to accessing bibliometric data, but concerns about the quality of its metadata hinder its broader adoption for research and research evaluation.
DOI: 10.1007/s11192-015-1765-5 - The use of WoS or Scopus for research evaluation may introduce biases that favour Natural Sciences and Engineering as well as Biomedical Research to the detriment of Social Sciences and Arts and Humanities.
DOI: 10.29173/cais1943 - Over 4% of the publications indexed in both OpenAlex and WoS appear to be misclassified as research articles or reviews, and the vast majority (about 97%) of these errors occur in OpenAlex.
DOI: 10.48550/arXiv.2404.17663 - OpenAlex is a superset of Scopus and can be a reliable alternative for some analyses, particularly at the country level.
DOI: 10.1162/qss_a_00112 - A large-scale comparison of five multidisciplinary bibliographic data sources, including Scopus, Web of Science, Dimensions, Crossref, and Microsoft Academic, emphasizes the importance of combining comprehensive coverage with flexible filters.
Is there anything else I can help you with, my lady?</t>
  </si>
  <si>
    <t>Summary: Retrieval-Augmented Generation (RAG) is a technique used to improve question answering and information retrieval systems by enabling large language models (LLMs) to retrieve relevant information from external knowledge sources and answer queries over previously unseen document collections.
DOI: 10.48550/arXiv.2406.13213 - This study introduces a new method called Multi-Meta-RAG, which uses database filtering with LLM-extracted metadata to improve the RAG selection of relevant documents from various sources, relevant to the question. The method greatly improves the results on the MultiHop-RAG benchmark.
DOI: 10.6109/jkiice.2023.27.12.1489 - This paper proposes a Metadata Retrieval-Augmented Generation (M-RAG) method that can effectively search and answer questions with an open-domain Question Answering (ODQA) system for one or more documents. The method utilizes embeddings with metadata and generative models to generate automated responses, resulting in a performance improvement of up to 46% compared to the same external inference ODQA system.
DOI: 10.17821/srels/2024/v61i5/171583 - This study demonstrates that LLMs can deliver contextualized, relevant responses when augmented with a set of relevant documents using a RAG framework. The study compares responses from standard LLMs and LLMs with RAG augmentation, revealing that LLMs with RAG consistently provide accurate, informative, and contextualized answers.
DOI: 10.48550/ARXIV.2504.08231 - This work systematically analyzes how linguistic variations impact RAG performance, revealing that RAG systems exhibit greater sensitivity to such variations compared to LLM-only generations. The findings highlight the need for improved robustness techniques to enhance reliability in diverse user interactions.
DOI: 10.48550/arXiv.2502.15005 - This paper proposes a RAG agent that maps natural language queries about research topics to precise, machine-interpretable semantic entities. The approach combines RAG with Socratic dialogue to align a user's intuitive understanding of research topics with established Knowledge Organization Systems (KOSs).
My lady, I hope this information is helpful. If you have any further questions or would like more details on a specific study,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</si>
  <si>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disparities in database coverage.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10.7717/peerj.1771  
This PeerJ article by Bornmann et al. (2019) discusses the challenges of field normalization in bibliometrics, particularly the limitations of existing normalization methods like percentile ranks and field-normalized citation scores. The authors argue that these methods often fail to fully account for the heterogeneity in citation cultures across disciplines.
**DOI:** 10.1002/asi.21340  
In this *Journal of the American Society for Information Science and Technology* paper, Waltman and van Eck (2013) explore the impact of differences in publication and citation behavior on field-normalized metrics. They highlight that fields with smaller communities or faster publication cycles tend to have lower citation counts, making normalization efforts particularly challenging.
**Additional Insights:**  
Normalization efforts often rely on databases like Web of Science or Scopus, but these databases have varying coverage across fields. For example, humanities and social sciences are often underrepresented compared to natural sciences, leading to skewed metrics. Moreover, disciplines differ in their reliance on journals, books, or conference proceedings, further complicating standardization.
My lady, if you wish to delve deeper into any specific aspect of this topic, please let me know!</t>
  </si>
  <si>
    <t>Summary: The document outlines methods for detecting and correcting errors in bibliographic datasets, specifically focusing on DOI errors in Crossref data.
DOI: 10.1007/s11192-022-04367-w - This study identifies classes of DOI mistakes by analyzing open bibliographic metadata in Crossref, highlighting responsible publishers and correcting invalid DOIs through automatic processes. It uses a list of invalid cited DOIs from OpenCitations, retrieves citations to these DOIs, and identifies patterns of factual errors. The research extends the taxonomy of DOI name errors and defines regular expressions to clean a higher number of mistakes in invalid DOIs.
DOI: 10.5281/ZENODO.6188748 - This dataset evaluates the methodology presented in the article "Identifying and correcting invalid citations due to DOI errors in Crossref data." It contains 193 randomly selected citations from the corrected citations obtained by the process described in the article, extracted using a script called evaluation.py.
My lady, the methods used to detect and correct errors in bibliographic datasets, as outlined in the provided documents, include:
1. Analyzing open bibliographic metadata to identify classes of DOI mistakes.
2. Using a list of invalid cited DOIs to retrieve citations and track their validity.
3. Identifying patterns of factual errors in invalid DOIs.
4. Defining regular expressions to catch and correct DOI errors.
5. Evaluating the methodology using a dataset of corrected citations.
These methods aim to improve the accuracy and reliability of bibliographic datasets by automatically correcting errors and identifying underlying problems in the production of invalid citation data.</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</si>
  <si>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
My lady, I hope this information is helpful. If you have any further questions, please don't hesitate to ask.</t>
  </si>
  <si>
    <t>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generic metadata quality assessment frameworks for various Open Data portals, the application of qualitative and quantitative content analysis techniques, and the use of visualization software for co-occurrence analysis.
DOI: 10.1177/09610006241239080: This study emphasizes the importance of metadata quality research and the need to improve the flexibility of metadata quality assessment tools to facilitate better metadata quality assurance measures. It identifies the most commonly measured dimensions of metadata quality and highlights the lack of consensus on their exact definition and measurement.
DOI: 10.1145/2964909: This work aims to develop a generic metadata quality assessment framework for various Open Data portals, treating data portals independently from the portal software frameworks and defining several quality metrics that can be evaluated automatically and efficiently.
DOI: 10.1109/ADL.1998.670425: This study discusses the application of qualitative and quantitative content analysis techniques to assess metadata records and concludes that a range of criteria and procedures may be needed for evaluating different types of metadata.
My lady, I hope this summary meets your requirements. If you have any further questions or need more information, please let me know.</t>
  </si>
  <si>
    <t>Summary: Metadata quality is crucial for digital objects to be discovered through digital library interfaces. However, due to various reasons, the metadata of digital objects often exhibits incomplete, inconsistent, and incorrect values.
DOI: 10.48550/arXiv.2303.17661
My lady, I have provided a summary of the key challenges and potential solutions for improving metadata quality.</t>
  </si>
  <si>
    <t>Summary: Retrieval-Augmented Generation (RAG) systems face challenges such as hallucination, outdated knowledge, non-transparent reasoning processes, and computational costs. However, advancements in RAG have led to improved factual accuracy, dynamic knowledge updates, and multimodal support.
DOI: 10.48550/arXiv.2312.10997 - This paper provides a comprehensive review of RAG paradigms, including Naive RAG, Advanced RAG, and Modular RAG. It highlights the tripartite foundation of RAG frameworks, which includes retrieval, generation, and augmentation techniques. The paper also introduces an up-to-date evaluation framework and benchmark for RAG systems.
DOI: 10.1016/j.caeai.2025.100417 - This paper focuses on the application of RAG in educational scenarios, discussing challenges such as mitigating hallucinations, ensuring completeness and timeliness of retrieved knowledge, and reducing computational costs. It also explores the practical applications of RAG in education, including interactive learning systems and large-scale deployment in educational ecosystems.
DOI: 10.18653/v1/2024.eacl-demo.16 - This paper introduces RAGAs, a framework for reference-free evaluation of RAG pipelines. It addresses the challenges of evaluating RAG architectures, including the ability of the retrieval system to identify relevant context passages and the quality of the generation itself.
DOI: 10.1609/aaai.v38i16.29728 - This paper establishes the Retrieval-Augmented Generation Benchmark (RGB), a new corpus for RAG evaluation in English and Chinese. It evaluates the performance of different LLMs in fundamental abilities required for RAG, including noise robustness and information integration.
DOI: 10.1145/3637528.3671470 - This survey provides a comprehensive review of existing research studies in Retrieval-Augmented Large Language Models (RA-LLMs). It discusses current limitations and promising directions for future research, including the use of external and authoritative knowledge bases.
My lady, I hope this summary meets your requirements. If you have any further questions or need more information,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</si>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</sst>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s>
  <fills count="4">
    <fill>
      <patternFill patternType="none"/>
    </fill>
    <fill>
      <patternFill patternType="gray125"/>
    </fill>
    <fill>
      <patternFill patternType="solid">
        <fgColor rgb="FFFF0000"/>
        <bgColor indexed="64"/>
      </patternFill>
    </fill>
    <fill>
      <patternFill patternType="solid">
        <fgColor rgb="FFF3F3F3"/>
        <bgColor rgb="FFF3F3F3"/>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2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3" borderId="0" xfId="1" applyFont="1" applyFill="1" applyAlignment="1">
      <alignment horizontal="right"/>
    </xf>
    <xf numFmtId="0" fontId="4" fillId="3"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2" fillId="0" borderId="0" xfId="1"/>
    <xf numFmtId="0" fontId="3" fillId="0" borderId="0" xfId="1" applyFont="1" applyAlignment="1">
      <alignment horizontal="center"/>
    </xf>
    <xf numFmtId="0" fontId="3" fillId="0" borderId="0" xfId="1" applyFont="1" applyAlignment="1">
      <alignment horizontal="left" vertical="top"/>
    </xf>
    <xf numFmtId="0" fontId="0" fillId="0" borderId="0" xfId="0" applyNumberFormat="1"/>
  </cellXfs>
  <cellStyles count="2">
    <cellStyle name="Normal" xfId="0" builtinId="0"/>
    <cellStyle name="Normal 2" xfId="1" xr:uid="{5FD95B55-3F0B-C148-A653-7408659F2A8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7.438968981478" createdVersion="8" refreshedVersion="8" minRefreshableVersion="3" recordCount="80" xr:uid="{DBE9196F-205E-704A-BA51-42E13B05DBFA}">
  <cacheSource type="worksheet">
    <worksheetSource ref="B1:G81" sheet="raw data"/>
  </cacheSource>
  <cacheFields count="6">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s v="Summary: Three studies examined the abstract in metadata._x000a__x000a_DOI: 10.1177/09610006241239080 - The co-occurrence analysis is made on the title and abstract of selected articles using VOSviewer 1.6.18 version, visualization software._x000a__x000a_DOI: 10.1109/ADL.1998.670425 - The authors used record content analysis and several other methods to examine whether GILS is helping agencies fulfill information dissemination and management responsibilities and the extent to which GILS is meeting users' expectations._x000a__x000a_DOI: 10.1162/qss_a_00286 - Seven characteristics were analyzed (abstract, access, bibliographic info, document type, publication date, language, and identifiers), to observe fields that describe this information, the completeness rate of these fields, and the agreement among databases._x000a__x000a_My lady, is there anything else I can help you with?"/>
    <n v="1"/>
    <x v="0"/>
    <x v="0"/>
    <m/>
  </r>
  <r>
    <s v="['which studies examined the abstract in metadata?']"/>
    <s v="Summary: Three studies examined the abstract in metadata._x000a__x000a_DOI: 10.1177/09610006241239080 - The co-occurrence analysis is made on the title and abstract of selected articles using VOSviewer 1.6.18 version, visualization software._x000a__x000a_DOI: 10.1109/ADL.1998.670425 - Discusses the application of qualitative and quantitative content analysis techniques to assess metadata records._x000a__x000a_DOI: 10.1162/qss_a_00286 - Seven characteristics were analyzed (abstract, access, bibliographic info, document type, publication date, language, and identifiers), to observe fields that describe this information, the completeness rate of these fields, and the agreement among databases."/>
    <n v="1"/>
    <x v="0"/>
    <x v="0"/>
    <m/>
  </r>
  <r>
    <s v="['which studies examined the abstract in metadata?']"/>
    <s v="Summary: Three studies examined the abstract in metadata._x000a__x000a_DOI: 10.1177/09610006241239080 - The co-occurrence analysis is made on the title and abstract of selected articles using VOSviewer 1.6.18 version, visualization software._x000a__x000a_DOI: 10.1109/ADL.1998.670425 - The authors used record content analysis and several other methods to examine whether GILS is helping agencies fulfill information dissemination and management responsibilities and the extent to which GILS is meeting users' expectations._x000a__x000a_DOI: 10.1162/qss_a_00286 - Seven characteristics were analyzed (abstract, access, bibliographic info, document type, publication date, language, and identifiers), to observe fields that describe this information, the completeness rate of these fields, and the agreement among databases._x000a__x000a_My lady, is there anything else I can help you with?"/>
    <n v="1"/>
    <x v="0"/>
    <x v="0"/>
    <m/>
  </r>
  <r>
    <s v="['which studies examined the abstract in metadata?']"/>
    <s v="Summary: Three studies examined the abstract in metadata._x000a__x000a_DOI: 10.1177/09610006241239080 - A scoping review that identifies the most commonly measured dimensions of metadata quality in existing studies on metadata quality assessment._x000a__x000a_DOI: 10.1109/ADL.1998.670425 - Discusses the application of qualitative and quantitative content analysis techniques to assess metadata records._x000a__x000a_DOI: 10.1162/qss_a_00286 - Compares the amount of metadata and the completeness degree of research publications in new academic databases._x000a__x000a_Is there anything else I can help you with, my lady?"/>
    <n v="1"/>
    <x v="0"/>
    <x v="0"/>
    <m/>
  </r>
  <r>
    <s v="['which studies examined the abstract in metadata?']"/>
    <s v="Summary: Three studies examined the abstract in metadata._x000a__x000a_DOI: 10.1177/09610006241239080 - A scoping review that investigates the types of documents used to communicate findings on metadata quality assessment._x000a__x000a_DOI: 10.1109/ADL.1998.670425 - An evaluation study of the US Government Information Locator Service (GILS) that developed a set of criteria and procedures for an exploratory investigation into metadata quality._x000a__x000a_DOI: 10.1162/qss_a_00286 - A study that compares the amount of metadata and the completeness degree of research publications in new academic databases._x000a__x000a_My lady, I hope this information is helpful. If you have any further questions, please let me know."/>
    <n v="1"/>
    <x v="0"/>
    <x v="0"/>
    <m/>
  </r>
  <r>
    <s v="['which studies examined citations?']"/>
    <s v="Summary: The study 'An analysis of citing and referencing habits across all scholarly disciplines: approaches and trends in bibliographic referencing and citing practices' examined bibliographic references, mentions, quotations and respective in-text reference pointers._x000a_DOI: 10.1108/JD-10-2022-0234."/>
    <n v="1"/>
    <x v="0"/>
    <x v="0"/>
    <m/>
  </r>
  <r>
    <s v="['which studies examined citations?']"/>
    <s v="Summary: A study examined citing and referencing habits across all scholarly disciplines._x000a_DOI: 10.1108/JD-10-2022-0234_x000a__x000a_This study analysed reference elements from 729 articles published in 147 journals across 27 subject areas. It found that bibliographic errors have been perpetuated for decades and that their possible causes have increased, despite the encouraged use of technological facilities._x000a__x000a_My lady, is there anything else I can help you with?"/>
    <n v="1"/>
    <x v="0"/>
    <x v="0"/>
    <m/>
  </r>
  <r>
    <s v="['which studies examined citations?']"/>
    <s v="Summary: A study examined bibliographic errors in 729 articles published in 147 journals across 27 subject areas._x000a_DOI: 10.1108/JD-10-2022-0234_x000a__x000a_The study analysed reference elements, i.e. bibliographic references, mentions, quotations and respective in-text reference pointers. The outcomes of the analysis pointed out that bibliographic errors have been perpetuated for decades and that their possible causes have increased, despite the encouraged use of technological facilities, i.e. the reference managers._x000a__x000a_My lady, is there anything else I can help you with?"/>
    <n v="1"/>
    <x v="0"/>
    <x v="0"/>
    <m/>
  </r>
  <r>
    <s v="['which studies examined citations?']"/>
    <s v="Summary: A study examined citing and referencing habits across all scholarly disciplines._x000a_DOI: 10.1108/JD-10-2022-0234_x000a__x000a_The study analysed reference elements from 729 articles published in 147 journals across 27 subject areas. The analysis pointed out that bibliographic errors have been perpetuated for decades and that their possible causes have increased, despite the encouraged use of technological facilities._x000a__x000a_My lady, is there anything else I can help you with?"/>
    <n v="1"/>
    <x v="0"/>
    <x v="0"/>
    <m/>
  </r>
  <r>
    <s v="['which studies examined citations?']"/>
    <s v="Summary: The study DOI: 10.1108/JD-10-2022-0234 analysed reference elements from 729 articles published in 147 journals across 27 subject areas._x000a_DOI: 10.1108/JD-10-2022-0234: The study analysed reference elements from 729 articles published in 147 journals across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_x000a__x000a_My lady, is there anything else I can help you with?"/>
    <n v="1"/>
    <x v="0"/>
    <x v="0"/>
    <m/>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Can I help you with anything else, my lady?"/>
    <n v="1"/>
    <x v="0"/>
    <x v="0"/>
    <m/>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_x000a__x000a_DOI: 10.1162/qss_a_00286 compares the amount of metadata and the completeness degree of research publications in new academic databases._x000a__x000a_My lady, I hope this information is helpful."/>
    <n v="1"/>
    <x v="0"/>
    <x v="0"/>
    <m/>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Is there anything else I can help you with, my lady?"/>
    <n v="1"/>
    <x v="0"/>
    <x v="0"/>
    <m/>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 Seven characteristics were analyzed, including language._x000a__x000a_Is there anything else I can help you with, my lady?"/>
    <n v="1"/>
    <x v="0"/>
    <x v="0"/>
    <m/>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Is there anything else I can help you with, my lady?"/>
    <n v="1"/>
    <x v="0"/>
    <x v="0"/>
    <m/>
  </r>
  <r>
    <s v="['Which papers discuss the use of Retrieval-Augmented Generation (RAG) when used in applications?']"/>
    <s v="Summary: I found four papers that discuss the use of Retrieval-Augmented Generation (RAG) when used in applications._x000a__x000a_DOI: 10.1016/j.caeai.2025.100417_x000a_This paper discusses the use of RAG in educational applications._x000a__x000a_DOI: 10.48550/arXiv.2312.10997_x000a_This paper discusses the use of RAG in knowledge-intensive tasks._x000a__x000a_DOI: 10.1145/3637528.3671470_x000a_This paper discusses the use of RAG in AI-Generated Content (AIGC)._x000a__x000a_DOI: 10.48550/arXiv.2406.13213_x000a_This paper discusses the use of RAG in multi-hop queries._x000a__x000a_Is there anything else I can help you with, my lady?"/>
    <n v="1"/>
    <x v="0"/>
    <x v="0"/>
    <m/>
  </r>
  <r>
    <s v="['Which papers discuss the use of Retrieval-Augmented Generation (RAG) when used in applications?']"/>
    <s v="I'm sorry, my lady, I am unable to answer your question."/>
    <n v="0"/>
    <x v="1"/>
    <x v="1"/>
    <m/>
  </r>
  <r>
    <s v="['Which papers discuss the use of Retrieval-Augmented Generation (RAG) when used in applications?']"/>
    <s v="I'm sorry, my lady, I cannot find any papers that discuss the use of Retrieval-Augmented Generation (RAG) when used in applications."/>
    <n v="0"/>
    <x v="1"/>
    <x v="1"/>
    <m/>
  </r>
  <r>
    <s v="['Which papers discuss the use of Retrieval-Augmented Generation (RAG) when used in applications?']"/>
    <s v="Summary: I have found four papers that discuss the use of Retrieval-Augmented Generation (RAG) when used in applications._x000a__x000a_DOI: 10.1016/j.caeai.2025.100417_x000a_This paper discusses the use of RAG in education._x000a__x000a_DOI: 10.48550/arXiv.2312.10997_x000a_This paper discusses the use of RAG in knowledge-intensive tasks._x000a__x000a_DOI: 10.1145/3637528.3671470_x000a_This paper discusses the use of RAG in AI-Generated Content (AIGC)._x000a__x000a_DOI: 10.48550/arXiv.2406.13213_x000a_This paper discusses the use of RAG in multi-hop queries._x000a__x000a_Is there anything else I can help you with, my lady?"/>
    <n v="1"/>
    <x v="0"/>
    <x v="0"/>
    <m/>
  </r>
  <r>
    <s v="['Which papers discuss the use of Retrieval-Augmented Generation (RAG) when used in applications?']"/>
    <s v="I'm sorry, my lady, I cannot find the information you are looking for._x000a__x000a_I have found several papers that discuss the use of Retrieval-Augmented Generation (RAG) in applications, but none that specifically address its use in applications._x000a__x000a_Would you like me to tell you more about the papers I have found?"/>
    <n v="0"/>
    <x v="1"/>
    <x v="1"/>
    <m/>
  </r>
  <r>
    <s v="['Which papers address funding metadata, its availability, or its analysis in scholarly databases?']"/>
    <s v="Summary: The availability and completeness of open funder metadata is addressed in the following papers._x000a__x000a_DOI: 10.1162/qss_a_00210 addresses the availability and completeness of open funder metadata by looking at 5,004 publications reported by researchers to be the result of funding by a specific funding agency: the Dutch Research Council NWO._x000a__x000a_DOI: 10.1162/qss_a_00022 addresses the availability of open funder metadata by describing the scholarly metadata collected and made available by Crossref._x000a__x000a_DOI: 10.31222/osf.io/smxe5 addresses the availability of open funder metadata by presenting an up-to-date overview of the availability of six metadata elements in Crossref._x000a__x000a_DOI: 10.1162/qss_a_00212 addresses the availability of open funder metadata by studying the open availability of funding data in Crossref, focusing on funding data for publications that report research related to COVID-19._x000a__x000a_DOI: 10.1162/qss_a_00286 addresses the completeness of open funder metadata by comparing the amount of metadata and the completeness degree of research publications in new academic databases._x000a__x000a_Is there anything else I can help you with, my lady?"/>
    <n v="1"/>
    <x v="0"/>
    <x v="0"/>
    <m/>
  </r>
  <r>
    <s v="['Which papers address funding metadata, its availability, or its analysis in scholarly databases?']"/>
    <s v="Summary: Four papers address funding metadata, its availability, or its analysis in scholarly databases._x000a__x000a_DOI: 10.1162/qss_a_00210 - The availability and completeness of open funder metadata: Case study for publications funded by the Dutch Research Council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31222/osf.io/smxe5 - Crossref as a source of open bibliographic metadata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2 - Funding COVID-19 research: Insights from an exploratory analysis using open data infrastructures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 The paper offers recommendations for improving the open availability of funding data in Crossref._x000a__x000a_DOI: 10.1162/qss_a_00286 - Completeness degree of publication metadata in eight free-access scholarly databases - This paper compares the amount of metadata and the completeness degree of research publications in new academic databases. Using a quantitative approach, the authors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_x000a__x000a_Is there anything else I can help you with, my lady?"/>
    <n v="1"/>
    <x v="0"/>
    <x v="0"/>
    <m/>
  </r>
  <r>
    <s v="['Which papers address funding metadata, its availability, or its analysis in scholarly databases?']"/>
    <s v="Summary: Three papers address funding metadata, its availability, or its analysis in scholarly databases._x000a__x000a_DOI: 10.1162/qss_a_00210 - The availability and completeness of open funder metadata: Case study for publications funded by the Dutch Research Council_x000a_DOI: 10.31222/osf.io/smxe5 - Crossref as a source of open bibliographic metadata_x000a_DOI: 10.1162/qss_a_00212 - Funding COVID-19 research: Insights from an exploratory analysis using open data infrastructures_x000a__x000a_Is there anything else I can help you with, my lady?"/>
    <n v="1"/>
    <x v="0"/>
    <x v="0"/>
    <m/>
  </r>
  <r>
    <s v="['Which papers address funding metadata, its availability, or its analysis in scholarly databases?']"/>
    <s v="Summary: Several papers address funding metadata, its availability, or its analysis in scholarly databases._x000a__x000a_DOI: 10.1162/qss_a_00210 - This paper looks at the availability and completeness of open funder metadata, specifically for publications funded by the Dutch Research Council._x000a__x000a_DOI: 10.1162/qss_a_00022 - This paper describes the scholarly metadata collected and made available by Crossref, including funding information._x000a__x000a_DOI: 10.31222/osf.io/smxe5 - This paper presents an overview of the availability of funding information in Crossref._x000a__x000a_DOI: 10.1162/qss_a_00212 - This paper studies the open availability of funding data in Crossref, focusing on COVID-19 research._x000a__x000a_DOI: 10.1162/qss_a_00286 - While not directly addressing funding metadata, this paper compares the completeness of metadata in various scholarly databases, which may include funding information._x000a__x000a_My lady, I hope this information is helpful. If you have any further questions or need more details, please let me know."/>
    <n v="1"/>
    <x v="0"/>
    <x v="0"/>
    <m/>
  </r>
  <r>
    <s v="['Which papers address funding metadata, its availability, or its analysis in scholarly databases?']"/>
    <s v="Summary: Four papers address funding metadata, its availability, or its analysis in scholarly databases._x000a__x000a_DOI: 10.1162/qss_a_00210_x000a_Title: The availability and completeness of open funder metadata: Case study for publications funded by the Dutch Research Council_x000a_Abstract: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22/osf.io/smxe5_x000a_Title: Crossref as a source of open bibliographic metadata_x000a_Abstract: This paper presents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2_x000a_Title: Funding COVID-19 research: Insights from an exploratory analysis using open data infrastructures_x000a_Abstract: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_x000a__x000a_DOI: 10.1162/qss_a_00286_x000a_Title: Completeness degree of publication metadata in eight free-access scholarly databases_x000a_Abstract: This paper compares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My lady, is there anything else I can help you with?"/>
    <n v="1"/>
    <x v="0"/>
    <x v="0"/>
    <m/>
  </r>
  <r>
    <s v="['What methods are used to detect and correct errors in bibliographic datasets?']"/>
    <s v="Summary: DOI errors in Crossref data are detected and corrected using regular expressions._x000a__x000a_DOI: 10.1007/s11192-022-04367-w analyses the open bibliographic metadata available in Crossref to identify classes of DOI mistakes. Invalid cited DOIs were retrieved from the OpenCitations Index of Crossref open DOI-to-DOI citations (COCI). Patterns of factual errors in the invalid DOIs and the regular expressions needed to catch and correct them were identified._x000a__x000a_My lady, I hope this helps."/>
    <n v="1"/>
    <x v="0"/>
    <x v="0"/>
    <m/>
  </r>
  <r>
    <s v="['What methods are used to detect and correct errors in bibliographic datasets?']"/>
    <s v="Summary: Analysis of open bibliographic metadata in Crossref and evaluation of the methodology presented in the article 'Identifying and correcting invalid citations due to DOI errors in Crossref data'.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5281/ZENODO.6188748: This dataset contains the results of the evaluation of the methodology presented in the article Identifying and correcting invalid citations due to DOI errors in Crossref data._x000a__x000a_Is there anything else I can help you with, my lady?"/>
    <n v="1"/>
    <x v="0"/>
    <x v="0"/>
    <m/>
  </r>
  <r>
    <s v="['What methods are used to detect and correct errors in bibliographic datasets?']"/>
    <s v="Summary: The methods used to detect and correct errors in bibliographic datasets involve analysing open bibliographic metadata available in Crossref, identifying patterns of factual errors in invalid DOIs, and defining regular expressions to catch and correct them._x000a__x000a_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_x000a__x000a_DOI: 10.5281/ZENODO.6188748 - This dataset contains the results of the evaluation of the methodology presented in the article Identifying and correcting invalid citations due to DOI errors in Crossref data._x000a__x000a_My lady, I hope this information is helpful. If you have any further questions, please let me know."/>
    <n v="1"/>
    <x v="0"/>
    <x v="0"/>
    <m/>
  </r>
  <r>
    <s v="['What methods are used to detect and correct errors in bibliographic datasets?']"/>
    <s v="Summary: DOI errors in Crossref data can be detected and corrected using regular expressions.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5281/ZENODO.6188748: This dataset contains the results of the evaluation of the methodology presented in the article Identifying and correcting invalid citations due to DOI errors in Crossref data._x000a__x000a_Is there anything else I can help you with, my lady?"/>
    <n v="1"/>
    <x v="0"/>
    <x v="0"/>
    <m/>
  </r>
  <r>
    <s v="['What methods are used to detect and correct errors in bibliographic datasets?']"/>
    <s v="Summary: The document outlines methods for detecting and correcting errors in bibliographic datasets, specifically focusing on DOI errors in Crossref data._x000a__x000a_DOI: 10.1007/s11192-022-04367-w - This study identifies classes of DOI mistakes by analyzing open bibliographic metadata in Crossref, highlighting responsible publishers and correcting invalid DOIs through automatic processes. It uses a list of invalid cited DOIs from OpenCitations, retrieves citations to these DOIs, and identifies patterns of factual errors. The research extends the taxonomy of DOI name errors and defines regular expressions to clean a higher number of mistakes in invalid DOIs._x000a__x000a_DOI: 10.5281/ZENODO.6188748 - This dataset evaluates the methodology presented in the article &quot;Identifying and correcting invalid citations due to DOI errors in Crossref data.&quot; It contains 193 randomly selected citations from the corrected citations obtained by the process described in the article, extracted using a script called evaluation.py._x000a__x000a_My lady, the methods used to detect and correct errors in bibliographic datasets, as outlined in the provided documents, include:_x000a__x000a_1. Analyzing open bibliographic metadata to identify classes of DOI mistakes._x000a_2. Using a list of invalid cited DOIs to retrieve citations and track their validity._x000a_3. Identifying patterns of factual errors in invalid DOIs._x000a_4. Defining regular expressions to catch and correct DOI errors._x000a_5. Evaluating the methodology using a dataset of corrected citations._x000a__x000a_These methods aim to improve the accuracy and reliability of bibliographic datasets by automatically correcting errors and identifying underlying problems in the production of invalid citation data."/>
    <n v="1"/>
    <x v="0"/>
    <x v="0"/>
    <m/>
  </r>
  <r>
    <s v="['What is Crossref’s role in the scholarly research ecosystem?']"/>
    <s v="Summary: Crossref is a sustainable source of community-owned scholarly metadata that is available to publishers, authors, librarians, funders and researchers._x000a__x000a_DOI: 10.1162/qss_a_00022_x000a__x000a_Crossref is a sustainable source of community-owned scholarly metadata that is available to publishers, authors, librarians, funders and researchers. Containing over 106 million records and expanding at an average rate of 11% a year, Crossref’s metadata has become one of the major sources of scholarly data.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_x000a__x000a_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n v="1"/>
    <x v="0"/>
    <x v="0"/>
    <m/>
  </r>
  <r>
    <s v="['What is Crossref’s role in the scholarly research ecosystem?']"/>
    <s v="Summary: Crossref is a sustainable source of community-owned scholarly metadata that contains over 106 million records and expands at an average rate of 11% a year. It is a major source of scholarly data for publishers, authors, librarians, funders, and researchers._x000a__x000a_DOI: 10.1162/qss_a_00022_x000a__x000a_My lady, this DOI is associated with a text that describes the scholarly metadata collected and made available by Crossref, as well as its importance in the scholarly research ecosystem. The metadata set consists of 13 content types, including traditional types, such as journals and conference papers, but also data sets, reports, preprints, peer reviews, and grants._x000a__x000a_Is there anything else I can help you with, my lady?"/>
    <n v="1"/>
    <x v="0"/>
    <x v="0"/>
    <m/>
  </r>
  <r>
    <s v="['What is Crossref’s role in the scholarly research ecosystem?']"/>
    <s v="Summary: Crossref is a sustainable source of community-owned scholarly metadata that contains over 106 million records and expands at an average rate of 11% a year._x000a__x000a_DOI: 10.1162/qss_a_00022_x000a__x000a_My lady, this DOI is associated with a paper that describes the scholarly metadata collected and made available by Crossref, as well as its importance in the scholarly research ecosystem._x000a__x000a_Is there anything else I can help you with?"/>
    <n v="1"/>
    <x v="0"/>
    <x v="0"/>
    <m/>
  </r>
  <r>
    <s v="['What is Crossref’s role in the scholarly research ecosystem?']"/>
    <s v="Summary: Crossref is a sustainable source of community-owned scholarly metadata that contains over 106 million records and expands at an average rate of 11% a year._x000a__x000a_DOI: 10.1162/qss_a_00022_x000a__x000a_My lady, this DOI is associated with a paper that describes the scholarly metadata collected and made available by Crossref, as well as its importance in the scholarly research ecosystem._x000a__x000a_DOI: 10.31222/osf.io/smxe5_x000a__x000a_My lady, this DOI is associated with a paper that presents an up-to-date overview of the availability of six metadata elements in Crossref: reference lists, abstracts, ORCIDs, author affiliations, funding information, and license information."/>
    <n v="1"/>
    <x v="0"/>
    <x v="0"/>
    <m/>
  </r>
  <r>
    <s v="['What is Crossref’s role in the scholarly research ecosystem?']"/>
    <s v="Summary: Crossref is a sustainable source of community-owned scholarly metadata and open bibliographic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m/>
  </r>
  <r>
    <s v="['What are the strengths and weaknesses of Web of Science (WoS) as a bibliometric database?']"/>
    <s v="Summary: I'm sorry, my lady, I could not find any information about the strengths and weaknesses of Web of Science (WoS) as a bibliometric database._x000a__x000a_DOI: 10.48550/arXiv.2508.18620: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15-1765-5: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_x000a__x000a_DOI: 10.29173/cais1943: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_x000a__x000a_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1162/qss_a_00112: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n v="1"/>
    <x v="0"/>
    <x v="0"/>
    <m/>
  </r>
  <r>
    <s v="['What are the strengths and weaknesses of Web of Science (WoS) as a bibliometric database?']"/>
    <s v="Summary: I'm sorry, my lady, but I could not find any information about the strengths and weaknesses of Web of Science (WoS) as a bibliometric database._x000a__x000a_DOI: 10.48550/arXiv.2508.18620: This study compares the metadata quality of OpenAlex and WoS, focusing on document type, publication year, language, and number of authors. It aims to address discrepancies and misattributions in metadata to enhance awareness of data quality issues in bibliometric research and evaluation._x000a__x000a_DOI: 10.1007/s11192-015-1765-5: This research compares the journal coverage of WoS and Scopus, highlighting biases in favor of Natural Sciences, Engineering, and Biomedical Research, as well as English-language journals. It suggests caution when using these databases for comparative research evaluation._x000a__x000a_DOI: 10.29173/cais1943: This study assesses the metadata quality of OpenAlex and WoS, specifically focusing on document type accuracy. It finds that over 4% of publications indexed in both databases are misclassified, with the majority of errors occurring in OpenAlex._x000a__x000a_DOI: 10.48550/arXiv.2404.17663: This analysis compares OpenAlex to Scopus, concluding that OpenAlex is a superset of Scopus and can be a reliable alternative for some analyses. However, it highlights issues with metadata accuracy and completeness in OpenAlex._x000a__x000a_DOI: 10.1162/qss_a_00112: This large-scale comparison of bibliographic data sources, including WoS, Scopus, Dimensions, Crossref, and Microsoft Academic, analyzes differences in coverage, completeness, and accuracy of citation links. It emphasizes the importance of combining comprehensive coverage with flexible filters for literature selection._x000a__x000a_Unfortunately, my lady, none of the provided documents directly address the strengths and weaknesses of WoS as a bibliometric database. If you have any other questions or need further assistance, please let me know."/>
    <n v="1"/>
    <x v="0"/>
    <x v="0"/>
    <m/>
  </r>
  <r>
    <s v="['What are the strengths and weaknesses of Web of Science (WoS) as a bibliometric database?']"/>
    <s v="Summary: Web of Science (WoS) is a multidisciplinary bibliographic database that has been a foundation for research in the science of science for over 30 years. However, it has been noted that WoS underrepresents certain disciplines and world regions, particularly in the Social Sciences, Arts, and Humanities. Additionally, WoS has been observed to have metadata discrepancies and misclassifications in document types, which can impact bibliometric research and evaluation outcomes._x000a__x000a_DOI: 10.1007/s11192-015-1765-5 - This study compares the journal coverage of WoS and Scopus, highlighting the overrepresentation of Natural Sciences, Engineering, and Biomedical Research, as well as English-language journals, in both databases. The authors emphasize the need for caution when using WoS for comparative research evaluation, especially across different fields, institutions, countries, or languages._x000a__x000a_DOI: 10.29173/cais1943 - This research investigates document type discrepancies between OpenAlex and WoS, finding that over 4% of publications indexed in both databases are misclassified, with the majority of errors occurring in OpenAlex. The study highlights the importance of addressing metadata quality issues in bibliometric databases._x000a__x000a_DOI: 10.48550/arXiv.2404.17663 - This analysis compares OpenAlex to Scopus, noting that WoS and Scopus underrepresent certain disciplines and world regions. The study suggests that OpenAlex can be a reliable alternative for some analyses, but further research is needed to address its limitations._x000a__x000a_My lady, I hope this information helps you understand the strengths and weaknesses of WoS as a bibliometric database. If you have any further questions or would like to explore a specific aspect in more detail, please let me know."/>
    <n v="1"/>
    <x v="0"/>
    <x v="0"/>
    <m/>
  </r>
  <r>
    <s v="['What are the strengths and weaknesses of Web of Science (WoS) as a bibliometric database?']"/>
    <s v="Summary: I'm sorry, my lady, I could not find any information about the strengths and weaknesses of Web of Science (WoS) as a bibliometric database._x000a__x000a_DOI: 10.48550/arXiv.2508.18620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_x000a__x000a_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n v="1"/>
    <x v="0"/>
    <x v="0"/>
    <m/>
  </r>
  <r>
    <s v="['What are the strengths and weaknesses of Web of Science (WoS) as a bibliometric database?']"/>
    <s v="Summary: I'm sorry, my lady, I couldn't find any information about the strengths and weaknesses of Web of Science (WoS) as a bibliometric database._x000a__x000a_DOI: 10.48550/arXiv.2508.18620 - OpenAlex is a new bibliographic database that may reduce or eliminate barriers to accessing bibliometric data, but concerns about the quality of its metadata hinder its broader adoption for research and research evaluation._x000a__x000a_DOI: 10.1007/s11192-015-1765-5 - The use of WoS or Scopus for research evaluation may introduce biases that favour Natural Sciences and Engineering as well as Biomedical Research to the detriment of Social Sciences and Arts and Humanities._x000a__x000a_DOI: 10.29173/cais1943 - Over 4% of the publications indexed in both OpenAlex and WoS appear to be misclassified as research articles or reviews, and the vast majority (about 97%) of these errors occur in OpenAlex._x000a__x000a_DOI: 10.48550/arXiv.2404.17663 - OpenAlex is a superset of Scopus and can be a reliable alternative for some analyses, particularly at the country level._x000a__x000a_DOI: 10.1162/qss_a_00112 - A large-scale comparison of five multidisciplinary bibliographic data sources, including Scopus, Web of Science, Dimensions, Crossref, and Microsoft Academic, emphasizes the importance of combining comprehensive coverage with flexible filters._x000a__x000a_Is there anything else I can help you with, my lady?"/>
    <n v="1"/>
    <x v="0"/>
    <x v="0"/>
    <m/>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_x000a__x000a_**DOI:** 10.1126/science.1177997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comparing citation metrics without accounting for these differences._x000a__x000a_**DOI:** 10.7717/peerj.175  _x000a_This paper by Bornmann et al. (2013) in *PeerJ* discusses the challenges of field normalization in bibliometrics. It argues that traditional methods like journal-based normalization (e.g., Journal Impact Factor) are insufficient due to the heterogeneity of citation behaviors across fields. The authors propose more sophisticated approaches, such as fractional counting and field-normalized indicators, to address these challenges._x000a__x000a_**DOI:** 10.1002/asi.21337  _x000a_In this article by Waltman and van Eck (2012) in *Journal of the American Society for Information Science and Technology*, the authors explore the limitations of citation-based metrics for cross-field comparisons. They highlight issues such as the skewness of citation distributions and the impact of disciplinary differences on normalization efforts, advocating for careful consideration of field-specific contexts._x000a__x000a_These sources collectively illustrate the multifaceted challenges in normalizing citation metrics across scientific fields, emphasizing the need for nuanced and context-aware approaches."/>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_x000a__x000a_**DOI:** 10.1126/science.1177977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_x000a__x000a_**DOI:** 10.7717/peerj.425  _x000a_In this *PeerJ* article by Bornmann et al. (2018), the authors discuss the challenges of field normalization in bibliometrics. They argue that traditional methods, such as journal-based normalization, often fail to account for the diversity of research outputs and citation behaviors across fields. The paper suggests that more sophisticated approaches, like reference-based normalization, are needed to improve comparability._x000a__x000a_**DOI:** 10.1002/asi.21340  _x000a_Waltman and Traag (2020) in the *Journal of the Association for Information Science and Technology* critique existing normalization methods and propose a new approach based on citation percentiles. They highlight the limitations of current methods in capturing field-specific citation dynamics and advocate for more robust and flexible normalization techniques._x000a__x000a_These sources collectively illustrate the multifaceted challenges in normalizing citation metrics across scientific fields, emphasizing the need for nuanced and context-aware approaches."/>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_x000a__x000a_**DOI:** 10.1126/science.1177977  _x000a_This article by [Wilsdon et al. (2015)](https://doi.org/10.1126/science.1177977) discusses the limitations of using citation-based metrics in research evaluation, emphasizing the variability in citation practices across fields. It highlights that fields like biomedicine tend to have higher citation rates compared to social sciences or humanities, making direct comparisons unfair._x000a__x000a_**Additional Context:**  _x000a_1. **Publication Practices:** Fields differ in their preferred publication types (e.g., journals, books, conference proceedings), which affects citation counts.  _x000a_2. **Citation Cultures:** Some fields cite more extensively than others, leading to higher citation counts regardless of impact.  _x000a_3. **Field Size and Age:** Larger or older fields may have more cumulative citations, skewing metrics.  _x000a_4. **Journal Impact Factors:** Journals in certain fields have higher impact factors, inflating citation metrics for those disciplines.  _x000a__x000a_To address these challenges, field-normalized metrics like the **Field-Weighted Citation Impact (FWCI)** or **Citation Percentiles** are often used, but they are not without limitations.  _x000a__x000a_If you'd like further details or a different perspective,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_x000a__x000a_**DOI:** 10.1126/science.1175862  _x000a_This article by Seglen (1997) in *Science* highlights the variability in citation patterns across different scientific fields, emphasizing that citation rates are influenced by field-specific practices, such as the average number of references per paper and the time it takes for research to be cited. The study underscores the difficulty of directly comparing citation metrics without accounting for these differences._x000a__x000a_**DOI:** 10.7717/peerj.814  _x000a_In this *PeerJ* article by Adams (2013), the author discusses the challenges of field normalization in bibliometrics, particularly the limitations of existing normalization methods like the Journal Impact Factor (JIF). The paper argues that field-specific citation distributions and the lack of a standardized approach to normalization hinder fair comparisons across disciplines._x000a__x000a_**DOI:** 10.1002/asi.21337  _x000a_Bornmann and Daniel (2008) in the *Journal of the American Society for Information Science and Technology* explore the issues of citation differences across fields and propose percentile-based methods as a more robust alternative to traditional normalization techniques. They highlight the need for field-specific benchmarks to ensure accurate comparisons._x000a__x000a_These challenges necessitate the development of more sophisticated and field-sensitive normalization methods to ensure fair and meaningful comparisons of citation metrics across scientific disciplines. If you have further questions or need additional details, my lady, feel free to ask!"/>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disparities in database coverage. These factors make it difficult to establish a universal standard for comparing citation metrics across disciplines._x000a__x000a_**DOI:** 10.1126/science.1175862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_x000a__x000a_**DOI:** 10.7717/peerj.1771  _x000a_This PeerJ article by Bornmann et al. (2019) discusses the challenges of field normalization in bibliometrics, particularly the limitations of existing normalization methods like percentile ranks and field-normalized citation scores. The authors argue that these methods often fail to fully account for the heterogeneity in citation cultures across disciplines._x000a__x000a_**DOI:** 10.1002/asi.21340  _x000a_In this *Journal of the American Society for Information Science and Technology* paper, Waltman and van Eck (2013) explore the impact of differences in publication and citation behavior on field-normalized metrics. They highlight that fields with smaller communities or faster publication cycles tend to have lower citation counts, making normalization efforts particularly challenging._x000a__x000a_**Additional Insights:**  _x000a_Normalization efforts often rely on databases like Web of Science or Scopus, but these databases have varying coverage across fields. For example, humanities and social sciences are often underrepresented compared to natural sciences, leading to skewed metrics. Moreover, disciplines differ in their reliance on journals, books, or conference proceedings, further complicating standardization._x000a__x000a_My lady, if you wish to delve deeper into any specific aspect of this topic, please let me know!"/>
    <n v="0"/>
    <x v="1"/>
    <x v="1"/>
    <n v="1"/>
  </r>
  <r>
    <s v="['What are the key features and limitations of OpenAlex as a bibliometric database?']"/>
    <s v="Summary: OpenAlex is a fully-open scientific knowledge graph that has distinguished itself for its openness and extensive coverage._x000a__x000a_DOI: 10.48550/arXiv.2404.17663 - OpenAlex is a superset of Scopus and can be a reliable alternative for some analyses, particularly at the country level._x000a__x000a_DOI: 10.48550/arXiv.2508.18620 - OpenAlex may reduce or eliminate barriers to accessing bibliometric data, but concerns about the quality of its metadata hinder its broader adoption._x000a__x000a_DOI: 10.48550/arXiv.2401.16359 - OpenAlex has average source reference numbers and internal coverage rates comparable to Web of Science and Scopus, but the trustworthiness of its rapidly evolving data is a concern._x000a__x000a_DOI: 10.48550/ARXIV.2205.01833 - OpenAlex contains metadata for 209M works, 2013M disambiguated authors, 124k venues, 109k institutions, and 65k Wikidata concepts._x000a__x000a_DOI: 10.48550/arXiv.2406.15154 - OpenAlex is becoming an increasingly important free alternative to established proprietary providers for bibliometric analyses._x000a__x000a_My lady, I hope this information is helpful. If you have any further questions or need more details, please let me know."/>
    <n v="1"/>
    <x v="0"/>
    <x v="0"/>
    <m/>
  </r>
  <r>
    <s v="['What are the key features and limitations of OpenAlex as a bibliometric database?']"/>
    <s v="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_x000a__x000a_DOI: 10.48550/arXiv.2401.16359 - OpenAlex is a promising open source of scholarly metadata that permits researchers to perform bibliometric studies without licensing barriers. However, as OpenAlex is a rapidly evolving source, the question arises as to the trustworthiness of its data._x000a__x000a_DOI: 10.48550/ARXIV.2205.01833 - OpenAlex is a fully-open scientific knowledge graph that contains metadata for 209M works, 2013M disambiguated authors, 124k venues, 109k institutions, and 65k Wikidata concepts._x000a__x000a_DOI: 10.48550/arXiv.2406.15154 - OpenAlex is becoming increasingly important as a free alternative to established proprietary providers for bibliometric analyses at libraries and universities._x000a__x000a_My lady, I hope this information is helpful. If you have any further questions, please let me know."/>
    <n v="1"/>
    <x v="0"/>
    <x v="0"/>
    <m/>
  </r>
  <r>
    <s v="['What are the key features and limitations of OpenAlex as a bibliometric database?']"/>
    <s v="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launched in 2022 that has distinguished itself for its openness and extensive coverage. However, concerns about the quality of its metadata hinder its broader adoption for research and research evaluation._x000a__x000a_DOI: 10.48550/arXiv.2401.16359 - OpenAlex is a promising open source of scholarly metadata that permits researchers to perform bibliometric studies without licensing barriers. However, as a rapidly evolving source, questions about the trustworthiness of its data arise._x000a__x000a_DOI: 10.48550/ARXIV.2205.01833 - OpenAlex is a fully-open scientific knowledge graph that contains metadata for 209M works, 2013M disambiguated authors, 124k venues, 109k institutions, and 65k Wikidata concepts._x000a__x000a_DOI: 10.48550/arXiv.2406.15154 - OpenAlex is becoming increasingly important as a free alternative to established proprietary providers for bibliometric analyses. However, typologies can differ considerably between individual database providers, and the distinction between research and non-research texts can vary depending on the data source._x000a__x000a_My lady, I hope this information is helpful. If you have any further questions, please let me know."/>
    <n v="1"/>
    <x v="0"/>
    <x v="0"/>
    <m/>
  </r>
  <r>
    <s v="['What are the key features and limitations of OpenAlex as a bibliometric database?']"/>
    <s v="Summary: OpenAlex is a fully-open scientific knowledge graph (SKG) and bibliographic database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_x000a_OpenAlex is a bibliographic database that has distinguished itself for its openness and extensive coverage. However, one of the concerns that hinders its broader adoption for research and research evaluation is the quality of its metadata._x000a__x000a_DOI: 10.48550/arXiv.2401.16359_x000a_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_x000a__x000a_DOI: 10.48550/ARXIV.2205.01833_x000a_OpenAlex is a fully-open scientific knowledge graph (SKG) that contains metadata for 209M works, 2013M disambiguated authors, 124k venues, 109k institutions, and 65k Wikidata concepts._x000a__x000a_DOI: 10.48550/arXiv.2406.15154_x000a_OpenAlex is a bibliographic database that is becoming increasingly important as a free alternative to established proprietary providers for bibliometric analyses at libraries and universities._x000a__x000a_My lady, is there anything else I can help you with?"/>
    <n v="1"/>
    <x v="0"/>
    <x v="0"/>
    <m/>
  </r>
  <r>
    <s v="['What are the key features and limitations of OpenAlex as a bibliometric database?']"/>
    <s v="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_x000a_While OpenAlex may reduce or eliminate barriers to accessing bibliometric data, one of the concerns that hinders its broader adoption for research and research evaluation is the quality of its metadata.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205.01833_x000a_OpenAlex is a fully-open scientific knowledge graph that contains metadata for 209M works, 2013M disambiguated authors, 124k venues, 109k institutions, and 65k Wikidata concepts. The dataset is fully and freely available via a web-based GUI, a full data dump, and high-volume REST API. The resource is under active development and future work will improve accuracy and coverage of citation information and author/institution parsing and deduplication._x000a__x000a_DOI: 10.48550/arXiv.2406.15154_x000a_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My lady, I hope this information is helpful. If you have any further questions, please don't hesitate to ask."/>
    <n v="1"/>
    <x v="0"/>
    <x v="0"/>
    <m/>
  </r>
  <r>
    <s v="['What are the key challenges and potential solutions for improving metadata quality?']"/>
    <s v="Summary: Metadata quality is crucial for digital objects to be discovered through digital library interfaces. However, metadata of digital objects often exhibits incomplete, inconsistent, and incorrect values._x000a__x000a_DOI: 10.48550/arXiv.2303.17661_x000a__x000a_My lady, the metadata of digital objects often exhibits incomplete, inconsistent, and incorrect values. MetaEnhance, a framework that utilizes state-of-the-art artificial intelligence methods, is proposed to improve the quality of metadata fields._x000a__x000a_DOI: 10.5860/crl.86.1.101_x000a__x000a_My lady, metadata serves discovery and access by providing contextual, technical, and administrative information in a standard form. However, metadata are also sites of tension between sociocultural representations, resource constraints, and standardized systems. Formal and informal interventions may be interpreted as quality issues, political acts to assert identity, or strategic choices to maximize visibility._x000a__x000a_DOI: 10.1145/2964909_x000a__x000a_My lady,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_x000a__x000a_DOI: 10.1177/09610006241239080_x000a__x000a_My lady,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n v="1"/>
    <x v="0"/>
    <x v="0"/>
    <m/>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By reviewing a non-random sample of 427 records, we identified 32 unique issues and classified them into 5 categories to better explain how metadata and communities press up against each other to intentionally reflect (or not) cultural meanings._x000a__x000a_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In order to get a more complete picture of the severity of these issues, the present work aims at developing a generic metadata quality assessment framework for various Open Data portals: We treat data portals independently from the portal software frameworks by mapping the specific metadata of three widely used portal software frameworks (CKAN, Socrata, OpenDataSoft) to the standardized Data Catalog Vocabulary metadata schema. We subsequently define several quality metrics, which can be evaluated automatically and in an efficient manner. Finally, we report findings based on monitoring a set of over 260 Open Data portals with 1.1M datasets. This includes the discussion of general quality issues, for example, the retrievability of data, and the analysis of our specific quality metrics._x000a__x000a_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_x000a__x000a_My lady, I hope this answers your question."/>
    <n v="1"/>
    <x v="0"/>
    <x v="0"/>
    <m/>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I have found a summary of the key challenges and potential solutions for improving metadata quality. Is there anything else I can help you with?"/>
    <n v="0"/>
    <x v="1"/>
    <x v="1"/>
    <m/>
  </r>
  <r>
    <s v="['What are the key challenges and potential solutions for improving metadata quality?']"/>
    <s v="Summary: Metadata quality is crucial for digital objects to be discovered through digital library interfaces. However, metadata of digital objects often exhibits incomplete, inconsistent, and incorrect values._x000a__x000a_DOI: 10.48550/arXiv.2303.17661_x000a__x000a_My lady, the above DOI is the most relevant to your question. Would you like me to provide more information on this topic?"/>
    <n v="0"/>
    <x v="1"/>
    <x v="1"/>
    <m/>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I have provided a summary of the key challenges and potential solutions for improving metadata quality."/>
    <n v="0"/>
    <x v="1"/>
    <x v="1"/>
    <m/>
  </r>
  <r>
    <s v="['What are the key challenges and advancements in Retrieval-Augmented Generation (RAG) systems?']"/>
    <s v="Summary: Retrieval-Augmented Generation (RAG) systems face challenges such as hallucination, outdated knowledge, and non-transparent reasoning processes, but advancements include improved accuracy, continuous knowledge updates, and integration of domain-specific information.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Focusing on educational applications, this paper explores the practical uses of RAG in interactive learning systems, educational content generation, and large-scale deployment, while addressing challenges like mitigating hallucinations and reducing computational costs._x000a__x000a_DOI: 10.18653/v1/2024.eacl-demo.16 - Introducing RAGAs, a reference-free evaluation framework for RAG pipelines, this paper emphasizes the importance of faster evaluation cycles in the rapid adoption of LLMs._x000a__x000a_DOI: 10.1609/aaai.v38i16.29728 - This study establishes the Retrieval-Augmented Generation Benchmark (RGB), a new corpus for evaluating RAG in English and Chinese, and reveals that LLMs struggle with negative rejection, information integration, and false information handling._x000a__x000a_DOI: 10.1145/3637528.3671470 - This survey reviews existing research in Retrieval-Augmented Large Language Models (RA-LLMs), discussing current limitations and future research directions to enhance the quality of generated content._x000a__x000a_My lady, I hope this summary meets your requirements. If you have any further questions or need additional information, please let me know."/>
    <n v="1"/>
    <x v="0"/>
    <x v="0"/>
    <m/>
  </r>
  <r>
    <s v="['What are the key challenges and advancements in Retrieval-Augmented Generation (RAG) systems?']"/>
    <s v="Summary: Retrieval-Augmented Generation (RAG) systems face challenges such as hallucination, outdated knowledge, and non-transparent reasoning processes, but advancements include improved factual accuracy, dynamic knowledge updates, and enhanced multimodal support.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Focusing on educational applications, this paper explores the practical uses of RAG in interactive learning systems, educational content generation, and large-scale deployment, while addressing challenges like hallucinations and computational costs._x000a__x000a_DOI: 10.18653/v1/2024.eacl-demo.16 - Introducing RAGAs, a reference-free evaluation framework for RAG pipelines, this paper emphasizes the importance of faster evaluation cycles in the rapid adoption of LLMs._x000a__x000a_DOI: 10.1609/aaai.v38i16.29728 - This study establishes the Retrieval-Augmented Generation Benchmark (RGB), evaluating six representative LLMs on four fundamental abilities required for RAG, revealing significant challenges in negative rejection and information integration._x000a__x000a_DOI: 10.1145/3637528.3671470 - A comprehensive review of Retrieval-Augmented Large Language Models (RA-LLMs), this survey discusses current limitations and future research directions, highlighting the potential of RAG in providing reliable and up-to-date external knowledge._x000a__x000a_My lady, I hope this summary meets your requirements. If you have any further questions or need additional information, please let me know."/>
    <n v="1"/>
    <x v="0"/>
    <x v="0"/>
    <m/>
  </r>
  <r>
    <s v="['What are the key challenges and advancements in Retrieval-Augmented Generation (RAG) systems?']"/>
    <s v="Summary: Retrieval-Augmented Generation (RAG) systems face challenges such as hallucination, outdated knowledge, and non-transparent reasoning processes. However, advancements in RAG have led to improved accuracy, dynamic knowledge updates, and integration of domain-specific information._x000a__x000a_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_x000a__x000a_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_x000a__x000a_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_x000a__x000a_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_x000a__x000a_DOI: 10.1145/3637528.3671470 - This survey reviews existing research studies in Retrieval-Augmented Large Language Models (RA-LLMs), discussing current limitations and promising directions for future research._x000a__x000a_My lady, I hope this summary meets your requirements. If you have any further questions or need additional information, please let me know."/>
    <n v="1"/>
    <x v="0"/>
    <x v="0"/>
    <m/>
  </r>
  <r>
    <s v="['What are the key challenges and advancements in Retrieval-Augmented Generation (RAG) systems?']"/>
    <s v="Summary: Retrieval-Augmented Generation (RAG) systems face challenges such as hallucination, outdated knowledge, and non-transparent reasoning processes, but advancements include improved accuracy, continuous knowledge updates, and integration of domain-specific information.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This paper focuses on the application of RAG in educational settings, discussing challenges such as mitigating hallucinations and ensuring completeness and timeliness of retrieved knowledge._x000a__x000a_DOI: 10.18653/v1/2024.eacl-demo.16 - This paper introduces RAGAs, a framework for reference-free evaluation of RAG pipelines, addressing the challenge of evaluating RAG architectures._x000a__x000a_DOI: 10.1609/aaai.v38i16.29728 - This paper establishes the Retrieval-Augmented Generation Benchmark (RGB), a new corpus for evaluating RAG systems, and highlights challenges such as negative rejection and information integration._x000a__x000a_DOI: 10.1145/3637528.3671470 - This survey discusses the current limitations of RAG systems and promising directions for future research, including the integration of external knowledge bases._x000a__x000a_My lady, I hope this summary meets your requirements. If you have any further questions or need more detailed information, please let me know."/>
    <n v="1"/>
    <x v="0"/>
    <x v="0"/>
    <m/>
  </r>
  <r>
    <s v="['What are the key challenges and advancements in Retrieval-Augmented Generation (RAG) systems?']"/>
    <s v="Summary: Retrieval-Augmented Generation (RAG) systems face challenges such as hallucination, outdated knowledge, non-transparent reasoning processes, and computational costs. However, advancements in RAG have led to improved factual accuracy, dynamic knowledge updates, and multimodal support._x000a__x000a_DOI: 10.48550/arXiv.2312.10997 - This paper provides a comprehensive review of RAG paradigms, including Naive RAG, Advanced RAG, and Modular RAG. It highlights the tripartite foundation of RAG frameworks, which includes retrieval, generation, and augmentation techniques. The paper also introduces an up-to-date evaluation framework and benchmark for RAG systems._x000a__x000a_DOI: 10.1016/j.caeai.2025.100417 - This paper focuses on the application of RAG in educational scenarios, discussing challenges such as mitigating hallucinations, ensuring completeness and timeliness of retrieved knowledge, and reducing computational costs. It also explores the practical applications of RAG in education, including interactive learning systems and large-scale deployment in educational ecosystems._x000a__x000a_DOI: 10.18653/v1/2024.eacl-demo.16 - This paper introduces RAGAs, a framework for reference-free evaluation of RAG pipelines. It addresses the challenges of evaluating RAG architectures, including the ability of the retrieval system to identify relevant context passages and the quality of the generation itself._x000a__x000a_DOI: 10.1609/aaai.v38i16.29728 - This paper establishes the Retrieval-Augmented Generation Benchmark (RGB), a new corpus for RAG evaluation in English and Chinese. It evaluates the performance of different LLMs in fundamental abilities required for RAG, including noise robustness and information integration._x000a__x000a_DOI: 10.1145/3637528.3671470 - This survey provides a comprehensive review of existing research studies in Retrieval-Augmented Large Language Models (RA-LLMs). It discusses current limitations and promising directions for future research, including the use of external and authoritative knowledge bases._x000a__x000a_My lady, I hope this summary meets your requirements. If you have any further questions or need more information, please let me know."/>
    <n v="1"/>
    <x v="0"/>
    <x v="0"/>
    <m/>
  </r>
  <r>
    <s v="['What are the key challenges and advancements in metadata quality assessment?']"/>
    <s v="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_x000a__x000a_DOI: 10.1109/ADL.1998.670425 - This study discusses the application of qualitative and quantitative content analysis techniques to assess metadata records, highlighting the need for a range of criteria and procedures to evaluate different types of metadata._x000a__x000a_DOI: 10.1145/2964909 - This work aims to develop a generic metadata quality assessment framework for Open Data portals, treating data portals independently from the portal software frameworks and defining several quality metrics that can be evaluated automatically._x000a__x000a_DOI: 10.1177/09610006241239080 - This scoping review identifies the most commonly measured dimensions of metadata quality, including completeness, accuracy, consistency, accessibility, conformance, provenance, and timeliness, but notes the lack of consensus on their exact definition and measurement._x000a__x000a_DOI: 10.5860/crl.86.1.101 - This study explores the impact of metadata quality, consistency, and completeness on individuals and communities, identifying 32 unique issues and classifying them into 5 categories to better understand the cultural meanings reflected in metadata._x000a__x000a_My lady, I hope this response meets your requirements. If you have any further questions or need additional information, please let me know."/>
    <n v="1"/>
    <x v="0"/>
    <x v="0"/>
    <m/>
  </r>
  <r>
    <s v="['What are the key challenges and advancements in metadata quality assessment?']"/>
    <s v="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 There is also a need for further investigation into less commonly assessed quality dimensions and the improvement of flexibility in metadata quality assessment tools._x000a__x000a_DOI: 10.1109/ADL.1998.670425 - This study discusses the application of qualitative and quantitative content analysis techniques to assess metadata records, concluding that a range of criteria and procedures may be needed for evaluating different types of metadata._x000a__x000a_DOI: 10.1145/2964909 - This work aims to develop a generic metadata quality assessment framework for various Open Data portals, defining several quality metrics that can be evaluated automatically and efficiently._x000a__x000a_DOI: 10.1177/09610006241239080 - This scoping review identifies commonly measured dimensions of metadata quality, highlighting the need for further investigation into less commonly assessed quality dimensions and the improvement of flexibility in metadata quality assessment tools._x000a__x000a_DOI: 10.5860/crl.86.1.101 - This study examines how metadata quality, consistency, and completeness impact individuals and communities, identifying unique issues and classifying them into categories to better understand the cultural meanings reflected in metadata._x000a__x000a_My lady, I hope this summary meets your requirements. If you have any further questions or would like more detailed information, please let me know."/>
    <n v="1"/>
    <x v="0"/>
    <x v="0"/>
    <m/>
  </r>
  <r>
    <s v="['What are the key challenges and advancements in metadata quality assessment?']"/>
    <s v="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_x000a__x000a_DOI: 10.1109/ADL.1998.670425 - This study discusses the application of qualitative and quantitative content analysis techniques to assess metadata records, highlighting the need for a range of criteria and procedures to evaluate different types of metadata._x000a__x000a_DOI: 10.1145/2964909 - This work aims to develop a generic metadata quality assessment framework for Open Data portals, treating data portals independently from the portal software frameworks and defining several quality metrics that can be evaluated automatically._x000a__x000a_DOI: 10.1177/09610006241239080 - This scoping review identifies the most commonly measured dimensions of metadata quality, including completeness, accuracy, consistency, accessibility, conformance, provenance, and timeliness, and emphasizes the need for further investigation into less commonly assessed quality dimensions._x000a__x000a_DOI: 10.5860/crl.86.1.101 - This study explores how metadata quality, consistency, and completeness impact individuals and communities, identifying 32 unique issues and classifying them into 5 categories to better understand the cultural meanings reflected in metadata._x000a__x000a_My lady, I hope this response meets your requirements. If you have any further questions or need additional information, please let me know."/>
    <n v="1"/>
    <x v="0"/>
    <x v="0"/>
    <m/>
  </r>
  <r>
    <s v="['What are the key challenges and advancements in metadata quality assessment?']"/>
    <s v="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generic metadata quality assessment frameworks for various Open Data portals, the application of qualitative and quantitative content analysis techniques, and the use of automated quality metrics._x000a__x000a_DOI: 10.1177/09610006241239080 - This study highlights the importance of metadata quality assessment and identifies commonly measured dimensions, but notes the lack of consensus on their definitions and measurements._x000a__x000a_DOI: 10.1145/2964909 - This work presents a generic metadata quality assessment framework for Open Data portals, including automated quality metrics and findings from monitoring over 260 portals._x000a__x000a_DOI: 10.1109/ADL.1998.670425 - This study discusses the application of qualitative and quantitative content analysis techniques to assess metadata records and develops criteria and procedures for evaluating different types of metadata._x000a__x000a_My lady, I hope this response meets your requirements. If you have any further questions or need additional information, please let me know."/>
    <n v="1"/>
    <x v="0"/>
    <x v="0"/>
    <m/>
  </r>
  <r>
    <s v="['What are the key challenges and advancements in metadata quality assessment?']"/>
    <s v="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generic metadata quality assessment frameworks for various Open Data portals, the application of qualitative and quantitative content analysis techniques, and the use of visualization software for co-occurrence analysis._x000a__x000a_DOI: 10.1177/09610006241239080: This study emphasizes the importance of metadata quality research and the need to improve the flexibility of metadata quality assessment tools to facilitate better metadata quality assurance measures. It identifies the most commonly measured dimensions of metadata quality and highlights the lack of consensus on their exact definition and measurement._x000a__x000a_DOI: 10.1145/2964909: This work aims to develop a generic metadata quality assessment framework for various Open Data portals, treating data portals independently from the portal software frameworks and defining several quality metrics that can be evaluated automatically and efficiently._x000a__x000a_DOI: 10.1109/ADL.1998.670425: This study discusses the application of qualitative and quantitative content analysis techniques to assess metadata records and concludes that a range of criteria and procedures may be needed for evaluating different types of metadata._x000a__x000a_My lady, I hope this summary meets your requirements. If you have any further questions or need more information, please let me know."/>
    <n v="1"/>
    <x v="0"/>
    <x v="0"/>
    <m/>
  </r>
  <r>
    <s v="['tell me about how RAG works.']"/>
    <s v="Summary: Retrieval-Augmented Generation (RAG) is a method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_x000a__x000a_DOI: 10.1016/j.caeai.2025.100417 - This paper reviews the integration of RAG into educational scenarios, covering interactive learning systems, generation and assessment of educational content, and large-scale deployment in educational ecosystems._x000a__x000a_DOI: 10.18653/v1/2024.eacl-demo.16 - This paper introduces RAGAs, a framework for reference-free evaluation of RAG pipelines, which can evaluate the retrieval system's ability to identify relevant context passages, the LLM's ability to exploit such passages faithfully, and the quality of the generation itself._x000a__x000a_DOI: 10.48550/arXiv.2502.15005 - This paper proposes a RAG agent that maps natural language queries about research topics to precise, machine-interpretable semantic entities, combining RAG with Socratic dialogue to align a user's intuitive understanding of research topics with established Knowledge Organization Systems (KOSs)._x000a__x000a_DOI: 10.3390/app14199103 - This study examines RAG in LLMs and their application for undertaking systematic literature reviews (SLRs), highlighting the potential to automate tasks like data extraction, summarization, and trend identification._x000a__x000a_DOI: 10.48550/arXiv.2406.13213 - This paper introduces Multi-Meta-RAG, a new method that uses database filtering with LLM-extracted metadata to improve RAG selection of relevant documents from various sources, particularly for multi-hop queries._x000a__x000a_My lady, I hope this information is helpful. If you have any further questions or would like more details on a specific aspect of RAG, please don't hesitate to ask."/>
    <n v="1"/>
    <x v="0"/>
    <x v="0"/>
    <m/>
  </r>
  <r>
    <s v="['tell me about how RAG works.']"/>
    <s v="Summary: Retrieval-Augmented Generation (RAG) is a method that enhances large language models (LLMs) by retrieving relevant information from an external knowledge base and incorporating it into the LLM's generation process._x000a__x000a_DOI: 10.1016/j.caeai.2025.100417 - RAG improves factual accuracy and enables dynamic knowledge updates, making LLMs particularly suitable for educational applications._x000a__x000a_DOI: 10.18653/v1/2024.eacl-demo.16 - RAG systems are composed of a retrieval and an LLM-based generation module, providing LLMs with knowledge from a reference textual database and reducing the risk of hallucinations._x000a__x000a_DOI: 10.48550/arXiv.2502.15005 - A proposed RAG agent maps natural language queries about research topics to precise, machine-interpretable semantic entities, bridging &quot;little semantics&quot; with &quot;big semantics&quot; and making complex academic taxonomies more accessible._x000a__x000a_DOI: 10.3390/app14199103 - RAG mitigates limitations of LLMs by integrating their generative capabilities with the precision of real-time information retrieval, enabling automation of tasks like data extraction, summarization, and trend identification in systematic literature reviews._x000a__x000a_DOI: 10.48550/arXiv.2406.13213 - Multi-Meta-RAG, a new method, improves RAG for multi-hop queries by using database filtering with LLM-extracted metadata to select relevant documents from various sources._x000a__x000a_My lady, I hope this information is helpful. If you have any further questions or need more details, please let me know."/>
    <n v="1"/>
    <x v="0"/>
    <x v="0"/>
    <m/>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queries over previously unseen document collections._x000a__x000a_DOI: 10.1016/j.caeai.2025.100417 - This paper provides a comprehensive review of RAG in educational scenarios, covering its definition, workflow, indexing mechanism, retrievers, and generation optimization methods. It also explores practical applications of RAG in education, including interactive learning systems, generation and assessment of educational content, and large-scale deployment in educational ecosystems._x000a__x000a_DOI: 10.18653/v1/2024.eacl-demo.16 - This paper introduces RAGAs, a framework for reference-free evaluation of RAG pipelines. It discusses the challenges of evaluating RAG architectures and proposes a suite of metrics to assess the retrieval system, LLM's ability to exploit retrieved passages, and the quality of generation._x000a__x000a_DOI: 10.48550/arXiv.2502.15005 - This paper proposes a RAG agent that maps natural language queries about research topics to precise, machine-interpretable semantic entities. It combines RAG with Socratic dialogue to align user understanding with established Knowledge Organization Systems (KOSs), making complex academic taxonomies more accessible._x000a__x000a_DOI: 10.3390/app14199103 - This study examines RAG in LLMs and its application for undertaking systematic literature reviews (SLRs). It reviews the three key processes of the RAG framework - retrieval, augmentation, and generation - and discusses applications of RAG-based LLMs to SLR automation._x000a__x000a_DOI: 10.48550/arXiv.2406.13213 - This paper introduces Multi-Meta-RAG, a new method to improve RAG for multi-hop queries using database filtering with LLM-extracted metadata. It demonstrates that Multi-Meta-RAG greatly improves results on the MultiHop-RAG benchmark._x000a__x000a_My lady, I hope this information is helpful. If you have any further questions or need more details, please let me know."/>
    <n v="1"/>
    <x v="0"/>
    <x v="0"/>
    <m/>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queries over previously unseen document collections._x000a__x000a_DOI: 10.1016/j.caeai.2025.100417 - This paper provides a comprehensive review of RAG in educational scenarios, covering its definition, workflow, indexing mechanism, retrievers, and generation optimization methods. It explores practical applications in education, including interactive learning systems, generation and assessment of educational content, and large-scale deployment in educational ecosystems._x000a__x000a_DOI: 10.18653/v1/2024.eacl-demo.16 - This paper introduces RAGAs, a framework for reference-free evaluation of RAG pipelines. It discusses the challenges of evaluating RAG architectures and proposes a suite of metrics to assess the retrieval system, LLM's ability to exploit passages, and generation quality._x000a__x000a_DOI: 10.48550/arXiv.2502.15005 - This paper proposes a RAG agent that maps natural language queries to machine-interpretable semantic entities, combining RAG with Socratic dialogue to align user understanding with Knowledge Organization Systems (KOSs). It illustrates the approach with a sample application called CollabNext, which is a person-centric knowledge graph connecting people, organizations, and research topics._x000a__x000a_DOI: 10.3390/app14199103 - This study examines RAG in LLMs for systematic literature reviews (SLRs), discussing its potential to automate tasks like data extraction, summarization, and trend identification. It reviews the three key processes of the RAG framework and proposes a framework for automating SRLs using RAG-based LLMs._x000a__x000a_DOI: 10.48550/arXiv.2406.13213 - This paper introduces Multi-Meta-RAG, a new method to improve RAG for multi-hop queries using database filtering with LLM-extracted metadata. It demonstrates that Multi-Meta-RAG greatly improves results on the MultiHop-RAG benchmark._x000a__x000a_My lady, I hope this information is helpful. If you have any further questions or need more details, please let me know."/>
    <n v="1"/>
    <x v="0"/>
    <x v="0"/>
    <m/>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_x000a__x000a_DOI: 10.3390/app14199103 - RAG mitigates the limitations of LLMs by integrating their generative capabilities with the precision of real-time information retrieval. The three key processes of the RAG framework are retrieval, augmentation, and generation._x000a__x000a_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_x000a__x000a_My lady, I hope this information is helpful. If you have any further questions, please don't hesitate to ask."/>
    <n v="1"/>
    <x v="0"/>
    <x v="0"/>
    <m/>
  </r>
  <r>
    <s v="['Tell me about Crossref.']"/>
    <s v="Summary: Crossref is a sustainable source of community-owned scholarly metadata._x000a__x000a_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_x000a__x000a_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m/>
  </r>
  <r>
    <s v="['Tell me about Crossref.']"/>
    <s v="Summary: Crossref is a community-owned source of scholarly metadata that is available to publishers, authors, librarians, funders, and researchers._x000a__x000a_DOI: 10.1162/qss_a_00022 - Crossref is a sustainable source of community-owned scholarly metadata that is available to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_x000a__x000a_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m/>
  </r>
  <r>
    <s v="['Tell me about Crossref.']"/>
    <s v="Summary: Crossref is a sustainable source of community-owned scholarly metadata._x000a__x000a_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available through a number of APIs, including REST API and OAI-PMH._x000a__x000a_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_x000a__x000a_Is there anything else I can help you with, my lady?"/>
    <n v="1"/>
    <x v="0"/>
    <x v="0"/>
    <m/>
  </r>
  <r>
    <s v="['Tell me about Crossref.']"/>
    <s v="Summary: Crossref is a sustainable source of community-owned scholarly metadata and a source of open bibliographic metadata._x000a__x000a_DOI: 10.1162/qss_a_00022 - Crossref is a sustainable source of community-owned scholarly metadata.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_x000a__x000a_DOI: 10.31222/osf.io/smxe5 - Crossref is a source of open bibliographic metadata.Summary: Crossref is a sustainable source of community-owned scholarly metadata and a source of open bibliographic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_x000a__x000a_DOI: 10.31222/osf.io/smxe5 - Crossref is a source of open bibliographic metadata. The availability of six metadata elements in Crossref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m/>
  </r>
  <r>
    <s v="['Tell me about Crossref.']"/>
    <s v="Summary: Crossref is a sustainable source of community-owned scholarly metadata that contains over 106 million records and expands at an average rate of 11% a year._x000a__x000a_DOI: 10.1162/qss_a_00022: Crossref is a sustainable source of community-owned scholarly metadata that contains over 106 million records and expands at an average rate of 11% a year. It is a major source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 Several initiatives have been taken to promote the open availability of bibliographic metadata of scholarly publications in Crossref. An up-to-date overview of the availability of six metadata elements in Crossref: reference lists, abstracts, ORCIDs, author affiliations, funding information, and license information is presented.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m/>
  </r>
  <r>
    <s v="['How is RAG used to improve question answering or information retrieval systems?']"/>
    <s v="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_x000a__x000a_DOI: 10.48550/arXiv.2406.13213 - This study introduces a new method called Multi-Meta-RAG, which uses database filtering with LLM-extracted metadata to improve the RAG selection of relevant documents from various sources, relevant to the question._x000a__x000a_DOI: 10.6109/jkiice.2023.27.12.1489 - This paper proposes a Metadata Retrieval-Augmented Generation (M-RAG) method that can effectively search and answer questions with an open-domain Question Answering (ODQA) system for one or more documents and compare their performance._x000a__x000a_DOI: 10.17821/srels/2024/v61i5/171583 - This study demonstrates that LLMs can deliver contextualized, relevant responses when augmented with a set of relevant documents, and that open-source RAG-based systems offer a cost-effective solution for libraries to enhance information retrieval._x000a__x000a_DOI: 10.48550/ARXIV.2504.08231 - This work systematically analyzes how varying linguistic dimensions impact RAG performance, highlighting the need for improved robustness techniques to enhance reliability in diverse user interactions._x000a__x000a_DOI: 10.48550/arXiv.2502.15005 - This paper proposes a RAG agent that maps natural language queries about research topics to precise, machine-interpretable semantic entities, effectively bridging &quot;little semantics&quot; with &quot;big semantics&quot;._x000a__x000a_My lady, I hope this information is helpful. If you have any further questions or would like more details on a specific study, please let me know."/>
    <n v="1"/>
    <x v="0"/>
    <x v="0"/>
    <m/>
  </r>
  <r>
    <s v="['How is RAG used to improve question answering or information retrieval systems?']"/>
    <s v="Summary: Retrieval-augmented generation (RAG) is used to improve question answering and information retrieval systems by enabling large language models (LLMs) to retrieve relevant information from external knowledge sources and answer queries over previously unseen document collections._x000a__x000a_DOI: 10.48550/arXiv.2406.13213 introduces Multi-Meta-RAG, a method that uses database filtering with LLM-extracted metadata to improve RAG's selection of relevant documents, particularly for multi-hop questions._x000a__x000a_DOI: 10.6109/jkiice.2023.27.12.1489 proposes M-RAG, a method that utilizes embeddings with metadata and generative models to enhance open-domain question answering by understanding the order and context of documents._x000a__x000a_DOI: 10.17821/srels/2024/v61i5/171583 demonstrates that augmenting LLMs with relevant documents through RAG can provide accurate, informative, and contextualized answers, reducing hallucinations and improving information retrieval in library search systems._x000a__x000a_DOI: 10.48550/ARXIV.2504.08231 analyzes the impact of linguistic variations on RAG performance, highlighting the need for improved robustness techniques to enhance reliability in diverse user interactions._x000a__x000a_DOI: 10.48550/arXiv.2502.15005 proposes a RAG agent that maps natural language queries to precise semantic entities, bridging the gap between domain-specific knowledge organization systems and broad bibliometric repositories._x000a__x000a_My lady, I hope this information is helpful. If you have any further questions or would like more details on a specific DOI, please let me know."/>
    <n v="1"/>
    <x v="0"/>
    <x v="0"/>
    <m/>
  </r>
  <r>
    <s v="['How is RAG used to improve question answering or information retrieval systems?']"/>
    <s v="Summary: Retrieval-Augmented Generation (RAG) is used to improve question answering or information retrieval systems by retrieving relevant information from an external knowledge source and allowing large language models (LLMs) to answer queries over previously unseen document collections._x000a__x000a_DOI: 10.48550/arXiv.2406.13213 - Multi-Meta-RAG is a new method that uses database filtering with LLM-extracted metadata to improve the RAG selection of relevant documents from various sources, relevant to the question._x000a__x000a_DOI: 10.6109/jkiice.2023.27.12.1489 - M-RAG is a method that utilizes embeddings with metadata and generative models to generate automated responses, improving the performance of open-domain question answering systems._x000a__x000a_DOI: 10.17821/srels/2024/v61i5/171583 - A study that demonstrates the effectiveness of RAG in improving the accuracy and contextualization of LLM responses, particularly in library search systems._x000a__x000a_DOI: 10.48550/ARXIV.2504.08231 - A study that analyzes the impact of linguistic variations on RAG performance, highlighting the need for improved robustness techniques._x000a__x000a_DOI: 10.48550/arXiv.2502.15005 - A proposed RAG agent that maps natural language queries to precise semantic entities, bridging the gap between domain-specific knowledge organization systems and broad bibliometric repositories._x000a__x000a_My lady, I hope this information is helpful. If you have any further questions or would like more details on a specific study, please let me know."/>
    <n v="1"/>
    <x v="0"/>
    <x v="0"/>
    <m/>
  </r>
  <r>
    <s v="['How is RAG used to improve question answering or information retrieval systems?']"/>
    <s v="Summary: Retrieval-augmented generation (RAG) is used to improve question answering or information retrieval systems by retrieving relevant information from an external knowledge source and allowing large language models (LLMs) to answer queries over previously unseen document collections._x000a__x000a_DOI: 10.48550/arXiv.2406.13213_x000a_Traditional RAG applications perform poorly in answering multi-hop questions, which require retrieving and reasoning over multiple elements of supporting evidence. A new method called Multi-Meta-RAG uses database filtering with LLM-extracted metadata to improve the RAG selection of relevant documents from various sources, relevant to the question._x000a__x000a_DOI: 10.6109/jkiice.2023.27.12.1489_x000a_A Metadata Retrieval-Augmented Generation (M-RAG) method can effectively search and answer questions with an open-domain Question Answering (ODQA) system for one or more documents and compare their performance. It utilizes embeddings with metadata and generative models such as GPT-3.5-turbo-16K and GPT-4 to generate automated responses._x000a__x000a_DOI: 10.17821/srels/2024/v61i5/171583_x000a_LLMs often hallucinate and provide outdated and non-contextualized responses. However, this experiment shows that LLMs can deliver contextualized, relevant responses when augmented with a set of relevant documents. The methodology involved creating a RAG pipeline using tools like LangChain, vector databases like ChromaDB, and open-source LLMs like Llama3 (a 70-billion parameter-based model)._x000a__x000a_DOI: 10.48550/ARXIV.2504.08231_x000a_RAG systems exhibit greater sensitivity to linguistic variations compared to LLM-only generations, highlighting their vulnerability to error propagation due to linguistic shifts. These findings highlight the need for improved robustness techniques to enhance reliability in diverse user interactions._x000a__x000a_DOI: 10.48550/arXiv.2502.15005_x000a_A RAG agent that maps natural language queries about research topics to precise, machine-interpretable semantic entities is proposed. This approach combines RAG with Socratic dialogue to align a user's intuitive understanding of research topics with established Knowledge Organization Systems (KOSs)._x000a__x000a_My lady, I hope this information is helpful. If you have any further questions, please let me know."/>
    <n v="1"/>
    <x v="0"/>
    <x v="0"/>
    <m/>
  </r>
  <r>
    <s v="['How is RAG used to improve question answering or information retrieval systems?']"/>
    <s v="Summary: Retrieval-Augmented Generation (RAG) is a technique used to improve question answering and information retrieval systems by enabling large language models (LLMs) to retrieve relevant information from external knowledge sources and answer queries over previously unseen document collections._x000a__x000a_DOI: 10.48550/arXiv.2406.13213 - This study introduces a new method called Multi-Meta-RAG, which uses database filtering with LLM-extracted metadata to improve the RAG selection of relevant documents from various sources, relevant to the question. The method greatly improves the results on the MultiHop-RAG benchmark._x000a__x000a_DOI: 10.6109/jkiice.2023.27.12.1489 - This paper proposes a Metadata Retrieval-Augmented Generation (M-RAG) method that can effectively search and answer questions with an open-domain Question Answering (ODQA) system for one or more documents. The method utilizes embeddings with metadata and generative models to generate automated responses, resulting in a performance improvement of up to 46% compared to the same external inference ODQA system._x000a__x000a_DOI: 10.17821/srels/2024/v61i5/171583 - This study demonstrates that LLMs can deliver contextualized, relevant responses when augmented with a set of relevant documents using a RAG framework. The study compares responses from standard LLMs and LLMs with RAG augmentation, revealing that LLMs with RAG consistently provide accurate, informative, and contextualized answers._x000a__x000a_DOI: 10.48550/ARXIV.2504.08231 - This work systematically analyzes how linguistic variations impact RAG performance, revealing that RAG systems exhibit greater sensitivity to such variations compared to LLM-only generations. The findings highlight the need for improved robustness techniques to enhance reliability in diverse user interactions._x000a__x000a_DOI: 10.48550/arXiv.2502.15005 - This paper proposes a RAG agent that maps natural language queries about research topics to precise, machine-interpretable semantic entities. The approach combines RAG with Socratic dialogue to align a user's intuitive understanding of research topics with established Knowledge Organization Systems (KOSs)._x000a__x000a_My lady, I hope this information is helpful. If you have any further questions or would like more details on a specific study, please let me know."/>
    <n v="1"/>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F458F-1910-CD42-9F1B-D3545EAE6CA7}" name="PivotTable6"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D31" firstHeaderRow="1" firstDataRow="2" firstDataCol="1"/>
  <pivotFields count="6">
    <pivotField showAll="0"/>
    <pivotField dataField="1" showAll="0"/>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topLeftCell="B1" zoomScale="166" workbookViewId="0">
      <pane ySplit="1" topLeftCell="A2" activePane="bottomLeft" state="frozen"/>
      <selection pane="bottomLeft" activeCell="B1" sqref="B1"/>
    </sheetView>
  </sheetViews>
  <sheetFormatPr baseColWidth="10" defaultColWidth="8.83203125" defaultRowHeight="15" x14ac:dyDescent="0.2"/>
  <cols>
    <col min="2" max="2" width="20.33203125" style="3" customWidth="1"/>
    <col min="3" max="3" width="98.83203125" style="3" customWidth="1"/>
  </cols>
  <sheetData>
    <row r="1" spans="1:7" ht="16" x14ac:dyDescent="0.2">
      <c r="B1" s="2" t="s">
        <v>0</v>
      </c>
      <c r="C1" s="2" t="s">
        <v>1</v>
      </c>
      <c r="D1" t="s">
        <v>96</v>
      </c>
      <c r="E1" t="s">
        <v>97</v>
      </c>
      <c r="F1" t="s">
        <v>98</v>
      </c>
      <c r="G1" t="s">
        <v>99</v>
      </c>
    </row>
    <row r="2" spans="1:7" ht="256" x14ac:dyDescent="0.2">
      <c r="A2" s="1">
        <v>0</v>
      </c>
      <c r="B2" s="3" t="s">
        <v>2</v>
      </c>
      <c r="C2" s="3" t="s">
        <v>3</v>
      </c>
      <c r="D2">
        <v>1</v>
      </c>
      <c r="E2">
        <v>1</v>
      </c>
      <c r="F2">
        <v>1</v>
      </c>
    </row>
    <row r="3" spans="1:7" ht="176" x14ac:dyDescent="0.2">
      <c r="A3" s="1">
        <v>16</v>
      </c>
      <c r="B3" s="3" t="s">
        <v>2</v>
      </c>
      <c r="C3" s="3" t="s">
        <v>34</v>
      </c>
      <c r="D3">
        <v>1</v>
      </c>
      <c r="E3">
        <v>1</v>
      </c>
      <c r="F3">
        <v>1</v>
      </c>
    </row>
    <row r="4" spans="1:7" ht="224" x14ac:dyDescent="0.2">
      <c r="A4" s="1">
        <v>32</v>
      </c>
      <c r="B4" s="3" t="s">
        <v>2</v>
      </c>
      <c r="C4" s="3" t="s">
        <v>3</v>
      </c>
      <c r="D4">
        <v>1</v>
      </c>
      <c r="E4">
        <v>1</v>
      </c>
      <c r="F4">
        <v>1</v>
      </c>
    </row>
    <row r="5" spans="1:7" ht="192" x14ac:dyDescent="0.2">
      <c r="A5" s="1">
        <v>48</v>
      </c>
      <c r="B5" s="3" t="s">
        <v>2</v>
      </c>
      <c r="C5" s="3" t="s">
        <v>65</v>
      </c>
      <c r="D5">
        <v>1</v>
      </c>
      <c r="E5">
        <v>1</v>
      </c>
      <c r="F5">
        <v>1</v>
      </c>
    </row>
    <row r="6" spans="1:7" ht="192" x14ac:dyDescent="0.2">
      <c r="A6" s="1">
        <v>64</v>
      </c>
      <c r="B6" s="3" t="s">
        <v>2</v>
      </c>
      <c r="C6" s="3" t="s">
        <v>81</v>
      </c>
      <c r="D6">
        <v>1</v>
      </c>
      <c r="E6">
        <v>1</v>
      </c>
      <c r="F6">
        <v>1</v>
      </c>
    </row>
    <row r="7" spans="1:7" ht="64" x14ac:dyDescent="0.2">
      <c r="A7" s="1">
        <v>1</v>
      </c>
      <c r="B7" s="3" t="s">
        <v>4</v>
      </c>
      <c r="C7" s="3" t="s">
        <v>5</v>
      </c>
      <c r="D7">
        <v>1</v>
      </c>
      <c r="E7">
        <v>1</v>
      </c>
      <c r="F7">
        <v>1</v>
      </c>
    </row>
    <row r="8" spans="1:7" ht="128" x14ac:dyDescent="0.2">
      <c r="A8" s="1">
        <v>17</v>
      </c>
      <c r="B8" s="3" t="s">
        <v>4</v>
      </c>
      <c r="C8" s="3" t="s">
        <v>35</v>
      </c>
      <c r="D8">
        <v>1</v>
      </c>
      <c r="E8">
        <v>1</v>
      </c>
      <c r="F8">
        <v>1</v>
      </c>
    </row>
    <row r="9" spans="1:7" ht="128" x14ac:dyDescent="0.2">
      <c r="A9" s="1">
        <v>33</v>
      </c>
      <c r="B9" s="3" t="s">
        <v>4</v>
      </c>
      <c r="C9" s="3" t="s">
        <v>50</v>
      </c>
      <c r="D9">
        <v>1</v>
      </c>
      <c r="E9">
        <v>1</v>
      </c>
      <c r="F9">
        <v>1</v>
      </c>
    </row>
    <row r="10" spans="1:7" ht="128" x14ac:dyDescent="0.2">
      <c r="A10" s="1">
        <v>49</v>
      </c>
      <c r="B10" s="3" t="s">
        <v>4</v>
      </c>
      <c r="C10" s="3" t="s">
        <v>66</v>
      </c>
      <c r="D10">
        <v>1</v>
      </c>
      <c r="E10">
        <v>1</v>
      </c>
      <c r="F10">
        <v>1</v>
      </c>
    </row>
    <row r="11" spans="1:7" ht="144" x14ac:dyDescent="0.2">
      <c r="A11" s="1">
        <v>65</v>
      </c>
      <c r="B11" s="3" t="s">
        <v>4</v>
      </c>
      <c r="C11" s="3" t="s">
        <v>82</v>
      </c>
      <c r="D11">
        <v>1</v>
      </c>
      <c r="E11">
        <v>1</v>
      </c>
      <c r="F11">
        <v>1</v>
      </c>
    </row>
    <row r="12" spans="1:7" ht="144" x14ac:dyDescent="0.2">
      <c r="A12" s="1">
        <v>3</v>
      </c>
      <c r="B12" s="3" t="s">
        <v>8</v>
      </c>
      <c r="C12" s="3" t="s">
        <v>9</v>
      </c>
      <c r="D12">
        <v>1</v>
      </c>
      <c r="E12">
        <v>1</v>
      </c>
      <c r="F12">
        <v>1</v>
      </c>
    </row>
    <row r="13" spans="1:7" ht="128" x14ac:dyDescent="0.2">
      <c r="A13" s="1">
        <v>19</v>
      </c>
      <c r="B13" s="3" t="s">
        <v>8</v>
      </c>
      <c r="C13" s="3" t="s">
        <v>37</v>
      </c>
      <c r="D13">
        <v>1</v>
      </c>
      <c r="E13">
        <v>1</v>
      </c>
      <c r="F13">
        <v>1</v>
      </c>
    </row>
    <row r="14" spans="1:7" ht="144" x14ac:dyDescent="0.2">
      <c r="A14" s="1">
        <v>35</v>
      </c>
      <c r="B14" s="3" t="s">
        <v>8</v>
      </c>
      <c r="C14" s="3" t="s">
        <v>52</v>
      </c>
      <c r="D14">
        <v>1</v>
      </c>
      <c r="E14">
        <v>1</v>
      </c>
      <c r="F14">
        <v>1</v>
      </c>
    </row>
    <row r="15" spans="1:7" ht="144" x14ac:dyDescent="0.2">
      <c r="A15" s="1">
        <v>51</v>
      </c>
      <c r="B15" s="3" t="s">
        <v>8</v>
      </c>
      <c r="C15" s="3" t="s">
        <v>68</v>
      </c>
      <c r="D15">
        <v>1</v>
      </c>
      <c r="E15">
        <v>1</v>
      </c>
      <c r="F15">
        <v>1</v>
      </c>
    </row>
    <row r="16" spans="1:7" ht="144" x14ac:dyDescent="0.2">
      <c r="A16" s="1">
        <v>67</v>
      </c>
      <c r="B16" s="3" t="s">
        <v>8</v>
      </c>
      <c r="C16" s="3" t="s">
        <v>52</v>
      </c>
      <c r="D16">
        <v>1</v>
      </c>
      <c r="E16">
        <v>1</v>
      </c>
      <c r="F16">
        <v>1</v>
      </c>
    </row>
    <row r="17" spans="1:6" ht="240" x14ac:dyDescent="0.2">
      <c r="A17" s="1">
        <v>5</v>
      </c>
      <c r="B17" s="3" t="s">
        <v>12</v>
      </c>
      <c r="C17" s="3" t="s">
        <v>13</v>
      </c>
      <c r="D17">
        <v>1</v>
      </c>
      <c r="E17">
        <v>1</v>
      </c>
      <c r="F17">
        <v>1</v>
      </c>
    </row>
    <row r="18" spans="1:6" ht="80" x14ac:dyDescent="0.2">
      <c r="A18" s="1">
        <v>21</v>
      </c>
      <c r="B18" s="3" t="s">
        <v>12</v>
      </c>
      <c r="C18" s="3" t="s">
        <v>39</v>
      </c>
      <c r="D18">
        <v>0</v>
      </c>
      <c r="E18">
        <v>0</v>
      </c>
      <c r="F18">
        <v>0</v>
      </c>
    </row>
    <row r="19" spans="1:6" ht="80" x14ac:dyDescent="0.2">
      <c r="A19" s="1">
        <v>37</v>
      </c>
      <c r="B19" s="3" t="s">
        <v>12</v>
      </c>
      <c r="C19" s="3" t="s">
        <v>54</v>
      </c>
      <c r="D19">
        <v>0</v>
      </c>
      <c r="E19">
        <v>0</v>
      </c>
      <c r="F19">
        <v>0</v>
      </c>
    </row>
    <row r="20" spans="1:6" ht="240" x14ac:dyDescent="0.2">
      <c r="A20" s="1">
        <v>53</v>
      </c>
      <c r="B20" s="3" t="s">
        <v>12</v>
      </c>
      <c r="C20" s="3" t="s">
        <v>70</v>
      </c>
      <c r="D20">
        <v>1</v>
      </c>
      <c r="E20">
        <v>1</v>
      </c>
      <c r="F20">
        <v>1</v>
      </c>
    </row>
    <row r="21" spans="1:6" ht="96" x14ac:dyDescent="0.2">
      <c r="A21" s="1">
        <v>69</v>
      </c>
      <c r="B21" s="3" t="s">
        <v>12</v>
      </c>
      <c r="C21" s="3" t="s">
        <v>85</v>
      </c>
      <c r="D21">
        <v>0</v>
      </c>
      <c r="E21">
        <v>0</v>
      </c>
      <c r="F21">
        <v>0</v>
      </c>
    </row>
    <row r="22" spans="1:6" ht="288" x14ac:dyDescent="0.2">
      <c r="A22" s="1">
        <v>4</v>
      </c>
      <c r="B22" s="3" t="s">
        <v>10</v>
      </c>
      <c r="C22" s="3" t="s">
        <v>11</v>
      </c>
      <c r="D22">
        <v>1</v>
      </c>
      <c r="E22">
        <v>1</v>
      </c>
      <c r="F22">
        <v>1</v>
      </c>
    </row>
    <row r="23" spans="1:6" ht="409.6" x14ac:dyDescent="0.2">
      <c r="A23" s="1">
        <v>20</v>
      </c>
      <c r="B23" s="3" t="s">
        <v>10</v>
      </c>
      <c r="C23" s="3" t="s">
        <v>38</v>
      </c>
      <c r="D23">
        <v>1</v>
      </c>
      <c r="E23">
        <v>1</v>
      </c>
      <c r="F23">
        <v>1</v>
      </c>
    </row>
    <row r="24" spans="1:6" ht="128" x14ac:dyDescent="0.2">
      <c r="A24" s="1">
        <v>36</v>
      </c>
      <c r="B24" s="3" t="s">
        <v>10</v>
      </c>
      <c r="C24" s="3" t="s">
        <v>53</v>
      </c>
      <c r="D24">
        <v>1</v>
      </c>
      <c r="E24">
        <v>1</v>
      </c>
      <c r="F24">
        <v>1</v>
      </c>
    </row>
    <row r="25" spans="1:6" ht="256" x14ac:dyDescent="0.2">
      <c r="A25" s="1">
        <v>52</v>
      </c>
      <c r="B25" s="3" t="s">
        <v>10</v>
      </c>
      <c r="C25" s="3" t="s">
        <v>69</v>
      </c>
      <c r="D25">
        <v>1</v>
      </c>
      <c r="E25">
        <v>1</v>
      </c>
      <c r="F25">
        <v>1</v>
      </c>
    </row>
    <row r="26" spans="1:6" ht="409.6" x14ac:dyDescent="0.2">
      <c r="A26" s="1">
        <v>68</v>
      </c>
      <c r="B26" s="3" t="s">
        <v>10</v>
      </c>
      <c r="C26" s="3" t="s">
        <v>84</v>
      </c>
      <c r="D26">
        <v>1</v>
      </c>
      <c r="E26">
        <v>1</v>
      </c>
      <c r="F26">
        <v>1</v>
      </c>
    </row>
    <row r="27" spans="1:6" ht="112" x14ac:dyDescent="0.2">
      <c r="A27" s="1">
        <v>11</v>
      </c>
      <c r="B27" s="3" t="s">
        <v>24</v>
      </c>
      <c r="C27" s="3" t="s">
        <v>25</v>
      </c>
      <c r="D27">
        <v>1</v>
      </c>
      <c r="E27">
        <v>1</v>
      </c>
      <c r="F27">
        <v>1</v>
      </c>
    </row>
    <row r="28" spans="1:6" ht="176" x14ac:dyDescent="0.2">
      <c r="A28" s="1">
        <v>27</v>
      </c>
      <c r="B28" s="3" t="s">
        <v>24</v>
      </c>
      <c r="C28" s="3" t="s">
        <v>45</v>
      </c>
      <c r="D28">
        <v>1</v>
      </c>
      <c r="E28">
        <v>1</v>
      </c>
      <c r="F28">
        <v>1</v>
      </c>
    </row>
    <row r="29" spans="1:6" ht="192" x14ac:dyDescent="0.2">
      <c r="A29" s="1">
        <v>43</v>
      </c>
      <c r="B29" s="3" t="s">
        <v>24</v>
      </c>
      <c r="C29" s="3" t="s">
        <v>60</v>
      </c>
      <c r="D29">
        <v>1</v>
      </c>
      <c r="E29">
        <v>1</v>
      </c>
      <c r="F29">
        <v>1</v>
      </c>
    </row>
    <row r="30" spans="1:6" ht="160" x14ac:dyDescent="0.2">
      <c r="A30" s="1">
        <v>59</v>
      </c>
      <c r="B30" s="3" t="s">
        <v>24</v>
      </c>
      <c r="C30" s="3" t="s">
        <v>76</v>
      </c>
      <c r="D30">
        <v>1</v>
      </c>
      <c r="E30">
        <v>1</v>
      </c>
      <c r="F30">
        <v>1</v>
      </c>
    </row>
    <row r="31" spans="1:6" ht="365" x14ac:dyDescent="0.2">
      <c r="A31" s="1">
        <v>75</v>
      </c>
      <c r="B31" s="3" t="s">
        <v>24</v>
      </c>
      <c r="C31" s="3" t="s">
        <v>91</v>
      </c>
      <c r="D31">
        <v>1</v>
      </c>
      <c r="E31">
        <v>1</v>
      </c>
      <c r="F31">
        <v>1</v>
      </c>
    </row>
    <row r="32" spans="1:6" ht="365" x14ac:dyDescent="0.2">
      <c r="A32" s="1">
        <v>6</v>
      </c>
      <c r="B32" s="3" t="s">
        <v>14</v>
      </c>
      <c r="C32" s="3" t="s">
        <v>15</v>
      </c>
      <c r="D32">
        <v>1</v>
      </c>
      <c r="E32">
        <v>1</v>
      </c>
      <c r="F32">
        <v>1</v>
      </c>
    </row>
    <row r="33" spans="1:7" ht="176" x14ac:dyDescent="0.2">
      <c r="A33" s="1">
        <v>22</v>
      </c>
      <c r="B33" s="3" t="s">
        <v>14</v>
      </c>
      <c r="C33" s="3" t="s">
        <v>40</v>
      </c>
      <c r="D33">
        <v>1</v>
      </c>
      <c r="E33">
        <v>1</v>
      </c>
      <c r="F33">
        <v>1</v>
      </c>
    </row>
    <row r="34" spans="1:7" ht="144" x14ac:dyDescent="0.2">
      <c r="A34" s="1">
        <v>38</v>
      </c>
      <c r="B34" s="3" t="s">
        <v>14</v>
      </c>
      <c r="C34" s="3" t="s">
        <v>55</v>
      </c>
      <c r="D34">
        <v>1</v>
      </c>
      <c r="E34">
        <v>1</v>
      </c>
      <c r="F34">
        <v>1</v>
      </c>
    </row>
    <row r="35" spans="1:7" ht="192" x14ac:dyDescent="0.2">
      <c r="A35" s="1">
        <v>54</v>
      </c>
      <c r="B35" s="3" t="s">
        <v>14</v>
      </c>
      <c r="C35" s="3" t="s">
        <v>71</v>
      </c>
      <c r="D35">
        <v>1</v>
      </c>
      <c r="E35">
        <v>1</v>
      </c>
      <c r="F35">
        <v>1</v>
      </c>
    </row>
    <row r="36" spans="1:7" ht="240" x14ac:dyDescent="0.2">
      <c r="A36" s="1">
        <v>70</v>
      </c>
      <c r="B36" s="3" t="s">
        <v>14</v>
      </c>
      <c r="C36" s="3" t="s">
        <v>86</v>
      </c>
      <c r="D36">
        <v>1</v>
      </c>
      <c r="E36">
        <v>1</v>
      </c>
      <c r="F36">
        <v>1</v>
      </c>
    </row>
    <row r="37" spans="1:7" ht="409.6" x14ac:dyDescent="0.2">
      <c r="A37" s="1">
        <v>8</v>
      </c>
      <c r="B37" s="3" t="s">
        <v>18</v>
      </c>
      <c r="C37" s="3" t="s">
        <v>19</v>
      </c>
      <c r="D37">
        <v>1</v>
      </c>
      <c r="E37">
        <v>1</v>
      </c>
      <c r="F37">
        <v>1</v>
      </c>
    </row>
    <row r="38" spans="1:7" ht="395" x14ac:dyDescent="0.2">
      <c r="A38" s="1">
        <v>24</v>
      </c>
      <c r="B38" s="3" t="s">
        <v>18</v>
      </c>
      <c r="C38" s="3" t="s">
        <v>42</v>
      </c>
      <c r="D38">
        <v>1</v>
      </c>
      <c r="E38">
        <v>1</v>
      </c>
      <c r="F38">
        <v>1</v>
      </c>
    </row>
    <row r="39" spans="1:7" ht="320" x14ac:dyDescent="0.2">
      <c r="A39" s="1">
        <v>40</v>
      </c>
      <c r="B39" s="3" t="s">
        <v>18</v>
      </c>
      <c r="C39" s="3" t="s">
        <v>57</v>
      </c>
      <c r="D39">
        <v>1</v>
      </c>
      <c r="E39">
        <v>1</v>
      </c>
      <c r="F39">
        <v>1</v>
      </c>
    </row>
    <row r="40" spans="1:7" ht="409.6" x14ac:dyDescent="0.2">
      <c r="A40" s="1">
        <v>56</v>
      </c>
      <c r="B40" s="3" t="s">
        <v>18</v>
      </c>
      <c r="C40" s="3" t="s">
        <v>73</v>
      </c>
      <c r="D40">
        <v>1</v>
      </c>
      <c r="E40">
        <v>1</v>
      </c>
      <c r="F40">
        <v>1</v>
      </c>
    </row>
    <row r="41" spans="1:7" ht="335" x14ac:dyDescent="0.2">
      <c r="A41" s="1">
        <v>72</v>
      </c>
      <c r="B41" s="3" t="s">
        <v>18</v>
      </c>
      <c r="C41" s="3" t="s">
        <v>88</v>
      </c>
      <c r="D41">
        <v>1</v>
      </c>
      <c r="E41">
        <v>1</v>
      </c>
      <c r="F41">
        <v>1</v>
      </c>
    </row>
    <row r="42" spans="1:7" ht="409.6" x14ac:dyDescent="0.2">
      <c r="A42" s="1">
        <v>10</v>
      </c>
      <c r="B42" s="3" t="s">
        <v>22</v>
      </c>
      <c r="C42" s="4" t="s">
        <v>23</v>
      </c>
      <c r="D42">
        <v>0</v>
      </c>
      <c r="E42">
        <v>0</v>
      </c>
      <c r="F42">
        <v>0</v>
      </c>
      <c r="G42">
        <v>1</v>
      </c>
    </row>
    <row r="43" spans="1:7" ht="409.6" x14ac:dyDescent="0.2">
      <c r="A43" s="1">
        <v>26</v>
      </c>
      <c r="B43" s="3" t="s">
        <v>22</v>
      </c>
      <c r="C43" s="4" t="s">
        <v>44</v>
      </c>
      <c r="D43">
        <v>0</v>
      </c>
      <c r="E43">
        <v>0</v>
      </c>
      <c r="F43">
        <v>0</v>
      </c>
      <c r="G43">
        <v>1</v>
      </c>
    </row>
    <row r="44" spans="1:7" ht="409.6" x14ac:dyDescent="0.2">
      <c r="A44" s="1">
        <v>42</v>
      </c>
      <c r="B44" s="3" t="s">
        <v>22</v>
      </c>
      <c r="C44" s="4" t="s">
        <v>59</v>
      </c>
      <c r="D44">
        <v>0</v>
      </c>
      <c r="E44">
        <v>0</v>
      </c>
      <c r="F44">
        <v>0</v>
      </c>
      <c r="G44">
        <v>1</v>
      </c>
    </row>
    <row r="45" spans="1:7" ht="409.6" x14ac:dyDescent="0.2">
      <c r="A45" s="1">
        <v>58</v>
      </c>
      <c r="B45" s="3" t="s">
        <v>22</v>
      </c>
      <c r="C45" s="4" t="s">
        <v>75</v>
      </c>
      <c r="D45">
        <v>0</v>
      </c>
      <c r="E45">
        <v>0</v>
      </c>
      <c r="F45">
        <v>0</v>
      </c>
      <c r="G45">
        <v>1</v>
      </c>
    </row>
    <row r="46" spans="1:7" ht="409.6" x14ac:dyDescent="0.2">
      <c r="A46" s="1">
        <v>74</v>
      </c>
      <c r="B46" s="3" t="s">
        <v>22</v>
      </c>
      <c r="C46" s="4" t="s">
        <v>90</v>
      </c>
      <c r="D46">
        <v>0</v>
      </c>
      <c r="E46">
        <v>0</v>
      </c>
      <c r="F46">
        <v>0</v>
      </c>
      <c r="G46">
        <v>1</v>
      </c>
    </row>
    <row r="47" spans="1:7" ht="304" x14ac:dyDescent="0.2">
      <c r="A47" s="1">
        <v>7</v>
      </c>
      <c r="B47" s="3" t="s">
        <v>16</v>
      </c>
      <c r="C47" s="3" t="s">
        <v>17</v>
      </c>
      <c r="D47">
        <v>1</v>
      </c>
      <c r="E47">
        <v>1</v>
      </c>
      <c r="F47">
        <v>1</v>
      </c>
    </row>
    <row r="48" spans="1:7" ht="380" x14ac:dyDescent="0.2">
      <c r="A48" s="1">
        <v>23</v>
      </c>
      <c r="B48" s="3" t="s">
        <v>16</v>
      </c>
      <c r="C48" s="3" t="s">
        <v>41</v>
      </c>
      <c r="D48">
        <v>1</v>
      </c>
      <c r="E48">
        <v>1</v>
      </c>
      <c r="F48">
        <v>1</v>
      </c>
    </row>
    <row r="49" spans="1:6" ht="395" x14ac:dyDescent="0.2">
      <c r="A49" s="1">
        <v>39</v>
      </c>
      <c r="B49" s="3" t="s">
        <v>16</v>
      </c>
      <c r="C49" s="3" t="s">
        <v>56</v>
      </c>
      <c r="D49">
        <v>1</v>
      </c>
      <c r="E49">
        <v>1</v>
      </c>
      <c r="F49">
        <v>1</v>
      </c>
    </row>
    <row r="50" spans="1:6" ht="409.6" x14ac:dyDescent="0.2">
      <c r="A50" s="1">
        <v>55</v>
      </c>
      <c r="B50" s="3" t="s">
        <v>16</v>
      </c>
      <c r="C50" s="3" t="s">
        <v>72</v>
      </c>
      <c r="D50">
        <v>1</v>
      </c>
      <c r="E50">
        <v>1</v>
      </c>
      <c r="F50">
        <v>1</v>
      </c>
    </row>
    <row r="51" spans="1:6" ht="409.6" x14ac:dyDescent="0.2">
      <c r="A51" s="1">
        <v>71</v>
      </c>
      <c r="B51" s="3" t="s">
        <v>16</v>
      </c>
      <c r="C51" s="3" t="s">
        <v>87</v>
      </c>
      <c r="D51">
        <v>1</v>
      </c>
      <c r="E51">
        <v>1</v>
      </c>
      <c r="F51">
        <v>1</v>
      </c>
    </row>
    <row r="52" spans="1:6" ht="409.6" x14ac:dyDescent="0.2">
      <c r="A52" s="1">
        <v>14</v>
      </c>
      <c r="B52" s="3" t="s">
        <v>30</v>
      </c>
      <c r="C52" s="3" t="s">
        <v>31</v>
      </c>
      <c r="D52">
        <v>1</v>
      </c>
      <c r="E52">
        <v>1</v>
      </c>
      <c r="F52">
        <v>1</v>
      </c>
    </row>
    <row r="53" spans="1:6" ht="409.6" x14ac:dyDescent="0.2">
      <c r="A53" s="1">
        <v>30</v>
      </c>
      <c r="B53" s="3" t="s">
        <v>30</v>
      </c>
      <c r="C53" s="3" t="s">
        <v>48</v>
      </c>
      <c r="D53">
        <v>1</v>
      </c>
      <c r="E53">
        <v>1</v>
      </c>
      <c r="F53">
        <v>1</v>
      </c>
    </row>
    <row r="54" spans="1:6" ht="112" x14ac:dyDescent="0.2">
      <c r="A54" s="1">
        <v>46</v>
      </c>
      <c r="B54" s="3" t="s">
        <v>30</v>
      </c>
      <c r="C54" s="3" t="s">
        <v>63</v>
      </c>
      <c r="D54">
        <v>0</v>
      </c>
      <c r="E54">
        <v>0</v>
      </c>
      <c r="F54">
        <v>0</v>
      </c>
    </row>
    <row r="55" spans="1:6" ht="96" x14ac:dyDescent="0.2">
      <c r="A55" s="1">
        <v>62</v>
      </c>
      <c r="B55" s="3" t="s">
        <v>30</v>
      </c>
      <c r="C55" s="3" t="s">
        <v>79</v>
      </c>
      <c r="D55">
        <v>0</v>
      </c>
      <c r="E55">
        <v>0</v>
      </c>
      <c r="F55">
        <v>0</v>
      </c>
    </row>
    <row r="56" spans="1:6" ht="96" x14ac:dyDescent="0.2">
      <c r="A56" s="1">
        <v>78</v>
      </c>
      <c r="B56" s="3" t="s">
        <v>30</v>
      </c>
      <c r="C56" s="3" t="s">
        <v>94</v>
      </c>
      <c r="D56">
        <v>0</v>
      </c>
      <c r="E56">
        <v>0</v>
      </c>
      <c r="F56">
        <v>0</v>
      </c>
    </row>
    <row r="57" spans="1:6" ht="365" x14ac:dyDescent="0.2">
      <c r="A57" s="1">
        <v>15</v>
      </c>
      <c r="B57" s="3" t="s">
        <v>32</v>
      </c>
      <c r="C57" s="3" t="s">
        <v>33</v>
      </c>
      <c r="D57">
        <v>1</v>
      </c>
      <c r="E57">
        <v>1</v>
      </c>
      <c r="F57">
        <v>1</v>
      </c>
    </row>
    <row r="58" spans="1:6" ht="380" x14ac:dyDescent="0.2">
      <c r="A58" s="1">
        <v>31</v>
      </c>
      <c r="B58" s="3" t="s">
        <v>32</v>
      </c>
      <c r="C58" s="3" t="s">
        <v>49</v>
      </c>
      <c r="D58">
        <v>1</v>
      </c>
      <c r="E58">
        <v>1</v>
      </c>
      <c r="F58">
        <v>1</v>
      </c>
    </row>
    <row r="59" spans="1:6" ht="409.6" x14ac:dyDescent="0.2">
      <c r="A59" s="1">
        <v>47</v>
      </c>
      <c r="B59" s="3" t="s">
        <v>32</v>
      </c>
      <c r="C59" s="3" t="s">
        <v>64</v>
      </c>
      <c r="D59">
        <v>1</v>
      </c>
      <c r="E59">
        <v>1</v>
      </c>
      <c r="F59">
        <v>1</v>
      </c>
    </row>
    <row r="60" spans="1:6" ht="335" x14ac:dyDescent="0.2">
      <c r="A60" s="1">
        <v>63</v>
      </c>
      <c r="B60" s="3" t="s">
        <v>32</v>
      </c>
      <c r="C60" s="3" t="s">
        <v>80</v>
      </c>
      <c r="D60">
        <v>1</v>
      </c>
      <c r="E60">
        <v>1</v>
      </c>
      <c r="F60">
        <v>1</v>
      </c>
    </row>
    <row r="61" spans="1:6" ht="409.6" x14ac:dyDescent="0.2">
      <c r="A61" s="1">
        <v>79</v>
      </c>
      <c r="B61" s="3" t="s">
        <v>32</v>
      </c>
      <c r="C61" s="3" t="s">
        <v>95</v>
      </c>
      <c r="D61">
        <v>1</v>
      </c>
      <c r="E61">
        <v>1</v>
      </c>
      <c r="F61">
        <v>1</v>
      </c>
    </row>
    <row r="62" spans="1:6" ht="350" x14ac:dyDescent="0.2">
      <c r="A62" s="1">
        <v>13</v>
      </c>
      <c r="B62" s="3" t="s">
        <v>28</v>
      </c>
      <c r="C62" s="3" t="s">
        <v>29</v>
      </c>
      <c r="D62">
        <v>1</v>
      </c>
      <c r="E62">
        <v>1</v>
      </c>
      <c r="F62">
        <v>1</v>
      </c>
    </row>
    <row r="63" spans="1:6" ht="365" x14ac:dyDescent="0.2">
      <c r="A63" s="1">
        <v>29</v>
      </c>
      <c r="B63" s="3" t="s">
        <v>28</v>
      </c>
      <c r="C63" s="3" t="s">
        <v>47</v>
      </c>
      <c r="D63">
        <v>1</v>
      </c>
      <c r="E63">
        <v>1</v>
      </c>
      <c r="F63">
        <v>1</v>
      </c>
    </row>
    <row r="64" spans="1:6" ht="350" x14ac:dyDescent="0.2">
      <c r="A64" s="1">
        <v>45</v>
      </c>
      <c r="B64" s="3" t="s">
        <v>28</v>
      </c>
      <c r="C64" s="3" t="s">
        <v>62</v>
      </c>
      <c r="D64">
        <v>1</v>
      </c>
      <c r="E64">
        <v>1</v>
      </c>
      <c r="F64">
        <v>1</v>
      </c>
    </row>
    <row r="65" spans="1:6" ht="272" x14ac:dyDescent="0.2">
      <c r="A65" s="1">
        <v>61</v>
      </c>
      <c r="B65" s="3" t="s">
        <v>28</v>
      </c>
      <c r="C65" s="3" t="s">
        <v>78</v>
      </c>
      <c r="D65">
        <v>1</v>
      </c>
      <c r="E65">
        <v>1</v>
      </c>
      <c r="F65">
        <v>1</v>
      </c>
    </row>
    <row r="66" spans="1:6" ht="350" x14ac:dyDescent="0.2">
      <c r="A66" s="1">
        <v>77</v>
      </c>
      <c r="B66" s="3" t="s">
        <v>28</v>
      </c>
      <c r="C66" s="3" t="s">
        <v>93</v>
      </c>
      <c r="D66">
        <v>1</v>
      </c>
      <c r="E66">
        <v>1</v>
      </c>
      <c r="F66">
        <v>1</v>
      </c>
    </row>
    <row r="67" spans="1:6" ht="380" x14ac:dyDescent="0.2">
      <c r="A67" s="1">
        <v>12</v>
      </c>
      <c r="B67" s="3" t="s">
        <v>26</v>
      </c>
      <c r="C67" s="3" t="s">
        <v>27</v>
      </c>
      <c r="D67">
        <v>1</v>
      </c>
      <c r="E67">
        <v>1</v>
      </c>
      <c r="F67">
        <v>1</v>
      </c>
    </row>
    <row r="68" spans="1:6" ht="335" x14ac:dyDescent="0.2">
      <c r="A68" s="1">
        <v>28</v>
      </c>
      <c r="B68" s="3" t="s">
        <v>26</v>
      </c>
      <c r="C68" s="3" t="s">
        <v>46</v>
      </c>
      <c r="D68">
        <v>1</v>
      </c>
      <c r="E68">
        <v>1</v>
      </c>
      <c r="F68">
        <v>1</v>
      </c>
    </row>
    <row r="69" spans="1:6" ht="409.6" x14ac:dyDescent="0.2">
      <c r="A69" s="1">
        <v>44</v>
      </c>
      <c r="B69" s="3" t="s">
        <v>26</v>
      </c>
      <c r="C69" s="3" t="s">
        <v>61</v>
      </c>
      <c r="D69">
        <v>1</v>
      </c>
      <c r="E69">
        <v>1</v>
      </c>
      <c r="F69">
        <v>1</v>
      </c>
    </row>
    <row r="70" spans="1:6" ht="409.6" x14ac:dyDescent="0.2">
      <c r="A70" s="1">
        <v>60</v>
      </c>
      <c r="B70" s="3" t="s">
        <v>26</v>
      </c>
      <c r="C70" s="3" t="s">
        <v>77</v>
      </c>
      <c r="D70">
        <v>1</v>
      </c>
      <c r="E70">
        <v>1</v>
      </c>
      <c r="F70">
        <v>1</v>
      </c>
    </row>
    <row r="71" spans="1:6" ht="409.6" x14ac:dyDescent="0.2">
      <c r="A71" s="1">
        <v>76</v>
      </c>
      <c r="B71" s="3" t="s">
        <v>26</v>
      </c>
      <c r="C71" s="3" t="s">
        <v>92</v>
      </c>
      <c r="D71">
        <v>1</v>
      </c>
      <c r="E71">
        <v>1</v>
      </c>
      <c r="F71">
        <v>1</v>
      </c>
    </row>
    <row r="72" spans="1:6" ht="240" x14ac:dyDescent="0.2">
      <c r="A72" s="1">
        <v>2</v>
      </c>
      <c r="B72" s="3" t="s">
        <v>6</v>
      </c>
      <c r="C72" s="3" t="s">
        <v>7</v>
      </c>
      <c r="D72">
        <v>1</v>
      </c>
      <c r="E72">
        <v>1</v>
      </c>
      <c r="F72">
        <v>1</v>
      </c>
    </row>
    <row r="73" spans="1:6" ht="240" x14ac:dyDescent="0.2">
      <c r="A73" s="1">
        <v>18</v>
      </c>
      <c r="B73" s="3" t="s">
        <v>6</v>
      </c>
      <c r="C73" s="3" t="s">
        <v>36</v>
      </c>
      <c r="D73">
        <v>1</v>
      </c>
      <c r="E73">
        <v>1</v>
      </c>
      <c r="F73">
        <v>1</v>
      </c>
    </row>
    <row r="74" spans="1:6" ht="192" x14ac:dyDescent="0.2">
      <c r="A74" s="1">
        <v>34</v>
      </c>
      <c r="B74" s="3" t="s">
        <v>6</v>
      </c>
      <c r="C74" s="3" t="s">
        <v>51</v>
      </c>
      <c r="D74">
        <v>1</v>
      </c>
      <c r="E74">
        <v>1</v>
      </c>
      <c r="F74">
        <v>1</v>
      </c>
    </row>
    <row r="75" spans="1:6" ht="350" x14ac:dyDescent="0.2">
      <c r="A75" s="1">
        <v>50</v>
      </c>
      <c r="B75" s="3" t="s">
        <v>6</v>
      </c>
      <c r="C75" s="3" t="s">
        <v>67</v>
      </c>
      <c r="D75">
        <v>1</v>
      </c>
      <c r="E75">
        <v>1</v>
      </c>
      <c r="F75">
        <v>1</v>
      </c>
    </row>
    <row r="76" spans="1:6" ht="320" x14ac:dyDescent="0.2">
      <c r="A76" s="1">
        <v>66</v>
      </c>
      <c r="B76" s="3" t="s">
        <v>6</v>
      </c>
      <c r="C76" s="3" t="s">
        <v>83</v>
      </c>
      <c r="D76">
        <v>1</v>
      </c>
      <c r="E76">
        <v>1</v>
      </c>
      <c r="F76">
        <v>1</v>
      </c>
    </row>
    <row r="77" spans="1:6" ht="380" x14ac:dyDescent="0.2">
      <c r="A77" s="1">
        <v>9</v>
      </c>
      <c r="B77" s="3" t="s">
        <v>20</v>
      </c>
      <c r="C77" s="3" t="s">
        <v>21</v>
      </c>
      <c r="D77">
        <v>1</v>
      </c>
      <c r="E77">
        <v>1</v>
      </c>
      <c r="F77">
        <v>1</v>
      </c>
    </row>
    <row r="78" spans="1:6" ht="350" x14ac:dyDescent="0.2">
      <c r="A78" s="1">
        <v>25</v>
      </c>
      <c r="B78" s="3" t="s">
        <v>20</v>
      </c>
      <c r="C78" s="3" t="s">
        <v>43</v>
      </c>
      <c r="D78">
        <v>1</v>
      </c>
      <c r="E78">
        <v>1</v>
      </c>
      <c r="F78">
        <v>1</v>
      </c>
    </row>
    <row r="79" spans="1:6" ht="335" x14ac:dyDescent="0.2">
      <c r="A79" s="1">
        <v>41</v>
      </c>
      <c r="B79" s="3" t="s">
        <v>20</v>
      </c>
      <c r="C79" s="3" t="s">
        <v>58</v>
      </c>
      <c r="D79">
        <v>1</v>
      </c>
      <c r="E79">
        <v>1</v>
      </c>
      <c r="F79">
        <v>1</v>
      </c>
    </row>
    <row r="80" spans="1:6" ht="409.6" x14ac:dyDescent="0.2">
      <c r="A80" s="1">
        <v>57</v>
      </c>
      <c r="B80" s="3" t="s">
        <v>20</v>
      </c>
      <c r="C80" s="3" t="s">
        <v>74</v>
      </c>
      <c r="D80">
        <v>1</v>
      </c>
      <c r="E80">
        <v>1</v>
      </c>
      <c r="F80">
        <v>1</v>
      </c>
    </row>
    <row r="81" spans="1:6" ht="409.6" x14ac:dyDescent="0.2">
      <c r="A81" s="1">
        <v>73</v>
      </c>
      <c r="B81" s="3" t="s">
        <v>20</v>
      </c>
      <c r="C81" s="3" t="s">
        <v>89</v>
      </c>
      <c r="D81">
        <v>1</v>
      </c>
      <c r="E81">
        <v>1</v>
      </c>
      <c r="F81">
        <v>1</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BFB0A-B9DD-AE46-A510-24C4FA6814ED}">
  <sheetPr>
    <outlinePr summaryBelow="0" summaryRight="0"/>
  </sheetPr>
  <dimension ref="A1:W994"/>
  <sheetViews>
    <sheetView workbookViewId="0">
      <selection activeCell="C24" sqref="C24"/>
    </sheetView>
  </sheetViews>
  <sheetFormatPr baseColWidth="10" defaultColWidth="12.6640625" defaultRowHeight="15.75" customHeight="1" x14ac:dyDescent="0.2"/>
  <cols>
    <col min="1" max="1" width="15.33203125" style="5" bestFit="1" customWidth="1"/>
    <col min="2" max="2" width="14.83203125" style="5" bestFit="1" customWidth="1"/>
    <col min="3" max="3" width="15.5" style="5" customWidth="1"/>
    <col min="4" max="4" width="10" style="5" bestFit="1" customWidth="1"/>
    <col min="5" max="5" width="17" style="5" customWidth="1"/>
    <col min="6" max="16384" width="12.6640625" style="5"/>
  </cols>
  <sheetData>
    <row r="1" spans="1:23" ht="16" x14ac:dyDescent="0.2">
      <c r="A1" s="11" t="s">
        <v>118</v>
      </c>
      <c r="B1" s="10"/>
      <c r="C1" s="10"/>
      <c r="D1" s="10"/>
      <c r="E1" s="10"/>
      <c r="F1" s="6"/>
      <c r="H1" s="6"/>
      <c r="I1" s="6"/>
      <c r="J1" s="6"/>
      <c r="K1" s="6"/>
      <c r="L1" s="6"/>
      <c r="M1" s="6"/>
      <c r="N1" s="6"/>
      <c r="O1" s="6"/>
      <c r="P1" s="6"/>
      <c r="Q1" s="6"/>
      <c r="R1" s="6"/>
      <c r="S1" s="6"/>
      <c r="T1" s="6"/>
      <c r="U1" s="6"/>
      <c r="V1" s="6"/>
      <c r="W1" s="6"/>
    </row>
    <row r="2" spans="1:23" ht="16" x14ac:dyDescent="0.2">
      <c r="A2" s="6"/>
      <c r="B2" s="7"/>
      <c r="C2" s="7"/>
      <c r="D2" s="7"/>
      <c r="E2" s="7"/>
      <c r="F2" s="6"/>
      <c r="H2" s="6"/>
      <c r="I2" s="6"/>
      <c r="J2" s="6"/>
      <c r="K2" s="6"/>
      <c r="L2" s="6"/>
      <c r="M2" s="6"/>
      <c r="N2" s="6"/>
      <c r="O2" s="6"/>
      <c r="P2" s="6"/>
      <c r="Q2" s="6"/>
      <c r="R2" s="6"/>
      <c r="S2" s="6"/>
      <c r="T2" s="6"/>
      <c r="U2" s="6"/>
      <c r="V2" s="6"/>
      <c r="W2" s="6"/>
    </row>
    <row r="3" spans="1:23" ht="16" x14ac:dyDescent="0.2">
      <c r="A3" s="6" t="s">
        <v>117</v>
      </c>
      <c r="C3" s="6" t="s">
        <v>115</v>
      </c>
      <c r="E3" s="6" t="s">
        <v>113</v>
      </c>
      <c r="F3" s="6"/>
      <c r="G3" s="6"/>
      <c r="H3" s="6"/>
      <c r="I3" s="6"/>
      <c r="J3" s="6"/>
      <c r="K3" s="6"/>
      <c r="L3" s="6"/>
      <c r="M3" s="6"/>
      <c r="N3" s="6"/>
      <c r="O3" s="6"/>
      <c r="P3" s="6"/>
      <c r="Q3" s="6"/>
      <c r="R3" s="6"/>
      <c r="S3" s="6"/>
      <c r="T3" s="6"/>
      <c r="U3" s="6"/>
      <c r="V3" s="6"/>
      <c r="W3" s="6"/>
    </row>
    <row r="4" spans="1:23" ht="16" x14ac:dyDescent="0.2">
      <c r="B4" t="s">
        <v>101</v>
      </c>
      <c r="C4">
        <v>0</v>
      </c>
      <c r="D4">
        <v>1</v>
      </c>
      <c r="E4" t="s">
        <v>100</v>
      </c>
      <c r="F4" s="6"/>
      <c r="G4" s="6"/>
      <c r="H4" s="6"/>
      <c r="I4" s="6"/>
      <c r="J4" s="6"/>
      <c r="K4" s="6"/>
      <c r="L4" s="6"/>
      <c r="M4" s="6"/>
      <c r="N4" s="6"/>
      <c r="O4" s="6"/>
      <c r="P4" s="6"/>
      <c r="Q4" s="6"/>
      <c r="R4" s="6"/>
      <c r="S4" s="6"/>
      <c r="T4" s="6"/>
      <c r="U4" s="6"/>
      <c r="V4" s="6"/>
      <c r="W4" s="6"/>
    </row>
    <row r="5" spans="1:23" ht="16" x14ac:dyDescent="0.2">
      <c r="A5" s="19" t="s">
        <v>114</v>
      </c>
      <c r="B5">
        <v>0</v>
      </c>
      <c r="C5">
        <v>11</v>
      </c>
      <c r="D5"/>
      <c r="E5">
        <v>11</v>
      </c>
      <c r="F5" s="6"/>
      <c r="G5" s="6"/>
      <c r="H5" s="6"/>
      <c r="I5" s="6"/>
      <c r="J5" s="6"/>
      <c r="K5" s="6"/>
      <c r="L5" s="6"/>
      <c r="M5" s="6"/>
      <c r="N5" s="6"/>
      <c r="O5" s="6"/>
      <c r="P5" s="6"/>
      <c r="Q5" s="6"/>
      <c r="R5" s="6"/>
      <c r="S5" s="6"/>
      <c r="T5" s="6"/>
      <c r="U5" s="6"/>
      <c r="V5" s="6"/>
      <c r="W5" s="6"/>
    </row>
    <row r="6" spans="1:23" ht="16" x14ac:dyDescent="0.2">
      <c r="B6">
        <v>1</v>
      </c>
      <c r="C6"/>
      <c r="D6">
        <v>69</v>
      </c>
      <c r="E6">
        <v>69</v>
      </c>
      <c r="F6" s="6"/>
      <c r="G6" s="6"/>
      <c r="H6" s="6"/>
      <c r="I6" s="6"/>
      <c r="J6" s="6"/>
      <c r="K6" s="6"/>
      <c r="L6" s="6"/>
      <c r="M6" s="6"/>
      <c r="N6" s="6"/>
      <c r="O6" s="6"/>
      <c r="P6" s="6"/>
      <c r="Q6" s="6"/>
      <c r="R6" s="6"/>
      <c r="S6" s="6"/>
      <c r="T6" s="6"/>
      <c r="U6" s="6"/>
      <c r="V6" s="6"/>
      <c r="W6" s="6"/>
    </row>
    <row r="7" spans="1:23" ht="16" x14ac:dyDescent="0.2">
      <c r="A7" s="22"/>
      <c r="B7" t="s">
        <v>100</v>
      </c>
      <c r="C7">
        <v>11</v>
      </c>
      <c r="D7">
        <v>69</v>
      </c>
      <c r="E7">
        <v>80</v>
      </c>
      <c r="H7" s="6"/>
      <c r="I7" s="6"/>
      <c r="J7" s="6"/>
      <c r="K7" s="6"/>
      <c r="L7" s="6"/>
      <c r="M7" s="6"/>
      <c r="N7" s="6"/>
      <c r="O7" s="6"/>
      <c r="P7" s="6"/>
      <c r="Q7" s="6"/>
      <c r="R7" s="6"/>
      <c r="S7" s="6"/>
      <c r="T7" s="6"/>
      <c r="U7" s="6"/>
      <c r="V7" s="6"/>
      <c r="W7" s="6"/>
    </row>
    <row r="8" spans="1:23" ht="16" x14ac:dyDescent="0.2">
      <c r="A8" s="6"/>
      <c r="B8" s="7"/>
      <c r="C8" s="7"/>
      <c r="D8" s="7"/>
      <c r="E8" s="7"/>
      <c r="F8" s="6"/>
      <c r="G8" s="6"/>
      <c r="H8" s="6"/>
      <c r="I8" s="6"/>
      <c r="J8" s="6"/>
      <c r="K8" s="6"/>
      <c r="L8" s="6"/>
      <c r="M8" s="6"/>
      <c r="N8" s="6"/>
      <c r="O8" s="6"/>
      <c r="P8" s="6"/>
      <c r="Q8" s="6"/>
      <c r="R8" s="6"/>
      <c r="S8" s="6"/>
      <c r="T8" s="6"/>
      <c r="U8" s="6"/>
      <c r="V8" s="6"/>
      <c r="W8" s="6"/>
    </row>
    <row r="9" spans="1:23" ht="16" x14ac:dyDescent="0.2">
      <c r="A9" s="11" t="s">
        <v>116</v>
      </c>
      <c r="B9" s="10"/>
      <c r="C9" s="10"/>
      <c r="D9" s="10"/>
      <c r="E9" s="10"/>
      <c r="F9" s="6"/>
      <c r="G9" s="6"/>
      <c r="H9" s="6"/>
      <c r="I9" s="6"/>
      <c r="J9" s="6"/>
      <c r="K9" s="6"/>
      <c r="L9" s="6"/>
      <c r="M9" s="6"/>
      <c r="N9" s="6"/>
      <c r="O9" s="6"/>
      <c r="P9" s="6"/>
      <c r="Q9" s="6"/>
      <c r="R9" s="6"/>
      <c r="S9" s="6"/>
      <c r="T9" s="6"/>
      <c r="U9" s="6"/>
      <c r="V9" s="6"/>
      <c r="W9" s="6"/>
    </row>
    <row r="10" spans="1:23" ht="16" x14ac:dyDescent="0.2">
      <c r="A10" s="6"/>
      <c r="B10" s="7"/>
      <c r="C10" s="7"/>
      <c r="D10" s="7"/>
      <c r="E10" s="7"/>
      <c r="F10" s="6"/>
      <c r="G10" s="6"/>
      <c r="H10" s="6"/>
      <c r="I10" s="6"/>
      <c r="J10" s="6"/>
      <c r="K10" s="6"/>
      <c r="L10" s="6"/>
      <c r="M10" s="6"/>
      <c r="N10" s="6"/>
      <c r="O10" s="6"/>
      <c r="P10" s="6"/>
      <c r="Q10" s="6"/>
      <c r="R10" s="6"/>
      <c r="S10" s="6"/>
      <c r="T10" s="6"/>
      <c r="U10" s="6"/>
      <c r="V10" s="6"/>
      <c r="W10" s="6"/>
    </row>
    <row r="11" spans="1:23" ht="16" x14ac:dyDescent="0.2">
      <c r="A11" s="6"/>
      <c r="C11" s="21" t="s">
        <v>115</v>
      </c>
      <c r="D11" s="20"/>
      <c r="E11" s="6" t="s">
        <v>113</v>
      </c>
      <c r="F11" s="6"/>
      <c r="G11" s="6"/>
      <c r="H11" s="6"/>
      <c r="I11" s="6"/>
      <c r="J11" s="6"/>
      <c r="K11" s="6"/>
      <c r="L11" s="6"/>
      <c r="M11" s="6"/>
      <c r="N11" s="6"/>
      <c r="O11" s="6"/>
      <c r="P11" s="6"/>
      <c r="Q11" s="6"/>
      <c r="R11" s="6"/>
      <c r="S11" s="6"/>
      <c r="T11" s="6"/>
      <c r="U11" s="6"/>
      <c r="V11" s="6"/>
      <c r="W11" s="6"/>
    </row>
    <row r="12" spans="1:23" ht="16" x14ac:dyDescent="0.2">
      <c r="C12" s="5">
        <v>0</v>
      </c>
      <c r="D12" s="5">
        <v>1</v>
      </c>
      <c r="E12" s="7" t="s">
        <v>100</v>
      </c>
      <c r="F12" s="6"/>
      <c r="G12" s="6"/>
      <c r="H12" s="6"/>
      <c r="I12" s="6"/>
      <c r="J12" s="6"/>
      <c r="K12" s="6"/>
      <c r="L12" s="6"/>
      <c r="M12" s="6"/>
      <c r="N12" s="6"/>
      <c r="O12" s="6"/>
      <c r="P12" s="6"/>
      <c r="Q12" s="6"/>
      <c r="R12" s="6"/>
      <c r="S12" s="6"/>
      <c r="T12" s="6"/>
      <c r="U12" s="6"/>
      <c r="V12" s="6"/>
      <c r="W12" s="6"/>
    </row>
    <row r="13" spans="1:23" ht="16" x14ac:dyDescent="0.2">
      <c r="A13" s="19" t="s">
        <v>114</v>
      </c>
      <c r="B13" s="5">
        <v>0</v>
      </c>
      <c r="C13" s="16">
        <f>C$15*$E13/$E$15</f>
        <v>1.5125</v>
      </c>
      <c r="D13" s="13">
        <f>D$15*$E13/$E$15</f>
        <v>9.4875000000000007</v>
      </c>
      <c r="E13">
        <v>11</v>
      </c>
      <c r="F13" s="6"/>
      <c r="G13" s="6"/>
      <c r="H13" s="6"/>
      <c r="I13" s="6"/>
      <c r="J13" s="6"/>
      <c r="K13" s="6"/>
      <c r="L13" s="6"/>
      <c r="M13" s="6"/>
      <c r="N13" s="6"/>
      <c r="O13" s="6"/>
      <c r="P13" s="6"/>
      <c r="Q13" s="6"/>
      <c r="R13" s="6"/>
      <c r="S13" s="6"/>
      <c r="T13" s="6"/>
      <c r="U13" s="6"/>
      <c r="V13" s="6"/>
      <c r="W13" s="6"/>
    </row>
    <row r="14" spans="1:23" ht="16" x14ac:dyDescent="0.2">
      <c r="B14" s="5">
        <v>1</v>
      </c>
      <c r="C14" s="13">
        <f>C$15*$E14/$E$15</f>
        <v>9.4875000000000007</v>
      </c>
      <c r="D14" s="16">
        <f>D$15*$E14/$E$15</f>
        <v>59.512500000000003</v>
      </c>
      <c r="E14">
        <v>69</v>
      </c>
      <c r="F14" s="6"/>
      <c r="G14" s="6"/>
      <c r="H14" s="6"/>
      <c r="I14" s="6"/>
      <c r="J14" s="6"/>
      <c r="K14" s="6"/>
      <c r="L14" s="6"/>
      <c r="M14" s="6"/>
      <c r="N14" s="6"/>
      <c r="O14" s="6"/>
      <c r="P14" s="6"/>
      <c r="Q14" s="6"/>
      <c r="R14" s="6"/>
      <c r="S14" s="6"/>
      <c r="T14" s="6"/>
      <c r="U14" s="6"/>
      <c r="V14" s="6"/>
      <c r="W14" s="6"/>
    </row>
    <row r="15" spans="1:23" ht="16" x14ac:dyDescent="0.2">
      <c r="A15" s="18" t="s">
        <v>113</v>
      </c>
      <c r="C15">
        <v>11</v>
      </c>
      <c r="D15">
        <v>69</v>
      </c>
      <c r="E15">
        <v>80</v>
      </c>
      <c r="F15" s="6"/>
      <c r="G15" s="6"/>
      <c r="H15" s="6"/>
      <c r="I15" s="6"/>
      <c r="J15" s="6"/>
      <c r="K15" s="6"/>
      <c r="L15" s="6"/>
      <c r="M15" s="6"/>
      <c r="N15" s="6"/>
      <c r="O15" s="6"/>
      <c r="P15" s="6"/>
      <c r="Q15" s="6"/>
      <c r="R15" s="6"/>
      <c r="S15" s="6"/>
      <c r="T15" s="6"/>
      <c r="U15" s="6"/>
      <c r="V15" s="6"/>
      <c r="W15" s="6"/>
    </row>
    <row r="16" spans="1:23" ht="16" x14ac:dyDescent="0.2">
      <c r="A16" s="6"/>
      <c r="B16" s="7"/>
      <c r="C16" s="7"/>
      <c r="D16" s="7"/>
      <c r="E16" s="7"/>
      <c r="F16" s="6"/>
      <c r="G16" s="6"/>
      <c r="H16" s="6"/>
      <c r="I16" s="6"/>
      <c r="J16" s="6"/>
      <c r="K16" s="6"/>
      <c r="L16" s="6"/>
      <c r="M16" s="6"/>
      <c r="N16" s="6"/>
      <c r="O16" s="6"/>
      <c r="P16" s="6"/>
      <c r="Q16" s="6"/>
      <c r="R16" s="6"/>
      <c r="S16" s="6"/>
      <c r="T16" s="6"/>
      <c r="U16" s="6"/>
      <c r="V16" s="6"/>
      <c r="W16" s="6"/>
    </row>
    <row r="17" spans="1:23" ht="16" x14ac:dyDescent="0.2">
      <c r="A17" s="11" t="s">
        <v>112</v>
      </c>
      <c r="B17" s="10"/>
      <c r="C17" s="10"/>
      <c r="D17" s="10"/>
      <c r="E17" s="10"/>
      <c r="F17" s="6"/>
      <c r="G17" s="6"/>
      <c r="H17" s="6"/>
      <c r="I17" s="6"/>
      <c r="J17" s="6"/>
      <c r="K17" s="6"/>
      <c r="L17" s="6"/>
      <c r="M17" s="6"/>
      <c r="N17" s="6"/>
      <c r="O17" s="6"/>
      <c r="P17" s="6"/>
      <c r="Q17" s="6"/>
      <c r="R17" s="6"/>
      <c r="S17" s="6"/>
      <c r="T17" s="6"/>
      <c r="U17" s="6"/>
      <c r="V17" s="6"/>
      <c r="W17" s="6"/>
    </row>
    <row r="18" spans="1:23" ht="16" x14ac:dyDescent="0.2">
      <c r="B18" s="7"/>
      <c r="C18" s="7"/>
      <c r="D18" s="7"/>
      <c r="E18" s="7"/>
      <c r="F18" s="6"/>
      <c r="G18" s="6"/>
      <c r="H18" s="6"/>
      <c r="I18" s="6"/>
      <c r="J18" s="6"/>
      <c r="K18" s="6"/>
      <c r="L18" s="6"/>
      <c r="M18" s="6"/>
      <c r="N18" s="6"/>
      <c r="O18" s="6"/>
      <c r="P18" s="6"/>
      <c r="Q18" s="6"/>
      <c r="R18" s="6"/>
      <c r="S18" s="6"/>
      <c r="T18" s="6"/>
      <c r="U18" s="6"/>
      <c r="V18" s="6"/>
      <c r="W18" s="6"/>
    </row>
    <row r="19" spans="1:23" ht="16" x14ac:dyDescent="0.2">
      <c r="B19" s="7" t="s">
        <v>111</v>
      </c>
      <c r="C19" s="7" t="s">
        <v>110</v>
      </c>
      <c r="D19" s="7"/>
      <c r="E19" s="7"/>
      <c r="F19" s="6"/>
      <c r="G19" s="6"/>
      <c r="H19" s="6"/>
      <c r="I19" s="6"/>
      <c r="J19" s="6"/>
      <c r="K19" s="6"/>
      <c r="L19" s="6"/>
      <c r="M19" s="6"/>
      <c r="N19" s="6"/>
      <c r="O19" s="6"/>
      <c r="P19" s="6"/>
      <c r="Q19" s="6"/>
      <c r="R19" s="6"/>
      <c r="S19" s="6"/>
      <c r="T19" s="6"/>
      <c r="U19" s="6"/>
      <c r="V19" s="6"/>
      <c r="W19" s="6"/>
    </row>
    <row r="20" spans="1:23" ht="16" x14ac:dyDescent="0.2">
      <c r="A20" s="6" t="s">
        <v>109</v>
      </c>
      <c r="B20" s="7">
        <f>SUM(C5,D6)</f>
        <v>80</v>
      </c>
      <c r="C20" s="17">
        <f>B20/B22</f>
        <v>1</v>
      </c>
      <c r="D20" s="7"/>
      <c r="E20" s="7"/>
      <c r="F20" s="6"/>
      <c r="G20" s="6"/>
      <c r="H20" s="6"/>
      <c r="I20" s="6"/>
      <c r="J20" s="6"/>
      <c r="K20" s="6"/>
      <c r="L20" s="6"/>
      <c r="M20" s="6"/>
      <c r="N20" s="6"/>
      <c r="O20" s="6"/>
      <c r="P20" s="6"/>
      <c r="Q20" s="6"/>
      <c r="R20" s="6"/>
      <c r="S20" s="6"/>
      <c r="T20" s="6"/>
      <c r="U20" s="6"/>
      <c r="V20" s="6"/>
      <c r="W20" s="6"/>
    </row>
    <row r="21" spans="1:23" ht="16" x14ac:dyDescent="0.2">
      <c r="A21" s="6" t="s">
        <v>108</v>
      </c>
      <c r="B21" s="7">
        <f>SUM(C13,D14)</f>
        <v>61.025000000000006</v>
      </c>
      <c r="C21" s="17">
        <f>B21/B22</f>
        <v>0.76281250000000012</v>
      </c>
      <c r="D21" s="7"/>
      <c r="E21" s="7"/>
      <c r="F21" s="6"/>
      <c r="G21" s="6"/>
      <c r="H21" s="6"/>
      <c r="I21" s="6"/>
      <c r="J21" s="6"/>
      <c r="K21" s="6"/>
      <c r="L21" s="6"/>
      <c r="M21" s="6"/>
      <c r="N21" s="6"/>
      <c r="O21" s="6"/>
      <c r="P21" s="6"/>
      <c r="Q21" s="6"/>
      <c r="R21" s="6"/>
      <c r="S21" s="6"/>
      <c r="T21" s="6"/>
      <c r="U21" s="6"/>
      <c r="V21" s="6"/>
      <c r="W21" s="6"/>
    </row>
    <row r="22" spans="1:23" ht="16" x14ac:dyDescent="0.2">
      <c r="A22" s="6" t="s">
        <v>107</v>
      </c>
      <c r="B22" s="7">
        <f>E15</f>
        <v>80</v>
      </c>
      <c r="C22" s="17">
        <v>1</v>
      </c>
      <c r="D22" s="7"/>
      <c r="E22" s="16" t="s">
        <v>106</v>
      </c>
      <c r="F22" s="6"/>
      <c r="G22" s="6"/>
      <c r="H22" s="6"/>
      <c r="I22" s="6"/>
      <c r="J22" s="6"/>
      <c r="K22" s="6"/>
      <c r="L22" s="6"/>
      <c r="M22" s="6"/>
      <c r="N22" s="6"/>
      <c r="O22" s="6"/>
      <c r="P22" s="6"/>
      <c r="Q22" s="6"/>
      <c r="R22" s="6"/>
      <c r="S22" s="6"/>
      <c r="T22" s="6"/>
      <c r="U22" s="6"/>
      <c r="V22" s="6"/>
      <c r="W22" s="6"/>
    </row>
    <row r="23" spans="1:23" ht="16" x14ac:dyDescent="0.2">
      <c r="A23" s="12" t="s">
        <v>105</v>
      </c>
      <c r="B23" s="15">
        <f>(B20-B21)/(B22-B21)</f>
        <v>1</v>
      </c>
      <c r="C23" s="15">
        <f>(C20-C21)/(C22-C21)</f>
        <v>1</v>
      </c>
      <c r="D23" s="14"/>
      <c r="E23" s="13" t="s">
        <v>104</v>
      </c>
      <c r="F23" s="12"/>
      <c r="G23" s="12"/>
      <c r="H23" s="12"/>
      <c r="I23" s="12"/>
      <c r="J23" s="12"/>
      <c r="K23" s="12"/>
      <c r="L23" s="12"/>
      <c r="M23" s="12"/>
      <c r="N23" s="12"/>
      <c r="O23" s="12"/>
      <c r="P23" s="12"/>
      <c r="Q23" s="12"/>
      <c r="R23" s="12"/>
      <c r="S23" s="12"/>
      <c r="T23" s="12"/>
      <c r="U23" s="12"/>
      <c r="V23" s="12"/>
      <c r="W23" s="12"/>
    </row>
    <row r="24" spans="1:23" ht="16" x14ac:dyDescent="0.2">
      <c r="A24" s="6"/>
      <c r="B24" s="7"/>
      <c r="C24" s="7"/>
      <c r="D24" s="7"/>
      <c r="E24" s="7"/>
      <c r="F24" s="6"/>
      <c r="G24" s="6"/>
      <c r="H24" s="6"/>
      <c r="I24" s="6"/>
      <c r="J24" s="6"/>
      <c r="K24" s="6"/>
      <c r="L24" s="6"/>
      <c r="M24" s="6"/>
      <c r="N24" s="6"/>
      <c r="O24" s="6"/>
      <c r="P24" s="6"/>
      <c r="Q24" s="6"/>
      <c r="R24" s="6"/>
      <c r="S24" s="6"/>
      <c r="T24" s="6"/>
      <c r="U24" s="6"/>
      <c r="V24" s="6"/>
      <c r="W24" s="6"/>
    </row>
    <row r="25" spans="1:23" ht="16" x14ac:dyDescent="0.2">
      <c r="A25" s="11"/>
      <c r="B25" s="10"/>
      <c r="C25" s="10"/>
      <c r="D25" s="10"/>
      <c r="E25" s="10"/>
      <c r="F25" s="6"/>
      <c r="G25" s="6"/>
      <c r="H25" s="6"/>
      <c r="I25" s="6"/>
      <c r="J25" s="6"/>
      <c r="K25" s="6"/>
      <c r="L25" s="6"/>
      <c r="M25" s="6"/>
      <c r="N25" s="6"/>
      <c r="O25" s="6"/>
      <c r="P25" s="6"/>
      <c r="Q25" s="6"/>
      <c r="R25" s="6"/>
      <c r="S25" s="6"/>
      <c r="T25" s="6"/>
      <c r="U25" s="6"/>
      <c r="V25" s="6"/>
      <c r="W25" s="6"/>
    </row>
    <row r="26" spans="1:23" ht="16" x14ac:dyDescent="0.2">
      <c r="A26" s="6"/>
      <c r="B26" s="7"/>
      <c r="C26" s="7"/>
      <c r="D26" s="7"/>
      <c r="E26" s="7"/>
      <c r="F26" s="6"/>
      <c r="G26" s="6"/>
      <c r="H26" s="6"/>
      <c r="I26" s="6"/>
      <c r="J26" s="6"/>
      <c r="K26" s="6"/>
      <c r="L26" s="6"/>
      <c r="M26" s="6"/>
      <c r="N26" s="6"/>
      <c r="O26" s="6"/>
      <c r="P26" s="6"/>
      <c r="Q26" s="6"/>
      <c r="R26" s="6"/>
      <c r="S26" s="6"/>
      <c r="T26" s="6"/>
      <c r="U26" s="6"/>
      <c r="V26" s="6"/>
      <c r="W26" s="6"/>
    </row>
    <row r="27" spans="1:23" ht="16" x14ac:dyDescent="0.2">
      <c r="A27" s="9" t="s">
        <v>103</v>
      </c>
      <c r="B27" s="9" t="s">
        <v>102</v>
      </c>
      <c r="C27"/>
      <c r="D27"/>
      <c r="E27" s="7"/>
      <c r="F27" s="6"/>
      <c r="G27" s="6"/>
      <c r="H27" s="6"/>
      <c r="I27" s="6"/>
      <c r="J27" s="6"/>
      <c r="K27" s="6"/>
      <c r="L27" s="6"/>
      <c r="M27" s="6"/>
      <c r="N27" s="6"/>
      <c r="O27" s="6"/>
      <c r="P27" s="6"/>
      <c r="Q27" s="6"/>
      <c r="R27" s="6"/>
      <c r="S27" s="6"/>
      <c r="T27" s="6"/>
      <c r="U27" s="6"/>
      <c r="V27" s="6"/>
      <c r="W27" s="6"/>
    </row>
    <row r="28" spans="1:23" ht="16" x14ac:dyDescent="0.2">
      <c r="A28" s="9" t="s">
        <v>101</v>
      </c>
      <c r="B28">
        <v>0</v>
      </c>
      <c r="C28">
        <v>1</v>
      </c>
      <c r="D28" t="s">
        <v>100</v>
      </c>
      <c r="E28" s="7"/>
      <c r="F28" s="6"/>
      <c r="G28" s="6"/>
      <c r="H28" s="6"/>
      <c r="I28" s="6"/>
      <c r="J28" s="6"/>
      <c r="K28" s="6"/>
      <c r="L28" s="6"/>
      <c r="M28" s="6"/>
      <c r="N28" s="6"/>
      <c r="O28" s="6"/>
      <c r="P28" s="6"/>
      <c r="Q28" s="6"/>
      <c r="R28" s="6"/>
      <c r="S28" s="6"/>
      <c r="T28" s="6"/>
      <c r="U28" s="6"/>
      <c r="V28" s="6"/>
      <c r="W28" s="6"/>
    </row>
    <row r="29" spans="1:23" ht="16" x14ac:dyDescent="0.2">
      <c r="A29" s="8">
        <v>0</v>
      </c>
      <c r="B29" s="23">
        <v>11</v>
      </c>
      <c r="C29" s="23"/>
      <c r="D29" s="23">
        <v>11</v>
      </c>
      <c r="E29" s="7"/>
      <c r="F29" s="6"/>
      <c r="G29" s="6"/>
      <c r="H29" s="6"/>
      <c r="I29" s="6"/>
      <c r="J29" s="6"/>
      <c r="K29" s="6"/>
      <c r="L29" s="6"/>
      <c r="M29" s="6"/>
      <c r="N29" s="6"/>
      <c r="O29" s="6"/>
      <c r="P29" s="6"/>
      <c r="Q29" s="6"/>
      <c r="R29" s="6"/>
      <c r="S29" s="6"/>
      <c r="T29" s="6"/>
      <c r="U29" s="6"/>
      <c r="V29" s="6"/>
      <c r="W29" s="6"/>
    </row>
    <row r="30" spans="1:23" ht="16" x14ac:dyDescent="0.2">
      <c r="A30" s="8">
        <v>1</v>
      </c>
      <c r="B30" s="23"/>
      <c r="C30" s="23">
        <v>69</v>
      </c>
      <c r="D30" s="23">
        <v>69</v>
      </c>
      <c r="E30" s="7"/>
      <c r="F30" s="6"/>
      <c r="G30" s="6"/>
      <c r="H30" s="6"/>
      <c r="I30" s="6"/>
      <c r="J30" s="6"/>
      <c r="K30" s="6"/>
      <c r="L30" s="6"/>
      <c r="M30" s="6"/>
      <c r="N30" s="6"/>
      <c r="O30" s="6"/>
      <c r="P30" s="6"/>
      <c r="Q30" s="6"/>
      <c r="R30" s="6"/>
      <c r="S30" s="6"/>
      <c r="T30" s="6"/>
      <c r="U30" s="6"/>
      <c r="V30" s="6"/>
      <c r="W30" s="6"/>
    </row>
    <row r="31" spans="1:23" ht="16" x14ac:dyDescent="0.2">
      <c r="A31" s="8" t="s">
        <v>100</v>
      </c>
      <c r="B31" s="23">
        <v>11</v>
      </c>
      <c r="C31" s="23">
        <v>69</v>
      </c>
      <c r="D31" s="23">
        <v>80</v>
      </c>
      <c r="E31" s="7"/>
      <c r="F31" s="6"/>
      <c r="G31" s="6"/>
      <c r="H31" s="6"/>
      <c r="I31" s="6"/>
      <c r="J31" s="6"/>
      <c r="K31" s="6"/>
      <c r="L31" s="6"/>
      <c r="M31" s="6"/>
      <c r="N31" s="6"/>
      <c r="O31" s="6"/>
      <c r="P31" s="6"/>
      <c r="Q31" s="6"/>
      <c r="R31" s="6"/>
      <c r="S31" s="6"/>
      <c r="T31" s="6"/>
      <c r="U31" s="6"/>
      <c r="V31" s="6"/>
      <c r="W31" s="6"/>
    </row>
    <row r="32" spans="1:23" ht="16" x14ac:dyDescent="0.2">
      <c r="A32"/>
      <c r="B32"/>
      <c r="C32"/>
      <c r="D32"/>
      <c r="E32" s="7"/>
      <c r="F32" s="6"/>
      <c r="G32" s="6"/>
      <c r="H32" s="6"/>
      <c r="I32" s="6"/>
      <c r="J32" s="6"/>
      <c r="K32" s="6"/>
      <c r="L32" s="6"/>
      <c r="M32" s="6"/>
      <c r="N32" s="6"/>
      <c r="O32" s="6"/>
      <c r="P32" s="6"/>
      <c r="Q32" s="6"/>
      <c r="R32" s="6"/>
      <c r="S32" s="6"/>
      <c r="T32" s="6"/>
      <c r="U32" s="6"/>
      <c r="V32" s="6"/>
      <c r="W32" s="6"/>
    </row>
    <row r="33" spans="1:23" ht="16" x14ac:dyDescent="0.2">
      <c r="A33" t="s">
        <v>101</v>
      </c>
      <c r="B33">
        <v>0</v>
      </c>
      <c r="C33">
        <v>1</v>
      </c>
      <c r="D33" t="s">
        <v>100</v>
      </c>
      <c r="E33" s="7"/>
      <c r="F33" s="6"/>
      <c r="G33" s="6"/>
      <c r="H33" s="6"/>
      <c r="I33" s="6"/>
      <c r="J33" s="6"/>
      <c r="K33" s="6"/>
      <c r="L33" s="6"/>
      <c r="M33" s="6"/>
      <c r="N33" s="6"/>
      <c r="O33" s="6"/>
      <c r="P33" s="6"/>
      <c r="Q33" s="6"/>
      <c r="R33" s="6"/>
      <c r="S33" s="6"/>
      <c r="T33" s="6"/>
      <c r="U33" s="6"/>
      <c r="V33" s="6"/>
      <c r="W33" s="6"/>
    </row>
    <row r="34" spans="1:23" ht="16" x14ac:dyDescent="0.2">
      <c r="A34">
        <v>0</v>
      </c>
      <c r="B34">
        <v>11</v>
      </c>
      <c r="C34"/>
      <c r="D34">
        <v>11</v>
      </c>
      <c r="E34" s="7"/>
      <c r="F34" s="6"/>
      <c r="G34" s="6"/>
      <c r="H34" s="6"/>
      <c r="I34" s="6"/>
      <c r="J34" s="6"/>
      <c r="K34" s="6"/>
      <c r="L34" s="6"/>
      <c r="M34" s="6"/>
      <c r="N34" s="6"/>
      <c r="O34" s="6"/>
      <c r="P34" s="6"/>
      <c r="Q34" s="6"/>
      <c r="R34" s="6"/>
      <c r="S34" s="6"/>
      <c r="T34" s="6"/>
      <c r="U34" s="6"/>
      <c r="V34" s="6"/>
      <c r="W34" s="6"/>
    </row>
    <row r="35" spans="1:23" ht="16" x14ac:dyDescent="0.2">
      <c r="A35">
        <v>1</v>
      </c>
      <c r="B35"/>
      <c r="C35">
        <v>69</v>
      </c>
      <c r="D35">
        <v>69</v>
      </c>
      <c r="E35" s="7"/>
      <c r="F35" s="6"/>
      <c r="G35" s="6"/>
      <c r="H35" s="6"/>
      <c r="I35" s="6"/>
      <c r="J35" s="6"/>
      <c r="K35" s="6"/>
      <c r="L35" s="6"/>
      <c r="M35" s="6"/>
      <c r="N35" s="6"/>
      <c r="O35" s="6"/>
      <c r="P35" s="6"/>
      <c r="Q35" s="6"/>
      <c r="R35" s="6"/>
      <c r="S35" s="6"/>
      <c r="T35" s="6"/>
      <c r="U35" s="6"/>
      <c r="V35" s="6"/>
      <c r="W35" s="6"/>
    </row>
    <row r="36" spans="1:23" ht="16" x14ac:dyDescent="0.2">
      <c r="A36" t="s">
        <v>100</v>
      </c>
      <c r="B36">
        <v>11</v>
      </c>
      <c r="C36">
        <v>69</v>
      </c>
      <c r="D36">
        <v>80</v>
      </c>
      <c r="E36" s="7"/>
      <c r="F36" s="6"/>
      <c r="G36" s="6"/>
      <c r="H36" s="6"/>
      <c r="I36" s="6"/>
      <c r="J36" s="6"/>
      <c r="K36" s="6"/>
      <c r="L36" s="6"/>
      <c r="M36" s="6"/>
      <c r="N36" s="6"/>
      <c r="O36" s="6"/>
      <c r="P36" s="6"/>
      <c r="Q36" s="6"/>
      <c r="R36" s="6"/>
      <c r="S36" s="6"/>
      <c r="T36" s="6"/>
      <c r="U36" s="6"/>
      <c r="V36" s="6"/>
      <c r="W36" s="6"/>
    </row>
    <row r="37" spans="1:23" ht="16" x14ac:dyDescent="0.2">
      <c r="A37"/>
      <c r="B37"/>
      <c r="C37"/>
      <c r="D37"/>
      <c r="E37" s="7"/>
      <c r="F37" s="6"/>
      <c r="G37" s="6"/>
      <c r="H37" s="6"/>
      <c r="I37" s="6"/>
      <c r="J37" s="6"/>
      <c r="K37" s="6"/>
      <c r="L37" s="6"/>
      <c r="M37" s="6"/>
      <c r="N37" s="6"/>
      <c r="O37" s="6"/>
      <c r="P37" s="6"/>
      <c r="Q37" s="6"/>
      <c r="R37" s="6"/>
      <c r="S37" s="6"/>
      <c r="T37" s="6"/>
      <c r="U37" s="6"/>
      <c r="V37" s="6"/>
      <c r="W37" s="6"/>
    </row>
    <row r="38" spans="1:23" ht="16" x14ac:dyDescent="0.2">
      <c r="A38"/>
      <c r="B38"/>
      <c r="C38"/>
      <c r="D38"/>
      <c r="E38" s="7"/>
      <c r="F38" s="6"/>
      <c r="G38" s="6"/>
      <c r="H38" s="6"/>
      <c r="I38" s="6"/>
      <c r="J38" s="6"/>
      <c r="K38" s="6"/>
      <c r="L38" s="6"/>
      <c r="M38" s="6"/>
      <c r="N38" s="6"/>
      <c r="O38" s="6"/>
      <c r="P38" s="6"/>
      <c r="Q38" s="6"/>
      <c r="R38" s="6"/>
      <c r="S38" s="6"/>
      <c r="T38" s="6"/>
      <c r="U38" s="6"/>
      <c r="V38" s="6"/>
      <c r="W38" s="6"/>
    </row>
    <row r="39" spans="1:23" ht="16" x14ac:dyDescent="0.2">
      <c r="A39"/>
      <c r="B39"/>
      <c r="C39"/>
      <c r="D39" s="7"/>
      <c r="E39" s="7"/>
      <c r="F39" s="6"/>
      <c r="G39" s="6"/>
      <c r="H39" s="6"/>
      <c r="I39" s="6"/>
      <c r="J39" s="6"/>
      <c r="K39" s="6"/>
      <c r="L39" s="6"/>
      <c r="M39" s="6"/>
      <c r="N39" s="6"/>
      <c r="O39" s="6"/>
      <c r="P39" s="6"/>
      <c r="Q39" s="6"/>
      <c r="R39" s="6"/>
      <c r="S39" s="6"/>
      <c r="T39" s="6"/>
      <c r="U39" s="6"/>
      <c r="V39" s="6"/>
      <c r="W39" s="6"/>
    </row>
    <row r="40" spans="1:23" ht="16" x14ac:dyDescent="0.2">
      <c r="A40"/>
      <c r="B40"/>
      <c r="C40"/>
      <c r="D40" s="7"/>
      <c r="E40" s="7"/>
      <c r="F40" s="6"/>
      <c r="G40" s="6"/>
      <c r="H40" s="6"/>
      <c r="I40" s="6"/>
      <c r="J40" s="6"/>
      <c r="K40" s="6"/>
      <c r="L40" s="6"/>
      <c r="M40" s="6"/>
      <c r="N40" s="6"/>
      <c r="O40" s="6"/>
      <c r="P40" s="6"/>
      <c r="Q40" s="6"/>
      <c r="R40" s="6"/>
      <c r="S40" s="6"/>
      <c r="T40" s="6"/>
      <c r="U40" s="6"/>
      <c r="V40" s="6"/>
      <c r="W40" s="6"/>
    </row>
    <row r="41" spans="1:23" ht="16" x14ac:dyDescent="0.2">
      <c r="A41"/>
      <c r="B41"/>
      <c r="C41"/>
      <c r="D41" s="7"/>
      <c r="E41" s="7"/>
      <c r="F41" s="6"/>
      <c r="G41" s="6"/>
      <c r="H41" s="6"/>
      <c r="I41" s="6"/>
      <c r="J41" s="6"/>
      <c r="K41" s="6"/>
      <c r="L41" s="6"/>
      <c r="M41" s="6"/>
      <c r="N41" s="6"/>
      <c r="O41" s="6"/>
      <c r="P41" s="6"/>
      <c r="Q41" s="6"/>
      <c r="R41" s="6"/>
      <c r="S41" s="6"/>
      <c r="T41" s="6"/>
      <c r="U41" s="6"/>
      <c r="V41" s="6"/>
      <c r="W41" s="6"/>
    </row>
    <row r="42" spans="1:23" ht="16" x14ac:dyDescent="0.2">
      <c r="A42"/>
      <c r="B42"/>
      <c r="C42"/>
      <c r="D42" s="7"/>
      <c r="E42" s="7"/>
      <c r="F42" s="6"/>
      <c r="G42" s="6"/>
      <c r="H42" s="6"/>
      <c r="I42" s="6"/>
      <c r="J42" s="6"/>
      <c r="K42" s="6"/>
      <c r="L42" s="6"/>
      <c r="M42" s="6"/>
      <c r="N42" s="6"/>
      <c r="O42" s="6"/>
      <c r="P42" s="6"/>
      <c r="Q42" s="6"/>
      <c r="R42" s="6"/>
      <c r="S42" s="6"/>
      <c r="T42" s="6"/>
      <c r="U42" s="6"/>
      <c r="V42" s="6"/>
      <c r="W42" s="6"/>
    </row>
    <row r="43" spans="1:23" ht="16" x14ac:dyDescent="0.2">
      <c r="A43"/>
      <c r="B43"/>
      <c r="C43"/>
      <c r="D43" s="7"/>
      <c r="E43" s="7"/>
      <c r="F43" s="6"/>
      <c r="G43" s="6"/>
      <c r="H43" s="6"/>
      <c r="I43" s="6"/>
      <c r="J43" s="6"/>
      <c r="K43" s="6"/>
      <c r="L43" s="6"/>
      <c r="M43" s="6"/>
      <c r="N43" s="6"/>
      <c r="O43" s="6"/>
      <c r="P43" s="6"/>
      <c r="Q43" s="6"/>
      <c r="R43" s="6"/>
      <c r="S43" s="6"/>
      <c r="T43" s="6"/>
      <c r="U43" s="6"/>
      <c r="V43" s="6"/>
      <c r="W43" s="6"/>
    </row>
    <row r="44" spans="1:23" ht="16" x14ac:dyDescent="0.2">
      <c r="A44"/>
      <c r="B44"/>
      <c r="C44"/>
      <c r="D44" s="7"/>
      <c r="E44" s="7"/>
      <c r="F44" s="6"/>
      <c r="G44" s="6"/>
      <c r="H44" s="6"/>
      <c r="I44" s="6"/>
      <c r="J44" s="6"/>
      <c r="K44" s="6"/>
      <c r="L44" s="6"/>
      <c r="M44" s="6"/>
      <c r="N44" s="6"/>
      <c r="O44" s="6"/>
      <c r="P44" s="6"/>
      <c r="Q44" s="6"/>
      <c r="R44" s="6"/>
      <c r="S44" s="6"/>
      <c r="T44" s="6"/>
      <c r="U44" s="6"/>
      <c r="V44" s="6"/>
      <c r="W44" s="6"/>
    </row>
    <row r="45" spans="1:23" ht="16" x14ac:dyDescent="0.2">
      <c r="A45"/>
      <c r="B45"/>
      <c r="C45"/>
      <c r="D45" s="7"/>
      <c r="E45" s="7"/>
      <c r="F45" s="6"/>
      <c r="G45" s="6"/>
      <c r="H45" s="6"/>
      <c r="I45" s="6"/>
      <c r="J45" s="6"/>
      <c r="K45" s="6"/>
      <c r="L45" s="6"/>
      <c r="M45" s="6"/>
      <c r="N45" s="6"/>
      <c r="O45" s="6"/>
      <c r="P45" s="6"/>
      <c r="Q45" s="6"/>
      <c r="R45" s="6"/>
      <c r="S45" s="6"/>
      <c r="T45" s="6"/>
      <c r="U45" s="6"/>
      <c r="V45" s="6"/>
      <c r="W45" s="6"/>
    </row>
    <row r="46" spans="1:23" ht="16" x14ac:dyDescent="0.2">
      <c r="A46"/>
      <c r="B46"/>
      <c r="C46"/>
      <c r="D46" s="7"/>
      <c r="E46" s="7"/>
      <c r="F46" s="6"/>
      <c r="G46" s="6"/>
      <c r="H46" s="6"/>
      <c r="I46" s="6"/>
      <c r="J46" s="6"/>
      <c r="K46" s="6"/>
      <c r="L46" s="6"/>
      <c r="M46" s="6"/>
      <c r="N46" s="6"/>
      <c r="O46" s="6"/>
      <c r="P46" s="6"/>
      <c r="Q46" s="6"/>
      <c r="R46" s="6"/>
      <c r="S46" s="6"/>
      <c r="T46" s="6"/>
      <c r="U46" s="6"/>
      <c r="V46" s="6"/>
      <c r="W46" s="6"/>
    </row>
    <row r="47" spans="1:23" ht="16" x14ac:dyDescent="0.2">
      <c r="A47" s="6"/>
      <c r="B47" s="7"/>
      <c r="C47" s="7"/>
      <c r="D47" s="7"/>
      <c r="E47" s="7"/>
      <c r="F47" s="6"/>
      <c r="G47" s="6"/>
      <c r="H47" s="6"/>
      <c r="I47" s="6"/>
      <c r="J47" s="6"/>
      <c r="K47" s="6"/>
      <c r="L47" s="6"/>
      <c r="M47" s="6"/>
      <c r="N47" s="6"/>
      <c r="O47" s="6"/>
      <c r="P47" s="6"/>
      <c r="Q47" s="6"/>
      <c r="R47" s="6"/>
      <c r="S47" s="6"/>
      <c r="T47" s="6"/>
      <c r="U47" s="6"/>
      <c r="V47" s="6"/>
      <c r="W47" s="6"/>
    </row>
    <row r="48" spans="1:23" ht="16" x14ac:dyDescent="0.2">
      <c r="A48" s="6"/>
      <c r="B48" s="7"/>
      <c r="C48" s="7"/>
      <c r="D48" s="7"/>
      <c r="E48" s="7"/>
      <c r="F48" s="6"/>
      <c r="G48" s="6"/>
      <c r="H48" s="6"/>
      <c r="I48" s="6"/>
      <c r="J48" s="6"/>
      <c r="K48" s="6"/>
      <c r="L48" s="6"/>
      <c r="M48" s="6"/>
      <c r="N48" s="6"/>
      <c r="O48" s="6"/>
      <c r="P48" s="6"/>
      <c r="Q48" s="6"/>
      <c r="R48" s="6"/>
      <c r="S48" s="6"/>
      <c r="T48" s="6"/>
      <c r="U48" s="6"/>
      <c r="V48" s="6"/>
      <c r="W48" s="6"/>
    </row>
    <row r="49" spans="1:23" ht="16" x14ac:dyDescent="0.2">
      <c r="A49" s="6"/>
      <c r="B49" s="7"/>
      <c r="C49" s="7"/>
      <c r="D49" s="7"/>
      <c r="E49" s="7"/>
      <c r="F49" s="6"/>
      <c r="G49" s="6"/>
      <c r="H49" s="6"/>
      <c r="I49" s="6"/>
      <c r="J49" s="6"/>
      <c r="K49" s="6"/>
      <c r="L49" s="6"/>
      <c r="M49" s="6"/>
      <c r="N49" s="6"/>
      <c r="O49" s="6"/>
      <c r="P49" s="6"/>
      <c r="Q49" s="6"/>
      <c r="R49" s="6"/>
      <c r="S49" s="6"/>
      <c r="T49" s="6"/>
      <c r="U49" s="6"/>
      <c r="V49" s="6"/>
      <c r="W49" s="6"/>
    </row>
    <row r="50" spans="1:23" ht="16" x14ac:dyDescent="0.2">
      <c r="A50" s="6"/>
      <c r="B50" s="7"/>
      <c r="C50" s="7"/>
      <c r="D50" s="7"/>
      <c r="E50" s="7"/>
      <c r="F50" s="6"/>
      <c r="G50" s="6"/>
      <c r="H50" s="6"/>
      <c r="I50" s="6"/>
      <c r="J50" s="6"/>
      <c r="K50" s="6"/>
      <c r="L50" s="6"/>
      <c r="M50" s="6"/>
      <c r="N50" s="6"/>
      <c r="O50" s="6"/>
      <c r="P50" s="6"/>
      <c r="Q50" s="6"/>
      <c r="R50" s="6"/>
      <c r="S50" s="6"/>
      <c r="T50" s="6"/>
      <c r="U50" s="6"/>
      <c r="V50" s="6"/>
      <c r="W50" s="6"/>
    </row>
    <row r="51" spans="1:23" ht="16" x14ac:dyDescent="0.2">
      <c r="A51" s="6"/>
      <c r="B51" s="7"/>
      <c r="C51" s="7"/>
      <c r="D51" s="7"/>
      <c r="E51" s="7"/>
      <c r="F51" s="6"/>
      <c r="G51" s="6"/>
      <c r="H51" s="6"/>
      <c r="I51" s="6"/>
      <c r="J51" s="6"/>
      <c r="K51" s="6"/>
      <c r="L51" s="6"/>
      <c r="M51" s="6"/>
      <c r="N51" s="6"/>
      <c r="O51" s="6"/>
      <c r="P51" s="6"/>
      <c r="Q51" s="6"/>
      <c r="R51" s="6"/>
      <c r="S51" s="6"/>
      <c r="T51" s="6"/>
      <c r="U51" s="6"/>
      <c r="V51" s="6"/>
      <c r="W51" s="6"/>
    </row>
    <row r="52" spans="1:23" ht="16" x14ac:dyDescent="0.2">
      <c r="A52" s="6"/>
      <c r="B52" s="7"/>
      <c r="C52" s="7"/>
      <c r="D52" s="7"/>
      <c r="E52" s="7"/>
      <c r="F52" s="6"/>
      <c r="G52" s="6"/>
      <c r="H52" s="6"/>
      <c r="I52" s="6"/>
      <c r="J52" s="6"/>
      <c r="K52" s="6"/>
      <c r="L52" s="6"/>
      <c r="M52" s="6"/>
      <c r="N52" s="6"/>
      <c r="O52" s="6"/>
      <c r="P52" s="6"/>
      <c r="Q52" s="6"/>
      <c r="R52" s="6"/>
      <c r="S52" s="6"/>
      <c r="T52" s="6"/>
      <c r="U52" s="6"/>
      <c r="V52" s="6"/>
      <c r="W52" s="6"/>
    </row>
    <row r="53" spans="1:23" ht="16" x14ac:dyDescent="0.2">
      <c r="A53" s="6"/>
      <c r="B53" s="7"/>
      <c r="C53" s="7"/>
      <c r="D53" s="7"/>
      <c r="E53" s="7"/>
      <c r="F53" s="6"/>
      <c r="G53" s="6"/>
      <c r="H53" s="6"/>
      <c r="I53" s="6"/>
      <c r="J53" s="6"/>
      <c r="K53" s="6"/>
      <c r="L53" s="6"/>
      <c r="M53" s="6"/>
      <c r="N53" s="6"/>
      <c r="O53" s="6"/>
      <c r="P53" s="6"/>
      <c r="Q53" s="6"/>
      <c r="R53" s="6"/>
      <c r="S53" s="6"/>
      <c r="T53" s="6"/>
      <c r="U53" s="6"/>
      <c r="V53" s="6"/>
      <c r="W53" s="6"/>
    </row>
    <row r="54" spans="1:23" ht="16" x14ac:dyDescent="0.2">
      <c r="A54" s="6"/>
      <c r="B54" s="7"/>
      <c r="C54" s="7"/>
      <c r="D54" s="7"/>
      <c r="E54" s="7"/>
      <c r="F54" s="6"/>
      <c r="G54" s="6"/>
      <c r="H54" s="6"/>
      <c r="I54" s="6"/>
      <c r="J54" s="6"/>
      <c r="K54" s="6"/>
      <c r="L54" s="6"/>
      <c r="M54" s="6"/>
      <c r="N54" s="6"/>
      <c r="O54" s="6"/>
      <c r="P54" s="6"/>
      <c r="Q54" s="6"/>
      <c r="R54" s="6"/>
      <c r="S54" s="6"/>
      <c r="T54" s="6"/>
      <c r="U54" s="6"/>
      <c r="V54" s="6"/>
      <c r="W54" s="6"/>
    </row>
    <row r="55" spans="1:23" ht="16" x14ac:dyDescent="0.2">
      <c r="A55" s="6"/>
      <c r="B55" s="7"/>
      <c r="C55" s="7"/>
      <c r="D55" s="7"/>
      <c r="E55" s="7"/>
      <c r="F55" s="6"/>
      <c r="G55" s="6"/>
      <c r="H55" s="6"/>
      <c r="I55" s="6"/>
      <c r="J55" s="6"/>
      <c r="K55" s="6"/>
      <c r="L55" s="6"/>
      <c r="M55" s="6"/>
      <c r="N55" s="6"/>
      <c r="O55" s="6"/>
      <c r="P55" s="6"/>
      <c r="Q55" s="6"/>
      <c r="R55" s="6"/>
      <c r="S55" s="6"/>
      <c r="T55" s="6"/>
      <c r="U55" s="6"/>
      <c r="V55" s="6"/>
      <c r="W55" s="6"/>
    </row>
    <row r="56" spans="1:23" ht="16" x14ac:dyDescent="0.2">
      <c r="A56" s="6"/>
      <c r="B56" s="7"/>
      <c r="C56" s="7"/>
      <c r="D56" s="7"/>
      <c r="E56" s="7"/>
      <c r="F56" s="6"/>
      <c r="G56" s="6"/>
      <c r="H56" s="6"/>
      <c r="I56" s="6"/>
      <c r="J56" s="6"/>
      <c r="K56" s="6"/>
      <c r="L56" s="6"/>
      <c r="M56" s="6"/>
      <c r="N56" s="6"/>
      <c r="O56" s="6"/>
      <c r="P56" s="6"/>
      <c r="Q56" s="6"/>
      <c r="R56" s="6"/>
      <c r="S56" s="6"/>
      <c r="T56" s="6"/>
      <c r="U56" s="6"/>
      <c r="V56" s="6"/>
      <c r="W56" s="6"/>
    </row>
    <row r="57" spans="1:23" ht="16" x14ac:dyDescent="0.2">
      <c r="A57" s="6"/>
      <c r="B57" s="7"/>
      <c r="C57" s="7"/>
      <c r="D57" s="7"/>
      <c r="E57" s="7"/>
      <c r="F57" s="6"/>
      <c r="G57" s="6"/>
      <c r="H57" s="6"/>
      <c r="I57" s="6"/>
      <c r="J57" s="6"/>
      <c r="K57" s="6"/>
      <c r="L57" s="6"/>
      <c r="M57" s="6"/>
      <c r="N57" s="6"/>
      <c r="O57" s="6"/>
      <c r="P57" s="6"/>
      <c r="Q57" s="6"/>
      <c r="R57" s="6"/>
      <c r="S57" s="6"/>
      <c r="T57" s="6"/>
      <c r="U57" s="6"/>
      <c r="V57" s="6"/>
      <c r="W57" s="6"/>
    </row>
    <row r="58" spans="1:23" ht="16" x14ac:dyDescent="0.2">
      <c r="A58" s="6"/>
      <c r="B58" s="7"/>
      <c r="C58" s="7"/>
      <c r="D58" s="7"/>
      <c r="E58" s="7"/>
      <c r="F58" s="6"/>
      <c r="G58" s="6"/>
      <c r="H58" s="6"/>
      <c r="I58" s="6"/>
      <c r="J58" s="6"/>
      <c r="K58" s="6"/>
      <c r="L58" s="6"/>
      <c r="M58" s="6"/>
      <c r="N58" s="6"/>
      <c r="O58" s="6"/>
      <c r="P58" s="6"/>
      <c r="Q58" s="6"/>
      <c r="R58" s="6"/>
      <c r="S58" s="6"/>
      <c r="T58" s="6"/>
      <c r="U58" s="6"/>
      <c r="V58" s="6"/>
      <c r="W58" s="6"/>
    </row>
    <row r="59" spans="1:23" ht="16" x14ac:dyDescent="0.2">
      <c r="A59" s="6"/>
      <c r="B59" s="7"/>
      <c r="C59" s="7"/>
      <c r="D59" s="7"/>
      <c r="E59" s="7"/>
      <c r="F59" s="6"/>
      <c r="G59" s="6"/>
      <c r="H59" s="6"/>
      <c r="I59" s="6"/>
      <c r="J59" s="6"/>
      <c r="K59" s="6"/>
      <c r="L59" s="6"/>
      <c r="M59" s="6"/>
      <c r="N59" s="6"/>
      <c r="O59" s="6"/>
      <c r="P59" s="6"/>
      <c r="Q59" s="6"/>
      <c r="R59" s="6"/>
      <c r="S59" s="6"/>
      <c r="T59" s="6"/>
      <c r="U59" s="6"/>
      <c r="V59" s="6"/>
      <c r="W59" s="6"/>
    </row>
    <row r="60" spans="1:23" ht="16" x14ac:dyDescent="0.2">
      <c r="A60" s="6"/>
      <c r="B60" s="7"/>
      <c r="C60" s="7"/>
      <c r="D60" s="7"/>
      <c r="E60" s="7"/>
      <c r="F60" s="6"/>
      <c r="G60" s="6"/>
      <c r="H60" s="6"/>
      <c r="I60" s="6"/>
      <c r="J60" s="6"/>
      <c r="K60" s="6"/>
      <c r="L60" s="6"/>
      <c r="M60" s="6"/>
      <c r="N60" s="6"/>
      <c r="O60" s="6"/>
      <c r="P60" s="6"/>
      <c r="Q60" s="6"/>
      <c r="R60" s="6"/>
      <c r="S60" s="6"/>
      <c r="T60" s="6"/>
      <c r="U60" s="6"/>
      <c r="V60" s="6"/>
      <c r="W60" s="6"/>
    </row>
    <row r="61" spans="1:23" ht="16" x14ac:dyDescent="0.2">
      <c r="A61" s="6"/>
      <c r="B61" s="7"/>
      <c r="C61" s="7"/>
      <c r="D61" s="7"/>
      <c r="E61" s="7"/>
      <c r="F61" s="6"/>
      <c r="G61" s="6"/>
      <c r="H61" s="6"/>
      <c r="I61" s="6"/>
      <c r="J61" s="6"/>
      <c r="K61" s="6"/>
      <c r="L61" s="6"/>
      <c r="M61" s="6"/>
      <c r="N61" s="6"/>
      <c r="O61" s="6"/>
      <c r="P61" s="6"/>
      <c r="Q61" s="6"/>
      <c r="R61" s="6"/>
      <c r="S61" s="6"/>
      <c r="T61" s="6"/>
      <c r="U61" s="6"/>
      <c r="V61" s="6"/>
      <c r="W61" s="6"/>
    </row>
    <row r="62" spans="1:23" ht="16" x14ac:dyDescent="0.2">
      <c r="A62" s="6"/>
      <c r="B62" s="7"/>
      <c r="C62" s="7"/>
      <c r="D62" s="7"/>
      <c r="E62" s="7"/>
      <c r="F62" s="6"/>
      <c r="G62" s="6"/>
      <c r="H62" s="6"/>
      <c r="I62" s="6"/>
      <c r="J62" s="6"/>
      <c r="K62" s="6"/>
      <c r="L62" s="6"/>
      <c r="M62" s="6"/>
      <c r="N62" s="6"/>
      <c r="O62" s="6"/>
      <c r="P62" s="6"/>
      <c r="Q62" s="6"/>
      <c r="R62" s="6"/>
      <c r="S62" s="6"/>
      <c r="T62" s="6"/>
      <c r="U62" s="6"/>
      <c r="V62" s="6"/>
      <c r="W62" s="6"/>
    </row>
    <row r="63" spans="1:23" ht="16" x14ac:dyDescent="0.2">
      <c r="A63" s="6"/>
      <c r="B63" s="7"/>
      <c r="C63" s="7"/>
      <c r="D63" s="7"/>
      <c r="E63" s="7"/>
      <c r="F63" s="6"/>
      <c r="G63" s="6"/>
      <c r="H63" s="6"/>
      <c r="I63" s="6"/>
      <c r="J63" s="6"/>
      <c r="K63" s="6"/>
      <c r="L63" s="6"/>
      <c r="M63" s="6"/>
      <c r="N63" s="6"/>
      <c r="O63" s="6"/>
      <c r="P63" s="6"/>
      <c r="Q63" s="6"/>
      <c r="R63" s="6"/>
      <c r="S63" s="6"/>
      <c r="T63" s="6"/>
      <c r="U63" s="6"/>
      <c r="V63" s="6"/>
      <c r="W63" s="6"/>
    </row>
    <row r="64" spans="1:23" ht="16" x14ac:dyDescent="0.2">
      <c r="A64" s="6"/>
      <c r="B64" s="7"/>
      <c r="C64" s="7"/>
      <c r="D64" s="7"/>
      <c r="E64" s="7"/>
      <c r="F64" s="6"/>
      <c r="G64" s="6"/>
      <c r="H64" s="6"/>
      <c r="I64" s="6"/>
      <c r="J64" s="6"/>
      <c r="K64" s="6"/>
      <c r="L64" s="6"/>
      <c r="M64" s="6"/>
      <c r="N64" s="6"/>
      <c r="O64" s="6"/>
      <c r="P64" s="6"/>
      <c r="Q64" s="6"/>
      <c r="R64" s="6"/>
      <c r="S64" s="6"/>
      <c r="T64" s="6"/>
      <c r="U64" s="6"/>
      <c r="V64" s="6"/>
      <c r="W64" s="6"/>
    </row>
    <row r="65" spans="1:23" ht="16" x14ac:dyDescent="0.2">
      <c r="A65" s="6"/>
      <c r="B65" s="7"/>
      <c r="C65" s="7"/>
      <c r="D65" s="7"/>
      <c r="E65" s="7"/>
      <c r="F65" s="6"/>
      <c r="G65" s="6"/>
      <c r="H65" s="6"/>
      <c r="I65" s="6"/>
      <c r="J65" s="6"/>
      <c r="K65" s="6"/>
      <c r="L65" s="6"/>
      <c r="M65" s="6"/>
      <c r="N65" s="6"/>
      <c r="O65" s="6"/>
      <c r="P65" s="6"/>
      <c r="Q65" s="6"/>
      <c r="R65" s="6"/>
      <c r="S65" s="6"/>
      <c r="T65" s="6"/>
      <c r="U65" s="6"/>
      <c r="V65" s="6"/>
      <c r="W65" s="6"/>
    </row>
    <row r="66" spans="1:23" ht="16" x14ac:dyDescent="0.2">
      <c r="A66" s="6"/>
      <c r="B66" s="7"/>
      <c r="C66" s="7"/>
      <c r="D66" s="7"/>
      <c r="E66" s="7"/>
      <c r="F66" s="6"/>
      <c r="G66" s="6"/>
      <c r="H66" s="6"/>
      <c r="I66" s="6"/>
      <c r="J66" s="6"/>
      <c r="K66" s="6"/>
      <c r="L66" s="6"/>
      <c r="M66" s="6"/>
      <c r="N66" s="6"/>
      <c r="O66" s="6"/>
      <c r="P66" s="6"/>
      <c r="Q66" s="6"/>
      <c r="R66" s="6"/>
      <c r="S66" s="6"/>
      <c r="T66" s="6"/>
      <c r="U66" s="6"/>
      <c r="V66" s="6"/>
      <c r="W66" s="6"/>
    </row>
    <row r="67" spans="1:23" ht="16" x14ac:dyDescent="0.2">
      <c r="A67" s="6"/>
      <c r="B67" s="7"/>
      <c r="C67" s="7"/>
      <c r="D67" s="7"/>
      <c r="E67" s="7"/>
      <c r="F67" s="6"/>
      <c r="G67" s="6"/>
      <c r="H67" s="6"/>
      <c r="I67" s="6"/>
      <c r="J67" s="6"/>
      <c r="K67" s="6"/>
      <c r="L67" s="6"/>
      <c r="M67" s="6"/>
      <c r="N67" s="6"/>
      <c r="O67" s="6"/>
      <c r="P67" s="6"/>
      <c r="Q67" s="6"/>
      <c r="R67" s="6"/>
      <c r="S67" s="6"/>
      <c r="T67" s="6"/>
      <c r="U67" s="6"/>
      <c r="V67" s="6"/>
      <c r="W67" s="6"/>
    </row>
    <row r="68" spans="1:23" ht="16" x14ac:dyDescent="0.2">
      <c r="A68" s="6"/>
      <c r="B68" s="7"/>
      <c r="C68" s="7"/>
      <c r="D68" s="7"/>
      <c r="E68" s="7"/>
      <c r="F68" s="6"/>
      <c r="G68" s="6"/>
      <c r="H68" s="6"/>
      <c r="I68" s="6"/>
      <c r="J68" s="6"/>
      <c r="K68" s="6"/>
      <c r="L68" s="6"/>
      <c r="M68" s="6"/>
      <c r="N68" s="6"/>
      <c r="O68" s="6"/>
      <c r="P68" s="6"/>
      <c r="Q68" s="6"/>
      <c r="R68" s="6"/>
      <c r="S68" s="6"/>
      <c r="T68" s="6"/>
      <c r="U68" s="6"/>
      <c r="V68" s="6"/>
      <c r="W68" s="6"/>
    </row>
    <row r="69" spans="1:23" ht="16" x14ac:dyDescent="0.2">
      <c r="A69" s="6"/>
      <c r="B69" s="7"/>
      <c r="C69" s="7"/>
      <c r="D69" s="7"/>
      <c r="E69" s="7"/>
      <c r="F69" s="6"/>
      <c r="G69" s="6"/>
      <c r="H69" s="6"/>
      <c r="I69" s="6"/>
      <c r="J69" s="6"/>
      <c r="K69" s="6"/>
      <c r="L69" s="6"/>
      <c r="M69" s="6"/>
      <c r="N69" s="6"/>
      <c r="O69" s="6"/>
      <c r="P69" s="6"/>
      <c r="Q69" s="6"/>
      <c r="R69" s="6"/>
      <c r="S69" s="6"/>
      <c r="T69" s="6"/>
      <c r="U69" s="6"/>
      <c r="V69" s="6"/>
      <c r="W69" s="6"/>
    </row>
    <row r="70" spans="1:23" ht="16" x14ac:dyDescent="0.2">
      <c r="A70" s="6"/>
      <c r="B70" s="7"/>
      <c r="C70" s="7"/>
      <c r="D70" s="7"/>
      <c r="E70" s="7"/>
      <c r="F70" s="6"/>
      <c r="G70" s="6"/>
      <c r="H70" s="6"/>
      <c r="I70" s="6"/>
      <c r="J70" s="6"/>
      <c r="K70" s="6"/>
      <c r="L70" s="6"/>
      <c r="M70" s="6"/>
      <c r="N70" s="6"/>
      <c r="O70" s="6"/>
      <c r="P70" s="6"/>
      <c r="Q70" s="6"/>
      <c r="R70" s="6"/>
      <c r="S70" s="6"/>
      <c r="T70" s="6"/>
      <c r="U70" s="6"/>
      <c r="V70" s="6"/>
      <c r="W70" s="6"/>
    </row>
    <row r="71" spans="1:23" ht="16" x14ac:dyDescent="0.2">
      <c r="A71" s="6"/>
      <c r="B71" s="7"/>
      <c r="C71" s="7"/>
      <c r="D71" s="7"/>
      <c r="E71" s="7"/>
      <c r="F71" s="6"/>
      <c r="G71" s="6"/>
      <c r="H71" s="6"/>
      <c r="I71" s="6"/>
      <c r="J71" s="6"/>
      <c r="K71" s="6"/>
      <c r="L71" s="6"/>
      <c r="M71" s="6"/>
      <c r="N71" s="6"/>
      <c r="O71" s="6"/>
      <c r="P71" s="6"/>
      <c r="Q71" s="6"/>
      <c r="R71" s="6"/>
      <c r="S71" s="6"/>
      <c r="T71" s="6"/>
      <c r="U71" s="6"/>
      <c r="V71" s="6"/>
      <c r="W71" s="6"/>
    </row>
    <row r="72" spans="1:23" ht="16" x14ac:dyDescent="0.2">
      <c r="A72" s="6"/>
      <c r="B72" s="7"/>
      <c r="C72" s="7"/>
      <c r="D72" s="7"/>
      <c r="E72" s="7"/>
      <c r="F72" s="6"/>
      <c r="G72" s="6"/>
      <c r="H72" s="6"/>
      <c r="I72" s="6"/>
      <c r="J72" s="6"/>
      <c r="K72" s="6"/>
      <c r="L72" s="6"/>
      <c r="M72" s="6"/>
      <c r="N72" s="6"/>
      <c r="O72" s="6"/>
      <c r="P72" s="6"/>
      <c r="Q72" s="6"/>
      <c r="R72" s="6"/>
      <c r="S72" s="6"/>
      <c r="T72" s="6"/>
      <c r="U72" s="6"/>
      <c r="V72" s="6"/>
      <c r="W72" s="6"/>
    </row>
    <row r="73" spans="1:23" ht="16" x14ac:dyDescent="0.2">
      <c r="A73" s="6"/>
      <c r="B73" s="7"/>
      <c r="C73" s="7"/>
      <c r="D73" s="7"/>
      <c r="E73" s="7"/>
      <c r="F73" s="6"/>
      <c r="G73" s="6"/>
      <c r="H73" s="6"/>
      <c r="I73" s="6"/>
      <c r="J73" s="6"/>
      <c r="K73" s="6"/>
      <c r="L73" s="6"/>
      <c r="M73" s="6"/>
      <c r="N73" s="6"/>
      <c r="O73" s="6"/>
      <c r="P73" s="6"/>
      <c r="Q73" s="6"/>
      <c r="R73" s="6"/>
      <c r="S73" s="6"/>
      <c r="T73" s="6"/>
      <c r="U73" s="6"/>
      <c r="V73" s="6"/>
      <c r="W73" s="6"/>
    </row>
    <row r="74" spans="1:23" ht="16" x14ac:dyDescent="0.2">
      <c r="A74" s="6"/>
      <c r="B74" s="7"/>
      <c r="C74" s="7"/>
      <c r="D74" s="7"/>
      <c r="E74" s="7"/>
      <c r="F74" s="6"/>
      <c r="G74" s="6"/>
      <c r="H74" s="6"/>
      <c r="I74" s="6"/>
      <c r="J74" s="6"/>
      <c r="K74" s="6"/>
      <c r="L74" s="6"/>
      <c r="M74" s="6"/>
      <c r="N74" s="6"/>
      <c r="O74" s="6"/>
      <c r="P74" s="6"/>
      <c r="Q74" s="6"/>
      <c r="R74" s="6"/>
      <c r="S74" s="6"/>
      <c r="T74" s="6"/>
      <c r="U74" s="6"/>
      <c r="V74" s="6"/>
      <c r="W74" s="6"/>
    </row>
    <row r="75" spans="1:23" ht="16" x14ac:dyDescent="0.2">
      <c r="A75" s="6"/>
      <c r="B75" s="7"/>
      <c r="C75" s="7"/>
      <c r="D75" s="7"/>
      <c r="E75" s="7"/>
      <c r="F75" s="6"/>
      <c r="G75" s="6"/>
      <c r="H75" s="6"/>
      <c r="I75" s="6"/>
      <c r="J75" s="6"/>
      <c r="K75" s="6"/>
      <c r="L75" s="6"/>
      <c r="M75" s="6"/>
      <c r="N75" s="6"/>
      <c r="O75" s="6"/>
      <c r="P75" s="6"/>
      <c r="Q75" s="6"/>
      <c r="R75" s="6"/>
      <c r="S75" s="6"/>
      <c r="T75" s="6"/>
      <c r="U75" s="6"/>
      <c r="V75" s="6"/>
      <c r="W75" s="6"/>
    </row>
    <row r="76" spans="1:23" ht="16" x14ac:dyDescent="0.2">
      <c r="A76" s="6"/>
      <c r="B76" s="7"/>
      <c r="C76" s="7"/>
      <c r="D76" s="7"/>
      <c r="E76" s="7"/>
      <c r="F76" s="6"/>
      <c r="G76" s="6"/>
      <c r="H76" s="6"/>
      <c r="I76" s="6"/>
      <c r="J76" s="6"/>
      <c r="K76" s="6"/>
      <c r="L76" s="6"/>
      <c r="M76" s="6"/>
      <c r="N76" s="6"/>
      <c r="O76" s="6"/>
      <c r="P76" s="6"/>
      <c r="Q76" s="6"/>
      <c r="R76" s="6"/>
      <c r="S76" s="6"/>
      <c r="T76" s="6"/>
      <c r="U76" s="6"/>
      <c r="V76" s="6"/>
      <c r="W76" s="6"/>
    </row>
    <row r="77" spans="1:23" ht="16" x14ac:dyDescent="0.2">
      <c r="A77" s="6"/>
      <c r="B77" s="7"/>
      <c r="C77" s="7"/>
      <c r="D77" s="7"/>
      <c r="E77" s="7"/>
      <c r="F77" s="6"/>
      <c r="G77" s="6"/>
      <c r="H77" s="6"/>
      <c r="I77" s="6"/>
      <c r="J77" s="6"/>
      <c r="K77" s="6"/>
      <c r="L77" s="6"/>
      <c r="M77" s="6"/>
      <c r="N77" s="6"/>
      <c r="O77" s="6"/>
      <c r="P77" s="6"/>
      <c r="Q77" s="6"/>
      <c r="R77" s="6"/>
      <c r="S77" s="6"/>
      <c r="T77" s="6"/>
      <c r="U77" s="6"/>
      <c r="V77" s="6"/>
      <c r="W77" s="6"/>
    </row>
    <row r="78" spans="1:23" ht="16" x14ac:dyDescent="0.2">
      <c r="A78" s="6"/>
      <c r="B78" s="7"/>
      <c r="C78" s="7"/>
      <c r="D78" s="7"/>
      <c r="E78" s="7"/>
      <c r="F78" s="6"/>
      <c r="G78" s="6"/>
      <c r="H78" s="6"/>
      <c r="I78" s="6"/>
      <c r="J78" s="6"/>
      <c r="K78" s="6"/>
      <c r="L78" s="6"/>
      <c r="M78" s="6"/>
      <c r="N78" s="6"/>
      <c r="O78" s="6"/>
      <c r="P78" s="6"/>
      <c r="Q78" s="6"/>
      <c r="R78" s="6"/>
      <c r="S78" s="6"/>
      <c r="T78" s="6"/>
      <c r="U78" s="6"/>
      <c r="V78" s="6"/>
      <c r="W78" s="6"/>
    </row>
    <row r="79" spans="1:23" ht="16" x14ac:dyDescent="0.2">
      <c r="A79" s="6"/>
      <c r="B79" s="7"/>
      <c r="C79" s="7"/>
      <c r="D79" s="7"/>
      <c r="E79" s="7"/>
      <c r="F79" s="6"/>
      <c r="G79" s="6"/>
      <c r="H79" s="6"/>
      <c r="I79" s="6"/>
      <c r="J79" s="6"/>
      <c r="K79" s="6"/>
      <c r="L79" s="6"/>
      <c r="M79" s="6"/>
      <c r="N79" s="6"/>
      <c r="O79" s="6"/>
      <c r="P79" s="6"/>
      <c r="Q79" s="6"/>
      <c r="R79" s="6"/>
      <c r="S79" s="6"/>
      <c r="T79" s="6"/>
      <c r="U79" s="6"/>
      <c r="V79" s="6"/>
      <c r="W79" s="6"/>
    </row>
    <row r="80" spans="1:23" ht="16" x14ac:dyDescent="0.2">
      <c r="A80" s="6"/>
      <c r="B80" s="7"/>
      <c r="C80" s="7"/>
      <c r="D80" s="7"/>
      <c r="E80" s="7"/>
      <c r="F80" s="6"/>
      <c r="G80" s="6"/>
      <c r="H80" s="6"/>
      <c r="I80" s="6"/>
      <c r="J80" s="6"/>
      <c r="K80" s="6"/>
      <c r="L80" s="6"/>
      <c r="M80" s="6"/>
      <c r="N80" s="6"/>
      <c r="O80" s="6"/>
      <c r="P80" s="6"/>
      <c r="Q80" s="6"/>
      <c r="R80" s="6"/>
      <c r="S80" s="6"/>
      <c r="T80" s="6"/>
      <c r="U80" s="6"/>
      <c r="V80" s="6"/>
      <c r="W80" s="6"/>
    </row>
    <row r="81" spans="1:23" ht="16" x14ac:dyDescent="0.2">
      <c r="A81" s="6"/>
      <c r="B81" s="7"/>
      <c r="C81" s="7"/>
      <c r="D81" s="7"/>
      <c r="E81" s="7"/>
      <c r="F81" s="6"/>
      <c r="G81" s="6"/>
      <c r="H81" s="6"/>
      <c r="I81" s="6"/>
      <c r="J81" s="6"/>
      <c r="K81" s="6"/>
      <c r="L81" s="6"/>
      <c r="M81" s="6"/>
      <c r="N81" s="6"/>
      <c r="O81" s="6"/>
      <c r="P81" s="6"/>
      <c r="Q81" s="6"/>
      <c r="R81" s="6"/>
      <c r="S81" s="6"/>
      <c r="T81" s="6"/>
      <c r="U81" s="6"/>
      <c r="V81" s="6"/>
      <c r="W81" s="6"/>
    </row>
    <row r="82" spans="1:23" ht="16" x14ac:dyDescent="0.2">
      <c r="A82" s="6"/>
      <c r="B82" s="7"/>
      <c r="C82" s="7"/>
      <c r="D82" s="7"/>
      <c r="E82" s="7"/>
      <c r="F82" s="6"/>
      <c r="G82" s="6"/>
      <c r="H82" s="6"/>
      <c r="I82" s="6"/>
      <c r="J82" s="6"/>
      <c r="K82" s="6"/>
      <c r="L82" s="6"/>
      <c r="M82" s="6"/>
      <c r="N82" s="6"/>
      <c r="O82" s="6"/>
      <c r="P82" s="6"/>
      <c r="Q82" s="6"/>
      <c r="R82" s="6"/>
      <c r="S82" s="6"/>
      <c r="T82" s="6"/>
      <c r="U82" s="6"/>
      <c r="V82" s="6"/>
      <c r="W82" s="6"/>
    </row>
    <row r="83" spans="1:23" ht="16" x14ac:dyDescent="0.2">
      <c r="A83" s="6"/>
      <c r="B83" s="7"/>
      <c r="C83" s="7"/>
      <c r="D83" s="7"/>
      <c r="E83" s="7"/>
      <c r="F83" s="6"/>
      <c r="G83" s="6"/>
      <c r="H83" s="6"/>
      <c r="I83" s="6"/>
      <c r="J83" s="6"/>
      <c r="K83" s="6"/>
      <c r="L83" s="6"/>
      <c r="M83" s="6"/>
      <c r="N83" s="6"/>
      <c r="O83" s="6"/>
      <c r="P83" s="6"/>
      <c r="Q83" s="6"/>
      <c r="R83" s="6"/>
      <c r="S83" s="6"/>
      <c r="T83" s="6"/>
      <c r="U83" s="6"/>
      <c r="V83" s="6"/>
      <c r="W83" s="6"/>
    </row>
    <row r="84" spans="1:23" ht="16" x14ac:dyDescent="0.2">
      <c r="A84" s="6"/>
      <c r="B84" s="7"/>
      <c r="C84" s="7"/>
      <c r="D84" s="7"/>
      <c r="E84" s="7"/>
      <c r="F84" s="6"/>
      <c r="G84" s="6"/>
      <c r="H84" s="6"/>
      <c r="I84" s="6"/>
      <c r="J84" s="6"/>
      <c r="K84" s="6"/>
      <c r="L84" s="6"/>
      <c r="M84" s="6"/>
      <c r="N84" s="6"/>
      <c r="O84" s="6"/>
      <c r="P84" s="6"/>
      <c r="Q84" s="6"/>
      <c r="R84" s="6"/>
      <c r="S84" s="6"/>
      <c r="T84" s="6"/>
      <c r="U84" s="6"/>
      <c r="V84" s="6"/>
      <c r="W84" s="6"/>
    </row>
    <row r="85" spans="1:23" ht="16" x14ac:dyDescent="0.2">
      <c r="A85" s="6"/>
      <c r="B85" s="7"/>
      <c r="C85" s="7"/>
      <c r="D85" s="7"/>
      <c r="E85" s="7"/>
      <c r="F85" s="6"/>
      <c r="G85" s="6"/>
      <c r="H85" s="6"/>
      <c r="I85" s="6"/>
      <c r="J85" s="6"/>
      <c r="K85" s="6"/>
      <c r="L85" s="6"/>
      <c r="M85" s="6"/>
      <c r="N85" s="6"/>
      <c r="O85" s="6"/>
      <c r="P85" s="6"/>
      <c r="Q85" s="6"/>
      <c r="R85" s="6"/>
      <c r="S85" s="6"/>
      <c r="T85" s="6"/>
      <c r="U85" s="6"/>
      <c r="V85" s="6"/>
      <c r="W85" s="6"/>
    </row>
    <row r="86" spans="1:23" ht="16" x14ac:dyDescent="0.2">
      <c r="A86" s="6"/>
      <c r="B86" s="7"/>
      <c r="C86" s="7"/>
      <c r="D86" s="7"/>
      <c r="E86" s="7"/>
      <c r="F86" s="6"/>
      <c r="G86" s="6"/>
      <c r="H86" s="6"/>
      <c r="I86" s="6"/>
      <c r="J86" s="6"/>
      <c r="K86" s="6"/>
      <c r="L86" s="6"/>
      <c r="M86" s="6"/>
      <c r="N86" s="6"/>
      <c r="O86" s="6"/>
      <c r="P86" s="6"/>
      <c r="Q86" s="6"/>
      <c r="R86" s="6"/>
      <c r="S86" s="6"/>
      <c r="T86" s="6"/>
      <c r="U86" s="6"/>
      <c r="V86" s="6"/>
      <c r="W86" s="6"/>
    </row>
    <row r="87" spans="1:23" ht="16" x14ac:dyDescent="0.2">
      <c r="A87" s="6"/>
      <c r="B87" s="7"/>
      <c r="C87" s="7"/>
      <c r="D87" s="7"/>
      <c r="E87" s="7"/>
      <c r="F87" s="6"/>
      <c r="G87" s="6"/>
      <c r="H87" s="6"/>
      <c r="I87" s="6"/>
      <c r="J87" s="6"/>
      <c r="K87" s="6"/>
      <c r="L87" s="6"/>
      <c r="M87" s="6"/>
      <c r="N87" s="6"/>
      <c r="O87" s="6"/>
      <c r="P87" s="6"/>
      <c r="Q87" s="6"/>
      <c r="R87" s="6"/>
      <c r="S87" s="6"/>
      <c r="T87" s="6"/>
      <c r="U87" s="6"/>
      <c r="V87" s="6"/>
      <c r="W87" s="6"/>
    </row>
    <row r="88" spans="1:23" ht="16" x14ac:dyDescent="0.2">
      <c r="A88" s="6"/>
      <c r="B88" s="7"/>
      <c r="C88" s="7"/>
      <c r="D88" s="7"/>
      <c r="E88" s="7"/>
      <c r="F88" s="6"/>
      <c r="G88" s="6"/>
      <c r="H88" s="6"/>
      <c r="I88" s="6"/>
      <c r="J88" s="6"/>
      <c r="K88" s="6"/>
      <c r="L88" s="6"/>
      <c r="M88" s="6"/>
      <c r="N88" s="6"/>
      <c r="O88" s="6"/>
      <c r="P88" s="6"/>
      <c r="Q88" s="6"/>
      <c r="R88" s="6"/>
      <c r="S88" s="6"/>
      <c r="T88" s="6"/>
      <c r="U88" s="6"/>
      <c r="V88" s="6"/>
      <c r="W88" s="6"/>
    </row>
    <row r="89" spans="1:23" ht="16" x14ac:dyDescent="0.2">
      <c r="A89" s="6"/>
      <c r="B89" s="7"/>
      <c r="C89" s="7"/>
      <c r="D89" s="7"/>
      <c r="E89" s="7"/>
      <c r="F89" s="6"/>
      <c r="G89" s="6"/>
      <c r="H89" s="6"/>
      <c r="I89" s="6"/>
      <c r="J89" s="6"/>
      <c r="K89" s="6"/>
      <c r="L89" s="6"/>
      <c r="M89" s="6"/>
      <c r="N89" s="6"/>
      <c r="O89" s="6"/>
      <c r="P89" s="6"/>
      <c r="Q89" s="6"/>
      <c r="R89" s="6"/>
      <c r="S89" s="6"/>
      <c r="T89" s="6"/>
      <c r="U89" s="6"/>
      <c r="V89" s="6"/>
      <c r="W89" s="6"/>
    </row>
    <row r="90" spans="1:23" ht="16" x14ac:dyDescent="0.2">
      <c r="A90" s="6"/>
      <c r="B90" s="7"/>
      <c r="C90" s="7"/>
      <c r="D90" s="7"/>
      <c r="E90" s="7"/>
      <c r="F90" s="6"/>
      <c r="G90" s="6"/>
      <c r="H90" s="6"/>
      <c r="I90" s="6"/>
      <c r="J90" s="6"/>
      <c r="K90" s="6"/>
      <c r="L90" s="6"/>
      <c r="M90" s="6"/>
      <c r="N90" s="6"/>
      <c r="O90" s="6"/>
      <c r="P90" s="6"/>
      <c r="Q90" s="6"/>
      <c r="R90" s="6"/>
      <c r="S90" s="6"/>
      <c r="T90" s="6"/>
      <c r="U90" s="6"/>
      <c r="V90" s="6"/>
      <c r="W90" s="6"/>
    </row>
    <row r="91" spans="1:23" ht="16" x14ac:dyDescent="0.2">
      <c r="A91" s="6"/>
      <c r="B91" s="7"/>
      <c r="C91" s="7"/>
      <c r="D91" s="7"/>
      <c r="E91" s="7"/>
      <c r="F91" s="6"/>
      <c r="G91" s="6"/>
      <c r="H91" s="6"/>
      <c r="I91" s="6"/>
      <c r="J91" s="6"/>
      <c r="K91" s="6"/>
      <c r="L91" s="6"/>
      <c r="M91" s="6"/>
      <c r="N91" s="6"/>
      <c r="O91" s="6"/>
      <c r="P91" s="6"/>
      <c r="Q91" s="6"/>
      <c r="R91" s="6"/>
      <c r="S91" s="6"/>
      <c r="T91" s="6"/>
      <c r="U91" s="6"/>
      <c r="V91" s="6"/>
      <c r="W91" s="6"/>
    </row>
    <row r="92" spans="1:23" ht="16" x14ac:dyDescent="0.2">
      <c r="A92" s="6"/>
      <c r="B92" s="7"/>
      <c r="C92" s="7"/>
      <c r="D92" s="7"/>
      <c r="E92" s="7"/>
      <c r="F92" s="6"/>
      <c r="G92" s="6"/>
      <c r="H92" s="6"/>
      <c r="I92" s="6"/>
      <c r="J92" s="6"/>
      <c r="K92" s="6"/>
      <c r="L92" s="6"/>
      <c r="M92" s="6"/>
      <c r="N92" s="6"/>
      <c r="O92" s="6"/>
      <c r="P92" s="6"/>
      <c r="Q92" s="6"/>
      <c r="R92" s="6"/>
      <c r="S92" s="6"/>
      <c r="T92" s="6"/>
      <c r="U92" s="6"/>
      <c r="V92" s="6"/>
      <c r="W92" s="6"/>
    </row>
    <row r="93" spans="1:23" ht="16" x14ac:dyDescent="0.2">
      <c r="A93" s="6"/>
      <c r="B93" s="7"/>
      <c r="C93" s="7"/>
      <c r="D93" s="7"/>
      <c r="E93" s="7"/>
      <c r="F93" s="6"/>
      <c r="G93" s="6"/>
      <c r="H93" s="6"/>
      <c r="I93" s="6"/>
      <c r="J93" s="6"/>
      <c r="K93" s="6"/>
      <c r="L93" s="6"/>
      <c r="M93" s="6"/>
      <c r="N93" s="6"/>
      <c r="O93" s="6"/>
      <c r="P93" s="6"/>
      <c r="Q93" s="6"/>
      <c r="R93" s="6"/>
      <c r="S93" s="6"/>
      <c r="T93" s="6"/>
      <c r="U93" s="6"/>
      <c r="V93" s="6"/>
      <c r="W93" s="6"/>
    </row>
    <row r="94" spans="1:23" ht="16" x14ac:dyDescent="0.2">
      <c r="A94" s="6"/>
      <c r="B94" s="7"/>
      <c r="C94" s="7"/>
      <c r="D94" s="7"/>
      <c r="E94" s="7"/>
      <c r="F94" s="6"/>
      <c r="G94" s="6"/>
      <c r="H94" s="6"/>
      <c r="I94" s="6"/>
      <c r="J94" s="6"/>
      <c r="K94" s="6"/>
      <c r="L94" s="6"/>
      <c r="M94" s="6"/>
      <c r="N94" s="6"/>
      <c r="O94" s="6"/>
      <c r="P94" s="6"/>
      <c r="Q94" s="6"/>
      <c r="R94" s="6"/>
      <c r="S94" s="6"/>
      <c r="T94" s="6"/>
      <c r="U94" s="6"/>
      <c r="V94" s="6"/>
      <c r="W94" s="6"/>
    </row>
    <row r="95" spans="1:23" ht="16" x14ac:dyDescent="0.2">
      <c r="A95" s="6"/>
      <c r="B95" s="7"/>
      <c r="C95" s="7"/>
      <c r="D95" s="7"/>
      <c r="E95" s="7"/>
      <c r="F95" s="6"/>
      <c r="G95" s="6"/>
      <c r="H95" s="6"/>
      <c r="I95" s="6"/>
      <c r="J95" s="6"/>
      <c r="K95" s="6"/>
      <c r="L95" s="6"/>
      <c r="M95" s="6"/>
      <c r="N95" s="6"/>
      <c r="O95" s="6"/>
      <c r="P95" s="6"/>
      <c r="Q95" s="6"/>
      <c r="R95" s="6"/>
      <c r="S95" s="6"/>
      <c r="T95" s="6"/>
      <c r="U95" s="6"/>
      <c r="V95" s="6"/>
      <c r="W95" s="6"/>
    </row>
    <row r="96" spans="1:23" ht="16" x14ac:dyDescent="0.2">
      <c r="A96" s="6"/>
      <c r="B96" s="7"/>
      <c r="C96" s="7"/>
      <c r="D96" s="7"/>
      <c r="E96" s="7"/>
      <c r="F96" s="6"/>
      <c r="G96" s="6"/>
      <c r="H96" s="6"/>
      <c r="I96" s="6"/>
      <c r="J96" s="6"/>
      <c r="K96" s="6"/>
      <c r="L96" s="6"/>
      <c r="M96" s="6"/>
      <c r="N96" s="6"/>
      <c r="O96" s="6"/>
      <c r="P96" s="6"/>
      <c r="Q96" s="6"/>
      <c r="R96" s="6"/>
      <c r="S96" s="6"/>
      <c r="T96" s="6"/>
      <c r="U96" s="6"/>
      <c r="V96" s="6"/>
      <c r="W96" s="6"/>
    </row>
    <row r="97" spans="1:23" ht="16" x14ac:dyDescent="0.2">
      <c r="A97" s="6"/>
      <c r="B97" s="7"/>
      <c r="C97" s="7"/>
      <c r="D97" s="7"/>
      <c r="E97" s="7"/>
      <c r="F97" s="6"/>
      <c r="G97" s="6"/>
      <c r="H97" s="6"/>
      <c r="I97" s="6"/>
      <c r="J97" s="6"/>
      <c r="K97" s="6"/>
      <c r="L97" s="6"/>
      <c r="M97" s="6"/>
      <c r="N97" s="6"/>
      <c r="O97" s="6"/>
      <c r="P97" s="6"/>
      <c r="Q97" s="6"/>
      <c r="R97" s="6"/>
      <c r="S97" s="6"/>
      <c r="T97" s="6"/>
      <c r="U97" s="6"/>
      <c r="V97" s="6"/>
      <c r="W97" s="6"/>
    </row>
    <row r="98" spans="1:23" ht="16" x14ac:dyDescent="0.2">
      <c r="A98" s="6"/>
      <c r="B98" s="7"/>
      <c r="C98" s="7"/>
      <c r="D98" s="7"/>
      <c r="E98" s="7"/>
      <c r="F98" s="6"/>
      <c r="G98" s="6"/>
      <c r="H98" s="6"/>
      <c r="I98" s="6"/>
      <c r="J98" s="6"/>
      <c r="K98" s="6"/>
      <c r="L98" s="6"/>
      <c r="M98" s="6"/>
      <c r="N98" s="6"/>
      <c r="O98" s="6"/>
      <c r="P98" s="6"/>
      <c r="Q98" s="6"/>
      <c r="R98" s="6"/>
      <c r="S98" s="6"/>
      <c r="T98" s="6"/>
      <c r="U98" s="6"/>
      <c r="V98" s="6"/>
      <c r="W98" s="6"/>
    </row>
    <row r="99" spans="1:23" ht="16" x14ac:dyDescent="0.2">
      <c r="A99" s="6"/>
      <c r="B99" s="7"/>
      <c r="C99" s="7"/>
      <c r="D99" s="7"/>
      <c r="E99" s="7"/>
      <c r="F99" s="6"/>
      <c r="G99" s="6"/>
      <c r="H99" s="6"/>
      <c r="I99" s="6"/>
      <c r="J99" s="6"/>
      <c r="K99" s="6"/>
      <c r="L99" s="6"/>
      <c r="M99" s="6"/>
      <c r="N99" s="6"/>
      <c r="O99" s="6"/>
      <c r="P99" s="6"/>
      <c r="Q99" s="6"/>
      <c r="R99" s="6"/>
      <c r="S99" s="6"/>
      <c r="T99" s="6"/>
      <c r="U99" s="6"/>
      <c r="V99" s="6"/>
      <c r="W99" s="6"/>
    </row>
    <row r="100" spans="1:23" ht="16" x14ac:dyDescent="0.2">
      <c r="A100" s="6"/>
      <c r="B100" s="7"/>
      <c r="C100" s="7"/>
      <c r="D100" s="7"/>
      <c r="E100" s="7"/>
      <c r="F100" s="6"/>
      <c r="G100" s="6"/>
      <c r="H100" s="6"/>
      <c r="I100" s="6"/>
      <c r="J100" s="6"/>
      <c r="K100" s="6"/>
      <c r="L100" s="6"/>
      <c r="M100" s="6"/>
      <c r="N100" s="6"/>
      <c r="O100" s="6"/>
      <c r="P100" s="6"/>
      <c r="Q100" s="6"/>
      <c r="R100" s="6"/>
      <c r="S100" s="6"/>
      <c r="T100" s="6"/>
      <c r="U100" s="6"/>
      <c r="V100" s="6"/>
      <c r="W100" s="6"/>
    </row>
    <row r="101" spans="1:23" ht="16" x14ac:dyDescent="0.2">
      <c r="A101" s="6"/>
      <c r="B101" s="7"/>
      <c r="C101" s="7"/>
      <c r="D101" s="7"/>
      <c r="E101" s="7"/>
      <c r="F101" s="6"/>
      <c r="G101" s="6"/>
      <c r="H101" s="6"/>
      <c r="I101" s="6"/>
      <c r="J101" s="6"/>
      <c r="K101" s="6"/>
      <c r="L101" s="6"/>
      <c r="M101" s="6"/>
      <c r="N101" s="6"/>
      <c r="O101" s="6"/>
      <c r="P101" s="6"/>
      <c r="Q101" s="6"/>
      <c r="R101" s="6"/>
      <c r="S101" s="6"/>
      <c r="T101" s="6"/>
      <c r="U101" s="6"/>
      <c r="V101" s="6"/>
      <c r="W101" s="6"/>
    </row>
    <row r="102" spans="1:23" ht="16" x14ac:dyDescent="0.2">
      <c r="A102" s="6"/>
      <c r="B102" s="7"/>
      <c r="C102" s="7"/>
      <c r="D102" s="7"/>
      <c r="E102" s="7"/>
      <c r="F102" s="6"/>
      <c r="G102" s="6"/>
      <c r="H102" s="6"/>
      <c r="I102" s="6"/>
      <c r="J102" s="6"/>
      <c r="K102" s="6"/>
      <c r="L102" s="6"/>
      <c r="M102" s="6"/>
      <c r="N102" s="6"/>
      <c r="O102" s="6"/>
      <c r="P102" s="6"/>
      <c r="Q102" s="6"/>
      <c r="R102" s="6"/>
      <c r="S102" s="6"/>
      <c r="T102" s="6"/>
      <c r="U102" s="6"/>
      <c r="V102" s="6"/>
      <c r="W102" s="6"/>
    </row>
    <row r="103" spans="1:23" ht="16" x14ac:dyDescent="0.2">
      <c r="A103" s="6"/>
      <c r="B103" s="7"/>
      <c r="C103" s="7"/>
      <c r="D103" s="7"/>
      <c r="E103" s="7"/>
      <c r="F103" s="6"/>
      <c r="G103" s="6"/>
      <c r="H103" s="6"/>
      <c r="I103" s="6"/>
      <c r="J103" s="6"/>
      <c r="K103" s="6"/>
      <c r="L103" s="6"/>
      <c r="M103" s="6"/>
      <c r="N103" s="6"/>
      <c r="O103" s="6"/>
      <c r="P103" s="6"/>
      <c r="Q103" s="6"/>
      <c r="R103" s="6"/>
      <c r="S103" s="6"/>
      <c r="T103" s="6"/>
      <c r="U103" s="6"/>
      <c r="V103" s="6"/>
      <c r="W103" s="6"/>
    </row>
    <row r="104" spans="1:23" ht="16" x14ac:dyDescent="0.2">
      <c r="A104" s="6"/>
      <c r="B104" s="7"/>
      <c r="C104" s="7"/>
      <c r="D104" s="7"/>
      <c r="E104" s="7"/>
      <c r="F104" s="6"/>
      <c r="G104" s="6"/>
      <c r="H104" s="6"/>
      <c r="I104" s="6"/>
      <c r="J104" s="6"/>
      <c r="K104" s="6"/>
      <c r="L104" s="6"/>
      <c r="M104" s="6"/>
      <c r="N104" s="6"/>
      <c r="O104" s="6"/>
      <c r="P104" s="6"/>
      <c r="Q104" s="6"/>
      <c r="R104" s="6"/>
      <c r="S104" s="6"/>
      <c r="T104" s="6"/>
      <c r="U104" s="6"/>
      <c r="V104" s="6"/>
      <c r="W104" s="6"/>
    </row>
    <row r="105" spans="1:23" ht="16" x14ac:dyDescent="0.2">
      <c r="A105" s="6"/>
      <c r="B105" s="7"/>
      <c r="C105" s="7"/>
      <c r="D105" s="7"/>
      <c r="E105" s="7"/>
      <c r="F105" s="6"/>
      <c r="G105" s="6"/>
      <c r="H105" s="6"/>
      <c r="I105" s="6"/>
      <c r="J105" s="6"/>
      <c r="K105" s="6"/>
      <c r="L105" s="6"/>
      <c r="M105" s="6"/>
      <c r="N105" s="6"/>
      <c r="O105" s="6"/>
      <c r="P105" s="6"/>
      <c r="Q105" s="6"/>
      <c r="R105" s="6"/>
      <c r="S105" s="6"/>
      <c r="T105" s="6"/>
      <c r="U105" s="6"/>
      <c r="V105" s="6"/>
      <c r="W105" s="6"/>
    </row>
    <row r="106" spans="1:23" ht="16" x14ac:dyDescent="0.2">
      <c r="A106" s="6"/>
      <c r="B106" s="7"/>
      <c r="C106" s="7"/>
      <c r="D106" s="7"/>
      <c r="E106" s="7"/>
      <c r="F106" s="6"/>
      <c r="G106" s="6"/>
      <c r="H106" s="6"/>
      <c r="I106" s="6"/>
      <c r="J106" s="6"/>
      <c r="K106" s="6"/>
      <c r="L106" s="6"/>
      <c r="M106" s="6"/>
      <c r="N106" s="6"/>
      <c r="O106" s="6"/>
      <c r="P106" s="6"/>
      <c r="Q106" s="6"/>
      <c r="R106" s="6"/>
      <c r="S106" s="6"/>
      <c r="T106" s="6"/>
      <c r="U106" s="6"/>
      <c r="V106" s="6"/>
      <c r="W106" s="6"/>
    </row>
    <row r="107" spans="1:23" ht="16" x14ac:dyDescent="0.2">
      <c r="A107" s="6"/>
      <c r="B107" s="7"/>
      <c r="C107" s="7"/>
      <c r="D107" s="7"/>
      <c r="E107" s="7"/>
      <c r="F107" s="6"/>
      <c r="G107" s="6"/>
      <c r="H107" s="6"/>
      <c r="I107" s="6"/>
      <c r="J107" s="6"/>
      <c r="K107" s="6"/>
      <c r="L107" s="6"/>
      <c r="M107" s="6"/>
      <c r="N107" s="6"/>
      <c r="O107" s="6"/>
      <c r="P107" s="6"/>
      <c r="Q107" s="6"/>
      <c r="R107" s="6"/>
      <c r="S107" s="6"/>
      <c r="T107" s="6"/>
      <c r="U107" s="6"/>
      <c r="V107" s="6"/>
      <c r="W107" s="6"/>
    </row>
    <row r="108" spans="1:23" ht="16" x14ac:dyDescent="0.2">
      <c r="A108" s="6"/>
      <c r="B108" s="7"/>
      <c r="C108" s="7"/>
      <c r="D108" s="7"/>
      <c r="E108" s="7"/>
      <c r="F108" s="6"/>
      <c r="G108" s="6"/>
      <c r="H108" s="6"/>
      <c r="I108" s="6"/>
      <c r="J108" s="6"/>
      <c r="K108" s="6"/>
      <c r="L108" s="6"/>
      <c r="M108" s="6"/>
      <c r="N108" s="6"/>
      <c r="O108" s="6"/>
      <c r="P108" s="6"/>
      <c r="Q108" s="6"/>
      <c r="R108" s="6"/>
      <c r="S108" s="6"/>
      <c r="T108" s="6"/>
      <c r="U108" s="6"/>
      <c r="V108" s="6"/>
      <c r="W108" s="6"/>
    </row>
    <row r="109" spans="1:23" ht="16" x14ac:dyDescent="0.2">
      <c r="A109" s="6"/>
      <c r="B109" s="7"/>
      <c r="C109" s="7"/>
      <c r="D109" s="7"/>
      <c r="E109" s="7"/>
      <c r="F109" s="6"/>
      <c r="G109" s="6"/>
      <c r="H109" s="6"/>
      <c r="I109" s="6"/>
      <c r="J109" s="6"/>
      <c r="K109" s="6"/>
      <c r="L109" s="6"/>
      <c r="M109" s="6"/>
      <c r="N109" s="6"/>
      <c r="O109" s="6"/>
      <c r="P109" s="6"/>
      <c r="Q109" s="6"/>
      <c r="R109" s="6"/>
      <c r="S109" s="6"/>
      <c r="T109" s="6"/>
      <c r="U109" s="6"/>
      <c r="V109" s="6"/>
      <c r="W109" s="6"/>
    </row>
    <row r="110" spans="1:23" ht="16" x14ac:dyDescent="0.2">
      <c r="A110" s="6"/>
      <c r="B110" s="7"/>
      <c r="C110" s="7"/>
      <c r="D110" s="7"/>
      <c r="E110" s="7"/>
      <c r="F110" s="6"/>
      <c r="G110" s="6"/>
      <c r="H110" s="6"/>
      <c r="I110" s="6"/>
      <c r="J110" s="6"/>
      <c r="K110" s="6"/>
      <c r="L110" s="6"/>
      <c r="M110" s="6"/>
      <c r="N110" s="6"/>
      <c r="O110" s="6"/>
      <c r="P110" s="6"/>
      <c r="Q110" s="6"/>
      <c r="R110" s="6"/>
      <c r="S110" s="6"/>
      <c r="T110" s="6"/>
      <c r="U110" s="6"/>
      <c r="V110" s="6"/>
      <c r="W110" s="6"/>
    </row>
    <row r="111" spans="1:23" ht="16" x14ac:dyDescent="0.2">
      <c r="A111" s="6"/>
      <c r="B111" s="7"/>
      <c r="C111" s="7"/>
      <c r="D111" s="7"/>
      <c r="E111" s="7"/>
      <c r="F111" s="6"/>
      <c r="G111" s="6"/>
      <c r="H111" s="6"/>
      <c r="I111" s="6"/>
      <c r="J111" s="6"/>
      <c r="K111" s="6"/>
      <c r="L111" s="6"/>
      <c r="M111" s="6"/>
      <c r="N111" s="6"/>
      <c r="O111" s="6"/>
      <c r="P111" s="6"/>
      <c r="Q111" s="6"/>
      <c r="R111" s="6"/>
      <c r="S111" s="6"/>
      <c r="T111" s="6"/>
      <c r="U111" s="6"/>
      <c r="V111" s="6"/>
      <c r="W111" s="6"/>
    </row>
    <row r="112" spans="1:23" ht="16" x14ac:dyDescent="0.2">
      <c r="A112" s="6"/>
      <c r="B112" s="7"/>
      <c r="C112" s="7"/>
      <c r="D112" s="7"/>
      <c r="E112" s="7"/>
      <c r="F112" s="6"/>
      <c r="G112" s="6"/>
      <c r="H112" s="6"/>
      <c r="I112" s="6"/>
      <c r="J112" s="6"/>
      <c r="K112" s="6"/>
      <c r="L112" s="6"/>
      <c r="M112" s="6"/>
      <c r="N112" s="6"/>
      <c r="O112" s="6"/>
      <c r="P112" s="6"/>
      <c r="Q112" s="6"/>
      <c r="R112" s="6"/>
      <c r="S112" s="6"/>
      <c r="T112" s="6"/>
      <c r="U112" s="6"/>
      <c r="V112" s="6"/>
      <c r="W112" s="6"/>
    </row>
    <row r="113" spans="1:23" ht="16" x14ac:dyDescent="0.2">
      <c r="A113" s="6"/>
      <c r="B113" s="7"/>
      <c r="C113" s="7"/>
      <c r="D113" s="7"/>
      <c r="E113" s="7"/>
      <c r="F113" s="6"/>
      <c r="G113" s="6"/>
      <c r="H113" s="6"/>
      <c r="I113" s="6"/>
      <c r="J113" s="6"/>
      <c r="K113" s="6"/>
      <c r="L113" s="6"/>
      <c r="M113" s="6"/>
      <c r="N113" s="6"/>
      <c r="O113" s="6"/>
      <c r="P113" s="6"/>
      <c r="Q113" s="6"/>
      <c r="R113" s="6"/>
      <c r="S113" s="6"/>
      <c r="T113" s="6"/>
      <c r="U113" s="6"/>
      <c r="V113" s="6"/>
      <c r="W113" s="6"/>
    </row>
    <row r="114" spans="1:23" ht="16" x14ac:dyDescent="0.2">
      <c r="A114" s="6"/>
      <c r="B114" s="7"/>
      <c r="C114" s="7"/>
      <c r="D114" s="7"/>
      <c r="E114" s="7"/>
      <c r="F114" s="6"/>
      <c r="G114" s="6"/>
      <c r="H114" s="6"/>
      <c r="I114" s="6"/>
      <c r="J114" s="6"/>
      <c r="K114" s="6"/>
      <c r="L114" s="6"/>
      <c r="M114" s="6"/>
      <c r="N114" s="6"/>
      <c r="O114" s="6"/>
      <c r="P114" s="6"/>
      <c r="Q114" s="6"/>
      <c r="R114" s="6"/>
      <c r="S114" s="6"/>
      <c r="T114" s="6"/>
      <c r="U114" s="6"/>
      <c r="V114" s="6"/>
      <c r="W114" s="6"/>
    </row>
    <row r="115" spans="1:23" ht="16" x14ac:dyDescent="0.2">
      <c r="A115" s="6"/>
      <c r="B115" s="7"/>
      <c r="C115" s="7"/>
      <c r="D115" s="7"/>
      <c r="E115" s="7"/>
      <c r="F115" s="6"/>
      <c r="G115" s="6"/>
      <c r="H115" s="6"/>
      <c r="I115" s="6"/>
      <c r="J115" s="6"/>
      <c r="K115" s="6"/>
      <c r="L115" s="6"/>
      <c r="M115" s="6"/>
      <c r="N115" s="6"/>
      <c r="O115" s="6"/>
      <c r="P115" s="6"/>
      <c r="Q115" s="6"/>
      <c r="R115" s="6"/>
      <c r="S115" s="6"/>
      <c r="T115" s="6"/>
      <c r="U115" s="6"/>
      <c r="V115" s="6"/>
      <c r="W115" s="6"/>
    </row>
    <row r="116" spans="1:23" ht="16" x14ac:dyDescent="0.2">
      <c r="A116" s="6"/>
      <c r="B116" s="7"/>
      <c r="C116" s="7"/>
      <c r="D116" s="7"/>
      <c r="E116" s="7"/>
      <c r="F116" s="6"/>
      <c r="G116" s="6"/>
      <c r="H116" s="6"/>
      <c r="I116" s="6"/>
      <c r="J116" s="6"/>
      <c r="K116" s="6"/>
      <c r="L116" s="6"/>
      <c r="M116" s="6"/>
      <c r="N116" s="6"/>
      <c r="O116" s="6"/>
      <c r="P116" s="6"/>
      <c r="Q116" s="6"/>
      <c r="R116" s="6"/>
      <c r="S116" s="6"/>
      <c r="T116" s="6"/>
      <c r="U116" s="6"/>
      <c r="V116" s="6"/>
      <c r="W116" s="6"/>
    </row>
    <row r="117" spans="1:23" ht="16" x14ac:dyDescent="0.2">
      <c r="A117" s="6"/>
      <c r="B117" s="7"/>
      <c r="C117" s="7"/>
      <c r="D117" s="7"/>
      <c r="E117" s="7"/>
      <c r="F117" s="6"/>
      <c r="G117" s="6"/>
      <c r="H117" s="6"/>
      <c r="I117" s="6"/>
      <c r="J117" s="6"/>
      <c r="K117" s="6"/>
      <c r="L117" s="6"/>
      <c r="M117" s="6"/>
      <c r="N117" s="6"/>
      <c r="O117" s="6"/>
      <c r="P117" s="6"/>
      <c r="Q117" s="6"/>
      <c r="R117" s="6"/>
      <c r="S117" s="6"/>
      <c r="T117" s="6"/>
      <c r="U117" s="6"/>
      <c r="V117" s="6"/>
      <c r="W117" s="6"/>
    </row>
    <row r="118" spans="1:23" ht="16" x14ac:dyDescent="0.2">
      <c r="A118" s="6"/>
      <c r="B118" s="7"/>
      <c r="C118" s="7"/>
      <c r="D118" s="7"/>
      <c r="E118" s="7"/>
      <c r="F118" s="6"/>
      <c r="G118" s="6"/>
      <c r="H118" s="6"/>
      <c r="I118" s="6"/>
      <c r="J118" s="6"/>
      <c r="K118" s="6"/>
      <c r="L118" s="6"/>
      <c r="M118" s="6"/>
      <c r="N118" s="6"/>
      <c r="O118" s="6"/>
      <c r="P118" s="6"/>
      <c r="Q118" s="6"/>
      <c r="R118" s="6"/>
      <c r="S118" s="6"/>
      <c r="T118" s="6"/>
      <c r="U118" s="6"/>
      <c r="V118" s="6"/>
      <c r="W118" s="6"/>
    </row>
    <row r="119" spans="1:23" ht="16" x14ac:dyDescent="0.2">
      <c r="A119" s="6"/>
      <c r="B119" s="7"/>
      <c r="C119" s="7"/>
      <c r="D119" s="7"/>
      <c r="E119" s="7"/>
      <c r="F119" s="6"/>
      <c r="G119" s="6"/>
      <c r="H119" s="6"/>
      <c r="I119" s="6"/>
      <c r="J119" s="6"/>
      <c r="K119" s="6"/>
      <c r="L119" s="6"/>
      <c r="M119" s="6"/>
      <c r="N119" s="6"/>
      <c r="O119" s="6"/>
      <c r="P119" s="6"/>
      <c r="Q119" s="6"/>
      <c r="R119" s="6"/>
      <c r="S119" s="6"/>
      <c r="T119" s="6"/>
      <c r="U119" s="6"/>
      <c r="V119" s="6"/>
      <c r="W119" s="6"/>
    </row>
    <row r="120" spans="1:23" ht="16" x14ac:dyDescent="0.2">
      <c r="A120" s="6"/>
      <c r="B120" s="7"/>
      <c r="C120" s="7"/>
      <c r="D120" s="7"/>
      <c r="E120" s="7"/>
      <c r="F120" s="6"/>
      <c r="G120" s="6"/>
      <c r="H120" s="6"/>
      <c r="I120" s="6"/>
      <c r="J120" s="6"/>
      <c r="K120" s="6"/>
      <c r="L120" s="6"/>
      <c r="M120" s="6"/>
      <c r="N120" s="6"/>
      <c r="O120" s="6"/>
      <c r="P120" s="6"/>
      <c r="Q120" s="6"/>
      <c r="R120" s="6"/>
      <c r="S120" s="6"/>
      <c r="T120" s="6"/>
      <c r="U120" s="6"/>
      <c r="V120" s="6"/>
      <c r="W120" s="6"/>
    </row>
    <row r="121" spans="1:23" ht="16" x14ac:dyDescent="0.2">
      <c r="A121" s="6"/>
      <c r="B121" s="7"/>
      <c r="C121" s="7"/>
      <c r="D121" s="7"/>
      <c r="E121" s="7"/>
      <c r="F121" s="6"/>
      <c r="G121" s="6"/>
      <c r="H121" s="6"/>
      <c r="I121" s="6"/>
      <c r="J121" s="6"/>
      <c r="K121" s="6"/>
      <c r="L121" s="6"/>
      <c r="M121" s="6"/>
      <c r="N121" s="6"/>
      <c r="O121" s="6"/>
      <c r="P121" s="6"/>
      <c r="Q121" s="6"/>
      <c r="R121" s="6"/>
      <c r="S121" s="6"/>
      <c r="T121" s="6"/>
      <c r="U121" s="6"/>
      <c r="V121" s="6"/>
      <c r="W121" s="6"/>
    </row>
    <row r="122" spans="1:23" ht="16" x14ac:dyDescent="0.2">
      <c r="A122" s="6"/>
      <c r="B122" s="7"/>
      <c r="C122" s="7"/>
      <c r="D122" s="7"/>
      <c r="E122" s="7"/>
      <c r="F122" s="6"/>
      <c r="G122" s="6"/>
      <c r="H122" s="6"/>
      <c r="I122" s="6"/>
      <c r="J122" s="6"/>
      <c r="K122" s="6"/>
      <c r="L122" s="6"/>
      <c r="M122" s="6"/>
      <c r="N122" s="6"/>
      <c r="O122" s="6"/>
      <c r="P122" s="6"/>
      <c r="Q122" s="6"/>
      <c r="R122" s="6"/>
      <c r="S122" s="6"/>
      <c r="T122" s="6"/>
      <c r="U122" s="6"/>
      <c r="V122" s="6"/>
      <c r="W122" s="6"/>
    </row>
    <row r="123" spans="1:23" ht="16" x14ac:dyDescent="0.2">
      <c r="A123" s="6"/>
      <c r="B123" s="7"/>
      <c r="C123" s="7"/>
      <c r="D123" s="7"/>
      <c r="E123" s="7"/>
      <c r="F123" s="6"/>
      <c r="G123" s="6"/>
      <c r="H123" s="6"/>
      <c r="I123" s="6"/>
      <c r="J123" s="6"/>
      <c r="K123" s="6"/>
      <c r="L123" s="6"/>
      <c r="M123" s="6"/>
      <c r="N123" s="6"/>
      <c r="O123" s="6"/>
      <c r="P123" s="6"/>
      <c r="Q123" s="6"/>
      <c r="R123" s="6"/>
      <c r="S123" s="6"/>
      <c r="T123" s="6"/>
      <c r="U123" s="6"/>
      <c r="V123" s="6"/>
      <c r="W123" s="6"/>
    </row>
    <row r="124" spans="1:23" ht="16" x14ac:dyDescent="0.2">
      <c r="A124" s="6"/>
      <c r="B124" s="7"/>
      <c r="C124" s="7"/>
      <c r="D124" s="7"/>
      <c r="E124" s="7"/>
      <c r="F124" s="6"/>
      <c r="G124" s="6"/>
      <c r="H124" s="6"/>
      <c r="I124" s="6"/>
      <c r="J124" s="6"/>
      <c r="K124" s="6"/>
      <c r="L124" s="6"/>
      <c r="M124" s="6"/>
      <c r="N124" s="6"/>
      <c r="O124" s="6"/>
      <c r="P124" s="6"/>
      <c r="Q124" s="6"/>
      <c r="R124" s="6"/>
      <c r="S124" s="6"/>
      <c r="T124" s="6"/>
      <c r="U124" s="6"/>
      <c r="V124" s="6"/>
      <c r="W124" s="6"/>
    </row>
    <row r="125" spans="1:23" ht="16" x14ac:dyDescent="0.2">
      <c r="A125" s="6"/>
      <c r="B125" s="7"/>
      <c r="C125" s="7"/>
      <c r="D125" s="7"/>
      <c r="E125" s="7"/>
      <c r="F125" s="6"/>
      <c r="G125" s="6"/>
      <c r="H125" s="6"/>
      <c r="I125" s="6"/>
      <c r="J125" s="6"/>
      <c r="K125" s="6"/>
      <c r="L125" s="6"/>
      <c r="M125" s="6"/>
      <c r="N125" s="6"/>
      <c r="O125" s="6"/>
      <c r="P125" s="6"/>
      <c r="Q125" s="6"/>
      <c r="R125" s="6"/>
      <c r="S125" s="6"/>
      <c r="T125" s="6"/>
      <c r="U125" s="6"/>
      <c r="V125" s="6"/>
      <c r="W125" s="6"/>
    </row>
    <row r="126" spans="1:23" ht="16" x14ac:dyDescent="0.2">
      <c r="A126" s="6"/>
      <c r="B126" s="7"/>
      <c r="C126" s="7"/>
      <c r="D126" s="7"/>
      <c r="E126" s="7"/>
      <c r="F126" s="6"/>
      <c r="G126" s="6"/>
      <c r="H126" s="6"/>
      <c r="I126" s="6"/>
      <c r="J126" s="6"/>
      <c r="K126" s="6"/>
      <c r="L126" s="6"/>
      <c r="M126" s="6"/>
      <c r="N126" s="6"/>
      <c r="O126" s="6"/>
      <c r="P126" s="6"/>
      <c r="Q126" s="6"/>
      <c r="R126" s="6"/>
      <c r="S126" s="6"/>
      <c r="T126" s="6"/>
      <c r="U126" s="6"/>
      <c r="V126" s="6"/>
      <c r="W126" s="6"/>
    </row>
    <row r="127" spans="1:23" ht="16" x14ac:dyDescent="0.2">
      <c r="A127" s="6"/>
      <c r="B127" s="7"/>
      <c r="C127" s="7"/>
      <c r="D127" s="7"/>
      <c r="E127" s="7"/>
      <c r="F127" s="6"/>
      <c r="G127" s="6"/>
      <c r="H127" s="6"/>
      <c r="I127" s="6"/>
      <c r="J127" s="6"/>
      <c r="K127" s="6"/>
      <c r="L127" s="6"/>
      <c r="M127" s="6"/>
      <c r="N127" s="6"/>
      <c r="O127" s="6"/>
      <c r="P127" s="6"/>
      <c r="Q127" s="6"/>
      <c r="R127" s="6"/>
      <c r="S127" s="6"/>
      <c r="T127" s="6"/>
      <c r="U127" s="6"/>
      <c r="V127" s="6"/>
      <c r="W127" s="6"/>
    </row>
    <row r="128" spans="1:23" ht="16" x14ac:dyDescent="0.2">
      <c r="A128" s="6"/>
      <c r="B128" s="7"/>
      <c r="C128" s="7"/>
      <c r="D128" s="7"/>
      <c r="E128" s="7"/>
      <c r="F128" s="6"/>
      <c r="G128" s="6"/>
      <c r="H128" s="6"/>
      <c r="I128" s="6"/>
      <c r="J128" s="6"/>
      <c r="K128" s="6"/>
      <c r="L128" s="6"/>
      <c r="M128" s="6"/>
      <c r="N128" s="6"/>
      <c r="O128" s="6"/>
      <c r="P128" s="6"/>
      <c r="Q128" s="6"/>
      <c r="R128" s="6"/>
      <c r="S128" s="6"/>
      <c r="T128" s="6"/>
      <c r="U128" s="6"/>
      <c r="V128" s="6"/>
      <c r="W128" s="6"/>
    </row>
    <row r="129" spans="1:23" ht="16" x14ac:dyDescent="0.2">
      <c r="A129" s="6"/>
      <c r="B129" s="7"/>
      <c r="C129" s="7"/>
      <c r="D129" s="7"/>
      <c r="E129" s="7"/>
      <c r="F129" s="6"/>
      <c r="G129" s="6"/>
      <c r="H129" s="6"/>
      <c r="I129" s="6"/>
      <c r="J129" s="6"/>
      <c r="K129" s="6"/>
      <c r="L129" s="6"/>
      <c r="M129" s="6"/>
      <c r="N129" s="6"/>
      <c r="O129" s="6"/>
      <c r="P129" s="6"/>
      <c r="Q129" s="6"/>
      <c r="R129" s="6"/>
      <c r="S129" s="6"/>
      <c r="T129" s="6"/>
      <c r="U129" s="6"/>
      <c r="V129" s="6"/>
      <c r="W129" s="6"/>
    </row>
    <row r="130" spans="1:23" ht="16" x14ac:dyDescent="0.2">
      <c r="A130" s="6"/>
      <c r="B130" s="7"/>
      <c r="C130" s="7"/>
      <c r="D130" s="7"/>
      <c r="E130" s="7"/>
      <c r="F130" s="6"/>
      <c r="G130" s="6"/>
      <c r="H130" s="6"/>
      <c r="I130" s="6"/>
      <c r="J130" s="6"/>
      <c r="K130" s="6"/>
      <c r="L130" s="6"/>
      <c r="M130" s="6"/>
      <c r="N130" s="6"/>
      <c r="O130" s="6"/>
      <c r="P130" s="6"/>
      <c r="Q130" s="6"/>
      <c r="R130" s="6"/>
      <c r="S130" s="6"/>
      <c r="T130" s="6"/>
      <c r="U130" s="6"/>
      <c r="V130" s="6"/>
      <c r="W130" s="6"/>
    </row>
    <row r="131" spans="1:23" ht="16" x14ac:dyDescent="0.2">
      <c r="A131" s="6"/>
      <c r="B131" s="7"/>
      <c r="C131" s="7"/>
      <c r="D131" s="7"/>
      <c r="E131" s="7"/>
      <c r="F131" s="6"/>
      <c r="G131" s="6"/>
      <c r="H131" s="6"/>
      <c r="I131" s="6"/>
      <c r="J131" s="6"/>
      <c r="K131" s="6"/>
      <c r="L131" s="6"/>
      <c r="M131" s="6"/>
      <c r="N131" s="6"/>
      <c r="O131" s="6"/>
      <c r="P131" s="6"/>
      <c r="Q131" s="6"/>
      <c r="R131" s="6"/>
      <c r="S131" s="6"/>
      <c r="T131" s="6"/>
      <c r="U131" s="6"/>
      <c r="V131" s="6"/>
      <c r="W131" s="6"/>
    </row>
    <row r="132" spans="1:23" ht="16" x14ac:dyDescent="0.2">
      <c r="A132" s="6"/>
      <c r="B132" s="7"/>
      <c r="C132" s="7"/>
      <c r="D132" s="7"/>
      <c r="E132" s="7"/>
      <c r="F132" s="6"/>
      <c r="G132" s="6"/>
      <c r="H132" s="6"/>
      <c r="I132" s="6"/>
      <c r="J132" s="6"/>
      <c r="K132" s="6"/>
      <c r="L132" s="6"/>
      <c r="M132" s="6"/>
      <c r="N132" s="6"/>
      <c r="O132" s="6"/>
      <c r="P132" s="6"/>
      <c r="Q132" s="6"/>
      <c r="R132" s="6"/>
      <c r="S132" s="6"/>
      <c r="T132" s="6"/>
      <c r="U132" s="6"/>
      <c r="V132" s="6"/>
      <c r="W132" s="6"/>
    </row>
    <row r="133" spans="1:23" ht="16" x14ac:dyDescent="0.2">
      <c r="A133" s="6"/>
      <c r="B133" s="7"/>
      <c r="C133" s="7"/>
      <c r="D133" s="7"/>
      <c r="E133" s="7"/>
      <c r="F133" s="6"/>
      <c r="G133" s="6"/>
      <c r="H133" s="6"/>
      <c r="I133" s="6"/>
      <c r="J133" s="6"/>
      <c r="K133" s="6"/>
      <c r="L133" s="6"/>
      <c r="M133" s="6"/>
      <c r="N133" s="6"/>
      <c r="O133" s="6"/>
      <c r="P133" s="6"/>
      <c r="Q133" s="6"/>
      <c r="R133" s="6"/>
      <c r="S133" s="6"/>
      <c r="T133" s="6"/>
      <c r="U133" s="6"/>
      <c r="V133" s="6"/>
      <c r="W133" s="6"/>
    </row>
    <row r="134" spans="1:23" ht="16" x14ac:dyDescent="0.2">
      <c r="A134" s="6"/>
      <c r="B134" s="7"/>
      <c r="C134" s="7"/>
      <c r="D134" s="7"/>
      <c r="E134" s="7"/>
      <c r="F134" s="6"/>
      <c r="G134" s="6"/>
      <c r="H134" s="6"/>
      <c r="I134" s="6"/>
      <c r="J134" s="6"/>
      <c r="K134" s="6"/>
      <c r="L134" s="6"/>
      <c r="M134" s="6"/>
      <c r="N134" s="6"/>
      <c r="O134" s="6"/>
      <c r="P134" s="6"/>
      <c r="Q134" s="6"/>
      <c r="R134" s="6"/>
      <c r="S134" s="6"/>
      <c r="T134" s="6"/>
      <c r="U134" s="6"/>
      <c r="V134" s="6"/>
      <c r="W134" s="6"/>
    </row>
    <row r="135" spans="1:23" ht="16" x14ac:dyDescent="0.2">
      <c r="A135" s="6"/>
      <c r="B135" s="7"/>
      <c r="C135" s="7"/>
      <c r="D135" s="7"/>
      <c r="E135" s="7"/>
      <c r="F135" s="6"/>
      <c r="G135" s="6"/>
      <c r="H135" s="6"/>
      <c r="I135" s="6"/>
      <c r="J135" s="6"/>
      <c r="K135" s="6"/>
      <c r="L135" s="6"/>
      <c r="M135" s="6"/>
      <c r="N135" s="6"/>
      <c r="O135" s="6"/>
      <c r="P135" s="6"/>
      <c r="Q135" s="6"/>
      <c r="R135" s="6"/>
      <c r="S135" s="6"/>
      <c r="T135" s="6"/>
      <c r="U135" s="6"/>
      <c r="V135" s="6"/>
      <c r="W135" s="6"/>
    </row>
    <row r="136" spans="1:23" ht="16" x14ac:dyDescent="0.2">
      <c r="A136" s="6"/>
      <c r="B136" s="7"/>
      <c r="C136" s="7"/>
      <c r="D136" s="7"/>
      <c r="E136" s="7"/>
      <c r="F136" s="6"/>
      <c r="G136" s="6"/>
      <c r="H136" s="6"/>
      <c r="I136" s="6"/>
      <c r="J136" s="6"/>
      <c r="K136" s="6"/>
      <c r="L136" s="6"/>
      <c r="M136" s="6"/>
      <c r="N136" s="6"/>
      <c r="O136" s="6"/>
      <c r="P136" s="6"/>
      <c r="Q136" s="6"/>
      <c r="R136" s="6"/>
      <c r="S136" s="6"/>
      <c r="T136" s="6"/>
      <c r="U136" s="6"/>
      <c r="V136" s="6"/>
      <c r="W136" s="6"/>
    </row>
    <row r="137" spans="1:23" ht="16" x14ac:dyDescent="0.2">
      <c r="A137" s="6"/>
      <c r="B137" s="7"/>
      <c r="C137" s="7"/>
      <c r="D137" s="7"/>
      <c r="E137" s="7"/>
      <c r="F137" s="6"/>
      <c r="G137" s="6"/>
      <c r="H137" s="6"/>
      <c r="I137" s="6"/>
      <c r="J137" s="6"/>
      <c r="K137" s="6"/>
      <c r="L137" s="6"/>
      <c r="M137" s="6"/>
      <c r="N137" s="6"/>
      <c r="O137" s="6"/>
      <c r="P137" s="6"/>
      <c r="Q137" s="6"/>
      <c r="R137" s="6"/>
      <c r="S137" s="6"/>
      <c r="T137" s="6"/>
      <c r="U137" s="6"/>
      <c r="V137" s="6"/>
      <c r="W137" s="6"/>
    </row>
    <row r="138" spans="1:23" ht="16" x14ac:dyDescent="0.2">
      <c r="A138" s="6"/>
      <c r="B138" s="7"/>
      <c r="C138" s="7"/>
      <c r="D138" s="7"/>
      <c r="E138" s="7"/>
      <c r="F138" s="6"/>
      <c r="G138" s="6"/>
      <c r="H138" s="6"/>
      <c r="I138" s="6"/>
      <c r="J138" s="6"/>
      <c r="K138" s="6"/>
      <c r="L138" s="6"/>
      <c r="M138" s="6"/>
      <c r="N138" s="6"/>
      <c r="O138" s="6"/>
      <c r="P138" s="6"/>
      <c r="Q138" s="6"/>
      <c r="R138" s="6"/>
      <c r="S138" s="6"/>
      <c r="T138" s="6"/>
      <c r="U138" s="6"/>
      <c r="V138" s="6"/>
      <c r="W138" s="6"/>
    </row>
    <row r="139" spans="1:23" ht="16" x14ac:dyDescent="0.2">
      <c r="A139" s="6"/>
      <c r="B139" s="7"/>
      <c r="C139" s="7"/>
      <c r="D139" s="7"/>
      <c r="E139" s="7"/>
      <c r="F139" s="6"/>
      <c r="G139" s="6"/>
      <c r="H139" s="6"/>
      <c r="I139" s="6"/>
      <c r="J139" s="6"/>
      <c r="K139" s="6"/>
      <c r="L139" s="6"/>
      <c r="M139" s="6"/>
      <c r="N139" s="6"/>
      <c r="O139" s="6"/>
      <c r="P139" s="6"/>
      <c r="Q139" s="6"/>
      <c r="R139" s="6"/>
      <c r="S139" s="6"/>
      <c r="T139" s="6"/>
      <c r="U139" s="6"/>
      <c r="V139" s="6"/>
      <c r="W139" s="6"/>
    </row>
    <row r="140" spans="1:23" ht="16" x14ac:dyDescent="0.2">
      <c r="A140" s="6"/>
      <c r="B140" s="7"/>
      <c r="C140" s="7"/>
      <c r="D140" s="7"/>
      <c r="E140" s="7"/>
      <c r="F140" s="6"/>
      <c r="G140" s="6"/>
      <c r="H140" s="6"/>
      <c r="I140" s="6"/>
      <c r="J140" s="6"/>
      <c r="K140" s="6"/>
      <c r="L140" s="6"/>
      <c r="M140" s="6"/>
      <c r="N140" s="6"/>
      <c r="O140" s="6"/>
      <c r="P140" s="6"/>
      <c r="Q140" s="6"/>
      <c r="R140" s="6"/>
      <c r="S140" s="6"/>
      <c r="T140" s="6"/>
      <c r="U140" s="6"/>
      <c r="V140" s="6"/>
      <c r="W140" s="6"/>
    </row>
    <row r="141" spans="1:23" ht="16" x14ac:dyDescent="0.2">
      <c r="A141" s="6"/>
      <c r="B141" s="7"/>
      <c r="C141" s="7"/>
      <c r="D141" s="7"/>
      <c r="E141" s="7"/>
      <c r="F141" s="6"/>
      <c r="G141" s="6"/>
      <c r="H141" s="6"/>
      <c r="I141" s="6"/>
      <c r="J141" s="6"/>
      <c r="K141" s="6"/>
      <c r="L141" s="6"/>
      <c r="M141" s="6"/>
      <c r="N141" s="6"/>
      <c r="O141" s="6"/>
      <c r="P141" s="6"/>
      <c r="Q141" s="6"/>
      <c r="R141" s="6"/>
      <c r="S141" s="6"/>
      <c r="T141" s="6"/>
      <c r="U141" s="6"/>
      <c r="V141" s="6"/>
      <c r="W141" s="6"/>
    </row>
    <row r="142" spans="1:23" ht="16" x14ac:dyDescent="0.2">
      <c r="A142" s="6"/>
      <c r="B142" s="7"/>
      <c r="C142" s="7"/>
      <c r="D142" s="7"/>
      <c r="E142" s="7"/>
      <c r="F142" s="6"/>
      <c r="G142" s="6"/>
      <c r="H142" s="6"/>
      <c r="I142" s="6"/>
      <c r="J142" s="6"/>
      <c r="K142" s="6"/>
      <c r="L142" s="6"/>
      <c r="M142" s="6"/>
      <c r="N142" s="6"/>
      <c r="O142" s="6"/>
      <c r="P142" s="6"/>
      <c r="Q142" s="6"/>
      <c r="R142" s="6"/>
      <c r="S142" s="6"/>
      <c r="T142" s="6"/>
      <c r="U142" s="6"/>
      <c r="V142" s="6"/>
      <c r="W142" s="6"/>
    </row>
    <row r="143" spans="1:23" ht="16" x14ac:dyDescent="0.2">
      <c r="A143" s="6"/>
      <c r="B143" s="7"/>
      <c r="C143" s="7"/>
      <c r="D143" s="7"/>
      <c r="E143" s="7"/>
      <c r="F143" s="6"/>
      <c r="G143" s="6"/>
      <c r="H143" s="6"/>
      <c r="I143" s="6"/>
      <c r="J143" s="6"/>
      <c r="K143" s="6"/>
      <c r="L143" s="6"/>
      <c r="M143" s="6"/>
      <c r="N143" s="6"/>
      <c r="O143" s="6"/>
      <c r="P143" s="6"/>
      <c r="Q143" s="6"/>
      <c r="R143" s="6"/>
      <c r="S143" s="6"/>
      <c r="T143" s="6"/>
      <c r="U143" s="6"/>
      <c r="V143" s="6"/>
      <c r="W143" s="6"/>
    </row>
    <row r="144" spans="1:23" ht="16" x14ac:dyDescent="0.2">
      <c r="A144" s="6"/>
      <c r="B144" s="7"/>
      <c r="C144" s="7"/>
      <c r="D144" s="7"/>
      <c r="E144" s="7"/>
      <c r="F144" s="6"/>
      <c r="G144" s="6"/>
      <c r="H144" s="6"/>
      <c r="I144" s="6"/>
      <c r="J144" s="6"/>
      <c r="K144" s="6"/>
      <c r="L144" s="6"/>
      <c r="M144" s="6"/>
      <c r="N144" s="6"/>
      <c r="O144" s="6"/>
      <c r="P144" s="6"/>
      <c r="Q144" s="6"/>
      <c r="R144" s="6"/>
      <c r="S144" s="6"/>
      <c r="T144" s="6"/>
      <c r="U144" s="6"/>
      <c r="V144" s="6"/>
      <c r="W144" s="6"/>
    </row>
    <row r="145" spans="1:23" ht="16" x14ac:dyDescent="0.2">
      <c r="A145" s="6"/>
      <c r="B145" s="7"/>
      <c r="C145" s="7"/>
      <c r="D145" s="7"/>
      <c r="E145" s="7"/>
      <c r="F145" s="6"/>
      <c r="G145" s="6"/>
      <c r="H145" s="6"/>
      <c r="I145" s="6"/>
      <c r="J145" s="6"/>
      <c r="K145" s="6"/>
      <c r="L145" s="6"/>
      <c r="M145" s="6"/>
      <c r="N145" s="6"/>
      <c r="O145" s="6"/>
      <c r="P145" s="6"/>
      <c r="Q145" s="6"/>
      <c r="R145" s="6"/>
      <c r="S145" s="6"/>
      <c r="T145" s="6"/>
      <c r="U145" s="6"/>
      <c r="V145" s="6"/>
      <c r="W145" s="6"/>
    </row>
    <row r="146" spans="1:23" ht="16" x14ac:dyDescent="0.2">
      <c r="A146" s="6"/>
      <c r="B146" s="7"/>
      <c r="C146" s="7"/>
      <c r="D146" s="7"/>
      <c r="E146" s="7"/>
      <c r="F146" s="6"/>
      <c r="G146" s="6"/>
      <c r="H146" s="6"/>
      <c r="I146" s="6"/>
      <c r="J146" s="6"/>
      <c r="K146" s="6"/>
      <c r="L146" s="6"/>
      <c r="M146" s="6"/>
      <c r="N146" s="6"/>
      <c r="O146" s="6"/>
      <c r="P146" s="6"/>
      <c r="Q146" s="6"/>
      <c r="R146" s="6"/>
      <c r="S146" s="6"/>
      <c r="T146" s="6"/>
      <c r="U146" s="6"/>
      <c r="V146" s="6"/>
      <c r="W146" s="6"/>
    </row>
    <row r="147" spans="1:23" ht="16" x14ac:dyDescent="0.2">
      <c r="A147" s="6"/>
      <c r="B147" s="7"/>
      <c r="C147" s="7"/>
      <c r="D147" s="7"/>
      <c r="E147" s="7"/>
      <c r="F147" s="6"/>
      <c r="G147" s="6"/>
      <c r="H147" s="6"/>
      <c r="I147" s="6"/>
      <c r="J147" s="6"/>
      <c r="K147" s="6"/>
      <c r="L147" s="6"/>
      <c r="M147" s="6"/>
      <c r="N147" s="6"/>
      <c r="O147" s="6"/>
      <c r="P147" s="6"/>
      <c r="Q147" s="6"/>
      <c r="R147" s="6"/>
      <c r="S147" s="6"/>
      <c r="T147" s="6"/>
      <c r="U147" s="6"/>
      <c r="V147" s="6"/>
      <c r="W147" s="6"/>
    </row>
    <row r="148" spans="1:23" ht="16" x14ac:dyDescent="0.2">
      <c r="A148" s="6"/>
      <c r="B148" s="7"/>
      <c r="C148" s="7"/>
      <c r="D148" s="7"/>
      <c r="E148" s="7"/>
      <c r="F148" s="6"/>
      <c r="G148" s="6"/>
      <c r="H148" s="6"/>
      <c r="I148" s="6"/>
      <c r="J148" s="6"/>
      <c r="K148" s="6"/>
      <c r="L148" s="6"/>
      <c r="M148" s="6"/>
      <c r="N148" s="6"/>
      <c r="O148" s="6"/>
      <c r="P148" s="6"/>
      <c r="Q148" s="6"/>
      <c r="R148" s="6"/>
      <c r="S148" s="6"/>
      <c r="T148" s="6"/>
      <c r="U148" s="6"/>
      <c r="V148" s="6"/>
      <c r="W148" s="6"/>
    </row>
    <row r="149" spans="1:23" ht="16" x14ac:dyDescent="0.2">
      <c r="A149" s="6"/>
      <c r="B149" s="7"/>
      <c r="C149" s="7"/>
      <c r="D149" s="7"/>
      <c r="E149" s="7"/>
      <c r="F149" s="6"/>
      <c r="G149" s="6"/>
      <c r="H149" s="6"/>
      <c r="I149" s="6"/>
      <c r="J149" s="6"/>
      <c r="K149" s="6"/>
      <c r="L149" s="6"/>
      <c r="M149" s="6"/>
      <c r="N149" s="6"/>
      <c r="O149" s="6"/>
      <c r="P149" s="6"/>
      <c r="Q149" s="6"/>
      <c r="R149" s="6"/>
      <c r="S149" s="6"/>
      <c r="T149" s="6"/>
      <c r="U149" s="6"/>
      <c r="V149" s="6"/>
      <c r="W149" s="6"/>
    </row>
    <row r="150" spans="1:23" ht="16" x14ac:dyDescent="0.2">
      <c r="A150" s="6"/>
      <c r="B150" s="7"/>
      <c r="C150" s="7"/>
      <c r="D150" s="7"/>
      <c r="E150" s="7"/>
      <c r="F150" s="6"/>
      <c r="G150" s="6"/>
      <c r="H150" s="6"/>
      <c r="I150" s="6"/>
      <c r="J150" s="6"/>
      <c r="K150" s="6"/>
      <c r="L150" s="6"/>
      <c r="M150" s="6"/>
      <c r="N150" s="6"/>
      <c r="O150" s="6"/>
      <c r="P150" s="6"/>
      <c r="Q150" s="6"/>
      <c r="R150" s="6"/>
      <c r="S150" s="6"/>
      <c r="T150" s="6"/>
      <c r="U150" s="6"/>
      <c r="V150" s="6"/>
      <c r="W150" s="6"/>
    </row>
    <row r="151" spans="1:23" ht="16" x14ac:dyDescent="0.2">
      <c r="A151" s="6"/>
      <c r="B151" s="7"/>
      <c r="C151" s="7"/>
      <c r="D151" s="7"/>
      <c r="E151" s="7"/>
      <c r="F151" s="6"/>
      <c r="G151" s="6"/>
      <c r="H151" s="6"/>
      <c r="I151" s="6"/>
      <c r="J151" s="6"/>
      <c r="K151" s="6"/>
      <c r="L151" s="6"/>
      <c r="M151" s="6"/>
      <c r="N151" s="6"/>
      <c r="O151" s="6"/>
      <c r="P151" s="6"/>
      <c r="Q151" s="6"/>
      <c r="R151" s="6"/>
      <c r="S151" s="6"/>
      <c r="T151" s="6"/>
      <c r="U151" s="6"/>
      <c r="V151" s="6"/>
      <c r="W151" s="6"/>
    </row>
    <row r="152" spans="1:23" ht="16" x14ac:dyDescent="0.2">
      <c r="A152" s="6"/>
      <c r="B152" s="7"/>
      <c r="C152" s="7"/>
      <c r="D152" s="7"/>
      <c r="E152" s="7"/>
      <c r="F152" s="6"/>
      <c r="G152" s="6"/>
      <c r="H152" s="6"/>
      <c r="I152" s="6"/>
      <c r="J152" s="6"/>
      <c r="K152" s="6"/>
      <c r="L152" s="6"/>
      <c r="M152" s="6"/>
      <c r="N152" s="6"/>
      <c r="O152" s="6"/>
      <c r="P152" s="6"/>
      <c r="Q152" s="6"/>
      <c r="R152" s="6"/>
      <c r="S152" s="6"/>
      <c r="T152" s="6"/>
      <c r="U152" s="6"/>
      <c r="V152" s="6"/>
      <c r="W152" s="6"/>
    </row>
    <row r="153" spans="1:23" ht="16" x14ac:dyDescent="0.2">
      <c r="A153" s="6"/>
      <c r="B153" s="7"/>
      <c r="C153" s="7"/>
      <c r="D153" s="7"/>
      <c r="E153" s="7"/>
      <c r="F153" s="6"/>
      <c r="G153" s="6"/>
      <c r="H153" s="6"/>
      <c r="I153" s="6"/>
      <c r="J153" s="6"/>
      <c r="K153" s="6"/>
      <c r="L153" s="6"/>
      <c r="M153" s="6"/>
      <c r="N153" s="6"/>
      <c r="O153" s="6"/>
      <c r="P153" s="6"/>
      <c r="Q153" s="6"/>
      <c r="R153" s="6"/>
      <c r="S153" s="6"/>
      <c r="T153" s="6"/>
      <c r="U153" s="6"/>
      <c r="V153" s="6"/>
      <c r="W153" s="6"/>
    </row>
    <row r="154" spans="1:23" ht="16" x14ac:dyDescent="0.2">
      <c r="A154" s="6"/>
      <c r="B154" s="7"/>
      <c r="C154" s="7"/>
      <c r="D154" s="7"/>
      <c r="E154" s="7"/>
      <c r="F154" s="6"/>
      <c r="G154" s="6"/>
      <c r="H154" s="6"/>
      <c r="I154" s="6"/>
      <c r="J154" s="6"/>
      <c r="K154" s="6"/>
      <c r="L154" s="6"/>
      <c r="M154" s="6"/>
      <c r="N154" s="6"/>
      <c r="O154" s="6"/>
      <c r="P154" s="6"/>
      <c r="Q154" s="6"/>
      <c r="R154" s="6"/>
      <c r="S154" s="6"/>
      <c r="T154" s="6"/>
      <c r="U154" s="6"/>
      <c r="V154" s="6"/>
      <c r="W154" s="6"/>
    </row>
    <row r="155" spans="1:23" ht="16" x14ac:dyDescent="0.2">
      <c r="A155" s="6"/>
      <c r="B155" s="7"/>
      <c r="C155" s="7"/>
      <c r="D155" s="7"/>
      <c r="E155" s="7"/>
      <c r="F155" s="6"/>
      <c r="G155" s="6"/>
      <c r="H155" s="6"/>
      <c r="I155" s="6"/>
      <c r="J155" s="6"/>
      <c r="K155" s="6"/>
      <c r="L155" s="6"/>
      <c r="M155" s="6"/>
      <c r="N155" s="6"/>
      <c r="O155" s="6"/>
      <c r="P155" s="6"/>
      <c r="Q155" s="6"/>
      <c r="R155" s="6"/>
      <c r="S155" s="6"/>
      <c r="T155" s="6"/>
      <c r="U155" s="6"/>
      <c r="V155" s="6"/>
      <c r="W155" s="6"/>
    </row>
    <row r="156" spans="1:23" ht="16" x14ac:dyDescent="0.2">
      <c r="A156" s="6"/>
      <c r="B156" s="7"/>
      <c r="C156" s="7"/>
      <c r="D156" s="7"/>
      <c r="E156" s="7"/>
      <c r="F156" s="6"/>
      <c r="G156" s="6"/>
      <c r="H156" s="6"/>
      <c r="I156" s="6"/>
      <c r="J156" s="6"/>
      <c r="K156" s="6"/>
      <c r="L156" s="6"/>
      <c r="M156" s="6"/>
      <c r="N156" s="6"/>
      <c r="O156" s="6"/>
      <c r="P156" s="6"/>
      <c r="Q156" s="6"/>
      <c r="R156" s="6"/>
      <c r="S156" s="6"/>
      <c r="T156" s="6"/>
      <c r="U156" s="6"/>
      <c r="V156" s="6"/>
      <c r="W156" s="6"/>
    </row>
    <row r="157" spans="1:23" ht="16" x14ac:dyDescent="0.2">
      <c r="A157" s="6"/>
      <c r="B157" s="7"/>
      <c r="C157" s="7"/>
      <c r="D157" s="7"/>
      <c r="E157" s="7"/>
      <c r="F157" s="6"/>
      <c r="G157" s="6"/>
      <c r="H157" s="6"/>
      <c r="I157" s="6"/>
      <c r="J157" s="6"/>
      <c r="K157" s="6"/>
      <c r="L157" s="6"/>
      <c r="M157" s="6"/>
      <c r="N157" s="6"/>
      <c r="O157" s="6"/>
      <c r="P157" s="6"/>
      <c r="Q157" s="6"/>
      <c r="R157" s="6"/>
      <c r="S157" s="6"/>
      <c r="T157" s="6"/>
      <c r="U157" s="6"/>
      <c r="V157" s="6"/>
      <c r="W157" s="6"/>
    </row>
    <row r="158" spans="1:23" ht="16" x14ac:dyDescent="0.2">
      <c r="A158" s="6"/>
      <c r="B158" s="7"/>
      <c r="C158" s="7"/>
      <c r="D158" s="7"/>
      <c r="E158" s="7"/>
      <c r="F158" s="6"/>
      <c r="G158" s="6"/>
      <c r="H158" s="6"/>
      <c r="I158" s="6"/>
      <c r="J158" s="6"/>
      <c r="K158" s="6"/>
      <c r="L158" s="6"/>
      <c r="M158" s="6"/>
      <c r="N158" s="6"/>
      <c r="O158" s="6"/>
      <c r="P158" s="6"/>
      <c r="Q158" s="6"/>
      <c r="R158" s="6"/>
      <c r="S158" s="6"/>
      <c r="T158" s="6"/>
      <c r="U158" s="6"/>
      <c r="V158" s="6"/>
      <c r="W158" s="6"/>
    </row>
    <row r="159" spans="1:23" ht="16" x14ac:dyDescent="0.2">
      <c r="A159" s="6"/>
      <c r="B159" s="7"/>
      <c r="C159" s="7"/>
      <c r="D159" s="7"/>
      <c r="E159" s="7"/>
      <c r="F159" s="6"/>
      <c r="G159" s="6"/>
      <c r="H159" s="6"/>
      <c r="I159" s="6"/>
      <c r="J159" s="6"/>
      <c r="K159" s="6"/>
      <c r="L159" s="6"/>
      <c r="M159" s="6"/>
      <c r="N159" s="6"/>
      <c r="O159" s="6"/>
      <c r="P159" s="6"/>
      <c r="Q159" s="6"/>
      <c r="R159" s="6"/>
      <c r="S159" s="6"/>
      <c r="T159" s="6"/>
      <c r="U159" s="6"/>
      <c r="V159" s="6"/>
      <c r="W159" s="6"/>
    </row>
    <row r="160" spans="1:23" ht="16" x14ac:dyDescent="0.2">
      <c r="A160" s="6"/>
      <c r="B160" s="7"/>
      <c r="C160" s="7"/>
      <c r="D160" s="7"/>
      <c r="E160" s="7"/>
      <c r="F160" s="6"/>
      <c r="G160" s="6"/>
      <c r="H160" s="6"/>
      <c r="I160" s="6"/>
      <c r="J160" s="6"/>
      <c r="K160" s="6"/>
      <c r="L160" s="6"/>
      <c r="M160" s="6"/>
      <c r="N160" s="6"/>
      <c r="O160" s="6"/>
      <c r="P160" s="6"/>
      <c r="Q160" s="6"/>
      <c r="R160" s="6"/>
      <c r="S160" s="6"/>
      <c r="T160" s="6"/>
      <c r="U160" s="6"/>
      <c r="V160" s="6"/>
      <c r="W160" s="6"/>
    </row>
    <row r="161" spans="1:23" ht="16" x14ac:dyDescent="0.2">
      <c r="A161" s="6"/>
      <c r="B161" s="7"/>
      <c r="C161" s="7"/>
      <c r="D161" s="7"/>
      <c r="E161" s="7"/>
      <c r="F161" s="6"/>
      <c r="G161" s="6"/>
      <c r="H161" s="6"/>
      <c r="I161" s="6"/>
      <c r="J161" s="6"/>
      <c r="K161" s="6"/>
      <c r="L161" s="6"/>
      <c r="M161" s="6"/>
      <c r="N161" s="6"/>
      <c r="O161" s="6"/>
      <c r="P161" s="6"/>
      <c r="Q161" s="6"/>
      <c r="R161" s="6"/>
      <c r="S161" s="6"/>
      <c r="T161" s="6"/>
      <c r="U161" s="6"/>
      <c r="V161" s="6"/>
      <c r="W161" s="6"/>
    </row>
    <row r="162" spans="1:23" ht="16" x14ac:dyDescent="0.2">
      <c r="A162" s="6"/>
      <c r="B162" s="7"/>
      <c r="C162" s="7"/>
      <c r="D162" s="7"/>
      <c r="E162" s="7"/>
      <c r="F162" s="6"/>
      <c r="G162" s="6"/>
      <c r="H162" s="6"/>
      <c r="I162" s="6"/>
      <c r="J162" s="6"/>
      <c r="K162" s="6"/>
      <c r="L162" s="6"/>
      <c r="M162" s="6"/>
      <c r="N162" s="6"/>
      <c r="O162" s="6"/>
      <c r="P162" s="6"/>
      <c r="Q162" s="6"/>
      <c r="R162" s="6"/>
      <c r="S162" s="6"/>
      <c r="T162" s="6"/>
      <c r="U162" s="6"/>
      <c r="V162" s="6"/>
      <c r="W162" s="6"/>
    </row>
    <row r="163" spans="1:23" ht="16" x14ac:dyDescent="0.2">
      <c r="A163" s="6"/>
      <c r="B163" s="7"/>
      <c r="C163" s="7"/>
      <c r="D163" s="7"/>
      <c r="E163" s="7"/>
      <c r="F163" s="6"/>
      <c r="G163" s="6"/>
      <c r="H163" s="6"/>
      <c r="I163" s="6"/>
      <c r="J163" s="6"/>
      <c r="K163" s="6"/>
      <c r="L163" s="6"/>
      <c r="M163" s="6"/>
      <c r="N163" s="6"/>
      <c r="O163" s="6"/>
      <c r="P163" s="6"/>
      <c r="Q163" s="6"/>
      <c r="R163" s="6"/>
      <c r="S163" s="6"/>
      <c r="T163" s="6"/>
      <c r="U163" s="6"/>
      <c r="V163" s="6"/>
      <c r="W163" s="6"/>
    </row>
    <row r="164" spans="1:23" ht="16" x14ac:dyDescent="0.2">
      <c r="A164" s="6"/>
      <c r="B164" s="7"/>
      <c r="C164" s="7"/>
      <c r="D164" s="7"/>
      <c r="E164" s="7"/>
      <c r="F164" s="6"/>
      <c r="G164" s="6"/>
      <c r="H164" s="6"/>
      <c r="I164" s="6"/>
      <c r="J164" s="6"/>
      <c r="K164" s="6"/>
      <c r="L164" s="6"/>
      <c r="M164" s="6"/>
      <c r="N164" s="6"/>
      <c r="O164" s="6"/>
      <c r="P164" s="6"/>
      <c r="Q164" s="6"/>
      <c r="R164" s="6"/>
      <c r="S164" s="6"/>
      <c r="T164" s="6"/>
      <c r="U164" s="6"/>
      <c r="V164" s="6"/>
      <c r="W164" s="6"/>
    </row>
    <row r="165" spans="1:23" ht="16" x14ac:dyDescent="0.2">
      <c r="A165" s="6"/>
      <c r="B165" s="7"/>
      <c r="C165" s="7"/>
      <c r="D165" s="7"/>
      <c r="E165" s="7"/>
      <c r="F165" s="6"/>
      <c r="G165" s="6"/>
      <c r="H165" s="6"/>
      <c r="I165" s="6"/>
      <c r="J165" s="6"/>
      <c r="K165" s="6"/>
      <c r="L165" s="6"/>
      <c r="M165" s="6"/>
      <c r="N165" s="6"/>
      <c r="O165" s="6"/>
      <c r="P165" s="6"/>
      <c r="Q165" s="6"/>
      <c r="R165" s="6"/>
      <c r="S165" s="6"/>
      <c r="T165" s="6"/>
      <c r="U165" s="6"/>
      <c r="V165" s="6"/>
      <c r="W165" s="6"/>
    </row>
    <row r="166" spans="1:23" ht="16" x14ac:dyDescent="0.2">
      <c r="A166" s="6"/>
      <c r="B166" s="7"/>
      <c r="C166" s="7"/>
      <c r="D166" s="7"/>
      <c r="E166" s="7"/>
      <c r="F166" s="6"/>
      <c r="G166" s="6"/>
      <c r="H166" s="6"/>
      <c r="I166" s="6"/>
      <c r="J166" s="6"/>
      <c r="K166" s="6"/>
      <c r="L166" s="6"/>
      <c r="M166" s="6"/>
      <c r="N166" s="6"/>
      <c r="O166" s="6"/>
      <c r="P166" s="6"/>
      <c r="Q166" s="6"/>
      <c r="R166" s="6"/>
      <c r="S166" s="6"/>
      <c r="T166" s="6"/>
      <c r="U166" s="6"/>
      <c r="V166" s="6"/>
      <c r="W166" s="6"/>
    </row>
    <row r="167" spans="1:23" ht="16" x14ac:dyDescent="0.2">
      <c r="A167" s="6"/>
      <c r="B167" s="7"/>
      <c r="C167" s="7"/>
      <c r="D167" s="7"/>
      <c r="E167" s="7"/>
      <c r="F167" s="6"/>
      <c r="G167" s="6"/>
      <c r="H167" s="6"/>
      <c r="I167" s="6"/>
      <c r="J167" s="6"/>
      <c r="K167" s="6"/>
      <c r="L167" s="6"/>
      <c r="M167" s="6"/>
      <c r="N167" s="6"/>
      <c r="O167" s="6"/>
      <c r="P167" s="6"/>
      <c r="Q167" s="6"/>
      <c r="R167" s="6"/>
      <c r="S167" s="6"/>
      <c r="T167" s="6"/>
      <c r="U167" s="6"/>
      <c r="V167" s="6"/>
      <c r="W167" s="6"/>
    </row>
    <row r="168" spans="1:23" ht="16" x14ac:dyDescent="0.2">
      <c r="A168" s="6"/>
      <c r="B168" s="7"/>
      <c r="C168" s="7"/>
      <c r="D168" s="7"/>
      <c r="E168" s="7"/>
      <c r="F168" s="6"/>
      <c r="G168" s="6"/>
      <c r="H168" s="6"/>
      <c r="I168" s="6"/>
      <c r="J168" s="6"/>
      <c r="K168" s="6"/>
      <c r="L168" s="6"/>
      <c r="M168" s="6"/>
      <c r="N168" s="6"/>
      <c r="O168" s="6"/>
      <c r="P168" s="6"/>
      <c r="Q168" s="6"/>
      <c r="R168" s="6"/>
      <c r="S168" s="6"/>
      <c r="T168" s="6"/>
      <c r="U168" s="6"/>
      <c r="V168" s="6"/>
      <c r="W168" s="6"/>
    </row>
    <row r="169" spans="1:23" ht="16" x14ac:dyDescent="0.2">
      <c r="A169" s="6"/>
      <c r="B169" s="7"/>
      <c r="C169" s="7"/>
      <c r="D169" s="7"/>
      <c r="E169" s="7"/>
      <c r="F169" s="6"/>
      <c r="G169" s="6"/>
      <c r="H169" s="6"/>
      <c r="I169" s="6"/>
      <c r="J169" s="6"/>
      <c r="K169" s="6"/>
      <c r="L169" s="6"/>
      <c r="M169" s="6"/>
      <c r="N169" s="6"/>
      <c r="O169" s="6"/>
      <c r="P169" s="6"/>
      <c r="Q169" s="6"/>
      <c r="R169" s="6"/>
      <c r="S169" s="6"/>
      <c r="T169" s="6"/>
      <c r="U169" s="6"/>
      <c r="V169" s="6"/>
      <c r="W169" s="6"/>
    </row>
    <row r="170" spans="1:23" ht="16" x14ac:dyDescent="0.2">
      <c r="A170" s="6"/>
      <c r="B170" s="7"/>
      <c r="C170" s="7"/>
      <c r="D170" s="7"/>
      <c r="E170" s="7"/>
      <c r="F170" s="6"/>
      <c r="G170" s="6"/>
      <c r="H170" s="6"/>
      <c r="I170" s="6"/>
      <c r="J170" s="6"/>
      <c r="K170" s="6"/>
      <c r="L170" s="6"/>
      <c r="M170" s="6"/>
      <c r="N170" s="6"/>
      <c r="O170" s="6"/>
      <c r="P170" s="6"/>
      <c r="Q170" s="6"/>
      <c r="R170" s="6"/>
      <c r="S170" s="6"/>
      <c r="T170" s="6"/>
      <c r="U170" s="6"/>
      <c r="V170" s="6"/>
      <c r="W170" s="6"/>
    </row>
    <row r="171" spans="1:23" ht="16" x14ac:dyDescent="0.2">
      <c r="A171" s="6"/>
      <c r="B171" s="7"/>
      <c r="C171" s="7"/>
      <c r="D171" s="7"/>
      <c r="E171" s="7"/>
      <c r="F171" s="6"/>
      <c r="G171" s="6"/>
      <c r="H171" s="6"/>
      <c r="I171" s="6"/>
      <c r="J171" s="6"/>
      <c r="K171" s="6"/>
      <c r="L171" s="6"/>
      <c r="M171" s="6"/>
      <c r="N171" s="6"/>
      <c r="O171" s="6"/>
      <c r="P171" s="6"/>
      <c r="Q171" s="6"/>
      <c r="R171" s="6"/>
      <c r="S171" s="6"/>
      <c r="T171" s="6"/>
      <c r="U171" s="6"/>
      <c r="V171" s="6"/>
      <c r="W171" s="6"/>
    </row>
    <row r="172" spans="1:23" ht="16" x14ac:dyDescent="0.2">
      <c r="A172" s="6"/>
      <c r="B172" s="7"/>
      <c r="C172" s="7"/>
      <c r="D172" s="7"/>
      <c r="E172" s="7"/>
      <c r="F172" s="6"/>
      <c r="G172" s="6"/>
      <c r="H172" s="6"/>
      <c r="I172" s="6"/>
      <c r="J172" s="6"/>
      <c r="K172" s="6"/>
      <c r="L172" s="6"/>
      <c r="M172" s="6"/>
      <c r="N172" s="6"/>
      <c r="O172" s="6"/>
      <c r="P172" s="6"/>
      <c r="Q172" s="6"/>
      <c r="R172" s="6"/>
      <c r="S172" s="6"/>
      <c r="T172" s="6"/>
      <c r="U172" s="6"/>
      <c r="V172" s="6"/>
      <c r="W172" s="6"/>
    </row>
    <row r="173" spans="1:23" ht="16" x14ac:dyDescent="0.2">
      <c r="A173" s="6"/>
      <c r="B173" s="7"/>
      <c r="C173" s="7"/>
      <c r="D173" s="7"/>
      <c r="E173" s="7"/>
      <c r="F173" s="6"/>
      <c r="G173" s="6"/>
      <c r="H173" s="6"/>
      <c r="I173" s="6"/>
      <c r="J173" s="6"/>
      <c r="K173" s="6"/>
      <c r="L173" s="6"/>
      <c r="M173" s="6"/>
      <c r="N173" s="6"/>
      <c r="O173" s="6"/>
      <c r="P173" s="6"/>
      <c r="Q173" s="6"/>
      <c r="R173" s="6"/>
      <c r="S173" s="6"/>
      <c r="T173" s="6"/>
      <c r="U173" s="6"/>
      <c r="V173" s="6"/>
      <c r="W173" s="6"/>
    </row>
    <row r="174" spans="1:23" ht="16" x14ac:dyDescent="0.2">
      <c r="A174" s="6"/>
      <c r="B174" s="7"/>
      <c r="C174" s="7"/>
      <c r="D174" s="7"/>
      <c r="E174" s="7"/>
      <c r="F174" s="6"/>
      <c r="G174" s="6"/>
      <c r="H174" s="6"/>
      <c r="I174" s="6"/>
      <c r="J174" s="6"/>
      <c r="K174" s="6"/>
      <c r="L174" s="6"/>
      <c r="M174" s="6"/>
      <c r="N174" s="6"/>
      <c r="O174" s="6"/>
      <c r="P174" s="6"/>
      <c r="Q174" s="6"/>
      <c r="R174" s="6"/>
      <c r="S174" s="6"/>
      <c r="T174" s="6"/>
      <c r="U174" s="6"/>
      <c r="V174" s="6"/>
      <c r="W174" s="6"/>
    </row>
    <row r="175" spans="1:23" ht="16" x14ac:dyDescent="0.2">
      <c r="A175" s="6"/>
      <c r="B175" s="7"/>
      <c r="C175" s="7"/>
      <c r="D175" s="7"/>
      <c r="E175" s="7"/>
      <c r="F175" s="6"/>
      <c r="G175" s="6"/>
      <c r="H175" s="6"/>
      <c r="I175" s="6"/>
      <c r="J175" s="6"/>
      <c r="K175" s="6"/>
      <c r="L175" s="6"/>
      <c r="M175" s="6"/>
      <c r="N175" s="6"/>
      <c r="O175" s="6"/>
      <c r="P175" s="6"/>
      <c r="Q175" s="6"/>
      <c r="R175" s="6"/>
      <c r="S175" s="6"/>
      <c r="T175" s="6"/>
      <c r="U175" s="6"/>
      <c r="V175" s="6"/>
      <c r="W175" s="6"/>
    </row>
    <row r="176" spans="1:23" ht="16" x14ac:dyDescent="0.2">
      <c r="A176" s="6"/>
      <c r="B176" s="7"/>
      <c r="C176" s="7"/>
      <c r="D176" s="7"/>
      <c r="E176" s="7"/>
      <c r="F176" s="6"/>
      <c r="G176" s="6"/>
      <c r="H176" s="6"/>
      <c r="I176" s="6"/>
      <c r="J176" s="6"/>
      <c r="K176" s="6"/>
      <c r="L176" s="6"/>
      <c r="M176" s="6"/>
      <c r="N176" s="6"/>
      <c r="O176" s="6"/>
      <c r="P176" s="6"/>
      <c r="Q176" s="6"/>
      <c r="R176" s="6"/>
      <c r="S176" s="6"/>
      <c r="T176" s="6"/>
      <c r="U176" s="6"/>
      <c r="V176" s="6"/>
      <c r="W176" s="6"/>
    </row>
    <row r="177" spans="1:23" ht="16" x14ac:dyDescent="0.2">
      <c r="A177" s="6"/>
      <c r="B177" s="7"/>
      <c r="C177" s="7"/>
      <c r="D177" s="7"/>
      <c r="E177" s="7"/>
      <c r="F177" s="6"/>
      <c r="G177" s="6"/>
      <c r="H177" s="6"/>
      <c r="I177" s="6"/>
      <c r="J177" s="6"/>
      <c r="K177" s="6"/>
      <c r="L177" s="6"/>
      <c r="M177" s="6"/>
      <c r="N177" s="6"/>
      <c r="O177" s="6"/>
      <c r="P177" s="6"/>
      <c r="Q177" s="6"/>
      <c r="R177" s="6"/>
      <c r="S177" s="6"/>
      <c r="T177" s="6"/>
      <c r="U177" s="6"/>
      <c r="V177" s="6"/>
      <c r="W177" s="6"/>
    </row>
    <row r="178" spans="1:23" ht="16" x14ac:dyDescent="0.2">
      <c r="A178" s="6"/>
      <c r="B178" s="7"/>
      <c r="C178" s="7"/>
      <c r="D178" s="7"/>
      <c r="E178" s="7"/>
      <c r="F178" s="6"/>
      <c r="G178" s="6"/>
      <c r="H178" s="6"/>
      <c r="I178" s="6"/>
      <c r="J178" s="6"/>
      <c r="K178" s="6"/>
      <c r="L178" s="6"/>
      <c r="M178" s="6"/>
      <c r="N178" s="6"/>
      <c r="O178" s="6"/>
      <c r="P178" s="6"/>
      <c r="Q178" s="6"/>
      <c r="R178" s="6"/>
      <c r="S178" s="6"/>
      <c r="T178" s="6"/>
      <c r="U178" s="6"/>
      <c r="V178" s="6"/>
      <c r="W178" s="6"/>
    </row>
    <row r="179" spans="1:23" ht="16" x14ac:dyDescent="0.2">
      <c r="A179" s="6"/>
      <c r="B179" s="7"/>
      <c r="C179" s="7"/>
      <c r="D179" s="7"/>
      <c r="E179" s="7"/>
      <c r="F179" s="6"/>
      <c r="G179" s="6"/>
      <c r="H179" s="6"/>
      <c r="I179" s="6"/>
      <c r="J179" s="6"/>
      <c r="K179" s="6"/>
      <c r="L179" s="6"/>
      <c r="M179" s="6"/>
      <c r="N179" s="6"/>
      <c r="O179" s="6"/>
      <c r="P179" s="6"/>
      <c r="Q179" s="6"/>
      <c r="R179" s="6"/>
      <c r="S179" s="6"/>
      <c r="T179" s="6"/>
      <c r="U179" s="6"/>
      <c r="V179" s="6"/>
      <c r="W179" s="6"/>
    </row>
    <row r="180" spans="1:23" ht="16" x14ac:dyDescent="0.2">
      <c r="A180" s="6"/>
      <c r="B180" s="7"/>
      <c r="C180" s="7"/>
      <c r="D180" s="7"/>
      <c r="E180" s="7"/>
      <c r="F180" s="6"/>
      <c r="G180" s="6"/>
      <c r="H180" s="6"/>
      <c r="I180" s="6"/>
      <c r="J180" s="6"/>
      <c r="K180" s="6"/>
      <c r="L180" s="6"/>
      <c r="M180" s="6"/>
      <c r="N180" s="6"/>
      <c r="O180" s="6"/>
      <c r="P180" s="6"/>
      <c r="Q180" s="6"/>
      <c r="R180" s="6"/>
      <c r="S180" s="6"/>
      <c r="T180" s="6"/>
      <c r="U180" s="6"/>
      <c r="V180" s="6"/>
      <c r="W180" s="6"/>
    </row>
    <row r="181" spans="1:23" ht="16" x14ac:dyDescent="0.2">
      <c r="A181" s="6"/>
      <c r="B181" s="7"/>
      <c r="C181" s="7"/>
      <c r="D181" s="7"/>
      <c r="E181" s="7"/>
      <c r="F181" s="6"/>
      <c r="G181" s="6"/>
      <c r="H181" s="6"/>
      <c r="I181" s="6"/>
      <c r="J181" s="6"/>
      <c r="K181" s="6"/>
      <c r="L181" s="6"/>
      <c r="M181" s="6"/>
      <c r="N181" s="6"/>
      <c r="O181" s="6"/>
      <c r="P181" s="6"/>
      <c r="Q181" s="6"/>
      <c r="R181" s="6"/>
      <c r="S181" s="6"/>
      <c r="T181" s="6"/>
      <c r="U181" s="6"/>
      <c r="V181" s="6"/>
      <c r="W181" s="6"/>
    </row>
    <row r="182" spans="1:23" ht="16" x14ac:dyDescent="0.2">
      <c r="A182" s="6"/>
      <c r="B182" s="7"/>
      <c r="C182" s="7"/>
      <c r="D182" s="7"/>
      <c r="E182" s="7"/>
      <c r="F182" s="6"/>
      <c r="G182" s="6"/>
      <c r="H182" s="6"/>
      <c r="I182" s="6"/>
      <c r="J182" s="6"/>
      <c r="K182" s="6"/>
      <c r="L182" s="6"/>
      <c r="M182" s="6"/>
      <c r="N182" s="6"/>
      <c r="O182" s="6"/>
      <c r="P182" s="6"/>
      <c r="Q182" s="6"/>
      <c r="R182" s="6"/>
      <c r="S182" s="6"/>
      <c r="T182" s="6"/>
      <c r="U182" s="6"/>
      <c r="V182" s="6"/>
      <c r="W182" s="6"/>
    </row>
    <row r="183" spans="1:23" ht="16" x14ac:dyDescent="0.2">
      <c r="A183" s="6"/>
      <c r="B183" s="7"/>
      <c r="C183" s="7"/>
      <c r="D183" s="7"/>
      <c r="E183" s="7"/>
      <c r="F183" s="6"/>
      <c r="G183" s="6"/>
      <c r="H183" s="6"/>
      <c r="I183" s="6"/>
      <c r="J183" s="6"/>
      <c r="K183" s="6"/>
      <c r="L183" s="6"/>
      <c r="M183" s="6"/>
      <c r="N183" s="6"/>
      <c r="O183" s="6"/>
      <c r="P183" s="6"/>
      <c r="Q183" s="6"/>
      <c r="R183" s="6"/>
      <c r="S183" s="6"/>
      <c r="T183" s="6"/>
      <c r="U183" s="6"/>
      <c r="V183" s="6"/>
      <c r="W183" s="6"/>
    </row>
    <row r="184" spans="1:23" ht="16" x14ac:dyDescent="0.2">
      <c r="A184" s="6"/>
      <c r="B184" s="7"/>
      <c r="C184" s="7"/>
      <c r="D184" s="7"/>
      <c r="E184" s="7"/>
      <c r="F184" s="6"/>
      <c r="G184" s="6"/>
      <c r="H184" s="6"/>
      <c r="I184" s="6"/>
      <c r="J184" s="6"/>
      <c r="K184" s="6"/>
      <c r="L184" s="6"/>
      <c r="M184" s="6"/>
      <c r="N184" s="6"/>
      <c r="O184" s="6"/>
      <c r="P184" s="6"/>
      <c r="Q184" s="6"/>
      <c r="R184" s="6"/>
      <c r="S184" s="6"/>
      <c r="T184" s="6"/>
      <c r="U184" s="6"/>
      <c r="V184" s="6"/>
      <c r="W184" s="6"/>
    </row>
    <row r="185" spans="1:23" ht="16" x14ac:dyDescent="0.2">
      <c r="A185" s="6"/>
      <c r="B185" s="7"/>
      <c r="C185" s="7"/>
      <c r="D185" s="7"/>
      <c r="E185" s="7"/>
      <c r="F185" s="6"/>
      <c r="G185" s="6"/>
      <c r="H185" s="6"/>
      <c r="I185" s="6"/>
      <c r="J185" s="6"/>
      <c r="K185" s="6"/>
      <c r="L185" s="6"/>
      <c r="M185" s="6"/>
      <c r="N185" s="6"/>
      <c r="O185" s="6"/>
      <c r="P185" s="6"/>
      <c r="Q185" s="6"/>
      <c r="R185" s="6"/>
      <c r="S185" s="6"/>
      <c r="T185" s="6"/>
      <c r="U185" s="6"/>
      <c r="V185" s="6"/>
      <c r="W185" s="6"/>
    </row>
    <row r="186" spans="1:23" ht="16" x14ac:dyDescent="0.2">
      <c r="A186" s="6"/>
      <c r="B186" s="7"/>
      <c r="C186" s="7"/>
      <c r="D186" s="7"/>
      <c r="E186" s="7"/>
      <c r="F186" s="6"/>
      <c r="G186" s="6"/>
      <c r="H186" s="6"/>
      <c r="I186" s="6"/>
      <c r="J186" s="6"/>
      <c r="K186" s="6"/>
      <c r="L186" s="6"/>
      <c r="M186" s="6"/>
      <c r="N186" s="6"/>
      <c r="O186" s="6"/>
      <c r="P186" s="6"/>
      <c r="Q186" s="6"/>
      <c r="R186" s="6"/>
      <c r="S186" s="6"/>
      <c r="T186" s="6"/>
      <c r="U186" s="6"/>
      <c r="V186" s="6"/>
      <c r="W186" s="6"/>
    </row>
    <row r="187" spans="1:23" ht="16" x14ac:dyDescent="0.2">
      <c r="A187" s="6"/>
      <c r="B187" s="7"/>
      <c r="C187" s="7"/>
      <c r="D187" s="7"/>
      <c r="E187" s="7"/>
      <c r="F187" s="6"/>
      <c r="G187" s="6"/>
      <c r="H187" s="6"/>
      <c r="I187" s="6"/>
      <c r="J187" s="6"/>
      <c r="K187" s="6"/>
      <c r="L187" s="6"/>
      <c r="M187" s="6"/>
      <c r="N187" s="6"/>
      <c r="O187" s="6"/>
      <c r="P187" s="6"/>
      <c r="Q187" s="6"/>
      <c r="R187" s="6"/>
      <c r="S187" s="6"/>
      <c r="T187" s="6"/>
      <c r="U187" s="6"/>
      <c r="V187" s="6"/>
      <c r="W187" s="6"/>
    </row>
    <row r="188" spans="1:23" ht="16" x14ac:dyDescent="0.2">
      <c r="A188" s="6"/>
      <c r="B188" s="7"/>
      <c r="C188" s="7"/>
      <c r="D188" s="7"/>
      <c r="E188" s="7"/>
      <c r="F188" s="6"/>
      <c r="G188" s="6"/>
      <c r="H188" s="6"/>
      <c r="I188" s="6"/>
      <c r="J188" s="6"/>
      <c r="K188" s="6"/>
      <c r="L188" s="6"/>
      <c r="M188" s="6"/>
      <c r="N188" s="6"/>
      <c r="O188" s="6"/>
      <c r="P188" s="6"/>
      <c r="Q188" s="6"/>
      <c r="R188" s="6"/>
      <c r="S188" s="6"/>
      <c r="T188" s="6"/>
      <c r="U188" s="6"/>
      <c r="V188" s="6"/>
      <c r="W188" s="6"/>
    </row>
    <row r="189" spans="1:23" ht="16" x14ac:dyDescent="0.2">
      <c r="A189" s="6"/>
      <c r="B189" s="7"/>
      <c r="C189" s="7"/>
      <c r="D189" s="7"/>
      <c r="E189" s="7"/>
      <c r="F189" s="6"/>
      <c r="G189" s="6"/>
      <c r="H189" s="6"/>
      <c r="I189" s="6"/>
      <c r="J189" s="6"/>
      <c r="K189" s="6"/>
      <c r="L189" s="6"/>
      <c r="M189" s="6"/>
      <c r="N189" s="6"/>
      <c r="O189" s="6"/>
      <c r="P189" s="6"/>
      <c r="Q189" s="6"/>
      <c r="R189" s="6"/>
      <c r="S189" s="6"/>
      <c r="T189" s="6"/>
      <c r="U189" s="6"/>
      <c r="V189" s="6"/>
      <c r="W189" s="6"/>
    </row>
    <row r="190" spans="1:23" ht="16" x14ac:dyDescent="0.2">
      <c r="A190" s="6"/>
      <c r="B190" s="7"/>
      <c r="C190" s="7"/>
      <c r="D190" s="7"/>
      <c r="E190" s="7"/>
      <c r="F190" s="6"/>
      <c r="G190" s="6"/>
      <c r="H190" s="6"/>
      <c r="I190" s="6"/>
      <c r="J190" s="6"/>
      <c r="K190" s="6"/>
      <c r="L190" s="6"/>
      <c r="M190" s="6"/>
      <c r="N190" s="6"/>
      <c r="O190" s="6"/>
      <c r="P190" s="6"/>
      <c r="Q190" s="6"/>
      <c r="R190" s="6"/>
      <c r="S190" s="6"/>
      <c r="T190" s="6"/>
      <c r="U190" s="6"/>
      <c r="V190" s="6"/>
      <c r="W190" s="6"/>
    </row>
    <row r="191" spans="1:23" ht="16" x14ac:dyDescent="0.2">
      <c r="A191" s="6"/>
      <c r="B191" s="7"/>
      <c r="C191" s="7"/>
      <c r="D191" s="7"/>
      <c r="E191" s="7"/>
      <c r="F191" s="6"/>
      <c r="G191" s="6"/>
      <c r="H191" s="6"/>
      <c r="I191" s="6"/>
      <c r="J191" s="6"/>
      <c r="K191" s="6"/>
      <c r="L191" s="6"/>
      <c r="M191" s="6"/>
      <c r="N191" s="6"/>
      <c r="O191" s="6"/>
      <c r="P191" s="6"/>
      <c r="Q191" s="6"/>
      <c r="R191" s="6"/>
      <c r="S191" s="6"/>
      <c r="T191" s="6"/>
      <c r="U191" s="6"/>
      <c r="V191" s="6"/>
      <c r="W191" s="6"/>
    </row>
    <row r="192" spans="1:23" ht="16" x14ac:dyDescent="0.2">
      <c r="A192" s="6"/>
      <c r="B192" s="7"/>
      <c r="C192" s="7"/>
      <c r="D192" s="7"/>
      <c r="E192" s="7"/>
      <c r="F192" s="6"/>
      <c r="G192" s="6"/>
      <c r="H192" s="6"/>
      <c r="I192" s="6"/>
      <c r="J192" s="6"/>
      <c r="K192" s="6"/>
      <c r="L192" s="6"/>
      <c r="M192" s="6"/>
      <c r="N192" s="6"/>
      <c r="O192" s="6"/>
      <c r="P192" s="6"/>
      <c r="Q192" s="6"/>
      <c r="R192" s="6"/>
      <c r="S192" s="6"/>
      <c r="T192" s="6"/>
      <c r="U192" s="6"/>
      <c r="V192" s="6"/>
      <c r="W192" s="6"/>
    </row>
    <row r="193" spans="1:23" ht="16" x14ac:dyDescent="0.2">
      <c r="A193" s="6"/>
      <c r="B193" s="7"/>
      <c r="C193" s="7"/>
      <c r="D193" s="7"/>
      <c r="E193" s="7"/>
      <c r="F193" s="6"/>
      <c r="G193" s="6"/>
      <c r="H193" s="6"/>
      <c r="I193" s="6"/>
      <c r="J193" s="6"/>
      <c r="K193" s="6"/>
      <c r="L193" s="6"/>
      <c r="M193" s="6"/>
      <c r="N193" s="6"/>
      <c r="O193" s="6"/>
      <c r="P193" s="6"/>
      <c r="Q193" s="6"/>
      <c r="R193" s="6"/>
      <c r="S193" s="6"/>
      <c r="T193" s="6"/>
      <c r="U193" s="6"/>
      <c r="V193" s="6"/>
      <c r="W193" s="6"/>
    </row>
    <row r="194" spans="1:23" ht="16" x14ac:dyDescent="0.2">
      <c r="A194" s="6"/>
      <c r="B194" s="7"/>
      <c r="C194" s="7"/>
      <c r="D194" s="7"/>
      <c r="E194" s="7"/>
      <c r="F194" s="6"/>
      <c r="G194" s="6"/>
      <c r="H194" s="6"/>
      <c r="I194" s="6"/>
      <c r="J194" s="6"/>
      <c r="K194" s="6"/>
      <c r="L194" s="6"/>
      <c r="M194" s="6"/>
      <c r="N194" s="6"/>
      <c r="O194" s="6"/>
      <c r="P194" s="6"/>
      <c r="Q194" s="6"/>
      <c r="R194" s="6"/>
      <c r="S194" s="6"/>
      <c r="T194" s="6"/>
      <c r="U194" s="6"/>
      <c r="V194" s="6"/>
      <c r="W194" s="6"/>
    </row>
    <row r="195" spans="1:23" ht="16" x14ac:dyDescent="0.2">
      <c r="A195" s="6"/>
      <c r="B195" s="7"/>
      <c r="C195" s="7"/>
      <c r="D195" s="7"/>
      <c r="E195" s="7"/>
      <c r="F195" s="6"/>
      <c r="G195" s="6"/>
      <c r="H195" s="6"/>
      <c r="I195" s="6"/>
      <c r="J195" s="6"/>
      <c r="K195" s="6"/>
      <c r="L195" s="6"/>
      <c r="M195" s="6"/>
      <c r="N195" s="6"/>
      <c r="O195" s="6"/>
      <c r="P195" s="6"/>
      <c r="Q195" s="6"/>
      <c r="R195" s="6"/>
      <c r="S195" s="6"/>
      <c r="T195" s="6"/>
      <c r="U195" s="6"/>
      <c r="V195" s="6"/>
      <c r="W195" s="6"/>
    </row>
    <row r="196" spans="1:23" ht="16" x14ac:dyDescent="0.2">
      <c r="A196" s="6"/>
      <c r="B196" s="7"/>
      <c r="C196" s="7"/>
      <c r="D196" s="7"/>
      <c r="E196" s="7"/>
      <c r="F196" s="6"/>
      <c r="G196" s="6"/>
      <c r="H196" s="6"/>
      <c r="I196" s="6"/>
      <c r="J196" s="6"/>
      <c r="K196" s="6"/>
      <c r="L196" s="6"/>
      <c r="M196" s="6"/>
      <c r="N196" s="6"/>
      <c r="O196" s="6"/>
      <c r="P196" s="6"/>
      <c r="Q196" s="6"/>
      <c r="R196" s="6"/>
      <c r="S196" s="6"/>
      <c r="T196" s="6"/>
      <c r="U196" s="6"/>
      <c r="V196" s="6"/>
      <c r="W196" s="6"/>
    </row>
    <row r="197" spans="1:23" ht="16" x14ac:dyDescent="0.2">
      <c r="A197" s="6"/>
      <c r="B197" s="7"/>
      <c r="C197" s="7"/>
      <c r="D197" s="7"/>
      <c r="E197" s="7"/>
      <c r="F197" s="6"/>
      <c r="G197" s="6"/>
      <c r="H197" s="6"/>
      <c r="I197" s="6"/>
      <c r="J197" s="6"/>
      <c r="K197" s="6"/>
      <c r="L197" s="6"/>
      <c r="M197" s="6"/>
      <c r="N197" s="6"/>
      <c r="O197" s="6"/>
      <c r="P197" s="6"/>
      <c r="Q197" s="6"/>
      <c r="R197" s="6"/>
      <c r="S197" s="6"/>
      <c r="T197" s="6"/>
      <c r="U197" s="6"/>
      <c r="V197" s="6"/>
      <c r="W197" s="6"/>
    </row>
    <row r="198" spans="1:23" ht="16" x14ac:dyDescent="0.2">
      <c r="A198" s="6"/>
      <c r="B198" s="7"/>
      <c r="C198" s="7"/>
      <c r="D198" s="7"/>
      <c r="E198" s="7"/>
      <c r="F198" s="6"/>
      <c r="G198" s="6"/>
      <c r="H198" s="6"/>
      <c r="I198" s="6"/>
      <c r="J198" s="6"/>
      <c r="K198" s="6"/>
      <c r="L198" s="6"/>
      <c r="M198" s="6"/>
      <c r="N198" s="6"/>
      <c r="O198" s="6"/>
      <c r="P198" s="6"/>
      <c r="Q198" s="6"/>
      <c r="R198" s="6"/>
      <c r="S198" s="6"/>
      <c r="T198" s="6"/>
      <c r="U198" s="6"/>
      <c r="V198" s="6"/>
      <c r="W198" s="6"/>
    </row>
    <row r="199" spans="1:23" ht="16" x14ac:dyDescent="0.2">
      <c r="A199" s="6"/>
      <c r="B199" s="7"/>
      <c r="C199" s="7"/>
      <c r="D199" s="7"/>
      <c r="E199" s="7"/>
      <c r="F199" s="6"/>
      <c r="G199" s="6"/>
      <c r="H199" s="6"/>
      <c r="I199" s="6"/>
      <c r="J199" s="6"/>
      <c r="K199" s="6"/>
      <c r="L199" s="6"/>
      <c r="M199" s="6"/>
      <c r="N199" s="6"/>
      <c r="O199" s="6"/>
      <c r="P199" s="6"/>
      <c r="Q199" s="6"/>
      <c r="R199" s="6"/>
      <c r="S199" s="6"/>
      <c r="T199" s="6"/>
      <c r="U199" s="6"/>
      <c r="V199" s="6"/>
      <c r="W199" s="6"/>
    </row>
    <row r="200" spans="1:23" ht="16" x14ac:dyDescent="0.2">
      <c r="A200" s="6"/>
      <c r="B200" s="7"/>
      <c r="C200" s="7"/>
      <c r="D200" s="7"/>
      <c r="E200" s="7"/>
      <c r="F200" s="6"/>
      <c r="G200" s="6"/>
      <c r="H200" s="6"/>
      <c r="I200" s="6"/>
      <c r="J200" s="6"/>
      <c r="K200" s="6"/>
      <c r="L200" s="6"/>
      <c r="M200" s="6"/>
      <c r="N200" s="6"/>
      <c r="O200" s="6"/>
      <c r="P200" s="6"/>
      <c r="Q200" s="6"/>
      <c r="R200" s="6"/>
      <c r="S200" s="6"/>
      <c r="T200" s="6"/>
      <c r="U200" s="6"/>
      <c r="V200" s="6"/>
      <c r="W200" s="6"/>
    </row>
    <row r="201" spans="1:23" ht="16" x14ac:dyDescent="0.2">
      <c r="A201" s="6"/>
      <c r="B201" s="7"/>
      <c r="C201" s="7"/>
      <c r="D201" s="7"/>
      <c r="E201" s="7"/>
      <c r="F201" s="6"/>
      <c r="G201" s="6"/>
      <c r="H201" s="6"/>
      <c r="I201" s="6"/>
      <c r="J201" s="6"/>
      <c r="K201" s="6"/>
      <c r="L201" s="6"/>
      <c r="M201" s="6"/>
      <c r="N201" s="6"/>
      <c r="O201" s="6"/>
      <c r="P201" s="6"/>
      <c r="Q201" s="6"/>
      <c r="R201" s="6"/>
      <c r="S201" s="6"/>
      <c r="T201" s="6"/>
      <c r="U201" s="6"/>
      <c r="V201" s="6"/>
      <c r="W201" s="6"/>
    </row>
    <row r="202" spans="1:23" ht="16" x14ac:dyDescent="0.2">
      <c r="A202" s="6"/>
      <c r="B202" s="7"/>
      <c r="C202" s="7"/>
      <c r="D202" s="7"/>
      <c r="E202" s="7"/>
      <c r="F202" s="6"/>
      <c r="G202" s="6"/>
      <c r="H202" s="6"/>
      <c r="I202" s="6"/>
      <c r="J202" s="6"/>
      <c r="K202" s="6"/>
      <c r="L202" s="6"/>
      <c r="M202" s="6"/>
      <c r="N202" s="6"/>
      <c r="O202" s="6"/>
      <c r="P202" s="6"/>
      <c r="Q202" s="6"/>
      <c r="R202" s="6"/>
      <c r="S202" s="6"/>
      <c r="T202" s="6"/>
      <c r="U202" s="6"/>
      <c r="V202" s="6"/>
      <c r="W202" s="6"/>
    </row>
    <row r="203" spans="1:23" ht="16" x14ac:dyDescent="0.2">
      <c r="A203" s="6"/>
      <c r="B203" s="7"/>
      <c r="C203" s="7"/>
      <c r="D203" s="7"/>
      <c r="E203" s="7"/>
      <c r="F203" s="6"/>
      <c r="G203" s="6"/>
      <c r="H203" s="6"/>
      <c r="I203" s="6"/>
      <c r="J203" s="6"/>
      <c r="K203" s="6"/>
      <c r="L203" s="6"/>
      <c r="M203" s="6"/>
      <c r="N203" s="6"/>
      <c r="O203" s="6"/>
      <c r="P203" s="6"/>
      <c r="Q203" s="6"/>
      <c r="R203" s="6"/>
      <c r="S203" s="6"/>
      <c r="T203" s="6"/>
      <c r="U203" s="6"/>
      <c r="V203" s="6"/>
      <c r="W203" s="6"/>
    </row>
    <row r="204" spans="1:23" ht="16" x14ac:dyDescent="0.2">
      <c r="A204" s="6"/>
      <c r="B204" s="7"/>
      <c r="C204" s="7"/>
      <c r="D204" s="7"/>
      <c r="E204" s="7"/>
      <c r="F204" s="6"/>
      <c r="G204" s="6"/>
      <c r="H204" s="6"/>
      <c r="I204" s="6"/>
      <c r="J204" s="6"/>
      <c r="K204" s="6"/>
      <c r="L204" s="6"/>
      <c r="M204" s="6"/>
      <c r="N204" s="6"/>
      <c r="O204" s="6"/>
      <c r="P204" s="6"/>
      <c r="Q204" s="6"/>
      <c r="R204" s="6"/>
      <c r="S204" s="6"/>
      <c r="T204" s="6"/>
      <c r="U204" s="6"/>
      <c r="V204" s="6"/>
      <c r="W204" s="6"/>
    </row>
    <row r="205" spans="1:23" ht="16" x14ac:dyDescent="0.2">
      <c r="A205" s="6"/>
      <c r="B205" s="7"/>
      <c r="C205" s="7"/>
      <c r="D205" s="7"/>
      <c r="E205" s="7"/>
      <c r="F205" s="6"/>
      <c r="G205" s="6"/>
      <c r="H205" s="6"/>
      <c r="I205" s="6"/>
      <c r="J205" s="6"/>
      <c r="K205" s="6"/>
      <c r="L205" s="6"/>
      <c r="M205" s="6"/>
      <c r="N205" s="6"/>
      <c r="O205" s="6"/>
      <c r="P205" s="6"/>
      <c r="Q205" s="6"/>
      <c r="R205" s="6"/>
      <c r="S205" s="6"/>
      <c r="T205" s="6"/>
      <c r="U205" s="6"/>
      <c r="V205" s="6"/>
      <c r="W205" s="6"/>
    </row>
    <row r="206" spans="1:23" ht="16" x14ac:dyDescent="0.2">
      <c r="A206" s="6"/>
      <c r="B206" s="7"/>
      <c r="C206" s="7"/>
      <c r="D206" s="7"/>
      <c r="E206" s="7"/>
      <c r="F206" s="6"/>
      <c r="G206" s="6"/>
      <c r="H206" s="6"/>
      <c r="I206" s="6"/>
      <c r="J206" s="6"/>
      <c r="K206" s="6"/>
      <c r="L206" s="6"/>
      <c r="M206" s="6"/>
      <c r="N206" s="6"/>
      <c r="O206" s="6"/>
      <c r="P206" s="6"/>
      <c r="Q206" s="6"/>
      <c r="R206" s="6"/>
      <c r="S206" s="6"/>
      <c r="T206" s="6"/>
      <c r="U206" s="6"/>
      <c r="V206" s="6"/>
      <c r="W206" s="6"/>
    </row>
    <row r="207" spans="1:23" ht="16" x14ac:dyDescent="0.2">
      <c r="A207" s="6"/>
      <c r="B207" s="7"/>
      <c r="C207" s="7"/>
      <c r="D207" s="7"/>
      <c r="E207" s="7"/>
      <c r="F207" s="6"/>
      <c r="G207" s="6"/>
      <c r="H207" s="6"/>
      <c r="I207" s="6"/>
      <c r="J207" s="6"/>
      <c r="K207" s="6"/>
      <c r="L207" s="6"/>
      <c r="M207" s="6"/>
      <c r="N207" s="6"/>
      <c r="O207" s="6"/>
      <c r="P207" s="6"/>
      <c r="Q207" s="6"/>
      <c r="R207" s="6"/>
      <c r="S207" s="6"/>
      <c r="T207" s="6"/>
      <c r="U207" s="6"/>
      <c r="V207" s="6"/>
      <c r="W207" s="6"/>
    </row>
    <row r="208" spans="1:23" ht="16" x14ac:dyDescent="0.2">
      <c r="A208" s="6"/>
      <c r="B208" s="7"/>
      <c r="C208" s="7"/>
      <c r="D208" s="7"/>
      <c r="E208" s="7"/>
      <c r="F208" s="6"/>
      <c r="G208" s="6"/>
      <c r="H208" s="6"/>
      <c r="I208" s="6"/>
      <c r="J208" s="6"/>
      <c r="K208" s="6"/>
      <c r="L208" s="6"/>
      <c r="M208" s="6"/>
      <c r="N208" s="6"/>
      <c r="O208" s="6"/>
      <c r="P208" s="6"/>
      <c r="Q208" s="6"/>
      <c r="R208" s="6"/>
      <c r="S208" s="6"/>
      <c r="T208" s="6"/>
      <c r="U208" s="6"/>
      <c r="V208" s="6"/>
      <c r="W208" s="6"/>
    </row>
    <row r="209" spans="1:23" ht="16" x14ac:dyDescent="0.2">
      <c r="A209" s="6"/>
      <c r="B209" s="7"/>
      <c r="C209" s="7"/>
      <c r="D209" s="7"/>
      <c r="E209" s="7"/>
      <c r="F209" s="6"/>
      <c r="G209" s="6"/>
      <c r="H209" s="6"/>
      <c r="I209" s="6"/>
      <c r="J209" s="6"/>
      <c r="K209" s="6"/>
      <c r="L209" s="6"/>
      <c r="M209" s="6"/>
      <c r="N209" s="6"/>
      <c r="O209" s="6"/>
      <c r="P209" s="6"/>
      <c r="Q209" s="6"/>
      <c r="R209" s="6"/>
      <c r="S209" s="6"/>
      <c r="T209" s="6"/>
      <c r="U209" s="6"/>
      <c r="V209" s="6"/>
      <c r="W209" s="6"/>
    </row>
    <row r="210" spans="1:23" ht="16" x14ac:dyDescent="0.2">
      <c r="A210" s="6"/>
      <c r="B210" s="7"/>
      <c r="C210" s="7"/>
      <c r="D210" s="7"/>
      <c r="E210" s="7"/>
      <c r="F210" s="6"/>
      <c r="G210" s="6"/>
      <c r="H210" s="6"/>
      <c r="I210" s="6"/>
      <c r="J210" s="6"/>
      <c r="K210" s="6"/>
      <c r="L210" s="6"/>
      <c r="M210" s="6"/>
      <c r="N210" s="6"/>
      <c r="O210" s="6"/>
      <c r="P210" s="6"/>
      <c r="Q210" s="6"/>
      <c r="R210" s="6"/>
      <c r="S210" s="6"/>
      <c r="T210" s="6"/>
      <c r="U210" s="6"/>
      <c r="V210" s="6"/>
      <c r="W210" s="6"/>
    </row>
    <row r="211" spans="1:23" ht="16" x14ac:dyDescent="0.2">
      <c r="A211" s="6"/>
      <c r="B211" s="7"/>
      <c r="C211" s="7"/>
      <c r="D211" s="7"/>
      <c r="E211" s="7"/>
      <c r="F211" s="6"/>
      <c r="G211" s="6"/>
      <c r="H211" s="6"/>
      <c r="I211" s="6"/>
      <c r="J211" s="6"/>
      <c r="K211" s="6"/>
      <c r="L211" s="6"/>
      <c r="M211" s="6"/>
      <c r="N211" s="6"/>
      <c r="O211" s="6"/>
      <c r="P211" s="6"/>
      <c r="Q211" s="6"/>
      <c r="R211" s="6"/>
      <c r="S211" s="6"/>
      <c r="T211" s="6"/>
      <c r="U211" s="6"/>
      <c r="V211" s="6"/>
      <c r="W211" s="6"/>
    </row>
    <row r="212" spans="1:23" ht="16" x14ac:dyDescent="0.2">
      <c r="A212" s="6"/>
      <c r="B212" s="7"/>
      <c r="C212" s="7"/>
      <c r="D212" s="7"/>
      <c r="E212" s="7"/>
      <c r="F212" s="6"/>
      <c r="G212" s="6"/>
      <c r="H212" s="6"/>
      <c r="I212" s="6"/>
      <c r="J212" s="6"/>
      <c r="K212" s="6"/>
      <c r="L212" s="6"/>
      <c r="M212" s="6"/>
      <c r="N212" s="6"/>
      <c r="O212" s="6"/>
      <c r="P212" s="6"/>
      <c r="Q212" s="6"/>
      <c r="R212" s="6"/>
      <c r="S212" s="6"/>
      <c r="T212" s="6"/>
      <c r="U212" s="6"/>
      <c r="V212" s="6"/>
      <c r="W212" s="6"/>
    </row>
    <row r="213" spans="1:23" ht="16" x14ac:dyDescent="0.2">
      <c r="A213" s="6"/>
      <c r="B213" s="7"/>
      <c r="C213" s="7"/>
      <c r="D213" s="7"/>
      <c r="E213" s="7"/>
      <c r="F213" s="6"/>
      <c r="G213" s="6"/>
      <c r="H213" s="6"/>
      <c r="I213" s="6"/>
      <c r="J213" s="6"/>
      <c r="K213" s="6"/>
      <c r="L213" s="6"/>
      <c r="M213" s="6"/>
      <c r="N213" s="6"/>
      <c r="O213" s="6"/>
      <c r="P213" s="6"/>
      <c r="Q213" s="6"/>
      <c r="R213" s="6"/>
      <c r="S213" s="6"/>
      <c r="T213" s="6"/>
      <c r="U213" s="6"/>
      <c r="V213" s="6"/>
      <c r="W213" s="6"/>
    </row>
    <row r="214" spans="1:23" ht="16" x14ac:dyDescent="0.2">
      <c r="A214" s="6"/>
      <c r="B214" s="7"/>
      <c r="C214" s="7"/>
      <c r="D214" s="7"/>
      <c r="E214" s="7"/>
      <c r="F214" s="6"/>
      <c r="G214" s="6"/>
      <c r="H214" s="6"/>
      <c r="I214" s="6"/>
      <c r="J214" s="6"/>
      <c r="K214" s="6"/>
      <c r="L214" s="6"/>
      <c r="M214" s="6"/>
      <c r="N214" s="6"/>
      <c r="O214" s="6"/>
      <c r="P214" s="6"/>
      <c r="Q214" s="6"/>
      <c r="R214" s="6"/>
      <c r="S214" s="6"/>
      <c r="T214" s="6"/>
      <c r="U214" s="6"/>
      <c r="V214" s="6"/>
      <c r="W214" s="6"/>
    </row>
    <row r="215" spans="1:23" ht="16" x14ac:dyDescent="0.2">
      <c r="A215" s="6"/>
      <c r="B215" s="7"/>
      <c r="C215" s="7"/>
      <c r="D215" s="7"/>
      <c r="E215" s="7"/>
      <c r="F215" s="6"/>
      <c r="G215" s="6"/>
      <c r="H215" s="6"/>
      <c r="I215" s="6"/>
      <c r="J215" s="6"/>
      <c r="K215" s="6"/>
      <c r="L215" s="6"/>
      <c r="M215" s="6"/>
      <c r="N215" s="6"/>
      <c r="O215" s="6"/>
      <c r="P215" s="6"/>
      <c r="Q215" s="6"/>
      <c r="R215" s="6"/>
      <c r="S215" s="6"/>
      <c r="T215" s="6"/>
      <c r="U215" s="6"/>
      <c r="V215" s="6"/>
      <c r="W215" s="6"/>
    </row>
    <row r="216" spans="1:23" ht="16" x14ac:dyDescent="0.2">
      <c r="A216" s="6"/>
      <c r="B216" s="7"/>
      <c r="C216" s="7"/>
      <c r="D216" s="7"/>
      <c r="E216" s="7"/>
      <c r="F216" s="6"/>
      <c r="G216" s="6"/>
      <c r="H216" s="6"/>
      <c r="I216" s="6"/>
      <c r="J216" s="6"/>
      <c r="K216" s="6"/>
      <c r="L216" s="6"/>
      <c r="M216" s="6"/>
      <c r="N216" s="6"/>
      <c r="O216" s="6"/>
      <c r="P216" s="6"/>
      <c r="Q216" s="6"/>
      <c r="R216" s="6"/>
      <c r="S216" s="6"/>
      <c r="T216" s="6"/>
      <c r="U216" s="6"/>
      <c r="V216" s="6"/>
      <c r="W216" s="6"/>
    </row>
    <row r="217" spans="1:23" ht="16" x14ac:dyDescent="0.2">
      <c r="A217" s="6"/>
      <c r="B217" s="7"/>
      <c r="C217" s="7"/>
      <c r="D217" s="7"/>
      <c r="E217" s="7"/>
      <c r="F217" s="6"/>
      <c r="G217" s="6"/>
      <c r="H217" s="6"/>
      <c r="I217" s="6"/>
      <c r="J217" s="6"/>
      <c r="K217" s="6"/>
      <c r="L217" s="6"/>
      <c r="M217" s="6"/>
      <c r="N217" s="6"/>
      <c r="O217" s="6"/>
      <c r="P217" s="6"/>
      <c r="Q217" s="6"/>
      <c r="R217" s="6"/>
      <c r="S217" s="6"/>
      <c r="T217" s="6"/>
      <c r="U217" s="6"/>
      <c r="V217" s="6"/>
      <c r="W217" s="6"/>
    </row>
    <row r="218" spans="1:23" ht="16" x14ac:dyDescent="0.2">
      <c r="A218" s="6"/>
      <c r="B218" s="7"/>
      <c r="C218" s="7"/>
      <c r="D218" s="7"/>
      <c r="E218" s="7"/>
      <c r="F218" s="6"/>
      <c r="G218" s="6"/>
      <c r="H218" s="6"/>
      <c r="I218" s="6"/>
      <c r="J218" s="6"/>
      <c r="K218" s="6"/>
      <c r="L218" s="6"/>
      <c r="M218" s="6"/>
      <c r="N218" s="6"/>
      <c r="O218" s="6"/>
      <c r="P218" s="6"/>
      <c r="Q218" s="6"/>
      <c r="R218" s="6"/>
      <c r="S218" s="6"/>
      <c r="T218" s="6"/>
      <c r="U218" s="6"/>
      <c r="V218" s="6"/>
      <c r="W218" s="6"/>
    </row>
    <row r="219" spans="1:23" ht="16" x14ac:dyDescent="0.2">
      <c r="A219" s="6"/>
      <c r="B219" s="7"/>
      <c r="C219" s="7"/>
      <c r="D219" s="7"/>
      <c r="E219" s="7"/>
      <c r="F219" s="6"/>
      <c r="G219" s="6"/>
      <c r="H219" s="6"/>
      <c r="I219" s="6"/>
      <c r="J219" s="6"/>
      <c r="K219" s="6"/>
      <c r="L219" s="6"/>
      <c r="M219" s="6"/>
      <c r="N219" s="6"/>
      <c r="O219" s="6"/>
      <c r="P219" s="6"/>
      <c r="Q219" s="6"/>
      <c r="R219" s="6"/>
      <c r="S219" s="6"/>
      <c r="T219" s="6"/>
      <c r="U219" s="6"/>
      <c r="V219" s="6"/>
      <c r="W219" s="6"/>
    </row>
    <row r="220" spans="1:23" ht="16" x14ac:dyDescent="0.2">
      <c r="A220" s="6"/>
      <c r="B220" s="7"/>
      <c r="C220" s="7"/>
      <c r="D220" s="7"/>
      <c r="E220" s="7"/>
      <c r="F220" s="6"/>
      <c r="G220" s="6"/>
      <c r="H220" s="6"/>
      <c r="I220" s="6"/>
      <c r="J220" s="6"/>
      <c r="K220" s="6"/>
      <c r="L220" s="6"/>
      <c r="M220" s="6"/>
      <c r="N220" s="6"/>
      <c r="O220" s="6"/>
      <c r="P220" s="6"/>
      <c r="Q220" s="6"/>
      <c r="R220" s="6"/>
      <c r="S220" s="6"/>
      <c r="T220" s="6"/>
      <c r="U220" s="6"/>
      <c r="V220" s="6"/>
      <c r="W220" s="6"/>
    </row>
    <row r="221" spans="1:23" ht="16" x14ac:dyDescent="0.2">
      <c r="A221" s="6"/>
      <c r="B221" s="7"/>
      <c r="C221" s="7"/>
      <c r="D221" s="7"/>
      <c r="E221" s="7"/>
      <c r="F221" s="6"/>
      <c r="G221" s="6"/>
      <c r="H221" s="6"/>
      <c r="I221" s="6"/>
      <c r="J221" s="6"/>
      <c r="K221" s="6"/>
      <c r="L221" s="6"/>
      <c r="M221" s="6"/>
      <c r="N221" s="6"/>
      <c r="O221" s="6"/>
      <c r="P221" s="6"/>
      <c r="Q221" s="6"/>
      <c r="R221" s="6"/>
      <c r="S221" s="6"/>
      <c r="T221" s="6"/>
      <c r="U221" s="6"/>
      <c r="V221" s="6"/>
      <c r="W221" s="6"/>
    </row>
    <row r="222" spans="1:23" ht="16" x14ac:dyDescent="0.2">
      <c r="A222" s="6"/>
      <c r="B222" s="7"/>
      <c r="C222" s="7"/>
      <c r="D222" s="7"/>
      <c r="E222" s="7"/>
      <c r="F222" s="6"/>
      <c r="G222" s="6"/>
      <c r="H222" s="6"/>
      <c r="I222" s="6"/>
      <c r="J222" s="6"/>
      <c r="K222" s="6"/>
      <c r="L222" s="6"/>
      <c r="M222" s="6"/>
      <c r="N222" s="6"/>
      <c r="O222" s="6"/>
      <c r="P222" s="6"/>
      <c r="Q222" s="6"/>
      <c r="R222" s="6"/>
      <c r="S222" s="6"/>
      <c r="T222" s="6"/>
      <c r="U222" s="6"/>
      <c r="V222" s="6"/>
      <c r="W222" s="6"/>
    </row>
    <row r="223" spans="1:23" ht="16" x14ac:dyDescent="0.2">
      <c r="A223" s="6"/>
      <c r="B223" s="7"/>
      <c r="C223" s="7"/>
      <c r="D223" s="7"/>
      <c r="E223" s="7"/>
      <c r="F223" s="6"/>
      <c r="G223" s="6"/>
      <c r="H223" s="6"/>
      <c r="I223" s="6"/>
      <c r="J223" s="6"/>
      <c r="K223" s="6"/>
      <c r="L223" s="6"/>
      <c r="M223" s="6"/>
      <c r="N223" s="6"/>
      <c r="O223" s="6"/>
      <c r="P223" s="6"/>
      <c r="Q223" s="6"/>
      <c r="R223" s="6"/>
      <c r="S223" s="6"/>
      <c r="T223" s="6"/>
      <c r="U223" s="6"/>
      <c r="V223" s="6"/>
      <c r="W223" s="6"/>
    </row>
    <row r="224" spans="1:23" ht="16" x14ac:dyDescent="0.2">
      <c r="A224" s="6"/>
      <c r="B224" s="7"/>
      <c r="C224" s="7"/>
      <c r="D224" s="7"/>
      <c r="E224" s="7"/>
      <c r="F224" s="6"/>
      <c r="G224" s="6"/>
      <c r="H224" s="6"/>
      <c r="I224" s="6"/>
      <c r="J224" s="6"/>
      <c r="K224" s="6"/>
      <c r="L224" s="6"/>
      <c r="M224" s="6"/>
      <c r="N224" s="6"/>
      <c r="O224" s="6"/>
      <c r="P224" s="6"/>
      <c r="Q224" s="6"/>
      <c r="R224" s="6"/>
      <c r="S224" s="6"/>
      <c r="T224" s="6"/>
      <c r="U224" s="6"/>
      <c r="V224" s="6"/>
      <c r="W224" s="6"/>
    </row>
    <row r="225" spans="1:23" ht="16" x14ac:dyDescent="0.2">
      <c r="A225" s="6"/>
      <c r="B225" s="7"/>
      <c r="C225" s="7"/>
      <c r="D225" s="7"/>
      <c r="E225" s="7"/>
      <c r="F225" s="6"/>
      <c r="G225" s="6"/>
      <c r="H225" s="6"/>
      <c r="I225" s="6"/>
      <c r="J225" s="6"/>
      <c r="K225" s="6"/>
      <c r="L225" s="6"/>
      <c r="M225" s="6"/>
      <c r="N225" s="6"/>
      <c r="O225" s="6"/>
      <c r="P225" s="6"/>
      <c r="Q225" s="6"/>
      <c r="R225" s="6"/>
      <c r="S225" s="6"/>
      <c r="T225" s="6"/>
      <c r="U225" s="6"/>
      <c r="V225" s="6"/>
      <c r="W225" s="6"/>
    </row>
    <row r="226" spans="1:23" ht="16" x14ac:dyDescent="0.2">
      <c r="A226" s="6"/>
      <c r="B226" s="7"/>
      <c r="C226" s="7"/>
      <c r="D226" s="7"/>
      <c r="E226" s="7"/>
      <c r="F226" s="6"/>
      <c r="G226" s="6"/>
      <c r="H226" s="6"/>
      <c r="I226" s="6"/>
      <c r="J226" s="6"/>
      <c r="K226" s="6"/>
      <c r="L226" s="6"/>
      <c r="M226" s="6"/>
      <c r="N226" s="6"/>
      <c r="O226" s="6"/>
      <c r="P226" s="6"/>
      <c r="Q226" s="6"/>
      <c r="R226" s="6"/>
      <c r="S226" s="6"/>
      <c r="T226" s="6"/>
      <c r="U226" s="6"/>
      <c r="V226" s="6"/>
      <c r="W226" s="6"/>
    </row>
    <row r="227" spans="1:23" ht="16" x14ac:dyDescent="0.2">
      <c r="A227" s="6"/>
      <c r="B227" s="7"/>
      <c r="C227" s="7"/>
      <c r="D227" s="7"/>
      <c r="E227" s="7"/>
      <c r="F227" s="6"/>
      <c r="G227" s="6"/>
      <c r="H227" s="6"/>
      <c r="I227" s="6"/>
      <c r="J227" s="6"/>
      <c r="K227" s="6"/>
      <c r="L227" s="6"/>
      <c r="M227" s="6"/>
      <c r="N227" s="6"/>
      <c r="O227" s="6"/>
      <c r="P227" s="6"/>
      <c r="Q227" s="6"/>
      <c r="R227" s="6"/>
      <c r="S227" s="6"/>
      <c r="T227" s="6"/>
      <c r="U227" s="6"/>
      <c r="V227" s="6"/>
      <c r="W227" s="6"/>
    </row>
    <row r="228" spans="1:23" ht="16" x14ac:dyDescent="0.2">
      <c r="A228" s="6"/>
      <c r="B228" s="7"/>
      <c r="C228" s="7"/>
      <c r="D228" s="7"/>
      <c r="E228" s="7"/>
      <c r="F228" s="6"/>
      <c r="G228" s="6"/>
      <c r="H228" s="6"/>
      <c r="I228" s="6"/>
      <c r="J228" s="6"/>
      <c r="K228" s="6"/>
      <c r="L228" s="6"/>
      <c r="M228" s="6"/>
      <c r="N228" s="6"/>
      <c r="O228" s="6"/>
      <c r="P228" s="6"/>
      <c r="Q228" s="6"/>
      <c r="R228" s="6"/>
      <c r="S228" s="6"/>
      <c r="T228" s="6"/>
      <c r="U228" s="6"/>
      <c r="V228" s="6"/>
      <c r="W228" s="6"/>
    </row>
    <row r="229" spans="1:23" ht="16" x14ac:dyDescent="0.2">
      <c r="A229" s="6"/>
      <c r="B229" s="7"/>
      <c r="C229" s="7"/>
      <c r="D229" s="7"/>
      <c r="E229" s="7"/>
      <c r="F229" s="6"/>
      <c r="G229" s="6"/>
      <c r="H229" s="6"/>
      <c r="I229" s="6"/>
      <c r="J229" s="6"/>
      <c r="K229" s="6"/>
      <c r="L229" s="6"/>
      <c r="M229" s="6"/>
      <c r="N229" s="6"/>
      <c r="O229" s="6"/>
      <c r="P229" s="6"/>
      <c r="Q229" s="6"/>
      <c r="R229" s="6"/>
      <c r="S229" s="6"/>
      <c r="T229" s="6"/>
      <c r="U229" s="6"/>
      <c r="V229" s="6"/>
      <c r="W229" s="6"/>
    </row>
    <row r="230" spans="1:23" ht="16" x14ac:dyDescent="0.2">
      <c r="A230" s="6"/>
      <c r="B230" s="7"/>
      <c r="C230" s="7"/>
      <c r="D230" s="7"/>
      <c r="E230" s="7"/>
      <c r="F230" s="6"/>
      <c r="G230" s="6"/>
      <c r="H230" s="6"/>
      <c r="I230" s="6"/>
      <c r="J230" s="6"/>
      <c r="K230" s="6"/>
      <c r="L230" s="6"/>
      <c r="M230" s="6"/>
      <c r="N230" s="6"/>
      <c r="O230" s="6"/>
      <c r="P230" s="6"/>
      <c r="Q230" s="6"/>
      <c r="R230" s="6"/>
      <c r="S230" s="6"/>
      <c r="T230" s="6"/>
      <c r="U230" s="6"/>
      <c r="V230" s="6"/>
      <c r="W230" s="6"/>
    </row>
    <row r="231" spans="1:23" ht="16" x14ac:dyDescent="0.2">
      <c r="A231" s="6"/>
      <c r="B231" s="7"/>
      <c r="C231" s="7"/>
      <c r="D231" s="7"/>
      <c r="E231" s="7"/>
      <c r="F231" s="6"/>
      <c r="G231" s="6"/>
      <c r="H231" s="6"/>
      <c r="I231" s="6"/>
      <c r="J231" s="6"/>
      <c r="K231" s="6"/>
      <c r="L231" s="6"/>
      <c r="M231" s="6"/>
      <c r="N231" s="6"/>
      <c r="O231" s="6"/>
      <c r="P231" s="6"/>
      <c r="Q231" s="6"/>
      <c r="R231" s="6"/>
      <c r="S231" s="6"/>
      <c r="T231" s="6"/>
      <c r="U231" s="6"/>
      <c r="V231" s="6"/>
      <c r="W231" s="6"/>
    </row>
    <row r="232" spans="1:23" ht="16" x14ac:dyDescent="0.2">
      <c r="A232" s="6"/>
      <c r="B232" s="7"/>
      <c r="C232" s="7"/>
      <c r="D232" s="7"/>
      <c r="E232" s="7"/>
      <c r="F232" s="6"/>
      <c r="G232" s="6"/>
      <c r="H232" s="6"/>
      <c r="I232" s="6"/>
      <c r="J232" s="6"/>
      <c r="K232" s="6"/>
      <c r="L232" s="6"/>
      <c r="M232" s="6"/>
      <c r="N232" s="6"/>
      <c r="O232" s="6"/>
      <c r="P232" s="6"/>
      <c r="Q232" s="6"/>
      <c r="R232" s="6"/>
      <c r="S232" s="6"/>
      <c r="T232" s="6"/>
      <c r="U232" s="6"/>
      <c r="V232" s="6"/>
      <c r="W232" s="6"/>
    </row>
    <row r="233" spans="1:23" ht="16" x14ac:dyDescent="0.2">
      <c r="A233" s="6"/>
      <c r="B233" s="7"/>
      <c r="C233" s="7"/>
      <c r="D233" s="7"/>
      <c r="E233" s="7"/>
      <c r="F233" s="6"/>
      <c r="G233" s="6"/>
      <c r="H233" s="6"/>
      <c r="I233" s="6"/>
      <c r="J233" s="6"/>
      <c r="K233" s="6"/>
      <c r="L233" s="6"/>
      <c r="M233" s="6"/>
      <c r="N233" s="6"/>
      <c r="O233" s="6"/>
      <c r="P233" s="6"/>
      <c r="Q233" s="6"/>
      <c r="R233" s="6"/>
      <c r="S233" s="6"/>
      <c r="T233" s="6"/>
      <c r="U233" s="6"/>
      <c r="V233" s="6"/>
      <c r="W233" s="6"/>
    </row>
    <row r="234" spans="1:23" ht="16" x14ac:dyDescent="0.2">
      <c r="A234" s="6"/>
      <c r="B234" s="7"/>
      <c r="C234" s="7"/>
      <c r="D234" s="7"/>
      <c r="E234" s="7"/>
      <c r="F234" s="6"/>
      <c r="G234" s="6"/>
      <c r="H234" s="6"/>
      <c r="I234" s="6"/>
      <c r="J234" s="6"/>
      <c r="K234" s="6"/>
      <c r="L234" s="6"/>
      <c r="M234" s="6"/>
      <c r="N234" s="6"/>
      <c r="O234" s="6"/>
      <c r="P234" s="6"/>
      <c r="Q234" s="6"/>
      <c r="R234" s="6"/>
      <c r="S234" s="6"/>
      <c r="T234" s="6"/>
      <c r="U234" s="6"/>
      <c r="V234" s="6"/>
      <c r="W234" s="6"/>
    </row>
    <row r="235" spans="1:23" ht="16" x14ac:dyDescent="0.2">
      <c r="A235" s="6"/>
      <c r="B235" s="7"/>
      <c r="C235" s="7"/>
      <c r="D235" s="7"/>
      <c r="E235" s="7"/>
      <c r="F235" s="6"/>
      <c r="G235" s="6"/>
      <c r="H235" s="6"/>
      <c r="I235" s="6"/>
      <c r="J235" s="6"/>
      <c r="K235" s="6"/>
      <c r="L235" s="6"/>
      <c r="M235" s="6"/>
      <c r="N235" s="6"/>
      <c r="O235" s="6"/>
      <c r="P235" s="6"/>
      <c r="Q235" s="6"/>
      <c r="R235" s="6"/>
      <c r="S235" s="6"/>
      <c r="T235" s="6"/>
      <c r="U235" s="6"/>
      <c r="V235" s="6"/>
      <c r="W235" s="6"/>
    </row>
    <row r="236" spans="1:23" ht="16" x14ac:dyDescent="0.2">
      <c r="A236" s="6"/>
      <c r="B236" s="7"/>
      <c r="C236" s="7"/>
      <c r="D236" s="7"/>
      <c r="E236" s="7"/>
      <c r="F236" s="6"/>
      <c r="G236" s="6"/>
      <c r="H236" s="6"/>
      <c r="I236" s="6"/>
      <c r="J236" s="6"/>
      <c r="K236" s="6"/>
      <c r="L236" s="6"/>
      <c r="M236" s="6"/>
      <c r="N236" s="6"/>
      <c r="O236" s="6"/>
      <c r="P236" s="6"/>
      <c r="Q236" s="6"/>
      <c r="R236" s="6"/>
      <c r="S236" s="6"/>
      <c r="T236" s="6"/>
      <c r="U236" s="6"/>
      <c r="V236" s="6"/>
      <c r="W236" s="6"/>
    </row>
    <row r="237" spans="1:23" ht="16" x14ac:dyDescent="0.2">
      <c r="A237" s="6"/>
      <c r="B237" s="7"/>
      <c r="C237" s="7"/>
      <c r="D237" s="7"/>
      <c r="E237" s="7"/>
      <c r="F237" s="6"/>
      <c r="G237" s="6"/>
      <c r="H237" s="6"/>
      <c r="I237" s="6"/>
      <c r="J237" s="6"/>
      <c r="K237" s="6"/>
      <c r="L237" s="6"/>
      <c r="M237" s="6"/>
      <c r="N237" s="6"/>
      <c r="O237" s="6"/>
      <c r="P237" s="6"/>
      <c r="Q237" s="6"/>
      <c r="R237" s="6"/>
      <c r="S237" s="6"/>
      <c r="T237" s="6"/>
      <c r="U237" s="6"/>
      <c r="V237" s="6"/>
      <c r="W237" s="6"/>
    </row>
    <row r="238" spans="1:23" ht="16" x14ac:dyDescent="0.2">
      <c r="A238" s="6"/>
      <c r="B238" s="7"/>
      <c r="C238" s="7"/>
      <c r="D238" s="7"/>
      <c r="E238" s="7"/>
      <c r="F238" s="6"/>
      <c r="G238" s="6"/>
      <c r="H238" s="6"/>
      <c r="I238" s="6"/>
      <c r="J238" s="6"/>
      <c r="K238" s="6"/>
      <c r="L238" s="6"/>
      <c r="M238" s="6"/>
      <c r="N238" s="6"/>
      <c r="O238" s="6"/>
      <c r="P238" s="6"/>
      <c r="Q238" s="6"/>
      <c r="R238" s="6"/>
      <c r="S238" s="6"/>
      <c r="T238" s="6"/>
      <c r="U238" s="6"/>
      <c r="V238" s="6"/>
      <c r="W238" s="6"/>
    </row>
    <row r="239" spans="1:23" ht="16" x14ac:dyDescent="0.2">
      <c r="A239" s="6"/>
      <c r="B239" s="7"/>
      <c r="C239" s="7"/>
      <c r="D239" s="7"/>
      <c r="E239" s="7"/>
      <c r="F239" s="6"/>
      <c r="G239" s="6"/>
      <c r="H239" s="6"/>
      <c r="I239" s="6"/>
      <c r="J239" s="6"/>
      <c r="K239" s="6"/>
      <c r="L239" s="6"/>
      <c r="M239" s="6"/>
      <c r="N239" s="6"/>
      <c r="O239" s="6"/>
      <c r="P239" s="6"/>
      <c r="Q239" s="6"/>
      <c r="R239" s="6"/>
      <c r="S239" s="6"/>
      <c r="T239" s="6"/>
      <c r="U239" s="6"/>
      <c r="V239" s="6"/>
      <c r="W239" s="6"/>
    </row>
    <row r="240" spans="1:23" ht="16" x14ac:dyDescent="0.2">
      <c r="A240" s="6"/>
      <c r="B240" s="7"/>
      <c r="C240" s="7"/>
      <c r="D240" s="7"/>
      <c r="E240" s="7"/>
      <c r="F240" s="6"/>
      <c r="G240" s="6"/>
      <c r="H240" s="6"/>
      <c r="I240" s="6"/>
      <c r="J240" s="6"/>
      <c r="K240" s="6"/>
      <c r="L240" s="6"/>
      <c r="M240" s="6"/>
      <c r="N240" s="6"/>
      <c r="O240" s="6"/>
      <c r="P240" s="6"/>
      <c r="Q240" s="6"/>
      <c r="R240" s="6"/>
      <c r="S240" s="6"/>
      <c r="T240" s="6"/>
      <c r="U240" s="6"/>
      <c r="V240" s="6"/>
      <c r="W240" s="6"/>
    </row>
    <row r="241" spans="1:23" ht="16" x14ac:dyDescent="0.2">
      <c r="A241" s="6"/>
      <c r="B241" s="7"/>
      <c r="C241" s="7"/>
      <c r="D241" s="7"/>
      <c r="E241" s="7"/>
      <c r="F241" s="6"/>
      <c r="G241" s="6"/>
      <c r="H241" s="6"/>
      <c r="I241" s="6"/>
      <c r="J241" s="6"/>
      <c r="K241" s="6"/>
      <c r="L241" s="6"/>
      <c r="M241" s="6"/>
      <c r="N241" s="6"/>
      <c r="O241" s="6"/>
      <c r="P241" s="6"/>
      <c r="Q241" s="6"/>
      <c r="R241" s="6"/>
      <c r="S241" s="6"/>
      <c r="T241" s="6"/>
      <c r="U241" s="6"/>
      <c r="V241" s="6"/>
      <c r="W241" s="6"/>
    </row>
    <row r="242" spans="1:23" ht="16" x14ac:dyDescent="0.2">
      <c r="A242" s="6"/>
      <c r="B242" s="7"/>
      <c r="C242" s="7"/>
      <c r="D242" s="7"/>
      <c r="E242" s="7"/>
      <c r="F242" s="6"/>
      <c r="G242" s="6"/>
      <c r="H242" s="6"/>
      <c r="I242" s="6"/>
      <c r="J242" s="6"/>
      <c r="K242" s="6"/>
      <c r="L242" s="6"/>
      <c r="M242" s="6"/>
      <c r="N242" s="6"/>
      <c r="O242" s="6"/>
      <c r="P242" s="6"/>
      <c r="Q242" s="6"/>
      <c r="R242" s="6"/>
      <c r="S242" s="6"/>
      <c r="T242" s="6"/>
      <c r="U242" s="6"/>
      <c r="V242" s="6"/>
      <c r="W242" s="6"/>
    </row>
    <row r="243" spans="1:23" ht="16" x14ac:dyDescent="0.2">
      <c r="A243" s="6"/>
      <c r="B243" s="7"/>
      <c r="C243" s="7"/>
      <c r="D243" s="7"/>
      <c r="E243" s="7"/>
      <c r="F243" s="6"/>
      <c r="G243" s="6"/>
      <c r="H243" s="6"/>
      <c r="I243" s="6"/>
      <c r="J243" s="6"/>
      <c r="K243" s="6"/>
      <c r="L243" s="6"/>
      <c r="M243" s="6"/>
      <c r="N243" s="6"/>
      <c r="O243" s="6"/>
      <c r="P243" s="6"/>
      <c r="Q243" s="6"/>
      <c r="R243" s="6"/>
      <c r="S243" s="6"/>
      <c r="T243" s="6"/>
      <c r="U243" s="6"/>
      <c r="V243" s="6"/>
      <c r="W243" s="6"/>
    </row>
    <row r="244" spans="1:23" ht="16" x14ac:dyDescent="0.2">
      <c r="A244" s="6"/>
      <c r="B244" s="7"/>
      <c r="C244" s="7"/>
      <c r="D244" s="7"/>
      <c r="E244" s="7"/>
      <c r="F244" s="6"/>
      <c r="G244" s="6"/>
      <c r="H244" s="6"/>
      <c r="I244" s="6"/>
      <c r="J244" s="6"/>
      <c r="K244" s="6"/>
      <c r="L244" s="6"/>
      <c r="M244" s="6"/>
      <c r="N244" s="6"/>
      <c r="O244" s="6"/>
      <c r="P244" s="6"/>
      <c r="Q244" s="6"/>
      <c r="R244" s="6"/>
      <c r="S244" s="6"/>
      <c r="T244" s="6"/>
      <c r="U244" s="6"/>
      <c r="V244" s="6"/>
      <c r="W244" s="6"/>
    </row>
    <row r="245" spans="1:23" ht="16" x14ac:dyDescent="0.2">
      <c r="A245" s="6"/>
      <c r="B245" s="7"/>
      <c r="C245" s="7"/>
      <c r="D245" s="7"/>
      <c r="E245" s="7"/>
      <c r="F245" s="6"/>
      <c r="G245" s="6"/>
      <c r="H245" s="6"/>
      <c r="I245" s="6"/>
      <c r="J245" s="6"/>
      <c r="K245" s="6"/>
      <c r="L245" s="6"/>
      <c r="M245" s="6"/>
      <c r="N245" s="6"/>
      <c r="O245" s="6"/>
      <c r="P245" s="6"/>
      <c r="Q245" s="6"/>
      <c r="R245" s="6"/>
      <c r="S245" s="6"/>
      <c r="T245" s="6"/>
      <c r="U245" s="6"/>
      <c r="V245" s="6"/>
      <c r="W245" s="6"/>
    </row>
    <row r="246" spans="1:23" ht="16" x14ac:dyDescent="0.2">
      <c r="A246" s="6"/>
      <c r="B246" s="7"/>
      <c r="C246" s="7"/>
      <c r="D246" s="7"/>
      <c r="E246" s="7"/>
      <c r="F246" s="6"/>
      <c r="G246" s="6"/>
      <c r="H246" s="6"/>
      <c r="I246" s="6"/>
      <c r="J246" s="6"/>
      <c r="K246" s="6"/>
      <c r="L246" s="6"/>
      <c r="M246" s="6"/>
      <c r="N246" s="6"/>
      <c r="O246" s="6"/>
      <c r="P246" s="6"/>
      <c r="Q246" s="6"/>
      <c r="R246" s="6"/>
      <c r="S246" s="6"/>
      <c r="T246" s="6"/>
      <c r="U246" s="6"/>
      <c r="V246" s="6"/>
      <c r="W246" s="6"/>
    </row>
    <row r="247" spans="1:23" ht="16" x14ac:dyDescent="0.2">
      <c r="A247" s="6"/>
      <c r="B247" s="7"/>
      <c r="C247" s="7"/>
      <c r="D247" s="7"/>
      <c r="E247" s="7"/>
      <c r="F247" s="6"/>
      <c r="G247" s="6"/>
      <c r="H247" s="6"/>
      <c r="I247" s="6"/>
      <c r="J247" s="6"/>
      <c r="K247" s="6"/>
      <c r="L247" s="6"/>
      <c r="M247" s="6"/>
      <c r="N247" s="6"/>
      <c r="O247" s="6"/>
      <c r="P247" s="6"/>
      <c r="Q247" s="6"/>
      <c r="R247" s="6"/>
      <c r="S247" s="6"/>
      <c r="T247" s="6"/>
      <c r="U247" s="6"/>
      <c r="V247" s="6"/>
      <c r="W247" s="6"/>
    </row>
    <row r="248" spans="1:23" ht="16" x14ac:dyDescent="0.2">
      <c r="A248" s="6"/>
      <c r="B248" s="7"/>
      <c r="C248" s="7"/>
      <c r="D248" s="7"/>
      <c r="E248" s="7"/>
      <c r="F248" s="6"/>
      <c r="G248" s="6"/>
      <c r="H248" s="6"/>
      <c r="I248" s="6"/>
      <c r="J248" s="6"/>
      <c r="K248" s="6"/>
      <c r="L248" s="6"/>
      <c r="M248" s="6"/>
      <c r="N248" s="6"/>
      <c r="O248" s="6"/>
      <c r="P248" s="6"/>
      <c r="Q248" s="6"/>
      <c r="R248" s="6"/>
      <c r="S248" s="6"/>
      <c r="T248" s="6"/>
      <c r="U248" s="6"/>
      <c r="V248" s="6"/>
      <c r="W248" s="6"/>
    </row>
    <row r="249" spans="1:23" ht="16" x14ac:dyDescent="0.2">
      <c r="A249" s="6"/>
      <c r="B249" s="7"/>
      <c r="C249" s="7"/>
      <c r="D249" s="7"/>
      <c r="E249" s="7"/>
      <c r="F249" s="6"/>
      <c r="G249" s="6"/>
      <c r="H249" s="6"/>
      <c r="I249" s="6"/>
      <c r="J249" s="6"/>
      <c r="K249" s="6"/>
      <c r="L249" s="6"/>
      <c r="M249" s="6"/>
      <c r="N249" s="6"/>
      <c r="O249" s="6"/>
      <c r="P249" s="6"/>
      <c r="Q249" s="6"/>
      <c r="R249" s="6"/>
      <c r="S249" s="6"/>
      <c r="T249" s="6"/>
      <c r="U249" s="6"/>
      <c r="V249" s="6"/>
      <c r="W249" s="6"/>
    </row>
    <row r="250" spans="1:23" ht="16" x14ac:dyDescent="0.2">
      <c r="A250" s="6"/>
      <c r="B250" s="7"/>
      <c r="C250" s="7"/>
      <c r="D250" s="7"/>
      <c r="E250" s="7"/>
      <c r="F250" s="6"/>
      <c r="G250" s="6"/>
      <c r="H250" s="6"/>
      <c r="I250" s="6"/>
      <c r="J250" s="6"/>
      <c r="K250" s="6"/>
      <c r="L250" s="6"/>
      <c r="M250" s="6"/>
      <c r="N250" s="6"/>
      <c r="O250" s="6"/>
      <c r="P250" s="6"/>
      <c r="Q250" s="6"/>
      <c r="R250" s="6"/>
      <c r="S250" s="6"/>
      <c r="T250" s="6"/>
      <c r="U250" s="6"/>
      <c r="V250" s="6"/>
      <c r="W250" s="6"/>
    </row>
    <row r="251" spans="1:23" ht="16" x14ac:dyDescent="0.2">
      <c r="A251" s="6"/>
      <c r="B251" s="7"/>
      <c r="C251" s="7"/>
      <c r="D251" s="7"/>
      <c r="E251" s="7"/>
      <c r="F251" s="6"/>
      <c r="G251" s="6"/>
      <c r="H251" s="6"/>
      <c r="I251" s="6"/>
      <c r="J251" s="6"/>
      <c r="K251" s="6"/>
      <c r="L251" s="6"/>
      <c r="M251" s="6"/>
      <c r="N251" s="6"/>
      <c r="O251" s="6"/>
      <c r="P251" s="6"/>
      <c r="Q251" s="6"/>
      <c r="R251" s="6"/>
      <c r="S251" s="6"/>
      <c r="T251" s="6"/>
      <c r="U251" s="6"/>
      <c r="V251" s="6"/>
      <c r="W251" s="6"/>
    </row>
    <row r="252" spans="1:23" ht="16" x14ac:dyDescent="0.2">
      <c r="A252" s="6"/>
      <c r="B252" s="7"/>
      <c r="C252" s="7"/>
      <c r="D252" s="7"/>
      <c r="E252" s="7"/>
      <c r="F252" s="6"/>
      <c r="G252" s="6"/>
      <c r="H252" s="6"/>
      <c r="I252" s="6"/>
      <c r="J252" s="6"/>
      <c r="K252" s="6"/>
      <c r="L252" s="6"/>
      <c r="M252" s="6"/>
      <c r="N252" s="6"/>
      <c r="O252" s="6"/>
      <c r="P252" s="6"/>
      <c r="Q252" s="6"/>
      <c r="R252" s="6"/>
      <c r="S252" s="6"/>
      <c r="T252" s="6"/>
      <c r="U252" s="6"/>
      <c r="V252" s="6"/>
      <c r="W252" s="6"/>
    </row>
    <row r="253" spans="1:23" ht="16" x14ac:dyDescent="0.2">
      <c r="A253" s="6"/>
      <c r="B253" s="7"/>
      <c r="C253" s="7"/>
      <c r="D253" s="7"/>
      <c r="E253" s="7"/>
      <c r="F253" s="6"/>
      <c r="G253" s="6"/>
      <c r="H253" s="6"/>
      <c r="I253" s="6"/>
      <c r="J253" s="6"/>
      <c r="K253" s="6"/>
      <c r="L253" s="6"/>
      <c r="M253" s="6"/>
      <c r="N253" s="6"/>
      <c r="O253" s="6"/>
      <c r="P253" s="6"/>
      <c r="Q253" s="6"/>
      <c r="R253" s="6"/>
      <c r="S253" s="6"/>
      <c r="T253" s="6"/>
      <c r="U253" s="6"/>
      <c r="V253" s="6"/>
      <c r="W253" s="6"/>
    </row>
    <row r="254" spans="1:23" ht="16" x14ac:dyDescent="0.2">
      <c r="A254" s="6"/>
      <c r="B254" s="7"/>
      <c r="C254" s="7"/>
      <c r="D254" s="7"/>
      <c r="E254" s="7"/>
      <c r="F254" s="6"/>
      <c r="G254" s="6"/>
      <c r="H254" s="6"/>
      <c r="I254" s="6"/>
      <c r="J254" s="6"/>
      <c r="K254" s="6"/>
      <c r="L254" s="6"/>
      <c r="M254" s="6"/>
      <c r="N254" s="6"/>
      <c r="O254" s="6"/>
      <c r="P254" s="6"/>
      <c r="Q254" s="6"/>
      <c r="R254" s="6"/>
      <c r="S254" s="6"/>
      <c r="T254" s="6"/>
      <c r="U254" s="6"/>
      <c r="V254" s="6"/>
      <c r="W254" s="6"/>
    </row>
    <row r="255" spans="1:23" ht="16" x14ac:dyDescent="0.2">
      <c r="A255" s="6"/>
      <c r="B255" s="7"/>
      <c r="C255" s="7"/>
      <c r="D255" s="7"/>
      <c r="E255" s="7"/>
      <c r="F255" s="6"/>
      <c r="G255" s="6"/>
      <c r="H255" s="6"/>
      <c r="I255" s="6"/>
      <c r="J255" s="6"/>
      <c r="K255" s="6"/>
      <c r="L255" s="6"/>
      <c r="M255" s="6"/>
      <c r="N255" s="6"/>
      <c r="O255" s="6"/>
      <c r="P255" s="6"/>
      <c r="Q255" s="6"/>
      <c r="R255" s="6"/>
      <c r="S255" s="6"/>
      <c r="T255" s="6"/>
      <c r="U255" s="6"/>
      <c r="V255" s="6"/>
      <c r="W255" s="6"/>
    </row>
    <row r="256" spans="1:23" ht="16" x14ac:dyDescent="0.2">
      <c r="A256" s="6"/>
      <c r="B256" s="7"/>
      <c r="C256" s="7"/>
      <c r="D256" s="7"/>
      <c r="E256" s="7"/>
      <c r="F256" s="6"/>
      <c r="G256" s="6"/>
      <c r="H256" s="6"/>
      <c r="I256" s="6"/>
      <c r="J256" s="6"/>
      <c r="K256" s="6"/>
      <c r="L256" s="6"/>
      <c r="M256" s="6"/>
      <c r="N256" s="6"/>
      <c r="O256" s="6"/>
      <c r="P256" s="6"/>
      <c r="Q256" s="6"/>
      <c r="R256" s="6"/>
      <c r="S256" s="6"/>
      <c r="T256" s="6"/>
      <c r="U256" s="6"/>
      <c r="V256" s="6"/>
      <c r="W256" s="6"/>
    </row>
    <row r="257" spans="1:23" ht="16" x14ac:dyDescent="0.2">
      <c r="A257" s="6"/>
      <c r="B257" s="7"/>
      <c r="C257" s="7"/>
      <c r="D257" s="7"/>
      <c r="E257" s="7"/>
      <c r="F257" s="6"/>
      <c r="G257" s="6"/>
      <c r="H257" s="6"/>
      <c r="I257" s="6"/>
      <c r="J257" s="6"/>
      <c r="K257" s="6"/>
      <c r="L257" s="6"/>
      <c r="M257" s="6"/>
      <c r="N257" s="6"/>
      <c r="O257" s="6"/>
      <c r="P257" s="6"/>
      <c r="Q257" s="6"/>
      <c r="R257" s="6"/>
      <c r="S257" s="6"/>
      <c r="T257" s="6"/>
      <c r="U257" s="6"/>
      <c r="V257" s="6"/>
      <c r="W257" s="6"/>
    </row>
    <row r="258" spans="1:23" ht="16" x14ac:dyDescent="0.2">
      <c r="A258" s="6"/>
      <c r="B258" s="7"/>
      <c r="C258" s="7"/>
      <c r="D258" s="7"/>
      <c r="E258" s="7"/>
      <c r="F258" s="6"/>
      <c r="G258" s="6"/>
      <c r="H258" s="6"/>
      <c r="I258" s="6"/>
      <c r="J258" s="6"/>
      <c r="K258" s="6"/>
      <c r="L258" s="6"/>
      <c r="M258" s="6"/>
      <c r="N258" s="6"/>
      <c r="O258" s="6"/>
      <c r="P258" s="6"/>
      <c r="Q258" s="6"/>
      <c r="R258" s="6"/>
      <c r="S258" s="6"/>
      <c r="T258" s="6"/>
      <c r="U258" s="6"/>
      <c r="V258" s="6"/>
      <c r="W258" s="6"/>
    </row>
    <row r="259" spans="1:23" ht="16" x14ac:dyDescent="0.2">
      <c r="A259" s="6"/>
      <c r="B259" s="7"/>
      <c r="C259" s="7"/>
      <c r="D259" s="7"/>
      <c r="E259" s="7"/>
      <c r="F259" s="6"/>
      <c r="G259" s="6"/>
      <c r="H259" s="6"/>
      <c r="I259" s="6"/>
      <c r="J259" s="6"/>
      <c r="K259" s="6"/>
      <c r="L259" s="6"/>
      <c r="M259" s="6"/>
      <c r="N259" s="6"/>
      <c r="O259" s="6"/>
      <c r="P259" s="6"/>
      <c r="Q259" s="6"/>
      <c r="R259" s="6"/>
      <c r="S259" s="6"/>
      <c r="T259" s="6"/>
      <c r="U259" s="6"/>
      <c r="V259" s="6"/>
      <c r="W259" s="6"/>
    </row>
    <row r="260" spans="1:23" ht="16" x14ac:dyDescent="0.2">
      <c r="A260" s="6"/>
      <c r="B260" s="7"/>
      <c r="C260" s="7"/>
      <c r="D260" s="7"/>
      <c r="E260" s="7"/>
      <c r="F260" s="6"/>
      <c r="G260" s="6"/>
      <c r="H260" s="6"/>
      <c r="I260" s="6"/>
      <c r="J260" s="6"/>
      <c r="K260" s="6"/>
      <c r="L260" s="6"/>
      <c r="M260" s="6"/>
      <c r="N260" s="6"/>
      <c r="O260" s="6"/>
      <c r="P260" s="6"/>
      <c r="Q260" s="6"/>
      <c r="R260" s="6"/>
      <c r="S260" s="6"/>
      <c r="T260" s="6"/>
      <c r="U260" s="6"/>
      <c r="V260" s="6"/>
      <c r="W260" s="6"/>
    </row>
    <row r="261" spans="1:23" ht="16" x14ac:dyDescent="0.2">
      <c r="A261" s="6"/>
      <c r="B261" s="7"/>
      <c r="C261" s="7"/>
      <c r="D261" s="7"/>
      <c r="E261" s="7"/>
      <c r="F261" s="6"/>
      <c r="G261" s="6"/>
      <c r="H261" s="6"/>
      <c r="I261" s="6"/>
      <c r="J261" s="6"/>
      <c r="K261" s="6"/>
      <c r="L261" s="6"/>
      <c r="M261" s="6"/>
      <c r="N261" s="6"/>
      <c r="O261" s="6"/>
      <c r="P261" s="6"/>
      <c r="Q261" s="6"/>
      <c r="R261" s="6"/>
      <c r="S261" s="6"/>
      <c r="T261" s="6"/>
      <c r="U261" s="6"/>
      <c r="V261" s="6"/>
      <c r="W261" s="6"/>
    </row>
    <row r="262" spans="1:23" ht="16" x14ac:dyDescent="0.2">
      <c r="A262" s="6"/>
      <c r="B262" s="7"/>
      <c r="C262" s="7"/>
      <c r="D262" s="7"/>
      <c r="E262" s="7"/>
      <c r="F262" s="6"/>
      <c r="G262" s="6"/>
      <c r="H262" s="6"/>
      <c r="I262" s="6"/>
      <c r="J262" s="6"/>
      <c r="K262" s="6"/>
      <c r="L262" s="6"/>
      <c r="M262" s="6"/>
      <c r="N262" s="6"/>
      <c r="O262" s="6"/>
      <c r="P262" s="6"/>
      <c r="Q262" s="6"/>
      <c r="R262" s="6"/>
      <c r="S262" s="6"/>
      <c r="T262" s="6"/>
      <c r="U262" s="6"/>
      <c r="V262" s="6"/>
      <c r="W262" s="6"/>
    </row>
    <row r="263" spans="1:23" ht="16" x14ac:dyDescent="0.2">
      <c r="A263" s="6"/>
      <c r="B263" s="7"/>
      <c r="C263" s="7"/>
      <c r="D263" s="7"/>
      <c r="E263" s="7"/>
      <c r="F263" s="6"/>
      <c r="G263" s="6"/>
      <c r="H263" s="6"/>
      <c r="I263" s="6"/>
      <c r="J263" s="6"/>
      <c r="K263" s="6"/>
      <c r="L263" s="6"/>
      <c r="M263" s="6"/>
      <c r="N263" s="6"/>
      <c r="O263" s="6"/>
      <c r="P263" s="6"/>
      <c r="Q263" s="6"/>
      <c r="R263" s="6"/>
      <c r="S263" s="6"/>
      <c r="T263" s="6"/>
      <c r="U263" s="6"/>
      <c r="V263" s="6"/>
      <c r="W263" s="6"/>
    </row>
    <row r="264" spans="1:23" ht="16" x14ac:dyDescent="0.2">
      <c r="A264" s="6"/>
      <c r="B264" s="7"/>
      <c r="C264" s="7"/>
      <c r="D264" s="7"/>
      <c r="E264" s="7"/>
      <c r="F264" s="6"/>
      <c r="G264" s="6"/>
      <c r="H264" s="6"/>
      <c r="I264" s="6"/>
      <c r="J264" s="6"/>
      <c r="K264" s="6"/>
      <c r="L264" s="6"/>
      <c r="M264" s="6"/>
      <c r="N264" s="6"/>
      <c r="O264" s="6"/>
      <c r="P264" s="6"/>
      <c r="Q264" s="6"/>
      <c r="R264" s="6"/>
      <c r="S264" s="6"/>
      <c r="T264" s="6"/>
      <c r="U264" s="6"/>
      <c r="V264" s="6"/>
      <c r="W264" s="6"/>
    </row>
    <row r="265" spans="1:23" ht="16" x14ac:dyDescent="0.2">
      <c r="A265" s="6"/>
      <c r="B265" s="7"/>
      <c r="C265" s="7"/>
      <c r="D265" s="7"/>
      <c r="E265" s="7"/>
      <c r="F265" s="6"/>
      <c r="G265" s="6"/>
      <c r="H265" s="6"/>
      <c r="I265" s="6"/>
      <c r="J265" s="6"/>
      <c r="K265" s="6"/>
      <c r="L265" s="6"/>
      <c r="M265" s="6"/>
      <c r="N265" s="6"/>
      <c r="O265" s="6"/>
      <c r="P265" s="6"/>
      <c r="Q265" s="6"/>
      <c r="R265" s="6"/>
      <c r="S265" s="6"/>
      <c r="T265" s="6"/>
      <c r="U265" s="6"/>
      <c r="V265" s="6"/>
      <c r="W265" s="6"/>
    </row>
    <row r="266" spans="1:23" ht="16" x14ac:dyDescent="0.2">
      <c r="A266" s="6"/>
      <c r="B266" s="7"/>
      <c r="C266" s="7"/>
      <c r="D266" s="7"/>
      <c r="E266" s="7"/>
      <c r="F266" s="6"/>
      <c r="G266" s="6"/>
      <c r="H266" s="6"/>
      <c r="I266" s="6"/>
      <c r="J266" s="6"/>
      <c r="K266" s="6"/>
      <c r="L266" s="6"/>
      <c r="M266" s="6"/>
      <c r="N266" s="6"/>
      <c r="O266" s="6"/>
      <c r="P266" s="6"/>
      <c r="Q266" s="6"/>
      <c r="R266" s="6"/>
      <c r="S266" s="6"/>
      <c r="T266" s="6"/>
      <c r="U266" s="6"/>
      <c r="V266" s="6"/>
      <c r="W266" s="6"/>
    </row>
    <row r="267" spans="1:23" ht="16" x14ac:dyDescent="0.2">
      <c r="A267" s="6"/>
      <c r="B267" s="7"/>
      <c r="C267" s="7"/>
      <c r="D267" s="7"/>
      <c r="E267" s="7"/>
      <c r="F267" s="6"/>
      <c r="G267" s="6"/>
      <c r="H267" s="6"/>
      <c r="I267" s="6"/>
      <c r="J267" s="6"/>
      <c r="K267" s="6"/>
      <c r="L267" s="6"/>
      <c r="M267" s="6"/>
      <c r="N267" s="6"/>
      <c r="O267" s="6"/>
      <c r="P267" s="6"/>
      <c r="Q267" s="6"/>
      <c r="R267" s="6"/>
      <c r="S267" s="6"/>
      <c r="T267" s="6"/>
      <c r="U267" s="6"/>
      <c r="V267" s="6"/>
      <c r="W267" s="6"/>
    </row>
    <row r="268" spans="1:23" ht="16" x14ac:dyDescent="0.2">
      <c r="A268" s="6"/>
      <c r="B268" s="7"/>
      <c r="C268" s="7"/>
      <c r="D268" s="7"/>
      <c r="E268" s="7"/>
      <c r="F268" s="6"/>
      <c r="G268" s="6"/>
      <c r="H268" s="6"/>
      <c r="I268" s="6"/>
      <c r="J268" s="6"/>
      <c r="K268" s="6"/>
      <c r="L268" s="6"/>
      <c r="M268" s="6"/>
      <c r="N268" s="6"/>
      <c r="O268" s="6"/>
      <c r="P268" s="6"/>
      <c r="Q268" s="6"/>
      <c r="R268" s="6"/>
      <c r="S268" s="6"/>
      <c r="T268" s="6"/>
      <c r="U268" s="6"/>
      <c r="V268" s="6"/>
      <c r="W268" s="6"/>
    </row>
    <row r="269" spans="1:23" ht="16" x14ac:dyDescent="0.2">
      <c r="A269" s="6"/>
      <c r="B269" s="7"/>
      <c r="C269" s="7"/>
      <c r="D269" s="7"/>
      <c r="E269" s="7"/>
      <c r="F269" s="6"/>
      <c r="G269" s="6"/>
      <c r="H269" s="6"/>
      <c r="I269" s="6"/>
      <c r="J269" s="6"/>
      <c r="K269" s="6"/>
      <c r="L269" s="6"/>
      <c r="M269" s="6"/>
      <c r="N269" s="6"/>
      <c r="O269" s="6"/>
      <c r="P269" s="6"/>
      <c r="Q269" s="6"/>
      <c r="R269" s="6"/>
      <c r="S269" s="6"/>
      <c r="T269" s="6"/>
      <c r="U269" s="6"/>
      <c r="V269" s="6"/>
      <c r="W269" s="6"/>
    </row>
    <row r="270" spans="1:23" ht="16" x14ac:dyDescent="0.2">
      <c r="A270" s="6"/>
      <c r="B270" s="7"/>
      <c r="C270" s="7"/>
      <c r="D270" s="7"/>
      <c r="E270" s="7"/>
      <c r="F270" s="6"/>
      <c r="G270" s="6"/>
      <c r="H270" s="6"/>
      <c r="I270" s="6"/>
      <c r="J270" s="6"/>
      <c r="K270" s="6"/>
      <c r="L270" s="6"/>
      <c r="M270" s="6"/>
      <c r="N270" s="6"/>
      <c r="O270" s="6"/>
      <c r="P270" s="6"/>
      <c r="Q270" s="6"/>
      <c r="R270" s="6"/>
      <c r="S270" s="6"/>
      <c r="T270" s="6"/>
      <c r="U270" s="6"/>
      <c r="V270" s="6"/>
      <c r="W270" s="6"/>
    </row>
    <row r="271" spans="1:23" ht="16" x14ac:dyDescent="0.2">
      <c r="A271" s="6"/>
      <c r="B271" s="7"/>
      <c r="C271" s="7"/>
      <c r="D271" s="7"/>
      <c r="E271" s="7"/>
      <c r="F271" s="6"/>
      <c r="G271" s="6"/>
      <c r="H271" s="6"/>
      <c r="I271" s="6"/>
      <c r="J271" s="6"/>
      <c r="K271" s="6"/>
      <c r="L271" s="6"/>
      <c r="M271" s="6"/>
      <c r="N271" s="6"/>
      <c r="O271" s="6"/>
      <c r="P271" s="6"/>
      <c r="Q271" s="6"/>
      <c r="R271" s="6"/>
      <c r="S271" s="6"/>
      <c r="T271" s="6"/>
      <c r="U271" s="6"/>
      <c r="V271" s="6"/>
      <c r="W271" s="6"/>
    </row>
    <row r="272" spans="1:23" ht="16" x14ac:dyDescent="0.2">
      <c r="A272" s="6"/>
      <c r="B272" s="7"/>
      <c r="C272" s="7"/>
      <c r="D272" s="7"/>
      <c r="E272" s="7"/>
      <c r="F272" s="6"/>
      <c r="G272" s="6"/>
      <c r="H272" s="6"/>
      <c r="I272" s="6"/>
      <c r="J272" s="6"/>
      <c r="K272" s="6"/>
      <c r="L272" s="6"/>
      <c r="M272" s="6"/>
      <c r="N272" s="6"/>
      <c r="O272" s="6"/>
      <c r="P272" s="6"/>
      <c r="Q272" s="6"/>
      <c r="R272" s="6"/>
      <c r="S272" s="6"/>
      <c r="T272" s="6"/>
      <c r="U272" s="6"/>
      <c r="V272" s="6"/>
      <c r="W272" s="6"/>
    </row>
    <row r="273" spans="1:23" ht="16" x14ac:dyDescent="0.2">
      <c r="A273" s="6"/>
      <c r="B273" s="7"/>
      <c r="C273" s="7"/>
      <c r="D273" s="7"/>
      <c r="E273" s="7"/>
      <c r="F273" s="6"/>
      <c r="G273" s="6"/>
      <c r="H273" s="6"/>
      <c r="I273" s="6"/>
      <c r="J273" s="6"/>
      <c r="K273" s="6"/>
      <c r="L273" s="6"/>
      <c r="M273" s="6"/>
      <c r="N273" s="6"/>
      <c r="O273" s="6"/>
      <c r="P273" s="6"/>
      <c r="Q273" s="6"/>
      <c r="R273" s="6"/>
      <c r="S273" s="6"/>
      <c r="T273" s="6"/>
      <c r="U273" s="6"/>
      <c r="V273" s="6"/>
      <c r="W273" s="6"/>
    </row>
    <row r="274" spans="1:23" ht="16" x14ac:dyDescent="0.2">
      <c r="A274" s="6"/>
      <c r="B274" s="7"/>
      <c r="C274" s="7"/>
      <c r="D274" s="7"/>
      <c r="E274" s="7"/>
      <c r="F274" s="6"/>
      <c r="G274" s="6"/>
      <c r="H274" s="6"/>
      <c r="I274" s="6"/>
      <c r="J274" s="6"/>
      <c r="K274" s="6"/>
      <c r="L274" s="6"/>
      <c r="M274" s="6"/>
      <c r="N274" s="6"/>
      <c r="O274" s="6"/>
      <c r="P274" s="6"/>
      <c r="Q274" s="6"/>
      <c r="R274" s="6"/>
      <c r="S274" s="6"/>
      <c r="T274" s="6"/>
      <c r="U274" s="6"/>
      <c r="V274" s="6"/>
      <c r="W274" s="6"/>
    </row>
    <row r="275" spans="1:23" ht="16" x14ac:dyDescent="0.2">
      <c r="A275" s="6"/>
      <c r="B275" s="7"/>
      <c r="C275" s="7"/>
      <c r="D275" s="7"/>
      <c r="E275" s="7"/>
      <c r="F275" s="6"/>
      <c r="G275" s="6"/>
      <c r="H275" s="6"/>
      <c r="I275" s="6"/>
      <c r="J275" s="6"/>
      <c r="K275" s="6"/>
      <c r="L275" s="6"/>
      <c r="M275" s="6"/>
      <c r="N275" s="6"/>
      <c r="O275" s="6"/>
      <c r="P275" s="6"/>
      <c r="Q275" s="6"/>
      <c r="R275" s="6"/>
      <c r="S275" s="6"/>
      <c r="T275" s="6"/>
      <c r="U275" s="6"/>
      <c r="V275" s="6"/>
      <c r="W275" s="6"/>
    </row>
    <row r="276" spans="1:23" ht="16" x14ac:dyDescent="0.2">
      <c r="A276" s="6"/>
      <c r="B276" s="7"/>
      <c r="C276" s="7"/>
      <c r="D276" s="7"/>
      <c r="E276" s="7"/>
      <c r="F276" s="6"/>
      <c r="G276" s="6"/>
      <c r="H276" s="6"/>
      <c r="I276" s="6"/>
      <c r="J276" s="6"/>
      <c r="K276" s="6"/>
      <c r="L276" s="6"/>
      <c r="M276" s="6"/>
      <c r="N276" s="6"/>
      <c r="O276" s="6"/>
      <c r="P276" s="6"/>
      <c r="Q276" s="6"/>
      <c r="R276" s="6"/>
      <c r="S276" s="6"/>
      <c r="T276" s="6"/>
      <c r="U276" s="6"/>
      <c r="V276" s="6"/>
      <c r="W276" s="6"/>
    </row>
    <row r="277" spans="1:23" ht="16" x14ac:dyDescent="0.2">
      <c r="A277" s="6"/>
      <c r="B277" s="7"/>
      <c r="C277" s="7"/>
      <c r="D277" s="7"/>
      <c r="E277" s="7"/>
      <c r="F277" s="6"/>
      <c r="G277" s="6"/>
      <c r="H277" s="6"/>
      <c r="I277" s="6"/>
      <c r="J277" s="6"/>
      <c r="K277" s="6"/>
      <c r="L277" s="6"/>
      <c r="M277" s="6"/>
      <c r="N277" s="6"/>
      <c r="O277" s="6"/>
      <c r="P277" s="6"/>
      <c r="Q277" s="6"/>
      <c r="R277" s="6"/>
      <c r="S277" s="6"/>
      <c r="T277" s="6"/>
      <c r="U277" s="6"/>
      <c r="V277" s="6"/>
      <c r="W277" s="6"/>
    </row>
    <row r="278" spans="1:23" ht="16" x14ac:dyDescent="0.2">
      <c r="A278" s="6"/>
      <c r="B278" s="7"/>
      <c r="C278" s="7"/>
      <c r="D278" s="7"/>
      <c r="E278" s="7"/>
      <c r="F278" s="6"/>
      <c r="G278" s="6"/>
      <c r="H278" s="6"/>
      <c r="I278" s="6"/>
      <c r="J278" s="6"/>
      <c r="K278" s="6"/>
      <c r="L278" s="6"/>
      <c r="M278" s="6"/>
      <c r="N278" s="6"/>
      <c r="O278" s="6"/>
      <c r="P278" s="6"/>
      <c r="Q278" s="6"/>
      <c r="R278" s="6"/>
      <c r="S278" s="6"/>
      <c r="T278" s="6"/>
      <c r="U278" s="6"/>
      <c r="V278" s="6"/>
      <c r="W278" s="6"/>
    </row>
    <row r="279" spans="1:23" ht="16" x14ac:dyDescent="0.2">
      <c r="A279" s="6"/>
      <c r="B279" s="7"/>
      <c r="C279" s="7"/>
      <c r="D279" s="7"/>
      <c r="E279" s="7"/>
      <c r="F279" s="6"/>
      <c r="G279" s="6"/>
      <c r="H279" s="6"/>
      <c r="I279" s="6"/>
      <c r="J279" s="6"/>
      <c r="K279" s="6"/>
      <c r="L279" s="6"/>
      <c r="M279" s="6"/>
      <c r="N279" s="6"/>
      <c r="O279" s="6"/>
      <c r="P279" s="6"/>
      <c r="Q279" s="6"/>
      <c r="R279" s="6"/>
      <c r="S279" s="6"/>
      <c r="T279" s="6"/>
      <c r="U279" s="6"/>
      <c r="V279" s="6"/>
      <c r="W279" s="6"/>
    </row>
    <row r="280" spans="1:23" ht="16" x14ac:dyDescent="0.2">
      <c r="A280" s="6"/>
      <c r="B280" s="7"/>
      <c r="C280" s="7"/>
      <c r="D280" s="7"/>
      <c r="E280" s="7"/>
      <c r="F280" s="6"/>
      <c r="G280" s="6"/>
      <c r="H280" s="6"/>
      <c r="I280" s="6"/>
      <c r="J280" s="6"/>
      <c r="K280" s="6"/>
      <c r="L280" s="6"/>
      <c r="M280" s="6"/>
      <c r="N280" s="6"/>
      <c r="O280" s="6"/>
      <c r="P280" s="6"/>
      <c r="Q280" s="6"/>
      <c r="R280" s="6"/>
      <c r="S280" s="6"/>
      <c r="T280" s="6"/>
      <c r="U280" s="6"/>
      <c r="V280" s="6"/>
      <c r="W280" s="6"/>
    </row>
    <row r="281" spans="1:23" ht="16" x14ac:dyDescent="0.2">
      <c r="A281" s="6"/>
      <c r="B281" s="7"/>
      <c r="C281" s="7"/>
      <c r="D281" s="7"/>
      <c r="E281" s="7"/>
      <c r="F281" s="6"/>
      <c r="G281" s="6"/>
      <c r="H281" s="6"/>
      <c r="I281" s="6"/>
      <c r="J281" s="6"/>
      <c r="K281" s="6"/>
      <c r="L281" s="6"/>
      <c r="M281" s="6"/>
      <c r="N281" s="6"/>
      <c r="O281" s="6"/>
      <c r="P281" s="6"/>
      <c r="Q281" s="6"/>
      <c r="R281" s="6"/>
      <c r="S281" s="6"/>
      <c r="T281" s="6"/>
      <c r="U281" s="6"/>
      <c r="V281" s="6"/>
      <c r="W281" s="6"/>
    </row>
    <row r="282" spans="1:23" ht="16" x14ac:dyDescent="0.2">
      <c r="A282" s="6"/>
      <c r="B282" s="7"/>
      <c r="C282" s="7"/>
      <c r="D282" s="7"/>
      <c r="E282" s="7"/>
      <c r="F282" s="6"/>
      <c r="G282" s="6"/>
      <c r="H282" s="6"/>
      <c r="I282" s="6"/>
      <c r="J282" s="6"/>
      <c r="K282" s="6"/>
      <c r="L282" s="6"/>
      <c r="M282" s="6"/>
      <c r="N282" s="6"/>
      <c r="O282" s="6"/>
      <c r="P282" s="6"/>
      <c r="Q282" s="6"/>
      <c r="R282" s="6"/>
      <c r="S282" s="6"/>
      <c r="T282" s="6"/>
      <c r="U282" s="6"/>
      <c r="V282" s="6"/>
      <c r="W282" s="6"/>
    </row>
    <row r="283" spans="1:23" ht="16" x14ac:dyDescent="0.2">
      <c r="A283" s="6"/>
      <c r="B283" s="7"/>
      <c r="C283" s="7"/>
      <c r="D283" s="7"/>
      <c r="E283" s="7"/>
      <c r="F283" s="6"/>
      <c r="G283" s="6"/>
      <c r="H283" s="6"/>
      <c r="I283" s="6"/>
      <c r="J283" s="6"/>
      <c r="K283" s="6"/>
      <c r="L283" s="6"/>
      <c r="M283" s="6"/>
      <c r="N283" s="6"/>
      <c r="O283" s="6"/>
      <c r="P283" s="6"/>
      <c r="Q283" s="6"/>
      <c r="R283" s="6"/>
      <c r="S283" s="6"/>
      <c r="T283" s="6"/>
      <c r="U283" s="6"/>
      <c r="V283" s="6"/>
      <c r="W283" s="6"/>
    </row>
    <row r="284" spans="1:23" ht="16" x14ac:dyDescent="0.2">
      <c r="A284" s="6"/>
      <c r="B284" s="7"/>
      <c r="C284" s="7"/>
      <c r="D284" s="7"/>
      <c r="E284" s="7"/>
      <c r="F284" s="6"/>
      <c r="G284" s="6"/>
      <c r="H284" s="6"/>
      <c r="I284" s="6"/>
      <c r="J284" s="6"/>
      <c r="K284" s="6"/>
      <c r="L284" s="6"/>
      <c r="M284" s="6"/>
      <c r="N284" s="6"/>
      <c r="O284" s="6"/>
      <c r="P284" s="6"/>
      <c r="Q284" s="6"/>
      <c r="R284" s="6"/>
      <c r="S284" s="6"/>
      <c r="T284" s="6"/>
      <c r="U284" s="6"/>
      <c r="V284" s="6"/>
      <c r="W284" s="6"/>
    </row>
    <row r="285" spans="1:23" ht="16" x14ac:dyDescent="0.2">
      <c r="A285" s="6"/>
      <c r="B285" s="7"/>
      <c r="C285" s="7"/>
      <c r="D285" s="7"/>
      <c r="E285" s="7"/>
      <c r="F285" s="6"/>
      <c r="G285" s="6"/>
      <c r="H285" s="6"/>
      <c r="I285" s="6"/>
      <c r="J285" s="6"/>
      <c r="K285" s="6"/>
      <c r="L285" s="6"/>
      <c r="M285" s="6"/>
      <c r="N285" s="6"/>
      <c r="O285" s="6"/>
      <c r="P285" s="6"/>
      <c r="Q285" s="6"/>
      <c r="R285" s="6"/>
      <c r="S285" s="6"/>
      <c r="T285" s="6"/>
      <c r="U285" s="6"/>
      <c r="V285" s="6"/>
      <c r="W285" s="6"/>
    </row>
    <row r="286" spans="1:23" ht="16" x14ac:dyDescent="0.2">
      <c r="A286" s="6"/>
      <c r="B286" s="7"/>
      <c r="C286" s="7"/>
      <c r="D286" s="7"/>
      <c r="E286" s="7"/>
      <c r="F286" s="6"/>
      <c r="G286" s="6"/>
      <c r="H286" s="6"/>
      <c r="I286" s="6"/>
      <c r="J286" s="6"/>
      <c r="K286" s="6"/>
      <c r="L286" s="6"/>
      <c r="M286" s="6"/>
      <c r="N286" s="6"/>
      <c r="O286" s="6"/>
      <c r="P286" s="6"/>
      <c r="Q286" s="6"/>
      <c r="R286" s="6"/>
      <c r="S286" s="6"/>
      <c r="T286" s="6"/>
      <c r="U286" s="6"/>
      <c r="V286" s="6"/>
      <c r="W286" s="6"/>
    </row>
    <row r="287" spans="1:23" ht="16" x14ac:dyDescent="0.2">
      <c r="A287" s="6"/>
      <c r="B287" s="7"/>
      <c r="C287" s="7"/>
      <c r="D287" s="7"/>
      <c r="E287" s="7"/>
      <c r="F287" s="6"/>
      <c r="G287" s="6"/>
      <c r="H287" s="6"/>
      <c r="I287" s="6"/>
      <c r="J287" s="6"/>
      <c r="K287" s="6"/>
      <c r="L287" s="6"/>
      <c r="M287" s="6"/>
      <c r="N287" s="6"/>
      <c r="O287" s="6"/>
      <c r="P287" s="6"/>
      <c r="Q287" s="6"/>
      <c r="R287" s="6"/>
      <c r="S287" s="6"/>
      <c r="T287" s="6"/>
      <c r="U287" s="6"/>
      <c r="V287" s="6"/>
      <c r="W287" s="6"/>
    </row>
    <row r="288" spans="1:23" ht="16" x14ac:dyDescent="0.2">
      <c r="A288" s="6"/>
      <c r="B288" s="7"/>
      <c r="C288" s="7"/>
      <c r="D288" s="7"/>
      <c r="E288" s="7"/>
      <c r="F288" s="6"/>
      <c r="G288" s="6"/>
      <c r="H288" s="6"/>
      <c r="I288" s="6"/>
      <c r="J288" s="6"/>
      <c r="K288" s="6"/>
      <c r="L288" s="6"/>
      <c r="M288" s="6"/>
      <c r="N288" s="6"/>
      <c r="O288" s="6"/>
      <c r="P288" s="6"/>
      <c r="Q288" s="6"/>
      <c r="R288" s="6"/>
      <c r="S288" s="6"/>
      <c r="T288" s="6"/>
      <c r="U288" s="6"/>
      <c r="V288" s="6"/>
      <c r="W288" s="6"/>
    </row>
    <row r="289" spans="1:23" ht="16" x14ac:dyDescent="0.2">
      <c r="A289" s="6"/>
      <c r="B289" s="7"/>
      <c r="C289" s="7"/>
      <c r="D289" s="7"/>
      <c r="E289" s="7"/>
      <c r="F289" s="6"/>
      <c r="G289" s="6"/>
      <c r="H289" s="6"/>
      <c r="I289" s="6"/>
      <c r="J289" s="6"/>
      <c r="K289" s="6"/>
      <c r="L289" s="6"/>
      <c r="M289" s="6"/>
      <c r="N289" s="6"/>
      <c r="O289" s="6"/>
      <c r="P289" s="6"/>
      <c r="Q289" s="6"/>
      <c r="R289" s="6"/>
      <c r="S289" s="6"/>
      <c r="T289" s="6"/>
      <c r="U289" s="6"/>
      <c r="V289" s="6"/>
      <c r="W289" s="6"/>
    </row>
    <row r="290" spans="1:23" ht="16" x14ac:dyDescent="0.2">
      <c r="A290" s="6"/>
      <c r="B290" s="7"/>
      <c r="C290" s="7"/>
      <c r="D290" s="7"/>
      <c r="E290" s="7"/>
      <c r="F290" s="6"/>
      <c r="G290" s="6"/>
      <c r="H290" s="6"/>
      <c r="I290" s="6"/>
      <c r="J290" s="6"/>
      <c r="K290" s="6"/>
      <c r="L290" s="6"/>
      <c r="M290" s="6"/>
      <c r="N290" s="6"/>
      <c r="O290" s="6"/>
      <c r="P290" s="6"/>
      <c r="Q290" s="6"/>
      <c r="R290" s="6"/>
      <c r="S290" s="6"/>
      <c r="T290" s="6"/>
      <c r="U290" s="6"/>
      <c r="V290" s="6"/>
      <c r="W290" s="6"/>
    </row>
    <row r="291" spans="1:23" ht="16" x14ac:dyDescent="0.2">
      <c r="A291" s="6"/>
      <c r="B291" s="7"/>
      <c r="C291" s="7"/>
      <c r="D291" s="7"/>
      <c r="E291" s="7"/>
      <c r="F291" s="6"/>
      <c r="G291" s="6"/>
      <c r="H291" s="6"/>
      <c r="I291" s="6"/>
      <c r="J291" s="6"/>
      <c r="K291" s="6"/>
      <c r="L291" s="6"/>
      <c r="M291" s="6"/>
      <c r="N291" s="6"/>
      <c r="O291" s="6"/>
      <c r="P291" s="6"/>
      <c r="Q291" s="6"/>
      <c r="R291" s="6"/>
      <c r="S291" s="6"/>
      <c r="T291" s="6"/>
      <c r="U291" s="6"/>
      <c r="V291" s="6"/>
      <c r="W291" s="6"/>
    </row>
    <row r="292" spans="1:23" ht="16" x14ac:dyDescent="0.2">
      <c r="A292" s="6"/>
      <c r="B292" s="7"/>
      <c r="C292" s="7"/>
      <c r="D292" s="7"/>
      <c r="E292" s="7"/>
      <c r="F292" s="6"/>
      <c r="G292" s="6"/>
      <c r="H292" s="6"/>
      <c r="I292" s="6"/>
      <c r="J292" s="6"/>
      <c r="K292" s="6"/>
      <c r="L292" s="6"/>
      <c r="M292" s="6"/>
      <c r="N292" s="6"/>
      <c r="O292" s="6"/>
      <c r="P292" s="6"/>
      <c r="Q292" s="6"/>
      <c r="R292" s="6"/>
      <c r="S292" s="6"/>
      <c r="T292" s="6"/>
      <c r="U292" s="6"/>
      <c r="V292" s="6"/>
      <c r="W292" s="6"/>
    </row>
    <row r="293" spans="1:23" ht="16" x14ac:dyDescent="0.2">
      <c r="A293" s="6"/>
      <c r="B293" s="7"/>
      <c r="C293" s="7"/>
      <c r="D293" s="7"/>
      <c r="E293" s="7"/>
      <c r="F293" s="6"/>
      <c r="G293" s="6"/>
      <c r="H293" s="6"/>
      <c r="I293" s="6"/>
      <c r="J293" s="6"/>
      <c r="K293" s="6"/>
      <c r="L293" s="6"/>
      <c r="M293" s="6"/>
      <c r="N293" s="6"/>
      <c r="O293" s="6"/>
      <c r="P293" s="6"/>
      <c r="Q293" s="6"/>
      <c r="R293" s="6"/>
      <c r="S293" s="6"/>
      <c r="T293" s="6"/>
      <c r="U293" s="6"/>
      <c r="V293" s="6"/>
      <c r="W293" s="6"/>
    </row>
    <row r="294" spans="1:23" ht="16" x14ac:dyDescent="0.2">
      <c r="A294" s="6"/>
      <c r="B294" s="7"/>
      <c r="C294" s="7"/>
      <c r="D294" s="7"/>
      <c r="E294" s="7"/>
      <c r="F294" s="6"/>
      <c r="G294" s="6"/>
      <c r="H294" s="6"/>
      <c r="I294" s="6"/>
      <c r="J294" s="6"/>
      <c r="K294" s="6"/>
      <c r="L294" s="6"/>
      <c r="M294" s="6"/>
      <c r="N294" s="6"/>
      <c r="O294" s="6"/>
      <c r="P294" s="6"/>
      <c r="Q294" s="6"/>
      <c r="R294" s="6"/>
      <c r="S294" s="6"/>
      <c r="T294" s="6"/>
      <c r="U294" s="6"/>
      <c r="V294" s="6"/>
      <c r="W294" s="6"/>
    </row>
    <row r="295" spans="1:23" ht="16" x14ac:dyDescent="0.2">
      <c r="A295" s="6"/>
      <c r="B295" s="7"/>
      <c r="C295" s="7"/>
      <c r="D295" s="7"/>
      <c r="E295" s="7"/>
      <c r="F295" s="6"/>
      <c r="G295" s="6"/>
      <c r="H295" s="6"/>
      <c r="I295" s="6"/>
      <c r="J295" s="6"/>
      <c r="K295" s="6"/>
      <c r="L295" s="6"/>
      <c r="M295" s="6"/>
      <c r="N295" s="6"/>
      <c r="O295" s="6"/>
      <c r="P295" s="6"/>
      <c r="Q295" s="6"/>
      <c r="R295" s="6"/>
      <c r="S295" s="6"/>
      <c r="T295" s="6"/>
      <c r="U295" s="6"/>
      <c r="V295" s="6"/>
      <c r="W295" s="6"/>
    </row>
    <row r="296" spans="1:23" ht="16" x14ac:dyDescent="0.2">
      <c r="A296" s="6"/>
      <c r="B296" s="7"/>
      <c r="C296" s="7"/>
      <c r="D296" s="7"/>
      <c r="E296" s="7"/>
      <c r="F296" s="6"/>
      <c r="G296" s="6"/>
      <c r="H296" s="6"/>
      <c r="I296" s="6"/>
      <c r="J296" s="6"/>
      <c r="K296" s="6"/>
      <c r="L296" s="6"/>
      <c r="M296" s="6"/>
      <c r="N296" s="6"/>
      <c r="O296" s="6"/>
      <c r="P296" s="6"/>
      <c r="Q296" s="6"/>
      <c r="R296" s="6"/>
      <c r="S296" s="6"/>
      <c r="T296" s="6"/>
      <c r="U296" s="6"/>
      <c r="V296" s="6"/>
      <c r="W296" s="6"/>
    </row>
    <row r="297" spans="1:23" ht="16" x14ac:dyDescent="0.2">
      <c r="A297" s="6"/>
      <c r="B297" s="7"/>
      <c r="C297" s="7"/>
      <c r="D297" s="7"/>
      <c r="E297" s="7"/>
      <c r="F297" s="6"/>
      <c r="G297" s="6"/>
      <c r="H297" s="6"/>
      <c r="I297" s="6"/>
      <c r="J297" s="6"/>
      <c r="K297" s="6"/>
      <c r="L297" s="6"/>
      <c r="M297" s="6"/>
      <c r="N297" s="6"/>
      <c r="O297" s="6"/>
      <c r="P297" s="6"/>
      <c r="Q297" s="6"/>
      <c r="R297" s="6"/>
      <c r="S297" s="6"/>
      <c r="T297" s="6"/>
      <c r="U297" s="6"/>
      <c r="V297" s="6"/>
      <c r="W297" s="6"/>
    </row>
    <row r="298" spans="1:23" ht="16" x14ac:dyDescent="0.2">
      <c r="A298" s="6"/>
      <c r="B298" s="7"/>
      <c r="C298" s="7"/>
      <c r="D298" s="7"/>
      <c r="E298" s="7"/>
      <c r="F298" s="6"/>
      <c r="G298" s="6"/>
      <c r="H298" s="6"/>
      <c r="I298" s="6"/>
      <c r="J298" s="6"/>
      <c r="K298" s="6"/>
      <c r="L298" s="6"/>
      <c r="M298" s="6"/>
      <c r="N298" s="6"/>
      <c r="O298" s="6"/>
      <c r="P298" s="6"/>
      <c r="Q298" s="6"/>
      <c r="R298" s="6"/>
      <c r="S298" s="6"/>
      <c r="T298" s="6"/>
      <c r="U298" s="6"/>
      <c r="V298" s="6"/>
      <c r="W298" s="6"/>
    </row>
    <row r="299" spans="1:23" ht="16" x14ac:dyDescent="0.2">
      <c r="A299" s="6"/>
      <c r="B299" s="7"/>
      <c r="C299" s="7"/>
      <c r="D299" s="7"/>
      <c r="E299" s="7"/>
      <c r="F299" s="6"/>
      <c r="G299" s="6"/>
      <c r="H299" s="6"/>
      <c r="I299" s="6"/>
      <c r="J299" s="6"/>
      <c r="K299" s="6"/>
      <c r="L299" s="6"/>
      <c r="M299" s="6"/>
      <c r="N299" s="6"/>
      <c r="O299" s="6"/>
      <c r="P299" s="6"/>
      <c r="Q299" s="6"/>
      <c r="R299" s="6"/>
      <c r="S299" s="6"/>
      <c r="T299" s="6"/>
      <c r="U299" s="6"/>
      <c r="V299" s="6"/>
      <c r="W299" s="6"/>
    </row>
    <row r="300" spans="1:23" ht="16" x14ac:dyDescent="0.2">
      <c r="A300" s="6"/>
      <c r="B300" s="7"/>
      <c r="C300" s="7"/>
      <c r="D300" s="7"/>
      <c r="E300" s="7"/>
      <c r="F300" s="6"/>
      <c r="G300" s="6"/>
      <c r="H300" s="6"/>
      <c r="I300" s="6"/>
      <c r="J300" s="6"/>
      <c r="K300" s="6"/>
      <c r="L300" s="6"/>
      <c r="M300" s="6"/>
      <c r="N300" s="6"/>
      <c r="O300" s="6"/>
      <c r="P300" s="6"/>
      <c r="Q300" s="6"/>
      <c r="R300" s="6"/>
      <c r="S300" s="6"/>
      <c r="T300" s="6"/>
      <c r="U300" s="6"/>
      <c r="V300" s="6"/>
      <c r="W300" s="6"/>
    </row>
    <row r="301" spans="1:23" ht="16" x14ac:dyDescent="0.2">
      <c r="A301" s="6"/>
      <c r="B301" s="7"/>
      <c r="C301" s="7"/>
      <c r="D301" s="7"/>
      <c r="E301" s="7"/>
      <c r="F301" s="6"/>
      <c r="G301" s="6"/>
      <c r="H301" s="6"/>
      <c r="I301" s="6"/>
      <c r="J301" s="6"/>
      <c r="K301" s="6"/>
      <c r="L301" s="6"/>
      <c r="M301" s="6"/>
      <c r="N301" s="6"/>
      <c r="O301" s="6"/>
      <c r="P301" s="6"/>
      <c r="Q301" s="6"/>
      <c r="R301" s="6"/>
      <c r="S301" s="6"/>
      <c r="T301" s="6"/>
      <c r="U301" s="6"/>
      <c r="V301" s="6"/>
      <c r="W301" s="6"/>
    </row>
    <row r="302" spans="1:23" ht="16" x14ac:dyDescent="0.2">
      <c r="A302" s="6"/>
      <c r="B302" s="7"/>
      <c r="C302" s="7"/>
      <c r="D302" s="7"/>
      <c r="E302" s="7"/>
      <c r="F302" s="6"/>
      <c r="G302" s="6"/>
      <c r="H302" s="6"/>
      <c r="I302" s="6"/>
      <c r="J302" s="6"/>
      <c r="K302" s="6"/>
      <c r="L302" s="6"/>
      <c r="M302" s="6"/>
      <c r="N302" s="6"/>
      <c r="O302" s="6"/>
      <c r="P302" s="6"/>
      <c r="Q302" s="6"/>
      <c r="R302" s="6"/>
      <c r="S302" s="6"/>
      <c r="T302" s="6"/>
      <c r="U302" s="6"/>
      <c r="V302" s="6"/>
      <c r="W302" s="6"/>
    </row>
    <row r="303" spans="1:23" ht="16" x14ac:dyDescent="0.2">
      <c r="A303" s="6"/>
      <c r="B303" s="7"/>
      <c r="C303" s="7"/>
      <c r="D303" s="7"/>
      <c r="E303" s="7"/>
      <c r="F303" s="6"/>
      <c r="G303" s="6"/>
      <c r="H303" s="6"/>
      <c r="I303" s="6"/>
      <c r="J303" s="6"/>
      <c r="K303" s="6"/>
      <c r="L303" s="6"/>
      <c r="M303" s="6"/>
      <c r="N303" s="6"/>
      <c r="O303" s="6"/>
      <c r="P303" s="6"/>
      <c r="Q303" s="6"/>
      <c r="R303" s="6"/>
      <c r="S303" s="6"/>
      <c r="T303" s="6"/>
      <c r="U303" s="6"/>
      <c r="V303" s="6"/>
      <c r="W303" s="6"/>
    </row>
    <row r="304" spans="1:23" ht="16" x14ac:dyDescent="0.2">
      <c r="A304" s="6"/>
      <c r="B304" s="7"/>
      <c r="C304" s="7"/>
      <c r="D304" s="7"/>
      <c r="E304" s="7"/>
      <c r="F304" s="6"/>
      <c r="G304" s="6"/>
      <c r="H304" s="6"/>
      <c r="I304" s="6"/>
      <c r="J304" s="6"/>
      <c r="K304" s="6"/>
      <c r="L304" s="6"/>
      <c r="M304" s="6"/>
      <c r="N304" s="6"/>
      <c r="O304" s="6"/>
      <c r="P304" s="6"/>
      <c r="Q304" s="6"/>
      <c r="R304" s="6"/>
      <c r="S304" s="6"/>
      <c r="T304" s="6"/>
      <c r="U304" s="6"/>
      <c r="V304" s="6"/>
      <c r="W304" s="6"/>
    </row>
    <row r="305" spans="1:23" ht="16" x14ac:dyDescent="0.2">
      <c r="A305" s="6"/>
      <c r="B305" s="7"/>
      <c r="C305" s="7"/>
      <c r="D305" s="7"/>
      <c r="E305" s="7"/>
      <c r="F305" s="6"/>
      <c r="G305" s="6"/>
      <c r="H305" s="6"/>
      <c r="I305" s="6"/>
      <c r="J305" s="6"/>
      <c r="K305" s="6"/>
      <c r="L305" s="6"/>
      <c r="M305" s="6"/>
      <c r="N305" s="6"/>
      <c r="O305" s="6"/>
      <c r="P305" s="6"/>
      <c r="Q305" s="6"/>
      <c r="R305" s="6"/>
      <c r="S305" s="6"/>
      <c r="T305" s="6"/>
      <c r="U305" s="6"/>
      <c r="V305" s="6"/>
      <c r="W305" s="6"/>
    </row>
    <row r="306" spans="1:23" ht="16" x14ac:dyDescent="0.2">
      <c r="A306" s="6"/>
      <c r="B306" s="7"/>
      <c r="C306" s="7"/>
      <c r="D306" s="7"/>
      <c r="E306" s="7"/>
      <c r="F306" s="6"/>
      <c r="G306" s="6"/>
      <c r="H306" s="6"/>
      <c r="I306" s="6"/>
      <c r="J306" s="6"/>
      <c r="K306" s="6"/>
      <c r="L306" s="6"/>
      <c r="M306" s="6"/>
      <c r="N306" s="6"/>
      <c r="O306" s="6"/>
      <c r="P306" s="6"/>
      <c r="Q306" s="6"/>
      <c r="R306" s="6"/>
      <c r="S306" s="6"/>
      <c r="T306" s="6"/>
      <c r="U306" s="6"/>
      <c r="V306" s="6"/>
      <c r="W306" s="6"/>
    </row>
    <row r="307" spans="1:23" ht="16" x14ac:dyDescent="0.2">
      <c r="A307" s="6"/>
      <c r="B307" s="7"/>
      <c r="C307" s="7"/>
      <c r="D307" s="7"/>
      <c r="E307" s="7"/>
      <c r="F307" s="6"/>
      <c r="G307" s="6"/>
      <c r="H307" s="6"/>
      <c r="I307" s="6"/>
      <c r="J307" s="6"/>
      <c r="K307" s="6"/>
      <c r="L307" s="6"/>
      <c r="M307" s="6"/>
      <c r="N307" s="6"/>
      <c r="O307" s="6"/>
      <c r="P307" s="6"/>
      <c r="Q307" s="6"/>
      <c r="R307" s="6"/>
      <c r="S307" s="6"/>
      <c r="T307" s="6"/>
      <c r="U307" s="6"/>
      <c r="V307" s="6"/>
      <c r="W307" s="6"/>
    </row>
    <row r="308" spans="1:23" ht="16" x14ac:dyDescent="0.2">
      <c r="A308" s="6"/>
      <c r="B308" s="7"/>
      <c r="C308" s="7"/>
      <c r="D308" s="7"/>
      <c r="E308" s="7"/>
      <c r="F308" s="6"/>
      <c r="G308" s="6"/>
      <c r="H308" s="6"/>
      <c r="I308" s="6"/>
      <c r="J308" s="6"/>
      <c r="K308" s="6"/>
      <c r="L308" s="6"/>
      <c r="M308" s="6"/>
      <c r="N308" s="6"/>
      <c r="O308" s="6"/>
      <c r="P308" s="6"/>
      <c r="Q308" s="6"/>
      <c r="R308" s="6"/>
      <c r="S308" s="6"/>
      <c r="T308" s="6"/>
      <c r="U308" s="6"/>
      <c r="V308" s="6"/>
      <c r="W308" s="6"/>
    </row>
    <row r="309" spans="1:23" ht="16" x14ac:dyDescent="0.2">
      <c r="A309" s="6"/>
      <c r="B309" s="7"/>
      <c r="C309" s="7"/>
      <c r="D309" s="7"/>
      <c r="E309" s="7"/>
      <c r="F309" s="6"/>
      <c r="G309" s="6"/>
      <c r="H309" s="6"/>
      <c r="I309" s="6"/>
      <c r="J309" s="6"/>
      <c r="K309" s="6"/>
      <c r="L309" s="6"/>
      <c r="M309" s="6"/>
      <c r="N309" s="6"/>
      <c r="O309" s="6"/>
      <c r="P309" s="6"/>
      <c r="Q309" s="6"/>
      <c r="R309" s="6"/>
      <c r="S309" s="6"/>
      <c r="T309" s="6"/>
      <c r="U309" s="6"/>
      <c r="V309" s="6"/>
      <c r="W309" s="6"/>
    </row>
    <row r="310" spans="1:23" ht="16" x14ac:dyDescent="0.2">
      <c r="A310" s="6"/>
      <c r="B310" s="7"/>
      <c r="C310" s="7"/>
      <c r="D310" s="7"/>
      <c r="E310" s="7"/>
      <c r="F310" s="6"/>
      <c r="G310" s="6"/>
      <c r="H310" s="6"/>
      <c r="I310" s="6"/>
      <c r="J310" s="6"/>
      <c r="K310" s="6"/>
      <c r="L310" s="6"/>
      <c r="M310" s="6"/>
      <c r="N310" s="6"/>
      <c r="O310" s="6"/>
      <c r="P310" s="6"/>
      <c r="Q310" s="6"/>
      <c r="R310" s="6"/>
      <c r="S310" s="6"/>
      <c r="T310" s="6"/>
      <c r="U310" s="6"/>
      <c r="V310" s="6"/>
      <c r="W310" s="6"/>
    </row>
    <row r="311" spans="1:23" ht="16" x14ac:dyDescent="0.2">
      <c r="A311" s="6"/>
      <c r="B311" s="7"/>
      <c r="C311" s="7"/>
      <c r="D311" s="7"/>
      <c r="E311" s="7"/>
      <c r="F311" s="6"/>
      <c r="G311" s="6"/>
      <c r="H311" s="6"/>
      <c r="I311" s="6"/>
      <c r="J311" s="6"/>
      <c r="K311" s="6"/>
      <c r="L311" s="6"/>
      <c r="M311" s="6"/>
      <c r="N311" s="6"/>
      <c r="O311" s="6"/>
      <c r="P311" s="6"/>
      <c r="Q311" s="6"/>
      <c r="R311" s="6"/>
      <c r="S311" s="6"/>
      <c r="T311" s="6"/>
      <c r="U311" s="6"/>
      <c r="V311" s="6"/>
      <c r="W311" s="6"/>
    </row>
    <row r="312" spans="1:23" ht="16" x14ac:dyDescent="0.2">
      <c r="A312" s="6"/>
      <c r="B312" s="7"/>
      <c r="C312" s="7"/>
      <c r="D312" s="7"/>
      <c r="E312" s="7"/>
      <c r="F312" s="6"/>
      <c r="G312" s="6"/>
      <c r="H312" s="6"/>
      <c r="I312" s="6"/>
      <c r="J312" s="6"/>
      <c r="K312" s="6"/>
      <c r="L312" s="6"/>
      <c r="M312" s="6"/>
      <c r="N312" s="6"/>
      <c r="O312" s="6"/>
      <c r="P312" s="6"/>
      <c r="Q312" s="6"/>
      <c r="R312" s="6"/>
      <c r="S312" s="6"/>
      <c r="T312" s="6"/>
      <c r="U312" s="6"/>
      <c r="V312" s="6"/>
      <c r="W312" s="6"/>
    </row>
    <row r="313" spans="1:23" ht="16" x14ac:dyDescent="0.2">
      <c r="A313" s="6"/>
      <c r="B313" s="7"/>
      <c r="C313" s="7"/>
      <c r="D313" s="7"/>
      <c r="E313" s="7"/>
      <c r="F313" s="6"/>
      <c r="G313" s="6"/>
      <c r="H313" s="6"/>
      <c r="I313" s="6"/>
      <c r="J313" s="6"/>
      <c r="K313" s="6"/>
      <c r="L313" s="6"/>
      <c r="M313" s="6"/>
      <c r="N313" s="6"/>
      <c r="O313" s="6"/>
      <c r="P313" s="6"/>
      <c r="Q313" s="6"/>
      <c r="R313" s="6"/>
      <c r="S313" s="6"/>
      <c r="T313" s="6"/>
      <c r="U313" s="6"/>
      <c r="V313" s="6"/>
      <c r="W313" s="6"/>
    </row>
    <row r="314" spans="1:23" ht="16" x14ac:dyDescent="0.2">
      <c r="A314" s="6"/>
      <c r="B314" s="7"/>
      <c r="C314" s="7"/>
      <c r="D314" s="7"/>
      <c r="E314" s="7"/>
      <c r="F314" s="6"/>
      <c r="G314" s="6"/>
      <c r="H314" s="6"/>
      <c r="I314" s="6"/>
      <c r="J314" s="6"/>
      <c r="K314" s="6"/>
      <c r="L314" s="6"/>
      <c r="M314" s="6"/>
      <c r="N314" s="6"/>
      <c r="O314" s="6"/>
      <c r="P314" s="6"/>
      <c r="Q314" s="6"/>
      <c r="R314" s="6"/>
      <c r="S314" s="6"/>
      <c r="T314" s="6"/>
      <c r="U314" s="6"/>
      <c r="V314" s="6"/>
      <c r="W314" s="6"/>
    </row>
    <row r="315" spans="1:23" ht="16" x14ac:dyDescent="0.2">
      <c r="A315" s="6"/>
      <c r="B315" s="7"/>
      <c r="C315" s="7"/>
      <c r="D315" s="7"/>
      <c r="E315" s="7"/>
      <c r="F315" s="6"/>
      <c r="G315" s="6"/>
      <c r="H315" s="6"/>
      <c r="I315" s="6"/>
      <c r="J315" s="6"/>
      <c r="K315" s="6"/>
      <c r="L315" s="6"/>
      <c r="M315" s="6"/>
      <c r="N315" s="6"/>
      <c r="O315" s="6"/>
      <c r="P315" s="6"/>
      <c r="Q315" s="6"/>
      <c r="R315" s="6"/>
      <c r="S315" s="6"/>
      <c r="T315" s="6"/>
      <c r="U315" s="6"/>
      <c r="V315" s="6"/>
      <c r="W315" s="6"/>
    </row>
    <row r="316" spans="1:23" ht="16" x14ac:dyDescent="0.2">
      <c r="A316" s="6"/>
      <c r="B316" s="7"/>
      <c r="C316" s="7"/>
      <c r="D316" s="7"/>
      <c r="E316" s="7"/>
      <c r="F316" s="6"/>
      <c r="G316" s="6"/>
      <c r="H316" s="6"/>
      <c r="I316" s="6"/>
      <c r="J316" s="6"/>
      <c r="K316" s="6"/>
      <c r="L316" s="6"/>
      <c r="M316" s="6"/>
      <c r="N316" s="6"/>
      <c r="O316" s="6"/>
      <c r="P316" s="6"/>
      <c r="Q316" s="6"/>
      <c r="R316" s="6"/>
      <c r="S316" s="6"/>
      <c r="T316" s="6"/>
      <c r="U316" s="6"/>
      <c r="V316" s="6"/>
      <c r="W316" s="6"/>
    </row>
    <row r="317" spans="1:23" ht="16" x14ac:dyDescent="0.2">
      <c r="A317" s="6"/>
      <c r="B317" s="7"/>
      <c r="C317" s="7"/>
      <c r="D317" s="7"/>
      <c r="E317" s="7"/>
      <c r="F317" s="6"/>
      <c r="G317" s="6"/>
      <c r="H317" s="6"/>
      <c r="I317" s="6"/>
      <c r="J317" s="6"/>
      <c r="K317" s="6"/>
      <c r="L317" s="6"/>
      <c r="M317" s="6"/>
      <c r="N317" s="6"/>
      <c r="O317" s="6"/>
      <c r="P317" s="6"/>
      <c r="Q317" s="6"/>
      <c r="R317" s="6"/>
      <c r="S317" s="6"/>
      <c r="T317" s="6"/>
      <c r="U317" s="6"/>
      <c r="V317" s="6"/>
      <c r="W317" s="6"/>
    </row>
    <row r="318" spans="1:23" ht="16" x14ac:dyDescent="0.2">
      <c r="A318" s="6"/>
      <c r="B318" s="7"/>
      <c r="C318" s="7"/>
      <c r="D318" s="7"/>
      <c r="E318" s="7"/>
      <c r="F318" s="6"/>
      <c r="G318" s="6"/>
      <c r="H318" s="6"/>
      <c r="I318" s="6"/>
      <c r="J318" s="6"/>
      <c r="K318" s="6"/>
      <c r="L318" s="6"/>
      <c r="M318" s="6"/>
      <c r="N318" s="6"/>
      <c r="O318" s="6"/>
      <c r="P318" s="6"/>
      <c r="Q318" s="6"/>
      <c r="R318" s="6"/>
      <c r="S318" s="6"/>
      <c r="T318" s="6"/>
      <c r="U318" s="6"/>
      <c r="V318" s="6"/>
      <c r="W318" s="6"/>
    </row>
    <row r="319" spans="1:23" ht="16" x14ac:dyDescent="0.2">
      <c r="A319" s="6"/>
      <c r="B319" s="7"/>
      <c r="C319" s="7"/>
      <c r="D319" s="7"/>
      <c r="E319" s="7"/>
      <c r="F319" s="6"/>
      <c r="G319" s="6"/>
      <c r="H319" s="6"/>
      <c r="I319" s="6"/>
      <c r="J319" s="6"/>
      <c r="K319" s="6"/>
      <c r="L319" s="6"/>
      <c r="M319" s="6"/>
      <c r="N319" s="6"/>
      <c r="O319" s="6"/>
      <c r="P319" s="6"/>
      <c r="Q319" s="6"/>
      <c r="R319" s="6"/>
      <c r="S319" s="6"/>
      <c r="T319" s="6"/>
      <c r="U319" s="6"/>
      <c r="V319" s="6"/>
      <c r="W319" s="6"/>
    </row>
    <row r="320" spans="1:23" ht="16" x14ac:dyDescent="0.2">
      <c r="A320" s="6"/>
      <c r="B320" s="7"/>
      <c r="C320" s="7"/>
      <c r="D320" s="7"/>
      <c r="E320" s="7"/>
      <c r="F320" s="6"/>
      <c r="G320" s="6"/>
      <c r="H320" s="6"/>
      <c r="I320" s="6"/>
      <c r="J320" s="6"/>
      <c r="K320" s="6"/>
      <c r="L320" s="6"/>
      <c r="M320" s="6"/>
      <c r="N320" s="6"/>
      <c r="O320" s="6"/>
      <c r="P320" s="6"/>
      <c r="Q320" s="6"/>
      <c r="R320" s="6"/>
      <c r="S320" s="6"/>
      <c r="T320" s="6"/>
      <c r="U320" s="6"/>
      <c r="V320" s="6"/>
      <c r="W320" s="6"/>
    </row>
    <row r="321" spans="1:23" ht="16" x14ac:dyDescent="0.2">
      <c r="A321" s="6"/>
      <c r="B321" s="7"/>
      <c r="C321" s="7"/>
      <c r="D321" s="7"/>
      <c r="E321" s="7"/>
      <c r="F321" s="6"/>
      <c r="G321" s="6"/>
      <c r="H321" s="6"/>
      <c r="I321" s="6"/>
      <c r="J321" s="6"/>
      <c r="K321" s="6"/>
      <c r="L321" s="6"/>
      <c r="M321" s="6"/>
      <c r="N321" s="6"/>
      <c r="O321" s="6"/>
      <c r="P321" s="6"/>
      <c r="Q321" s="6"/>
      <c r="R321" s="6"/>
      <c r="S321" s="6"/>
      <c r="T321" s="6"/>
      <c r="U321" s="6"/>
      <c r="V321" s="6"/>
      <c r="W321" s="6"/>
    </row>
    <row r="322" spans="1:23" ht="16" x14ac:dyDescent="0.2">
      <c r="A322" s="6"/>
      <c r="B322" s="7"/>
      <c r="C322" s="7"/>
      <c r="D322" s="7"/>
      <c r="E322" s="7"/>
      <c r="F322" s="6"/>
      <c r="G322" s="6"/>
      <c r="H322" s="6"/>
      <c r="I322" s="6"/>
      <c r="J322" s="6"/>
      <c r="K322" s="6"/>
      <c r="L322" s="6"/>
      <c r="M322" s="6"/>
      <c r="N322" s="6"/>
      <c r="O322" s="6"/>
      <c r="P322" s="6"/>
      <c r="Q322" s="6"/>
      <c r="R322" s="6"/>
      <c r="S322" s="6"/>
      <c r="T322" s="6"/>
      <c r="U322" s="6"/>
      <c r="V322" s="6"/>
      <c r="W322" s="6"/>
    </row>
    <row r="323" spans="1:23" ht="16" x14ac:dyDescent="0.2">
      <c r="A323" s="6"/>
      <c r="B323" s="7"/>
      <c r="C323" s="7"/>
      <c r="D323" s="7"/>
      <c r="E323" s="7"/>
      <c r="F323" s="6"/>
      <c r="G323" s="6"/>
      <c r="H323" s="6"/>
      <c r="I323" s="6"/>
      <c r="J323" s="6"/>
      <c r="K323" s="6"/>
      <c r="L323" s="6"/>
      <c r="M323" s="6"/>
      <c r="N323" s="6"/>
      <c r="O323" s="6"/>
      <c r="P323" s="6"/>
      <c r="Q323" s="6"/>
      <c r="R323" s="6"/>
      <c r="S323" s="6"/>
      <c r="T323" s="6"/>
      <c r="U323" s="6"/>
      <c r="V323" s="6"/>
      <c r="W323" s="6"/>
    </row>
    <row r="324" spans="1:23" ht="16" x14ac:dyDescent="0.2">
      <c r="A324" s="6"/>
      <c r="B324" s="7"/>
      <c r="C324" s="7"/>
      <c r="D324" s="7"/>
      <c r="E324" s="7"/>
      <c r="F324" s="6"/>
      <c r="G324" s="6"/>
      <c r="H324" s="6"/>
      <c r="I324" s="6"/>
      <c r="J324" s="6"/>
      <c r="K324" s="6"/>
      <c r="L324" s="6"/>
      <c r="M324" s="6"/>
      <c r="N324" s="6"/>
      <c r="O324" s="6"/>
      <c r="P324" s="6"/>
      <c r="Q324" s="6"/>
      <c r="R324" s="6"/>
      <c r="S324" s="6"/>
      <c r="T324" s="6"/>
      <c r="U324" s="6"/>
      <c r="V324" s="6"/>
      <c r="W324" s="6"/>
    </row>
    <row r="325" spans="1:23" ht="16" x14ac:dyDescent="0.2">
      <c r="A325" s="6"/>
      <c r="B325" s="7"/>
      <c r="C325" s="7"/>
      <c r="D325" s="7"/>
      <c r="E325" s="7"/>
      <c r="F325" s="6"/>
      <c r="G325" s="6"/>
      <c r="H325" s="6"/>
      <c r="I325" s="6"/>
      <c r="J325" s="6"/>
      <c r="K325" s="6"/>
      <c r="L325" s="6"/>
      <c r="M325" s="6"/>
      <c r="N325" s="6"/>
      <c r="O325" s="6"/>
      <c r="P325" s="6"/>
      <c r="Q325" s="6"/>
      <c r="R325" s="6"/>
      <c r="S325" s="6"/>
      <c r="T325" s="6"/>
      <c r="U325" s="6"/>
      <c r="V325" s="6"/>
      <c r="W325" s="6"/>
    </row>
    <row r="326" spans="1:23" ht="16" x14ac:dyDescent="0.2">
      <c r="A326" s="6"/>
      <c r="B326" s="7"/>
      <c r="C326" s="7"/>
      <c r="D326" s="7"/>
      <c r="E326" s="7"/>
      <c r="F326" s="6"/>
      <c r="G326" s="6"/>
      <c r="H326" s="6"/>
      <c r="I326" s="6"/>
      <c r="J326" s="6"/>
      <c r="K326" s="6"/>
      <c r="L326" s="6"/>
      <c r="M326" s="6"/>
      <c r="N326" s="6"/>
      <c r="O326" s="6"/>
      <c r="P326" s="6"/>
      <c r="Q326" s="6"/>
      <c r="R326" s="6"/>
      <c r="S326" s="6"/>
      <c r="T326" s="6"/>
      <c r="U326" s="6"/>
      <c r="V326" s="6"/>
      <c r="W326" s="6"/>
    </row>
    <row r="327" spans="1:23" ht="16" x14ac:dyDescent="0.2">
      <c r="A327" s="6"/>
      <c r="B327" s="7"/>
      <c r="C327" s="7"/>
      <c r="D327" s="7"/>
      <c r="E327" s="7"/>
      <c r="F327" s="6"/>
      <c r="G327" s="6"/>
      <c r="H327" s="6"/>
      <c r="I327" s="6"/>
      <c r="J327" s="6"/>
      <c r="K327" s="6"/>
      <c r="L327" s="6"/>
      <c r="M327" s="6"/>
      <c r="N327" s="6"/>
      <c r="O327" s="6"/>
      <c r="P327" s="6"/>
      <c r="Q327" s="6"/>
      <c r="R327" s="6"/>
      <c r="S327" s="6"/>
      <c r="T327" s="6"/>
      <c r="U327" s="6"/>
      <c r="V327" s="6"/>
      <c r="W327" s="6"/>
    </row>
    <row r="328" spans="1:23" ht="16" x14ac:dyDescent="0.2">
      <c r="A328" s="6"/>
      <c r="B328" s="7"/>
      <c r="C328" s="7"/>
      <c r="D328" s="7"/>
      <c r="E328" s="7"/>
      <c r="F328" s="6"/>
      <c r="G328" s="6"/>
      <c r="H328" s="6"/>
      <c r="I328" s="6"/>
      <c r="J328" s="6"/>
      <c r="K328" s="6"/>
      <c r="L328" s="6"/>
      <c r="M328" s="6"/>
      <c r="N328" s="6"/>
      <c r="O328" s="6"/>
      <c r="P328" s="6"/>
      <c r="Q328" s="6"/>
      <c r="R328" s="6"/>
      <c r="S328" s="6"/>
      <c r="T328" s="6"/>
      <c r="U328" s="6"/>
      <c r="V328" s="6"/>
      <c r="W328" s="6"/>
    </row>
    <row r="329" spans="1:23" ht="16" x14ac:dyDescent="0.2">
      <c r="A329" s="6"/>
      <c r="B329" s="7"/>
      <c r="C329" s="7"/>
      <c r="D329" s="7"/>
      <c r="E329" s="7"/>
      <c r="F329" s="6"/>
      <c r="G329" s="6"/>
      <c r="H329" s="6"/>
      <c r="I329" s="6"/>
      <c r="J329" s="6"/>
      <c r="K329" s="6"/>
      <c r="L329" s="6"/>
      <c r="M329" s="6"/>
      <c r="N329" s="6"/>
      <c r="O329" s="6"/>
      <c r="P329" s="6"/>
      <c r="Q329" s="6"/>
      <c r="R329" s="6"/>
      <c r="S329" s="6"/>
      <c r="T329" s="6"/>
      <c r="U329" s="6"/>
      <c r="V329" s="6"/>
      <c r="W329" s="6"/>
    </row>
    <row r="330" spans="1:23" ht="16" x14ac:dyDescent="0.2">
      <c r="A330" s="6"/>
      <c r="B330" s="7"/>
      <c r="C330" s="7"/>
      <c r="D330" s="7"/>
      <c r="E330" s="7"/>
      <c r="F330" s="6"/>
      <c r="G330" s="6"/>
      <c r="H330" s="6"/>
      <c r="I330" s="6"/>
      <c r="J330" s="6"/>
      <c r="K330" s="6"/>
      <c r="L330" s="6"/>
      <c r="M330" s="6"/>
      <c r="N330" s="6"/>
      <c r="O330" s="6"/>
      <c r="P330" s="6"/>
      <c r="Q330" s="6"/>
      <c r="R330" s="6"/>
      <c r="S330" s="6"/>
      <c r="T330" s="6"/>
      <c r="U330" s="6"/>
      <c r="V330" s="6"/>
      <c r="W330" s="6"/>
    </row>
    <row r="331" spans="1:23" ht="16" x14ac:dyDescent="0.2">
      <c r="A331" s="6"/>
      <c r="B331" s="7"/>
      <c r="C331" s="7"/>
      <c r="D331" s="7"/>
      <c r="E331" s="7"/>
      <c r="F331" s="6"/>
      <c r="G331" s="6"/>
      <c r="H331" s="6"/>
      <c r="I331" s="6"/>
      <c r="J331" s="6"/>
      <c r="K331" s="6"/>
      <c r="L331" s="6"/>
      <c r="M331" s="6"/>
      <c r="N331" s="6"/>
      <c r="O331" s="6"/>
      <c r="P331" s="6"/>
      <c r="Q331" s="6"/>
      <c r="R331" s="6"/>
      <c r="S331" s="6"/>
      <c r="T331" s="6"/>
      <c r="U331" s="6"/>
      <c r="V331" s="6"/>
      <c r="W331" s="6"/>
    </row>
    <row r="332" spans="1:23" ht="16" x14ac:dyDescent="0.2">
      <c r="A332" s="6"/>
      <c r="B332" s="7"/>
      <c r="C332" s="7"/>
      <c r="D332" s="7"/>
      <c r="E332" s="7"/>
      <c r="F332" s="6"/>
      <c r="G332" s="6"/>
      <c r="H332" s="6"/>
      <c r="I332" s="6"/>
      <c r="J332" s="6"/>
      <c r="K332" s="6"/>
      <c r="L332" s="6"/>
      <c r="M332" s="6"/>
      <c r="N332" s="6"/>
      <c r="O332" s="6"/>
      <c r="P332" s="6"/>
      <c r="Q332" s="6"/>
      <c r="R332" s="6"/>
      <c r="S332" s="6"/>
      <c r="T332" s="6"/>
      <c r="U332" s="6"/>
      <c r="V332" s="6"/>
      <c r="W332" s="6"/>
    </row>
    <row r="333" spans="1:23" ht="16" x14ac:dyDescent="0.2">
      <c r="A333" s="6"/>
      <c r="B333" s="7"/>
      <c r="C333" s="7"/>
      <c r="D333" s="7"/>
      <c r="E333" s="7"/>
      <c r="F333" s="6"/>
      <c r="G333" s="6"/>
      <c r="H333" s="6"/>
      <c r="I333" s="6"/>
      <c r="J333" s="6"/>
      <c r="K333" s="6"/>
      <c r="L333" s="6"/>
      <c r="M333" s="6"/>
      <c r="N333" s="6"/>
      <c r="O333" s="6"/>
      <c r="P333" s="6"/>
      <c r="Q333" s="6"/>
      <c r="R333" s="6"/>
      <c r="S333" s="6"/>
      <c r="T333" s="6"/>
      <c r="U333" s="6"/>
      <c r="V333" s="6"/>
      <c r="W333" s="6"/>
    </row>
    <row r="334" spans="1:23" ht="16" x14ac:dyDescent="0.2">
      <c r="A334" s="6"/>
      <c r="B334" s="7"/>
      <c r="C334" s="7"/>
      <c r="D334" s="7"/>
      <c r="E334" s="7"/>
      <c r="F334" s="6"/>
      <c r="G334" s="6"/>
      <c r="H334" s="6"/>
      <c r="I334" s="6"/>
      <c r="J334" s="6"/>
      <c r="K334" s="6"/>
      <c r="L334" s="6"/>
      <c r="M334" s="6"/>
      <c r="N334" s="6"/>
      <c r="O334" s="6"/>
      <c r="P334" s="6"/>
      <c r="Q334" s="6"/>
      <c r="R334" s="6"/>
      <c r="S334" s="6"/>
      <c r="T334" s="6"/>
      <c r="U334" s="6"/>
      <c r="V334" s="6"/>
      <c r="W334" s="6"/>
    </row>
    <row r="335" spans="1:23" ht="16" x14ac:dyDescent="0.2">
      <c r="A335" s="6"/>
      <c r="B335" s="7"/>
      <c r="C335" s="7"/>
      <c r="D335" s="7"/>
      <c r="E335" s="7"/>
      <c r="F335" s="6"/>
      <c r="G335" s="6"/>
      <c r="H335" s="6"/>
      <c r="I335" s="6"/>
      <c r="J335" s="6"/>
      <c r="K335" s="6"/>
      <c r="L335" s="6"/>
      <c r="M335" s="6"/>
      <c r="N335" s="6"/>
      <c r="O335" s="6"/>
      <c r="P335" s="6"/>
      <c r="Q335" s="6"/>
      <c r="R335" s="6"/>
      <c r="S335" s="6"/>
      <c r="T335" s="6"/>
      <c r="U335" s="6"/>
      <c r="V335" s="6"/>
      <c r="W335" s="6"/>
    </row>
    <row r="336" spans="1:23" ht="16" x14ac:dyDescent="0.2">
      <c r="A336" s="6"/>
      <c r="B336" s="7"/>
      <c r="C336" s="7"/>
      <c r="D336" s="7"/>
      <c r="E336" s="7"/>
      <c r="F336" s="6"/>
      <c r="G336" s="6"/>
      <c r="H336" s="6"/>
      <c r="I336" s="6"/>
      <c r="J336" s="6"/>
      <c r="K336" s="6"/>
      <c r="L336" s="6"/>
      <c r="M336" s="6"/>
      <c r="N336" s="6"/>
      <c r="O336" s="6"/>
      <c r="P336" s="6"/>
      <c r="Q336" s="6"/>
      <c r="R336" s="6"/>
      <c r="S336" s="6"/>
      <c r="T336" s="6"/>
      <c r="U336" s="6"/>
      <c r="V336" s="6"/>
      <c r="W336" s="6"/>
    </row>
    <row r="337" spans="1:23" ht="16" x14ac:dyDescent="0.2">
      <c r="A337" s="6"/>
      <c r="B337" s="7"/>
      <c r="C337" s="7"/>
      <c r="D337" s="7"/>
      <c r="E337" s="7"/>
      <c r="F337" s="6"/>
      <c r="G337" s="6"/>
      <c r="H337" s="6"/>
      <c r="I337" s="6"/>
      <c r="J337" s="6"/>
      <c r="K337" s="6"/>
      <c r="L337" s="6"/>
      <c r="M337" s="6"/>
      <c r="N337" s="6"/>
      <c r="O337" s="6"/>
      <c r="P337" s="6"/>
      <c r="Q337" s="6"/>
      <c r="R337" s="6"/>
      <c r="S337" s="6"/>
      <c r="T337" s="6"/>
      <c r="U337" s="6"/>
      <c r="V337" s="6"/>
      <c r="W337" s="6"/>
    </row>
    <row r="338" spans="1:23" ht="16" x14ac:dyDescent="0.2">
      <c r="A338" s="6"/>
      <c r="B338" s="7"/>
      <c r="C338" s="7"/>
      <c r="D338" s="7"/>
      <c r="E338" s="7"/>
      <c r="F338" s="6"/>
      <c r="G338" s="6"/>
      <c r="H338" s="6"/>
      <c r="I338" s="6"/>
      <c r="J338" s="6"/>
      <c r="K338" s="6"/>
      <c r="L338" s="6"/>
      <c r="M338" s="6"/>
      <c r="N338" s="6"/>
      <c r="O338" s="6"/>
      <c r="P338" s="6"/>
      <c r="Q338" s="6"/>
      <c r="R338" s="6"/>
      <c r="S338" s="6"/>
      <c r="T338" s="6"/>
      <c r="U338" s="6"/>
      <c r="V338" s="6"/>
      <c r="W338" s="6"/>
    </row>
    <row r="339" spans="1:23" ht="16" x14ac:dyDescent="0.2">
      <c r="A339" s="6"/>
      <c r="B339" s="7"/>
      <c r="C339" s="7"/>
      <c r="D339" s="7"/>
      <c r="E339" s="7"/>
      <c r="F339" s="6"/>
      <c r="G339" s="6"/>
      <c r="H339" s="6"/>
      <c r="I339" s="6"/>
      <c r="J339" s="6"/>
      <c r="K339" s="6"/>
      <c r="L339" s="6"/>
      <c r="M339" s="6"/>
      <c r="N339" s="6"/>
      <c r="O339" s="6"/>
      <c r="P339" s="6"/>
      <c r="Q339" s="6"/>
      <c r="R339" s="6"/>
      <c r="S339" s="6"/>
      <c r="T339" s="6"/>
      <c r="U339" s="6"/>
      <c r="V339" s="6"/>
      <c r="W339" s="6"/>
    </row>
    <row r="340" spans="1:23" ht="16" x14ac:dyDescent="0.2">
      <c r="A340" s="6"/>
      <c r="B340" s="7"/>
      <c r="C340" s="7"/>
      <c r="D340" s="7"/>
      <c r="E340" s="7"/>
      <c r="F340" s="6"/>
      <c r="G340" s="6"/>
      <c r="H340" s="6"/>
      <c r="I340" s="6"/>
      <c r="J340" s="6"/>
      <c r="K340" s="6"/>
      <c r="L340" s="6"/>
      <c r="M340" s="6"/>
      <c r="N340" s="6"/>
      <c r="O340" s="6"/>
      <c r="P340" s="6"/>
      <c r="Q340" s="6"/>
      <c r="R340" s="6"/>
      <c r="S340" s="6"/>
      <c r="T340" s="6"/>
      <c r="U340" s="6"/>
      <c r="V340" s="6"/>
      <c r="W340" s="6"/>
    </row>
    <row r="341" spans="1:23" ht="16" x14ac:dyDescent="0.2">
      <c r="A341" s="6"/>
      <c r="B341" s="7"/>
      <c r="C341" s="7"/>
      <c r="D341" s="7"/>
      <c r="E341" s="7"/>
      <c r="F341" s="6"/>
      <c r="G341" s="6"/>
      <c r="H341" s="6"/>
      <c r="I341" s="6"/>
      <c r="J341" s="6"/>
      <c r="K341" s="6"/>
      <c r="L341" s="6"/>
      <c r="M341" s="6"/>
      <c r="N341" s="6"/>
      <c r="O341" s="6"/>
      <c r="P341" s="6"/>
      <c r="Q341" s="6"/>
      <c r="R341" s="6"/>
      <c r="S341" s="6"/>
      <c r="T341" s="6"/>
      <c r="U341" s="6"/>
      <c r="V341" s="6"/>
      <c r="W341" s="6"/>
    </row>
    <row r="342" spans="1:23" ht="16" x14ac:dyDescent="0.2">
      <c r="A342" s="6"/>
      <c r="B342" s="7"/>
      <c r="C342" s="7"/>
      <c r="D342" s="7"/>
      <c r="E342" s="7"/>
      <c r="F342" s="6"/>
      <c r="G342" s="6"/>
      <c r="H342" s="6"/>
      <c r="I342" s="6"/>
      <c r="J342" s="6"/>
      <c r="K342" s="6"/>
      <c r="L342" s="6"/>
      <c r="M342" s="6"/>
      <c r="N342" s="6"/>
      <c r="O342" s="6"/>
      <c r="P342" s="6"/>
      <c r="Q342" s="6"/>
      <c r="R342" s="6"/>
      <c r="S342" s="6"/>
      <c r="T342" s="6"/>
      <c r="U342" s="6"/>
      <c r="V342" s="6"/>
      <c r="W342" s="6"/>
    </row>
    <row r="343" spans="1:23" ht="16" x14ac:dyDescent="0.2">
      <c r="A343" s="6"/>
      <c r="B343" s="7"/>
      <c r="C343" s="7"/>
      <c r="D343" s="7"/>
      <c r="E343" s="7"/>
      <c r="F343" s="6"/>
      <c r="G343" s="6"/>
      <c r="H343" s="6"/>
      <c r="I343" s="6"/>
      <c r="J343" s="6"/>
      <c r="K343" s="6"/>
      <c r="L343" s="6"/>
      <c r="M343" s="6"/>
      <c r="N343" s="6"/>
      <c r="O343" s="6"/>
      <c r="P343" s="6"/>
      <c r="Q343" s="6"/>
      <c r="R343" s="6"/>
      <c r="S343" s="6"/>
      <c r="T343" s="6"/>
      <c r="U343" s="6"/>
      <c r="V343" s="6"/>
      <c r="W343" s="6"/>
    </row>
    <row r="344" spans="1:23" ht="16" x14ac:dyDescent="0.2">
      <c r="A344" s="6"/>
      <c r="B344" s="7"/>
      <c r="C344" s="7"/>
      <c r="D344" s="7"/>
      <c r="E344" s="7"/>
      <c r="F344" s="6"/>
      <c r="G344" s="6"/>
      <c r="H344" s="6"/>
      <c r="I344" s="6"/>
      <c r="J344" s="6"/>
      <c r="K344" s="6"/>
      <c r="L344" s="6"/>
      <c r="M344" s="6"/>
      <c r="N344" s="6"/>
      <c r="O344" s="6"/>
      <c r="P344" s="6"/>
      <c r="Q344" s="6"/>
      <c r="R344" s="6"/>
      <c r="S344" s="6"/>
      <c r="T344" s="6"/>
      <c r="U344" s="6"/>
      <c r="V344" s="6"/>
      <c r="W344" s="6"/>
    </row>
    <row r="345" spans="1:23" ht="16" x14ac:dyDescent="0.2">
      <c r="A345" s="6"/>
      <c r="B345" s="7"/>
      <c r="C345" s="7"/>
      <c r="D345" s="7"/>
      <c r="E345" s="7"/>
      <c r="F345" s="6"/>
      <c r="G345" s="6"/>
      <c r="H345" s="6"/>
      <c r="I345" s="6"/>
      <c r="J345" s="6"/>
      <c r="K345" s="6"/>
      <c r="L345" s="6"/>
      <c r="M345" s="6"/>
      <c r="N345" s="6"/>
      <c r="O345" s="6"/>
      <c r="P345" s="6"/>
      <c r="Q345" s="6"/>
      <c r="R345" s="6"/>
      <c r="S345" s="6"/>
      <c r="T345" s="6"/>
      <c r="U345" s="6"/>
      <c r="V345" s="6"/>
      <c r="W345" s="6"/>
    </row>
    <row r="346" spans="1:23" ht="16" x14ac:dyDescent="0.2">
      <c r="A346" s="6"/>
      <c r="B346" s="7"/>
      <c r="C346" s="7"/>
      <c r="D346" s="7"/>
      <c r="E346" s="7"/>
      <c r="F346" s="6"/>
      <c r="G346" s="6"/>
      <c r="H346" s="6"/>
      <c r="I346" s="6"/>
      <c r="J346" s="6"/>
      <c r="K346" s="6"/>
      <c r="L346" s="6"/>
      <c r="M346" s="6"/>
      <c r="N346" s="6"/>
      <c r="O346" s="6"/>
      <c r="P346" s="6"/>
      <c r="Q346" s="6"/>
      <c r="R346" s="6"/>
      <c r="S346" s="6"/>
      <c r="T346" s="6"/>
      <c r="U346" s="6"/>
      <c r="V346" s="6"/>
      <c r="W346" s="6"/>
    </row>
    <row r="347" spans="1:23" ht="16" x14ac:dyDescent="0.2">
      <c r="A347" s="6"/>
      <c r="B347" s="7"/>
      <c r="C347" s="7"/>
      <c r="D347" s="7"/>
      <c r="E347" s="7"/>
      <c r="F347" s="6"/>
      <c r="G347" s="6"/>
      <c r="H347" s="6"/>
      <c r="I347" s="6"/>
      <c r="J347" s="6"/>
      <c r="K347" s="6"/>
      <c r="L347" s="6"/>
      <c r="M347" s="6"/>
      <c r="N347" s="6"/>
      <c r="O347" s="6"/>
      <c r="P347" s="6"/>
      <c r="Q347" s="6"/>
      <c r="R347" s="6"/>
      <c r="S347" s="6"/>
      <c r="T347" s="6"/>
      <c r="U347" s="6"/>
      <c r="V347" s="6"/>
      <c r="W347" s="6"/>
    </row>
    <row r="348" spans="1:23" ht="16" x14ac:dyDescent="0.2">
      <c r="A348" s="6"/>
      <c r="B348" s="7"/>
      <c r="C348" s="7"/>
      <c r="D348" s="7"/>
      <c r="E348" s="7"/>
      <c r="F348" s="6"/>
      <c r="G348" s="6"/>
      <c r="H348" s="6"/>
      <c r="I348" s="6"/>
      <c r="J348" s="6"/>
      <c r="K348" s="6"/>
      <c r="L348" s="6"/>
      <c r="M348" s="6"/>
      <c r="N348" s="6"/>
      <c r="O348" s="6"/>
      <c r="P348" s="6"/>
      <c r="Q348" s="6"/>
      <c r="R348" s="6"/>
      <c r="S348" s="6"/>
      <c r="T348" s="6"/>
      <c r="U348" s="6"/>
      <c r="V348" s="6"/>
      <c r="W348" s="6"/>
    </row>
    <row r="349" spans="1:23" ht="16" x14ac:dyDescent="0.2">
      <c r="A349" s="6"/>
      <c r="B349" s="7"/>
      <c r="C349" s="7"/>
      <c r="D349" s="7"/>
      <c r="E349" s="7"/>
      <c r="F349" s="6"/>
      <c r="G349" s="6"/>
      <c r="H349" s="6"/>
      <c r="I349" s="6"/>
      <c r="J349" s="6"/>
      <c r="K349" s="6"/>
      <c r="L349" s="6"/>
      <c r="M349" s="6"/>
      <c r="N349" s="6"/>
      <c r="O349" s="6"/>
      <c r="P349" s="6"/>
      <c r="Q349" s="6"/>
      <c r="R349" s="6"/>
      <c r="S349" s="6"/>
      <c r="T349" s="6"/>
      <c r="U349" s="6"/>
      <c r="V349" s="6"/>
      <c r="W349" s="6"/>
    </row>
    <row r="350" spans="1:23" ht="16" x14ac:dyDescent="0.2">
      <c r="A350" s="6"/>
      <c r="B350" s="7"/>
      <c r="C350" s="7"/>
      <c r="D350" s="7"/>
      <c r="E350" s="7"/>
      <c r="F350" s="6"/>
      <c r="G350" s="6"/>
      <c r="H350" s="6"/>
      <c r="I350" s="6"/>
      <c r="J350" s="6"/>
      <c r="K350" s="6"/>
      <c r="L350" s="6"/>
      <c r="M350" s="6"/>
      <c r="N350" s="6"/>
      <c r="O350" s="6"/>
      <c r="P350" s="6"/>
      <c r="Q350" s="6"/>
      <c r="R350" s="6"/>
      <c r="S350" s="6"/>
      <c r="T350" s="6"/>
      <c r="U350" s="6"/>
      <c r="V350" s="6"/>
      <c r="W350" s="6"/>
    </row>
    <row r="351" spans="1:23" ht="16" x14ac:dyDescent="0.2">
      <c r="A351" s="6"/>
      <c r="B351" s="7"/>
      <c r="C351" s="7"/>
      <c r="D351" s="7"/>
      <c r="E351" s="7"/>
      <c r="F351" s="6"/>
      <c r="G351" s="6"/>
      <c r="H351" s="6"/>
      <c r="I351" s="6"/>
      <c r="J351" s="6"/>
      <c r="K351" s="6"/>
      <c r="L351" s="6"/>
      <c r="M351" s="6"/>
      <c r="N351" s="6"/>
      <c r="O351" s="6"/>
      <c r="P351" s="6"/>
      <c r="Q351" s="6"/>
      <c r="R351" s="6"/>
      <c r="S351" s="6"/>
      <c r="T351" s="6"/>
      <c r="U351" s="6"/>
      <c r="V351" s="6"/>
      <c r="W351" s="6"/>
    </row>
    <row r="352" spans="1:23" ht="16" x14ac:dyDescent="0.2">
      <c r="A352" s="6"/>
      <c r="B352" s="7"/>
      <c r="C352" s="7"/>
      <c r="D352" s="7"/>
      <c r="E352" s="7"/>
      <c r="F352" s="6"/>
      <c r="G352" s="6"/>
      <c r="H352" s="6"/>
      <c r="I352" s="6"/>
      <c r="J352" s="6"/>
      <c r="K352" s="6"/>
      <c r="L352" s="6"/>
      <c r="M352" s="6"/>
      <c r="N352" s="6"/>
      <c r="O352" s="6"/>
      <c r="P352" s="6"/>
      <c r="Q352" s="6"/>
      <c r="R352" s="6"/>
      <c r="S352" s="6"/>
      <c r="T352" s="6"/>
      <c r="U352" s="6"/>
      <c r="V352" s="6"/>
      <c r="W352" s="6"/>
    </row>
    <row r="353" spans="1:23" ht="16" x14ac:dyDescent="0.2">
      <c r="A353" s="6"/>
      <c r="B353" s="7"/>
      <c r="C353" s="7"/>
      <c r="D353" s="7"/>
      <c r="E353" s="7"/>
      <c r="F353" s="6"/>
      <c r="G353" s="6"/>
      <c r="H353" s="6"/>
      <c r="I353" s="6"/>
      <c r="J353" s="6"/>
      <c r="K353" s="6"/>
      <c r="L353" s="6"/>
      <c r="M353" s="6"/>
      <c r="N353" s="6"/>
      <c r="O353" s="6"/>
      <c r="P353" s="6"/>
      <c r="Q353" s="6"/>
      <c r="R353" s="6"/>
      <c r="S353" s="6"/>
      <c r="T353" s="6"/>
      <c r="U353" s="6"/>
      <c r="V353" s="6"/>
      <c r="W353" s="6"/>
    </row>
    <row r="354" spans="1:23" ht="16" x14ac:dyDescent="0.2">
      <c r="A354" s="6"/>
      <c r="B354" s="7"/>
      <c r="C354" s="7"/>
      <c r="D354" s="7"/>
      <c r="E354" s="7"/>
      <c r="F354" s="6"/>
      <c r="G354" s="6"/>
      <c r="H354" s="6"/>
      <c r="I354" s="6"/>
      <c r="J354" s="6"/>
      <c r="K354" s="6"/>
      <c r="L354" s="6"/>
      <c r="M354" s="6"/>
      <c r="N354" s="6"/>
      <c r="O354" s="6"/>
      <c r="P354" s="6"/>
      <c r="Q354" s="6"/>
      <c r="R354" s="6"/>
      <c r="S354" s="6"/>
      <c r="T354" s="6"/>
      <c r="U354" s="6"/>
      <c r="V354" s="6"/>
      <c r="W354" s="6"/>
    </row>
    <row r="355" spans="1:23" ht="16" x14ac:dyDescent="0.2">
      <c r="A355" s="6"/>
      <c r="B355" s="7"/>
      <c r="C355" s="7"/>
      <c r="D355" s="7"/>
      <c r="E355" s="7"/>
      <c r="F355" s="6"/>
      <c r="G355" s="6"/>
      <c r="H355" s="6"/>
      <c r="I355" s="6"/>
      <c r="J355" s="6"/>
      <c r="K355" s="6"/>
      <c r="L355" s="6"/>
      <c r="M355" s="6"/>
      <c r="N355" s="6"/>
      <c r="O355" s="6"/>
      <c r="P355" s="6"/>
      <c r="Q355" s="6"/>
      <c r="R355" s="6"/>
      <c r="S355" s="6"/>
      <c r="T355" s="6"/>
      <c r="U355" s="6"/>
      <c r="V355" s="6"/>
      <c r="W355" s="6"/>
    </row>
    <row r="356" spans="1:23" ht="16" x14ac:dyDescent="0.2">
      <c r="A356" s="6"/>
      <c r="B356" s="7"/>
      <c r="C356" s="7"/>
      <c r="D356" s="7"/>
      <c r="E356" s="7"/>
      <c r="F356" s="6"/>
      <c r="G356" s="6"/>
      <c r="H356" s="6"/>
      <c r="I356" s="6"/>
      <c r="J356" s="6"/>
      <c r="K356" s="6"/>
      <c r="L356" s="6"/>
      <c r="M356" s="6"/>
      <c r="N356" s="6"/>
      <c r="O356" s="6"/>
      <c r="P356" s="6"/>
      <c r="Q356" s="6"/>
      <c r="R356" s="6"/>
      <c r="S356" s="6"/>
      <c r="T356" s="6"/>
      <c r="U356" s="6"/>
      <c r="V356" s="6"/>
      <c r="W356" s="6"/>
    </row>
    <row r="357" spans="1:23" ht="16" x14ac:dyDescent="0.2">
      <c r="A357" s="6"/>
      <c r="B357" s="7"/>
      <c r="C357" s="7"/>
      <c r="D357" s="7"/>
      <c r="E357" s="7"/>
      <c r="F357" s="6"/>
      <c r="G357" s="6"/>
      <c r="H357" s="6"/>
      <c r="I357" s="6"/>
      <c r="J357" s="6"/>
      <c r="K357" s="6"/>
      <c r="L357" s="6"/>
      <c r="M357" s="6"/>
      <c r="N357" s="6"/>
      <c r="O357" s="6"/>
      <c r="P357" s="6"/>
      <c r="Q357" s="6"/>
      <c r="R357" s="6"/>
      <c r="S357" s="6"/>
      <c r="T357" s="6"/>
      <c r="U357" s="6"/>
      <c r="V357" s="6"/>
      <c r="W357" s="6"/>
    </row>
    <row r="358" spans="1:23" ht="16" x14ac:dyDescent="0.2">
      <c r="A358" s="6"/>
      <c r="B358" s="7"/>
      <c r="C358" s="7"/>
      <c r="D358" s="7"/>
      <c r="E358" s="7"/>
      <c r="F358" s="6"/>
      <c r="G358" s="6"/>
      <c r="H358" s="6"/>
      <c r="I358" s="6"/>
      <c r="J358" s="6"/>
      <c r="K358" s="6"/>
      <c r="L358" s="6"/>
      <c r="M358" s="6"/>
      <c r="N358" s="6"/>
      <c r="O358" s="6"/>
      <c r="P358" s="6"/>
      <c r="Q358" s="6"/>
      <c r="R358" s="6"/>
      <c r="S358" s="6"/>
      <c r="T358" s="6"/>
      <c r="U358" s="6"/>
      <c r="V358" s="6"/>
      <c r="W358" s="6"/>
    </row>
    <row r="359" spans="1:23" ht="16" x14ac:dyDescent="0.2">
      <c r="A359" s="6"/>
      <c r="B359" s="7"/>
      <c r="C359" s="7"/>
      <c r="D359" s="7"/>
      <c r="E359" s="7"/>
      <c r="F359" s="6"/>
      <c r="G359" s="6"/>
      <c r="H359" s="6"/>
      <c r="I359" s="6"/>
      <c r="J359" s="6"/>
      <c r="K359" s="6"/>
      <c r="L359" s="6"/>
      <c r="M359" s="6"/>
      <c r="N359" s="6"/>
      <c r="O359" s="6"/>
      <c r="P359" s="6"/>
      <c r="Q359" s="6"/>
      <c r="R359" s="6"/>
      <c r="S359" s="6"/>
      <c r="T359" s="6"/>
      <c r="U359" s="6"/>
      <c r="V359" s="6"/>
      <c r="W359" s="6"/>
    </row>
    <row r="360" spans="1:23" ht="16" x14ac:dyDescent="0.2">
      <c r="A360" s="6"/>
      <c r="B360" s="7"/>
      <c r="C360" s="7"/>
      <c r="D360" s="7"/>
      <c r="E360" s="7"/>
      <c r="F360" s="6"/>
      <c r="G360" s="6"/>
      <c r="H360" s="6"/>
      <c r="I360" s="6"/>
      <c r="J360" s="6"/>
      <c r="K360" s="6"/>
      <c r="L360" s="6"/>
      <c r="M360" s="6"/>
      <c r="N360" s="6"/>
      <c r="O360" s="6"/>
      <c r="P360" s="6"/>
      <c r="Q360" s="6"/>
      <c r="R360" s="6"/>
      <c r="S360" s="6"/>
      <c r="T360" s="6"/>
      <c r="U360" s="6"/>
      <c r="V360" s="6"/>
      <c r="W360" s="6"/>
    </row>
    <row r="361" spans="1:23" ht="16" x14ac:dyDescent="0.2">
      <c r="A361" s="6"/>
      <c r="B361" s="7"/>
      <c r="C361" s="7"/>
      <c r="D361" s="7"/>
      <c r="E361" s="7"/>
      <c r="F361" s="6"/>
      <c r="G361" s="6"/>
      <c r="H361" s="6"/>
      <c r="I361" s="6"/>
      <c r="J361" s="6"/>
      <c r="K361" s="6"/>
      <c r="L361" s="6"/>
      <c r="M361" s="6"/>
      <c r="N361" s="6"/>
      <c r="O361" s="6"/>
      <c r="P361" s="6"/>
      <c r="Q361" s="6"/>
      <c r="R361" s="6"/>
      <c r="S361" s="6"/>
      <c r="T361" s="6"/>
      <c r="U361" s="6"/>
      <c r="V361" s="6"/>
      <c r="W361" s="6"/>
    </row>
    <row r="362" spans="1:23" ht="16" x14ac:dyDescent="0.2">
      <c r="A362" s="6"/>
      <c r="B362" s="7"/>
      <c r="C362" s="7"/>
      <c r="D362" s="7"/>
      <c r="E362" s="7"/>
      <c r="F362" s="6"/>
      <c r="G362" s="6"/>
      <c r="H362" s="6"/>
      <c r="I362" s="6"/>
      <c r="J362" s="6"/>
      <c r="K362" s="6"/>
      <c r="L362" s="6"/>
      <c r="M362" s="6"/>
      <c r="N362" s="6"/>
      <c r="O362" s="6"/>
      <c r="P362" s="6"/>
      <c r="Q362" s="6"/>
      <c r="R362" s="6"/>
      <c r="S362" s="6"/>
      <c r="T362" s="6"/>
      <c r="U362" s="6"/>
      <c r="V362" s="6"/>
      <c r="W362" s="6"/>
    </row>
    <row r="363" spans="1:23" ht="16" x14ac:dyDescent="0.2">
      <c r="A363" s="6"/>
      <c r="B363" s="7"/>
      <c r="C363" s="7"/>
      <c r="D363" s="7"/>
      <c r="E363" s="7"/>
      <c r="F363" s="6"/>
      <c r="G363" s="6"/>
      <c r="H363" s="6"/>
      <c r="I363" s="6"/>
      <c r="J363" s="6"/>
      <c r="K363" s="6"/>
      <c r="L363" s="6"/>
      <c r="M363" s="6"/>
      <c r="N363" s="6"/>
      <c r="O363" s="6"/>
      <c r="P363" s="6"/>
      <c r="Q363" s="6"/>
      <c r="R363" s="6"/>
      <c r="S363" s="6"/>
      <c r="T363" s="6"/>
      <c r="U363" s="6"/>
      <c r="V363" s="6"/>
      <c r="W363" s="6"/>
    </row>
    <row r="364" spans="1:23" ht="16" x14ac:dyDescent="0.2">
      <c r="A364" s="6"/>
      <c r="B364" s="7"/>
      <c r="C364" s="7"/>
      <c r="D364" s="7"/>
      <c r="E364" s="7"/>
      <c r="F364" s="6"/>
      <c r="G364" s="6"/>
      <c r="H364" s="6"/>
      <c r="I364" s="6"/>
      <c r="J364" s="6"/>
      <c r="K364" s="6"/>
      <c r="L364" s="6"/>
      <c r="M364" s="6"/>
      <c r="N364" s="6"/>
      <c r="O364" s="6"/>
      <c r="P364" s="6"/>
      <c r="Q364" s="6"/>
      <c r="R364" s="6"/>
      <c r="S364" s="6"/>
      <c r="T364" s="6"/>
      <c r="U364" s="6"/>
      <c r="V364" s="6"/>
      <c r="W364" s="6"/>
    </row>
    <row r="365" spans="1:23" ht="16" x14ac:dyDescent="0.2">
      <c r="A365" s="6"/>
      <c r="B365" s="7"/>
      <c r="C365" s="7"/>
      <c r="D365" s="7"/>
      <c r="E365" s="7"/>
      <c r="F365" s="6"/>
      <c r="G365" s="6"/>
      <c r="H365" s="6"/>
      <c r="I365" s="6"/>
      <c r="J365" s="6"/>
      <c r="K365" s="6"/>
      <c r="L365" s="6"/>
      <c r="M365" s="6"/>
      <c r="N365" s="6"/>
      <c r="O365" s="6"/>
      <c r="P365" s="6"/>
      <c r="Q365" s="6"/>
      <c r="R365" s="6"/>
      <c r="S365" s="6"/>
      <c r="T365" s="6"/>
      <c r="U365" s="6"/>
      <c r="V365" s="6"/>
      <c r="W365" s="6"/>
    </row>
    <row r="366" spans="1:23" ht="16" x14ac:dyDescent="0.2">
      <c r="A366" s="6"/>
      <c r="B366" s="7"/>
      <c r="C366" s="7"/>
      <c r="D366" s="7"/>
      <c r="E366" s="7"/>
      <c r="F366" s="6"/>
      <c r="G366" s="6"/>
      <c r="H366" s="6"/>
      <c r="I366" s="6"/>
      <c r="J366" s="6"/>
      <c r="K366" s="6"/>
      <c r="L366" s="6"/>
      <c r="M366" s="6"/>
      <c r="N366" s="6"/>
      <c r="O366" s="6"/>
      <c r="P366" s="6"/>
      <c r="Q366" s="6"/>
      <c r="R366" s="6"/>
      <c r="S366" s="6"/>
      <c r="T366" s="6"/>
      <c r="U366" s="6"/>
      <c r="V366" s="6"/>
      <c r="W366" s="6"/>
    </row>
    <row r="367" spans="1:23" ht="16" x14ac:dyDescent="0.2">
      <c r="A367" s="6"/>
      <c r="B367" s="7"/>
      <c r="C367" s="7"/>
      <c r="D367" s="7"/>
      <c r="E367" s="7"/>
      <c r="F367" s="6"/>
      <c r="G367" s="6"/>
      <c r="H367" s="6"/>
      <c r="I367" s="6"/>
      <c r="J367" s="6"/>
      <c r="K367" s="6"/>
      <c r="L367" s="6"/>
      <c r="M367" s="6"/>
      <c r="N367" s="6"/>
      <c r="O367" s="6"/>
      <c r="P367" s="6"/>
      <c r="Q367" s="6"/>
      <c r="R367" s="6"/>
      <c r="S367" s="6"/>
      <c r="T367" s="6"/>
      <c r="U367" s="6"/>
      <c r="V367" s="6"/>
      <c r="W367" s="6"/>
    </row>
    <row r="368" spans="1:23" ht="16" x14ac:dyDescent="0.2">
      <c r="A368" s="6"/>
      <c r="B368" s="7"/>
      <c r="C368" s="7"/>
      <c r="D368" s="7"/>
      <c r="E368" s="7"/>
      <c r="F368" s="6"/>
      <c r="G368" s="6"/>
      <c r="H368" s="6"/>
      <c r="I368" s="6"/>
      <c r="J368" s="6"/>
      <c r="K368" s="6"/>
      <c r="L368" s="6"/>
      <c r="M368" s="6"/>
      <c r="N368" s="6"/>
      <c r="O368" s="6"/>
      <c r="P368" s="6"/>
      <c r="Q368" s="6"/>
      <c r="R368" s="6"/>
      <c r="S368" s="6"/>
      <c r="T368" s="6"/>
      <c r="U368" s="6"/>
      <c r="V368" s="6"/>
      <c r="W368" s="6"/>
    </row>
    <row r="369" spans="1:23" ht="16" x14ac:dyDescent="0.2">
      <c r="A369" s="6"/>
      <c r="B369" s="7"/>
      <c r="C369" s="7"/>
      <c r="D369" s="7"/>
      <c r="E369" s="7"/>
      <c r="F369" s="6"/>
      <c r="G369" s="6"/>
      <c r="H369" s="6"/>
      <c r="I369" s="6"/>
      <c r="J369" s="6"/>
      <c r="K369" s="6"/>
      <c r="L369" s="6"/>
      <c r="M369" s="6"/>
      <c r="N369" s="6"/>
      <c r="O369" s="6"/>
      <c r="P369" s="6"/>
      <c r="Q369" s="6"/>
      <c r="R369" s="6"/>
      <c r="S369" s="6"/>
      <c r="T369" s="6"/>
      <c r="U369" s="6"/>
      <c r="V369" s="6"/>
      <c r="W369" s="6"/>
    </row>
    <row r="370" spans="1:23" ht="16" x14ac:dyDescent="0.2">
      <c r="A370" s="6"/>
      <c r="B370" s="7"/>
      <c r="C370" s="7"/>
      <c r="D370" s="7"/>
      <c r="E370" s="7"/>
      <c r="F370" s="6"/>
      <c r="G370" s="6"/>
      <c r="H370" s="6"/>
      <c r="I370" s="6"/>
      <c r="J370" s="6"/>
      <c r="K370" s="6"/>
      <c r="L370" s="6"/>
      <c r="M370" s="6"/>
      <c r="N370" s="6"/>
      <c r="O370" s="6"/>
      <c r="P370" s="6"/>
      <c r="Q370" s="6"/>
      <c r="R370" s="6"/>
      <c r="S370" s="6"/>
      <c r="T370" s="6"/>
      <c r="U370" s="6"/>
      <c r="V370" s="6"/>
      <c r="W370" s="6"/>
    </row>
    <row r="371" spans="1:23" ht="16" x14ac:dyDescent="0.2">
      <c r="A371" s="6"/>
      <c r="B371" s="7"/>
      <c r="C371" s="7"/>
      <c r="D371" s="7"/>
      <c r="E371" s="7"/>
      <c r="F371" s="6"/>
      <c r="G371" s="6"/>
      <c r="H371" s="6"/>
      <c r="I371" s="6"/>
      <c r="J371" s="6"/>
      <c r="K371" s="6"/>
      <c r="L371" s="6"/>
      <c r="M371" s="6"/>
      <c r="N371" s="6"/>
      <c r="O371" s="6"/>
      <c r="P371" s="6"/>
      <c r="Q371" s="6"/>
      <c r="R371" s="6"/>
      <c r="S371" s="6"/>
      <c r="T371" s="6"/>
      <c r="U371" s="6"/>
      <c r="V371" s="6"/>
      <c r="W371" s="6"/>
    </row>
    <row r="372" spans="1:23" ht="16" x14ac:dyDescent="0.2">
      <c r="A372" s="6"/>
      <c r="B372" s="7"/>
      <c r="C372" s="7"/>
      <c r="D372" s="7"/>
      <c r="E372" s="7"/>
      <c r="F372" s="6"/>
      <c r="G372" s="6"/>
      <c r="H372" s="6"/>
      <c r="I372" s="6"/>
      <c r="J372" s="6"/>
      <c r="K372" s="6"/>
      <c r="L372" s="6"/>
      <c r="M372" s="6"/>
      <c r="N372" s="6"/>
      <c r="O372" s="6"/>
      <c r="P372" s="6"/>
      <c r="Q372" s="6"/>
      <c r="R372" s="6"/>
      <c r="S372" s="6"/>
      <c r="T372" s="6"/>
      <c r="U372" s="6"/>
      <c r="V372" s="6"/>
      <c r="W372" s="6"/>
    </row>
    <row r="373" spans="1:23" ht="16" x14ac:dyDescent="0.2">
      <c r="A373" s="6"/>
      <c r="B373" s="7"/>
      <c r="C373" s="7"/>
      <c r="D373" s="7"/>
      <c r="E373" s="7"/>
      <c r="F373" s="6"/>
      <c r="G373" s="6"/>
      <c r="H373" s="6"/>
      <c r="I373" s="6"/>
      <c r="J373" s="6"/>
      <c r="K373" s="6"/>
      <c r="L373" s="6"/>
      <c r="M373" s="6"/>
      <c r="N373" s="6"/>
      <c r="O373" s="6"/>
      <c r="P373" s="6"/>
      <c r="Q373" s="6"/>
      <c r="R373" s="6"/>
      <c r="S373" s="6"/>
      <c r="T373" s="6"/>
      <c r="U373" s="6"/>
      <c r="V373" s="6"/>
      <c r="W373" s="6"/>
    </row>
    <row r="374" spans="1:23" ht="16" x14ac:dyDescent="0.2">
      <c r="A374" s="6"/>
      <c r="B374" s="7"/>
      <c r="C374" s="7"/>
      <c r="D374" s="7"/>
      <c r="E374" s="7"/>
      <c r="F374" s="6"/>
      <c r="G374" s="6"/>
      <c r="H374" s="6"/>
      <c r="I374" s="6"/>
      <c r="J374" s="6"/>
      <c r="K374" s="6"/>
      <c r="L374" s="6"/>
      <c r="M374" s="6"/>
      <c r="N374" s="6"/>
      <c r="O374" s="6"/>
      <c r="P374" s="6"/>
      <c r="Q374" s="6"/>
      <c r="R374" s="6"/>
      <c r="S374" s="6"/>
      <c r="T374" s="6"/>
      <c r="U374" s="6"/>
      <c r="V374" s="6"/>
      <c r="W374" s="6"/>
    </row>
    <row r="375" spans="1:23" ht="16" x14ac:dyDescent="0.2">
      <c r="A375" s="6"/>
      <c r="B375" s="7"/>
      <c r="C375" s="7"/>
      <c r="D375" s="7"/>
      <c r="E375" s="7"/>
      <c r="F375" s="6"/>
      <c r="G375" s="6"/>
      <c r="H375" s="6"/>
      <c r="I375" s="6"/>
      <c r="J375" s="6"/>
      <c r="K375" s="6"/>
      <c r="L375" s="6"/>
      <c r="M375" s="6"/>
      <c r="N375" s="6"/>
      <c r="O375" s="6"/>
      <c r="P375" s="6"/>
      <c r="Q375" s="6"/>
      <c r="R375" s="6"/>
      <c r="S375" s="6"/>
      <c r="T375" s="6"/>
      <c r="U375" s="6"/>
      <c r="V375" s="6"/>
      <c r="W375" s="6"/>
    </row>
    <row r="376" spans="1:23" ht="16" x14ac:dyDescent="0.2">
      <c r="A376" s="6"/>
      <c r="B376" s="7"/>
      <c r="C376" s="7"/>
      <c r="D376" s="7"/>
      <c r="E376" s="7"/>
      <c r="F376" s="6"/>
      <c r="G376" s="6"/>
      <c r="H376" s="6"/>
      <c r="I376" s="6"/>
      <c r="J376" s="6"/>
      <c r="K376" s="6"/>
      <c r="L376" s="6"/>
      <c r="M376" s="6"/>
      <c r="N376" s="6"/>
      <c r="O376" s="6"/>
      <c r="P376" s="6"/>
      <c r="Q376" s="6"/>
      <c r="R376" s="6"/>
      <c r="S376" s="6"/>
      <c r="T376" s="6"/>
      <c r="U376" s="6"/>
      <c r="V376" s="6"/>
      <c r="W376" s="6"/>
    </row>
    <row r="377" spans="1:23" ht="16" x14ac:dyDescent="0.2">
      <c r="A377" s="6"/>
      <c r="B377" s="7"/>
      <c r="C377" s="7"/>
      <c r="D377" s="7"/>
      <c r="E377" s="7"/>
      <c r="F377" s="6"/>
      <c r="G377" s="6"/>
      <c r="H377" s="6"/>
      <c r="I377" s="6"/>
      <c r="J377" s="6"/>
      <c r="K377" s="6"/>
      <c r="L377" s="6"/>
      <c r="M377" s="6"/>
      <c r="N377" s="6"/>
      <c r="O377" s="6"/>
      <c r="P377" s="6"/>
      <c r="Q377" s="6"/>
      <c r="R377" s="6"/>
      <c r="S377" s="6"/>
      <c r="T377" s="6"/>
      <c r="U377" s="6"/>
      <c r="V377" s="6"/>
      <c r="W377" s="6"/>
    </row>
    <row r="378" spans="1:23" ht="16" x14ac:dyDescent="0.2">
      <c r="A378" s="6"/>
      <c r="B378" s="7"/>
      <c r="C378" s="7"/>
      <c r="D378" s="7"/>
      <c r="E378" s="7"/>
      <c r="F378" s="6"/>
      <c r="G378" s="6"/>
      <c r="H378" s="6"/>
      <c r="I378" s="6"/>
      <c r="J378" s="6"/>
      <c r="K378" s="6"/>
      <c r="L378" s="6"/>
      <c r="M378" s="6"/>
      <c r="N378" s="6"/>
      <c r="O378" s="6"/>
      <c r="P378" s="6"/>
      <c r="Q378" s="6"/>
      <c r="R378" s="6"/>
      <c r="S378" s="6"/>
      <c r="T378" s="6"/>
      <c r="U378" s="6"/>
      <c r="V378" s="6"/>
      <c r="W378" s="6"/>
    </row>
    <row r="379" spans="1:23" ht="16" x14ac:dyDescent="0.2">
      <c r="A379" s="6"/>
      <c r="B379" s="7"/>
      <c r="C379" s="7"/>
      <c r="D379" s="7"/>
      <c r="E379" s="7"/>
      <c r="F379" s="6"/>
      <c r="G379" s="6"/>
      <c r="H379" s="6"/>
      <c r="I379" s="6"/>
      <c r="J379" s="6"/>
      <c r="K379" s="6"/>
      <c r="L379" s="6"/>
      <c r="M379" s="6"/>
      <c r="N379" s="6"/>
      <c r="O379" s="6"/>
      <c r="P379" s="6"/>
      <c r="Q379" s="6"/>
      <c r="R379" s="6"/>
      <c r="S379" s="6"/>
      <c r="T379" s="6"/>
      <c r="U379" s="6"/>
      <c r="V379" s="6"/>
      <c r="W379" s="6"/>
    </row>
    <row r="380" spans="1:23" ht="16" x14ac:dyDescent="0.2">
      <c r="A380" s="6"/>
      <c r="B380" s="7"/>
      <c r="C380" s="7"/>
      <c r="D380" s="7"/>
      <c r="E380" s="7"/>
      <c r="F380" s="6"/>
      <c r="G380" s="6"/>
      <c r="H380" s="6"/>
      <c r="I380" s="6"/>
      <c r="J380" s="6"/>
      <c r="K380" s="6"/>
      <c r="L380" s="6"/>
      <c r="M380" s="6"/>
      <c r="N380" s="6"/>
      <c r="O380" s="6"/>
      <c r="P380" s="6"/>
      <c r="Q380" s="6"/>
      <c r="R380" s="6"/>
      <c r="S380" s="6"/>
      <c r="T380" s="6"/>
      <c r="U380" s="6"/>
      <c r="V380" s="6"/>
      <c r="W380" s="6"/>
    </row>
    <row r="381" spans="1:23" ht="16" x14ac:dyDescent="0.2">
      <c r="A381" s="6"/>
      <c r="B381" s="7"/>
      <c r="C381" s="7"/>
      <c r="D381" s="7"/>
      <c r="E381" s="7"/>
      <c r="F381" s="6"/>
      <c r="G381" s="6"/>
      <c r="H381" s="6"/>
      <c r="I381" s="6"/>
      <c r="J381" s="6"/>
      <c r="K381" s="6"/>
      <c r="L381" s="6"/>
      <c r="M381" s="6"/>
      <c r="N381" s="6"/>
      <c r="O381" s="6"/>
      <c r="P381" s="6"/>
      <c r="Q381" s="6"/>
      <c r="R381" s="6"/>
      <c r="S381" s="6"/>
      <c r="T381" s="6"/>
      <c r="U381" s="6"/>
      <c r="V381" s="6"/>
      <c r="W381" s="6"/>
    </row>
    <row r="382" spans="1:23" ht="16" x14ac:dyDescent="0.2">
      <c r="A382" s="6"/>
      <c r="B382" s="7"/>
      <c r="C382" s="7"/>
      <c r="D382" s="7"/>
      <c r="E382" s="7"/>
      <c r="F382" s="6"/>
      <c r="G382" s="6"/>
      <c r="H382" s="6"/>
      <c r="I382" s="6"/>
      <c r="J382" s="6"/>
      <c r="K382" s="6"/>
      <c r="L382" s="6"/>
      <c r="M382" s="6"/>
      <c r="N382" s="6"/>
      <c r="O382" s="6"/>
      <c r="P382" s="6"/>
      <c r="Q382" s="6"/>
      <c r="R382" s="6"/>
      <c r="S382" s="6"/>
      <c r="T382" s="6"/>
      <c r="U382" s="6"/>
      <c r="V382" s="6"/>
      <c r="W382" s="6"/>
    </row>
    <row r="383" spans="1:23" ht="16" x14ac:dyDescent="0.2">
      <c r="A383" s="6"/>
      <c r="B383" s="7"/>
      <c r="C383" s="7"/>
      <c r="D383" s="7"/>
      <c r="E383" s="7"/>
      <c r="F383" s="6"/>
      <c r="G383" s="6"/>
      <c r="H383" s="6"/>
      <c r="I383" s="6"/>
      <c r="J383" s="6"/>
      <c r="K383" s="6"/>
      <c r="L383" s="6"/>
      <c r="M383" s="6"/>
      <c r="N383" s="6"/>
      <c r="O383" s="6"/>
      <c r="P383" s="6"/>
      <c r="Q383" s="6"/>
      <c r="R383" s="6"/>
      <c r="S383" s="6"/>
      <c r="T383" s="6"/>
      <c r="U383" s="6"/>
      <c r="V383" s="6"/>
      <c r="W383" s="6"/>
    </row>
    <row r="384" spans="1:23" ht="16" x14ac:dyDescent="0.2">
      <c r="A384" s="6"/>
      <c r="B384" s="7"/>
      <c r="C384" s="7"/>
      <c r="D384" s="7"/>
      <c r="E384" s="7"/>
      <c r="F384" s="6"/>
      <c r="G384" s="6"/>
      <c r="H384" s="6"/>
      <c r="I384" s="6"/>
      <c r="J384" s="6"/>
      <c r="K384" s="6"/>
      <c r="L384" s="6"/>
      <c r="M384" s="6"/>
      <c r="N384" s="6"/>
      <c r="O384" s="6"/>
      <c r="P384" s="6"/>
      <c r="Q384" s="6"/>
      <c r="R384" s="6"/>
      <c r="S384" s="6"/>
      <c r="T384" s="6"/>
      <c r="U384" s="6"/>
      <c r="V384" s="6"/>
      <c r="W384" s="6"/>
    </row>
    <row r="385" spans="1:23" ht="16" x14ac:dyDescent="0.2">
      <c r="A385" s="6"/>
      <c r="B385" s="7"/>
      <c r="C385" s="7"/>
      <c r="D385" s="7"/>
      <c r="E385" s="7"/>
      <c r="F385" s="6"/>
      <c r="G385" s="6"/>
      <c r="H385" s="6"/>
      <c r="I385" s="6"/>
      <c r="J385" s="6"/>
      <c r="K385" s="6"/>
      <c r="L385" s="6"/>
      <c r="M385" s="6"/>
      <c r="N385" s="6"/>
      <c r="O385" s="6"/>
      <c r="P385" s="6"/>
      <c r="Q385" s="6"/>
      <c r="R385" s="6"/>
      <c r="S385" s="6"/>
      <c r="T385" s="6"/>
      <c r="U385" s="6"/>
      <c r="V385" s="6"/>
      <c r="W385" s="6"/>
    </row>
    <row r="386" spans="1:23" ht="16" x14ac:dyDescent="0.2">
      <c r="A386" s="6"/>
      <c r="B386" s="7"/>
      <c r="C386" s="7"/>
      <c r="D386" s="7"/>
      <c r="E386" s="7"/>
      <c r="F386" s="6"/>
      <c r="G386" s="6"/>
      <c r="H386" s="6"/>
      <c r="I386" s="6"/>
      <c r="J386" s="6"/>
      <c r="K386" s="6"/>
      <c r="L386" s="6"/>
      <c r="M386" s="6"/>
      <c r="N386" s="6"/>
      <c r="O386" s="6"/>
      <c r="P386" s="6"/>
      <c r="Q386" s="6"/>
      <c r="R386" s="6"/>
      <c r="S386" s="6"/>
      <c r="T386" s="6"/>
      <c r="U386" s="6"/>
      <c r="V386" s="6"/>
      <c r="W386" s="6"/>
    </row>
    <row r="387" spans="1:23" ht="16" x14ac:dyDescent="0.2">
      <c r="A387" s="6"/>
      <c r="B387" s="7"/>
      <c r="C387" s="7"/>
      <c r="D387" s="7"/>
      <c r="E387" s="7"/>
      <c r="F387" s="6"/>
      <c r="G387" s="6"/>
      <c r="H387" s="6"/>
      <c r="I387" s="6"/>
      <c r="J387" s="6"/>
      <c r="K387" s="6"/>
      <c r="L387" s="6"/>
      <c r="M387" s="6"/>
      <c r="N387" s="6"/>
      <c r="O387" s="6"/>
      <c r="P387" s="6"/>
      <c r="Q387" s="6"/>
      <c r="R387" s="6"/>
      <c r="S387" s="6"/>
      <c r="T387" s="6"/>
      <c r="U387" s="6"/>
      <c r="V387" s="6"/>
      <c r="W387" s="6"/>
    </row>
    <row r="388" spans="1:23" ht="16" x14ac:dyDescent="0.2">
      <c r="A388" s="6"/>
      <c r="B388" s="7"/>
      <c r="C388" s="7"/>
      <c r="D388" s="7"/>
      <c r="E388" s="7"/>
      <c r="F388" s="6"/>
      <c r="G388" s="6"/>
      <c r="H388" s="6"/>
      <c r="I388" s="6"/>
      <c r="J388" s="6"/>
      <c r="K388" s="6"/>
      <c r="L388" s="6"/>
      <c r="M388" s="6"/>
      <c r="N388" s="6"/>
      <c r="O388" s="6"/>
      <c r="P388" s="6"/>
      <c r="Q388" s="6"/>
      <c r="R388" s="6"/>
      <c r="S388" s="6"/>
      <c r="T388" s="6"/>
      <c r="U388" s="6"/>
      <c r="V388" s="6"/>
      <c r="W388" s="6"/>
    </row>
    <row r="389" spans="1:23" ht="16" x14ac:dyDescent="0.2">
      <c r="A389" s="6"/>
      <c r="B389" s="7"/>
      <c r="C389" s="7"/>
      <c r="D389" s="7"/>
      <c r="E389" s="7"/>
      <c r="F389" s="6"/>
      <c r="G389" s="6"/>
      <c r="H389" s="6"/>
      <c r="I389" s="6"/>
      <c r="J389" s="6"/>
      <c r="K389" s="6"/>
      <c r="L389" s="6"/>
      <c r="M389" s="6"/>
      <c r="N389" s="6"/>
      <c r="O389" s="6"/>
      <c r="P389" s="6"/>
      <c r="Q389" s="6"/>
      <c r="R389" s="6"/>
      <c r="S389" s="6"/>
      <c r="T389" s="6"/>
      <c r="U389" s="6"/>
      <c r="V389" s="6"/>
      <c r="W389" s="6"/>
    </row>
    <row r="390" spans="1:23" ht="16" x14ac:dyDescent="0.2">
      <c r="A390" s="6"/>
      <c r="B390" s="7"/>
      <c r="C390" s="7"/>
      <c r="D390" s="7"/>
      <c r="E390" s="7"/>
      <c r="F390" s="6"/>
      <c r="G390" s="6"/>
      <c r="H390" s="6"/>
      <c r="I390" s="6"/>
      <c r="J390" s="6"/>
      <c r="K390" s="6"/>
      <c r="L390" s="6"/>
      <c r="M390" s="6"/>
      <c r="N390" s="6"/>
      <c r="O390" s="6"/>
      <c r="P390" s="6"/>
      <c r="Q390" s="6"/>
      <c r="R390" s="6"/>
      <c r="S390" s="6"/>
      <c r="T390" s="6"/>
      <c r="U390" s="6"/>
      <c r="V390" s="6"/>
      <c r="W390" s="6"/>
    </row>
    <row r="391" spans="1:23" ht="16" x14ac:dyDescent="0.2">
      <c r="A391" s="6"/>
      <c r="B391" s="7"/>
      <c r="C391" s="7"/>
      <c r="D391" s="7"/>
      <c r="E391" s="7"/>
      <c r="F391" s="6"/>
      <c r="G391" s="6"/>
      <c r="H391" s="6"/>
      <c r="I391" s="6"/>
      <c r="J391" s="6"/>
      <c r="K391" s="6"/>
      <c r="L391" s="6"/>
      <c r="M391" s="6"/>
      <c r="N391" s="6"/>
      <c r="O391" s="6"/>
      <c r="P391" s="6"/>
      <c r="Q391" s="6"/>
      <c r="R391" s="6"/>
      <c r="S391" s="6"/>
      <c r="T391" s="6"/>
      <c r="U391" s="6"/>
      <c r="V391" s="6"/>
      <c r="W391" s="6"/>
    </row>
    <row r="392" spans="1:23" ht="16" x14ac:dyDescent="0.2">
      <c r="A392" s="6"/>
      <c r="B392" s="7"/>
      <c r="C392" s="7"/>
      <c r="D392" s="7"/>
      <c r="E392" s="7"/>
      <c r="F392" s="6"/>
      <c r="G392" s="6"/>
      <c r="H392" s="6"/>
      <c r="I392" s="6"/>
      <c r="J392" s="6"/>
      <c r="K392" s="6"/>
      <c r="L392" s="6"/>
      <c r="M392" s="6"/>
      <c r="N392" s="6"/>
      <c r="O392" s="6"/>
      <c r="P392" s="6"/>
      <c r="Q392" s="6"/>
      <c r="R392" s="6"/>
      <c r="S392" s="6"/>
      <c r="T392" s="6"/>
      <c r="U392" s="6"/>
      <c r="V392" s="6"/>
      <c r="W392" s="6"/>
    </row>
    <row r="393" spans="1:23" ht="16" x14ac:dyDescent="0.2">
      <c r="A393" s="6"/>
      <c r="B393" s="7"/>
      <c r="C393" s="7"/>
      <c r="D393" s="7"/>
      <c r="E393" s="7"/>
      <c r="F393" s="6"/>
      <c r="G393" s="6"/>
      <c r="H393" s="6"/>
      <c r="I393" s="6"/>
      <c r="J393" s="6"/>
      <c r="K393" s="6"/>
      <c r="L393" s="6"/>
      <c r="M393" s="6"/>
      <c r="N393" s="6"/>
      <c r="O393" s="6"/>
      <c r="P393" s="6"/>
      <c r="Q393" s="6"/>
      <c r="R393" s="6"/>
      <c r="S393" s="6"/>
      <c r="T393" s="6"/>
      <c r="U393" s="6"/>
      <c r="V393" s="6"/>
      <c r="W393" s="6"/>
    </row>
    <row r="394" spans="1:23" ht="16" x14ac:dyDescent="0.2">
      <c r="A394" s="6"/>
      <c r="B394" s="7"/>
      <c r="C394" s="7"/>
      <c r="D394" s="7"/>
      <c r="E394" s="7"/>
      <c r="F394" s="6"/>
      <c r="G394" s="6"/>
      <c r="H394" s="6"/>
      <c r="I394" s="6"/>
      <c r="J394" s="6"/>
      <c r="K394" s="6"/>
      <c r="L394" s="6"/>
      <c r="M394" s="6"/>
      <c r="N394" s="6"/>
      <c r="O394" s="6"/>
      <c r="P394" s="6"/>
      <c r="Q394" s="6"/>
      <c r="R394" s="6"/>
      <c r="S394" s="6"/>
      <c r="T394" s="6"/>
      <c r="U394" s="6"/>
      <c r="V394" s="6"/>
      <c r="W394" s="6"/>
    </row>
    <row r="395" spans="1:23" ht="16" x14ac:dyDescent="0.2">
      <c r="A395" s="6"/>
      <c r="B395" s="7"/>
      <c r="C395" s="7"/>
      <c r="D395" s="7"/>
      <c r="E395" s="7"/>
      <c r="F395" s="6"/>
      <c r="G395" s="6"/>
      <c r="H395" s="6"/>
      <c r="I395" s="6"/>
      <c r="J395" s="6"/>
      <c r="K395" s="6"/>
      <c r="L395" s="6"/>
      <c r="M395" s="6"/>
      <c r="N395" s="6"/>
      <c r="O395" s="6"/>
      <c r="P395" s="6"/>
      <c r="Q395" s="6"/>
      <c r="R395" s="6"/>
      <c r="S395" s="6"/>
      <c r="T395" s="6"/>
      <c r="U395" s="6"/>
      <c r="V395" s="6"/>
      <c r="W395" s="6"/>
    </row>
    <row r="396" spans="1:23" ht="16" x14ac:dyDescent="0.2">
      <c r="A396" s="6"/>
      <c r="B396" s="7"/>
      <c r="C396" s="7"/>
      <c r="D396" s="7"/>
      <c r="E396" s="7"/>
      <c r="F396" s="6"/>
      <c r="G396" s="6"/>
      <c r="H396" s="6"/>
      <c r="I396" s="6"/>
      <c r="J396" s="6"/>
      <c r="K396" s="6"/>
      <c r="L396" s="6"/>
      <c r="M396" s="6"/>
      <c r="N396" s="6"/>
      <c r="O396" s="6"/>
      <c r="P396" s="6"/>
      <c r="Q396" s="6"/>
      <c r="R396" s="6"/>
      <c r="S396" s="6"/>
      <c r="T396" s="6"/>
      <c r="U396" s="6"/>
      <c r="V396" s="6"/>
      <c r="W396" s="6"/>
    </row>
    <row r="397" spans="1:23" ht="16" x14ac:dyDescent="0.2">
      <c r="A397" s="6"/>
      <c r="B397" s="7"/>
      <c r="C397" s="7"/>
      <c r="D397" s="7"/>
      <c r="E397" s="7"/>
      <c r="F397" s="6"/>
      <c r="G397" s="6"/>
      <c r="H397" s="6"/>
      <c r="I397" s="6"/>
      <c r="J397" s="6"/>
      <c r="K397" s="6"/>
      <c r="L397" s="6"/>
      <c r="M397" s="6"/>
      <c r="N397" s="6"/>
      <c r="O397" s="6"/>
      <c r="P397" s="6"/>
      <c r="Q397" s="6"/>
      <c r="R397" s="6"/>
      <c r="S397" s="6"/>
      <c r="T397" s="6"/>
      <c r="U397" s="6"/>
      <c r="V397" s="6"/>
      <c r="W397" s="6"/>
    </row>
    <row r="398" spans="1:23" ht="16" x14ac:dyDescent="0.2">
      <c r="A398" s="6"/>
      <c r="B398" s="7"/>
      <c r="C398" s="7"/>
      <c r="D398" s="7"/>
      <c r="E398" s="7"/>
      <c r="F398" s="6"/>
      <c r="G398" s="6"/>
      <c r="H398" s="6"/>
      <c r="I398" s="6"/>
      <c r="J398" s="6"/>
      <c r="K398" s="6"/>
      <c r="L398" s="6"/>
      <c r="M398" s="6"/>
      <c r="N398" s="6"/>
      <c r="O398" s="6"/>
      <c r="P398" s="6"/>
      <c r="Q398" s="6"/>
      <c r="R398" s="6"/>
      <c r="S398" s="6"/>
      <c r="T398" s="6"/>
      <c r="U398" s="6"/>
      <c r="V398" s="6"/>
      <c r="W398" s="6"/>
    </row>
    <row r="399" spans="1:23" ht="16" x14ac:dyDescent="0.2">
      <c r="A399" s="6"/>
      <c r="B399" s="7"/>
      <c r="C399" s="7"/>
      <c r="D399" s="7"/>
      <c r="E399" s="7"/>
      <c r="F399" s="6"/>
      <c r="G399" s="6"/>
      <c r="H399" s="6"/>
      <c r="I399" s="6"/>
      <c r="J399" s="6"/>
      <c r="K399" s="6"/>
      <c r="L399" s="6"/>
      <c r="M399" s="6"/>
      <c r="N399" s="6"/>
      <c r="O399" s="6"/>
      <c r="P399" s="6"/>
      <c r="Q399" s="6"/>
      <c r="R399" s="6"/>
      <c r="S399" s="6"/>
      <c r="T399" s="6"/>
      <c r="U399" s="6"/>
      <c r="V399" s="6"/>
      <c r="W399" s="6"/>
    </row>
    <row r="400" spans="1:23" ht="16" x14ac:dyDescent="0.2">
      <c r="A400" s="6"/>
      <c r="B400" s="7"/>
      <c r="C400" s="7"/>
      <c r="D400" s="7"/>
      <c r="E400" s="7"/>
      <c r="F400" s="6"/>
      <c r="G400" s="6"/>
      <c r="H400" s="6"/>
      <c r="I400" s="6"/>
      <c r="J400" s="6"/>
      <c r="K400" s="6"/>
      <c r="L400" s="6"/>
      <c r="M400" s="6"/>
      <c r="N400" s="6"/>
      <c r="O400" s="6"/>
      <c r="P400" s="6"/>
      <c r="Q400" s="6"/>
      <c r="R400" s="6"/>
      <c r="S400" s="6"/>
      <c r="T400" s="6"/>
      <c r="U400" s="6"/>
      <c r="V400" s="6"/>
      <c r="W400" s="6"/>
    </row>
    <row r="401" spans="1:23" ht="16" x14ac:dyDescent="0.2">
      <c r="A401" s="6"/>
      <c r="B401" s="7"/>
      <c r="C401" s="7"/>
      <c r="D401" s="7"/>
      <c r="E401" s="7"/>
      <c r="F401" s="6"/>
      <c r="G401" s="6"/>
      <c r="H401" s="6"/>
      <c r="I401" s="6"/>
      <c r="J401" s="6"/>
      <c r="K401" s="6"/>
      <c r="L401" s="6"/>
      <c r="M401" s="6"/>
      <c r="N401" s="6"/>
      <c r="O401" s="6"/>
      <c r="P401" s="6"/>
      <c r="Q401" s="6"/>
      <c r="R401" s="6"/>
      <c r="S401" s="6"/>
      <c r="T401" s="6"/>
      <c r="U401" s="6"/>
      <c r="V401" s="6"/>
      <c r="W401" s="6"/>
    </row>
    <row r="402" spans="1:23" ht="16" x14ac:dyDescent="0.2">
      <c r="A402" s="6"/>
      <c r="B402" s="7"/>
      <c r="C402" s="7"/>
      <c r="D402" s="7"/>
      <c r="E402" s="7"/>
      <c r="F402" s="6"/>
      <c r="G402" s="6"/>
      <c r="H402" s="6"/>
      <c r="I402" s="6"/>
      <c r="J402" s="6"/>
      <c r="K402" s="6"/>
      <c r="L402" s="6"/>
      <c r="M402" s="6"/>
      <c r="N402" s="6"/>
      <c r="O402" s="6"/>
      <c r="P402" s="6"/>
      <c r="Q402" s="6"/>
      <c r="R402" s="6"/>
      <c r="S402" s="6"/>
      <c r="T402" s="6"/>
      <c r="U402" s="6"/>
      <c r="V402" s="6"/>
      <c r="W402" s="6"/>
    </row>
    <row r="403" spans="1:23" ht="16" x14ac:dyDescent="0.2">
      <c r="A403" s="6"/>
      <c r="B403" s="7"/>
      <c r="C403" s="7"/>
      <c r="D403" s="7"/>
      <c r="E403" s="7"/>
      <c r="F403" s="6"/>
      <c r="G403" s="6"/>
      <c r="H403" s="6"/>
      <c r="I403" s="6"/>
      <c r="J403" s="6"/>
      <c r="K403" s="6"/>
      <c r="L403" s="6"/>
      <c r="M403" s="6"/>
      <c r="N403" s="6"/>
      <c r="O403" s="6"/>
      <c r="P403" s="6"/>
      <c r="Q403" s="6"/>
      <c r="R403" s="6"/>
      <c r="S403" s="6"/>
      <c r="T403" s="6"/>
      <c r="U403" s="6"/>
      <c r="V403" s="6"/>
      <c r="W403" s="6"/>
    </row>
    <row r="404" spans="1:23" ht="16" x14ac:dyDescent="0.2">
      <c r="A404" s="6"/>
      <c r="B404" s="7"/>
      <c r="C404" s="7"/>
      <c r="D404" s="7"/>
      <c r="E404" s="7"/>
      <c r="F404" s="6"/>
      <c r="G404" s="6"/>
      <c r="H404" s="6"/>
      <c r="I404" s="6"/>
      <c r="J404" s="6"/>
      <c r="K404" s="6"/>
      <c r="L404" s="6"/>
      <c r="M404" s="6"/>
      <c r="N404" s="6"/>
      <c r="O404" s="6"/>
      <c r="P404" s="6"/>
      <c r="Q404" s="6"/>
      <c r="R404" s="6"/>
      <c r="S404" s="6"/>
      <c r="T404" s="6"/>
      <c r="U404" s="6"/>
      <c r="V404" s="6"/>
      <c r="W404" s="6"/>
    </row>
    <row r="405" spans="1:23" ht="16" x14ac:dyDescent="0.2">
      <c r="A405" s="6"/>
      <c r="B405" s="7"/>
      <c r="C405" s="7"/>
      <c r="D405" s="7"/>
      <c r="E405" s="7"/>
      <c r="F405" s="6"/>
      <c r="G405" s="6"/>
      <c r="H405" s="6"/>
      <c r="I405" s="6"/>
      <c r="J405" s="6"/>
      <c r="K405" s="6"/>
      <c r="L405" s="6"/>
      <c r="M405" s="6"/>
      <c r="N405" s="6"/>
      <c r="O405" s="6"/>
      <c r="P405" s="6"/>
      <c r="Q405" s="6"/>
      <c r="R405" s="6"/>
      <c r="S405" s="6"/>
      <c r="T405" s="6"/>
      <c r="U405" s="6"/>
      <c r="V405" s="6"/>
      <c r="W405" s="6"/>
    </row>
    <row r="406" spans="1:23" ht="16" x14ac:dyDescent="0.2">
      <c r="A406" s="6"/>
      <c r="B406" s="7"/>
      <c r="C406" s="7"/>
      <c r="D406" s="7"/>
      <c r="E406" s="7"/>
      <c r="F406" s="6"/>
      <c r="G406" s="6"/>
      <c r="H406" s="6"/>
      <c r="I406" s="6"/>
      <c r="J406" s="6"/>
      <c r="K406" s="6"/>
      <c r="L406" s="6"/>
      <c r="M406" s="6"/>
      <c r="N406" s="6"/>
      <c r="O406" s="6"/>
      <c r="P406" s="6"/>
      <c r="Q406" s="6"/>
      <c r="R406" s="6"/>
      <c r="S406" s="6"/>
      <c r="T406" s="6"/>
      <c r="U406" s="6"/>
      <c r="V406" s="6"/>
      <c r="W406" s="6"/>
    </row>
    <row r="407" spans="1:23" ht="16" x14ac:dyDescent="0.2">
      <c r="A407" s="6"/>
      <c r="B407" s="7"/>
      <c r="C407" s="7"/>
      <c r="D407" s="7"/>
      <c r="E407" s="7"/>
      <c r="F407" s="6"/>
      <c r="G407" s="6"/>
      <c r="H407" s="6"/>
      <c r="I407" s="6"/>
      <c r="J407" s="6"/>
      <c r="K407" s="6"/>
      <c r="L407" s="6"/>
      <c r="M407" s="6"/>
      <c r="N407" s="6"/>
      <c r="O407" s="6"/>
      <c r="P407" s="6"/>
      <c r="Q407" s="6"/>
      <c r="R407" s="6"/>
      <c r="S407" s="6"/>
      <c r="T407" s="6"/>
      <c r="U407" s="6"/>
      <c r="V407" s="6"/>
      <c r="W407" s="6"/>
    </row>
    <row r="408" spans="1:23" ht="16" x14ac:dyDescent="0.2">
      <c r="A408" s="6"/>
      <c r="B408" s="7"/>
      <c r="C408" s="7"/>
      <c r="D408" s="7"/>
      <c r="E408" s="7"/>
      <c r="F408" s="6"/>
      <c r="G408" s="6"/>
      <c r="H408" s="6"/>
      <c r="I408" s="6"/>
      <c r="J408" s="6"/>
      <c r="K408" s="6"/>
      <c r="L408" s="6"/>
      <c r="M408" s="6"/>
      <c r="N408" s="6"/>
      <c r="O408" s="6"/>
      <c r="P408" s="6"/>
      <c r="Q408" s="6"/>
      <c r="R408" s="6"/>
      <c r="S408" s="6"/>
      <c r="T408" s="6"/>
      <c r="U408" s="6"/>
      <c r="V408" s="6"/>
      <c r="W408" s="6"/>
    </row>
    <row r="409" spans="1:23" ht="16" x14ac:dyDescent="0.2">
      <c r="A409" s="6"/>
      <c r="B409" s="7"/>
      <c r="C409" s="7"/>
      <c r="D409" s="7"/>
      <c r="E409" s="7"/>
      <c r="F409" s="6"/>
      <c r="G409" s="6"/>
      <c r="H409" s="6"/>
      <c r="I409" s="6"/>
      <c r="J409" s="6"/>
      <c r="K409" s="6"/>
      <c r="L409" s="6"/>
      <c r="M409" s="6"/>
      <c r="N409" s="6"/>
      <c r="O409" s="6"/>
      <c r="P409" s="6"/>
      <c r="Q409" s="6"/>
      <c r="R409" s="6"/>
      <c r="S409" s="6"/>
      <c r="T409" s="6"/>
      <c r="U409" s="6"/>
      <c r="V409" s="6"/>
      <c r="W409" s="6"/>
    </row>
    <row r="410" spans="1:23" ht="16" x14ac:dyDescent="0.2">
      <c r="A410" s="6"/>
      <c r="B410" s="7"/>
      <c r="C410" s="7"/>
      <c r="D410" s="7"/>
      <c r="E410" s="7"/>
      <c r="F410" s="6"/>
      <c r="G410" s="6"/>
      <c r="H410" s="6"/>
      <c r="I410" s="6"/>
      <c r="J410" s="6"/>
      <c r="K410" s="6"/>
      <c r="L410" s="6"/>
      <c r="M410" s="6"/>
      <c r="N410" s="6"/>
      <c r="O410" s="6"/>
      <c r="P410" s="6"/>
      <c r="Q410" s="6"/>
      <c r="R410" s="6"/>
      <c r="S410" s="6"/>
      <c r="T410" s="6"/>
      <c r="U410" s="6"/>
      <c r="V410" s="6"/>
      <c r="W410" s="6"/>
    </row>
    <row r="411" spans="1:23" ht="16" x14ac:dyDescent="0.2">
      <c r="A411" s="6"/>
      <c r="B411" s="7"/>
      <c r="C411" s="7"/>
      <c r="D411" s="7"/>
      <c r="E411" s="7"/>
      <c r="F411" s="6"/>
      <c r="G411" s="6"/>
      <c r="H411" s="6"/>
      <c r="I411" s="6"/>
      <c r="J411" s="6"/>
      <c r="K411" s="6"/>
      <c r="L411" s="6"/>
      <c r="M411" s="6"/>
      <c r="N411" s="6"/>
      <c r="O411" s="6"/>
      <c r="P411" s="6"/>
      <c r="Q411" s="6"/>
      <c r="R411" s="6"/>
      <c r="S411" s="6"/>
      <c r="T411" s="6"/>
      <c r="U411" s="6"/>
      <c r="V411" s="6"/>
      <c r="W411" s="6"/>
    </row>
    <row r="412" spans="1:23" ht="16" x14ac:dyDescent="0.2">
      <c r="A412" s="6"/>
      <c r="B412" s="7"/>
      <c r="C412" s="7"/>
      <c r="D412" s="7"/>
      <c r="E412" s="7"/>
      <c r="F412" s="6"/>
      <c r="G412" s="6"/>
      <c r="H412" s="6"/>
      <c r="I412" s="6"/>
      <c r="J412" s="6"/>
      <c r="K412" s="6"/>
      <c r="L412" s="6"/>
      <c r="M412" s="6"/>
      <c r="N412" s="6"/>
      <c r="O412" s="6"/>
      <c r="P412" s="6"/>
      <c r="Q412" s="6"/>
      <c r="R412" s="6"/>
      <c r="S412" s="6"/>
      <c r="T412" s="6"/>
      <c r="U412" s="6"/>
      <c r="V412" s="6"/>
      <c r="W412" s="6"/>
    </row>
    <row r="413" spans="1:23" ht="16" x14ac:dyDescent="0.2">
      <c r="A413" s="6"/>
      <c r="B413" s="7"/>
      <c r="C413" s="7"/>
      <c r="D413" s="7"/>
      <c r="E413" s="7"/>
      <c r="F413" s="6"/>
      <c r="G413" s="6"/>
      <c r="H413" s="6"/>
      <c r="I413" s="6"/>
      <c r="J413" s="6"/>
      <c r="K413" s="6"/>
      <c r="L413" s="6"/>
      <c r="M413" s="6"/>
      <c r="N413" s="6"/>
      <c r="O413" s="6"/>
      <c r="P413" s="6"/>
      <c r="Q413" s="6"/>
      <c r="R413" s="6"/>
      <c r="S413" s="6"/>
      <c r="T413" s="6"/>
      <c r="U413" s="6"/>
      <c r="V413" s="6"/>
      <c r="W413" s="6"/>
    </row>
    <row r="414" spans="1:23" ht="16" x14ac:dyDescent="0.2">
      <c r="A414" s="6"/>
      <c r="B414" s="7"/>
      <c r="C414" s="7"/>
      <c r="D414" s="7"/>
      <c r="E414" s="7"/>
      <c r="F414" s="6"/>
      <c r="G414" s="6"/>
      <c r="H414" s="6"/>
      <c r="I414" s="6"/>
      <c r="J414" s="6"/>
      <c r="K414" s="6"/>
      <c r="L414" s="6"/>
      <c r="M414" s="6"/>
      <c r="N414" s="6"/>
      <c r="O414" s="6"/>
      <c r="P414" s="6"/>
      <c r="Q414" s="6"/>
      <c r="R414" s="6"/>
      <c r="S414" s="6"/>
      <c r="T414" s="6"/>
      <c r="U414" s="6"/>
      <c r="V414" s="6"/>
      <c r="W414" s="6"/>
    </row>
    <row r="415" spans="1:23" ht="16" x14ac:dyDescent="0.2">
      <c r="A415" s="6"/>
      <c r="B415" s="7"/>
      <c r="C415" s="7"/>
      <c r="D415" s="7"/>
      <c r="E415" s="7"/>
      <c r="F415" s="6"/>
      <c r="G415" s="6"/>
      <c r="H415" s="6"/>
      <c r="I415" s="6"/>
      <c r="J415" s="6"/>
      <c r="K415" s="6"/>
      <c r="L415" s="6"/>
      <c r="M415" s="6"/>
      <c r="N415" s="6"/>
      <c r="O415" s="6"/>
      <c r="P415" s="6"/>
      <c r="Q415" s="6"/>
      <c r="R415" s="6"/>
      <c r="S415" s="6"/>
      <c r="T415" s="6"/>
      <c r="U415" s="6"/>
      <c r="V415" s="6"/>
      <c r="W415" s="6"/>
    </row>
    <row r="416" spans="1:23" ht="16" x14ac:dyDescent="0.2">
      <c r="A416" s="6"/>
      <c r="B416" s="7"/>
      <c r="C416" s="7"/>
      <c r="D416" s="7"/>
      <c r="E416" s="7"/>
      <c r="F416" s="6"/>
      <c r="G416" s="6"/>
      <c r="H416" s="6"/>
      <c r="I416" s="6"/>
      <c r="J416" s="6"/>
      <c r="K416" s="6"/>
      <c r="L416" s="6"/>
      <c r="M416" s="6"/>
      <c r="N416" s="6"/>
      <c r="O416" s="6"/>
      <c r="P416" s="6"/>
      <c r="Q416" s="6"/>
      <c r="R416" s="6"/>
      <c r="S416" s="6"/>
      <c r="T416" s="6"/>
      <c r="U416" s="6"/>
      <c r="V416" s="6"/>
      <c r="W416" s="6"/>
    </row>
    <row r="417" spans="1:23" ht="16" x14ac:dyDescent="0.2">
      <c r="A417" s="6"/>
      <c r="B417" s="7"/>
      <c r="C417" s="7"/>
      <c r="D417" s="7"/>
      <c r="E417" s="7"/>
      <c r="F417" s="6"/>
      <c r="G417" s="6"/>
      <c r="H417" s="6"/>
      <c r="I417" s="6"/>
      <c r="J417" s="6"/>
      <c r="K417" s="6"/>
      <c r="L417" s="6"/>
      <c r="M417" s="6"/>
      <c r="N417" s="6"/>
      <c r="O417" s="6"/>
      <c r="P417" s="6"/>
      <c r="Q417" s="6"/>
      <c r="R417" s="6"/>
      <c r="S417" s="6"/>
      <c r="T417" s="6"/>
      <c r="U417" s="6"/>
      <c r="V417" s="6"/>
      <c r="W417" s="6"/>
    </row>
    <row r="418" spans="1:23" ht="16" x14ac:dyDescent="0.2">
      <c r="A418" s="6"/>
      <c r="B418" s="7"/>
      <c r="C418" s="7"/>
      <c r="D418" s="7"/>
      <c r="E418" s="7"/>
      <c r="F418" s="6"/>
      <c r="G418" s="6"/>
      <c r="H418" s="6"/>
      <c r="I418" s="6"/>
      <c r="J418" s="6"/>
      <c r="K418" s="6"/>
      <c r="L418" s="6"/>
      <c r="M418" s="6"/>
      <c r="N418" s="6"/>
      <c r="O418" s="6"/>
      <c r="P418" s="6"/>
      <c r="Q418" s="6"/>
      <c r="R418" s="6"/>
      <c r="S418" s="6"/>
      <c r="T418" s="6"/>
      <c r="U418" s="6"/>
      <c r="V418" s="6"/>
      <c r="W418" s="6"/>
    </row>
    <row r="419" spans="1:23" ht="16" x14ac:dyDescent="0.2">
      <c r="A419" s="6"/>
      <c r="B419" s="7"/>
      <c r="C419" s="7"/>
      <c r="D419" s="7"/>
      <c r="E419" s="7"/>
      <c r="F419" s="6"/>
      <c r="G419" s="6"/>
      <c r="H419" s="6"/>
      <c r="I419" s="6"/>
      <c r="J419" s="6"/>
      <c r="K419" s="6"/>
      <c r="L419" s="6"/>
      <c r="M419" s="6"/>
      <c r="N419" s="6"/>
      <c r="O419" s="6"/>
      <c r="P419" s="6"/>
      <c r="Q419" s="6"/>
      <c r="R419" s="6"/>
      <c r="S419" s="6"/>
      <c r="T419" s="6"/>
      <c r="U419" s="6"/>
      <c r="V419" s="6"/>
      <c r="W419" s="6"/>
    </row>
    <row r="420" spans="1:23" ht="16" x14ac:dyDescent="0.2">
      <c r="A420" s="6"/>
      <c r="B420" s="7"/>
      <c r="C420" s="7"/>
      <c r="D420" s="7"/>
      <c r="E420" s="7"/>
      <c r="F420" s="6"/>
      <c r="G420" s="6"/>
      <c r="H420" s="6"/>
      <c r="I420" s="6"/>
      <c r="J420" s="6"/>
      <c r="K420" s="6"/>
      <c r="L420" s="6"/>
      <c r="M420" s="6"/>
      <c r="N420" s="6"/>
      <c r="O420" s="6"/>
      <c r="P420" s="6"/>
      <c r="Q420" s="6"/>
      <c r="R420" s="6"/>
      <c r="S420" s="6"/>
      <c r="T420" s="6"/>
      <c r="U420" s="6"/>
      <c r="V420" s="6"/>
      <c r="W420" s="6"/>
    </row>
    <row r="421" spans="1:23" ht="16" x14ac:dyDescent="0.2">
      <c r="A421" s="6"/>
      <c r="B421" s="7"/>
      <c r="C421" s="7"/>
      <c r="D421" s="7"/>
      <c r="E421" s="7"/>
      <c r="F421" s="6"/>
      <c r="G421" s="6"/>
      <c r="H421" s="6"/>
      <c r="I421" s="6"/>
      <c r="J421" s="6"/>
      <c r="K421" s="6"/>
      <c r="L421" s="6"/>
      <c r="M421" s="6"/>
      <c r="N421" s="6"/>
      <c r="O421" s="6"/>
      <c r="P421" s="6"/>
      <c r="Q421" s="6"/>
      <c r="R421" s="6"/>
      <c r="S421" s="6"/>
      <c r="T421" s="6"/>
      <c r="U421" s="6"/>
      <c r="V421" s="6"/>
      <c r="W421" s="6"/>
    </row>
    <row r="422" spans="1:23" ht="16" x14ac:dyDescent="0.2">
      <c r="A422" s="6"/>
      <c r="B422" s="7"/>
      <c r="C422" s="7"/>
      <c r="D422" s="7"/>
      <c r="E422" s="7"/>
      <c r="F422" s="6"/>
      <c r="G422" s="6"/>
      <c r="H422" s="6"/>
      <c r="I422" s="6"/>
      <c r="J422" s="6"/>
      <c r="K422" s="6"/>
      <c r="L422" s="6"/>
      <c r="M422" s="6"/>
      <c r="N422" s="6"/>
      <c r="O422" s="6"/>
      <c r="P422" s="6"/>
      <c r="Q422" s="6"/>
      <c r="R422" s="6"/>
      <c r="S422" s="6"/>
      <c r="T422" s="6"/>
      <c r="U422" s="6"/>
      <c r="V422" s="6"/>
      <c r="W422" s="6"/>
    </row>
    <row r="423" spans="1:23" ht="16" x14ac:dyDescent="0.2">
      <c r="A423" s="6"/>
      <c r="B423" s="7"/>
      <c r="C423" s="7"/>
      <c r="D423" s="7"/>
      <c r="E423" s="7"/>
      <c r="F423" s="6"/>
      <c r="G423" s="6"/>
      <c r="H423" s="6"/>
      <c r="I423" s="6"/>
      <c r="J423" s="6"/>
      <c r="K423" s="6"/>
      <c r="L423" s="6"/>
      <c r="M423" s="6"/>
      <c r="N423" s="6"/>
      <c r="O423" s="6"/>
      <c r="P423" s="6"/>
      <c r="Q423" s="6"/>
      <c r="R423" s="6"/>
      <c r="S423" s="6"/>
      <c r="T423" s="6"/>
      <c r="U423" s="6"/>
      <c r="V423" s="6"/>
      <c r="W423" s="6"/>
    </row>
    <row r="424" spans="1:23" ht="16" x14ac:dyDescent="0.2">
      <c r="A424" s="6"/>
      <c r="B424" s="7"/>
      <c r="C424" s="7"/>
      <c r="D424" s="7"/>
      <c r="E424" s="7"/>
      <c r="F424" s="6"/>
      <c r="G424" s="6"/>
      <c r="H424" s="6"/>
      <c r="I424" s="6"/>
      <c r="J424" s="6"/>
      <c r="K424" s="6"/>
      <c r="L424" s="6"/>
      <c r="M424" s="6"/>
      <c r="N424" s="6"/>
      <c r="O424" s="6"/>
      <c r="P424" s="6"/>
      <c r="Q424" s="6"/>
      <c r="R424" s="6"/>
      <c r="S424" s="6"/>
      <c r="T424" s="6"/>
      <c r="U424" s="6"/>
      <c r="V424" s="6"/>
      <c r="W424" s="6"/>
    </row>
    <row r="425" spans="1:23" ht="16" x14ac:dyDescent="0.2">
      <c r="A425" s="6"/>
      <c r="B425" s="7"/>
      <c r="C425" s="7"/>
      <c r="D425" s="7"/>
      <c r="E425" s="7"/>
      <c r="F425" s="6"/>
      <c r="G425" s="6"/>
      <c r="H425" s="6"/>
      <c r="I425" s="6"/>
      <c r="J425" s="6"/>
      <c r="K425" s="6"/>
      <c r="L425" s="6"/>
      <c r="M425" s="6"/>
      <c r="N425" s="6"/>
      <c r="O425" s="6"/>
      <c r="P425" s="6"/>
      <c r="Q425" s="6"/>
      <c r="R425" s="6"/>
      <c r="S425" s="6"/>
      <c r="T425" s="6"/>
      <c r="U425" s="6"/>
      <c r="V425" s="6"/>
      <c r="W425" s="6"/>
    </row>
    <row r="426" spans="1:23" ht="16" x14ac:dyDescent="0.2">
      <c r="A426" s="6"/>
      <c r="B426" s="7"/>
      <c r="C426" s="7"/>
      <c r="D426" s="7"/>
      <c r="E426" s="7"/>
      <c r="F426" s="6"/>
      <c r="G426" s="6"/>
      <c r="H426" s="6"/>
      <c r="I426" s="6"/>
      <c r="J426" s="6"/>
      <c r="K426" s="6"/>
      <c r="L426" s="6"/>
      <c r="M426" s="6"/>
      <c r="N426" s="6"/>
      <c r="O426" s="6"/>
      <c r="P426" s="6"/>
      <c r="Q426" s="6"/>
      <c r="R426" s="6"/>
      <c r="S426" s="6"/>
      <c r="T426" s="6"/>
      <c r="U426" s="6"/>
      <c r="V426" s="6"/>
      <c r="W426" s="6"/>
    </row>
    <row r="427" spans="1:23" ht="16" x14ac:dyDescent="0.2">
      <c r="A427" s="6"/>
      <c r="B427" s="7"/>
      <c r="C427" s="7"/>
      <c r="D427" s="7"/>
      <c r="E427" s="7"/>
      <c r="F427" s="6"/>
      <c r="G427" s="6"/>
      <c r="H427" s="6"/>
      <c r="I427" s="6"/>
      <c r="J427" s="6"/>
      <c r="K427" s="6"/>
      <c r="L427" s="6"/>
      <c r="M427" s="6"/>
      <c r="N427" s="6"/>
      <c r="O427" s="6"/>
      <c r="P427" s="6"/>
      <c r="Q427" s="6"/>
      <c r="R427" s="6"/>
      <c r="S427" s="6"/>
      <c r="T427" s="6"/>
      <c r="U427" s="6"/>
      <c r="V427" s="6"/>
      <c r="W427" s="6"/>
    </row>
    <row r="428" spans="1:23" ht="16" x14ac:dyDescent="0.2">
      <c r="A428" s="6"/>
      <c r="B428" s="7"/>
      <c r="C428" s="7"/>
      <c r="D428" s="7"/>
      <c r="E428" s="7"/>
      <c r="F428" s="6"/>
      <c r="G428" s="6"/>
      <c r="H428" s="6"/>
      <c r="I428" s="6"/>
      <c r="J428" s="6"/>
      <c r="K428" s="6"/>
      <c r="L428" s="6"/>
      <c r="M428" s="6"/>
      <c r="N428" s="6"/>
      <c r="O428" s="6"/>
      <c r="P428" s="6"/>
      <c r="Q428" s="6"/>
      <c r="R428" s="6"/>
      <c r="S428" s="6"/>
      <c r="T428" s="6"/>
      <c r="U428" s="6"/>
      <c r="V428" s="6"/>
      <c r="W428" s="6"/>
    </row>
    <row r="429" spans="1:23" ht="16" x14ac:dyDescent="0.2">
      <c r="A429" s="6"/>
      <c r="B429" s="7"/>
      <c r="C429" s="7"/>
      <c r="D429" s="7"/>
      <c r="E429" s="7"/>
      <c r="F429" s="6"/>
      <c r="G429" s="6"/>
      <c r="H429" s="6"/>
      <c r="I429" s="6"/>
      <c r="J429" s="6"/>
      <c r="K429" s="6"/>
      <c r="L429" s="6"/>
      <c r="M429" s="6"/>
      <c r="N429" s="6"/>
      <c r="O429" s="6"/>
      <c r="P429" s="6"/>
      <c r="Q429" s="6"/>
      <c r="R429" s="6"/>
      <c r="S429" s="6"/>
      <c r="T429" s="6"/>
      <c r="U429" s="6"/>
      <c r="V429" s="6"/>
      <c r="W429" s="6"/>
    </row>
    <row r="430" spans="1:23" ht="16" x14ac:dyDescent="0.2">
      <c r="A430" s="6"/>
      <c r="B430" s="7"/>
      <c r="C430" s="7"/>
      <c r="D430" s="7"/>
      <c r="E430" s="7"/>
      <c r="F430" s="6"/>
      <c r="G430" s="6"/>
      <c r="H430" s="6"/>
      <c r="I430" s="6"/>
      <c r="J430" s="6"/>
      <c r="K430" s="6"/>
      <c r="L430" s="6"/>
      <c r="M430" s="6"/>
      <c r="N430" s="6"/>
      <c r="O430" s="6"/>
      <c r="P430" s="6"/>
      <c r="Q430" s="6"/>
      <c r="R430" s="6"/>
      <c r="S430" s="6"/>
      <c r="T430" s="6"/>
      <c r="U430" s="6"/>
      <c r="V430" s="6"/>
      <c r="W430" s="6"/>
    </row>
    <row r="431" spans="1:23" ht="16" x14ac:dyDescent="0.2">
      <c r="A431" s="6"/>
      <c r="B431" s="7"/>
      <c r="C431" s="7"/>
      <c r="D431" s="7"/>
      <c r="E431" s="7"/>
      <c r="F431" s="6"/>
      <c r="G431" s="6"/>
      <c r="H431" s="6"/>
      <c r="I431" s="6"/>
      <c r="J431" s="6"/>
      <c r="K431" s="6"/>
      <c r="L431" s="6"/>
      <c r="M431" s="6"/>
      <c r="N431" s="6"/>
      <c r="O431" s="6"/>
      <c r="P431" s="6"/>
      <c r="Q431" s="6"/>
      <c r="R431" s="6"/>
      <c r="S431" s="6"/>
      <c r="T431" s="6"/>
      <c r="U431" s="6"/>
      <c r="V431" s="6"/>
      <c r="W431" s="6"/>
    </row>
    <row r="432" spans="1:23" ht="16" x14ac:dyDescent="0.2">
      <c r="A432" s="6"/>
      <c r="B432" s="7"/>
      <c r="C432" s="7"/>
      <c r="D432" s="7"/>
      <c r="E432" s="7"/>
      <c r="F432" s="6"/>
      <c r="G432" s="6"/>
      <c r="H432" s="6"/>
      <c r="I432" s="6"/>
      <c r="J432" s="6"/>
      <c r="K432" s="6"/>
      <c r="L432" s="6"/>
      <c r="M432" s="6"/>
      <c r="N432" s="6"/>
      <c r="O432" s="6"/>
      <c r="P432" s="6"/>
      <c r="Q432" s="6"/>
      <c r="R432" s="6"/>
      <c r="S432" s="6"/>
      <c r="T432" s="6"/>
      <c r="U432" s="6"/>
      <c r="V432" s="6"/>
      <c r="W432" s="6"/>
    </row>
    <row r="433" spans="1:23" ht="16" x14ac:dyDescent="0.2">
      <c r="A433" s="6"/>
      <c r="B433" s="7"/>
      <c r="C433" s="7"/>
      <c r="D433" s="7"/>
      <c r="E433" s="7"/>
      <c r="F433" s="6"/>
      <c r="G433" s="6"/>
      <c r="H433" s="6"/>
      <c r="I433" s="6"/>
      <c r="J433" s="6"/>
      <c r="K433" s="6"/>
      <c r="L433" s="6"/>
      <c r="M433" s="6"/>
      <c r="N433" s="6"/>
      <c r="O433" s="6"/>
      <c r="P433" s="6"/>
      <c r="Q433" s="6"/>
      <c r="R433" s="6"/>
      <c r="S433" s="6"/>
      <c r="T433" s="6"/>
      <c r="U433" s="6"/>
      <c r="V433" s="6"/>
      <c r="W433" s="6"/>
    </row>
    <row r="434" spans="1:23" ht="16" x14ac:dyDescent="0.2">
      <c r="A434" s="6"/>
      <c r="B434" s="7"/>
      <c r="C434" s="7"/>
      <c r="D434" s="7"/>
      <c r="E434" s="7"/>
      <c r="F434" s="6"/>
      <c r="G434" s="6"/>
      <c r="H434" s="6"/>
      <c r="I434" s="6"/>
      <c r="J434" s="6"/>
      <c r="K434" s="6"/>
      <c r="L434" s="6"/>
      <c r="M434" s="6"/>
      <c r="N434" s="6"/>
      <c r="O434" s="6"/>
      <c r="P434" s="6"/>
      <c r="Q434" s="6"/>
      <c r="R434" s="6"/>
      <c r="S434" s="6"/>
      <c r="T434" s="6"/>
      <c r="U434" s="6"/>
      <c r="V434" s="6"/>
      <c r="W434" s="6"/>
    </row>
    <row r="435" spans="1:23" ht="16" x14ac:dyDescent="0.2">
      <c r="A435" s="6"/>
      <c r="B435" s="7"/>
      <c r="C435" s="7"/>
      <c r="D435" s="7"/>
      <c r="E435" s="7"/>
      <c r="F435" s="6"/>
      <c r="G435" s="6"/>
      <c r="H435" s="6"/>
      <c r="I435" s="6"/>
      <c r="J435" s="6"/>
      <c r="K435" s="6"/>
      <c r="L435" s="6"/>
      <c r="M435" s="6"/>
      <c r="N435" s="6"/>
      <c r="O435" s="6"/>
      <c r="P435" s="6"/>
      <c r="Q435" s="6"/>
      <c r="R435" s="6"/>
      <c r="S435" s="6"/>
      <c r="T435" s="6"/>
      <c r="U435" s="6"/>
      <c r="V435" s="6"/>
      <c r="W435" s="6"/>
    </row>
    <row r="436" spans="1:23" ht="16" x14ac:dyDescent="0.2">
      <c r="A436" s="6"/>
      <c r="B436" s="7"/>
      <c r="C436" s="7"/>
      <c r="D436" s="7"/>
      <c r="E436" s="7"/>
      <c r="F436" s="6"/>
      <c r="G436" s="6"/>
      <c r="H436" s="6"/>
      <c r="I436" s="6"/>
      <c r="J436" s="6"/>
      <c r="K436" s="6"/>
      <c r="L436" s="6"/>
      <c r="M436" s="6"/>
      <c r="N436" s="6"/>
      <c r="O436" s="6"/>
      <c r="P436" s="6"/>
      <c r="Q436" s="6"/>
      <c r="R436" s="6"/>
      <c r="S436" s="6"/>
      <c r="T436" s="6"/>
      <c r="U436" s="6"/>
      <c r="V436" s="6"/>
      <c r="W436" s="6"/>
    </row>
    <row r="437" spans="1:23" ht="16" x14ac:dyDescent="0.2">
      <c r="A437" s="6"/>
      <c r="B437" s="7"/>
      <c r="C437" s="7"/>
      <c r="D437" s="7"/>
      <c r="E437" s="7"/>
      <c r="F437" s="6"/>
      <c r="G437" s="6"/>
      <c r="H437" s="6"/>
      <c r="I437" s="6"/>
      <c r="J437" s="6"/>
      <c r="K437" s="6"/>
      <c r="L437" s="6"/>
      <c r="M437" s="6"/>
      <c r="N437" s="6"/>
      <c r="O437" s="6"/>
      <c r="P437" s="6"/>
      <c r="Q437" s="6"/>
      <c r="R437" s="6"/>
      <c r="S437" s="6"/>
      <c r="T437" s="6"/>
      <c r="U437" s="6"/>
      <c r="V437" s="6"/>
      <c r="W437" s="6"/>
    </row>
    <row r="438" spans="1:23" ht="16" x14ac:dyDescent="0.2">
      <c r="A438" s="6"/>
      <c r="B438" s="7"/>
      <c r="C438" s="7"/>
      <c r="D438" s="7"/>
      <c r="E438" s="7"/>
      <c r="F438" s="6"/>
      <c r="G438" s="6"/>
      <c r="H438" s="6"/>
      <c r="I438" s="6"/>
      <c r="J438" s="6"/>
      <c r="K438" s="6"/>
      <c r="L438" s="6"/>
      <c r="M438" s="6"/>
      <c r="N438" s="6"/>
      <c r="O438" s="6"/>
      <c r="P438" s="6"/>
      <c r="Q438" s="6"/>
      <c r="R438" s="6"/>
      <c r="S438" s="6"/>
      <c r="T438" s="6"/>
      <c r="U438" s="6"/>
      <c r="V438" s="6"/>
      <c r="W438" s="6"/>
    </row>
    <row r="439" spans="1:23" ht="16" x14ac:dyDescent="0.2">
      <c r="A439" s="6"/>
      <c r="B439" s="7"/>
      <c r="C439" s="7"/>
      <c r="D439" s="7"/>
      <c r="E439" s="7"/>
      <c r="F439" s="6"/>
      <c r="G439" s="6"/>
      <c r="H439" s="6"/>
      <c r="I439" s="6"/>
      <c r="J439" s="6"/>
      <c r="K439" s="6"/>
      <c r="L439" s="6"/>
      <c r="M439" s="6"/>
      <c r="N439" s="6"/>
      <c r="O439" s="6"/>
      <c r="P439" s="6"/>
      <c r="Q439" s="6"/>
      <c r="R439" s="6"/>
      <c r="S439" s="6"/>
      <c r="T439" s="6"/>
      <c r="U439" s="6"/>
      <c r="V439" s="6"/>
      <c r="W439" s="6"/>
    </row>
    <row r="440" spans="1:23" ht="16" x14ac:dyDescent="0.2">
      <c r="A440" s="6"/>
      <c r="B440" s="7"/>
      <c r="C440" s="7"/>
      <c r="D440" s="7"/>
      <c r="E440" s="7"/>
      <c r="F440" s="6"/>
      <c r="G440" s="6"/>
      <c r="H440" s="6"/>
      <c r="I440" s="6"/>
      <c r="J440" s="6"/>
      <c r="K440" s="6"/>
      <c r="L440" s="6"/>
      <c r="M440" s="6"/>
      <c r="N440" s="6"/>
      <c r="O440" s="6"/>
      <c r="P440" s="6"/>
      <c r="Q440" s="6"/>
      <c r="R440" s="6"/>
      <c r="S440" s="6"/>
      <c r="T440" s="6"/>
      <c r="U440" s="6"/>
      <c r="V440" s="6"/>
      <c r="W440" s="6"/>
    </row>
    <row r="441" spans="1:23" ht="16" x14ac:dyDescent="0.2">
      <c r="A441" s="6"/>
      <c r="B441" s="7"/>
      <c r="C441" s="7"/>
      <c r="D441" s="7"/>
      <c r="E441" s="7"/>
      <c r="F441" s="6"/>
      <c r="G441" s="6"/>
      <c r="H441" s="6"/>
      <c r="I441" s="6"/>
      <c r="J441" s="6"/>
      <c r="K441" s="6"/>
      <c r="L441" s="6"/>
      <c r="M441" s="6"/>
      <c r="N441" s="6"/>
      <c r="O441" s="6"/>
      <c r="P441" s="6"/>
      <c r="Q441" s="6"/>
      <c r="R441" s="6"/>
      <c r="S441" s="6"/>
      <c r="T441" s="6"/>
      <c r="U441" s="6"/>
      <c r="V441" s="6"/>
      <c r="W441" s="6"/>
    </row>
    <row r="442" spans="1:23" ht="16" x14ac:dyDescent="0.2">
      <c r="A442" s="6"/>
      <c r="B442" s="7"/>
      <c r="C442" s="7"/>
      <c r="D442" s="7"/>
      <c r="E442" s="7"/>
      <c r="F442" s="6"/>
      <c r="G442" s="6"/>
      <c r="H442" s="6"/>
      <c r="I442" s="6"/>
      <c r="J442" s="6"/>
      <c r="K442" s="6"/>
      <c r="L442" s="6"/>
      <c r="M442" s="6"/>
      <c r="N442" s="6"/>
      <c r="O442" s="6"/>
      <c r="P442" s="6"/>
      <c r="Q442" s="6"/>
      <c r="R442" s="6"/>
      <c r="S442" s="6"/>
      <c r="T442" s="6"/>
      <c r="U442" s="6"/>
      <c r="V442" s="6"/>
      <c r="W442" s="6"/>
    </row>
    <row r="443" spans="1:23" ht="16" x14ac:dyDescent="0.2">
      <c r="A443" s="6"/>
      <c r="B443" s="7"/>
      <c r="C443" s="7"/>
      <c r="D443" s="7"/>
      <c r="E443" s="7"/>
      <c r="F443" s="6"/>
      <c r="G443" s="6"/>
      <c r="H443" s="6"/>
      <c r="I443" s="6"/>
      <c r="J443" s="6"/>
      <c r="K443" s="6"/>
      <c r="L443" s="6"/>
      <c r="M443" s="6"/>
      <c r="N443" s="6"/>
      <c r="O443" s="6"/>
      <c r="P443" s="6"/>
      <c r="Q443" s="6"/>
      <c r="R443" s="6"/>
      <c r="S443" s="6"/>
      <c r="T443" s="6"/>
      <c r="U443" s="6"/>
      <c r="V443" s="6"/>
      <c r="W443" s="6"/>
    </row>
    <row r="444" spans="1:23" ht="16" x14ac:dyDescent="0.2">
      <c r="A444" s="6"/>
      <c r="B444" s="7"/>
      <c r="C444" s="7"/>
      <c r="D444" s="7"/>
      <c r="E444" s="7"/>
      <c r="F444" s="6"/>
      <c r="G444" s="6"/>
      <c r="H444" s="6"/>
      <c r="I444" s="6"/>
      <c r="J444" s="6"/>
      <c r="K444" s="6"/>
      <c r="L444" s="6"/>
      <c r="M444" s="6"/>
      <c r="N444" s="6"/>
      <c r="O444" s="6"/>
      <c r="P444" s="6"/>
      <c r="Q444" s="6"/>
      <c r="R444" s="6"/>
      <c r="S444" s="6"/>
      <c r="T444" s="6"/>
      <c r="U444" s="6"/>
      <c r="V444" s="6"/>
      <c r="W444" s="6"/>
    </row>
    <row r="445" spans="1:23" ht="16" x14ac:dyDescent="0.2">
      <c r="A445" s="6"/>
      <c r="B445" s="7"/>
      <c r="C445" s="7"/>
      <c r="D445" s="7"/>
      <c r="E445" s="7"/>
      <c r="F445" s="6"/>
      <c r="G445" s="6"/>
      <c r="H445" s="6"/>
      <c r="I445" s="6"/>
      <c r="J445" s="6"/>
      <c r="K445" s="6"/>
      <c r="L445" s="6"/>
      <c r="M445" s="6"/>
      <c r="N445" s="6"/>
      <c r="O445" s="6"/>
      <c r="P445" s="6"/>
      <c r="Q445" s="6"/>
      <c r="R445" s="6"/>
      <c r="S445" s="6"/>
      <c r="T445" s="6"/>
      <c r="U445" s="6"/>
      <c r="V445" s="6"/>
      <c r="W445" s="6"/>
    </row>
    <row r="446" spans="1:23" ht="16" x14ac:dyDescent="0.2">
      <c r="A446" s="6"/>
      <c r="B446" s="7"/>
      <c r="C446" s="7"/>
      <c r="D446" s="7"/>
      <c r="E446" s="7"/>
      <c r="F446" s="6"/>
      <c r="G446" s="6"/>
      <c r="H446" s="6"/>
      <c r="I446" s="6"/>
      <c r="J446" s="6"/>
      <c r="K446" s="6"/>
      <c r="L446" s="6"/>
      <c r="M446" s="6"/>
      <c r="N446" s="6"/>
      <c r="O446" s="6"/>
      <c r="P446" s="6"/>
      <c r="Q446" s="6"/>
      <c r="R446" s="6"/>
      <c r="S446" s="6"/>
      <c r="T446" s="6"/>
      <c r="U446" s="6"/>
      <c r="V446" s="6"/>
      <c r="W446" s="6"/>
    </row>
    <row r="447" spans="1:23" ht="16" x14ac:dyDescent="0.2">
      <c r="A447" s="6"/>
      <c r="B447" s="7"/>
      <c r="C447" s="7"/>
      <c r="D447" s="7"/>
      <c r="E447" s="7"/>
      <c r="F447" s="6"/>
      <c r="G447" s="6"/>
      <c r="H447" s="6"/>
      <c r="I447" s="6"/>
      <c r="J447" s="6"/>
      <c r="K447" s="6"/>
      <c r="L447" s="6"/>
      <c r="M447" s="6"/>
      <c r="N447" s="6"/>
      <c r="O447" s="6"/>
      <c r="P447" s="6"/>
      <c r="Q447" s="6"/>
      <c r="R447" s="6"/>
      <c r="S447" s="6"/>
      <c r="T447" s="6"/>
      <c r="U447" s="6"/>
      <c r="V447" s="6"/>
      <c r="W447" s="6"/>
    </row>
    <row r="448" spans="1:23" ht="16" x14ac:dyDescent="0.2">
      <c r="A448" s="6"/>
      <c r="B448" s="7"/>
      <c r="C448" s="7"/>
      <c r="D448" s="7"/>
      <c r="E448" s="7"/>
      <c r="F448" s="6"/>
      <c r="G448" s="6"/>
      <c r="H448" s="6"/>
      <c r="I448" s="6"/>
      <c r="J448" s="6"/>
      <c r="K448" s="6"/>
      <c r="L448" s="6"/>
      <c r="M448" s="6"/>
      <c r="N448" s="6"/>
      <c r="O448" s="6"/>
      <c r="P448" s="6"/>
      <c r="Q448" s="6"/>
      <c r="R448" s="6"/>
      <c r="S448" s="6"/>
      <c r="T448" s="6"/>
      <c r="U448" s="6"/>
      <c r="V448" s="6"/>
      <c r="W448" s="6"/>
    </row>
    <row r="449" spans="1:23" ht="16" x14ac:dyDescent="0.2">
      <c r="A449" s="6"/>
      <c r="B449" s="7"/>
      <c r="C449" s="7"/>
      <c r="D449" s="7"/>
      <c r="E449" s="7"/>
      <c r="F449" s="6"/>
      <c r="G449" s="6"/>
      <c r="H449" s="6"/>
      <c r="I449" s="6"/>
      <c r="J449" s="6"/>
      <c r="K449" s="6"/>
      <c r="L449" s="6"/>
      <c r="M449" s="6"/>
      <c r="N449" s="6"/>
      <c r="O449" s="6"/>
      <c r="P449" s="6"/>
      <c r="Q449" s="6"/>
      <c r="R449" s="6"/>
      <c r="S449" s="6"/>
      <c r="T449" s="6"/>
      <c r="U449" s="6"/>
      <c r="V449" s="6"/>
      <c r="W449" s="6"/>
    </row>
    <row r="450" spans="1:23" ht="16" x14ac:dyDescent="0.2">
      <c r="A450" s="6"/>
      <c r="B450" s="7"/>
      <c r="C450" s="7"/>
      <c r="D450" s="7"/>
      <c r="E450" s="7"/>
      <c r="F450" s="6"/>
      <c r="G450" s="6"/>
      <c r="H450" s="6"/>
      <c r="I450" s="6"/>
      <c r="J450" s="6"/>
      <c r="K450" s="6"/>
      <c r="L450" s="6"/>
      <c r="M450" s="6"/>
      <c r="N450" s="6"/>
      <c r="O450" s="6"/>
      <c r="P450" s="6"/>
      <c r="Q450" s="6"/>
      <c r="R450" s="6"/>
      <c r="S450" s="6"/>
      <c r="T450" s="6"/>
      <c r="U450" s="6"/>
      <c r="V450" s="6"/>
      <c r="W450" s="6"/>
    </row>
    <row r="451" spans="1:23" ht="16" x14ac:dyDescent="0.2">
      <c r="A451" s="6"/>
      <c r="B451" s="7"/>
      <c r="C451" s="7"/>
      <c r="D451" s="7"/>
      <c r="E451" s="7"/>
      <c r="F451" s="6"/>
      <c r="G451" s="6"/>
      <c r="H451" s="6"/>
      <c r="I451" s="6"/>
      <c r="J451" s="6"/>
      <c r="K451" s="6"/>
      <c r="L451" s="6"/>
      <c r="M451" s="6"/>
      <c r="N451" s="6"/>
      <c r="O451" s="6"/>
      <c r="P451" s="6"/>
      <c r="Q451" s="6"/>
      <c r="R451" s="6"/>
      <c r="S451" s="6"/>
      <c r="T451" s="6"/>
      <c r="U451" s="6"/>
      <c r="V451" s="6"/>
      <c r="W451" s="6"/>
    </row>
    <row r="452" spans="1:23" ht="16" x14ac:dyDescent="0.2">
      <c r="A452" s="6"/>
      <c r="B452" s="7"/>
      <c r="C452" s="7"/>
      <c r="D452" s="7"/>
      <c r="E452" s="7"/>
      <c r="F452" s="6"/>
      <c r="G452" s="6"/>
      <c r="H452" s="6"/>
      <c r="I452" s="6"/>
      <c r="J452" s="6"/>
      <c r="K452" s="6"/>
      <c r="L452" s="6"/>
      <c r="M452" s="6"/>
      <c r="N452" s="6"/>
      <c r="O452" s="6"/>
      <c r="P452" s="6"/>
      <c r="Q452" s="6"/>
      <c r="R452" s="6"/>
      <c r="S452" s="6"/>
      <c r="T452" s="6"/>
      <c r="U452" s="6"/>
      <c r="V452" s="6"/>
      <c r="W452" s="6"/>
    </row>
    <row r="453" spans="1:23" ht="16" x14ac:dyDescent="0.2">
      <c r="A453" s="6"/>
      <c r="B453" s="7"/>
      <c r="C453" s="7"/>
      <c r="D453" s="7"/>
      <c r="E453" s="7"/>
      <c r="F453" s="6"/>
      <c r="G453" s="6"/>
      <c r="H453" s="6"/>
      <c r="I453" s="6"/>
      <c r="J453" s="6"/>
      <c r="K453" s="6"/>
      <c r="L453" s="6"/>
      <c r="M453" s="6"/>
      <c r="N453" s="6"/>
      <c r="O453" s="6"/>
      <c r="P453" s="6"/>
      <c r="Q453" s="6"/>
      <c r="R453" s="6"/>
      <c r="S453" s="6"/>
      <c r="T453" s="6"/>
      <c r="U453" s="6"/>
      <c r="V453" s="6"/>
      <c r="W453" s="6"/>
    </row>
    <row r="454" spans="1:23" ht="16" x14ac:dyDescent="0.2">
      <c r="A454" s="6"/>
      <c r="B454" s="7"/>
      <c r="C454" s="7"/>
      <c r="D454" s="7"/>
      <c r="E454" s="7"/>
      <c r="F454" s="6"/>
      <c r="G454" s="6"/>
      <c r="H454" s="6"/>
      <c r="I454" s="6"/>
      <c r="J454" s="6"/>
      <c r="K454" s="6"/>
      <c r="L454" s="6"/>
      <c r="M454" s="6"/>
      <c r="N454" s="6"/>
      <c r="O454" s="6"/>
      <c r="P454" s="6"/>
      <c r="Q454" s="6"/>
      <c r="R454" s="6"/>
      <c r="S454" s="6"/>
      <c r="T454" s="6"/>
      <c r="U454" s="6"/>
      <c r="V454" s="6"/>
      <c r="W454" s="6"/>
    </row>
    <row r="455" spans="1:23" ht="16" x14ac:dyDescent="0.2">
      <c r="A455" s="6"/>
      <c r="B455" s="7"/>
      <c r="C455" s="7"/>
      <c r="D455" s="7"/>
      <c r="E455" s="7"/>
      <c r="F455" s="6"/>
      <c r="G455" s="6"/>
      <c r="H455" s="6"/>
      <c r="I455" s="6"/>
      <c r="J455" s="6"/>
      <c r="K455" s="6"/>
      <c r="L455" s="6"/>
      <c r="M455" s="6"/>
      <c r="N455" s="6"/>
      <c r="O455" s="6"/>
      <c r="P455" s="6"/>
      <c r="Q455" s="6"/>
      <c r="R455" s="6"/>
      <c r="S455" s="6"/>
      <c r="T455" s="6"/>
      <c r="U455" s="6"/>
      <c r="V455" s="6"/>
      <c r="W455" s="6"/>
    </row>
    <row r="456" spans="1:23" ht="16" x14ac:dyDescent="0.2">
      <c r="A456" s="6"/>
      <c r="B456" s="7"/>
      <c r="C456" s="7"/>
      <c r="D456" s="7"/>
      <c r="E456" s="7"/>
      <c r="F456" s="6"/>
      <c r="G456" s="6"/>
      <c r="H456" s="6"/>
      <c r="I456" s="6"/>
      <c r="J456" s="6"/>
      <c r="K456" s="6"/>
      <c r="L456" s="6"/>
      <c r="M456" s="6"/>
      <c r="N456" s="6"/>
      <c r="O456" s="6"/>
      <c r="P456" s="6"/>
      <c r="Q456" s="6"/>
      <c r="R456" s="6"/>
      <c r="S456" s="6"/>
      <c r="T456" s="6"/>
      <c r="U456" s="6"/>
      <c r="V456" s="6"/>
      <c r="W456" s="6"/>
    </row>
    <row r="457" spans="1:23" ht="16" x14ac:dyDescent="0.2">
      <c r="A457" s="6"/>
      <c r="B457" s="7"/>
      <c r="C457" s="7"/>
      <c r="D457" s="7"/>
      <c r="E457" s="7"/>
      <c r="F457" s="6"/>
      <c r="G457" s="6"/>
      <c r="H457" s="6"/>
      <c r="I457" s="6"/>
      <c r="J457" s="6"/>
      <c r="K457" s="6"/>
      <c r="L457" s="6"/>
      <c r="M457" s="6"/>
      <c r="N457" s="6"/>
      <c r="O457" s="6"/>
      <c r="P457" s="6"/>
      <c r="Q457" s="6"/>
      <c r="R457" s="6"/>
      <c r="S457" s="6"/>
      <c r="T457" s="6"/>
      <c r="U457" s="6"/>
      <c r="V457" s="6"/>
      <c r="W457" s="6"/>
    </row>
    <row r="458" spans="1:23" ht="16" x14ac:dyDescent="0.2">
      <c r="A458" s="6"/>
      <c r="B458" s="7"/>
      <c r="C458" s="7"/>
      <c r="D458" s="7"/>
      <c r="E458" s="7"/>
      <c r="F458" s="6"/>
      <c r="G458" s="6"/>
      <c r="H458" s="6"/>
      <c r="I458" s="6"/>
      <c r="J458" s="6"/>
      <c r="K458" s="6"/>
      <c r="L458" s="6"/>
      <c r="M458" s="6"/>
      <c r="N458" s="6"/>
      <c r="O458" s="6"/>
      <c r="P458" s="6"/>
      <c r="Q458" s="6"/>
      <c r="R458" s="6"/>
      <c r="S458" s="6"/>
      <c r="T458" s="6"/>
      <c r="U458" s="6"/>
      <c r="V458" s="6"/>
      <c r="W458" s="6"/>
    </row>
    <row r="459" spans="1:23" ht="16" x14ac:dyDescent="0.2">
      <c r="A459" s="6"/>
      <c r="B459" s="7"/>
      <c r="C459" s="7"/>
      <c r="D459" s="7"/>
      <c r="E459" s="7"/>
      <c r="F459" s="6"/>
      <c r="G459" s="6"/>
      <c r="H459" s="6"/>
      <c r="I459" s="6"/>
      <c r="J459" s="6"/>
      <c r="K459" s="6"/>
      <c r="L459" s="6"/>
      <c r="M459" s="6"/>
      <c r="N459" s="6"/>
      <c r="O459" s="6"/>
      <c r="P459" s="6"/>
      <c r="Q459" s="6"/>
      <c r="R459" s="6"/>
      <c r="S459" s="6"/>
      <c r="T459" s="6"/>
      <c r="U459" s="6"/>
      <c r="V459" s="6"/>
      <c r="W459" s="6"/>
    </row>
    <row r="460" spans="1:23" ht="16" x14ac:dyDescent="0.2">
      <c r="A460" s="6"/>
      <c r="B460" s="7"/>
      <c r="C460" s="7"/>
      <c r="D460" s="7"/>
      <c r="E460" s="7"/>
      <c r="F460" s="6"/>
      <c r="G460" s="6"/>
      <c r="H460" s="6"/>
      <c r="I460" s="6"/>
      <c r="J460" s="6"/>
      <c r="K460" s="6"/>
      <c r="L460" s="6"/>
      <c r="M460" s="6"/>
      <c r="N460" s="6"/>
      <c r="O460" s="6"/>
      <c r="P460" s="6"/>
      <c r="Q460" s="6"/>
      <c r="R460" s="6"/>
      <c r="S460" s="6"/>
      <c r="T460" s="6"/>
      <c r="U460" s="6"/>
      <c r="V460" s="6"/>
      <c r="W460" s="6"/>
    </row>
    <row r="461" spans="1:23" ht="16" x14ac:dyDescent="0.2">
      <c r="A461" s="6"/>
      <c r="B461" s="7"/>
      <c r="C461" s="7"/>
      <c r="D461" s="7"/>
      <c r="E461" s="7"/>
      <c r="F461" s="6"/>
      <c r="G461" s="6"/>
      <c r="H461" s="6"/>
      <c r="I461" s="6"/>
      <c r="J461" s="6"/>
      <c r="K461" s="6"/>
      <c r="L461" s="6"/>
      <c r="M461" s="6"/>
      <c r="N461" s="6"/>
      <c r="O461" s="6"/>
      <c r="P461" s="6"/>
      <c r="Q461" s="6"/>
      <c r="R461" s="6"/>
      <c r="S461" s="6"/>
      <c r="T461" s="6"/>
      <c r="U461" s="6"/>
      <c r="V461" s="6"/>
      <c r="W461" s="6"/>
    </row>
    <row r="462" spans="1:23" ht="16" x14ac:dyDescent="0.2">
      <c r="A462" s="6"/>
      <c r="B462" s="7"/>
      <c r="C462" s="7"/>
      <c r="D462" s="7"/>
      <c r="E462" s="7"/>
      <c r="F462" s="6"/>
      <c r="G462" s="6"/>
      <c r="H462" s="6"/>
      <c r="I462" s="6"/>
      <c r="J462" s="6"/>
      <c r="K462" s="6"/>
      <c r="L462" s="6"/>
      <c r="M462" s="6"/>
      <c r="N462" s="6"/>
      <c r="O462" s="6"/>
      <c r="P462" s="6"/>
      <c r="Q462" s="6"/>
      <c r="R462" s="6"/>
      <c r="S462" s="6"/>
      <c r="T462" s="6"/>
      <c r="U462" s="6"/>
      <c r="V462" s="6"/>
      <c r="W462" s="6"/>
    </row>
    <row r="463" spans="1:23" ht="16" x14ac:dyDescent="0.2">
      <c r="A463" s="6"/>
      <c r="B463" s="7"/>
      <c r="C463" s="7"/>
      <c r="D463" s="7"/>
      <c r="E463" s="7"/>
      <c r="F463" s="6"/>
      <c r="G463" s="6"/>
      <c r="H463" s="6"/>
      <c r="I463" s="6"/>
      <c r="J463" s="6"/>
      <c r="K463" s="6"/>
      <c r="L463" s="6"/>
      <c r="M463" s="6"/>
      <c r="N463" s="6"/>
      <c r="O463" s="6"/>
      <c r="P463" s="6"/>
      <c r="Q463" s="6"/>
      <c r="R463" s="6"/>
      <c r="S463" s="6"/>
      <c r="T463" s="6"/>
      <c r="U463" s="6"/>
      <c r="V463" s="6"/>
      <c r="W463" s="6"/>
    </row>
    <row r="464" spans="1:23" ht="16" x14ac:dyDescent="0.2">
      <c r="A464" s="6"/>
      <c r="B464" s="7"/>
      <c r="C464" s="7"/>
      <c r="D464" s="7"/>
      <c r="E464" s="7"/>
      <c r="F464" s="6"/>
      <c r="G464" s="6"/>
      <c r="H464" s="6"/>
      <c r="I464" s="6"/>
      <c r="J464" s="6"/>
      <c r="K464" s="6"/>
      <c r="L464" s="6"/>
      <c r="M464" s="6"/>
      <c r="N464" s="6"/>
      <c r="O464" s="6"/>
      <c r="P464" s="6"/>
      <c r="Q464" s="6"/>
      <c r="R464" s="6"/>
      <c r="S464" s="6"/>
      <c r="T464" s="6"/>
      <c r="U464" s="6"/>
      <c r="V464" s="6"/>
      <c r="W464" s="6"/>
    </row>
    <row r="465" spans="1:23" ht="16" x14ac:dyDescent="0.2">
      <c r="A465" s="6"/>
      <c r="B465" s="7"/>
      <c r="C465" s="7"/>
      <c r="D465" s="7"/>
      <c r="E465" s="7"/>
      <c r="F465" s="6"/>
      <c r="G465" s="6"/>
      <c r="H465" s="6"/>
      <c r="I465" s="6"/>
      <c r="J465" s="6"/>
      <c r="K465" s="6"/>
      <c r="L465" s="6"/>
      <c r="M465" s="6"/>
      <c r="N465" s="6"/>
      <c r="O465" s="6"/>
      <c r="P465" s="6"/>
      <c r="Q465" s="6"/>
      <c r="R465" s="6"/>
      <c r="S465" s="6"/>
      <c r="T465" s="6"/>
      <c r="U465" s="6"/>
      <c r="V465" s="6"/>
      <c r="W465" s="6"/>
    </row>
    <row r="466" spans="1:23" ht="16" x14ac:dyDescent="0.2">
      <c r="A466" s="6"/>
      <c r="B466" s="7"/>
      <c r="C466" s="7"/>
      <c r="D466" s="7"/>
      <c r="E466" s="7"/>
      <c r="F466" s="6"/>
      <c r="G466" s="6"/>
      <c r="H466" s="6"/>
      <c r="I466" s="6"/>
      <c r="J466" s="6"/>
      <c r="K466" s="6"/>
      <c r="L466" s="6"/>
      <c r="M466" s="6"/>
      <c r="N466" s="6"/>
      <c r="O466" s="6"/>
      <c r="P466" s="6"/>
      <c r="Q466" s="6"/>
      <c r="R466" s="6"/>
      <c r="S466" s="6"/>
      <c r="T466" s="6"/>
      <c r="U466" s="6"/>
      <c r="V466" s="6"/>
      <c r="W466" s="6"/>
    </row>
    <row r="467" spans="1:23" ht="16" x14ac:dyDescent="0.2">
      <c r="A467" s="6"/>
      <c r="B467" s="7"/>
      <c r="C467" s="7"/>
      <c r="D467" s="7"/>
      <c r="E467" s="7"/>
      <c r="F467" s="6"/>
      <c r="G467" s="6"/>
      <c r="H467" s="6"/>
      <c r="I467" s="6"/>
      <c r="J467" s="6"/>
      <c r="K467" s="6"/>
      <c r="L467" s="6"/>
      <c r="M467" s="6"/>
      <c r="N467" s="6"/>
      <c r="O467" s="6"/>
      <c r="P467" s="6"/>
      <c r="Q467" s="6"/>
      <c r="R467" s="6"/>
      <c r="S467" s="6"/>
      <c r="T467" s="6"/>
      <c r="U467" s="6"/>
      <c r="V467" s="6"/>
      <c r="W467" s="6"/>
    </row>
    <row r="468" spans="1:23" ht="16" x14ac:dyDescent="0.2">
      <c r="A468" s="6"/>
      <c r="B468" s="7"/>
      <c r="C468" s="7"/>
      <c r="D468" s="7"/>
      <c r="E468" s="7"/>
      <c r="F468" s="6"/>
      <c r="G468" s="6"/>
      <c r="H468" s="6"/>
      <c r="I468" s="6"/>
      <c r="J468" s="6"/>
      <c r="K468" s="6"/>
      <c r="L468" s="6"/>
      <c r="M468" s="6"/>
      <c r="N468" s="6"/>
      <c r="O468" s="6"/>
      <c r="P468" s="6"/>
      <c r="Q468" s="6"/>
      <c r="R468" s="6"/>
      <c r="S468" s="6"/>
      <c r="T468" s="6"/>
      <c r="U468" s="6"/>
      <c r="V468" s="6"/>
      <c r="W468" s="6"/>
    </row>
    <row r="469" spans="1:23" ht="16" x14ac:dyDescent="0.2">
      <c r="A469" s="6"/>
      <c r="B469" s="7"/>
      <c r="C469" s="7"/>
      <c r="D469" s="7"/>
      <c r="E469" s="7"/>
      <c r="F469" s="6"/>
      <c r="G469" s="6"/>
      <c r="H469" s="6"/>
      <c r="I469" s="6"/>
      <c r="J469" s="6"/>
      <c r="K469" s="6"/>
      <c r="L469" s="6"/>
      <c r="M469" s="6"/>
      <c r="N469" s="6"/>
      <c r="O469" s="6"/>
      <c r="P469" s="6"/>
      <c r="Q469" s="6"/>
      <c r="R469" s="6"/>
      <c r="S469" s="6"/>
      <c r="T469" s="6"/>
      <c r="U469" s="6"/>
      <c r="V469" s="6"/>
      <c r="W469" s="6"/>
    </row>
    <row r="470" spans="1:23" ht="16" x14ac:dyDescent="0.2">
      <c r="A470" s="6"/>
      <c r="B470" s="7"/>
      <c r="C470" s="7"/>
      <c r="D470" s="7"/>
      <c r="E470" s="7"/>
      <c r="F470" s="6"/>
      <c r="G470" s="6"/>
      <c r="H470" s="6"/>
      <c r="I470" s="6"/>
      <c r="J470" s="6"/>
      <c r="K470" s="6"/>
      <c r="L470" s="6"/>
      <c r="M470" s="6"/>
      <c r="N470" s="6"/>
      <c r="O470" s="6"/>
      <c r="P470" s="6"/>
      <c r="Q470" s="6"/>
      <c r="R470" s="6"/>
      <c r="S470" s="6"/>
      <c r="T470" s="6"/>
      <c r="U470" s="6"/>
      <c r="V470" s="6"/>
      <c r="W470" s="6"/>
    </row>
    <row r="471" spans="1:23" ht="16" x14ac:dyDescent="0.2">
      <c r="A471" s="6"/>
      <c r="B471" s="7"/>
      <c r="C471" s="7"/>
      <c r="D471" s="7"/>
      <c r="E471" s="7"/>
      <c r="F471" s="6"/>
      <c r="G471" s="6"/>
      <c r="H471" s="6"/>
      <c r="I471" s="6"/>
      <c r="J471" s="6"/>
      <c r="K471" s="6"/>
      <c r="L471" s="6"/>
      <c r="M471" s="6"/>
      <c r="N471" s="6"/>
      <c r="O471" s="6"/>
      <c r="P471" s="6"/>
      <c r="Q471" s="6"/>
      <c r="R471" s="6"/>
      <c r="S471" s="6"/>
      <c r="T471" s="6"/>
      <c r="U471" s="6"/>
      <c r="V471" s="6"/>
      <c r="W471" s="6"/>
    </row>
    <row r="472" spans="1:23" ht="16" x14ac:dyDescent="0.2">
      <c r="A472" s="6"/>
      <c r="B472" s="7"/>
      <c r="C472" s="7"/>
      <c r="D472" s="7"/>
      <c r="E472" s="7"/>
      <c r="F472" s="6"/>
      <c r="G472" s="6"/>
      <c r="H472" s="6"/>
      <c r="I472" s="6"/>
      <c r="J472" s="6"/>
      <c r="K472" s="6"/>
      <c r="L472" s="6"/>
      <c r="M472" s="6"/>
      <c r="N472" s="6"/>
      <c r="O472" s="6"/>
      <c r="P472" s="6"/>
      <c r="Q472" s="6"/>
      <c r="R472" s="6"/>
      <c r="S472" s="6"/>
      <c r="T472" s="6"/>
      <c r="U472" s="6"/>
      <c r="V472" s="6"/>
      <c r="W472" s="6"/>
    </row>
    <row r="473" spans="1:23" ht="16" x14ac:dyDescent="0.2">
      <c r="A473" s="6"/>
      <c r="B473" s="7"/>
      <c r="C473" s="7"/>
      <c r="D473" s="7"/>
      <c r="E473" s="7"/>
      <c r="F473" s="6"/>
      <c r="G473" s="6"/>
      <c r="H473" s="6"/>
      <c r="I473" s="6"/>
      <c r="J473" s="6"/>
      <c r="K473" s="6"/>
      <c r="L473" s="6"/>
      <c r="M473" s="6"/>
      <c r="N473" s="6"/>
      <c r="O473" s="6"/>
      <c r="P473" s="6"/>
      <c r="Q473" s="6"/>
      <c r="R473" s="6"/>
      <c r="S473" s="6"/>
      <c r="T473" s="6"/>
      <c r="U473" s="6"/>
      <c r="V473" s="6"/>
      <c r="W473" s="6"/>
    </row>
    <row r="474" spans="1:23" ht="16" x14ac:dyDescent="0.2">
      <c r="A474" s="6"/>
      <c r="B474" s="7"/>
      <c r="C474" s="7"/>
      <c r="D474" s="7"/>
      <c r="E474" s="7"/>
      <c r="F474" s="6"/>
      <c r="G474" s="6"/>
      <c r="H474" s="6"/>
      <c r="I474" s="6"/>
      <c r="J474" s="6"/>
      <c r="K474" s="6"/>
      <c r="L474" s="6"/>
      <c r="M474" s="6"/>
      <c r="N474" s="6"/>
      <c r="O474" s="6"/>
      <c r="P474" s="6"/>
      <c r="Q474" s="6"/>
      <c r="R474" s="6"/>
      <c r="S474" s="6"/>
      <c r="T474" s="6"/>
      <c r="U474" s="6"/>
      <c r="V474" s="6"/>
      <c r="W474" s="6"/>
    </row>
    <row r="475" spans="1:23" ht="16" x14ac:dyDescent="0.2">
      <c r="A475" s="6"/>
      <c r="B475" s="7"/>
      <c r="C475" s="7"/>
      <c r="D475" s="7"/>
      <c r="E475" s="7"/>
      <c r="F475" s="6"/>
      <c r="G475" s="6"/>
      <c r="H475" s="6"/>
      <c r="I475" s="6"/>
      <c r="J475" s="6"/>
      <c r="K475" s="6"/>
      <c r="L475" s="6"/>
      <c r="M475" s="6"/>
      <c r="N475" s="6"/>
      <c r="O475" s="6"/>
      <c r="P475" s="6"/>
      <c r="Q475" s="6"/>
      <c r="R475" s="6"/>
      <c r="S475" s="6"/>
      <c r="T475" s="6"/>
      <c r="U475" s="6"/>
      <c r="V475" s="6"/>
      <c r="W475" s="6"/>
    </row>
    <row r="476" spans="1:23" ht="16" x14ac:dyDescent="0.2">
      <c r="A476" s="6"/>
      <c r="B476" s="7"/>
      <c r="C476" s="7"/>
      <c r="D476" s="7"/>
      <c r="E476" s="7"/>
      <c r="F476" s="6"/>
      <c r="G476" s="6"/>
      <c r="H476" s="6"/>
      <c r="I476" s="6"/>
      <c r="J476" s="6"/>
      <c r="K476" s="6"/>
      <c r="L476" s="6"/>
      <c r="M476" s="6"/>
      <c r="N476" s="6"/>
      <c r="O476" s="6"/>
      <c r="P476" s="6"/>
      <c r="Q476" s="6"/>
      <c r="R476" s="6"/>
      <c r="S476" s="6"/>
      <c r="T476" s="6"/>
      <c r="U476" s="6"/>
      <c r="V476" s="6"/>
      <c r="W476" s="6"/>
    </row>
    <row r="477" spans="1:23" ht="16" x14ac:dyDescent="0.2">
      <c r="A477" s="6"/>
      <c r="B477" s="7"/>
      <c r="C477" s="7"/>
      <c r="D477" s="7"/>
      <c r="E477" s="7"/>
      <c r="F477" s="6"/>
      <c r="G477" s="6"/>
      <c r="H477" s="6"/>
      <c r="I477" s="6"/>
      <c r="J477" s="6"/>
      <c r="K477" s="6"/>
      <c r="L477" s="6"/>
      <c r="M477" s="6"/>
      <c r="N477" s="6"/>
      <c r="O477" s="6"/>
      <c r="P477" s="6"/>
      <c r="Q477" s="6"/>
      <c r="R477" s="6"/>
      <c r="S477" s="6"/>
      <c r="T477" s="6"/>
      <c r="U477" s="6"/>
      <c r="V477" s="6"/>
      <c r="W477" s="6"/>
    </row>
    <row r="478" spans="1:23" ht="16" x14ac:dyDescent="0.2">
      <c r="A478" s="6"/>
      <c r="B478" s="7"/>
      <c r="C478" s="7"/>
      <c r="D478" s="7"/>
      <c r="E478" s="7"/>
      <c r="F478" s="6"/>
      <c r="G478" s="6"/>
      <c r="H478" s="6"/>
      <c r="I478" s="6"/>
      <c r="J478" s="6"/>
      <c r="K478" s="6"/>
      <c r="L478" s="6"/>
      <c r="M478" s="6"/>
      <c r="N478" s="6"/>
      <c r="O478" s="6"/>
      <c r="P478" s="6"/>
      <c r="Q478" s="6"/>
      <c r="R478" s="6"/>
      <c r="S478" s="6"/>
      <c r="T478" s="6"/>
      <c r="U478" s="6"/>
      <c r="V478" s="6"/>
      <c r="W478" s="6"/>
    </row>
    <row r="479" spans="1:23" ht="16" x14ac:dyDescent="0.2">
      <c r="A479" s="6"/>
      <c r="B479" s="7"/>
      <c r="C479" s="7"/>
      <c r="D479" s="7"/>
      <c r="E479" s="7"/>
      <c r="F479" s="6"/>
      <c r="G479" s="6"/>
      <c r="H479" s="6"/>
      <c r="I479" s="6"/>
      <c r="J479" s="6"/>
      <c r="K479" s="6"/>
      <c r="L479" s="6"/>
      <c r="M479" s="6"/>
      <c r="N479" s="6"/>
      <c r="O479" s="6"/>
      <c r="P479" s="6"/>
      <c r="Q479" s="6"/>
      <c r="R479" s="6"/>
      <c r="S479" s="6"/>
      <c r="T479" s="6"/>
      <c r="U479" s="6"/>
      <c r="V479" s="6"/>
      <c r="W479" s="6"/>
    </row>
    <row r="480" spans="1:23" ht="16" x14ac:dyDescent="0.2">
      <c r="A480" s="6"/>
      <c r="B480" s="7"/>
      <c r="C480" s="7"/>
      <c r="D480" s="7"/>
      <c r="E480" s="7"/>
      <c r="F480" s="6"/>
      <c r="G480" s="6"/>
      <c r="H480" s="6"/>
      <c r="I480" s="6"/>
      <c r="J480" s="6"/>
      <c r="K480" s="6"/>
      <c r="L480" s="6"/>
      <c r="M480" s="6"/>
      <c r="N480" s="6"/>
      <c r="O480" s="6"/>
      <c r="P480" s="6"/>
      <c r="Q480" s="6"/>
      <c r="R480" s="6"/>
      <c r="S480" s="6"/>
      <c r="T480" s="6"/>
      <c r="U480" s="6"/>
      <c r="V480" s="6"/>
      <c r="W480" s="6"/>
    </row>
    <row r="481" spans="1:23" ht="16" x14ac:dyDescent="0.2">
      <c r="A481" s="6"/>
      <c r="B481" s="7"/>
      <c r="C481" s="7"/>
      <c r="D481" s="7"/>
      <c r="E481" s="7"/>
      <c r="F481" s="6"/>
      <c r="G481" s="6"/>
      <c r="H481" s="6"/>
      <c r="I481" s="6"/>
      <c r="J481" s="6"/>
      <c r="K481" s="6"/>
      <c r="L481" s="6"/>
      <c r="M481" s="6"/>
      <c r="N481" s="6"/>
      <c r="O481" s="6"/>
      <c r="P481" s="6"/>
      <c r="Q481" s="6"/>
      <c r="R481" s="6"/>
      <c r="S481" s="6"/>
      <c r="T481" s="6"/>
      <c r="U481" s="6"/>
      <c r="V481" s="6"/>
      <c r="W481" s="6"/>
    </row>
    <row r="482" spans="1:23" ht="16" x14ac:dyDescent="0.2">
      <c r="A482" s="6"/>
      <c r="B482" s="7"/>
      <c r="C482" s="7"/>
      <c r="D482" s="7"/>
      <c r="E482" s="7"/>
      <c r="F482" s="6"/>
      <c r="G482" s="6"/>
      <c r="H482" s="6"/>
      <c r="I482" s="6"/>
      <c r="J482" s="6"/>
      <c r="K482" s="6"/>
      <c r="L482" s="6"/>
      <c r="M482" s="6"/>
      <c r="N482" s="6"/>
      <c r="O482" s="6"/>
      <c r="P482" s="6"/>
      <c r="Q482" s="6"/>
      <c r="R482" s="6"/>
      <c r="S482" s="6"/>
      <c r="T482" s="6"/>
      <c r="U482" s="6"/>
      <c r="V482" s="6"/>
      <c r="W482" s="6"/>
    </row>
    <row r="483" spans="1:23" ht="16" x14ac:dyDescent="0.2">
      <c r="A483" s="6"/>
      <c r="B483" s="7"/>
      <c r="C483" s="7"/>
      <c r="D483" s="7"/>
      <c r="E483" s="7"/>
      <c r="F483" s="6"/>
      <c r="G483" s="6"/>
      <c r="H483" s="6"/>
      <c r="I483" s="6"/>
      <c r="J483" s="6"/>
      <c r="K483" s="6"/>
      <c r="L483" s="6"/>
      <c r="M483" s="6"/>
      <c r="N483" s="6"/>
      <c r="O483" s="6"/>
      <c r="P483" s="6"/>
      <c r="Q483" s="6"/>
      <c r="R483" s="6"/>
      <c r="S483" s="6"/>
      <c r="T483" s="6"/>
      <c r="U483" s="6"/>
      <c r="V483" s="6"/>
      <c r="W483" s="6"/>
    </row>
    <row r="484" spans="1:23" ht="16" x14ac:dyDescent="0.2">
      <c r="A484" s="6"/>
      <c r="B484" s="7"/>
      <c r="C484" s="7"/>
      <c r="D484" s="7"/>
      <c r="E484" s="7"/>
      <c r="F484" s="6"/>
      <c r="G484" s="6"/>
      <c r="H484" s="6"/>
      <c r="I484" s="6"/>
      <c r="J484" s="6"/>
      <c r="K484" s="6"/>
      <c r="L484" s="6"/>
      <c r="M484" s="6"/>
      <c r="N484" s="6"/>
      <c r="O484" s="6"/>
      <c r="P484" s="6"/>
      <c r="Q484" s="6"/>
      <c r="R484" s="6"/>
      <c r="S484" s="6"/>
      <c r="T484" s="6"/>
      <c r="U484" s="6"/>
      <c r="V484" s="6"/>
      <c r="W484" s="6"/>
    </row>
    <row r="485" spans="1:23" ht="16" x14ac:dyDescent="0.2">
      <c r="A485" s="6"/>
      <c r="B485" s="7"/>
      <c r="C485" s="7"/>
      <c r="D485" s="7"/>
      <c r="E485" s="7"/>
      <c r="F485" s="6"/>
      <c r="G485" s="6"/>
      <c r="H485" s="6"/>
      <c r="I485" s="6"/>
      <c r="J485" s="6"/>
      <c r="K485" s="6"/>
      <c r="L485" s="6"/>
      <c r="M485" s="6"/>
      <c r="N485" s="6"/>
      <c r="O485" s="6"/>
      <c r="P485" s="6"/>
      <c r="Q485" s="6"/>
      <c r="R485" s="6"/>
      <c r="S485" s="6"/>
      <c r="T485" s="6"/>
      <c r="U485" s="6"/>
      <c r="V485" s="6"/>
      <c r="W485" s="6"/>
    </row>
    <row r="486" spans="1:23" ht="16" x14ac:dyDescent="0.2">
      <c r="A486" s="6"/>
      <c r="B486" s="7"/>
      <c r="C486" s="7"/>
      <c r="D486" s="7"/>
      <c r="E486" s="7"/>
      <c r="F486" s="6"/>
      <c r="G486" s="6"/>
      <c r="H486" s="6"/>
      <c r="I486" s="6"/>
      <c r="J486" s="6"/>
      <c r="K486" s="6"/>
      <c r="L486" s="6"/>
      <c r="M486" s="6"/>
      <c r="N486" s="6"/>
      <c r="O486" s="6"/>
      <c r="P486" s="6"/>
      <c r="Q486" s="6"/>
      <c r="R486" s="6"/>
      <c r="S486" s="6"/>
      <c r="T486" s="6"/>
      <c r="U486" s="6"/>
      <c r="V486" s="6"/>
      <c r="W486" s="6"/>
    </row>
    <row r="487" spans="1:23" ht="16" x14ac:dyDescent="0.2">
      <c r="A487" s="6"/>
      <c r="B487" s="7"/>
      <c r="C487" s="7"/>
      <c r="D487" s="7"/>
      <c r="E487" s="7"/>
      <c r="F487" s="6"/>
      <c r="G487" s="6"/>
      <c r="H487" s="6"/>
      <c r="I487" s="6"/>
      <c r="J487" s="6"/>
      <c r="K487" s="6"/>
      <c r="L487" s="6"/>
      <c r="M487" s="6"/>
      <c r="N487" s="6"/>
      <c r="O487" s="6"/>
      <c r="P487" s="6"/>
      <c r="Q487" s="6"/>
      <c r="R487" s="6"/>
      <c r="S487" s="6"/>
      <c r="T487" s="6"/>
      <c r="U487" s="6"/>
      <c r="V487" s="6"/>
      <c r="W487" s="6"/>
    </row>
    <row r="488" spans="1:23" ht="16" x14ac:dyDescent="0.2">
      <c r="A488" s="6"/>
      <c r="B488" s="7"/>
      <c r="C488" s="7"/>
      <c r="D488" s="7"/>
      <c r="E488" s="7"/>
      <c r="F488" s="6"/>
      <c r="G488" s="6"/>
      <c r="H488" s="6"/>
      <c r="I488" s="6"/>
      <c r="J488" s="6"/>
      <c r="K488" s="6"/>
      <c r="L488" s="6"/>
      <c r="M488" s="6"/>
      <c r="N488" s="6"/>
      <c r="O488" s="6"/>
      <c r="P488" s="6"/>
      <c r="Q488" s="6"/>
      <c r="R488" s="6"/>
      <c r="S488" s="6"/>
      <c r="T488" s="6"/>
      <c r="U488" s="6"/>
      <c r="V488" s="6"/>
      <c r="W488" s="6"/>
    </row>
    <row r="489" spans="1:23" ht="16" x14ac:dyDescent="0.2">
      <c r="A489" s="6"/>
      <c r="B489" s="7"/>
      <c r="C489" s="7"/>
      <c r="D489" s="7"/>
      <c r="E489" s="7"/>
      <c r="F489" s="6"/>
      <c r="G489" s="6"/>
      <c r="H489" s="6"/>
      <c r="I489" s="6"/>
      <c r="J489" s="6"/>
      <c r="K489" s="6"/>
      <c r="L489" s="6"/>
      <c r="M489" s="6"/>
      <c r="N489" s="6"/>
      <c r="O489" s="6"/>
      <c r="P489" s="6"/>
      <c r="Q489" s="6"/>
      <c r="R489" s="6"/>
      <c r="S489" s="6"/>
      <c r="T489" s="6"/>
      <c r="U489" s="6"/>
      <c r="V489" s="6"/>
      <c r="W489" s="6"/>
    </row>
    <row r="490" spans="1:23" ht="16" x14ac:dyDescent="0.2">
      <c r="A490" s="6"/>
      <c r="B490" s="7"/>
      <c r="C490" s="7"/>
      <c r="D490" s="7"/>
      <c r="E490" s="7"/>
      <c r="F490" s="6"/>
      <c r="G490" s="6"/>
      <c r="H490" s="6"/>
      <c r="I490" s="6"/>
      <c r="J490" s="6"/>
      <c r="K490" s="6"/>
      <c r="L490" s="6"/>
      <c r="M490" s="6"/>
      <c r="N490" s="6"/>
      <c r="O490" s="6"/>
      <c r="P490" s="6"/>
      <c r="Q490" s="6"/>
      <c r="R490" s="6"/>
      <c r="S490" s="6"/>
      <c r="T490" s="6"/>
      <c r="U490" s="6"/>
      <c r="V490" s="6"/>
      <c r="W490" s="6"/>
    </row>
    <row r="491" spans="1:23" ht="16" x14ac:dyDescent="0.2">
      <c r="A491" s="6"/>
      <c r="B491" s="7"/>
      <c r="C491" s="7"/>
      <c r="D491" s="7"/>
      <c r="E491" s="7"/>
      <c r="F491" s="6"/>
      <c r="G491" s="6"/>
      <c r="H491" s="6"/>
      <c r="I491" s="6"/>
      <c r="J491" s="6"/>
      <c r="K491" s="6"/>
      <c r="L491" s="6"/>
      <c r="M491" s="6"/>
      <c r="N491" s="6"/>
      <c r="O491" s="6"/>
      <c r="P491" s="6"/>
      <c r="Q491" s="6"/>
      <c r="R491" s="6"/>
      <c r="S491" s="6"/>
      <c r="T491" s="6"/>
      <c r="U491" s="6"/>
      <c r="V491" s="6"/>
      <c r="W491" s="6"/>
    </row>
    <row r="492" spans="1:23" ht="16" x14ac:dyDescent="0.2">
      <c r="A492" s="6"/>
      <c r="B492" s="7"/>
      <c r="C492" s="7"/>
      <c r="D492" s="7"/>
      <c r="E492" s="7"/>
      <c r="F492" s="6"/>
      <c r="G492" s="6"/>
      <c r="H492" s="6"/>
      <c r="I492" s="6"/>
      <c r="J492" s="6"/>
      <c r="K492" s="6"/>
      <c r="L492" s="6"/>
      <c r="M492" s="6"/>
      <c r="N492" s="6"/>
      <c r="O492" s="6"/>
      <c r="P492" s="6"/>
      <c r="Q492" s="6"/>
      <c r="R492" s="6"/>
      <c r="S492" s="6"/>
      <c r="T492" s="6"/>
      <c r="U492" s="6"/>
      <c r="V492" s="6"/>
      <c r="W492" s="6"/>
    </row>
    <row r="493" spans="1:23" ht="16" x14ac:dyDescent="0.2">
      <c r="A493" s="6"/>
      <c r="B493" s="7"/>
      <c r="C493" s="7"/>
      <c r="D493" s="7"/>
      <c r="E493" s="7"/>
      <c r="F493" s="6"/>
      <c r="G493" s="6"/>
      <c r="H493" s="6"/>
      <c r="I493" s="6"/>
      <c r="J493" s="6"/>
      <c r="K493" s="6"/>
      <c r="L493" s="6"/>
      <c r="M493" s="6"/>
      <c r="N493" s="6"/>
      <c r="O493" s="6"/>
      <c r="P493" s="6"/>
      <c r="Q493" s="6"/>
      <c r="R493" s="6"/>
      <c r="S493" s="6"/>
      <c r="T493" s="6"/>
      <c r="U493" s="6"/>
      <c r="V493" s="6"/>
      <c r="W493" s="6"/>
    </row>
    <row r="494" spans="1:23" ht="16" x14ac:dyDescent="0.2">
      <c r="A494" s="6"/>
      <c r="B494" s="7"/>
      <c r="C494" s="7"/>
      <c r="D494" s="7"/>
      <c r="E494" s="7"/>
      <c r="F494" s="6"/>
      <c r="G494" s="6"/>
      <c r="H494" s="6"/>
      <c r="I494" s="6"/>
      <c r="J494" s="6"/>
      <c r="K494" s="6"/>
      <c r="L494" s="6"/>
      <c r="M494" s="6"/>
      <c r="N494" s="6"/>
      <c r="O494" s="6"/>
      <c r="P494" s="6"/>
      <c r="Q494" s="6"/>
      <c r="R494" s="6"/>
      <c r="S494" s="6"/>
      <c r="T494" s="6"/>
      <c r="U494" s="6"/>
      <c r="V494" s="6"/>
      <c r="W494" s="6"/>
    </row>
    <row r="495" spans="1:23" ht="16" x14ac:dyDescent="0.2">
      <c r="A495" s="6"/>
      <c r="B495" s="7"/>
      <c r="C495" s="7"/>
      <c r="D495" s="7"/>
      <c r="E495" s="7"/>
      <c r="F495" s="6"/>
      <c r="G495" s="6"/>
      <c r="H495" s="6"/>
      <c r="I495" s="6"/>
      <c r="J495" s="6"/>
      <c r="K495" s="6"/>
      <c r="L495" s="6"/>
      <c r="M495" s="6"/>
      <c r="N495" s="6"/>
      <c r="O495" s="6"/>
      <c r="P495" s="6"/>
      <c r="Q495" s="6"/>
      <c r="R495" s="6"/>
      <c r="S495" s="6"/>
      <c r="T495" s="6"/>
      <c r="U495" s="6"/>
      <c r="V495" s="6"/>
      <c r="W495" s="6"/>
    </row>
    <row r="496" spans="1:23" ht="16" x14ac:dyDescent="0.2">
      <c r="A496" s="6"/>
      <c r="B496" s="7"/>
      <c r="C496" s="7"/>
      <c r="D496" s="7"/>
      <c r="E496" s="7"/>
      <c r="F496" s="6"/>
      <c r="G496" s="6"/>
      <c r="H496" s="6"/>
      <c r="I496" s="6"/>
      <c r="J496" s="6"/>
      <c r="K496" s="6"/>
      <c r="L496" s="6"/>
      <c r="M496" s="6"/>
      <c r="N496" s="6"/>
      <c r="O496" s="6"/>
      <c r="P496" s="6"/>
      <c r="Q496" s="6"/>
      <c r="R496" s="6"/>
      <c r="S496" s="6"/>
      <c r="T496" s="6"/>
      <c r="U496" s="6"/>
      <c r="V496" s="6"/>
      <c r="W496" s="6"/>
    </row>
    <row r="497" spans="1:23" ht="16" x14ac:dyDescent="0.2">
      <c r="A497" s="6"/>
      <c r="B497" s="7"/>
      <c r="C497" s="7"/>
      <c r="D497" s="7"/>
      <c r="E497" s="7"/>
      <c r="F497" s="6"/>
      <c r="G497" s="6"/>
      <c r="H497" s="6"/>
      <c r="I497" s="6"/>
      <c r="J497" s="6"/>
      <c r="K497" s="6"/>
      <c r="L497" s="6"/>
      <c r="M497" s="6"/>
      <c r="N497" s="6"/>
      <c r="O497" s="6"/>
      <c r="P497" s="6"/>
      <c r="Q497" s="6"/>
      <c r="R497" s="6"/>
      <c r="S497" s="6"/>
      <c r="T497" s="6"/>
      <c r="U497" s="6"/>
      <c r="V497" s="6"/>
      <c r="W497" s="6"/>
    </row>
    <row r="498" spans="1:23" ht="16" x14ac:dyDescent="0.2">
      <c r="A498" s="6"/>
      <c r="B498" s="7"/>
      <c r="C498" s="7"/>
      <c r="D498" s="7"/>
      <c r="E498" s="7"/>
      <c r="F498" s="6"/>
      <c r="G498" s="6"/>
      <c r="H498" s="6"/>
      <c r="I498" s="6"/>
      <c r="J498" s="6"/>
      <c r="K498" s="6"/>
      <c r="L498" s="6"/>
      <c r="M498" s="6"/>
      <c r="N498" s="6"/>
      <c r="O498" s="6"/>
      <c r="P498" s="6"/>
      <c r="Q498" s="6"/>
      <c r="R498" s="6"/>
      <c r="S498" s="6"/>
      <c r="T498" s="6"/>
      <c r="U498" s="6"/>
      <c r="V498" s="6"/>
      <c r="W498" s="6"/>
    </row>
    <row r="499" spans="1:23" ht="16" x14ac:dyDescent="0.2">
      <c r="A499" s="6"/>
      <c r="B499" s="7"/>
      <c r="C499" s="7"/>
      <c r="D499" s="7"/>
      <c r="E499" s="7"/>
      <c r="F499" s="6"/>
      <c r="G499" s="6"/>
      <c r="H499" s="6"/>
      <c r="I499" s="6"/>
      <c r="J499" s="6"/>
      <c r="K499" s="6"/>
      <c r="L499" s="6"/>
      <c r="M499" s="6"/>
      <c r="N499" s="6"/>
      <c r="O499" s="6"/>
      <c r="P499" s="6"/>
      <c r="Q499" s="6"/>
      <c r="R499" s="6"/>
      <c r="S499" s="6"/>
      <c r="T499" s="6"/>
      <c r="U499" s="6"/>
      <c r="V499" s="6"/>
      <c r="W499" s="6"/>
    </row>
    <row r="500" spans="1:23" ht="16" x14ac:dyDescent="0.2">
      <c r="A500" s="6"/>
      <c r="B500" s="7"/>
      <c r="C500" s="7"/>
      <c r="D500" s="7"/>
      <c r="E500" s="7"/>
      <c r="F500" s="6"/>
      <c r="G500" s="6"/>
      <c r="H500" s="6"/>
      <c r="I500" s="6"/>
      <c r="J500" s="6"/>
      <c r="K500" s="6"/>
      <c r="L500" s="6"/>
      <c r="M500" s="6"/>
      <c r="N500" s="6"/>
      <c r="O500" s="6"/>
      <c r="P500" s="6"/>
      <c r="Q500" s="6"/>
      <c r="R500" s="6"/>
      <c r="S500" s="6"/>
      <c r="T500" s="6"/>
      <c r="U500" s="6"/>
      <c r="V500" s="6"/>
      <c r="W500" s="6"/>
    </row>
    <row r="501" spans="1:23" ht="16" x14ac:dyDescent="0.2">
      <c r="A501" s="6"/>
      <c r="B501" s="7"/>
      <c r="C501" s="7"/>
      <c r="D501" s="7"/>
      <c r="E501" s="7"/>
      <c r="F501" s="6"/>
      <c r="G501" s="6"/>
      <c r="H501" s="6"/>
      <c r="I501" s="6"/>
      <c r="J501" s="6"/>
      <c r="K501" s="6"/>
      <c r="L501" s="6"/>
      <c r="M501" s="6"/>
      <c r="N501" s="6"/>
      <c r="O501" s="6"/>
      <c r="P501" s="6"/>
      <c r="Q501" s="6"/>
      <c r="R501" s="6"/>
      <c r="S501" s="6"/>
      <c r="T501" s="6"/>
      <c r="U501" s="6"/>
      <c r="V501" s="6"/>
      <c r="W501" s="6"/>
    </row>
    <row r="502" spans="1:23" ht="16" x14ac:dyDescent="0.2">
      <c r="A502" s="6"/>
      <c r="B502" s="7"/>
      <c r="C502" s="7"/>
      <c r="D502" s="7"/>
      <c r="E502" s="7"/>
      <c r="F502" s="6"/>
      <c r="G502" s="6"/>
      <c r="H502" s="6"/>
      <c r="I502" s="6"/>
      <c r="J502" s="6"/>
      <c r="K502" s="6"/>
      <c r="L502" s="6"/>
      <c r="M502" s="6"/>
      <c r="N502" s="6"/>
      <c r="O502" s="6"/>
      <c r="P502" s="6"/>
      <c r="Q502" s="6"/>
      <c r="R502" s="6"/>
      <c r="S502" s="6"/>
      <c r="T502" s="6"/>
      <c r="U502" s="6"/>
      <c r="V502" s="6"/>
      <c r="W502" s="6"/>
    </row>
    <row r="503" spans="1:23" ht="16" x14ac:dyDescent="0.2">
      <c r="A503" s="6"/>
      <c r="B503" s="7"/>
      <c r="C503" s="7"/>
      <c r="D503" s="7"/>
      <c r="E503" s="7"/>
      <c r="F503" s="6"/>
      <c r="G503" s="6"/>
      <c r="H503" s="6"/>
      <c r="I503" s="6"/>
      <c r="J503" s="6"/>
      <c r="K503" s="6"/>
      <c r="L503" s="6"/>
      <c r="M503" s="6"/>
      <c r="N503" s="6"/>
      <c r="O503" s="6"/>
      <c r="P503" s="6"/>
      <c r="Q503" s="6"/>
      <c r="R503" s="6"/>
      <c r="S503" s="6"/>
      <c r="T503" s="6"/>
      <c r="U503" s="6"/>
      <c r="V503" s="6"/>
      <c r="W503" s="6"/>
    </row>
    <row r="504" spans="1:23" ht="16" x14ac:dyDescent="0.2">
      <c r="A504" s="6"/>
      <c r="B504" s="7"/>
      <c r="C504" s="7"/>
      <c r="D504" s="7"/>
      <c r="E504" s="7"/>
      <c r="F504" s="6"/>
      <c r="G504" s="6"/>
      <c r="H504" s="6"/>
      <c r="I504" s="6"/>
      <c r="J504" s="6"/>
      <c r="K504" s="6"/>
      <c r="L504" s="6"/>
      <c r="M504" s="6"/>
      <c r="N504" s="6"/>
      <c r="O504" s="6"/>
      <c r="P504" s="6"/>
      <c r="Q504" s="6"/>
      <c r="R504" s="6"/>
      <c r="S504" s="6"/>
      <c r="T504" s="6"/>
      <c r="U504" s="6"/>
      <c r="V504" s="6"/>
      <c r="W504" s="6"/>
    </row>
    <row r="505" spans="1:23" ht="16" x14ac:dyDescent="0.2">
      <c r="A505" s="6"/>
      <c r="B505" s="7"/>
      <c r="C505" s="7"/>
      <c r="D505" s="7"/>
      <c r="E505" s="7"/>
      <c r="F505" s="6"/>
      <c r="G505" s="6"/>
      <c r="H505" s="6"/>
      <c r="I505" s="6"/>
      <c r="J505" s="6"/>
      <c r="K505" s="6"/>
      <c r="L505" s="6"/>
      <c r="M505" s="6"/>
      <c r="N505" s="6"/>
      <c r="O505" s="6"/>
      <c r="P505" s="6"/>
      <c r="Q505" s="6"/>
      <c r="R505" s="6"/>
      <c r="S505" s="6"/>
      <c r="T505" s="6"/>
      <c r="U505" s="6"/>
      <c r="V505" s="6"/>
      <c r="W505" s="6"/>
    </row>
    <row r="506" spans="1:23" ht="16" x14ac:dyDescent="0.2">
      <c r="A506" s="6"/>
      <c r="B506" s="7"/>
      <c r="C506" s="7"/>
      <c r="D506" s="7"/>
      <c r="E506" s="7"/>
      <c r="F506" s="6"/>
      <c r="G506" s="6"/>
      <c r="H506" s="6"/>
      <c r="I506" s="6"/>
      <c r="J506" s="6"/>
      <c r="K506" s="6"/>
      <c r="L506" s="6"/>
      <c r="M506" s="6"/>
      <c r="N506" s="6"/>
      <c r="O506" s="6"/>
      <c r="P506" s="6"/>
      <c r="Q506" s="6"/>
      <c r="R506" s="6"/>
      <c r="S506" s="6"/>
      <c r="T506" s="6"/>
      <c r="U506" s="6"/>
      <c r="V506" s="6"/>
      <c r="W506" s="6"/>
    </row>
    <row r="507" spans="1:23" ht="16" x14ac:dyDescent="0.2">
      <c r="A507" s="6"/>
      <c r="B507" s="7"/>
      <c r="C507" s="7"/>
      <c r="D507" s="7"/>
      <c r="E507" s="7"/>
      <c r="F507" s="6"/>
      <c r="G507" s="6"/>
      <c r="H507" s="6"/>
      <c r="I507" s="6"/>
      <c r="J507" s="6"/>
      <c r="K507" s="6"/>
      <c r="L507" s="6"/>
      <c r="M507" s="6"/>
      <c r="N507" s="6"/>
      <c r="O507" s="6"/>
      <c r="P507" s="6"/>
      <c r="Q507" s="6"/>
      <c r="R507" s="6"/>
      <c r="S507" s="6"/>
      <c r="T507" s="6"/>
      <c r="U507" s="6"/>
      <c r="V507" s="6"/>
      <c r="W507" s="6"/>
    </row>
    <row r="508" spans="1:23" ht="16" x14ac:dyDescent="0.2">
      <c r="A508" s="6"/>
      <c r="B508" s="7"/>
      <c r="C508" s="7"/>
      <c r="D508" s="7"/>
      <c r="E508" s="7"/>
      <c r="F508" s="6"/>
      <c r="G508" s="6"/>
      <c r="H508" s="6"/>
      <c r="I508" s="6"/>
      <c r="J508" s="6"/>
      <c r="K508" s="6"/>
      <c r="L508" s="6"/>
      <c r="M508" s="6"/>
      <c r="N508" s="6"/>
      <c r="O508" s="6"/>
      <c r="P508" s="6"/>
      <c r="Q508" s="6"/>
      <c r="R508" s="6"/>
      <c r="S508" s="6"/>
      <c r="T508" s="6"/>
      <c r="U508" s="6"/>
      <c r="V508" s="6"/>
      <c r="W508" s="6"/>
    </row>
    <row r="509" spans="1:23" ht="16" x14ac:dyDescent="0.2">
      <c r="A509" s="6"/>
      <c r="B509" s="7"/>
      <c r="C509" s="7"/>
      <c r="D509" s="7"/>
      <c r="E509" s="7"/>
      <c r="F509" s="6"/>
      <c r="G509" s="6"/>
      <c r="H509" s="6"/>
      <c r="I509" s="6"/>
      <c r="J509" s="6"/>
      <c r="K509" s="6"/>
      <c r="L509" s="6"/>
      <c r="M509" s="6"/>
      <c r="N509" s="6"/>
      <c r="O509" s="6"/>
      <c r="P509" s="6"/>
      <c r="Q509" s="6"/>
      <c r="R509" s="6"/>
      <c r="S509" s="6"/>
      <c r="T509" s="6"/>
      <c r="U509" s="6"/>
      <c r="V509" s="6"/>
      <c r="W509" s="6"/>
    </row>
    <row r="510" spans="1:23" ht="16" x14ac:dyDescent="0.2">
      <c r="A510" s="6"/>
      <c r="B510" s="7"/>
      <c r="C510" s="7"/>
      <c r="D510" s="7"/>
      <c r="E510" s="7"/>
      <c r="F510" s="6"/>
      <c r="G510" s="6"/>
      <c r="H510" s="6"/>
      <c r="I510" s="6"/>
      <c r="J510" s="6"/>
      <c r="K510" s="6"/>
      <c r="L510" s="6"/>
      <c r="M510" s="6"/>
      <c r="N510" s="6"/>
      <c r="O510" s="6"/>
      <c r="P510" s="6"/>
      <c r="Q510" s="6"/>
      <c r="R510" s="6"/>
      <c r="S510" s="6"/>
      <c r="T510" s="6"/>
      <c r="U510" s="6"/>
      <c r="V510" s="6"/>
      <c r="W510" s="6"/>
    </row>
    <row r="511" spans="1:23" ht="16" x14ac:dyDescent="0.2">
      <c r="A511" s="6"/>
      <c r="B511" s="7"/>
      <c r="C511" s="7"/>
      <c r="D511" s="7"/>
      <c r="E511" s="7"/>
      <c r="F511" s="6"/>
      <c r="G511" s="6"/>
      <c r="H511" s="6"/>
      <c r="I511" s="6"/>
      <c r="J511" s="6"/>
      <c r="K511" s="6"/>
      <c r="L511" s="6"/>
      <c r="M511" s="6"/>
      <c r="N511" s="6"/>
      <c r="O511" s="6"/>
      <c r="P511" s="6"/>
      <c r="Q511" s="6"/>
      <c r="R511" s="6"/>
      <c r="S511" s="6"/>
      <c r="T511" s="6"/>
      <c r="U511" s="6"/>
      <c r="V511" s="6"/>
      <c r="W511" s="6"/>
    </row>
    <row r="512" spans="1:23" ht="16" x14ac:dyDescent="0.2">
      <c r="A512" s="6"/>
      <c r="B512" s="7"/>
      <c r="C512" s="7"/>
      <c r="D512" s="7"/>
      <c r="E512" s="7"/>
      <c r="F512" s="6"/>
      <c r="G512" s="6"/>
      <c r="H512" s="6"/>
      <c r="I512" s="6"/>
      <c r="J512" s="6"/>
      <c r="K512" s="6"/>
      <c r="L512" s="6"/>
      <c r="M512" s="6"/>
      <c r="N512" s="6"/>
      <c r="O512" s="6"/>
      <c r="P512" s="6"/>
      <c r="Q512" s="6"/>
      <c r="R512" s="6"/>
      <c r="S512" s="6"/>
      <c r="T512" s="6"/>
      <c r="U512" s="6"/>
      <c r="V512" s="6"/>
      <c r="W512" s="6"/>
    </row>
    <row r="513" spans="1:23" ht="16" x14ac:dyDescent="0.2">
      <c r="A513" s="6"/>
      <c r="B513" s="7"/>
      <c r="C513" s="7"/>
      <c r="D513" s="7"/>
      <c r="E513" s="7"/>
      <c r="F513" s="6"/>
      <c r="G513" s="6"/>
      <c r="H513" s="6"/>
      <c r="I513" s="6"/>
      <c r="J513" s="6"/>
      <c r="K513" s="6"/>
      <c r="L513" s="6"/>
      <c r="M513" s="6"/>
      <c r="N513" s="6"/>
      <c r="O513" s="6"/>
      <c r="P513" s="6"/>
      <c r="Q513" s="6"/>
      <c r="R513" s="6"/>
      <c r="S513" s="6"/>
      <c r="T513" s="6"/>
      <c r="U513" s="6"/>
      <c r="V513" s="6"/>
      <c r="W513" s="6"/>
    </row>
    <row r="514" spans="1:23" ht="16" x14ac:dyDescent="0.2">
      <c r="A514" s="6"/>
      <c r="B514" s="7"/>
      <c r="C514" s="7"/>
      <c r="D514" s="7"/>
      <c r="E514" s="7"/>
      <c r="F514" s="6"/>
      <c r="G514" s="6"/>
      <c r="H514" s="6"/>
      <c r="I514" s="6"/>
      <c r="J514" s="6"/>
      <c r="K514" s="6"/>
      <c r="L514" s="6"/>
      <c r="M514" s="6"/>
      <c r="N514" s="6"/>
      <c r="O514" s="6"/>
      <c r="P514" s="6"/>
      <c r="Q514" s="6"/>
      <c r="R514" s="6"/>
      <c r="S514" s="6"/>
      <c r="T514" s="6"/>
      <c r="U514" s="6"/>
      <c r="V514" s="6"/>
      <c r="W514" s="6"/>
    </row>
    <row r="515" spans="1:23" ht="16" x14ac:dyDescent="0.2">
      <c r="A515" s="6"/>
      <c r="B515" s="7"/>
      <c r="C515" s="7"/>
      <c r="D515" s="7"/>
      <c r="E515" s="7"/>
      <c r="F515" s="6"/>
      <c r="G515" s="6"/>
      <c r="H515" s="6"/>
      <c r="I515" s="6"/>
      <c r="J515" s="6"/>
      <c r="K515" s="6"/>
      <c r="L515" s="6"/>
      <c r="M515" s="6"/>
      <c r="N515" s="6"/>
      <c r="O515" s="6"/>
      <c r="P515" s="6"/>
      <c r="Q515" s="6"/>
      <c r="R515" s="6"/>
      <c r="S515" s="6"/>
      <c r="T515" s="6"/>
      <c r="U515" s="6"/>
      <c r="V515" s="6"/>
      <c r="W515" s="6"/>
    </row>
    <row r="516" spans="1:23" ht="16" x14ac:dyDescent="0.2">
      <c r="A516" s="6"/>
      <c r="B516" s="7"/>
      <c r="C516" s="7"/>
      <c r="D516" s="7"/>
      <c r="E516" s="7"/>
      <c r="F516" s="6"/>
      <c r="G516" s="6"/>
      <c r="H516" s="6"/>
      <c r="I516" s="6"/>
      <c r="J516" s="6"/>
      <c r="K516" s="6"/>
      <c r="L516" s="6"/>
      <c r="M516" s="6"/>
      <c r="N516" s="6"/>
      <c r="O516" s="6"/>
      <c r="P516" s="6"/>
      <c r="Q516" s="6"/>
      <c r="R516" s="6"/>
      <c r="S516" s="6"/>
      <c r="T516" s="6"/>
      <c r="U516" s="6"/>
      <c r="V516" s="6"/>
      <c r="W516" s="6"/>
    </row>
    <row r="517" spans="1:23" ht="16" x14ac:dyDescent="0.2">
      <c r="A517" s="6"/>
      <c r="B517" s="7"/>
      <c r="C517" s="7"/>
      <c r="D517" s="7"/>
      <c r="E517" s="7"/>
      <c r="F517" s="6"/>
      <c r="G517" s="6"/>
      <c r="H517" s="6"/>
      <c r="I517" s="6"/>
      <c r="J517" s="6"/>
      <c r="K517" s="6"/>
      <c r="L517" s="6"/>
      <c r="M517" s="6"/>
      <c r="N517" s="6"/>
      <c r="O517" s="6"/>
      <c r="P517" s="6"/>
      <c r="Q517" s="6"/>
      <c r="R517" s="6"/>
      <c r="S517" s="6"/>
      <c r="T517" s="6"/>
      <c r="U517" s="6"/>
      <c r="V517" s="6"/>
      <c r="W517" s="6"/>
    </row>
    <row r="518" spans="1:23" ht="16" x14ac:dyDescent="0.2">
      <c r="A518" s="6"/>
      <c r="B518" s="7"/>
      <c r="C518" s="7"/>
      <c r="D518" s="7"/>
      <c r="E518" s="7"/>
      <c r="F518" s="6"/>
      <c r="G518" s="6"/>
      <c r="H518" s="6"/>
      <c r="I518" s="6"/>
      <c r="J518" s="6"/>
      <c r="K518" s="6"/>
      <c r="L518" s="6"/>
      <c r="M518" s="6"/>
      <c r="N518" s="6"/>
      <c r="O518" s="6"/>
      <c r="P518" s="6"/>
      <c r="Q518" s="6"/>
      <c r="R518" s="6"/>
      <c r="S518" s="6"/>
      <c r="T518" s="6"/>
      <c r="U518" s="6"/>
      <c r="V518" s="6"/>
      <c r="W518" s="6"/>
    </row>
    <row r="519" spans="1:23" ht="16" x14ac:dyDescent="0.2">
      <c r="A519" s="6"/>
      <c r="B519" s="7"/>
      <c r="C519" s="7"/>
      <c r="D519" s="7"/>
      <c r="E519" s="7"/>
      <c r="F519" s="6"/>
      <c r="G519" s="6"/>
      <c r="H519" s="6"/>
      <c r="I519" s="6"/>
      <c r="J519" s="6"/>
      <c r="K519" s="6"/>
      <c r="L519" s="6"/>
      <c r="M519" s="6"/>
      <c r="N519" s="6"/>
      <c r="O519" s="6"/>
      <c r="P519" s="6"/>
      <c r="Q519" s="6"/>
      <c r="R519" s="6"/>
      <c r="S519" s="6"/>
      <c r="T519" s="6"/>
      <c r="U519" s="6"/>
      <c r="V519" s="6"/>
      <c r="W519" s="6"/>
    </row>
    <row r="520" spans="1:23" ht="16" x14ac:dyDescent="0.2">
      <c r="A520" s="6"/>
      <c r="B520" s="7"/>
      <c r="C520" s="7"/>
      <c r="D520" s="7"/>
      <c r="E520" s="7"/>
      <c r="F520" s="6"/>
      <c r="G520" s="6"/>
      <c r="H520" s="6"/>
      <c r="I520" s="6"/>
      <c r="J520" s="6"/>
      <c r="K520" s="6"/>
      <c r="L520" s="6"/>
      <c r="M520" s="6"/>
      <c r="N520" s="6"/>
      <c r="O520" s="6"/>
      <c r="P520" s="6"/>
      <c r="Q520" s="6"/>
      <c r="R520" s="6"/>
      <c r="S520" s="6"/>
      <c r="T520" s="6"/>
      <c r="U520" s="6"/>
      <c r="V520" s="6"/>
      <c r="W520" s="6"/>
    </row>
    <row r="521" spans="1:23" ht="16" x14ac:dyDescent="0.2">
      <c r="A521" s="6"/>
      <c r="B521" s="7"/>
      <c r="C521" s="7"/>
      <c r="D521" s="7"/>
      <c r="E521" s="7"/>
      <c r="F521" s="6"/>
      <c r="G521" s="6"/>
      <c r="H521" s="6"/>
      <c r="I521" s="6"/>
      <c r="J521" s="6"/>
      <c r="K521" s="6"/>
      <c r="L521" s="6"/>
      <c r="M521" s="6"/>
      <c r="N521" s="6"/>
      <c r="O521" s="6"/>
      <c r="P521" s="6"/>
      <c r="Q521" s="6"/>
      <c r="R521" s="6"/>
      <c r="S521" s="6"/>
      <c r="T521" s="6"/>
      <c r="U521" s="6"/>
      <c r="V521" s="6"/>
      <c r="W521" s="6"/>
    </row>
    <row r="522" spans="1:23" ht="16" x14ac:dyDescent="0.2">
      <c r="A522" s="6"/>
      <c r="B522" s="7"/>
      <c r="C522" s="7"/>
      <c r="D522" s="7"/>
      <c r="E522" s="7"/>
      <c r="F522" s="6"/>
      <c r="G522" s="6"/>
      <c r="H522" s="6"/>
      <c r="I522" s="6"/>
      <c r="J522" s="6"/>
      <c r="K522" s="6"/>
      <c r="L522" s="6"/>
      <c r="M522" s="6"/>
      <c r="N522" s="6"/>
      <c r="O522" s="6"/>
      <c r="P522" s="6"/>
      <c r="Q522" s="6"/>
      <c r="R522" s="6"/>
      <c r="S522" s="6"/>
      <c r="T522" s="6"/>
      <c r="U522" s="6"/>
      <c r="V522" s="6"/>
      <c r="W522" s="6"/>
    </row>
    <row r="523" spans="1:23" ht="16" x14ac:dyDescent="0.2">
      <c r="A523" s="6"/>
      <c r="B523" s="7"/>
      <c r="C523" s="7"/>
      <c r="D523" s="7"/>
      <c r="E523" s="7"/>
      <c r="F523" s="6"/>
      <c r="G523" s="6"/>
      <c r="H523" s="6"/>
      <c r="I523" s="6"/>
      <c r="J523" s="6"/>
      <c r="K523" s="6"/>
      <c r="L523" s="6"/>
      <c r="M523" s="6"/>
      <c r="N523" s="6"/>
      <c r="O523" s="6"/>
      <c r="P523" s="6"/>
      <c r="Q523" s="6"/>
      <c r="R523" s="6"/>
      <c r="S523" s="6"/>
      <c r="T523" s="6"/>
      <c r="U523" s="6"/>
      <c r="V523" s="6"/>
      <c r="W523" s="6"/>
    </row>
    <row r="524" spans="1:23" ht="16" x14ac:dyDescent="0.2">
      <c r="A524" s="6"/>
      <c r="B524" s="7"/>
      <c r="C524" s="7"/>
      <c r="D524" s="7"/>
      <c r="E524" s="7"/>
      <c r="F524" s="6"/>
      <c r="G524" s="6"/>
      <c r="H524" s="6"/>
      <c r="I524" s="6"/>
      <c r="J524" s="6"/>
      <c r="K524" s="6"/>
      <c r="L524" s="6"/>
      <c r="M524" s="6"/>
      <c r="N524" s="6"/>
      <c r="O524" s="6"/>
      <c r="P524" s="6"/>
      <c r="Q524" s="6"/>
      <c r="R524" s="6"/>
      <c r="S524" s="6"/>
      <c r="T524" s="6"/>
      <c r="U524" s="6"/>
      <c r="V524" s="6"/>
      <c r="W524" s="6"/>
    </row>
    <row r="525" spans="1:23" ht="16" x14ac:dyDescent="0.2">
      <c r="A525" s="6"/>
      <c r="B525" s="7"/>
      <c r="C525" s="7"/>
      <c r="D525" s="7"/>
      <c r="E525" s="7"/>
      <c r="F525" s="6"/>
      <c r="G525" s="6"/>
      <c r="H525" s="6"/>
      <c r="I525" s="6"/>
      <c r="J525" s="6"/>
      <c r="K525" s="6"/>
      <c r="L525" s="6"/>
      <c r="M525" s="6"/>
      <c r="N525" s="6"/>
      <c r="O525" s="6"/>
      <c r="P525" s="6"/>
      <c r="Q525" s="6"/>
      <c r="R525" s="6"/>
      <c r="S525" s="6"/>
      <c r="T525" s="6"/>
      <c r="U525" s="6"/>
      <c r="V525" s="6"/>
      <c r="W525" s="6"/>
    </row>
    <row r="526" spans="1:23" ht="16" x14ac:dyDescent="0.2">
      <c r="A526" s="6"/>
      <c r="B526" s="7"/>
      <c r="C526" s="7"/>
      <c r="D526" s="7"/>
      <c r="E526" s="7"/>
      <c r="F526" s="6"/>
      <c r="G526" s="6"/>
      <c r="H526" s="6"/>
      <c r="I526" s="6"/>
      <c r="J526" s="6"/>
      <c r="K526" s="6"/>
      <c r="L526" s="6"/>
      <c r="M526" s="6"/>
      <c r="N526" s="6"/>
      <c r="O526" s="6"/>
      <c r="P526" s="6"/>
      <c r="Q526" s="6"/>
      <c r="R526" s="6"/>
      <c r="S526" s="6"/>
      <c r="T526" s="6"/>
      <c r="U526" s="6"/>
      <c r="V526" s="6"/>
      <c r="W526" s="6"/>
    </row>
    <row r="527" spans="1:23" ht="16" x14ac:dyDescent="0.2">
      <c r="A527" s="6"/>
      <c r="B527" s="7"/>
      <c r="C527" s="7"/>
      <c r="D527" s="7"/>
      <c r="E527" s="7"/>
      <c r="F527" s="6"/>
      <c r="G527" s="6"/>
      <c r="H527" s="6"/>
      <c r="I527" s="6"/>
      <c r="J527" s="6"/>
      <c r="K527" s="6"/>
      <c r="L527" s="6"/>
      <c r="M527" s="6"/>
      <c r="N527" s="6"/>
      <c r="O527" s="6"/>
      <c r="P527" s="6"/>
      <c r="Q527" s="6"/>
      <c r="R527" s="6"/>
      <c r="S527" s="6"/>
      <c r="T527" s="6"/>
      <c r="U527" s="6"/>
      <c r="V527" s="6"/>
      <c r="W527" s="6"/>
    </row>
    <row r="528" spans="1:23" ht="16" x14ac:dyDescent="0.2">
      <c r="A528" s="6"/>
      <c r="B528" s="7"/>
      <c r="C528" s="7"/>
      <c r="D528" s="7"/>
      <c r="E528" s="7"/>
      <c r="F528" s="6"/>
      <c r="G528" s="6"/>
      <c r="H528" s="6"/>
      <c r="I528" s="6"/>
      <c r="J528" s="6"/>
      <c r="K528" s="6"/>
      <c r="L528" s="6"/>
      <c r="M528" s="6"/>
      <c r="N528" s="6"/>
      <c r="O528" s="6"/>
      <c r="P528" s="6"/>
      <c r="Q528" s="6"/>
      <c r="R528" s="6"/>
      <c r="S528" s="6"/>
      <c r="T528" s="6"/>
      <c r="U528" s="6"/>
      <c r="V528" s="6"/>
      <c r="W528" s="6"/>
    </row>
    <row r="529" spans="1:23" ht="16" x14ac:dyDescent="0.2">
      <c r="A529" s="6"/>
      <c r="B529" s="7"/>
      <c r="C529" s="7"/>
      <c r="D529" s="7"/>
      <c r="E529" s="7"/>
      <c r="F529" s="6"/>
      <c r="G529" s="6"/>
      <c r="H529" s="6"/>
      <c r="I529" s="6"/>
      <c r="J529" s="6"/>
      <c r="K529" s="6"/>
      <c r="L529" s="6"/>
      <c r="M529" s="6"/>
      <c r="N529" s="6"/>
      <c r="O529" s="6"/>
      <c r="P529" s="6"/>
      <c r="Q529" s="6"/>
      <c r="R529" s="6"/>
      <c r="S529" s="6"/>
      <c r="T529" s="6"/>
      <c r="U529" s="6"/>
      <c r="V529" s="6"/>
      <c r="W529" s="6"/>
    </row>
    <row r="530" spans="1:23" ht="16" x14ac:dyDescent="0.2">
      <c r="A530" s="6"/>
      <c r="B530" s="7"/>
      <c r="C530" s="7"/>
      <c r="D530" s="7"/>
      <c r="E530" s="7"/>
      <c r="F530" s="6"/>
      <c r="G530" s="6"/>
      <c r="H530" s="6"/>
      <c r="I530" s="6"/>
      <c r="J530" s="6"/>
      <c r="K530" s="6"/>
      <c r="L530" s="6"/>
      <c r="M530" s="6"/>
      <c r="N530" s="6"/>
      <c r="O530" s="6"/>
      <c r="P530" s="6"/>
      <c r="Q530" s="6"/>
      <c r="R530" s="6"/>
      <c r="S530" s="6"/>
      <c r="T530" s="6"/>
      <c r="U530" s="6"/>
      <c r="V530" s="6"/>
      <c r="W530" s="6"/>
    </row>
    <row r="531" spans="1:23" ht="16" x14ac:dyDescent="0.2">
      <c r="A531" s="6"/>
      <c r="B531" s="7"/>
      <c r="C531" s="7"/>
      <c r="D531" s="7"/>
      <c r="E531" s="7"/>
      <c r="F531" s="6"/>
      <c r="G531" s="6"/>
      <c r="H531" s="6"/>
      <c r="I531" s="6"/>
      <c r="J531" s="6"/>
      <c r="K531" s="6"/>
      <c r="L531" s="6"/>
      <c r="M531" s="6"/>
      <c r="N531" s="6"/>
      <c r="O531" s="6"/>
      <c r="P531" s="6"/>
      <c r="Q531" s="6"/>
      <c r="R531" s="6"/>
      <c r="S531" s="6"/>
      <c r="T531" s="6"/>
      <c r="U531" s="6"/>
      <c r="V531" s="6"/>
      <c r="W531" s="6"/>
    </row>
    <row r="532" spans="1:23" ht="16" x14ac:dyDescent="0.2">
      <c r="A532" s="6"/>
      <c r="B532" s="7"/>
      <c r="C532" s="7"/>
      <c r="D532" s="7"/>
      <c r="E532" s="7"/>
      <c r="F532" s="6"/>
      <c r="G532" s="6"/>
      <c r="H532" s="6"/>
      <c r="I532" s="6"/>
      <c r="J532" s="6"/>
      <c r="K532" s="6"/>
      <c r="L532" s="6"/>
      <c r="M532" s="6"/>
      <c r="N532" s="6"/>
      <c r="O532" s="6"/>
      <c r="P532" s="6"/>
      <c r="Q532" s="6"/>
      <c r="R532" s="6"/>
      <c r="S532" s="6"/>
      <c r="T532" s="6"/>
      <c r="U532" s="6"/>
      <c r="V532" s="6"/>
      <c r="W532" s="6"/>
    </row>
    <row r="533" spans="1:23" ht="16" x14ac:dyDescent="0.2">
      <c r="A533" s="6"/>
      <c r="B533" s="7"/>
      <c r="C533" s="7"/>
      <c r="D533" s="7"/>
      <c r="E533" s="7"/>
      <c r="F533" s="6"/>
      <c r="G533" s="6"/>
      <c r="H533" s="6"/>
      <c r="I533" s="6"/>
      <c r="J533" s="6"/>
      <c r="K533" s="6"/>
      <c r="L533" s="6"/>
      <c r="M533" s="6"/>
      <c r="N533" s="6"/>
      <c r="O533" s="6"/>
      <c r="P533" s="6"/>
      <c r="Q533" s="6"/>
      <c r="R533" s="6"/>
      <c r="S533" s="6"/>
      <c r="T533" s="6"/>
      <c r="U533" s="6"/>
      <c r="V533" s="6"/>
      <c r="W533" s="6"/>
    </row>
    <row r="534" spans="1:23" ht="16" x14ac:dyDescent="0.2">
      <c r="A534" s="6"/>
      <c r="B534" s="7"/>
      <c r="C534" s="7"/>
      <c r="D534" s="7"/>
      <c r="E534" s="7"/>
      <c r="F534" s="6"/>
      <c r="G534" s="6"/>
      <c r="H534" s="6"/>
      <c r="I534" s="6"/>
      <c r="J534" s="6"/>
      <c r="K534" s="6"/>
      <c r="L534" s="6"/>
      <c r="M534" s="6"/>
      <c r="N534" s="6"/>
      <c r="O534" s="6"/>
      <c r="P534" s="6"/>
      <c r="Q534" s="6"/>
      <c r="R534" s="6"/>
      <c r="S534" s="6"/>
      <c r="T534" s="6"/>
      <c r="U534" s="6"/>
      <c r="V534" s="6"/>
      <c r="W534" s="6"/>
    </row>
    <row r="535" spans="1:23" ht="16" x14ac:dyDescent="0.2">
      <c r="A535" s="6"/>
      <c r="B535" s="7"/>
      <c r="C535" s="7"/>
      <c r="D535" s="7"/>
      <c r="E535" s="7"/>
      <c r="F535" s="6"/>
      <c r="G535" s="6"/>
      <c r="H535" s="6"/>
      <c r="I535" s="6"/>
      <c r="J535" s="6"/>
      <c r="K535" s="6"/>
      <c r="L535" s="6"/>
      <c r="M535" s="6"/>
      <c r="N535" s="6"/>
      <c r="O535" s="6"/>
      <c r="P535" s="6"/>
      <c r="Q535" s="6"/>
      <c r="R535" s="6"/>
      <c r="S535" s="6"/>
      <c r="T535" s="6"/>
      <c r="U535" s="6"/>
      <c r="V535" s="6"/>
      <c r="W535" s="6"/>
    </row>
    <row r="536" spans="1:23" ht="16" x14ac:dyDescent="0.2">
      <c r="A536" s="6"/>
      <c r="B536" s="7"/>
      <c r="C536" s="7"/>
      <c r="D536" s="7"/>
      <c r="E536" s="7"/>
      <c r="F536" s="6"/>
      <c r="G536" s="6"/>
      <c r="H536" s="6"/>
      <c r="I536" s="6"/>
      <c r="J536" s="6"/>
      <c r="K536" s="6"/>
      <c r="L536" s="6"/>
      <c r="M536" s="6"/>
      <c r="N536" s="6"/>
      <c r="O536" s="6"/>
      <c r="P536" s="6"/>
      <c r="Q536" s="6"/>
      <c r="R536" s="6"/>
      <c r="S536" s="6"/>
      <c r="T536" s="6"/>
      <c r="U536" s="6"/>
      <c r="V536" s="6"/>
      <c r="W536" s="6"/>
    </row>
    <row r="537" spans="1:23" ht="16" x14ac:dyDescent="0.2">
      <c r="A537" s="6"/>
      <c r="B537" s="7"/>
      <c r="C537" s="7"/>
      <c r="D537" s="7"/>
      <c r="E537" s="7"/>
      <c r="F537" s="6"/>
      <c r="G537" s="6"/>
      <c r="H537" s="6"/>
      <c r="I537" s="6"/>
      <c r="J537" s="6"/>
      <c r="K537" s="6"/>
      <c r="L537" s="6"/>
      <c r="M537" s="6"/>
      <c r="N537" s="6"/>
      <c r="O537" s="6"/>
      <c r="P537" s="6"/>
      <c r="Q537" s="6"/>
      <c r="R537" s="6"/>
      <c r="S537" s="6"/>
      <c r="T537" s="6"/>
      <c r="U537" s="6"/>
      <c r="V537" s="6"/>
      <c r="W537" s="6"/>
    </row>
    <row r="538" spans="1:23" ht="16" x14ac:dyDescent="0.2">
      <c r="A538" s="6"/>
      <c r="B538" s="7"/>
      <c r="C538" s="7"/>
      <c r="D538" s="7"/>
      <c r="E538" s="7"/>
      <c r="F538" s="6"/>
      <c r="G538" s="6"/>
      <c r="H538" s="6"/>
      <c r="I538" s="6"/>
      <c r="J538" s="6"/>
      <c r="K538" s="6"/>
      <c r="L538" s="6"/>
      <c r="M538" s="6"/>
      <c r="N538" s="6"/>
      <c r="O538" s="6"/>
      <c r="P538" s="6"/>
      <c r="Q538" s="6"/>
      <c r="R538" s="6"/>
      <c r="S538" s="6"/>
      <c r="T538" s="6"/>
      <c r="U538" s="6"/>
      <c r="V538" s="6"/>
      <c r="W538" s="6"/>
    </row>
    <row r="539" spans="1:23" ht="16" x14ac:dyDescent="0.2">
      <c r="A539" s="6"/>
      <c r="B539" s="7"/>
      <c r="C539" s="7"/>
      <c r="D539" s="7"/>
      <c r="E539" s="7"/>
      <c r="F539" s="6"/>
      <c r="G539" s="6"/>
      <c r="H539" s="6"/>
      <c r="I539" s="6"/>
      <c r="J539" s="6"/>
      <c r="K539" s="6"/>
      <c r="L539" s="6"/>
      <c r="M539" s="6"/>
      <c r="N539" s="6"/>
      <c r="O539" s="6"/>
      <c r="P539" s="6"/>
      <c r="Q539" s="6"/>
      <c r="R539" s="6"/>
      <c r="S539" s="6"/>
      <c r="T539" s="6"/>
      <c r="U539" s="6"/>
      <c r="V539" s="6"/>
      <c r="W539" s="6"/>
    </row>
    <row r="540" spans="1:23" ht="16" x14ac:dyDescent="0.2">
      <c r="A540" s="6"/>
      <c r="B540" s="7"/>
      <c r="C540" s="7"/>
      <c r="D540" s="7"/>
      <c r="E540" s="7"/>
      <c r="F540" s="6"/>
      <c r="G540" s="6"/>
      <c r="H540" s="6"/>
      <c r="I540" s="6"/>
      <c r="J540" s="6"/>
      <c r="K540" s="6"/>
      <c r="L540" s="6"/>
      <c r="M540" s="6"/>
      <c r="N540" s="6"/>
      <c r="O540" s="6"/>
      <c r="P540" s="6"/>
      <c r="Q540" s="6"/>
      <c r="R540" s="6"/>
      <c r="S540" s="6"/>
      <c r="T540" s="6"/>
      <c r="U540" s="6"/>
      <c r="V540" s="6"/>
      <c r="W540" s="6"/>
    </row>
    <row r="541" spans="1:23" ht="16" x14ac:dyDescent="0.2">
      <c r="A541" s="6"/>
      <c r="B541" s="7"/>
      <c r="C541" s="7"/>
      <c r="D541" s="7"/>
      <c r="E541" s="7"/>
      <c r="F541" s="6"/>
      <c r="G541" s="6"/>
      <c r="H541" s="6"/>
      <c r="I541" s="6"/>
      <c r="J541" s="6"/>
      <c r="K541" s="6"/>
      <c r="L541" s="6"/>
      <c r="M541" s="6"/>
      <c r="N541" s="6"/>
      <c r="O541" s="6"/>
      <c r="P541" s="6"/>
      <c r="Q541" s="6"/>
      <c r="R541" s="6"/>
      <c r="S541" s="6"/>
      <c r="T541" s="6"/>
      <c r="U541" s="6"/>
      <c r="V541" s="6"/>
      <c r="W541" s="6"/>
    </row>
    <row r="542" spans="1:23" ht="16" x14ac:dyDescent="0.2">
      <c r="A542" s="6"/>
      <c r="B542" s="7"/>
      <c r="C542" s="7"/>
      <c r="D542" s="7"/>
      <c r="E542" s="7"/>
      <c r="F542" s="6"/>
      <c r="G542" s="6"/>
      <c r="H542" s="6"/>
      <c r="I542" s="6"/>
      <c r="J542" s="6"/>
      <c r="K542" s="6"/>
      <c r="L542" s="6"/>
      <c r="M542" s="6"/>
      <c r="N542" s="6"/>
      <c r="O542" s="6"/>
      <c r="P542" s="6"/>
      <c r="Q542" s="6"/>
      <c r="R542" s="6"/>
      <c r="S542" s="6"/>
      <c r="T542" s="6"/>
      <c r="U542" s="6"/>
      <c r="V542" s="6"/>
      <c r="W542" s="6"/>
    </row>
    <row r="543" spans="1:23" ht="16" x14ac:dyDescent="0.2">
      <c r="A543" s="6"/>
      <c r="B543" s="7"/>
      <c r="C543" s="7"/>
      <c r="D543" s="7"/>
      <c r="E543" s="7"/>
      <c r="F543" s="6"/>
      <c r="G543" s="6"/>
      <c r="H543" s="6"/>
      <c r="I543" s="6"/>
      <c r="J543" s="6"/>
      <c r="K543" s="6"/>
      <c r="L543" s="6"/>
      <c r="M543" s="6"/>
      <c r="N543" s="6"/>
      <c r="O543" s="6"/>
      <c r="P543" s="6"/>
      <c r="Q543" s="6"/>
      <c r="R543" s="6"/>
      <c r="S543" s="6"/>
      <c r="T543" s="6"/>
      <c r="U543" s="6"/>
      <c r="V543" s="6"/>
      <c r="W543" s="6"/>
    </row>
    <row r="544" spans="1:23" ht="16" x14ac:dyDescent="0.2">
      <c r="A544" s="6"/>
      <c r="B544" s="7"/>
      <c r="C544" s="7"/>
      <c r="D544" s="7"/>
      <c r="E544" s="7"/>
      <c r="F544" s="6"/>
      <c r="G544" s="6"/>
      <c r="H544" s="6"/>
      <c r="I544" s="6"/>
      <c r="J544" s="6"/>
      <c r="K544" s="6"/>
      <c r="L544" s="6"/>
      <c r="M544" s="6"/>
      <c r="N544" s="6"/>
      <c r="O544" s="6"/>
      <c r="P544" s="6"/>
      <c r="Q544" s="6"/>
      <c r="R544" s="6"/>
      <c r="S544" s="6"/>
      <c r="T544" s="6"/>
      <c r="U544" s="6"/>
      <c r="V544" s="6"/>
      <c r="W544" s="6"/>
    </row>
    <row r="545" spans="1:23" ht="16" x14ac:dyDescent="0.2">
      <c r="A545" s="6"/>
      <c r="B545" s="7"/>
      <c r="C545" s="7"/>
      <c r="D545" s="7"/>
      <c r="E545" s="7"/>
      <c r="F545" s="6"/>
      <c r="G545" s="6"/>
      <c r="H545" s="6"/>
      <c r="I545" s="6"/>
      <c r="J545" s="6"/>
      <c r="K545" s="6"/>
      <c r="L545" s="6"/>
      <c r="M545" s="6"/>
      <c r="N545" s="6"/>
      <c r="O545" s="6"/>
      <c r="P545" s="6"/>
      <c r="Q545" s="6"/>
      <c r="R545" s="6"/>
      <c r="S545" s="6"/>
      <c r="T545" s="6"/>
      <c r="U545" s="6"/>
      <c r="V545" s="6"/>
      <c r="W545" s="6"/>
    </row>
    <row r="546" spans="1:23" ht="16" x14ac:dyDescent="0.2">
      <c r="A546" s="6"/>
      <c r="B546" s="7"/>
      <c r="C546" s="7"/>
      <c r="D546" s="7"/>
      <c r="E546" s="7"/>
      <c r="F546" s="6"/>
      <c r="G546" s="6"/>
      <c r="H546" s="6"/>
      <c r="I546" s="6"/>
      <c r="J546" s="6"/>
      <c r="K546" s="6"/>
      <c r="L546" s="6"/>
      <c r="M546" s="6"/>
      <c r="N546" s="6"/>
      <c r="O546" s="6"/>
      <c r="P546" s="6"/>
      <c r="Q546" s="6"/>
      <c r="R546" s="6"/>
      <c r="S546" s="6"/>
      <c r="T546" s="6"/>
      <c r="U546" s="6"/>
      <c r="V546" s="6"/>
      <c r="W546" s="6"/>
    </row>
    <row r="547" spans="1:23" ht="16" x14ac:dyDescent="0.2">
      <c r="A547" s="6"/>
      <c r="B547" s="7"/>
      <c r="C547" s="7"/>
      <c r="D547" s="7"/>
      <c r="E547" s="7"/>
      <c r="F547" s="6"/>
      <c r="G547" s="6"/>
      <c r="H547" s="6"/>
      <c r="I547" s="6"/>
      <c r="J547" s="6"/>
      <c r="K547" s="6"/>
      <c r="L547" s="6"/>
      <c r="M547" s="6"/>
      <c r="N547" s="6"/>
      <c r="O547" s="6"/>
      <c r="P547" s="6"/>
      <c r="Q547" s="6"/>
      <c r="R547" s="6"/>
      <c r="S547" s="6"/>
      <c r="T547" s="6"/>
      <c r="U547" s="6"/>
      <c r="V547" s="6"/>
      <c r="W547" s="6"/>
    </row>
    <row r="548" spans="1:23" ht="16" x14ac:dyDescent="0.2">
      <c r="A548" s="6"/>
      <c r="B548" s="7"/>
      <c r="C548" s="7"/>
      <c r="D548" s="7"/>
      <c r="E548" s="7"/>
      <c r="F548" s="6"/>
      <c r="G548" s="6"/>
      <c r="H548" s="6"/>
      <c r="I548" s="6"/>
      <c r="J548" s="6"/>
      <c r="K548" s="6"/>
      <c r="L548" s="6"/>
      <c r="M548" s="6"/>
      <c r="N548" s="6"/>
      <c r="O548" s="6"/>
      <c r="P548" s="6"/>
      <c r="Q548" s="6"/>
      <c r="R548" s="6"/>
      <c r="S548" s="6"/>
      <c r="T548" s="6"/>
      <c r="U548" s="6"/>
      <c r="V548" s="6"/>
      <c r="W548" s="6"/>
    </row>
    <row r="549" spans="1:23" ht="16" x14ac:dyDescent="0.2">
      <c r="A549" s="6"/>
      <c r="B549" s="7"/>
      <c r="C549" s="7"/>
      <c r="D549" s="7"/>
      <c r="E549" s="7"/>
      <c r="F549" s="6"/>
      <c r="G549" s="6"/>
      <c r="H549" s="6"/>
      <c r="I549" s="6"/>
      <c r="J549" s="6"/>
      <c r="K549" s="6"/>
      <c r="L549" s="6"/>
      <c r="M549" s="6"/>
      <c r="N549" s="6"/>
      <c r="O549" s="6"/>
      <c r="P549" s="6"/>
      <c r="Q549" s="6"/>
      <c r="R549" s="6"/>
      <c r="S549" s="6"/>
      <c r="T549" s="6"/>
      <c r="U549" s="6"/>
      <c r="V549" s="6"/>
      <c r="W549" s="6"/>
    </row>
    <row r="550" spans="1:23" ht="16" x14ac:dyDescent="0.2">
      <c r="A550" s="6"/>
      <c r="B550" s="7"/>
      <c r="C550" s="7"/>
      <c r="D550" s="7"/>
      <c r="E550" s="7"/>
      <c r="F550" s="6"/>
      <c r="G550" s="6"/>
      <c r="H550" s="6"/>
      <c r="I550" s="6"/>
      <c r="J550" s="6"/>
      <c r="K550" s="6"/>
      <c r="L550" s="6"/>
      <c r="M550" s="6"/>
      <c r="N550" s="6"/>
      <c r="O550" s="6"/>
      <c r="P550" s="6"/>
      <c r="Q550" s="6"/>
      <c r="R550" s="6"/>
      <c r="S550" s="6"/>
      <c r="T550" s="6"/>
      <c r="U550" s="6"/>
      <c r="V550" s="6"/>
      <c r="W550" s="6"/>
    </row>
    <row r="551" spans="1:23" ht="16" x14ac:dyDescent="0.2">
      <c r="A551" s="6"/>
      <c r="B551" s="7"/>
      <c r="C551" s="7"/>
      <c r="D551" s="7"/>
      <c r="E551" s="7"/>
      <c r="F551" s="6"/>
      <c r="G551" s="6"/>
      <c r="H551" s="6"/>
      <c r="I551" s="6"/>
      <c r="J551" s="6"/>
      <c r="K551" s="6"/>
      <c r="L551" s="6"/>
      <c r="M551" s="6"/>
      <c r="N551" s="6"/>
      <c r="O551" s="6"/>
      <c r="P551" s="6"/>
      <c r="Q551" s="6"/>
      <c r="R551" s="6"/>
      <c r="S551" s="6"/>
      <c r="T551" s="6"/>
      <c r="U551" s="6"/>
      <c r="V551" s="6"/>
      <c r="W551" s="6"/>
    </row>
    <row r="552" spans="1:23" ht="16" x14ac:dyDescent="0.2">
      <c r="A552" s="6"/>
      <c r="B552" s="7"/>
      <c r="C552" s="7"/>
      <c r="D552" s="7"/>
      <c r="E552" s="7"/>
      <c r="F552" s="6"/>
      <c r="G552" s="6"/>
      <c r="H552" s="6"/>
      <c r="I552" s="6"/>
      <c r="J552" s="6"/>
      <c r="K552" s="6"/>
      <c r="L552" s="6"/>
      <c r="M552" s="6"/>
      <c r="N552" s="6"/>
      <c r="O552" s="6"/>
      <c r="P552" s="6"/>
      <c r="Q552" s="6"/>
      <c r="R552" s="6"/>
      <c r="S552" s="6"/>
      <c r="T552" s="6"/>
      <c r="U552" s="6"/>
      <c r="V552" s="6"/>
      <c r="W552" s="6"/>
    </row>
    <row r="553" spans="1:23" ht="16" x14ac:dyDescent="0.2">
      <c r="A553" s="6"/>
      <c r="B553" s="7"/>
      <c r="C553" s="7"/>
      <c r="D553" s="7"/>
      <c r="E553" s="7"/>
      <c r="F553" s="6"/>
      <c r="G553" s="6"/>
      <c r="H553" s="6"/>
      <c r="I553" s="6"/>
      <c r="J553" s="6"/>
      <c r="K553" s="6"/>
      <c r="L553" s="6"/>
      <c r="M553" s="6"/>
      <c r="N553" s="6"/>
      <c r="O553" s="6"/>
      <c r="P553" s="6"/>
      <c r="Q553" s="6"/>
      <c r="R553" s="6"/>
      <c r="S553" s="6"/>
      <c r="T553" s="6"/>
      <c r="U553" s="6"/>
      <c r="V553" s="6"/>
      <c r="W553" s="6"/>
    </row>
    <row r="554" spans="1:23" ht="16" x14ac:dyDescent="0.2">
      <c r="A554" s="6"/>
      <c r="B554" s="7"/>
      <c r="C554" s="7"/>
      <c r="D554" s="7"/>
      <c r="E554" s="7"/>
      <c r="F554" s="6"/>
      <c r="G554" s="6"/>
      <c r="H554" s="6"/>
      <c r="I554" s="6"/>
      <c r="J554" s="6"/>
      <c r="K554" s="6"/>
      <c r="L554" s="6"/>
      <c r="M554" s="6"/>
      <c r="N554" s="6"/>
      <c r="O554" s="6"/>
      <c r="P554" s="6"/>
      <c r="Q554" s="6"/>
      <c r="R554" s="6"/>
      <c r="S554" s="6"/>
      <c r="T554" s="6"/>
      <c r="U554" s="6"/>
      <c r="V554" s="6"/>
      <c r="W554" s="6"/>
    </row>
    <row r="555" spans="1:23" ht="16" x14ac:dyDescent="0.2">
      <c r="A555" s="6"/>
      <c r="B555" s="7"/>
      <c r="C555" s="7"/>
      <c r="D555" s="7"/>
      <c r="E555" s="7"/>
      <c r="F555" s="6"/>
      <c r="G555" s="6"/>
      <c r="H555" s="6"/>
      <c r="I555" s="6"/>
      <c r="J555" s="6"/>
      <c r="K555" s="6"/>
      <c r="L555" s="6"/>
      <c r="M555" s="6"/>
      <c r="N555" s="6"/>
      <c r="O555" s="6"/>
      <c r="P555" s="6"/>
      <c r="Q555" s="6"/>
      <c r="R555" s="6"/>
      <c r="S555" s="6"/>
      <c r="T555" s="6"/>
      <c r="U555" s="6"/>
      <c r="V555" s="6"/>
      <c r="W555" s="6"/>
    </row>
    <row r="556" spans="1:23" ht="16" x14ac:dyDescent="0.2">
      <c r="A556" s="6"/>
      <c r="B556" s="7"/>
      <c r="C556" s="7"/>
      <c r="D556" s="7"/>
      <c r="E556" s="7"/>
      <c r="F556" s="6"/>
      <c r="G556" s="6"/>
      <c r="H556" s="6"/>
      <c r="I556" s="6"/>
      <c r="J556" s="6"/>
      <c r="K556" s="6"/>
      <c r="L556" s="6"/>
      <c r="M556" s="6"/>
      <c r="N556" s="6"/>
      <c r="O556" s="6"/>
      <c r="P556" s="6"/>
      <c r="Q556" s="6"/>
      <c r="R556" s="6"/>
      <c r="S556" s="6"/>
      <c r="T556" s="6"/>
      <c r="U556" s="6"/>
      <c r="V556" s="6"/>
      <c r="W556" s="6"/>
    </row>
    <row r="557" spans="1:23" ht="16" x14ac:dyDescent="0.2">
      <c r="A557" s="6"/>
      <c r="B557" s="7"/>
      <c r="C557" s="7"/>
      <c r="D557" s="7"/>
      <c r="E557" s="7"/>
      <c r="F557" s="6"/>
      <c r="G557" s="6"/>
      <c r="H557" s="6"/>
      <c r="I557" s="6"/>
      <c r="J557" s="6"/>
      <c r="K557" s="6"/>
      <c r="L557" s="6"/>
      <c r="M557" s="6"/>
      <c r="N557" s="6"/>
      <c r="O557" s="6"/>
      <c r="P557" s="6"/>
      <c r="Q557" s="6"/>
      <c r="R557" s="6"/>
      <c r="S557" s="6"/>
      <c r="T557" s="6"/>
      <c r="U557" s="6"/>
      <c r="V557" s="6"/>
      <c r="W557" s="6"/>
    </row>
    <row r="558" spans="1:23" ht="16" x14ac:dyDescent="0.2">
      <c r="A558" s="6"/>
      <c r="B558" s="7"/>
      <c r="C558" s="7"/>
      <c r="D558" s="7"/>
      <c r="E558" s="7"/>
      <c r="F558" s="6"/>
      <c r="G558" s="6"/>
      <c r="H558" s="6"/>
      <c r="I558" s="6"/>
      <c r="J558" s="6"/>
      <c r="K558" s="6"/>
      <c r="L558" s="6"/>
      <c r="M558" s="6"/>
      <c r="N558" s="6"/>
      <c r="O558" s="6"/>
      <c r="P558" s="6"/>
      <c r="Q558" s="6"/>
      <c r="R558" s="6"/>
      <c r="S558" s="6"/>
      <c r="T558" s="6"/>
      <c r="U558" s="6"/>
      <c r="V558" s="6"/>
      <c r="W558" s="6"/>
    </row>
    <row r="559" spans="1:23" ht="16" x14ac:dyDescent="0.2">
      <c r="A559" s="6"/>
      <c r="B559" s="7"/>
      <c r="C559" s="7"/>
      <c r="D559" s="7"/>
      <c r="E559" s="7"/>
      <c r="F559" s="6"/>
      <c r="G559" s="6"/>
      <c r="H559" s="6"/>
      <c r="I559" s="6"/>
      <c r="J559" s="6"/>
      <c r="K559" s="6"/>
      <c r="L559" s="6"/>
      <c r="M559" s="6"/>
      <c r="N559" s="6"/>
      <c r="O559" s="6"/>
      <c r="P559" s="6"/>
      <c r="Q559" s="6"/>
      <c r="R559" s="6"/>
      <c r="S559" s="6"/>
      <c r="T559" s="6"/>
      <c r="U559" s="6"/>
      <c r="V559" s="6"/>
      <c r="W559" s="6"/>
    </row>
    <row r="560" spans="1:23" ht="16" x14ac:dyDescent="0.2">
      <c r="A560" s="6"/>
      <c r="B560" s="7"/>
      <c r="C560" s="7"/>
      <c r="D560" s="7"/>
      <c r="E560" s="7"/>
      <c r="F560" s="6"/>
      <c r="G560" s="6"/>
      <c r="H560" s="6"/>
      <c r="I560" s="6"/>
      <c r="J560" s="6"/>
      <c r="K560" s="6"/>
      <c r="L560" s="6"/>
      <c r="M560" s="6"/>
      <c r="N560" s="6"/>
      <c r="O560" s="6"/>
      <c r="P560" s="6"/>
      <c r="Q560" s="6"/>
      <c r="R560" s="6"/>
      <c r="S560" s="6"/>
      <c r="T560" s="6"/>
      <c r="U560" s="6"/>
      <c r="V560" s="6"/>
      <c r="W560" s="6"/>
    </row>
    <row r="561" spans="1:23" ht="16" x14ac:dyDescent="0.2">
      <c r="A561" s="6"/>
      <c r="B561" s="7"/>
      <c r="C561" s="7"/>
      <c r="D561" s="7"/>
      <c r="E561" s="7"/>
      <c r="F561" s="6"/>
      <c r="G561" s="6"/>
      <c r="H561" s="6"/>
      <c r="I561" s="6"/>
      <c r="J561" s="6"/>
      <c r="K561" s="6"/>
      <c r="L561" s="6"/>
      <c r="M561" s="6"/>
      <c r="N561" s="6"/>
      <c r="O561" s="6"/>
      <c r="P561" s="6"/>
      <c r="Q561" s="6"/>
      <c r="R561" s="6"/>
      <c r="S561" s="6"/>
      <c r="T561" s="6"/>
      <c r="U561" s="6"/>
      <c r="V561" s="6"/>
      <c r="W561" s="6"/>
    </row>
    <row r="562" spans="1:23" ht="16" x14ac:dyDescent="0.2">
      <c r="A562" s="6"/>
      <c r="B562" s="7"/>
      <c r="C562" s="7"/>
      <c r="D562" s="7"/>
      <c r="E562" s="7"/>
      <c r="F562" s="6"/>
      <c r="G562" s="6"/>
      <c r="H562" s="6"/>
      <c r="I562" s="6"/>
      <c r="J562" s="6"/>
      <c r="K562" s="6"/>
      <c r="L562" s="6"/>
      <c r="M562" s="6"/>
      <c r="N562" s="6"/>
      <c r="O562" s="6"/>
      <c r="P562" s="6"/>
      <c r="Q562" s="6"/>
      <c r="R562" s="6"/>
      <c r="S562" s="6"/>
      <c r="T562" s="6"/>
      <c r="U562" s="6"/>
      <c r="V562" s="6"/>
      <c r="W562" s="6"/>
    </row>
    <row r="563" spans="1:23" ht="16" x14ac:dyDescent="0.2">
      <c r="A563" s="6"/>
      <c r="B563" s="7"/>
      <c r="C563" s="7"/>
      <c r="D563" s="7"/>
      <c r="E563" s="7"/>
      <c r="F563" s="6"/>
      <c r="G563" s="6"/>
      <c r="H563" s="6"/>
      <c r="I563" s="6"/>
      <c r="J563" s="6"/>
      <c r="K563" s="6"/>
      <c r="L563" s="6"/>
      <c r="M563" s="6"/>
      <c r="N563" s="6"/>
      <c r="O563" s="6"/>
      <c r="P563" s="6"/>
      <c r="Q563" s="6"/>
      <c r="R563" s="6"/>
      <c r="S563" s="6"/>
      <c r="T563" s="6"/>
      <c r="U563" s="6"/>
      <c r="V563" s="6"/>
      <c r="W563" s="6"/>
    </row>
    <row r="564" spans="1:23" ht="16" x14ac:dyDescent="0.2">
      <c r="A564" s="6"/>
      <c r="B564" s="7"/>
      <c r="C564" s="7"/>
      <c r="D564" s="7"/>
      <c r="E564" s="7"/>
      <c r="F564" s="6"/>
      <c r="G564" s="6"/>
      <c r="H564" s="6"/>
      <c r="I564" s="6"/>
      <c r="J564" s="6"/>
      <c r="K564" s="6"/>
      <c r="L564" s="6"/>
      <c r="M564" s="6"/>
      <c r="N564" s="6"/>
      <c r="O564" s="6"/>
      <c r="P564" s="6"/>
      <c r="Q564" s="6"/>
      <c r="R564" s="6"/>
      <c r="S564" s="6"/>
      <c r="T564" s="6"/>
      <c r="U564" s="6"/>
      <c r="V564" s="6"/>
      <c r="W564" s="6"/>
    </row>
    <row r="565" spans="1:23" ht="16" x14ac:dyDescent="0.2">
      <c r="A565" s="6"/>
      <c r="B565" s="7"/>
      <c r="C565" s="7"/>
      <c r="D565" s="7"/>
      <c r="E565" s="7"/>
      <c r="F565" s="6"/>
      <c r="G565" s="6"/>
      <c r="H565" s="6"/>
      <c r="I565" s="6"/>
      <c r="J565" s="6"/>
      <c r="K565" s="6"/>
      <c r="L565" s="6"/>
      <c r="M565" s="6"/>
      <c r="N565" s="6"/>
      <c r="O565" s="6"/>
      <c r="P565" s="6"/>
      <c r="Q565" s="6"/>
      <c r="R565" s="6"/>
      <c r="S565" s="6"/>
      <c r="T565" s="6"/>
      <c r="U565" s="6"/>
      <c r="V565" s="6"/>
      <c r="W565" s="6"/>
    </row>
    <row r="566" spans="1:23" ht="16" x14ac:dyDescent="0.2">
      <c r="A566" s="6"/>
      <c r="B566" s="7"/>
      <c r="C566" s="7"/>
      <c r="D566" s="7"/>
      <c r="E566" s="7"/>
      <c r="F566" s="6"/>
      <c r="G566" s="6"/>
      <c r="H566" s="6"/>
      <c r="I566" s="6"/>
      <c r="J566" s="6"/>
      <c r="K566" s="6"/>
      <c r="L566" s="6"/>
      <c r="M566" s="6"/>
      <c r="N566" s="6"/>
      <c r="O566" s="6"/>
      <c r="P566" s="6"/>
      <c r="Q566" s="6"/>
      <c r="R566" s="6"/>
      <c r="S566" s="6"/>
      <c r="T566" s="6"/>
      <c r="U566" s="6"/>
      <c r="V566" s="6"/>
      <c r="W566" s="6"/>
    </row>
    <row r="567" spans="1:23" ht="16" x14ac:dyDescent="0.2">
      <c r="A567" s="6"/>
      <c r="B567" s="7"/>
      <c r="C567" s="7"/>
      <c r="D567" s="7"/>
      <c r="E567" s="7"/>
      <c r="F567" s="6"/>
      <c r="G567" s="6"/>
      <c r="H567" s="6"/>
      <c r="I567" s="6"/>
      <c r="J567" s="6"/>
      <c r="K567" s="6"/>
      <c r="L567" s="6"/>
      <c r="M567" s="6"/>
      <c r="N567" s="6"/>
      <c r="O567" s="6"/>
      <c r="P567" s="6"/>
      <c r="Q567" s="6"/>
      <c r="R567" s="6"/>
      <c r="S567" s="6"/>
      <c r="T567" s="6"/>
      <c r="U567" s="6"/>
      <c r="V567" s="6"/>
      <c r="W567" s="6"/>
    </row>
    <row r="568" spans="1:23" ht="16" x14ac:dyDescent="0.2">
      <c r="A568" s="6"/>
      <c r="B568" s="7"/>
      <c r="C568" s="7"/>
      <c r="D568" s="7"/>
      <c r="E568" s="7"/>
      <c r="F568" s="6"/>
      <c r="G568" s="6"/>
      <c r="H568" s="6"/>
      <c r="I568" s="6"/>
      <c r="J568" s="6"/>
      <c r="K568" s="6"/>
      <c r="L568" s="6"/>
      <c r="M568" s="6"/>
      <c r="N568" s="6"/>
      <c r="O568" s="6"/>
      <c r="P568" s="6"/>
      <c r="Q568" s="6"/>
      <c r="R568" s="6"/>
      <c r="S568" s="6"/>
      <c r="T568" s="6"/>
      <c r="U568" s="6"/>
      <c r="V568" s="6"/>
      <c r="W568" s="6"/>
    </row>
    <row r="569" spans="1:23" ht="16" x14ac:dyDescent="0.2">
      <c r="A569" s="6"/>
      <c r="B569" s="7"/>
      <c r="C569" s="7"/>
      <c r="D569" s="7"/>
      <c r="E569" s="7"/>
      <c r="F569" s="6"/>
      <c r="G569" s="6"/>
      <c r="H569" s="6"/>
      <c r="I569" s="6"/>
      <c r="J569" s="6"/>
      <c r="K569" s="6"/>
      <c r="L569" s="6"/>
      <c r="M569" s="6"/>
      <c r="N569" s="6"/>
      <c r="O569" s="6"/>
      <c r="P569" s="6"/>
      <c r="Q569" s="6"/>
      <c r="R569" s="6"/>
      <c r="S569" s="6"/>
      <c r="T569" s="6"/>
      <c r="U569" s="6"/>
      <c r="V569" s="6"/>
      <c r="W569" s="6"/>
    </row>
    <row r="570" spans="1:23" ht="16" x14ac:dyDescent="0.2">
      <c r="A570" s="6"/>
      <c r="B570" s="7"/>
      <c r="C570" s="7"/>
      <c r="D570" s="7"/>
      <c r="E570" s="7"/>
      <c r="F570" s="6"/>
      <c r="G570" s="6"/>
      <c r="H570" s="6"/>
      <c r="I570" s="6"/>
      <c r="J570" s="6"/>
      <c r="K570" s="6"/>
      <c r="L570" s="6"/>
      <c r="M570" s="6"/>
      <c r="N570" s="6"/>
      <c r="O570" s="6"/>
      <c r="P570" s="6"/>
      <c r="Q570" s="6"/>
      <c r="R570" s="6"/>
      <c r="S570" s="6"/>
      <c r="T570" s="6"/>
      <c r="U570" s="6"/>
      <c r="V570" s="6"/>
      <c r="W570" s="6"/>
    </row>
    <row r="571" spans="1:23" ht="16" x14ac:dyDescent="0.2">
      <c r="A571" s="6"/>
      <c r="B571" s="7"/>
      <c r="C571" s="7"/>
      <c r="D571" s="7"/>
      <c r="E571" s="7"/>
      <c r="F571" s="6"/>
      <c r="G571" s="6"/>
      <c r="H571" s="6"/>
      <c r="I571" s="6"/>
      <c r="J571" s="6"/>
      <c r="K571" s="6"/>
      <c r="L571" s="6"/>
      <c r="M571" s="6"/>
      <c r="N571" s="6"/>
      <c r="O571" s="6"/>
      <c r="P571" s="6"/>
      <c r="Q571" s="6"/>
      <c r="R571" s="6"/>
      <c r="S571" s="6"/>
      <c r="T571" s="6"/>
      <c r="U571" s="6"/>
      <c r="V571" s="6"/>
      <c r="W571" s="6"/>
    </row>
    <row r="572" spans="1:23" ht="16" x14ac:dyDescent="0.2">
      <c r="A572" s="6"/>
      <c r="B572" s="7"/>
      <c r="C572" s="7"/>
      <c r="D572" s="7"/>
      <c r="E572" s="7"/>
      <c r="F572" s="6"/>
      <c r="G572" s="6"/>
      <c r="H572" s="6"/>
      <c r="I572" s="6"/>
      <c r="J572" s="6"/>
      <c r="K572" s="6"/>
      <c r="L572" s="6"/>
      <c r="M572" s="6"/>
      <c r="N572" s="6"/>
      <c r="O572" s="6"/>
      <c r="P572" s="6"/>
      <c r="Q572" s="6"/>
      <c r="R572" s="6"/>
      <c r="S572" s="6"/>
      <c r="T572" s="6"/>
      <c r="U572" s="6"/>
      <c r="V572" s="6"/>
      <c r="W572" s="6"/>
    </row>
    <row r="573" spans="1:23" ht="16" x14ac:dyDescent="0.2">
      <c r="A573" s="6"/>
      <c r="B573" s="7"/>
      <c r="C573" s="7"/>
      <c r="D573" s="7"/>
      <c r="E573" s="7"/>
      <c r="F573" s="6"/>
      <c r="G573" s="6"/>
      <c r="H573" s="6"/>
      <c r="I573" s="6"/>
      <c r="J573" s="6"/>
      <c r="K573" s="6"/>
      <c r="L573" s="6"/>
      <c r="M573" s="6"/>
      <c r="N573" s="6"/>
      <c r="O573" s="6"/>
      <c r="P573" s="6"/>
      <c r="Q573" s="6"/>
      <c r="R573" s="6"/>
      <c r="S573" s="6"/>
      <c r="T573" s="6"/>
      <c r="U573" s="6"/>
      <c r="V573" s="6"/>
      <c r="W573" s="6"/>
    </row>
    <row r="574" spans="1:23" ht="16" x14ac:dyDescent="0.2">
      <c r="A574" s="6"/>
      <c r="B574" s="7"/>
      <c r="C574" s="7"/>
      <c r="D574" s="7"/>
      <c r="E574" s="7"/>
      <c r="F574" s="6"/>
      <c r="G574" s="6"/>
      <c r="H574" s="6"/>
      <c r="I574" s="6"/>
      <c r="J574" s="6"/>
      <c r="K574" s="6"/>
      <c r="L574" s="6"/>
      <c r="M574" s="6"/>
      <c r="N574" s="6"/>
      <c r="O574" s="6"/>
      <c r="P574" s="6"/>
      <c r="Q574" s="6"/>
      <c r="R574" s="6"/>
      <c r="S574" s="6"/>
      <c r="T574" s="6"/>
      <c r="U574" s="6"/>
      <c r="V574" s="6"/>
      <c r="W574" s="6"/>
    </row>
    <row r="575" spans="1:23" ht="16" x14ac:dyDescent="0.2">
      <c r="A575" s="6"/>
      <c r="B575" s="7"/>
      <c r="C575" s="7"/>
      <c r="D575" s="7"/>
      <c r="E575" s="7"/>
      <c r="F575" s="6"/>
      <c r="G575" s="6"/>
      <c r="H575" s="6"/>
      <c r="I575" s="6"/>
      <c r="J575" s="6"/>
      <c r="K575" s="6"/>
      <c r="L575" s="6"/>
      <c r="M575" s="6"/>
      <c r="N575" s="6"/>
      <c r="O575" s="6"/>
      <c r="P575" s="6"/>
      <c r="Q575" s="6"/>
      <c r="R575" s="6"/>
      <c r="S575" s="6"/>
      <c r="T575" s="6"/>
      <c r="U575" s="6"/>
      <c r="V575" s="6"/>
      <c r="W575" s="6"/>
    </row>
    <row r="576" spans="1:23" ht="16" x14ac:dyDescent="0.2">
      <c r="A576" s="6"/>
      <c r="B576" s="7"/>
      <c r="C576" s="7"/>
      <c r="D576" s="7"/>
      <c r="E576" s="7"/>
      <c r="F576" s="6"/>
      <c r="G576" s="6"/>
      <c r="H576" s="6"/>
      <c r="I576" s="6"/>
      <c r="J576" s="6"/>
      <c r="K576" s="6"/>
      <c r="L576" s="6"/>
      <c r="M576" s="6"/>
      <c r="N576" s="6"/>
      <c r="O576" s="6"/>
      <c r="P576" s="6"/>
      <c r="Q576" s="6"/>
      <c r="R576" s="6"/>
      <c r="S576" s="6"/>
      <c r="T576" s="6"/>
      <c r="U576" s="6"/>
      <c r="V576" s="6"/>
      <c r="W576" s="6"/>
    </row>
    <row r="577" spans="1:23" ht="16" x14ac:dyDescent="0.2">
      <c r="A577" s="6"/>
      <c r="B577" s="7"/>
      <c r="C577" s="7"/>
      <c r="D577" s="7"/>
      <c r="E577" s="7"/>
      <c r="F577" s="6"/>
      <c r="G577" s="6"/>
      <c r="H577" s="6"/>
      <c r="I577" s="6"/>
      <c r="J577" s="6"/>
      <c r="K577" s="6"/>
      <c r="L577" s="6"/>
      <c r="M577" s="6"/>
      <c r="N577" s="6"/>
      <c r="O577" s="6"/>
      <c r="P577" s="6"/>
      <c r="Q577" s="6"/>
      <c r="R577" s="6"/>
      <c r="S577" s="6"/>
      <c r="T577" s="6"/>
      <c r="U577" s="6"/>
      <c r="V577" s="6"/>
      <c r="W577" s="6"/>
    </row>
    <row r="578" spans="1:23" ht="16" x14ac:dyDescent="0.2">
      <c r="A578" s="6"/>
      <c r="B578" s="7"/>
      <c r="C578" s="7"/>
      <c r="D578" s="7"/>
      <c r="E578" s="7"/>
      <c r="F578" s="6"/>
      <c r="G578" s="6"/>
      <c r="H578" s="6"/>
      <c r="I578" s="6"/>
      <c r="J578" s="6"/>
      <c r="K578" s="6"/>
      <c r="L578" s="6"/>
      <c r="M578" s="6"/>
      <c r="N578" s="6"/>
      <c r="O578" s="6"/>
      <c r="P578" s="6"/>
      <c r="Q578" s="6"/>
      <c r="R578" s="6"/>
      <c r="S578" s="6"/>
      <c r="T578" s="6"/>
      <c r="U578" s="6"/>
      <c r="V578" s="6"/>
      <c r="W578" s="6"/>
    </row>
    <row r="579" spans="1:23" ht="16" x14ac:dyDescent="0.2">
      <c r="A579" s="6"/>
      <c r="B579" s="7"/>
      <c r="C579" s="7"/>
      <c r="D579" s="7"/>
      <c r="E579" s="7"/>
      <c r="F579" s="6"/>
      <c r="G579" s="6"/>
      <c r="H579" s="6"/>
      <c r="I579" s="6"/>
      <c r="J579" s="6"/>
      <c r="K579" s="6"/>
      <c r="L579" s="6"/>
      <c r="M579" s="6"/>
      <c r="N579" s="6"/>
      <c r="O579" s="6"/>
      <c r="P579" s="6"/>
      <c r="Q579" s="6"/>
      <c r="R579" s="6"/>
      <c r="S579" s="6"/>
      <c r="T579" s="6"/>
      <c r="U579" s="6"/>
      <c r="V579" s="6"/>
      <c r="W579" s="6"/>
    </row>
    <row r="580" spans="1:23" ht="16" x14ac:dyDescent="0.2">
      <c r="A580" s="6"/>
      <c r="B580" s="7"/>
      <c r="C580" s="7"/>
      <c r="D580" s="7"/>
      <c r="E580" s="7"/>
      <c r="F580" s="6"/>
      <c r="G580" s="6"/>
      <c r="H580" s="6"/>
      <c r="I580" s="6"/>
      <c r="J580" s="6"/>
      <c r="K580" s="6"/>
      <c r="L580" s="6"/>
      <c r="M580" s="6"/>
      <c r="N580" s="6"/>
      <c r="O580" s="6"/>
      <c r="P580" s="6"/>
      <c r="Q580" s="6"/>
      <c r="R580" s="6"/>
      <c r="S580" s="6"/>
      <c r="T580" s="6"/>
      <c r="U580" s="6"/>
      <c r="V580" s="6"/>
      <c r="W580" s="6"/>
    </row>
    <row r="581" spans="1:23" ht="16" x14ac:dyDescent="0.2">
      <c r="A581" s="6"/>
      <c r="B581" s="7"/>
      <c r="C581" s="7"/>
      <c r="D581" s="7"/>
      <c r="E581" s="7"/>
      <c r="F581" s="6"/>
      <c r="G581" s="6"/>
      <c r="H581" s="6"/>
      <c r="I581" s="6"/>
      <c r="J581" s="6"/>
      <c r="K581" s="6"/>
      <c r="L581" s="6"/>
      <c r="M581" s="6"/>
      <c r="N581" s="6"/>
      <c r="O581" s="6"/>
      <c r="P581" s="6"/>
      <c r="Q581" s="6"/>
      <c r="R581" s="6"/>
      <c r="S581" s="6"/>
      <c r="T581" s="6"/>
      <c r="U581" s="6"/>
      <c r="V581" s="6"/>
      <c r="W581" s="6"/>
    </row>
    <row r="582" spans="1:23" ht="16" x14ac:dyDescent="0.2">
      <c r="A582" s="6"/>
      <c r="B582" s="7"/>
      <c r="C582" s="7"/>
      <c r="D582" s="7"/>
      <c r="E582" s="7"/>
      <c r="F582" s="6"/>
      <c r="G582" s="6"/>
      <c r="H582" s="6"/>
      <c r="I582" s="6"/>
      <c r="J582" s="6"/>
      <c r="K582" s="6"/>
      <c r="L582" s="6"/>
      <c r="M582" s="6"/>
      <c r="N582" s="6"/>
      <c r="O582" s="6"/>
      <c r="P582" s="6"/>
      <c r="Q582" s="6"/>
      <c r="R582" s="6"/>
      <c r="S582" s="6"/>
      <c r="T582" s="6"/>
      <c r="U582" s="6"/>
      <c r="V582" s="6"/>
      <c r="W582" s="6"/>
    </row>
    <row r="583" spans="1:23" ht="16" x14ac:dyDescent="0.2">
      <c r="A583" s="6"/>
      <c r="B583" s="7"/>
      <c r="C583" s="7"/>
      <c r="D583" s="7"/>
      <c r="E583" s="7"/>
      <c r="F583" s="6"/>
      <c r="G583" s="6"/>
      <c r="H583" s="6"/>
      <c r="I583" s="6"/>
      <c r="J583" s="6"/>
      <c r="K583" s="6"/>
      <c r="L583" s="6"/>
      <c r="M583" s="6"/>
      <c r="N583" s="6"/>
      <c r="O583" s="6"/>
      <c r="P583" s="6"/>
      <c r="Q583" s="6"/>
      <c r="R583" s="6"/>
      <c r="S583" s="6"/>
      <c r="T583" s="6"/>
      <c r="U583" s="6"/>
      <c r="V583" s="6"/>
      <c r="W583" s="6"/>
    </row>
    <row r="584" spans="1:23" ht="16" x14ac:dyDescent="0.2">
      <c r="A584" s="6"/>
      <c r="B584" s="7"/>
      <c r="C584" s="7"/>
      <c r="D584" s="7"/>
      <c r="E584" s="7"/>
      <c r="F584" s="6"/>
      <c r="G584" s="6"/>
      <c r="H584" s="6"/>
      <c r="I584" s="6"/>
      <c r="J584" s="6"/>
      <c r="K584" s="6"/>
      <c r="L584" s="6"/>
      <c r="M584" s="6"/>
      <c r="N584" s="6"/>
      <c r="O584" s="6"/>
      <c r="P584" s="6"/>
      <c r="Q584" s="6"/>
      <c r="R584" s="6"/>
      <c r="S584" s="6"/>
      <c r="T584" s="6"/>
      <c r="U584" s="6"/>
      <c r="V584" s="6"/>
      <c r="W584" s="6"/>
    </row>
    <row r="585" spans="1:23" ht="16" x14ac:dyDescent="0.2">
      <c r="A585" s="6"/>
      <c r="B585" s="7"/>
      <c r="C585" s="7"/>
      <c r="D585" s="7"/>
      <c r="E585" s="7"/>
      <c r="F585" s="6"/>
      <c r="G585" s="6"/>
      <c r="H585" s="6"/>
      <c r="I585" s="6"/>
      <c r="J585" s="6"/>
      <c r="K585" s="6"/>
      <c r="L585" s="6"/>
      <c r="M585" s="6"/>
      <c r="N585" s="6"/>
      <c r="O585" s="6"/>
      <c r="P585" s="6"/>
      <c r="Q585" s="6"/>
      <c r="R585" s="6"/>
      <c r="S585" s="6"/>
      <c r="T585" s="6"/>
      <c r="U585" s="6"/>
      <c r="V585" s="6"/>
      <c r="W585" s="6"/>
    </row>
    <row r="586" spans="1:23" ht="16" x14ac:dyDescent="0.2">
      <c r="A586" s="6"/>
      <c r="B586" s="7"/>
      <c r="C586" s="7"/>
      <c r="D586" s="7"/>
      <c r="E586" s="7"/>
      <c r="F586" s="6"/>
      <c r="G586" s="6"/>
      <c r="H586" s="6"/>
      <c r="I586" s="6"/>
      <c r="J586" s="6"/>
      <c r="K586" s="6"/>
      <c r="L586" s="6"/>
      <c r="M586" s="6"/>
      <c r="N586" s="6"/>
      <c r="O586" s="6"/>
      <c r="P586" s="6"/>
      <c r="Q586" s="6"/>
      <c r="R586" s="6"/>
      <c r="S586" s="6"/>
      <c r="T586" s="6"/>
      <c r="U586" s="6"/>
      <c r="V586" s="6"/>
      <c r="W586" s="6"/>
    </row>
    <row r="587" spans="1:23" ht="16" x14ac:dyDescent="0.2">
      <c r="A587" s="6"/>
      <c r="B587" s="7"/>
      <c r="C587" s="7"/>
      <c r="D587" s="7"/>
      <c r="E587" s="7"/>
      <c r="F587" s="6"/>
      <c r="G587" s="6"/>
      <c r="H587" s="6"/>
      <c r="I587" s="6"/>
      <c r="J587" s="6"/>
      <c r="K587" s="6"/>
      <c r="L587" s="6"/>
      <c r="M587" s="6"/>
      <c r="N587" s="6"/>
      <c r="O587" s="6"/>
      <c r="P587" s="6"/>
      <c r="Q587" s="6"/>
      <c r="R587" s="6"/>
      <c r="S587" s="6"/>
      <c r="T587" s="6"/>
      <c r="U587" s="6"/>
      <c r="V587" s="6"/>
      <c r="W587" s="6"/>
    </row>
    <row r="588" spans="1:23" ht="16" x14ac:dyDescent="0.2">
      <c r="A588" s="6"/>
      <c r="B588" s="7"/>
      <c r="C588" s="7"/>
      <c r="D588" s="7"/>
      <c r="E588" s="7"/>
      <c r="F588" s="6"/>
      <c r="G588" s="6"/>
      <c r="H588" s="6"/>
      <c r="I588" s="6"/>
      <c r="J588" s="6"/>
      <c r="K588" s="6"/>
      <c r="L588" s="6"/>
      <c r="M588" s="6"/>
      <c r="N588" s="6"/>
      <c r="O588" s="6"/>
      <c r="P588" s="6"/>
      <c r="Q588" s="6"/>
      <c r="R588" s="6"/>
      <c r="S588" s="6"/>
      <c r="T588" s="6"/>
      <c r="U588" s="6"/>
      <c r="V588" s="6"/>
      <c r="W588" s="6"/>
    </row>
    <row r="589" spans="1:23" ht="16" x14ac:dyDescent="0.2">
      <c r="A589" s="6"/>
      <c r="B589" s="7"/>
      <c r="C589" s="7"/>
      <c r="D589" s="7"/>
      <c r="E589" s="7"/>
      <c r="F589" s="6"/>
      <c r="G589" s="6"/>
      <c r="H589" s="6"/>
      <c r="I589" s="6"/>
      <c r="J589" s="6"/>
      <c r="K589" s="6"/>
      <c r="L589" s="6"/>
      <c r="M589" s="6"/>
      <c r="N589" s="6"/>
      <c r="O589" s="6"/>
      <c r="P589" s="6"/>
      <c r="Q589" s="6"/>
      <c r="R589" s="6"/>
      <c r="S589" s="6"/>
      <c r="T589" s="6"/>
      <c r="U589" s="6"/>
      <c r="V589" s="6"/>
      <c r="W589" s="6"/>
    </row>
    <row r="590" spans="1:23" ht="16" x14ac:dyDescent="0.2">
      <c r="A590" s="6"/>
      <c r="B590" s="7"/>
      <c r="C590" s="7"/>
      <c r="D590" s="7"/>
      <c r="E590" s="7"/>
      <c r="F590" s="6"/>
      <c r="G590" s="6"/>
      <c r="H590" s="6"/>
      <c r="I590" s="6"/>
      <c r="J590" s="6"/>
      <c r="K590" s="6"/>
      <c r="L590" s="6"/>
      <c r="M590" s="6"/>
      <c r="N590" s="6"/>
      <c r="O590" s="6"/>
      <c r="P590" s="6"/>
      <c r="Q590" s="6"/>
      <c r="R590" s="6"/>
      <c r="S590" s="6"/>
      <c r="T590" s="6"/>
      <c r="U590" s="6"/>
      <c r="V590" s="6"/>
      <c r="W590" s="6"/>
    </row>
    <row r="591" spans="1:23" ht="16" x14ac:dyDescent="0.2">
      <c r="A591" s="6"/>
      <c r="B591" s="7"/>
      <c r="C591" s="7"/>
      <c r="D591" s="7"/>
      <c r="E591" s="7"/>
      <c r="F591" s="6"/>
      <c r="G591" s="6"/>
      <c r="H591" s="6"/>
      <c r="I591" s="6"/>
      <c r="J591" s="6"/>
      <c r="K591" s="6"/>
      <c r="L591" s="6"/>
      <c r="M591" s="6"/>
      <c r="N591" s="6"/>
      <c r="O591" s="6"/>
      <c r="P591" s="6"/>
      <c r="Q591" s="6"/>
      <c r="R591" s="6"/>
      <c r="S591" s="6"/>
      <c r="T591" s="6"/>
      <c r="U591" s="6"/>
      <c r="V591" s="6"/>
      <c r="W591" s="6"/>
    </row>
    <row r="592" spans="1:23" ht="16" x14ac:dyDescent="0.2">
      <c r="A592" s="6"/>
      <c r="B592" s="7"/>
      <c r="C592" s="7"/>
      <c r="D592" s="7"/>
      <c r="E592" s="7"/>
      <c r="F592" s="6"/>
      <c r="G592" s="6"/>
      <c r="H592" s="6"/>
      <c r="I592" s="6"/>
      <c r="J592" s="6"/>
      <c r="K592" s="6"/>
      <c r="L592" s="6"/>
      <c r="M592" s="6"/>
      <c r="N592" s="6"/>
      <c r="O592" s="6"/>
      <c r="P592" s="6"/>
      <c r="Q592" s="6"/>
      <c r="R592" s="6"/>
      <c r="S592" s="6"/>
      <c r="T592" s="6"/>
      <c r="U592" s="6"/>
      <c r="V592" s="6"/>
      <c r="W592" s="6"/>
    </row>
    <row r="593" spans="1:23" ht="16" x14ac:dyDescent="0.2">
      <c r="A593" s="6"/>
      <c r="B593" s="7"/>
      <c r="C593" s="7"/>
      <c r="D593" s="7"/>
      <c r="E593" s="7"/>
      <c r="F593" s="6"/>
      <c r="G593" s="6"/>
      <c r="H593" s="6"/>
      <c r="I593" s="6"/>
      <c r="J593" s="6"/>
      <c r="K593" s="6"/>
      <c r="L593" s="6"/>
      <c r="M593" s="6"/>
      <c r="N593" s="6"/>
      <c r="O593" s="6"/>
      <c r="P593" s="6"/>
      <c r="Q593" s="6"/>
      <c r="R593" s="6"/>
      <c r="S593" s="6"/>
      <c r="T593" s="6"/>
      <c r="U593" s="6"/>
      <c r="V593" s="6"/>
      <c r="W593" s="6"/>
    </row>
    <row r="594" spans="1:23" ht="16" x14ac:dyDescent="0.2">
      <c r="A594" s="6"/>
      <c r="B594" s="7"/>
      <c r="C594" s="7"/>
      <c r="D594" s="7"/>
      <c r="E594" s="7"/>
      <c r="F594" s="6"/>
      <c r="G594" s="6"/>
      <c r="H594" s="6"/>
      <c r="I594" s="6"/>
      <c r="J594" s="6"/>
      <c r="K594" s="6"/>
      <c r="L594" s="6"/>
      <c r="M594" s="6"/>
      <c r="N594" s="6"/>
      <c r="O594" s="6"/>
      <c r="P594" s="6"/>
      <c r="Q594" s="6"/>
      <c r="R594" s="6"/>
      <c r="S594" s="6"/>
      <c r="T594" s="6"/>
      <c r="U594" s="6"/>
      <c r="V594" s="6"/>
      <c r="W594" s="6"/>
    </row>
    <row r="595" spans="1:23" ht="16" x14ac:dyDescent="0.2">
      <c r="A595" s="6"/>
      <c r="B595" s="7"/>
      <c r="C595" s="7"/>
      <c r="D595" s="7"/>
      <c r="E595" s="7"/>
      <c r="F595" s="6"/>
      <c r="G595" s="6"/>
      <c r="H595" s="6"/>
      <c r="I595" s="6"/>
      <c r="J595" s="6"/>
      <c r="K595" s="6"/>
      <c r="L595" s="6"/>
      <c r="M595" s="6"/>
      <c r="N595" s="6"/>
      <c r="O595" s="6"/>
      <c r="P595" s="6"/>
      <c r="Q595" s="6"/>
      <c r="R595" s="6"/>
      <c r="S595" s="6"/>
      <c r="T595" s="6"/>
      <c r="U595" s="6"/>
      <c r="V595" s="6"/>
      <c r="W595" s="6"/>
    </row>
    <row r="596" spans="1:23" ht="16" x14ac:dyDescent="0.2">
      <c r="A596" s="6"/>
      <c r="B596" s="7"/>
      <c r="C596" s="7"/>
      <c r="D596" s="7"/>
      <c r="E596" s="7"/>
      <c r="F596" s="6"/>
      <c r="G596" s="6"/>
      <c r="H596" s="6"/>
      <c r="I596" s="6"/>
      <c r="J596" s="6"/>
      <c r="K596" s="6"/>
      <c r="L596" s="6"/>
      <c r="M596" s="6"/>
      <c r="N596" s="6"/>
      <c r="O596" s="6"/>
      <c r="P596" s="6"/>
      <c r="Q596" s="6"/>
      <c r="R596" s="6"/>
      <c r="S596" s="6"/>
      <c r="T596" s="6"/>
      <c r="U596" s="6"/>
      <c r="V596" s="6"/>
      <c r="W596" s="6"/>
    </row>
    <row r="597" spans="1:23" ht="16" x14ac:dyDescent="0.2">
      <c r="A597" s="6"/>
      <c r="B597" s="7"/>
      <c r="C597" s="7"/>
      <c r="D597" s="7"/>
      <c r="E597" s="7"/>
      <c r="F597" s="6"/>
      <c r="G597" s="6"/>
      <c r="H597" s="6"/>
      <c r="I597" s="6"/>
      <c r="J597" s="6"/>
      <c r="K597" s="6"/>
      <c r="L597" s="6"/>
      <c r="M597" s="6"/>
      <c r="N597" s="6"/>
      <c r="O597" s="6"/>
      <c r="P597" s="6"/>
      <c r="Q597" s="6"/>
      <c r="R597" s="6"/>
      <c r="S597" s="6"/>
      <c r="T597" s="6"/>
      <c r="U597" s="6"/>
      <c r="V597" s="6"/>
      <c r="W597" s="6"/>
    </row>
    <row r="598" spans="1:23" ht="16" x14ac:dyDescent="0.2">
      <c r="A598" s="6"/>
      <c r="B598" s="7"/>
      <c r="C598" s="7"/>
      <c r="D598" s="7"/>
      <c r="E598" s="7"/>
      <c r="F598" s="6"/>
      <c r="G598" s="6"/>
      <c r="H598" s="6"/>
      <c r="I598" s="6"/>
      <c r="J598" s="6"/>
      <c r="K598" s="6"/>
      <c r="L598" s="6"/>
      <c r="M598" s="6"/>
      <c r="N598" s="6"/>
      <c r="O598" s="6"/>
      <c r="P598" s="6"/>
      <c r="Q598" s="6"/>
      <c r="R598" s="6"/>
      <c r="S598" s="6"/>
      <c r="T598" s="6"/>
      <c r="U598" s="6"/>
      <c r="V598" s="6"/>
      <c r="W598" s="6"/>
    </row>
    <row r="599" spans="1:23" ht="16" x14ac:dyDescent="0.2">
      <c r="A599" s="6"/>
      <c r="B599" s="7"/>
      <c r="C599" s="7"/>
      <c r="D599" s="7"/>
      <c r="E599" s="7"/>
      <c r="F599" s="6"/>
      <c r="G599" s="6"/>
      <c r="H599" s="6"/>
      <c r="I599" s="6"/>
      <c r="J599" s="6"/>
      <c r="K599" s="6"/>
      <c r="L599" s="6"/>
      <c r="M599" s="6"/>
      <c r="N599" s="6"/>
      <c r="O599" s="6"/>
      <c r="P599" s="6"/>
      <c r="Q599" s="6"/>
      <c r="R599" s="6"/>
      <c r="S599" s="6"/>
      <c r="T599" s="6"/>
      <c r="U599" s="6"/>
      <c r="V599" s="6"/>
      <c r="W599" s="6"/>
    </row>
    <row r="600" spans="1:23" ht="16" x14ac:dyDescent="0.2">
      <c r="A600" s="6"/>
      <c r="B600" s="7"/>
      <c r="C600" s="7"/>
      <c r="D600" s="7"/>
      <c r="E600" s="7"/>
      <c r="F600" s="6"/>
      <c r="G600" s="6"/>
      <c r="H600" s="6"/>
      <c r="I600" s="6"/>
      <c r="J600" s="6"/>
      <c r="K600" s="6"/>
      <c r="L600" s="6"/>
      <c r="M600" s="6"/>
      <c r="N600" s="6"/>
      <c r="O600" s="6"/>
      <c r="P600" s="6"/>
      <c r="Q600" s="6"/>
      <c r="R600" s="6"/>
      <c r="S600" s="6"/>
      <c r="T600" s="6"/>
      <c r="U600" s="6"/>
      <c r="V600" s="6"/>
      <c r="W600" s="6"/>
    </row>
    <row r="601" spans="1:23" ht="16" x14ac:dyDescent="0.2">
      <c r="A601" s="6"/>
      <c r="B601" s="7"/>
      <c r="C601" s="7"/>
      <c r="D601" s="7"/>
      <c r="E601" s="7"/>
      <c r="F601" s="6"/>
      <c r="G601" s="6"/>
      <c r="H601" s="6"/>
      <c r="I601" s="6"/>
      <c r="J601" s="6"/>
      <c r="K601" s="6"/>
      <c r="L601" s="6"/>
      <c r="M601" s="6"/>
      <c r="N601" s="6"/>
      <c r="O601" s="6"/>
      <c r="P601" s="6"/>
      <c r="Q601" s="6"/>
      <c r="R601" s="6"/>
      <c r="S601" s="6"/>
      <c r="T601" s="6"/>
      <c r="U601" s="6"/>
      <c r="V601" s="6"/>
      <c r="W601" s="6"/>
    </row>
    <row r="602" spans="1:23" ht="16" x14ac:dyDescent="0.2">
      <c r="A602" s="6"/>
      <c r="B602" s="7"/>
      <c r="C602" s="7"/>
      <c r="D602" s="7"/>
      <c r="E602" s="7"/>
      <c r="F602" s="6"/>
      <c r="G602" s="6"/>
      <c r="H602" s="6"/>
      <c r="I602" s="6"/>
      <c r="J602" s="6"/>
      <c r="K602" s="6"/>
      <c r="L602" s="6"/>
      <c r="M602" s="6"/>
      <c r="N602" s="6"/>
      <c r="O602" s="6"/>
      <c r="P602" s="6"/>
      <c r="Q602" s="6"/>
      <c r="R602" s="6"/>
      <c r="S602" s="6"/>
      <c r="T602" s="6"/>
      <c r="U602" s="6"/>
      <c r="V602" s="6"/>
      <c r="W602" s="6"/>
    </row>
    <row r="603" spans="1:23" ht="16" x14ac:dyDescent="0.2">
      <c r="A603" s="6"/>
      <c r="B603" s="7"/>
      <c r="C603" s="7"/>
      <c r="D603" s="7"/>
      <c r="E603" s="7"/>
      <c r="F603" s="6"/>
      <c r="G603" s="6"/>
      <c r="H603" s="6"/>
      <c r="I603" s="6"/>
      <c r="J603" s="6"/>
      <c r="K603" s="6"/>
      <c r="L603" s="6"/>
      <c r="M603" s="6"/>
      <c r="N603" s="6"/>
      <c r="O603" s="6"/>
      <c r="P603" s="6"/>
      <c r="Q603" s="6"/>
      <c r="R603" s="6"/>
      <c r="S603" s="6"/>
      <c r="T603" s="6"/>
      <c r="U603" s="6"/>
      <c r="V603" s="6"/>
      <c r="W603" s="6"/>
    </row>
    <row r="604" spans="1:23" ht="16" x14ac:dyDescent="0.2">
      <c r="A604" s="6"/>
      <c r="B604" s="7"/>
      <c r="C604" s="7"/>
      <c r="D604" s="7"/>
      <c r="E604" s="7"/>
      <c r="F604" s="6"/>
      <c r="G604" s="6"/>
      <c r="H604" s="6"/>
      <c r="I604" s="6"/>
      <c r="J604" s="6"/>
      <c r="K604" s="6"/>
      <c r="L604" s="6"/>
      <c r="M604" s="6"/>
      <c r="N604" s="6"/>
      <c r="O604" s="6"/>
      <c r="P604" s="6"/>
      <c r="Q604" s="6"/>
      <c r="R604" s="6"/>
      <c r="S604" s="6"/>
      <c r="T604" s="6"/>
      <c r="U604" s="6"/>
      <c r="V604" s="6"/>
      <c r="W604" s="6"/>
    </row>
    <row r="605" spans="1:23" ht="16" x14ac:dyDescent="0.2">
      <c r="A605" s="6"/>
      <c r="B605" s="7"/>
      <c r="C605" s="7"/>
      <c r="D605" s="7"/>
      <c r="E605" s="7"/>
      <c r="F605" s="6"/>
      <c r="G605" s="6"/>
      <c r="H605" s="6"/>
      <c r="I605" s="6"/>
      <c r="J605" s="6"/>
      <c r="K605" s="6"/>
      <c r="L605" s="6"/>
      <c r="M605" s="6"/>
      <c r="N605" s="6"/>
      <c r="O605" s="6"/>
      <c r="P605" s="6"/>
      <c r="Q605" s="6"/>
      <c r="R605" s="6"/>
      <c r="S605" s="6"/>
      <c r="T605" s="6"/>
      <c r="U605" s="6"/>
      <c r="V605" s="6"/>
      <c r="W605" s="6"/>
    </row>
    <row r="606" spans="1:23" ht="16" x14ac:dyDescent="0.2">
      <c r="A606" s="6"/>
      <c r="B606" s="7"/>
      <c r="C606" s="7"/>
      <c r="D606" s="7"/>
      <c r="E606" s="7"/>
      <c r="F606" s="6"/>
      <c r="G606" s="6"/>
      <c r="H606" s="6"/>
      <c r="I606" s="6"/>
      <c r="J606" s="6"/>
      <c r="K606" s="6"/>
      <c r="L606" s="6"/>
      <c r="M606" s="6"/>
      <c r="N606" s="6"/>
      <c r="O606" s="6"/>
      <c r="P606" s="6"/>
      <c r="Q606" s="6"/>
      <c r="R606" s="6"/>
      <c r="S606" s="6"/>
      <c r="T606" s="6"/>
      <c r="U606" s="6"/>
      <c r="V606" s="6"/>
      <c r="W606" s="6"/>
    </row>
    <row r="607" spans="1:23" ht="16" x14ac:dyDescent="0.2">
      <c r="A607" s="6"/>
      <c r="B607" s="7"/>
      <c r="C607" s="7"/>
      <c r="D607" s="7"/>
      <c r="E607" s="7"/>
      <c r="F607" s="6"/>
      <c r="G607" s="6"/>
      <c r="H607" s="6"/>
      <c r="I607" s="6"/>
      <c r="J607" s="6"/>
      <c r="K607" s="6"/>
      <c r="L607" s="6"/>
      <c r="M607" s="6"/>
      <c r="N607" s="6"/>
      <c r="O607" s="6"/>
      <c r="P607" s="6"/>
      <c r="Q607" s="6"/>
      <c r="R607" s="6"/>
      <c r="S607" s="6"/>
      <c r="T607" s="6"/>
      <c r="U607" s="6"/>
      <c r="V607" s="6"/>
      <c r="W607" s="6"/>
    </row>
    <row r="608" spans="1:23" ht="16" x14ac:dyDescent="0.2">
      <c r="A608" s="6"/>
      <c r="B608" s="7"/>
      <c r="C608" s="7"/>
      <c r="D608" s="7"/>
      <c r="E608" s="7"/>
      <c r="F608" s="6"/>
      <c r="G608" s="6"/>
      <c r="H608" s="6"/>
      <c r="I608" s="6"/>
      <c r="J608" s="6"/>
      <c r="K608" s="6"/>
      <c r="L608" s="6"/>
      <c r="M608" s="6"/>
      <c r="N608" s="6"/>
      <c r="O608" s="6"/>
      <c r="P608" s="6"/>
      <c r="Q608" s="6"/>
      <c r="R608" s="6"/>
      <c r="S608" s="6"/>
      <c r="T608" s="6"/>
      <c r="U608" s="6"/>
      <c r="V608" s="6"/>
      <c r="W608" s="6"/>
    </row>
    <row r="609" spans="1:23" ht="16" x14ac:dyDescent="0.2">
      <c r="A609" s="6"/>
      <c r="B609" s="7"/>
      <c r="C609" s="7"/>
      <c r="D609" s="7"/>
      <c r="E609" s="7"/>
      <c r="F609" s="6"/>
      <c r="G609" s="6"/>
      <c r="H609" s="6"/>
      <c r="I609" s="6"/>
      <c r="J609" s="6"/>
      <c r="K609" s="6"/>
      <c r="L609" s="6"/>
      <c r="M609" s="6"/>
      <c r="N609" s="6"/>
      <c r="O609" s="6"/>
      <c r="P609" s="6"/>
      <c r="Q609" s="6"/>
      <c r="R609" s="6"/>
      <c r="S609" s="6"/>
      <c r="T609" s="6"/>
      <c r="U609" s="6"/>
      <c r="V609" s="6"/>
      <c r="W609" s="6"/>
    </row>
    <row r="610" spans="1:23" ht="16" x14ac:dyDescent="0.2">
      <c r="A610" s="6"/>
      <c r="B610" s="7"/>
      <c r="C610" s="7"/>
      <c r="D610" s="7"/>
      <c r="E610" s="7"/>
      <c r="F610" s="6"/>
      <c r="G610" s="6"/>
      <c r="H610" s="6"/>
      <c r="I610" s="6"/>
      <c r="J610" s="6"/>
      <c r="K610" s="6"/>
      <c r="L610" s="6"/>
      <c r="M610" s="6"/>
      <c r="N610" s="6"/>
      <c r="O610" s="6"/>
      <c r="P610" s="6"/>
      <c r="Q610" s="6"/>
      <c r="R610" s="6"/>
      <c r="S610" s="6"/>
      <c r="T610" s="6"/>
      <c r="U610" s="6"/>
      <c r="V610" s="6"/>
      <c r="W610" s="6"/>
    </row>
    <row r="611" spans="1:23" ht="16" x14ac:dyDescent="0.2">
      <c r="A611" s="6"/>
      <c r="B611" s="7"/>
      <c r="C611" s="7"/>
      <c r="D611" s="7"/>
      <c r="E611" s="7"/>
      <c r="F611" s="6"/>
      <c r="G611" s="6"/>
      <c r="H611" s="6"/>
      <c r="I611" s="6"/>
      <c r="J611" s="6"/>
      <c r="K611" s="6"/>
      <c r="L611" s="6"/>
      <c r="M611" s="6"/>
      <c r="N611" s="6"/>
      <c r="O611" s="6"/>
      <c r="P611" s="6"/>
      <c r="Q611" s="6"/>
      <c r="R611" s="6"/>
      <c r="S611" s="6"/>
      <c r="T611" s="6"/>
      <c r="U611" s="6"/>
      <c r="V611" s="6"/>
      <c r="W611" s="6"/>
    </row>
    <row r="612" spans="1:23" ht="16" x14ac:dyDescent="0.2">
      <c r="A612" s="6"/>
      <c r="B612" s="7"/>
      <c r="C612" s="7"/>
      <c r="D612" s="7"/>
      <c r="E612" s="7"/>
      <c r="F612" s="6"/>
      <c r="G612" s="6"/>
      <c r="H612" s="6"/>
      <c r="I612" s="6"/>
      <c r="J612" s="6"/>
      <c r="K612" s="6"/>
      <c r="L612" s="6"/>
      <c r="M612" s="6"/>
      <c r="N612" s="6"/>
      <c r="O612" s="6"/>
      <c r="P612" s="6"/>
      <c r="Q612" s="6"/>
      <c r="R612" s="6"/>
      <c r="S612" s="6"/>
      <c r="T612" s="6"/>
      <c r="U612" s="6"/>
      <c r="V612" s="6"/>
      <c r="W612" s="6"/>
    </row>
    <row r="613" spans="1:23" ht="16" x14ac:dyDescent="0.2">
      <c r="A613" s="6"/>
      <c r="B613" s="7"/>
      <c r="C613" s="7"/>
      <c r="D613" s="7"/>
      <c r="E613" s="7"/>
      <c r="F613" s="6"/>
      <c r="G613" s="6"/>
      <c r="H613" s="6"/>
      <c r="I613" s="6"/>
      <c r="J613" s="6"/>
      <c r="K613" s="6"/>
      <c r="L613" s="6"/>
      <c r="M613" s="6"/>
      <c r="N613" s="6"/>
      <c r="O613" s="6"/>
      <c r="P613" s="6"/>
      <c r="Q613" s="6"/>
      <c r="R613" s="6"/>
      <c r="S613" s="6"/>
      <c r="T613" s="6"/>
      <c r="U613" s="6"/>
      <c r="V613" s="6"/>
      <c r="W613" s="6"/>
    </row>
    <row r="614" spans="1:23" ht="16" x14ac:dyDescent="0.2">
      <c r="A614" s="6"/>
      <c r="B614" s="7"/>
      <c r="C614" s="7"/>
      <c r="D614" s="7"/>
      <c r="E614" s="7"/>
      <c r="F614" s="6"/>
      <c r="G614" s="6"/>
      <c r="H614" s="6"/>
      <c r="I614" s="6"/>
      <c r="J614" s="6"/>
      <c r="K614" s="6"/>
      <c r="L614" s="6"/>
      <c r="M614" s="6"/>
      <c r="N614" s="6"/>
      <c r="O614" s="6"/>
      <c r="P614" s="6"/>
      <c r="Q614" s="6"/>
      <c r="R614" s="6"/>
      <c r="S614" s="6"/>
      <c r="T614" s="6"/>
      <c r="U614" s="6"/>
      <c r="V614" s="6"/>
      <c r="W614" s="6"/>
    </row>
    <row r="615" spans="1:23" ht="16" x14ac:dyDescent="0.2">
      <c r="A615" s="6"/>
      <c r="B615" s="7"/>
      <c r="C615" s="7"/>
      <c r="D615" s="7"/>
      <c r="E615" s="7"/>
      <c r="F615" s="6"/>
      <c r="G615" s="6"/>
      <c r="H615" s="6"/>
      <c r="I615" s="6"/>
      <c r="J615" s="6"/>
      <c r="K615" s="6"/>
      <c r="L615" s="6"/>
      <c r="M615" s="6"/>
      <c r="N615" s="6"/>
      <c r="O615" s="6"/>
      <c r="P615" s="6"/>
      <c r="Q615" s="6"/>
      <c r="R615" s="6"/>
      <c r="S615" s="6"/>
      <c r="T615" s="6"/>
      <c r="U615" s="6"/>
      <c r="V615" s="6"/>
      <c r="W615" s="6"/>
    </row>
    <row r="616" spans="1:23" ht="16" x14ac:dyDescent="0.2">
      <c r="A616" s="6"/>
      <c r="B616" s="7"/>
      <c r="C616" s="7"/>
      <c r="D616" s="7"/>
      <c r="E616" s="7"/>
      <c r="F616" s="6"/>
      <c r="G616" s="6"/>
      <c r="H616" s="6"/>
      <c r="I616" s="6"/>
      <c r="J616" s="6"/>
      <c r="K616" s="6"/>
      <c r="L616" s="6"/>
      <c r="M616" s="6"/>
      <c r="N616" s="6"/>
      <c r="O616" s="6"/>
      <c r="P616" s="6"/>
      <c r="Q616" s="6"/>
      <c r="R616" s="6"/>
      <c r="S616" s="6"/>
      <c r="T616" s="6"/>
      <c r="U616" s="6"/>
      <c r="V616" s="6"/>
      <c r="W616" s="6"/>
    </row>
    <row r="617" spans="1:23" ht="16" x14ac:dyDescent="0.2">
      <c r="A617" s="6"/>
      <c r="B617" s="7"/>
      <c r="C617" s="7"/>
      <c r="D617" s="7"/>
      <c r="E617" s="7"/>
      <c r="F617" s="6"/>
      <c r="G617" s="6"/>
      <c r="H617" s="6"/>
      <c r="I617" s="6"/>
      <c r="J617" s="6"/>
      <c r="K617" s="6"/>
      <c r="L617" s="6"/>
      <c r="M617" s="6"/>
      <c r="N617" s="6"/>
      <c r="O617" s="6"/>
      <c r="P617" s="6"/>
      <c r="Q617" s="6"/>
      <c r="R617" s="6"/>
      <c r="S617" s="6"/>
      <c r="T617" s="6"/>
      <c r="U617" s="6"/>
      <c r="V617" s="6"/>
      <c r="W617" s="6"/>
    </row>
    <row r="618" spans="1:23" ht="16" x14ac:dyDescent="0.2">
      <c r="A618" s="6"/>
      <c r="B618" s="7"/>
      <c r="C618" s="7"/>
      <c r="D618" s="7"/>
      <c r="E618" s="7"/>
      <c r="F618" s="6"/>
      <c r="G618" s="6"/>
      <c r="H618" s="6"/>
      <c r="I618" s="6"/>
      <c r="J618" s="6"/>
      <c r="K618" s="6"/>
      <c r="L618" s="6"/>
      <c r="M618" s="6"/>
      <c r="N618" s="6"/>
      <c r="O618" s="6"/>
      <c r="P618" s="6"/>
      <c r="Q618" s="6"/>
      <c r="R618" s="6"/>
      <c r="S618" s="6"/>
      <c r="T618" s="6"/>
      <c r="U618" s="6"/>
      <c r="V618" s="6"/>
      <c r="W618" s="6"/>
    </row>
    <row r="619" spans="1:23" ht="16" x14ac:dyDescent="0.2">
      <c r="A619" s="6"/>
      <c r="B619" s="7"/>
      <c r="C619" s="7"/>
      <c r="D619" s="7"/>
      <c r="E619" s="7"/>
      <c r="F619" s="6"/>
      <c r="G619" s="6"/>
      <c r="H619" s="6"/>
      <c r="I619" s="6"/>
      <c r="J619" s="6"/>
      <c r="K619" s="6"/>
      <c r="L619" s="6"/>
      <c r="M619" s="6"/>
      <c r="N619" s="6"/>
      <c r="O619" s="6"/>
      <c r="P619" s="6"/>
      <c r="Q619" s="6"/>
      <c r="R619" s="6"/>
      <c r="S619" s="6"/>
      <c r="T619" s="6"/>
      <c r="U619" s="6"/>
      <c r="V619" s="6"/>
      <c r="W619" s="6"/>
    </row>
    <row r="620" spans="1:23" ht="16" x14ac:dyDescent="0.2">
      <c r="A620" s="6"/>
      <c r="B620" s="7"/>
      <c r="C620" s="7"/>
      <c r="D620" s="7"/>
      <c r="E620" s="7"/>
      <c r="F620" s="6"/>
      <c r="G620" s="6"/>
      <c r="H620" s="6"/>
      <c r="I620" s="6"/>
      <c r="J620" s="6"/>
      <c r="K620" s="6"/>
      <c r="L620" s="6"/>
      <c r="M620" s="6"/>
      <c r="N620" s="6"/>
      <c r="O620" s="6"/>
      <c r="P620" s="6"/>
      <c r="Q620" s="6"/>
      <c r="R620" s="6"/>
      <c r="S620" s="6"/>
      <c r="T620" s="6"/>
      <c r="U620" s="6"/>
      <c r="V620" s="6"/>
      <c r="W620" s="6"/>
    </row>
    <row r="621" spans="1:23" ht="16" x14ac:dyDescent="0.2">
      <c r="A621" s="6"/>
      <c r="B621" s="7"/>
      <c r="C621" s="7"/>
      <c r="D621" s="7"/>
      <c r="E621" s="7"/>
      <c r="F621" s="6"/>
      <c r="G621" s="6"/>
      <c r="H621" s="6"/>
      <c r="I621" s="6"/>
      <c r="J621" s="6"/>
      <c r="K621" s="6"/>
      <c r="L621" s="6"/>
      <c r="M621" s="6"/>
      <c r="N621" s="6"/>
      <c r="O621" s="6"/>
      <c r="P621" s="6"/>
      <c r="Q621" s="6"/>
      <c r="R621" s="6"/>
      <c r="S621" s="6"/>
      <c r="T621" s="6"/>
      <c r="U621" s="6"/>
      <c r="V621" s="6"/>
      <c r="W621" s="6"/>
    </row>
    <row r="622" spans="1:23" ht="16" x14ac:dyDescent="0.2">
      <c r="A622" s="6"/>
      <c r="B622" s="7"/>
      <c r="C622" s="7"/>
      <c r="D622" s="7"/>
      <c r="E622" s="7"/>
      <c r="F622" s="6"/>
      <c r="G622" s="6"/>
      <c r="H622" s="6"/>
      <c r="I622" s="6"/>
      <c r="J622" s="6"/>
      <c r="K622" s="6"/>
      <c r="L622" s="6"/>
      <c r="M622" s="6"/>
      <c r="N622" s="6"/>
      <c r="O622" s="6"/>
      <c r="P622" s="6"/>
      <c r="Q622" s="6"/>
      <c r="R622" s="6"/>
      <c r="S622" s="6"/>
      <c r="T622" s="6"/>
      <c r="U622" s="6"/>
      <c r="V622" s="6"/>
      <c r="W622" s="6"/>
    </row>
    <row r="623" spans="1:23" ht="16" x14ac:dyDescent="0.2">
      <c r="A623" s="6"/>
      <c r="B623" s="7"/>
      <c r="C623" s="7"/>
      <c r="D623" s="7"/>
      <c r="E623" s="7"/>
      <c r="F623" s="6"/>
      <c r="G623" s="6"/>
      <c r="H623" s="6"/>
      <c r="I623" s="6"/>
      <c r="J623" s="6"/>
      <c r="K623" s="6"/>
      <c r="L623" s="6"/>
      <c r="M623" s="6"/>
      <c r="N623" s="6"/>
      <c r="O623" s="6"/>
      <c r="P623" s="6"/>
      <c r="Q623" s="6"/>
      <c r="R623" s="6"/>
      <c r="S623" s="6"/>
      <c r="T623" s="6"/>
      <c r="U623" s="6"/>
      <c r="V623" s="6"/>
      <c r="W623" s="6"/>
    </row>
    <row r="624" spans="1:23" ht="16" x14ac:dyDescent="0.2">
      <c r="A624" s="6"/>
      <c r="B624" s="7"/>
      <c r="C624" s="7"/>
      <c r="D624" s="7"/>
      <c r="E624" s="7"/>
      <c r="F624" s="6"/>
      <c r="G624" s="6"/>
      <c r="H624" s="6"/>
      <c r="I624" s="6"/>
      <c r="J624" s="6"/>
      <c r="K624" s="6"/>
      <c r="L624" s="6"/>
      <c r="M624" s="6"/>
      <c r="N624" s="6"/>
      <c r="O624" s="6"/>
      <c r="P624" s="6"/>
      <c r="Q624" s="6"/>
      <c r="R624" s="6"/>
      <c r="S624" s="6"/>
      <c r="T624" s="6"/>
      <c r="U624" s="6"/>
      <c r="V624" s="6"/>
      <c r="W624" s="6"/>
    </row>
    <row r="625" spans="1:23" ht="16" x14ac:dyDescent="0.2">
      <c r="A625" s="6"/>
      <c r="B625" s="7"/>
      <c r="C625" s="7"/>
      <c r="D625" s="7"/>
      <c r="E625" s="7"/>
      <c r="F625" s="6"/>
      <c r="G625" s="6"/>
      <c r="H625" s="6"/>
      <c r="I625" s="6"/>
      <c r="J625" s="6"/>
      <c r="K625" s="6"/>
      <c r="L625" s="6"/>
      <c r="M625" s="6"/>
      <c r="N625" s="6"/>
      <c r="O625" s="6"/>
      <c r="P625" s="6"/>
      <c r="Q625" s="6"/>
      <c r="R625" s="6"/>
      <c r="S625" s="6"/>
      <c r="T625" s="6"/>
      <c r="U625" s="6"/>
      <c r="V625" s="6"/>
      <c r="W625" s="6"/>
    </row>
    <row r="626" spans="1:23" ht="16" x14ac:dyDescent="0.2">
      <c r="A626" s="6"/>
      <c r="B626" s="7"/>
      <c r="C626" s="7"/>
      <c r="D626" s="7"/>
      <c r="E626" s="7"/>
      <c r="F626" s="6"/>
      <c r="G626" s="6"/>
      <c r="H626" s="6"/>
      <c r="I626" s="6"/>
      <c r="J626" s="6"/>
      <c r="K626" s="6"/>
      <c r="L626" s="6"/>
      <c r="M626" s="6"/>
      <c r="N626" s="6"/>
      <c r="O626" s="6"/>
      <c r="P626" s="6"/>
      <c r="Q626" s="6"/>
      <c r="R626" s="6"/>
      <c r="S626" s="6"/>
      <c r="T626" s="6"/>
      <c r="U626" s="6"/>
      <c r="V626" s="6"/>
      <c r="W626" s="6"/>
    </row>
    <row r="627" spans="1:23" ht="16" x14ac:dyDescent="0.2">
      <c r="A627" s="6"/>
      <c r="B627" s="7"/>
      <c r="C627" s="7"/>
      <c r="D627" s="7"/>
      <c r="E627" s="7"/>
      <c r="F627" s="6"/>
      <c r="G627" s="6"/>
      <c r="H627" s="6"/>
      <c r="I627" s="6"/>
      <c r="J627" s="6"/>
      <c r="K627" s="6"/>
      <c r="L627" s="6"/>
      <c r="M627" s="6"/>
      <c r="N627" s="6"/>
      <c r="O627" s="6"/>
      <c r="P627" s="6"/>
      <c r="Q627" s="6"/>
      <c r="R627" s="6"/>
      <c r="S627" s="6"/>
      <c r="T627" s="6"/>
      <c r="U627" s="6"/>
      <c r="V627" s="6"/>
      <c r="W627" s="6"/>
    </row>
    <row r="628" spans="1:23" ht="16" x14ac:dyDescent="0.2">
      <c r="A628" s="6"/>
      <c r="B628" s="7"/>
      <c r="C628" s="7"/>
      <c r="D628" s="7"/>
      <c r="E628" s="7"/>
      <c r="F628" s="6"/>
      <c r="G628" s="6"/>
      <c r="H628" s="6"/>
      <c r="I628" s="6"/>
      <c r="J628" s="6"/>
      <c r="K628" s="6"/>
      <c r="L628" s="6"/>
      <c r="M628" s="6"/>
      <c r="N628" s="6"/>
      <c r="O628" s="6"/>
      <c r="P628" s="6"/>
      <c r="Q628" s="6"/>
      <c r="R628" s="6"/>
      <c r="S628" s="6"/>
      <c r="T628" s="6"/>
      <c r="U628" s="6"/>
      <c r="V628" s="6"/>
      <c r="W628" s="6"/>
    </row>
    <row r="629" spans="1:23" ht="16" x14ac:dyDescent="0.2">
      <c r="A629" s="6"/>
      <c r="B629" s="7"/>
      <c r="C629" s="7"/>
      <c r="D629" s="7"/>
      <c r="E629" s="7"/>
      <c r="F629" s="6"/>
      <c r="G629" s="6"/>
      <c r="H629" s="6"/>
      <c r="I629" s="6"/>
      <c r="J629" s="6"/>
      <c r="K629" s="6"/>
      <c r="L629" s="6"/>
      <c r="M629" s="6"/>
      <c r="N629" s="6"/>
      <c r="O629" s="6"/>
      <c r="P629" s="6"/>
      <c r="Q629" s="6"/>
      <c r="R629" s="6"/>
      <c r="S629" s="6"/>
      <c r="T629" s="6"/>
      <c r="U629" s="6"/>
      <c r="V629" s="6"/>
      <c r="W629" s="6"/>
    </row>
    <row r="630" spans="1:23" ht="16" x14ac:dyDescent="0.2">
      <c r="A630" s="6"/>
      <c r="B630" s="7"/>
      <c r="C630" s="7"/>
      <c r="D630" s="7"/>
      <c r="E630" s="7"/>
      <c r="F630" s="6"/>
      <c r="G630" s="6"/>
      <c r="H630" s="6"/>
      <c r="I630" s="6"/>
      <c r="J630" s="6"/>
      <c r="K630" s="6"/>
      <c r="L630" s="6"/>
      <c r="M630" s="6"/>
      <c r="N630" s="6"/>
      <c r="O630" s="6"/>
      <c r="P630" s="6"/>
      <c r="Q630" s="6"/>
      <c r="R630" s="6"/>
      <c r="S630" s="6"/>
      <c r="T630" s="6"/>
      <c r="U630" s="6"/>
      <c r="V630" s="6"/>
      <c r="W630" s="6"/>
    </row>
    <row r="631" spans="1:23" ht="16" x14ac:dyDescent="0.2">
      <c r="A631" s="6"/>
      <c r="B631" s="7"/>
      <c r="C631" s="7"/>
      <c r="D631" s="7"/>
      <c r="E631" s="7"/>
      <c r="F631" s="6"/>
      <c r="G631" s="6"/>
      <c r="H631" s="6"/>
      <c r="I631" s="6"/>
      <c r="J631" s="6"/>
      <c r="K631" s="6"/>
      <c r="L631" s="6"/>
      <c r="M631" s="6"/>
      <c r="N631" s="6"/>
      <c r="O631" s="6"/>
      <c r="P631" s="6"/>
      <c r="Q631" s="6"/>
      <c r="R631" s="6"/>
      <c r="S631" s="6"/>
      <c r="T631" s="6"/>
      <c r="U631" s="6"/>
      <c r="V631" s="6"/>
      <c r="W631" s="6"/>
    </row>
    <row r="632" spans="1:23" ht="16" x14ac:dyDescent="0.2">
      <c r="A632" s="6"/>
      <c r="B632" s="7"/>
      <c r="C632" s="7"/>
      <c r="D632" s="7"/>
      <c r="E632" s="7"/>
      <c r="F632" s="6"/>
      <c r="G632" s="6"/>
      <c r="H632" s="6"/>
      <c r="I632" s="6"/>
      <c r="J632" s="6"/>
      <c r="K632" s="6"/>
      <c r="L632" s="6"/>
      <c r="M632" s="6"/>
      <c r="N632" s="6"/>
      <c r="O632" s="6"/>
      <c r="P632" s="6"/>
      <c r="Q632" s="6"/>
      <c r="R632" s="6"/>
      <c r="S632" s="6"/>
      <c r="T632" s="6"/>
      <c r="U632" s="6"/>
      <c r="V632" s="6"/>
      <c r="W632" s="6"/>
    </row>
    <row r="633" spans="1:23" ht="16" x14ac:dyDescent="0.2">
      <c r="A633" s="6"/>
      <c r="B633" s="7"/>
      <c r="C633" s="7"/>
      <c r="D633" s="7"/>
      <c r="E633" s="7"/>
      <c r="F633" s="6"/>
      <c r="G633" s="6"/>
      <c r="H633" s="6"/>
      <c r="I633" s="6"/>
      <c r="J633" s="6"/>
      <c r="K633" s="6"/>
      <c r="L633" s="6"/>
      <c r="M633" s="6"/>
      <c r="N633" s="6"/>
      <c r="O633" s="6"/>
      <c r="P633" s="6"/>
      <c r="Q633" s="6"/>
      <c r="R633" s="6"/>
      <c r="S633" s="6"/>
      <c r="T633" s="6"/>
      <c r="U633" s="6"/>
      <c r="V633" s="6"/>
      <c r="W633" s="6"/>
    </row>
    <row r="634" spans="1:23" ht="16" x14ac:dyDescent="0.2">
      <c r="A634" s="6"/>
      <c r="B634" s="7"/>
      <c r="C634" s="7"/>
      <c r="D634" s="7"/>
      <c r="E634" s="7"/>
      <c r="F634" s="6"/>
      <c r="G634" s="6"/>
      <c r="H634" s="6"/>
      <c r="I634" s="6"/>
      <c r="J634" s="6"/>
      <c r="K634" s="6"/>
      <c r="L634" s="6"/>
      <c r="M634" s="6"/>
      <c r="N634" s="6"/>
      <c r="O634" s="6"/>
      <c r="P634" s="6"/>
      <c r="Q634" s="6"/>
      <c r="R634" s="6"/>
      <c r="S634" s="6"/>
      <c r="T634" s="6"/>
      <c r="U634" s="6"/>
      <c r="V634" s="6"/>
      <c r="W634" s="6"/>
    </row>
    <row r="635" spans="1:23" ht="16" x14ac:dyDescent="0.2">
      <c r="A635" s="6"/>
      <c r="B635" s="7"/>
      <c r="C635" s="7"/>
      <c r="D635" s="7"/>
      <c r="E635" s="7"/>
      <c r="F635" s="6"/>
      <c r="G635" s="6"/>
      <c r="H635" s="6"/>
      <c r="I635" s="6"/>
      <c r="J635" s="6"/>
      <c r="K635" s="6"/>
      <c r="L635" s="6"/>
      <c r="M635" s="6"/>
      <c r="N635" s="6"/>
      <c r="O635" s="6"/>
      <c r="P635" s="6"/>
      <c r="Q635" s="6"/>
      <c r="R635" s="6"/>
      <c r="S635" s="6"/>
      <c r="T635" s="6"/>
      <c r="U635" s="6"/>
      <c r="V635" s="6"/>
      <c r="W635" s="6"/>
    </row>
    <row r="636" spans="1:23" ht="16" x14ac:dyDescent="0.2">
      <c r="A636" s="6"/>
      <c r="B636" s="7"/>
      <c r="C636" s="7"/>
      <c r="D636" s="7"/>
      <c r="E636" s="7"/>
      <c r="F636" s="6"/>
      <c r="G636" s="6"/>
      <c r="H636" s="6"/>
      <c r="I636" s="6"/>
      <c r="J636" s="6"/>
      <c r="K636" s="6"/>
      <c r="L636" s="6"/>
      <c r="M636" s="6"/>
      <c r="N636" s="6"/>
      <c r="O636" s="6"/>
      <c r="P636" s="6"/>
      <c r="Q636" s="6"/>
      <c r="R636" s="6"/>
      <c r="S636" s="6"/>
      <c r="T636" s="6"/>
      <c r="U636" s="6"/>
      <c r="V636" s="6"/>
      <c r="W636" s="6"/>
    </row>
    <row r="637" spans="1:23" ht="16" x14ac:dyDescent="0.2">
      <c r="A637" s="6"/>
      <c r="B637" s="7"/>
      <c r="C637" s="7"/>
      <c r="D637" s="7"/>
      <c r="E637" s="7"/>
      <c r="F637" s="6"/>
      <c r="G637" s="6"/>
      <c r="H637" s="6"/>
      <c r="I637" s="6"/>
      <c r="J637" s="6"/>
      <c r="K637" s="6"/>
      <c r="L637" s="6"/>
      <c r="M637" s="6"/>
      <c r="N637" s="6"/>
      <c r="O637" s="6"/>
      <c r="P637" s="6"/>
      <c r="Q637" s="6"/>
      <c r="R637" s="6"/>
      <c r="S637" s="6"/>
      <c r="T637" s="6"/>
      <c r="U637" s="6"/>
      <c r="V637" s="6"/>
      <c r="W637" s="6"/>
    </row>
    <row r="638" spans="1:23" ht="16" x14ac:dyDescent="0.2">
      <c r="A638" s="6"/>
      <c r="B638" s="7"/>
      <c r="C638" s="7"/>
      <c r="D638" s="7"/>
      <c r="E638" s="7"/>
      <c r="F638" s="6"/>
      <c r="G638" s="6"/>
      <c r="H638" s="6"/>
      <c r="I638" s="6"/>
      <c r="J638" s="6"/>
      <c r="K638" s="6"/>
      <c r="L638" s="6"/>
      <c r="M638" s="6"/>
      <c r="N638" s="6"/>
      <c r="O638" s="6"/>
      <c r="P638" s="6"/>
      <c r="Q638" s="6"/>
      <c r="R638" s="6"/>
      <c r="S638" s="6"/>
      <c r="T638" s="6"/>
      <c r="U638" s="6"/>
      <c r="V638" s="6"/>
      <c r="W638" s="6"/>
    </row>
    <row r="639" spans="1:23" ht="16" x14ac:dyDescent="0.2">
      <c r="A639" s="6"/>
      <c r="B639" s="7"/>
      <c r="C639" s="7"/>
      <c r="D639" s="7"/>
      <c r="E639" s="7"/>
      <c r="F639" s="6"/>
      <c r="G639" s="6"/>
      <c r="H639" s="6"/>
      <c r="I639" s="6"/>
      <c r="J639" s="6"/>
      <c r="K639" s="6"/>
      <c r="L639" s="6"/>
      <c r="M639" s="6"/>
      <c r="N639" s="6"/>
      <c r="O639" s="6"/>
      <c r="P639" s="6"/>
      <c r="Q639" s="6"/>
      <c r="R639" s="6"/>
      <c r="S639" s="6"/>
      <c r="T639" s="6"/>
      <c r="U639" s="6"/>
      <c r="V639" s="6"/>
      <c r="W639" s="6"/>
    </row>
    <row r="640" spans="1:23" ht="16" x14ac:dyDescent="0.2">
      <c r="A640" s="6"/>
      <c r="B640" s="7"/>
      <c r="C640" s="7"/>
      <c r="D640" s="7"/>
      <c r="E640" s="7"/>
      <c r="F640" s="6"/>
      <c r="G640" s="6"/>
      <c r="H640" s="6"/>
      <c r="I640" s="6"/>
      <c r="J640" s="6"/>
      <c r="K640" s="6"/>
      <c r="L640" s="6"/>
      <c r="M640" s="6"/>
      <c r="N640" s="6"/>
      <c r="O640" s="6"/>
      <c r="P640" s="6"/>
      <c r="Q640" s="6"/>
      <c r="R640" s="6"/>
      <c r="S640" s="6"/>
      <c r="T640" s="6"/>
      <c r="U640" s="6"/>
      <c r="V640" s="6"/>
      <c r="W640" s="6"/>
    </row>
    <row r="641" spans="1:23" ht="16" x14ac:dyDescent="0.2">
      <c r="A641" s="6"/>
      <c r="B641" s="7"/>
      <c r="C641" s="7"/>
      <c r="D641" s="7"/>
      <c r="E641" s="7"/>
      <c r="F641" s="6"/>
      <c r="G641" s="6"/>
      <c r="H641" s="6"/>
      <c r="I641" s="6"/>
      <c r="J641" s="6"/>
      <c r="K641" s="6"/>
      <c r="L641" s="6"/>
      <c r="M641" s="6"/>
      <c r="N641" s="6"/>
      <c r="O641" s="6"/>
      <c r="P641" s="6"/>
      <c r="Q641" s="6"/>
      <c r="R641" s="6"/>
      <c r="S641" s="6"/>
      <c r="T641" s="6"/>
      <c r="U641" s="6"/>
      <c r="V641" s="6"/>
      <c r="W641" s="6"/>
    </row>
    <row r="642" spans="1:23" ht="16" x14ac:dyDescent="0.2">
      <c r="A642" s="6"/>
      <c r="B642" s="7"/>
      <c r="C642" s="7"/>
      <c r="D642" s="7"/>
      <c r="E642" s="7"/>
      <c r="F642" s="6"/>
      <c r="G642" s="6"/>
      <c r="H642" s="6"/>
      <c r="I642" s="6"/>
      <c r="J642" s="6"/>
      <c r="K642" s="6"/>
      <c r="L642" s="6"/>
      <c r="M642" s="6"/>
      <c r="N642" s="6"/>
      <c r="O642" s="6"/>
      <c r="P642" s="6"/>
      <c r="Q642" s="6"/>
      <c r="R642" s="6"/>
      <c r="S642" s="6"/>
      <c r="T642" s="6"/>
      <c r="U642" s="6"/>
      <c r="V642" s="6"/>
      <c r="W642" s="6"/>
    </row>
    <row r="643" spans="1:23" ht="16" x14ac:dyDescent="0.2">
      <c r="A643" s="6"/>
      <c r="B643" s="7"/>
      <c r="C643" s="7"/>
      <c r="D643" s="7"/>
      <c r="E643" s="7"/>
      <c r="F643" s="6"/>
      <c r="G643" s="6"/>
      <c r="H643" s="6"/>
      <c r="I643" s="6"/>
      <c r="J643" s="6"/>
      <c r="K643" s="6"/>
      <c r="L643" s="6"/>
      <c r="M643" s="6"/>
      <c r="N643" s="6"/>
      <c r="O643" s="6"/>
      <c r="P643" s="6"/>
      <c r="Q643" s="6"/>
      <c r="R643" s="6"/>
      <c r="S643" s="6"/>
      <c r="T643" s="6"/>
      <c r="U643" s="6"/>
      <c r="V643" s="6"/>
      <c r="W643" s="6"/>
    </row>
    <row r="644" spans="1:23" ht="16" x14ac:dyDescent="0.2">
      <c r="A644" s="6"/>
      <c r="B644" s="7"/>
      <c r="C644" s="7"/>
      <c r="D644" s="7"/>
      <c r="E644" s="7"/>
      <c r="F644" s="6"/>
      <c r="G644" s="6"/>
      <c r="H644" s="6"/>
      <c r="I644" s="6"/>
      <c r="J644" s="6"/>
      <c r="K644" s="6"/>
      <c r="L644" s="6"/>
      <c r="M644" s="6"/>
      <c r="N644" s="6"/>
      <c r="O644" s="6"/>
      <c r="P644" s="6"/>
      <c r="Q644" s="6"/>
      <c r="R644" s="6"/>
      <c r="S644" s="6"/>
      <c r="T644" s="6"/>
      <c r="U644" s="6"/>
      <c r="V644" s="6"/>
      <c r="W644" s="6"/>
    </row>
    <row r="645" spans="1:23" ht="16" x14ac:dyDescent="0.2">
      <c r="A645" s="6"/>
      <c r="B645" s="7"/>
      <c r="C645" s="7"/>
      <c r="D645" s="7"/>
      <c r="E645" s="7"/>
      <c r="F645" s="6"/>
      <c r="G645" s="6"/>
      <c r="H645" s="6"/>
      <c r="I645" s="6"/>
      <c r="J645" s="6"/>
      <c r="K645" s="6"/>
      <c r="L645" s="6"/>
      <c r="M645" s="6"/>
      <c r="N645" s="6"/>
      <c r="O645" s="6"/>
      <c r="P645" s="6"/>
      <c r="Q645" s="6"/>
      <c r="R645" s="6"/>
      <c r="S645" s="6"/>
      <c r="T645" s="6"/>
      <c r="U645" s="6"/>
      <c r="V645" s="6"/>
      <c r="W645" s="6"/>
    </row>
    <row r="646" spans="1:23" ht="16" x14ac:dyDescent="0.2">
      <c r="A646" s="6"/>
      <c r="B646" s="7"/>
      <c r="C646" s="7"/>
      <c r="D646" s="7"/>
      <c r="E646" s="7"/>
      <c r="F646" s="6"/>
      <c r="G646" s="6"/>
      <c r="H646" s="6"/>
      <c r="I646" s="6"/>
      <c r="J646" s="6"/>
      <c r="K646" s="6"/>
      <c r="L646" s="6"/>
      <c r="M646" s="6"/>
      <c r="N646" s="6"/>
      <c r="O646" s="6"/>
      <c r="P646" s="6"/>
      <c r="Q646" s="6"/>
      <c r="R646" s="6"/>
      <c r="S646" s="6"/>
      <c r="T646" s="6"/>
      <c r="U646" s="6"/>
      <c r="V646" s="6"/>
      <c r="W646" s="6"/>
    </row>
    <row r="647" spans="1:23" ht="16" x14ac:dyDescent="0.2">
      <c r="A647" s="6"/>
      <c r="B647" s="7"/>
      <c r="C647" s="7"/>
      <c r="D647" s="7"/>
      <c r="E647" s="7"/>
      <c r="F647" s="6"/>
      <c r="G647" s="6"/>
      <c r="H647" s="6"/>
      <c r="I647" s="6"/>
      <c r="J647" s="6"/>
      <c r="K647" s="6"/>
      <c r="L647" s="6"/>
      <c r="M647" s="6"/>
      <c r="N647" s="6"/>
      <c r="O647" s="6"/>
      <c r="P647" s="6"/>
      <c r="Q647" s="6"/>
      <c r="R647" s="6"/>
      <c r="S647" s="6"/>
      <c r="T647" s="6"/>
      <c r="U647" s="6"/>
      <c r="V647" s="6"/>
      <c r="W647" s="6"/>
    </row>
    <row r="648" spans="1:23" ht="16" x14ac:dyDescent="0.2">
      <c r="A648" s="6"/>
      <c r="B648" s="7"/>
      <c r="C648" s="7"/>
      <c r="D648" s="7"/>
      <c r="E648" s="7"/>
      <c r="F648" s="6"/>
      <c r="G648" s="6"/>
      <c r="H648" s="6"/>
      <c r="I648" s="6"/>
      <c r="J648" s="6"/>
      <c r="K648" s="6"/>
      <c r="L648" s="6"/>
      <c r="M648" s="6"/>
      <c r="N648" s="6"/>
      <c r="O648" s="6"/>
      <c r="P648" s="6"/>
      <c r="Q648" s="6"/>
      <c r="R648" s="6"/>
      <c r="S648" s="6"/>
      <c r="T648" s="6"/>
      <c r="U648" s="6"/>
      <c r="V648" s="6"/>
      <c r="W648" s="6"/>
    </row>
    <row r="649" spans="1:23" ht="16" x14ac:dyDescent="0.2">
      <c r="A649" s="6"/>
      <c r="B649" s="7"/>
      <c r="C649" s="7"/>
      <c r="D649" s="7"/>
      <c r="E649" s="7"/>
      <c r="F649" s="6"/>
      <c r="G649" s="6"/>
      <c r="H649" s="6"/>
      <c r="I649" s="6"/>
      <c r="J649" s="6"/>
      <c r="K649" s="6"/>
      <c r="L649" s="6"/>
      <c r="M649" s="6"/>
      <c r="N649" s="6"/>
      <c r="O649" s="6"/>
      <c r="P649" s="6"/>
      <c r="Q649" s="6"/>
      <c r="R649" s="6"/>
      <c r="S649" s="6"/>
      <c r="T649" s="6"/>
      <c r="U649" s="6"/>
      <c r="V649" s="6"/>
      <c r="W649" s="6"/>
    </row>
    <row r="650" spans="1:23" ht="16" x14ac:dyDescent="0.2">
      <c r="A650" s="6"/>
      <c r="B650" s="7"/>
      <c r="C650" s="7"/>
      <c r="D650" s="7"/>
      <c r="E650" s="7"/>
      <c r="F650" s="6"/>
      <c r="G650" s="6"/>
      <c r="H650" s="6"/>
      <c r="I650" s="6"/>
      <c r="J650" s="6"/>
      <c r="K650" s="6"/>
      <c r="L650" s="6"/>
      <c r="M650" s="6"/>
      <c r="N650" s="6"/>
      <c r="O650" s="6"/>
      <c r="P650" s="6"/>
      <c r="Q650" s="6"/>
      <c r="R650" s="6"/>
      <c r="S650" s="6"/>
      <c r="T650" s="6"/>
      <c r="U650" s="6"/>
      <c r="V650" s="6"/>
      <c r="W650" s="6"/>
    </row>
    <row r="651" spans="1:23" ht="16" x14ac:dyDescent="0.2">
      <c r="A651" s="6"/>
      <c r="B651" s="7"/>
      <c r="C651" s="7"/>
      <c r="D651" s="7"/>
      <c r="E651" s="7"/>
      <c r="F651" s="6"/>
      <c r="G651" s="6"/>
      <c r="H651" s="6"/>
      <c r="I651" s="6"/>
      <c r="J651" s="6"/>
      <c r="K651" s="6"/>
      <c r="L651" s="6"/>
      <c r="M651" s="6"/>
      <c r="N651" s="6"/>
      <c r="O651" s="6"/>
      <c r="P651" s="6"/>
      <c r="Q651" s="6"/>
      <c r="R651" s="6"/>
      <c r="S651" s="6"/>
      <c r="T651" s="6"/>
      <c r="U651" s="6"/>
      <c r="V651" s="6"/>
      <c r="W651" s="6"/>
    </row>
    <row r="652" spans="1:23" ht="16" x14ac:dyDescent="0.2">
      <c r="A652" s="6"/>
      <c r="B652" s="7"/>
      <c r="C652" s="7"/>
      <c r="D652" s="7"/>
      <c r="E652" s="7"/>
      <c r="F652" s="6"/>
      <c r="G652" s="6"/>
      <c r="H652" s="6"/>
      <c r="I652" s="6"/>
      <c r="J652" s="6"/>
      <c r="K652" s="6"/>
      <c r="L652" s="6"/>
      <c r="M652" s="6"/>
      <c r="N652" s="6"/>
      <c r="O652" s="6"/>
      <c r="P652" s="6"/>
      <c r="Q652" s="6"/>
      <c r="R652" s="6"/>
      <c r="S652" s="6"/>
      <c r="T652" s="6"/>
      <c r="U652" s="6"/>
      <c r="V652" s="6"/>
      <c r="W652" s="6"/>
    </row>
    <row r="653" spans="1:23" ht="16" x14ac:dyDescent="0.2">
      <c r="A653" s="6"/>
      <c r="B653" s="7"/>
      <c r="C653" s="7"/>
      <c r="D653" s="7"/>
      <c r="E653" s="7"/>
      <c r="F653" s="6"/>
      <c r="G653" s="6"/>
      <c r="H653" s="6"/>
      <c r="I653" s="6"/>
      <c r="J653" s="6"/>
      <c r="K653" s="6"/>
      <c r="L653" s="6"/>
      <c r="M653" s="6"/>
      <c r="N653" s="6"/>
      <c r="O653" s="6"/>
      <c r="P653" s="6"/>
      <c r="Q653" s="6"/>
      <c r="R653" s="6"/>
      <c r="S653" s="6"/>
      <c r="T653" s="6"/>
      <c r="U653" s="6"/>
      <c r="V653" s="6"/>
      <c r="W653" s="6"/>
    </row>
    <row r="654" spans="1:23" ht="16" x14ac:dyDescent="0.2">
      <c r="A654" s="6"/>
      <c r="B654" s="7"/>
      <c r="C654" s="7"/>
      <c r="D654" s="7"/>
      <c r="E654" s="7"/>
      <c r="F654" s="6"/>
      <c r="G654" s="6"/>
      <c r="H654" s="6"/>
      <c r="I654" s="6"/>
      <c r="J654" s="6"/>
      <c r="K654" s="6"/>
      <c r="L654" s="6"/>
      <c r="M654" s="6"/>
      <c r="N654" s="6"/>
      <c r="O654" s="6"/>
      <c r="P654" s="6"/>
      <c r="Q654" s="6"/>
      <c r="R654" s="6"/>
      <c r="S654" s="6"/>
      <c r="T654" s="6"/>
      <c r="U654" s="6"/>
      <c r="V654" s="6"/>
      <c r="W654" s="6"/>
    </row>
    <row r="655" spans="1:23" ht="16" x14ac:dyDescent="0.2">
      <c r="A655" s="6"/>
      <c r="B655" s="7"/>
      <c r="C655" s="7"/>
      <c r="D655" s="7"/>
      <c r="E655" s="7"/>
      <c r="F655" s="6"/>
      <c r="G655" s="6"/>
      <c r="H655" s="6"/>
      <c r="I655" s="6"/>
      <c r="J655" s="6"/>
      <c r="K655" s="6"/>
      <c r="L655" s="6"/>
      <c r="M655" s="6"/>
      <c r="N655" s="6"/>
      <c r="O655" s="6"/>
      <c r="P655" s="6"/>
      <c r="Q655" s="6"/>
      <c r="R655" s="6"/>
      <c r="S655" s="6"/>
      <c r="T655" s="6"/>
      <c r="U655" s="6"/>
      <c r="V655" s="6"/>
      <c r="W655" s="6"/>
    </row>
    <row r="656" spans="1:23" ht="16" x14ac:dyDescent="0.2">
      <c r="A656" s="6"/>
      <c r="B656" s="7"/>
      <c r="C656" s="7"/>
      <c r="D656" s="7"/>
      <c r="E656" s="7"/>
      <c r="F656" s="6"/>
      <c r="G656" s="6"/>
      <c r="H656" s="6"/>
      <c r="I656" s="6"/>
      <c r="J656" s="6"/>
      <c r="K656" s="6"/>
      <c r="L656" s="6"/>
      <c r="M656" s="6"/>
      <c r="N656" s="6"/>
      <c r="O656" s="6"/>
      <c r="P656" s="6"/>
      <c r="Q656" s="6"/>
      <c r="R656" s="6"/>
      <c r="S656" s="6"/>
      <c r="T656" s="6"/>
      <c r="U656" s="6"/>
      <c r="V656" s="6"/>
      <c r="W656" s="6"/>
    </row>
    <row r="657" spans="1:23" ht="16" x14ac:dyDescent="0.2">
      <c r="A657" s="6"/>
      <c r="B657" s="7"/>
      <c r="C657" s="7"/>
      <c r="D657" s="7"/>
      <c r="E657" s="7"/>
      <c r="F657" s="6"/>
      <c r="G657" s="6"/>
      <c r="H657" s="6"/>
      <c r="I657" s="6"/>
      <c r="J657" s="6"/>
      <c r="K657" s="6"/>
      <c r="L657" s="6"/>
      <c r="M657" s="6"/>
      <c r="N657" s="6"/>
      <c r="O657" s="6"/>
      <c r="P657" s="6"/>
      <c r="Q657" s="6"/>
      <c r="R657" s="6"/>
      <c r="S657" s="6"/>
      <c r="T657" s="6"/>
      <c r="U657" s="6"/>
      <c r="V657" s="6"/>
      <c r="W657" s="6"/>
    </row>
    <row r="658" spans="1:23" ht="16" x14ac:dyDescent="0.2">
      <c r="A658" s="6"/>
      <c r="B658" s="7"/>
      <c r="C658" s="7"/>
      <c r="D658" s="7"/>
      <c r="E658" s="7"/>
      <c r="F658" s="6"/>
      <c r="G658" s="6"/>
      <c r="H658" s="6"/>
      <c r="I658" s="6"/>
      <c r="J658" s="6"/>
      <c r="K658" s="6"/>
      <c r="L658" s="6"/>
      <c r="M658" s="6"/>
      <c r="N658" s="6"/>
      <c r="O658" s="6"/>
      <c r="P658" s="6"/>
      <c r="Q658" s="6"/>
      <c r="R658" s="6"/>
      <c r="S658" s="6"/>
      <c r="T658" s="6"/>
      <c r="U658" s="6"/>
      <c r="V658" s="6"/>
      <c r="W658" s="6"/>
    </row>
    <row r="659" spans="1:23" ht="16" x14ac:dyDescent="0.2">
      <c r="A659" s="6"/>
      <c r="B659" s="7"/>
      <c r="C659" s="7"/>
      <c r="D659" s="7"/>
      <c r="E659" s="7"/>
      <c r="F659" s="6"/>
      <c r="G659" s="6"/>
      <c r="H659" s="6"/>
      <c r="I659" s="6"/>
      <c r="J659" s="6"/>
      <c r="K659" s="6"/>
      <c r="L659" s="6"/>
      <c r="M659" s="6"/>
      <c r="N659" s="6"/>
      <c r="O659" s="6"/>
      <c r="P659" s="6"/>
      <c r="Q659" s="6"/>
      <c r="R659" s="6"/>
      <c r="S659" s="6"/>
      <c r="T659" s="6"/>
      <c r="U659" s="6"/>
      <c r="V659" s="6"/>
      <c r="W659" s="6"/>
    </row>
    <row r="660" spans="1:23" ht="16" x14ac:dyDescent="0.2">
      <c r="A660" s="6"/>
      <c r="B660" s="7"/>
      <c r="C660" s="7"/>
      <c r="D660" s="7"/>
      <c r="E660" s="7"/>
      <c r="F660" s="6"/>
      <c r="G660" s="6"/>
      <c r="H660" s="6"/>
      <c r="I660" s="6"/>
      <c r="J660" s="6"/>
      <c r="K660" s="6"/>
      <c r="L660" s="6"/>
      <c r="M660" s="6"/>
      <c r="N660" s="6"/>
      <c r="O660" s="6"/>
      <c r="P660" s="6"/>
      <c r="Q660" s="6"/>
      <c r="R660" s="6"/>
      <c r="S660" s="6"/>
      <c r="T660" s="6"/>
      <c r="U660" s="6"/>
      <c r="V660" s="6"/>
      <c r="W660" s="6"/>
    </row>
    <row r="661" spans="1:23" ht="16" x14ac:dyDescent="0.2">
      <c r="A661" s="6"/>
      <c r="B661" s="7"/>
      <c r="C661" s="7"/>
      <c r="D661" s="7"/>
      <c r="E661" s="7"/>
      <c r="F661" s="6"/>
      <c r="G661" s="6"/>
      <c r="H661" s="6"/>
      <c r="I661" s="6"/>
      <c r="J661" s="6"/>
      <c r="K661" s="6"/>
      <c r="L661" s="6"/>
      <c r="M661" s="6"/>
      <c r="N661" s="6"/>
      <c r="O661" s="6"/>
      <c r="P661" s="6"/>
      <c r="Q661" s="6"/>
      <c r="R661" s="6"/>
      <c r="S661" s="6"/>
      <c r="T661" s="6"/>
      <c r="U661" s="6"/>
      <c r="V661" s="6"/>
      <c r="W661" s="6"/>
    </row>
    <row r="662" spans="1:23" ht="16" x14ac:dyDescent="0.2">
      <c r="A662" s="6"/>
      <c r="B662" s="7"/>
      <c r="C662" s="7"/>
      <c r="D662" s="7"/>
      <c r="E662" s="7"/>
      <c r="F662" s="6"/>
      <c r="G662" s="6"/>
      <c r="H662" s="6"/>
      <c r="I662" s="6"/>
      <c r="J662" s="6"/>
      <c r="K662" s="6"/>
      <c r="L662" s="6"/>
      <c r="M662" s="6"/>
      <c r="N662" s="6"/>
      <c r="O662" s="6"/>
      <c r="P662" s="6"/>
      <c r="Q662" s="6"/>
      <c r="R662" s="6"/>
      <c r="S662" s="6"/>
      <c r="T662" s="6"/>
      <c r="U662" s="6"/>
      <c r="V662" s="6"/>
      <c r="W662" s="6"/>
    </row>
    <row r="663" spans="1:23" ht="16" x14ac:dyDescent="0.2">
      <c r="A663" s="6"/>
      <c r="B663" s="7"/>
      <c r="C663" s="7"/>
      <c r="D663" s="7"/>
      <c r="E663" s="7"/>
      <c r="F663" s="6"/>
      <c r="G663" s="6"/>
      <c r="H663" s="6"/>
      <c r="I663" s="6"/>
      <c r="J663" s="6"/>
      <c r="K663" s="6"/>
      <c r="L663" s="6"/>
      <c r="M663" s="6"/>
      <c r="N663" s="6"/>
      <c r="O663" s="6"/>
      <c r="P663" s="6"/>
      <c r="Q663" s="6"/>
      <c r="R663" s="6"/>
      <c r="S663" s="6"/>
      <c r="T663" s="6"/>
      <c r="U663" s="6"/>
      <c r="V663" s="6"/>
      <c r="W663" s="6"/>
    </row>
    <row r="664" spans="1:23" ht="16" x14ac:dyDescent="0.2">
      <c r="A664" s="6"/>
      <c r="B664" s="7"/>
      <c r="C664" s="7"/>
      <c r="D664" s="7"/>
      <c r="E664" s="7"/>
      <c r="F664" s="6"/>
      <c r="G664" s="6"/>
      <c r="H664" s="6"/>
      <c r="I664" s="6"/>
      <c r="J664" s="6"/>
      <c r="K664" s="6"/>
      <c r="L664" s="6"/>
      <c r="M664" s="6"/>
      <c r="N664" s="6"/>
      <c r="O664" s="6"/>
      <c r="P664" s="6"/>
      <c r="Q664" s="6"/>
      <c r="R664" s="6"/>
      <c r="S664" s="6"/>
      <c r="T664" s="6"/>
      <c r="U664" s="6"/>
      <c r="V664" s="6"/>
      <c r="W664" s="6"/>
    </row>
    <row r="665" spans="1:23" ht="16" x14ac:dyDescent="0.2">
      <c r="A665" s="6"/>
      <c r="B665" s="7"/>
      <c r="C665" s="7"/>
      <c r="D665" s="7"/>
      <c r="E665" s="7"/>
      <c r="F665" s="6"/>
      <c r="G665" s="6"/>
      <c r="H665" s="6"/>
      <c r="I665" s="6"/>
      <c r="J665" s="6"/>
      <c r="K665" s="6"/>
      <c r="L665" s="6"/>
      <c r="M665" s="6"/>
      <c r="N665" s="6"/>
      <c r="O665" s="6"/>
      <c r="P665" s="6"/>
      <c r="Q665" s="6"/>
      <c r="R665" s="6"/>
      <c r="S665" s="6"/>
      <c r="T665" s="6"/>
      <c r="U665" s="6"/>
      <c r="V665" s="6"/>
      <c r="W665" s="6"/>
    </row>
    <row r="666" spans="1:23" ht="16" x14ac:dyDescent="0.2">
      <c r="A666" s="6"/>
      <c r="B666" s="7"/>
      <c r="C666" s="7"/>
      <c r="D666" s="7"/>
      <c r="E666" s="7"/>
      <c r="F666" s="6"/>
      <c r="G666" s="6"/>
      <c r="H666" s="6"/>
      <c r="I666" s="6"/>
      <c r="J666" s="6"/>
      <c r="K666" s="6"/>
      <c r="L666" s="6"/>
      <c r="M666" s="6"/>
      <c r="N666" s="6"/>
      <c r="O666" s="6"/>
      <c r="P666" s="6"/>
      <c r="Q666" s="6"/>
      <c r="R666" s="6"/>
      <c r="S666" s="6"/>
      <c r="T666" s="6"/>
      <c r="U666" s="6"/>
      <c r="V666" s="6"/>
      <c r="W666" s="6"/>
    </row>
    <row r="667" spans="1:23" ht="16" x14ac:dyDescent="0.2">
      <c r="A667" s="6"/>
      <c r="B667" s="7"/>
      <c r="C667" s="7"/>
      <c r="D667" s="7"/>
      <c r="E667" s="7"/>
      <c r="F667" s="6"/>
      <c r="G667" s="6"/>
      <c r="H667" s="6"/>
      <c r="I667" s="6"/>
      <c r="J667" s="6"/>
      <c r="K667" s="6"/>
      <c r="L667" s="6"/>
      <c r="M667" s="6"/>
      <c r="N667" s="6"/>
      <c r="O667" s="6"/>
      <c r="P667" s="6"/>
      <c r="Q667" s="6"/>
      <c r="R667" s="6"/>
      <c r="S667" s="6"/>
      <c r="T667" s="6"/>
      <c r="U667" s="6"/>
      <c r="V667" s="6"/>
      <c r="W667" s="6"/>
    </row>
    <row r="668" spans="1:23" ht="16" x14ac:dyDescent="0.2">
      <c r="A668" s="6"/>
      <c r="B668" s="7"/>
      <c r="C668" s="7"/>
      <c r="D668" s="7"/>
      <c r="E668" s="7"/>
      <c r="F668" s="6"/>
      <c r="G668" s="6"/>
      <c r="H668" s="6"/>
      <c r="I668" s="6"/>
      <c r="J668" s="6"/>
      <c r="K668" s="6"/>
      <c r="L668" s="6"/>
      <c r="M668" s="6"/>
      <c r="N668" s="6"/>
      <c r="O668" s="6"/>
      <c r="P668" s="6"/>
      <c r="Q668" s="6"/>
      <c r="R668" s="6"/>
      <c r="S668" s="6"/>
      <c r="T668" s="6"/>
      <c r="U668" s="6"/>
      <c r="V668" s="6"/>
      <c r="W668" s="6"/>
    </row>
    <row r="669" spans="1:23" ht="16" x14ac:dyDescent="0.2">
      <c r="A669" s="6"/>
      <c r="B669" s="7"/>
      <c r="C669" s="7"/>
      <c r="D669" s="7"/>
      <c r="E669" s="7"/>
      <c r="F669" s="6"/>
      <c r="G669" s="6"/>
      <c r="H669" s="6"/>
      <c r="I669" s="6"/>
      <c r="J669" s="6"/>
      <c r="K669" s="6"/>
      <c r="L669" s="6"/>
      <c r="M669" s="6"/>
      <c r="N669" s="6"/>
      <c r="O669" s="6"/>
      <c r="P669" s="6"/>
      <c r="Q669" s="6"/>
      <c r="R669" s="6"/>
      <c r="S669" s="6"/>
      <c r="T669" s="6"/>
      <c r="U669" s="6"/>
      <c r="V669" s="6"/>
      <c r="W669" s="6"/>
    </row>
    <row r="670" spans="1:23" ht="16" x14ac:dyDescent="0.2">
      <c r="A670" s="6"/>
      <c r="B670" s="7"/>
      <c r="C670" s="7"/>
      <c r="D670" s="7"/>
      <c r="E670" s="7"/>
      <c r="F670" s="6"/>
      <c r="G670" s="6"/>
      <c r="H670" s="6"/>
      <c r="I670" s="6"/>
      <c r="J670" s="6"/>
      <c r="K670" s="6"/>
      <c r="L670" s="6"/>
      <c r="M670" s="6"/>
      <c r="N670" s="6"/>
      <c r="O670" s="6"/>
      <c r="P670" s="6"/>
      <c r="Q670" s="6"/>
      <c r="R670" s="6"/>
      <c r="S670" s="6"/>
      <c r="T670" s="6"/>
      <c r="U670" s="6"/>
      <c r="V670" s="6"/>
      <c r="W670" s="6"/>
    </row>
    <row r="671" spans="1:23" ht="16" x14ac:dyDescent="0.2">
      <c r="A671" s="6"/>
      <c r="B671" s="7"/>
      <c r="C671" s="7"/>
      <c r="D671" s="7"/>
      <c r="E671" s="7"/>
      <c r="F671" s="6"/>
      <c r="G671" s="6"/>
      <c r="H671" s="6"/>
      <c r="I671" s="6"/>
      <c r="J671" s="6"/>
      <c r="K671" s="6"/>
      <c r="L671" s="6"/>
      <c r="M671" s="6"/>
      <c r="N671" s="6"/>
      <c r="O671" s="6"/>
      <c r="P671" s="6"/>
      <c r="Q671" s="6"/>
      <c r="R671" s="6"/>
      <c r="S671" s="6"/>
      <c r="T671" s="6"/>
      <c r="U671" s="6"/>
      <c r="V671" s="6"/>
      <c r="W671" s="6"/>
    </row>
    <row r="672" spans="1:23" ht="16" x14ac:dyDescent="0.2">
      <c r="A672" s="6"/>
      <c r="B672" s="7"/>
      <c r="C672" s="7"/>
      <c r="D672" s="7"/>
      <c r="E672" s="7"/>
      <c r="F672" s="6"/>
      <c r="G672" s="6"/>
      <c r="H672" s="6"/>
      <c r="I672" s="6"/>
      <c r="J672" s="6"/>
      <c r="K672" s="6"/>
      <c r="L672" s="6"/>
      <c r="M672" s="6"/>
      <c r="N672" s="6"/>
      <c r="O672" s="6"/>
      <c r="P672" s="6"/>
      <c r="Q672" s="6"/>
      <c r="R672" s="6"/>
      <c r="S672" s="6"/>
      <c r="T672" s="6"/>
      <c r="U672" s="6"/>
      <c r="V672" s="6"/>
      <c r="W672" s="6"/>
    </row>
    <row r="673" spans="1:23" ht="16" x14ac:dyDescent="0.2">
      <c r="A673" s="6"/>
      <c r="B673" s="7"/>
      <c r="C673" s="7"/>
      <c r="D673" s="7"/>
      <c r="E673" s="7"/>
      <c r="F673" s="6"/>
      <c r="G673" s="6"/>
      <c r="H673" s="6"/>
      <c r="I673" s="6"/>
      <c r="J673" s="6"/>
      <c r="K673" s="6"/>
      <c r="L673" s="6"/>
      <c r="M673" s="6"/>
      <c r="N673" s="6"/>
      <c r="O673" s="6"/>
      <c r="P673" s="6"/>
      <c r="Q673" s="6"/>
      <c r="R673" s="6"/>
      <c r="S673" s="6"/>
      <c r="T673" s="6"/>
      <c r="U673" s="6"/>
      <c r="V673" s="6"/>
      <c r="W673" s="6"/>
    </row>
    <row r="674" spans="1:23" ht="16" x14ac:dyDescent="0.2">
      <c r="A674" s="6"/>
      <c r="B674" s="7"/>
      <c r="C674" s="7"/>
      <c r="D674" s="7"/>
      <c r="E674" s="7"/>
      <c r="F674" s="6"/>
      <c r="G674" s="6"/>
      <c r="H674" s="6"/>
      <c r="I674" s="6"/>
      <c r="J674" s="6"/>
      <c r="K674" s="6"/>
      <c r="L674" s="6"/>
      <c r="M674" s="6"/>
      <c r="N674" s="6"/>
      <c r="O674" s="6"/>
      <c r="P674" s="6"/>
      <c r="Q674" s="6"/>
      <c r="R674" s="6"/>
      <c r="S674" s="6"/>
      <c r="T674" s="6"/>
      <c r="U674" s="6"/>
      <c r="V674" s="6"/>
      <c r="W674" s="6"/>
    </row>
    <row r="675" spans="1:23" ht="16" x14ac:dyDescent="0.2">
      <c r="A675" s="6"/>
      <c r="B675" s="7"/>
      <c r="C675" s="7"/>
      <c r="D675" s="7"/>
      <c r="E675" s="7"/>
      <c r="F675" s="6"/>
      <c r="G675" s="6"/>
      <c r="H675" s="6"/>
      <c r="I675" s="6"/>
      <c r="J675" s="6"/>
      <c r="K675" s="6"/>
      <c r="L675" s="6"/>
      <c r="M675" s="6"/>
      <c r="N675" s="6"/>
      <c r="O675" s="6"/>
      <c r="P675" s="6"/>
      <c r="Q675" s="6"/>
      <c r="R675" s="6"/>
      <c r="S675" s="6"/>
      <c r="T675" s="6"/>
      <c r="U675" s="6"/>
      <c r="V675" s="6"/>
      <c r="W675" s="6"/>
    </row>
    <row r="676" spans="1:23" ht="16" x14ac:dyDescent="0.2">
      <c r="A676" s="6"/>
      <c r="B676" s="7"/>
      <c r="C676" s="7"/>
      <c r="D676" s="7"/>
      <c r="E676" s="7"/>
      <c r="F676" s="6"/>
      <c r="G676" s="6"/>
      <c r="H676" s="6"/>
      <c r="I676" s="6"/>
      <c r="J676" s="6"/>
      <c r="K676" s="6"/>
      <c r="L676" s="6"/>
      <c r="M676" s="6"/>
      <c r="N676" s="6"/>
      <c r="O676" s="6"/>
      <c r="P676" s="6"/>
      <c r="Q676" s="6"/>
      <c r="R676" s="6"/>
      <c r="S676" s="6"/>
      <c r="T676" s="6"/>
      <c r="U676" s="6"/>
      <c r="V676" s="6"/>
      <c r="W676" s="6"/>
    </row>
    <row r="677" spans="1:23" ht="16" x14ac:dyDescent="0.2">
      <c r="A677" s="6"/>
      <c r="B677" s="7"/>
      <c r="C677" s="7"/>
      <c r="D677" s="7"/>
      <c r="E677" s="7"/>
      <c r="F677" s="6"/>
      <c r="G677" s="6"/>
      <c r="H677" s="6"/>
      <c r="I677" s="6"/>
      <c r="J677" s="6"/>
      <c r="K677" s="6"/>
      <c r="L677" s="6"/>
      <c r="M677" s="6"/>
      <c r="N677" s="6"/>
      <c r="O677" s="6"/>
      <c r="P677" s="6"/>
      <c r="Q677" s="6"/>
      <c r="R677" s="6"/>
      <c r="S677" s="6"/>
      <c r="T677" s="6"/>
      <c r="U677" s="6"/>
      <c r="V677" s="6"/>
      <c r="W677" s="6"/>
    </row>
    <row r="678" spans="1:23" ht="16" x14ac:dyDescent="0.2">
      <c r="A678" s="6"/>
      <c r="B678" s="7"/>
      <c r="C678" s="7"/>
      <c r="D678" s="7"/>
      <c r="E678" s="7"/>
      <c r="F678" s="6"/>
      <c r="G678" s="6"/>
      <c r="H678" s="6"/>
      <c r="I678" s="6"/>
      <c r="J678" s="6"/>
      <c r="K678" s="6"/>
      <c r="L678" s="6"/>
      <c r="M678" s="6"/>
      <c r="N678" s="6"/>
      <c r="O678" s="6"/>
      <c r="P678" s="6"/>
      <c r="Q678" s="6"/>
      <c r="R678" s="6"/>
      <c r="S678" s="6"/>
      <c r="T678" s="6"/>
      <c r="U678" s="6"/>
      <c r="V678" s="6"/>
      <c r="W678" s="6"/>
    </row>
    <row r="679" spans="1:23" ht="16" x14ac:dyDescent="0.2">
      <c r="A679" s="6"/>
      <c r="B679" s="7"/>
      <c r="C679" s="7"/>
      <c r="D679" s="7"/>
      <c r="E679" s="7"/>
      <c r="F679" s="6"/>
      <c r="G679" s="6"/>
      <c r="H679" s="6"/>
      <c r="I679" s="6"/>
      <c r="J679" s="6"/>
      <c r="K679" s="6"/>
      <c r="L679" s="6"/>
      <c r="M679" s="6"/>
      <c r="N679" s="6"/>
      <c r="O679" s="6"/>
      <c r="P679" s="6"/>
      <c r="Q679" s="6"/>
      <c r="R679" s="6"/>
      <c r="S679" s="6"/>
      <c r="T679" s="6"/>
      <c r="U679" s="6"/>
      <c r="V679" s="6"/>
      <c r="W679" s="6"/>
    </row>
    <row r="680" spans="1:23" ht="16" x14ac:dyDescent="0.2">
      <c r="A680" s="6"/>
      <c r="B680" s="7"/>
      <c r="C680" s="7"/>
      <c r="D680" s="7"/>
      <c r="E680" s="7"/>
      <c r="F680" s="6"/>
      <c r="G680" s="6"/>
      <c r="H680" s="6"/>
      <c r="I680" s="6"/>
      <c r="J680" s="6"/>
      <c r="K680" s="6"/>
      <c r="L680" s="6"/>
      <c r="M680" s="6"/>
      <c r="N680" s="6"/>
      <c r="O680" s="6"/>
      <c r="P680" s="6"/>
      <c r="Q680" s="6"/>
      <c r="R680" s="6"/>
      <c r="S680" s="6"/>
      <c r="T680" s="6"/>
      <c r="U680" s="6"/>
      <c r="V680" s="6"/>
      <c r="W680" s="6"/>
    </row>
    <row r="681" spans="1:23" ht="16" x14ac:dyDescent="0.2">
      <c r="A681" s="6"/>
      <c r="B681" s="7"/>
      <c r="C681" s="7"/>
      <c r="D681" s="7"/>
      <c r="E681" s="7"/>
      <c r="F681" s="6"/>
      <c r="G681" s="6"/>
      <c r="H681" s="6"/>
      <c r="I681" s="6"/>
      <c r="J681" s="6"/>
      <c r="K681" s="6"/>
      <c r="L681" s="6"/>
      <c r="M681" s="6"/>
      <c r="N681" s="6"/>
      <c r="O681" s="6"/>
      <c r="P681" s="6"/>
      <c r="Q681" s="6"/>
      <c r="R681" s="6"/>
      <c r="S681" s="6"/>
      <c r="T681" s="6"/>
      <c r="U681" s="6"/>
      <c r="V681" s="6"/>
      <c r="W681" s="6"/>
    </row>
    <row r="682" spans="1:23" ht="16" x14ac:dyDescent="0.2">
      <c r="A682" s="6"/>
      <c r="B682" s="7"/>
      <c r="C682" s="7"/>
      <c r="D682" s="7"/>
      <c r="E682" s="7"/>
      <c r="F682" s="6"/>
      <c r="G682" s="6"/>
      <c r="H682" s="6"/>
      <c r="I682" s="6"/>
      <c r="J682" s="6"/>
      <c r="K682" s="6"/>
      <c r="L682" s="6"/>
      <c r="M682" s="6"/>
      <c r="N682" s="6"/>
      <c r="O682" s="6"/>
      <c r="P682" s="6"/>
      <c r="Q682" s="6"/>
      <c r="R682" s="6"/>
      <c r="S682" s="6"/>
      <c r="T682" s="6"/>
      <c r="U682" s="6"/>
      <c r="V682" s="6"/>
      <c r="W682" s="6"/>
    </row>
    <row r="683" spans="1:23" ht="16" x14ac:dyDescent="0.2">
      <c r="A683" s="6"/>
      <c r="B683" s="7"/>
      <c r="C683" s="7"/>
      <c r="D683" s="7"/>
      <c r="E683" s="7"/>
      <c r="F683" s="6"/>
      <c r="G683" s="6"/>
      <c r="H683" s="6"/>
      <c r="I683" s="6"/>
      <c r="J683" s="6"/>
      <c r="K683" s="6"/>
      <c r="L683" s="6"/>
      <c r="M683" s="6"/>
      <c r="N683" s="6"/>
      <c r="O683" s="6"/>
      <c r="P683" s="6"/>
      <c r="Q683" s="6"/>
      <c r="R683" s="6"/>
      <c r="S683" s="6"/>
      <c r="T683" s="6"/>
      <c r="U683" s="6"/>
      <c r="V683" s="6"/>
      <c r="W683" s="6"/>
    </row>
    <row r="684" spans="1:23" ht="16" x14ac:dyDescent="0.2">
      <c r="A684" s="6"/>
      <c r="B684" s="7"/>
      <c r="C684" s="7"/>
      <c r="D684" s="7"/>
      <c r="E684" s="7"/>
      <c r="F684" s="6"/>
      <c r="G684" s="6"/>
      <c r="H684" s="6"/>
      <c r="I684" s="6"/>
      <c r="J684" s="6"/>
      <c r="K684" s="6"/>
      <c r="L684" s="6"/>
      <c r="M684" s="6"/>
      <c r="N684" s="6"/>
      <c r="O684" s="6"/>
      <c r="P684" s="6"/>
      <c r="Q684" s="6"/>
      <c r="R684" s="6"/>
      <c r="S684" s="6"/>
      <c r="T684" s="6"/>
      <c r="U684" s="6"/>
      <c r="V684" s="6"/>
      <c r="W684" s="6"/>
    </row>
    <row r="685" spans="1:23" ht="16" x14ac:dyDescent="0.2">
      <c r="A685" s="6"/>
      <c r="B685" s="7"/>
      <c r="C685" s="7"/>
      <c r="D685" s="7"/>
      <c r="E685" s="7"/>
      <c r="F685" s="6"/>
      <c r="G685" s="6"/>
      <c r="H685" s="6"/>
      <c r="I685" s="6"/>
      <c r="J685" s="6"/>
      <c r="K685" s="6"/>
      <c r="L685" s="6"/>
      <c r="M685" s="6"/>
      <c r="N685" s="6"/>
      <c r="O685" s="6"/>
      <c r="P685" s="6"/>
      <c r="Q685" s="6"/>
      <c r="R685" s="6"/>
      <c r="S685" s="6"/>
      <c r="T685" s="6"/>
      <c r="U685" s="6"/>
      <c r="V685" s="6"/>
      <c r="W685" s="6"/>
    </row>
    <row r="686" spans="1:23" ht="16" x14ac:dyDescent="0.2">
      <c r="A686" s="6"/>
      <c r="B686" s="7"/>
      <c r="C686" s="7"/>
      <c r="D686" s="7"/>
      <c r="E686" s="7"/>
      <c r="F686" s="6"/>
      <c r="G686" s="6"/>
      <c r="H686" s="6"/>
      <c r="I686" s="6"/>
      <c r="J686" s="6"/>
      <c r="K686" s="6"/>
      <c r="L686" s="6"/>
      <c r="M686" s="6"/>
      <c r="N686" s="6"/>
      <c r="O686" s="6"/>
      <c r="P686" s="6"/>
      <c r="Q686" s="6"/>
      <c r="R686" s="6"/>
      <c r="S686" s="6"/>
      <c r="T686" s="6"/>
      <c r="U686" s="6"/>
      <c r="V686" s="6"/>
      <c r="W686" s="6"/>
    </row>
    <row r="687" spans="1:23" ht="16" x14ac:dyDescent="0.2">
      <c r="A687" s="6"/>
      <c r="B687" s="7"/>
      <c r="C687" s="7"/>
      <c r="D687" s="7"/>
      <c r="E687" s="7"/>
      <c r="F687" s="6"/>
      <c r="G687" s="6"/>
      <c r="H687" s="6"/>
      <c r="I687" s="6"/>
      <c r="J687" s="6"/>
      <c r="K687" s="6"/>
      <c r="L687" s="6"/>
      <c r="M687" s="6"/>
      <c r="N687" s="6"/>
      <c r="O687" s="6"/>
      <c r="P687" s="6"/>
      <c r="Q687" s="6"/>
      <c r="R687" s="6"/>
      <c r="S687" s="6"/>
      <c r="T687" s="6"/>
      <c r="U687" s="6"/>
      <c r="V687" s="6"/>
      <c r="W687" s="6"/>
    </row>
    <row r="688" spans="1:23" ht="16" x14ac:dyDescent="0.2">
      <c r="A688" s="6"/>
      <c r="B688" s="7"/>
      <c r="C688" s="7"/>
      <c r="D688" s="7"/>
      <c r="E688" s="7"/>
      <c r="F688" s="6"/>
      <c r="G688" s="6"/>
      <c r="H688" s="6"/>
      <c r="I688" s="6"/>
      <c r="J688" s="6"/>
      <c r="K688" s="6"/>
      <c r="L688" s="6"/>
      <c r="M688" s="6"/>
      <c r="N688" s="6"/>
      <c r="O688" s="6"/>
      <c r="P688" s="6"/>
      <c r="Q688" s="6"/>
      <c r="R688" s="6"/>
      <c r="S688" s="6"/>
      <c r="T688" s="6"/>
      <c r="U688" s="6"/>
      <c r="V688" s="6"/>
      <c r="W688" s="6"/>
    </row>
    <row r="689" spans="1:23" ht="16" x14ac:dyDescent="0.2">
      <c r="A689" s="6"/>
      <c r="B689" s="7"/>
      <c r="C689" s="7"/>
      <c r="D689" s="7"/>
      <c r="E689" s="7"/>
      <c r="F689" s="6"/>
      <c r="G689" s="6"/>
      <c r="H689" s="6"/>
      <c r="I689" s="6"/>
      <c r="J689" s="6"/>
      <c r="K689" s="6"/>
      <c r="L689" s="6"/>
      <c r="M689" s="6"/>
      <c r="N689" s="6"/>
      <c r="O689" s="6"/>
      <c r="P689" s="6"/>
      <c r="Q689" s="6"/>
      <c r="R689" s="6"/>
      <c r="S689" s="6"/>
      <c r="T689" s="6"/>
      <c r="U689" s="6"/>
      <c r="V689" s="6"/>
      <c r="W689" s="6"/>
    </row>
    <row r="690" spans="1:23" ht="16" x14ac:dyDescent="0.2">
      <c r="A690" s="6"/>
      <c r="B690" s="7"/>
      <c r="C690" s="7"/>
      <c r="D690" s="7"/>
      <c r="E690" s="7"/>
      <c r="F690" s="6"/>
      <c r="G690" s="6"/>
      <c r="H690" s="6"/>
      <c r="I690" s="6"/>
      <c r="J690" s="6"/>
      <c r="K690" s="6"/>
      <c r="L690" s="6"/>
      <c r="M690" s="6"/>
      <c r="N690" s="6"/>
      <c r="O690" s="6"/>
      <c r="P690" s="6"/>
      <c r="Q690" s="6"/>
      <c r="R690" s="6"/>
      <c r="S690" s="6"/>
      <c r="T690" s="6"/>
      <c r="U690" s="6"/>
      <c r="V690" s="6"/>
      <c r="W690" s="6"/>
    </row>
    <row r="691" spans="1:23" ht="16" x14ac:dyDescent="0.2">
      <c r="A691" s="6"/>
      <c r="B691" s="7"/>
      <c r="C691" s="7"/>
      <c r="D691" s="7"/>
      <c r="E691" s="7"/>
      <c r="F691" s="6"/>
      <c r="G691" s="6"/>
      <c r="H691" s="6"/>
      <c r="I691" s="6"/>
      <c r="J691" s="6"/>
      <c r="K691" s="6"/>
      <c r="L691" s="6"/>
      <c r="M691" s="6"/>
      <c r="N691" s="6"/>
      <c r="O691" s="6"/>
      <c r="P691" s="6"/>
      <c r="Q691" s="6"/>
      <c r="R691" s="6"/>
      <c r="S691" s="6"/>
      <c r="T691" s="6"/>
      <c r="U691" s="6"/>
      <c r="V691" s="6"/>
      <c r="W691" s="6"/>
    </row>
    <row r="692" spans="1:23" ht="16" x14ac:dyDescent="0.2">
      <c r="A692" s="6"/>
      <c r="B692" s="7"/>
      <c r="C692" s="7"/>
      <c r="D692" s="7"/>
      <c r="E692" s="7"/>
      <c r="F692" s="6"/>
      <c r="G692" s="6"/>
      <c r="H692" s="6"/>
      <c r="I692" s="6"/>
      <c r="J692" s="6"/>
      <c r="K692" s="6"/>
      <c r="L692" s="6"/>
      <c r="M692" s="6"/>
      <c r="N692" s="6"/>
      <c r="O692" s="6"/>
      <c r="P692" s="6"/>
      <c r="Q692" s="6"/>
      <c r="R692" s="6"/>
      <c r="S692" s="6"/>
      <c r="T692" s="6"/>
      <c r="U692" s="6"/>
      <c r="V692" s="6"/>
      <c r="W692" s="6"/>
    </row>
    <row r="693" spans="1:23" ht="16" x14ac:dyDescent="0.2">
      <c r="A693" s="6"/>
      <c r="B693" s="7"/>
      <c r="C693" s="7"/>
      <c r="D693" s="7"/>
      <c r="E693" s="7"/>
      <c r="F693" s="6"/>
      <c r="G693" s="6"/>
      <c r="H693" s="6"/>
      <c r="I693" s="6"/>
      <c r="J693" s="6"/>
      <c r="K693" s="6"/>
      <c r="L693" s="6"/>
      <c r="M693" s="6"/>
      <c r="N693" s="6"/>
      <c r="O693" s="6"/>
      <c r="P693" s="6"/>
      <c r="Q693" s="6"/>
      <c r="R693" s="6"/>
      <c r="S693" s="6"/>
      <c r="T693" s="6"/>
      <c r="U693" s="6"/>
      <c r="V693" s="6"/>
      <c r="W693" s="6"/>
    </row>
    <row r="694" spans="1:23" ht="16" x14ac:dyDescent="0.2">
      <c r="A694" s="6"/>
      <c r="B694" s="7"/>
      <c r="C694" s="7"/>
      <c r="D694" s="7"/>
      <c r="E694" s="7"/>
      <c r="F694" s="6"/>
      <c r="G694" s="6"/>
      <c r="H694" s="6"/>
      <c r="I694" s="6"/>
      <c r="J694" s="6"/>
      <c r="K694" s="6"/>
      <c r="L694" s="6"/>
      <c r="M694" s="6"/>
      <c r="N694" s="6"/>
      <c r="O694" s="6"/>
      <c r="P694" s="6"/>
      <c r="Q694" s="6"/>
      <c r="R694" s="6"/>
      <c r="S694" s="6"/>
      <c r="T694" s="6"/>
      <c r="U694" s="6"/>
      <c r="V694" s="6"/>
      <c r="W694" s="6"/>
    </row>
    <row r="695" spans="1:23" ht="16" x14ac:dyDescent="0.2">
      <c r="A695" s="6"/>
      <c r="B695" s="7"/>
      <c r="C695" s="7"/>
      <c r="D695" s="7"/>
      <c r="E695" s="7"/>
      <c r="F695" s="6"/>
      <c r="G695" s="6"/>
      <c r="H695" s="6"/>
      <c r="I695" s="6"/>
      <c r="J695" s="6"/>
      <c r="K695" s="6"/>
      <c r="L695" s="6"/>
      <c r="M695" s="6"/>
      <c r="N695" s="6"/>
      <c r="O695" s="6"/>
      <c r="P695" s="6"/>
      <c r="Q695" s="6"/>
      <c r="R695" s="6"/>
      <c r="S695" s="6"/>
      <c r="T695" s="6"/>
      <c r="U695" s="6"/>
      <c r="V695" s="6"/>
      <c r="W695" s="6"/>
    </row>
    <row r="696" spans="1:23" ht="16" x14ac:dyDescent="0.2">
      <c r="A696" s="6"/>
      <c r="B696" s="7"/>
      <c r="C696" s="7"/>
      <c r="D696" s="7"/>
      <c r="E696" s="7"/>
      <c r="F696" s="6"/>
      <c r="G696" s="6"/>
      <c r="H696" s="6"/>
      <c r="I696" s="6"/>
      <c r="J696" s="6"/>
      <c r="K696" s="6"/>
      <c r="L696" s="6"/>
      <c r="M696" s="6"/>
      <c r="N696" s="6"/>
      <c r="O696" s="6"/>
      <c r="P696" s="6"/>
      <c r="Q696" s="6"/>
      <c r="R696" s="6"/>
      <c r="S696" s="6"/>
      <c r="T696" s="6"/>
      <c r="U696" s="6"/>
      <c r="V696" s="6"/>
      <c r="W696" s="6"/>
    </row>
    <row r="697" spans="1:23" ht="16" x14ac:dyDescent="0.2">
      <c r="A697" s="6"/>
      <c r="B697" s="7"/>
      <c r="C697" s="7"/>
      <c r="D697" s="7"/>
      <c r="E697" s="7"/>
      <c r="F697" s="6"/>
      <c r="G697" s="6"/>
      <c r="H697" s="6"/>
      <c r="I697" s="6"/>
      <c r="J697" s="6"/>
      <c r="K697" s="6"/>
      <c r="L697" s="6"/>
      <c r="M697" s="6"/>
      <c r="N697" s="6"/>
      <c r="O697" s="6"/>
      <c r="P697" s="6"/>
      <c r="Q697" s="6"/>
      <c r="R697" s="6"/>
      <c r="S697" s="6"/>
      <c r="T697" s="6"/>
      <c r="U697" s="6"/>
      <c r="V697" s="6"/>
      <c r="W697" s="6"/>
    </row>
    <row r="698" spans="1:23" ht="16" x14ac:dyDescent="0.2">
      <c r="A698" s="6"/>
      <c r="B698" s="7"/>
      <c r="C698" s="7"/>
      <c r="D698" s="7"/>
      <c r="E698" s="7"/>
      <c r="F698" s="6"/>
      <c r="G698" s="6"/>
      <c r="H698" s="6"/>
      <c r="I698" s="6"/>
      <c r="J698" s="6"/>
      <c r="K698" s="6"/>
      <c r="L698" s="6"/>
      <c r="M698" s="6"/>
      <c r="N698" s="6"/>
      <c r="O698" s="6"/>
      <c r="P698" s="6"/>
      <c r="Q698" s="6"/>
      <c r="R698" s="6"/>
      <c r="S698" s="6"/>
      <c r="T698" s="6"/>
      <c r="U698" s="6"/>
      <c r="V698" s="6"/>
      <c r="W698" s="6"/>
    </row>
    <row r="699" spans="1:23" ht="16" x14ac:dyDescent="0.2">
      <c r="A699" s="6"/>
      <c r="B699" s="7"/>
      <c r="C699" s="7"/>
      <c r="D699" s="7"/>
      <c r="E699" s="7"/>
      <c r="F699" s="6"/>
      <c r="G699" s="6"/>
      <c r="H699" s="6"/>
      <c r="I699" s="6"/>
      <c r="J699" s="6"/>
      <c r="K699" s="6"/>
      <c r="L699" s="6"/>
      <c r="M699" s="6"/>
      <c r="N699" s="6"/>
      <c r="O699" s="6"/>
      <c r="P699" s="6"/>
      <c r="Q699" s="6"/>
      <c r="R699" s="6"/>
      <c r="S699" s="6"/>
      <c r="T699" s="6"/>
      <c r="U699" s="6"/>
      <c r="V699" s="6"/>
      <c r="W699" s="6"/>
    </row>
    <row r="700" spans="1:23" ht="16" x14ac:dyDescent="0.2">
      <c r="A700" s="6"/>
      <c r="B700" s="7"/>
      <c r="C700" s="7"/>
      <c r="D700" s="7"/>
      <c r="E700" s="7"/>
      <c r="F700" s="6"/>
      <c r="G700" s="6"/>
      <c r="H700" s="6"/>
      <c r="I700" s="6"/>
      <c r="J700" s="6"/>
      <c r="K700" s="6"/>
      <c r="L700" s="6"/>
      <c r="M700" s="6"/>
      <c r="N700" s="6"/>
      <c r="O700" s="6"/>
      <c r="P700" s="6"/>
      <c r="Q700" s="6"/>
      <c r="R700" s="6"/>
      <c r="S700" s="6"/>
      <c r="T700" s="6"/>
      <c r="U700" s="6"/>
      <c r="V700" s="6"/>
      <c r="W700" s="6"/>
    </row>
    <row r="701" spans="1:23" ht="16" x14ac:dyDescent="0.2">
      <c r="A701" s="6"/>
      <c r="B701" s="7"/>
      <c r="C701" s="7"/>
      <c r="D701" s="7"/>
      <c r="E701" s="7"/>
      <c r="F701" s="6"/>
      <c r="G701" s="6"/>
      <c r="H701" s="6"/>
      <c r="I701" s="6"/>
      <c r="J701" s="6"/>
      <c r="K701" s="6"/>
      <c r="L701" s="6"/>
      <c r="M701" s="6"/>
      <c r="N701" s="6"/>
      <c r="O701" s="6"/>
      <c r="P701" s="6"/>
      <c r="Q701" s="6"/>
      <c r="R701" s="6"/>
      <c r="S701" s="6"/>
      <c r="T701" s="6"/>
      <c r="U701" s="6"/>
      <c r="V701" s="6"/>
      <c r="W701" s="6"/>
    </row>
    <row r="702" spans="1:23" ht="16" x14ac:dyDescent="0.2">
      <c r="A702" s="6"/>
      <c r="B702" s="7"/>
      <c r="C702" s="7"/>
      <c r="D702" s="7"/>
      <c r="E702" s="7"/>
      <c r="F702" s="6"/>
      <c r="G702" s="6"/>
      <c r="H702" s="6"/>
      <c r="I702" s="6"/>
      <c r="J702" s="6"/>
      <c r="K702" s="6"/>
      <c r="L702" s="6"/>
      <c r="M702" s="6"/>
      <c r="N702" s="6"/>
      <c r="O702" s="6"/>
      <c r="P702" s="6"/>
      <c r="Q702" s="6"/>
      <c r="R702" s="6"/>
      <c r="S702" s="6"/>
      <c r="T702" s="6"/>
      <c r="U702" s="6"/>
      <c r="V702" s="6"/>
      <c r="W702" s="6"/>
    </row>
    <row r="703" spans="1:23" ht="16" x14ac:dyDescent="0.2">
      <c r="A703" s="6"/>
      <c r="B703" s="7"/>
      <c r="C703" s="7"/>
      <c r="D703" s="7"/>
      <c r="E703" s="7"/>
      <c r="F703" s="6"/>
      <c r="G703" s="6"/>
      <c r="H703" s="6"/>
      <c r="I703" s="6"/>
      <c r="J703" s="6"/>
      <c r="K703" s="6"/>
      <c r="L703" s="6"/>
      <c r="M703" s="6"/>
      <c r="N703" s="6"/>
      <c r="O703" s="6"/>
      <c r="P703" s="6"/>
      <c r="Q703" s="6"/>
      <c r="R703" s="6"/>
      <c r="S703" s="6"/>
      <c r="T703" s="6"/>
      <c r="U703" s="6"/>
      <c r="V703" s="6"/>
      <c r="W703" s="6"/>
    </row>
    <row r="704" spans="1:23" ht="16" x14ac:dyDescent="0.2">
      <c r="A704" s="6"/>
      <c r="B704" s="7"/>
      <c r="C704" s="7"/>
      <c r="D704" s="7"/>
      <c r="E704" s="7"/>
      <c r="F704" s="6"/>
      <c r="G704" s="6"/>
      <c r="H704" s="6"/>
      <c r="I704" s="6"/>
      <c r="J704" s="6"/>
      <c r="K704" s="6"/>
      <c r="L704" s="6"/>
      <c r="M704" s="6"/>
      <c r="N704" s="6"/>
      <c r="O704" s="6"/>
      <c r="P704" s="6"/>
      <c r="Q704" s="6"/>
      <c r="R704" s="6"/>
      <c r="S704" s="6"/>
      <c r="T704" s="6"/>
      <c r="U704" s="6"/>
      <c r="V704" s="6"/>
      <c r="W704" s="6"/>
    </row>
    <row r="705" spans="1:23" ht="16" x14ac:dyDescent="0.2">
      <c r="A705" s="6"/>
      <c r="B705" s="7"/>
      <c r="C705" s="7"/>
      <c r="D705" s="7"/>
      <c r="E705" s="7"/>
      <c r="F705" s="6"/>
      <c r="G705" s="6"/>
      <c r="H705" s="6"/>
      <c r="I705" s="6"/>
      <c r="J705" s="6"/>
      <c r="K705" s="6"/>
      <c r="L705" s="6"/>
      <c r="M705" s="6"/>
      <c r="N705" s="6"/>
      <c r="O705" s="6"/>
      <c r="P705" s="6"/>
      <c r="Q705" s="6"/>
      <c r="R705" s="6"/>
      <c r="S705" s="6"/>
      <c r="T705" s="6"/>
      <c r="U705" s="6"/>
      <c r="V705" s="6"/>
      <c r="W705" s="6"/>
    </row>
    <row r="706" spans="1:23" ht="16" x14ac:dyDescent="0.2">
      <c r="A706" s="6"/>
      <c r="B706" s="7"/>
      <c r="C706" s="7"/>
      <c r="D706" s="7"/>
      <c r="E706" s="7"/>
      <c r="F706" s="6"/>
      <c r="G706" s="6"/>
      <c r="H706" s="6"/>
      <c r="I706" s="6"/>
      <c r="J706" s="6"/>
      <c r="K706" s="6"/>
      <c r="L706" s="6"/>
      <c r="M706" s="6"/>
      <c r="N706" s="6"/>
      <c r="O706" s="6"/>
      <c r="P706" s="6"/>
      <c r="Q706" s="6"/>
      <c r="R706" s="6"/>
      <c r="S706" s="6"/>
      <c r="T706" s="6"/>
      <c r="U706" s="6"/>
      <c r="V706" s="6"/>
      <c r="W706" s="6"/>
    </row>
    <row r="707" spans="1:23" ht="16" x14ac:dyDescent="0.2">
      <c r="A707" s="6"/>
      <c r="B707" s="7"/>
      <c r="C707" s="7"/>
      <c r="D707" s="7"/>
      <c r="E707" s="7"/>
      <c r="F707" s="6"/>
      <c r="G707" s="6"/>
      <c r="H707" s="6"/>
      <c r="I707" s="6"/>
      <c r="J707" s="6"/>
      <c r="K707" s="6"/>
      <c r="L707" s="6"/>
      <c r="M707" s="6"/>
      <c r="N707" s="6"/>
      <c r="O707" s="6"/>
      <c r="P707" s="6"/>
      <c r="Q707" s="6"/>
      <c r="R707" s="6"/>
      <c r="S707" s="6"/>
      <c r="T707" s="6"/>
      <c r="U707" s="6"/>
      <c r="V707" s="6"/>
      <c r="W707" s="6"/>
    </row>
    <row r="708" spans="1:23" ht="16" x14ac:dyDescent="0.2">
      <c r="A708" s="6"/>
      <c r="B708" s="7"/>
      <c r="C708" s="7"/>
      <c r="D708" s="7"/>
      <c r="E708" s="7"/>
      <c r="F708" s="6"/>
      <c r="G708" s="6"/>
      <c r="H708" s="6"/>
      <c r="I708" s="6"/>
      <c r="J708" s="6"/>
      <c r="K708" s="6"/>
      <c r="L708" s="6"/>
      <c r="M708" s="6"/>
      <c r="N708" s="6"/>
      <c r="O708" s="6"/>
      <c r="P708" s="6"/>
      <c r="Q708" s="6"/>
      <c r="R708" s="6"/>
      <c r="S708" s="6"/>
      <c r="T708" s="6"/>
      <c r="U708" s="6"/>
      <c r="V708" s="6"/>
      <c r="W708" s="6"/>
    </row>
    <row r="709" spans="1:23" ht="16" x14ac:dyDescent="0.2">
      <c r="A709" s="6"/>
      <c r="B709" s="7"/>
      <c r="C709" s="7"/>
      <c r="D709" s="7"/>
      <c r="E709" s="7"/>
      <c r="F709" s="6"/>
      <c r="G709" s="6"/>
      <c r="H709" s="6"/>
      <c r="I709" s="6"/>
      <c r="J709" s="6"/>
      <c r="K709" s="6"/>
      <c r="L709" s="6"/>
      <c r="M709" s="6"/>
      <c r="N709" s="6"/>
      <c r="O709" s="6"/>
      <c r="P709" s="6"/>
      <c r="Q709" s="6"/>
      <c r="R709" s="6"/>
      <c r="S709" s="6"/>
      <c r="T709" s="6"/>
      <c r="U709" s="6"/>
      <c r="V709" s="6"/>
      <c r="W709" s="6"/>
    </row>
    <row r="710" spans="1:23" ht="16" x14ac:dyDescent="0.2">
      <c r="A710" s="6"/>
      <c r="B710" s="7"/>
      <c r="C710" s="7"/>
      <c r="D710" s="7"/>
      <c r="E710" s="7"/>
      <c r="F710" s="6"/>
      <c r="G710" s="6"/>
      <c r="H710" s="6"/>
      <c r="I710" s="6"/>
      <c r="J710" s="6"/>
      <c r="K710" s="6"/>
      <c r="L710" s="6"/>
      <c r="M710" s="6"/>
      <c r="N710" s="6"/>
      <c r="O710" s="6"/>
      <c r="P710" s="6"/>
      <c r="Q710" s="6"/>
      <c r="R710" s="6"/>
      <c r="S710" s="6"/>
      <c r="T710" s="6"/>
      <c r="U710" s="6"/>
      <c r="V710" s="6"/>
      <c r="W710" s="6"/>
    </row>
    <row r="711" spans="1:23" ht="16" x14ac:dyDescent="0.2">
      <c r="A711" s="6"/>
      <c r="B711" s="7"/>
      <c r="C711" s="7"/>
      <c r="D711" s="7"/>
      <c r="E711" s="7"/>
      <c r="F711" s="6"/>
      <c r="G711" s="6"/>
      <c r="H711" s="6"/>
      <c r="I711" s="6"/>
      <c r="J711" s="6"/>
      <c r="K711" s="6"/>
      <c r="L711" s="6"/>
      <c r="M711" s="6"/>
      <c r="N711" s="6"/>
      <c r="O711" s="6"/>
      <c r="P711" s="6"/>
      <c r="Q711" s="6"/>
      <c r="R711" s="6"/>
      <c r="S711" s="6"/>
      <c r="T711" s="6"/>
      <c r="U711" s="6"/>
      <c r="V711" s="6"/>
      <c r="W711" s="6"/>
    </row>
    <row r="712" spans="1:23" ht="16" x14ac:dyDescent="0.2">
      <c r="A712" s="6"/>
      <c r="B712" s="7"/>
      <c r="C712" s="7"/>
      <c r="D712" s="7"/>
      <c r="E712" s="7"/>
      <c r="F712" s="6"/>
      <c r="G712" s="6"/>
      <c r="H712" s="6"/>
      <c r="I712" s="6"/>
      <c r="J712" s="6"/>
      <c r="K712" s="6"/>
      <c r="L712" s="6"/>
      <c r="M712" s="6"/>
      <c r="N712" s="6"/>
      <c r="O712" s="6"/>
      <c r="P712" s="6"/>
      <c r="Q712" s="6"/>
      <c r="R712" s="6"/>
      <c r="S712" s="6"/>
      <c r="T712" s="6"/>
      <c r="U712" s="6"/>
      <c r="V712" s="6"/>
      <c r="W712" s="6"/>
    </row>
    <row r="713" spans="1:23" ht="16" x14ac:dyDescent="0.2">
      <c r="A713" s="6"/>
      <c r="B713" s="7"/>
      <c r="C713" s="7"/>
      <c r="D713" s="7"/>
      <c r="E713" s="7"/>
      <c r="F713" s="6"/>
      <c r="G713" s="6"/>
      <c r="H713" s="6"/>
      <c r="I713" s="6"/>
      <c r="J713" s="6"/>
      <c r="K713" s="6"/>
      <c r="L713" s="6"/>
      <c r="M713" s="6"/>
      <c r="N713" s="6"/>
      <c r="O713" s="6"/>
      <c r="P713" s="6"/>
      <c r="Q713" s="6"/>
      <c r="R713" s="6"/>
      <c r="S713" s="6"/>
      <c r="T713" s="6"/>
      <c r="U713" s="6"/>
      <c r="V713" s="6"/>
      <c r="W713" s="6"/>
    </row>
    <row r="714" spans="1:23" ht="16" x14ac:dyDescent="0.2">
      <c r="A714" s="6"/>
      <c r="B714" s="7"/>
      <c r="C714" s="7"/>
      <c r="D714" s="7"/>
      <c r="E714" s="7"/>
      <c r="F714" s="6"/>
      <c r="G714" s="6"/>
      <c r="H714" s="6"/>
      <c r="I714" s="6"/>
      <c r="J714" s="6"/>
      <c r="K714" s="6"/>
      <c r="L714" s="6"/>
      <c r="M714" s="6"/>
      <c r="N714" s="6"/>
      <c r="O714" s="6"/>
      <c r="P714" s="6"/>
      <c r="Q714" s="6"/>
      <c r="R714" s="6"/>
      <c r="S714" s="6"/>
      <c r="T714" s="6"/>
      <c r="U714" s="6"/>
      <c r="V714" s="6"/>
      <c r="W714" s="6"/>
    </row>
    <row r="715" spans="1:23" ht="16" x14ac:dyDescent="0.2">
      <c r="A715" s="6"/>
      <c r="B715" s="7"/>
      <c r="C715" s="7"/>
      <c r="D715" s="7"/>
      <c r="E715" s="7"/>
      <c r="F715" s="6"/>
      <c r="G715" s="6"/>
      <c r="H715" s="6"/>
      <c r="I715" s="6"/>
      <c r="J715" s="6"/>
      <c r="K715" s="6"/>
      <c r="L715" s="6"/>
      <c r="M715" s="6"/>
      <c r="N715" s="6"/>
      <c r="O715" s="6"/>
      <c r="P715" s="6"/>
      <c r="Q715" s="6"/>
      <c r="R715" s="6"/>
      <c r="S715" s="6"/>
      <c r="T715" s="6"/>
      <c r="U715" s="6"/>
      <c r="V715" s="6"/>
      <c r="W715" s="6"/>
    </row>
    <row r="716" spans="1:23" ht="16" x14ac:dyDescent="0.2">
      <c r="A716" s="6"/>
      <c r="B716" s="7"/>
      <c r="C716" s="7"/>
      <c r="D716" s="7"/>
      <c r="E716" s="7"/>
      <c r="F716" s="6"/>
      <c r="G716" s="6"/>
      <c r="H716" s="6"/>
      <c r="I716" s="6"/>
      <c r="J716" s="6"/>
      <c r="K716" s="6"/>
      <c r="L716" s="6"/>
      <c r="M716" s="6"/>
      <c r="N716" s="6"/>
      <c r="O716" s="6"/>
      <c r="P716" s="6"/>
      <c r="Q716" s="6"/>
      <c r="R716" s="6"/>
      <c r="S716" s="6"/>
      <c r="T716" s="6"/>
      <c r="U716" s="6"/>
      <c r="V716" s="6"/>
      <c r="W716" s="6"/>
    </row>
    <row r="717" spans="1:23" ht="16" x14ac:dyDescent="0.2">
      <c r="A717" s="6"/>
      <c r="B717" s="7"/>
      <c r="C717" s="7"/>
      <c r="D717" s="7"/>
      <c r="E717" s="7"/>
      <c r="F717" s="6"/>
      <c r="G717" s="6"/>
      <c r="H717" s="6"/>
      <c r="I717" s="6"/>
      <c r="J717" s="6"/>
      <c r="K717" s="6"/>
      <c r="L717" s="6"/>
      <c r="M717" s="6"/>
      <c r="N717" s="6"/>
      <c r="O717" s="6"/>
      <c r="P717" s="6"/>
      <c r="Q717" s="6"/>
      <c r="R717" s="6"/>
      <c r="S717" s="6"/>
      <c r="T717" s="6"/>
      <c r="U717" s="6"/>
      <c r="V717" s="6"/>
      <c r="W717" s="6"/>
    </row>
    <row r="718" spans="1:23" ht="16" x14ac:dyDescent="0.2">
      <c r="A718" s="6"/>
      <c r="B718" s="7"/>
      <c r="C718" s="7"/>
      <c r="D718" s="7"/>
      <c r="E718" s="7"/>
      <c r="F718" s="6"/>
      <c r="G718" s="6"/>
      <c r="H718" s="6"/>
      <c r="I718" s="6"/>
      <c r="J718" s="6"/>
      <c r="K718" s="6"/>
      <c r="L718" s="6"/>
      <c r="M718" s="6"/>
      <c r="N718" s="6"/>
      <c r="O718" s="6"/>
      <c r="P718" s="6"/>
      <c r="Q718" s="6"/>
      <c r="R718" s="6"/>
      <c r="S718" s="6"/>
      <c r="T718" s="6"/>
      <c r="U718" s="6"/>
      <c r="V718" s="6"/>
      <c r="W718" s="6"/>
    </row>
    <row r="719" spans="1:23" ht="16" x14ac:dyDescent="0.2">
      <c r="A719" s="6"/>
      <c r="B719" s="7"/>
      <c r="C719" s="7"/>
      <c r="D719" s="7"/>
      <c r="E719" s="7"/>
      <c r="F719" s="6"/>
      <c r="G719" s="6"/>
      <c r="H719" s="6"/>
      <c r="I719" s="6"/>
      <c r="J719" s="6"/>
      <c r="K719" s="6"/>
      <c r="L719" s="6"/>
      <c r="M719" s="6"/>
      <c r="N719" s="6"/>
      <c r="O719" s="6"/>
      <c r="P719" s="6"/>
      <c r="Q719" s="6"/>
      <c r="R719" s="6"/>
      <c r="S719" s="6"/>
      <c r="T719" s="6"/>
      <c r="U719" s="6"/>
      <c r="V719" s="6"/>
      <c r="W719" s="6"/>
    </row>
    <row r="720" spans="1:23" ht="16" x14ac:dyDescent="0.2">
      <c r="A720" s="6"/>
      <c r="B720" s="7"/>
      <c r="C720" s="7"/>
      <c r="D720" s="7"/>
      <c r="E720" s="7"/>
      <c r="F720" s="6"/>
      <c r="G720" s="6"/>
      <c r="H720" s="6"/>
      <c r="I720" s="6"/>
      <c r="J720" s="6"/>
      <c r="K720" s="6"/>
      <c r="L720" s="6"/>
      <c r="M720" s="6"/>
      <c r="N720" s="6"/>
      <c r="O720" s="6"/>
      <c r="P720" s="6"/>
      <c r="Q720" s="6"/>
      <c r="R720" s="6"/>
      <c r="S720" s="6"/>
      <c r="T720" s="6"/>
      <c r="U720" s="6"/>
      <c r="V720" s="6"/>
      <c r="W720" s="6"/>
    </row>
    <row r="721" spans="1:23" ht="16" x14ac:dyDescent="0.2">
      <c r="A721" s="6"/>
      <c r="B721" s="7"/>
      <c r="C721" s="7"/>
      <c r="D721" s="7"/>
      <c r="E721" s="7"/>
      <c r="F721" s="6"/>
      <c r="G721" s="6"/>
      <c r="H721" s="6"/>
      <c r="I721" s="6"/>
      <c r="J721" s="6"/>
      <c r="K721" s="6"/>
      <c r="L721" s="6"/>
      <c r="M721" s="6"/>
      <c r="N721" s="6"/>
      <c r="O721" s="6"/>
      <c r="P721" s="6"/>
      <c r="Q721" s="6"/>
      <c r="R721" s="6"/>
      <c r="S721" s="6"/>
      <c r="T721" s="6"/>
      <c r="U721" s="6"/>
      <c r="V721" s="6"/>
      <c r="W721" s="6"/>
    </row>
    <row r="722" spans="1:23" ht="16" x14ac:dyDescent="0.2">
      <c r="A722" s="6"/>
      <c r="B722" s="7"/>
      <c r="C722" s="7"/>
      <c r="D722" s="7"/>
      <c r="E722" s="7"/>
      <c r="F722" s="6"/>
      <c r="G722" s="6"/>
      <c r="H722" s="6"/>
      <c r="I722" s="6"/>
      <c r="J722" s="6"/>
      <c r="K722" s="6"/>
      <c r="L722" s="6"/>
      <c r="M722" s="6"/>
      <c r="N722" s="6"/>
      <c r="O722" s="6"/>
      <c r="P722" s="6"/>
      <c r="Q722" s="6"/>
      <c r="R722" s="6"/>
      <c r="S722" s="6"/>
      <c r="T722" s="6"/>
      <c r="U722" s="6"/>
      <c r="V722" s="6"/>
      <c r="W722" s="6"/>
    </row>
    <row r="723" spans="1:23" ht="16" x14ac:dyDescent="0.2">
      <c r="A723" s="6"/>
      <c r="B723" s="7"/>
      <c r="C723" s="7"/>
      <c r="D723" s="7"/>
      <c r="E723" s="7"/>
      <c r="F723" s="6"/>
      <c r="G723" s="6"/>
      <c r="H723" s="6"/>
      <c r="I723" s="6"/>
      <c r="J723" s="6"/>
      <c r="K723" s="6"/>
      <c r="L723" s="6"/>
      <c r="M723" s="6"/>
      <c r="N723" s="6"/>
      <c r="O723" s="6"/>
      <c r="P723" s="6"/>
      <c r="Q723" s="6"/>
      <c r="R723" s="6"/>
      <c r="S723" s="6"/>
      <c r="T723" s="6"/>
      <c r="U723" s="6"/>
      <c r="V723" s="6"/>
      <c r="W723" s="6"/>
    </row>
    <row r="724" spans="1:23" ht="16" x14ac:dyDescent="0.2">
      <c r="A724" s="6"/>
      <c r="B724" s="7"/>
      <c r="C724" s="7"/>
      <c r="D724" s="7"/>
      <c r="E724" s="7"/>
      <c r="F724" s="6"/>
      <c r="G724" s="6"/>
      <c r="H724" s="6"/>
      <c r="I724" s="6"/>
      <c r="J724" s="6"/>
      <c r="K724" s="6"/>
      <c r="L724" s="6"/>
      <c r="M724" s="6"/>
      <c r="N724" s="6"/>
      <c r="O724" s="6"/>
      <c r="P724" s="6"/>
      <c r="Q724" s="6"/>
      <c r="R724" s="6"/>
      <c r="S724" s="6"/>
      <c r="T724" s="6"/>
      <c r="U724" s="6"/>
      <c r="V724" s="6"/>
      <c r="W724" s="6"/>
    </row>
    <row r="725" spans="1:23" ht="16" x14ac:dyDescent="0.2">
      <c r="A725" s="6"/>
      <c r="B725" s="7"/>
      <c r="C725" s="7"/>
      <c r="D725" s="7"/>
      <c r="E725" s="7"/>
      <c r="F725" s="6"/>
      <c r="G725" s="6"/>
      <c r="H725" s="6"/>
      <c r="I725" s="6"/>
      <c r="J725" s="6"/>
      <c r="K725" s="6"/>
      <c r="L725" s="6"/>
      <c r="M725" s="6"/>
      <c r="N725" s="6"/>
      <c r="O725" s="6"/>
      <c r="P725" s="6"/>
      <c r="Q725" s="6"/>
      <c r="R725" s="6"/>
      <c r="S725" s="6"/>
      <c r="T725" s="6"/>
      <c r="U725" s="6"/>
      <c r="V725" s="6"/>
      <c r="W725" s="6"/>
    </row>
    <row r="726" spans="1:23" ht="16" x14ac:dyDescent="0.2">
      <c r="A726" s="6"/>
      <c r="B726" s="7"/>
      <c r="C726" s="7"/>
      <c r="D726" s="7"/>
      <c r="E726" s="7"/>
      <c r="F726" s="6"/>
      <c r="G726" s="6"/>
      <c r="H726" s="6"/>
      <c r="I726" s="6"/>
      <c r="J726" s="6"/>
      <c r="K726" s="6"/>
      <c r="L726" s="6"/>
      <c r="M726" s="6"/>
      <c r="N726" s="6"/>
      <c r="O726" s="6"/>
      <c r="P726" s="6"/>
      <c r="Q726" s="6"/>
      <c r="R726" s="6"/>
      <c r="S726" s="6"/>
      <c r="T726" s="6"/>
      <c r="U726" s="6"/>
      <c r="V726" s="6"/>
      <c r="W726" s="6"/>
    </row>
    <row r="727" spans="1:23" ht="16" x14ac:dyDescent="0.2">
      <c r="A727" s="6"/>
      <c r="B727" s="7"/>
      <c r="C727" s="7"/>
      <c r="D727" s="7"/>
      <c r="E727" s="7"/>
      <c r="F727" s="6"/>
      <c r="G727" s="6"/>
      <c r="H727" s="6"/>
      <c r="I727" s="6"/>
      <c r="J727" s="6"/>
      <c r="K727" s="6"/>
      <c r="L727" s="6"/>
      <c r="M727" s="6"/>
      <c r="N727" s="6"/>
      <c r="O727" s="6"/>
      <c r="P727" s="6"/>
      <c r="Q727" s="6"/>
      <c r="R727" s="6"/>
      <c r="S727" s="6"/>
      <c r="T727" s="6"/>
      <c r="U727" s="6"/>
      <c r="V727" s="6"/>
      <c r="W727" s="6"/>
    </row>
    <row r="728" spans="1:23" ht="16" x14ac:dyDescent="0.2">
      <c r="A728" s="6"/>
      <c r="B728" s="7"/>
      <c r="C728" s="7"/>
      <c r="D728" s="7"/>
      <c r="E728" s="7"/>
      <c r="F728" s="6"/>
      <c r="G728" s="6"/>
      <c r="H728" s="6"/>
      <c r="I728" s="6"/>
      <c r="J728" s="6"/>
      <c r="K728" s="6"/>
      <c r="L728" s="6"/>
      <c r="M728" s="6"/>
      <c r="N728" s="6"/>
      <c r="O728" s="6"/>
      <c r="P728" s="6"/>
      <c r="Q728" s="6"/>
      <c r="R728" s="6"/>
      <c r="S728" s="6"/>
      <c r="T728" s="6"/>
      <c r="U728" s="6"/>
      <c r="V728" s="6"/>
      <c r="W728" s="6"/>
    </row>
    <row r="729" spans="1:23" ht="16" x14ac:dyDescent="0.2">
      <c r="A729" s="6"/>
      <c r="B729" s="7"/>
      <c r="C729" s="7"/>
      <c r="D729" s="7"/>
      <c r="E729" s="7"/>
      <c r="F729" s="6"/>
      <c r="G729" s="6"/>
      <c r="H729" s="6"/>
      <c r="I729" s="6"/>
      <c r="J729" s="6"/>
      <c r="K729" s="6"/>
      <c r="L729" s="6"/>
      <c r="M729" s="6"/>
      <c r="N729" s="6"/>
      <c r="O729" s="6"/>
      <c r="P729" s="6"/>
      <c r="Q729" s="6"/>
      <c r="R729" s="6"/>
      <c r="S729" s="6"/>
      <c r="T729" s="6"/>
      <c r="U729" s="6"/>
      <c r="V729" s="6"/>
      <c r="W729" s="6"/>
    </row>
    <row r="730" spans="1:23" ht="16" x14ac:dyDescent="0.2">
      <c r="A730" s="6"/>
      <c r="B730" s="7"/>
      <c r="C730" s="7"/>
      <c r="D730" s="7"/>
      <c r="E730" s="7"/>
      <c r="F730" s="6"/>
      <c r="G730" s="6"/>
      <c r="H730" s="6"/>
      <c r="I730" s="6"/>
      <c r="J730" s="6"/>
      <c r="K730" s="6"/>
      <c r="L730" s="6"/>
      <c r="M730" s="6"/>
      <c r="N730" s="6"/>
      <c r="O730" s="6"/>
      <c r="P730" s="6"/>
      <c r="Q730" s="6"/>
      <c r="R730" s="6"/>
      <c r="S730" s="6"/>
      <c r="T730" s="6"/>
      <c r="U730" s="6"/>
      <c r="V730" s="6"/>
      <c r="W730" s="6"/>
    </row>
    <row r="731" spans="1:23" ht="16" x14ac:dyDescent="0.2">
      <c r="A731" s="6"/>
      <c r="B731" s="7"/>
      <c r="C731" s="7"/>
      <c r="D731" s="7"/>
      <c r="E731" s="7"/>
      <c r="F731" s="6"/>
      <c r="G731" s="6"/>
      <c r="H731" s="6"/>
      <c r="I731" s="6"/>
      <c r="J731" s="6"/>
      <c r="K731" s="6"/>
      <c r="L731" s="6"/>
      <c r="M731" s="6"/>
      <c r="N731" s="6"/>
      <c r="O731" s="6"/>
      <c r="P731" s="6"/>
      <c r="Q731" s="6"/>
      <c r="R731" s="6"/>
      <c r="S731" s="6"/>
      <c r="T731" s="6"/>
      <c r="U731" s="6"/>
      <c r="V731" s="6"/>
      <c r="W731" s="6"/>
    </row>
    <row r="732" spans="1:23" ht="16" x14ac:dyDescent="0.2">
      <c r="A732" s="6"/>
      <c r="B732" s="7"/>
      <c r="C732" s="7"/>
      <c r="D732" s="7"/>
      <c r="E732" s="7"/>
      <c r="F732" s="6"/>
      <c r="G732" s="6"/>
      <c r="H732" s="6"/>
      <c r="I732" s="6"/>
      <c r="J732" s="6"/>
      <c r="K732" s="6"/>
      <c r="L732" s="6"/>
      <c r="M732" s="6"/>
      <c r="N732" s="6"/>
      <c r="O732" s="6"/>
      <c r="P732" s="6"/>
      <c r="Q732" s="6"/>
      <c r="R732" s="6"/>
      <c r="S732" s="6"/>
      <c r="T732" s="6"/>
      <c r="U732" s="6"/>
      <c r="V732" s="6"/>
      <c r="W732" s="6"/>
    </row>
    <row r="733" spans="1:23" ht="16" x14ac:dyDescent="0.2">
      <c r="A733" s="6"/>
      <c r="B733" s="7"/>
      <c r="C733" s="7"/>
      <c r="D733" s="7"/>
      <c r="E733" s="7"/>
      <c r="F733" s="6"/>
      <c r="G733" s="6"/>
      <c r="H733" s="6"/>
      <c r="I733" s="6"/>
      <c r="J733" s="6"/>
      <c r="K733" s="6"/>
      <c r="L733" s="6"/>
      <c r="M733" s="6"/>
      <c r="N733" s="6"/>
      <c r="O733" s="6"/>
      <c r="P733" s="6"/>
      <c r="Q733" s="6"/>
      <c r="R733" s="6"/>
      <c r="S733" s="6"/>
      <c r="T733" s="6"/>
      <c r="U733" s="6"/>
      <c r="V733" s="6"/>
      <c r="W733" s="6"/>
    </row>
    <row r="734" spans="1:23" ht="16" x14ac:dyDescent="0.2">
      <c r="A734" s="6"/>
      <c r="B734" s="7"/>
      <c r="C734" s="7"/>
      <c r="D734" s="7"/>
      <c r="E734" s="7"/>
      <c r="F734" s="6"/>
      <c r="G734" s="6"/>
      <c r="H734" s="6"/>
      <c r="I734" s="6"/>
      <c r="J734" s="6"/>
      <c r="K734" s="6"/>
      <c r="L734" s="6"/>
      <c r="M734" s="6"/>
      <c r="N734" s="6"/>
      <c r="O734" s="6"/>
      <c r="P734" s="6"/>
      <c r="Q734" s="6"/>
      <c r="R734" s="6"/>
      <c r="S734" s="6"/>
      <c r="T734" s="6"/>
      <c r="U734" s="6"/>
      <c r="V734" s="6"/>
      <c r="W734" s="6"/>
    </row>
    <row r="735" spans="1:23" ht="16" x14ac:dyDescent="0.2">
      <c r="A735" s="6"/>
      <c r="B735" s="7"/>
      <c r="C735" s="7"/>
      <c r="D735" s="7"/>
      <c r="E735" s="7"/>
      <c r="F735" s="6"/>
      <c r="G735" s="6"/>
      <c r="H735" s="6"/>
      <c r="I735" s="6"/>
      <c r="J735" s="6"/>
      <c r="K735" s="6"/>
      <c r="L735" s="6"/>
      <c r="M735" s="6"/>
      <c r="N735" s="6"/>
      <c r="O735" s="6"/>
      <c r="P735" s="6"/>
      <c r="Q735" s="6"/>
      <c r="R735" s="6"/>
      <c r="S735" s="6"/>
      <c r="T735" s="6"/>
      <c r="U735" s="6"/>
      <c r="V735" s="6"/>
      <c r="W735" s="6"/>
    </row>
    <row r="736" spans="1:23" ht="16" x14ac:dyDescent="0.2">
      <c r="A736" s="6"/>
      <c r="B736" s="7"/>
      <c r="C736" s="7"/>
      <c r="D736" s="7"/>
      <c r="E736" s="7"/>
      <c r="F736" s="6"/>
      <c r="G736" s="6"/>
      <c r="H736" s="6"/>
      <c r="I736" s="6"/>
      <c r="J736" s="6"/>
      <c r="K736" s="6"/>
      <c r="L736" s="6"/>
      <c r="M736" s="6"/>
      <c r="N736" s="6"/>
      <c r="O736" s="6"/>
      <c r="P736" s="6"/>
      <c r="Q736" s="6"/>
      <c r="R736" s="6"/>
      <c r="S736" s="6"/>
      <c r="T736" s="6"/>
      <c r="U736" s="6"/>
      <c r="V736" s="6"/>
      <c r="W736" s="6"/>
    </row>
    <row r="737" spans="1:23" ht="16" x14ac:dyDescent="0.2">
      <c r="A737" s="6"/>
      <c r="B737" s="7"/>
      <c r="C737" s="7"/>
      <c r="D737" s="7"/>
      <c r="E737" s="7"/>
      <c r="F737" s="6"/>
      <c r="G737" s="6"/>
      <c r="H737" s="6"/>
      <c r="I737" s="6"/>
      <c r="J737" s="6"/>
      <c r="K737" s="6"/>
      <c r="L737" s="6"/>
      <c r="M737" s="6"/>
      <c r="N737" s="6"/>
      <c r="O737" s="6"/>
      <c r="P737" s="6"/>
      <c r="Q737" s="6"/>
      <c r="R737" s="6"/>
      <c r="S737" s="6"/>
      <c r="T737" s="6"/>
      <c r="U737" s="6"/>
      <c r="V737" s="6"/>
      <c r="W737" s="6"/>
    </row>
    <row r="738" spans="1:23" ht="16" x14ac:dyDescent="0.2">
      <c r="A738" s="6"/>
      <c r="B738" s="7"/>
      <c r="C738" s="7"/>
      <c r="D738" s="7"/>
      <c r="E738" s="7"/>
      <c r="F738" s="6"/>
      <c r="G738" s="6"/>
      <c r="H738" s="6"/>
      <c r="I738" s="6"/>
      <c r="J738" s="6"/>
      <c r="K738" s="6"/>
      <c r="L738" s="6"/>
      <c r="M738" s="6"/>
      <c r="N738" s="6"/>
      <c r="O738" s="6"/>
      <c r="P738" s="6"/>
      <c r="Q738" s="6"/>
      <c r="R738" s="6"/>
      <c r="S738" s="6"/>
      <c r="T738" s="6"/>
      <c r="U738" s="6"/>
      <c r="V738" s="6"/>
      <c r="W738" s="6"/>
    </row>
    <row r="739" spans="1:23" ht="16" x14ac:dyDescent="0.2">
      <c r="A739" s="6"/>
      <c r="B739" s="7"/>
      <c r="C739" s="7"/>
      <c r="D739" s="7"/>
      <c r="E739" s="7"/>
      <c r="F739" s="6"/>
      <c r="G739" s="6"/>
      <c r="H739" s="6"/>
      <c r="I739" s="6"/>
      <c r="J739" s="6"/>
      <c r="K739" s="6"/>
      <c r="L739" s="6"/>
      <c r="M739" s="6"/>
      <c r="N739" s="6"/>
      <c r="O739" s="6"/>
      <c r="P739" s="6"/>
      <c r="Q739" s="6"/>
      <c r="R739" s="6"/>
      <c r="S739" s="6"/>
      <c r="T739" s="6"/>
      <c r="U739" s="6"/>
      <c r="V739" s="6"/>
      <c r="W739" s="6"/>
    </row>
    <row r="740" spans="1:23" ht="16" x14ac:dyDescent="0.2">
      <c r="A740" s="6"/>
      <c r="B740" s="7"/>
      <c r="C740" s="7"/>
      <c r="D740" s="7"/>
      <c r="E740" s="7"/>
      <c r="F740" s="6"/>
      <c r="G740" s="6"/>
      <c r="H740" s="6"/>
      <c r="I740" s="6"/>
      <c r="J740" s="6"/>
      <c r="K740" s="6"/>
      <c r="L740" s="6"/>
      <c r="M740" s="6"/>
      <c r="N740" s="6"/>
      <c r="O740" s="6"/>
      <c r="P740" s="6"/>
      <c r="Q740" s="6"/>
      <c r="R740" s="6"/>
      <c r="S740" s="6"/>
      <c r="T740" s="6"/>
      <c r="U740" s="6"/>
      <c r="V740" s="6"/>
      <c r="W740" s="6"/>
    </row>
    <row r="741" spans="1:23" ht="16" x14ac:dyDescent="0.2">
      <c r="A741" s="6"/>
      <c r="B741" s="7"/>
      <c r="C741" s="7"/>
      <c r="D741" s="7"/>
      <c r="E741" s="7"/>
      <c r="F741" s="6"/>
      <c r="G741" s="6"/>
      <c r="H741" s="6"/>
      <c r="I741" s="6"/>
      <c r="J741" s="6"/>
      <c r="K741" s="6"/>
      <c r="L741" s="6"/>
      <c r="M741" s="6"/>
      <c r="N741" s="6"/>
      <c r="O741" s="6"/>
      <c r="P741" s="6"/>
      <c r="Q741" s="6"/>
      <c r="R741" s="6"/>
      <c r="S741" s="6"/>
      <c r="T741" s="6"/>
      <c r="U741" s="6"/>
      <c r="V741" s="6"/>
      <c r="W741" s="6"/>
    </row>
    <row r="742" spans="1:23" ht="16" x14ac:dyDescent="0.2">
      <c r="A742" s="6"/>
      <c r="B742" s="7"/>
      <c r="C742" s="7"/>
      <c r="D742" s="7"/>
      <c r="E742" s="7"/>
      <c r="F742" s="6"/>
      <c r="G742" s="6"/>
      <c r="H742" s="6"/>
      <c r="I742" s="6"/>
      <c r="J742" s="6"/>
      <c r="K742" s="6"/>
      <c r="L742" s="6"/>
      <c r="M742" s="6"/>
      <c r="N742" s="6"/>
      <c r="O742" s="6"/>
      <c r="P742" s="6"/>
      <c r="Q742" s="6"/>
      <c r="R742" s="6"/>
      <c r="S742" s="6"/>
      <c r="T742" s="6"/>
      <c r="U742" s="6"/>
      <c r="V742" s="6"/>
      <c r="W742" s="6"/>
    </row>
    <row r="743" spans="1:23" ht="16" x14ac:dyDescent="0.2">
      <c r="A743" s="6"/>
      <c r="B743" s="7"/>
      <c r="C743" s="7"/>
      <c r="D743" s="7"/>
      <c r="E743" s="7"/>
      <c r="F743" s="6"/>
      <c r="G743" s="6"/>
      <c r="H743" s="6"/>
      <c r="I743" s="6"/>
      <c r="J743" s="6"/>
      <c r="K743" s="6"/>
      <c r="L743" s="6"/>
      <c r="M743" s="6"/>
      <c r="N743" s="6"/>
      <c r="O743" s="6"/>
      <c r="P743" s="6"/>
      <c r="Q743" s="6"/>
      <c r="R743" s="6"/>
      <c r="S743" s="6"/>
      <c r="T743" s="6"/>
      <c r="U743" s="6"/>
      <c r="V743" s="6"/>
      <c r="W743" s="6"/>
    </row>
    <row r="744" spans="1:23" ht="16" x14ac:dyDescent="0.2">
      <c r="A744" s="6"/>
      <c r="B744" s="7"/>
      <c r="C744" s="7"/>
      <c r="D744" s="7"/>
      <c r="E744" s="7"/>
      <c r="F744" s="6"/>
      <c r="G744" s="6"/>
      <c r="H744" s="6"/>
      <c r="I744" s="6"/>
      <c r="J744" s="6"/>
      <c r="K744" s="6"/>
      <c r="L744" s="6"/>
      <c r="M744" s="6"/>
      <c r="N744" s="6"/>
      <c r="O744" s="6"/>
      <c r="P744" s="6"/>
      <c r="Q744" s="6"/>
      <c r="R744" s="6"/>
      <c r="S744" s="6"/>
      <c r="T744" s="6"/>
      <c r="U744" s="6"/>
      <c r="V744" s="6"/>
      <c r="W744" s="6"/>
    </row>
    <row r="745" spans="1:23" ht="16" x14ac:dyDescent="0.2">
      <c r="A745" s="6"/>
      <c r="B745" s="7"/>
      <c r="C745" s="7"/>
      <c r="D745" s="7"/>
      <c r="E745" s="7"/>
      <c r="F745" s="6"/>
      <c r="G745" s="6"/>
      <c r="H745" s="6"/>
      <c r="I745" s="6"/>
      <c r="J745" s="6"/>
      <c r="K745" s="6"/>
      <c r="L745" s="6"/>
      <c r="M745" s="6"/>
      <c r="N745" s="6"/>
      <c r="O745" s="6"/>
      <c r="P745" s="6"/>
      <c r="Q745" s="6"/>
      <c r="R745" s="6"/>
      <c r="S745" s="6"/>
      <c r="T745" s="6"/>
      <c r="U745" s="6"/>
      <c r="V745" s="6"/>
      <c r="W745" s="6"/>
    </row>
    <row r="746" spans="1:23" ht="16" x14ac:dyDescent="0.2">
      <c r="A746" s="6"/>
      <c r="B746" s="7"/>
      <c r="C746" s="7"/>
      <c r="D746" s="7"/>
      <c r="E746" s="7"/>
      <c r="F746" s="6"/>
      <c r="G746" s="6"/>
      <c r="H746" s="6"/>
      <c r="I746" s="6"/>
      <c r="J746" s="6"/>
      <c r="K746" s="6"/>
      <c r="L746" s="6"/>
      <c r="M746" s="6"/>
      <c r="N746" s="6"/>
      <c r="O746" s="6"/>
      <c r="P746" s="6"/>
      <c r="Q746" s="6"/>
      <c r="R746" s="6"/>
      <c r="S746" s="6"/>
      <c r="T746" s="6"/>
      <c r="U746" s="6"/>
      <c r="V746" s="6"/>
      <c r="W746" s="6"/>
    </row>
    <row r="747" spans="1:23" ht="16" x14ac:dyDescent="0.2">
      <c r="A747" s="6"/>
      <c r="B747" s="7"/>
      <c r="C747" s="7"/>
      <c r="D747" s="7"/>
      <c r="E747" s="7"/>
      <c r="F747" s="6"/>
      <c r="G747" s="6"/>
      <c r="H747" s="6"/>
      <c r="I747" s="6"/>
      <c r="J747" s="6"/>
      <c r="K747" s="6"/>
      <c r="L747" s="6"/>
      <c r="M747" s="6"/>
      <c r="N747" s="6"/>
      <c r="O747" s="6"/>
      <c r="P747" s="6"/>
      <c r="Q747" s="6"/>
      <c r="R747" s="6"/>
      <c r="S747" s="6"/>
      <c r="T747" s="6"/>
      <c r="U747" s="6"/>
      <c r="V747" s="6"/>
      <c r="W747" s="6"/>
    </row>
    <row r="748" spans="1:23" ht="16" x14ac:dyDescent="0.2">
      <c r="A748" s="6"/>
      <c r="B748" s="7"/>
      <c r="C748" s="7"/>
      <c r="D748" s="7"/>
      <c r="E748" s="7"/>
      <c r="F748" s="6"/>
      <c r="G748" s="6"/>
      <c r="H748" s="6"/>
      <c r="I748" s="6"/>
      <c r="J748" s="6"/>
      <c r="K748" s="6"/>
      <c r="L748" s="6"/>
      <c r="M748" s="6"/>
      <c r="N748" s="6"/>
      <c r="O748" s="6"/>
      <c r="P748" s="6"/>
      <c r="Q748" s="6"/>
      <c r="R748" s="6"/>
      <c r="S748" s="6"/>
      <c r="T748" s="6"/>
      <c r="U748" s="6"/>
      <c r="V748" s="6"/>
      <c r="W748" s="6"/>
    </row>
    <row r="749" spans="1:23" ht="16" x14ac:dyDescent="0.2">
      <c r="A749" s="6"/>
      <c r="B749" s="7"/>
      <c r="C749" s="7"/>
      <c r="D749" s="7"/>
      <c r="E749" s="7"/>
      <c r="F749" s="6"/>
      <c r="G749" s="6"/>
      <c r="H749" s="6"/>
      <c r="I749" s="6"/>
      <c r="J749" s="6"/>
      <c r="K749" s="6"/>
      <c r="L749" s="6"/>
      <c r="M749" s="6"/>
      <c r="N749" s="6"/>
      <c r="O749" s="6"/>
      <c r="P749" s="6"/>
      <c r="Q749" s="6"/>
      <c r="R749" s="6"/>
      <c r="S749" s="6"/>
      <c r="T749" s="6"/>
      <c r="U749" s="6"/>
      <c r="V749" s="6"/>
      <c r="W749" s="6"/>
    </row>
    <row r="750" spans="1:23" ht="16" x14ac:dyDescent="0.2">
      <c r="A750" s="6"/>
      <c r="B750" s="7"/>
      <c r="C750" s="7"/>
      <c r="D750" s="7"/>
      <c r="E750" s="7"/>
      <c r="F750" s="6"/>
      <c r="G750" s="6"/>
      <c r="H750" s="6"/>
      <c r="I750" s="6"/>
      <c r="J750" s="6"/>
      <c r="K750" s="6"/>
      <c r="L750" s="6"/>
      <c r="M750" s="6"/>
      <c r="N750" s="6"/>
      <c r="O750" s="6"/>
      <c r="P750" s="6"/>
      <c r="Q750" s="6"/>
      <c r="R750" s="6"/>
      <c r="S750" s="6"/>
      <c r="T750" s="6"/>
      <c r="U750" s="6"/>
      <c r="V750" s="6"/>
      <c r="W750" s="6"/>
    </row>
    <row r="751" spans="1:23" ht="16" x14ac:dyDescent="0.2">
      <c r="A751" s="6"/>
      <c r="B751" s="7"/>
      <c r="C751" s="7"/>
      <c r="D751" s="7"/>
      <c r="E751" s="7"/>
      <c r="F751" s="6"/>
      <c r="G751" s="6"/>
      <c r="H751" s="6"/>
      <c r="I751" s="6"/>
      <c r="J751" s="6"/>
      <c r="K751" s="6"/>
      <c r="L751" s="6"/>
      <c r="M751" s="6"/>
      <c r="N751" s="6"/>
      <c r="O751" s="6"/>
      <c r="P751" s="6"/>
      <c r="Q751" s="6"/>
      <c r="R751" s="6"/>
      <c r="S751" s="6"/>
      <c r="T751" s="6"/>
      <c r="U751" s="6"/>
      <c r="V751" s="6"/>
      <c r="W751" s="6"/>
    </row>
    <row r="752" spans="1:23" ht="16" x14ac:dyDescent="0.2">
      <c r="A752" s="6"/>
      <c r="B752" s="7"/>
      <c r="C752" s="7"/>
      <c r="D752" s="7"/>
      <c r="E752" s="7"/>
      <c r="F752" s="6"/>
      <c r="G752" s="6"/>
      <c r="H752" s="6"/>
      <c r="I752" s="6"/>
      <c r="J752" s="6"/>
      <c r="K752" s="6"/>
      <c r="L752" s="6"/>
      <c r="M752" s="6"/>
      <c r="N752" s="6"/>
      <c r="O752" s="6"/>
      <c r="P752" s="6"/>
      <c r="Q752" s="6"/>
      <c r="R752" s="6"/>
      <c r="S752" s="6"/>
      <c r="T752" s="6"/>
      <c r="U752" s="6"/>
      <c r="V752" s="6"/>
      <c r="W752" s="6"/>
    </row>
    <row r="753" spans="1:23" ht="16" x14ac:dyDescent="0.2">
      <c r="A753" s="6"/>
      <c r="B753" s="7"/>
      <c r="C753" s="7"/>
      <c r="D753" s="7"/>
      <c r="E753" s="7"/>
      <c r="F753" s="6"/>
      <c r="G753" s="6"/>
      <c r="H753" s="6"/>
      <c r="I753" s="6"/>
      <c r="J753" s="6"/>
      <c r="K753" s="6"/>
      <c r="L753" s="6"/>
      <c r="M753" s="6"/>
      <c r="N753" s="6"/>
      <c r="O753" s="6"/>
      <c r="P753" s="6"/>
      <c r="Q753" s="6"/>
      <c r="R753" s="6"/>
      <c r="S753" s="6"/>
      <c r="T753" s="6"/>
      <c r="U753" s="6"/>
      <c r="V753" s="6"/>
      <c r="W753" s="6"/>
    </row>
    <row r="754" spans="1:23" ht="16" x14ac:dyDescent="0.2">
      <c r="A754" s="6"/>
      <c r="B754" s="7"/>
      <c r="C754" s="7"/>
      <c r="D754" s="7"/>
      <c r="E754" s="7"/>
      <c r="F754" s="6"/>
      <c r="G754" s="6"/>
      <c r="H754" s="6"/>
      <c r="I754" s="6"/>
      <c r="J754" s="6"/>
      <c r="K754" s="6"/>
      <c r="L754" s="6"/>
      <c r="M754" s="6"/>
      <c r="N754" s="6"/>
      <c r="O754" s="6"/>
      <c r="P754" s="6"/>
      <c r="Q754" s="6"/>
      <c r="R754" s="6"/>
      <c r="S754" s="6"/>
      <c r="T754" s="6"/>
      <c r="U754" s="6"/>
      <c r="V754" s="6"/>
      <c r="W754" s="6"/>
    </row>
    <row r="755" spans="1:23" ht="16" x14ac:dyDescent="0.2">
      <c r="A755" s="6"/>
      <c r="B755" s="7"/>
      <c r="C755" s="7"/>
      <c r="D755" s="7"/>
      <c r="E755" s="7"/>
      <c r="F755" s="6"/>
      <c r="G755" s="6"/>
      <c r="H755" s="6"/>
      <c r="I755" s="6"/>
      <c r="J755" s="6"/>
      <c r="K755" s="6"/>
      <c r="L755" s="6"/>
      <c r="M755" s="6"/>
      <c r="N755" s="6"/>
      <c r="O755" s="6"/>
      <c r="P755" s="6"/>
      <c r="Q755" s="6"/>
      <c r="R755" s="6"/>
      <c r="S755" s="6"/>
      <c r="T755" s="6"/>
      <c r="U755" s="6"/>
      <c r="V755" s="6"/>
      <c r="W755" s="6"/>
    </row>
    <row r="756" spans="1:23" ht="16" x14ac:dyDescent="0.2">
      <c r="A756" s="6"/>
      <c r="B756" s="7"/>
      <c r="C756" s="7"/>
      <c r="D756" s="7"/>
      <c r="E756" s="7"/>
      <c r="F756" s="6"/>
      <c r="G756" s="6"/>
      <c r="H756" s="6"/>
      <c r="I756" s="6"/>
      <c r="J756" s="6"/>
      <c r="K756" s="6"/>
      <c r="L756" s="6"/>
      <c r="M756" s="6"/>
      <c r="N756" s="6"/>
      <c r="O756" s="6"/>
      <c r="P756" s="6"/>
      <c r="Q756" s="6"/>
      <c r="R756" s="6"/>
      <c r="S756" s="6"/>
      <c r="T756" s="6"/>
      <c r="U756" s="6"/>
      <c r="V756" s="6"/>
      <c r="W756" s="6"/>
    </row>
    <row r="757" spans="1:23" ht="16" x14ac:dyDescent="0.2">
      <c r="A757" s="6"/>
      <c r="B757" s="7"/>
      <c r="C757" s="7"/>
      <c r="D757" s="7"/>
      <c r="E757" s="7"/>
      <c r="F757" s="6"/>
      <c r="G757" s="6"/>
      <c r="H757" s="6"/>
      <c r="I757" s="6"/>
      <c r="J757" s="6"/>
      <c r="K757" s="6"/>
      <c r="L757" s="6"/>
      <c r="M757" s="6"/>
      <c r="N757" s="6"/>
      <c r="O757" s="6"/>
      <c r="P757" s="6"/>
      <c r="Q757" s="6"/>
      <c r="R757" s="6"/>
      <c r="S757" s="6"/>
      <c r="T757" s="6"/>
      <c r="U757" s="6"/>
      <c r="V757" s="6"/>
      <c r="W757" s="6"/>
    </row>
    <row r="758" spans="1:23" ht="16" x14ac:dyDescent="0.2">
      <c r="A758" s="6"/>
      <c r="B758" s="7"/>
      <c r="C758" s="7"/>
      <c r="D758" s="7"/>
      <c r="E758" s="7"/>
      <c r="F758" s="6"/>
      <c r="G758" s="6"/>
      <c r="H758" s="6"/>
      <c r="I758" s="6"/>
      <c r="J758" s="6"/>
      <c r="K758" s="6"/>
      <c r="L758" s="6"/>
      <c r="M758" s="6"/>
      <c r="N758" s="6"/>
      <c r="O758" s="6"/>
      <c r="P758" s="6"/>
      <c r="Q758" s="6"/>
      <c r="R758" s="6"/>
      <c r="S758" s="6"/>
      <c r="T758" s="6"/>
      <c r="U758" s="6"/>
      <c r="V758" s="6"/>
      <c r="W758" s="6"/>
    </row>
    <row r="759" spans="1:23" ht="16" x14ac:dyDescent="0.2">
      <c r="A759" s="6"/>
      <c r="B759" s="7"/>
      <c r="C759" s="7"/>
      <c r="D759" s="7"/>
      <c r="E759" s="7"/>
      <c r="F759" s="6"/>
      <c r="G759" s="6"/>
      <c r="H759" s="6"/>
      <c r="I759" s="6"/>
      <c r="J759" s="6"/>
      <c r="K759" s="6"/>
      <c r="L759" s="6"/>
      <c r="M759" s="6"/>
      <c r="N759" s="6"/>
      <c r="O759" s="6"/>
      <c r="P759" s="6"/>
      <c r="Q759" s="6"/>
      <c r="R759" s="6"/>
      <c r="S759" s="6"/>
      <c r="T759" s="6"/>
      <c r="U759" s="6"/>
      <c r="V759" s="6"/>
      <c r="W759" s="6"/>
    </row>
    <row r="760" spans="1:23" ht="16" x14ac:dyDescent="0.2">
      <c r="A760" s="6"/>
      <c r="B760" s="7"/>
      <c r="C760" s="7"/>
      <c r="D760" s="7"/>
      <c r="E760" s="7"/>
      <c r="F760" s="6"/>
      <c r="G760" s="6"/>
      <c r="H760" s="6"/>
      <c r="I760" s="6"/>
      <c r="J760" s="6"/>
      <c r="K760" s="6"/>
      <c r="L760" s="6"/>
      <c r="M760" s="6"/>
      <c r="N760" s="6"/>
      <c r="O760" s="6"/>
      <c r="P760" s="6"/>
      <c r="Q760" s="6"/>
      <c r="R760" s="6"/>
      <c r="S760" s="6"/>
      <c r="T760" s="6"/>
      <c r="U760" s="6"/>
      <c r="V760" s="6"/>
      <c r="W760" s="6"/>
    </row>
    <row r="761" spans="1:23" ht="16" x14ac:dyDescent="0.2">
      <c r="A761" s="6"/>
      <c r="B761" s="7"/>
      <c r="C761" s="7"/>
      <c r="D761" s="7"/>
      <c r="E761" s="7"/>
      <c r="F761" s="6"/>
      <c r="G761" s="6"/>
      <c r="H761" s="6"/>
      <c r="I761" s="6"/>
      <c r="J761" s="6"/>
      <c r="K761" s="6"/>
      <c r="L761" s="6"/>
      <c r="M761" s="6"/>
      <c r="N761" s="6"/>
      <c r="O761" s="6"/>
      <c r="P761" s="6"/>
      <c r="Q761" s="6"/>
      <c r="R761" s="6"/>
      <c r="S761" s="6"/>
      <c r="T761" s="6"/>
      <c r="U761" s="6"/>
      <c r="V761" s="6"/>
      <c r="W761" s="6"/>
    </row>
    <row r="762" spans="1:23" ht="16" x14ac:dyDescent="0.2">
      <c r="A762" s="6"/>
      <c r="B762" s="7"/>
      <c r="C762" s="7"/>
      <c r="D762" s="7"/>
      <c r="E762" s="7"/>
      <c r="F762" s="6"/>
      <c r="G762" s="6"/>
      <c r="H762" s="6"/>
      <c r="I762" s="6"/>
      <c r="J762" s="6"/>
      <c r="K762" s="6"/>
      <c r="L762" s="6"/>
      <c r="M762" s="6"/>
      <c r="N762" s="6"/>
      <c r="O762" s="6"/>
      <c r="P762" s="6"/>
      <c r="Q762" s="6"/>
      <c r="R762" s="6"/>
      <c r="S762" s="6"/>
      <c r="T762" s="6"/>
      <c r="U762" s="6"/>
      <c r="V762" s="6"/>
      <c r="W762" s="6"/>
    </row>
    <row r="763" spans="1:23" ht="16" x14ac:dyDescent="0.2">
      <c r="A763" s="6"/>
      <c r="B763" s="7"/>
      <c r="C763" s="7"/>
      <c r="D763" s="7"/>
      <c r="E763" s="7"/>
      <c r="F763" s="6"/>
      <c r="G763" s="6"/>
      <c r="H763" s="6"/>
      <c r="I763" s="6"/>
      <c r="J763" s="6"/>
      <c r="K763" s="6"/>
      <c r="L763" s="6"/>
      <c r="M763" s="6"/>
      <c r="N763" s="6"/>
      <c r="O763" s="6"/>
      <c r="P763" s="6"/>
      <c r="Q763" s="6"/>
      <c r="R763" s="6"/>
      <c r="S763" s="6"/>
      <c r="T763" s="6"/>
      <c r="U763" s="6"/>
      <c r="V763" s="6"/>
      <c r="W763" s="6"/>
    </row>
    <row r="764" spans="1:23" ht="16" x14ac:dyDescent="0.2">
      <c r="A764" s="6"/>
      <c r="B764" s="7"/>
      <c r="C764" s="7"/>
      <c r="D764" s="7"/>
      <c r="E764" s="7"/>
      <c r="F764" s="6"/>
      <c r="G764" s="6"/>
      <c r="H764" s="6"/>
      <c r="I764" s="6"/>
      <c r="J764" s="6"/>
      <c r="K764" s="6"/>
      <c r="L764" s="6"/>
      <c r="M764" s="6"/>
      <c r="N764" s="6"/>
      <c r="O764" s="6"/>
      <c r="P764" s="6"/>
      <c r="Q764" s="6"/>
      <c r="R764" s="6"/>
      <c r="S764" s="6"/>
      <c r="T764" s="6"/>
      <c r="U764" s="6"/>
      <c r="V764" s="6"/>
      <c r="W764" s="6"/>
    </row>
    <row r="765" spans="1:23" ht="16" x14ac:dyDescent="0.2">
      <c r="A765" s="6"/>
      <c r="B765" s="7"/>
      <c r="C765" s="7"/>
      <c r="D765" s="7"/>
      <c r="E765" s="7"/>
      <c r="F765" s="6"/>
      <c r="G765" s="6"/>
      <c r="H765" s="6"/>
      <c r="I765" s="6"/>
      <c r="J765" s="6"/>
      <c r="K765" s="6"/>
      <c r="L765" s="6"/>
      <c r="M765" s="6"/>
      <c r="N765" s="6"/>
      <c r="O765" s="6"/>
      <c r="P765" s="6"/>
      <c r="Q765" s="6"/>
      <c r="R765" s="6"/>
      <c r="S765" s="6"/>
      <c r="T765" s="6"/>
      <c r="U765" s="6"/>
      <c r="V765" s="6"/>
      <c r="W765" s="6"/>
    </row>
    <row r="766" spans="1:23" ht="16" x14ac:dyDescent="0.2">
      <c r="A766" s="6"/>
      <c r="B766" s="7"/>
      <c r="C766" s="7"/>
      <c r="D766" s="7"/>
      <c r="E766" s="7"/>
      <c r="F766" s="6"/>
      <c r="G766" s="6"/>
      <c r="H766" s="6"/>
      <c r="I766" s="6"/>
      <c r="J766" s="6"/>
      <c r="K766" s="6"/>
      <c r="L766" s="6"/>
      <c r="M766" s="6"/>
      <c r="N766" s="6"/>
      <c r="O766" s="6"/>
      <c r="P766" s="6"/>
      <c r="Q766" s="6"/>
      <c r="R766" s="6"/>
      <c r="S766" s="6"/>
      <c r="T766" s="6"/>
      <c r="U766" s="6"/>
      <c r="V766" s="6"/>
      <c r="W766" s="6"/>
    </row>
    <row r="767" spans="1:23" ht="16" x14ac:dyDescent="0.2">
      <c r="A767" s="6"/>
      <c r="B767" s="7"/>
      <c r="C767" s="7"/>
      <c r="D767" s="7"/>
      <c r="E767" s="7"/>
      <c r="F767" s="6"/>
      <c r="G767" s="6"/>
      <c r="H767" s="6"/>
      <c r="I767" s="6"/>
      <c r="J767" s="6"/>
      <c r="K767" s="6"/>
      <c r="L767" s="6"/>
      <c r="M767" s="6"/>
      <c r="N767" s="6"/>
      <c r="O767" s="6"/>
      <c r="P767" s="6"/>
      <c r="Q767" s="6"/>
      <c r="R767" s="6"/>
      <c r="S767" s="6"/>
      <c r="T767" s="6"/>
      <c r="U767" s="6"/>
      <c r="V767" s="6"/>
      <c r="W767" s="6"/>
    </row>
    <row r="768" spans="1:23" ht="16" x14ac:dyDescent="0.2">
      <c r="A768" s="6"/>
      <c r="B768" s="7"/>
      <c r="C768" s="7"/>
      <c r="D768" s="7"/>
      <c r="E768" s="7"/>
      <c r="F768" s="6"/>
      <c r="G768" s="6"/>
      <c r="H768" s="6"/>
      <c r="I768" s="6"/>
      <c r="J768" s="6"/>
      <c r="K768" s="6"/>
      <c r="L768" s="6"/>
      <c r="M768" s="6"/>
      <c r="N768" s="6"/>
      <c r="O768" s="6"/>
      <c r="P768" s="6"/>
      <c r="Q768" s="6"/>
      <c r="R768" s="6"/>
      <c r="S768" s="6"/>
      <c r="T768" s="6"/>
      <c r="U768" s="6"/>
      <c r="V768" s="6"/>
      <c r="W768" s="6"/>
    </row>
    <row r="769" spans="1:23" ht="16" x14ac:dyDescent="0.2">
      <c r="A769" s="6"/>
      <c r="B769" s="7"/>
      <c r="C769" s="7"/>
      <c r="D769" s="7"/>
      <c r="E769" s="7"/>
      <c r="F769" s="6"/>
      <c r="G769" s="6"/>
      <c r="H769" s="6"/>
      <c r="I769" s="6"/>
      <c r="J769" s="6"/>
      <c r="K769" s="6"/>
      <c r="L769" s="6"/>
      <c r="M769" s="6"/>
      <c r="N769" s="6"/>
      <c r="O769" s="6"/>
      <c r="P769" s="6"/>
      <c r="Q769" s="6"/>
      <c r="R769" s="6"/>
      <c r="S769" s="6"/>
      <c r="T769" s="6"/>
      <c r="U769" s="6"/>
      <c r="V769" s="6"/>
      <c r="W769" s="6"/>
    </row>
    <row r="770" spans="1:23" ht="16" x14ac:dyDescent="0.2">
      <c r="A770" s="6"/>
      <c r="B770" s="7"/>
      <c r="C770" s="7"/>
      <c r="D770" s="7"/>
      <c r="E770" s="7"/>
      <c r="F770" s="6"/>
      <c r="G770" s="6"/>
      <c r="H770" s="6"/>
      <c r="I770" s="6"/>
      <c r="J770" s="6"/>
      <c r="K770" s="6"/>
      <c r="L770" s="6"/>
      <c r="M770" s="6"/>
      <c r="N770" s="6"/>
      <c r="O770" s="6"/>
      <c r="P770" s="6"/>
      <c r="Q770" s="6"/>
      <c r="R770" s="6"/>
      <c r="S770" s="6"/>
      <c r="T770" s="6"/>
      <c r="U770" s="6"/>
      <c r="V770" s="6"/>
      <c r="W770" s="6"/>
    </row>
    <row r="771" spans="1:23" ht="16" x14ac:dyDescent="0.2">
      <c r="A771" s="6"/>
      <c r="B771" s="7"/>
      <c r="C771" s="7"/>
      <c r="D771" s="7"/>
      <c r="E771" s="7"/>
      <c r="F771" s="6"/>
      <c r="G771" s="6"/>
      <c r="H771" s="6"/>
      <c r="I771" s="6"/>
      <c r="J771" s="6"/>
      <c r="K771" s="6"/>
      <c r="L771" s="6"/>
      <c r="M771" s="6"/>
      <c r="N771" s="6"/>
      <c r="O771" s="6"/>
      <c r="P771" s="6"/>
      <c r="Q771" s="6"/>
      <c r="R771" s="6"/>
      <c r="S771" s="6"/>
      <c r="T771" s="6"/>
      <c r="U771" s="6"/>
      <c r="V771" s="6"/>
      <c r="W771" s="6"/>
    </row>
    <row r="772" spans="1:23" ht="16" x14ac:dyDescent="0.2">
      <c r="A772" s="6"/>
      <c r="B772" s="7"/>
      <c r="C772" s="7"/>
      <c r="D772" s="7"/>
      <c r="E772" s="7"/>
      <c r="F772" s="6"/>
      <c r="G772" s="6"/>
      <c r="H772" s="6"/>
      <c r="I772" s="6"/>
      <c r="J772" s="6"/>
      <c r="K772" s="6"/>
      <c r="L772" s="6"/>
      <c r="M772" s="6"/>
      <c r="N772" s="6"/>
      <c r="O772" s="6"/>
      <c r="P772" s="6"/>
      <c r="Q772" s="6"/>
      <c r="R772" s="6"/>
      <c r="S772" s="6"/>
      <c r="T772" s="6"/>
      <c r="U772" s="6"/>
      <c r="V772" s="6"/>
      <c r="W772" s="6"/>
    </row>
    <row r="773" spans="1:23" ht="16" x14ac:dyDescent="0.2">
      <c r="A773" s="6"/>
      <c r="B773" s="7"/>
      <c r="C773" s="7"/>
      <c r="D773" s="7"/>
      <c r="E773" s="7"/>
      <c r="F773" s="6"/>
      <c r="G773" s="6"/>
      <c r="H773" s="6"/>
      <c r="I773" s="6"/>
      <c r="J773" s="6"/>
      <c r="K773" s="6"/>
      <c r="L773" s="6"/>
      <c r="M773" s="6"/>
      <c r="N773" s="6"/>
      <c r="O773" s="6"/>
      <c r="P773" s="6"/>
      <c r="Q773" s="6"/>
      <c r="R773" s="6"/>
      <c r="S773" s="6"/>
      <c r="T773" s="6"/>
      <c r="U773" s="6"/>
      <c r="V773" s="6"/>
      <c r="W773" s="6"/>
    </row>
    <row r="774" spans="1:23" ht="16" x14ac:dyDescent="0.2">
      <c r="A774" s="6"/>
      <c r="B774" s="7"/>
      <c r="C774" s="7"/>
      <c r="D774" s="7"/>
      <c r="E774" s="7"/>
      <c r="F774" s="6"/>
      <c r="G774" s="6"/>
      <c r="H774" s="6"/>
      <c r="I774" s="6"/>
      <c r="J774" s="6"/>
      <c r="K774" s="6"/>
      <c r="L774" s="6"/>
      <c r="M774" s="6"/>
      <c r="N774" s="6"/>
      <c r="O774" s="6"/>
      <c r="P774" s="6"/>
      <c r="Q774" s="6"/>
      <c r="R774" s="6"/>
      <c r="S774" s="6"/>
      <c r="T774" s="6"/>
      <c r="U774" s="6"/>
      <c r="V774" s="6"/>
      <c r="W774" s="6"/>
    </row>
    <row r="775" spans="1:23" ht="16" x14ac:dyDescent="0.2">
      <c r="A775" s="6"/>
      <c r="B775" s="7"/>
      <c r="C775" s="7"/>
      <c r="D775" s="7"/>
      <c r="E775" s="7"/>
      <c r="F775" s="6"/>
      <c r="G775" s="6"/>
      <c r="H775" s="6"/>
      <c r="I775" s="6"/>
      <c r="J775" s="6"/>
      <c r="K775" s="6"/>
      <c r="L775" s="6"/>
      <c r="M775" s="6"/>
      <c r="N775" s="6"/>
      <c r="O775" s="6"/>
      <c r="P775" s="6"/>
      <c r="Q775" s="6"/>
      <c r="R775" s="6"/>
      <c r="S775" s="6"/>
      <c r="T775" s="6"/>
      <c r="U775" s="6"/>
      <c r="V775" s="6"/>
      <c r="W775" s="6"/>
    </row>
    <row r="776" spans="1:23" ht="16" x14ac:dyDescent="0.2">
      <c r="A776" s="6"/>
      <c r="B776" s="7"/>
      <c r="C776" s="7"/>
      <c r="D776" s="7"/>
      <c r="E776" s="7"/>
      <c r="F776" s="6"/>
      <c r="G776" s="6"/>
      <c r="H776" s="6"/>
      <c r="I776" s="6"/>
      <c r="J776" s="6"/>
      <c r="K776" s="6"/>
      <c r="L776" s="6"/>
      <c r="M776" s="6"/>
      <c r="N776" s="6"/>
      <c r="O776" s="6"/>
      <c r="P776" s="6"/>
      <c r="Q776" s="6"/>
      <c r="R776" s="6"/>
      <c r="S776" s="6"/>
      <c r="T776" s="6"/>
      <c r="U776" s="6"/>
      <c r="V776" s="6"/>
      <c r="W776" s="6"/>
    </row>
    <row r="777" spans="1:23" ht="16" x14ac:dyDescent="0.2">
      <c r="A777" s="6"/>
      <c r="B777" s="7"/>
      <c r="C777" s="7"/>
      <c r="D777" s="7"/>
      <c r="E777" s="7"/>
      <c r="F777" s="6"/>
      <c r="G777" s="6"/>
      <c r="H777" s="6"/>
      <c r="I777" s="6"/>
      <c r="J777" s="6"/>
      <c r="K777" s="6"/>
      <c r="L777" s="6"/>
      <c r="M777" s="6"/>
      <c r="N777" s="6"/>
      <c r="O777" s="6"/>
      <c r="P777" s="6"/>
      <c r="Q777" s="6"/>
      <c r="R777" s="6"/>
      <c r="S777" s="6"/>
      <c r="T777" s="6"/>
      <c r="U777" s="6"/>
      <c r="V777" s="6"/>
      <c r="W777" s="6"/>
    </row>
    <row r="778" spans="1:23" ht="16" x14ac:dyDescent="0.2">
      <c r="A778" s="6"/>
      <c r="B778" s="7"/>
      <c r="C778" s="7"/>
      <c r="D778" s="7"/>
      <c r="E778" s="7"/>
      <c r="F778" s="6"/>
      <c r="G778" s="6"/>
      <c r="H778" s="6"/>
      <c r="I778" s="6"/>
      <c r="J778" s="6"/>
      <c r="K778" s="6"/>
      <c r="L778" s="6"/>
      <c r="M778" s="6"/>
      <c r="N778" s="6"/>
      <c r="O778" s="6"/>
      <c r="P778" s="6"/>
      <c r="Q778" s="6"/>
      <c r="R778" s="6"/>
      <c r="S778" s="6"/>
      <c r="T778" s="6"/>
      <c r="U778" s="6"/>
      <c r="V778" s="6"/>
      <c r="W778" s="6"/>
    </row>
    <row r="779" spans="1:23" ht="16" x14ac:dyDescent="0.2">
      <c r="A779" s="6"/>
      <c r="B779" s="7"/>
      <c r="C779" s="7"/>
      <c r="D779" s="7"/>
      <c r="E779" s="7"/>
      <c r="F779" s="6"/>
      <c r="G779" s="6"/>
      <c r="H779" s="6"/>
      <c r="I779" s="6"/>
      <c r="J779" s="6"/>
      <c r="K779" s="6"/>
      <c r="L779" s="6"/>
      <c r="M779" s="6"/>
      <c r="N779" s="6"/>
      <c r="O779" s="6"/>
      <c r="P779" s="6"/>
      <c r="Q779" s="6"/>
      <c r="R779" s="6"/>
      <c r="S779" s="6"/>
      <c r="T779" s="6"/>
      <c r="U779" s="6"/>
      <c r="V779" s="6"/>
      <c r="W779" s="6"/>
    </row>
    <row r="780" spans="1:23" ht="16" x14ac:dyDescent="0.2">
      <c r="A780" s="6"/>
      <c r="B780" s="7"/>
      <c r="C780" s="7"/>
      <c r="D780" s="7"/>
      <c r="E780" s="7"/>
      <c r="F780" s="6"/>
      <c r="G780" s="6"/>
      <c r="H780" s="6"/>
      <c r="I780" s="6"/>
      <c r="J780" s="6"/>
      <c r="K780" s="6"/>
      <c r="L780" s="6"/>
      <c r="M780" s="6"/>
      <c r="N780" s="6"/>
      <c r="O780" s="6"/>
      <c r="P780" s="6"/>
      <c r="Q780" s="6"/>
      <c r="R780" s="6"/>
      <c r="S780" s="6"/>
      <c r="T780" s="6"/>
      <c r="U780" s="6"/>
      <c r="V780" s="6"/>
      <c r="W780" s="6"/>
    </row>
    <row r="781" spans="1:23" ht="16" x14ac:dyDescent="0.2">
      <c r="A781" s="6"/>
      <c r="B781" s="7"/>
      <c r="C781" s="7"/>
      <c r="D781" s="7"/>
      <c r="E781" s="7"/>
      <c r="F781" s="6"/>
      <c r="G781" s="6"/>
      <c r="H781" s="6"/>
      <c r="I781" s="6"/>
      <c r="J781" s="6"/>
      <c r="K781" s="6"/>
      <c r="L781" s="6"/>
      <c r="M781" s="6"/>
      <c r="N781" s="6"/>
      <c r="O781" s="6"/>
      <c r="P781" s="6"/>
      <c r="Q781" s="6"/>
      <c r="R781" s="6"/>
      <c r="S781" s="6"/>
      <c r="T781" s="6"/>
      <c r="U781" s="6"/>
      <c r="V781" s="6"/>
      <c r="W781" s="6"/>
    </row>
    <row r="782" spans="1:23" ht="16" x14ac:dyDescent="0.2">
      <c r="A782" s="6"/>
      <c r="B782" s="7"/>
      <c r="C782" s="7"/>
      <c r="D782" s="7"/>
      <c r="E782" s="7"/>
      <c r="F782" s="6"/>
      <c r="G782" s="6"/>
      <c r="H782" s="6"/>
      <c r="I782" s="6"/>
      <c r="J782" s="6"/>
      <c r="K782" s="6"/>
      <c r="L782" s="6"/>
      <c r="M782" s="6"/>
      <c r="N782" s="6"/>
      <c r="O782" s="6"/>
      <c r="P782" s="6"/>
      <c r="Q782" s="6"/>
      <c r="R782" s="6"/>
      <c r="S782" s="6"/>
      <c r="T782" s="6"/>
      <c r="U782" s="6"/>
      <c r="V782" s="6"/>
      <c r="W782" s="6"/>
    </row>
    <row r="783" spans="1:23" ht="16" x14ac:dyDescent="0.2">
      <c r="A783" s="6"/>
      <c r="B783" s="7"/>
      <c r="C783" s="7"/>
      <c r="D783" s="7"/>
      <c r="E783" s="7"/>
      <c r="F783" s="6"/>
      <c r="G783" s="6"/>
      <c r="H783" s="6"/>
      <c r="I783" s="6"/>
      <c r="J783" s="6"/>
      <c r="K783" s="6"/>
      <c r="L783" s="6"/>
      <c r="M783" s="6"/>
      <c r="N783" s="6"/>
      <c r="O783" s="6"/>
      <c r="P783" s="6"/>
      <c r="Q783" s="6"/>
      <c r="R783" s="6"/>
      <c r="S783" s="6"/>
      <c r="T783" s="6"/>
      <c r="U783" s="6"/>
      <c r="V783" s="6"/>
      <c r="W783" s="6"/>
    </row>
    <row r="784" spans="1:23" ht="16" x14ac:dyDescent="0.2">
      <c r="A784" s="6"/>
      <c r="B784" s="7"/>
      <c r="C784" s="7"/>
      <c r="D784" s="7"/>
      <c r="E784" s="7"/>
      <c r="F784" s="6"/>
      <c r="G784" s="6"/>
      <c r="H784" s="6"/>
      <c r="I784" s="6"/>
      <c r="J784" s="6"/>
      <c r="K784" s="6"/>
      <c r="L784" s="6"/>
      <c r="M784" s="6"/>
      <c r="N784" s="6"/>
      <c r="O784" s="6"/>
      <c r="P784" s="6"/>
      <c r="Q784" s="6"/>
      <c r="R784" s="6"/>
      <c r="S784" s="6"/>
      <c r="T784" s="6"/>
      <c r="U784" s="6"/>
      <c r="V784" s="6"/>
      <c r="W784" s="6"/>
    </row>
    <row r="785" spans="1:23" ht="16" x14ac:dyDescent="0.2">
      <c r="A785" s="6"/>
      <c r="B785" s="7"/>
      <c r="C785" s="7"/>
      <c r="D785" s="7"/>
      <c r="E785" s="7"/>
      <c r="F785" s="6"/>
      <c r="G785" s="6"/>
      <c r="H785" s="6"/>
      <c r="I785" s="6"/>
      <c r="J785" s="6"/>
      <c r="K785" s="6"/>
      <c r="L785" s="6"/>
      <c r="M785" s="6"/>
      <c r="N785" s="6"/>
      <c r="O785" s="6"/>
      <c r="P785" s="6"/>
      <c r="Q785" s="6"/>
      <c r="R785" s="6"/>
      <c r="S785" s="6"/>
      <c r="T785" s="6"/>
      <c r="U785" s="6"/>
      <c r="V785" s="6"/>
      <c r="W785" s="6"/>
    </row>
    <row r="786" spans="1:23" ht="16" x14ac:dyDescent="0.2">
      <c r="A786" s="6"/>
      <c r="B786" s="7"/>
      <c r="C786" s="7"/>
      <c r="D786" s="7"/>
      <c r="E786" s="7"/>
      <c r="F786" s="6"/>
      <c r="G786" s="6"/>
      <c r="H786" s="6"/>
      <c r="I786" s="6"/>
      <c r="J786" s="6"/>
      <c r="K786" s="6"/>
      <c r="L786" s="6"/>
      <c r="M786" s="6"/>
      <c r="N786" s="6"/>
      <c r="O786" s="6"/>
      <c r="P786" s="6"/>
      <c r="Q786" s="6"/>
      <c r="R786" s="6"/>
      <c r="S786" s="6"/>
      <c r="T786" s="6"/>
      <c r="U786" s="6"/>
      <c r="V786" s="6"/>
      <c r="W786" s="6"/>
    </row>
    <row r="787" spans="1:23" ht="16" x14ac:dyDescent="0.2">
      <c r="A787" s="6"/>
      <c r="B787" s="7"/>
      <c r="C787" s="7"/>
      <c r="D787" s="7"/>
      <c r="E787" s="7"/>
      <c r="F787" s="6"/>
      <c r="G787" s="6"/>
      <c r="H787" s="6"/>
      <c r="I787" s="6"/>
      <c r="J787" s="6"/>
      <c r="K787" s="6"/>
      <c r="L787" s="6"/>
      <c r="M787" s="6"/>
      <c r="N787" s="6"/>
      <c r="O787" s="6"/>
      <c r="P787" s="6"/>
      <c r="Q787" s="6"/>
      <c r="R787" s="6"/>
      <c r="S787" s="6"/>
      <c r="T787" s="6"/>
      <c r="U787" s="6"/>
      <c r="V787" s="6"/>
      <c r="W787" s="6"/>
    </row>
    <row r="788" spans="1:23" ht="16" x14ac:dyDescent="0.2">
      <c r="A788" s="6"/>
      <c r="B788" s="7"/>
      <c r="C788" s="7"/>
      <c r="D788" s="7"/>
      <c r="E788" s="7"/>
      <c r="F788" s="6"/>
      <c r="G788" s="6"/>
      <c r="H788" s="6"/>
      <c r="I788" s="6"/>
      <c r="J788" s="6"/>
      <c r="K788" s="6"/>
      <c r="L788" s="6"/>
      <c r="M788" s="6"/>
      <c r="N788" s="6"/>
      <c r="O788" s="6"/>
      <c r="P788" s="6"/>
      <c r="Q788" s="6"/>
      <c r="R788" s="6"/>
      <c r="S788" s="6"/>
      <c r="T788" s="6"/>
      <c r="U788" s="6"/>
      <c r="V788" s="6"/>
      <c r="W788" s="6"/>
    </row>
    <row r="789" spans="1:23" ht="16" x14ac:dyDescent="0.2">
      <c r="A789" s="6"/>
      <c r="B789" s="7"/>
      <c r="C789" s="7"/>
      <c r="D789" s="7"/>
      <c r="E789" s="7"/>
      <c r="F789" s="6"/>
      <c r="G789" s="6"/>
      <c r="H789" s="6"/>
      <c r="I789" s="6"/>
      <c r="J789" s="6"/>
      <c r="K789" s="6"/>
      <c r="L789" s="6"/>
      <c r="M789" s="6"/>
      <c r="N789" s="6"/>
      <c r="O789" s="6"/>
      <c r="P789" s="6"/>
      <c r="Q789" s="6"/>
      <c r="R789" s="6"/>
      <c r="S789" s="6"/>
      <c r="T789" s="6"/>
      <c r="U789" s="6"/>
      <c r="V789" s="6"/>
      <c r="W789" s="6"/>
    </row>
    <row r="790" spans="1:23" ht="16" x14ac:dyDescent="0.2">
      <c r="A790" s="6"/>
      <c r="B790" s="7"/>
      <c r="C790" s="7"/>
      <c r="D790" s="7"/>
      <c r="E790" s="7"/>
      <c r="F790" s="6"/>
      <c r="G790" s="6"/>
      <c r="H790" s="6"/>
      <c r="I790" s="6"/>
      <c r="J790" s="6"/>
      <c r="K790" s="6"/>
      <c r="L790" s="6"/>
      <c r="M790" s="6"/>
      <c r="N790" s="6"/>
      <c r="O790" s="6"/>
      <c r="P790" s="6"/>
      <c r="Q790" s="6"/>
      <c r="R790" s="6"/>
      <c r="S790" s="6"/>
      <c r="T790" s="6"/>
      <c r="U790" s="6"/>
      <c r="V790" s="6"/>
      <c r="W790" s="6"/>
    </row>
    <row r="791" spans="1:23" ht="16" x14ac:dyDescent="0.2">
      <c r="A791" s="6"/>
      <c r="B791" s="7"/>
      <c r="C791" s="7"/>
      <c r="D791" s="7"/>
      <c r="E791" s="7"/>
      <c r="F791" s="6"/>
      <c r="G791" s="6"/>
      <c r="H791" s="6"/>
      <c r="I791" s="6"/>
      <c r="J791" s="6"/>
      <c r="K791" s="6"/>
      <c r="L791" s="6"/>
      <c r="M791" s="6"/>
      <c r="N791" s="6"/>
      <c r="O791" s="6"/>
      <c r="P791" s="6"/>
      <c r="Q791" s="6"/>
      <c r="R791" s="6"/>
      <c r="S791" s="6"/>
      <c r="T791" s="6"/>
      <c r="U791" s="6"/>
      <c r="V791" s="6"/>
      <c r="W791" s="6"/>
    </row>
    <row r="792" spans="1:23" ht="16" x14ac:dyDescent="0.2">
      <c r="A792" s="6"/>
      <c r="B792" s="7"/>
      <c r="C792" s="7"/>
      <c r="D792" s="7"/>
      <c r="E792" s="7"/>
      <c r="F792" s="6"/>
      <c r="G792" s="6"/>
      <c r="H792" s="6"/>
      <c r="I792" s="6"/>
      <c r="J792" s="6"/>
      <c r="K792" s="6"/>
      <c r="L792" s="6"/>
      <c r="M792" s="6"/>
      <c r="N792" s="6"/>
      <c r="O792" s="6"/>
      <c r="P792" s="6"/>
      <c r="Q792" s="6"/>
      <c r="R792" s="6"/>
      <c r="S792" s="6"/>
      <c r="T792" s="6"/>
      <c r="U792" s="6"/>
      <c r="V792" s="6"/>
      <c r="W792" s="6"/>
    </row>
    <row r="793" spans="1:23" ht="16" x14ac:dyDescent="0.2">
      <c r="A793" s="6"/>
      <c r="B793" s="7"/>
      <c r="C793" s="7"/>
      <c r="D793" s="7"/>
      <c r="E793" s="7"/>
      <c r="F793" s="6"/>
      <c r="G793" s="6"/>
      <c r="H793" s="6"/>
      <c r="I793" s="6"/>
      <c r="J793" s="6"/>
      <c r="K793" s="6"/>
      <c r="L793" s="6"/>
      <c r="M793" s="6"/>
      <c r="N793" s="6"/>
      <c r="O793" s="6"/>
      <c r="P793" s="6"/>
      <c r="Q793" s="6"/>
      <c r="R793" s="6"/>
      <c r="S793" s="6"/>
      <c r="T793" s="6"/>
      <c r="U793" s="6"/>
      <c r="V793" s="6"/>
      <c r="W793" s="6"/>
    </row>
    <row r="794" spans="1:23" ht="16" x14ac:dyDescent="0.2">
      <c r="A794" s="6"/>
      <c r="B794" s="7"/>
      <c r="C794" s="7"/>
      <c r="D794" s="7"/>
      <c r="E794" s="7"/>
      <c r="F794" s="6"/>
      <c r="G794" s="6"/>
      <c r="H794" s="6"/>
      <c r="I794" s="6"/>
      <c r="J794" s="6"/>
      <c r="K794" s="6"/>
      <c r="L794" s="6"/>
      <c r="M794" s="6"/>
      <c r="N794" s="6"/>
      <c r="O794" s="6"/>
      <c r="P794" s="6"/>
      <c r="Q794" s="6"/>
      <c r="R794" s="6"/>
      <c r="S794" s="6"/>
      <c r="T794" s="6"/>
      <c r="U794" s="6"/>
      <c r="V794" s="6"/>
      <c r="W794" s="6"/>
    </row>
    <row r="795" spans="1:23" ht="16" x14ac:dyDescent="0.2">
      <c r="A795" s="6"/>
      <c r="B795" s="7"/>
      <c r="C795" s="7"/>
      <c r="D795" s="7"/>
      <c r="E795" s="7"/>
      <c r="F795" s="6"/>
      <c r="G795" s="6"/>
      <c r="H795" s="6"/>
      <c r="I795" s="6"/>
      <c r="J795" s="6"/>
      <c r="K795" s="6"/>
      <c r="L795" s="6"/>
      <c r="M795" s="6"/>
      <c r="N795" s="6"/>
      <c r="O795" s="6"/>
      <c r="P795" s="6"/>
      <c r="Q795" s="6"/>
      <c r="R795" s="6"/>
      <c r="S795" s="6"/>
      <c r="T795" s="6"/>
      <c r="U795" s="6"/>
      <c r="V795" s="6"/>
      <c r="W795" s="6"/>
    </row>
    <row r="796" spans="1:23" ht="16" x14ac:dyDescent="0.2">
      <c r="A796" s="6"/>
      <c r="B796" s="7"/>
      <c r="C796" s="7"/>
      <c r="D796" s="7"/>
      <c r="E796" s="7"/>
      <c r="F796" s="6"/>
      <c r="G796" s="6"/>
      <c r="H796" s="6"/>
      <c r="I796" s="6"/>
      <c r="J796" s="6"/>
      <c r="K796" s="6"/>
      <c r="L796" s="6"/>
      <c r="M796" s="6"/>
      <c r="N796" s="6"/>
      <c r="O796" s="6"/>
      <c r="P796" s="6"/>
      <c r="Q796" s="6"/>
      <c r="R796" s="6"/>
      <c r="S796" s="6"/>
      <c r="T796" s="6"/>
      <c r="U796" s="6"/>
      <c r="V796" s="6"/>
      <c r="W796" s="6"/>
    </row>
    <row r="797" spans="1:23" ht="16" x14ac:dyDescent="0.2">
      <c r="A797" s="6"/>
      <c r="B797" s="7"/>
      <c r="C797" s="7"/>
      <c r="D797" s="7"/>
      <c r="E797" s="7"/>
      <c r="F797" s="6"/>
      <c r="G797" s="6"/>
      <c r="H797" s="6"/>
      <c r="I797" s="6"/>
      <c r="J797" s="6"/>
      <c r="K797" s="6"/>
      <c r="L797" s="6"/>
      <c r="M797" s="6"/>
      <c r="N797" s="6"/>
      <c r="O797" s="6"/>
      <c r="P797" s="6"/>
      <c r="Q797" s="6"/>
      <c r="R797" s="6"/>
      <c r="S797" s="6"/>
      <c r="T797" s="6"/>
      <c r="U797" s="6"/>
      <c r="V797" s="6"/>
      <c r="W797" s="6"/>
    </row>
    <row r="798" spans="1:23" ht="16" x14ac:dyDescent="0.2">
      <c r="A798" s="6"/>
      <c r="B798" s="7"/>
      <c r="C798" s="7"/>
      <c r="D798" s="7"/>
      <c r="E798" s="7"/>
      <c r="F798" s="6"/>
      <c r="G798" s="6"/>
      <c r="H798" s="6"/>
      <c r="I798" s="6"/>
      <c r="J798" s="6"/>
      <c r="K798" s="6"/>
      <c r="L798" s="6"/>
      <c r="M798" s="6"/>
      <c r="N798" s="6"/>
      <c r="O798" s="6"/>
      <c r="P798" s="6"/>
      <c r="Q798" s="6"/>
      <c r="R798" s="6"/>
      <c r="S798" s="6"/>
      <c r="T798" s="6"/>
      <c r="U798" s="6"/>
      <c r="V798" s="6"/>
      <c r="W798" s="6"/>
    </row>
    <row r="799" spans="1:23" ht="16" x14ac:dyDescent="0.2">
      <c r="A799" s="6"/>
      <c r="B799" s="7"/>
      <c r="C799" s="7"/>
      <c r="D799" s="7"/>
      <c r="E799" s="7"/>
      <c r="F799" s="6"/>
      <c r="G799" s="6"/>
      <c r="H799" s="6"/>
      <c r="I799" s="6"/>
      <c r="J799" s="6"/>
      <c r="K799" s="6"/>
      <c r="L799" s="6"/>
      <c r="M799" s="6"/>
      <c r="N799" s="6"/>
      <c r="O799" s="6"/>
      <c r="P799" s="6"/>
      <c r="Q799" s="6"/>
      <c r="R799" s="6"/>
      <c r="S799" s="6"/>
      <c r="T799" s="6"/>
      <c r="U799" s="6"/>
      <c r="V799" s="6"/>
      <c r="W799" s="6"/>
    </row>
    <row r="800" spans="1:23" ht="16" x14ac:dyDescent="0.2">
      <c r="A800" s="6"/>
      <c r="B800" s="7"/>
      <c r="C800" s="7"/>
      <c r="D800" s="7"/>
      <c r="E800" s="7"/>
      <c r="F800" s="6"/>
      <c r="G800" s="6"/>
      <c r="H800" s="6"/>
      <c r="I800" s="6"/>
      <c r="J800" s="6"/>
      <c r="K800" s="6"/>
      <c r="L800" s="6"/>
      <c r="M800" s="6"/>
      <c r="N800" s="6"/>
      <c r="O800" s="6"/>
      <c r="P800" s="6"/>
      <c r="Q800" s="6"/>
      <c r="R800" s="6"/>
      <c r="S800" s="6"/>
      <c r="T800" s="6"/>
      <c r="U800" s="6"/>
      <c r="V800" s="6"/>
      <c r="W800" s="6"/>
    </row>
    <row r="801" spans="1:23" ht="16" x14ac:dyDescent="0.2">
      <c r="A801" s="6"/>
      <c r="B801" s="7"/>
      <c r="C801" s="7"/>
      <c r="D801" s="7"/>
      <c r="E801" s="7"/>
      <c r="F801" s="6"/>
      <c r="G801" s="6"/>
      <c r="H801" s="6"/>
      <c r="I801" s="6"/>
      <c r="J801" s="6"/>
      <c r="K801" s="6"/>
      <c r="L801" s="6"/>
      <c r="M801" s="6"/>
      <c r="N801" s="6"/>
      <c r="O801" s="6"/>
      <c r="P801" s="6"/>
      <c r="Q801" s="6"/>
      <c r="R801" s="6"/>
      <c r="S801" s="6"/>
      <c r="T801" s="6"/>
      <c r="U801" s="6"/>
      <c r="V801" s="6"/>
      <c r="W801" s="6"/>
    </row>
    <row r="802" spans="1:23" ht="16" x14ac:dyDescent="0.2">
      <c r="A802" s="6"/>
      <c r="B802" s="7"/>
      <c r="C802" s="7"/>
      <c r="D802" s="7"/>
      <c r="E802" s="7"/>
      <c r="F802" s="6"/>
      <c r="G802" s="6"/>
      <c r="H802" s="6"/>
      <c r="I802" s="6"/>
      <c r="J802" s="6"/>
      <c r="K802" s="6"/>
      <c r="L802" s="6"/>
      <c r="M802" s="6"/>
      <c r="N802" s="6"/>
      <c r="O802" s="6"/>
      <c r="P802" s="6"/>
      <c r="Q802" s="6"/>
      <c r="R802" s="6"/>
      <c r="S802" s="6"/>
      <c r="T802" s="6"/>
      <c r="U802" s="6"/>
      <c r="V802" s="6"/>
      <c r="W802" s="6"/>
    </row>
    <row r="803" spans="1:23" ht="16" x14ac:dyDescent="0.2">
      <c r="A803" s="6"/>
      <c r="B803" s="7"/>
      <c r="C803" s="7"/>
      <c r="D803" s="7"/>
      <c r="E803" s="7"/>
      <c r="F803" s="6"/>
      <c r="G803" s="6"/>
      <c r="H803" s="6"/>
      <c r="I803" s="6"/>
      <c r="J803" s="6"/>
      <c r="K803" s="6"/>
      <c r="L803" s="6"/>
      <c r="M803" s="6"/>
      <c r="N803" s="6"/>
      <c r="O803" s="6"/>
      <c r="P803" s="6"/>
      <c r="Q803" s="6"/>
      <c r="R803" s="6"/>
      <c r="S803" s="6"/>
      <c r="T803" s="6"/>
      <c r="U803" s="6"/>
      <c r="V803" s="6"/>
      <c r="W803" s="6"/>
    </row>
    <row r="804" spans="1:23" ht="16" x14ac:dyDescent="0.2">
      <c r="A804" s="6"/>
      <c r="B804" s="7"/>
      <c r="C804" s="7"/>
      <c r="D804" s="7"/>
      <c r="E804" s="7"/>
      <c r="F804" s="6"/>
      <c r="G804" s="6"/>
      <c r="H804" s="6"/>
      <c r="I804" s="6"/>
      <c r="J804" s="6"/>
      <c r="K804" s="6"/>
      <c r="L804" s="6"/>
      <c r="M804" s="6"/>
      <c r="N804" s="6"/>
      <c r="O804" s="6"/>
      <c r="P804" s="6"/>
      <c r="Q804" s="6"/>
      <c r="R804" s="6"/>
      <c r="S804" s="6"/>
      <c r="T804" s="6"/>
      <c r="U804" s="6"/>
      <c r="V804" s="6"/>
      <c r="W804" s="6"/>
    </row>
    <row r="805" spans="1:23" ht="16" x14ac:dyDescent="0.2">
      <c r="A805" s="6"/>
      <c r="B805" s="7"/>
      <c r="C805" s="7"/>
      <c r="D805" s="7"/>
      <c r="E805" s="7"/>
      <c r="F805" s="6"/>
      <c r="G805" s="6"/>
      <c r="H805" s="6"/>
      <c r="I805" s="6"/>
      <c r="J805" s="6"/>
      <c r="K805" s="6"/>
      <c r="L805" s="6"/>
      <c r="M805" s="6"/>
      <c r="N805" s="6"/>
      <c r="O805" s="6"/>
      <c r="P805" s="6"/>
      <c r="Q805" s="6"/>
      <c r="R805" s="6"/>
      <c r="S805" s="6"/>
      <c r="T805" s="6"/>
      <c r="U805" s="6"/>
      <c r="V805" s="6"/>
      <c r="W805" s="6"/>
    </row>
    <row r="806" spans="1:23" ht="16" x14ac:dyDescent="0.2">
      <c r="A806" s="6"/>
      <c r="B806" s="7"/>
      <c r="C806" s="7"/>
      <c r="D806" s="7"/>
      <c r="E806" s="7"/>
      <c r="F806" s="6"/>
      <c r="G806" s="6"/>
      <c r="H806" s="6"/>
      <c r="I806" s="6"/>
      <c r="J806" s="6"/>
      <c r="K806" s="6"/>
      <c r="L806" s="6"/>
      <c r="M806" s="6"/>
      <c r="N806" s="6"/>
      <c r="O806" s="6"/>
      <c r="P806" s="6"/>
      <c r="Q806" s="6"/>
      <c r="R806" s="6"/>
      <c r="S806" s="6"/>
      <c r="T806" s="6"/>
      <c r="U806" s="6"/>
      <c r="V806" s="6"/>
      <c r="W806" s="6"/>
    </row>
    <row r="807" spans="1:23" ht="16" x14ac:dyDescent="0.2">
      <c r="A807" s="6"/>
      <c r="B807" s="7"/>
      <c r="C807" s="7"/>
      <c r="D807" s="7"/>
      <c r="E807" s="7"/>
      <c r="F807" s="6"/>
      <c r="G807" s="6"/>
      <c r="H807" s="6"/>
      <c r="I807" s="6"/>
      <c r="J807" s="6"/>
      <c r="K807" s="6"/>
      <c r="L807" s="6"/>
      <c r="M807" s="6"/>
      <c r="N807" s="6"/>
      <c r="O807" s="6"/>
      <c r="P807" s="6"/>
      <c r="Q807" s="6"/>
      <c r="R807" s="6"/>
      <c r="S807" s="6"/>
      <c r="T807" s="6"/>
      <c r="U807" s="6"/>
      <c r="V807" s="6"/>
      <c r="W807" s="6"/>
    </row>
    <row r="808" spans="1:23" ht="16" x14ac:dyDescent="0.2">
      <c r="A808" s="6"/>
      <c r="B808" s="7"/>
      <c r="C808" s="7"/>
      <c r="D808" s="7"/>
      <c r="E808" s="7"/>
      <c r="F808" s="6"/>
      <c r="G808" s="6"/>
      <c r="H808" s="6"/>
      <c r="I808" s="6"/>
      <c r="J808" s="6"/>
      <c r="K808" s="6"/>
      <c r="L808" s="6"/>
      <c r="M808" s="6"/>
      <c r="N808" s="6"/>
      <c r="O808" s="6"/>
      <c r="P808" s="6"/>
      <c r="Q808" s="6"/>
      <c r="R808" s="6"/>
      <c r="S808" s="6"/>
      <c r="T808" s="6"/>
      <c r="U808" s="6"/>
      <c r="V808" s="6"/>
      <c r="W808" s="6"/>
    </row>
    <row r="809" spans="1:23" ht="16" x14ac:dyDescent="0.2">
      <c r="A809" s="6"/>
      <c r="B809" s="7"/>
      <c r="C809" s="7"/>
      <c r="D809" s="7"/>
      <c r="E809" s="7"/>
      <c r="F809" s="6"/>
      <c r="G809" s="6"/>
      <c r="H809" s="6"/>
      <c r="I809" s="6"/>
      <c r="J809" s="6"/>
      <c r="K809" s="6"/>
      <c r="L809" s="6"/>
      <c r="M809" s="6"/>
      <c r="N809" s="6"/>
      <c r="O809" s="6"/>
      <c r="P809" s="6"/>
      <c r="Q809" s="6"/>
      <c r="R809" s="6"/>
      <c r="S809" s="6"/>
      <c r="T809" s="6"/>
      <c r="U809" s="6"/>
      <c r="V809" s="6"/>
      <c r="W809" s="6"/>
    </row>
    <row r="810" spans="1:23" ht="16" x14ac:dyDescent="0.2">
      <c r="A810" s="6"/>
      <c r="B810" s="7"/>
      <c r="C810" s="7"/>
      <c r="D810" s="7"/>
      <c r="E810" s="7"/>
      <c r="F810" s="6"/>
      <c r="G810" s="6"/>
      <c r="H810" s="6"/>
      <c r="I810" s="6"/>
      <c r="J810" s="6"/>
      <c r="K810" s="6"/>
      <c r="L810" s="6"/>
      <c r="M810" s="6"/>
      <c r="N810" s="6"/>
      <c r="O810" s="6"/>
      <c r="P810" s="6"/>
      <c r="Q810" s="6"/>
      <c r="R810" s="6"/>
      <c r="S810" s="6"/>
      <c r="T810" s="6"/>
      <c r="U810" s="6"/>
      <c r="V810" s="6"/>
      <c r="W810" s="6"/>
    </row>
    <row r="811" spans="1:23" ht="16" x14ac:dyDescent="0.2">
      <c r="A811" s="6"/>
      <c r="B811" s="7"/>
      <c r="C811" s="7"/>
      <c r="D811" s="7"/>
      <c r="E811" s="7"/>
      <c r="F811" s="6"/>
      <c r="G811" s="6"/>
      <c r="H811" s="6"/>
      <c r="I811" s="6"/>
      <c r="J811" s="6"/>
      <c r="K811" s="6"/>
      <c r="L811" s="6"/>
      <c r="M811" s="6"/>
      <c r="N811" s="6"/>
      <c r="O811" s="6"/>
      <c r="P811" s="6"/>
      <c r="Q811" s="6"/>
      <c r="R811" s="6"/>
      <c r="S811" s="6"/>
      <c r="T811" s="6"/>
      <c r="U811" s="6"/>
      <c r="V811" s="6"/>
      <c r="W811" s="6"/>
    </row>
    <row r="812" spans="1:23" ht="16" x14ac:dyDescent="0.2">
      <c r="A812" s="6"/>
      <c r="B812" s="7"/>
      <c r="C812" s="7"/>
      <c r="D812" s="7"/>
      <c r="E812" s="7"/>
      <c r="F812" s="6"/>
      <c r="G812" s="6"/>
      <c r="H812" s="6"/>
      <c r="I812" s="6"/>
      <c r="J812" s="6"/>
      <c r="K812" s="6"/>
      <c r="L812" s="6"/>
      <c r="M812" s="6"/>
      <c r="N812" s="6"/>
      <c r="O812" s="6"/>
      <c r="P812" s="6"/>
      <c r="Q812" s="6"/>
      <c r="R812" s="6"/>
      <c r="S812" s="6"/>
      <c r="T812" s="6"/>
      <c r="U812" s="6"/>
      <c r="V812" s="6"/>
      <c r="W812" s="6"/>
    </row>
    <row r="813" spans="1:23" ht="16" x14ac:dyDescent="0.2">
      <c r="A813" s="6"/>
      <c r="B813" s="7"/>
      <c r="C813" s="7"/>
      <c r="D813" s="7"/>
      <c r="E813" s="7"/>
      <c r="F813" s="6"/>
      <c r="G813" s="6"/>
      <c r="H813" s="6"/>
      <c r="I813" s="6"/>
      <c r="J813" s="6"/>
      <c r="K813" s="6"/>
      <c r="L813" s="6"/>
      <c r="M813" s="6"/>
      <c r="N813" s="6"/>
      <c r="O813" s="6"/>
      <c r="P813" s="6"/>
      <c r="Q813" s="6"/>
      <c r="R813" s="6"/>
      <c r="S813" s="6"/>
      <c r="T813" s="6"/>
      <c r="U813" s="6"/>
      <c r="V813" s="6"/>
      <c r="W813" s="6"/>
    </row>
    <row r="814" spans="1:23" ht="16" x14ac:dyDescent="0.2">
      <c r="A814" s="6"/>
      <c r="B814" s="7"/>
      <c r="C814" s="7"/>
      <c r="D814" s="7"/>
      <c r="E814" s="7"/>
      <c r="F814" s="6"/>
      <c r="G814" s="6"/>
      <c r="H814" s="6"/>
      <c r="I814" s="6"/>
      <c r="J814" s="6"/>
      <c r="K814" s="6"/>
      <c r="L814" s="6"/>
      <c r="M814" s="6"/>
      <c r="N814" s="6"/>
      <c r="O814" s="6"/>
      <c r="P814" s="6"/>
      <c r="Q814" s="6"/>
      <c r="R814" s="6"/>
      <c r="S814" s="6"/>
      <c r="T814" s="6"/>
      <c r="U814" s="6"/>
      <c r="V814" s="6"/>
      <c r="W814" s="6"/>
    </row>
    <row r="815" spans="1:23" ht="16" x14ac:dyDescent="0.2">
      <c r="A815" s="6"/>
      <c r="B815" s="7"/>
      <c r="C815" s="7"/>
      <c r="D815" s="7"/>
      <c r="E815" s="7"/>
      <c r="F815" s="6"/>
      <c r="G815" s="6"/>
      <c r="H815" s="6"/>
      <c r="I815" s="6"/>
      <c r="J815" s="6"/>
      <c r="K815" s="6"/>
      <c r="L815" s="6"/>
      <c r="M815" s="6"/>
      <c r="N815" s="6"/>
      <c r="O815" s="6"/>
      <c r="P815" s="6"/>
      <c r="Q815" s="6"/>
      <c r="R815" s="6"/>
      <c r="S815" s="6"/>
      <c r="T815" s="6"/>
      <c r="U815" s="6"/>
      <c r="V815" s="6"/>
      <c r="W815" s="6"/>
    </row>
    <row r="816" spans="1:23" ht="16" x14ac:dyDescent="0.2">
      <c r="A816" s="6"/>
      <c r="B816" s="7"/>
      <c r="C816" s="7"/>
      <c r="D816" s="7"/>
      <c r="E816" s="7"/>
      <c r="F816" s="6"/>
      <c r="G816" s="6"/>
      <c r="H816" s="6"/>
      <c r="I816" s="6"/>
      <c r="J816" s="6"/>
      <c r="K816" s="6"/>
      <c r="L816" s="6"/>
      <c r="M816" s="6"/>
      <c r="N816" s="6"/>
      <c r="O816" s="6"/>
      <c r="P816" s="6"/>
      <c r="Q816" s="6"/>
      <c r="R816" s="6"/>
      <c r="S816" s="6"/>
      <c r="T816" s="6"/>
      <c r="U816" s="6"/>
      <c r="V816" s="6"/>
      <c r="W816" s="6"/>
    </row>
    <row r="817" spans="1:23" ht="16" x14ac:dyDescent="0.2">
      <c r="A817" s="6"/>
      <c r="B817" s="7"/>
      <c r="C817" s="7"/>
      <c r="D817" s="7"/>
      <c r="E817" s="7"/>
      <c r="F817" s="6"/>
      <c r="G817" s="6"/>
      <c r="H817" s="6"/>
      <c r="I817" s="6"/>
      <c r="J817" s="6"/>
      <c r="K817" s="6"/>
      <c r="L817" s="6"/>
      <c r="M817" s="6"/>
      <c r="N817" s="6"/>
      <c r="O817" s="6"/>
      <c r="P817" s="6"/>
      <c r="Q817" s="6"/>
      <c r="R817" s="6"/>
      <c r="S817" s="6"/>
      <c r="T817" s="6"/>
      <c r="U817" s="6"/>
      <c r="V817" s="6"/>
      <c r="W817" s="6"/>
    </row>
    <row r="818" spans="1:23" ht="16" x14ac:dyDescent="0.2">
      <c r="A818" s="6"/>
      <c r="B818" s="7"/>
      <c r="C818" s="7"/>
      <c r="D818" s="7"/>
      <c r="E818" s="7"/>
      <c r="F818" s="6"/>
      <c r="G818" s="6"/>
      <c r="H818" s="6"/>
      <c r="I818" s="6"/>
      <c r="J818" s="6"/>
      <c r="K818" s="6"/>
      <c r="L818" s="6"/>
      <c r="M818" s="6"/>
      <c r="N818" s="6"/>
      <c r="O818" s="6"/>
      <c r="P818" s="6"/>
      <c r="Q818" s="6"/>
      <c r="R818" s="6"/>
      <c r="S818" s="6"/>
      <c r="T818" s="6"/>
      <c r="U818" s="6"/>
      <c r="V818" s="6"/>
      <c r="W818" s="6"/>
    </row>
    <row r="819" spans="1:23" ht="16" x14ac:dyDescent="0.2">
      <c r="A819" s="6"/>
      <c r="B819" s="7"/>
      <c r="C819" s="7"/>
      <c r="D819" s="7"/>
      <c r="E819" s="7"/>
      <c r="F819" s="6"/>
      <c r="G819" s="6"/>
      <c r="H819" s="6"/>
      <c r="I819" s="6"/>
      <c r="J819" s="6"/>
      <c r="K819" s="6"/>
      <c r="L819" s="6"/>
      <c r="M819" s="6"/>
      <c r="N819" s="6"/>
      <c r="O819" s="6"/>
      <c r="P819" s="6"/>
      <c r="Q819" s="6"/>
      <c r="R819" s="6"/>
      <c r="S819" s="6"/>
      <c r="T819" s="6"/>
      <c r="U819" s="6"/>
      <c r="V819" s="6"/>
      <c r="W819" s="6"/>
    </row>
    <row r="820" spans="1:23" ht="16" x14ac:dyDescent="0.2">
      <c r="A820" s="6"/>
      <c r="B820" s="7"/>
      <c r="C820" s="7"/>
      <c r="D820" s="7"/>
      <c r="E820" s="7"/>
      <c r="F820" s="6"/>
      <c r="G820" s="6"/>
      <c r="H820" s="6"/>
      <c r="I820" s="6"/>
      <c r="J820" s="6"/>
      <c r="K820" s="6"/>
      <c r="L820" s="6"/>
      <c r="M820" s="6"/>
      <c r="N820" s="6"/>
      <c r="O820" s="6"/>
      <c r="P820" s="6"/>
      <c r="Q820" s="6"/>
      <c r="R820" s="6"/>
      <c r="S820" s="6"/>
      <c r="T820" s="6"/>
      <c r="U820" s="6"/>
      <c r="V820" s="6"/>
      <c r="W820" s="6"/>
    </row>
    <row r="821" spans="1:23" ht="16" x14ac:dyDescent="0.2">
      <c r="A821" s="6"/>
      <c r="B821" s="7"/>
      <c r="C821" s="7"/>
      <c r="D821" s="7"/>
      <c r="E821" s="7"/>
      <c r="F821" s="6"/>
      <c r="G821" s="6"/>
      <c r="H821" s="6"/>
      <c r="I821" s="6"/>
      <c r="J821" s="6"/>
      <c r="K821" s="6"/>
      <c r="L821" s="6"/>
      <c r="M821" s="6"/>
      <c r="N821" s="6"/>
      <c r="O821" s="6"/>
      <c r="P821" s="6"/>
      <c r="Q821" s="6"/>
      <c r="R821" s="6"/>
      <c r="S821" s="6"/>
      <c r="T821" s="6"/>
      <c r="U821" s="6"/>
      <c r="V821" s="6"/>
      <c r="W821" s="6"/>
    </row>
    <row r="822" spans="1:23" ht="16" x14ac:dyDescent="0.2">
      <c r="A822" s="6"/>
      <c r="B822" s="7"/>
      <c r="C822" s="7"/>
      <c r="D822" s="7"/>
      <c r="E822" s="7"/>
      <c r="F822" s="6"/>
      <c r="G822" s="6"/>
      <c r="H822" s="6"/>
      <c r="I822" s="6"/>
      <c r="J822" s="6"/>
      <c r="K822" s="6"/>
      <c r="L822" s="6"/>
      <c r="M822" s="6"/>
      <c r="N822" s="6"/>
      <c r="O822" s="6"/>
      <c r="P822" s="6"/>
      <c r="Q822" s="6"/>
      <c r="R822" s="6"/>
      <c r="S822" s="6"/>
      <c r="T822" s="6"/>
      <c r="U822" s="6"/>
      <c r="V822" s="6"/>
      <c r="W822" s="6"/>
    </row>
    <row r="823" spans="1:23" ht="16" x14ac:dyDescent="0.2">
      <c r="A823" s="6"/>
      <c r="B823" s="7"/>
      <c r="C823" s="7"/>
      <c r="D823" s="7"/>
      <c r="E823" s="7"/>
      <c r="F823" s="6"/>
      <c r="G823" s="6"/>
      <c r="H823" s="6"/>
      <c r="I823" s="6"/>
      <c r="J823" s="6"/>
      <c r="K823" s="6"/>
      <c r="L823" s="6"/>
      <c r="M823" s="6"/>
      <c r="N823" s="6"/>
      <c r="O823" s="6"/>
      <c r="P823" s="6"/>
      <c r="Q823" s="6"/>
      <c r="R823" s="6"/>
      <c r="S823" s="6"/>
      <c r="T823" s="6"/>
      <c r="U823" s="6"/>
      <c r="V823" s="6"/>
      <c r="W823" s="6"/>
    </row>
    <row r="824" spans="1:23" ht="16" x14ac:dyDescent="0.2">
      <c r="A824" s="6"/>
      <c r="B824" s="7"/>
      <c r="C824" s="7"/>
      <c r="D824" s="7"/>
      <c r="E824" s="7"/>
      <c r="F824" s="6"/>
      <c r="G824" s="6"/>
      <c r="H824" s="6"/>
      <c r="I824" s="6"/>
      <c r="J824" s="6"/>
      <c r="K824" s="6"/>
      <c r="L824" s="6"/>
      <c r="M824" s="6"/>
      <c r="N824" s="6"/>
      <c r="O824" s="6"/>
      <c r="P824" s="6"/>
      <c r="Q824" s="6"/>
      <c r="R824" s="6"/>
      <c r="S824" s="6"/>
      <c r="T824" s="6"/>
      <c r="U824" s="6"/>
      <c r="V824" s="6"/>
      <c r="W824" s="6"/>
    </row>
    <row r="825" spans="1:23" ht="16" x14ac:dyDescent="0.2">
      <c r="A825" s="6"/>
      <c r="B825" s="7"/>
      <c r="C825" s="7"/>
      <c r="D825" s="7"/>
      <c r="E825" s="7"/>
      <c r="F825" s="6"/>
      <c r="G825" s="6"/>
      <c r="H825" s="6"/>
      <c r="I825" s="6"/>
      <c r="J825" s="6"/>
      <c r="K825" s="6"/>
      <c r="L825" s="6"/>
      <c r="M825" s="6"/>
      <c r="N825" s="6"/>
      <c r="O825" s="6"/>
      <c r="P825" s="6"/>
      <c r="Q825" s="6"/>
      <c r="R825" s="6"/>
      <c r="S825" s="6"/>
      <c r="T825" s="6"/>
      <c r="U825" s="6"/>
      <c r="V825" s="6"/>
      <c r="W825" s="6"/>
    </row>
    <row r="826" spans="1:23" ht="16" x14ac:dyDescent="0.2">
      <c r="A826" s="6"/>
      <c r="B826" s="7"/>
      <c r="C826" s="7"/>
      <c r="D826" s="7"/>
      <c r="E826" s="7"/>
      <c r="F826" s="6"/>
      <c r="G826" s="6"/>
      <c r="H826" s="6"/>
      <c r="I826" s="6"/>
      <c r="J826" s="6"/>
      <c r="K826" s="6"/>
      <c r="L826" s="6"/>
      <c r="M826" s="6"/>
      <c r="N826" s="6"/>
      <c r="O826" s="6"/>
      <c r="P826" s="6"/>
      <c r="Q826" s="6"/>
      <c r="R826" s="6"/>
      <c r="S826" s="6"/>
      <c r="T826" s="6"/>
      <c r="U826" s="6"/>
      <c r="V826" s="6"/>
      <c r="W826" s="6"/>
    </row>
    <row r="827" spans="1:23" ht="16" x14ac:dyDescent="0.2">
      <c r="A827" s="6"/>
      <c r="B827" s="7"/>
      <c r="C827" s="7"/>
      <c r="D827" s="7"/>
      <c r="E827" s="7"/>
      <c r="F827" s="6"/>
      <c r="G827" s="6"/>
      <c r="H827" s="6"/>
      <c r="I827" s="6"/>
      <c r="J827" s="6"/>
      <c r="K827" s="6"/>
      <c r="L827" s="6"/>
      <c r="M827" s="6"/>
      <c r="N827" s="6"/>
      <c r="O827" s="6"/>
      <c r="P827" s="6"/>
      <c r="Q827" s="6"/>
      <c r="R827" s="6"/>
      <c r="S827" s="6"/>
      <c r="T827" s="6"/>
      <c r="U827" s="6"/>
      <c r="V827" s="6"/>
      <c r="W827" s="6"/>
    </row>
    <row r="828" spans="1:23" ht="16" x14ac:dyDescent="0.2">
      <c r="A828" s="6"/>
      <c r="B828" s="7"/>
      <c r="C828" s="7"/>
      <c r="D828" s="7"/>
      <c r="E828" s="7"/>
      <c r="F828" s="6"/>
      <c r="G828" s="6"/>
      <c r="H828" s="6"/>
      <c r="I828" s="6"/>
      <c r="J828" s="6"/>
      <c r="K828" s="6"/>
      <c r="L828" s="6"/>
      <c r="M828" s="6"/>
      <c r="N828" s="6"/>
      <c r="O828" s="6"/>
      <c r="P828" s="6"/>
      <c r="Q828" s="6"/>
      <c r="R828" s="6"/>
      <c r="S828" s="6"/>
      <c r="T828" s="6"/>
      <c r="U828" s="6"/>
      <c r="V828" s="6"/>
      <c r="W828" s="6"/>
    </row>
    <row r="829" spans="1:23" ht="16" x14ac:dyDescent="0.2">
      <c r="A829" s="6"/>
      <c r="B829" s="7"/>
      <c r="C829" s="7"/>
      <c r="D829" s="7"/>
      <c r="E829" s="7"/>
      <c r="F829" s="6"/>
      <c r="G829" s="6"/>
      <c r="H829" s="6"/>
      <c r="I829" s="6"/>
      <c r="J829" s="6"/>
      <c r="K829" s="6"/>
      <c r="L829" s="6"/>
      <c r="M829" s="6"/>
      <c r="N829" s="6"/>
      <c r="O829" s="6"/>
      <c r="P829" s="6"/>
      <c r="Q829" s="6"/>
      <c r="R829" s="6"/>
      <c r="S829" s="6"/>
      <c r="T829" s="6"/>
      <c r="U829" s="6"/>
      <c r="V829" s="6"/>
      <c r="W829" s="6"/>
    </row>
    <row r="830" spans="1:23" ht="16" x14ac:dyDescent="0.2">
      <c r="A830" s="6"/>
      <c r="B830" s="7"/>
      <c r="C830" s="7"/>
      <c r="D830" s="7"/>
      <c r="E830" s="7"/>
      <c r="F830" s="6"/>
      <c r="G830" s="6"/>
      <c r="H830" s="6"/>
      <c r="I830" s="6"/>
      <c r="J830" s="6"/>
      <c r="K830" s="6"/>
      <c r="L830" s="6"/>
      <c r="M830" s="6"/>
      <c r="N830" s="6"/>
      <c r="O830" s="6"/>
      <c r="P830" s="6"/>
      <c r="Q830" s="6"/>
      <c r="R830" s="6"/>
      <c r="S830" s="6"/>
      <c r="T830" s="6"/>
      <c r="U830" s="6"/>
      <c r="V830" s="6"/>
      <c r="W830" s="6"/>
    </row>
    <row r="831" spans="1:23" ht="16" x14ac:dyDescent="0.2">
      <c r="A831" s="6"/>
      <c r="B831" s="7"/>
      <c r="C831" s="7"/>
      <c r="D831" s="7"/>
      <c r="E831" s="7"/>
      <c r="F831" s="6"/>
      <c r="G831" s="6"/>
      <c r="H831" s="6"/>
      <c r="I831" s="6"/>
      <c r="J831" s="6"/>
      <c r="K831" s="6"/>
      <c r="L831" s="6"/>
      <c r="M831" s="6"/>
      <c r="N831" s="6"/>
      <c r="O831" s="6"/>
      <c r="P831" s="6"/>
      <c r="Q831" s="6"/>
      <c r="R831" s="6"/>
      <c r="S831" s="6"/>
      <c r="T831" s="6"/>
      <c r="U831" s="6"/>
      <c r="V831" s="6"/>
      <c r="W831" s="6"/>
    </row>
    <row r="832" spans="1:23" ht="16" x14ac:dyDescent="0.2">
      <c r="A832" s="6"/>
      <c r="B832" s="7"/>
      <c r="C832" s="7"/>
      <c r="D832" s="7"/>
      <c r="E832" s="7"/>
      <c r="F832" s="6"/>
      <c r="G832" s="6"/>
      <c r="H832" s="6"/>
      <c r="I832" s="6"/>
      <c r="J832" s="6"/>
      <c r="K832" s="6"/>
      <c r="L832" s="6"/>
      <c r="M832" s="6"/>
      <c r="N832" s="6"/>
      <c r="O832" s="6"/>
      <c r="P832" s="6"/>
      <c r="Q832" s="6"/>
      <c r="R832" s="6"/>
      <c r="S832" s="6"/>
      <c r="T832" s="6"/>
      <c r="U832" s="6"/>
      <c r="V832" s="6"/>
      <c r="W832" s="6"/>
    </row>
    <row r="833" spans="1:23" ht="16" x14ac:dyDescent="0.2">
      <c r="A833" s="6"/>
      <c r="B833" s="7"/>
      <c r="C833" s="7"/>
      <c r="D833" s="7"/>
      <c r="E833" s="7"/>
      <c r="F833" s="6"/>
      <c r="G833" s="6"/>
      <c r="H833" s="6"/>
      <c r="I833" s="6"/>
      <c r="J833" s="6"/>
      <c r="K833" s="6"/>
      <c r="L833" s="6"/>
      <c r="M833" s="6"/>
      <c r="N833" s="6"/>
      <c r="O833" s="6"/>
      <c r="P833" s="6"/>
      <c r="Q833" s="6"/>
      <c r="R833" s="6"/>
      <c r="S833" s="6"/>
      <c r="T833" s="6"/>
      <c r="U833" s="6"/>
      <c r="V833" s="6"/>
      <c r="W833" s="6"/>
    </row>
    <row r="834" spans="1:23" ht="16" x14ac:dyDescent="0.2">
      <c r="A834" s="6"/>
      <c r="B834" s="7"/>
      <c r="C834" s="7"/>
      <c r="D834" s="7"/>
      <c r="E834" s="7"/>
      <c r="F834" s="6"/>
      <c r="G834" s="6"/>
      <c r="H834" s="6"/>
      <c r="I834" s="6"/>
      <c r="J834" s="6"/>
      <c r="K834" s="6"/>
      <c r="L834" s="6"/>
      <c r="M834" s="6"/>
      <c r="N834" s="6"/>
      <c r="O834" s="6"/>
      <c r="P834" s="6"/>
      <c r="Q834" s="6"/>
      <c r="R834" s="6"/>
      <c r="S834" s="6"/>
      <c r="T834" s="6"/>
      <c r="U834" s="6"/>
      <c r="V834" s="6"/>
      <c r="W834" s="6"/>
    </row>
    <row r="835" spans="1:23" ht="16" x14ac:dyDescent="0.2">
      <c r="A835" s="6"/>
      <c r="B835" s="7"/>
      <c r="C835" s="7"/>
      <c r="D835" s="7"/>
      <c r="E835" s="7"/>
      <c r="F835" s="6"/>
      <c r="G835" s="6"/>
      <c r="H835" s="6"/>
      <c r="I835" s="6"/>
      <c r="J835" s="6"/>
      <c r="K835" s="6"/>
      <c r="L835" s="6"/>
      <c r="M835" s="6"/>
      <c r="N835" s="6"/>
      <c r="O835" s="6"/>
      <c r="P835" s="6"/>
      <c r="Q835" s="6"/>
      <c r="R835" s="6"/>
      <c r="S835" s="6"/>
      <c r="T835" s="6"/>
      <c r="U835" s="6"/>
      <c r="V835" s="6"/>
      <c r="W835" s="6"/>
    </row>
    <row r="836" spans="1:23" ht="16" x14ac:dyDescent="0.2">
      <c r="A836" s="6"/>
      <c r="B836" s="7"/>
      <c r="C836" s="7"/>
      <c r="D836" s="7"/>
      <c r="E836" s="7"/>
      <c r="F836" s="6"/>
      <c r="G836" s="6"/>
      <c r="H836" s="6"/>
      <c r="I836" s="6"/>
      <c r="J836" s="6"/>
      <c r="K836" s="6"/>
      <c r="L836" s="6"/>
      <c r="M836" s="6"/>
      <c r="N836" s="6"/>
      <c r="O836" s="6"/>
      <c r="P836" s="6"/>
      <c r="Q836" s="6"/>
      <c r="R836" s="6"/>
      <c r="S836" s="6"/>
      <c r="T836" s="6"/>
      <c r="U836" s="6"/>
      <c r="V836" s="6"/>
      <c r="W836" s="6"/>
    </row>
    <row r="837" spans="1:23" ht="16" x14ac:dyDescent="0.2">
      <c r="A837" s="6"/>
      <c r="B837" s="7"/>
      <c r="C837" s="7"/>
      <c r="D837" s="7"/>
      <c r="E837" s="7"/>
      <c r="F837" s="6"/>
      <c r="G837" s="6"/>
      <c r="H837" s="6"/>
      <c r="I837" s="6"/>
      <c r="J837" s="6"/>
      <c r="K837" s="6"/>
      <c r="L837" s="6"/>
      <c r="M837" s="6"/>
      <c r="N837" s="6"/>
      <c r="O837" s="6"/>
      <c r="P837" s="6"/>
      <c r="Q837" s="6"/>
      <c r="R837" s="6"/>
      <c r="S837" s="6"/>
      <c r="T837" s="6"/>
      <c r="U837" s="6"/>
      <c r="V837" s="6"/>
      <c r="W837" s="6"/>
    </row>
    <row r="838" spans="1:23" ht="16" x14ac:dyDescent="0.2">
      <c r="A838" s="6"/>
      <c r="B838" s="7"/>
      <c r="C838" s="7"/>
      <c r="D838" s="7"/>
      <c r="E838" s="7"/>
      <c r="F838" s="6"/>
      <c r="G838" s="6"/>
      <c r="H838" s="6"/>
      <c r="I838" s="6"/>
      <c r="J838" s="6"/>
      <c r="K838" s="6"/>
      <c r="L838" s="6"/>
      <c r="M838" s="6"/>
      <c r="N838" s="6"/>
      <c r="O838" s="6"/>
      <c r="P838" s="6"/>
      <c r="Q838" s="6"/>
      <c r="R838" s="6"/>
      <c r="S838" s="6"/>
      <c r="T838" s="6"/>
      <c r="U838" s="6"/>
      <c r="V838" s="6"/>
      <c r="W838" s="6"/>
    </row>
    <row r="839" spans="1:23" ht="16" x14ac:dyDescent="0.2">
      <c r="A839" s="6"/>
      <c r="B839" s="7"/>
      <c r="C839" s="7"/>
      <c r="D839" s="7"/>
      <c r="E839" s="7"/>
      <c r="F839" s="6"/>
      <c r="G839" s="6"/>
      <c r="H839" s="6"/>
      <c r="I839" s="6"/>
      <c r="J839" s="6"/>
      <c r="K839" s="6"/>
      <c r="L839" s="6"/>
      <c r="M839" s="6"/>
      <c r="N839" s="6"/>
      <c r="O839" s="6"/>
      <c r="P839" s="6"/>
      <c r="Q839" s="6"/>
      <c r="R839" s="6"/>
      <c r="S839" s="6"/>
      <c r="T839" s="6"/>
      <c r="U839" s="6"/>
      <c r="V839" s="6"/>
      <c r="W839" s="6"/>
    </row>
    <row r="840" spans="1:23" ht="16" x14ac:dyDescent="0.2">
      <c r="A840" s="6"/>
      <c r="B840" s="7"/>
      <c r="C840" s="7"/>
      <c r="D840" s="7"/>
      <c r="E840" s="7"/>
      <c r="F840" s="6"/>
      <c r="G840" s="6"/>
      <c r="H840" s="6"/>
      <c r="I840" s="6"/>
      <c r="J840" s="6"/>
      <c r="K840" s="6"/>
      <c r="L840" s="6"/>
      <c r="M840" s="6"/>
      <c r="N840" s="6"/>
      <c r="O840" s="6"/>
      <c r="P840" s="6"/>
      <c r="Q840" s="6"/>
      <c r="R840" s="6"/>
      <c r="S840" s="6"/>
      <c r="T840" s="6"/>
      <c r="U840" s="6"/>
      <c r="V840" s="6"/>
      <c r="W840" s="6"/>
    </row>
    <row r="841" spans="1:23" ht="16" x14ac:dyDescent="0.2">
      <c r="A841" s="6"/>
      <c r="B841" s="7"/>
      <c r="C841" s="7"/>
      <c r="D841" s="7"/>
      <c r="E841" s="7"/>
      <c r="F841" s="6"/>
      <c r="G841" s="6"/>
      <c r="H841" s="6"/>
      <c r="I841" s="6"/>
      <c r="J841" s="6"/>
      <c r="K841" s="6"/>
      <c r="L841" s="6"/>
      <c r="M841" s="6"/>
      <c r="N841" s="6"/>
      <c r="O841" s="6"/>
      <c r="P841" s="6"/>
      <c r="Q841" s="6"/>
      <c r="R841" s="6"/>
      <c r="S841" s="6"/>
      <c r="T841" s="6"/>
      <c r="U841" s="6"/>
      <c r="V841" s="6"/>
      <c r="W841" s="6"/>
    </row>
    <row r="842" spans="1:23" ht="16" x14ac:dyDescent="0.2">
      <c r="A842" s="6"/>
      <c r="B842" s="7"/>
      <c r="C842" s="7"/>
      <c r="D842" s="7"/>
      <c r="E842" s="7"/>
      <c r="F842" s="6"/>
      <c r="G842" s="6"/>
      <c r="H842" s="6"/>
      <c r="I842" s="6"/>
      <c r="J842" s="6"/>
      <c r="K842" s="6"/>
      <c r="L842" s="6"/>
      <c r="M842" s="6"/>
      <c r="N842" s="6"/>
      <c r="O842" s="6"/>
      <c r="P842" s="6"/>
      <c r="Q842" s="6"/>
      <c r="R842" s="6"/>
      <c r="S842" s="6"/>
      <c r="T842" s="6"/>
      <c r="U842" s="6"/>
      <c r="V842" s="6"/>
      <c r="W842" s="6"/>
    </row>
    <row r="843" spans="1:23" ht="16" x14ac:dyDescent="0.2">
      <c r="A843" s="6"/>
      <c r="B843" s="7"/>
      <c r="C843" s="7"/>
      <c r="D843" s="7"/>
      <c r="E843" s="7"/>
      <c r="F843" s="6"/>
      <c r="G843" s="6"/>
      <c r="H843" s="6"/>
      <c r="I843" s="6"/>
      <c r="J843" s="6"/>
      <c r="K843" s="6"/>
      <c r="L843" s="6"/>
      <c r="M843" s="6"/>
      <c r="N843" s="6"/>
      <c r="O843" s="6"/>
      <c r="P843" s="6"/>
      <c r="Q843" s="6"/>
      <c r="R843" s="6"/>
      <c r="S843" s="6"/>
      <c r="T843" s="6"/>
      <c r="U843" s="6"/>
      <c r="V843" s="6"/>
      <c r="W843" s="6"/>
    </row>
    <row r="844" spans="1:23" ht="16" x14ac:dyDescent="0.2">
      <c r="A844" s="6"/>
      <c r="B844" s="7"/>
      <c r="C844" s="7"/>
      <c r="D844" s="7"/>
      <c r="E844" s="7"/>
      <c r="F844" s="6"/>
      <c r="G844" s="6"/>
      <c r="H844" s="6"/>
      <c r="I844" s="6"/>
      <c r="J844" s="6"/>
      <c r="K844" s="6"/>
      <c r="L844" s="6"/>
      <c r="M844" s="6"/>
      <c r="N844" s="6"/>
      <c r="O844" s="6"/>
      <c r="P844" s="6"/>
      <c r="Q844" s="6"/>
      <c r="R844" s="6"/>
      <c r="S844" s="6"/>
      <c r="T844" s="6"/>
      <c r="U844" s="6"/>
      <c r="V844" s="6"/>
      <c r="W844" s="6"/>
    </row>
    <row r="845" spans="1:23" ht="16" x14ac:dyDescent="0.2">
      <c r="A845" s="6"/>
      <c r="B845" s="7"/>
      <c r="C845" s="7"/>
      <c r="D845" s="7"/>
      <c r="E845" s="7"/>
      <c r="F845" s="6"/>
      <c r="G845" s="6"/>
      <c r="H845" s="6"/>
      <c r="I845" s="6"/>
      <c r="J845" s="6"/>
      <c r="K845" s="6"/>
      <c r="L845" s="6"/>
      <c r="M845" s="6"/>
      <c r="N845" s="6"/>
      <c r="O845" s="6"/>
      <c r="P845" s="6"/>
      <c r="Q845" s="6"/>
      <c r="R845" s="6"/>
      <c r="S845" s="6"/>
      <c r="T845" s="6"/>
      <c r="U845" s="6"/>
      <c r="V845" s="6"/>
      <c r="W845" s="6"/>
    </row>
    <row r="846" spans="1:23" ht="16" x14ac:dyDescent="0.2">
      <c r="A846" s="6"/>
      <c r="B846" s="7"/>
      <c r="C846" s="7"/>
      <c r="D846" s="7"/>
      <c r="E846" s="7"/>
      <c r="F846" s="6"/>
      <c r="G846" s="6"/>
      <c r="H846" s="6"/>
      <c r="I846" s="6"/>
      <c r="J846" s="6"/>
      <c r="K846" s="6"/>
      <c r="L846" s="6"/>
      <c r="M846" s="6"/>
      <c r="N846" s="6"/>
      <c r="O846" s="6"/>
      <c r="P846" s="6"/>
      <c r="Q846" s="6"/>
      <c r="R846" s="6"/>
      <c r="S846" s="6"/>
      <c r="T846" s="6"/>
      <c r="U846" s="6"/>
      <c r="V846" s="6"/>
      <c r="W846" s="6"/>
    </row>
    <row r="847" spans="1:23" ht="16" x14ac:dyDescent="0.2">
      <c r="A847" s="6"/>
      <c r="B847" s="7"/>
      <c r="C847" s="7"/>
      <c r="D847" s="7"/>
      <c r="E847" s="7"/>
      <c r="F847" s="6"/>
      <c r="G847" s="6"/>
      <c r="H847" s="6"/>
      <c r="I847" s="6"/>
      <c r="J847" s="6"/>
      <c r="K847" s="6"/>
      <c r="L847" s="6"/>
      <c r="M847" s="6"/>
      <c r="N847" s="6"/>
      <c r="O847" s="6"/>
      <c r="P847" s="6"/>
      <c r="Q847" s="6"/>
      <c r="R847" s="6"/>
      <c r="S847" s="6"/>
      <c r="T847" s="6"/>
      <c r="U847" s="6"/>
      <c r="V847" s="6"/>
      <c r="W847" s="6"/>
    </row>
    <row r="848" spans="1:23" ht="16" x14ac:dyDescent="0.2">
      <c r="A848" s="6"/>
      <c r="B848" s="7"/>
      <c r="C848" s="7"/>
      <c r="D848" s="7"/>
      <c r="E848" s="7"/>
      <c r="F848" s="6"/>
      <c r="G848" s="6"/>
      <c r="H848" s="6"/>
      <c r="I848" s="6"/>
      <c r="J848" s="6"/>
      <c r="K848" s="6"/>
      <c r="L848" s="6"/>
      <c r="M848" s="6"/>
      <c r="N848" s="6"/>
      <c r="O848" s="6"/>
      <c r="P848" s="6"/>
      <c r="Q848" s="6"/>
      <c r="R848" s="6"/>
      <c r="S848" s="6"/>
      <c r="T848" s="6"/>
      <c r="U848" s="6"/>
      <c r="V848" s="6"/>
      <c r="W848" s="6"/>
    </row>
    <row r="849" spans="1:23" ht="16" x14ac:dyDescent="0.2">
      <c r="A849" s="6"/>
      <c r="B849" s="7"/>
      <c r="C849" s="7"/>
      <c r="D849" s="7"/>
      <c r="E849" s="7"/>
      <c r="F849" s="6"/>
      <c r="G849" s="6"/>
      <c r="H849" s="6"/>
      <c r="I849" s="6"/>
      <c r="J849" s="6"/>
      <c r="K849" s="6"/>
      <c r="L849" s="6"/>
      <c r="M849" s="6"/>
      <c r="N849" s="6"/>
      <c r="O849" s="6"/>
      <c r="P849" s="6"/>
      <c r="Q849" s="6"/>
      <c r="R849" s="6"/>
      <c r="S849" s="6"/>
      <c r="T849" s="6"/>
      <c r="U849" s="6"/>
      <c r="V849" s="6"/>
      <c r="W849" s="6"/>
    </row>
    <row r="850" spans="1:23" ht="16" x14ac:dyDescent="0.2">
      <c r="A850" s="6"/>
      <c r="B850" s="7"/>
      <c r="C850" s="7"/>
      <c r="D850" s="7"/>
      <c r="E850" s="7"/>
      <c r="F850" s="6"/>
      <c r="G850" s="6"/>
      <c r="H850" s="6"/>
      <c r="I850" s="6"/>
      <c r="J850" s="6"/>
      <c r="K850" s="6"/>
      <c r="L850" s="6"/>
      <c r="M850" s="6"/>
      <c r="N850" s="6"/>
      <c r="O850" s="6"/>
      <c r="P850" s="6"/>
      <c r="Q850" s="6"/>
      <c r="R850" s="6"/>
      <c r="S850" s="6"/>
      <c r="T850" s="6"/>
      <c r="U850" s="6"/>
      <c r="V850" s="6"/>
      <c r="W850" s="6"/>
    </row>
    <row r="851" spans="1:23" ht="16" x14ac:dyDescent="0.2">
      <c r="A851" s="6"/>
      <c r="B851" s="7"/>
      <c r="C851" s="7"/>
      <c r="D851" s="7"/>
      <c r="E851" s="7"/>
      <c r="F851" s="6"/>
      <c r="G851" s="6"/>
      <c r="H851" s="6"/>
      <c r="I851" s="6"/>
      <c r="J851" s="6"/>
      <c r="K851" s="6"/>
      <c r="L851" s="6"/>
      <c r="M851" s="6"/>
      <c r="N851" s="6"/>
      <c r="O851" s="6"/>
      <c r="P851" s="6"/>
      <c r="Q851" s="6"/>
      <c r="R851" s="6"/>
      <c r="S851" s="6"/>
      <c r="T851" s="6"/>
      <c r="U851" s="6"/>
      <c r="V851" s="6"/>
      <c r="W851" s="6"/>
    </row>
    <row r="852" spans="1:23" ht="16" x14ac:dyDescent="0.2">
      <c r="A852" s="6"/>
      <c r="B852" s="7"/>
      <c r="C852" s="7"/>
      <c r="D852" s="7"/>
      <c r="E852" s="7"/>
      <c r="F852" s="6"/>
      <c r="G852" s="6"/>
      <c r="H852" s="6"/>
      <c r="I852" s="6"/>
      <c r="J852" s="6"/>
      <c r="K852" s="6"/>
      <c r="L852" s="6"/>
      <c r="M852" s="6"/>
      <c r="N852" s="6"/>
      <c r="O852" s="6"/>
      <c r="P852" s="6"/>
      <c r="Q852" s="6"/>
      <c r="R852" s="6"/>
      <c r="S852" s="6"/>
      <c r="T852" s="6"/>
      <c r="U852" s="6"/>
      <c r="V852" s="6"/>
      <c r="W852" s="6"/>
    </row>
    <row r="853" spans="1:23" ht="16" x14ac:dyDescent="0.2">
      <c r="A853" s="6"/>
      <c r="B853" s="7"/>
      <c r="C853" s="7"/>
      <c r="D853" s="7"/>
      <c r="E853" s="7"/>
      <c r="F853" s="6"/>
      <c r="G853" s="6"/>
      <c r="H853" s="6"/>
      <c r="I853" s="6"/>
      <c r="J853" s="6"/>
      <c r="K853" s="6"/>
      <c r="L853" s="6"/>
      <c r="M853" s="6"/>
      <c r="N853" s="6"/>
      <c r="O853" s="6"/>
      <c r="P853" s="6"/>
      <c r="Q853" s="6"/>
      <c r="R853" s="6"/>
      <c r="S853" s="6"/>
      <c r="T853" s="6"/>
      <c r="U853" s="6"/>
      <c r="V853" s="6"/>
      <c r="W853" s="6"/>
    </row>
    <row r="854" spans="1:23" ht="16" x14ac:dyDescent="0.2">
      <c r="A854" s="6"/>
      <c r="B854" s="7"/>
      <c r="C854" s="7"/>
      <c r="D854" s="7"/>
      <c r="E854" s="7"/>
      <c r="F854" s="6"/>
      <c r="G854" s="6"/>
      <c r="H854" s="6"/>
      <c r="I854" s="6"/>
      <c r="J854" s="6"/>
      <c r="K854" s="6"/>
      <c r="L854" s="6"/>
      <c r="M854" s="6"/>
      <c r="N854" s="6"/>
      <c r="O854" s="6"/>
      <c r="P854" s="6"/>
      <c r="Q854" s="6"/>
      <c r="R854" s="6"/>
      <c r="S854" s="6"/>
      <c r="T854" s="6"/>
      <c r="U854" s="6"/>
      <c r="V854" s="6"/>
      <c r="W854" s="6"/>
    </row>
    <row r="855" spans="1:23" ht="16" x14ac:dyDescent="0.2">
      <c r="A855" s="6"/>
      <c r="B855" s="7"/>
      <c r="C855" s="7"/>
      <c r="D855" s="7"/>
      <c r="E855" s="7"/>
      <c r="F855" s="6"/>
      <c r="G855" s="6"/>
      <c r="H855" s="6"/>
      <c r="I855" s="6"/>
      <c r="J855" s="6"/>
      <c r="K855" s="6"/>
      <c r="L855" s="6"/>
      <c r="M855" s="6"/>
      <c r="N855" s="6"/>
      <c r="O855" s="6"/>
      <c r="P855" s="6"/>
      <c r="Q855" s="6"/>
      <c r="R855" s="6"/>
      <c r="S855" s="6"/>
      <c r="T855" s="6"/>
      <c r="U855" s="6"/>
      <c r="V855" s="6"/>
      <c r="W855" s="6"/>
    </row>
    <row r="856" spans="1:23" ht="16" x14ac:dyDescent="0.2">
      <c r="A856" s="6"/>
      <c r="B856" s="7"/>
      <c r="C856" s="7"/>
      <c r="D856" s="7"/>
      <c r="E856" s="7"/>
      <c r="F856" s="6"/>
      <c r="G856" s="6"/>
      <c r="H856" s="6"/>
      <c r="I856" s="6"/>
      <c r="J856" s="6"/>
      <c r="K856" s="6"/>
      <c r="L856" s="6"/>
      <c r="M856" s="6"/>
      <c r="N856" s="6"/>
      <c r="O856" s="6"/>
      <c r="P856" s="6"/>
      <c r="Q856" s="6"/>
      <c r="R856" s="6"/>
      <c r="S856" s="6"/>
      <c r="T856" s="6"/>
      <c r="U856" s="6"/>
      <c r="V856" s="6"/>
      <c r="W856" s="6"/>
    </row>
    <row r="857" spans="1:23" ht="16" x14ac:dyDescent="0.2">
      <c r="A857" s="6"/>
      <c r="B857" s="7"/>
      <c r="C857" s="7"/>
      <c r="D857" s="7"/>
      <c r="E857" s="7"/>
      <c r="F857" s="6"/>
      <c r="G857" s="6"/>
      <c r="H857" s="6"/>
      <c r="I857" s="6"/>
      <c r="J857" s="6"/>
      <c r="K857" s="6"/>
      <c r="L857" s="6"/>
      <c r="M857" s="6"/>
      <c r="N857" s="6"/>
      <c r="O857" s="6"/>
      <c r="P857" s="6"/>
      <c r="Q857" s="6"/>
      <c r="R857" s="6"/>
      <c r="S857" s="6"/>
      <c r="T857" s="6"/>
      <c r="U857" s="6"/>
      <c r="V857" s="6"/>
      <c r="W857" s="6"/>
    </row>
    <row r="858" spans="1:23" ht="16" x14ac:dyDescent="0.2">
      <c r="A858" s="6"/>
      <c r="B858" s="7"/>
      <c r="C858" s="7"/>
      <c r="D858" s="7"/>
      <c r="E858" s="7"/>
      <c r="F858" s="6"/>
      <c r="G858" s="6"/>
      <c r="H858" s="6"/>
      <c r="I858" s="6"/>
      <c r="J858" s="6"/>
      <c r="K858" s="6"/>
      <c r="L858" s="6"/>
      <c r="M858" s="6"/>
      <c r="N858" s="6"/>
      <c r="O858" s="6"/>
      <c r="P858" s="6"/>
      <c r="Q858" s="6"/>
      <c r="R858" s="6"/>
      <c r="S858" s="6"/>
      <c r="T858" s="6"/>
      <c r="U858" s="6"/>
      <c r="V858" s="6"/>
      <c r="W858" s="6"/>
    </row>
    <row r="859" spans="1:23" ht="16" x14ac:dyDescent="0.2">
      <c r="A859" s="6"/>
      <c r="B859" s="7"/>
      <c r="C859" s="7"/>
      <c r="D859" s="7"/>
      <c r="E859" s="7"/>
      <c r="F859" s="6"/>
      <c r="G859" s="6"/>
      <c r="H859" s="6"/>
      <c r="I859" s="6"/>
      <c r="J859" s="6"/>
      <c r="K859" s="6"/>
      <c r="L859" s="6"/>
      <c r="M859" s="6"/>
      <c r="N859" s="6"/>
      <c r="O859" s="6"/>
      <c r="P859" s="6"/>
      <c r="Q859" s="6"/>
      <c r="R859" s="6"/>
      <c r="S859" s="6"/>
      <c r="T859" s="6"/>
      <c r="U859" s="6"/>
      <c r="V859" s="6"/>
      <c r="W859" s="6"/>
    </row>
    <row r="860" spans="1:23" ht="16" x14ac:dyDescent="0.2">
      <c r="A860" s="6"/>
      <c r="B860" s="7"/>
      <c r="C860" s="7"/>
      <c r="D860" s="7"/>
      <c r="E860" s="7"/>
      <c r="F860" s="6"/>
      <c r="G860" s="6"/>
      <c r="H860" s="6"/>
      <c r="I860" s="6"/>
      <c r="J860" s="6"/>
      <c r="K860" s="6"/>
      <c r="L860" s="6"/>
      <c r="M860" s="6"/>
      <c r="N860" s="6"/>
      <c r="O860" s="6"/>
      <c r="P860" s="6"/>
      <c r="Q860" s="6"/>
      <c r="R860" s="6"/>
      <c r="S860" s="6"/>
      <c r="T860" s="6"/>
      <c r="U860" s="6"/>
      <c r="V860" s="6"/>
      <c r="W860" s="6"/>
    </row>
    <row r="861" spans="1:23" ht="16" x14ac:dyDescent="0.2">
      <c r="A861" s="6"/>
      <c r="B861" s="7"/>
      <c r="C861" s="7"/>
      <c r="D861" s="7"/>
      <c r="E861" s="7"/>
      <c r="F861" s="6"/>
      <c r="G861" s="6"/>
      <c r="H861" s="6"/>
      <c r="I861" s="6"/>
      <c r="J861" s="6"/>
      <c r="K861" s="6"/>
      <c r="L861" s="6"/>
      <c r="M861" s="6"/>
      <c r="N861" s="6"/>
      <c r="O861" s="6"/>
      <c r="P861" s="6"/>
      <c r="Q861" s="6"/>
      <c r="R861" s="6"/>
      <c r="S861" s="6"/>
      <c r="T861" s="6"/>
      <c r="U861" s="6"/>
      <c r="V861" s="6"/>
      <c r="W861" s="6"/>
    </row>
    <row r="862" spans="1:23" ht="16" x14ac:dyDescent="0.2">
      <c r="A862" s="6"/>
      <c r="B862" s="7"/>
      <c r="C862" s="7"/>
      <c r="D862" s="7"/>
      <c r="E862" s="7"/>
      <c r="F862" s="6"/>
      <c r="G862" s="6"/>
      <c r="H862" s="6"/>
      <c r="I862" s="6"/>
      <c r="J862" s="6"/>
      <c r="K862" s="6"/>
      <c r="L862" s="6"/>
      <c r="M862" s="6"/>
      <c r="N862" s="6"/>
      <c r="O862" s="6"/>
      <c r="P862" s="6"/>
      <c r="Q862" s="6"/>
      <c r="R862" s="6"/>
      <c r="S862" s="6"/>
      <c r="T862" s="6"/>
      <c r="U862" s="6"/>
      <c r="V862" s="6"/>
      <c r="W862" s="6"/>
    </row>
    <row r="863" spans="1:23" ht="16" x14ac:dyDescent="0.2">
      <c r="A863" s="6"/>
      <c r="B863" s="7"/>
      <c r="C863" s="7"/>
      <c r="D863" s="7"/>
      <c r="E863" s="7"/>
      <c r="F863" s="6"/>
      <c r="G863" s="6"/>
      <c r="H863" s="6"/>
      <c r="I863" s="6"/>
      <c r="J863" s="6"/>
      <c r="K863" s="6"/>
      <c r="L863" s="6"/>
      <c r="M863" s="6"/>
      <c r="N863" s="6"/>
      <c r="O863" s="6"/>
      <c r="P863" s="6"/>
      <c r="Q863" s="6"/>
      <c r="R863" s="6"/>
      <c r="S863" s="6"/>
      <c r="T863" s="6"/>
      <c r="U863" s="6"/>
      <c r="V863" s="6"/>
      <c r="W863" s="6"/>
    </row>
    <row r="864" spans="1:23" ht="16" x14ac:dyDescent="0.2">
      <c r="A864" s="6"/>
      <c r="B864" s="7"/>
      <c r="C864" s="7"/>
      <c r="D864" s="7"/>
      <c r="E864" s="7"/>
      <c r="F864" s="6"/>
      <c r="G864" s="6"/>
      <c r="H864" s="6"/>
      <c r="I864" s="6"/>
      <c r="J864" s="6"/>
      <c r="K864" s="6"/>
      <c r="L864" s="6"/>
      <c r="M864" s="6"/>
      <c r="N864" s="6"/>
      <c r="O864" s="6"/>
      <c r="P864" s="6"/>
      <c r="Q864" s="6"/>
      <c r="R864" s="6"/>
      <c r="S864" s="6"/>
      <c r="T864" s="6"/>
      <c r="U864" s="6"/>
      <c r="V864" s="6"/>
      <c r="W864" s="6"/>
    </row>
    <row r="865" spans="1:23" ht="16" x14ac:dyDescent="0.2">
      <c r="A865" s="6"/>
      <c r="B865" s="7"/>
      <c r="C865" s="7"/>
      <c r="D865" s="7"/>
      <c r="E865" s="7"/>
      <c r="F865" s="6"/>
      <c r="G865" s="6"/>
      <c r="H865" s="6"/>
      <c r="I865" s="6"/>
      <c r="J865" s="6"/>
      <c r="K865" s="6"/>
      <c r="L865" s="6"/>
      <c r="M865" s="6"/>
      <c r="N865" s="6"/>
      <c r="O865" s="6"/>
      <c r="P865" s="6"/>
      <c r="Q865" s="6"/>
      <c r="R865" s="6"/>
      <c r="S865" s="6"/>
      <c r="T865" s="6"/>
      <c r="U865" s="6"/>
      <c r="V865" s="6"/>
      <c r="W865" s="6"/>
    </row>
    <row r="866" spans="1:23" ht="16" x14ac:dyDescent="0.2">
      <c r="A866" s="6"/>
      <c r="B866" s="7"/>
      <c r="C866" s="7"/>
      <c r="D866" s="7"/>
      <c r="E866" s="7"/>
      <c r="F866" s="6"/>
      <c r="G866" s="6"/>
      <c r="H866" s="6"/>
      <c r="I866" s="6"/>
      <c r="J866" s="6"/>
      <c r="K866" s="6"/>
      <c r="L866" s="6"/>
      <c r="M866" s="6"/>
      <c r="N866" s="6"/>
      <c r="O866" s="6"/>
      <c r="P866" s="6"/>
      <c r="Q866" s="6"/>
      <c r="R866" s="6"/>
      <c r="S866" s="6"/>
      <c r="T866" s="6"/>
      <c r="U866" s="6"/>
      <c r="V866" s="6"/>
      <c r="W866" s="6"/>
    </row>
    <row r="867" spans="1:23" ht="16" x14ac:dyDescent="0.2">
      <c r="A867" s="6"/>
      <c r="B867" s="7"/>
      <c r="C867" s="7"/>
      <c r="D867" s="7"/>
      <c r="E867" s="7"/>
      <c r="F867" s="6"/>
      <c r="G867" s="6"/>
      <c r="H867" s="6"/>
      <c r="I867" s="6"/>
      <c r="J867" s="6"/>
      <c r="K867" s="6"/>
      <c r="L867" s="6"/>
      <c r="M867" s="6"/>
      <c r="N867" s="6"/>
      <c r="O867" s="6"/>
      <c r="P867" s="6"/>
      <c r="Q867" s="6"/>
      <c r="R867" s="6"/>
      <c r="S867" s="6"/>
      <c r="T867" s="6"/>
      <c r="U867" s="6"/>
      <c r="V867" s="6"/>
      <c r="W867" s="6"/>
    </row>
    <row r="868" spans="1:23" ht="16" x14ac:dyDescent="0.2">
      <c r="A868" s="6"/>
      <c r="B868" s="7"/>
      <c r="C868" s="7"/>
      <c r="D868" s="7"/>
      <c r="E868" s="7"/>
      <c r="F868" s="6"/>
      <c r="G868" s="6"/>
      <c r="H868" s="6"/>
      <c r="I868" s="6"/>
      <c r="J868" s="6"/>
      <c r="K868" s="6"/>
      <c r="L868" s="6"/>
      <c r="M868" s="6"/>
      <c r="N868" s="6"/>
      <c r="O868" s="6"/>
      <c r="P868" s="6"/>
      <c r="Q868" s="6"/>
      <c r="R868" s="6"/>
      <c r="S868" s="6"/>
      <c r="T868" s="6"/>
      <c r="U868" s="6"/>
      <c r="V868" s="6"/>
      <c r="W868" s="6"/>
    </row>
    <row r="869" spans="1:23" ht="16" x14ac:dyDescent="0.2">
      <c r="A869" s="6"/>
      <c r="B869" s="7"/>
      <c r="C869" s="7"/>
      <c r="D869" s="7"/>
      <c r="E869" s="7"/>
      <c r="F869" s="6"/>
      <c r="G869" s="6"/>
      <c r="H869" s="6"/>
      <c r="I869" s="6"/>
      <c r="J869" s="6"/>
      <c r="K869" s="6"/>
      <c r="L869" s="6"/>
      <c r="M869" s="6"/>
      <c r="N869" s="6"/>
      <c r="O869" s="6"/>
      <c r="P869" s="6"/>
      <c r="Q869" s="6"/>
      <c r="R869" s="6"/>
      <c r="S869" s="6"/>
      <c r="T869" s="6"/>
      <c r="U869" s="6"/>
      <c r="V869" s="6"/>
      <c r="W869" s="6"/>
    </row>
    <row r="870" spans="1:23" ht="16" x14ac:dyDescent="0.2">
      <c r="A870" s="6"/>
      <c r="B870" s="7"/>
      <c r="C870" s="7"/>
      <c r="D870" s="7"/>
      <c r="E870" s="7"/>
      <c r="F870" s="6"/>
      <c r="G870" s="6"/>
      <c r="H870" s="6"/>
      <c r="I870" s="6"/>
      <c r="J870" s="6"/>
      <c r="K870" s="6"/>
      <c r="L870" s="6"/>
      <c r="M870" s="6"/>
      <c r="N870" s="6"/>
      <c r="O870" s="6"/>
      <c r="P870" s="6"/>
      <c r="Q870" s="6"/>
      <c r="R870" s="6"/>
      <c r="S870" s="6"/>
      <c r="T870" s="6"/>
      <c r="U870" s="6"/>
      <c r="V870" s="6"/>
      <c r="W870" s="6"/>
    </row>
    <row r="871" spans="1:23" ht="16" x14ac:dyDescent="0.2">
      <c r="A871" s="6"/>
      <c r="B871" s="7"/>
      <c r="C871" s="7"/>
      <c r="D871" s="7"/>
      <c r="E871" s="7"/>
      <c r="F871" s="6"/>
      <c r="G871" s="6"/>
      <c r="H871" s="6"/>
      <c r="I871" s="6"/>
      <c r="J871" s="6"/>
      <c r="K871" s="6"/>
      <c r="L871" s="6"/>
      <c r="M871" s="6"/>
      <c r="N871" s="6"/>
      <c r="O871" s="6"/>
      <c r="P871" s="6"/>
      <c r="Q871" s="6"/>
      <c r="R871" s="6"/>
      <c r="S871" s="6"/>
      <c r="T871" s="6"/>
      <c r="U871" s="6"/>
      <c r="V871" s="6"/>
      <c r="W871" s="6"/>
    </row>
    <row r="872" spans="1:23" ht="16" x14ac:dyDescent="0.2">
      <c r="A872" s="6"/>
      <c r="B872" s="7"/>
      <c r="C872" s="7"/>
      <c r="D872" s="7"/>
      <c r="E872" s="7"/>
      <c r="F872" s="6"/>
      <c r="G872" s="6"/>
      <c r="H872" s="6"/>
      <c r="I872" s="6"/>
      <c r="J872" s="6"/>
      <c r="K872" s="6"/>
      <c r="L872" s="6"/>
      <c r="M872" s="6"/>
      <c r="N872" s="6"/>
      <c r="O872" s="6"/>
      <c r="P872" s="6"/>
      <c r="Q872" s="6"/>
      <c r="R872" s="6"/>
      <c r="S872" s="6"/>
      <c r="T872" s="6"/>
      <c r="U872" s="6"/>
      <c r="V872" s="6"/>
      <c r="W872" s="6"/>
    </row>
    <row r="873" spans="1:23" ht="16" x14ac:dyDescent="0.2">
      <c r="A873" s="6"/>
      <c r="B873" s="7"/>
      <c r="C873" s="7"/>
      <c r="D873" s="7"/>
      <c r="E873" s="7"/>
      <c r="F873" s="6"/>
      <c r="G873" s="6"/>
      <c r="H873" s="6"/>
      <c r="I873" s="6"/>
      <c r="J873" s="6"/>
      <c r="K873" s="6"/>
      <c r="L873" s="6"/>
      <c r="M873" s="6"/>
      <c r="N873" s="6"/>
      <c r="O873" s="6"/>
      <c r="P873" s="6"/>
      <c r="Q873" s="6"/>
      <c r="R873" s="6"/>
      <c r="S873" s="6"/>
      <c r="T873" s="6"/>
      <c r="U873" s="6"/>
      <c r="V873" s="6"/>
      <c r="W873" s="6"/>
    </row>
    <row r="874" spans="1:23" ht="16" x14ac:dyDescent="0.2">
      <c r="A874" s="6"/>
      <c r="B874" s="7"/>
      <c r="C874" s="7"/>
      <c r="D874" s="7"/>
      <c r="E874" s="7"/>
      <c r="F874" s="6"/>
      <c r="G874" s="6"/>
      <c r="H874" s="6"/>
      <c r="I874" s="6"/>
      <c r="J874" s="6"/>
      <c r="K874" s="6"/>
      <c r="L874" s="6"/>
      <c r="M874" s="6"/>
      <c r="N874" s="6"/>
      <c r="O874" s="6"/>
      <c r="P874" s="6"/>
      <c r="Q874" s="6"/>
      <c r="R874" s="6"/>
      <c r="S874" s="6"/>
      <c r="T874" s="6"/>
      <c r="U874" s="6"/>
      <c r="V874" s="6"/>
      <c r="W874" s="6"/>
    </row>
    <row r="875" spans="1:23" ht="16" x14ac:dyDescent="0.2">
      <c r="A875" s="6"/>
      <c r="B875" s="7"/>
      <c r="C875" s="7"/>
      <c r="D875" s="7"/>
      <c r="E875" s="7"/>
      <c r="F875" s="6"/>
      <c r="G875" s="6"/>
      <c r="H875" s="6"/>
      <c r="I875" s="6"/>
      <c r="J875" s="6"/>
      <c r="K875" s="6"/>
      <c r="L875" s="6"/>
      <c r="M875" s="6"/>
      <c r="N875" s="6"/>
      <c r="O875" s="6"/>
      <c r="P875" s="6"/>
      <c r="Q875" s="6"/>
      <c r="R875" s="6"/>
      <c r="S875" s="6"/>
      <c r="T875" s="6"/>
      <c r="U875" s="6"/>
      <c r="V875" s="6"/>
      <c r="W875" s="6"/>
    </row>
    <row r="876" spans="1:23" ht="16" x14ac:dyDescent="0.2">
      <c r="A876" s="6"/>
      <c r="B876" s="7"/>
      <c r="C876" s="7"/>
      <c r="D876" s="7"/>
      <c r="E876" s="7"/>
      <c r="F876" s="6"/>
      <c r="G876" s="6"/>
      <c r="H876" s="6"/>
      <c r="I876" s="6"/>
      <c r="J876" s="6"/>
      <c r="K876" s="6"/>
      <c r="L876" s="6"/>
      <c r="M876" s="6"/>
      <c r="N876" s="6"/>
      <c r="O876" s="6"/>
      <c r="P876" s="6"/>
      <c r="Q876" s="6"/>
      <c r="R876" s="6"/>
      <c r="S876" s="6"/>
      <c r="T876" s="6"/>
      <c r="U876" s="6"/>
      <c r="V876" s="6"/>
      <c r="W876" s="6"/>
    </row>
    <row r="877" spans="1:23" ht="16" x14ac:dyDescent="0.2">
      <c r="A877" s="6"/>
      <c r="B877" s="7"/>
      <c r="C877" s="7"/>
      <c r="D877" s="7"/>
      <c r="E877" s="7"/>
      <c r="F877" s="6"/>
      <c r="G877" s="6"/>
      <c r="H877" s="6"/>
      <c r="I877" s="6"/>
      <c r="J877" s="6"/>
      <c r="K877" s="6"/>
      <c r="L877" s="6"/>
      <c r="M877" s="6"/>
      <c r="N877" s="6"/>
      <c r="O877" s="6"/>
      <c r="P877" s="6"/>
      <c r="Q877" s="6"/>
      <c r="R877" s="6"/>
      <c r="S877" s="6"/>
      <c r="T877" s="6"/>
      <c r="U877" s="6"/>
      <c r="V877" s="6"/>
      <c r="W877" s="6"/>
    </row>
    <row r="878" spans="1:23" ht="16" x14ac:dyDescent="0.2">
      <c r="A878" s="6"/>
      <c r="B878" s="7"/>
      <c r="C878" s="7"/>
      <c r="D878" s="7"/>
      <c r="E878" s="7"/>
      <c r="F878" s="6"/>
      <c r="G878" s="6"/>
      <c r="H878" s="6"/>
      <c r="I878" s="6"/>
      <c r="J878" s="6"/>
      <c r="K878" s="6"/>
      <c r="L878" s="6"/>
      <c r="M878" s="6"/>
      <c r="N878" s="6"/>
      <c r="O878" s="6"/>
      <c r="P878" s="6"/>
      <c r="Q878" s="6"/>
      <c r="R878" s="6"/>
      <c r="S878" s="6"/>
      <c r="T878" s="6"/>
      <c r="U878" s="6"/>
      <c r="V878" s="6"/>
      <c r="W878" s="6"/>
    </row>
    <row r="879" spans="1:23" ht="16" x14ac:dyDescent="0.2">
      <c r="A879" s="6"/>
      <c r="B879" s="7"/>
      <c r="C879" s="7"/>
      <c r="D879" s="7"/>
      <c r="E879" s="7"/>
      <c r="F879" s="6"/>
      <c r="G879" s="6"/>
      <c r="H879" s="6"/>
      <c r="I879" s="6"/>
      <c r="J879" s="6"/>
      <c r="K879" s="6"/>
      <c r="L879" s="6"/>
      <c r="M879" s="6"/>
      <c r="N879" s="6"/>
      <c r="O879" s="6"/>
      <c r="P879" s="6"/>
      <c r="Q879" s="6"/>
      <c r="R879" s="6"/>
      <c r="S879" s="6"/>
      <c r="T879" s="6"/>
      <c r="U879" s="6"/>
      <c r="V879" s="6"/>
      <c r="W879" s="6"/>
    </row>
    <row r="880" spans="1:23" ht="16" x14ac:dyDescent="0.2">
      <c r="A880" s="6"/>
      <c r="B880" s="7"/>
      <c r="C880" s="7"/>
      <c r="D880" s="7"/>
      <c r="E880" s="7"/>
      <c r="F880" s="6"/>
      <c r="G880" s="6"/>
      <c r="H880" s="6"/>
      <c r="I880" s="6"/>
      <c r="J880" s="6"/>
      <c r="K880" s="6"/>
      <c r="L880" s="6"/>
      <c r="M880" s="6"/>
      <c r="N880" s="6"/>
      <c r="O880" s="6"/>
      <c r="P880" s="6"/>
      <c r="Q880" s="6"/>
      <c r="R880" s="6"/>
      <c r="S880" s="6"/>
      <c r="T880" s="6"/>
      <c r="U880" s="6"/>
      <c r="V880" s="6"/>
      <c r="W880" s="6"/>
    </row>
    <row r="881" spans="1:23" ht="16" x14ac:dyDescent="0.2">
      <c r="A881" s="6"/>
      <c r="B881" s="7"/>
      <c r="C881" s="7"/>
      <c r="D881" s="7"/>
      <c r="E881" s="7"/>
      <c r="F881" s="6"/>
      <c r="G881" s="6"/>
      <c r="H881" s="6"/>
      <c r="I881" s="6"/>
      <c r="J881" s="6"/>
      <c r="K881" s="6"/>
      <c r="L881" s="6"/>
      <c r="M881" s="6"/>
      <c r="N881" s="6"/>
      <c r="O881" s="6"/>
      <c r="P881" s="6"/>
      <c r="Q881" s="6"/>
      <c r="R881" s="6"/>
      <c r="S881" s="6"/>
      <c r="T881" s="6"/>
      <c r="U881" s="6"/>
      <c r="V881" s="6"/>
      <c r="W881" s="6"/>
    </row>
    <row r="882" spans="1:23" ht="16" x14ac:dyDescent="0.2">
      <c r="A882" s="6"/>
      <c r="B882" s="7"/>
      <c r="C882" s="7"/>
      <c r="D882" s="7"/>
      <c r="E882" s="7"/>
      <c r="F882" s="6"/>
      <c r="G882" s="6"/>
      <c r="H882" s="6"/>
      <c r="I882" s="6"/>
      <c r="J882" s="6"/>
      <c r="K882" s="6"/>
      <c r="L882" s="6"/>
      <c r="M882" s="6"/>
      <c r="N882" s="6"/>
      <c r="O882" s="6"/>
      <c r="P882" s="6"/>
      <c r="Q882" s="6"/>
      <c r="R882" s="6"/>
      <c r="S882" s="6"/>
      <c r="T882" s="6"/>
      <c r="U882" s="6"/>
      <c r="V882" s="6"/>
      <c r="W882" s="6"/>
    </row>
    <row r="883" spans="1:23" ht="16" x14ac:dyDescent="0.2">
      <c r="A883" s="6"/>
      <c r="B883" s="7"/>
      <c r="C883" s="7"/>
      <c r="D883" s="7"/>
      <c r="E883" s="7"/>
      <c r="F883" s="6"/>
      <c r="G883" s="6"/>
      <c r="H883" s="6"/>
      <c r="I883" s="6"/>
      <c r="J883" s="6"/>
      <c r="K883" s="6"/>
      <c r="L883" s="6"/>
      <c r="M883" s="6"/>
      <c r="N883" s="6"/>
      <c r="O883" s="6"/>
      <c r="P883" s="6"/>
      <c r="Q883" s="6"/>
      <c r="R883" s="6"/>
      <c r="S883" s="6"/>
      <c r="T883" s="6"/>
      <c r="U883" s="6"/>
      <c r="V883" s="6"/>
      <c r="W883" s="6"/>
    </row>
    <row r="884" spans="1:23" ht="16" x14ac:dyDescent="0.2">
      <c r="A884" s="6"/>
      <c r="B884" s="7"/>
      <c r="C884" s="7"/>
      <c r="D884" s="7"/>
      <c r="E884" s="7"/>
      <c r="F884" s="6"/>
      <c r="G884" s="6"/>
      <c r="H884" s="6"/>
      <c r="I884" s="6"/>
      <c r="J884" s="6"/>
      <c r="K884" s="6"/>
      <c r="L884" s="6"/>
      <c r="M884" s="6"/>
      <c r="N884" s="6"/>
      <c r="O884" s="6"/>
      <c r="P884" s="6"/>
      <c r="Q884" s="6"/>
      <c r="R884" s="6"/>
      <c r="S884" s="6"/>
      <c r="T884" s="6"/>
      <c r="U884" s="6"/>
      <c r="V884" s="6"/>
      <c r="W884" s="6"/>
    </row>
    <row r="885" spans="1:23" ht="16" x14ac:dyDescent="0.2">
      <c r="A885" s="6"/>
      <c r="B885" s="7"/>
      <c r="C885" s="7"/>
      <c r="D885" s="7"/>
      <c r="E885" s="7"/>
      <c r="F885" s="6"/>
      <c r="G885" s="6"/>
      <c r="H885" s="6"/>
      <c r="I885" s="6"/>
      <c r="J885" s="6"/>
      <c r="K885" s="6"/>
      <c r="L885" s="6"/>
      <c r="M885" s="6"/>
      <c r="N885" s="6"/>
      <c r="O885" s="6"/>
      <c r="P885" s="6"/>
      <c r="Q885" s="6"/>
      <c r="R885" s="6"/>
      <c r="S885" s="6"/>
      <c r="T885" s="6"/>
      <c r="U885" s="6"/>
      <c r="V885" s="6"/>
      <c r="W885" s="6"/>
    </row>
    <row r="886" spans="1:23" ht="16" x14ac:dyDescent="0.2">
      <c r="A886" s="6"/>
      <c r="B886" s="7"/>
      <c r="C886" s="7"/>
      <c r="D886" s="7"/>
      <c r="E886" s="7"/>
      <c r="F886" s="6"/>
      <c r="G886" s="6"/>
      <c r="H886" s="6"/>
      <c r="I886" s="6"/>
      <c r="J886" s="6"/>
      <c r="K886" s="6"/>
      <c r="L886" s="6"/>
      <c r="M886" s="6"/>
      <c r="N886" s="6"/>
      <c r="O886" s="6"/>
      <c r="P886" s="6"/>
      <c r="Q886" s="6"/>
      <c r="R886" s="6"/>
      <c r="S886" s="6"/>
      <c r="T886" s="6"/>
      <c r="U886" s="6"/>
      <c r="V886" s="6"/>
      <c r="W886" s="6"/>
    </row>
    <row r="887" spans="1:23" ht="16" x14ac:dyDescent="0.2">
      <c r="A887" s="6"/>
      <c r="B887" s="7"/>
      <c r="C887" s="7"/>
      <c r="D887" s="7"/>
      <c r="E887" s="7"/>
      <c r="F887" s="6"/>
      <c r="G887" s="6"/>
      <c r="H887" s="6"/>
      <c r="I887" s="6"/>
      <c r="J887" s="6"/>
      <c r="K887" s="6"/>
      <c r="L887" s="6"/>
      <c r="M887" s="6"/>
      <c r="N887" s="6"/>
      <c r="O887" s="6"/>
      <c r="P887" s="6"/>
      <c r="Q887" s="6"/>
      <c r="R887" s="6"/>
      <c r="S887" s="6"/>
      <c r="T887" s="6"/>
      <c r="U887" s="6"/>
      <c r="V887" s="6"/>
      <c r="W887" s="6"/>
    </row>
    <row r="888" spans="1:23" ht="16" x14ac:dyDescent="0.2">
      <c r="A888" s="6"/>
      <c r="B888" s="7"/>
      <c r="C888" s="7"/>
      <c r="D888" s="7"/>
      <c r="E888" s="7"/>
      <c r="F888" s="6"/>
      <c r="G888" s="6"/>
      <c r="H888" s="6"/>
      <c r="I888" s="6"/>
      <c r="J888" s="6"/>
      <c r="K888" s="6"/>
      <c r="L888" s="6"/>
      <c r="M888" s="6"/>
      <c r="N888" s="6"/>
      <c r="O888" s="6"/>
      <c r="P888" s="6"/>
      <c r="Q888" s="6"/>
      <c r="R888" s="6"/>
      <c r="S888" s="6"/>
      <c r="T888" s="6"/>
      <c r="U888" s="6"/>
      <c r="V888" s="6"/>
      <c r="W888" s="6"/>
    </row>
    <row r="889" spans="1:23" ht="16" x14ac:dyDescent="0.2">
      <c r="A889" s="6"/>
      <c r="B889" s="7"/>
      <c r="C889" s="7"/>
      <c r="D889" s="7"/>
      <c r="E889" s="7"/>
      <c r="F889" s="6"/>
      <c r="G889" s="6"/>
      <c r="H889" s="6"/>
      <c r="I889" s="6"/>
      <c r="J889" s="6"/>
      <c r="K889" s="6"/>
      <c r="L889" s="6"/>
      <c r="M889" s="6"/>
      <c r="N889" s="6"/>
      <c r="O889" s="6"/>
      <c r="P889" s="6"/>
      <c r="Q889" s="6"/>
      <c r="R889" s="6"/>
      <c r="S889" s="6"/>
      <c r="T889" s="6"/>
      <c r="U889" s="6"/>
      <c r="V889" s="6"/>
      <c r="W889" s="6"/>
    </row>
    <row r="890" spans="1:23" ht="16" x14ac:dyDescent="0.2">
      <c r="A890" s="6"/>
      <c r="B890" s="7"/>
      <c r="C890" s="7"/>
      <c r="D890" s="7"/>
      <c r="E890" s="7"/>
      <c r="F890" s="6"/>
      <c r="G890" s="6"/>
      <c r="H890" s="6"/>
      <c r="I890" s="6"/>
      <c r="J890" s="6"/>
      <c r="K890" s="6"/>
      <c r="L890" s="6"/>
      <c r="M890" s="6"/>
      <c r="N890" s="6"/>
      <c r="O890" s="6"/>
      <c r="P890" s="6"/>
      <c r="Q890" s="6"/>
      <c r="R890" s="6"/>
      <c r="S890" s="6"/>
      <c r="T890" s="6"/>
      <c r="U890" s="6"/>
      <c r="V890" s="6"/>
      <c r="W890" s="6"/>
    </row>
    <row r="891" spans="1:23" ht="16" x14ac:dyDescent="0.2">
      <c r="A891" s="6"/>
      <c r="B891" s="7"/>
      <c r="C891" s="7"/>
      <c r="D891" s="7"/>
      <c r="E891" s="7"/>
      <c r="F891" s="6"/>
      <c r="G891" s="6"/>
      <c r="H891" s="6"/>
      <c r="I891" s="6"/>
      <c r="J891" s="6"/>
      <c r="K891" s="6"/>
      <c r="L891" s="6"/>
      <c r="M891" s="6"/>
      <c r="N891" s="6"/>
      <c r="O891" s="6"/>
      <c r="P891" s="6"/>
      <c r="Q891" s="6"/>
      <c r="R891" s="6"/>
      <c r="S891" s="6"/>
      <c r="T891" s="6"/>
      <c r="U891" s="6"/>
      <c r="V891" s="6"/>
      <c r="W891" s="6"/>
    </row>
    <row r="892" spans="1:23" ht="16" x14ac:dyDescent="0.2">
      <c r="A892" s="6"/>
      <c r="B892" s="7"/>
      <c r="C892" s="7"/>
      <c r="D892" s="7"/>
      <c r="E892" s="7"/>
      <c r="F892" s="6"/>
      <c r="G892" s="6"/>
      <c r="H892" s="6"/>
      <c r="I892" s="6"/>
      <c r="J892" s="6"/>
      <c r="K892" s="6"/>
      <c r="L892" s="6"/>
      <c r="M892" s="6"/>
      <c r="N892" s="6"/>
      <c r="O892" s="6"/>
      <c r="P892" s="6"/>
      <c r="Q892" s="6"/>
      <c r="R892" s="6"/>
      <c r="S892" s="6"/>
      <c r="T892" s="6"/>
      <c r="U892" s="6"/>
      <c r="V892" s="6"/>
      <c r="W892" s="6"/>
    </row>
    <row r="893" spans="1:23" ht="16" x14ac:dyDescent="0.2">
      <c r="A893" s="6"/>
      <c r="B893" s="7"/>
      <c r="C893" s="7"/>
      <c r="D893" s="7"/>
      <c r="E893" s="7"/>
      <c r="F893" s="6"/>
      <c r="G893" s="6"/>
      <c r="H893" s="6"/>
      <c r="I893" s="6"/>
      <c r="J893" s="6"/>
      <c r="K893" s="6"/>
      <c r="L893" s="6"/>
      <c r="M893" s="6"/>
      <c r="N893" s="6"/>
      <c r="O893" s="6"/>
      <c r="P893" s="6"/>
      <c r="Q893" s="6"/>
      <c r="R893" s="6"/>
      <c r="S893" s="6"/>
      <c r="T893" s="6"/>
      <c r="U893" s="6"/>
      <c r="V893" s="6"/>
      <c r="W893" s="6"/>
    </row>
    <row r="894" spans="1:23" ht="16" x14ac:dyDescent="0.2">
      <c r="A894" s="6"/>
      <c r="B894" s="7"/>
      <c r="C894" s="7"/>
      <c r="D894" s="7"/>
      <c r="E894" s="7"/>
      <c r="F894" s="6"/>
      <c r="G894" s="6"/>
      <c r="H894" s="6"/>
      <c r="I894" s="6"/>
      <c r="J894" s="6"/>
      <c r="K894" s="6"/>
      <c r="L894" s="6"/>
      <c r="M894" s="6"/>
      <c r="N894" s="6"/>
      <c r="O894" s="6"/>
      <c r="P894" s="6"/>
      <c r="Q894" s="6"/>
      <c r="R894" s="6"/>
      <c r="S894" s="6"/>
      <c r="T894" s="6"/>
      <c r="U894" s="6"/>
      <c r="V894" s="6"/>
      <c r="W894" s="6"/>
    </row>
    <row r="895" spans="1:23" ht="16" x14ac:dyDescent="0.2">
      <c r="A895" s="6"/>
      <c r="B895" s="7"/>
      <c r="C895" s="7"/>
      <c r="D895" s="7"/>
      <c r="E895" s="7"/>
      <c r="F895" s="6"/>
      <c r="G895" s="6"/>
      <c r="H895" s="6"/>
      <c r="I895" s="6"/>
      <c r="J895" s="6"/>
      <c r="K895" s="6"/>
      <c r="L895" s="6"/>
      <c r="M895" s="6"/>
      <c r="N895" s="6"/>
      <c r="O895" s="6"/>
      <c r="P895" s="6"/>
      <c r="Q895" s="6"/>
      <c r="R895" s="6"/>
      <c r="S895" s="6"/>
      <c r="T895" s="6"/>
      <c r="U895" s="6"/>
      <c r="V895" s="6"/>
      <c r="W895" s="6"/>
    </row>
    <row r="896" spans="1:23" ht="16" x14ac:dyDescent="0.2">
      <c r="A896" s="6"/>
      <c r="B896" s="7"/>
      <c r="C896" s="7"/>
      <c r="D896" s="7"/>
      <c r="E896" s="7"/>
      <c r="F896" s="6"/>
      <c r="G896" s="6"/>
      <c r="H896" s="6"/>
      <c r="I896" s="6"/>
      <c r="J896" s="6"/>
      <c r="K896" s="6"/>
      <c r="L896" s="6"/>
      <c r="M896" s="6"/>
      <c r="N896" s="6"/>
      <c r="O896" s="6"/>
      <c r="P896" s="6"/>
      <c r="Q896" s="6"/>
      <c r="R896" s="6"/>
      <c r="S896" s="6"/>
      <c r="T896" s="6"/>
      <c r="U896" s="6"/>
      <c r="V896" s="6"/>
      <c r="W896" s="6"/>
    </row>
    <row r="897" spans="1:23" ht="16" x14ac:dyDescent="0.2">
      <c r="A897" s="6"/>
      <c r="B897" s="7"/>
      <c r="C897" s="7"/>
      <c r="D897" s="7"/>
      <c r="E897" s="7"/>
      <c r="F897" s="6"/>
      <c r="G897" s="6"/>
      <c r="H897" s="6"/>
      <c r="I897" s="6"/>
      <c r="J897" s="6"/>
      <c r="K897" s="6"/>
      <c r="L897" s="6"/>
      <c r="M897" s="6"/>
      <c r="N897" s="6"/>
      <c r="O897" s="6"/>
      <c r="P897" s="6"/>
      <c r="Q897" s="6"/>
      <c r="R897" s="6"/>
      <c r="S897" s="6"/>
      <c r="T897" s="6"/>
      <c r="U897" s="6"/>
      <c r="V897" s="6"/>
      <c r="W897" s="6"/>
    </row>
    <row r="898" spans="1:23" ht="16" x14ac:dyDescent="0.2">
      <c r="A898" s="6"/>
      <c r="B898" s="7"/>
      <c r="C898" s="7"/>
      <c r="D898" s="7"/>
      <c r="E898" s="7"/>
      <c r="F898" s="6"/>
      <c r="G898" s="6"/>
      <c r="H898" s="6"/>
      <c r="I898" s="6"/>
      <c r="J898" s="6"/>
      <c r="K898" s="6"/>
      <c r="L898" s="6"/>
      <c r="M898" s="6"/>
      <c r="N898" s="6"/>
      <c r="O898" s="6"/>
      <c r="P898" s="6"/>
      <c r="Q898" s="6"/>
      <c r="R898" s="6"/>
      <c r="S898" s="6"/>
      <c r="T898" s="6"/>
      <c r="U898" s="6"/>
      <c r="V898" s="6"/>
      <c r="W898" s="6"/>
    </row>
    <row r="899" spans="1:23" ht="16" x14ac:dyDescent="0.2">
      <c r="A899" s="6"/>
      <c r="B899" s="7"/>
      <c r="C899" s="7"/>
      <c r="D899" s="7"/>
      <c r="E899" s="7"/>
      <c r="F899" s="6"/>
      <c r="G899" s="6"/>
      <c r="H899" s="6"/>
      <c r="I899" s="6"/>
      <c r="J899" s="6"/>
      <c r="K899" s="6"/>
      <c r="L899" s="6"/>
      <c r="M899" s="6"/>
      <c r="N899" s="6"/>
      <c r="O899" s="6"/>
      <c r="P899" s="6"/>
      <c r="Q899" s="6"/>
      <c r="R899" s="6"/>
      <c r="S899" s="6"/>
      <c r="T899" s="6"/>
      <c r="U899" s="6"/>
      <c r="V899" s="6"/>
      <c r="W899" s="6"/>
    </row>
    <row r="900" spans="1:23" ht="16" x14ac:dyDescent="0.2">
      <c r="A900" s="6"/>
      <c r="B900" s="7"/>
      <c r="C900" s="7"/>
      <c r="D900" s="7"/>
      <c r="E900" s="7"/>
      <c r="F900" s="6"/>
      <c r="G900" s="6"/>
      <c r="H900" s="6"/>
      <c r="I900" s="6"/>
      <c r="J900" s="6"/>
      <c r="K900" s="6"/>
      <c r="L900" s="6"/>
      <c r="M900" s="6"/>
      <c r="N900" s="6"/>
      <c r="O900" s="6"/>
      <c r="P900" s="6"/>
      <c r="Q900" s="6"/>
      <c r="R900" s="6"/>
      <c r="S900" s="6"/>
      <c r="T900" s="6"/>
      <c r="U900" s="6"/>
      <c r="V900" s="6"/>
      <c r="W900" s="6"/>
    </row>
    <row r="901" spans="1:23" ht="16" x14ac:dyDescent="0.2">
      <c r="A901" s="6"/>
      <c r="B901" s="7"/>
      <c r="C901" s="7"/>
      <c r="D901" s="7"/>
      <c r="E901" s="7"/>
      <c r="F901" s="6"/>
      <c r="G901" s="6"/>
      <c r="H901" s="6"/>
      <c r="I901" s="6"/>
      <c r="J901" s="6"/>
      <c r="K901" s="6"/>
      <c r="L901" s="6"/>
      <c r="M901" s="6"/>
      <c r="N901" s="6"/>
      <c r="O901" s="6"/>
      <c r="P901" s="6"/>
      <c r="Q901" s="6"/>
      <c r="R901" s="6"/>
      <c r="S901" s="6"/>
      <c r="T901" s="6"/>
      <c r="U901" s="6"/>
      <c r="V901" s="6"/>
      <c r="W901" s="6"/>
    </row>
    <row r="902" spans="1:23" ht="16" x14ac:dyDescent="0.2">
      <c r="A902" s="6"/>
      <c r="B902" s="7"/>
      <c r="C902" s="7"/>
      <c r="D902" s="7"/>
      <c r="E902" s="7"/>
      <c r="F902" s="6"/>
      <c r="G902" s="6"/>
      <c r="H902" s="6"/>
      <c r="I902" s="6"/>
      <c r="J902" s="6"/>
      <c r="K902" s="6"/>
      <c r="L902" s="6"/>
      <c r="M902" s="6"/>
      <c r="N902" s="6"/>
      <c r="O902" s="6"/>
      <c r="P902" s="6"/>
      <c r="Q902" s="6"/>
      <c r="R902" s="6"/>
      <c r="S902" s="6"/>
      <c r="T902" s="6"/>
      <c r="U902" s="6"/>
      <c r="V902" s="6"/>
      <c r="W902" s="6"/>
    </row>
    <row r="903" spans="1:23" ht="16" x14ac:dyDescent="0.2">
      <c r="A903" s="6"/>
      <c r="B903" s="7"/>
      <c r="C903" s="7"/>
      <c r="D903" s="7"/>
      <c r="E903" s="7"/>
      <c r="F903" s="6"/>
      <c r="G903" s="6"/>
      <c r="H903" s="6"/>
      <c r="I903" s="6"/>
      <c r="J903" s="6"/>
      <c r="K903" s="6"/>
      <c r="L903" s="6"/>
      <c r="M903" s="6"/>
      <c r="N903" s="6"/>
      <c r="O903" s="6"/>
      <c r="P903" s="6"/>
      <c r="Q903" s="6"/>
      <c r="R903" s="6"/>
      <c r="S903" s="6"/>
      <c r="T903" s="6"/>
      <c r="U903" s="6"/>
      <c r="V903" s="6"/>
      <c r="W903" s="6"/>
    </row>
    <row r="904" spans="1:23" ht="16" x14ac:dyDescent="0.2">
      <c r="A904" s="6"/>
      <c r="B904" s="7"/>
      <c r="C904" s="7"/>
      <c r="D904" s="7"/>
      <c r="E904" s="7"/>
      <c r="F904" s="6"/>
      <c r="G904" s="6"/>
      <c r="H904" s="6"/>
      <c r="I904" s="6"/>
      <c r="J904" s="6"/>
      <c r="K904" s="6"/>
      <c r="L904" s="6"/>
      <c r="M904" s="6"/>
      <c r="N904" s="6"/>
      <c r="O904" s="6"/>
      <c r="P904" s="6"/>
      <c r="Q904" s="6"/>
      <c r="R904" s="6"/>
      <c r="S904" s="6"/>
      <c r="T904" s="6"/>
      <c r="U904" s="6"/>
      <c r="V904" s="6"/>
      <c r="W904" s="6"/>
    </row>
    <row r="905" spans="1:23" ht="16" x14ac:dyDescent="0.2">
      <c r="A905" s="6"/>
      <c r="B905" s="7"/>
      <c r="C905" s="7"/>
      <c r="D905" s="7"/>
      <c r="E905" s="7"/>
      <c r="F905" s="6"/>
      <c r="G905" s="6"/>
      <c r="H905" s="6"/>
      <c r="I905" s="6"/>
      <c r="J905" s="6"/>
      <c r="K905" s="6"/>
      <c r="L905" s="6"/>
      <c r="M905" s="6"/>
      <c r="N905" s="6"/>
      <c r="O905" s="6"/>
      <c r="P905" s="6"/>
      <c r="Q905" s="6"/>
      <c r="R905" s="6"/>
      <c r="S905" s="6"/>
      <c r="T905" s="6"/>
      <c r="U905" s="6"/>
      <c r="V905" s="6"/>
      <c r="W905" s="6"/>
    </row>
    <row r="906" spans="1:23" ht="16" x14ac:dyDescent="0.2">
      <c r="A906" s="6"/>
      <c r="B906" s="7"/>
      <c r="C906" s="7"/>
      <c r="D906" s="7"/>
      <c r="E906" s="7"/>
      <c r="F906" s="6"/>
      <c r="G906" s="6"/>
      <c r="H906" s="6"/>
      <c r="I906" s="6"/>
      <c r="J906" s="6"/>
      <c r="K906" s="6"/>
      <c r="L906" s="6"/>
      <c r="M906" s="6"/>
      <c r="N906" s="6"/>
      <c r="O906" s="6"/>
      <c r="P906" s="6"/>
      <c r="Q906" s="6"/>
      <c r="R906" s="6"/>
      <c r="S906" s="6"/>
      <c r="T906" s="6"/>
      <c r="U906" s="6"/>
      <c r="V906" s="6"/>
      <c r="W906" s="6"/>
    </row>
    <row r="907" spans="1:23" ht="16" x14ac:dyDescent="0.2">
      <c r="A907" s="6"/>
      <c r="B907" s="7"/>
      <c r="C907" s="7"/>
      <c r="D907" s="7"/>
      <c r="E907" s="7"/>
      <c r="F907" s="6"/>
      <c r="G907" s="6"/>
      <c r="H907" s="6"/>
      <c r="I907" s="6"/>
      <c r="J907" s="6"/>
      <c r="K907" s="6"/>
      <c r="L907" s="6"/>
      <c r="M907" s="6"/>
      <c r="N907" s="6"/>
      <c r="O907" s="6"/>
      <c r="P907" s="6"/>
      <c r="Q907" s="6"/>
      <c r="R907" s="6"/>
      <c r="S907" s="6"/>
      <c r="T907" s="6"/>
      <c r="U907" s="6"/>
      <c r="V907" s="6"/>
      <c r="W907" s="6"/>
    </row>
    <row r="908" spans="1:23" ht="16" x14ac:dyDescent="0.2">
      <c r="A908" s="6"/>
      <c r="B908" s="7"/>
      <c r="C908" s="7"/>
      <c r="D908" s="7"/>
      <c r="E908" s="7"/>
      <c r="F908" s="6"/>
      <c r="G908" s="6"/>
      <c r="H908" s="6"/>
      <c r="I908" s="6"/>
      <c r="J908" s="6"/>
      <c r="K908" s="6"/>
      <c r="L908" s="6"/>
      <c r="M908" s="6"/>
      <c r="N908" s="6"/>
      <c r="O908" s="6"/>
      <c r="P908" s="6"/>
      <c r="Q908" s="6"/>
      <c r="R908" s="6"/>
      <c r="S908" s="6"/>
      <c r="T908" s="6"/>
      <c r="U908" s="6"/>
      <c r="V908" s="6"/>
      <c r="W908" s="6"/>
    </row>
    <row r="909" spans="1:23" ht="16" x14ac:dyDescent="0.2">
      <c r="A909" s="6"/>
      <c r="B909" s="7"/>
      <c r="C909" s="7"/>
      <c r="D909" s="7"/>
      <c r="E909" s="7"/>
      <c r="F909" s="6"/>
      <c r="G909" s="6"/>
      <c r="H909" s="6"/>
      <c r="I909" s="6"/>
      <c r="J909" s="6"/>
      <c r="K909" s="6"/>
      <c r="L909" s="6"/>
      <c r="M909" s="6"/>
      <c r="N909" s="6"/>
      <c r="O909" s="6"/>
      <c r="P909" s="6"/>
      <c r="Q909" s="6"/>
      <c r="R909" s="6"/>
      <c r="S909" s="6"/>
      <c r="T909" s="6"/>
      <c r="U909" s="6"/>
      <c r="V909" s="6"/>
      <c r="W909" s="6"/>
    </row>
    <row r="910" spans="1:23" ht="16" x14ac:dyDescent="0.2">
      <c r="A910" s="6"/>
      <c r="B910" s="7"/>
      <c r="C910" s="7"/>
      <c r="D910" s="7"/>
      <c r="E910" s="7"/>
      <c r="F910" s="6"/>
      <c r="G910" s="6"/>
      <c r="H910" s="6"/>
      <c r="I910" s="6"/>
      <c r="J910" s="6"/>
      <c r="K910" s="6"/>
      <c r="L910" s="6"/>
      <c r="M910" s="6"/>
      <c r="N910" s="6"/>
      <c r="O910" s="6"/>
      <c r="P910" s="6"/>
      <c r="Q910" s="6"/>
      <c r="R910" s="6"/>
      <c r="S910" s="6"/>
      <c r="T910" s="6"/>
      <c r="U910" s="6"/>
      <c r="V910" s="6"/>
      <c r="W910" s="6"/>
    </row>
    <row r="911" spans="1:23" ht="16" x14ac:dyDescent="0.2">
      <c r="A911" s="6"/>
      <c r="B911" s="7"/>
      <c r="C911" s="7"/>
      <c r="D911" s="7"/>
      <c r="E911" s="7"/>
      <c r="F911" s="6"/>
      <c r="G911" s="6"/>
      <c r="H911" s="6"/>
      <c r="I911" s="6"/>
      <c r="J911" s="6"/>
      <c r="K911" s="6"/>
      <c r="L911" s="6"/>
      <c r="M911" s="6"/>
      <c r="N911" s="6"/>
      <c r="O911" s="6"/>
      <c r="P911" s="6"/>
      <c r="Q911" s="6"/>
      <c r="R911" s="6"/>
      <c r="S911" s="6"/>
      <c r="T911" s="6"/>
      <c r="U911" s="6"/>
      <c r="V911" s="6"/>
      <c r="W911" s="6"/>
    </row>
    <row r="912" spans="1:23" ht="16" x14ac:dyDescent="0.2">
      <c r="A912" s="6"/>
      <c r="B912" s="7"/>
      <c r="C912" s="7"/>
      <c r="D912" s="7"/>
      <c r="E912" s="7"/>
      <c r="F912" s="6"/>
      <c r="G912" s="6"/>
      <c r="H912" s="6"/>
      <c r="I912" s="6"/>
      <c r="J912" s="6"/>
      <c r="K912" s="6"/>
      <c r="L912" s="6"/>
      <c r="M912" s="6"/>
      <c r="N912" s="6"/>
      <c r="O912" s="6"/>
      <c r="P912" s="6"/>
      <c r="Q912" s="6"/>
      <c r="R912" s="6"/>
      <c r="S912" s="6"/>
      <c r="T912" s="6"/>
      <c r="U912" s="6"/>
      <c r="V912" s="6"/>
      <c r="W912" s="6"/>
    </row>
    <row r="913" spans="1:23" ht="16" x14ac:dyDescent="0.2">
      <c r="A913" s="6"/>
      <c r="B913" s="7"/>
      <c r="C913" s="7"/>
      <c r="D913" s="7"/>
      <c r="E913" s="7"/>
      <c r="F913" s="6"/>
      <c r="G913" s="6"/>
      <c r="H913" s="6"/>
      <c r="I913" s="6"/>
      <c r="J913" s="6"/>
      <c r="K913" s="6"/>
      <c r="L913" s="6"/>
      <c r="M913" s="6"/>
      <c r="N913" s="6"/>
      <c r="O913" s="6"/>
      <c r="P913" s="6"/>
      <c r="Q913" s="6"/>
      <c r="R913" s="6"/>
      <c r="S913" s="6"/>
      <c r="T913" s="6"/>
      <c r="U913" s="6"/>
      <c r="V913" s="6"/>
      <c r="W913" s="6"/>
    </row>
    <row r="914" spans="1:23" ht="16" x14ac:dyDescent="0.2">
      <c r="A914" s="6"/>
      <c r="B914" s="7"/>
      <c r="C914" s="7"/>
      <c r="D914" s="7"/>
      <c r="E914" s="7"/>
      <c r="F914" s="6"/>
      <c r="G914" s="6"/>
      <c r="H914" s="6"/>
      <c r="I914" s="6"/>
      <c r="J914" s="6"/>
      <c r="K914" s="6"/>
      <c r="L914" s="6"/>
      <c r="M914" s="6"/>
      <c r="N914" s="6"/>
      <c r="O914" s="6"/>
      <c r="P914" s="6"/>
      <c r="Q914" s="6"/>
      <c r="R914" s="6"/>
      <c r="S914" s="6"/>
      <c r="T914" s="6"/>
      <c r="U914" s="6"/>
      <c r="V914" s="6"/>
      <c r="W914" s="6"/>
    </row>
    <row r="915" spans="1:23" ht="16" x14ac:dyDescent="0.2">
      <c r="A915" s="6"/>
      <c r="B915" s="7"/>
      <c r="C915" s="7"/>
      <c r="D915" s="7"/>
      <c r="E915" s="7"/>
      <c r="F915" s="6"/>
      <c r="G915" s="6"/>
      <c r="H915" s="6"/>
      <c r="I915" s="6"/>
      <c r="J915" s="6"/>
      <c r="K915" s="6"/>
      <c r="L915" s="6"/>
      <c r="M915" s="6"/>
      <c r="N915" s="6"/>
      <c r="O915" s="6"/>
      <c r="P915" s="6"/>
      <c r="Q915" s="6"/>
      <c r="R915" s="6"/>
      <c r="S915" s="6"/>
      <c r="T915" s="6"/>
      <c r="U915" s="6"/>
      <c r="V915" s="6"/>
      <c r="W915" s="6"/>
    </row>
    <row r="916" spans="1:23" ht="16" x14ac:dyDescent="0.2">
      <c r="A916" s="6"/>
      <c r="B916" s="7"/>
      <c r="C916" s="7"/>
      <c r="D916" s="7"/>
      <c r="E916" s="7"/>
      <c r="F916" s="6"/>
      <c r="G916" s="6"/>
      <c r="H916" s="6"/>
      <c r="I916" s="6"/>
      <c r="J916" s="6"/>
      <c r="K916" s="6"/>
      <c r="L916" s="6"/>
      <c r="M916" s="6"/>
      <c r="N916" s="6"/>
      <c r="O916" s="6"/>
      <c r="P916" s="6"/>
      <c r="Q916" s="6"/>
      <c r="R916" s="6"/>
      <c r="S916" s="6"/>
      <c r="T916" s="6"/>
      <c r="U916" s="6"/>
      <c r="V916" s="6"/>
      <c r="W916" s="6"/>
    </row>
    <row r="917" spans="1:23" ht="16" x14ac:dyDescent="0.2">
      <c r="A917" s="6"/>
      <c r="B917" s="7"/>
      <c r="C917" s="7"/>
      <c r="D917" s="7"/>
      <c r="E917" s="7"/>
      <c r="F917" s="6"/>
      <c r="G917" s="6"/>
      <c r="H917" s="6"/>
      <c r="I917" s="6"/>
      <c r="J917" s="6"/>
      <c r="K917" s="6"/>
      <c r="L917" s="6"/>
      <c r="M917" s="6"/>
      <c r="N917" s="6"/>
      <c r="O917" s="6"/>
      <c r="P917" s="6"/>
      <c r="Q917" s="6"/>
      <c r="R917" s="6"/>
      <c r="S917" s="6"/>
      <c r="T917" s="6"/>
      <c r="U917" s="6"/>
      <c r="V917" s="6"/>
      <c r="W917" s="6"/>
    </row>
    <row r="918" spans="1:23" ht="16" x14ac:dyDescent="0.2">
      <c r="A918" s="6"/>
      <c r="B918" s="7"/>
      <c r="C918" s="7"/>
      <c r="D918" s="7"/>
      <c r="E918" s="7"/>
      <c r="F918" s="6"/>
      <c r="G918" s="6"/>
      <c r="H918" s="6"/>
      <c r="I918" s="6"/>
      <c r="J918" s="6"/>
      <c r="K918" s="6"/>
      <c r="L918" s="6"/>
      <c r="M918" s="6"/>
      <c r="N918" s="6"/>
      <c r="O918" s="6"/>
      <c r="P918" s="6"/>
      <c r="Q918" s="6"/>
      <c r="R918" s="6"/>
      <c r="S918" s="6"/>
      <c r="T918" s="6"/>
      <c r="U918" s="6"/>
      <c r="V918" s="6"/>
      <c r="W918" s="6"/>
    </row>
    <row r="919" spans="1:23" ht="16" x14ac:dyDescent="0.2">
      <c r="A919" s="6"/>
      <c r="B919" s="7"/>
      <c r="C919" s="7"/>
      <c r="D919" s="7"/>
      <c r="E919" s="7"/>
      <c r="F919" s="6"/>
      <c r="G919" s="6"/>
      <c r="H919" s="6"/>
      <c r="I919" s="6"/>
      <c r="J919" s="6"/>
      <c r="K919" s="6"/>
      <c r="L919" s="6"/>
      <c r="M919" s="6"/>
      <c r="N919" s="6"/>
      <c r="O919" s="6"/>
      <c r="P919" s="6"/>
      <c r="Q919" s="6"/>
      <c r="R919" s="6"/>
      <c r="S919" s="6"/>
      <c r="T919" s="6"/>
      <c r="U919" s="6"/>
      <c r="V919" s="6"/>
      <c r="W919" s="6"/>
    </row>
    <row r="920" spans="1:23" ht="16" x14ac:dyDescent="0.2">
      <c r="A920" s="6"/>
      <c r="B920" s="7"/>
      <c r="C920" s="7"/>
      <c r="D920" s="7"/>
      <c r="E920" s="7"/>
      <c r="F920" s="6"/>
      <c r="G920" s="6"/>
      <c r="H920" s="6"/>
      <c r="I920" s="6"/>
      <c r="J920" s="6"/>
      <c r="K920" s="6"/>
      <c r="L920" s="6"/>
      <c r="M920" s="6"/>
      <c r="N920" s="6"/>
      <c r="O920" s="6"/>
      <c r="P920" s="6"/>
      <c r="Q920" s="6"/>
      <c r="R920" s="6"/>
      <c r="S920" s="6"/>
      <c r="T920" s="6"/>
      <c r="U920" s="6"/>
      <c r="V920" s="6"/>
      <c r="W920" s="6"/>
    </row>
    <row r="921" spans="1:23" ht="16" x14ac:dyDescent="0.2">
      <c r="A921" s="6"/>
      <c r="B921" s="7"/>
      <c r="C921" s="7"/>
      <c r="D921" s="7"/>
      <c r="E921" s="7"/>
      <c r="F921" s="6"/>
      <c r="G921" s="6"/>
      <c r="H921" s="6"/>
      <c r="I921" s="6"/>
      <c r="J921" s="6"/>
      <c r="K921" s="6"/>
      <c r="L921" s="6"/>
      <c r="M921" s="6"/>
      <c r="N921" s="6"/>
      <c r="O921" s="6"/>
      <c r="P921" s="6"/>
      <c r="Q921" s="6"/>
      <c r="R921" s="6"/>
      <c r="S921" s="6"/>
      <c r="T921" s="6"/>
      <c r="U921" s="6"/>
      <c r="V921" s="6"/>
      <c r="W921" s="6"/>
    </row>
    <row r="922" spans="1:23" ht="16" x14ac:dyDescent="0.2">
      <c r="A922" s="6"/>
      <c r="B922" s="7"/>
      <c r="C922" s="7"/>
      <c r="D922" s="7"/>
      <c r="E922" s="7"/>
      <c r="F922" s="6"/>
      <c r="G922" s="6"/>
      <c r="H922" s="6"/>
      <c r="I922" s="6"/>
      <c r="J922" s="6"/>
      <c r="K922" s="6"/>
      <c r="L922" s="6"/>
      <c r="M922" s="6"/>
      <c r="N922" s="6"/>
      <c r="O922" s="6"/>
      <c r="P922" s="6"/>
      <c r="Q922" s="6"/>
      <c r="R922" s="6"/>
      <c r="S922" s="6"/>
      <c r="T922" s="6"/>
      <c r="U922" s="6"/>
      <c r="V922" s="6"/>
      <c r="W922" s="6"/>
    </row>
    <row r="923" spans="1:23" ht="16" x14ac:dyDescent="0.2">
      <c r="A923" s="6"/>
      <c r="B923" s="7"/>
      <c r="C923" s="7"/>
      <c r="D923" s="7"/>
      <c r="E923" s="7"/>
      <c r="F923" s="6"/>
      <c r="G923" s="6"/>
      <c r="H923" s="6"/>
      <c r="I923" s="6"/>
      <c r="J923" s="6"/>
      <c r="K923" s="6"/>
      <c r="L923" s="6"/>
      <c r="M923" s="6"/>
      <c r="N923" s="6"/>
      <c r="O923" s="6"/>
      <c r="P923" s="6"/>
      <c r="Q923" s="6"/>
      <c r="R923" s="6"/>
      <c r="S923" s="6"/>
      <c r="T923" s="6"/>
      <c r="U923" s="6"/>
      <c r="V923" s="6"/>
      <c r="W923" s="6"/>
    </row>
    <row r="924" spans="1:23" ht="16" x14ac:dyDescent="0.2">
      <c r="A924" s="6"/>
      <c r="B924" s="7"/>
      <c r="C924" s="7"/>
      <c r="D924" s="7"/>
      <c r="E924" s="7"/>
      <c r="F924" s="6"/>
      <c r="G924" s="6"/>
      <c r="H924" s="6"/>
      <c r="I924" s="6"/>
      <c r="J924" s="6"/>
      <c r="K924" s="6"/>
      <c r="L924" s="6"/>
      <c r="M924" s="6"/>
      <c r="N924" s="6"/>
      <c r="O924" s="6"/>
      <c r="P924" s="6"/>
      <c r="Q924" s="6"/>
      <c r="R924" s="6"/>
      <c r="S924" s="6"/>
      <c r="T924" s="6"/>
      <c r="U924" s="6"/>
      <c r="V924" s="6"/>
      <c r="W924" s="6"/>
    </row>
    <row r="925" spans="1:23" ht="16" x14ac:dyDescent="0.2">
      <c r="A925" s="6"/>
      <c r="B925" s="7"/>
      <c r="C925" s="7"/>
      <c r="D925" s="7"/>
      <c r="E925" s="7"/>
      <c r="F925" s="6"/>
      <c r="G925" s="6"/>
      <c r="H925" s="6"/>
      <c r="I925" s="6"/>
      <c r="J925" s="6"/>
      <c r="K925" s="6"/>
      <c r="L925" s="6"/>
      <c r="M925" s="6"/>
      <c r="N925" s="6"/>
      <c r="O925" s="6"/>
      <c r="P925" s="6"/>
      <c r="Q925" s="6"/>
      <c r="R925" s="6"/>
      <c r="S925" s="6"/>
      <c r="T925" s="6"/>
      <c r="U925" s="6"/>
      <c r="V925" s="6"/>
      <c r="W925" s="6"/>
    </row>
    <row r="926" spans="1:23" ht="16" x14ac:dyDescent="0.2">
      <c r="A926" s="6"/>
      <c r="B926" s="7"/>
      <c r="C926" s="7"/>
      <c r="D926" s="7"/>
      <c r="E926" s="7"/>
      <c r="F926" s="6"/>
      <c r="G926" s="6"/>
      <c r="H926" s="6"/>
      <c r="I926" s="6"/>
      <c r="J926" s="6"/>
      <c r="K926" s="6"/>
      <c r="L926" s="6"/>
      <c r="M926" s="6"/>
      <c r="N926" s="6"/>
      <c r="O926" s="6"/>
      <c r="P926" s="6"/>
      <c r="Q926" s="6"/>
      <c r="R926" s="6"/>
      <c r="S926" s="6"/>
      <c r="T926" s="6"/>
      <c r="U926" s="6"/>
      <c r="V926" s="6"/>
      <c r="W926" s="6"/>
    </row>
    <row r="927" spans="1:23" ht="16" x14ac:dyDescent="0.2">
      <c r="A927" s="6"/>
      <c r="B927" s="7"/>
      <c r="C927" s="7"/>
      <c r="D927" s="7"/>
      <c r="E927" s="7"/>
      <c r="F927" s="6"/>
      <c r="G927" s="6"/>
      <c r="H927" s="6"/>
      <c r="I927" s="6"/>
      <c r="J927" s="6"/>
      <c r="K927" s="6"/>
      <c r="L927" s="6"/>
      <c r="M927" s="6"/>
      <c r="N927" s="6"/>
      <c r="O927" s="6"/>
      <c r="P927" s="6"/>
      <c r="Q927" s="6"/>
      <c r="R927" s="6"/>
      <c r="S927" s="6"/>
      <c r="T927" s="6"/>
      <c r="U927" s="6"/>
      <c r="V927" s="6"/>
      <c r="W927" s="6"/>
    </row>
    <row r="928" spans="1:23" ht="16" x14ac:dyDescent="0.2">
      <c r="A928" s="6"/>
      <c r="B928" s="7"/>
      <c r="C928" s="7"/>
      <c r="D928" s="7"/>
      <c r="E928" s="7"/>
      <c r="F928" s="6"/>
      <c r="G928" s="6"/>
      <c r="H928" s="6"/>
      <c r="I928" s="6"/>
      <c r="J928" s="6"/>
      <c r="K928" s="6"/>
      <c r="L928" s="6"/>
      <c r="M928" s="6"/>
      <c r="N928" s="6"/>
      <c r="O928" s="6"/>
      <c r="P928" s="6"/>
      <c r="Q928" s="6"/>
      <c r="R928" s="6"/>
      <c r="S928" s="6"/>
      <c r="T928" s="6"/>
      <c r="U928" s="6"/>
      <c r="V928" s="6"/>
      <c r="W928" s="6"/>
    </row>
    <row r="929" spans="1:23" ht="16" x14ac:dyDescent="0.2">
      <c r="A929" s="6"/>
      <c r="B929" s="7"/>
      <c r="C929" s="7"/>
      <c r="D929" s="7"/>
      <c r="E929" s="7"/>
      <c r="F929" s="6"/>
      <c r="G929" s="6"/>
      <c r="H929" s="6"/>
      <c r="I929" s="6"/>
      <c r="J929" s="6"/>
      <c r="K929" s="6"/>
      <c r="L929" s="6"/>
      <c r="M929" s="6"/>
      <c r="N929" s="6"/>
      <c r="O929" s="6"/>
      <c r="P929" s="6"/>
      <c r="Q929" s="6"/>
      <c r="R929" s="6"/>
      <c r="S929" s="6"/>
      <c r="T929" s="6"/>
      <c r="U929" s="6"/>
      <c r="V929" s="6"/>
      <c r="W929" s="6"/>
    </row>
    <row r="930" spans="1:23" ht="16" x14ac:dyDescent="0.2">
      <c r="A930" s="6"/>
      <c r="B930" s="7"/>
      <c r="C930" s="7"/>
      <c r="D930" s="7"/>
      <c r="E930" s="7"/>
      <c r="F930" s="6"/>
      <c r="G930" s="6"/>
      <c r="H930" s="6"/>
      <c r="I930" s="6"/>
      <c r="J930" s="6"/>
      <c r="K930" s="6"/>
      <c r="L930" s="6"/>
      <c r="M930" s="6"/>
      <c r="N930" s="6"/>
      <c r="O930" s="6"/>
      <c r="P930" s="6"/>
      <c r="Q930" s="6"/>
      <c r="R930" s="6"/>
      <c r="S930" s="6"/>
      <c r="T930" s="6"/>
      <c r="U930" s="6"/>
      <c r="V930" s="6"/>
      <c r="W930" s="6"/>
    </row>
    <row r="931" spans="1:23" ht="16" x14ac:dyDescent="0.2">
      <c r="A931" s="6"/>
      <c r="B931" s="7"/>
      <c r="C931" s="7"/>
      <c r="D931" s="7"/>
      <c r="E931" s="7"/>
      <c r="F931" s="6"/>
      <c r="G931" s="6"/>
      <c r="H931" s="6"/>
      <c r="I931" s="6"/>
      <c r="J931" s="6"/>
      <c r="K931" s="6"/>
      <c r="L931" s="6"/>
      <c r="M931" s="6"/>
      <c r="N931" s="6"/>
      <c r="O931" s="6"/>
      <c r="P931" s="6"/>
      <c r="Q931" s="6"/>
      <c r="R931" s="6"/>
      <c r="S931" s="6"/>
      <c r="T931" s="6"/>
      <c r="U931" s="6"/>
      <c r="V931" s="6"/>
      <c r="W931" s="6"/>
    </row>
    <row r="932" spans="1:23" ht="16" x14ac:dyDescent="0.2">
      <c r="A932" s="6"/>
      <c r="B932" s="7"/>
      <c r="C932" s="7"/>
      <c r="D932" s="7"/>
      <c r="E932" s="7"/>
      <c r="F932" s="6"/>
      <c r="G932" s="6"/>
      <c r="H932" s="6"/>
      <c r="I932" s="6"/>
      <c r="J932" s="6"/>
      <c r="K932" s="6"/>
      <c r="L932" s="6"/>
      <c r="M932" s="6"/>
      <c r="N932" s="6"/>
      <c r="O932" s="6"/>
      <c r="P932" s="6"/>
      <c r="Q932" s="6"/>
      <c r="R932" s="6"/>
      <c r="S932" s="6"/>
      <c r="T932" s="6"/>
      <c r="U932" s="6"/>
      <c r="V932" s="6"/>
      <c r="W932" s="6"/>
    </row>
    <row r="933" spans="1:23" ht="16" x14ac:dyDescent="0.2">
      <c r="A933" s="6"/>
      <c r="B933" s="7"/>
      <c r="C933" s="7"/>
      <c r="D933" s="7"/>
      <c r="E933" s="7"/>
      <c r="F933" s="6"/>
      <c r="G933" s="6"/>
      <c r="H933" s="6"/>
      <c r="I933" s="6"/>
      <c r="J933" s="6"/>
      <c r="K933" s="6"/>
      <c r="L933" s="6"/>
      <c r="M933" s="6"/>
      <c r="N933" s="6"/>
      <c r="O933" s="6"/>
      <c r="P933" s="6"/>
      <c r="Q933" s="6"/>
      <c r="R933" s="6"/>
      <c r="S933" s="6"/>
      <c r="T933" s="6"/>
      <c r="U933" s="6"/>
      <c r="V933" s="6"/>
      <c r="W933" s="6"/>
    </row>
    <row r="934" spans="1:23" ht="16" x14ac:dyDescent="0.2">
      <c r="A934" s="6"/>
      <c r="B934" s="7"/>
      <c r="C934" s="7"/>
      <c r="D934" s="7"/>
      <c r="E934" s="7"/>
      <c r="F934" s="6"/>
      <c r="G934" s="6"/>
      <c r="H934" s="6"/>
      <c r="I934" s="6"/>
      <c r="J934" s="6"/>
      <c r="K934" s="6"/>
      <c r="L934" s="6"/>
      <c r="M934" s="6"/>
      <c r="N934" s="6"/>
      <c r="O934" s="6"/>
      <c r="P934" s="6"/>
      <c r="Q934" s="6"/>
      <c r="R934" s="6"/>
      <c r="S934" s="6"/>
      <c r="T934" s="6"/>
      <c r="U934" s="6"/>
      <c r="V934" s="6"/>
      <c r="W934" s="6"/>
    </row>
    <row r="935" spans="1:23" ht="16" x14ac:dyDescent="0.2">
      <c r="A935" s="6"/>
      <c r="B935" s="7"/>
      <c r="C935" s="7"/>
      <c r="D935" s="7"/>
      <c r="E935" s="7"/>
      <c r="F935" s="6"/>
      <c r="G935" s="6"/>
      <c r="H935" s="6"/>
      <c r="I935" s="6"/>
      <c r="J935" s="6"/>
      <c r="K935" s="6"/>
      <c r="L935" s="6"/>
      <c r="M935" s="6"/>
      <c r="N935" s="6"/>
      <c r="O935" s="6"/>
      <c r="P935" s="6"/>
      <c r="Q935" s="6"/>
      <c r="R935" s="6"/>
      <c r="S935" s="6"/>
      <c r="T935" s="6"/>
      <c r="U935" s="6"/>
      <c r="V935" s="6"/>
      <c r="W935" s="6"/>
    </row>
    <row r="936" spans="1:23" ht="16" x14ac:dyDescent="0.2">
      <c r="A936" s="6"/>
      <c r="B936" s="7"/>
      <c r="C936" s="7"/>
      <c r="D936" s="7"/>
      <c r="E936" s="7"/>
      <c r="F936" s="6"/>
      <c r="G936" s="6"/>
      <c r="H936" s="6"/>
      <c r="I936" s="6"/>
      <c r="J936" s="6"/>
      <c r="K936" s="6"/>
      <c r="L936" s="6"/>
      <c r="M936" s="6"/>
      <c r="N936" s="6"/>
      <c r="O936" s="6"/>
      <c r="P936" s="6"/>
      <c r="Q936" s="6"/>
      <c r="R936" s="6"/>
      <c r="S936" s="6"/>
      <c r="T936" s="6"/>
      <c r="U936" s="6"/>
      <c r="V936" s="6"/>
      <c r="W936" s="6"/>
    </row>
    <row r="937" spans="1:23" ht="16" x14ac:dyDescent="0.2">
      <c r="A937" s="6"/>
      <c r="B937" s="7"/>
      <c r="C937" s="7"/>
      <c r="D937" s="7"/>
      <c r="E937" s="7"/>
      <c r="F937" s="6"/>
      <c r="G937" s="6"/>
      <c r="H937" s="6"/>
      <c r="I937" s="6"/>
      <c r="J937" s="6"/>
      <c r="K937" s="6"/>
      <c r="L937" s="6"/>
      <c r="M937" s="6"/>
      <c r="N937" s="6"/>
      <c r="O937" s="6"/>
      <c r="P937" s="6"/>
      <c r="Q937" s="6"/>
      <c r="R937" s="6"/>
      <c r="S937" s="6"/>
      <c r="T937" s="6"/>
      <c r="U937" s="6"/>
      <c r="V937" s="6"/>
      <c r="W937" s="6"/>
    </row>
    <row r="938" spans="1:23" ht="16" x14ac:dyDescent="0.2">
      <c r="A938" s="6"/>
      <c r="B938" s="7"/>
      <c r="C938" s="7"/>
      <c r="D938" s="7"/>
      <c r="E938" s="7"/>
      <c r="F938" s="6"/>
      <c r="G938" s="6"/>
      <c r="H938" s="6"/>
      <c r="I938" s="6"/>
      <c r="J938" s="6"/>
      <c r="K938" s="6"/>
      <c r="L938" s="6"/>
      <c r="M938" s="6"/>
      <c r="N938" s="6"/>
      <c r="O938" s="6"/>
      <c r="P938" s="6"/>
      <c r="Q938" s="6"/>
      <c r="R938" s="6"/>
      <c r="S938" s="6"/>
      <c r="T938" s="6"/>
      <c r="U938" s="6"/>
      <c r="V938" s="6"/>
      <c r="W938" s="6"/>
    </row>
    <row r="939" spans="1:23" ht="16" x14ac:dyDescent="0.2">
      <c r="A939" s="6"/>
      <c r="B939" s="7"/>
      <c r="C939" s="7"/>
      <c r="D939" s="7"/>
      <c r="E939" s="7"/>
      <c r="F939" s="6"/>
      <c r="G939" s="6"/>
      <c r="H939" s="6"/>
      <c r="I939" s="6"/>
      <c r="J939" s="6"/>
      <c r="K939" s="6"/>
      <c r="L939" s="6"/>
      <c r="M939" s="6"/>
      <c r="N939" s="6"/>
      <c r="O939" s="6"/>
      <c r="P939" s="6"/>
      <c r="Q939" s="6"/>
      <c r="R939" s="6"/>
      <c r="S939" s="6"/>
      <c r="T939" s="6"/>
      <c r="U939" s="6"/>
      <c r="V939" s="6"/>
      <c r="W939" s="6"/>
    </row>
    <row r="940" spans="1:23" ht="16" x14ac:dyDescent="0.2">
      <c r="A940" s="6"/>
      <c r="B940" s="7"/>
      <c r="C940" s="7"/>
      <c r="D940" s="7"/>
      <c r="E940" s="7"/>
      <c r="F940" s="6"/>
      <c r="G940" s="6"/>
      <c r="H940" s="6"/>
      <c r="I940" s="6"/>
      <c r="J940" s="6"/>
      <c r="K940" s="6"/>
      <c r="L940" s="6"/>
      <c r="M940" s="6"/>
      <c r="N940" s="6"/>
      <c r="O940" s="6"/>
      <c r="P940" s="6"/>
      <c r="Q940" s="6"/>
      <c r="R940" s="6"/>
      <c r="S940" s="6"/>
      <c r="T940" s="6"/>
      <c r="U940" s="6"/>
      <c r="V940" s="6"/>
      <c r="W940" s="6"/>
    </row>
    <row r="941" spans="1:23" ht="16" x14ac:dyDescent="0.2">
      <c r="A941" s="6"/>
      <c r="B941" s="7"/>
      <c r="C941" s="7"/>
      <c r="D941" s="7"/>
      <c r="E941" s="7"/>
      <c r="F941" s="6"/>
      <c r="G941" s="6"/>
      <c r="H941" s="6"/>
      <c r="I941" s="6"/>
      <c r="J941" s="6"/>
      <c r="K941" s="6"/>
      <c r="L941" s="6"/>
      <c r="M941" s="6"/>
      <c r="N941" s="6"/>
      <c r="O941" s="6"/>
      <c r="P941" s="6"/>
      <c r="Q941" s="6"/>
      <c r="R941" s="6"/>
      <c r="S941" s="6"/>
      <c r="T941" s="6"/>
      <c r="U941" s="6"/>
      <c r="V941" s="6"/>
      <c r="W941" s="6"/>
    </row>
    <row r="942" spans="1:23" ht="16" x14ac:dyDescent="0.2">
      <c r="A942" s="6"/>
      <c r="B942" s="7"/>
      <c r="C942" s="7"/>
      <c r="D942" s="7"/>
      <c r="E942" s="7"/>
      <c r="F942" s="6"/>
      <c r="G942" s="6"/>
      <c r="H942" s="6"/>
      <c r="I942" s="6"/>
      <c r="J942" s="6"/>
      <c r="K942" s="6"/>
      <c r="L942" s="6"/>
      <c r="M942" s="6"/>
      <c r="N942" s="6"/>
      <c r="O942" s="6"/>
      <c r="P942" s="6"/>
      <c r="Q942" s="6"/>
      <c r="R942" s="6"/>
      <c r="S942" s="6"/>
      <c r="T942" s="6"/>
      <c r="U942" s="6"/>
      <c r="V942" s="6"/>
      <c r="W942" s="6"/>
    </row>
    <row r="943" spans="1:23" ht="16" x14ac:dyDescent="0.2">
      <c r="A943" s="6"/>
      <c r="B943" s="7"/>
      <c r="C943" s="7"/>
      <c r="D943" s="7"/>
      <c r="E943" s="7"/>
      <c r="F943" s="6"/>
      <c r="G943" s="6"/>
      <c r="H943" s="6"/>
      <c r="I943" s="6"/>
      <c r="J943" s="6"/>
      <c r="K943" s="6"/>
      <c r="L943" s="6"/>
      <c r="M943" s="6"/>
      <c r="N943" s="6"/>
      <c r="O943" s="6"/>
      <c r="P943" s="6"/>
      <c r="Q943" s="6"/>
      <c r="R943" s="6"/>
      <c r="S943" s="6"/>
      <c r="T943" s="6"/>
      <c r="U943" s="6"/>
      <c r="V943" s="6"/>
      <c r="W943" s="6"/>
    </row>
    <row r="944" spans="1:23" ht="16" x14ac:dyDescent="0.2">
      <c r="A944" s="6"/>
      <c r="B944" s="7"/>
      <c r="C944" s="7"/>
      <c r="D944" s="7"/>
      <c r="E944" s="7"/>
      <c r="F944" s="6"/>
      <c r="G944" s="6"/>
      <c r="H944" s="6"/>
      <c r="I944" s="6"/>
      <c r="J944" s="6"/>
      <c r="K944" s="6"/>
      <c r="L944" s="6"/>
      <c r="M944" s="6"/>
      <c r="N944" s="6"/>
      <c r="O944" s="6"/>
      <c r="P944" s="6"/>
      <c r="Q944" s="6"/>
      <c r="R944" s="6"/>
      <c r="S944" s="6"/>
      <c r="T944" s="6"/>
      <c r="U944" s="6"/>
      <c r="V944" s="6"/>
      <c r="W944" s="6"/>
    </row>
    <row r="945" spans="1:23" ht="16" x14ac:dyDescent="0.2">
      <c r="A945" s="6"/>
      <c r="B945" s="7"/>
      <c r="C945" s="7"/>
      <c r="D945" s="7"/>
      <c r="E945" s="7"/>
      <c r="F945" s="6"/>
      <c r="G945" s="6"/>
      <c r="H945" s="6"/>
      <c r="I945" s="6"/>
      <c r="J945" s="6"/>
      <c r="K945" s="6"/>
      <c r="L945" s="6"/>
      <c r="M945" s="6"/>
      <c r="N945" s="6"/>
      <c r="O945" s="6"/>
      <c r="P945" s="6"/>
      <c r="Q945" s="6"/>
      <c r="R945" s="6"/>
      <c r="S945" s="6"/>
      <c r="T945" s="6"/>
      <c r="U945" s="6"/>
      <c r="V945" s="6"/>
      <c r="W945" s="6"/>
    </row>
    <row r="946" spans="1:23" ht="16" x14ac:dyDescent="0.2">
      <c r="A946" s="6"/>
      <c r="B946" s="7"/>
      <c r="C946" s="7"/>
      <c r="D946" s="7"/>
      <c r="E946" s="7"/>
      <c r="F946" s="6"/>
      <c r="G946" s="6"/>
      <c r="H946" s="6"/>
      <c r="I946" s="6"/>
      <c r="J946" s="6"/>
      <c r="K946" s="6"/>
      <c r="L946" s="6"/>
      <c r="M946" s="6"/>
      <c r="N946" s="6"/>
      <c r="O946" s="6"/>
      <c r="P946" s="6"/>
      <c r="Q946" s="6"/>
      <c r="R946" s="6"/>
      <c r="S946" s="6"/>
      <c r="T946" s="6"/>
      <c r="U946" s="6"/>
      <c r="V946" s="6"/>
      <c r="W946" s="6"/>
    </row>
    <row r="947" spans="1:23" ht="16" x14ac:dyDescent="0.2">
      <c r="A947" s="6"/>
      <c r="B947" s="7"/>
      <c r="C947" s="7"/>
      <c r="D947" s="7"/>
      <c r="E947" s="7"/>
      <c r="F947" s="6"/>
      <c r="G947" s="6"/>
      <c r="H947" s="6"/>
      <c r="I947" s="6"/>
      <c r="J947" s="6"/>
      <c r="K947" s="6"/>
      <c r="L947" s="6"/>
      <c r="M947" s="6"/>
      <c r="N947" s="6"/>
      <c r="O947" s="6"/>
      <c r="P947" s="6"/>
      <c r="Q947" s="6"/>
      <c r="R947" s="6"/>
      <c r="S947" s="6"/>
      <c r="T947" s="6"/>
      <c r="U947" s="6"/>
      <c r="V947" s="6"/>
      <c r="W947" s="6"/>
    </row>
    <row r="948" spans="1:23" ht="16" x14ac:dyDescent="0.2">
      <c r="A948" s="6"/>
      <c r="B948" s="7"/>
      <c r="C948" s="7"/>
      <c r="D948" s="7"/>
      <c r="E948" s="7"/>
      <c r="F948" s="6"/>
      <c r="G948" s="6"/>
      <c r="H948" s="6"/>
      <c r="I948" s="6"/>
      <c r="J948" s="6"/>
      <c r="K948" s="6"/>
      <c r="L948" s="6"/>
      <c r="M948" s="6"/>
      <c r="N948" s="6"/>
      <c r="O948" s="6"/>
      <c r="P948" s="6"/>
      <c r="Q948" s="6"/>
      <c r="R948" s="6"/>
      <c r="S948" s="6"/>
      <c r="T948" s="6"/>
      <c r="U948" s="6"/>
      <c r="V948" s="6"/>
      <c r="W948" s="6"/>
    </row>
    <row r="949" spans="1:23" ht="16" x14ac:dyDescent="0.2">
      <c r="A949" s="6"/>
      <c r="B949" s="7"/>
      <c r="C949" s="7"/>
      <c r="D949" s="7"/>
      <c r="E949" s="7"/>
      <c r="F949" s="6"/>
      <c r="G949" s="6"/>
      <c r="H949" s="6"/>
      <c r="I949" s="6"/>
      <c r="J949" s="6"/>
      <c r="K949" s="6"/>
      <c r="L949" s="6"/>
      <c r="M949" s="6"/>
      <c r="N949" s="6"/>
      <c r="O949" s="6"/>
      <c r="P949" s="6"/>
      <c r="Q949" s="6"/>
      <c r="R949" s="6"/>
      <c r="S949" s="6"/>
      <c r="T949" s="6"/>
      <c r="U949" s="6"/>
      <c r="V949" s="6"/>
      <c r="W949" s="6"/>
    </row>
    <row r="950" spans="1:23" ht="16" x14ac:dyDescent="0.2">
      <c r="A950" s="6"/>
      <c r="B950" s="7"/>
      <c r="C950" s="7"/>
      <c r="D950" s="7"/>
      <c r="E950" s="7"/>
      <c r="F950" s="6"/>
      <c r="G950" s="6"/>
      <c r="H950" s="6"/>
      <c r="I950" s="6"/>
      <c r="J950" s="6"/>
      <c r="K950" s="6"/>
      <c r="L950" s="6"/>
      <c r="M950" s="6"/>
      <c r="N950" s="6"/>
      <c r="O950" s="6"/>
      <c r="P950" s="6"/>
      <c r="Q950" s="6"/>
      <c r="R950" s="6"/>
      <c r="S950" s="6"/>
      <c r="T950" s="6"/>
      <c r="U950" s="6"/>
      <c r="V950" s="6"/>
      <c r="W950" s="6"/>
    </row>
    <row r="951" spans="1:23" ht="16" x14ac:dyDescent="0.2">
      <c r="A951" s="6"/>
      <c r="B951" s="7"/>
      <c r="C951" s="7"/>
      <c r="D951" s="7"/>
      <c r="E951" s="7"/>
      <c r="F951" s="6"/>
      <c r="G951" s="6"/>
      <c r="H951" s="6"/>
      <c r="I951" s="6"/>
      <c r="J951" s="6"/>
      <c r="K951" s="6"/>
      <c r="L951" s="6"/>
      <c r="M951" s="6"/>
      <c r="N951" s="6"/>
      <c r="O951" s="6"/>
      <c r="P951" s="6"/>
      <c r="Q951" s="6"/>
      <c r="R951" s="6"/>
      <c r="S951" s="6"/>
      <c r="T951" s="6"/>
      <c r="U951" s="6"/>
      <c r="V951" s="6"/>
      <c r="W951" s="6"/>
    </row>
    <row r="952" spans="1:23" ht="16" x14ac:dyDescent="0.2">
      <c r="A952" s="6"/>
      <c r="B952" s="7"/>
      <c r="C952" s="7"/>
      <c r="D952" s="7"/>
      <c r="E952" s="7"/>
      <c r="F952" s="6"/>
      <c r="G952" s="6"/>
      <c r="H952" s="6"/>
      <c r="I952" s="6"/>
      <c r="J952" s="6"/>
      <c r="K952" s="6"/>
      <c r="L952" s="6"/>
      <c r="M952" s="6"/>
      <c r="N952" s="6"/>
      <c r="O952" s="6"/>
      <c r="P952" s="6"/>
      <c r="Q952" s="6"/>
      <c r="R952" s="6"/>
      <c r="S952" s="6"/>
      <c r="T952" s="6"/>
      <c r="U952" s="6"/>
      <c r="V952" s="6"/>
      <c r="W952" s="6"/>
    </row>
    <row r="953" spans="1:23" ht="16" x14ac:dyDescent="0.2">
      <c r="A953" s="6"/>
      <c r="B953" s="7"/>
      <c r="C953" s="7"/>
      <c r="D953" s="7"/>
      <c r="E953" s="7"/>
      <c r="F953" s="6"/>
      <c r="G953" s="6"/>
      <c r="H953" s="6"/>
      <c r="I953" s="6"/>
      <c r="J953" s="6"/>
      <c r="K953" s="6"/>
      <c r="L953" s="6"/>
      <c r="M953" s="6"/>
      <c r="N953" s="6"/>
      <c r="O953" s="6"/>
      <c r="P953" s="6"/>
      <c r="Q953" s="6"/>
      <c r="R953" s="6"/>
      <c r="S953" s="6"/>
      <c r="T953" s="6"/>
      <c r="U953" s="6"/>
      <c r="V953" s="6"/>
      <c r="W953" s="6"/>
    </row>
    <row r="954" spans="1:23" ht="16" x14ac:dyDescent="0.2">
      <c r="A954" s="6"/>
      <c r="B954" s="7"/>
      <c r="C954" s="7"/>
      <c r="D954" s="7"/>
      <c r="E954" s="7"/>
      <c r="F954" s="6"/>
      <c r="G954" s="6"/>
      <c r="H954" s="6"/>
      <c r="I954" s="6"/>
      <c r="J954" s="6"/>
      <c r="K954" s="6"/>
      <c r="L954" s="6"/>
      <c r="M954" s="6"/>
      <c r="N954" s="6"/>
      <c r="O954" s="6"/>
      <c r="P954" s="6"/>
      <c r="Q954" s="6"/>
      <c r="R954" s="6"/>
      <c r="S954" s="6"/>
      <c r="T954" s="6"/>
      <c r="U954" s="6"/>
      <c r="V954" s="6"/>
      <c r="W954" s="6"/>
    </row>
    <row r="955" spans="1:23" ht="16" x14ac:dyDescent="0.2">
      <c r="A955" s="6"/>
      <c r="B955" s="7"/>
      <c r="C955" s="7"/>
      <c r="D955" s="7"/>
      <c r="E955" s="7"/>
      <c r="F955" s="6"/>
      <c r="G955" s="6"/>
      <c r="H955" s="6"/>
      <c r="I955" s="6"/>
      <c r="J955" s="6"/>
      <c r="K955" s="6"/>
      <c r="L955" s="6"/>
      <c r="M955" s="6"/>
      <c r="N955" s="6"/>
      <c r="O955" s="6"/>
      <c r="P955" s="6"/>
      <c r="Q955" s="6"/>
      <c r="R955" s="6"/>
      <c r="S955" s="6"/>
      <c r="T955" s="6"/>
      <c r="U955" s="6"/>
      <c r="V955" s="6"/>
      <c r="W955" s="6"/>
    </row>
    <row r="956" spans="1:23" ht="16" x14ac:dyDescent="0.2">
      <c r="A956" s="6"/>
      <c r="B956" s="7"/>
      <c r="C956" s="7"/>
      <c r="D956" s="7"/>
      <c r="E956" s="7"/>
      <c r="F956" s="6"/>
      <c r="G956" s="6"/>
      <c r="H956" s="6"/>
      <c r="I956" s="6"/>
      <c r="J956" s="6"/>
      <c r="K956" s="6"/>
      <c r="L956" s="6"/>
      <c r="M956" s="6"/>
      <c r="N956" s="6"/>
      <c r="O956" s="6"/>
      <c r="P956" s="6"/>
      <c r="Q956" s="6"/>
      <c r="R956" s="6"/>
      <c r="S956" s="6"/>
      <c r="T956" s="6"/>
      <c r="U956" s="6"/>
      <c r="V956" s="6"/>
      <c r="W956" s="6"/>
    </row>
    <row r="957" spans="1:23" ht="16" x14ac:dyDescent="0.2">
      <c r="A957" s="6"/>
      <c r="B957" s="7"/>
      <c r="C957" s="7"/>
      <c r="D957" s="7"/>
      <c r="E957" s="7"/>
      <c r="F957" s="6"/>
      <c r="G957" s="6"/>
      <c r="H957" s="6"/>
      <c r="I957" s="6"/>
      <c r="J957" s="6"/>
      <c r="K957" s="6"/>
      <c r="L957" s="6"/>
      <c r="M957" s="6"/>
      <c r="N957" s="6"/>
      <c r="O957" s="6"/>
      <c r="P957" s="6"/>
      <c r="Q957" s="6"/>
      <c r="R957" s="6"/>
      <c r="S957" s="6"/>
      <c r="T957" s="6"/>
      <c r="U957" s="6"/>
      <c r="V957" s="6"/>
      <c r="W957" s="6"/>
    </row>
    <row r="958" spans="1:23" ht="16" x14ac:dyDescent="0.2">
      <c r="A958" s="6"/>
      <c r="B958" s="7"/>
      <c r="C958" s="7"/>
      <c r="D958" s="7"/>
      <c r="E958" s="7"/>
      <c r="F958" s="6"/>
      <c r="G958" s="6"/>
      <c r="H958" s="6"/>
      <c r="I958" s="6"/>
      <c r="J958" s="6"/>
      <c r="K958" s="6"/>
      <c r="L958" s="6"/>
      <c r="M958" s="6"/>
      <c r="N958" s="6"/>
      <c r="O958" s="6"/>
      <c r="P958" s="6"/>
      <c r="Q958" s="6"/>
      <c r="R958" s="6"/>
      <c r="S958" s="6"/>
      <c r="T958" s="6"/>
      <c r="U958" s="6"/>
      <c r="V958" s="6"/>
      <c r="W958" s="6"/>
    </row>
    <row r="959" spans="1:23" ht="16" x14ac:dyDescent="0.2">
      <c r="A959" s="6"/>
      <c r="B959" s="7"/>
      <c r="C959" s="7"/>
      <c r="D959" s="7"/>
      <c r="E959" s="7"/>
      <c r="F959" s="6"/>
      <c r="G959" s="6"/>
      <c r="H959" s="6"/>
      <c r="I959" s="6"/>
      <c r="J959" s="6"/>
      <c r="K959" s="6"/>
      <c r="L959" s="6"/>
      <c r="M959" s="6"/>
      <c r="N959" s="6"/>
      <c r="O959" s="6"/>
      <c r="P959" s="6"/>
      <c r="Q959" s="6"/>
      <c r="R959" s="6"/>
      <c r="S959" s="6"/>
      <c r="T959" s="6"/>
      <c r="U959" s="6"/>
      <c r="V959" s="6"/>
      <c r="W959" s="6"/>
    </row>
    <row r="960" spans="1:23" ht="16" x14ac:dyDescent="0.2">
      <c r="A960" s="6"/>
      <c r="B960" s="7"/>
      <c r="C960" s="7"/>
      <c r="D960" s="7"/>
      <c r="E960" s="7"/>
      <c r="F960" s="6"/>
      <c r="G960" s="6"/>
      <c r="H960" s="6"/>
      <c r="I960" s="6"/>
      <c r="J960" s="6"/>
      <c r="K960" s="6"/>
      <c r="L960" s="6"/>
      <c r="M960" s="6"/>
      <c r="N960" s="6"/>
      <c r="O960" s="6"/>
      <c r="P960" s="6"/>
      <c r="Q960" s="6"/>
      <c r="R960" s="6"/>
      <c r="S960" s="6"/>
      <c r="T960" s="6"/>
      <c r="U960" s="6"/>
      <c r="V960" s="6"/>
      <c r="W960" s="6"/>
    </row>
    <row r="961" spans="1:23" ht="16" x14ac:dyDescent="0.2">
      <c r="A961" s="6"/>
      <c r="B961" s="7"/>
      <c r="C961" s="7"/>
      <c r="D961" s="7"/>
      <c r="E961" s="7"/>
      <c r="F961" s="6"/>
      <c r="G961" s="6"/>
      <c r="H961" s="6"/>
      <c r="I961" s="6"/>
      <c r="J961" s="6"/>
      <c r="K961" s="6"/>
      <c r="L961" s="6"/>
      <c r="M961" s="6"/>
      <c r="N961" s="6"/>
      <c r="O961" s="6"/>
      <c r="P961" s="6"/>
      <c r="Q961" s="6"/>
      <c r="R961" s="6"/>
      <c r="S961" s="6"/>
      <c r="T961" s="6"/>
      <c r="U961" s="6"/>
      <c r="V961" s="6"/>
      <c r="W961" s="6"/>
    </row>
    <row r="962" spans="1:23" ht="16" x14ac:dyDescent="0.2">
      <c r="A962" s="6"/>
      <c r="B962" s="7"/>
      <c r="C962" s="7"/>
      <c r="D962" s="7"/>
      <c r="E962" s="7"/>
      <c r="F962" s="6"/>
      <c r="G962" s="6"/>
      <c r="H962" s="6"/>
      <c r="I962" s="6"/>
      <c r="J962" s="6"/>
      <c r="K962" s="6"/>
      <c r="L962" s="6"/>
      <c r="M962" s="6"/>
      <c r="N962" s="6"/>
      <c r="O962" s="6"/>
      <c r="P962" s="6"/>
      <c r="Q962" s="6"/>
      <c r="R962" s="6"/>
      <c r="S962" s="6"/>
      <c r="T962" s="6"/>
      <c r="U962" s="6"/>
      <c r="V962" s="6"/>
      <c r="W962" s="6"/>
    </row>
    <row r="963" spans="1:23" ht="16" x14ac:dyDescent="0.2">
      <c r="A963" s="6"/>
      <c r="B963" s="7"/>
      <c r="C963" s="7"/>
      <c r="D963" s="7"/>
      <c r="E963" s="7"/>
      <c r="F963" s="6"/>
      <c r="G963" s="6"/>
      <c r="H963" s="6"/>
      <c r="I963" s="6"/>
      <c r="J963" s="6"/>
      <c r="K963" s="6"/>
      <c r="L963" s="6"/>
      <c r="M963" s="6"/>
      <c r="N963" s="6"/>
      <c r="O963" s="6"/>
      <c r="P963" s="6"/>
      <c r="Q963" s="6"/>
      <c r="R963" s="6"/>
      <c r="S963" s="6"/>
      <c r="T963" s="6"/>
      <c r="U963" s="6"/>
      <c r="V963" s="6"/>
      <c r="W963" s="6"/>
    </row>
    <row r="964" spans="1:23" ht="16" x14ac:dyDescent="0.2">
      <c r="A964" s="6"/>
      <c r="B964" s="7"/>
      <c r="C964" s="7"/>
      <c r="D964" s="7"/>
      <c r="E964" s="7"/>
      <c r="F964" s="6"/>
      <c r="G964" s="6"/>
      <c r="H964" s="6"/>
      <c r="I964" s="6"/>
      <c r="J964" s="6"/>
      <c r="K964" s="6"/>
      <c r="L964" s="6"/>
      <c r="M964" s="6"/>
      <c r="N964" s="6"/>
      <c r="O964" s="6"/>
      <c r="P964" s="6"/>
      <c r="Q964" s="6"/>
      <c r="R964" s="6"/>
      <c r="S964" s="6"/>
      <c r="T964" s="6"/>
      <c r="U964" s="6"/>
      <c r="V964" s="6"/>
      <c r="W964" s="6"/>
    </row>
    <row r="965" spans="1:23" ht="16" x14ac:dyDescent="0.2">
      <c r="A965" s="6"/>
      <c r="B965" s="7"/>
      <c r="C965" s="7"/>
      <c r="D965" s="7"/>
      <c r="E965" s="7"/>
      <c r="F965" s="6"/>
      <c r="G965" s="6"/>
      <c r="H965" s="6"/>
      <c r="I965" s="6"/>
      <c r="J965" s="6"/>
      <c r="K965" s="6"/>
      <c r="L965" s="6"/>
      <c r="M965" s="6"/>
      <c r="N965" s="6"/>
      <c r="O965" s="6"/>
      <c r="P965" s="6"/>
      <c r="Q965" s="6"/>
      <c r="R965" s="6"/>
      <c r="S965" s="6"/>
      <c r="T965" s="6"/>
      <c r="U965" s="6"/>
      <c r="V965" s="6"/>
      <c r="W965" s="6"/>
    </row>
    <row r="966" spans="1:23" ht="16" x14ac:dyDescent="0.2">
      <c r="A966" s="6"/>
      <c r="B966" s="7"/>
      <c r="C966" s="7"/>
      <c r="D966" s="7"/>
      <c r="E966" s="7"/>
      <c r="F966" s="6"/>
      <c r="G966" s="6"/>
      <c r="H966" s="6"/>
      <c r="I966" s="6"/>
      <c r="J966" s="6"/>
      <c r="K966" s="6"/>
      <c r="L966" s="6"/>
      <c r="M966" s="6"/>
      <c r="N966" s="6"/>
      <c r="O966" s="6"/>
      <c r="P966" s="6"/>
      <c r="Q966" s="6"/>
      <c r="R966" s="6"/>
      <c r="S966" s="6"/>
      <c r="T966" s="6"/>
      <c r="U966" s="6"/>
      <c r="V966" s="6"/>
      <c r="W966" s="6"/>
    </row>
    <row r="967" spans="1:23" ht="16" x14ac:dyDescent="0.2">
      <c r="A967" s="6"/>
      <c r="B967" s="7"/>
      <c r="C967" s="7"/>
      <c r="D967" s="7"/>
      <c r="E967" s="7"/>
      <c r="F967" s="6"/>
      <c r="G967" s="6"/>
      <c r="H967" s="6"/>
      <c r="I967" s="6"/>
      <c r="J967" s="6"/>
      <c r="K967" s="6"/>
      <c r="L967" s="6"/>
      <c r="M967" s="6"/>
      <c r="N967" s="6"/>
      <c r="O967" s="6"/>
      <c r="P967" s="6"/>
      <c r="Q967" s="6"/>
      <c r="R967" s="6"/>
      <c r="S967" s="6"/>
      <c r="T967" s="6"/>
      <c r="U967" s="6"/>
      <c r="V967" s="6"/>
      <c r="W967" s="6"/>
    </row>
    <row r="968" spans="1:23" ht="16" x14ac:dyDescent="0.2">
      <c r="A968" s="6"/>
      <c r="B968" s="7"/>
      <c r="C968" s="7"/>
      <c r="D968" s="7"/>
      <c r="E968" s="7"/>
      <c r="F968" s="6"/>
      <c r="G968" s="6"/>
      <c r="H968" s="6"/>
      <c r="I968" s="6"/>
      <c r="J968" s="6"/>
      <c r="K968" s="6"/>
      <c r="L968" s="6"/>
      <c r="M968" s="6"/>
      <c r="N968" s="6"/>
      <c r="O968" s="6"/>
      <c r="P968" s="6"/>
      <c r="Q968" s="6"/>
      <c r="R968" s="6"/>
      <c r="S968" s="6"/>
      <c r="T968" s="6"/>
      <c r="U968" s="6"/>
      <c r="V968" s="6"/>
      <c r="W968" s="6"/>
    </row>
    <row r="969" spans="1:23" ht="16" x14ac:dyDescent="0.2">
      <c r="A969" s="6"/>
      <c r="B969" s="7"/>
      <c r="C969" s="7"/>
      <c r="D969" s="7"/>
      <c r="E969" s="7"/>
      <c r="F969" s="6"/>
      <c r="G969" s="6"/>
      <c r="H969" s="6"/>
      <c r="I969" s="6"/>
      <c r="J969" s="6"/>
      <c r="K969" s="6"/>
      <c r="L969" s="6"/>
      <c r="M969" s="6"/>
      <c r="N969" s="6"/>
      <c r="O969" s="6"/>
      <c r="P969" s="6"/>
      <c r="Q969" s="6"/>
      <c r="R969" s="6"/>
      <c r="S969" s="6"/>
      <c r="T969" s="6"/>
      <c r="U969" s="6"/>
      <c r="V969" s="6"/>
      <c r="W969" s="6"/>
    </row>
    <row r="970" spans="1:23" ht="16" x14ac:dyDescent="0.2">
      <c r="A970" s="6"/>
      <c r="B970" s="7"/>
      <c r="C970" s="7"/>
      <c r="D970" s="7"/>
      <c r="E970" s="7"/>
      <c r="F970" s="6"/>
      <c r="G970" s="6"/>
      <c r="H970" s="6"/>
      <c r="I970" s="6"/>
      <c r="J970" s="6"/>
      <c r="K970" s="6"/>
      <c r="L970" s="6"/>
      <c r="M970" s="6"/>
      <c r="N970" s="6"/>
      <c r="O970" s="6"/>
      <c r="P970" s="6"/>
      <c r="Q970" s="6"/>
      <c r="R970" s="6"/>
      <c r="S970" s="6"/>
      <c r="T970" s="6"/>
      <c r="U970" s="6"/>
      <c r="V970" s="6"/>
      <c r="W970" s="6"/>
    </row>
    <row r="971" spans="1:23" ht="16" x14ac:dyDescent="0.2">
      <c r="A971" s="6"/>
      <c r="B971" s="7"/>
      <c r="C971" s="7"/>
      <c r="D971" s="7"/>
      <c r="E971" s="7"/>
      <c r="F971" s="6"/>
      <c r="G971" s="6"/>
      <c r="H971" s="6"/>
      <c r="I971" s="6"/>
      <c r="J971" s="6"/>
      <c r="K971" s="6"/>
      <c r="L971" s="6"/>
      <c r="M971" s="6"/>
      <c r="N971" s="6"/>
      <c r="O971" s="6"/>
      <c r="P971" s="6"/>
      <c r="Q971" s="6"/>
      <c r="R971" s="6"/>
      <c r="S971" s="6"/>
      <c r="T971" s="6"/>
      <c r="U971" s="6"/>
      <c r="V971" s="6"/>
      <c r="W971" s="6"/>
    </row>
    <row r="972" spans="1:23" ht="16" x14ac:dyDescent="0.2">
      <c r="A972" s="6"/>
      <c r="B972" s="7"/>
      <c r="C972" s="7"/>
      <c r="D972" s="7"/>
      <c r="E972" s="7"/>
      <c r="F972" s="6"/>
      <c r="G972" s="6"/>
      <c r="H972" s="6"/>
      <c r="I972" s="6"/>
      <c r="J972" s="6"/>
      <c r="K972" s="6"/>
      <c r="L972" s="6"/>
      <c r="M972" s="6"/>
      <c r="N972" s="6"/>
      <c r="O972" s="6"/>
      <c r="P972" s="6"/>
      <c r="Q972" s="6"/>
      <c r="R972" s="6"/>
      <c r="S972" s="6"/>
      <c r="T972" s="6"/>
      <c r="U972" s="6"/>
      <c r="V972" s="6"/>
      <c r="W972" s="6"/>
    </row>
    <row r="973" spans="1:23" ht="16" x14ac:dyDescent="0.2">
      <c r="A973" s="6"/>
      <c r="B973" s="7"/>
      <c r="C973" s="7"/>
      <c r="D973" s="7"/>
      <c r="E973" s="7"/>
      <c r="F973" s="6"/>
      <c r="G973" s="6"/>
      <c r="H973" s="6"/>
      <c r="I973" s="6"/>
      <c r="J973" s="6"/>
      <c r="K973" s="6"/>
      <c r="L973" s="6"/>
      <c r="M973" s="6"/>
      <c r="N973" s="6"/>
      <c r="O973" s="6"/>
      <c r="P973" s="6"/>
      <c r="Q973" s="6"/>
      <c r="R973" s="6"/>
      <c r="S973" s="6"/>
      <c r="T973" s="6"/>
      <c r="U973" s="6"/>
      <c r="V973" s="6"/>
      <c r="W973" s="6"/>
    </row>
    <row r="974" spans="1:23" ht="16" x14ac:dyDescent="0.2">
      <c r="A974" s="6"/>
      <c r="B974" s="7"/>
      <c r="C974" s="7"/>
      <c r="D974" s="7"/>
      <c r="E974" s="7"/>
      <c r="F974" s="6"/>
      <c r="G974" s="6"/>
      <c r="H974" s="6"/>
      <c r="I974" s="6"/>
      <c r="J974" s="6"/>
      <c r="K974" s="6"/>
      <c r="L974" s="6"/>
      <c r="M974" s="6"/>
      <c r="N974" s="6"/>
      <c r="O974" s="6"/>
      <c r="P974" s="6"/>
      <c r="Q974" s="6"/>
      <c r="R974" s="6"/>
      <c r="S974" s="6"/>
      <c r="T974" s="6"/>
      <c r="U974" s="6"/>
      <c r="V974" s="6"/>
      <c r="W974" s="6"/>
    </row>
    <row r="975" spans="1:23" ht="16" x14ac:dyDescent="0.2">
      <c r="A975" s="6"/>
      <c r="B975" s="7"/>
      <c r="C975" s="7"/>
      <c r="D975" s="7"/>
      <c r="E975" s="7"/>
      <c r="F975" s="6"/>
      <c r="G975" s="6"/>
      <c r="H975" s="6"/>
      <c r="I975" s="6"/>
      <c r="J975" s="6"/>
      <c r="K975" s="6"/>
      <c r="L975" s="6"/>
      <c r="M975" s="6"/>
      <c r="N975" s="6"/>
      <c r="O975" s="6"/>
      <c r="P975" s="6"/>
      <c r="Q975" s="6"/>
      <c r="R975" s="6"/>
      <c r="S975" s="6"/>
      <c r="T975" s="6"/>
      <c r="U975" s="6"/>
      <c r="V975" s="6"/>
      <c r="W975" s="6"/>
    </row>
    <row r="976" spans="1:23" ht="16" x14ac:dyDescent="0.2">
      <c r="A976" s="6"/>
      <c r="B976" s="7"/>
      <c r="C976" s="7"/>
      <c r="D976" s="7"/>
      <c r="E976" s="7"/>
      <c r="F976" s="6"/>
      <c r="G976" s="6"/>
      <c r="H976" s="6"/>
      <c r="I976" s="6"/>
      <c r="J976" s="6"/>
      <c r="K976" s="6"/>
      <c r="L976" s="6"/>
      <c r="M976" s="6"/>
      <c r="N976" s="6"/>
      <c r="O976" s="6"/>
      <c r="P976" s="6"/>
      <c r="Q976" s="6"/>
      <c r="R976" s="6"/>
      <c r="S976" s="6"/>
      <c r="T976" s="6"/>
      <c r="U976" s="6"/>
      <c r="V976" s="6"/>
      <c r="W976" s="6"/>
    </row>
    <row r="977" spans="1:23" ht="16" x14ac:dyDescent="0.2">
      <c r="A977" s="6"/>
      <c r="B977" s="7"/>
      <c r="C977" s="7"/>
      <c r="D977" s="7"/>
      <c r="E977" s="7"/>
      <c r="F977" s="6"/>
      <c r="G977" s="6"/>
      <c r="H977" s="6"/>
      <c r="I977" s="6"/>
      <c r="J977" s="6"/>
      <c r="K977" s="6"/>
      <c r="L977" s="6"/>
      <c r="M977" s="6"/>
      <c r="N977" s="6"/>
      <c r="O977" s="6"/>
      <c r="P977" s="6"/>
      <c r="Q977" s="6"/>
      <c r="R977" s="6"/>
      <c r="S977" s="6"/>
      <c r="T977" s="6"/>
      <c r="U977" s="6"/>
      <c r="V977" s="6"/>
      <c r="W977" s="6"/>
    </row>
    <row r="978" spans="1:23" ht="16" x14ac:dyDescent="0.2">
      <c r="A978" s="6"/>
      <c r="B978" s="7"/>
      <c r="C978" s="7"/>
      <c r="D978" s="7"/>
      <c r="E978" s="7"/>
      <c r="F978" s="6"/>
      <c r="G978" s="6"/>
      <c r="H978" s="6"/>
      <c r="I978" s="6"/>
      <c r="J978" s="6"/>
      <c r="K978" s="6"/>
      <c r="L978" s="6"/>
      <c r="M978" s="6"/>
      <c r="N978" s="6"/>
      <c r="O978" s="6"/>
      <c r="P978" s="6"/>
      <c r="Q978" s="6"/>
      <c r="R978" s="6"/>
      <c r="S978" s="6"/>
      <c r="T978" s="6"/>
      <c r="U978" s="6"/>
      <c r="V978" s="6"/>
      <c r="W978" s="6"/>
    </row>
    <row r="979" spans="1:23" ht="16" x14ac:dyDescent="0.2">
      <c r="A979" s="6"/>
      <c r="B979" s="7"/>
      <c r="C979" s="7"/>
      <c r="D979" s="7"/>
      <c r="E979" s="7"/>
      <c r="F979" s="6"/>
      <c r="G979" s="6"/>
      <c r="H979" s="6"/>
      <c r="I979" s="6"/>
      <c r="J979" s="6"/>
      <c r="K979" s="6"/>
      <c r="L979" s="6"/>
      <c r="M979" s="6"/>
      <c r="N979" s="6"/>
      <c r="O979" s="6"/>
      <c r="P979" s="6"/>
      <c r="Q979" s="6"/>
      <c r="R979" s="6"/>
      <c r="S979" s="6"/>
      <c r="T979" s="6"/>
      <c r="U979" s="6"/>
      <c r="V979" s="6"/>
      <c r="W979" s="6"/>
    </row>
    <row r="980" spans="1:23" ht="16" x14ac:dyDescent="0.2">
      <c r="A980" s="6"/>
      <c r="B980" s="7"/>
      <c r="C980" s="7"/>
      <c r="D980" s="7"/>
      <c r="E980" s="7"/>
      <c r="F980" s="6"/>
      <c r="G980" s="6"/>
      <c r="H980" s="6"/>
      <c r="I980" s="6"/>
      <c r="J980" s="6"/>
      <c r="K980" s="6"/>
      <c r="L980" s="6"/>
      <c r="M980" s="6"/>
      <c r="N980" s="6"/>
      <c r="O980" s="6"/>
      <c r="P980" s="6"/>
      <c r="Q980" s="6"/>
      <c r="R980" s="6"/>
      <c r="S980" s="6"/>
      <c r="T980" s="6"/>
      <c r="U980" s="6"/>
      <c r="V980" s="6"/>
      <c r="W980" s="6"/>
    </row>
    <row r="981" spans="1:23" ht="16" x14ac:dyDescent="0.2">
      <c r="A981" s="6"/>
      <c r="B981" s="7"/>
      <c r="C981" s="7"/>
      <c r="D981" s="7"/>
      <c r="E981" s="7"/>
      <c r="F981" s="6"/>
      <c r="G981" s="6"/>
      <c r="H981" s="6"/>
      <c r="I981" s="6"/>
      <c r="J981" s="6"/>
      <c r="K981" s="6"/>
      <c r="L981" s="6"/>
      <c r="M981" s="6"/>
      <c r="N981" s="6"/>
      <c r="O981" s="6"/>
      <c r="P981" s="6"/>
      <c r="Q981" s="6"/>
      <c r="R981" s="6"/>
      <c r="S981" s="6"/>
      <c r="T981" s="6"/>
      <c r="U981" s="6"/>
      <c r="V981" s="6"/>
      <c r="W981" s="6"/>
    </row>
    <row r="982" spans="1:23" ht="16" x14ac:dyDescent="0.2">
      <c r="A982" s="6"/>
      <c r="B982" s="7"/>
      <c r="C982" s="7"/>
      <c r="D982" s="7"/>
      <c r="E982" s="7"/>
      <c r="F982" s="6"/>
      <c r="G982" s="6"/>
      <c r="H982" s="6"/>
      <c r="I982" s="6"/>
      <c r="J982" s="6"/>
      <c r="K982" s="6"/>
      <c r="L982" s="6"/>
      <c r="M982" s="6"/>
      <c r="N982" s="6"/>
      <c r="O982" s="6"/>
      <c r="P982" s="6"/>
      <c r="Q982" s="6"/>
      <c r="R982" s="6"/>
      <c r="S982" s="6"/>
      <c r="T982" s="6"/>
      <c r="U982" s="6"/>
      <c r="V982" s="6"/>
      <c r="W982" s="6"/>
    </row>
    <row r="983" spans="1:23" ht="16" x14ac:dyDescent="0.2">
      <c r="A983" s="6"/>
      <c r="B983" s="7"/>
      <c r="C983" s="7"/>
      <c r="D983" s="7"/>
      <c r="E983" s="7"/>
      <c r="F983" s="6"/>
      <c r="G983" s="6"/>
      <c r="H983" s="6"/>
      <c r="I983" s="6"/>
      <c r="J983" s="6"/>
      <c r="K983" s="6"/>
      <c r="L983" s="6"/>
      <c r="M983" s="6"/>
      <c r="N983" s="6"/>
      <c r="O983" s="6"/>
      <c r="P983" s="6"/>
      <c r="Q983" s="6"/>
      <c r="R983" s="6"/>
      <c r="S983" s="6"/>
      <c r="T983" s="6"/>
      <c r="U983" s="6"/>
      <c r="V983" s="6"/>
      <c r="W983" s="6"/>
    </row>
    <row r="984" spans="1:23" ht="16" x14ac:dyDescent="0.2">
      <c r="A984" s="6"/>
      <c r="B984" s="7"/>
      <c r="C984" s="7"/>
      <c r="D984" s="7"/>
      <c r="E984" s="7"/>
      <c r="F984" s="6"/>
      <c r="G984" s="6"/>
      <c r="H984" s="6"/>
      <c r="I984" s="6"/>
      <c r="J984" s="6"/>
      <c r="K984" s="6"/>
      <c r="L984" s="6"/>
      <c r="M984" s="6"/>
      <c r="N984" s="6"/>
      <c r="O984" s="6"/>
      <c r="P984" s="6"/>
      <c r="Q984" s="6"/>
      <c r="R984" s="6"/>
      <c r="S984" s="6"/>
      <c r="T984" s="6"/>
      <c r="U984" s="6"/>
      <c r="V984" s="6"/>
      <c r="W984" s="6"/>
    </row>
    <row r="985" spans="1:23" ht="16" x14ac:dyDescent="0.2">
      <c r="A985" s="6"/>
      <c r="B985" s="7"/>
      <c r="C985" s="7"/>
      <c r="D985" s="7"/>
      <c r="E985" s="7"/>
      <c r="F985" s="6"/>
      <c r="G985" s="6"/>
      <c r="H985" s="6"/>
      <c r="I985" s="6"/>
      <c r="J985" s="6"/>
      <c r="K985" s="6"/>
      <c r="L985" s="6"/>
      <c r="M985" s="6"/>
      <c r="N985" s="6"/>
      <c r="O985" s="6"/>
      <c r="P985" s="6"/>
      <c r="Q985" s="6"/>
      <c r="R985" s="6"/>
      <c r="S985" s="6"/>
      <c r="T985" s="6"/>
      <c r="U985" s="6"/>
      <c r="V985" s="6"/>
      <c r="W985" s="6"/>
    </row>
    <row r="986" spans="1:23" ht="16" x14ac:dyDescent="0.2">
      <c r="A986" s="6"/>
      <c r="B986" s="7"/>
      <c r="C986" s="7"/>
      <c r="D986" s="7"/>
      <c r="E986" s="7"/>
      <c r="F986" s="6"/>
      <c r="G986" s="6"/>
      <c r="H986" s="6"/>
      <c r="I986" s="6"/>
      <c r="J986" s="6"/>
      <c r="K986" s="6"/>
      <c r="L986" s="6"/>
      <c r="M986" s="6"/>
      <c r="N986" s="6"/>
      <c r="O986" s="6"/>
      <c r="P986" s="6"/>
      <c r="Q986" s="6"/>
      <c r="R986" s="6"/>
      <c r="S986" s="6"/>
      <c r="T986" s="6"/>
      <c r="U986" s="6"/>
      <c r="V986" s="6"/>
      <c r="W986" s="6"/>
    </row>
    <row r="987" spans="1:23" ht="16" x14ac:dyDescent="0.2">
      <c r="A987" s="6"/>
      <c r="B987" s="7"/>
      <c r="C987" s="7"/>
      <c r="D987" s="7"/>
      <c r="E987" s="7"/>
      <c r="F987" s="6"/>
      <c r="G987" s="6"/>
      <c r="H987" s="6"/>
      <c r="I987" s="6"/>
      <c r="J987" s="6"/>
      <c r="K987" s="6"/>
      <c r="L987" s="6"/>
      <c r="M987" s="6"/>
      <c r="N987" s="6"/>
      <c r="O987" s="6"/>
      <c r="P987" s="6"/>
      <c r="Q987" s="6"/>
      <c r="R987" s="6"/>
      <c r="S987" s="6"/>
      <c r="T987" s="6"/>
      <c r="U987" s="6"/>
      <c r="V987" s="6"/>
      <c r="W987" s="6"/>
    </row>
    <row r="988" spans="1:23" ht="16" x14ac:dyDescent="0.2">
      <c r="A988" s="6"/>
      <c r="B988" s="7"/>
      <c r="C988" s="7"/>
      <c r="D988" s="7"/>
      <c r="E988" s="7"/>
      <c r="F988" s="6"/>
      <c r="G988" s="6"/>
      <c r="H988" s="6"/>
      <c r="I988" s="6"/>
      <c r="J988" s="6"/>
      <c r="K988" s="6"/>
      <c r="L988" s="6"/>
      <c r="M988" s="6"/>
      <c r="N988" s="6"/>
      <c r="O988" s="6"/>
      <c r="P988" s="6"/>
      <c r="Q988" s="6"/>
      <c r="R988" s="6"/>
      <c r="S988" s="6"/>
      <c r="T988" s="6"/>
      <c r="U988" s="6"/>
      <c r="V988" s="6"/>
      <c r="W988" s="6"/>
    </row>
    <row r="989" spans="1:23" ht="16" x14ac:dyDescent="0.2">
      <c r="A989" s="6"/>
      <c r="B989" s="7"/>
      <c r="C989" s="7"/>
      <c r="D989" s="7"/>
      <c r="E989" s="7"/>
      <c r="F989" s="6"/>
      <c r="G989" s="6"/>
      <c r="H989" s="6"/>
      <c r="I989" s="6"/>
      <c r="J989" s="6"/>
      <c r="K989" s="6"/>
      <c r="L989" s="6"/>
      <c r="M989" s="6"/>
      <c r="N989" s="6"/>
      <c r="O989" s="6"/>
      <c r="P989" s="6"/>
      <c r="Q989" s="6"/>
      <c r="R989" s="6"/>
      <c r="S989" s="6"/>
      <c r="T989" s="6"/>
      <c r="U989" s="6"/>
      <c r="V989" s="6"/>
      <c r="W989" s="6"/>
    </row>
    <row r="990" spans="1:23" ht="16" x14ac:dyDescent="0.2">
      <c r="A990" s="6"/>
      <c r="B990" s="7"/>
      <c r="C990" s="7"/>
      <c r="D990" s="7"/>
      <c r="E990" s="7"/>
      <c r="F990" s="6"/>
      <c r="G990" s="6"/>
      <c r="H990" s="6"/>
      <c r="I990" s="6"/>
      <c r="J990" s="6"/>
      <c r="K990" s="6"/>
      <c r="L990" s="6"/>
      <c r="M990" s="6"/>
      <c r="N990" s="6"/>
      <c r="O990" s="6"/>
      <c r="P990" s="6"/>
      <c r="Q990" s="6"/>
      <c r="R990" s="6"/>
      <c r="S990" s="6"/>
      <c r="T990" s="6"/>
      <c r="U990" s="6"/>
      <c r="V990" s="6"/>
      <c r="W990" s="6"/>
    </row>
    <row r="991" spans="1:23" ht="16" x14ac:dyDescent="0.2">
      <c r="A991" s="6"/>
      <c r="B991" s="7"/>
      <c r="C991" s="7"/>
      <c r="D991" s="7"/>
      <c r="E991" s="7"/>
      <c r="F991" s="6"/>
      <c r="G991" s="6"/>
      <c r="H991" s="6"/>
      <c r="I991" s="6"/>
      <c r="J991" s="6"/>
      <c r="K991" s="6"/>
      <c r="L991" s="6"/>
      <c r="M991" s="6"/>
      <c r="N991" s="6"/>
      <c r="O991" s="6"/>
      <c r="P991" s="6"/>
      <c r="Q991" s="6"/>
      <c r="R991" s="6"/>
      <c r="S991" s="6"/>
      <c r="T991" s="6"/>
      <c r="U991" s="6"/>
      <c r="V991" s="6"/>
      <c r="W991" s="6"/>
    </row>
    <row r="992" spans="1:23" ht="16" x14ac:dyDescent="0.2">
      <c r="A992" s="6"/>
      <c r="B992" s="7"/>
      <c r="C992" s="7"/>
      <c r="D992" s="7"/>
      <c r="E992" s="7"/>
      <c r="F992" s="6"/>
      <c r="G992" s="6"/>
      <c r="H992" s="6"/>
      <c r="I992" s="6"/>
      <c r="J992" s="6"/>
      <c r="K992" s="6"/>
      <c r="L992" s="6"/>
      <c r="M992" s="6"/>
      <c r="N992" s="6"/>
      <c r="O992" s="6"/>
      <c r="P992" s="6"/>
      <c r="Q992" s="6"/>
      <c r="R992" s="6"/>
      <c r="S992" s="6"/>
      <c r="T992" s="6"/>
      <c r="U992" s="6"/>
      <c r="V992" s="6"/>
      <c r="W992" s="6"/>
    </row>
    <row r="993" spans="1:23" ht="16" x14ac:dyDescent="0.2">
      <c r="A993" s="6"/>
      <c r="B993" s="7"/>
      <c r="C993" s="7"/>
      <c r="D993" s="7"/>
      <c r="E993" s="7"/>
      <c r="F993" s="6"/>
      <c r="G993" s="6"/>
      <c r="H993" s="6"/>
      <c r="I993" s="6"/>
      <c r="J993" s="6"/>
      <c r="K993" s="6"/>
      <c r="L993" s="6"/>
      <c r="M993" s="6"/>
      <c r="N993" s="6"/>
      <c r="O993" s="6"/>
      <c r="P993" s="6"/>
      <c r="Q993" s="6"/>
      <c r="R993" s="6"/>
      <c r="S993" s="6"/>
      <c r="T993" s="6"/>
      <c r="U993" s="6"/>
      <c r="V993" s="6"/>
      <c r="W993" s="6"/>
    </row>
    <row r="994" spans="1:23" ht="16" x14ac:dyDescent="0.2">
      <c r="A994" s="6"/>
      <c r="B994" s="7"/>
      <c r="C994" s="7"/>
      <c r="D994" s="7"/>
      <c r="E994" s="7"/>
      <c r="F994" s="6"/>
      <c r="G994" s="6"/>
      <c r="H994" s="6"/>
      <c r="I994" s="6"/>
      <c r="J994" s="6"/>
      <c r="K994" s="6"/>
      <c r="L994" s="6"/>
      <c r="M994" s="6"/>
      <c r="N994" s="6"/>
      <c r="O994" s="6"/>
      <c r="P994" s="6"/>
      <c r="Q994" s="6"/>
      <c r="R994" s="6"/>
      <c r="S994" s="6"/>
      <c r="T994" s="6"/>
      <c r="U994" s="6"/>
      <c r="V994" s="6"/>
      <c r="W994" s="6"/>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2025-12-06T14:06:14Z</dcterms:created>
  <dcterms:modified xsi:type="dcterms:W3CDTF">2025-12-06T14:32:36Z</dcterms:modified>
</cp:coreProperties>
</file>