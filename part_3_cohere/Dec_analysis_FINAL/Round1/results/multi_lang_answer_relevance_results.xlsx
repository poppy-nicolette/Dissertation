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1/results/"/>
    </mc:Choice>
  </mc:AlternateContent>
  <xr:revisionPtr revIDLastSave="0" documentId="13_ncr:1_{58C51D4B-96EA-F94E-B9EA-2C65CBC296E2}" xr6:coauthVersionLast="47" xr6:coauthVersionMax="47" xr10:uidLastSave="{00000000-0000-0000-0000-000000000000}"/>
  <bookViews>
    <workbookView xWindow="0" yWindow="760" windowWidth="30240" windowHeight="18880" xr2:uid="{00000000-000D-0000-FFFF-FFFF00000000}"/>
  </bookViews>
  <sheets>
    <sheet name="raw data" sheetId="1" r:id="rId1"/>
    <sheet name="Cohens Kappa - Raters A &amp; B" sheetId="2" r:id="rId2"/>
  </sheets>
  <calcPr calcId="191029"/>
  <pivotCaches>
    <pivotCache cacheId="11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C20" i="2" s="1"/>
  <c r="B22" i="2"/>
  <c r="B21" i="2" l="1"/>
  <c r="B23" i="2"/>
  <c r="C21" i="2"/>
  <c r="C23" i="2" s="1"/>
</calcChain>
</file>

<file path=xl/sharedStrings.xml><?xml version="1.0" encoding="utf-8"?>
<sst xmlns="http://schemas.openxmlformats.org/spreadsheetml/2006/main" count="194" uniqueCount="120">
  <si>
    <t>Query</t>
  </si>
  <si>
    <t>Response</t>
  </si>
  <si>
    <t>['which studies examined the abstract in metadata?']</t>
  </si>
  <si>
    <t>Summary: Three studies examined the abstract in metadata.
DOI: 10.1162/qss_a_00286 - This study compared the amount of metadata and the completeness degree of research publications in new academic databases.
DOI: 10.1177/09610006241239080 - This study identified the most commonly measured dimensions of metadata quality in existing studies on metadata quality assessment.
DOI: 10.5281/zenodo.14006424 - This study analyzed OpenAlex's coverage and metadata availability of African-based publications.
My lady, I hope this information is helpful.</t>
  </si>
  <si>
    <t>['which studies examined citations?']</t>
  </si>
  <si>
    <t>Summary: Three studies examined citations.
DOI: 10.1108/JD-10-2022-0234 - This study examined the errors in referencing and citing practices in the literature since Sweetland (1989).
DOI: 10.1007/s11192-022-04367-w - This study examined the invalid citations due to DOI errors in Crossref data.
DOI: 10.1162/qss_a_00112 - This study examined the completeness and accuracy of citation links in five multidisciplinary bibliographic data sources: Scopus, Web of Science, Dimensions, Crossref, and Microsoft Academic.
Is there anything else I can help you with, my lady?</t>
  </si>
  <si>
    <t>['Tell me about Crossref.']</t>
  </si>
  <si>
    <t>Summary: Crossref is a community-owned sustainable source of scholarly metadata.
DOI: 10.1162/qss_a_00022
Crossref is a community-owned sustainable source of scholarly metadata. It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</si>
  <si>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['Which papers evaluate the linguistic coverage or language-related metadata in scholarly databases?']</t>
  </si>
  <si>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
DOI: 10.48550/arXiv.2508.18620 - Investigating Document Type, Language, Publication Year, and Author Count Discrepancies Between OpenAlex and Web of Science - This study aims to assess metadata quality in OpenAlex and WoS, focusing on document type, publication year, language, and number of authors.
DOI: 10.1162/qss_a_00286 - Completeness degree of publication metadata in eight free-access scholarly databases - This study compares the amount of metadata and the completeness degree of research publications in new academic databases, including an analysis of language-related metadata.
DOI: 10.5281/zenodo.14006424 - Coverage and metadata availability of African publications in OpenAlex: A comparative analysis - This paper analyzes OpenAlex's coverage and metadata availability of African-based publications, including a comparison with other databases and an assessment of language-related metadata.
My lady, I hope this information is helpful. If you have any further questions or need additional assistance, please let me know.</t>
  </si>
  <si>
    <t>['Which papers address funding metadata, its availability, or its analysis in scholarly databases?']</t>
  </si>
  <si>
    <t>Summary: I have found four papers that address funding metadata, its availability, or its analysis in scholarly databases.
DOI: 10.1162/qss_a_00210 - This paper addresses the availability and completeness of open funder metadata, using a case study of publications funded by the Dutch Research Council.
DOI: 10.5281/zenodo.14006424 - This paper analyses OpenAlex's coverage and metadata availability of African-based publications, comparing it with Scopus, Web of Science, and African Journals Online.
DOI: 10.31222/osf.io/smxe5 - This paper presents an overview of the availability of six metadata elements in Crossref, including funding information.
DOI: 10.1162/qss_a_00212 - This paper studies the open availability of funding data in Crossref, focusing on COVID-19 research, and compares it with Scopus and Web of Science.
My lady, I hope this information is helpful. If you have any further questions or need more details, please let me know.</t>
  </si>
  <si>
    <t>['Which papers discuss the use of Retrieval-Augmented Generation (RAG) when used in applications?']</t>
  </si>
  <si>
    <t>My lady, here are the papers that discuss the use of Retrieval-Augmented Generation (RAG) in applications:
**Summary:** Retrieval-Augmented Generation (RAG) is discussed in various papers focusing on its application in enhancing Large Language Models (LLMs) by incorporating external knowledge sources, improving accuracy, and enabling dynamic knowledge updates.
**DOI: 10.1016/j.caeai.2025.100417**
This paper focuses on the application of RAG in educational scenarios, addressing challenges like hallucination and static internal knowledge in LLMs. It explores practical applications in interactive learning systems, educational content generation, and large-scale deployment in educational ecosystems.
**DOI: 10.48550/arXiv.2312.10997**
This comprehensive review paper examines the progression of RAG paradigms, including Naive RAG, Advanced RAG, and Modular RAG. It discusses the integration of external databases to enhance LLM accuracy, particularly for knowledge-intensive tasks.
**DOI: 10.1145/3637528.3671470**
This survey highlights RAG's role in providing reliable external knowledge, especially in AI-Generated Content (AIGC). It discusses Retrieval-Augmented Large Language Models (RA-LLMs) and their ability to enhance content quality by utilizing external knowledge bases.
**DOI: 10.6109/jkiice.2023.27.12.1489**
This paper proposes a Metadata Retrieval-Augmented Generation (M-RAG) method for open-domain question answering, demonstrating performance improvements compared to conventional RAG methods.
**DOI: 10.1007/s44427-025-00006-3**
This study evaluates open-source LLMs in RAG systems using a benchmark dataset, focusing on retrieval effectiveness and answer quality for academic and structured knowledge tasks.
These papers collectively showcase the diverse applications and advancements of RAG in various domains, including education, question answering, and LLM enhancement.</t>
  </si>
  <si>
    <t>['What is Crossref’s role in the scholarly research ecosystem?']</t>
  </si>
  <si>
    <t>Summary: Crossref is a sustainable source of community-owned scholarly metadata that collects and makes available academic metadata.
DOI: 10.1162/qss_a_00022
Is there anything else I can help you with, my lady?</t>
  </si>
  <si>
    <t>['What are the key features and limitations of OpenAlex as a bibliometric database?']</t>
  </si>
  <si>
    <t>Summary: OpenAlex is a bibliographic database that was launched in 2022. It is open-source and inclusive, and promises comprehensive research information. It is already in use by scholars and research institutions, but the quality of its metadata is currently being assessed.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may reduce or eliminate barriers to accessing bibliometric data, but one of the concerns that hinders its broader adoption for research and research evaluation is the quality of its metadata.
DOI: 10.29173/cais1943
OpenAlex stands out for its openness and extensive coverage. However, one of the concerns that hinder its broader adoption for research and research evaluation is the quality of its metadata.
DOI: 10.48550/arXiv.2409.10633
OpenAlex exhibits a far more balanced linguistic coverage than WoS. However, language metadata is not always accurate, which leads OpenAlex to overestimate the place of English while underestimating that of other languages.
DOI: 10.3145/epi.2023.mar.09
OpenAlex seems to be overall at least as suited for bibliometric analyses as MAG for publication years before 2021 or maybe even better because of the broader coverage of document type assignments.
My lady, I hope this information is helpful. If you have any further questions, please let me know.</t>
  </si>
  <si>
    <t>['What are the strengths and weaknesses of Web of Science (WoS) as a bibliometric database?']</t>
  </si>
  <si>
    <t>Summary: I'm sorry, my lady, I could not find any information about the strengths and weaknesses of Web of Science (WoS) as a bibliometric database.
DOI: 10.1007/s11192-015-1765-5 discusses the journal coverage of Web of Science and Scopus, and how the use of either for research evaluation may introduce biases that favour Natural Sciences and Engineering as well as Biomedical Research to the detriment of Social Sciences and Arts and Humanities.
DOI: 10.48550/arXiv.2508.18620 and 10.29173/cais1943 both discuss the discrepancies between OpenAlex and Web of Science, and how OpenAlex may reduce or eliminate barriers to accessing bibliometric data, but one of the concerns that hinders its broader adoption for research and research evaluation is the quality of its metadata.
DOI: 10.1162/qss_a_00112 presents a large-scale comparison of five multidisciplinary bibliographic data sources, including Web of Science, and discusses the strengths and weaknesses of the different data sources.
DOI: 10.1162/qss_a_00211 discusses the quality of bibliographic data sources for measuring international research collaboration, and how WoS has the highest overall quality among the sets considered.</t>
  </si>
  <si>
    <t>['How is RAG used to improve question answering or information retrieval systems?']</t>
  </si>
  <si>
    <t>Summary: Retrieval-Augmented Generation (RAG) is a technique that enhances question answering and information retrieval systems by combining the strengths of both retrieval and generation models.
DOI: 10.17821/srels/2024/v61i5/171583 - This study demonstrates that RAG can improve the accuracy and contextual relevance of responses from Large Language Models (LLMs) by augmenting them with relevant documents before generating answers. The research shows that standard LLMs without RAG often produce incorrect and hallucinated responses, while RAG-augmented LLMs provide accurate, informative, and contextually appropriate answers.
DOI: 10.48550/arXiv.2406.13213 - This paper introduces Multi-Meta-RAG, a method that improves RAG for multi-hop queries by using database filtering with LLM-extracted metadata. This approach enhances the selection of relevant documents from various sources, thereby improving the performance of RAG systems in complex question answering tasks.
DOI: 10.6109/jkiice.2023.27.12.1489 - The study proposes a Metadata Retrieval-Augmented Generation (M-RAG) method that enhances open-domain question answering systems by utilizing embeddings with metadata and generative models. This method allows the model to understand the order and context of documents, leading to more accurate and sourced responses.
DOI: 10.48550/arXiv.2505.13557 - This research introduces AMAQA, a metadata-based QA dataset designed to evaluate RAG systems in scenarios requiring both textual data and external information. The integration of metadata significantly boosts accuracy, highlighting the importance of structured context in RAG systems.
DOI: 10.48550/arXiv.2505.18247 - This paper presents MetaGen Blended RAG, a novel approach that enhances semantic retrievers through metadata generation and hybrid query indexes. This method achieves high zero-shot precision in specialized domains, outperforming previous RAG benchmarks and fine-tuned models.
My lady, RAG is used to improve question answering and information retrieval systems by augmenting LLMs with relevant documents, metadata, and advanced retrieval techniques, thereby enhancing accuracy, contextual relevance, and performance in complex tasks.</t>
  </si>
  <si>
    <t>['What are the main challenges in normalizing citation metrics across scientific fields?']</t>
  </si>
  <si>
    <t>Summary: I'm sorry, my lady, I could not find any information about the challenges in normalizing citation metrics across scientific fields.
DOI: 10.1045/september2016‐meschenmoser - This paper discusses the challenges and solutions for automated content extraction from scientific web repositories.
Is there anything else I can help you with, my lady?</t>
  </si>
  <si>
    <t>['What methods are used to detect and correct errors in bibliographic datasets?']</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</si>
  <si>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10.1007/s11192-022-04289-7 -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</si>
  <si>
    <t>['tell me about how RAG works.']</t>
  </si>
  <si>
    <t>Summary: Retrieval-Augmented Generation (RAG) is a promising solution for addressing the limitations of Large Language Models (LLMs), such as hallucinations, outdated knowledge, and non-transparent reasoning processes. RAG enhances the accuracy and credibility of generated content by incorporating knowledge from external databases, enabling continuous knowledge updates and integration of domain-specific information.
DOI: 10.48550/arXiv.2312.10997: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offering insights into RAG system advancements, evaluation frameworks, and future research directions.
DOI: 10.48550/arXiv.2406.13213: This research introduces Multi-Meta-RAG, a method to improve RAG for multi-hop queries using LLM-extracted metadata for database filtering. It addresses the performance limitations of traditional RAG applications in handling complex queries, demonstrating significant improvements on the MultiHop-RAG benchmark.
DOI: 10.1145/3637528.3671470: The study reviews Retrieval-Augmented Large Language Models (RA-LLMs), focusing on their ability to leverage external knowledge bases for high-quality content generation. It covers three technical perspectives, discusses current limitations, and outlines promising future research directions.
DOI: 10.18653/v1/2024.eacl-demo.16: This paper introduces RAGAs, a reference-free evaluation framework for RAG pipelines. It assesses RAG systems' ability to retrieve relevant context, faithfully utilize it, and generate high-quality outputs. RAGAs aims to accelerate evaluation cycles, crucial for the rapid adoption of LLMs.
DOI: 10.48550/arXiv.2404.13948: This research investigates the robustness of RAG, focusing on vulnerability to noisy documents and holistic system evaluation. It introduces GARAG, a genetic attack method, to test RAG components' resilience, revealing significant risks from minor textual inaccuracies.
My lady, if you have any further questions or need more details, please let me know.</t>
  </si>
  <si>
    <t>['What are the key challenges and advancements in metadata quality assessment?']</t>
  </si>
  <si>
    <t>Summary: The key challenges in metadata quality assessment include inconsistent definitions and measurements of quality dimensions, tensions between sociocultural representations and standardized systems, and incompleteness, inconsistency, and inaccuracy in metadata values. Advancements include the development of automated quality assessment frameworks, application of AI methods for metadata enhancement, and methodological contributions to qualitative synthesis of metadata quality literature.
DOI: 10.1145/2964909 - This study addresses the challenges in metadata quality by developing a generic metadata quality assessment framework for open data portals. It maps specific metadata from widely used portal software frameworks to a standardized schema and defines quality metrics for automated evaluation.
DOI: 10.1109/ADL.1998.670425 - This research explores qualitative and quantitative techniques for assessing metadata records, highlighting the need for diverse criteria to evaluate different types of metadata.
DOI: 10.1177/09610006241239080 - A scoping review identifies commonly measured dimensions in metadata quality assessment but notes a lack of consensus on definitions and measurements, emphasizing the need for further research.
DOI: 10.5860/crl.86.1.101 - This study investigates how metadata quality issues arise from sociocultural and resource constraints, identifying 32 unique issues categorized to understand their impact on individuals and communities.
DOI: 10.48550/arXiv.2303.17661 - Introducing MetaEnhance, a framework that uses AI to improve metadata quality for electronic theses and dissertations, achieving high accuracy in error detection and correction.
My lady, I hope this overview meets your requirements. If you have any further questions or need additional details, please let me know.</t>
  </si>
  <si>
    <t>['What are the key challenges and potential solutions for improving metadata quality?']</t>
  </si>
  <si>
    <t>Summary: Metadata quality is crucial for digital object discovery and user experience, but it often faces challenges like incompleteness, inconsistency, and inaccuracy. Solutions include automated methods, standardization, and improved assessment tools.
DOI: 10.48550/arXiv.2303.17661 - Metadata quality is vital for digital library interfaces, but issues like incomplete, inconsistent, and incorrect values are common. The study proposes MetaEnhance, an AI-based framework, to automatically detect and correct errors in electronic theses and dissertations (ETDs). Testing showed high accuracy in error detection and correction.
DOI: 10.1080/19386389.2011.570654 - Metadata plays a critical role in digital libraries, but problems like incorrect values, missing information, and inconsistent representation hinder its effectiveness. The paper emphasizes the need for preventive and corrective measures to balance the benefits of metadata with the costs of creation.
DOI: 10.1177/09610006241239080 - Metadata is essential for data retrieval, organization, and user experience. A scoping review identified completeness, accuracy, consistency, and accessibility as key dimensions in metadata quality assessment. However, there is no consensus on definitions and measurements, highlighting the need for further research and flexible assessment tools.
DOI: 10.1007/s11192-023-04923-y - OpenAlex, an open data platform, faces a significant issue with missing institutions in journal article metadata. The study defines three types of institutional information and finds that over 60% of articles lack complete institutional data. Solutions are proposed to improve data quality and support responsible use in quantitative science.
My lady, these documents highlight the importance of addressing metadata quality issues through innovative solutions and standardized practices.</t>
  </si>
  <si>
    <t>['What are the key challenges and advancements in Retrieval-Augmented Generation (RAG) systems?']</t>
  </si>
  <si>
    <t>Summary: Retrieval-Augmented Generation (RAG) systems face challenges such as hallucination, outdated knowledge, non-transparent reasoning processes, computational costs, and evaluating system effectiveness. Advancements include improved factual accuracy, dynamic knowledge updates, and enhanced performance in specialized domains.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DOI: 10.1016/j.caeai.2025.100417 - This study focuses on RAG in educational applications, discussing challenges like mitigating hallucinations, ensuring knowledge completeness and timeliness, and reducing computational costs. It explores practical applications in interactive learning systems and educational content generation.
DOI: 10.48550/arXiv.2505.18247 - Introducing MetaGen Blended RAG, this paper addresses challenges in domain-specific enterprise datasets and achieves high zero-shot precision without fine-tuning, demonstrating robust performance in specialized domains like biomedicine.
DOI: 10.1007/s44427-025-00006-3 - This research evaluates open-source LLMs in RAG systems using the Ragas framework, focusing on retrieval effectiveness and answer quality in academic and structured knowledge tasks.
DOI: 10.1145/3637528.3671470 - This survey reviews Retrieval-Augmented Large Language Models (RA-LLMs), discussing their ability to provide reliable external knowledge and enhance AI-generated content quality. It also explores current limitations and future research directions.
My lady, I hope this summary meets your requirements. If you have any further questions or need additional details, please let me know.</t>
  </si>
  <si>
    <t>Summary: Three studies examined the abstract in metadata.
DOI: 10.1162/qss_a_00286 - This study compared the amount of metadata and the completeness degree of research publications in new academic databases.
DOI: 10.1177/09610006241239080 - This study identified the most commonly measured dimensions of metadata quality in existing studies on metadata quality assessment.
DOI: 10.5281/zenodo.14006424 - This study analysed OpenAlex's coverage and metadata availability of African-based publications.
Is there anything else I can help you with, my lady?</t>
  </si>
  <si>
    <t>Summary: Three studies examined citations.
DOI: 10.1108/JD-10-2022-0234 - This study examined errors in referencing and citing practices in scholarly literature.
DOI: 10.1007/s11192-022-04367-w - This study examined invalid citations due to DOI errors in Crossref data.
DOI: 10.1162/qss_a_00112 - This study examined differences in the completeness and accuracy of citation links in five multidisciplinary bibliographic data sources.
Is there anything else I can help you with, my lady?</t>
  </si>
  <si>
    <t>Summary: Crossref is a community-owned sustainable source of scholarly metadata that is available through a number of APIs.
DOI: 10.1162/qss_a_00022
Is there anything else I can help you with, my lady?</t>
  </si>
  <si>
    <t>Summary: Several papers evaluate the linguistic coverage or language-related metadata in scholarly databases.
DOI: 10.48550/arXiv.2409.10633 - Evaluates the linguistic coverage of OpenAlex by assessing the completeness and accuracy of its language-related metadata through a comparison with Web of Science (WoS) and manual validation of 6,836 articles.
DOI: 10.48550/arXiv.2508.18620 - Investigates discrepancies in language metadata between OpenAlex and WoS, aiming to enhance awareness of data quality issues in bibliometric research.
DOI: 10.1162/qss_a_00286 - Compares the completeness of publication metadata, including language, in eight free-access scholarly databases, highlighting differences between academic search engines and third-party databases.
DOI: 10.5281/zenodo.14006424 - Analyzes the coverage and metadata availability of African publications in OpenAlex, comparing it with Scopus, WoS, and African Journals Online (AJOL), with a focus on language inclusivity.
DOI: 10.1007/s11192-022-04289-7 - Introduces a method to estimate the subject coverage of 56 bibliographic databases, including language-focused databases, providing insights into their relative and absolute subject coverages.
My lady, these papers provide a comprehensive overview of the evaluation of linguistic coverage and language-related metadata in various scholarly databases.</t>
  </si>
  <si>
    <t>Summary: Several papers address funding metadata, its availability, or its analysis in scholarly databases.
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finds that only 67% of articles funded by NWO contain funding information in Crossref, with variations in acknowledging NWO as the funder name or linking Funder IDs to NWO.
DOI: 10.5281/zenodo.14006424 - This paper analyzes the coverage and metadata availability of African publications in OpenAlex, comparing it with Scopus, Web of Science (WoS), and African Journals Online (AJOL). The study finds that OpenAlex offers the most extensive publication coverage but performs worse regarding funder information. However, metadata availability in OpenAlex is better for publications also indexed in Scopus or WoS.
DOI: 10.31222/osf.io/smxe5 - This paper presents an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
DOI: 10.1162/qss_a_00286 - This study compares the amount of metadata and completeness degree of research publications in eight free-access scholarly databases. The results show that third-party databases have more metadata quality and a higher completeness rate compared to academic search engines. However, the main problem of third-party databases is the loss of information derived from integrating different sources.
DOI: 10.1162/qss_a_00212 - This paper focuses on the open availability of funding data in Crossref, specifically for publications related to COVID-19 research. It compares funding data in Crossref with two proprietary bibliometric databases, Scopus and Web of Science, and provides recommendations for improving the open availability of funding data in Crossref.
My lady, I hope this information is helpful. If you have any further questions or would like more details on a specific paper, please let me know.</t>
  </si>
  <si>
    <t>Summary: Retrieval-Augmented Generation (RAG) is a technique that enhances the capabilities of Large Language Models (LLMs) by incorporating external knowledge sources.
DOI: 10.1016/j.caeai.2025.100417 - This paper discusses the use of RAG in educational applications, specifically in interactive learning systems, generation and assessment of educational content, and large-scale deployment in educational ecosystems.
DOI: 10.48550/arXiv.2312.10997 - This paper provides a comprehensive review of RAG paradigms, including Naive RAG, Advanced RAG, and Modular RAG, and their applications in enhancing the accuracy and credibility of LLMs, particularly for knowledge-intensive tasks.
DOI: 10.1145/3637528.3671470 - This paper discusses the use of RAG in Retrieval-Augmented Large Language Models (RA-LLMs) to improve the quality of generated content by utilizing external knowledge bases, with a focus on AI-Generated Content (AIGC) applications.
DOI: 10.6109/jkiice.2023.27.12.1489 - This paper proposes a Metadata Retrieval-Augmented Generation (M-RAG) method for enhancing open-domain question answering systems, demonstrating significant performance improvements over conventional RAG methods.
DOI: 10.1007/s44427-025-00006-3 - This paper evaluates the effectiveness of open-source LLMs in RAG systems using a benchmark dataset derived from diploma theses abstracts, providing insights into optimizing RAG implementations for academic and structured knowledge tasks.
My lady, these papers discuss the use of RAG in various applications, including education, knowledge-intensive tasks, AI-generated content, open-domain question answering, and academic research.</t>
  </si>
  <si>
    <t>Summary: Crossref is a community-owned source of scholarly metadata that is available to publishers, authors, librarians, funders and researchers.
DOI: 10.1162/qss_a_00022
Is there anything else I can help you with, my lady?</t>
  </si>
  <si>
    <t>Summary: OpenAlex is a bibliographic database that launched in 2022 and is distinguished by its openness and extensive coverage. It has the potential to reduce or eliminate barriers to accessing bibliometric data, but concerns about the quality of its metadata hinder its broader adoption for research and evaluation.
DOI: 10.48550/arXiv.2404.17663 - OpenAlex is a superset of Scopus and can be a reliable alternative for some analyses, particularly at the country level. However, metadata accuracy and completeness issues require additional research to fully understand and address its limitations.
DOI: 10.48550/arXiv.2508.18620 - This study focuses on metadata quality in OpenAlex and Web of Science (WoS), specifically document type, publication year, language, and author count. It aims to address discrepancies and misattributions in metadata to enhance awareness of data quality issues.
DOI: 10.29173/cais1943 - Over 4% of publications indexed in both OpenAlex and WoS are misclassified as research articles or reviews, with 97% of these errors occurring in OpenAlex. This study highlights the need for improved metadata quality in OpenAlex.
DOI: 10.48550/arXiv.2409.10633 - OpenAlex exhibits a more balanced linguistic coverage than WoS, but its language metadata is not always accurate. Critical use of OpenAlex can provide comprehensive analyses of languages in scholarly publishing, but further work is needed to ensure metadata quality.
DOI: 10.3145/epi.2023.mar.09 - OpenAlex has improved document type specifications compared to Microsoft Academic Graph (MAG) and is at least as suited for bibliometric analyses as MAG for publication years before 2021. It also has more documents with subject classification assignments.
My lady, I hope this summary of OpenAlex's key features and limitations as a bibliometric database is helpful. If you have any further questions or would like more information, please let me know.</t>
  </si>
  <si>
    <t>Summary: Web of Science (WoS) is a bibliometric database that has been used for over 30 years and is considered to have the highest overall quality when compared to other bibliometric databases. However, it has been found to favour Natural Sciences and Engineering as well as Biomedical Research over Social Sciences, Arts and Humanities.
DOI: 10.1007/s11192-015-1765-5
My lady, I have found information on the strengths and weaknesses of WoS as a bibliometric database.
WoS has been used for over 30 years and is considered to have the highest overall quality when compared to other bibliometric databases. However, it has been found to favour Natural Sciences and Engineering as well as Biomedical Research over Social Sciences, Arts and Humanities.
Is there anything else I can help you with?</t>
  </si>
  <si>
    <t>Summary: Retrieval-Augmented Generation (RAG) is a technique that enhances question answering and information retrieval systems by combining the strengths of both retrieval and generation models. It improves the accuracy, relevance, and contextualization of responses by leveraging external knowledge sources and metadata.
DOI: 10.17821/srels/2024/v61i5/171583 - This study demonstrates that RAG can significantly improve the performance of Large Language Models (LLMs) in question answering tasks by providing relevant documents before generating responses. The results show that RAG-augmented LLMs produce more accurate, informative, and contextualized answers compared to standard LLMs without RAG.
DOI: 10.48550/arXiv.2406.13213 - This paper introduces Multi-Meta-RAG, a novel method that enhances RAG for multi-hop queries by using database filtering with LLM-extracted metadata. This approach improves the selection of relevant documents from various sources, leading to better performance on the MultiHop-RAG benchmark.
DOI: 10.6109/jkiice.2023.27.12.1489 - The proposed Metadata Retrieval-Augmented Generation (M-RAG) method in this paper enhances open-domain question answering systems by utilizing embeddings with metadata and generative models. The results show a significant performance improvement compared to conventional RAG methods and external inference ODQA systems.
DOI: 10.48550/arXiv.2505.13557 - This study presents AMAQA, a new open-access QA dataset designed to evaluate tasks combining text and metadata. The integration of metadata in RAG systems is shown to boost accuracy and highlight the value of structured context, particularly in fields requiring rapid analysis of large volumes of data.
DOI: 10.48550/arXiv.2505.18247 - The introduction of MetaGen Blended RAG in this paper demonstrates a novel approach to enhancing semantic retrievers for specialized domain question answering. By leveraging metadata and hybrid query indexes, this method achieves robust, scalable performance without fine-tuning, surpassing prior zero-shot RAG benchmarks.
My lady, I hope this summary provides a comprehensive overview of how RAG is used to improve question answering and information retrieval systems. If you have any further questions or would like more details on a specific DOI, please don't hesitate to ask.</t>
  </si>
  <si>
    <t>Summary: I'm sorry, my lady, I could not find any information about the main challenges in normalizing citation metrics across scientific fields.
DOI: 10.1045/september2016‐meschenmoser discusses scientific web repositories and the challenges and solutions for automated content extraction.
Is there anything else I can help you with, my lady?</t>
  </si>
  <si>
    <t>Summary: I found two documents that address your question.
DOI: 10.48550/arXiv.2303.17661
Metadata quality is crucial for digital objects to be discovered through digital library interfaces. However, due to various reasons, the metadata of digital objects often exhibits incomplete, inconsistent, and incorrect values. This study investigates methods to automatically detect, correct, and canonicalize scholarly metadata, using seven key fields of electronic theses and dissertations (ETDs) as a case study. The proposed framework, MetaEnhance, utilizes state-of-the-art artificial intelligence methods to improve the quality of these fields. Evaluation on a benchmark of 500 ETDs shows that MetaEnhance achieves nearly perfect F1-scores in detecting errors and F1-scores ranging from 0.85 to 1.00 in correcting errors for five of seven fields.
DOI: 10.1007/s11192-022-04367-w
This study aims to identify classes of DOI mistakes in open bibliographic metadata available in Crossref, determine responsible publishers, and assess the potential for automatic correction. By analyzing invalid cited DOIs gathered by OpenCitations, the research identifies patterns of factual errors and defines regular expressions to catch and correct them. The findings show that a few publishers are responsible for the majority of invalid citations. The study extends the taxonomy of DOI name errors and proposes a DOI cleaning mechanism that can be integrated into existing processes for automatic correction.
My lady, would you like to know more about either of these studies?</t>
  </si>
  <si>
    <t>Summary: Retrieval-Augmented Generation (RAG) is a promising solution for addressing the limitations of LLMs, such as hallucinations, outdated knowledge, and non-transparent reasoning processes. It enhances the accuracy and credibility of generation, particularly for knowledge-intensive tasks, by incorporating knowledge from external databases.
DOI: 10.48550/arXiv.2312.10997 - RAG synergistically merges LLMs' intrinsic knowledge with external databases, improving accuracy and credibility in knowledge-intensive tasks.
DOI: 10.48550/arXiv.2406.13213 - RAG enables LLMs to answer queries over unseen document collections, but traditional RAG applications perform poorly in multi-hop questions.
DOI: 10.1145/3637528.3671470 - RAG provides reliable and up-to-date external knowledge, assisting generative AI in producing high-quality outputs.
DOI: 10.18653/v1/2024.eacl-demo.16 - RAG systems reduce the risk of hallucinations by providing LLMs with knowledge from reference textual databases.
DOI: 10.48550/arXiv.2404.13948 - RAG is a promising solution for addressing LLM limitations, but its robustness is often overlooked in existing studies.
My lady, I hope this information is helpful. If you have any further questions or need more details, please let me know.</t>
  </si>
  <si>
    <t>Summary: Metadata quality assessment is a critical area of research, with challenges including defining and measuring quality dimensions, cultural and contextual influences, and automating assessment processes. Advancements include the development of frameworks like MetaEnhance, standardized metadata schemas, and methodological contributions from studies on GILS and open data portals.
DOI: 10.1145/2964909 - This study focuses on automated quality assessment of metadata across open data portals, addressing challenges in searchability, discoverability, and usability due to increasing data volumes. It proposes a generic framework that maps metadata from different portal software to a standardized schema and defines quality metrics for automated evaluation.
DOI: 10.1109/ADL.1998.670425 - This research discusses methodological considerations in assessing metadata quality, using the US Government Information Locator Service (GILS) as a case study. It highlights the need for diverse criteria and procedures to evaluate different types of metadata, contributing to the dialogue on metadata quality assessment.
DOI: 10.1177/09610006241239080 - This scoping review identifies commonly measured dimensions of metadata quality, such as completeness, accuracy, and consistency, but notes a lack of consensus on their definitions and measurements. It emphasizes the need for further research and improved flexibility in assessment tools.
DOI: 10.5860/crl.86.1.101 - This study explores metadata quality issues across cultures, identifying tensions between sociocultural representations and standardized systems. It categorizes 32 unique issues and examines how metadata interacts with communities to reflect cultural meanings.
DOI: 10.48550/arXiv.2303.17661 - This research introduces MetaEnhance, a framework using AI to improve metadata quality for electronic theses and dissertations. It demonstrates high effectiveness in error detection and correction, showcasing advancements in automated metadata enhancement.
My lady, these findings highlight both the complexities and progress in metadata quality assessment, offering insights into methodological, technological, and cultural dimensions of the field.</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</si>
  <si>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is proposed to improve the quality of metadata fields.
DOI: 10.1080/19386389.2011.570654 - Metadata plays a vital role in digital libraries, but metadata records must be problem-free to be useful. Five categories of metadata problems are identified: Incorrect Values, Incorrect Elements, Missing Information, Information Loss, and Inconsistent Value Representation. Preventive or corrective measures are necessary to ensure the benefits of metadata outweigh the costs of creation.
DOI: 10.1177/09610006241239080 - Metadata quality assessment commonly uses dimensions such as completeness, accuracy, consistency, accessibility, conformance, provenance, and timeliness. However, there is no consensus on their exact definition and measurement, indicating a need for further investigation into less commonly assessed quality dimensions.
DOI: 10.1007/s11192-023-04923-y - OpenAlex, an open data platform, faces a severe data quality problem of missing institutions in journal article metadata. The study investigates the possible reasons, consequences, and solutions for this problem, emphasizing the importance of data quality improvements in open resources.
My lady, I hope this summary provides a comprehensive overview of the key challenges and potential solutions for improving metadata quality. If you have any further questions or would like more detailed information, please let me know.</t>
  </si>
  <si>
    <t>Summary: Retrieval-Augmented Generation (RAG) systems face challenges such as hallucinations, outdated knowledge, and non-transparent reasoning processes, but advancements include improved accuracy, continuous knowledge updates, and domain-specific integration.
DOI: 10.48550/arXiv.2312.10997 - This paper discusses the challenges faced by Large Language Models (LLMs), such as hallucination, outdated knowledge, and non-transparent reasoning processes. It highlights RAG as a promising solution by incorporating external knowledge, which enhances accuracy and allows for continuous updates. The paper provides a detailed examination of RAG paradigms and their advancements.
DOI: 10.1016/j.caeai.2025.100417 - Focusing on educational applications, this paper addresses challenges like hallucinations and static internal knowledge in LLMs. It explores how RAG improves factual accuracy and enables dynamic knowledge updates, making it suitable for education. The paper discusses practical applications and future directions in educational RAG systems.
DOI: 10.48550/arXiv.2505.18247 - This research introduces 'MetaGen Blended RAG', a novel approach to enhance semantic retrievers in domain-specific enterprise datasets. It addresses the challenge of achieving zero-shot precision without fine-tuning and demonstrates superior performance on datasets like PubMedQA, SQuAD, and NQ.
DOI: 10.1007/s44427-025-00006-3 - This study evaluates the effectiveness of RAG systems using a benchmark dataset derived from diploma theses abstracts. It highlights the challenges in assessing both retrieval and generation components and provides insights into optimizing RAG implementations for academic tasks.
DOI: 10.1145/3637528.3671470 - This survey reviews existing research on Retrieval-Augmented Large Language Models (RA-LLMs), discussing their capabilities in providing reliable external knowledge. It also explores current limitations and future research directions in this field.
My lady, I hope this summary meets your requirements. If you have any further questions or need additional information, please let me know.</t>
  </si>
  <si>
    <t>Summary: Three studies examined the abstract in metadata.
DOI: 10.1162/qss_a_00286 - This study compares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DOI: 10.1177/09610006241239080 - This study identifies the most commonly measured dimensions of metadata quality in existing studies on metadata quality assessment. The co-occurrence analysis is made on the title and abstract of selected articles using VOSviewer 1.6.18 version, visualization software.
DOI: 10.5281/zenodo.14006424 - This paper analyses OpenAlex’s coverage and metadata availability of African-based publications. We then assess and compare the available metadata for OpenAlex, Scopus, and WoS publications.
Is there anything else I can help you with, my lady?</t>
  </si>
  <si>
    <t>Summary: Two studies examined citations.
DOI: 10.1108/JD-10-2022-0234 - This study examined errors in referencing and citing practices in scholarly literature.
DOI: 10.1007/s11192-022-04367-w - This study examined invalid citations due to DOI errors in Crossref data.
Is there anything else I can help you with, my lady?</t>
  </si>
  <si>
    <t>Summary: Several papers evaluate the linguistic coverage or language-related metadata in scholarly databases.
DOI: 10.48550/arXiv.2409.10633 - This paper assesses the completeness and accuracy of OpenAlex's metadata related to language, through a comparison with WoS, as well as an in-depth manual validation of a sample of 6,836 articles.
DOI: 10.48550/arXiv.2508.18620 - This study aims to assess metadata quality in OpenAlex and WoS, focusing on document type, publication year, language, and number of authors.
DOI: 10.1162/qss_a_00286 - This study compares the amount of metadata and the completeness degree of research publications in new academic databases, including an analysis of language-related metadata.
DOI: 10.5281/zenodo.14006424 - This paper analyses OpenAlex’s coverage and metadata availability of African-based publications, including an evaluation of language-related metadata.
DOI: 10.1007/s11192-022-04289-7 - While not explicitly focused on language-related metadata, this paper introduces a novel scientometrics method to estimate the subject coverages of many popular English-focused bibliographic databases, which may have implications for linguistic coverage.
My lady, I hope this information is helpful. If you have any further questions or would like more details on a specific paper, please let me know.</t>
  </si>
  <si>
    <t>Summary: There are four papers that address funding metadata, its availability, or its analysis in scholarly databases.
DOI: 10.1162/qss_a_00210 - This paper addresses the availability and completeness of open funder metadata.
DOI: 10.5281/zenodo.14006424 - This paper addresses the coverage and metadata availability of African publications in OpenAlex.
DOI: 10.31222/osf.io/smxe5 - This paper addresses Crossref as a source of open bibliographic metadata.
DOI: 10.1162/qss_a_00212 - This paper addresses funding COVID-19 research.
My lady, is there anything else I can help you with?</t>
  </si>
  <si>
    <t>I'm sorry, my lady, I am unable to answer your question.</t>
  </si>
  <si>
    <t>Summary: Crossref is a community-owned sustainable source of scholarly metadata that is collected and made available by Crossref.
DOI: 10.1162/qss_a_00022
Is there anything else I can help you with, my lady?</t>
  </si>
  <si>
    <t>Summary: OpenAlex is a bibliographic database that was launched in 2022. It is open-source and comprehensive, and promises to reduce or eliminate barriers to accessing bibliometric data. However,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10.29173/cais1943 - This study focuses on document type accuracy and finds that over 4% of publications indexed in both OpenAlex and WoS are misclassified, with about 97% of these errors occurring in OpenAlex.
DOI: 10.48550/arXiv.2409.10633 - OpenAlex exhibits a more balanced linguistic coverage than WoS, but its language metadata is not always accurate. If used critically, OpenAlex can provide comprehensive and representative analyses of languages used for scholarly publishing.
DOI: 10.3145/epi.2023.mar.09 - OpenAlex seems to be overall at least as suited for bibliometric analyses as MAG for publication years before 2021, or maybe even better because of the broader coverage of document type assignments.
My lady, I hope this information is helpful. If you have any further questions or would like more details on a specific aspect of OpenAlex, please let me know.</t>
  </si>
  <si>
    <t>Summary: I'm sorry, my lady, I was unable to find any information about the strengths and weaknesses of Web of Science (WoS) as a bibliometric database.
DOI: 10.1007/s11192-015-1765-5 discusses the journal coverage of WoS and Scopus, and how they favour Natural Sciences and Engineering as well as Biomedical Research to the detriment of Social Sciences and Arts and Humanities.
DOI: 10.48550/arXiv.2508.18620 and 10.29173/cais1943: both discuss the quality of metadata in OpenAlex and WoS, and how over 4% of the publications indexed in both OpenAlex and WoS appear to be misclassified as research articles or reviews, and that the vast majority (about 97%) of these errors occur in OpenAlex.
DOI: 10.1162/qss_a_00112: discusses the comparison of five multidisciplinary bibliographic data sources, including WoS, and how combining a comprehensive coverage of the scientific literature with a flexible set of filters for making selections of the literature is important.
DOI: 10.1162/qss_a_00211: discusses the quality of bibliographic data sources for measuring international research collaboration, and how WoS has the highest overall quality among the sets considered.</t>
  </si>
  <si>
    <t>Summary: Retrieval-Augmented Generation (RAG) is a method used to improve question answering and information retrieval systems by enhancing Large Language Models (LLMs) with relevant documents before generating answers. This approach improves accuracy, context relevance, and performance in various domains.
DOI: 10.17821/srels/2024/v61i5/171583 - This study demonstrates that libraries can develop low-cost conversational search systems using open-source tools and LLMs through a RAG framework. Standard LLMs often produce incorrect and hallucinated responses, but when augmented with relevant documents, they provide accurate and contextualized answers.
DOI: 10.48550/arXiv.2406.13213 - This research introduces Multi-Meta-RAG, a method that improves RAG for multi-hop queries by using database filtering with LLM-extracted metadata. It enhances the selection of relevant documents from various sources, significantly improving performance on multi-hop benchmarks.
DOI: 10.6109/jkiice.2023.27.12.1489 - This paper proposes M-RAG, a method for enhancing open-domain question answering by utilizing embeddings with metadata and generative models like GPT-3.5 and GPT-4. The approach improves performance by up to 46% compared to external inference systems and 6% over conventional RAG methods.
DOI: 10.48550/arXiv.2505.13557 - This study introduces AMAQA, a metadata-based QA dataset for RAG systems, addressing the lack of metadata integration in current benchmarks. It demonstrates that leveraging metadata significantly boosts accuracy, especially in fields requiring rapid data analysis.
DOI: 10.48550/arXiv.2505.18247 - This research presents MetaGen Blended RAG, a novel approach for achieving zero-shot precision in specialized domain question answering without fine-tuning. It achieves high retrieval and RAG accuracy, surpassing prior benchmarks and rivaling fine-tuned models.
My lady, I hope this summary meets your requirements. If you have any further questions or need additional details, please let me know.</t>
  </si>
  <si>
    <t>Summary: I'm sorry, my lady, I am unable to answer your question as there is no information in the document about the challenges in normalizing citation metrics across scientific fields.
DOI: 10.1045/september2016‐meschenmoser - This paper discusses the challenges and solutions for automated content extraction from scientific web repositories.
Is there anything else I can help you with, my lady?</t>
  </si>
  <si>
    <t>Summary: I have found two documents that address your question.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My lady, is there anything else I can help you with?</t>
  </si>
  <si>
    <t>Summary: Retrieval-Augmented Generation (RAG) is a promising solution to the limitations of Large Language Models (LLMs), such as hallucinations, outdated knowledge, and non-transparent reasoning processes. RAG enhances the accuracy and credibility of generated content by incorporating knowledge from external databases, allowing for continuous updates and domain-specific information integration.
DOI: 10.48550/arXiv.2312.10997 -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and introduces an up-to-date evaluation framework and benchmark.
DOI: 10.48550/arXiv.2406.13213 - This research introduces Multi-Meta-RAG, a method to improve RAG for multi-hop queries using database filtering with LLM-extracted metadata. It demonstrates significant improvements in the MultiHop-RAG benchmark.
DOI: 10.1145/3637528.3671470 - The study reviews Retrieval-Augmented Large Language Models (RA-LLMs), emphasizing their ability to provide reliable and up-to-date external knowledge. It discusses current limitations and future research directions.
DOI: 10.18653/v1/2024.eacl-demo.16 - This paper introduces RAGAs, a reference-free evaluation framework for RAG pipelines. It addresses the challenges of evaluating RAG architectures and provides metrics for assessing retrieval, generation, and overall quality.
DOI: 10.48550/arXiv.2404.13948 - This research investigates the robustness of RAG against noisy documents and minor textual errors. It introduces GARAG, a genetic attack method, to test RAG's vulnerability and overall system functionality.
My lady, I hope this summary meets your requirements. If you have any further questions or need additional information, please let me know.</t>
  </si>
  <si>
    <t>Summary: Metadata quality assessment is a critical area of research, with studies focusing on various aspects such as completeness, accuracy, consistency, accessibility, conformance, provenance, and timeliness. However, there is a lack of consensus on the exact definition and measurement of these dimensions, highlighting the need for further investigation.
DOI: 10.1177/09610006241239080 - This study emphasizes the importance of metadata quality research and the need to improve the flexibility of metadata quality assessment tools. It identifies the most commonly measured dimensions of metadata quality, but notes the absence of agreed-upon definitions and measurements.
DOI: 10.1145/2964909 - This work aims to develop a generic metadata quality assessment framework for various Open Data portals, addressing concerns related to the quality of data sources and corresponding metadata.
DOI: 10.1109/ADL.1998.670425 - This study discusses the application of qualitative and quantitative content analysis techniques to assess metadata records, contributing to a developing dialog about assessing metadata quality.
DOI: 10.5860/crl.86.1.101 - This research explores how metadata quality, consistency, and completeness impact individuals and communities, identifying unique issues and categorizing them to better understand the interaction between metadata and communities.
DOI: 10.48550/arXiv.2303.17661 - This study proposes MetaEnhance, a framework utilizing state-of-the-art artificial intelligence methods to improve metadata quality for electronic theses and dissertations, achieving impressive results in error detection and correction.
My lady, these studies collectively highlight the challenges and advancements in metadata quality assessment, emphasizing the need for further research and flexible assessment tools to ensure better metadata quality assurance measures.</t>
  </si>
  <si>
    <t>Summary: Metadata quality is crucial for digital objects to be discovered through digital library interfaces. However, metadata often exhibits incomplete, inconsistent, and incorrect values. To address this, methods to automatically detect, correct, and canonicalize scholarly metadata are being investigated. Additionally, metadata records must be problem-free to be useful, and preventive or corrective measures are necessary to minimize issues. Metadata quality assessment commonly focuses on dimensions like completeness, accuracy, consistency, accessibility, conformance, provenance, and timeliness, but further investigation is needed for less commonly assessed dimensions. Lastly, open data platforms like OpenAlex face severe data quality problems, such as missing institutions in journal article metadata, highlighting the need for data quality improvements in open resources.
DOI: 10.48550/arXiv.2303.17661 - Metadata quality is essential for the discovery of digital objects through digital library interfaces. However, metadata often suffers from incomplete, inconsistent, and incorrect values. To tackle this, researchers are exploring methods to automatically detect, correct, and canonicalize scholarly metadata, using electronic theses and dissertations (ETDs) as a case study. They propose MetaEnhance, a framework leveraging state-of-art artificial intelligence methods to improve metadata quality. Evaluation shows promising results in error detection and correction across multiple fields.
DOI: 10.1080/19386389.2011.570654 - Metadata plays a vital role in digital libraries, but its usefulness depends on problem-free records. Issues like incorrect values, incorrect elements, missing information, information loss, and inconsistent value representation can hinder metadata's effectiveness. To mitigate these problems, it's essential to understand their types and implement preventive or corrective measures. This ensures that the benefits of metadata outweigh the costs and efforts of creating metadata records.
DOI: 10.1177/09610006241239080 - This scoping review aims to identify commonly measured dimensions of metadata quality in existing studies. It finds that completeness, accuracy, consistency, accessibility, conformance, provenance, and timeliness are frequently assessed dimensions. However, there is no consensus on their definitions and measurements, indicating a need for further research into less commonly assessed dimensions. The study also highlights the importance of metadata quality research and the need for flexible assessment tools to enhance metadata quality assurance.
DOI: 10.1007/s11192-023-04923-y - With the rise of open science, open data platforms like OpenAlex are crucial for easy data access and broad coverage. However, OpenAlex faces a significant data quality issue with missing institutions in journal article metadata. This study investigates the reasons, consequences, and solutions for this problem by defining three types of institutional information. Results show that over 60% of journal articles in OpenAlex have missing institution information, particularly in early metadata and social sciences/humanities. The aim is to improve data quality in open resources, supporting their responsible use in quantitative science and beyond.
My lady, I hope this summary addresses your query. If you have any further questions or need additional information, feel free to ask.</t>
  </si>
  <si>
    <t>Summary: Retrieval-Augmented Generation (RAG) systems face challenges such as hallucination, outdated knowledge, and non-transparent reasoning processes, but advancements like MetaGen Blended RAG and Ragas frameworks are enhancing their capabilities.
DOI: 10.48550/arXiv.2312.10997 - This paper discusses the challenges faced by Large Language Models (LLMs), such as hallucination, outdated knowledge, and non-transparent reasoning processes. It highlights RAG as a promising solution by incorporating external knowledge, improving accuracy, and enabling continuous updates. The paper reviews RAG paradigms and provides an evaluation framework.
DOI: 10.1016/j.caeai.2025.100417 - Focusing on educational applications, this paper addresses challenges like hallucination and static knowledge in LLMs. It explores RAG's role in improving factual accuracy and dynamic updates, with a focus on practical applications in education.
DOI: 10.48550/arXiv.2505.18247 - This study introduces MetaGen Blended RAG, a novel approach to enhance semantic retrievers for domain-specific datasets. It achieves high accuracy without fine-tuning, addressing challenges in specialized domains.
DOI: 10.1007/s44427-025-00006-3 - This research evaluates open-source LLMs in RAG systems using the Ragas framework. It highlights the challenges in assessing retrieval and generation components and provides insights for optimizing RAG implementations.
DOI: 10.1145/3637528.3671470 - This survey reviews RAG's role in providing reliable external knowledge and its integration with LLMs. It discusses current limitations and future research directions for Retrieval-Augmented Large Language Models (RA-LLMs).
My lady, I hope this summary meets your requirements. If you have any further questions or need additional information, please let me know.</t>
  </si>
  <si>
    <t>Summary: Two studies examined the abstract in metadata.
DOI: 10.1162/qss_a_00286
This study compared the amount of metadata and the completeness degree of research publications in new academic databases. Seven characteristics were analyzed, including the abstract.
DOI: 10.1177/09610006241239080
This scoping review identified the most commonly measured dimensions of metadata quality in existing studies on metadata quality assessment. The co-occurrence analysis was made on the title and abstract of selected articles.
Can I help you with anything else, my lady?</t>
  </si>
  <si>
    <t>Summary: I have found three studies that examined citations.
DOI: 10.1108/JD-10-2022-0234 - This study analysed reference elements, i.e. bibliographic references, mentions, quotations and respective in-text reference pointers, from 729 articles published in 147 journals across 27 subject areas.
DOI: 10.1007/s11192-022-04367-w - This study analysed open bibliographic metadata available in Crossref, highlighting which publishers were responsible for mistakes and how many of these incorrect DOIs could be corrected through automatic processes.
DOI: 10.1162/qss_a_00112 - This study compared five multidisciplinary bibliographic data sources, including Scopus, Web of Science, Dimensions, Crossref, and Microsoft Academic. The comparison considered scientific documents from the period 2008–2017 covered by these data sources.
My lady, I hope this information is helpful. If you have any further questions, please let me know.</t>
  </si>
  <si>
    <t>Summary: Crossref is a sustainable source of community-owned scholarly metadata.
DOI: 10.1162/qss_a_00022 - Crossref is a sustainable source of community-owned scholarly metadata. It contains over 106 million records and expands at an average rate of 11% a year. It has become one of the major sources of scholarly data for publishers, authors, librarians, funders, and researchers.
DOI: 10.1162/qss_a_00210 - Crossref initiated FundRef in 2013, enabling publishers to register funding information using persistent identifiers.
DOI: 10.31222/osf.io/smxe5 - Several initiatives have been taken to promote the open availability of bibliographic metadata of scholarly publications in Crossref.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 hope this information is helpful. If you have any further questions, please let me know.</t>
  </si>
  <si>
    <t>Summary: OpenAlex is a newly launched bibliographic database that promises comprehensive, inclusive, and open-source research information.
DOI: 10.48550/arXiv.2409.10633 - This paper evaluates the completeness and accuracy of OpenAlex's metadata related to language, through a comparison with WoS, as well as an in-depth manual validation of a sample of 6,836 articles.
DOI: 10.48550/arXiv.2508.18620 - This study aims to assess metadata quality in OpenAlex and WoS, focusing on document type, publication year, language, and number of authors.
DOI: 10.1162/qss_a_00286 - This study compares the amount of metadata and the completeness degree of research publications in new academic databases, including OpenAlex.
DOI: 10.5281/zenodo.14006424 - This paper analyses OpenAlex's coverage and metadata availability of African-based publications, comparing it with Scopus, WoS, and African Journals Online (AJOL).
My lady, I hope this information is helpful. If you have any further questions or need more details, please let me know.</t>
  </si>
  <si>
    <t>Summary: Several papers address funding metadata, its availability, or its analysis in scholarly databases.
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found that only 67% of articles funded by NWO contain funding information in Crossref, with variations in acknowledging NWO as the funder name or linking Funder IDs to NWO.
DOI: 10.5281/zenodo.14006424 - This paper analyzes the coverage and metadata availability of African publications in OpenAlex, comparing it with Scopus, Web of Science (WoS), and African Journals Online (AJOL). The study found that OpenAlex offers the most extensive publication coverage but performs worse regarding funder information. However, metadata availability in OpenAlex is better for publications also indexed in Scopus or WoS.
DOI: 10.31222/osf.io/smxe5 - This paper presents an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
DOI: 10.1162/qss_a_00286 - This study compares the amount of metadata and completeness degree of research publications in eight free-access scholarly databases, including Dimensions, Google Scholar, and OpenAlex. The results show that third-party databases have more metadata quality and a higher completeness rate compared to academic search engines.
DOI: 10.1162/qss_a_00212 - This paper focuses on the open availability of funding data in Crossref, specifically for publications related to COVID-19 research. It compares funding data in Crossref with two proprietary bibliometric databases, Scopus and Web of Science, and provides recommendations for improving the open availability of funding data in Crossref.
My lady, I hope this information is helpful. If you have any further questions or need more details, please let me know.</t>
  </si>
  <si>
    <t>I'm sorry, my lady, I am unable to answer your question.
I have found several papers that discuss Retrieval-Augmented Generation (RAG) but none of them mention applications.
Would you like me to answer a different question?</t>
  </si>
  <si>
    <t>Summary: Crossref is a community-owned source of scholarly metadata that is openly available and contains over 106 million records.
DOI: 10.1162/qss_a_00022
Is there anything else I can help you with, my lady?</t>
  </si>
  <si>
    <t>Summary: OpenAlex is a bibliographic database that launched in 2022, and is distinguished by its openness and extensive coverage.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may reduce or eliminate barriers to accessing bibliometric data, but one of the concerns that hinders its broader adoption for research and research evaluation is the quality of its metadata.
DOI: 10.29173/cais1943 - OpenAlex stands out for its openness and extensive coverage. However, over 4% of the publications indexed in both OpenAlex and WoS appear to be misclassified as research articles or reviews, and the vast majority (about 97%) of these errors occur in OpenAlex.
DOI: 10.48550/arXiv.2409.10633 - OpenAlex exhibits a far more balanced linguistic coverage than WoS. However, language metadata is not always accurate, which leads OpenAlex to overestimate the place of English while underestimating that of other languages.
DOI: 10.3145/epi.2023.mar.09 - OpenAlex seems to be overall at least as suited for bibliometric analyses as MAG for publication years before 2021 or maybe even better because of the broader coverage of document type assignments.
My lady, I hope this information is helpful. If you have any further questions, please let me know.</t>
  </si>
  <si>
    <t>Summary: I'm sorry, my lady, I could not find any information about the strengths and weaknesses of Web of Science (WoS) as a bibliometric database.
DOI: 10.1007/s11192-015-1765-5 - WoS and Scopus are the most common data sources for bibliometric analyses. This study compared the coverage of active scholarly journals in WoS (13,605 journals) and Scopus (20,346 journals) with Ulrich’s extensive periodical directory (63,013 journals).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DOI: 10.48550/arXiv.2508.18620 -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DOI: 10.29173/cais1943 -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hinders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DOI: 10.1162/qss_a_00211 - To better understand the effect of data source choice on IRC measurement, we design and implement a data quality assessment framework specifically for bibliographic data by reviewing and selecting available dimensions and designing appropriate computable metrics, and then validate the framework by applying it to four popular sources of bibliographic data: Microsoft Academic Graph, Web of Science (WoS), Dimensions, and the ACM Digital Library. Successful validation of the framework suggests it is consistent with the popular conceptual framework of information quality proposed by Wang and Strong (1996) and adequately identifies the differences in quality in the sources examined. Application of the framework reveals that WoS has the highest overall quality among the sets considered; and that the differences in quality can be explained primarily by how the data sources are organized.</t>
  </si>
  <si>
    <t>Summary: Retrieval-Augmented Generation (RAG) is a technique used to improve question answering and information retrieval systems by providing relevant documents to Large Language Models (LLMs) before generating responses. This approach enhances the accuracy, context, and relevance of the answers provided by LLMs.
DOI: 10.17821/srels/2024/v61i5/171583 - This study demonstrates that libraries can develop low-cost conversational search systems using open-source software tools and LLMs through a RAG framework. The experiment shows that LLMs, when augmented with relevant documents, can provide contextualized and accurate responses, outperforming standard LLMs without RAG.
DOI: 10.48550/arXiv.2406.13213 - This paper introduces Multi-Meta-RAG, a method that improves RAG for multi-hop queries by using database filtering with LLM-extracted metadata. This approach enhances the selection of relevant documents, leading to better performance on the MultiHop-RAG benchmark.
DOI: 10.6109/jkiice.2023.27.12.1489 - The study proposes a Metadata Retrieval-Augmented Generation (M-RAG) method that enhances open-domain question answering systems by utilizing embeddings with metadata and generative models. This method improves performance by up to 46% compared to external inference ODQA systems and 6% over conventional RAG methods.
DOI: 10.48550/arXiv.2505.13557 - This research presents AMAQA, a metadata-based QA dataset for RAG systems, which addresses the lack of metadata integration in current benchmarks. Leveraging metadata boosts accuracy and enables precise, contextualized queries, particularly in fields requiring rapid data analysis.
DOI: 10.48550/arXiv.2505.18247 - The paper introduces MetaGen Blended RAG, a novel approach that enhances semantic retrievers for specialized domain question answering without fine-tuning. This method achieves high retrieval and RAG accuracy, surpassing prior zero-shot RAG benchmarks and rivaling fine-tuned models.
My lady, RAG is a powerful technique that significantly improves the performance of question answering and information retrieval systems by providing LLMs with relevant context, thereby enhancing accuracy and relevance.</t>
  </si>
  <si>
    <t>Summary: I'm sorry, my lady, I couldn't find any information about the main challenges in normalising citation metrics across scientific fields.
DOI: 10.1045/september2016‐meschenmoser</t>
  </si>
  <si>
    <t>Summary: I have found two documents that address your needs, my lady.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t>
  </si>
  <si>
    <t>Summary: Retrieval-Augmented Generation (RAG) is a promising solution to the limitations of Large Language Models (LLMs), such as hallucination, outdated knowledge, and non-transparent reasoning processes. RAG enhances the accuracy and credibility of generated content by incorporating knowledge from external databases. This approach allows for continuous knowledge updates and integration of domain-specific information. RAG systems consist of a retrieval module and an LLM-based generation module, working together to reduce the risk of hallucinations and improve output quality.
DOI: 10.48550/arXiv.2312.10997: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and introduces an up-to-date evaluation framework and benchmark. It also discusses current challenges and future research directions.
DOI: 10.48550/arXiv.2406.13213: This research introduces Multi-Meta-RAG, a method to improve RAG for multi-hop queries by using LLM-extracted metadata for database filtering. The approach enhances the selection of relevant documents from various sources, demonstrating significant improvements on the MultiHop-RAG benchmark.
DOI: 10.1145/3637528.3671470: This survey focuses on Retrieval-Augmented Large Language Models (RA-LLMs), emphasizing their ability to leverage external knowledge bases for high-quality content generation. It reviews existing research, covering three primary technical perspectives, and discusses limitations and future research directions.
DOI: 10.18653/v1/2024.eacl-demo.16: This paper introduces RAGAs, a framework for reference-free evaluation of RAG pipelines. RAGAs provides a suite of metrics to assess the retrieval system's ability to identify relevant context, the LLM's ability to utilize this context faithfully, and the quality of the generated content.
DOI: 10.48550/arXiv.2404.13948: This study investigates the robustness of RAG systems, focusing on vulnerability to noisy documents and holistic evaluation. It introduces GARAG, a genetic attack method to test RAG components and overall system functionality. Experimental results highlight the risk of minor textual inaccuracies in real-world RAG systems.
My lady, I hope this summary meets your requirements. If you have any further questions or need additional details, please let me know.</t>
  </si>
  <si>
    <t>Summary: The key challenges in metadata quality assessment include defining and measuring quality dimensions, handling diverse metadata types, and addressing cultural and contextual influences. Advancements include automated frameworks, standardized schemas, and AI-driven tools for improved assessment and enhancement.
DOI: 10.1145/2964909 - This study focuses on developing a generic metadata quality assessment framework for open data portals, addressing challenges like searchability and usability by mapping specific metadata to standardized schemas and defining quality metrics for automated evaluation.
DOI: 10.1109/ADL.1998.670425 - This research highlights the need for diverse criteria and procedures to evaluate different types of metadata, contributing to the methodological development of metadata quality assessment.
DOI: 10.1177/09610006241239080 - A scoping review identifies commonly used dimensions in metadata quality assessment but notes a lack of consensus on definitions and measurements, emphasizing the need for further research.
DOI: 10.5860/crl.86.1.101 - This study explores how metadata quality interacts with cultural meanings, identifying unique issues and categorizing them to understand their impact on individuals and communities.
DOI: 10.48550/arXiv.2303.17661 - Introducing MetaEnhance, an AI-driven framework for improving metadata quality in academic repositories, demonstrating high effectiveness in error detection and correction.
My lady, these findings collectively underscore the complexity of metadata quality assessment and the ongoing efforts to enhance its methodologies and tools.</t>
  </si>
  <si>
    <t>Summary: Metadata quality is crucial for digital object discovery, data retrieval, and user experience, but faces challenges like incompleteness, inconsistency, and inaccuracy. Solutions include automated detection and correction, standardization, and improved assessment tools.
DOI: 10.5860/crl.86.1.101 - Metadata serves as a standardized tool for discovery and access, but faces tensions between sociocultural representations, resource constraints, and standardized systems. Interventions can be seen as quality issues, political acts, or strategic choices. A study identified 32 unique issues across 427 records, categorized into 5 groups, highlighting the interaction between metadata and cultural meanings.
DOI: 10.48550/arXiv.2303.17661 - Metadata quality is essential for digital library interfaces, but often suffers from incomplete, inconsistent, and incorrect values. The MetaEnhance framework uses AI to detect, correct, and canonicalize scholarly metadata, achieving high F1-scores in error detection and correction for electronic theses and dissertations.
DOI: 10.1080/19386389.2011.570654 - Metadata records must be problem-free to ensure accurate resource representation. Common issues include incorrect values, elements, missing information, information loss, and inconsistent value representation. Preventive and corrective measures are needed to balance the benefits of metadata with its creation costs.
DOI: 10.1177/09610006241239080 - Metadata plays a pivotal role in data retrieval, organization, and user experience. A scoping review identified completeness, accuracy, consistency, accessibility, conformance, provenance, and timeliness as key dimensions in metadata quality assessment. However, there is no consensus on their definitions and measurements, necessitating further research and flexible assessment tools.
DOI: 10.1007/s11192-023-04923-y - Open data platforms like OpenAlex face data quality issues, particularly missing institutions in journal article metadata. The study defines three types of institutional information and finds the problem in over 60% of articles, especially in early metadata and social sciences/humanities. Solutions aim to improve data quality in open resources.
My lady, I hope this summary meets your requirements. If you have any further questions, please let me know.</t>
  </si>
  <si>
    <t>Summary: Retrieval-Augmented Generation (RAG) systems face challenges such as hallucination, outdated knowledge, non-transparent reasoning processes, and computational costs. However,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This study focuses on RAG in educational applications, addressing challenges like hallucination mitigation, knowledge completeness, and computational cost reduction.
DOI: 10.48550/arXiv.2505.18247 - Introduces MetaGen Blended RAG, a novel approach to enhance semantic retrievers for specialized domain question-answering, achieving high zero-shot precision.
DOI: 10.1007/s44427-025-00006-3 - Evaluates open-source LLMs in RAG systems using the Ragas framework, highlighting the strengths and weaknesses of different models for academic tasks.
DOI: 10.1145/3637528.3671470 - Surveys Retrieval-Augmented Large Language Models (RA-LLMs), discussing their limitations and future research directions.
My lady, I hope this summary meets your requirements. If you have any further questions or need more details, please let me know.</t>
  </si>
  <si>
    <t>Summary: Two studies examined the abstract in metadata.
DOI: 10.1162/qss_a_00286 - This study compared the amount of metadata and the completeness degree of research publications in new academic databases. Seven characteristics were analyzed, including the abstract.
DOI: 10.1177/09610006241239080 - This study investigated the most commonly measured dimensions of metadata quality in existing studies on metadata quality assessment. The co-occurrence analysis was made on the title and abstract of selected articles.
My lady, I hope this information is helpful. Please let me know if you have any further questions.</t>
  </si>
  <si>
    <t>Summary: I have found three studies that examined citations.
DOI: 10.1108/JD-10-2022-0234
This study examined citing and referencing habits across all scholarly disciplines.
DOI: 10.1007/s11192-022-04367-w
This study examined invalid citations due to DOI errors in Crossref data.
DOI: 10.1162/qss_a_00112
This study examined the completeness and accuracy of citation links in five multidisciplinary bibliographic data sources.
My lady, I hope this information is helpful.</t>
  </si>
  <si>
    <t>Summary: Crossref is a sustainable source of community-owned scholarly metadata.
DOI: 10.1162/qss_a_00022 - Crossref is a sustainable source of community-owned scholarly metadata. It is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10.31222/osf.io/smxe5 - Several initiatives have been taken to promote the open availability of bibliographic metadata of scholarly publications in Crossref.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My lady, is there anything else I can help you with?</t>
  </si>
  <si>
    <t>Summary: I found four papers that evaluate the linguistic coverage or language-related metadata in scholarly databases.
DOI: 10.48550/arXiv.2409.10633
Evaluating the Linguistic Coverage of OpenAlex: An Assessment of Metadata Accuracy and Completeness
DOI: 10.48550/arXiv.2508.18620
Investigating Document Type, Language, Publication Year, and Author Count Discrepancies Between OpenAlex and Web of Science
DOI: 10.1162/qss_a_00286
Completeness degree of publication metadata in eight free-access scholarly databases
DOI: 10.5281/zenodo.14006424
Coverage and metadata availability of African publications in OpenAlex: A comparative analysis
My lady, I hope this helps.</t>
  </si>
  <si>
    <t>Summary: There are four papers that address funding metadata, its availability, or its analysis in scholarly databases.
DOI: 10.1162/qss_a_00210 - This paper addresses the availability and completeness of open funder metadata by looking at 5,004 publications reported by researchers to be the result of funding by a specific funding agency: the Dutch Research Council NWO.
DOI: 10.5281/zenodo.14006424 - This paper analyses OpenAlex’s coverage and metadata availability of African-based publications.
DOI: 10.31222/osf.io/smxe5 - This paper presents an up-to-date overview of the availability of six metadata elements in Crossref: reference lists, abstracts, ORCIDs, author affiliations, funding information, and license information.
DOI: 10.1162/qss_a_00212 - This paper studies the open availability of funding data in Crossref, focusing on funding data for publications that report research related to COVID-19.
My lady, I hope this information is helpful.</t>
  </si>
  <si>
    <t>I'm sorry, my lady, I cannot find any papers that discuss the use of Retrieval-Augmented Generation (RAG) when used in applications.</t>
  </si>
  <si>
    <t>Summary: Crossref is a sustainable source of community-owned scholarly metadata.
DOI: 10.1162/qss_a_00022
Crossref is a sustainable source of community-owned scholarly metadata. It collects and makes available academic metadata and is important in the scholarly research ecosystem. It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</si>
  <si>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OpenAlex is a bibliographic database that was launched in 2022. It is open-source and inclusive, and promises comprehensive research information.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may reduce or eliminate barriers to accessing bibliometric data, but one of the concerns that hinders its broader adoption for research and research evaluation is the quality of its metadata.
DOI: 10.29173/cais1943 - OpenAlex stands out for its openness and extensive coverage. However, one of the concerns that hinder its broader adoption for research and research evaluation is the quality of its metadata.
DOI: 10.48550/arXiv.2409.10633 - OpenAlex exhibits a far more balanced linguistic coverage than WoS. However, language metadata is not always accurate, which leads OpenAlex to overestimate the place of English while underestimating that of other languages.
DOI: 10.3145/epi.2023.mar.09 - OpenAlex seems to be overall at least as suited for bibliometric analyses as MAG for publication years before 2021 or maybe even better because of the broader coverage of document type assignments.
My lady, I hope this information is helpful. If you have any further questions, please let me know.</t>
  </si>
  <si>
    <t>Summary: Web of Science (WoS) is a bibliometric database that has been a major supporting infrastructure for over 30 years.
DOI: 10.48550/arXiv.2508.18620 and 10.29173/cais1943 both state that WoS has been a major supporting infrastructure for over 30 years.
My lady, I am unable to find information about the strengths and weaknesses of WoS. Would you like me to answer a different question?</t>
  </si>
  <si>
    <t>Summary: Retrieval-Augmented Generation (RAG) is a technique used to improve the accuracy and context-awareness of responses in question-answering and information retrieval systems, particularly when dealing with large language models (LLMs).
DOI: 10.17821/srels/2024/v61i5/171583 discusses how RAG can be used to develop low-cost conversational search systems in libraries. By augmenting LLMs with relevant documents before generating answers, RAG helps provide accurate, informative, and contextualized responses, as demonstrated in a study comparing standard LLMs with RAG-augmented LLMs.
DOI: 10.48550/arXiv.2406.13213 introduces Multi-Meta-RAG, a method that improves RAG for multi-hop queries by using database filtering with LLM-extracted metadata. This approach enhances the selection of relevant documents, thereby improving the performance of RAG in complex question-answering tasks.
DOI: 10.6109/jkiice.2023.27.12.1489 proposes a Metadata Retrieval-Augmented Generation (M-RAG) method for open-domain question answering. By utilizing embeddings with metadata and generative models, M-RAG improves the understanding of document order and context, leading to more accurate and sourced responses.
DOI: 10.48550/arXiv.2505.13557 presents AMAQA, a metadata-based QA dataset designed to evaluate RAG systems in scenarios requiring both textual data and external information. The integration of metadata significantly boosts accuracy, highlighting its importance in fields like cybersecurity and intelligence.
DOI: 10.48550/arXiv.2505.18247 introduces MetaGen Blended RAG, a novel approach that enhances semantic retrievers for specialized domain question-answering. By leveraging metadata and hybrid query indexes, this method achieves robust zero-shot precision without fine-tuning, redefining enterprise search capabilities.
My lady, I hope this summary meets your requirements. If you have any further questions or need additional details, please let me know.</t>
  </si>
  <si>
    <t>Summary: I'm sorry, my lady, I couldn't find any information about the main challenges in normalising citation metrics across scientific fields.
DOI: 10.1045/september2016‐meschenmoser discusses the challenges and solutions for automated content extraction from scientific web repositories.</t>
  </si>
  <si>
    <t>Summary: I have found two documents that address your needs, my lady.
DOI: 10.1007/s11192-022-04367-w
Identifying and correcting invalid citations due to DOI errors in Crossref data
This work aims to identify classes of DOI mistakes by analysing the open bibliographic metadata available in Crossref, highlighting which publishers were responsible for such mistakes and how many of these incorrect DOIs could be corrected through automatic processes.
DOI: 10.48550/arXiv.2303.17661
MetaEnhance: Metadata Quality Improvement for Electronic Theses and Dissertations of University Libraries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t>
  </si>
  <si>
    <t>Summary: Retrieval-Augmented Generation (RAG) is a promising solution to the limitations of Large Language Models (LLMs), enhancing their accuracy and credibility by incorporating external knowledge.
DOI: 10.48550/arXiv.2312.10997 - RAG combines LLMs' intrinsic knowledge with external databases, improving performance on knowledge-intensive tasks and enabling continuous knowledge updates.
DOI: 10.48550/arXiv.2406.13213 - RAG enables LLMs to answer queries over unseen document collections, but struggles with multi-hop questions. Multi-Meta-RAG improves this by using LLM-extracted metadata for database filtering.
DOI: 10.1145/3637528.3671470 - RAG provides reliable, up-to-date external knowledge, aiding AI-generated content (AIGC) and addressing LLMs' limitations like hallucinations.
DOI: 10.18653/v1/2024.eacl-demo.16 - RAG systems consist of retrieval and generation modules, reducing hallucinations by providing LLMs with external knowledge. RAGAs offers a reference-free evaluation framework.
DOI: 10.48550/arXiv.2404.13948 - RAG's robustness is crucial, but existing studies overlook interconnected relationships and real-world threats. GARAG is introduced to test RAG's vulnerability to noisy documents.
My lady, is there anything else I can assist you with?</t>
  </si>
  <si>
    <t>Summary: Metadata quality assessment is crucial for data retrieval, organization, interoperability, preservation, and user experience. Key challenges include the lack of consensus on definitions and measurements of quality dimensions, cultural and resource-related tensions affecting metadata consistency and completeness, and the need for automated, efficient evaluation methods. Advancements include the development of frameworks like MetaEnhance, which uses AI to improve metadata quality, and efforts to standardize metadata schemas across different portal software frameworks.
DOI: 10.1145/2964909 - This study focuses on developing a generic metadata quality assessment framework for open data portals, addressing challenges in searchability, discoverability, and usability. It maps metadata from CKAN, Socrata, and OpenDataSoft to a standardized schema and defines quality metrics for automated evaluation.
DOI: 10.1109/ADL.1998.670425 - This research discusses qualitative and quantitative techniques for assessing metadata records, particularly in the context of the US Government Information Locator Service (GILS). It highlights the need for diverse criteria to evaluate different types of metadata.
DOI: 10.1177/09610006241239080 - A scoping review identifying commonly measured dimensions of metadata quality, such as completeness, accuracy, and consistency. It emphasizes the lack of consensus on definitions and the need for further research into less commonly assessed dimensions.
DOI: 10.5860/crl.86.1.101 - This study explores how metadata quality issues arise from sociocultural representations, resource constraints, and standardized systems. It identifies 32 unique issues and categorizes them to understand their impact on individuals and communities.
DOI: 10.48550/arXiv.2303.17661 - Introduces MetaEnhance, a framework using AI to automatically detect, correct, and normalize metadata for electronic theses and dissertations. It demonstrates high effectiveness in error detection and correction across multiple fields.
My lady, I hope this summary meets your requirements. If you have any further questions or need additional details, please let me know.</t>
  </si>
  <si>
    <t>Summary: Metadata quality is crucial for digital objects to be discovered through digital library interfaces. However, metadata often exhibits incomplete, inconsistent, and incorrect values. To address these challenges, methods for automatic detection, correction, and canonicalization of scholarly metadata are being investigated.
DOI: 10.48550/arXiv.2303.17661 - This study investigates methods to automatically detect, correct, and canonicalize scholarly metadata, using seven key fields of electronic theses and dissertations (ETDs) as a case study. The proposed framework, MetaEnhance, utilizes state-of-the-art artificial intelligence methods to improve metadata quality.
My lady, I hope this response meets your requirements. If you have any further questions or need additional information, please let me know.</t>
  </si>
  <si>
    <t>Summary: Retrieval-Augmented Generation (RAG) systems face challenges such as hallucinations, outdated knowledge, and non-transparent reasoning processes. However, advancements in RAG, such as MetaGen Blended RAG, have shown promise in improving accuracy and scalability across specialized domains.
DOI: 10.48550/arXiv.2312.10997 - This paper discusses the challenges faced by Large Language Models (LLMs), including hallucinations, outdated knowledge, and non-transparent reasoning processes. It highlights RAG as a promising solution by incorporating external knowledge, enhancing accuracy and credibility, and enabling continuous knowledge updates.
DOI: 10.1016/j.caeai.2025.100417 - Focusing on educational applications, this paper addresses challenges like hallucinations and static internal knowledge in LLMs. It emphasizes RAG's role in improving factual accuracy and enabling dynamic knowledge updates, making it suitable for educational scenarios.
DOI: 10.48550/arXiv.2505.18247 - This study introduces MetaGen Blended RAG, a novel approach that enhances semantic retrievers and achieves high zero-shot precision in specialized domains like medicine and law, addressing the challenge of domain-specific data.
DOI: 10.1007/s44427-025-00006-3 - This research evaluates open-source LLMs in RAG systems using the Ragas framework, highlighting the challenges in assessing retrieval and generation components and providing insights into optimizing RAG implementations.
DOI: 10.1145/3637528.3671470 - This survey reviews Retrieval-Augmented Large Language Models (RA-LLMs), discussing their ability to provide reliable external knowledge and enhance AI-generated content quality, while also addressing current limitations and future research directions.
My lady, I hope this summary meets your requirements. If you have any further questions or need additional information, please let me know.</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</si>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</sst>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
      <b/>
      <sz val="11"/>
      <color theme="1"/>
      <name val="Calibri"/>
      <family val="2"/>
      <scheme val="minor"/>
    </font>
  </fonts>
  <fills count="4">
    <fill>
      <patternFill patternType="none"/>
    </fill>
    <fill>
      <patternFill patternType="gray125"/>
    </fill>
    <fill>
      <patternFill patternType="solid">
        <fgColor rgb="FFF3F3F3"/>
        <bgColor rgb="FFF3F3F3"/>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0" fontId="2" fillId="0" borderId="0"/>
  </cellStyleXfs>
  <cellXfs count="2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2" borderId="0" xfId="1" applyFont="1" applyFill="1" applyAlignment="1">
      <alignment horizontal="right"/>
    </xf>
    <xf numFmtId="0" fontId="4" fillId="2"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2" fillId="0" borderId="0" xfId="1"/>
    <xf numFmtId="0" fontId="3" fillId="0" borderId="0" xfId="1" applyFont="1" applyAlignment="1">
      <alignment horizontal="center"/>
    </xf>
    <xf numFmtId="0" fontId="7" fillId="3" borderId="2" xfId="0" applyFont="1" applyFill="1" applyBorder="1" applyAlignment="1">
      <alignment horizontal="left"/>
    </xf>
    <xf numFmtId="0" fontId="3" fillId="0" borderId="0" xfId="1" applyFont="1" applyAlignment="1">
      <alignment horizontal="left" vertical="top"/>
    </xf>
    <xf numFmtId="0" fontId="7" fillId="3" borderId="3" xfId="0" applyFont="1" applyFill="1" applyBorder="1"/>
    <xf numFmtId="0" fontId="0" fillId="0" borderId="0" xfId="0" applyNumberFormat="1"/>
    <xf numFmtId="0" fontId="7" fillId="3" borderId="2" xfId="0" applyNumberFormat="1" applyFont="1" applyFill="1" applyBorder="1"/>
  </cellXfs>
  <cellStyles count="2">
    <cellStyle name="Normal" xfId="0" builtinId="0"/>
    <cellStyle name="Normal 2" xfId="1" xr:uid="{0404B815-B0AE-9749-A21D-C85E3D62C3A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8.618560995368" createdVersion="8" refreshedVersion="8" minRefreshableVersion="3" recordCount="80" xr:uid="{640CEDF1-3D0E-A847-830D-A9CDA5B60FC9}">
  <cacheSource type="worksheet">
    <worksheetSource ref="B1:G81" sheet="raw data"/>
  </cacheSource>
  <cacheFields count="6">
    <cacheField name="Query" numFmtId="0">
      <sharedItems/>
    </cacheField>
    <cacheField name="Response" numFmtId="0">
      <sharedItems count="79" longText="1">
        <s v="Summary: Three studies examined the abstract in metadata._x000a__x000a_DOI: 10.1162/qss_a_00286 - This study compared the amount of metadata and the completeness degree of research publications in new academic databases._x000a__x000a_DOI: 10.1177/09610006241239080 - This study identified the most commonly measured dimensions of metadata quality in existing studies on metadata quality assessment._x000a__x000a_DOI: 10.5281/zenodo.14006424 - This study analyzed OpenAlex's coverage and metadata availability of African-based publications._x000a__x000a_My lady, I hope this information is helpful."/>
        <s v="Summary: Three studies examined the abstract in metadata._x000a__x000a_DOI: 10.1162/qss_a_00286 - This study compared the amount of metadata and the completeness degree of research publications in new academic databases._x000a__x000a_DOI: 10.1177/09610006241239080 - This study identified the most commonly measured dimensions of metadata quality in existing studies on metadata quality assessment._x000a__x000a_DOI: 10.5281/zenodo.14006424 - This study analysed OpenAlex's coverage and metadata availability of African-based publications._x000a__x000a_Is there anything else I can help you with, my lady?"/>
        <s v="Summary: Three studies examined the abstract in metadata._x000a__x000a_DOI: 10.1162/qss_a_00286 - This study compares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_x000a__x000a_DOI: 10.1177/09610006241239080 - This study identifies the most commonly measured dimensions of metadata quality in existing studies on metadata quality assessment. The co-occurrence analysis is made on the title and abstract of selected articles using VOSviewer 1.6.18 version, visualization software._x000a__x000a_DOI: 10.5281/zenodo.14006424 - This paper analyses OpenAlex’s coverage and metadata availability of African-based publications. We then assess and compare the available metadata for OpenAlex, Scopus, and WoS publications._x000a__x000a_Is there anything else I can help you with, my lady?"/>
        <s v="Summary: Two studies examined the abstract in metadata._x000a__x000a_DOI: 10.1162/qss_a_00286_x000a_This study compared the amount of metadata and the completeness degree of research publications in new academic databases. Seven characteristics were analyzed, including the abstract._x000a__x000a_DOI: 10.1177/09610006241239080_x000a_This scoping review identified the most commonly measured dimensions of metadata quality in existing studies on metadata quality assessment. The co-occurrence analysis was made on the title and abstract of selected articles._x000a__x000a_Can I help you with anything else, my lady?"/>
        <s v="Summary: Two studies examined the abstract in metadata._x000a__x000a_DOI: 10.1162/qss_a_00286 - This study compared the amount of metadata and the completeness degree of research publications in new academic databases. Seven characteristics were analyzed, including the abstract._x000a__x000a_DOI: 10.1177/09610006241239080 - This study investigated the most commonly measured dimensions of metadata quality in existing studies on metadata quality assessment. The co-occurrence analysis was made on the title and abstract of selected articles._x000a__x000a_My lady, I hope this information is helpful. Please let me know if you have any further questions."/>
        <s v="Summary: Three studies examined citations._x000a__x000a_DOI: 10.1108/JD-10-2022-0234 - This study examined the errors in referencing and citing practices in the literature since Sweetland (1989)._x000a__x000a_DOI: 10.1007/s11192-022-04367-w - This study examined the invalid citations due to DOI errors in Crossref data._x000a__x000a_DOI: 10.1162/qss_a_00112 - This study examined the completeness and accuracy of citation links in five multidisciplinary bibliographic data sources: Scopus, Web of Science, Dimensions, Crossref, and Microsoft Academic._x000a__x000a_Is there anything else I can help you with, my lady?"/>
        <s v="Summary: Three studies examined citations._x000a__x000a_DOI: 10.1108/JD-10-2022-0234 - This study examined errors in referencing and citing practices in scholarly literature._x000a__x000a_DOI: 10.1007/s11192-022-04367-w - This study examined invalid citations due to DOI errors in Crossref data._x000a__x000a_DOI: 10.1162/qss_a_00112 - This study examined differences in the completeness and accuracy of citation links in five multidisciplinary bibliographic data sources._x000a__x000a_Is there anything else I can help you with, my lady?"/>
        <s v="Summary: Two studies examined citations._x000a__x000a_DOI: 10.1108/JD-10-2022-0234 - This study examined errors in referencing and citing practices in scholarly literature._x000a__x000a_DOI: 10.1007/s11192-022-04367-w - This study examined invalid citations due to DOI errors in Crossref data._x000a__x000a_Is there anything else I can help you with, my lady?"/>
        <s v="Summary: I have found three studies that examined citations._x000a__x000a_DOI: 10.1108/JD-10-2022-0234 - This study analysed reference elements, i.e. bibliographic references, mentions, quotations and respective in-text reference pointers, from 729 articles published in 147 journals across 27 subject areas._x000a__x000a_DOI: 10.1007/s11192-022-04367-w - This study analysed open bibliographic metadata available in Crossref, highlighting which publishers were responsible for mistakes and how many of these incorrect DOIs could be corrected through automatic processes._x000a__x000a_DOI: 10.1162/qss_a_00112 - This study compared five multidisciplinary bibliographic data sources, including Scopus, Web of Science, Dimensions, Crossref, and Microsoft Academic. The comparison considered scientific documents from the period 2008–2017 covered by these data sources._x000a__x000a_My lady, I hope this information is helpful. If you have any further questions, please let me know."/>
        <s v="Summary: I have found three studies that examined citations._x000a__x000a_DOI: 10.1108/JD-10-2022-0234_x000a_This study examined citing and referencing habits across all scholarly disciplines._x000a__x000a_DOI: 10.1007/s11192-022-04367-w_x000a_This study examined invalid citations due to DOI errors in Crossref data._x000a__x000a_DOI: 10.1162/qss_a_00112_x000a_This study examined the completeness and accuracy of citation links in five multidisciplinary bibliographic data sources._x000a__x000a_My lady, I hope this information is helpful."/>
        <s v="Summary: Several papers evaluate the linguistic coverage or language-related metadata in scholarly databases._x000a__x000a_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_x000a__x000a_DOI: 10.48550/arXiv.2508.18620 - Investigating Document Type, Language, Publication Year, and Author Count Discrepancies Between OpenAlex and Web of Science - This study aims to assess metadata quality in OpenAlex and WoS, focusing on document type, publication year, language, and number of authors._x000a__x000a_DOI: 10.1162/qss_a_00286 - Completeness degree of publication metadata in eight free-access scholarly databases - This study compares the amount of metadata and the completeness degree of research publications in new academic databases, including an analysis of language-related metadata._x000a__x000a_DOI: 10.5281/zenodo.14006424 - Coverage and metadata availability of African publications in OpenAlex: A comparative analysis - This paper analyzes OpenAlex's coverage and metadata availability of African-based publications, including a comparison with other databases and an assessment of language-related metadata._x000a__x000a_My lady, I hope this information is helpful. If you have any further questions or need additional assistance, please let me know."/>
        <s v="Summary: Several papers evaluate the linguistic coverage or language-related metadata in scholarly databases._x000a__x000a_DOI: 10.48550/arXiv.2409.10633 - Evaluates the linguistic coverage of OpenAlex by assessing the completeness and accuracy of its language-related metadata through a comparison with Web of Science (WoS) and manual validation of 6,836 articles._x000a__x000a_DOI: 10.48550/arXiv.2508.18620 - Investigates discrepancies in language metadata between OpenAlex and WoS, aiming to enhance awareness of data quality issues in bibliometric research._x000a__x000a_DOI: 10.1162/qss_a_00286 - Compares the completeness of publication metadata, including language, in eight free-access scholarly databases, highlighting differences between academic search engines and third-party databases._x000a__x000a_DOI: 10.5281/zenodo.14006424 - Analyzes the coverage and metadata availability of African publications in OpenAlex, comparing it with Scopus, WoS, and African Journals Online (AJOL), with a focus on language inclusivity._x000a__x000a_DOI: 10.1007/s11192-022-04289-7 - Introduces a method to estimate the subject coverage of 56 bibliographic databases, including language-focused databases, providing insights into their relative and absolute subject coverages._x000a__x000a_My lady, these papers provide a comprehensive overview of the evaluation of linguistic coverage and language-related metadata in various scholarly databases."/>
        <s v="Summary: Several papers evaluate the linguistic coverage or language-related metadata in scholarly databases._x000a__x000a_DOI: 10.48550/arXiv.2409.10633 - This paper assesses the completeness and accuracy of OpenAlex's metadata related to language, through a comparison with WoS, as well as an in-depth manual validation of a sample of 6,836 articles._x000a__x000a_DOI: 10.48550/arXiv.2508.18620 - This study aims to assess metadata quality in OpenAlex and WoS, focusing on document type, publication year, language, and number of authors._x000a__x000a_DOI: 10.1162/qss_a_00286 - This study compares the amount of metadata and the completeness degree of research publications in new academic databases, including an analysis of language-related metadata._x000a__x000a_DOI: 10.5281/zenodo.14006424 - This paper analyses OpenAlex’s coverage and metadata availability of African-based publications, including an evaluation of language-related metadata._x000a__x000a_DOI: 10.1007/s11192-022-04289-7 - While not explicitly focused on language-related metadata, this paper introduces a novel scientometrics method to estimate the subject coverages of many popular English-focused bibliographic databases, which may have implications for linguistic coverage._x000a__x000a_My lady, I hope this information is helpful. If you have any further questions or would like more details on a specific paper, please let me know."/>
        <s v="Summary: OpenAlex is a newly launched bibliographic database that promises comprehensive, inclusive, and open-source research information._x000a__x000a_DOI: 10.48550/arXiv.2409.10633 - This paper evaluates the completeness and accuracy of OpenAlex's metadata related to language, through a comparison with WoS, as well as an in-depth manual validation of a sample of 6,836 articles._x000a__x000a_DOI: 10.48550/arXiv.2508.18620 - This study aims to assess metadata quality in OpenAlex and WoS, focusing on document type, publication year, language, and number of authors._x000a__x000a_DOI: 10.1162/qss_a_00286 - This study compares the amount of metadata and the completeness degree of research publications in new academic databases, including OpenAlex._x000a__x000a_DOI: 10.5281/zenodo.14006424 - This paper analyses OpenAlex's coverage and metadata availability of African-based publications, comparing it with Scopus, WoS, and African Journals Online (AJOL)._x000a__x000a_My lady, I hope this information is helpful. If you have any further questions or need more details, please let me know."/>
        <s v="Summary: I found four papers that evaluate the linguistic coverage or language-related metadata in scholarly databases._x000a__x000a_DOI: 10.48550/arXiv.2409.10633_x000a_Evaluating the Linguistic Coverage of OpenAlex: An Assessment of Metadata Accuracy and Completeness_x000a__x000a_DOI: 10.48550/arXiv.2508.18620_x000a_Investigating Document Type, Language, Publication Year, and Author Count Discrepancies Between OpenAlex and Web of Science_x000a__x000a_DOI: 10.1162/qss_a_00286_x000a_Completeness degree of publication metadata in eight free-access scholarly databases_x000a__x000a_DOI: 10.5281/zenodo.14006424_x000a_Coverage and metadata availability of African publications in OpenAlex: A comparative analysis_x000a__x000a_My lady, I hope this helps."/>
        <s v="My lady, here are the papers that discuss the use of Retrieval-Augmented Generation (RAG) in applications:_x000a__x000a_**Summary:** Retrieval-Augmented Generation (RAG) is discussed in various papers focusing on its application in enhancing Large Language Models (LLMs) by incorporating external knowledge sources, improving accuracy, and enabling dynamic knowledge updates._x000a__x000a_**DOI: 10.1016/j.caeai.2025.100417**_x000a_This paper focuses on the application of RAG in educational scenarios, addressing challenges like hallucination and static internal knowledge in LLMs. It explores practical applications in interactive learning systems, educational content generation, and large-scale deployment in educational ecosystems._x000a__x000a_**DOI: 10.48550/arXiv.2312.10997**_x000a_This comprehensive review paper examines the progression of RAG paradigms, including Naive RAG, Advanced RAG, and Modular RAG. It discusses the integration of external databases to enhance LLM accuracy, particularly for knowledge-intensive tasks._x000a__x000a_**DOI: 10.1145/3637528.3671470**_x000a_This survey highlights RAG's role in providing reliable external knowledge, especially in AI-Generated Content (AIGC). It discusses Retrieval-Augmented Large Language Models (RA-LLMs) and their ability to enhance content quality by utilizing external knowledge bases._x000a__x000a_**DOI: 10.6109/jkiice.2023.27.12.1489**_x000a_This paper proposes a Metadata Retrieval-Augmented Generation (M-RAG) method for open-domain question answering, demonstrating performance improvements compared to conventional RAG methods._x000a__x000a_**DOI: 10.1007/s44427-025-00006-3**_x000a_This study evaluates open-source LLMs in RAG systems using a benchmark dataset, focusing on retrieval effectiveness and answer quality for academic and structured knowledge tasks._x000a__x000a_These papers collectively showcase the diverse applications and advancements of RAG in various domains, including education, question answering, and LLM enhancement."/>
        <s v="Summary: Retrieval-Augmented Generation (RAG) is a technique that enhances the capabilities of Large Language Models (LLMs) by incorporating external knowledge sources._x000a__x000a_DOI: 10.1016/j.caeai.2025.100417 - This paper discusses the use of RAG in educational applications, specifically in interactive learning systems, generation and assessment of educational content, and large-scale deployment in educational ecosystems._x000a__x000a_DOI: 10.48550/arXiv.2312.10997 - This paper provides a comprehensive review of RAG paradigms, including Naive RAG, Advanced RAG, and Modular RAG, and their applications in enhancing the accuracy and credibility of LLMs, particularly for knowledge-intensive tasks._x000a__x000a_DOI: 10.1145/3637528.3671470 - This paper discusses the use of RAG in Retrieval-Augmented Large Language Models (RA-LLMs) to improve the quality of generated content by utilizing external knowledge bases, with a focus on AI-Generated Content (AIGC) applications._x000a__x000a_DOI: 10.6109/jkiice.2023.27.12.1489 - This paper proposes a Metadata Retrieval-Augmented Generation (M-RAG) method for enhancing open-domain question answering systems, demonstrating significant performance improvements over conventional RAG methods._x000a__x000a_DOI: 10.1007/s44427-025-00006-3 - This paper evaluates the effectiveness of open-source LLMs in RAG systems using a benchmark dataset derived from diploma theses abstracts, providing insights into optimizing RAG implementations for academic and structured knowledge tasks._x000a__x000a_My lady, these papers discuss the use of RAG in various applications, including education, knowledge-intensive tasks, AI-generated content, open-domain question answering, and academic research."/>
        <s v="I'm sorry, my lady, I am unable to answer your question."/>
        <s v="I'm sorry, my lady, I am unable to answer your question._x000a__x000a_I have found several papers that discuss Retrieval-Augmented Generation (RAG) but none of them mention applications._x000a__x000a_Would you like me to answer a different question?"/>
        <s v="I'm sorry, my lady, I cannot find any papers that discuss the use of Retrieval-Augmented Generation (RAG) when used in applications."/>
        <s v="Summary: I have found four papers that address funding metadata, its availability, or its analysis in scholarly databases._x000a__x000a_DOI: 10.1162/qss_a_00210 - This paper addresses the availability and completeness of open funder metadata, using a case study of publications funded by the Dutch Research Council._x000a__x000a_DOI: 10.5281/zenodo.14006424 - This paper analyses OpenAlex's coverage and metadata availability of African-based publications, comparing it with Scopus, Web of Science, and African Journals Online._x000a__x000a_DOI: 10.31222/osf.io/smxe5 - This paper presents an overview of the availability of six metadata elements in Crossref, including funding information._x000a__x000a_DOI: 10.1162/qss_a_00212 - This paper studies the open availability of funding data in Crossref, focusing on COVID-19 research, and compares it with Scopus and Web of Science._x000a__x000a_My lady, I hope this information is helpful. If you have any further questions or need more details, please let me know."/>
        <s v="Summary: Several papers address funding metadata, its availability, or its analysis in scholarly databases._x000a__x000a_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inds that only 67% of articles funded by NWO contain funding information in Crossref, with variations in acknowledging NWO as the funder name or linking Funder IDs to NWO._x000a__x000a_DOI: 10.5281/zenodo.14006424 - This paper analyzes the coverage and metadata availability of African publications in OpenAlex, comparing it with Scopus, Web of Science (WoS), and African Journals Online (AJOL). The study finds that OpenAlex offers the most extensive publication coverage but performs worse regarding funder information. However, metadata availability in OpenAlex is better for publications also indexed in Scopus or WoS._x000a__x000a_DOI: 10.31222/osf.io/smxe5 - This paper presents an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_x000a__x000a_DOI: 10.1162/qss_a_00286 - This study compares the amount of metadata and completeness degree of research publications in eight free-access scholarly databases. The results show that third-party databases have more metadata quality and a higher completeness rate compared to academic search engines. However, the main problem of third-party databases is the loss of information derived from integrating different sources._x000a__x000a_DOI: 10.1162/qss_a_00212 - This paper focuses on the open availability of funding data in Crossref, specifically for publications related to COVID-19 research. It compares funding data in Crossref with two proprietary bibliometric databases, Scopus and Web of Science, and provides recommendations for improving the open availability of funding data in Crossref._x000a__x000a_My lady, I hope this information is helpful. If you have any further questions or would like more details on a specific paper, please let me know."/>
        <s v="Summary: There are four papers that address funding metadata, its availability, or its analysis in scholarly databases._x000a__x000a_DOI: 10.1162/qss_a_00210 - This paper addresses the availability and completeness of open funder metadata._x000a_DOI: 10.5281/zenodo.14006424 - This paper addresses the coverage and metadata availability of African publications in OpenAlex._x000a_DOI: 10.31222/osf.io/smxe5 - This paper addresses Crossref as a source of open bibliographic metadata._x000a_DOI: 10.1162/qss_a_00212 - This paper addresses funding COVID-19 research._x000a__x000a_My lady, is there anything else I can help you with?"/>
        <s v="Summary: Several papers address funding metadata, its availability, or its analysis in scholarly databases._x000a__x000a_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ound that only 67% of articles funded by NWO contain funding information in Crossref, with variations in acknowledging NWO as the funder name or linking Funder IDs to NWO._x000a__x000a_DOI: 10.5281/zenodo.14006424 - This paper analyzes the coverage and metadata availability of African publications in OpenAlex, comparing it with Scopus, Web of Science (WoS), and African Journals Online (AJOL). The study found that OpenAlex offers the most extensive publication coverage but performs worse regarding funder information. However, metadata availability in OpenAlex is better for publications also indexed in Scopus or WoS._x000a__x000a_DOI: 10.31222/osf.io/smxe5 - This paper presents an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_x000a__x000a_DOI: 10.1162/qss_a_00286 - This study compares the amount of metadata and completeness degree of research publications in eight free-access scholarly databases, including Dimensions, Google Scholar, and OpenAlex. The results show that third-party databases have more metadata quality and a higher completeness rate compared to academic search engines._x000a__x000a_DOI: 10.1162/qss_a_00212 - This paper focuses on the open availability of funding data in Crossref, specifically for publications related to COVID-19 research. It compares funding data in Crossref with two proprietary bibliometric databases, Scopus and Web of Science, and provides recommendations for improving the open availability of funding data in Crossref._x000a__x000a_My lady, I hope this information is helpful. If you have any further questions or need more details, please let me know."/>
        <s v="Summary: There are four papers that address funding metadata, its availability, or its analysis in scholarly databases._x000a__x000a_DOI: 10.1162/qss_a_00210 - This paper addresses the availability and completeness of open funder metadata by looking at 5,004 publications reported by researchers to be the result of funding by a specific funding agency: the Dutch Research Council NWO._x000a__x000a_DOI: 10.5281/zenodo.14006424 - This paper analyses OpenAlex’s coverage and metadata availability of African-based publications._x000a__x000a_DOI: 10.31222/osf.io/smxe5 - This paper presents an up-to-date overview of the availability of six metadata elements in Crossref: reference lists, abstracts, ORCIDs, author affiliations, funding information, and license information._x000a__x000a_DOI: 10.1162/qss_a_00212 - This paper studies the open availability of funding data in Crossref, focusing on funding data for publications that report research related to COVID-19._x000a__x000a_My lady, I hope this information is helpful."/>
        <s v="Summary: Metadata quality is crucial for digital objects to be discovered through digital library interfaces.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007/s11192-022-04289-7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Is there anything else I can help you with, my lady?"/>
        <s v="Summary: I found two documents that address your question._x000a__x000a_DOI: 10.48550/arXiv.2303.17661_x000a_Metadata quality is crucial for digital objects to be discovered through digital library interfaces. However, due to various reasons, the metadata of digital objects often exhibits incomplete, inconsistent, and incorrect values. This study investigates methods to automatically detect, correct, and canonicalize scholarly metadata, using seven key fields of electronic theses and dissertations (ETDs) as a case study. The proposed framework, MetaEnhance, utilizes state-of-the-art artificial intelligence methods to improve the quality of these fields. Evaluation on a benchmark of 500 ETDs shows that MetaEnhance achieves nearly perfect F1-scores in detecting errors and F1-scores ranging from 0.85 to 1.00 in correcting errors for five of seven fields._x000a__x000a_DOI: 10.1007/s11192-022-04367-w_x000a_This study aims to identify classes of DOI mistakes in open bibliographic metadata available in Crossref, determine responsible publishers, and assess the potential for automatic correction. By analyzing invalid cited DOIs gathered by OpenCitations, the research identifies patterns of factual errors and defines regular expressions to catch and correct them. The findings show that a few publishers are responsible for the majority of invalid citations. The study extends the taxonomy of DOI name errors and proposes a DOI cleaning mechanism that can be integrated into existing processes for automatic correction._x000a__x000a_My lady, would you like to know more about either of these studies?"/>
        <s v="Summary: I have found two documents that address your question._x000a__x000a_DOI: 10.48550/arXiv.2303.17661_x000a_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007/s11192-022-04367-w_x000a_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My lady, is there anything else I can help you with?"/>
        <s v="Summary: I have found two documents that address your needs, my lady._x000a__x000a_DOI: 10.48550/arXiv.2303.17661_x000a_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007/s11192-022-04367-w_x000a_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s v="Summary: I have found two documents that address your needs, my lady._x000a__x000a_DOI: 10.1007/s11192-022-04367-w_x000a_Identifying and correcting invalid citations due to DOI errors in Crossref data_x000a_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48550/arXiv.2303.17661_x000a_MetaEnhance: Metadata Quality Improvement for Electronic Theses and Dissertations of University Libraries_x000a_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s v="Summary: Crossref is a sustainable source of community-owned scholarly metadata that collects and makes available academic metadata._x000a__x000a_DOI: 10.1162/qss_a_00022_x000a__x000a_Is there anything else I can help you with, my lady?"/>
        <s v="Summary: Crossref is a community-owned source of scholarly metadata that is available to publishers, authors, librarians, funders and researchers._x000a__x000a_DOI: 10.1162/qss_a_00022_x000a__x000a_Is there anything else I can help you with, my lady?"/>
        <s v="Summary: Crossref is a community-owned sustainable source of scholarly metadata that is collected and made available by Crossref._x000a__x000a_DOI: 10.1162/qss_a_00022_x000a__x000a_Is there anything else I can help you with, my lady?"/>
        <s v="Summary: Crossref is a community-owned source of scholarly metadata that is openly available and contains over 106 million records._x000a__x000a_DOI: 10.1162/qss_a_00022_x000a__x000a_Is there anything else I can help you with, my lady?"/>
        <s v="Summary: Crossref is a sustainable source of community-owned scholarly metadata._x000a__x000a_DOI: 10.1162/qss_a_00022_x000a__x000a_Crossref is a sustainable source of community-owned scholarly metadata. It collects and makes available academic metadata and is important in the scholarly research ecosystem. It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s v="Summary: I'm sorry, my lady, I could not find any information about the strengths and weaknesses of Web of Science (WoS) as a bibliometric database._x000a__x000a_DOI: 10.1007/s11192-015-1765-5 discusses the journal coverage of Web of Science and Scopus, and how the use of either for research evaluation may introduce biases that favour Natural Sciences and Engineering as well as Biomedical Research to the detriment of Social Sciences and Arts and Humanities._x000a__x000a_DOI: 10.48550/arXiv.2508.18620 and 10.29173/cais1943 both discuss the discrepancies between OpenAlex and Web of Science, and how OpenAlex may reduce or eliminate barriers to accessing bibliometric data, but one of the concerns that hinders its broader adoption for research and research evaluation is the quality of its metadata._x000a__x000a_DOI: 10.1162/qss_a_00112 presents a large-scale comparison of five multidisciplinary bibliographic data sources, including Web of Science, and discusses the strengths and weaknesses of the different data sources._x000a__x000a_DOI: 10.1162/qss_a_00211 discusses the quality of bibliographic data sources for measuring international research collaboration, and how WoS has the highest overall quality among the sets considered."/>
        <s v="Summary: Web of Science (WoS) is a bibliometric database that has been used for over 30 years and is considered to have the highest overall quality when compared to other bibliometric databases. However, it has been found to favour Natural Sciences and Engineering as well as Biomedical Research over Social Sciences, Arts and Humanities._x000a__x000a_DOI: 10.1007/s11192-015-1765-5_x000a__x000a_My lady, I have found information on the strengths and weaknesses of WoS as a bibliometric database._x000a__x000a_WoS has been used for over 30 years and is considered to have the highest overall quality when compared to other bibliometric databases. However, it has been found to favour Natural Sciences and Engineering as well as Biomedical Research over Social Sciences, Arts and Humanities._x000a__x000a_Is there anything else I can help you with?"/>
        <s v="Summary: I'm sorry, my lady, I was unable to find any information about the strengths and weaknesses of Web of Science (WoS) as a bibliometric database._x000a__x000a_DOI: 10.1007/s11192-015-1765-5 discusses the journal coverage of WoS and Scopus, and how they favour Natural Sciences and Engineering as well as Biomedical Research to the detriment of Social Sciences and Arts and Humanities._x000a__x000a_DOI: 10.48550/arXiv.2508.18620 and 10.29173/cais1943: both discuss the quality of metadata in OpenAlex and WoS, and how over 4% of the publications indexed in both OpenAlex and WoS appear to be misclassified as research articles or reviews, and that the vast majority (about 97%) of these errors occur in OpenAlex._x000a__x000a_DOI: 10.1162/qss_a_00112: discusses the comparison of five multidisciplinary bibliographic data sources, including WoS, and how combining a comprehensive coverage of the scientific literature with a flexible set of filters for making selections of the literature is important._x000a__x000a_DOI: 10.1162/qss_a_00211: discusses the quality of bibliographic data sources for measuring international research collaboration, and how WoS has the highest overall quality among the sets considered."/>
        <s v="Summary: I'm sorry, my lady, I could not find any information about the strengths and weaknesses of Web of Science (WoS) as a bibliometric database._x000a__x000a_DOI: 10.1007/s11192-015-1765-5 - WoS and Scopus are the most common data sources for bibliometric analyses. This study compared the coverage of active scholarly journals in WoS (13,605 journals) and Scopus (20,346 journals) with Ulrich’s extensive periodical directory (63,013 journals).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_x000a__x000a_DOI: 10.48550/arXiv.2508.18620 -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_x000a__x000a_DOI: 10.29173/cais1943 -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s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_x000a__x000a_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_x000a__x000a_DOI: 10.1162/qss_a_00211 - To better understand the effect of data source choice on IRC measurement, we design and implement a data quality assessment framework specifically for bibliographic data by reviewing and selecting available dimensions and designing appropriate computable metrics, and then validate the framework by applying it to four popular sources of bibliographic data: Microsoft Academic Graph, Web of Science (WoS), Dimensions, and the ACM Digital Library. Successful validation of the framework suggests it is consistent with the popular conceptual framework of information quality proposed by Wang and Strong (1996) and adequately identifies the differences in quality in the sources examined. Application of the framework reveals that WoS has the highest overall quality among the sets considered; and that the differences in quality can be explained primarily by how the data sources are organized."/>
        <s v="Summary: Web of Science (WoS) is a bibliometric database that has been a major supporting infrastructure for over 30 years._x000a__x000a_DOI: 10.48550/arXiv.2508.18620 and 10.29173/cais1943 both state that WoS has been a major supporting infrastructure for over 30 years._x000a__x000a_My lady, I am unable to find information about the strengths and weaknesses of WoS. Would you like me to answer a different question?"/>
        <s v="Summary: I'm sorry, my lady, I could not find any information about the challenges in normalizing citation metrics across scientific fields._x000a__x000a_DOI: 10.1045/september2016‐meschenmoser - This paper discusses the challenges and solutions for automated content extraction from scientific web repositories._x000a__x000a_Is there anything else I can help you with, my lady?"/>
        <s v="Summary: I'm sorry, my lady, I could not find any information about the main challenges in normalizing citation metrics across scientific fields._x000a__x000a_DOI: 10.1045/september2016‐meschenmoser discusses scientific web repositories and the challenges and solutions for automated content extraction._x000a__x000a_Is there anything else I can help you with, my lady?"/>
        <s v="Summary: I'm sorry, my lady, I am unable to answer your question as there is no information in the document about the challenges in normalizing citation metrics across scientific fields._x000a__x000a_DOI: 10.1045/september2016‐meschenmoser - This paper discusses the challenges and solutions for automated content extraction from scientific web repositories._x000a__x000a_Is there anything else I can help you with, my lady?"/>
        <s v="Summary: I'm sorry, my lady, I couldn't find any information about the main challenges in normalising citation metrics across scientific fields._x000a__x000a_DOI: 10.1045/september2016‐meschenmoser"/>
        <s v="Summary: I'm sorry, my lady, I couldn't find any information about the main challenges in normalising citation metrics across scientific fields._x000a__x000a_DOI: 10.1045/september2016‐meschenmoser discusses the challenges and solutions for automated content extraction from scientific web repositories."/>
        <s v="Summary: OpenAlex is a bibliographic database that was launched in 2022. It is open-source and inclusive, and promises comprehensive research information. It is already in use by scholars and research institutions, but the quality of its metadata is currently being assessed._x000a__x000a_DOI: 10.48550/arXiv.2404.17663_x000a_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_x000a_OpenAlex may reduce or eliminate barriers to accessing bibliometric data, but one of the concerns that hinders its broader adoption for research and research evaluation is the quality of its metadata._x000a__x000a_DOI: 10.29173/cais1943_x000a_OpenAlex stands out for its openness and extensive coverage. However, one of the concerns that hinder its broader adoption for research and research evaluation is the quality of its metadata._x000a__x000a_DOI: 10.48550/arXiv.2409.10633_x000a_OpenAlex exhibits a far more balanced linguistic coverage than WoS. However, language metadata is not always accurate, which leads OpenAlex to overestimate the place of English while underestimating that of other languages._x000a__x000a_DOI: 10.3145/epi.2023.mar.09_x000a_OpenAlex seems to be overall at least as suited for bibliometric analyses as MAG for publication years before 2021 or maybe even better because of the broader coverage of document type assignments._x000a__x000a_My lady, I hope this information is helpful. If you have any further questions, please let me know."/>
        <s v="Summary: OpenAlex is a bibliographic database that launched in 2022 and is distinguished by its openness and extensive coverage. It has the potential to reduce or eliminate barriers to accessing bibliometric data, but concerns about the quality of its metadata hinder its broader adoption for research and evaluation._x000a__x000a_DOI: 10.48550/arXiv.2404.17663 - OpenAlex is a superset of Scopus and can be a reliable alternative for some analyses, particularly at the country level. However, metadata accuracy and completeness issues require additional research to fully understand and address its limitations._x000a__x000a_DOI: 10.48550/arXiv.2508.18620 - This study focuses on metadata quality in OpenAlex and Web of Science (WoS), specifically document type, publication year, language, and author count. It aims to address discrepancies and misattributions in metadata to enhance awareness of data quality issues._x000a__x000a_DOI: 10.29173/cais1943 - Over 4% of publications indexed in both OpenAlex and WoS are misclassified as research articles or reviews, with 97% of these errors occurring in OpenAlex. This study highlights the need for improved metadata quality in OpenAlex._x000a__x000a_DOI: 10.48550/arXiv.2409.10633 - OpenAlex exhibits a more balanced linguistic coverage than WoS, but its language metadata is not always accurate. Critical use of OpenAlex can provide comprehensive analyses of languages in scholarly publishing, but further work is needed to ensure metadata quality._x000a__x000a_DOI: 10.3145/epi.2023.mar.09 - OpenAlex has improved document type specifications compared to Microsoft Academic Graph (MAG) and is at least as suited for bibliometric analyses as MAG for publication years before 2021. It also has more documents with subject classification assignments._x000a__x000a_My lady, I hope this summary of OpenAlex's key features and limitations as a bibliometric database is helpful. If you have any further questions or would like more information, please let me know."/>
        <s v="Summary: OpenAlex is a bibliographic database that was launched in 2022. It is open-source and comprehensive, and promises to reduce or eliminate barriers to accessing bibliometric data. However, concerns about the quality of its metadata hinder its broader adoption for research and research evaluation.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29173/cais1943 - This study focuses on document type accuracy and finds that over 4% of publications indexed in both OpenAlex and WoS are misclassified, with about 97% of these errors occurring in OpenAlex._x000a__x000a_DOI: 10.48550/arXiv.2409.10633 - OpenAlex exhibits a more balanced linguistic coverage than WoS, but its language metadata is not always accurate. If used critically, OpenAlex can provide comprehensive and representative analyses of languages used for scholarly publishing._x000a__x000a_DOI: 10.3145/epi.2023.mar.09 - OpenAlex seems to be overall at least as suited for bibliometric analyses as MAG for publication years before 2021, or maybe even better because of the broader coverage of document type assignments._x000a__x000a_My lady, I hope this information is helpful. If you have any further questions or would like more details on a specific aspect of OpenAlex, please let me know."/>
        <s v="Summary: OpenAlex is a bibliographic database that launched in 2022, and is distinguished by its openness and extensive coverage.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may reduce or eliminate barriers to accessing bibliometric data, but one of the concerns that hinders its broader adoption for research and research evaluation is the quality of its metadata._x000a__x000a_DOI: 10.29173/cais1943 - OpenAlex stands out for its openness and extensive coverage. However, over 4% of the publications indexed in both OpenAlex and WoS appear to be misclassified as research articles or reviews, and the vast majority (about 97%) of these errors occur in OpenAlex._x000a__x000a_DOI: 10.48550/arXiv.2409.10633 - OpenAlex exhibits a far more balanced linguistic coverage than WoS. However, language metadata is not always accurate, which leads OpenAlex to overestimate the place of English while underestimating that of other languages._x000a__x000a_DOI: 10.3145/epi.2023.mar.09 - OpenAlex seems to be overall at least as suited for bibliometric analyses as MAG for publication years before 2021 or maybe even better because of the broader coverage of document type assignments._x000a__x000a_My lady, I hope this information is helpful. If you have any further questions, please let me know."/>
        <s v="Summary: OpenAlex is a bibliographic database that was launched in 2022. It is open-source and inclusive, and promises comprehensive research information.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may reduce or eliminate barriers to accessing bibliometric data, but one of the concerns that hinders its broader adoption for research and research evaluation is the quality of its metadata._x000a__x000a_DOI: 10.29173/cais1943 - OpenAlex stands out for its openness and extensive coverage. However, one of the concerns that hinder its broader adoption for research and research evaluation is the quality of its metadata._x000a__x000a_DOI: 10.48550/arXiv.2409.10633 - OpenAlex exhibits a far more balanced linguistic coverage than WoS. However, language metadata is not always accurate, which leads OpenAlex to overestimate the place of English while underestimating that of other languages._x000a__x000a_DOI: 10.3145/epi.2023.mar.09 - OpenAlex seems to be overall at least as suited for bibliometric analyses as MAG for publication years before 2021 or maybe even better because of the broader coverage of document type assignments._x000a__x000a_My lady, I hope this information is helpful. If you have any further questions, please let me know."/>
        <s v="Summary: Metadata quality is crucial for digital object discovery and user experience, but it often faces challenges like incompleteness, inconsistency, and inaccuracy. Solutions include automated methods, standardization, and improved assessment tools._x000a__x000a_DOI: 10.48550/arXiv.2303.17661 - Metadata quality is vital for digital library interfaces, but issues like incomplete, inconsistent, and incorrect values are common. The study proposes MetaEnhance, an AI-based framework, to automatically detect and correct errors in electronic theses and dissertations (ETDs). Testing showed high accuracy in error detection and correction._x000a__x000a_DOI: 10.1080/19386389.2011.570654 - Metadata plays a critical role in digital libraries, but problems like incorrect values, missing information, and inconsistent representation hinder its effectiveness. The paper emphasizes the need for preventive and corrective measures to balance the benefits of metadata with the costs of creation._x000a__x000a_DOI: 10.1177/09610006241239080 - Metadata is essential for data retrieval, organization, and user experience. A scoping review identified completeness, accuracy, consistency, and accessibility as key dimensions in metadata quality assessment. However, there is no consensus on definitions and measurements, highlighting the need for further research and flexible assessment tools._x000a__x000a_DOI: 10.1007/s11192-023-04923-y - OpenAlex, an open data platform, faces a significant issue with missing institutions in journal article metadata. The study defines three types of institutional information and finds that over 60% of articles lack complete institutional data. Solutions are proposed to improve data quality and support responsible use in quantitative science._x000a__x000a_My lady, these documents highlight the importance of addressing metadata quality issues through innovative solutions and standardized practices."/>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is proposed to improve the quality of metadata fields._x000a__x000a_DOI: 10.1080/19386389.2011.570654 - Metadata plays a vital role in digital libraries, but metadata records must be problem-free to be useful. Five categories of metadata problems are identified: Incorrect Values, Incorrect Elements, Missing Information, Information Loss, and Inconsistent Value Representation. Preventive or corrective measures are necessary to ensure the benefits of metadata outweigh the costs of creation._x000a__x000a_DOI: 10.1177/09610006241239080 - Metadata quality assessment commonly uses dimensions such as completeness, accuracy, consistency, accessibility, conformance, provenance, and timeliness. However, there is no consensus on their exact definition and measurement, indicating a need for further investigation into less commonly assessed quality dimensions._x000a__x000a_DOI: 10.1007/s11192-023-04923-y - OpenAlex, an open data platform, faces a severe data quality problem of missing institutions in journal article metadata. The study investigates the possible reasons, consequences, and solutions for this problem, emphasizing the importance of data quality improvements in open resources._x000a__x000a_My lady, I hope this summary provides a comprehensive overview of the key challenges and potential solutions for improving metadata quality. If you have any further questions or would like more detailed information, please let me know."/>
        <s v="Summary: Metadata quality is crucial for digital objects to be discovered through digital library interfaces. However, metadata often exhibits incomplete, inconsistent, and incorrect values. To address this, methods to automatically detect, correct, and canonicalize scholarly metadata are being investigated. Additionally, metadata records must be problem-free to be useful, and preventive or corrective measures are necessary to minimize issues. Metadata quality assessment commonly focuses on dimensions like completeness, accuracy, consistency, accessibility, conformance, provenance, and timeliness, but further investigation is needed for less commonly assessed dimensions. Lastly, open data platforms like OpenAlex face severe data quality problems, such as missing institutions in journal article metadata, highlighting the need for data quality improvements in open resources._x000a__x000a_DOI: 10.48550/arXiv.2303.17661 - Metadata quality is essential for the discovery of digital objects through digital library interfaces. However, metadata often suffers from incomplete, inconsistent, and incorrect values. To tackle this, researchers are exploring methods to automatically detect, correct, and canonicalize scholarly metadata, using electronic theses and dissertations (ETDs) as a case study. They propose MetaEnhance, a framework leveraging state-of-art artificial intelligence methods to improve metadata quality. Evaluation shows promising results in error detection and correction across multiple fields._x000a__x000a_DOI: 10.1080/19386389.2011.570654 - Metadata plays a vital role in digital libraries, but its usefulness depends on problem-free records. Issues like incorrect values, incorrect elements, missing information, information loss, and inconsistent value representation can hinder metadata's effectiveness. To mitigate these problems, it's essential to understand their types and implement preventive or corrective measures. This ensures that the benefits of metadata outweigh the costs and efforts of creating metadata records._x000a__x000a_DOI: 10.1177/09610006241239080 - This scoping review aims to identify commonly measured dimensions of metadata quality in existing studies. It finds that completeness, accuracy, consistency, accessibility, conformance, provenance, and timeliness are frequently assessed dimensions. However, there is no consensus on their definitions and measurements, indicating a need for further research into less commonly assessed dimensions. The study also highlights the importance of metadata quality research and the need for flexible assessment tools to enhance metadata quality assurance._x000a__x000a_DOI: 10.1007/s11192-023-04923-y - With the rise of open science, open data platforms like OpenAlex are crucial for easy data access and broad coverage. However, OpenAlex faces a significant data quality issue with missing institutions in journal article metadata. This study investigates the reasons, consequences, and solutions for this problem by defining three types of institutional information. Results show that over 60% of journal articles in OpenAlex have missing institution information, particularly in early metadata and social sciences/humanities. The aim is to improve data quality in open resources, supporting their responsible use in quantitative science and beyond._x000a__x000a_My lady, I hope this summary addresses your query. If you have any further questions or need additional information, feel free to ask."/>
        <s v="Summary: Metadata quality is crucial for digital object discovery, data retrieval, and user experience, but faces challenges like incompleteness, inconsistency, and inaccuracy. Solutions include automated detection and correction, standardization, and improved assessment tools._x000a__x000a_DOI: 10.5860/crl.86.1.101 - Metadata serves as a standardized tool for discovery and access, but faces tensions between sociocultural representations, resource constraints, and standardized systems. Interventions can be seen as quality issues, political acts, or strategic choices. A study identified 32 unique issues across 427 records, categorized into 5 groups, highlighting the interaction between metadata and cultural meanings._x000a__x000a_DOI: 10.48550/arXiv.2303.17661 - Metadata quality is essential for digital library interfaces, but often suffers from incomplete, inconsistent, and incorrect values. The MetaEnhance framework uses AI to detect, correct, and canonicalize scholarly metadata, achieving high F1-scores in error detection and correction for electronic theses and dissertations._x000a__x000a_DOI: 10.1080/19386389.2011.570654 - Metadata records must be problem-free to ensure accurate resource representation. Common issues include incorrect values, elements, missing information, information loss, and inconsistent value representation. Preventive and corrective measures are needed to balance the benefits of metadata with its creation costs._x000a__x000a_DOI: 10.1177/09610006241239080 - Metadata plays a pivotal role in data retrieval, organization, and user experience. A scoping review identified completeness, accuracy, consistency, accessibility, conformance, provenance, and timeliness as key dimensions in metadata quality assessment. However, there is no consensus on their definitions and measurements, necessitating further research and flexible assessment tools._x000a__x000a_DOI: 10.1007/s11192-023-04923-y - Open data platforms like OpenAlex face data quality issues, particularly missing institutions in journal article metadata. The study defines three types of institutional information and finds the problem in over 60% of articles, especially in early metadata and social sciences/humanities. Solutions aim to improve data quality in open resources._x000a__x000a_My lady, I hope this summary meets your requirements. If you have any further questions, please let me know."/>
        <s v="Summary: Metadata quality is crucial for digital objects to be discovered through digital library interfaces. However, metadata often exhibits incomplete, inconsistent, and incorrect values. To address these challenges, methods for automatic detection, correction, and canonicalization of scholarly metadata are being investigated._x000a__x000a_DOI: 10.48550/arXiv.2303.17661 - This study investigates methods to automatically detect, correct, and canonicalize scholarly metadata, using seven key fields of electronic theses and dissertations (ETDs) as a case study. The proposed framework, MetaEnhance, utilizes state-of-the-art artificial intelligence methods to improve metadata quality._x000a__x000a_My lady, I hope this response meets your requirements. If you have any further questions or need additional information, please let me know."/>
        <s v="Summary: Retrieval-Augmented Generation (RAG) systems face challenges such as hallucination, outdated knowledge, non-transparent reasoning processes, computational costs, and evaluating system effectiveness. Advancements include improved factual accuracy, dynamic knowledge updates, and enhanced performance in specialized domains._x000a__x000a_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_x000a__x000a_DOI: 10.1016/j.caeai.2025.100417 - This study focuses on RAG in educational applications, discussing challenges like mitigating hallucinations, ensuring knowledge completeness and timeliness, and reducing computational costs. It explores practical applications in interactive learning systems and educational content generation._x000a__x000a_DOI: 10.48550/arXiv.2505.18247 - Introducing MetaGen Blended RAG, this paper addresses challenges in domain-specific enterprise datasets and achieves high zero-shot precision without fine-tuning, demonstrating robust performance in specialized domains like biomedicine._x000a__x000a_DOI: 10.1007/s44427-025-00006-3 - This research evaluates open-source LLMs in RAG systems using the Ragas framework, focusing on retrieval effectiveness and answer quality in academic and structured knowledge tasks._x000a__x000a_DOI: 10.1145/3637528.3671470 - This survey reviews Retrieval-Augmented Large Language Models (RA-LLMs), discussing their ability to provide reliable external knowledge and enhance AI-generated content quality. It also explores current limitations and future research directions._x000a__x000a_My lady, I hope this summary meets your requirements. If you have any further questions or need additional details, please let me know."/>
        <s v="Summary: Retrieval-Augmented Generation (RAG) systems face challenges such as hallucinations, outdated knowledge, and non-transparent reasoning processes, but advancements include improved accuracy, continuous knowledge updates, and domain-specific integration._x000a__x000a_DOI: 10.48550/arXiv.2312.10997 - This paper discusses the challenges faced by Large Language Models (LLMs), such as hallucination, outdated knowledge, and non-transparent reasoning processes. It highlights RAG as a promising solution by incorporating external knowledge, which enhances accuracy and allows for continuous updates. The paper provides a detailed examination of RAG paradigms and their advancements._x000a__x000a_DOI: 10.1016/j.caeai.2025.100417 - Focusing on educational applications, this paper addresses challenges like hallucinations and static internal knowledge in LLMs. It explores how RAG improves factual accuracy and enables dynamic knowledge updates, making it suitable for education. The paper discusses practical applications and future directions in educational RAG systems._x000a__x000a_DOI: 10.48550/arXiv.2505.18247 - This research introduces 'MetaGen Blended RAG', a novel approach to enhance semantic retrievers in domain-specific enterprise datasets. It addresses the challenge of achieving zero-shot precision without fine-tuning and demonstrates superior performance on datasets like PubMedQA, SQuAD, and NQ._x000a__x000a_DOI: 10.1007/s44427-025-00006-3 - This study evaluates the effectiveness of RAG systems using a benchmark dataset derived from diploma theses abstracts. It highlights the challenges in assessing both retrieval and generation components and provides insights into optimizing RAG implementations for academic tasks._x000a__x000a_DOI: 10.1145/3637528.3671470 - This survey reviews existing research on Retrieval-Augmented Large Language Models (RA-LLMs), discussing their capabilities in providing reliable external knowledge. It also explores current limitations and future research directions in this field._x000a__x000a_My lady, I hope this summary meets your requirements. If you have any further questions or need additional information, please let me know."/>
        <s v="Summary: Retrieval-Augmented Generation (RAG) systems face challenges such as hallucination, outdated knowledge, and non-transparent reasoning processes, but advancements like MetaGen Blended RAG and Ragas frameworks are enhancing their capabilities._x000a__x000a_DOI: 10.48550/arXiv.2312.10997 - This paper discusses the challenges faced by Large Language Models (LLMs), such as hallucination, outdated knowledge, and non-transparent reasoning processes. It highlights RAG as a promising solution by incorporating external knowledge, improving accuracy, and enabling continuous updates. The paper reviews RAG paradigms and provides an evaluation framework._x000a__x000a_DOI: 10.1016/j.caeai.2025.100417 - Focusing on educational applications, this paper addresses challenges like hallucination and static knowledge in LLMs. It explores RAG's role in improving factual accuracy and dynamic updates, with a focus on practical applications in education._x000a__x000a_DOI: 10.48550/arXiv.2505.18247 - This study introduces MetaGen Blended RAG, a novel approach to enhance semantic retrievers for domain-specific datasets. It achieves high accuracy without fine-tuning, addressing challenges in specialized domains._x000a__x000a_DOI: 10.1007/s44427-025-00006-3 - This research evaluates open-source LLMs in RAG systems using the Ragas framework. It highlights the challenges in assessing retrieval and generation components and provides insights for optimizing RAG implementations._x000a__x000a_DOI: 10.1145/3637528.3671470 - This survey reviews RAG's role in providing reliable external knowledge and its integration with LLMs. It discusses current limitations and future research directions for Retrieval-Augmented Large Language Models (RA-LLMs)._x000a__x000a_My lady, I hope this summary meets your requirements. If you have any further questions or need additional information, please let me know."/>
        <s v="Summary: Retrieval-Augmented Generation (RAG) systems face challenges such as hallucination, outdated knowledge, non-transparent reasoning processes, and computational costs. However, advancements include improved factual accuracy, dynamic knowledge updates, and enhanced multimodal support._x000a__x000a_DOI: 10.48550/arXiv.2312.10997 - This paper discusses the progression of RAG paradigms, including Naive RAG, Advanced RAG, and Modular RAG, and highlights the state-of-the-art technologies in retrieval, generation, and augmentation techniques._x000a__x000a_DOI: 10.1016/j.caeai.2025.100417 - This study focuses on RAG in educational applications, addressing challenges like hallucination mitigation, knowledge completeness, and computational cost reduction._x000a__x000a_DOI: 10.48550/arXiv.2505.18247 - Introduces MetaGen Blended RAG, a novel approach to enhance semantic retrievers for specialized domain question-answering, achieving high zero-shot precision._x000a__x000a_DOI: 10.1007/s44427-025-00006-3 - Evaluates open-source LLMs in RAG systems using the Ragas framework, highlighting the strengths and weaknesses of different models for academic tasks._x000a__x000a_DOI: 10.1145/3637528.3671470 - Surveys Retrieval-Augmented Large Language Models (RA-LLMs), discussing their limitations and future research directions._x000a__x000a_My lady, I hope this summary meets your requirements. If you have any further questions or need more details, please let me know."/>
        <s v="Summary: Retrieval-Augmented Generation (RAG) systems face challenges such as hallucinations, outdated knowledge, and non-transparent reasoning processes. However, advancements in RAG, such as MetaGen Blended RAG, have shown promise in improving accuracy and scalability across specialized domains._x000a__x000a_DOI: 10.48550/arXiv.2312.10997 - This paper discusses the challenges faced by Large Language Models (LLMs), including hallucinations, outdated knowledge, and non-transparent reasoning processes. It highlights RAG as a promising solution by incorporating external knowledge, enhancing accuracy and credibility, and enabling continuous knowledge updates._x000a__x000a_DOI: 10.1016/j.caeai.2025.100417 - Focusing on educational applications, this paper addresses challenges like hallucinations and static internal knowledge in LLMs. It emphasizes RAG's role in improving factual accuracy and enabling dynamic knowledge updates, making it suitable for educational scenarios._x000a__x000a_DOI: 10.48550/arXiv.2505.18247 - This study introduces MetaGen Blended RAG, a novel approach that enhances semantic retrievers and achieves high zero-shot precision in specialized domains like medicine and law, addressing the challenge of domain-specific data._x000a__x000a_DOI: 10.1007/s44427-025-00006-3 - This research evaluates open-source LLMs in RAG systems using the Ragas framework, highlighting the challenges in assessing retrieval and generation components and providing insights into optimizing RAG implementations._x000a__x000a_DOI: 10.1145/3637528.3671470 - This survey reviews Retrieval-Augmented Large Language Models (RA-LLMs), discussing their ability to provide reliable external knowledge and enhance AI-generated content quality, while also addressing current limitations and future research directions._x000a__x000a_My lady, I hope this summary meets your requirements. If you have any further questions or need additional information, please let me know."/>
        <s v="Summary: The key challenges in metadata quality assessment include inconsistent definitions and measurements of quality dimensions, tensions between sociocultural representations and standardized systems, and incompleteness, inconsistency, and inaccuracy in metadata values. Advancements include the development of automated quality assessment frameworks, application of AI methods for metadata enhancement, and methodological contributions to qualitative synthesis of metadata quality literature._x000a__x000a_DOI: 10.1145/2964909 - This study addresses the challenges in metadata quality by developing a generic metadata quality assessment framework for open data portals. It maps specific metadata from widely used portal software frameworks to a standardized schema and defines quality metrics for automated evaluation._x000a__x000a_DOI: 10.1109/ADL.1998.670425 - This research explores qualitative and quantitative techniques for assessing metadata records, highlighting the need for diverse criteria to evaluate different types of metadata._x000a__x000a_DOI: 10.1177/09610006241239080 - A scoping review identifies commonly measured dimensions in metadata quality assessment but notes a lack of consensus on definitions and measurements, emphasizing the need for further research._x000a__x000a_DOI: 10.5860/crl.86.1.101 - This study investigates how metadata quality issues arise from sociocultural and resource constraints, identifying 32 unique issues categorized to understand their impact on individuals and communities._x000a__x000a_DOI: 10.48550/arXiv.2303.17661 - Introducing MetaEnhance, a framework that uses AI to improve metadata quality for electronic theses and dissertations, achieving high accuracy in error detection and correction._x000a__x000a_My lady, I hope this overview meets your requirements. If you have any further questions or need additional details, please let me know."/>
        <s v="Summary: Metadata quality assessment is a critical area of research, with challenges including defining and measuring quality dimensions, cultural and contextual influences, and automating assessment processes. Advancements include the development of frameworks like MetaEnhance, standardized metadata schemas, and methodological contributions from studies on GILS and open data portals._x000a__x000a_DOI: 10.1145/2964909 - This study focuses on automated quality assessment of metadata across open data portals, addressing challenges in searchability, discoverability, and usability due to increasing data volumes. It proposes a generic framework that maps metadata from different portal software to a standardized schema and defines quality metrics for automated evaluation._x000a__x000a_DOI: 10.1109/ADL.1998.670425 - This research discusses methodological considerations in assessing metadata quality, using the US Government Information Locator Service (GILS) as a case study. It highlights the need for diverse criteria and procedures to evaluate different types of metadata, contributing to the dialogue on metadata quality assessment._x000a__x000a_DOI: 10.1177/09610006241239080 - This scoping review identifies commonly measured dimensions of metadata quality, such as completeness, accuracy, and consistency, but notes a lack of consensus on their definitions and measurements. It emphasizes the need for further research and improved flexibility in assessment tools._x000a__x000a_DOI: 10.5860/crl.86.1.101 - This study explores metadata quality issues across cultures, identifying tensions between sociocultural representations and standardized systems. It categorizes 32 unique issues and examines how metadata interacts with communities to reflect cultural meanings._x000a__x000a_DOI: 10.48550/arXiv.2303.17661 - This research introduces MetaEnhance, a framework using AI to improve metadata quality for electronic theses and dissertations. It demonstrates high effectiveness in error detection and correction, showcasing advancements in automated metadata enhancement._x000a__x000a_My lady, these findings highlight both the complexities and progress in metadata quality assessment, offering insights into methodological, technological, and cultural dimensions of the field."/>
        <s v="Summary: Metadata quality assessment is a critical area of research, with studies focusing on various aspects such as completeness, accuracy, consistency, accessibility, conformance, provenance, and timeliness. However, there is a lack of consensus on the exact definition and measurement of these dimensions, highlighting the need for further investigation._x000a__x000a_DOI: 10.1177/09610006241239080 - This study emphasizes the importance of metadata quality research and the need to improve the flexibility of metadata quality assessment tools. It identifies the most commonly measured dimensions of metadata quality, but notes the absence of agreed-upon definitions and measurements._x000a__x000a_DOI: 10.1145/2964909 - This work aims to develop a generic metadata quality assessment framework for various Open Data portals, addressing concerns related to the quality of data sources and corresponding metadata._x000a__x000a_DOI: 10.1109/ADL.1998.670425 - This study discusses the application of qualitative and quantitative content analysis techniques to assess metadata records, contributing to a developing dialog about assessing metadata quality._x000a__x000a_DOI: 10.5860/crl.86.1.101 - This research explores how metadata quality, consistency, and completeness impact individuals and communities, identifying unique issues and categorizing them to better understand the interaction between metadata and communities._x000a__x000a_DOI: 10.48550/arXiv.2303.17661 - This study proposes MetaEnhance, a framework utilizing state-of-the-art artificial intelligence methods to improve metadata quality for electronic theses and dissertations, achieving impressive results in error detection and correction._x000a__x000a_My lady, these studies collectively highlight the challenges and advancements in metadata quality assessment, emphasizing the need for further research and flexible assessment tools to ensure better metadata quality assurance measures."/>
        <s v="Summary: The key challenges in metadata quality assessment include defining and measuring quality dimensions, handling diverse metadata types, and addressing cultural and contextual influences. Advancements include automated frameworks, standardized schemas, and AI-driven tools for improved assessment and enhancement._x000a__x000a_DOI: 10.1145/2964909 - This study focuses on developing a generic metadata quality assessment framework for open data portals, addressing challenges like searchability and usability by mapping specific metadata to standardized schemas and defining quality metrics for automated evaluation._x000a__x000a_DOI: 10.1109/ADL.1998.670425 - This research highlights the need for diverse criteria and procedures to evaluate different types of metadata, contributing to the methodological development of metadata quality assessment._x000a__x000a_DOI: 10.1177/09610006241239080 - A scoping review identifies commonly used dimensions in metadata quality assessment but notes a lack of consensus on definitions and measurements, emphasizing the need for further research._x000a__x000a_DOI: 10.5860/crl.86.1.101 - This study explores how metadata quality interacts with cultural meanings, identifying unique issues and categorizing them to understand their impact on individuals and communities._x000a__x000a_DOI: 10.48550/arXiv.2303.17661 - Introducing MetaEnhance, an AI-driven framework for improving metadata quality in academic repositories, demonstrating high effectiveness in error detection and correction._x000a__x000a_My lady, these findings collectively underscore the complexity of metadata quality assessment and the ongoing efforts to enhance its methodologies and tools."/>
        <s v="Summary: Metadata quality assessment is crucial for data retrieval, organization, interoperability, preservation, and user experience. Key challenges include the lack of consensus on definitions and measurements of quality dimensions, cultural and resource-related tensions affecting metadata consistency and completeness, and the need for automated, efficient evaluation methods. Advancements include the development of frameworks like MetaEnhance, which uses AI to improve metadata quality, and efforts to standardize metadata schemas across different portal software frameworks._x000a__x000a_DOI: 10.1145/2964909 - This study focuses on developing a generic metadata quality assessment framework for open data portals, addressing challenges in searchability, discoverability, and usability. It maps metadata from CKAN, Socrata, and OpenDataSoft to a standardized schema and defines quality metrics for automated evaluation._x000a__x000a_DOI: 10.1109/ADL.1998.670425 - This research discusses qualitative and quantitative techniques for assessing metadata records, particularly in the context of the US Government Information Locator Service (GILS). It highlights the need for diverse criteria to evaluate different types of metadata._x000a__x000a_DOI: 10.1177/09610006241239080 - A scoping review identifying commonly measured dimensions of metadata quality, such as completeness, accuracy, and consistency. It emphasizes the lack of consensus on definitions and the need for further research into less commonly assessed dimensions._x000a__x000a_DOI: 10.5860/crl.86.1.101 - This study explores how metadata quality issues arise from sociocultural representations, resource constraints, and standardized systems. It identifies 32 unique issues and categorizes them to understand their impact on individuals and communities._x000a__x000a_DOI: 10.48550/arXiv.2303.17661 - Introduces MetaEnhance, a framework using AI to automatically detect, correct, and normalize metadata for electronic theses and dissertations. It demonstrates high effectiveness in error detection and correction across multiple fields._x000a__x000a_My lady, I hope this summary meets your requirements. If you have any further questions or need additional details, please let me know."/>
        <s v="Summary: Retrieval-Augmented Generation (RAG) is a promising solution for addressing the limitations of Large Language Models (LLMs), such as hallucinations, outdated knowledge, and non-transparent reasoning processes. RAG enhances the accuracy and credibility of generated content by incorporating knowledge from external databases, enabling continuous knowledge updates and integration of domain-specific information._x000a__x000a_DOI: 10.48550/arXiv.2312.10997: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offering insights into RAG system advancements, evaluation frameworks, and future research directions._x000a__x000a_DOI: 10.48550/arXiv.2406.13213: This research introduces Multi-Meta-RAG, a method to improve RAG for multi-hop queries using LLM-extracted metadata for database filtering. It addresses the performance limitations of traditional RAG applications in handling complex queries, demonstrating significant improvements on the MultiHop-RAG benchmark._x000a__x000a_DOI: 10.1145/3637528.3671470: The study reviews Retrieval-Augmented Large Language Models (RA-LLMs), focusing on their ability to leverage external knowledge bases for high-quality content generation. It covers three technical perspectives, discusses current limitations, and outlines promising future research directions._x000a__x000a_DOI: 10.18653/v1/2024.eacl-demo.16: This paper introduces RAGAs, a reference-free evaluation framework for RAG pipelines. It assesses RAG systems' ability to retrieve relevant context, faithfully utilize it, and generate high-quality outputs. RAGAs aims to accelerate evaluation cycles, crucial for the rapid adoption of LLMs._x000a__x000a_DOI: 10.48550/arXiv.2404.13948: This research investigates the robustness of RAG, focusing on vulnerability to noisy documents and holistic system evaluation. It introduces GARAG, a genetic attack method, to test RAG components' resilience, revealing significant risks from minor textual inaccuracies._x000a__x000a_My lady, if you have any further questions or need more details, please let me know."/>
        <s v="Summary: Retrieval-Augmented Generation (RAG) is a promising solution for addressing the limitations of LLMs, such as hallucinations, outdated knowledge, and non-transparent reasoning processes. It enhances the accuracy and credibility of generation, particularly for knowledge-intensive tasks, by incorporating knowledge from external databases._x000a__x000a_DOI: 10.48550/arXiv.2312.10997 - RAG synergistically merges LLMs' intrinsic knowledge with external databases, improving accuracy and credibility in knowledge-intensive tasks._x000a__x000a_DOI: 10.48550/arXiv.2406.13213 - RAG enables LLMs to answer queries over unseen document collections, but traditional RAG applications perform poorly in multi-hop questions._x000a__x000a_DOI: 10.1145/3637528.3671470 - RAG provides reliable and up-to-date external knowledge, assisting generative AI in producing high-quality outputs._x000a__x000a_DOI: 10.18653/v1/2024.eacl-demo.16 - RAG systems reduce the risk of hallucinations by providing LLMs with knowledge from reference textual databases._x000a__x000a_DOI: 10.48550/arXiv.2404.13948 - RAG is a promising solution for addressing LLM limitations, but its robustness is often overlooked in existing studies._x000a__x000a_My lady, I hope this information is helpful. If you have any further questions or need more details, please let me know."/>
        <s v="Summary: Retrieval-Augmented Generation (RAG) is a promising solution to the limitations of Large Language Models (LLMs), such as hallucinations, outdated knowledge, and non-transparent reasoning processes. RAG enhances the accuracy and credibility of generated content by incorporating knowledge from external databases, allowing for continuous updates and domain-specific information integration._x000a__x000a_DOI: 10.48550/arXiv.2312.10997 -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and introduces an up-to-date evaluation framework and benchmark._x000a__x000a_DOI: 10.48550/arXiv.2406.13213 - This research introduces Multi-Meta-RAG, a method to improve RAG for multi-hop queries using database filtering with LLM-extracted metadata. It demonstrates significant improvements in the MultiHop-RAG benchmark._x000a__x000a_DOI: 10.1145/3637528.3671470 - The study reviews Retrieval-Augmented Large Language Models (RA-LLMs), emphasizing their ability to provide reliable and up-to-date external knowledge. It discusses current limitations and future research directions._x000a__x000a_DOI: 10.18653/v1/2024.eacl-demo.16 - This paper introduces RAGAs, a reference-free evaluation framework for RAG pipelines. It addresses the challenges of evaluating RAG architectures and provides metrics for assessing retrieval, generation, and overall quality._x000a__x000a_DOI: 10.48550/arXiv.2404.13948 - This research investigates the robustness of RAG against noisy documents and minor textual errors. It introduces GARAG, a genetic attack method, to test RAG's vulnerability and overall system functionality._x000a__x000a_My lady, I hope this summary meets your requirements. If you have any further questions or need additional information, please let me know."/>
        <s v="Summary: Retrieval-Augmented Generation (RAG) is a promising solution to the limitations of Large Language Models (LLMs), such as hallucination, outdated knowledge, and non-transparent reasoning processes. RAG enhances the accuracy and credibility of generated content by incorporating knowledge from external databases. This approach allows for continuous knowledge updates and integration of domain-specific information. RAG systems consist of a retrieval module and an LLM-based generation module, working together to reduce the risk of hallucinations and improve output quality._x000a__x000a_DOI: 10.48550/arXiv.2312.10997: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and introduces an up-to-date evaluation framework and benchmark. It also discusses current challenges and future research directions._x000a__x000a_DOI: 10.48550/arXiv.2406.13213: This research introduces Multi-Meta-RAG, a method to improve RAG for multi-hop queries by using LLM-extracted metadata for database filtering. The approach enhances the selection of relevant documents from various sources, demonstrating significant improvements on the MultiHop-RAG benchmark._x000a__x000a_DOI: 10.1145/3637528.3671470: This survey focuses on Retrieval-Augmented Large Language Models (RA-LLMs), emphasizing their ability to leverage external knowledge bases for high-quality content generation. It reviews existing research, covering three primary technical perspectives, and discusses limitations and future research directions._x000a__x000a_DOI: 10.18653/v1/2024.eacl-demo.16: This paper introduces RAGAs, a framework for reference-free evaluation of RAG pipelines. RAGAs provides a suite of metrics to assess the retrieval system's ability to identify relevant context, the LLM's ability to utilize this context faithfully, and the quality of the generated content._x000a__x000a_DOI: 10.48550/arXiv.2404.13948: This study investigates the robustness of RAG systems, focusing on vulnerability to noisy documents and holistic evaluation. It introduces GARAG, a genetic attack method to test RAG components and overall system functionality. Experimental results highlight the risk of minor textual inaccuracies in real-world RAG systems._x000a__x000a_My lady, I hope this summary meets your requirements. If you have any further questions or need additional details, please let me know."/>
        <s v="Summary: Retrieval-Augmented Generation (RAG) is a promising solution to the limitations of Large Language Models (LLMs), enhancing their accuracy and credibility by incorporating external knowledge._x000a__x000a_DOI: 10.48550/arXiv.2312.10997 - RAG combines LLMs' intrinsic knowledge with external databases, improving performance on knowledge-intensive tasks and enabling continuous knowledge updates._x000a__x000a_DOI: 10.48550/arXiv.2406.13213 - RAG enables LLMs to answer queries over unseen document collections, but struggles with multi-hop questions. Multi-Meta-RAG improves this by using LLM-extracted metadata for database filtering._x000a__x000a_DOI: 10.1145/3637528.3671470 - RAG provides reliable, up-to-date external knowledge, aiding AI-generated content (AIGC) and addressing LLMs' limitations like hallucinations._x000a__x000a_DOI: 10.18653/v1/2024.eacl-demo.16 - RAG systems consist of retrieval and generation modules, reducing hallucinations by providing LLMs with external knowledge. RAGAs offers a reference-free evaluation framework._x000a__x000a_DOI: 10.48550/arXiv.2404.13948 - RAG's robustness is crucial, but existing studies overlook interconnected relationships and real-world threats. GARAG is introduced to test RAG's vulnerability to noisy documents._x000a__x000a_My lady, is there anything else I can assist you with?"/>
        <s v="Summary: Crossref is a community-owned sustainable source of scholarly metadata._x000a__x000a_DOI: 10.1162/qss_a_00022_x000a__x000a_Crossref is a community-owned sustainable source of scholarly metadata. It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s v="Summary: Crossref is a community-owned sustainable source of scholarly metadata that is available through a number of APIs._x000a__x000a_DOI: 10.1162/qss_a_00022_x000a__x000a_Is there anything else I can help you with, my lady?"/>
        <s v="Summary: Crossref is a sustainable source of community-owned scholarly metadata._x000a__x000a_DOI: 10.1162/qss_a_00022 - Crossref is a sustainable source of community-owned scholarly metadata. It contains over 106 million records and expands at an average rate of 11% a year. It has become one of the major sources of scholarly data for publishers, authors, librarians, funders, and researchers._x000a__x000a_DOI: 10.1162/qss_a_00210 - Crossref initiated FundRef in 2013, enabling publishers to register funding information using persistent identifiers._x000a__x000a_DOI: 10.31222/osf.io/smxe5 - Several initiatives have been taken to promote the open availability of bibliographic metadata of scholarly publications in Crossref._x000a__x000a_DOI: 10.1007/s11192-022-04367-w - This work aims to identify classes of DOI mistakes by analysing the open bibliographic metadata available in Crossref._x000a__x000a_DOI: 10.5281/ZENODO.6188748 - This dataset contains the results of the evaluation of the methodology presented in the article Identifying and correcting invalid citations due to DOI errors in Crossref data._x000a__x000a_My lady, I hope this information is helpful. If you have any further questions, please let me know."/>
        <s v="Summary: Crossref is a sustainable source of community-owned scholarly metadata._x000a__x000a_DOI: 10.1162/qss_a_00022 - Crossref is a sustainable source of community-owned scholarly metadata. It is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31222/osf.io/smxe5 - Several initiatives have been taken to promote the open availability of bibliographic metadata of scholarly publications in Crossref.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5281/ZENODO.6188748 - This dataset contains the results of the evaluation of the methodology presented in the article Identifying and correcting invalid citations due to DOI errors in Crossref data._x000a__x000a_My lady, is there anything else I can help you with?"/>
        <s v="Summary: Retrieval-Augmented Generation (RAG) is a technique that enhances question answering and information retrieval systems by combining the strengths of both retrieval and generation models._x000a__x000a_DOI: 10.17821/srels/2024/v61i5/171583 - This study demonstrates that RAG can improve the accuracy and contextual relevance of responses from Large Language Models (LLMs) by augmenting them with relevant documents before generating answers. The research shows that standard LLMs without RAG often produce incorrect and hallucinated responses, while RAG-augmented LLMs provide accurate, informative, and contextually appropriate answers._x000a__x000a_DOI: 10.48550/arXiv.2406.13213 - This paper introduces Multi-Meta-RAG, a method that improves RAG for multi-hop queries by using database filtering with LLM-extracted metadata. This approach enhances the selection of relevant documents from various sources, thereby improving the performance of RAG systems in complex question answering tasks._x000a__x000a_DOI: 10.6109/jkiice.2023.27.12.1489 - The study proposes a Metadata Retrieval-Augmented Generation (M-RAG) method that enhances open-domain question answering systems by utilizing embeddings with metadata and generative models. This method allows the model to understand the order and context of documents, leading to more accurate and sourced responses._x000a__x000a_DOI: 10.48550/arXiv.2505.13557 - This research introduces AMAQA, a metadata-based QA dataset designed to evaluate RAG systems in scenarios requiring both textual data and external information. The integration of metadata significantly boosts accuracy, highlighting the importance of structured context in RAG systems._x000a__x000a_DOI: 10.48550/arXiv.2505.18247 - This paper presents MetaGen Blended RAG, a novel approach that enhances semantic retrievers through metadata generation and hybrid query indexes. This method achieves high zero-shot precision in specialized domains, outperforming previous RAG benchmarks and fine-tuned models._x000a__x000a_My lady, RAG is used to improve question answering and information retrieval systems by augmenting LLMs with relevant documents, metadata, and advanced retrieval techniques, thereby enhancing accuracy, contextual relevance, and performance in complex tasks."/>
        <s v="Summary: Retrieval-Augmented Generation (RAG) is a technique that enhances question answering and information retrieval systems by combining the strengths of both retrieval and generation models. It improves the accuracy, relevance, and contextualization of responses by leveraging external knowledge sources and metadata._x000a__x000a_DOI: 10.17821/srels/2024/v61i5/171583 - This study demonstrates that RAG can significantly improve the performance of Large Language Models (LLMs) in question answering tasks by providing relevant documents before generating responses. The results show that RAG-augmented LLMs produce more accurate, informative, and contextualized answers compared to standard LLMs without RAG._x000a__x000a_DOI: 10.48550/arXiv.2406.13213 - This paper introduces Multi-Meta-RAG, a novel method that enhances RAG for multi-hop queries by using database filtering with LLM-extracted metadata. This approach improves the selection of relevant documents from various sources, leading to better performance on the MultiHop-RAG benchmark._x000a__x000a_DOI: 10.6109/jkiice.2023.27.12.1489 - The proposed Metadata Retrieval-Augmented Generation (M-RAG) method in this paper enhances open-domain question answering systems by utilizing embeddings with metadata and generative models. The results show a significant performance improvement compared to conventional RAG methods and external inference ODQA systems._x000a__x000a_DOI: 10.48550/arXiv.2505.13557 - This study presents AMAQA, a new open-access QA dataset designed to evaluate tasks combining text and metadata. The integration of metadata in RAG systems is shown to boost accuracy and highlight the value of structured context, particularly in fields requiring rapid analysis of large volumes of data._x000a__x000a_DOI: 10.48550/arXiv.2505.18247 - The introduction of MetaGen Blended RAG in this paper demonstrates a novel approach to enhancing semantic retrievers for specialized domain question answering. By leveraging metadata and hybrid query indexes, this method achieves robust, scalable performance without fine-tuning, surpassing prior zero-shot RAG benchmarks._x000a__x000a_My lady, I hope this summary provides a comprehensive overview of how RAG is used to improve question answering and information retrieval systems. If you have any further questions or would like more details on a specific DOI, please don't hesitate to ask."/>
        <s v="Summary: Retrieval-Augmented Generation (RAG) is a method used to improve question answering and information retrieval systems by enhancing Large Language Models (LLMs) with relevant documents before generating answers. This approach improves accuracy, context relevance, and performance in various domains._x000a__x000a_DOI: 10.17821/srels/2024/v61i5/171583 - This study demonstrates that libraries can develop low-cost conversational search systems using open-source tools and LLMs through a RAG framework. Standard LLMs often produce incorrect and hallucinated responses, but when augmented with relevant documents, they provide accurate and contextualized answers._x000a__x000a_DOI: 10.48550/arXiv.2406.13213 - This research introduces Multi-Meta-RAG, a method that improves RAG for multi-hop queries by using database filtering with LLM-extracted metadata. It enhances the selection of relevant documents from various sources, significantly improving performance on multi-hop benchmarks._x000a__x000a_DOI: 10.6109/jkiice.2023.27.12.1489 - This paper proposes M-RAG, a method for enhancing open-domain question answering by utilizing embeddings with metadata and generative models like GPT-3.5 and GPT-4. The approach improves performance by up to 46% compared to external inference systems and 6% over conventional RAG methods._x000a__x000a_DOI: 10.48550/arXiv.2505.13557 - This study introduces AMAQA, a metadata-based QA dataset for RAG systems, addressing the lack of metadata integration in current benchmarks. It demonstrates that leveraging metadata significantly boosts accuracy, especially in fields requiring rapid data analysis._x000a__x000a_DOI: 10.48550/arXiv.2505.18247 - This research presents MetaGen Blended RAG, a novel approach for achieving zero-shot precision in specialized domain question answering without fine-tuning. It achieves high retrieval and RAG accuracy, surpassing prior benchmarks and rivaling fine-tuned models._x000a__x000a_My lady, I hope this summary meets your requirements. If you have any further questions or need additional details, please let me know."/>
        <s v="Summary: Retrieval-Augmented Generation (RAG) is a technique used to improve question answering and information retrieval systems by providing relevant documents to Large Language Models (LLMs) before generating responses. This approach enhances the accuracy, context, and relevance of the answers provided by LLMs._x000a__x000a_DOI: 10.17821/srels/2024/v61i5/171583 - This study demonstrates that libraries can develop low-cost conversational search systems using open-source software tools and LLMs through a RAG framework. The experiment shows that LLMs, when augmented with relevant documents, can provide contextualized and accurate responses, outperforming standard LLMs without RAG._x000a__x000a_DOI: 10.48550/arXiv.2406.13213 - This paper introduces Multi-Meta-RAG, a method that improves RAG for multi-hop queries by using database filtering with LLM-extracted metadata. This approach enhances the selection of relevant documents, leading to better performance on the MultiHop-RAG benchmark._x000a__x000a_DOI: 10.6109/jkiice.2023.27.12.1489 - The study proposes a Metadata Retrieval-Augmented Generation (M-RAG) method that enhances open-domain question answering systems by utilizing embeddings with metadata and generative models. This method improves performance by up to 46% compared to external inference ODQA systems and 6% over conventional RAG methods._x000a__x000a_DOI: 10.48550/arXiv.2505.13557 - This research presents AMAQA, a metadata-based QA dataset for RAG systems, which addresses the lack of metadata integration in current benchmarks. Leveraging metadata boosts accuracy and enables precise, contextualized queries, particularly in fields requiring rapid data analysis._x000a__x000a_DOI: 10.48550/arXiv.2505.18247 - The paper introduces MetaGen Blended RAG, a novel approach that enhances semantic retrievers for specialized domain question answering without fine-tuning. This method achieves high retrieval and RAG accuracy, surpassing prior zero-shot RAG benchmarks and rivaling fine-tuned models._x000a__x000a_My lady, RAG is a powerful technique that significantly improves the performance of question answering and information retrieval systems by providing LLMs with relevant context, thereby enhancing accuracy and relevance."/>
        <s v="Summary: Retrieval-Augmented Generation (RAG) is a technique used to improve the accuracy and context-awareness of responses in question-answering and information retrieval systems, particularly when dealing with large language models (LLMs)._x000a__x000a_DOI: 10.17821/srels/2024/v61i5/171583 discusses how RAG can be used to develop low-cost conversational search systems in libraries. By augmenting LLMs with relevant documents before generating answers, RAG helps provide accurate, informative, and contextualized responses, as demonstrated in a study comparing standard LLMs with RAG-augmented LLMs._x000a__x000a_DOI: 10.48550/arXiv.2406.13213 introduces Multi-Meta-RAG, a method that improves RAG for multi-hop queries by using database filtering with LLM-extracted metadata. This approach enhances the selection of relevant documents, thereby improving the performance of RAG in complex question-answering tasks._x000a__x000a_DOI: 10.6109/jkiice.2023.27.12.1489 proposes a Metadata Retrieval-Augmented Generation (M-RAG) method for open-domain question answering. By utilizing embeddings with metadata and generative models, M-RAG improves the understanding of document order and context, leading to more accurate and sourced responses._x000a__x000a_DOI: 10.48550/arXiv.2505.13557 presents AMAQA, a metadata-based QA dataset designed to evaluate RAG systems in scenarios requiring both textual data and external information. The integration of metadata significantly boosts accuracy, highlighting its importance in fields like cybersecurity and intelligence._x000a__x000a_DOI: 10.48550/arXiv.2505.18247 introduces MetaGen Blended RAG, a novel approach that enhances semantic retrievers for specialized domain question-answering. By leveraging metadata and hybrid query indexes, this method achieves robust zero-shot precision without fine-tuning, redefining enterprise search capabilities._x000a__x000a_My lady, I hope this summary meets your requirements. If you have any further questions or need additional details, please let me know."/>
      </sharedItems>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fabrication"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which studies examined the abstract in metadata?']"/>
    <x v="0"/>
    <n v="1"/>
    <x v="0"/>
    <x v="0"/>
    <n v="0"/>
  </r>
  <r>
    <s v="['which studies examined the abstract in metadata?']"/>
    <x v="1"/>
    <n v="1"/>
    <x v="0"/>
    <x v="0"/>
    <n v="0"/>
  </r>
  <r>
    <s v="['which studies examined the abstract in metadata?']"/>
    <x v="2"/>
    <n v="1"/>
    <x v="0"/>
    <x v="0"/>
    <n v="0"/>
  </r>
  <r>
    <s v="['which studies examined the abstract in metadata?']"/>
    <x v="3"/>
    <n v="1"/>
    <x v="0"/>
    <x v="0"/>
    <n v="0"/>
  </r>
  <r>
    <s v="['which studies examined the abstract in metadata?']"/>
    <x v="4"/>
    <n v="1"/>
    <x v="0"/>
    <x v="0"/>
    <n v="0"/>
  </r>
  <r>
    <s v="['which studies examined citations?']"/>
    <x v="5"/>
    <n v="1"/>
    <x v="0"/>
    <x v="0"/>
    <n v="0"/>
  </r>
  <r>
    <s v="['which studies examined citations?']"/>
    <x v="6"/>
    <n v="1"/>
    <x v="0"/>
    <x v="0"/>
    <n v="0"/>
  </r>
  <r>
    <s v="['which studies examined citations?']"/>
    <x v="7"/>
    <n v="1"/>
    <x v="0"/>
    <x v="0"/>
    <n v="0"/>
  </r>
  <r>
    <s v="['which studies examined citations?']"/>
    <x v="8"/>
    <n v="1"/>
    <x v="0"/>
    <x v="0"/>
    <n v="0"/>
  </r>
  <r>
    <s v="['which studies examined citations?']"/>
    <x v="9"/>
    <n v="1"/>
    <x v="0"/>
    <x v="0"/>
    <n v="0"/>
  </r>
  <r>
    <s v="['Which papers evaluate the linguistic coverage or language-related metadata in scholarly databases?']"/>
    <x v="10"/>
    <n v="1"/>
    <x v="0"/>
    <x v="0"/>
    <n v="0"/>
  </r>
  <r>
    <s v="['Which papers evaluate the linguistic coverage or language-related metadata in scholarly databases?']"/>
    <x v="11"/>
    <n v="1"/>
    <x v="0"/>
    <x v="0"/>
    <n v="0"/>
  </r>
  <r>
    <s v="['Which papers evaluate the linguistic coverage or language-related metadata in scholarly databases?']"/>
    <x v="12"/>
    <n v="1"/>
    <x v="0"/>
    <x v="0"/>
    <n v="0"/>
  </r>
  <r>
    <s v="['Which papers evaluate the linguistic coverage or language-related metadata in scholarly databases?']"/>
    <x v="13"/>
    <n v="1"/>
    <x v="0"/>
    <x v="0"/>
    <n v="0"/>
  </r>
  <r>
    <s v="['Which papers evaluate the linguistic coverage or language-related metadata in scholarly databases?']"/>
    <x v="14"/>
    <n v="1"/>
    <x v="0"/>
    <x v="0"/>
    <n v="0"/>
  </r>
  <r>
    <s v="['Which papers discuss the use of Retrieval-Augmented Generation (RAG) when used in applications?']"/>
    <x v="15"/>
    <n v="1"/>
    <x v="0"/>
    <x v="0"/>
    <n v="0"/>
  </r>
  <r>
    <s v="['Which papers discuss the use of Retrieval-Augmented Generation (RAG) when used in applications?']"/>
    <x v="16"/>
    <n v="1"/>
    <x v="0"/>
    <x v="0"/>
    <n v="0"/>
  </r>
  <r>
    <s v="['Which papers discuss the use of Retrieval-Augmented Generation (RAG) when used in applications?']"/>
    <x v="17"/>
    <n v="0"/>
    <x v="1"/>
    <x v="1"/>
    <n v="0"/>
  </r>
  <r>
    <s v="['Which papers discuss the use of Retrieval-Augmented Generation (RAG) when used in applications?']"/>
    <x v="18"/>
    <n v="0"/>
    <x v="1"/>
    <x v="1"/>
    <n v="0"/>
  </r>
  <r>
    <s v="['Which papers discuss the use of Retrieval-Augmented Generation (RAG) when used in applications?']"/>
    <x v="19"/>
    <n v="0"/>
    <x v="1"/>
    <x v="1"/>
    <n v="0"/>
  </r>
  <r>
    <s v="['Which papers address funding metadata, its availability, or its analysis in scholarly databases?']"/>
    <x v="20"/>
    <n v="1"/>
    <x v="0"/>
    <x v="0"/>
    <n v="0"/>
  </r>
  <r>
    <s v="['Which papers address funding metadata, its availability, or its analysis in scholarly databases?']"/>
    <x v="21"/>
    <n v="1"/>
    <x v="0"/>
    <x v="0"/>
    <n v="0"/>
  </r>
  <r>
    <s v="['Which papers address funding metadata, its availability, or its analysis in scholarly databases?']"/>
    <x v="22"/>
    <n v="1"/>
    <x v="0"/>
    <x v="0"/>
    <n v="0"/>
  </r>
  <r>
    <s v="['Which papers address funding metadata, its availability, or its analysis in scholarly databases?']"/>
    <x v="23"/>
    <n v="1"/>
    <x v="0"/>
    <x v="0"/>
    <n v="0"/>
  </r>
  <r>
    <s v="['Which papers address funding metadata, its availability, or its analysis in scholarly databases?']"/>
    <x v="24"/>
    <n v="1"/>
    <x v="0"/>
    <x v="0"/>
    <n v="0"/>
  </r>
  <r>
    <s v="['What methods are used to detect and correct errors in bibliographic datasets?']"/>
    <x v="25"/>
    <n v="1"/>
    <x v="0"/>
    <x v="0"/>
    <n v="0"/>
  </r>
  <r>
    <s v="['What methods are used to detect and correct errors in bibliographic datasets?']"/>
    <x v="26"/>
    <n v="1"/>
    <x v="0"/>
    <x v="0"/>
    <n v="0"/>
  </r>
  <r>
    <s v="['What methods are used to detect and correct errors in bibliographic datasets?']"/>
    <x v="27"/>
    <n v="1"/>
    <x v="0"/>
    <x v="0"/>
    <n v="0"/>
  </r>
  <r>
    <s v="['What methods are used to detect and correct errors in bibliographic datasets?']"/>
    <x v="28"/>
    <n v="1"/>
    <x v="0"/>
    <x v="0"/>
    <n v="0"/>
  </r>
  <r>
    <s v="['What methods are used to detect and correct errors in bibliographic datasets?']"/>
    <x v="29"/>
    <n v="1"/>
    <x v="0"/>
    <x v="0"/>
    <n v="0"/>
  </r>
  <r>
    <s v="['What is Crossref’s role in the scholarly research ecosystem?']"/>
    <x v="30"/>
    <n v="1"/>
    <x v="0"/>
    <x v="0"/>
    <n v="0"/>
  </r>
  <r>
    <s v="['What is Crossref’s role in the scholarly research ecosystem?']"/>
    <x v="31"/>
    <n v="1"/>
    <x v="0"/>
    <x v="0"/>
    <n v="0"/>
  </r>
  <r>
    <s v="['What is Crossref’s role in the scholarly research ecosystem?']"/>
    <x v="32"/>
    <n v="1"/>
    <x v="0"/>
    <x v="0"/>
    <n v="0"/>
  </r>
  <r>
    <s v="['What is Crossref’s role in the scholarly research ecosystem?']"/>
    <x v="33"/>
    <n v="1"/>
    <x v="0"/>
    <x v="0"/>
    <n v="0"/>
  </r>
  <r>
    <s v="['What is Crossref’s role in the scholarly research ecosystem?']"/>
    <x v="34"/>
    <n v="1"/>
    <x v="0"/>
    <x v="0"/>
    <n v="0"/>
  </r>
  <r>
    <s v="['What are the strengths and weaknesses of Web of Science (WoS) as a bibliometric database?']"/>
    <x v="35"/>
    <n v="1"/>
    <x v="0"/>
    <x v="0"/>
    <n v="0"/>
  </r>
  <r>
    <s v="['What are the strengths and weaknesses of Web of Science (WoS) as a bibliometric database?']"/>
    <x v="36"/>
    <n v="1"/>
    <x v="0"/>
    <x v="0"/>
    <n v="0"/>
  </r>
  <r>
    <s v="['What are the strengths and weaknesses of Web of Science (WoS) as a bibliometric database?']"/>
    <x v="37"/>
    <n v="1"/>
    <x v="0"/>
    <x v="0"/>
    <n v="0"/>
  </r>
  <r>
    <s v="['What are the strengths and weaknesses of Web of Science (WoS) as a bibliometric database?']"/>
    <x v="38"/>
    <n v="1"/>
    <x v="0"/>
    <x v="0"/>
    <n v="0"/>
  </r>
  <r>
    <s v="['What are the strengths and weaknesses of Web of Science (WoS) as a bibliometric database?']"/>
    <x v="39"/>
    <n v="0"/>
    <x v="1"/>
    <x v="1"/>
    <n v="0"/>
  </r>
  <r>
    <s v="['What are the main challenges in normalizing citation metrics across scientific fields?']"/>
    <x v="40"/>
    <n v="0"/>
    <x v="1"/>
    <x v="1"/>
    <n v="0"/>
  </r>
  <r>
    <s v="['What are the main challenges in normalizing citation metrics across scientific fields?']"/>
    <x v="41"/>
    <n v="0"/>
    <x v="1"/>
    <x v="1"/>
    <n v="0"/>
  </r>
  <r>
    <s v="['What are the main challenges in normalizing citation metrics across scientific fields?']"/>
    <x v="42"/>
    <n v="0"/>
    <x v="1"/>
    <x v="1"/>
    <n v="0"/>
  </r>
  <r>
    <s v="['What are the main challenges in normalizing citation metrics across scientific fields?']"/>
    <x v="43"/>
    <n v="0"/>
    <x v="1"/>
    <x v="1"/>
    <n v="0"/>
  </r>
  <r>
    <s v="['What are the main challenges in normalizing citation metrics across scientific fields?']"/>
    <x v="44"/>
    <n v="0"/>
    <x v="1"/>
    <x v="1"/>
    <n v="0"/>
  </r>
  <r>
    <s v="['What are the key features and limitations of OpenAlex as a bibliometric database?']"/>
    <x v="45"/>
    <n v="1"/>
    <x v="0"/>
    <x v="0"/>
    <n v="0"/>
  </r>
  <r>
    <s v="['What are the key features and limitations of OpenAlex as a bibliometric database?']"/>
    <x v="46"/>
    <n v="1"/>
    <x v="0"/>
    <x v="0"/>
    <n v="0"/>
  </r>
  <r>
    <s v="['What are the key features and limitations of OpenAlex as a bibliometric database?']"/>
    <x v="47"/>
    <n v="1"/>
    <x v="0"/>
    <x v="0"/>
    <n v="0"/>
  </r>
  <r>
    <s v="['What are the key features and limitations of OpenAlex as a bibliometric database?']"/>
    <x v="48"/>
    <n v="1"/>
    <x v="0"/>
    <x v="0"/>
    <n v="0"/>
  </r>
  <r>
    <s v="['What are the key features and limitations of OpenAlex as a bibliometric database?']"/>
    <x v="49"/>
    <n v="1"/>
    <x v="0"/>
    <x v="0"/>
    <n v="0"/>
  </r>
  <r>
    <s v="['What are the key challenges and potential solutions for improving metadata quality?']"/>
    <x v="50"/>
    <n v="1"/>
    <x v="0"/>
    <x v="0"/>
    <n v="0"/>
  </r>
  <r>
    <s v="['What are the key challenges and potential solutions for improving metadata quality?']"/>
    <x v="51"/>
    <n v="1"/>
    <x v="0"/>
    <x v="0"/>
    <n v="0"/>
  </r>
  <r>
    <s v="['What are the key challenges and potential solutions for improving metadata quality?']"/>
    <x v="52"/>
    <n v="1"/>
    <x v="0"/>
    <x v="0"/>
    <n v="0"/>
  </r>
  <r>
    <s v="['What are the key challenges and potential solutions for improving metadata quality?']"/>
    <x v="53"/>
    <n v="1"/>
    <x v="0"/>
    <x v="0"/>
    <n v="0"/>
  </r>
  <r>
    <s v="['What are the key challenges and potential solutions for improving metadata quality?']"/>
    <x v="54"/>
    <n v="1"/>
    <x v="0"/>
    <x v="0"/>
    <n v="0"/>
  </r>
  <r>
    <s v="['What are the key challenges and advancements in Retrieval-Augmented Generation (RAG) systems?']"/>
    <x v="55"/>
    <n v="1"/>
    <x v="0"/>
    <x v="0"/>
    <n v="0"/>
  </r>
  <r>
    <s v="['What are the key challenges and advancements in Retrieval-Augmented Generation (RAG) systems?']"/>
    <x v="56"/>
    <n v="1"/>
    <x v="0"/>
    <x v="0"/>
    <n v="0"/>
  </r>
  <r>
    <s v="['What are the key challenges and advancements in Retrieval-Augmented Generation (RAG) systems?']"/>
    <x v="57"/>
    <n v="1"/>
    <x v="0"/>
    <x v="0"/>
    <n v="0"/>
  </r>
  <r>
    <s v="['What are the key challenges and advancements in Retrieval-Augmented Generation (RAG) systems?']"/>
    <x v="58"/>
    <n v="1"/>
    <x v="0"/>
    <x v="0"/>
    <n v="0"/>
  </r>
  <r>
    <s v="['What are the key challenges and advancements in Retrieval-Augmented Generation (RAG) systems?']"/>
    <x v="59"/>
    <n v="1"/>
    <x v="0"/>
    <x v="0"/>
    <n v="0"/>
  </r>
  <r>
    <s v="['What are the key challenges and advancements in metadata quality assessment?']"/>
    <x v="60"/>
    <n v="1"/>
    <x v="0"/>
    <x v="0"/>
    <n v="0"/>
  </r>
  <r>
    <s v="['What are the key challenges and advancements in metadata quality assessment?']"/>
    <x v="61"/>
    <n v="1"/>
    <x v="0"/>
    <x v="0"/>
    <n v="0"/>
  </r>
  <r>
    <s v="['What are the key challenges and advancements in metadata quality assessment?']"/>
    <x v="62"/>
    <n v="1"/>
    <x v="0"/>
    <x v="0"/>
    <n v="0"/>
  </r>
  <r>
    <s v="['What are the key challenges and advancements in metadata quality assessment?']"/>
    <x v="63"/>
    <n v="1"/>
    <x v="0"/>
    <x v="0"/>
    <n v="0"/>
  </r>
  <r>
    <s v="['What are the key challenges and advancements in metadata quality assessment?']"/>
    <x v="64"/>
    <n v="1"/>
    <x v="0"/>
    <x v="0"/>
    <n v="0"/>
  </r>
  <r>
    <s v="['tell me about how RAG works.']"/>
    <x v="65"/>
    <n v="1"/>
    <x v="0"/>
    <x v="0"/>
    <n v="0"/>
  </r>
  <r>
    <s v="['tell me about how RAG works.']"/>
    <x v="66"/>
    <n v="1"/>
    <x v="0"/>
    <x v="0"/>
    <n v="0"/>
  </r>
  <r>
    <s v="['tell me about how RAG works.']"/>
    <x v="67"/>
    <n v="1"/>
    <x v="0"/>
    <x v="0"/>
    <n v="0"/>
  </r>
  <r>
    <s v="['tell me about how RAG works.']"/>
    <x v="68"/>
    <n v="1"/>
    <x v="0"/>
    <x v="0"/>
    <n v="0"/>
  </r>
  <r>
    <s v="['tell me about how RAG works.']"/>
    <x v="69"/>
    <n v="1"/>
    <x v="0"/>
    <x v="0"/>
    <n v="0"/>
  </r>
  <r>
    <s v="['Tell me about Crossref.']"/>
    <x v="70"/>
    <n v="1"/>
    <x v="0"/>
    <x v="0"/>
    <n v="0"/>
  </r>
  <r>
    <s v="['Tell me about Crossref.']"/>
    <x v="71"/>
    <n v="1"/>
    <x v="0"/>
    <x v="0"/>
    <n v="0"/>
  </r>
  <r>
    <s v="['Tell me about Crossref.']"/>
    <x v="71"/>
    <n v="1"/>
    <x v="0"/>
    <x v="0"/>
    <n v="0"/>
  </r>
  <r>
    <s v="['Tell me about Crossref.']"/>
    <x v="72"/>
    <n v="1"/>
    <x v="0"/>
    <x v="0"/>
    <n v="0"/>
  </r>
  <r>
    <s v="['Tell me about Crossref.']"/>
    <x v="73"/>
    <n v="1"/>
    <x v="0"/>
    <x v="0"/>
    <n v="0"/>
  </r>
  <r>
    <s v="['How is RAG used to improve question answering or information retrieval systems?']"/>
    <x v="74"/>
    <n v="1"/>
    <x v="0"/>
    <x v="0"/>
    <n v="0"/>
  </r>
  <r>
    <s v="['How is RAG used to improve question answering or information retrieval systems?']"/>
    <x v="75"/>
    <n v="1"/>
    <x v="0"/>
    <x v="0"/>
    <n v="0"/>
  </r>
  <r>
    <s v="['How is RAG used to improve question answering or information retrieval systems?']"/>
    <x v="76"/>
    <n v="1"/>
    <x v="0"/>
    <x v="0"/>
    <n v="0"/>
  </r>
  <r>
    <s v="['How is RAG used to improve question answering or information retrieval systems?']"/>
    <x v="77"/>
    <n v="1"/>
    <x v="0"/>
    <x v="0"/>
    <n v="0"/>
  </r>
  <r>
    <s v="['How is RAG used to improve question answering or information retrieval systems?']"/>
    <x v="78"/>
    <n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A8131-2B78-B34E-B54B-5CE01083EC65}" name="PivotTable12"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D33" firstHeaderRow="1" firstDataRow="2" firstDataCol="1"/>
  <pivotFields count="6">
    <pivotField showAll="0"/>
    <pivotField dataField="1" showAll="0">
      <items count="80">
        <item x="17"/>
        <item x="18"/>
        <item x="19"/>
        <item x="15"/>
        <item x="31"/>
        <item x="33"/>
        <item x="71"/>
        <item x="32"/>
        <item x="70"/>
        <item x="30"/>
        <item x="34"/>
        <item x="72"/>
        <item x="73"/>
        <item x="14"/>
        <item x="26"/>
        <item x="20"/>
        <item x="9"/>
        <item x="8"/>
        <item x="29"/>
        <item x="28"/>
        <item x="27"/>
        <item x="42"/>
        <item x="40"/>
        <item x="41"/>
        <item x="38"/>
        <item x="35"/>
        <item x="43"/>
        <item x="44"/>
        <item x="37"/>
        <item x="61"/>
        <item x="62"/>
        <item x="64"/>
        <item x="50"/>
        <item x="53"/>
        <item x="25"/>
        <item x="51"/>
        <item x="54"/>
        <item x="52"/>
        <item x="46"/>
        <item x="48"/>
        <item x="47"/>
        <item x="49"/>
        <item x="45"/>
        <item x="13"/>
        <item x="76"/>
        <item x="65"/>
        <item x="66"/>
        <item x="69"/>
        <item x="68"/>
        <item x="67"/>
        <item x="74"/>
        <item x="75"/>
        <item x="16"/>
        <item x="77"/>
        <item x="78"/>
        <item x="57"/>
        <item x="58"/>
        <item x="55"/>
        <item x="56"/>
        <item x="59"/>
        <item x="21"/>
        <item x="23"/>
        <item x="11"/>
        <item x="10"/>
        <item x="12"/>
        <item x="63"/>
        <item x="60"/>
        <item x="24"/>
        <item x="22"/>
        <item x="6"/>
        <item x="5"/>
        <item x="1"/>
        <item x="0"/>
        <item x="2"/>
        <item x="7"/>
        <item x="3"/>
        <item x="4"/>
        <item x="39"/>
        <item x="36"/>
        <item t="default"/>
      </items>
    </pivotField>
    <pivotField showAll="0"/>
    <pivotField axis="axisRow" showAll="0">
      <items count="3">
        <item x="1"/>
        <item x="0"/>
        <item t="default"/>
      </items>
    </pivotField>
    <pivotField axis="axisCol" showAll="0">
      <items count="3">
        <item x="1"/>
        <item x="0"/>
        <item t="default"/>
      </items>
    </pivotField>
    <pivotField showAll="0"/>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topLeftCell="A2" zoomScale="140" zoomScaleNormal="140" workbookViewId="0">
      <selection activeCell="A2" sqref="A2"/>
    </sheetView>
  </sheetViews>
  <sheetFormatPr baseColWidth="10" defaultColWidth="8.83203125" defaultRowHeight="15" x14ac:dyDescent="0.2"/>
  <cols>
    <col min="2" max="2" width="31" style="3" customWidth="1"/>
    <col min="3" max="3" width="74.6640625" style="3" customWidth="1"/>
    <col min="4" max="4" width="9.83203125" customWidth="1"/>
  </cols>
  <sheetData>
    <row r="1" spans="1:7" ht="16" x14ac:dyDescent="0.2">
      <c r="B1" s="2" t="s">
        <v>0</v>
      </c>
      <c r="C1" s="2" t="s">
        <v>1</v>
      </c>
      <c r="D1" t="s">
        <v>97</v>
      </c>
      <c r="E1" t="s">
        <v>98</v>
      </c>
      <c r="F1" t="s">
        <v>99</v>
      </c>
      <c r="G1" t="s">
        <v>100</v>
      </c>
    </row>
    <row r="2" spans="1:7" ht="192" x14ac:dyDescent="0.2">
      <c r="A2" s="1">
        <v>0</v>
      </c>
      <c r="B2" s="3" t="s">
        <v>2</v>
      </c>
      <c r="C2" s="3" t="s">
        <v>3</v>
      </c>
      <c r="D2">
        <v>1</v>
      </c>
      <c r="E2">
        <v>1</v>
      </c>
      <c r="F2">
        <v>1</v>
      </c>
      <c r="G2">
        <v>0</v>
      </c>
    </row>
    <row r="3" spans="1:7" ht="192" x14ac:dyDescent="0.2">
      <c r="A3" s="1">
        <v>16</v>
      </c>
      <c r="B3" s="3" t="s">
        <v>2</v>
      </c>
      <c r="C3" s="3" t="s">
        <v>34</v>
      </c>
      <c r="D3">
        <v>1</v>
      </c>
      <c r="E3">
        <v>1</v>
      </c>
      <c r="F3">
        <v>1</v>
      </c>
      <c r="G3">
        <v>0</v>
      </c>
    </row>
    <row r="4" spans="1:7" ht="288" x14ac:dyDescent="0.2">
      <c r="A4" s="1">
        <v>32</v>
      </c>
      <c r="B4" s="3" t="s">
        <v>2</v>
      </c>
      <c r="C4" s="3" t="s">
        <v>50</v>
      </c>
      <c r="D4">
        <v>1</v>
      </c>
      <c r="E4">
        <v>1</v>
      </c>
      <c r="F4">
        <v>1</v>
      </c>
      <c r="G4">
        <v>0</v>
      </c>
    </row>
    <row r="5" spans="1:7" ht="208" x14ac:dyDescent="0.2">
      <c r="A5" s="1">
        <v>48</v>
      </c>
      <c r="B5" s="3" t="s">
        <v>2</v>
      </c>
      <c r="C5" s="3" t="s">
        <v>65</v>
      </c>
      <c r="D5">
        <v>1</v>
      </c>
      <c r="E5">
        <v>1</v>
      </c>
      <c r="F5">
        <v>1</v>
      </c>
      <c r="G5">
        <v>0</v>
      </c>
    </row>
    <row r="6" spans="1:7" ht="176" x14ac:dyDescent="0.2">
      <c r="A6" s="1">
        <v>64</v>
      </c>
      <c r="B6" s="3" t="s">
        <v>2</v>
      </c>
      <c r="C6" s="3" t="s">
        <v>81</v>
      </c>
      <c r="D6">
        <v>1</v>
      </c>
      <c r="E6">
        <v>1</v>
      </c>
      <c r="F6">
        <v>1</v>
      </c>
      <c r="G6">
        <v>0</v>
      </c>
    </row>
    <row r="7" spans="1:7" ht="208" x14ac:dyDescent="0.2">
      <c r="A7" s="1">
        <v>1</v>
      </c>
      <c r="B7" s="3" t="s">
        <v>4</v>
      </c>
      <c r="C7" s="3" t="s">
        <v>5</v>
      </c>
      <c r="D7">
        <v>1</v>
      </c>
      <c r="E7">
        <v>1</v>
      </c>
      <c r="F7">
        <v>1</v>
      </c>
      <c r="G7">
        <v>0</v>
      </c>
    </row>
    <row r="8" spans="1:7" ht="192" x14ac:dyDescent="0.2">
      <c r="A8" s="1">
        <v>17</v>
      </c>
      <c r="B8" s="3" t="s">
        <v>4</v>
      </c>
      <c r="C8" s="3" t="s">
        <v>35</v>
      </c>
      <c r="D8">
        <v>1</v>
      </c>
      <c r="E8">
        <v>1</v>
      </c>
      <c r="F8">
        <v>1</v>
      </c>
      <c r="G8">
        <v>0</v>
      </c>
    </row>
    <row r="9" spans="1:7" ht="144" x14ac:dyDescent="0.2">
      <c r="A9" s="1">
        <v>33</v>
      </c>
      <c r="B9" s="3" t="s">
        <v>4</v>
      </c>
      <c r="C9" s="3" t="s">
        <v>51</v>
      </c>
      <c r="D9">
        <v>1</v>
      </c>
      <c r="E9">
        <v>1</v>
      </c>
      <c r="F9">
        <v>1</v>
      </c>
      <c r="G9">
        <v>0</v>
      </c>
    </row>
    <row r="10" spans="1:7" ht="272" x14ac:dyDescent="0.2">
      <c r="A10" s="1">
        <v>49</v>
      </c>
      <c r="B10" s="3" t="s">
        <v>4</v>
      </c>
      <c r="C10" s="3" t="s">
        <v>66</v>
      </c>
      <c r="D10">
        <v>1</v>
      </c>
      <c r="E10">
        <v>1</v>
      </c>
      <c r="F10">
        <v>1</v>
      </c>
      <c r="G10">
        <v>0</v>
      </c>
    </row>
    <row r="11" spans="1:7" ht="208" x14ac:dyDescent="0.2">
      <c r="A11" s="1">
        <v>65</v>
      </c>
      <c r="B11" s="3" t="s">
        <v>4</v>
      </c>
      <c r="C11" s="3" t="s">
        <v>82</v>
      </c>
      <c r="D11">
        <v>1</v>
      </c>
      <c r="E11">
        <v>1</v>
      </c>
      <c r="F11">
        <v>1</v>
      </c>
      <c r="G11">
        <v>0</v>
      </c>
    </row>
    <row r="12" spans="1:7" ht="395" x14ac:dyDescent="0.2">
      <c r="A12" s="1">
        <v>3</v>
      </c>
      <c r="B12" s="3" t="s">
        <v>8</v>
      </c>
      <c r="C12" s="3" t="s">
        <v>9</v>
      </c>
      <c r="D12">
        <v>1</v>
      </c>
      <c r="E12">
        <v>1</v>
      </c>
      <c r="F12">
        <v>1</v>
      </c>
      <c r="G12">
        <v>0</v>
      </c>
    </row>
    <row r="13" spans="1:7" ht="380" x14ac:dyDescent="0.2">
      <c r="A13" s="1">
        <v>19</v>
      </c>
      <c r="B13" s="3" t="s">
        <v>8</v>
      </c>
      <c r="C13" s="3" t="s">
        <v>37</v>
      </c>
      <c r="D13">
        <v>1</v>
      </c>
      <c r="E13">
        <v>1</v>
      </c>
      <c r="F13">
        <v>1</v>
      </c>
      <c r="G13">
        <v>0</v>
      </c>
    </row>
    <row r="14" spans="1:7" ht="395" x14ac:dyDescent="0.2">
      <c r="A14" s="1">
        <v>35</v>
      </c>
      <c r="B14" s="3" t="s">
        <v>8</v>
      </c>
      <c r="C14" s="3" t="s">
        <v>52</v>
      </c>
      <c r="D14">
        <v>1</v>
      </c>
      <c r="E14">
        <v>1</v>
      </c>
      <c r="F14">
        <v>1</v>
      </c>
      <c r="G14">
        <v>0</v>
      </c>
    </row>
    <row r="15" spans="1:7" ht="304" x14ac:dyDescent="0.2">
      <c r="A15" s="1">
        <v>51</v>
      </c>
      <c r="B15" s="3" t="s">
        <v>8</v>
      </c>
      <c r="C15" s="3" t="s">
        <v>68</v>
      </c>
      <c r="D15">
        <v>1</v>
      </c>
      <c r="E15">
        <v>1</v>
      </c>
      <c r="F15">
        <v>1</v>
      </c>
      <c r="G15">
        <v>0</v>
      </c>
    </row>
    <row r="16" spans="1:7" ht="288" x14ac:dyDescent="0.2">
      <c r="A16" s="1">
        <v>67</v>
      </c>
      <c r="B16" s="3" t="s">
        <v>8</v>
      </c>
      <c r="C16" s="3" t="s">
        <v>84</v>
      </c>
      <c r="D16">
        <v>1</v>
      </c>
      <c r="E16">
        <v>1</v>
      </c>
      <c r="F16">
        <v>1</v>
      </c>
      <c r="G16">
        <v>0</v>
      </c>
    </row>
    <row r="17" spans="1:7" ht="409.6" x14ac:dyDescent="0.2">
      <c r="A17" s="1">
        <v>5</v>
      </c>
      <c r="B17" s="3" t="s">
        <v>12</v>
      </c>
      <c r="C17" s="3" t="s">
        <v>13</v>
      </c>
      <c r="D17">
        <v>1</v>
      </c>
      <c r="E17">
        <v>1</v>
      </c>
      <c r="F17">
        <v>1</v>
      </c>
      <c r="G17">
        <v>0</v>
      </c>
    </row>
    <row r="18" spans="1:7" ht="409.6" x14ac:dyDescent="0.2">
      <c r="A18" s="1">
        <v>21</v>
      </c>
      <c r="B18" s="3" t="s">
        <v>12</v>
      </c>
      <c r="C18" s="3" t="s">
        <v>39</v>
      </c>
      <c r="D18">
        <v>1</v>
      </c>
      <c r="E18">
        <v>1</v>
      </c>
      <c r="F18">
        <v>1</v>
      </c>
      <c r="G18">
        <v>0</v>
      </c>
    </row>
    <row r="19" spans="1:7" ht="48" x14ac:dyDescent="0.2">
      <c r="A19" s="1">
        <v>37</v>
      </c>
      <c r="B19" s="3" t="s">
        <v>12</v>
      </c>
      <c r="C19" s="3" t="s">
        <v>54</v>
      </c>
      <c r="D19">
        <v>0</v>
      </c>
      <c r="E19">
        <v>0</v>
      </c>
      <c r="F19">
        <v>0</v>
      </c>
      <c r="G19">
        <v>0</v>
      </c>
    </row>
    <row r="20" spans="1:7" ht="96" x14ac:dyDescent="0.2">
      <c r="A20" s="1">
        <v>53</v>
      </c>
      <c r="B20" s="3" t="s">
        <v>12</v>
      </c>
      <c r="C20" s="3" t="s">
        <v>70</v>
      </c>
      <c r="D20">
        <v>0</v>
      </c>
      <c r="E20">
        <v>0</v>
      </c>
      <c r="F20">
        <v>0</v>
      </c>
      <c r="G20">
        <v>0</v>
      </c>
    </row>
    <row r="21" spans="1:7" ht="48" x14ac:dyDescent="0.2">
      <c r="A21" s="1">
        <v>69</v>
      </c>
      <c r="B21" s="3" t="s">
        <v>12</v>
      </c>
      <c r="C21" s="3" t="s">
        <v>86</v>
      </c>
      <c r="D21">
        <v>0</v>
      </c>
      <c r="E21">
        <v>0</v>
      </c>
      <c r="F21">
        <v>0</v>
      </c>
      <c r="G21">
        <v>0</v>
      </c>
    </row>
    <row r="22" spans="1:7" ht="288" x14ac:dyDescent="0.2">
      <c r="A22" s="1">
        <v>4</v>
      </c>
      <c r="B22" s="3" t="s">
        <v>10</v>
      </c>
      <c r="C22" s="3" t="s">
        <v>11</v>
      </c>
      <c r="D22">
        <v>1</v>
      </c>
      <c r="E22">
        <v>1</v>
      </c>
      <c r="F22">
        <v>1</v>
      </c>
      <c r="G22">
        <v>0</v>
      </c>
    </row>
    <row r="23" spans="1:7" ht="409.6" x14ac:dyDescent="0.2">
      <c r="A23" s="1">
        <v>20</v>
      </c>
      <c r="B23" s="3" t="s">
        <v>10</v>
      </c>
      <c r="C23" s="3" t="s">
        <v>38</v>
      </c>
      <c r="D23">
        <v>1</v>
      </c>
      <c r="E23">
        <v>1</v>
      </c>
      <c r="F23">
        <v>1</v>
      </c>
      <c r="G23">
        <v>0</v>
      </c>
    </row>
    <row r="24" spans="1:7" ht="192" x14ac:dyDescent="0.2">
      <c r="A24" s="1">
        <v>36</v>
      </c>
      <c r="B24" s="3" t="s">
        <v>10</v>
      </c>
      <c r="C24" s="3" t="s">
        <v>53</v>
      </c>
      <c r="D24">
        <v>1</v>
      </c>
      <c r="E24">
        <v>1</v>
      </c>
      <c r="F24">
        <v>1</v>
      </c>
      <c r="G24">
        <v>0</v>
      </c>
    </row>
    <row r="25" spans="1:7" ht="409.6" x14ac:dyDescent="0.2">
      <c r="A25" s="1">
        <v>52</v>
      </c>
      <c r="B25" s="3" t="s">
        <v>10</v>
      </c>
      <c r="C25" s="3" t="s">
        <v>69</v>
      </c>
      <c r="D25">
        <v>1</v>
      </c>
      <c r="E25">
        <v>1</v>
      </c>
      <c r="F25">
        <v>1</v>
      </c>
      <c r="G25">
        <v>0</v>
      </c>
    </row>
    <row r="26" spans="1:7" ht="288" x14ac:dyDescent="0.2">
      <c r="A26" s="1">
        <v>68</v>
      </c>
      <c r="B26" s="3" t="s">
        <v>10</v>
      </c>
      <c r="C26" s="3" t="s">
        <v>85</v>
      </c>
      <c r="D26">
        <v>1</v>
      </c>
      <c r="E26">
        <v>1</v>
      </c>
      <c r="F26">
        <v>1</v>
      </c>
      <c r="G26">
        <v>0</v>
      </c>
    </row>
    <row r="27" spans="1:7" ht="409.6" x14ac:dyDescent="0.2">
      <c r="A27" s="1">
        <v>11</v>
      </c>
      <c r="B27" s="3" t="s">
        <v>24</v>
      </c>
      <c r="C27" s="3" t="s">
        <v>25</v>
      </c>
      <c r="D27">
        <v>1</v>
      </c>
      <c r="E27">
        <v>1</v>
      </c>
      <c r="F27">
        <v>1</v>
      </c>
      <c r="G27">
        <v>0</v>
      </c>
    </row>
    <row r="28" spans="1:7" ht="350" x14ac:dyDescent="0.2">
      <c r="A28" s="1">
        <v>27</v>
      </c>
      <c r="B28" s="3" t="s">
        <v>24</v>
      </c>
      <c r="C28" s="3" t="s">
        <v>45</v>
      </c>
      <c r="D28">
        <v>1</v>
      </c>
      <c r="E28">
        <v>1</v>
      </c>
      <c r="F28">
        <v>1</v>
      </c>
      <c r="G28">
        <v>0</v>
      </c>
    </row>
    <row r="29" spans="1:7" ht="409.6" x14ac:dyDescent="0.2">
      <c r="A29" s="1">
        <v>43</v>
      </c>
      <c r="B29" s="3" t="s">
        <v>24</v>
      </c>
      <c r="C29" s="3" t="s">
        <v>60</v>
      </c>
      <c r="D29">
        <v>1</v>
      </c>
      <c r="E29">
        <v>1</v>
      </c>
      <c r="F29">
        <v>1</v>
      </c>
      <c r="G29">
        <v>0</v>
      </c>
    </row>
    <row r="30" spans="1:7" ht="409.6" x14ac:dyDescent="0.2">
      <c r="A30" s="1">
        <v>59</v>
      </c>
      <c r="B30" s="3" t="s">
        <v>24</v>
      </c>
      <c r="C30" s="3" t="s">
        <v>76</v>
      </c>
      <c r="D30">
        <v>1</v>
      </c>
      <c r="E30">
        <v>1</v>
      </c>
      <c r="F30">
        <v>1</v>
      </c>
      <c r="G30">
        <v>0</v>
      </c>
    </row>
    <row r="31" spans="1:7" ht="272" x14ac:dyDescent="0.2">
      <c r="A31" s="1">
        <v>75</v>
      </c>
      <c r="B31" s="3" t="s">
        <v>24</v>
      </c>
      <c r="C31" s="3" t="s">
        <v>92</v>
      </c>
      <c r="D31">
        <v>1</v>
      </c>
      <c r="E31">
        <v>1</v>
      </c>
      <c r="F31">
        <v>1</v>
      </c>
      <c r="G31">
        <v>0</v>
      </c>
    </row>
    <row r="32" spans="1:7" ht="96" x14ac:dyDescent="0.2">
      <c r="A32" s="1">
        <v>6</v>
      </c>
      <c r="B32" s="3" t="s">
        <v>14</v>
      </c>
      <c r="C32" s="3" t="s">
        <v>15</v>
      </c>
      <c r="D32">
        <v>1</v>
      </c>
      <c r="E32">
        <v>1</v>
      </c>
      <c r="F32">
        <v>1</v>
      </c>
      <c r="G32">
        <v>0</v>
      </c>
    </row>
    <row r="33" spans="1:7" ht="96" x14ac:dyDescent="0.2">
      <c r="A33" s="1">
        <v>22</v>
      </c>
      <c r="B33" s="3" t="s">
        <v>14</v>
      </c>
      <c r="C33" s="3" t="s">
        <v>40</v>
      </c>
      <c r="D33">
        <v>1</v>
      </c>
      <c r="E33">
        <v>1</v>
      </c>
      <c r="F33">
        <v>1</v>
      </c>
      <c r="G33">
        <v>0</v>
      </c>
    </row>
    <row r="34" spans="1:7" ht="96" x14ac:dyDescent="0.2">
      <c r="A34" s="1">
        <v>38</v>
      </c>
      <c r="B34" s="3" t="s">
        <v>14</v>
      </c>
      <c r="C34" s="3" t="s">
        <v>55</v>
      </c>
      <c r="D34">
        <v>1</v>
      </c>
      <c r="E34">
        <v>1</v>
      </c>
      <c r="F34">
        <v>1</v>
      </c>
      <c r="G34">
        <v>0</v>
      </c>
    </row>
    <row r="35" spans="1:7" ht="96" x14ac:dyDescent="0.2">
      <c r="A35" s="1">
        <v>54</v>
      </c>
      <c r="B35" s="3" t="s">
        <v>14</v>
      </c>
      <c r="C35" s="3" t="s">
        <v>71</v>
      </c>
      <c r="D35">
        <v>1</v>
      </c>
      <c r="E35">
        <v>1</v>
      </c>
      <c r="F35">
        <v>1</v>
      </c>
      <c r="G35">
        <v>0</v>
      </c>
    </row>
    <row r="36" spans="1:7" ht="288" x14ac:dyDescent="0.2">
      <c r="A36" s="1">
        <v>70</v>
      </c>
      <c r="B36" s="3" t="s">
        <v>14</v>
      </c>
      <c r="C36" s="3" t="s">
        <v>87</v>
      </c>
      <c r="D36">
        <v>1</v>
      </c>
      <c r="E36">
        <v>1</v>
      </c>
      <c r="F36">
        <v>1</v>
      </c>
      <c r="G36">
        <v>0</v>
      </c>
    </row>
    <row r="37" spans="1:7" ht="320" x14ac:dyDescent="0.2">
      <c r="A37" s="1">
        <v>8</v>
      </c>
      <c r="B37" s="3" t="s">
        <v>18</v>
      </c>
      <c r="C37" s="3" t="s">
        <v>19</v>
      </c>
      <c r="D37">
        <v>1</v>
      </c>
      <c r="E37">
        <v>1</v>
      </c>
      <c r="F37">
        <v>1</v>
      </c>
      <c r="G37">
        <v>0</v>
      </c>
    </row>
    <row r="38" spans="1:7" ht="256" x14ac:dyDescent="0.2">
      <c r="A38" s="1">
        <v>24</v>
      </c>
      <c r="B38" s="3" t="s">
        <v>18</v>
      </c>
      <c r="C38" s="3" t="s">
        <v>42</v>
      </c>
      <c r="D38">
        <v>1</v>
      </c>
      <c r="E38">
        <v>1</v>
      </c>
      <c r="F38">
        <v>1</v>
      </c>
      <c r="G38">
        <v>0</v>
      </c>
    </row>
    <row r="39" spans="1:7" ht="304" x14ac:dyDescent="0.2">
      <c r="A39" s="1">
        <v>40</v>
      </c>
      <c r="B39" s="3" t="s">
        <v>18</v>
      </c>
      <c r="C39" s="3" t="s">
        <v>57</v>
      </c>
      <c r="D39">
        <v>1</v>
      </c>
      <c r="E39">
        <v>1</v>
      </c>
      <c r="F39">
        <v>1</v>
      </c>
      <c r="G39">
        <v>0</v>
      </c>
    </row>
    <row r="40" spans="1:7" ht="409.6" x14ac:dyDescent="0.2">
      <c r="A40" s="1">
        <v>56</v>
      </c>
      <c r="B40" s="3" t="s">
        <v>18</v>
      </c>
      <c r="C40" s="3" t="s">
        <v>73</v>
      </c>
      <c r="D40">
        <v>1</v>
      </c>
      <c r="E40">
        <v>1</v>
      </c>
      <c r="F40">
        <v>1</v>
      </c>
      <c r="G40">
        <v>0</v>
      </c>
    </row>
    <row r="41" spans="1:7" ht="128" x14ac:dyDescent="0.2">
      <c r="A41" s="1">
        <v>72</v>
      </c>
      <c r="B41" s="3" t="s">
        <v>18</v>
      </c>
      <c r="C41" s="3" t="s">
        <v>89</v>
      </c>
      <c r="D41">
        <v>0</v>
      </c>
      <c r="E41">
        <v>0</v>
      </c>
      <c r="F41">
        <v>0</v>
      </c>
      <c r="G41">
        <v>0</v>
      </c>
    </row>
    <row r="42" spans="1:7" ht="112" x14ac:dyDescent="0.2">
      <c r="A42" s="1">
        <v>10</v>
      </c>
      <c r="B42" s="3" t="s">
        <v>22</v>
      </c>
      <c r="C42" s="3" t="s">
        <v>23</v>
      </c>
      <c r="D42">
        <v>0</v>
      </c>
      <c r="E42">
        <v>0</v>
      </c>
      <c r="F42">
        <v>0</v>
      </c>
      <c r="G42">
        <v>0</v>
      </c>
    </row>
    <row r="43" spans="1:7" ht="112" x14ac:dyDescent="0.2">
      <c r="A43" s="1">
        <v>26</v>
      </c>
      <c r="B43" s="3" t="s">
        <v>22</v>
      </c>
      <c r="C43" s="3" t="s">
        <v>44</v>
      </c>
      <c r="D43">
        <v>0</v>
      </c>
      <c r="E43">
        <v>0</v>
      </c>
      <c r="F43">
        <v>0</v>
      </c>
      <c r="G43">
        <v>0</v>
      </c>
    </row>
    <row r="44" spans="1:7" ht="112" x14ac:dyDescent="0.2">
      <c r="A44" s="1">
        <v>42</v>
      </c>
      <c r="B44" s="3" t="s">
        <v>22</v>
      </c>
      <c r="C44" s="3" t="s">
        <v>59</v>
      </c>
      <c r="D44">
        <v>0</v>
      </c>
      <c r="E44">
        <v>0</v>
      </c>
      <c r="F44">
        <v>0</v>
      </c>
      <c r="G44">
        <v>0</v>
      </c>
    </row>
    <row r="45" spans="1:7" ht="64" x14ac:dyDescent="0.2">
      <c r="A45" s="1">
        <v>58</v>
      </c>
      <c r="B45" s="3" t="s">
        <v>22</v>
      </c>
      <c r="C45" s="3" t="s">
        <v>75</v>
      </c>
      <c r="D45">
        <v>0</v>
      </c>
      <c r="E45">
        <v>0</v>
      </c>
      <c r="F45">
        <v>0</v>
      </c>
      <c r="G45">
        <v>0</v>
      </c>
    </row>
    <row r="46" spans="1:7" ht="80" x14ac:dyDescent="0.2">
      <c r="A46" s="1">
        <v>74</v>
      </c>
      <c r="B46" s="3" t="s">
        <v>22</v>
      </c>
      <c r="C46" s="3" t="s">
        <v>91</v>
      </c>
      <c r="D46">
        <v>0</v>
      </c>
      <c r="E46">
        <v>0</v>
      </c>
      <c r="F46">
        <v>0</v>
      </c>
      <c r="G46">
        <v>0</v>
      </c>
    </row>
    <row r="47" spans="1:7" ht="409.6" x14ac:dyDescent="0.2">
      <c r="A47" s="1">
        <v>7</v>
      </c>
      <c r="B47" s="3" t="s">
        <v>16</v>
      </c>
      <c r="C47" s="3" t="s">
        <v>17</v>
      </c>
      <c r="D47">
        <v>1</v>
      </c>
      <c r="E47">
        <v>1</v>
      </c>
      <c r="F47">
        <v>1</v>
      </c>
      <c r="G47">
        <v>0</v>
      </c>
    </row>
    <row r="48" spans="1:7" ht="409.6" x14ac:dyDescent="0.2">
      <c r="A48" s="1">
        <v>23</v>
      </c>
      <c r="B48" s="3" t="s">
        <v>16</v>
      </c>
      <c r="C48" s="3" t="s">
        <v>41</v>
      </c>
      <c r="D48">
        <v>1</v>
      </c>
      <c r="E48">
        <v>1</v>
      </c>
      <c r="F48">
        <v>1</v>
      </c>
      <c r="G48">
        <v>0</v>
      </c>
    </row>
    <row r="49" spans="1:7" ht="409.6" x14ac:dyDescent="0.2">
      <c r="A49" s="1">
        <v>39</v>
      </c>
      <c r="B49" s="3" t="s">
        <v>16</v>
      </c>
      <c r="C49" s="3" t="s">
        <v>56</v>
      </c>
      <c r="D49">
        <v>1</v>
      </c>
      <c r="E49">
        <v>1</v>
      </c>
      <c r="F49">
        <v>1</v>
      </c>
      <c r="G49">
        <v>0</v>
      </c>
    </row>
    <row r="50" spans="1:7" ht="409.6" x14ac:dyDescent="0.2">
      <c r="A50" s="1">
        <v>55</v>
      </c>
      <c r="B50" s="3" t="s">
        <v>16</v>
      </c>
      <c r="C50" s="3" t="s">
        <v>72</v>
      </c>
      <c r="D50">
        <v>1</v>
      </c>
      <c r="E50">
        <v>1</v>
      </c>
      <c r="F50">
        <v>1</v>
      </c>
      <c r="G50">
        <v>0</v>
      </c>
    </row>
    <row r="51" spans="1:7" ht="409.6" x14ac:dyDescent="0.2">
      <c r="A51" s="1">
        <v>71</v>
      </c>
      <c r="B51" s="3" t="s">
        <v>16</v>
      </c>
      <c r="C51" s="3" t="s">
        <v>88</v>
      </c>
      <c r="D51">
        <v>1</v>
      </c>
      <c r="E51">
        <v>1</v>
      </c>
      <c r="F51">
        <v>1</v>
      </c>
      <c r="G51">
        <v>0</v>
      </c>
    </row>
    <row r="52" spans="1:7" ht="409.6" x14ac:dyDescent="0.2">
      <c r="A52" s="1">
        <v>14</v>
      </c>
      <c r="B52" s="3" t="s">
        <v>30</v>
      </c>
      <c r="C52" s="3" t="s">
        <v>31</v>
      </c>
      <c r="D52">
        <v>1</v>
      </c>
      <c r="E52">
        <v>1</v>
      </c>
      <c r="F52">
        <v>1</v>
      </c>
      <c r="G52">
        <v>0</v>
      </c>
    </row>
    <row r="53" spans="1:7" ht="409.6" x14ac:dyDescent="0.2">
      <c r="A53" s="1">
        <v>30</v>
      </c>
      <c r="B53" s="3" t="s">
        <v>30</v>
      </c>
      <c r="C53" s="3" t="s">
        <v>48</v>
      </c>
      <c r="D53">
        <v>1</v>
      </c>
      <c r="E53">
        <v>1</v>
      </c>
      <c r="F53">
        <v>1</v>
      </c>
      <c r="G53">
        <v>0</v>
      </c>
    </row>
    <row r="54" spans="1:7" ht="409.6" x14ac:dyDescent="0.2">
      <c r="A54" s="1">
        <v>46</v>
      </c>
      <c r="B54" s="3" t="s">
        <v>30</v>
      </c>
      <c r="C54" s="3" t="s">
        <v>63</v>
      </c>
      <c r="D54">
        <v>1</v>
      </c>
      <c r="E54">
        <v>1</v>
      </c>
      <c r="F54">
        <v>1</v>
      </c>
      <c r="G54">
        <v>0</v>
      </c>
    </row>
    <row r="55" spans="1:7" ht="409.6" x14ac:dyDescent="0.2">
      <c r="A55" s="1">
        <v>62</v>
      </c>
      <c r="B55" s="3" t="s">
        <v>30</v>
      </c>
      <c r="C55" s="3" t="s">
        <v>79</v>
      </c>
      <c r="D55">
        <v>1</v>
      </c>
      <c r="E55">
        <v>1</v>
      </c>
      <c r="F55">
        <v>1</v>
      </c>
      <c r="G55">
        <v>0</v>
      </c>
    </row>
    <row r="56" spans="1:7" ht="192" x14ac:dyDescent="0.2">
      <c r="A56" s="1">
        <v>78</v>
      </c>
      <c r="B56" s="3" t="s">
        <v>30</v>
      </c>
      <c r="C56" s="3" t="s">
        <v>95</v>
      </c>
      <c r="D56">
        <v>1</v>
      </c>
      <c r="E56">
        <v>1</v>
      </c>
      <c r="F56">
        <v>1</v>
      </c>
      <c r="G56">
        <v>0</v>
      </c>
    </row>
    <row r="57" spans="1:7" ht="409.6" x14ac:dyDescent="0.2">
      <c r="A57" s="1">
        <v>15</v>
      </c>
      <c r="B57" s="3" t="s">
        <v>32</v>
      </c>
      <c r="C57" s="3" t="s">
        <v>33</v>
      </c>
      <c r="D57">
        <v>1</v>
      </c>
      <c r="E57">
        <v>1</v>
      </c>
      <c r="F57">
        <v>1</v>
      </c>
      <c r="G57">
        <v>0</v>
      </c>
    </row>
    <row r="58" spans="1:7" ht="409.6" x14ac:dyDescent="0.2">
      <c r="A58" s="1">
        <v>31</v>
      </c>
      <c r="B58" s="3" t="s">
        <v>32</v>
      </c>
      <c r="C58" s="3" t="s">
        <v>49</v>
      </c>
      <c r="D58">
        <v>1</v>
      </c>
      <c r="E58">
        <v>1</v>
      </c>
      <c r="F58">
        <v>1</v>
      </c>
      <c r="G58">
        <v>0</v>
      </c>
    </row>
    <row r="59" spans="1:7" ht="409.6" x14ac:dyDescent="0.2">
      <c r="A59" s="1">
        <v>47</v>
      </c>
      <c r="B59" s="3" t="s">
        <v>32</v>
      </c>
      <c r="C59" s="3" t="s">
        <v>64</v>
      </c>
      <c r="D59">
        <v>1</v>
      </c>
      <c r="E59">
        <v>1</v>
      </c>
      <c r="F59">
        <v>1</v>
      </c>
      <c r="G59">
        <v>0</v>
      </c>
    </row>
    <row r="60" spans="1:7" ht="409.6" x14ac:dyDescent="0.2">
      <c r="A60" s="1">
        <v>63</v>
      </c>
      <c r="B60" s="3" t="s">
        <v>32</v>
      </c>
      <c r="C60" s="3" t="s">
        <v>80</v>
      </c>
      <c r="D60">
        <v>1</v>
      </c>
      <c r="E60">
        <v>1</v>
      </c>
      <c r="F60">
        <v>1</v>
      </c>
      <c r="G60">
        <v>0</v>
      </c>
    </row>
    <row r="61" spans="1:7" ht="409.6" x14ac:dyDescent="0.2">
      <c r="A61" s="1">
        <v>79</v>
      </c>
      <c r="B61" s="3" t="s">
        <v>32</v>
      </c>
      <c r="C61" s="3" t="s">
        <v>96</v>
      </c>
      <c r="D61">
        <v>1</v>
      </c>
      <c r="E61">
        <v>1</v>
      </c>
      <c r="F61">
        <v>1</v>
      </c>
      <c r="G61">
        <v>0</v>
      </c>
    </row>
    <row r="62" spans="1:7" ht="409.6" x14ac:dyDescent="0.2">
      <c r="A62" s="1">
        <v>13</v>
      </c>
      <c r="B62" s="3" t="s">
        <v>28</v>
      </c>
      <c r="C62" s="3" t="s">
        <v>29</v>
      </c>
      <c r="D62">
        <v>1</v>
      </c>
      <c r="E62">
        <v>1</v>
      </c>
      <c r="F62">
        <v>1</v>
      </c>
      <c r="G62">
        <v>0</v>
      </c>
    </row>
    <row r="63" spans="1:7" ht="409.6" x14ac:dyDescent="0.2">
      <c r="A63" s="1">
        <v>29</v>
      </c>
      <c r="B63" s="3" t="s">
        <v>28</v>
      </c>
      <c r="C63" s="3" t="s">
        <v>47</v>
      </c>
      <c r="D63">
        <v>1</v>
      </c>
      <c r="E63">
        <v>1</v>
      </c>
      <c r="F63">
        <v>1</v>
      </c>
      <c r="G63">
        <v>0</v>
      </c>
    </row>
    <row r="64" spans="1:7" ht="409.6" x14ac:dyDescent="0.2">
      <c r="A64" s="1">
        <v>45</v>
      </c>
      <c r="B64" s="3" t="s">
        <v>28</v>
      </c>
      <c r="C64" s="3" t="s">
        <v>62</v>
      </c>
      <c r="D64">
        <v>1</v>
      </c>
      <c r="E64">
        <v>1</v>
      </c>
      <c r="F64">
        <v>1</v>
      </c>
      <c r="G64">
        <v>0</v>
      </c>
    </row>
    <row r="65" spans="1:7" ht="409.6" x14ac:dyDescent="0.2">
      <c r="A65" s="1">
        <v>61</v>
      </c>
      <c r="B65" s="3" t="s">
        <v>28</v>
      </c>
      <c r="C65" s="3" t="s">
        <v>78</v>
      </c>
      <c r="D65">
        <v>1</v>
      </c>
      <c r="E65">
        <v>1</v>
      </c>
      <c r="F65">
        <v>1</v>
      </c>
      <c r="G65">
        <v>0</v>
      </c>
    </row>
    <row r="66" spans="1:7" ht="409.6" x14ac:dyDescent="0.2">
      <c r="A66" s="1">
        <v>77</v>
      </c>
      <c r="B66" s="3" t="s">
        <v>28</v>
      </c>
      <c r="C66" s="3" t="s">
        <v>94</v>
      </c>
      <c r="D66">
        <v>1</v>
      </c>
      <c r="E66">
        <v>1</v>
      </c>
      <c r="F66">
        <v>1</v>
      </c>
      <c r="G66">
        <v>0</v>
      </c>
    </row>
    <row r="67" spans="1:7" ht="409.6" x14ac:dyDescent="0.2">
      <c r="A67" s="1">
        <v>12</v>
      </c>
      <c r="B67" s="3" t="s">
        <v>26</v>
      </c>
      <c r="C67" s="3" t="s">
        <v>27</v>
      </c>
      <c r="D67">
        <v>1</v>
      </c>
      <c r="E67">
        <v>1</v>
      </c>
      <c r="F67">
        <v>1</v>
      </c>
      <c r="G67">
        <v>0</v>
      </c>
    </row>
    <row r="68" spans="1:7" ht="350" x14ac:dyDescent="0.2">
      <c r="A68" s="1">
        <v>28</v>
      </c>
      <c r="B68" s="3" t="s">
        <v>26</v>
      </c>
      <c r="C68" s="3" t="s">
        <v>46</v>
      </c>
      <c r="D68">
        <v>1</v>
      </c>
      <c r="E68">
        <v>1</v>
      </c>
      <c r="F68">
        <v>1</v>
      </c>
      <c r="G68">
        <v>0</v>
      </c>
    </row>
    <row r="69" spans="1:7" ht="409.6" x14ac:dyDescent="0.2">
      <c r="A69" s="1">
        <v>44</v>
      </c>
      <c r="B69" s="3" t="s">
        <v>26</v>
      </c>
      <c r="C69" s="3" t="s">
        <v>61</v>
      </c>
      <c r="D69">
        <v>1</v>
      </c>
      <c r="E69">
        <v>1</v>
      </c>
      <c r="F69">
        <v>1</v>
      </c>
      <c r="G69">
        <v>0</v>
      </c>
    </row>
    <row r="70" spans="1:7" ht="409.6" x14ac:dyDescent="0.2">
      <c r="A70" s="1">
        <v>60</v>
      </c>
      <c r="B70" s="3" t="s">
        <v>26</v>
      </c>
      <c r="C70" s="3" t="s">
        <v>77</v>
      </c>
      <c r="D70">
        <v>1</v>
      </c>
      <c r="E70">
        <v>1</v>
      </c>
      <c r="F70">
        <v>1</v>
      </c>
      <c r="G70">
        <v>0</v>
      </c>
    </row>
    <row r="71" spans="1:7" ht="380" x14ac:dyDescent="0.2">
      <c r="A71" s="1">
        <v>76</v>
      </c>
      <c r="B71" s="3" t="s">
        <v>26</v>
      </c>
      <c r="C71" s="3" t="s">
        <v>93</v>
      </c>
      <c r="D71">
        <v>1</v>
      </c>
      <c r="E71">
        <v>1</v>
      </c>
      <c r="F71">
        <v>1</v>
      </c>
      <c r="G71">
        <v>0</v>
      </c>
    </row>
    <row r="72" spans="1:7" ht="272" x14ac:dyDescent="0.2">
      <c r="A72" s="1">
        <v>2</v>
      </c>
      <c r="B72" s="3" t="s">
        <v>6</v>
      </c>
      <c r="C72" s="3" t="s">
        <v>7</v>
      </c>
      <c r="D72">
        <v>1</v>
      </c>
      <c r="E72">
        <v>1</v>
      </c>
      <c r="F72">
        <v>1</v>
      </c>
      <c r="G72">
        <v>0</v>
      </c>
    </row>
    <row r="73" spans="1:7" ht="96" x14ac:dyDescent="0.2">
      <c r="A73" s="1">
        <v>18</v>
      </c>
      <c r="B73" s="3" t="s">
        <v>6</v>
      </c>
      <c r="C73" s="3" t="s">
        <v>36</v>
      </c>
      <c r="D73">
        <v>1</v>
      </c>
      <c r="E73">
        <v>1</v>
      </c>
      <c r="F73">
        <v>1</v>
      </c>
      <c r="G73">
        <v>0</v>
      </c>
    </row>
    <row r="74" spans="1:7" ht="96" x14ac:dyDescent="0.2">
      <c r="A74" s="1">
        <v>34</v>
      </c>
      <c r="B74" s="3" t="s">
        <v>6</v>
      </c>
      <c r="C74" s="3" t="s">
        <v>36</v>
      </c>
      <c r="D74">
        <v>1</v>
      </c>
      <c r="E74">
        <v>1</v>
      </c>
      <c r="F74">
        <v>1</v>
      </c>
      <c r="G74">
        <v>0</v>
      </c>
    </row>
    <row r="75" spans="1:7" ht="350" x14ac:dyDescent="0.2">
      <c r="A75" s="1">
        <v>50</v>
      </c>
      <c r="B75" s="3" t="s">
        <v>6</v>
      </c>
      <c r="C75" s="3" t="s">
        <v>67</v>
      </c>
      <c r="D75">
        <v>1</v>
      </c>
      <c r="E75">
        <v>1</v>
      </c>
      <c r="F75">
        <v>1</v>
      </c>
      <c r="G75">
        <v>0</v>
      </c>
    </row>
    <row r="76" spans="1:7" ht="409.6" x14ac:dyDescent="0.2">
      <c r="A76" s="1">
        <v>66</v>
      </c>
      <c r="B76" s="3" t="s">
        <v>6</v>
      </c>
      <c r="C76" s="3" t="s">
        <v>83</v>
      </c>
      <c r="D76">
        <v>1</v>
      </c>
      <c r="E76">
        <v>1</v>
      </c>
      <c r="F76">
        <v>1</v>
      </c>
      <c r="G76">
        <v>0</v>
      </c>
    </row>
    <row r="77" spans="1:7" ht="409.6" x14ac:dyDescent="0.2">
      <c r="A77" s="1">
        <v>9</v>
      </c>
      <c r="B77" s="3" t="s">
        <v>20</v>
      </c>
      <c r="C77" s="3" t="s">
        <v>21</v>
      </c>
      <c r="D77">
        <v>1</v>
      </c>
      <c r="E77">
        <v>1</v>
      </c>
      <c r="F77">
        <v>1</v>
      </c>
      <c r="G77">
        <v>0</v>
      </c>
    </row>
    <row r="78" spans="1:7" ht="409.6" x14ac:dyDescent="0.2">
      <c r="A78" s="1">
        <v>25</v>
      </c>
      <c r="B78" s="3" t="s">
        <v>20</v>
      </c>
      <c r="C78" s="3" t="s">
        <v>43</v>
      </c>
      <c r="D78">
        <v>1</v>
      </c>
      <c r="E78">
        <v>1</v>
      </c>
      <c r="F78">
        <v>1</v>
      </c>
      <c r="G78">
        <v>0</v>
      </c>
    </row>
    <row r="79" spans="1:7" ht="409.6" x14ac:dyDescent="0.2">
      <c r="A79" s="1">
        <v>41</v>
      </c>
      <c r="B79" s="3" t="s">
        <v>20</v>
      </c>
      <c r="C79" s="3" t="s">
        <v>58</v>
      </c>
      <c r="D79">
        <v>1</v>
      </c>
      <c r="E79">
        <v>1</v>
      </c>
      <c r="F79">
        <v>1</v>
      </c>
      <c r="G79">
        <v>0</v>
      </c>
    </row>
    <row r="80" spans="1:7" ht="409.6" x14ac:dyDescent="0.2">
      <c r="A80" s="1">
        <v>57</v>
      </c>
      <c r="B80" s="3" t="s">
        <v>20</v>
      </c>
      <c r="C80" s="3" t="s">
        <v>74</v>
      </c>
      <c r="D80">
        <v>1</v>
      </c>
      <c r="E80">
        <v>1</v>
      </c>
      <c r="F80">
        <v>1</v>
      </c>
      <c r="G80">
        <v>0</v>
      </c>
    </row>
    <row r="81" spans="1:7" ht="409.6" x14ac:dyDescent="0.2">
      <c r="A81" s="1">
        <v>73</v>
      </c>
      <c r="B81" s="3" t="s">
        <v>20</v>
      </c>
      <c r="C81" s="3" t="s">
        <v>90</v>
      </c>
      <c r="D81">
        <v>1</v>
      </c>
      <c r="E81">
        <v>1</v>
      </c>
      <c r="F81">
        <v>1</v>
      </c>
      <c r="G81">
        <v>0</v>
      </c>
    </row>
  </sheetData>
  <sortState xmlns:xlrd2="http://schemas.microsoft.com/office/spreadsheetml/2017/richdata2" ref="A2:G81">
    <sortCondition descending="1"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D3F8-2067-9F43-BD71-42A4C9403879}">
  <sheetPr>
    <outlinePr summaryBelow="0" summaryRight="0"/>
  </sheetPr>
  <dimension ref="A1:W994"/>
  <sheetViews>
    <sheetView workbookViewId="0">
      <selection activeCell="A27" sqref="A27"/>
    </sheetView>
  </sheetViews>
  <sheetFormatPr baseColWidth="10" defaultColWidth="12.6640625" defaultRowHeight="15.75" customHeight="1" x14ac:dyDescent="0.2"/>
  <cols>
    <col min="1" max="1" width="15.33203125" style="4" bestFit="1" customWidth="1"/>
    <col min="2" max="2" width="14.83203125" style="4" bestFit="1" customWidth="1"/>
    <col min="3" max="3" width="8.83203125" style="4" customWidth="1"/>
    <col min="4" max="4" width="10" style="4" bestFit="1" customWidth="1"/>
    <col min="5" max="5" width="17" style="4" customWidth="1"/>
    <col min="6" max="16384" width="12.6640625" style="4"/>
  </cols>
  <sheetData>
    <row r="1" spans="1:23" ht="16" x14ac:dyDescent="0.2">
      <c r="A1" s="10" t="s">
        <v>119</v>
      </c>
      <c r="B1" s="9"/>
      <c r="C1" s="9"/>
      <c r="D1" s="9"/>
      <c r="E1" s="9"/>
      <c r="F1" s="5"/>
      <c r="H1" s="5"/>
      <c r="I1" s="5"/>
      <c r="J1" s="5"/>
      <c r="K1" s="5"/>
      <c r="L1" s="5"/>
      <c r="M1" s="5"/>
      <c r="N1" s="5"/>
      <c r="O1" s="5"/>
      <c r="P1" s="5"/>
      <c r="Q1" s="5"/>
      <c r="R1" s="5"/>
      <c r="S1" s="5"/>
      <c r="T1" s="5"/>
      <c r="U1" s="5"/>
      <c r="V1" s="5"/>
      <c r="W1" s="5"/>
    </row>
    <row r="2" spans="1:23" ht="16" x14ac:dyDescent="0.2">
      <c r="A2" s="5"/>
      <c r="B2" s="6"/>
      <c r="C2" s="6"/>
      <c r="D2" s="6"/>
      <c r="E2" s="6"/>
      <c r="F2" s="5"/>
      <c r="H2" s="5"/>
      <c r="I2" s="5"/>
      <c r="J2" s="5"/>
      <c r="K2" s="5"/>
      <c r="L2" s="5"/>
      <c r="M2" s="5"/>
      <c r="N2" s="5"/>
      <c r="O2" s="5"/>
      <c r="P2" s="5"/>
      <c r="Q2" s="5"/>
      <c r="R2" s="5"/>
      <c r="S2" s="5"/>
      <c r="T2" s="5"/>
      <c r="U2" s="5"/>
      <c r="V2" s="5"/>
      <c r="W2" s="5"/>
    </row>
    <row r="3" spans="1:23" ht="16" x14ac:dyDescent="0.2">
      <c r="A3" s="5" t="s">
        <v>118</v>
      </c>
      <c r="C3" s="5" t="s">
        <v>116</v>
      </c>
      <c r="E3" s="5" t="s">
        <v>114</v>
      </c>
      <c r="F3" s="5"/>
      <c r="G3" s="5"/>
      <c r="H3" s="5"/>
      <c r="I3" s="5"/>
      <c r="J3" s="5"/>
      <c r="K3" s="5"/>
      <c r="L3" s="5"/>
      <c r="M3" s="5"/>
      <c r="N3" s="5"/>
      <c r="O3" s="5"/>
      <c r="P3" s="5"/>
      <c r="Q3" s="5"/>
      <c r="R3" s="5"/>
      <c r="S3" s="5"/>
      <c r="T3" s="5"/>
      <c r="U3" s="5"/>
      <c r="V3" s="5"/>
      <c r="W3" s="5"/>
    </row>
    <row r="4" spans="1:23" ht="16" x14ac:dyDescent="0.2">
      <c r="B4" s="23" t="s">
        <v>102</v>
      </c>
      <c r="C4" s="23">
        <v>0</v>
      </c>
      <c r="D4" s="23">
        <v>1</v>
      </c>
      <c r="E4" s="23" t="s">
        <v>101</v>
      </c>
      <c r="F4" s="5"/>
      <c r="G4" s="5"/>
      <c r="H4" s="5"/>
      <c r="I4" s="5"/>
      <c r="J4" s="5"/>
      <c r="K4" s="5"/>
      <c r="L4" s="5"/>
      <c r="M4" s="5"/>
      <c r="N4" s="5"/>
      <c r="O4" s="5"/>
      <c r="P4" s="5"/>
      <c r="Q4" s="5"/>
      <c r="R4" s="5"/>
      <c r="S4" s="5"/>
      <c r="T4" s="5"/>
      <c r="U4" s="5"/>
      <c r="V4" s="5"/>
      <c r="W4" s="5"/>
    </row>
    <row r="5" spans="1:23" ht="16" x14ac:dyDescent="0.2">
      <c r="A5" s="18" t="s">
        <v>115</v>
      </c>
      <c r="B5" s="7">
        <v>0</v>
      </c>
      <c r="C5" s="24">
        <v>9</v>
      </c>
      <c r="D5" s="24"/>
      <c r="E5" s="24">
        <v>9</v>
      </c>
      <c r="F5" s="5"/>
      <c r="G5" s="5"/>
      <c r="H5" s="5"/>
      <c r="I5" s="5"/>
      <c r="J5" s="5"/>
      <c r="K5" s="5"/>
      <c r="L5" s="5"/>
      <c r="M5" s="5"/>
      <c r="N5" s="5"/>
      <c r="O5" s="5"/>
      <c r="P5" s="5"/>
      <c r="Q5" s="5"/>
      <c r="R5" s="5"/>
      <c r="S5" s="5"/>
      <c r="T5" s="5"/>
      <c r="U5" s="5"/>
      <c r="V5" s="5"/>
      <c r="W5" s="5"/>
    </row>
    <row r="6" spans="1:23" ht="16" x14ac:dyDescent="0.2">
      <c r="B6" s="7">
        <v>1</v>
      </c>
      <c r="C6" s="24"/>
      <c r="D6" s="24">
        <v>71</v>
      </c>
      <c r="E6" s="24">
        <v>71</v>
      </c>
      <c r="F6" s="5"/>
      <c r="G6" s="5"/>
      <c r="H6" s="5"/>
      <c r="I6" s="5"/>
      <c r="J6" s="5"/>
      <c r="K6" s="5"/>
      <c r="L6" s="5"/>
      <c r="M6" s="5"/>
      <c r="N6" s="5"/>
      <c r="O6" s="5"/>
      <c r="P6" s="5"/>
      <c r="Q6" s="5"/>
      <c r="R6" s="5"/>
      <c r="S6" s="5"/>
      <c r="T6" s="5"/>
      <c r="U6" s="5"/>
      <c r="V6" s="5"/>
      <c r="W6" s="5"/>
    </row>
    <row r="7" spans="1:23" ht="16" x14ac:dyDescent="0.2">
      <c r="A7" s="22"/>
      <c r="B7" s="21" t="s">
        <v>101</v>
      </c>
      <c r="C7" s="25">
        <v>9</v>
      </c>
      <c r="D7" s="25">
        <v>71</v>
      </c>
      <c r="E7" s="25">
        <v>80</v>
      </c>
      <c r="H7" s="5"/>
      <c r="I7" s="5"/>
      <c r="J7" s="5"/>
      <c r="K7" s="5"/>
      <c r="L7" s="5"/>
      <c r="M7" s="5"/>
      <c r="N7" s="5"/>
      <c r="O7" s="5"/>
      <c r="P7" s="5"/>
      <c r="Q7" s="5"/>
      <c r="R7" s="5"/>
      <c r="S7" s="5"/>
      <c r="T7" s="5"/>
      <c r="U7" s="5"/>
      <c r="V7" s="5"/>
      <c r="W7" s="5"/>
    </row>
    <row r="8" spans="1:23" ht="16" x14ac:dyDescent="0.2">
      <c r="A8" s="5"/>
      <c r="B8" s="6"/>
      <c r="C8" s="6"/>
      <c r="D8" s="6"/>
      <c r="E8" s="6"/>
      <c r="F8" s="5"/>
      <c r="G8" s="5"/>
      <c r="H8" s="5"/>
      <c r="I8" s="5"/>
      <c r="J8" s="5"/>
      <c r="K8" s="5"/>
      <c r="L8" s="5"/>
      <c r="M8" s="5"/>
      <c r="N8" s="5"/>
      <c r="O8" s="5"/>
      <c r="P8" s="5"/>
      <c r="Q8" s="5"/>
      <c r="R8" s="5"/>
      <c r="S8" s="5"/>
      <c r="T8" s="5"/>
      <c r="U8" s="5"/>
      <c r="V8" s="5"/>
      <c r="W8" s="5"/>
    </row>
    <row r="9" spans="1:23" ht="16" x14ac:dyDescent="0.2">
      <c r="A9" s="10" t="s">
        <v>117</v>
      </c>
      <c r="B9" s="9"/>
      <c r="C9" s="9"/>
      <c r="D9" s="9"/>
      <c r="E9" s="9"/>
      <c r="F9" s="5"/>
      <c r="G9" s="5"/>
      <c r="H9" s="5"/>
      <c r="I9" s="5"/>
      <c r="J9" s="5"/>
      <c r="K9" s="5"/>
      <c r="L9" s="5"/>
      <c r="M9" s="5"/>
      <c r="N9" s="5"/>
      <c r="O9" s="5"/>
      <c r="P9" s="5"/>
      <c r="Q9" s="5"/>
      <c r="R9" s="5"/>
      <c r="S9" s="5"/>
      <c r="T9" s="5"/>
      <c r="U9" s="5"/>
      <c r="V9" s="5"/>
      <c r="W9" s="5"/>
    </row>
    <row r="10" spans="1:23" ht="16" x14ac:dyDescent="0.2">
      <c r="A10" s="5"/>
      <c r="B10" s="6"/>
      <c r="C10" s="6"/>
      <c r="D10" s="6"/>
      <c r="E10" s="6"/>
      <c r="F10" s="5"/>
      <c r="G10" s="5"/>
      <c r="H10" s="5"/>
      <c r="I10" s="5"/>
      <c r="J10" s="5"/>
      <c r="K10" s="5"/>
      <c r="L10" s="5"/>
      <c r="M10" s="5"/>
      <c r="N10" s="5"/>
      <c r="O10" s="5"/>
      <c r="P10" s="5"/>
      <c r="Q10" s="5"/>
      <c r="R10" s="5"/>
      <c r="S10" s="5"/>
      <c r="T10" s="5"/>
      <c r="U10" s="5"/>
      <c r="V10" s="5"/>
      <c r="W10" s="5"/>
    </row>
    <row r="11" spans="1:23" ht="16" x14ac:dyDescent="0.2">
      <c r="A11" s="5"/>
      <c r="C11" s="20" t="s">
        <v>116</v>
      </c>
      <c r="D11" s="19"/>
      <c r="E11" s="5" t="s">
        <v>114</v>
      </c>
      <c r="F11" s="5"/>
      <c r="G11" s="5"/>
      <c r="H11" s="5"/>
      <c r="I11" s="5"/>
      <c r="J11" s="5"/>
      <c r="K11" s="5"/>
      <c r="L11" s="5"/>
      <c r="M11" s="5"/>
      <c r="N11" s="5"/>
      <c r="O11" s="5"/>
      <c r="P11" s="5"/>
      <c r="Q11" s="5"/>
      <c r="R11" s="5"/>
      <c r="S11" s="5"/>
      <c r="T11" s="5"/>
      <c r="U11" s="5"/>
      <c r="V11" s="5"/>
      <c r="W11" s="5"/>
    </row>
    <row r="12" spans="1:23" ht="16" x14ac:dyDescent="0.2">
      <c r="C12" s="4">
        <v>0</v>
      </c>
      <c r="D12" s="4">
        <v>1</v>
      </c>
      <c r="E12" s="6" t="s">
        <v>101</v>
      </c>
      <c r="F12" s="5"/>
      <c r="G12" s="5"/>
      <c r="H12" s="5"/>
      <c r="I12" s="5"/>
      <c r="J12" s="5"/>
      <c r="K12" s="5"/>
      <c r="L12" s="5"/>
      <c r="M12" s="5"/>
      <c r="N12" s="5"/>
      <c r="O12" s="5"/>
      <c r="P12" s="5"/>
      <c r="Q12" s="5"/>
      <c r="R12" s="5"/>
      <c r="S12" s="5"/>
      <c r="T12" s="5"/>
      <c r="U12" s="5"/>
      <c r="V12" s="5"/>
      <c r="W12" s="5"/>
    </row>
    <row r="13" spans="1:23" ht="16" x14ac:dyDescent="0.2">
      <c r="A13" s="18" t="s">
        <v>115</v>
      </c>
      <c r="B13" s="4">
        <v>0</v>
      </c>
      <c r="C13" s="15">
        <f>C$15*$E13/$E$15</f>
        <v>1.0125</v>
      </c>
      <c r="D13" s="12">
        <f>D$15*$E13/$E$15</f>
        <v>7.9874999999999998</v>
      </c>
      <c r="E13">
        <v>9</v>
      </c>
      <c r="F13" s="5"/>
      <c r="G13" s="5"/>
      <c r="H13" s="5"/>
      <c r="I13" s="5"/>
      <c r="J13" s="5"/>
      <c r="K13" s="5"/>
      <c r="L13" s="5"/>
      <c r="M13" s="5"/>
      <c r="N13" s="5"/>
      <c r="O13" s="5"/>
      <c r="P13" s="5"/>
      <c r="Q13" s="5"/>
      <c r="R13" s="5"/>
      <c r="S13" s="5"/>
      <c r="T13" s="5"/>
      <c r="U13" s="5"/>
      <c r="V13" s="5"/>
      <c r="W13" s="5"/>
    </row>
    <row r="14" spans="1:23" ht="16" x14ac:dyDescent="0.2">
      <c r="B14" s="4">
        <v>1</v>
      </c>
      <c r="C14" s="12">
        <f>C$15*$E14/$E$15</f>
        <v>7.9874999999999998</v>
      </c>
      <c r="D14" s="15">
        <f>D$15*$E14/$E$15</f>
        <v>63.012500000000003</v>
      </c>
      <c r="E14">
        <v>71</v>
      </c>
      <c r="F14" s="5"/>
      <c r="G14" s="5"/>
      <c r="H14" s="5"/>
      <c r="I14" s="5"/>
      <c r="J14" s="5"/>
      <c r="K14" s="5"/>
      <c r="L14" s="5"/>
      <c r="M14" s="5"/>
      <c r="N14" s="5"/>
      <c r="O14" s="5"/>
      <c r="P14" s="5"/>
      <c r="Q14" s="5"/>
      <c r="R14" s="5"/>
      <c r="S14" s="5"/>
      <c r="T14" s="5"/>
      <c r="U14" s="5"/>
      <c r="V14" s="5"/>
      <c r="W14" s="5"/>
    </row>
    <row r="15" spans="1:23" ht="16" x14ac:dyDescent="0.2">
      <c r="A15" s="17" t="s">
        <v>114</v>
      </c>
      <c r="C15">
        <v>9</v>
      </c>
      <c r="D15">
        <v>71</v>
      </c>
      <c r="E15">
        <v>80</v>
      </c>
      <c r="F15" s="5"/>
      <c r="G15" s="5"/>
      <c r="H15" s="5"/>
      <c r="I15" s="5"/>
      <c r="J15" s="5"/>
      <c r="K15" s="5"/>
      <c r="L15" s="5"/>
      <c r="M15" s="5"/>
      <c r="N15" s="5"/>
      <c r="O15" s="5"/>
      <c r="P15" s="5"/>
      <c r="Q15" s="5"/>
      <c r="R15" s="5"/>
      <c r="S15" s="5"/>
      <c r="T15" s="5"/>
      <c r="U15" s="5"/>
      <c r="V15" s="5"/>
      <c r="W15" s="5"/>
    </row>
    <row r="16" spans="1:23" ht="16" x14ac:dyDescent="0.2">
      <c r="A16" s="5"/>
      <c r="B16" s="6"/>
      <c r="C16" s="6"/>
      <c r="D16" s="6"/>
      <c r="E16" s="6"/>
      <c r="F16" s="5"/>
      <c r="G16" s="5"/>
      <c r="H16" s="5"/>
      <c r="I16" s="5"/>
      <c r="J16" s="5"/>
      <c r="K16" s="5"/>
      <c r="L16" s="5"/>
      <c r="M16" s="5"/>
      <c r="N16" s="5"/>
      <c r="O16" s="5"/>
      <c r="P16" s="5"/>
      <c r="Q16" s="5"/>
      <c r="R16" s="5"/>
      <c r="S16" s="5"/>
      <c r="T16" s="5"/>
      <c r="U16" s="5"/>
      <c r="V16" s="5"/>
      <c r="W16" s="5"/>
    </row>
    <row r="17" spans="1:23" ht="16" x14ac:dyDescent="0.2">
      <c r="A17" s="10" t="s">
        <v>113</v>
      </c>
      <c r="B17" s="9"/>
      <c r="C17" s="9"/>
      <c r="D17" s="9"/>
      <c r="E17" s="9"/>
      <c r="F17" s="5"/>
      <c r="G17" s="5"/>
      <c r="H17" s="5"/>
      <c r="I17" s="5"/>
      <c r="J17" s="5"/>
      <c r="K17" s="5"/>
      <c r="L17" s="5"/>
      <c r="M17" s="5"/>
      <c r="N17" s="5"/>
      <c r="O17" s="5"/>
      <c r="P17" s="5"/>
      <c r="Q17" s="5"/>
      <c r="R17" s="5"/>
      <c r="S17" s="5"/>
      <c r="T17" s="5"/>
      <c r="U17" s="5"/>
      <c r="V17" s="5"/>
      <c r="W17" s="5"/>
    </row>
    <row r="18" spans="1:23" ht="16" x14ac:dyDescent="0.2">
      <c r="B18" s="6"/>
      <c r="C18" s="6"/>
      <c r="D18" s="6"/>
      <c r="E18" s="6"/>
      <c r="F18" s="5"/>
      <c r="G18" s="5"/>
      <c r="H18" s="5"/>
      <c r="I18" s="5"/>
      <c r="J18" s="5"/>
      <c r="K18" s="5"/>
      <c r="L18" s="5"/>
      <c r="M18" s="5"/>
      <c r="N18" s="5"/>
      <c r="O18" s="5"/>
      <c r="P18" s="5"/>
      <c r="Q18" s="5"/>
      <c r="R18" s="5"/>
      <c r="S18" s="5"/>
      <c r="T18" s="5"/>
      <c r="U18" s="5"/>
      <c r="V18" s="5"/>
      <c r="W18" s="5"/>
    </row>
    <row r="19" spans="1:23" ht="16" x14ac:dyDescent="0.2">
      <c r="B19" s="6" t="s">
        <v>112</v>
      </c>
      <c r="C19" s="6" t="s">
        <v>111</v>
      </c>
      <c r="D19" s="6"/>
      <c r="E19" s="6"/>
      <c r="F19" s="5"/>
      <c r="G19" s="5"/>
      <c r="H19" s="5"/>
      <c r="I19" s="5"/>
      <c r="J19" s="5"/>
      <c r="K19" s="5"/>
      <c r="L19" s="5"/>
      <c r="M19" s="5"/>
      <c r="N19" s="5"/>
      <c r="O19" s="5"/>
      <c r="P19" s="5"/>
      <c r="Q19" s="5"/>
      <c r="R19" s="5"/>
      <c r="S19" s="5"/>
      <c r="T19" s="5"/>
      <c r="U19" s="5"/>
      <c r="V19" s="5"/>
      <c r="W19" s="5"/>
    </row>
    <row r="20" spans="1:23" ht="16" x14ac:dyDescent="0.2">
      <c r="A20" s="5" t="s">
        <v>110</v>
      </c>
      <c r="B20" s="6">
        <f>SUM(C5,D6)</f>
        <v>80</v>
      </c>
      <c r="C20" s="16">
        <f>B20/B22</f>
        <v>1</v>
      </c>
      <c r="D20" s="6"/>
      <c r="E20" s="6"/>
      <c r="F20" s="5"/>
      <c r="G20" s="5"/>
      <c r="H20" s="5"/>
      <c r="I20" s="5"/>
      <c r="J20" s="5"/>
      <c r="K20" s="5"/>
      <c r="L20" s="5"/>
      <c r="M20" s="5"/>
      <c r="N20" s="5"/>
      <c r="O20" s="5"/>
      <c r="P20" s="5"/>
      <c r="Q20" s="5"/>
      <c r="R20" s="5"/>
      <c r="S20" s="5"/>
      <c r="T20" s="5"/>
      <c r="U20" s="5"/>
      <c r="V20" s="5"/>
      <c r="W20" s="5"/>
    </row>
    <row r="21" spans="1:23" ht="16" x14ac:dyDescent="0.2">
      <c r="A21" s="5" t="s">
        <v>109</v>
      </c>
      <c r="B21" s="6">
        <f>SUM(C13,D14)</f>
        <v>64.025000000000006</v>
      </c>
      <c r="C21" s="16">
        <f>B21/B22</f>
        <v>0.80031250000000009</v>
      </c>
      <c r="D21" s="6"/>
      <c r="E21" s="6"/>
      <c r="F21" s="5"/>
      <c r="G21" s="5"/>
      <c r="H21" s="5"/>
      <c r="I21" s="5"/>
      <c r="J21" s="5"/>
      <c r="K21" s="5"/>
      <c r="L21" s="5"/>
      <c r="M21" s="5"/>
      <c r="N21" s="5"/>
      <c r="O21" s="5"/>
      <c r="P21" s="5"/>
      <c r="Q21" s="5"/>
      <c r="R21" s="5"/>
      <c r="S21" s="5"/>
      <c r="T21" s="5"/>
      <c r="U21" s="5"/>
      <c r="V21" s="5"/>
      <c r="W21" s="5"/>
    </row>
    <row r="22" spans="1:23" ht="16" x14ac:dyDescent="0.2">
      <c r="A22" s="5" t="s">
        <v>108</v>
      </c>
      <c r="B22" s="6">
        <f>E15</f>
        <v>80</v>
      </c>
      <c r="C22" s="16">
        <v>1</v>
      </c>
      <c r="D22" s="6"/>
      <c r="E22" s="15" t="s">
        <v>107</v>
      </c>
      <c r="F22" s="5"/>
      <c r="G22" s="5"/>
      <c r="H22" s="5"/>
      <c r="I22" s="5"/>
      <c r="J22" s="5"/>
      <c r="K22" s="5"/>
      <c r="L22" s="5"/>
      <c r="M22" s="5"/>
      <c r="N22" s="5"/>
      <c r="O22" s="5"/>
      <c r="P22" s="5"/>
      <c r="Q22" s="5"/>
      <c r="R22" s="5"/>
      <c r="S22" s="5"/>
      <c r="T22" s="5"/>
      <c r="U22" s="5"/>
      <c r="V22" s="5"/>
      <c r="W22" s="5"/>
    </row>
    <row r="23" spans="1:23" ht="16" x14ac:dyDescent="0.2">
      <c r="A23" s="11" t="s">
        <v>106</v>
      </c>
      <c r="B23" s="14">
        <f>(B20-B21)/(B22-B21)</f>
        <v>1</v>
      </c>
      <c r="C23" s="14">
        <f>(C20-C21)/(C22-C21)</f>
        <v>1</v>
      </c>
      <c r="D23" s="13"/>
      <c r="E23" s="12" t="s">
        <v>105</v>
      </c>
      <c r="F23" s="11"/>
      <c r="G23" s="11"/>
      <c r="H23" s="11"/>
      <c r="I23" s="11"/>
      <c r="J23" s="11"/>
      <c r="K23" s="11"/>
      <c r="L23" s="11"/>
      <c r="M23" s="11"/>
      <c r="N23" s="11"/>
      <c r="O23" s="11"/>
      <c r="P23" s="11"/>
      <c r="Q23" s="11"/>
      <c r="R23" s="11"/>
      <c r="S23" s="11"/>
      <c r="T23" s="11"/>
      <c r="U23" s="11"/>
      <c r="V23" s="11"/>
      <c r="W23" s="11"/>
    </row>
    <row r="24" spans="1:23" ht="16" x14ac:dyDescent="0.2">
      <c r="A24" s="5"/>
      <c r="B24" s="6"/>
      <c r="C24" s="6"/>
      <c r="D24" s="6"/>
      <c r="E24" s="6"/>
      <c r="F24" s="5"/>
      <c r="G24" s="5"/>
      <c r="H24" s="5"/>
      <c r="I24" s="5"/>
      <c r="J24" s="5"/>
      <c r="K24" s="5"/>
      <c r="L24" s="5"/>
      <c r="M24" s="5"/>
      <c r="N24" s="5"/>
      <c r="O24" s="5"/>
      <c r="P24" s="5"/>
      <c r="Q24" s="5"/>
      <c r="R24" s="5"/>
      <c r="S24" s="5"/>
      <c r="T24" s="5"/>
      <c r="U24" s="5"/>
      <c r="V24" s="5"/>
      <c r="W24" s="5"/>
    </row>
    <row r="25" spans="1:23" ht="16" x14ac:dyDescent="0.2">
      <c r="A25" s="10"/>
      <c r="B25" s="9"/>
      <c r="C25" s="9"/>
      <c r="D25" s="9"/>
      <c r="E25" s="9"/>
      <c r="F25" s="5"/>
      <c r="G25" s="5"/>
      <c r="H25" s="5"/>
      <c r="I25" s="5"/>
      <c r="J25" s="5"/>
      <c r="K25" s="5"/>
      <c r="L25" s="5"/>
      <c r="M25" s="5"/>
      <c r="N25" s="5"/>
      <c r="O25" s="5"/>
      <c r="P25" s="5"/>
      <c r="Q25" s="5"/>
      <c r="R25" s="5"/>
      <c r="S25" s="5"/>
      <c r="T25" s="5"/>
      <c r="U25" s="5"/>
      <c r="V25" s="5"/>
      <c r="W25" s="5"/>
    </row>
    <row r="26" spans="1:23" ht="16" x14ac:dyDescent="0.2">
      <c r="A26" s="5"/>
      <c r="B26" s="6"/>
      <c r="C26" s="6"/>
      <c r="D26" s="6"/>
      <c r="E26" s="6"/>
      <c r="F26" s="5"/>
      <c r="G26" s="5"/>
      <c r="H26" s="5"/>
      <c r="I26" s="5"/>
      <c r="J26" s="5"/>
      <c r="K26" s="5"/>
      <c r="L26" s="5"/>
      <c r="M26" s="5"/>
      <c r="N26" s="5"/>
      <c r="O26" s="5"/>
      <c r="P26" s="5"/>
      <c r="Q26" s="5"/>
      <c r="R26" s="5"/>
      <c r="S26" s="5"/>
      <c r="T26" s="5"/>
      <c r="U26" s="5"/>
      <c r="V26" s="5"/>
      <c r="W26" s="5"/>
    </row>
    <row r="27" spans="1:23" ht="16" x14ac:dyDescent="0.2">
      <c r="A27" s="5"/>
      <c r="B27" s="6"/>
      <c r="C27" s="6"/>
      <c r="D27" s="6"/>
      <c r="E27" s="6"/>
      <c r="F27" s="5"/>
      <c r="G27" s="5"/>
      <c r="H27" s="5"/>
      <c r="I27" s="5"/>
      <c r="J27" s="5"/>
      <c r="K27" s="5"/>
      <c r="L27" s="5"/>
      <c r="M27" s="5"/>
      <c r="N27" s="5"/>
      <c r="O27" s="5"/>
      <c r="P27" s="5"/>
      <c r="Q27" s="5"/>
      <c r="R27" s="5"/>
      <c r="S27" s="5"/>
      <c r="T27" s="5"/>
      <c r="U27" s="5"/>
      <c r="V27" s="5"/>
      <c r="W27" s="5"/>
    </row>
    <row r="28" spans="1:23" ht="16" x14ac:dyDescent="0.2">
      <c r="A28"/>
      <c r="B28"/>
      <c r="C28"/>
      <c r="D28"/>
      <c r="E28" s="6"/>
      <c r="F28" s="5"/>
      <c r="G28" s="5"/>
      <c r="H28" s="5"/>
      <c r="I28" s="5"/>
      <c r="J28" s="5"/>
      <c r="K28" s="5"/>
      <c r="L28" s="5"/>
      <c r="M28" s="5"/>
      <c r="N28" s="5"/>
      <c r="O28" s="5"/>
      <c r="P28" s="5"/>
      <c r="Q28" s="5"/>
      <c r="R28" s="5"/>
      <c r="S28" s="5"/>
      <c r="T28" s="5"/>
      <c r="U28" s="5"/>
      <c r="V28" s="5"/>
      <c r="W28" s="5"/>
    </row>
    <row r="29" spans="1:23" ht="16" x14ac:dyDescent="0.2">
      <c r="A29" s="8" t="s">
        <v>104</v>
      </c>
      <c r="B29" s="8" t="s">
        <v>103</v>
      </c>
      <c r="C29"/>
      <c r="D29"/>
      <c r="E29" s="6"/>
      <c r="F29" s="5"/>
      <c r="G29" s="5"/>
      <c r="H29" s="5"/>
      <c r="I29" s="5"/>
      <c r="J29" s="5"/>
      <c r="K29" s="5"/>
      <c r="L29" s="5"/>
      <c r="M29" s="5"/>
      <c r="N29" s="5"/>
      <c r="O29" s="5"/>
      <c r="P29" s="5"/>
      <c r="Q29" s="5"/>
      <c r="R29" s="5"/>
      <c r="S29" s="5"/>
      <c r="T29" s="5"/>
      <c r="U29" s="5"/>
      <c r="V29" s="5"/>
      <c r="W29" s="5"/>
    </row>
    <row r="30" spans="1:23" ht="16" x14ac:dyDescent="0.2">
      <c r="A30" s="8" t="s">
        <v>102</v>
      </c>
      <c r="B30">
        <v>0</v>
      </c>
      <c r="C30">
        <v>1</v>
      </c>
      <c r="D30" t="s">
        <v>101</v>
      </c>
      <c r="E30" s="6"/>
      <c r="F30" s="5"/>
      <c r="G30" s="5"/>
      <c r="H30" s="5"/>
      <c r="I30" s="5"/>
      <c r="J30" s="5"/>
      <c r="K30" s="5"/>
      <c r="L30" s="5"/>
      <c r="M30" s="5"/>
      <c r="N30" s="5"/>
      <c r="O30" s="5"/>
      <c r="P30" s="5"/>
      <c r="Q30" s="5"/>
      <c r="R30" s="5"/>
      <c r="S30" s="5"/>
      <c r="T30" s="5"/>
      <c r="U30" s="5"/>
      <c r="V30" s="5"/>
      <c r="W30" s="5"/>
    </row>
    <row r="31" spans="1:23" ht="16" x14ac:dyDescent="0.2">
      <c r="A31" s="7">
        <v>0</v>
      </c>
      <c r="B31" s="24">
        <v>9</v>
      </c>
      <c r="C31" s="24"/>
      <c r="D31" s="24">
        <v>9</v>
      </c>
      <c r="E31" s="6"/>
      <c r="F31" s="5"/>
      <c r="G31" s="5"/>
      <c r="H31" s="5"/>
      <c r="I31" s="5"/>
      <c r="J31" s="5"/>
      <c r="K31" s="5"/>
      <c r="L31" s="5"/>
      <c r="M31" s="5"/>
      <c r="N31" s="5"/>
      <c r="O31" s="5"/>
      <c r="P31" s="5"/>
      <c r="Q31" s="5"/>
      <c r="R31" s="5"/>
      <c r="S31" s="5"/>
      <c r="T31" s="5"/>
      <c r="U31" s="5"/>
      <c r="V31" s="5"/>
      <c r="W31" s="5"/>
    </row>
    <row r="32" spans="1:23" ht="16" x14ac:dyDescent="0.2">
      <c r="A32" s="7">
        <v>1</v>
      </c>
      <c r="B32" s="24"/>
      <c r="C32" s="24">
        <v>71</v>
      </c>
      <c r="D32" s="24">
        <v>71</v>
      </c>
      <c r="E32" s="6"/>
      <c r="F32" s="5"/>
      <c r="G32" s="5"/>
      <c r="H32" s="5"/>
      <c r="I32" s="5"/>
      <c r="J32" s="5"/>
      <c r="K32" s="5"/>
      <c r="L32" s="5"/>
      <c r="M32" s="5"/>
      <c r="N32" s="5"/>
      <c r="O32" s="5"/>
      <c r="P32" s="5"/>
      <c r="Q32" s="5"/>
      <c r="R32" s="5"/>
      <c r="S32" s="5"/>
      <c r="T32" s="5"/>
      <c r="U32" s="5"/>
      <c r="V32" s="5"/>
      <c r="W32" s="5"/>
    </row>
    <row r="33" spans="1:23" ht="16" x14ac:dyDescent="0.2">
      <c r="A33" s="7" t="s">
        <v>101</v>
      </c>
      <c r="B33" s="24">
        <v>9</v>
      </c>
      <c r="C33" s="24">
        <v>71</v>
      </c>
      <c r="D33" s="24">
        <v>80</v>
      </c>
      <c r="E33" s="6"/>
      <c r="F33" s="5"/>
      <c r="G33" s="5"/>
      <c r="H33" s="5"/>
      <c r="I33" s="5"/>
      <c r="J33" s="5"/>
      <c r="K33" s="5"/>
      <c r="L33" s="5"/>
      <c r="M33" s="5"/>
      <c r="N33" s="5"/>
      <c r="O33" s="5"/>
      <c r="P33" s="5"/>
      <c r="Q33" s="5"/>
      <c r="R33" s="5"/>
      <c r="S33" s="5"/>
      <c r="T33" s="5"/>
      <c r="U33" s="5"/>
      <c r="V33" s="5"/>
      <c r="W33" s="5"/>
    </row>
    <row r="34" spans="1:23" ht="16" x14ac:dyDescent="0.2">
      <c r="A34"/>
      <c r="B34"/>
      <c r="C34"/>
      <c r="D34"/>
      <c r="E34" s="6"/>
      <c r="F34" s="5"/>
      <c r="G34" s="5"/>
      <c r="H34" s="5"/>
      <c r="I34" s="5"/>
      <c r="J34" s="5"/>
      <c r="K34" s="5"/>
      <c r="L34" s="5"/>
      <c r="M34" s="5"/>
      <c r="N34" s="5"/>
      <c r="O34" s="5"/>
      <c r="P34" s="5"/>
      <c r="Q34" s="5"/>
      <c r="R34" s="5"/>
      <c r="S34" s="5"/>
      <c r="T34" s="5"/>
      <c r="U34" s="5"/>
      <c r="V34" s="5"/>
      <c r="W34" s="5"/>
    </row>
    <row r="35" spans="1:23" ht="16" x14ac:dyDescent="0.2">
      <c r="A35"/>
      <c r="B35"/>
      <c r="C35"/>
      <c r="D35"/>
      <c r="E35" s="6"/>
      <c r="F35" s="5"/>
      <c r="G35" s="5"/>
      <c r="H35" s="5"/>
      <c r="I35" s="5"/>
      <c r="J35" s="5"/>
      <c r="K35" s="5"/>
      <c r="L35" s="5"/>
      <c r="M35" s="5"/>
      <c r="N35" s="5"/>
      <c r="O35" s="5"/>
      <c r="P35" s="5"/>
      <c r="Q35" s="5"/>
      <c r="R35" s="5"/>
      <c r="S35" s="5"/>
      <c r="T35" s="5"/>
      <c r="U35" s="5"/>
      <c r="V35" s="5"/>
      <c r="W35" s="5"/>
    </row>
    <row r="36" spans="1:23" ht="16" x14ac:dyDescent="0.2">
      <c r="A36"/>
      <c r="B36"/>
      <c r="C36"/>
      <c r="D36"/>
      <c r="E36" s="6"/>
      <c r="F36" s="5"/>
      <c r="G36" s="5"/>
      <c r="H36" s="5"/>
      <c r="I36" s="5"/>
      <c r="J36" s="5"/>
      <c r="K36" s="5"/>
      <c r="L36" s="5"/>
      <c r="M36" s="5"/>
      <c r="N36" s="5"/>
      <c r="O36" s="5"/>
      <c r="P36" s="5"/>
      <c r="Q36" s="5"/>
      <c r="R36" s="5"/>
      <c r="S36" s="5"/>
      <c r="T36" s="5"/>
      <c r="U36" s="5"/>
      <c r="V36" s="5"/>
      <c r="W36" s="5"/>
    </row>
    <row r="37" spans="1:23" ht="16" x14ac:dyDescent="0.2">
      <c r="A37"/>
      <c r="B37"/>
      <c r="C37"/>
      <c r="D37"/>
      <c r="E37" s="6"/>
      <c r="F37" s="5"/>
      <c r="G37" s="5"/>
      <c r="H37" s="5"/>
      <c r="I37" s="5"/>
      <c r="J37" s="5"/>
      <c r="K37" s="5"/>
      <c r="L37" s="5"/>
      <c r="M37" s="5"/>
      <c r="N37" s="5"/>
      <c r="O37" s="5"/>
      <c r="P37" s="5"/>
      <c r="Q37" s="5"/>
      <c r="R37" s="5"/>
      <c r="S37" s="5"/>
      <c r="T37" s="5"/>
      <c r="U37" s="5"/>
      <c r="V37" s="5"/>
      <c r="W37" s="5"/>
    </row>
    <row r="38" spans="1:23" ht="16" x14ac:dyDescent="0.2">
      <c r="A38"/>
      <c r="B38"/>
      <c r="C38"/>
      <c r="D38"/>
      <c r="E38" s="6"/>
      <c r="F38" s="5"/>
      <c r="G38" s="5"/>
      <c r="H38" s="5"/>
      <c r="I38" s="5"/>
      <c r="J38" s="5"/>
      <c r="K38" s="5"/>
      <c r="L38" s="5"/>
      <c r="M38" s="5"/>
      <c r="N38" s="5"/>
      <c r="O38" s="5"/>
      <c r="P38" s="5"/>
      <c r="Q38" s="5"/>
      <c r="R38" s="5"/>
      <c r="S38" s="5"/>
      <c r="T38" s="5"/>
      <c r="U38" s="5"/>
      <c r="V38" s="5"/>
      <c r="W38" s="5"/>
    </row>
    <row r="39" spans="1:23" ht="16" x14ac:dyDescent="0.2">
      <c r="A39"/>
      <c r="B39"/>
      <c r="C39"/>
      <c r="D39"/>
      <c r="E39" s="6"/>
      <c r="F39" s="5"/>
      <c r="G39" s="5"/>
      <c r="H39" s="5"/>
      <c r="I39" s="5"/>
      <c r="J39" s="5"/>
      <c r="K39" s="5"/>
      <c r="L39" s="5"/>
      <c r="M39" s="5"/>
      <c r="N39" s="5"/>
      <c r="O39" s="5"/>
      <c r="P39" s="5"/>
      <c r="Q39" s="5"/>
      <c r="R39" s="5"/>
      <c r="S39" s="5"/>
      <c r="T39" s="5"/>
      <c r="U39" s="5"/>
      <c r="V39" s="5"/>
      <c r="W39" s="5"/>
    </row>
    <row r="40" spans="1:23" ht="16" x14ac:dyDescent="0.2">
      <c r="A40"/>
      <c r="B40"/>
      <c r="C40"/>
      <c r="D40"/>
      <c r="E40" s="6"/>
      <c r="F40" s="5"/>
      <c r="G40" s="5"/>
      <c r="H40" s="5"/>
      <c r="I40" s="5"/>
      <c r="J40" s="5"/>
      <c r="K40" s="5"/>
      <c r="L40" s="5"/>
      <c r="M40" s="5"/>
      <c r="N40" s="5"/>
      <c r="O40" s="5"/>
      <c r="P40" s="5"/>
      <c r="Q40" s="5"/>
      <c r="R40" s="5"/>
      <c r="S40" s="5"/>
      <c r="T40" s="5"/>
      <c r="U40" s="5"/>
      <c r="V40" s="5"/>
      <c r="W40" s="5"/>
    </row>
    <row r="41" spans="1:23" ht="16" x14ac:dyDescent="0.2">
      <c r="A41"/>
      <c r="B41"/>
      <c r="C41"/>
      <c r="D41"/>
      <c r="E41" s="6"/>
      <c r="F41" s="5"/>
      <c r="G41" s="5"/>
      <c r="H41" s="5"/>
      <c r="I41" s="5"/>
      <c r="J41" s="5"/>
      <c r="K41" s="5"/>
      <c r="L41" s="5"/>
      <c r="M41" s="5"/>
      <c r="N41" s="5"/>
      <c r="O41" s="5"/>
      <c r="P41" s="5"/>
      <c r="Q41" s="5"/>
      <c r="R41" s="5"/>
      <c r="S41" s="5"/>
      <c r="T41" s="5"/>
      <c r="U41" s="5"/>
      <c r="V41" s="5"/>
      <c r="W41" s="5"/>
    </row>
    <row r="42" spans="1:23" ht="16" x14ac:dyDescent="0.2">
      <c r="A42"/>
      <c r="B42"/>
      <c r="C42"/>
      <c r="D42"/>
      <c r="E42" s="6"/>
      <c r="F42" s="5"/>
      <c r="G42" s="5"/>
      <c r="H42" s="5"/>
      <c r="I42" s="5"/>
      <c r="J42" s="5"/>
      <c r="K42" s="5"/>
      <c r="L42" s="5"/>
      <c r="M42" s="5"/>
      <c r="N42" s="5"/>
      <c r="O42" s="5"/>
      <c r="P42" s="5"/>
      <c r="Q42" s="5"/>
      <c r="R42" s="5"/>
      <c r="S42" s="5"/>
      <c r="T42" s="5"/>
      <c r="U42" s="5"/>
      <c r="V42" s="5"/>
      <c r="W42" s="5"/>
    </row>
    <row r="43" spans="1:23" ht="16" x14ac:dyDescent="0.2">
      <c r="A43"/>
      <c r="B43"/>
      <c r="C43"/>
      <c r="D43"/>
      <c r="E43" s="6"/>
      <c r="F43" s="5"/>
      <c r="G43" s="5"/>
      <c r="H43" s="5"/>
      <c r="I43" s="5"/>
      <c r="J43" s="5"/>
      <c r="K43" s="5"/>
      <c r="L43" s="5"/>
      <c r="M43" s="5"/>
      <c r="N43" s="5"/>
      <c r="O43" s="5"/>
      <c r="P43" s="5"/>
      <c r="Q43" s="5"/>
      <c r="R43" s="5"/>
      <c r="S43" s="5"/>
      <c r="T43" s="5"/>
      <c r="U43" s="5"/>
      <c r="V43" s="5"/>
      <c r="W43" s="5"/>
    </row>
    <row r="44" spans="1:23" ht="16" x14ac:dyDescent="0.2">
      <c r="A44"/>
      <c r="B44"/>
      <c r="C44"/>
      <c r="D44"/>
      <c r="E44" s="6"/>
      <c r="F44" s="5"/>
      <c r="G44" s="5"/>
      <c r="H44" s="5"/>
      <c r="I44" s="5"/>
      <c r="J44" s="5"/>
      <c r="K44" s="5"/>
      <c r="L44" s="5"/>
      <c r="M44" s="5"/>
      <c r="N44" s="5"/>
      <c r="O44" s="5"/>
      <c r="P44" s="5"/>
      <c r="Q44" s="5"/>
      <c r="R44" s="5"/>
      <c r="S44" s="5"/>
      <c r="T44" s="5"/>
      <c r="U44" s="5"/>
      <c r="V44" s="5"/>
      <c r="W44" s="5"/>
    </row>
    <row r="45" spans="1:23" ht="16" x14ac:dyDescent="0.2">
      <c r="A45"/>
      <c r="B45"/>
      <c r="C45"/>
      <c r="D45"/>
      <c r="E45" s="6"/>
      <c r="F45" s="5"/>
      <c r="G45" s="5"/>
      <c r="H45" s="5"/>
      <c r="I45" s="5"/>
      <c r="J45" s="5"/>
      <c r="K45" s="5"/>
      <c r="L45" s="5"/>
      <c r="M45" s="5"/>
      <c r="N45" s="5"/>
      <c r="O45" s="5"/>
      <c r="P45" s="5"/>
      <c r="Q45" s="5"/>
      <c r="R45" s="5"/>
      <c r="S45" s="5"/>
      <c r="T45" s="5"/>
      <c r="U45" s="5"/>
      <c r="V45" s="5"/>
      <c r="W45" s="5"/>
    </row>
    <row r="46" spans="1:23" ht="16" x14ac:dyDescent="0.2">
      <c r="A46"/>
      <c r="B46"/>
      <c r="C46"/>
      <c r="D46"/>
      <c r="E46" s="6"/>
      <c r="F46" s="5"/>
      <c r="G46" s="5"/>
      <c r="H46" s="5"/>
      <c r="I46" s="5"/>
      <c r="J46" s="5"/>
      <c r="K46" s="5"/>
      <c r="L46" s="5"/>
      <c r="M46" s="5"/>
      <c r="N46" s="5"/>
      <c r="O46" s="5"/>
      <c r="P46" s="5"/>
      <c r="Q46" s="5"/>
      <c r="R46" s="5"/>
      <c r="S46" s="5"/>
      <c r="T46" s="5"/>
      <c r="U46" s="5"/>
      <c r="V46" s="5"/>
      <c r="W46" s="5"/>
    </row>
    <row r="47" spans="1:23" ht="16" x14ac:dyDescent="0.2">
      <c r="A47"/>
      <c r="B47"/>
      <c r="C47"/>
      <c r="D47"/>
      <c r="E47" s="6"/>
      <c r="F47" s="5"/>
      <c r="G47" s="5"/>
      <c r="H47" s="5"/>
      <c r="I47" s="5"/>
      <c r="J47" s="5"/>
      <c r="K47" s="5"/>
      <c r="L47" s="5"/>
      <c r="M47" s="5"/>
      <c r="N47" s="5"/>
      <c r="O47" s="5"/>
      <c r="P47" s="5"/>
      <c r="Q47" s="5"/>
      <c r="R47" s="5"/>
      <c r="S47" s="5"/>
      <c r="T47" s="5"/>
      <c r="U47" s="5"/>
      <c r="V47" s="5"/>
      <c r="W47" s="5"/>
    </row>
    <row r="48" spans="1:23" ht="16" x14ac:dyDescent="0.2">
      <c r="A48"/>
      <c r="B48"/>
      <c r="C48"/>
      <c r="D48"/>
      <c r="E48" s="6"/>
      <c r="F48" s="5"/>
      <c r="G48" s="5"/>
      <c r="H48" s="5"/>
      <c r="I48" s="5"/>
      <c r="J48" s="5"/>
      <c r="K48" s="5"/>
      <c r="L48" s="5"/>
      <c r="M48" s="5"/>
      <c r="N48" s="5"/>
      <c r="O48" s="5"/>
      <c r="P48" s="5"/>
      <c r="Q48" s="5"/>
      <c r="R48" s="5"/>
      <c r="S48" s="5"/>
      <c r="T48" s="5"/>
      <c r="U48" s="5"/>
      <c r="V48" s="5"/>
      <c r="W48" s="5"/>
    </row>
    <row r="49" spans="1:23" ht="16" x14ac:dyDescent="0.2">
      <c r="A49"/>
      <c r="B49"/>
      <c r="C49"/>
      <c r="D49"/>
      <c r="E49" s="6"/>
      <c r="F49" s="5"/>
      <c r="G49" s="5"/>
      <c r="H49" s="5"/>
      <c r="I49" s="5"/>
      <c r="J49" s="5"/>
      <c r="K49" s="5"/>
      <c r="L49" s="5"/>
      <c r="M49" s="5"/>
      <c r="N49" s="5"/>
      <c r="O49" s="5"/>
      <c r="P49" s="5"/>
      <c r="Q49" s="5"/>
      <c r="R49" s="5"/>
      <c r="S49" s="5"/>
      <c r="T49" s="5"/>
      <c r="U49" s="5"/>
      <c r="V49" s="5"/>
      <c r="W49" s="5"/>
    </row>
    <row r="50" spans="1:23" ht="16" x14ac:dyDescent="0.2">
      <c r="A50"/>
      <c r="B50"/>
      <c r="C50"/>
      <c r="D50"/>
      <c r="E50" s="6"/>
      <c r="F50" s="5"/>
      <c r="G50" s="5"/>
      <c r="H50" s="5"/>
      <c r="I50" s="5"/>
      <c r="J50" s="5"/>
      <c r="K50" s="5"/>
      <c r="L50" s="5"/>
      <c r="M50" s="5"/>
      <c r="N50" s="5"/>
      <c r="O50" s="5"/>
      <c r="P50" s="5"/>
      <c r="Q50" s="5"/>
      <c r="R50" s="5"/>
      <c r="S50" s="5"/>
      <c r="T50" s="5"/>
      <c r="U50" s="5"/>
      <c r="V50" s="5"/>
      <c r="W50" s="5"/>
    </row>
    <row r="51" spans="1:23" ht="16" x14ac:dyDescent="0.2">
      <c r="A51"/>
      <c r="B51"/>
      <c r="C51"/>
      <c r="D51"/>
      <c r="E51" s="6"/>
      <c r="F51" s="5"/>
      <c r="G51" s="5"/>
      <c r="H51" s="5"/>
      <c r="I51" s="5"/>
      <c r="J51" s="5"/>
      <c r="K51" s="5"/>
      <c r="L51" s="5"/>
      <c r="M51" s="5"/>
      <c r="N51" s="5"/>
      <c r="O51" s="5"/>
      <c r="P51" s="5"/>
      <c r="Q51" s="5"/>
      <c r="R51" s="5"/>
      <c r="S51" s="5"/>
      <c r="T51" s="5"/>
      <c r="U51" s="5"/>
      <c r="V51" s="5"/>
      <c r="W51" s="5"/>
    </row>
    <row r="52" spans="1:23" ht="16" x14ac:dyDescent="0.2">
      <c r="A52"/>
      <c r="B52"/>
      <c r="C52"/>
      <c r="D52"/>
      <c r="E52" s="6"/>
      <c r="F52" s="5"/>
      <c r="G52" s="5"/>
      <c r="H52" s="5"/>
      <c r="I52" s="5"/>
      <c r="J52" s="5"/>
      <c r="K52" s="5"/>
      <c r="L52" s="5"/>
      <c r="M52" s="5"/>
      <c r="N52" s="5"/>
      <c r="O52" s="5"/>
      <c r="P52" s="5"/>
      <c r="Q52" s="5"/>
      <c r="R52" s="5"/>
      <c r="S52" s="5"/>
      <c r="T52" s="5"/>
      <c r="U52" s="5"/>
      <c r="V52" s="5"/>
      <c r="W52" s="5"/>
    </row>
    <row r="53" spans="1:23" ht="16" x14ac:dyDescent="0.2">
      <c r="A53"/>
      <c r="B53"/>
      <c r="C53"/>
      <c r="D53"/>
      <c r="E53" s="6"/>
      <c r="F53" s="5"/>
      <c r="G53" s="5"/>
      <c r="H53" s="5"/>
      <c r="I53" s="5"/>
      <c r="J53" s="5"/>
      <c r="K53" s="5"/>
      <c r="L53" s="5"/>
      <c r="M53" s="5"/>
      <c r="N53" s="5"/>
      <c r="O53" s="5"/>
      <c r="P53" s="5"/>
      <c r="Q53" s="5"/>
      <c r="R53" s="5"/>
      <c r="S53" s="5"/>
      <c r="T53" s="5"/>
      <c r="U53" s="5"/>
      <c r="V53" s="5"/>
      <c r="W53" s="5"/>
    </row>
    <row r="54" spans="1:23" ht="16" x14ac:dyDescent="0.2">
      <c r="A54"/>
      <c r="B54"/>
      <c r="C54"/>
      <c r="D54"/>
      <c r="E54" s="6"/>
      <c r="F54" s="5"/>
      <c r="G54" s="5"/>
      <c r="H54" s="5"/>
      <c r="I54" s="5"/>
      <c r="J54" s="5"/>
      <c r="K54" s="5"/>
      <c r="L54" s="5"/>
      <c r="M54" s="5"/>
      <c r="N54" s="5"/>
      <c r="O54" s="5"/>
      <c r="P54" s="5"/>
      <c r="Q54" s="5"/>
      <c r="R54" s="5"/>
      <c r="S54" s="5"/>
      <c r="T54" s="5"/>
      <c r="U54" s="5"/>
      <c r="V54" s="5"/>
      <c r="W54" s="5"/>
    </row>
    <row r="55" spans="1:23" ht="16" x14ac:dyDescent="0.2">
      <c r="A55"/>
      <c r="B55"/>
      <c r="C55"/>
      <c r="D55"/>
      <c r="E55" s="6"/>
      <c r="F55" s="5"/>
      <c r="G55" s="5"/>
      <c r="H55" s="5"/>
      <c r="I55" s="5"/>
      <c r="J55" s="5"/>
      <c r="K55" s="5"/>
      <c r="L55" s="5"/>
      <c r="M55" s="5"/>
      <c r="N55" s="5"/>
      <c r="O55" s="5"/>
      <c r="P55" s="5"/>
      <c r="Q55" s="5"/>
      <c r="R55" s="5"/>
      <c r="S55" s="5"/>
      <c r="T55" s="5"/>
      <c r="U55" s="5"/>
      <c r="V55" s="5"/>
      <c r="W55" s="5"/>
    </row>
    <row r="56" spans="1:23" ht="16" x14ac:dyDescent="0.2">
      <c r="A56"/>
      <c r="B56"/>
      <c r="C56"/>
      <c r="D56"/>
      <c r="E56" s="6"/>
      <c r="F56" s="5"/>
      <c r="G56" s="5"/>
      <c r="H56" s="5"/>
      <c r="I56" s="5"/>
      <c r="J56" s="5"/>
      <c r="K56" s="5"/>
      <c r="L56" s="5"/>
      <c r="M56" s="5"/>
      <c r="N56" s="5"/>
      <c r="O56" s="5"/>
      <c r="P56" s="5"/>
      <c r="Q56" s="5"/>
      <c r="R56" s="5"/>
      <c r="S56" s="5"/>
      <c r="T56" s="5"/>
      <c r="U56" s="5"/>
      <c r="V56" s="5"/>
      <c r="W56" s="5"/>
    </row>
    <row r="57" spans="1:23" ht="16" x14ac:dyDescent="0.2">
      <c r="A57"/>
      <c r="B57"/>
      <c r="C57"/>
      <c r="D57"/>
      <c r="E57" s="6"/>
      <c r="F57" s="5"/>
      <c r="G57" s="5"/>
      <c r="H57" s="5"/>
      <c r="I57" s="5"/>
      <c r="J57" s="5"/>
      <c r="K57" s="5"/>
      <c r="L57" s="5"/>
      <c r="M57" s="5"/>
      <c r="N57" s="5"/>
      <c r="O57" s="5"/>
      <c r="P57" s="5"/>
      <c r="Q57" s="5"/>
      <c r="R57" s="5"/>
      <c r="S57" s="5"/>
      <c r="T57" s="5"/>
      <c r="U57" s="5"/>
      <c r="V57" s="5"/>
      <c r="W57" s="5"/>
    </row>
    <row r="58" spans="1:23" ht="16" x14ac:dyDescent="0.2">
      <c r="A58"/>
      <c r="B58"/>
      <c r="C58"/>
      <c r="D58"/>
      <c r="E58" s="6"/>
      <c r="F58" s="5"/>
      <c r="G58" s="5"/>
      <c r="H58" s="5"/>
      <c r="I58" s="5"/>
      <c r="J58" s="5"/>
      <c r="K58" s="5"/>
      <c r="L58" s="5"/>
      <c r="M58" s="5"/>
      <c r="N58" s="5"/>
      <c r="O58" s="5"/>
      <c r="P58" s="5"/>
      <c r="Q58" s="5"/>
      <c r="R58" s="5"/>
      <c r="S58" s="5"/>
      <c r="T58" s="5"/>
      <c r="U58" s="5"/>
      <c r="V58" s="5"/>
      <c r="W58" s="5"/>
    </row>
    <row r="59" spans="1:23" ht="16" x14ac:dyDescent="0.2">
      <c r="A59"/>
      <c r="B59"/>
      <c r="C59"/>
      <c r="D59"/>
      <c r="E59" s="6"/>
      <c r="F59" s="5"/>
      <c r="G59" s="5"/>
      <c r="H59" s="5"/>
      <c r="I59" s="5"/>
      <c r="J59" s="5"/>
      <c r="K59" s="5"/>
      <c r="L59" s="5"/>
      <c r="M59" s="5"/>
      <c r="N59" s="5"/>
      <c r="O59" s="5"/>
      <c r="P59" s="5"/>
      <c r="Q59" s="5"/>
      <c r="R59" s="5"/>
      <c r="S59" s="5"/>
      <c r="T59" s="5"/>
      <c r="U59" s="5"/>
      <c r="V59" s="5"/>
      <c r="W59" s="5"/>
    </row>
    <row r="60" spans="1:23" ht="16" x14ac:dyDescent="0.2">
      <c r="A60"/>
      <c r="B60"/>
      <c r="C60"/>
      <c r="D60"/>
      <c r="E60" s="6"/>
      <c r="F60" s="5"/>
      <c r="G60" s="5"/>
      <c r="H60" s="5"/>
      <c r="I60" s="5"/>
      <c r="J60" s="5"/>
      <c r="K60" s="5"/>
      <c r="L60" s="5"/>
      <c r="M60" s="5"/>
      <c r="N60" s="5"/>
      <c r="O60" s="5"/>
      <c r="P60" s="5"/>
      <c r="Q60" s="5"/>
      <c r="R60" s="5"/>
      <c r="S60" s="5"/>
      <c r="T60" s="5"/>
      <c r="U60" s="5"/>
      <c r="V60" s="5"/>
      <c r="W60" s="5"/>
    </row>
    <row r="61" spans="1:23" ht="16" x14ac:dyDescent="0.2">
      <c r="A61"/>
      <c r="B61"/>
      <c r="C61"/>
      <c r="D61"/>
      <c r="E61" s="6"/>
      <c r="F61" s="5"/>
      <c r="G61" s="5"/>
      <c r="H61" s="5"/>
      <c r="I61" s="5"/>
      <c r="J61" s="5"/>
      <c r="K61" s="5"/>
      <c r="L61" s="5"/>
      <c r="M61" s="5"/>
      <c r="N61" s="5"/>
      <c r="O61" s="5"/>
      <c r="P61" s="5"/>
      <c r="Q61" s="5"/>
      <c r="R61" s="5"/>
      <c r="S61" s="5"/>
      <c r="T61" s="5"/>
      <c r="U61" s="5"/>
      <c r="V61" s="5"/>
      <c r="W61" s="5"/>
    </row>
    <row r="62" spans="1:23" ht="16" x14ac:dyDescent="0.2">
      <c r="A62"/>
      <c r="B62"/>
      <c r="C62"/>
      <c r="D62"/>
      <c r="E62" s="6"/>
      <c r="F62" s="5"/>
      <c r="G62" s="5"/>
      <c r="H62" s="5"/>
      <c r="I62" s="5"/>
      <c r="J62" s="5"/>
      <c r="K62" s="5"/>
      <c r="L62" s="5"/>
      <c r="M62" s="5"/>
      <c r="N62" s="5"/>
      <c r="O62" s="5"/>
      <c r="P62" s="5"/>
      <c r="Q62" s="5"/>
      <c r="R62" s="5"/>
      <c r="S62" s="5"/>
      <c r="T62" s="5"/>
      <c r="U62" s="5"/>
      <c r="V62" s="5"/>
      <c r="W62" s="5"/>
    </row>
    <row r="63" spans="1:23" ht="16" x14ac:dyDescent="0.2">
      <c r="A63"/>
      <c r="B63"/>
      <c r="C63"/>
      <c r="D63"/>
      <c r="E63" s="6"/>
      <c r="F63" s="5"/>
      <c r="G63" s="5"/>
      <c r="H63" s="5"/>
      <c r="I63" s="5"/>
      <c r="J63" s="5"/>
      <c r="K63" s="5"/>
      <c r="L63" s="5"/>
      <c r="M63" s="5"/>
      <c r="N63" s="5"/>
      <c r="O63" s="5"/>
      <c r="P63" s="5"/>
      <c r="Q63" s="5"/>
      <c r="R63" s="5"/>
      <c r="S63" s="5"/>
      <c r="T63" s="5"/>
      <c r="U63" s="5"/>
      <c r="V63" s="5"/>
      <c r="W63" s="5"/>
    </row>
    <row r="64" spans="1:23" ht="16" x14ac:dyDescent="0.2">
      <c r="A64"/>
      <c r="B64"/>
      <c r="C64"/>
      <c r="D64"/>
      <c r="E64" s="6"/>
      <c r="F64" s="5"/>
      <c r="G64" s="5"/>
      <c r="H64" s="5"/>
      <c r="I64" s="5"/>
      <c r="J64" s="5"/>
      <c r="K64" s="5"/>
      <c r="L64" s="5"/>
      <c r="M64" s="5"/>
      <c r="N64" s="5"/>
      <c r="O64" s="5"/>
      <c r="P64" s="5"/>
      <c r="Q64" s="5"/>
      <c r="R64" s="5"/>
      <c r="S64" s="5"/>
      <c r="T64" s="5"/>
      <c r="U64" s="5"/>
      <c r="V64" s="5"/>
      <c r="W64" s="5"/>
    </row>
    <row r="65" spans="1:23" ht="16" x14ac:dyDescent="0.2">
      <c r="A65"/>
      <c r="B65"/>
      <c r="C65"/>
      <c r="D65"/>
      <c r="E65" s="6"/>
      <c r="F65" s="5"/>
      <c r="G65" s="5"/>
      <c r="H65" s="5"/>
      <c r="I65" s="5"/>
      <c r="J65" s="5"/>
      <c r="K65" s="5"/>
      <c r="L65" s="5"/>
      <c r="M65" s="5"/>
      <c r="N65" s="5"/>
      <c r="O65" s="5"/>
      <c r="P65" s="5"/>
      <c r="Q65" s="5"/>
      <c r="R65" s="5"/>
      <c r="S65" s="5"/>
      <c r="T65" s="5"/>
      <c r="U65" s="5"/>
      <c r="V65" s="5"/>
      <c r="W65" s="5"/>
    </row>
    <row r="66" spans="1:23" ht="16" x14ac:dyDescent="0.2">
      <c r="A66"/>
      <c r="B66"/>
      <c r="C66"/>
      <c r="D66"/>
      <c r="E66" s="6"/>
      <c r="F66" s="5"/>
      <c r="G66" s="5"/>
      <c r="H66" s="5"/>
      <c r="I66" s="5"/>
      <c r="J66" s="5"/>
      <c r="K66" s="5"/>
      <c r="L66" s="5"/>
      <c r="M66" s="5"/>
      <c r="N66" s="5"/>
      <c r="O66" s="5"/>
      <c r="P66" s="5"/>
      <c r="Q66" s="5"/>
      <c r="R66" s="5"/>
      <c r="S66" s="5"/>
      <c r="T66" s="5"/>
      <c r="U66" s="5"/>
      <c r="V66" s="5"/>
      <c r="W66" s="5"/>
    </row>
    <row r="67" spans="1:23" ht="16" x14ac:dyDescent="0.2">
      <c r="A67"/>
      <c r="B67"/>
      <c r="C67"/>
      <c r="D67"/>
      <c r="E67" s="6"/>
      <c r="F67" s="5"/>
      <c r="G67" s="5"/>
      <c r="H67" s="5"/>
      <c r="I67" s="5"/>
      <c r="J67" s="5"/>
      <c r="K67" s="5"/>
      <c r="L67" s="5"/>
      <c r="M67" s="5"/>
      <c r="N67" s="5"/>
      <c r="O67" s="5"/>
      <c r="P67" s="5"/>
      <c r="Q67" s="5"/>
      <c r="R67" s="5"/>
      <c r="S67" s="5"/>
      <c r="T67" s="5"/>
      <c r="U67" s="5"/>
      <c r="V67" s="5"/>
      <c r="W67" s="5"/>
    </row>
    <row r="68" spans="1:23" ht="16" x14ac:dyDescent="0.2">
      <c r="A68"/>
      <c r="B68"/>
      <c r="C68"/>
      <c r="D68"/>
      <c r="E68" s="6"/>
      <c r="F68" s="5"/>
      <c r="G68" s="5"/>
      <c r="H68" s="5"/>
      <c r="I68" s="5"/>
      <c r="J68" s="5"/>
      <c r="K68" s="5"/>
      <c r="L68" s="5"/>
      <c r="M68" s="5"/>
      <c r="N68" s="5"/>
      <c r="O68" s="5"/>
      <c r="P68" s="5"/>
      <c r="Q68" s="5"/>
      <c r="R68" s="5"/>
      <c r="S68" s="5"/>
      <c r="T68" s="5"/>
      <c r="U68" s="5"/>
      <c r="V68" s="5"/>
      <c r="W68" s="5"/>
    </row>
    <row r="69" spans="1:23" ht="16" x14ac:dyDescent="0.2">
      <c r="A69"/>
      <c r="B69"/>
      <c r="C69"/>
      <c r="D69"/>
      <c r="E69" s="6"/>
      <c r="F69" s="5"/>
      <c r="G69" s="5"/>
      <c r="H69" s="5"/>
      <c r="I69" s="5"/>
      <c r="J69" s="5"/>
      <c r="K69" s="5"/>
      <c r="L69" s="5"/>
      <c r="M69" s="5"/>
      <c r="N69" s="5"/>
      <c r="O69" s="5"/>
      <c r="P69" s="5"/>
      <c r="Q69" s="5"/>
      <c r="R69" s="5"/>
      <c r="S69" s="5"/>
      <c r="T69" s="5"/>
      <c r="U69" s="5"/>
      <c r="V69" s="5"/>
      <c r="W69" s="5"/>
    </row>
    <row r="70" spans="1:23" ht="16" x14ac:dyDescent="0.2">
      <c r="A70"/>
      <c r="B70"/>
      <c r="C70"/>
      <c r="D70"/>
      <c r="E70" s="6"/>
      <c r="F70" s="5"/>
      <c r="G70" s="5"/>
      <c r="H70" s="5"/>
      <c r="I70" s="5"/>
      <c r="J70" s="5"/>
      <c r="K70" s="5"/>
      <c r="L70" s="5"/>
      <c r="M70" s="5"/>
      <c r="N70" s="5"/>
      <c r="O70" s="5"/>
      <c r="P70" s="5"/>
      <c r="Q70" s="5"/>
      <c r="R70" s="5"/>
      <c r="S70" s="5"/>
      <c r="T70" s="5"/>
      <c r="U70" s="5"/>
      <c r="V70" s="5"/>
      <c r="W70" s="5"/>
    </row>
    <row r="71" spans="1:23" ht="16" x14ac:dyDescent="0.2">
      <c r="A71"/>
      <c r="B71"/>
      <c r="C71"/>
      <c r="D71"/>
      <c r="E71" s="6"/>
      <c r="F71" s="5"/>
      <c r="G71" s="5"/>
      <c r="H71" s="5"/>
      <c r="I71" s="5"/>
      <c r="J71" s="5"/>
      <c r="K71" s="5"/>
      <c r="L71" s="5"/>
      <c r="M71" s="5"/>
      <c r="N71" s="5"/>
      <c r="O71" s="5"/>
      <c r="P71" s="5"/>
      <c r="Q71" s="5"/>
      <c r="R71" s="5"/>
      <c r="S71" s="5"/>
      <c r="T71" s="5"/>
      <c r="U71" s="5"/>
      <c r="V71" s="5"/>
      <c r="W71" s="5"/>
    </row>
    <row r="72" spans="1:23" ht="16" x14ac:dyDescent="0.2">
      <c r="A72"/>
      <c r="B72"/>
      <c r="C72"/>
      <c r="D72"/>
      <c r="E72" s="6"/>
      <c r="F72" s="5"/>
      <c r="G72" s="5"/>
      <c r="H72" s="5"/>
      <c r="I72" s="5"/>
      <c r="J72" s="5"/>
      <c r="K72" s="5"/>
      <c r="L72" s="5"/>
      <c r="M72" s="5"/>
      <c r="N72" s="5"/>
      <c r="O72" s="5"/>
      <c r="P72" s="5"/>
      <c r="Q72" s="5"/>
      <c r="R72" s="5"/>
      <c r="S72" s="5"/>
      <c r="T72" s="5"/>
      <c r="U72" s="5"/>
      <c r="V72" s="5"/>
      <c r="W72" s="5"/>
    </row>
    <row r="73" spans="1:23" ht="16" x14ac:dyDescent="0.2">
      <c r="A73"/>
      <c r="B73"/>
      <c r="C73"/>
      <c r="D73"/>
      <c r="E73" s="6"/>
      <c r="F73" s="5"/>
      <c r="G73" s="5"/>
      <c r="H73" s="5"/>
      <c r="I73" s="5"/>
      <c r="J73" s="5"/>
      <c r="K73" s="5"/>
      <c r="L73" s="5"/>
      <c r="M73" s="5"/>
      <c r="N73" s="5"/>
      <c r="O73" s="5"/>
      <c r="P73" s="5"/>
      <c r="Q73" s="5"/>
      <c r="R73" s="5"/>
      <c r="S73" s="5"/>
      <c r="T73" s="5"/>
      <c r="U73" s="5"/>
      <c r="V73" s="5"/>
      <c r="W73" s="5"/>
    </row>
    <row r="74" spans="1:23" ht="16" x14ac:dyDescent="0.2">
      <c r="A74"/>
      <c r="B74"/>
      <c r="C74"/>
      <c r="D74"/>
      <c r="E74" s="6"/>
      <c r="F74" s="5"/>
      <c r="G74" s="5"/>
      <c r="H74" s="5"/>
      <c r="I74" s="5"/>
      <c r="J74" s="5"/>
      <c r="K74" s="5"/>
      <c r="L74" s="5"/>
      <c r="M74" s="5"/>
      <c r="N74" s="5"/>
      <c r="O74" s="5"/>
      <c r="P74" s="5"/>
      <c r="Q74" s="5"/>
      <c r="R74" s="5"/>
      <c r="S74" s="5"/>
      <c r="T74" s="5"/>
      <c r="U74" s="5"/>
      <c r="V74" s="5"/>
      <c r="W74" s="5"/>
    </row>
    <row r="75" spans="1:23" ht="16" x14ac:dyDescent="0.2">
      <c r="A75"/>
      <c r="B75"/>
      <c r="C75"/>
      <c r="D75"/>
      <c r="E75" s="6"/>
      <c r="F75" s="5"/>
      <c r="G75" s="5"/>
      <c r="H75" s="5"/>
      <c r="I75" s="5"/>
      <c r="J75" s="5"/>
      <c r="K75" s="5"/>
      <c r="L75" s="5"/>
      <c r="M75" s="5"/>
      <c r="N75" s="5"/>
      <c r="O75" s="5"/>
      <c r="P75" s="5"/>
      <c r="Q75" s="5"/>
      <c r="R75" s="5"/>
      <c r="S75" s="5"/>
      <c r="T75" s="5"/>
      <c r="U75" s="5"/>
      <c r="V75" s="5"/>
      <c r="W75" s="5"/>
    </row>
    <row r="76" spans="1:23" ht="16" x14ac:dyDescent="0.2">
      <c r="A76"/>
      <c r="B76"/>
      <c r="C76"/>
      <c r="D76"/>
      <c r="E76" s="6"/>
      <c r="F76" s="5"/>
      <c r="G76" s="5"/>
      <c r="H76" s="5"/>
      <c r="I76" s="5"/>
      <c r="J76" s="5"/>
      <c r="K76" s="5"/>
      <c r="L76" s="5"/>
      <c r="M76" s="5"/>
      <c r="N76" s="5"/>
      <c r="O76" s="5"/>
      <c r="P76" s="5"/>
      <c r="Q76" s="5"/>
      <c r="R76" s="5"/>
      <c r="S76" s="5"/>
      <c r="T76" s="5"/>
      <c r="U76" s="5"/>
      <c r="V76" s="5"/>
      <c r="W76" s="5"/>
    </row>
    <row r="77" spans="1:23" ht="16" x14ac:dyDescent="0.2">
      <c r="A77"/>
      <c r="B77"/>
      <c r="C77"/>
      <c r="D77"/>
      <c r="E77" s="6"/>
      <c r="F77" s="5"/>
      <c r="G77" s="5"/>
      <c r="H77" s="5"/>
      <c r="I77" s="5"/>
      <c r="J77" s="5"/>
      <c r="K77" s="5"/>
      <c r="L77" s="5"/>
      <c r="M77" s="5"/>
      <c r="N77" s="5"/>
      <c r="O77" s="5"/>
      <c r="P77" s="5"/>
      <c r="Q77" s="5"/>
      <c r="R77" s="5"/>
      <c r="S77" s="5"/>
      <c r="T77" s="5"/>
      <c r="U77" s="5"/>
      <c r="V77" s="5"/>
      <c r="W77" s="5"/>
    </row>
    <row r="78" spans="1:23" ht="16" x14ac:dyDescent="0.2">
      <c r="A78"/>
      <c r="B78"/>
      <c r="C78"/>
      <c r="D78"/>
      <c r="E78" s="6"/>
      <c r="F78" s="5"/>
      <c r="G78" s="5"/>
      <c r="H78" s="5"/>
      <c r="I78" s="5"/>
      <c r="J78" s="5"/>
      <c r="K78" s="5"/>
      <c r="L78" s="5"/>
      <c r="M78" s="5"/>
      <c r="N78" s="5"/>
      <c r="O78" s="5"/>
      <c r="P78" s="5"/>
      <c r="Q78" s="5"/>
      <c r="R78" s="5"/>
      <c r="S78" s="5"/>
      <c r="T78" s="5"/>
      <c r="U78" s="5"/>
      <c r="V78" s="5"/>
      <c r="W78" s="5"/>
    </row>
    <row r="79" spans="1:23" ht="16" x14ac:dyDescent="0.2">
      <c r="A79"/>
      <c r="B79"/>
      <c r="C79"/>
      <c r="D79"/>
      <c r="E79" s="6"/>
      <c r="F79" s="5"/>
      <c r="G79" s="5"/>
      <c r="H79" s="5"/>
      <c r="I79" s="5"/>
      <c r="J79" s="5"/>
      <c r="K79" s="5"/>
      <c r="L79" s="5"/>
      <c r="M79" s="5"/>
      <c r="N79" s="5"/>
      <c r="O79" s="5"/>
      <c r="P79" s="5"/>
      <c r="Q79" s="5"/>
      <c r="R79" s="5"/>
      <c r="S79" s="5"/>
      <c r="T79" s="5"/>
      <c r="U79" s="5"/>
      <c r="V79" s="5"/>
      <c r="W79" s="5"/>
    </row>
    <row r="80" spans="1:23" ht="16" x14ac:dyDescent="0.2">
      <c r="A80"/>
      <c r="B80"/>
      <c r="C80"/>
      <c r="D80"/>
      <c r="E80" s="6"/>
      <c r="F80" s="5"/>
      <c r="G80" s="5"/>
      <c r="H80" s="5"/>
      <c r="I80" s="5"/>
      <c r="J80" s="5"/>
      <c r="K80" s="5"/>
      <c r="L80" s="5"/>
      <c r="M80" s="5"/>
      <c r="N80" s="5"/>
      <c r="O80" s="5"/>
      <c r="P80" s="5"/>
      <c r="Q80" s="5"/>
      <c r="R80" s="5"/>
      <c r="S80" s="5"/>
      <c r="T80" s="5"/>
      <c r="U80" s="5"/>
      <c r="V80" s="5"/>
      <c r="W80" s="5"/>
    </row>
    <row r="81" spans="1:23" ht="16" x14ac:dyDescent="0.2">
      <c r="A81"/>
      <c r="B81"/>
      <c r="C81"/>
      <c r="D81"/>
      <c r="E81" s="6"/>
      <c r="F81" s="5"/>
      <c r="G81" s="5"/>
      <c r="H81" s="5"/>
      <c r="I81" s="5"/>
      <c r="J81" s="5"/>
      <c r="K81" s="5"/>
      <c r="L81" s="5"/>
      <c r="M81" s="5"/>
      <c r="N81" s="5"/>
      <c r="O81" s="5"/>
      <c r="P81" s="5"/>
      <c r="Q81" s="5"/>
      <c r="R81" s="5"/>
      <c r="S81" s="5"/>
      <c r="T81" s="5"/>
      <c r="U81" s="5"/>
      <c r="V81" s="5"/>
      <c r="W81" s="5"/>
    </row>
    <row r="82" spans="1:23" ht="16" x14ac:dyDescent="0.2">
      <c r="A82"/>
      <c r="B82"/>
      <c r="C82"/>
      <c r="D82"/>
      <c r="E82" s="6"/>
      <c r="F82" s="5"/>
      <c r="G82" s="5"/>
      <c r="H82" s="5"/>
      <c r="I82" s="5"/>
      <c r="J82" s="5"/>
      <c r="K82" s="5"/>
      <c r="L82" s="5"/>
      <c r="M82" s="5"/>
      <c r="N82" s="5"/>
      <c r="O82" s="5"/>
      <c r="P82" s="5"/>
      <c r="Q82" s="5"/>
      <c r="R82" s="5"/>
      <c r="S82" s="5"/>
      <c r="T82" s="5"/>
      <c r="U82" s="5"/>
      <c r="V82" s="5"/>
      <c r="W82" s="5"/>
    </row>
    <row r="83" spans="1:23" ht="16" x14ac:dyDescent="0.2">
      <c r="A83"/>
      <c r="B83"/>
      <c r="C83"/>
      <c r="D83"/>
      <c r="E83" s="6"/>
      <c r="F83" s="5"/>
      <c r="G83" s="5"/>
      <c r="H83" s="5"/>
      <c r="I83" s="5"/>
      <c r="J83" s="5"/>
      <c r="K83" s="5"/>
      <c r="L83" s="5"/>
      <c r="M83" s="5"/>
      <c r="N83" s="5"/>
      <c r="O83" s="5"/>
      <c r="P83" s="5"/>
      <c r="Q83" s="5"/>
      <c r="R83" s="5"/>
      <c r="S83" s="5"/>
      <c r="T83" s="5"/>
      <c r="U83" s="5"/>
      <c r="V83" s="5"/>
      <c r="W83" s="5"/>
    </row>
    <row r="84" spans="1:23" ht="16" x14ac:dyDescent="0.2">
      <c r="A84"/>
      <c r="B84"/>
      <c r="C84"/>
      <c r="D84"/>
      <c r="E84" s="6"/>
      <c r="F84" s="5"/>
      <c r="G84" s="5"/>
      <c r="H84" s="5"/>
      <c r="I84" s="5"/>
      <c r="J84" s="5"/>
      <c r="K84" s="5"/>
      <c r="L84" s="5"/>
      <c r="M84" s="5"/>
      <c r="N84" s="5"/>
      <c r="O84" s="5"/>
      <c r="P84" s="5"/>
      <c r="Q84" s="5"/>
      <c r="R84" s="5"/>
      <c r="S84" s="5"/>
      <c r="T84" s="5"/>
      <c r="U84" s="5"/>
      <c r="V84" s="5"/>
      <c r="W84" s="5"/>
    </row>
    <row r="85" spans="1:23" ht="16" x14ac:dyDescent="0.2">
      <c r="A85"/>
      <c r="B85"/>
      <c r="C85"/>
      <c r="D85"/>
      <c r="E85" s="6"/>
      <c r="F85" s="5"/>
      <c r="G85" s="5"/>
      <c r="H85" s="5"/>
      <c r="I85" s="5"/>
      <c r="J85" s="5"/>
      <c r="K85" s="5"/>
      <c r="L85" s="5"/>
      <c r="M85" s="5"/>
      <c r="N85" s="5"/>
      <c r="O85" s="5"/>
      <c r="P85" s="5"/>
      <c r="Q85" s="5"/>
      <c r="R85" s="5"/>
      <c r="S85" s="5"/>
      <c r="T85" s="5"/>
      <c r="U85" s="5"/>
      <c r="V85" s="5"/>
      <c r="W85" s="5"/>
    </row>
    <row r="86" spans="1:23" ht="16" x14ac:dyDescent="0.2">
      <c r="A86"/>
      <c r="B86"/>
      <c r="C86"/>
      <c r="D86"/>
      <c r="E86" s="6"/>
      <c r="F86" s="5"/>
      <c r="G86" s="5"/>
      <c r="H86" s="5"/>
      <c r="I86" s="5"/>
      <c r="J86" s="5"/>
      <c r="K86" s="5"/>
      <c r="L86" s="5"/>
      <c r="M86" s="5"/>
      <c r="N86" s="5"/>
      <c r="O86" s="5"/>
      <c r="P86" s="5"/>
      <c r="Q86" s="5"/>
      <c r="R86" s="5"/>
      <c r="S86" s="5"/>
      <c r="T86" s="5"/>
      <c r="U86" s="5"/>
      <c r="V86" s="5"/>
      <c r="W86" s="5"/>
    </row>
    <row r="87" spans="1:23" ht="16" x14ac:dyDescent="0.2">
      <c r="A87"/>
      <c r="B87"/>
      <c r="C87"/>
      <c r="D87"/>
      <c r="E87" s="6"/>
      <c r="F87" s="5"/>
      <c r="G87" s="5"/>
      <c r="H87" s="5"/>
      <c r="I87" s="5"/>
      <c r="J87" s="5"/>
      <c r="K87" s="5"/>
      <c r="L87" s="5"/>
      <c r="M87" s="5"/>
      <c r="N87" s="5"/>
      <c r="O87" s="5"/>
      <c r="P87" s="5"/>
      <c r="Q87" s="5"/>
      <c r="R87" s="5"/>
      <c r="S87" s="5"/>
      <c r="T87" s="5"/>
      <c r="U87" s="5"/>
      <c r="V87" s="5"/>
      <c r="W87" s="5"/>
    </row>
    <row r="88" spans="1:23" ht="16" x14ac:dyDescent="0.2">
      <c r="A88"/>
      <c r="B88"/>
      <c r="C88"/>
      <c r="D88"/>
      <c r="E88" s="6"/>
      <c r="F88" s="5"/>
      <c r="G88" s="5"/>
      <c r="H88" s="5"/>
      <c r="I88" s="5"/>
      <c r="J88" s="5"/>
      <c r="K88" s="5"/>
      <c r="L88" s="5"/>
      <c r="M88" s="5"/>
      <c r="N88" s="5"/>
      <c r="O88" s="5"/>
      <c r="P88" s="5"/>
      <c r="Q88" s="5"/>
      <c r="R88" s="5"/>
      <c r="S88" s="5"/>
      <c r="T88" s="5"/>
      <c r="U88" s="5"/>
      <c r="V88" s="5"/>
      <c r="W88" s="5"/>
    </row>
    <row r="89" spans="1:23" ht="16" x14ac:dyDescent="0.2">
      <c r="A89"/>
      <c r="B89"/>
      <c r="C89"/>
      <c r="D89"/>
      <c r="E89" s="6"/>
      <c r="F89" s="5"/>
      <c r="G89" s="5"/>
      <c r="H89" s="5"/>
      <c r="I89" s="5"/>
      <c r="J89" s="5"/>
      <c r="K89" s="5"/>
      <c r="L89" s="5"/>
      <c r="M89" s="5"/>
      <c r="N89" s="5"/>
      <c r="O89" s="5"/>
      <c r="P89" s="5"/>
      <c r="Q89" s="5"/>
      <c r="R89" s="5"/>
      <c r="S89" s="5"/>
      <c r="T89" s="5"/>
      <c r="U89" s="5"/>
      <c r="V89" s="5"/>
      <c r="W89" s="5"/>
    </row>
    <row r="90" spans="1:23" ht="16" x14ac:dyDescent="0.2">
      <c r="A90"/>
      <c r="B90"/>
      <c r="C90"/>
      <c r="D90"/>
      <c r="E90" s="6"/>
      <c r="F90" s="5"/>
      <c r="G90" s="5"/>
      <c r="H90" s="5"/>
      <c r="I90" s="5"/>
      <c r="J90" s="5"/>
      <c r="K90" s="5"/>
      <c r="L90" s="5"/>
      <c r="M90" s="5"/>
      <c r="N90" s="5"/>
      <c r="O90" s="5"/>
      <c r="P90" s="5"/>
      <c r="Q90" s="5"/>
      <c r="R90" s="5"/>
      <c r="S90" s="5"/>
      <c r="T90" s="5"/>
      <c r="U90" s="5"/>
      <c r="V90" s="5"/>
      <c r="W90" s="5"/>
    </row>
    <row r="91" spans="1:23" ht="16" x14ac:dyDescent="0.2">
      <c r="A91"/>
      <c r="B91"/>
      <c r="C91"/>
      <c r="D91"/>
      <c r="E91" s="6"/>
      <c r="F91" s="5"/>
      <c r="G91" s="5"/>
      <c r="H91" s="5"/>
      <c r="I91" s="5"/>
      <c r="J91" s="5"/>
      <c r="K91" s="5"/>
      <c r="L91" s="5"/>
      <c r="M91" s="5"/>
      <c r="N91" s="5"/>
      <c r="O91" s="5"/>
      <c r="P91" s="5"/>
      <c r="Q91" s="5"/>
      <c r="R91" s="5"/>
      <c r="S91" s="5"/>
      <c r="T91" s="5"/>
      <c r="U91" s="5"/>
      <c r="V91" s="5"/>
      <c r="W91" s="5"/>
    </row>
    <row r="92" spans="1:23" ht="16" x14ac:dyDescent="0.2">
      <c r="A92"/>
      <c r="B92"/>
      <c r="C92"/>
      <c r="D92"/>
      <c r="E92" s="6"/>
      <c r="F92" s="5"/>
      <c r="G92" s="5"/>
      <c r="H92" s="5"/>
      <c r="I92" s="5"/>
      <c r="J92" s="5"/>
      <c r="K92" s="5"/>
      <c r="L92" s="5"/>
      <c r="M92" s="5"/>
      <c r="N92" s="5"/>
      <c r="O92" s="5"/>
      <c r="P92" s="5"/>
      <c r="Q92" s="5"/>
      <c r="R92" s="5"/>
      <c r="S92" s="5"/>
      <c r="T92" s="5"/>
      <c r="U92" s="5"/>
      <c r="V92" s="5"/>
      <c r="W92" s="5"/>
    </row>
    <row r="93" spans="1:23" ht="16" x14ac:dyDescent="0.2">
      <c r="A93"/>
      <c r="B93"/>
      <c r="C93"/>
      <c r="D93"/>
      <c r="E93" s="6"/>
      <c r="F93" s="5"/>
      <c r="G93" s="5"/>
      <c r="H93" s="5"/>
      <c r="I93" s="5"/>
      <c r="J93" s="5"/>
      <c r="K93" s="5"/>
      <c r="L93" s="5"/>
      <c r="M93" s="5"/>
      <c r="N93" s="5"/>
      <c r="O93" s="5"/>
      <c r="P93" s="5"/>
      <c r="Q93" s="5"/>
      <c r="R93" s="5"/>
      <c r="S93" s="5"/>
      <c r="T93" s="5"/>
      <c r="U93" s="5"/>
      <c r="V93" s="5"/>
      <c r="W93" s="5"/>
    </row>
    <row r="94" spans="1:23" ht="16" x14ac:dyDescent="0.2">
      <c r="A94"/>
      <c r="B94"/>
      <c r="C94"/>
      <c r="D94"/>
      <c r="E94" s="6"/>
      <c r="F94" s="5"/>
      <c r="G94" s="5"/>
      <c r="H94" s="5"/>
      <c r="I94" s="5"/>
      <c r="J94" s="5"/>
      <c r="K94" s="5"/>
      <c r="L94" s="5"/>
      <c r="M94" s="5"/>
      <c r="N94" s="5"/>
      <c r="O94" s="5"/>
      <c r="P94" s="5"/>
      <c r="Q94" s="5"/>
      <c r="R94" s="5"/>
      <c r="S94" s="5"/>
      <c r="T94" s="5"/>
      <c r="U94" s="5"/>
      <c r="V94" s="5"/>
      <c r="W94" s="5"/>
    </row>
    <row r="95" spans="1:23" ht="16" x14ac:dyDescent="0.2">
      <c r="A95"/>
      <c r="B95"/>
      <c r="C95"/>
      <c r="D95"/>
      <c r="E95" s="6"/>
      <c r="F95" s="5"/>
      <c r="G95" s="5"/>
      <c r="H95" s="5"/>
      <c r="I95" s="5"/>
      <c r="J95" s="5"/>
      <c r="K95" s="5"/>
      <c r="L95" s="5"/>
      <c r="M95" s="5"/>
      <c r="N95" s="5"/>
      <c r="O95" s="5"/>
      <c r="P95" s="5"/>
      <c r="Q95" s="5"/>
      <c r="R95" s="5"/>
      <c r="S95" s="5"/>
      <c r="T95" s="5"/>
      <c r="U95" s="5"/>
      <c r="V95" s="5"/>
      <c r="W95" s="5"/>
    </row>
    <row r="96" spans="1:23" ht="16" x14ac:dyDescent="0.2">
      <c r="A96"/>
      <c r="B96"/>
      <c r="C96"/>
      <c r="D96"/>
      <c r="E96" s="6"/>
      <c r="F96" s="5"/>
      <c r="G96" s="5"/>
      <c r="H96" s="5"/>
      <c r="I96" s="5"/>
      <c r="J96" s="5"/>
      <c r="K96" s="5"/>
      <c r="L96" s="5"/>
      <c r="M96" s="5"/>
      <c r="N96" s="5"/>
      <c r="O96" s="5"/>
      <c r="P96" s="5"/>
      <c r="Q96" s="5"/>
      <c r="R96" s="5"/>
      <c r="S96" s="5"/>
      <c r="T96" s="5"/>
      <c r="U96" s="5"/>
      <c r="V96" s="5"/>
      <c r="W96" s="5"/>
    </row>
    <row r="97" spans="1:23" ht="16" x14ac:dyDescent="0.2">
      <c r="A97"/>
      <c r="B97"/>
      <c r="C97"/>
      <c r="D97"/>
      <c r="E97" s="6"/>
      <c r="F97" s="5"/>
      <c r="G97" s="5"/>
      <c r="H97" s="5"/>
      <c r="I97" s="5"/>
      <c r="J97" s="5"/>
      <c r="K97" s="5"/>
      <c r="L97" s="5"/>
      <c r="M97" s="5"/>
      <c r="N97" s="5"/>
      <c r="O97" s="5"/>
      <c r="P97" s="5"/>
      <c r="Q97" s="5"/>
      <c r="R97" s="5"/>
      <c r="S97" s="5"/>
      <c r="T97" s="5"/>
      <c r="U97" s="5"/>
      <c r="V97" s="5"/>
      <c r="W97" s="5"/>
    </row>
    <row r="98" spans="1:23" ht="16" x14ac:dyDescent="0.2">
      <c r="A98"/>
      <c r="B98"/>
      <c r="C98"/>
      <c r="D98"/>
      <c r="E98" s="6"/>
      <c r="F98" s="5"/>
      <c r="G98" s="5"/>
      <c r="H98" s="5"/>
      <c r="I98" s="5"/>
      <c r="J98" s="5"/>
      <c r="K98" s="5"/>
      <c r="L98" s="5"/>
      <c r="M98" s="5"/>
      <c r="N98" s="5"/>
      <c r="O98" s="5"/>
      <c r="P98" s="5"/>
      <c r="Q98" s="5"/>
      <c r="R98" s="5"/>
      <c r="S98" s="5"/>
      <c r="T98" s="5"/>
      <c r="U98" s="5"/>
      <c r="V98" s="5"/>
      <c r="W98" s="5"/>
    </row>
    <row r="99" spans="1:23" ht="16" x14ac:dyDescent="0.2">
      <c r="A99"/>
      <c r="B99"/>
      <c r="C99"/>
      <c r="D99"/>
      <c r="E99" s="6"/>
      <c r="F99" s="5"/>
      <c r="G99" s="5"/>
      <c r="H99" s="5"/>
      <c r="I99" s="5"/>
      <c r="J99" s="5"/>
      <c r="K99" s="5"/>
      <c r="L99" s="5"/>
      <c r="M99" s="5"/>
      <c r="N99" s="5"/>
      <c r="O99" s="5"/>
      <c r="P99" s="5"/>
      <c r="Q99" s="5"/>
      <c r="R99" s="5"/>
      <c r="S99" s="5"/>
      <c r="T99" s="5"/>
      <c r="U99" s="5"/>
      <c r="V99" s="5"/>
      <c r="W99" s="5"/>
    </row>
    <row r="100" spans="1:23" ht="16" x14ac:dyDescent="0.2">
      <c r="A100"/>
      <c r="B100"/>
      <c r="C100"/>
      <c r="D100"/>
      <c r="E100" s="6"/>
      <c r="F100" s="5"/>
      <c r="G100" s="5"/>
      <c r="H100" s="5"/>
      <c r="I100" s="5"/>
      <c r="J100" s="5"/>
      <c r="K100" s="5"/>
      <c r="L100" s="5"/>
      <c r="M100" s="5"/>
      <c r="N100" s="5"/>
      <c r="O100" s="5"/>
      <c r="P100" s="5"/>
      <c r="Q100" s="5"/>
      <c r="R100" s="5"/>
      <c r="S100" s="5"/>
      <c r="T100" s="5"/>
      <c r="U100" s="5"/>
      <c r="V100" s="5"/>
      <c r="W100" s="5"/>
    </row>
    <row r="101" spans="1:23" ht="16" x14ac:dyDescent="0.2">
      <c r="A101"/>
      <c r="B101"/>
      <c r="C101"/>
      <c r="D101"/>
      <c r="E101" s="6"/>
      <c r="F101" s="5"/>
      <c r="G101" s="5"/>
      <c r="H101" s="5"/>
      <c r="I101" s="5"/>
      <c r="J101" s="5"/>
      <c r="K101" s="5"/>
      <c r="L101" s="5"/>
      <c r="M101" s="5"/>
      <c r="N101" s="5"/>
      <c r="O101" s="5"/>
      <c r="P101" s="5"/>
      <c r="Q101" s="5"/>
      <c r="R101" s="5"/>
      <c r="S101" s="5"/>
      <c r="T101" s="5"/>
      <c r="U101" s="5"/>
      <c r="V101" s="5"/>
      <c r="W101" s="5"/>
    </row>
    <row r="102" spans="1:23" ht="16" x14ac:dyDescent="0.2">
      <c r="A102"/>
      <c r="B102"/>
      <c r="C102"/>
      <c r="D102"/>
      <c r="E102" s="6"/>
      <c r="F102" s="5"/>
      <c r="G102" s="5"/>
      <c r="H102" s="5"/>
      <c r="I102" s="5"/>
      <c r="J102" s="5"/>
      <c r="K102" s="5"/>
      <c r="L102" s="5"/>
      <c r="M102" s="5"/>
      <c r="N102" s="5"/>
      <c r="O102" s="5"/>
      <c r="P102" s="5"/>
      <c r="Q102" s="5"/>
      <c r="R102" s="5"/>
      <c r="S102" s="5"/>
      <c r="T102" s="5"/>
      <c r="U102" s="5"/>
      <c r="V102" s="5"/>
      <c r="W102" s="5"/>
    </row>
    <row r="103" spans="1:23" ht="16" x14ac:dyDescent="0.2">
      <c r="A103"/>
      <c r="B103"/>
      <c r="C103"/>
      <c r="D103"/>
      <c r="E103" s="6"/>
      <c r="F103" s="5"/>
      <c r="G103" s="5"/>
      <c r="H103" s="5"/>
      <c r="I103" s="5"/>
      <c r="J103" s="5"/>
      <c r="K103" s="5"/>
      <c r="L103" s="5"/>
      <c r="M103" s="5"/>
      <c r="N103" s="5"/>
      <c r="O103" s="5"/>
      <c r="P103" s="5"/>
      <c r="Q103" s="5"/>
      <c r="R103" s="5"/>
      <c r="S103" s="5"/>
      <c r="T103" s="5"/>
      <c r="U103" s="5"/>
      <c r="V103" s="5"/>
      <c r="W103" s="5"/>
    </row>
    <row r="104" spans="1:23" ht="16" x14ac:dyDescent="0.2">
      <c r="A104"/>
      <c r="B104"/>
      <c r="C104"/>
      <c r="D104"/>
      <c r="E104" s="6"/>
      <c r="F104" s="5"/>
      <c r="G104" s="5"/>
      <c r="H104" s="5"/>
      <c r="I104" s="5"/>
      <c r="J104" s="5"/>
      <c r="K104" s="5"/>
      <c r="L104" s="5"/>
      <c r="M104" s="5"/>
      <c r="N104" s="5"/>
      <c r="O104" s="5"/>
      <c r="P104" s="5"/>
      <c r="Q104" s="5"/>
      <c r="R104" s="5"/>
      <c r="S104" s="5"/>
      <c r="T104" s="5"/>
      <c r="U104" s="5"/>
      <c r="V104" s="5"/>
      <c r="W104" s="5"/>
    </row>
    <row r="105" spans="1:23" ht="16" x14ac:dyDescent="0.2">
      <c r="A105"/>
      <c r="B105"/>
      <c r="C105"/>
      <c r="D105"/>
      <c r="E105" s="6"/>
      <c r="F105" s="5"/>
      <c r="G105" s="5"/>
      <c r="H105" s="5"/>
      <c r="I105" s="5"/>
      <c r="J105" s="5"/>
      <c r="K105" s="5"/>
      <c r="L105" s="5"/>
      <c r="M105" s="5"/>
      <c r="N105" s="5"/>
      <c r="O105" s="5"/>
      <c r="P105" s="5"/>
      <c r="Q105" s="5"/>
      <c r="R105" s="5"/>
      <c r="S105" s="5"/>
      <c r="T105" s="5"/>
      <c r="U105" s="5"/>
      <c r="V105" s="5"/>
      <c r="W105" s="5"/>
    </row>
    <row r="106" spans="1:23" ht="16" x14ac:dyDescent="0.2">
      <c r="A106"/>
      <c r="B106"/>
      <c r="C106"/>
      <c r="D106"/>
      <c r="E106" s="6"/>
      <c r="F106" s="5"/>
      <c r="G106" s="5"/>
      <c r="H106" s="5"/>
      <c r="I106" s="5"/>
      <c r="J106" s="5"/>
      <c r="K106" s="5"/>
      <c r="L106" s="5"/>
      <c r="M106" s="5"/>
      <c r="N106" s="5"/>
      <c r="O106" s="5"/>
      <c r="P106" s="5"/>
      <c r="Q106" s="5"/>
      <c r="R106" s="5"/>
      <c r="S106" s="5"/>
      <c r="T106" s="5"/>
      <c r="U106" s="5"/>
      <c r="V106" s="5"/>
      <c r="W106" s="5"/>
    </row>
    <row r="107" spans="1:23" ht="16" x14ac:dyDescent="0.2">
      <c r="A107"/>
      <c r="B107"/>
      <c r="C107"/>
      <c r="D107"/>
      <c r="E107" s="6"/>
      <c r="F107" s="5"/>
      <c r="G107" s="5"/>
      <c r="H107" s="5"/>
      <c r="I107" s="5"/>
      <c r="J107" s="5"/>
      <c r="K107" s="5"/>
      <c r="L107" s="5"/>
      <c r="M107" s="5"/>
      <c r="N107" s="5"/>
      <c r="O107" s="5"/>
      <c r="P107" s="5"/>
      <c r="Q107" s="5"/>
      <c r="R107" s="5"/>
      <c r="S107" s="5"/>
      <c r="T107" s="5"/>
      <c r="U107" s="5"/>
      <c r="V107" s="5"/>
      <c r="W107" s="5"/>
    </row>
    <row r="108" spans="1:23" ht="16" x14ac:dyDescent="0.2">
      <c r="A108"/>
      <c r="B108"/>
      <c r="C108"/>
      <c r="D108"/>
      <c r="E108" s="6"/>
      <c r="F108" s="5"/>
      <c r="G108" s="5"/>
      <c r="H108" s="5"/>
      <c r="I108" s="5"/>
      <c r="J108" s="5"/>
      <c r="K108" s="5"/>
      <c r="L108" s="5"/>
      <c r="M108" s="5"/>
      <c r="N108" s="5"/>
      <c r="O108" s="5"/>
      <c r="P108" s="5"/>
      <c r="Q108" s="5"/>
      <c r="R108" s="5"/>
      <c r="S108" s="5"/>
      <c r="T108" s="5"/>
      <c r="U108" s="5"/>
      <c r="V108" s="5"/>
      <c r="W108" s="5"/>
    </row>
    <row r="109" spans="1:23" ht="16" x14ac:dyDescent="0.2">
      <c r="A109"/>
      <c r="B109"/>
      <c r="C109"/>
      <c r="D109"/>
      <c r="E109" s="6"/>
      <c r="F109" s="5"/>
      <c r="G109" s="5"/>
      <c r="H109" s="5"/>
      <c r="I109" s="5"/>
      <c r="J109" s="5"/>
      <c r="K109" s="5"/>
      <c r="L109" s="5"/>
      <c r="M109" s="5"/>
      <c r="N109" s="5"/>
      <c r="O109" s="5"/>
      <c r="P109" s="5"/>
      <c r="Q109" s="5"/>
      <c r="R109" s="5"/>
      <c r="S109" s="5"/>
      <c r="T109" s="5"/>
      <c r="U109" s="5"/>
      <c r="V109" s="5"/>
      <c r="W109" s="5"/>
    </row>
    <row r="110" spans="1:23" ht="16" x14ac:dyDescent="0.2">
      <c r="A110"/>
      <c r="B110"/>
      <c r="C110"/>
      <c r="D110"/>
      <c r="E110" s="6"/>
      <c r="F110" s="5"/>
      <c r="G110" s="5"/>
      <c r="H110" s="5"/>
      <c r="I110" s="5"/>
      <c r="J110" s="5"/>
      <c r="K110" s="5"/>
      <c r="L110" s="5"/>
      <c r="M110" s="5"/>
      <c r="N110" s="5"/>
      <c r="O110" s="5"/>
      <c r="P110" s="5"/>
      <c r="Q110" s="5"/>
      <c r="R110" s="5"/>
      <c r="S110" s="5"/>
      <c r="T110" s="5"/>
      <c r="U110" s="5"/>
      <c r="V110" s="5"/>
      <c r="W110" s="5"/>
    </row>
    <row r="111" spans="1:23" ht="16" x14ac:dyDescent="0.2">
      <c r="A111"/>
      <c r="B111"/>
      <c r="C111"/>
      <c r="D111"/>
      <c r="E111" s="6"/>
      <c r="F111" s="5"/>
      <c r="G111" s="5"/>
      <c r="H111" s="5"/>
      <c r="I111" s="5"/>
      <c r="J111" s="5"/>
      <c r="K111" s="5"/>
      <c r="L111" s="5"/>
      <c r="M111" s="5"/>
      <c r="N111" s="5"/>
      <c r="O111" s="5"/>
      <c r="P111" s="5"/>
      <c r="Q111" s="5"/>
      <c r="R111" s="5"/>
      <c r="S111" s="5"/>
      <c r="T111" s="5"/>
      <c r="U111" s="5"/>
      <c r="V111" s="5"/>
      <c r="W111" s="5"/>
    </row>
    <row r="112" spans="1:23" ht="16" x14ac:dyDescent="0.2">
      <c r="A112"/>
      <c r="B112"/>
      <c r="C112"/>
      <c r="D112"/>
      <c r="E112" s="6"/>
      <c r="F112" s="5"/>
      <c r="G112" s="5"/>
      <c r="H112" s="5"/>
      <c r="I112" s="5"/>
      <c r="J112" s="5"/>
      <c r="K112" s="5"/>
      <c r="L112" s="5"/>
      <c r="M112" s="5"/>
      <c r="N112" s="5"/>
      <c r="O112" s="5"/>
      <c r="P112" s="5"/>
      <c r="Q112" s="5"/>
      <c r="R112" s="5"/>
      <c r="S112" s="5"/>
      <c r="T112" s="5"/>
      <c r="U112" s="5"/>
      <c r="V112" s="5"/>
      <c r="W112" s="5"/>
    </row>
    <row r="113" spans="1:23" ht="16" x14ac:dyDescent="0.2">
      <c r="A113"/>
      <c r="B113"/>
      <c r="C113"/>
      <c r="D113"/>
      <c r="E113" s="6"/>
      <c r="F113" s="5"/>
      <c r="G113" s="5"/>
      <c r="H113" s="5"/>
      <c r="I113" s="5"/>
      <c r="J113" s="5"/>
      <c r="K113" s="5"/>
      <c r="L113" s="5"/>
      <c r="M113" s="5"/>
      <c r="N113" s="5"/>
      <c r="O113" s="5"/>
      <c r="P113" s="5"/>
      <c r="Q113" s="5"/>
      <c r="R113" s="5"/>
      <c r="S113" s="5"/>
      <c r="T113" s="5"/>
      <c r="U113" s="5"/>
      <c r="V113" s="5"/>
      <c r="W113" s="5"/>
    </row>
    <row r="114" spans="1:23" ht="16" x14ac:dyDescent="0.2">
      <c r="A114"/>
      <c r="B114"/>
      <c r="C114"/>
      <c r="D114"/>
      <c r="E114" s="6"/>
      <c r="F114" s="5"/>
      <c r="G114" s="5"/>
      <c r="H114" s="5"/>
      <c r="I114" s="5"/>
      <c r="J114" s="5"/>
      <c r="K114" s="5"/>
      <c r="L114" s="5"/>
      <c r="M114" s="5"/>
      <c r="N114" s="5"/>
      <c r="O114" s="5"/>
      <c r="P114" s="5"/>
      <c r="Q114" s="5"/>
      <c r="R114" s="5"/>
      <c r="S114" s="5"/>
      <c r="T114" s="5"/>
      <c r="U114" s="5"/>
      <c r="V114" s="5"/>
      <c r="W114" s="5"/>
    </row>
    <row r="115" spans="1:23" ht="16" x14ac:dyDescent="0.2">
      <c r="A115"/>
      <c r="B115"/>
      <c r="C115"/>
      <c r="D115"/>
      <c r="E115" s="6"/>
      <c r="F115" s="5"/>
      <c r="G115" s="5"/>
      <c r="H115" s="5"/>
      <c r="I115" s="5"/>
      <c r="J115" s="5"/>
      <c r="K115" s="5"/>
      <c r="L115" s="5"/>
      <c r="M115" s="5"/>
      <c r="N115" s="5"/>
      <c r="O115" s="5"/>
      <c r="P115" s="5"/>
      <c r="Q115" s="5"/>
      <c r="R115" s="5"/>
      <c r="S115" s="5"/>
      <c r="T115" s="5"/>
      <c r="U115" s="5"/>
      <c r="V115" s="5"/>
      <c r="W115" s="5"/>
    </row>
    <row r="116" spans="1:23" ht="16" x14ac:dyDescent="0.2">
      <c r="A116"/>
      <c r="B116"/>
      <c r="C116"/>
      <c r="D116"/>
      <c r="E116" s="6"/>
      <c r="F116" s="5"/>
      <c r="G116" s="5"/>
      <c r="H116" s="5"/>
      <c r="I116" s="5"/>
      <c r="J116" s="5"/>
      <c r="K116" s="5"/>
      <c r="L116" s="5"/>
      <c r="M116" s="5"/>
      <c r="N116" s="5"/>
      <c r="O116" s="5"/>
      <c r="P116" s="5"/>
      <c r="Q116" s="5"/>
      <c r="R116" s="5"/>
      <c r="S116" s="5"/>
      <c r="T116" s="5"/>
      <c r="U116" s="5"/>
      <c r="V116" s="5"/>
      <c r="W116" s="5"/>
    </row>
    <row r="117" spans="1:23" ht="16" x14ac:dyDescent="0.2">
      <c r="A117"/>
      <c r="B117"/>
      <c r="C117"/>
      <c r="D117"/>
      <c r="E117" s="6"/>
      <c r="F117" s="5"/>
      <c r="G117" s="5"/>
      <c r="H117" s="5"/>
      <c r="I117" s="5"/>
      <c r="J117" s="5"/>
      <c r="K117" s="5"/>
      <c r="L117" s="5"/>
      <c r="M117" s="5"/>
      <c r="N117" s="5"/>
      <c r="O117" s="5"/>
      <c r="P117" s="5"/>
      <c r="Q117" s="5"/>
      <c r="R117" s="5"/>
      <c r="S117" s="5"/>
      <c r="T117" s="5"/>
      <c r="U117" s="5"/>
      <c r="V117" s="5"/>
      <c r="W117" s="5"/>
    </row>
    <row r="118" spans="1:23" ht="16" x14ac:dyDescent="0.2">
      <c r="A118"/>
      <c r="B118"/>
      <c r="C118"/>
      <c r="D118"/>
      <c r="E118" s="6"/>
      <c r="F118" s="5"/>
      <c r="G118" s="5"/>
      <c r="H118" s="5"/>
      <c r="I118" s="5"/>
      <c r="J118" s="5"/>
      <c r="K118" s="5"/>
      <c r="L118" s="5"/>
      <c r="M118" s="5"/>
      <c r="N118" s="5"/>
      <c r="O118" s="5"/>
      <c r="P118" s="5"/>
      <c r="Q118" s="5"/>
      <c r="R118" s="5"/>
      <c r="S118" s="5"/>
      <c r="T118" s="5"/>
      <c r="U118" s="5"/>
      <c r="V118" s="5"/>
      <c r="W118" s="5"/>
    </row>
    <row r="119" spans="1:23" ht="16" x14ac:dyDescent="0.2">
      <c r="A119"/>
      <c r="B119"/>
      <c r="C119"/>
      <c r="D119"/>
      <c r="E119" s="6"/>
      <c r="F119" s="5"/>
      <c r="G119" s="5"/>
      <c r="H119" s="5"/>
      <c r="I119" s="5"/>
      <c r="J119" s="5"/>
      <c r="K119" s="5"/>
      <c r="L119" s="5"/>
      <c r="M119" s="5"/>
      <c r="N119" s="5"/>
      <c r="O119" s="5"/>
      <c r="P119" s="5"/>
      <c r="Q119" s="5"/>
      <c r="R119" s="5"/>
      <c r="S119" s="5"/>
      <c r="T119" s="5"/>
      <c r="U119" s="5"/>
      <c r="V119" s="5"/>
      <c r="W119" s="5"/>
    </row>
    <row r="120" spans="1:23" ht="16" x14ac:dyDescent="0.2">
      <c r="A120"/>
      <c r="B120"/>
      <c r="C120"/>
      <c r="D120"/>
      <c r="E120" s="6"/>
      <c r="F120" s="5"/>
      <c r="G120" s="5"/>
      <c r="H120" s="5"/>
      <c r="I120" s="5"/>
      <c r="J120" s="5"/>
      <c r="K120" s="5"/>
      <c r="L120" s="5"/>
      <c r="M120" s="5"/>
      <c r="N120" s="5"/>
      <c r="O120" s="5"/>
      <c r="P120" s="5"/>
      <c r="Q120" s="5"/>
      <c r="R120" s="5"/>
      <c r="S120" s="5"/>
      <c r="T120" s="5"/>
      <c r="U120" s="5"/>
      <c r="V120" s="5"/>
      <c r="W120" s="5"/>
    </row>
    <row r="121" spans="1:23" ht="16" x14ac:dyDescent="0.2">
      <c r="A121"/>
      <c r="B121"/>
      <c r="C121"/>
      <c r="D121"/>
      <c r="E121" s="6"/>
      <c r="F121" s="5"/>
      <c r="G121" s="5"/>
      <c r="H121" s="5"/>
      <c r="I121" s="5"/>
      <c r="J121" s="5"/>
      <c r="K121" s="5"/>
      <c r="L121" s="5"/>
      <c r="M121" s="5"/>
      <c r="N121" s="5"/>
      <c r="O121" s="5"/>
      <c r="P121" s="5"/>
      <c r="Q121" s="5"/>
      <c r="R121" s="5"/>
      <c r="S121" s="5"/>
      <c r="T121" s="5"/>
      <c r="U121" s="5"/>
      <c r="V121" s="5"/>
      <c r="W121" s="5"/>
    </row>
    <row r="122" spans="1:23" ht="16" x14ac:dyDescent="0.2">
      <c r="A122"/>
      <c r="B122"/>
      <c r="C122"/>
      <c r="D122"/>
      <c r="E122" s="6"/>
      <c r="F122" s="5"/>
      <c r="G122" s="5"/>
      <c r="H122" s="5"/>
      <c r="I122" s="5"/>
      <c r="J122" s="5"/>
      <c r="K122" s="5"/>
      <c r="L122" s="5"/>
      <c r="M122" s="5"/>
      <c r="N122" s="5"/>
      <c r="O122" s="5"/>
      <c r="P122" s="5"/>
      <c r="Q122" s="5"/>
      <c r="R122" s="5"/>
      <c r="S122" s="5"/>
      <c r="T122" s="5"/>
      <c r="U122" s="5"/>
      <c r="V122" s="5"/>
      <c r="W122" s="5"/>
    </row>
    <row r="123" spans="1:23" ht="16" x14ac:dyDescent="0.2">
      <c r="A123"/>
      <c r="B123"/>
      <c r="C123"/>
      <c r="D123"/>
      <c r="E123" s="6"/>
      <c r="F123" s="5"/>
      <c r="G123" s="5"/>
      <c r="H123" s="5"/>
      <c r="I123" s="5"/>
      <c r="J123" s="5"/>
      <c r="K123" s="5"/>
      <c r="L123" s="5"/>
      <c r="M123" s="5"/>
      <c r="N123" s="5"/>
      <c r="O123" s="5"/>
      <c r="P123" s="5"/>
      <c r="Q123" s="5"/>
      <c r="R123" s="5"/>
      <c r="S123" s="5"/>
      <c r="T123" s="5"/>
      <c r="U123" s="5"/>
      <c r="V123" s="5"/>
      <c r="W123" s="5"/>
    </row>
    <row r="124" spans="1:23" ht="16" x14ac:dyDescent="0.2">
      <c r="A124"/>
      <c r="B124"/>
      <c r="C124"/>
      <c r="D124"/>
      <c r="E124" s="6"/>
      <c r="F124" s="5"/>
      <c r="G124" s="5"/>
      <c r="H124" s="5"/>
      <c r="I124" s="5"/>
      <c r="J124" s="5"/>
      <c r="K124" s="5"/>
      <c r="L124" s="5"/>
      <c r="M124" s="5"/>
      <c r="N124" s="5"/>
      <c r="O124" s="5"/>
      <c r="P124" s="5"/>
      <c r="Q124" s="5"/>
      <c r="R124" s="5"/>
      <c r="S124" s="5"/>
      <c r="T124" s="5"/>
      <c r="U124" s="5"/>
      <c r="V124" s="5"/>
      <c r="W124" s="5"/>
    </row>
    <row r="125" spans="1:23" ht="16" x14ac:dyDescent="0.2">
      <c r="A125"/>
      <c r="B125"/>
      <c r="C125"/>
      <c r="D125"/>
      <c r="E125" s="6"/>
      <c r="F125" s="5"/>
      <c r="G125" s="5"/>
      <c r="H125" s="5"/>
      <c r="I125" s="5"/>
      <c r="J125" s="5"/>
      <c r="K125" s="5"/>
      <c r="L125" s="5"/>
      <c r="M125" s="5"/>
      <c r="N125" s="5"/>
      <c r="O125" s="5"/>
      <c r="P125" s="5"/>
      <c r="Q125" s="5"/>
      <c r="R125" s="5"/>
      <c r="S125" s="5"/>
      <c r="T125" s="5"/>
      <c r="U125" s="5"/>
      <c r="V125" s="5"/>
      <c r="W125" s="5"/>
    </row>
    <row r="126" spans="1:23" ht="16" x14ac:dyDescent="0.2">
      <c r="A126"/>
      <c r="B126"/>
      <c r="C126"/>
      <c r="D126"/>
      <c r="E126" s="6"/>
      <c r="F126" s="5"/>
      <c r="G126" s="5"/>
      <c r="H126" s="5"/>
      <c r="I126" s="5"/>
      <c r="J126" s="5"/>
      <c r="K126" s="5"/>
      <c r="L126" s="5"/>
      <c r="M126" s="5"/>
      <c r="N126" s="5"/>
      <c r="O126" s="5"/>
      <c r="P126" s="5"/>
      <c r="Q126" s="5"/>
      <c r="R126" s="5"/>
      <c r="S126" s="5"/>
      <c r="T126" s="5"/>
      <c r="U126" s="5"/>
      <c r="V126" s="5"/>
      <c r="W126" s="5"/>
    </row>
    <row r="127" spans="1:23" ht="16" x14ac:dyDescent="0.2">
      <c r="A127"/>
      <c r="B127"/>
      <c r="C127"/>
      <c r="D127"/>
      <c r="E127" s="6"/>
      <c r="F127" s="5"/>
      <c r="G127" s="5"/>
      <c r="H127" s="5"/>
      <c r="I127" s="5"/>
      <c r="J127" s="5"/>
      <c r="K127" s="5"/>
      <c r="L127" s="5"/>
      <c r="M127" s="5"/>
      <c r="N127" s="5"/>
      <c r="O127" s="5"/>
      <c r="P127" s="5"/>
      <c r="Q127" s="5"/>
      <c r="R127" s="5"/>
      <c r="S127" s="5"/>
      <c r="T127" s="5"/>
      <c r="U127" s="5"/>
      <c r="V127" s="5"/>
      <c r="W127" s="5"/>
    </row>
    <row r="128" spans="1:23" ht="16" x14ac:dyDescent="0.2">
      <c r="A128"/>
      <c r="B128"/>
      <c r="C128"/>
      <c r="D128"/>
      <c r="E128" s="6"/>
      <c r="F128" s="5"/>
      <c r="G128" s="5"/>
      <c r="H128" s="5"/>
      <c r="I128" s="5"/>
      <c r="J128" s="5"/>
      <c r="K128" s="5"/>
      <c r="L128" s="5"/>
      <c r="M128" s="5"/>
      <c r="N128" s="5"/>
      <c r="O128" s="5"/>
      <c r="P128" s="5"/>
      <c r="Q128" s="5"/>
      <c r="R128" s="5"/>
      <c r="S128" s="5"/>
      <c r="T128" s="5"/>
      <c r="U128" s="5"/>
      <c r="V128" s="5"/>
      <c r="W128" s="5"/>
    </row>
    <row r="129" spans="1:23" ht="16" x14ac:dyDescent="0.2">
      <c r="A129"/>
      <c r="B129"/>
      <c r="C129"/>
      <c r="D129"/>
      <c r="E129" s="6"/>
      <c r="F129" s="5"/>
      <c r="G129" s="5"/>
      <c r="H129" s="5"/>
      <c r="I129" s="5"/>
      <c r="J129" s="5"/>
      <c r="K129" s="5"/>
      <c r="L129" s="5"/>
      <c r="M129" s="5"/>
      <c r="N129" s="5"/>
      <c r="O129" s="5"/>
      <c r="P129" s="5"/>
      <c r="Q129" s="5"/>
      <c r="R129" s="5"/>
      <c r="S129" s="5"/>
      <c r="T129" s="5"/>
      <c r="U129" s="5"/>
      <c r="V129" s="5"/>
      <c r="W129" s="5"/>
    </row>
    <row r="130" spans="1:23" ht="16" x14ac:dyDescent="0.2">
      <c r="A130"/>
      <c r="B130"/>
      <c r="C130"/>
      <c r="D130"/>
      <c r="E130" s="6"/>
      <c r="F130" s="5"/>
      <c r="G130" s="5"/>
      <c r="H130" s="5"/>
      <c r="I130" s="5"/>
      <c r="J130" s="5"/>
      <c r="K130" s="5"/>
      <c r="L130" s="5"/>
      <c r="M130" s="5"/>
      <c r="N130" s="5"/>
      <c r="O130" s="5"/>
      <c r="P130" s="5"/>
      <c r="Q130" s="5"/>
      <c r="R130" s="5"/>
      <c r="S130" s="5"/>
      <c r="T130" s="5"/>
      <c r="U130" s="5"/>
      <c r="V130" s="5"/>
      <c r="W130" s="5"/>
    </row>
    <row r="131" spans="1:23" ht="16" x14ac:dyDescent="0.2">
      <c r="A131"/>
      <c r="B131"/>
      <c r="C131"/>
      <c r="D131"/>
      <c r="E131" s="6"/>
      <c r="F131" s="5"/>
      <c r="G131" s="5"/>
      <c r="H131" s="5"/>
      <c r="I131" s="5"/>
      <c r="J131" s="5"/>
      <c r="K131" s="5"/>
      <c r="L131" s="5"/>
      <c r="M131" s="5"/>
      <c r="N131" s="5"/>
      <c r="O131" s="5"/>
      <c r="P131" s="5"/>
      <c r="Q131" s="5"/>
      <c r="R131" s="5"/>
      <c r="S131" s="5"/>
      <c r="T131" s="5"/>
      <c r="U131" s="5"/>
      <c r="V131" s="5"/>
      <c r="W131" s="5"/>
    </row>
    <row r="132" spans="1:23" ht="16" x14ac:dyDescent="0.2">
      <c r="A132"/>
      <c r="B132"/>
      <c r="C132"/>
      <c r="D132"/>
      <c r="E132" s="6"/>
      <c r="F132" s="5"/>
      <c r="G132" s="5"/>
      <c r="H132" s="5"/>
      <c r="I132" s="5"/>
      <c r="J132" s="5"/>
      <c r="K132" s="5"/>
      <c r="L132" s="5"/>
      <c r="M132" s="5"/>
      <c r="N132" s="5"/>
      <c r="O132" s="5"/>
      <c r="P132" s="5"/>
      <c r="Q132" s="5"/>
      <c r="R132" s="5"/>
      <c r="S132" s="5"/>
      <c r="T132" s="5"/>
      <c r="U132" s="5"/>
      <c r="V132" s="5"/>
      <c r="W132" s="5"/>
    </row>
    <row r="133" spans="1:23" ht="16" x14ac:dyDescent="0.2">
      <c r="A133"/>
      <c r="B133"/>
      <c r="C133"/>
      <c r="D133"/>
      <c r="E133" s="6"/>
      <c r="F133" s="5"/>
      <c r="G133" s="5"/>
      <c r="H133" s="5"/>
      <c r="I133" s="5"/>
      <c r="J133" s="5"/>
      <c r="K133" s="5"/>
      <c r="L133" s="5"/>
      <c r="M133" s="5"/>
      <c r="N133" s="5"/>
      <c r="O133" s="5"/>
      <c r="P133" s="5"/>
      <c r="Q133" s="5"/>
      <c r="R133" s="5"/>
      <c r="S133" s="5"/>
      <c r="T133" s="5"/>
      <c r="U133" s="5"/>
      <c r="V133" s="5"/>
      <c r="W133" s="5"/>
    </row>
    <row r="134" spans="1:23" ht="16" x14ac:dyDescent="0.2">
      <c r="A134"/>
      <c r="B134"/>
      <c r="C134"/>
      <c r="D134"/>
      <c r="E134" s="6"/>
      <c r="F134" s="5"/>
      <c r="G134" s="5"/>
      <c r="H134" s="5"/>
      <c r="I134" s="5"/>
      <c r="J134" s="5"/>
      <c r="K134" s="5"/>
      <c r="L134" s="5"/>
      <c r="M134" s="5"/>
      <c r="N134" s="5"/>
      <c r="O134" s="5"/>
      <c r="P134" s="5"/>
      <c r="Q134" s="5"/>
      <c r="R134" s="5"/>
      <c r="S134" s="5"/>
      <c r="T134" s="5"/>
      <c r="U134" s="5"/>
      <c r="V134" s="5"/>
      <c r="W134" s="5"/>
    </row>
    <row r="135" spans="1:23" ht="16" x14ac:dyDescent="0.2">
      <c r="A135"/>
      <c r="B135"/>
      <c r="C135"/>
      <c r="D135"/>
      <c r="E135" s="6"/>
      <c r="F135" s="5"/>
      <c r="G135" s="5"/>
      <c r="H135" s="5"/>
      <c r="I135" s="5"/>
      <c r="J135" s="5"/>
      <c r="K135" s="5"/>
      <c r="L135" s="5"/>
      <c r="M135" s="5"/>
      <c r="N135" s="5"/>
      <c r="O135" s="5"/>
      <c r="P135" s="5"/>
      <c r="Q135" s="5"/>
      <c r="R135" s="5"/>
      <c r="S135" s="5"/>
      <c r="T135" s="5"/>
      <c r="U135" s="5"/>
      <c r="V135" s="5"/>
      <c r="W135" s="5"/>
    </row>
    <row r="136" spans="1:23" ht="16" x14ac:dyDescent="0.2">
      <c r="A136"/>
      <c r="B136"/>
      <c r="C136"/>
      <c r="D136"/>
      <c r="E136" s="6"/>
      <c r="F136" s="5"/>
      <c r="G136" s="5"/>
      <c r="H136" s="5"/>
      <c r="I136" s="5"/>
      <c r="J136" s="5"/>
      <c r="K136" s="5"/>
      <c r="L136" s="5"/>
      <c r="M136" s="5"/>
      <c r="N136" s="5"/>
      <c r="O136" s="5"/>
      <c r="P136" s="5"/>
      <c r="Q136" s="5"/>
      <c r="R136" s="5"/>
      <c r="S136" s="5"/>
      <c r="T136" s="5"/>
      <c r="U136" s="5"/>
      <c r="V136" s="5"/>
      <c r="W136" s="5"/>
    </row>
    <row r="137" spans="1:23" ht="16" x14ac:dyDescent="0.2">
      <c r="A137"/>
      <c r="B137"/>
      <c r="C137"/>
      <c r="D137"/>
      <c r="E137" s="6"/>
      <c r="F137" s="5"/>
      <c r="G137" s="5"/>
      <c r="H137" s="5"/>
      <c r="I137" s="5"/>
      <c r="J137" s="5"/>
      <c r="K137" s="5"/>
      <c r="L137" s="5"/>
      <c r="M137" s="5"/>
      <c r="N137" s="5"/>
      <c r="O137" s="5"/>
      <c r="P137" s="5"/>
      <c r="Q137" s="5"/>
      <c r="R137" s="5"/>
      <c r="S137" s="5"/>
      <c r="T137" s="5"/>
      <c r="U137" s="5"/>
      <c r="V137" s="5"/>
      <c r="W137" s="5"/>
    </row>
    <row r="138" spans="1:23" ht="16" x14ac:dyDescent="0.2">
      <c r="A138"/>
      <c r="B138"/>
      <c r="C138"/>
      <c r="D138"/>
      <c r="E138" s="6"/>
      <c r="F138" s="5"/>
      <c r="G138" s="5"/>
      <c r="H138" s="5"/>
      <c r="I138" s="5"/>
      <c r="J138" s="5"/>
      <c r="K138" s="5"/>
      <c r="L138" s="5"/>
      <c r="M138" s="5"/>
      <c r="N138" s="5"/>
      <c r="O138" s="5"/>
      <c r="P138" s="5"/>
      <c r="Q138" s="5"/>
      <c r="R138" s="5"/>
      <c r="S138" s="5"/>
      <c r="T138" s="5"/>
      <c r="U138" s="5"/>
      <c r="V138" s="5"/>
      <c r="W138" s="5"/>
    </row>
    <row r="139" spans="1:23" ht="16" x14ac:dyDescent="0.2">
      <c r="A139"/>
      <c r="B139"/>
      <c r="C139"/>
      <c r="D139"/>
      <c r="E139" s="6"/>
      <c r="F139" s="5"/>
      <c r="G139" s="5"/>
      <c r="H139" s="5"/>
      <c r="I139" s="5"/>
      <c r="J139" s="5"/>
      <c r="K139" s="5"/>
      <c r="L139" s="5"/>
      <c r="M139" s="5"/>
      <c r="N139" s="5"/>
      <c r="O139" s="5"/>
      <c r="P139" s="5"/>
      <c r="Q139" s="5"/>
      <c r="R139" s="5"/>
      <c r="S139" s="5"/>
      <c r="T139" s="5"/>
      <c r="U139" s="5"/>
      <c r="V139" s="5"/>
      <c r="W139" s="5"/>
    </row>
    <row r="140" spans="1:23" ht="16" x14ac:dyDescent="0.2">
      <c r="A140"/>
      <c r="B140"/>
      <c r="C140"/>
      <c r="D140"/>
      <c r="E140" s="6"/>
      <c r="F140" s="5"/>
      <c r="G140" s="5"/>
      <c r="H140" s="5"/>
      <c r="I140" s="5"/>
      <c r="J140" s="5"/>
      <c r="K140" s="5"/>
      <c r="L140" s="5"/>
      <c r="M140" s="5"/>
      <c r="N140" s="5"/>
      <c r="O140" s="5"/>
      <c r="P140" s="5"/>
      <c r="Q140" s="5"/>
      <c r="R140" s="5"/>
      <c r="S140" s="5"/>
      <c r="T140" s="5"/>
      <c r="U140" s="5"/>
      <c r="V140" s="5"/>
      <c r="W140" s="5"/>
    </row>
    <row r="141" spans="1:23" ht="16" x14ac:dyDescent="0.2">
      <c r="A141"/>
      <c r="B141"/>
      <c r="C141"/>
      <c r="D141"/>
      <c r="E141" s="6"/>
      <c r="F141" s="5"/>
      <c r="G141" s="5"/>
      <c r="H141" s="5"/>
      <c r="I141" s="5"/>
      <c r="J141" s="5"/>
      <c r="K141" s="5"/>
      <c r="L141" s="5"/>
      <c r="M141" s="5"/>
      <c r="N141" s="5"/>
      <c r="O141" s="5"/>
      <c r="P141" s="5"/>
      <c r="Q141" s="5"/>
      <c r="R141" s="5"/>
      <c r="S141" s="5"/>
      <c r="T141" s="5"/>
      <c r="U141" s="5"/>
      <c r="V141" s="5"/>
      <c r="W141" s="5"/>
    </row>
    <row r="142" spans="1:23" ht="16" x14ac:dyDescent="0.2">
      <c r="A142"/>
      <c r="B142"/>
      <c r="C142"/>
      <c r="D142"/>
      <c r="E142" s="6"/>
      <c r="F142" s="5"/>
      <c r="G142" s="5"/>
      <c r="H142" s="5"/>
      <c r="I142" s="5"/>
      <c r="J142" s="5"/>
      <c r="K142" s="5"/>
      <c r="L142" s="5"/>
      <c r="M142" s="5"/>
      <c r="N142" s="5"/>
      <c r="O142" s="5"/>
      <c r="P142" s="5"/>
      <c r="Q142" s="5"/>
      <c r="R142" s="5"/>
      <c r="S142" s="5"/>
      <c r="T142" s="5"/>
      <c r="U142" s="5"/>
      <c r="V142" s="5"/>
      <c r="W142" s="5"/>
    </row>
    <row r="143" spans="1:23" ht="16" x14ac:dyDescent="0.2">
      <c r="A143"/>
      <c r="B143"/>
      <c r="C143"/>
      <c r="D143"/>
      <c r="E143" s="6"/>
      <c r="F143" s="5"/>
      <c r="G143" s="5"/>
      <c r="H143" s="5"/>
      <c r="I143" s="5"/>
      <c r="J143" s="5"/>
      <c r="K143" s="5"/>
      <c r="L143" s="5"/>
      <c r="M143" s="5"/>
      <c r="N143" s="5"/>
      <c r="O143" s="5"/>
      <c r="P143" s="5"/>
      <c r="Q143" s="5"/>
      <c r="R143" s="5"/>
      <c r="S143" s="5"/>
      <c r="T143" s="5"/>
      <c r="U143" s="5"/>
      <c r="V143" s="5"/>
      <c r="W143" s="5"/>
    </row>
    <row r="144" spans="1:23" ht="16" x14ac:dyDescent="0.2">
      <c r="A144"/>
      <c r="B144"/>
      <c r="C144"/>
      <c r="D144"/>
      <c r="E144" s="6"/>
      <c r="F144" s="5"/>
      <c r="G144" s="5"/>
      <c r="H144" s="5"/>
      <c r="I144" s="5"/>
      <c r="J144" s="5"/>
      <c r="K144" s="5"/>
      <c r="L144" s="5"/>
      <c r="M144" s="5"/>
      <c r="N144" s="5"/>
      <c r="O144" s="5"/>
      <c r="P144" s="5"/>
      <c r="Q144" s="5"/>
      <c r="R144" s="5"/>
      <c r="S144" s="5"/>
      <c r="T144" s="5"/>
      <c r="U144" s="5"/>
      <c r="V144" s="5"/>
      <c r="W144" s="5"/>
    </row>
    <row r="145" spans="1:23" ht="16" x14ac:dyDescent="0.2">
      <c r="A145"/>
      <c r="B145"/>
      <c r="C145"/>
      <c r="D145"/>
      <c r="E145" s="6"/>
      <c r="F145" s="5"/>
      <c r="G145" s="5"/>
      <c r="H145" s="5"/>
      <c r="I145" s="5"/>
      <c r="J145" s="5"/>
      <c r="K145" s="5"/>
      <c r="L145" s="5"/>
      <c r="M145" s="5"/>
      <c r="N145" s="5"/>
      <c r="O145" s="5"/>
      <c r="P145" s="5"/>
      <c r="Q145" s="5"/>
      <c r="R145" s="5"/>
      <c r="S145" s="5"/>
      <c r="T145" s="5"/>
      <c r="U145" s="5"/>
      <c r="V145" s="5"/>
      <c r="W145" s="5"/>
    </row>
    <row r="146" spans="1:23" ht="16" x14ac:dyDescent="0.2">
      <c r="A146"/>
      <c r="B146"/>
      <c r="C146"/>
      <c r="D146"/>
      <c r="E146" s="6"/>
      <c r="F146" s="5"/>
      <c r="G146" s="5"/>
      <c r="H146" s="5"/>
      <c r="I146" s="5"/>
      <c r="J146" s="5"/>
      <c r="K146" s="5"/>
      <c r="L146" s="5"/>
      <c r="M146" s="5"/>
      <c r="N146" s="5"/>
      <c r="O146" s="5"/>
      <c r="P146" s="5"/>
      <c r="Q146" s="5"/>
      <c r="R146" s="5"/>
      <c r="S146" s="5"/>
      <c r="T146" s="5"/>
      <c r="U146" s="5"/>
      <c r="V146" s="5"/>
      <c r="W146" s="5"/>
    </row>
    <row r="147" spans="1:23" ht="16" x14ac:dyDescent="0.2">
      <c r="A147"/>
      <c r="B147"/>
      <c r="C147"/>
      <c r="D147"/>
      <c r="E147" s="6"/>
      <c r="F147" s="5"/>
      <c r="G147" s="5"/>
      <c r="H147" s="5"/>
      <c r="I147" s="5"/>
      <c r="J147" s="5"/>
      <c r="K147" s="5"/>
      <c r="L147" s="5"/>
      <c r="M147" s="5"/>
      <c r="N147" s="5"/>
      <c r="O147" s="5"/>
      <c r="P147" s="5"/>
      <c r="Q147" s="5"/>
      <c r="R147" s="5"/>
      <c r="S147" s="5"/>
      <c r="T147" s="5"/>
      <c r="U147" s="5"/>
      <c r="V147" s="5"/>
      <c r="W147" s="5"/>
    </row>
    <row r="148" spans="1:23" ht="16" x14ac:dyDescent="0.2">
      <c r="A148"/>
      <c r="B148"/>
      <c r="C148"/>
      <c r="D148"/>
      <c r="E148" s="6"/>
      <c r="F148" s="5"/>
      <c r="G148" s="5"/>
      <c r="H148" s="5"/>
      <c r="I148" s="5"/>
      <c r="J148" s="5"/>
      <c r="K148" s="5"/>
      <c r="L148" s="5"/>
      <c r="M148" s="5"/>
      <c r="N148" s="5"/>
      <c r="O148" s="5"/>
      <c r="P148" s="5"/>
      <c r="Q148" s="5"/>
      <c r="R148" s="5"/>
      <c r="S148" s="5"/>
      <c r="T148" s="5"/>
      <c r="U148" s="5"/>
      <c r="V148" s="5"/>
      <c r="W148" s="5"/>
    </row>
    <row r="149" spans="1:23" ht="16" x14ac:dyDescent="0.2">
      <c r="A149"/>
      <c r="B149"/>
      <c r="C149"/>
      <c r="D149"/>
      <c r="E149" s="6"/>
      <c r="F149" s="5"/>
      <c r="G149" s="5"/>
      <c r="H149" s="5"/>
      <c r="I149" s="5"/>
      <c r="J149" s="5"/>
      <c r="K149" s="5"/>
      <c r="L149" s="5"/>
      <c r="M149" s="5"/>
      <c r="N149" s="5"/>
      <c r="O149" s="5"/>
      <c r="P149" s="5"/>
      <c r="Q149" s="5"/>
      <c r="R149" s="5"/>
      <c r="S149" s="5"/>
      <c r="T149" s="5"/>
      <c r="U149" s="5"/>
      <c r="V149" s="5"/>
      <c r="W149" s="5"/>
    </row>
    <row r="150" spans="1:23" ht="16" x14ac:dyDescent="0.2">
      <c r="A150"/>
      <c r="B150"/>
      <c r="C150"/>
      <c r="D150"/>
      <c r="E150" s="6"/>
      <c r="F150" s="5"/>
      <c r="G150" s="5"/>
      <c r="H150" s="5"/>
      <c r="I150" s="5"/>
      <c r="J150" s="5"/>
      <c r="K150" s="5"/>
      <c r="L150" s="5"/>
      <c r="M150" s="5"/>
      <c r="N150" s="5"/>
      <c r="O150" s="5"/>
      <c r="P150" s="5"/>
      <c r="Q150" s="5"/>
      <c r="R150" s="5"/>
      <c r="S150" s="5"/>
      <c r="T150" s="5"/>
      <c r="U150" s="5"/>
      <c r="V150" s="5"/>
      <c r="W150" s="5"/>
    </row>
    <row r="151" spans="1:23" ht="16" x14ac:dyDescent="0.2">
      <c r="A151"/>
      <c r="B151"/>
      <c r="C151"/>
      <c r="D151"/>
      <c r="E151" s="6"/>
      <c r="F151" s="5"/>
      <c r="G151" s="5"/>
      <c r="H151" s="5"/>
      <c r="I151" s="5"/>
      <c r="J151" s="5"/>
      <c r="K151" s="5"/>
      <c r="L151" s="5"/>
      <c r="M151" s="5"/>
      <c r="N151" s="5"/>
      <c r="O151" s="5"/>
      <c r="P151" s="5"/>
      <c r="Q151" s="5"/>
      <c r="R151" s="5"/>
      <c r="S151" s="5"/>
      <c r="T151" s="5"/>
      <c r="U151" s="5"/>
      <c r="V151" s="5"/>
      <c r="W151" s="5"/>
    </row>
    <row r="152" spans="1:23" ht="16" x14ac:dyDescent="0.2">
      <c r="A152"/>
      <c r="B152"/>
      <c r="C152"/>
      <c r="D152"/>
      <c r="E152" s="6"/>
      <c r="F152" s="5"/>
      <c r="G152" s="5"/>
      <c r="H152" s="5"/>
      <c r="I152" s="5"/>
      <c r="J152" s="5"/>
      <c r="K152" s="5"/>
      <c r="L152" s="5"/>
      <c r="M152" s="5"/>
      <c r="N152" s="5"/>
      <c r="O152" s="5"/>
      <c r="P152" s="5"/>
      <c r="Q152" s="5"/>
      <c r="R152" s="5"/>
      <c r="S152" s="5"/>
      <c r="T152" s="5"/>
      <c r="U152" s="5"/>
      <c r="V152" s="5"/>
      <c r="W152" s="5"/>
    </row>
    <row r="153" spans="1:23" ht="16" x14ac:dyDescent="0.2">
      <c r="A153"/>
      <c r="B153"/>
      <c r="C153"/>
      <c r="D153"/>
      <c r="E153" s="6"/>
      <c r="F153" s="5"/>
      <c r="G153" s="5"/>
      <c r="H153" s="5"/>
      <c r="I153" s="5"/>
      <c r="J153" s="5"/>
      <c r="K153" s="5"/>
      <c r="L153" s="5"/>
      <c r="M153" s="5"/>
      <c r="N153" s="5"/>
      <c r="O153" s="5"/>
      <c r="P153" s="5"/>
      <c r="Q153" s="5"/>
      <c r="R153" s="5"/>
      <c r="S153" s="5"/>
      <c r="T153" s="5"/>
      <c r="U153" s="5"/>
      <c r="V153" s="5"/>
      <c r="W153" s="5"/>
    </row>
    <row r="154" spans="1:23" ht="16" x14ac:dyDescent="0.2">
      <c r="A154"/>
      <c r="B154"/>
      <c r="C154"/>
      <c r="D154"/>
      <c r="E154" s="6"/>
      <c r="F154" s="5"/>
      <c r="G154" s="5"/>
      <c r="H154" s="5"/>
      <c r="I154" s="5"/>
      <c r="J154" s="5"/>
      <c r="K154" s="5"/>
      <c r="L154" s="5"/>
      <c r="M154" s="5"/>
      <c r="N154" s="5"/>
      <c r="O154" s="5"/>
      <c r="P154" s="5"/>
      <c r="Q154" s="5"/>
      <c r="R154" s="5"/>
      <c r="S154" s="5"/>
      <c r="T154" s="5"/>
      <c r="U154" s="5"/>
      <c r="V154" s="5"/>
      <c r="W154" s="5"/>
    </row>
    <row r="155" spans="1:23" ht="16" x14ac:dyDescent="0.2">
      <c r="A155"/>
      <c r="B155"/>
      <c r="C155"/>
      <c r="D155"/>
      <c r="E155" s="6"/>
      <c r="F155" s="5"/>
      <c r="G155" s="5"/>
      <c r="H155" s="5"/>
      <c r="I155" s="5"/>
      <c r="J155" s="5"/>
      <c r="K155" s="5"/>
      <c r="L155" s="5"/>
      <c r="M155" s="5"/>
      <c r="N155" s="5"/>
      <c r="O155" s="5"/>
      <c r="P155" s="5"/>
      <c r="Q155" s="5"/>
      <c r="R155" s="5"/>
      <c r="S155" s="5"/>
      <c r="T155" s="5"/>
      <c r="U155" s="5"/>
      <c r="V155" s="5"/>
      <c r="W155" s="5"/>
    </row>
    <row r="156" spans="1:23" ht="16" x14ac:dyDescent="0.2">
      <c r="A156"/>
      <c r="B156"/>
      <c r="C156"/>
      <c r="D156"/>
      <c r="E156" s="6"/>
      <c r="F156" s="5"/>
      <c r="G156" s="5"/>
      <c r="H156" s="5"/>
      <c r="I156" s="5"/>
      <c r="J156" s="5"/>
      <c r="K156" s="5"/>
      <c r="L156" s="5"/>
      <c r="M156" s="5"/>
      <c r="N156" s="5"/>
      <c r="O156" s="5"/>
      <c r="P156" s="5"/>
      <c r="Q156" s="5"/>
      <c r="R156" s="5"/>
      <c r="S156" s="5"/>
      <c r="T156" s="5"/>
      <c r="U156" s="5"/>
      <c r="V156" s="5"/>
      <c r="W156" s="5"/>
    </row>
    <row r="157" spans="1:23" ht="16" x14ac:dyDescent="0.2">
      <c r="A157"/>
      <c r="B157"/>
      <c r="C157"/>
      <c r="D157"/>
      <c r="E157" s="6"/>
      <c r="F157" s="5"/>
      <c r="G157" s="5"/>
      <c r="H157" s="5"/>
      <c r="I157" s="5"/>
      <c r="J157" s="5"/>
      <c r="K157" s="5"/>
      <c r="L157" s="5"/>
      <c r="M157" s="5"/>
      <c r="N157" s="5"/>
      <c r="O157" s="5"/>
      <c r="P157" s="5"/>
      <c r="Q157" s="5"/>
      <c r="R157" s="5"/>
      <c r="S157" s="5"/>
      <c r="T157" s="5"/>
      <c r="U157" s="5"/>
      <c r="V157" s="5"/>
      <c r="W157" s="5"/>
    </row>
    <row r="158" spans="1:23" ht="16" x14ac:dyDescent="0.2">
      <c r="A158"/>
      <c r="B158"/>
      <c r="C158"/>
      <c r="D158"/>
      <c r="E158" s="6"/>
      <c r="F158" s="5"/>
      <c r="G158" s="5"/>
      <c r="H158" s="5"/>
      <c r="I158" s="5"/>
      <c r="J158" s="5"/>
      <c r="K158" s="5"/>
      <c r="L158" s="5"/>
      <c r="M158" s="5"/>
      <c r="N158" s="5"/>
      <c r="O158" s="5"/>
      <c r="P158" s="5"/>
      <c r="Q158" s="5"/>
      <c r="R158" s="5"/>
      <c r="S158" s="5"/>
      <c r="T158" s="5"/>
      <c r="U158" s="5"/>
      <c r="V158" s="5"/>
      <c r="W158" s="5"/>
    </row>
    <row r="159" spans="1:23" ht="16" x14ac:dyDescent="0.2">
      <c r="A159"/>
      <c r="B159"/>
      <c r="C159"/>
      <c r="D159"/>
      <c r="E159" s="6"/>
      <c r="F159" s="5"/>
      <c r="G159" s="5"/>
      <c r="H159" s="5"/>
      <c r="I159" s="5"/>
      <c r="J159" s="5"/>
      <c r="K159" s="5"/>
      <c r="L159" s="5"/>
      <c r="M159" s="5"/>
      <c r="N159" s="5"/>
      <c r="O159" s="5"/>
      <c r="P159" s="5"/>
      <c r="Q159" s="5"/>
      <c r="R159" s="5"/>
      <c r="S159" s="5"/>
      <c r="T159" s="5"/>
      <c r="U159" s="5"/>
      <c r="V159" s="5"/>
      <c r="W159" s="5"/>
    </row>
    <row r="160" spans="1:23" ht="16" x14ac:dyDescent="0.2">
      <c r="A160"/>
      <c r="B160"/>
      <c r="C160"/>
      <c r="D160"/>
      <c r="E160" s="6"/>
      <c r="F160" s="5"/>
      <c r="G160" s="5"/>
      <c r="H160" s="5"/>
      <c r="I160" s="5"/>
      <c r="J160" s="5"/>
      <c r="K160" s="5"/>
      <c r="L160" s="5"/>
      <c r="M160" s="5"/>
      <c r="N160" s="5"/>
      <c r="O160" s="5"/>
      <c r="P160" s="5"/>
      <c r="Q160" s="5"/>
      <c r="R160" s="5"/>
      <c r="S160" s="5"/>
      <c r="T160" s="5"/>
      <c r="U160" s="5"/>
      <c r="V160" s="5"/>
      <c r="W160" s="5"/>
    </row>
    <row r="161" spans="1:23" ht="16" x14ac:dyDescent="0.2">
      <c r="A161"/>
      <c r="B161"/>
      <c r="C161"/>
      <c r="D161"/>
      <c r="E161" s="6"/>
      <c r="F161" s="5"/>
      <c r="G161" s="5"/>
      <c r="H161" s="5"/>
      <c r="I161" s="5"/>
      <c r="J161" s="5"/>
      <c r="K161" s="5"/>
      <c r="L161" s="5"/>
      <c r="M161" s="5"/>
      <c r="N161" s="5"/>
      <c r="O161" s="5"/>
      <c r="P161" s="5"/>
      <c r="Q161" s="5"/>
      <c r="R161" s="5"/>
      <c r="S161" s="5"/>
      <c r="T161" s="5"/>
      <c r="U161" s="5"/>
      <c r="V161" s="5"/>
      <c r="W161" s="5"/>
    </row>
    <row r="162" spans="1:23" ht="16" x14ac:dyDescent="0.2">
      <c r="A162"/>
      <c r="B162"/>
      <c r="C162"/>
      <c r="D162"/>
      <c r="E162" s="6"/>
      <c r="F162" s="5"/>
      <c r="G162" s="5"/>
      <c r="H162" s="5"/>
      <c r="I162" s="5"/>
      <c r="J162" s="5"/>
      <c r="K162" s="5"/>
      <c r="L162" s="5"/>
      <c r="M162" s="5"/>
      <c r="N162" s="5"/>
      <c r="O162" s="5"/>
      <c r="P162" s="5"/>
      <c r="Q162" s="5"/>
      <c r="R162" s="5"/>
      <c r="S162" s="5"/>
      <c r="T162" s="5"/>
      <c r="U162" s="5"/>
      <c r="V162" s="5"/>
      <c r="W162" s="5"/>
    </row>
    <row r="163" spans="1:23" ht="16" x14ac:dyDescent="0.2">
      <c r="A163"/>
      <c r="B163"/>
      <c r="C163"/>
      <c r="D163"/>
      <c r="E163" s="6"/>
      <c r="F163" s="5"/>
      <c r="G163" s="5"/>
      <c r="H163" s="5"/>
      <c r="I163" s="5"/>
      <c r="J163" s="5"/>
      <c r="K163" s="5"/>
      <c r="L163" s="5"/>
      <c r="M163" s="5"/>
      <c r="N163" s="5"/>
      <c r="O163" s="5"/>
      <c r="P163" s="5"/>
      <c r="Q163" s="5"/>
      <c r="R163" s="5"/>
      <c r="S163" s="5"/>
      <c r="T163" s="5"/>
      <c r="U163" s="5"/>
      <c r="V163" s="5"/>
      <c r="W163" s="5"/>
    </row>
    <row r="164" spans="1:23" ht="16" x14ac:dyDescent="0.2">
      <c r="A164"/>
      <c r="B164"/>
      <c r="C164"/>
      <c r="D164"/>
      <c r="E164" s="6"/>
      <c r="F164" s="5"/>
      <c r="G164" s="5"/>
      <c r="H164" s="5"/>
      <c r="I164" s="5"/>
      <c r="J164" s="5"/>
      <c r="K164" s="5"/>
      <c r="L164" s="5"/>
      <c r="M164" s="5"/>
      <c r="N164" s="5"/>
      <c r="O164" s="5"/>
      <c r="P164" s="5"/>
      <c r="Q164" s="5"/>
      <c r="R164" s="5"/>
      <c r="S164" s="5"/>
      <c r="T164" s="5"/>
      <c r="U164" s="5"/>
      <c r="V164" s="5"/>
      <c r="W164" s="5"/>
    </row>
    <row r="165" spans="1:23" ht="16" x14ac:dyDescent="0.2">
      <c r="A165"/>
      <c r="B165"/>
      <c r="C165"/>
      <c r="D165"/>
      <c r="E165" s="6"/>
      <c r="F165" s="5"/>
      <c r="G165" s="5"/>
      <c r="H165" s="5"/>
      <c r="I165" s="5"/>
      <c r="J165" s="5"/>
      <c r="K165" s="5"/>
      <c r="L165" s="5"/>
      <c r="M165" s="5"/>
      <c r="N165" s="5"/>
      <c r="O165" s="5"/>
      <c r="P165" s="5"/>
      <c r="Q165" s="5"/>
      <c r="R165" s="5"/>
      <c r="S165" s="5"/>
      <c r="T165" s="5"/>
      <c r="U165" s="5"/>
      <c r="V165" s="5"/>
      <c r="W165" s="5"/>
    </row>
    <row r="166" spans="1:23" ht="16" x14ac:dyDescent="0.2">
      <c r="A166"/>
      <c r="B166"/>
      <c r="C166"/>
      <c r="D166"/>
      <c r="E166" s="6"/>
      <c r="F166" s="5"/>
      <c r="G166" s="5"/>
      <c r="H166" s="5"/>
      <c r="I166" s="5"/>
      <c r="J166" s="5"/>
      <c r="K166" s="5"/>
      <c r="L166" s="5"/>
      <c r="M166" s="5"/>
      <c r="N166" s="5"/>
      <c r="O166" s="5"/>
      <c r="P166" s="5"/>
      <c r="Q166" s="5"/>
      <c r="R166" s="5"/>
      <c r="S166" s="5"/>
      <c r="T166" s="5"/>
      <c r="U166" s="5"/>
      <c r="V166" s="5"/>
      <c r="W166" s="5"/>
    </row>
    <row r="167" spans="1:23" ht="16" x14ac:dyDescent="0.2">
      <c r="A167"/>
      <c r="B167"/>
      <c r="C167"/>
      <c r="D167"/>
      <c r="E167" s="6"/>
      <c r="F167" s="5"/>
      <c r="G167" s="5"/>
      <c r="H167" s="5"/>
      <c r="I167" s="5"/>
      <c r="J167" s="5"/>
      <c r="K167" s="5"/>
      <c r="L167" s="5"/>
      <c r="M167" s="5"/>
      <c r="N167" s="5"/>
      <c r="O167" s="5"/>
      <c r="P167" s="5"/>
      <c r="Q167" s="5"/>
      <c r="R167" s="5"/>
      <c r="S167" s="5"/>
      <c r="T167" s="5"/>
      <c r="U167" s="5"/>
      <c r="V167" s="5"/>
      <c r="W167" s="5"/>
    </row>
    <row r="168" spans="1:23" ht="16" x14ac:dyDescent="0.2">
      <c r="A168"/>
      <c r="B168"/>
      <c r="C168"/>
      <c r="D168"/>
      <c r="E168" s="6"/>
      <c r="F168" s="5"/>
      <c r="G168" s="5"/>
      <c r="H168" s="5"/>
      <c r="I168" s="5"/>
      <c r="J168" s="5"/>
      <c r="K168" s="5"/>
      <c r="L168" s="5"/>
      <c r="M168" s="5"/>
      <c r="N168" s="5"/>
      <c r="O168" s="5"/>
      <c r="P168" s="5"/>
      <c r="Q168" s="5"/>
      <c r="R168" s="5"/>
      <c r="S168" s="5"/>
      <c r="T168" s="5"/>
      <c r="U168" s="5"/>
      <c r="V168" s="5"/>
      <c r="W168" s="5"/>
    </row>
    <row r="169" spans="1:23" ht="16" x14ac:dyDescent="0.2">
      <c r="A169"/>
      <c r="B169"/>
      <c r="C169"/>
      <c r="D169"/>
      <c r="E169" s="6"/>
      <c r="F169" s="5"/>
      <c r="G169" s="5"/>
      <c r="H169" s="5"/>
      <c r="I169" s="5"/>
      <c r="J169" s="5"/>
      <c r="K169" s="5"/>
      <c r="L169" s="5"/>
      <c r="M169" s="5"/>
      <c r="N169" s="5"/>
      <c r="O169" s="5"/>
      <c r="P169" s="5"/>
      <c r="Q169" s="5"/>
      <c r="R169" s="5"/>
      <c r="S169" s="5"/>
      <c r="T169" s="5"/>
      <c r="U169" s="5"/>
      <c r="V169" s="5"/>
      <c r="W169" s="5"/>
    </row>
    <row r="170" spans="1:23" ht="16" x14ac:dyDescent="0.2">
      <c r="A170"/>
      <c r="B170"/>
      <c r="C170"/>
      <c r="D170"/>
      <c r="E170" s="6"/>
      <c r="F170" s="5"/>
      <c r="G170" s="5"/>
      <c r="H170" s="5"/>
      <c r="I170" s="5"/>
      <c r="J170" s="5"/>
      <c r="K170" s="5"/>
      <c r="L170" s="5"/>
      <c r="M170" s="5"/>
      <c r="N170" s="5"/>
      <c r="O170" s="5"/>
      <c r="P170" s="5"/>
      <c r="Q170" s="5"/>
      <c r="R170" s="5"/>
      <c r="S170" s="5"/>
      <c r="T170" s="5"/>
      <c r="U170" s="5"/>
      <c r="V170" s="5"/>
      <c r="W170" s="5"/>
    </row>
    <row r="171" spans="1:23" ht="16" x14ac:dyDescent="0.2">
      <c r="A171"/>
      <c r="B171"/>
      <c r="C171"/>
      <c r="D171"/>
      <c r="E171" s="6"/>
      <c r="F171" s="5"/>
      <c r="G171" s="5"/>
      <c r="H171" s="5"/>
      <c r="I171" s="5"/>
      <c r="J171" s="5"/>
      <c r="K171" s="5"/>
      <c r="L171" s="5"/>
      <c r="M171" s="5"/>
      <c r="N171" s="5"/>
      <c r="O171" s="5"/>
      <c r="P171" s="5"/>
      <c r="Q171" s="5"/>
      <c r="R171" s="5"/>
      <c r="S171" s="5"/>
      <c r="T171" s="5"/>
      <c r="U171" s="5"/>
      <c r="V171" s="5"/>
      <c r="W171" s="5"/>
    </row>
    <row r="172" spans="1:23" ht="16" x14ac:dyDescent="0.2">
      <c r="A172"/>
      <c r="B172"/>
      <c r="C172"/>
      <c r="D172"/>
      <c r="E172" s="6"/>
      <c r="F172" s="5"/>
      <c r="G172" s="5"/>
      <c r="H172" s="5"/>
      <c r="I172" s="5"/>
      <c r="J172" s="5"/>
      <c r="K172" s="5"/>
      <c r="L172" s="5"/>
      <c r="M172" s="5"/>
      <c r="N172" s="5"/>
      <c r="O172" s="5"/>
      <c r="P172" s="5"/>
      <c r="Q172" s="5"/>
      <c r="R172" s="5"/>
      <c r="S172" s="5"/>
      <c r="T172" s="5"/>
      <c r="U172" s="5"/>
      <c r="V172" s="5"/>
      <c r="W172" s="5"/>
    </row>
    <row r="173" spans="1:23" ht="16" x14ac:dyDescent="0.2">
      <c r="A173"/>
      <c r="B173"/>
      <c r="C173"/>
      <c r="D173"/>
      <c r="E173" s="6"/>
      <c r="F173" s="5"/>
      <c r="G173" s="5"/>
      <c r="H173" s="5"/>
      <c r="I173" s="5"/>
      <c r="J173" s="5"/>
      <c r="K173" s="5"/>
      <c r="L173" s="5"/>
      <c r="M173" s="5"/>
      <c r="N173" s="5"/>
      <c r="O173" s="5"/>
      <c r="P173" s="5"/>
      <c r="Q173" s="5"/>
      <c r="R173" s="5"/>
      <c r="S173" s="5"/>
      <c r="T173" s="5"/>
      <c r="U173" s="5"/>
      <c r="V173" s="5"/>
      <c r="W173" s="5"/>
    </row>
    <row r="174" spans="1:23" ht="16" x14ac:dyDescent="0.2">
      <c r="A174"/>
      <c r="B174"/>
      <c r="C174"/>
      <c r="D174"/>
      <c r="E174" s="6"/>
      <c r="F174" s="5"/>
      <c r="G174" s="5"/>
      <c r="H174" s="5"/>
      <c r="I174" s="5"/>
      <c r="J174" s="5"/>
      <c r="K174" s="5"/>
      <c r="L174" s="5"/>
      <c r="M174" s="5"/>
      <c r="N174" s="5"/>
      <c r="O174" s="5"/>
      <c r="P174" s="5"/>
      <c r="Q174" s="5"/>
      <c r="R174" s="5"/>
      <c r="S174" s="5"/>
      <c r="T174" s="5"/>
      <c r="U174" s="5"/>
      <c r="V174" s="5"/>
      <c r="W174" s="5"/>
    </row>
    <row r="175" spans="1:23" ht="16" x14ac:dyDescent="0.2">
      <c r="A175"/>
      <c r="B175"/>
      <c r="C175"/>
      <c r="D175"/>
      <c r="E175" s="6"/>
      <c r="F175" s="5"/>
      <c r="G175" s="5"/>
      <c r="H175" s="5"/>
      <c r="I175" s="5"/>
      <c r="J175" s="5"/>
      <c r="K175" s="5"/>
      <c r="L175" s="5"/>
      <c r="M175" s="5"/>
      <c r="N175" s="5"/>
      <c r="O175" s="5"/>
      <c r="P175" s="5"/>
      <c r="Q175" s="5"/>
      <c r="R175" s="5"/>
      <c r="S175" s="5"/>
      <c r="T175" s="5"/>
      <c r="U175" s="5"/>
      <c r="V175" s="5"/>
      <c r="W175" s="5"/>
    </row>
    <row r="176" spans="1:23" ht="16" x14ac:dyDescent="0.2">
      <c r="A176"/>
      <c r="B176"/>
      <c r="C176"/>
      <c r="D176"/>
      <c r="E176" s="6"/>
      <c r="F176" s="5"/>
      <c r="G176" s="5"/>
      <c r="H176" s="5"/>
      <c r="I176" s="5"/>
      <c r="J176" s="5"/>
      <c r="K176" s="5"/>
      <c r="L176" s="5"/>
      <c r="M176" s="5"/>
      <c r="N176" s="5"/>
      <c r="O176" s="5"/>
      <c r="P176" s="5"/>
      <c r="Q176" s="5"/>
      <c r="R176" s="5"/>
      <c r="S176" s="5"/>
      <c r="T176" s="5"/>
      <c r="U176" s="5"/>
      <c r="V176" s="5"/>
      <c r="W176" s="5"/>
    </row>
    <row r="177" spans="1:23" ht="16" x14ac:dyDescent="0.2">
      <c r="A177"/>
      <c r="B177"/>
      <c r="C177"/>
      <c r="D177"/>
      <c r="E177" s="6"/>
      <c r="F177" s="5"/>
      <c r="G177" s="5"/>
      <c r="H177" s="5"/>
      <c r="I177" s="5"/>
      <c r="J177" s="5"/>
      <c r="K177" s="5"/>
      <c r="L177" s="5"/>
      <c r="M177" s="5"/>
      <c r="N177" s="5"/>
      <c r="O177" s="5"/>
      <c r="P177" s="5"/>
      <c r="Q177" s="5"/>
      <c r="R177" s="5"/>
      <c r="S177" s="5"/>
      <c r="T177" s="5"/>
      <c r="U177" s="5"/>
      <c r="V177" s="5"/>
      <c r="W177" s="5"/>
    </row>
    <row r="178" spans="1:23" ht="16" x14ac:dyDescent="0.2">
      <c r="A178"/>
      <c r="B178"/>
      <c r="C178"/>
      <c r="D178"/>
      <c r="E178" s="6"/>
      <c r="F178" s="5"/>
      <c r="G178" s="5"/>
      <c r="H178" s="5"/>
      <c r="I178" s="5"/>
      <c r="J178" s="5"/>
      <c r="K178" s="5"/>
      <c r="L178" s="5"/>
      <c r="M178" s="5"/>
      <c r="N178" s="5"/>
      <c r="O178" s="5"/>
      <c r="P178" s="5"/>
      <c r="Q178" s="5"/>
      <c r="R178" s="5"/>
      <c r="S178" s="5"/>
      <c r="T178" s="5"/>
      <c r="U178" s="5"/>
      <c r="V178" s="5"/>
      <c r="W178" s="5"/>
    </row>
    <row r="179" spans="1:23" ht="16" x14ac:dyDescent="0.2">
      <c r="A179"/>
      <c r="B179"/>
      <c r="C179"/>
      <c r="D179"/>
      <c r="E179" s="6"/>
      <c r="F179" s="5"/>
      <c r="G179" s="5"/>
      <c r="H179" s="5"/>
      <c r="I179" s="5"/>
      <c r="J179" s="5"/>
      <c r="K179" s="5"/>
      <c r="L179" s="5"/>
      <c r="M179" s="5"/>
      <c r="N179" s="5"/>
      <c r="O179" s="5"/>
      <c r="P179" s="5"/>
      <c r="Q179" s="5"/>
      <c r="R179" s="5"/>
      <c r="S179" s="5"/>
      <c r="T179" s="5"/>
      <c r="U179" s="5"/>
      <c r="V179" s="5"/>
      <c r="W179" s="5"/>
    </row>
    <row r="180" spans="1:23" ht="16" x14ac:dyDescent="0.2">
      <c r="A180"/>
      <c r="B180"/>
      <c r="C180"/>
      <c r="D180"/>
      <c r="E180" s="6"/>
      <c r="F180" s="5"/>
      <c r="G180" s="5"/>
      <c r="H180" s="5"/>
      <c r="I180" s="5"/>
      <c r="J180" s="5"/>
      <c r="K180" s="5"/>
      <c r="L180" s="5"/>
      <c r="M180" s="5"/>
      <c r="N180" s="5"/>
      <c r="O180" s="5"/>
      <c r="P180" s="5"/>
      <c r="Q180" s="5"/>
      <c r="R180" s="5"/>
      <c r="S180" s="5"/>
      <c r="T180" s="5"/>
      <c r="U180" s="5"/>
      <c r="V180" s="5"/>
      <c r="W180" s="5"/>
    </row>
    <row r="181" spans="1:23" ht="16" x14ac:dyDescent="0.2">
      <c r="A181"/>
      <c r="B181"/>
      <c r="C181"/>
      <c r="D181"/>
      <c r="E181" s="6"/>
      <c r="F181" s="5"/>
      <c r="G181" s="5"/>
      <c r="H181" s="5"/>
      <c r="I181" s="5"/>
      <c r="J181" s="5"/>
      <c r="K181" s="5"/>
      <c r="L181" s="5"/>
      <c r="M181" s="5"/>
      <c r="N181" s="5"/>
      <c r="O181" s="5"/>
      <c r="P181" s="5"/>
      <c r="Q181" s="5"/>
      <c r="R181" s="5"/>
      <c r="S181" s="5"/>
      <c r="T181" s="5"/>
      <c r="U181" s="5"/>
      <c r="V181" s="5"/>
      <c r="W181" s="5"/>
    </row>
    <row r="182" spans="1:23" ht="16" x14ac:dyDescent="0.2">
      <c r="A182"/>
      <c r="B182"/>
      <c r="C182"/>
      <c r="D182"/>
      <c r="E182" s="6"/>
      <c r="F182" s="5"/>
      <c r="G182" s="5"/>
      <c r="H182" s="5"/>
      <c r="I182" s="5"/>
      <c r="J182" s="5"/>
      <c r="K182" s="5"/>
      <c r="L182" s="5"/>
      <c r="M182" s="5"/>
      <c r="N182" s="5"/>
      <c r="O182" s="5"/>
      <c r="P182" s="5"/>
      <c r="Q182" s="5"/>
      <c r="R182" s="5"/>
      <c r="S182" s="5"/>
      <c r="T182" s="5"/>
      <c r="U182" s="5"/>
      <c r="V182" s="5"/>
      <c r="W182" s="5"/>
    </row>
    <row r="183" spans="1:23" ht="16" x14ac:dyDescent="0.2">
      <c r="A183"/>
      <c r="B183"/>
      <c r="C183"/>
      <c r="D183"/>
      <c r="E183" s="6"/>
      <c r="F183" s="5"/>
      <c r="G183" s="5"/>
      <c r="H183" s="5"/>
      <c r="I183" s="5"/>
      <c r="J183" s="5"/>
      <c r="K183" s="5"/>
      <c r="L183" s="5"/>
      <c r="M183" s="5"/>
      <c r="N183" s="5"/>
      <c r="O183" s="5"/>
      <c r="P183" s="5"/>
      <c r="Q183" s="5"/>
      <c r="R183" s="5"/>
      <c r="S183" s="5"/>
      <c r="T183" s="5"/>
      <c r="U183" s="5"/>
      <c r="V183" s="5"/>
      <c r="W183" s="5"/>
    </row>
    <row r="184" spans="1:23" ht="16" x14ac:dyDescent="0.2">
      <c r="A184"/>
      <c r="B184"/>
      <c r="C184"/>
      <c r="D184"/>
      <c r="E184" s="6"/>
      <c r="F184" s="5"/>
      <c r="G184" s="5"/>
      <c r="H184" s="5"/>
      <c r="I184" s="5"/>
      <c r="J184" s="5"/>
      <c r="K184" s="5"/>
      <c r="L184" s="5"/>
      <c r="M184" s="5"/>
      <c r="N184" s="5"/>
      <c r="O184" s="5"/>
      <c r="P184" s="5"/>
      <c r="Q184" s="5"/>
      <c r="R184" s="5"/>
      <c r="S184" s="5"/>
      <c r="T184" s="5"/>
      <c r="U184" s="5"/>
      <c r="V184" s="5"/>
      <c r="W184" s="5"/>
    </row>
    <row r="185" spans="1:23" ht="16" x14ac:dyDescent="0.2">
      <c r="A185"/>
      <c r="B185"/>
      <c r="C185"/>
      <c r="D185"/>
      <c r="E185" s="6"/>
      <c r="F185" s="5"/>
      <c r="G185" s="5"/>
      <c r="H185" s="5"/>
      <c r="I185" s="5"/>
      <c r="J185" s="5"/>
      <c r="K185" s="5"/>
      <c r="L185" s="5"/>
      <c r="M185" s="5"/>
      <c r="N185" s="5"/>
      <c r="O185" s="5"/>
      <c r="P185" s="5"/>
      <c r="Q185" s="5"/>
      <c r="R185" s="5"/>
      <c r="S185" s="5"/>
      <c r="T185" s="5"/>
      <c r="U185" s="5"/>
      <c r="V185" s="5"/>
      <c r="W185" s="5"/>
    </row>
    <row r="186" spans="1:23" ht="16" x14ac:dyDescent="0.2">
      <c r="A186"/>
      <c r="B186"/>
      <c r="C186"/>
      <c r="D186"/>
      <c r="E186" s="6"/>
      <c r="F186" s="5"/>
      <c r="G186" s="5"/>
      <c r="H186" s="5"/>
      <c r="I186" s="5"/>
      <c r="J186" s="5"/>
      <c r="K186" s="5"/>
      <c r="L186" s="5"/>
      <c r="M186" s="5"/>
      <c r="N186" s="5"/>
      <c r="O186" s="5"/>
      <c r="P186" s="5"/>
      <c r="Q186" s="5"/>
      <c r="R186" s="5"/>
      <c r="S186" s="5"/>
      <c r="T186" s="5"/>
      <c r="U186" s="5"/>
      <c r="V186" s="5"/>
      <c r="W186" s="5"/>
    </row>
    <row r="187" spans="1:23" ht="16" x14ac:dyDescent="0.2">
      <c r="A187"/>
      <c r="B187"/>
      <c r="C187"/>
      <c r="D187"/>
      <c r="E187" s="6"/>
      <c r="F187" s="5"/>
      <c r="G187" s="5"/>
      <c r="H187" s="5"/>
      <c r="I187" s="5"/>
      <c r="J187" s="5"/>
      <c r="K187" s="5"/>
      <c r="L187" s="5"/>
      <c r="M187" s="5"/>
      <c r="N187" s="5"/>
      <c r="O187" s="5"/>
      <c r="P187" s="5"/>
      <c r="Q187" s="5"/>
      <c r="R187" s="5"/>
      <c r="S187" s="5"/>
      <c r="T187" s="5"/>
      <c r="U187" s="5"/>
      <c r="V187" s="5"/>
      <c r="W187" s="5"/>
    </row>
    <row r="188" spans="1:23" ht="16" x14ac:dyDescent="0.2">
      <c r="A188"/>
      <c r="B188"/>
      <c r="C188"/>
      <c r="D188"/>
      <c r="E188" s="6"/>
      <c r="F188" s="5"/>
      <c r="G188" s="5"/>
      <c r="H188" s="5"/>
      <c r="I188" s="5"/>
      <c r="J188" s="5"/>
      <c r="K188" s="5"/>
      <c r="L188" s="5"/>
      <c r="M188" s="5"/>
      <c r="N188" s="5"/>
      <c r="O188" s="5"/>
      <c r="P188" s="5"/>
      <c r="Q188" s="5"/>
      <c r="R188" s="5"/>
      <c r="S188" s="5"/>
      <c r="T188" s="5"/>
      <c r="U188" s="5"/>
      <c r="V188" s="5"/>
      <c r="W188" s="5"/>
    </row>
    <row r="189" spans="1:23" ht="16" x14ac:dyDescent="0.2">
      <c r="A189"/>
      <c r="B189"/>
      <c r="C189"/>
      <c r="D189"/>
      <c r="E189" s="6"/>
      <c r="F189" s="5"/>
      <c r="G189" s="5"/>
      <c r="H189" s="5"/>
      <c r="I189" s="5"/>
      <c r="J189" s="5"/>
      <c r="K189" s="5"/>
      <c r="L189" s="5"/>
      <c r="M189" s="5"/>
      <c r="N189" s="5"/>
      <c r="O189" s="5"/>
      <c r="P189" s="5"/>
      <c r="Q189" s="5"/>
      <c r="R189" s="5"/>
      <c r="S189" s="5"/>
      <c r="T189" s="5"/>
      <c r="U189" s="5"/>
      <c r="V189" s="5"/>
      <c r="W189" s="5"/>
    </row>
    <row r="190" spans="1:23" ht="16" x14ac:dyDescent="0.2">
      <c r="A190" s="5"/>
      <c r="B190" s="6"/>
      <c r="C190" s="6"/>
      <c r="D190" s="6"/>
      <c r="E190" s="6"/>
      <c r="F190" s="5"/>
      <c r="G190" s="5"/>
      <c r="H190" s="5"/>
      <c r="I190" s="5"/>
      <c r="J190" s="5"/>
      <c r="K190" s="5"/>
      <c r="L190" s="5"/>
      <c r="M190" s="5"/>
      <c r="N190" s="5"/>
      <c r="O190" s="5"/>
      <c r="P190" s="5"/>
      <c r="Q190" s="5"/>
      <c r="R190" s="5"/>
      <c r="S190" s="5"/>
      <c r="T190" s="5"/>
      <c r="U190" s="5"/>
      <c r="V190" s="5"/>
      <c r="W190" s="5"/>
    </row>
    <row r="191" spans="1:23" ht="16" x14ac:dyDescent="0.2">
      <c r="A191" s="5"/>
      <c r="B191" s="6"/>
      <c r="C191" s="6"/>
      <c r="D191" s="6"/>
      <c r="E191" s="6"/>
      <c r="F191" s="5"/>
      <c r="G191" s="5"/>
      <c r="H191" s="5"/>
      <c r="I191" s="5"/>
      <c r="J191" s="5"/>
      <c r="K191" s="5"/>
      <c r="L191" s="5"/>
      <c r="M191" s="5"/>
      <c r="N191" s="5"/>
      <c r="O191" s="5"/>
      <c r="P191" s="5"/>
      <c r="Q191" s="5"/>
      <c r="R191" s="5"/>
      <c r="S191" s="5"/>
      <c r="T191" s="5"/>
      <c r="U191" s="5"/>
      <c r="V191" s="5"/>
      <c r="W191" s="5"/>
    </row>
    <row r="192" spans="1:23" ht="16" x14ac:dyDescent="0.2">
      <c r="A192" s="5"/>
      <c r="B192" s="6"/>
      <c r="C192" s="6"/>
      <c r="D192" s="6"/>
      <c r="E192" s="6"/>
      <c r="F192" s="5"/>
      <c r="G192" s="5"/>
      <c r="H192" s="5"/>
      <c r="I192" s="5"/>
      <c r="J192" s="5"/>
      <c r="K192" s="5"/>
      <c r="L192" s="5"/>
      <c r="M192" s="5"/>
      <c r="N192" s="5"/>
      <c r="O192" s="5"/>
      <c r="P192" s="5"/>
      <c r="Q192" s="5"/>
      <c r="R192" s="5"/>
      <c r="S192" s="5"/>
      <c r="T192" s="5"/>
      <c r="U192" s="5"/>
      <c r="V192" s="5"/>
      <c r="W192" s="5"/>
    </row>
    <row r="193" spans="1:23" ht="16" x14ac:dyDescent="0.2">
      <c r="A193" s="5"/>
      <c r="B193" s="6"/>
      <c r="C193" s="6"/>
      <c r="D193" s="6"/>
      <c r="E193" s="6"/>
      <c r="F193" s="5"/>
      <c r="G193" s="5"/>
      <c r="H193" s="5"/>
      <c r="I193" s="5"/>
      <c r="J193" s="5"/>
      <c r="K193" s="5"/>
      <c r="L193" s="5"/>
      <c r="M193" s="5"/>
      <c r="N193" s="5"/>
      <c r="O193" s="5"/>
      <c r="P193" s="5"/>
      <c r="Q193" s="5"/>
      <c r="R193" s="5"/>
      <c r="S193" s="5"/>
      <c r="T193" s="5"/>
      <c r="U193" s="5"/>
      <c r="V193" s="5"/>
      <c r="W193" s="5"/>
    </row>
    <row r="194" spans="1:23" ht="16" x14ac:dyDescent="0.2">
      <c r="A194" s="5"/>
      <c r="B194" s="6"/>
      <c r="C194" s="6"/>
      <c r="D194" s="6"/>
      <c r="E194" s="6"/>
      <c r="F194" s="5"/>
      <c r="G194" s="5"/>
      <c r="H194" s="5"/>
      <c r="I194" s="5"/>
      <c r="J194" s="5"/>
      <c r="K194" s="5"/>
      <c r="L194" s="5"/>
      <c r="M194" s="5"/>
      <c r="N194" s="5"/>
      <c r="O194" s="5"/>
      <c r="P194" s="5"/>
      <c r="Q194" s="5"/>
      <c r="R194" s="5"/>
      <c r="S194" s="5"/>
      <c r="T194" s="5"/>
      <c r="U194" s="5"/>
      <c r="V194" s="5"/>
      <c r="W194" s="5"/>
    </row>
    <row r="195" spans="1:23" ht="16" x14ac:dyDescent="0.2">
      <c r="A195" s="5"/>
      <c r="B195" s="6"/>
      <c r="C195" s="6"/>
      <c r="D195" s="6"/>
      <c r="E195" s="6"/>
      <c r="F195" s="5"/>
      <c r="G195" s="5"/>
      <c r="H195" s="5"/>
      <c r="I195" s="5"/>
      <c r="J195" s="5"/>
      <c r="K195" s="5"/>
      <c r="L195" s="5"/>
      <c r="M195" s="5"/>
      <c r="N195" s="5"/>
      <c r="O195" s="5"/>
      <c r="P195" s="5"/>
      <c r="Q195" s="5"/>
      <c r="R195" s="5"/>
      <c r="S195" s="5"/>
      <c r="T195" s="5"/>
      <c r="U195" s="5"/>
      <c r="V195" s="5"/>
      <c r="W195" s="5"/>
    </row>
    <row r="196" spans="1:23" ht="16" x14ac:dyDescent="0.2">
      <c r="A196" s="5"/>
      <c r="B196" s="6"/>
      <c r="C196" s="6"/>
      <c r="D196" s="6"/>
      <c r="E196" s="6"/>
      <c r="F196" s="5"/>
      <c r="G196" s="5"/>
      <c r="H196" s="5"/>
      <c r="I196" s="5"/>
      <c r="J196" s="5"/>
      <c r="K196" s="5"/>
      <c r="L196" s="5"/>
      <c r="M196" s="5"/>
      <c r="N196" s="5"/>
      <c r="O196" s="5"/>
      <c r="P196" s="5"/>
      <c r="Q196" s="5"/>
      <c r="R196" s="5"/>
      <c r="S196" s="5"/>
      <c r="T196" s="5"/>
      <c r="U196" s="5"/>
      <c r="V196" s="5"/>
      <c r="W196" s="5"/>
    </row>
    <row r="197" spans="1:23" ht="16" x14ac:dyDescent="0.2">
      <c r="A197" s="5"/>
      <c r="B197" s="6"/>
      <c r="C197" s="6"/>
      <c r="D197" s="6"/>
      <c r="E197" s="6"/>
      <c r="F197" s="5"/>
      <c r="G197" s="5"/>
      <c r="H197" s="5"/>
      <c r="I197" s="5"/>
      <c r="J197" s="5"/>
      <c r="K197" s="5"/>
      <c r="L197" s="5"/>
      <c r="M197" s="5"/>
      <c r="N197" s="5"/>
      <c r="O197" s="5"/>
      <c r="P197" s="5"/>
      <c r="Q197" s="5"/>
      <c r="R197" s="5"/>
      <c r="S197" s="5"/>
      <c r="T197" s="5"/>
      <c r="U197" s="5"/>
      <c r="V197" s="5"/>
      <c r="W197" s="5"/>
    </row>
    <row r="198" spans="1:23" ht="16" x14ac:dyDescent="0.2">
      <c r="A198" s="5"/>
      <c r="B198" s="6"/>
      <c r="C198" s="6"/>
      <c r="D198" s="6"/>
      <c r="E198" s="6"/>
      <c r="F198" s="5"/>
      <c r="G198" s="5"/>
      <c r="H198" s="5"/>
      <c r="I198" s="5"/>
      <c r="J198" s="5"/>
      <c r="K198" s="5"/>
      <c r="L198" s="5"/>
      <c r="M198" s="5"/>
      <c r="N198" s="5"/>
      <c r="O198" s="5"/>
      <c r="P198" s="5"/>
      <c r="Q198" s="5"/>
      <c r="R198" s="5"/>
      <c r="S198" s="5"/>
      <c r="T198" s="5"/>
      <c r="U198" s="5"/>
      <c r="V198" s="5"/>
      <c r="W198" s="5"/>
    </row>
    <row r="199" spans="1:23" ht="16" x14ac:dyDescent="0.2">
      <c r="A199" s="5"/>
      <c r="B199" s="6"/>
      <c r="C199" s="6"/>
      <c r="D199" s="6"/>
      <c r="E199" s="6"/>
      <c r="F199" s="5"/>
      <c r="G199" s="5"/>
      <c r="H199" s="5"/>
      <c r="I199" s="5"/>
      <c r="J199" s="5"/>
      <c r="K199" s="5"/>
      <c r="L199" s="5"/>
      <c r="M199" s="5"/>
      <c r="N199" s="5"/>
      <c r="O199" s="5"/>
      <c r="P199" s="5"/>
      <c r="Q199" s="5"/>
      <c r="R199" s="5"/>
      <c r="S199" s="5"/>
      <c r="T199" s="5"/>
      <c r="U199" s="5"/>
      <c r="V199" s="5"/>
      <c r="W199" s="5"/>
    </row>
    <row r="200" spans="1:23" ht="16" x14ac:dyDescent="0.2">
      <c r="A200" s="5"/>
      <c r="B200" s="6"/>
      <c r="C200" s="6"/>
      <c r="D200" s="6"/>
      <c r="E200" s="6"/>
      <c r="F200" s="5"/>
      <c r="G200" s="5"/>
      <c r="H200" s="5"/>
      <c r="I200" s="5"/>
      <c r="J200" s="5"/>
      <c r="K200" s="5"/>
      <c r="L200" s="5"/>
      <c r="M200" s="5"/>
      <c r="N200" s="5"/>
      <c r="O200" s="5"/>
      <c r="P200" s="5"/>
      <c r="Q200" s="5"/>
      <c r="R200" s="5"/>
      <c r="S200" s="5"/>
      <c r="T200" s="5"/>
      <c r="U200" s="5"/>
      <c r="V200" s="5"/>
      <c r="W200" s="5"/>
    </row>
    <row r="201" spans="1:23" ht="16" x14ac:dyDescent="0.2">
      <c r="A201" s="5"/>
      <c r="B201" s="6"/>
      <c r="C201" s="6"/>
      <c r="D201" s="6"/>
      <c r="E201" s="6"/>
      <c r="F201" s="5"/>
      <c r="G201" s="5"/>
      <c r="H201" s="5"/>
      <c r="I201" s="5"/>
      <c r="J201" s="5"/>
      <c r="K201" s="5"/>
      <c r="L201" s="5"/>
      <c r="M201" s="5"/>
      <c r="N201" s="5"/>
      <c r="O201" s="5"/>
      <c r="P201" s="5"/>
      <c r="Q201" s="5"/>
      <c r="R201" s="5"/>
      <c r="S201" s="5"/>
      <c r="T201" s="5"/>
      <c r="U201" s="5"/>
      <c r="V201" s="5"/>
      <c r="W201" s="5"/>
    </row>
    <row r="202" spans="1:23" ht="16" x14ac:dyDescent="0.2">
      <c r="A202" s="5"/>
      <c r="B202" s="6"/>
      <c r="C202" s="6"/>
      <c r="D202" s="6"/>
      <c r="E202" s="6"/>
      <c r="F202" s="5"/>
      <c r="G202" s="5"/>
      <c r="H202" s="5"/>
      <c r="I202" s="5"/>
      <c r="J202" s="5"/>
      <c r="K202" s="5"/>
      <c r="L202" s="5"/>
      <c r="M202" s="5"/>
      <c r="N202" s="5"/>
      <c r="O202" s="5"/>
      <c r="P202" s="5"/>
      <c r="Q202" s="5"/>
      <c r="R202" s="5"/>
      <c r="S202" s="5"/>
      <c r="T202" s="5"/>
      <c r="U202" s="5"/>
      <c r="V202" s="5"/>
      <c r="W202" s="5"/>
    </row>
    <row r="203" spans="1:23" ht="16" x14ac:dyDescent="0.2">
      <c r="A203" s="5"/>
      <c r="B203" s="6"/>
      <c r="C203" s="6"/>
      <c r="D203" s="6"/>
      <c r="E203" s="6"/>
      <c r="F203" s="5"/>
      <c r="G203" s="5"/>
      <c r="H203" s="5"/>
      <c r="I203" s="5"/>
      <c r="J203" s="5"/>
      <c r="K203" s="5"/>
      <c r="L203" s="5"/>
      <c r="M203" s="5"/>
      <c r="N203" s="5"/>
      <c r="O203" s="5"/>
      <c r="P203" s="5"/>
      <c r="Q203" s="5"/>
      <c r="R203" s="5"/>
      <c r="S203" s="5"/>
      <c r="T203" s="5"/>
      <c r="U203" s="5"/>
      <c r="V203" s="5"/>
      <c r="W203" s="5"/>
    </row>
    <row r="204" spans="1:23" ht="16" x14ac:dyDescent="0.2">
      <c r="A204" s="5"/>
      <c r="B204" s="6"/>
      <c r="C204" s="6"/>
      <c r="D204" s="6"/>
      <c r="E204" s="6"/>
      <c r="F204" s="5"/>
      <c r="G204" s="5"/>
      <c r="H204" s="5"/>
      <c r="I204" s="5"/>
      <c r="J204" s="5"/>
      <c r="K204" s="5"/>
      <c r="L204" s="5"/>
      <c r="M204" s="5"/>
      <c r="N204" s="5"/>
      <c r="O204" s="5"/>
      <c r="P204" s="5"/>
      <c r="Q204" s="5"/>
      <c r="R204" s="5"/>
      <c r="S204" s="5"/>
      <c r="T204" s="5"/>
      <c r="U204" s="5"/>
      <c r="V204" s="5"/>
      <c r="W204" s="5"/>
    </row>
    <row r="205" spans="1:23" ht="16" x14ac:dyDescent="0.2">
      <c r="A205" s="5"/>
      <c r="B205" s="6"/>
      <c r="C205" s="6"/>
      <c r="D205" s="6"/>
      <c r="E205" s="6"/>
      <c r="F205" s="5"/>
      <c r="G205" s="5"/>
      <c r="H205" s="5"/>
      <c r="I205" s="5"/>
      <c r="J205" s="5"/>
      <c r="K205" s="5"/>
      <c r="L205" s="5"/>
      <c r="M205" s="5"/>
      <c r="N205" s="5"/>
      <c r="O205" s="5"/>
      <c r="P205" s="5"/>
      <c r="Q205" s="5"/>
      <c r="R205" s="5"/>
      <c r="S205" s="5"/>
      <c r="T205" s="5"/>
      <c r="U205" s="5"/>
      <c r="V205" s="5"/>
      <c r="W205" s="5"/>
    </row>
    <row r="206" spans="1:23" ht="16" x14ac:dyDescent="0.2">
      <c r="A206" s="5"/>
      <c r="B206" s="6"/>
      <c r="C206" s="6"/>
      <c r="D206" s="6"/>
      <c r="E206" s="6"/>
      <c r="F206" s="5"/>
      <c r="G206" s="5"/>
      <c r="H206" s="5"/>
      <c r="I206" s="5"/>
      <c r="J206" s="5"/>
      <c r="K206" s="5"/>
      <c r="L206" s="5"/>
      <c r="M206" s="5"/>
      <c r="N206" s="5"/>
      <c r="O206" s="5"/>
      <c r="P206" s="5"/>
      <c r="Q206" s="5"/>
      <c r="R206" s="5"/>
      <c r="S206" s="5"/>
      <c r="T206" s="5"/>
      <c r="U206" s="5"/>
      <c r="V206" s="5"/>
      <c r="W206" s="5"/>
    </row>
    <row r="207" spans="1:23" ht="16" x14ac:dyDescent="0.2">
      <c r="A207" s="5"/>
      <c r="B207" s="6"/>
      <c r="C207" s="6"/>
      <c r="D207" s="6"/>
      <c r="E207" s="6"/>
      <c r="F207" s="5"/>
      <c r="G207" s="5"/>
      <c r="H207" s="5"/>
      <c r="I207" s="5"/>
      <c r="J207" s="5"/>
      <c r="K207" s="5"/>
      <c r="L207" s="5"/>
      <c r="M207" s="5"/>
      <c r="N207" s="5"/>
      <c r="O207" s="5"/>
      <c r="P207" s="5"/>
      <c r="Q207" s="5"/>
      <c r="R207" s="5"/>
      <c r="S207" s="5"/>
      <c r="T207" s="5"/>
      <c r="U207" s="5"/>
      <c r="V207" s="5"/>
      <c r="W207" s="5"/>
    </row>
    <row r="208" spans="1:23" ht="16" x14ac:dyDescent="0.2">
      <c r="A208" s="5"/>
      <c r="B208" s="6"/>
      <c r="C208" s="6"/>
      <c r="D208" s="6"/>
      <c r="E208" s="6"/>
      <c r="F208" s="5"/>
      <c r="G208" s="5"/>
      <c r="H208" s="5"/>
      <c r="I208" s="5"/>
      <c r="J208" s="5"/>
      <c r="K208" s="5"/>
      <c r="L208" s="5"/>
      <c r="M208" s="5"/>
      <c r="N208" s="5"/>
      <c r="O208" s="5"/>
      <c r="P208" s="5"/>
      <c r="Q208" s="5"/>
      <c r="R208" s="5"/>
      <c r="S208" s="5"/>
      <c r="T208" s="5"/>
      <c r="U208" s="5"/>
      <c r="V208" s="5"/>
      <c r="W208" s="5"/>
    </row>
    <row r="209" spans="1:23" ht="16" x14ac:dyDescent="0.2">
      <c r="A209" s="5"/>
      <c r="B209" s="6"/>
      <c r="C209" s="6"/>
      <c r="D209" s="6"/>
      <c r="E209" s="6"/>
      <c r="F209" s="5"/>
      <c r="G209" s="5"/>
      <c r="H209" s="5"/>
      <c r="I209" s="5"/>
      <c r="J209" s="5"/>
      <c r="K209" s="5"/>
      <c r="L209" s="5"/>
      <c r="M209" s="5"/>
      <c r="N209" s="5"/>
      <c r="O209" s="5"/>
      <c r="P209" s="5"/>
      <c r="Q209" s="5"/>
      <c r="R209" s="5"/>
      <c r="S209" s="5"/>
      <c r="T209" s="5"/>
      <c r="U209" s="5"/>
      <c r="V209" s="5"/>
      <c r="W209" s="5"/>
    </row>
    <row r="210" spans="1:23" ht="16" x14ac:dyDescent="0.2">
      <c r="A210" s="5"/>
      <c r="B210" s="6"/>
      <c r="C210" s="6"/>
      <c r="D210" s="6"/>
      <c r="E210" s="6"/>
      <c r="F210" s="5"/>
      <c r="G210" s="5"/>
      <c r="H210" s="5"/>
      <c r="I210" s="5"/>
      <c r="J210" s="5"/>
      <c r="K210" s="5"/>
      <c r="L210" s="5"/>
      <c r="M210" s="5"/>
      <c r="N210" s="5"/>
      <c r="O210" s="5"/>
      <c r="P210" s="5"/>
      <c r="Q210" s="5"/>
      <c r="R210" s="5"/>
      <c r="S210" s="5"/>
      <c r="T210" s="5"/>
      <c r="U210" s="5"/>
      <c r="V210" s="5"/>
      <c r="W210" s="5"/>
    </row>
    <row r="211" spans="1:23" ht="16" x14ac:dyDescent="0.2">
      <c r="A211" s="5"/>
      <c r="B211" s="6"/>
      <c r="C211" s="6"/>
      <c r="D211" s="6"/>
      <c r="E211" s="6"/>
      <c r="F211" s="5"/>
      <c r="G211" s="5"/>
      <c r="H211" s="5"/>
      <c r="I211" s="5"/>
      <c r="J211" s="5"/>
      <c r="K211" s="5"/>
      <c r="L211" s="5"/>
      <c r="M211" s="5"/>
      <c r="N211" s="5"/>
      <c r="O211" s="5"/>
      <c r="P211" s="5"/>
      <c r="Q211" s="5"/>
      <c r="R211" s="5"/>
      <c r="S211" s="5"/>
      <c r="T211" s="5"/>
      <c r="U211" s="5"/>
      <c r="V211" s="5"/>
      <c r="W211" s="5"/>
    </row>
    <row r="212" spans="1:23" ht="16" x14ac:dyDescent="0.2">
      <c r="A212" s="5"/>
      <c r="B212" s="6"/>
      <c r="C212" s="6"/>
      <c r="D212" s="6"/>
      <c r="E212" s="6"/>
      <c r="F212" s="5"/>
      <c r="G212" s="5"/>
      <c r="H212" s="5"/>
      <c r="I212" s="5"/>
      <c r="J212" s="5"/>
      <c r="K212" s="5"/>
      <c r="L212" s="5"/>
      <c r="M212" s="5"/>
      <c r="N212" s="5"/>
      <c r="O212" s="5"/>
      <c r="P212" s="5"/>
      <c r="Q212" s="5"/>
      <c r="R212" s="5"/>
      <c r="S212" s="5"/>
      <c r="T212" s="5"/>
      <c r="U212" s="5"/>
      <c r="V212" s="5"/>
      <c r="W212" s="5"/>
    </row>
    <row r="213" spans="1:23" ht="16" x14ac:dyDescent="0.2">
      <c r="A213" s="5"/>
      <c r="B213" s="6"/>
      <c r="C213" s="6"/>
      <c r="D213" s="6"/>
      <c r="E213" s="6"/>
      <c r="F213" s="5"/>
      <c r="G213" s="5"/>
      <c r="H213" s="5"/>
      <c r="I213" s="5"/>
      <c r="J213" s="5"/>
      <c r="K213" s="5"/>
      <c r="L213" s="5"/>
      <c r="M213" s="5"/>
      <c r="N213" s="5"/>
      <c r="O213" s="5"/>
      <c r="P213" s="5"/>
      <c r="Q213" s="5"/>
      <c r="R213" s="5"/>
      <c r="S213" s="5"/>
      <c r="T213" s="5"/>
      <c r="U213" s="5"/>
      <c r="V213" s="5"/>
      <c r="W213" s="5"/>
    </row>
    <row r="214" spans="1:23" ht="16" x14ac:dyDescent="0.2">
      <c r="A214" s="5"/>
      <c r="B214" s="6"/>
      <c r="C214" s="6"/>
      <c r="D214" s="6"/>
      <c r="E214" s="6"/>
      <c r="F214" s="5"/>
      <c r="G214" s="5"/>
      <c r="H214" s="5"/>
      <c r="I214" s="5"/>
      <c r="J214" s="5"/>
      <c r="K214" s="5"/>
      <c r="L214" s="5"/>
      <c r="M214" s="5"/>
      <c r="N214" s="5"/>
      <c r="O214" s="5"/>
      <c r="P214" s="5"/>
      <c r="Q214" s="5"/>
      <c r="R214" s="5"/>
      <c r="S214" s="5"/>
      <c r="T214" s="5"/>
      <c r="U214" s="5"/>
      <c r="V214" s="5"/>
      <c r="W214" s="5"/>
    </row>
    <row r="215" spans="1:23" ht="16" x14ac:dyDescent="0.2">
      <c r="A215" s="5"/>
      <c r="B215" s="6"/>
      <c r="C215" s="6"/>
      <c r="D215" s="6"/>
      <c r="E215" s="6"/>
      <c r="F215" s="5"/>
      <c r="G215" s="5"/>
      <c r="H215" s="5"/>
      <c r="I215" s="5"/>
      <c r="J215" s="5"/>
      <c r="K215" s="5"/>
      <c r="L215" s="5"/>
      <c r="M215" s="5"/>
      <c r="N215" s="5"/>
      <c r="O215" s="5"/>
      <c r="P215" s="5"/>
      <c r="Q215" s="5"/>
      <c r="R215" s="5"/>
      <c r="S215" s="5"/>
      <c r="T215" s="5"/>
      <c r="U215" s="5"/>
      <c r="V215" s="5"/>
      <c r="W215" s="5"/>
    </row>
    <row r="216" spans="1:23" ht="16" x14ac:dyDescent="0.2">
      <c r="A216" s="5"/>
      <c r="B216" s="6"/>
      <c r="C216" s="6"/>
      <c r="D216" s="6"/>
      <c r="E216" s="6"/>
      <c r="F216" s="5"/>
      <c r="G216" s="5"/>
      <c r="H216" s="5"/>
      <c r="I216" s="5"/>
      <c r="J216" s="5"/>
      <c r="K216" s="5"/>
      <c r="L216" s="5"/>
      <c r="M216" s="5"/>
      <c r="N216" s="5"/>
      <c r="O216" s="5"/>
      <c r="P216" s="5"/>
      <c r="Q216" s="5"/>
      <c r="R216" s="5"/>
      <c r="S216" s="5"/>
      <c r="T216" s="5"/>
      <c r="U216" s="5"/>
      <c r="V216" s="5"/>
      <c r="W216" s="5"/>
    </row>
    <row r="217" spans="1:23" ht="16" x14ac:dyDescent="0.2">
      <c r="A217" s="5"/>
      <c r="B217" s="6"/>
      <c r="C217" s="6"/>
      <c r="D217" s="6"/>
      <c r="E217" s="6"/>
      <c r="F217" s="5"/>
      <c r="G217" s="5"/>
      <c r="H217" s="5"/>
      <c r="I217" s="5"/>
      <c r="J217" s="5"/>
      <c r="K217" s="5"/>
      <c r="L217" s="5"/>
      <c r="M217" s="5"/>
      <c r="N217" s="5"/>
      <c r="O217" s="5"/>
      <c r="P217" s="5"/>
      <c r="Q217" s="5"/>
      <c r="R217" s="5"/>
      <c r="S217" s="5"/>
      <c r="T217" s="5"/>
      <c r="U217" s="5"/>
      <c r="V217" s="5"/>
      <c r="W217" s="5"/>
    </row>
    <row r="218" spans="1:23" ht="16" x14ac:dyDescent="0.2">
      <c r="A218" s="5"/>
      <c r="B218" s="6"/>
      <c r="C218" s="6"/>
      <c r="D218" s="6"/>
      <c r="E218" s="6"/>
      <c r="F218" s="5"/>
      <c r="G218" s="5"/>
      <c r="H218" s="5"/>
      <c r="I218" s="5"/>
      <c r="J218" s="5"/>
      <c r="K218" s="5"/>
      <c r="L218" s="5"/>
      <c r="M218" s="5"/>
      <c r="N218" s="5"/>
      <c r="O218" s="5"/>
      <c r="P218" s="5"/>
      <c r="Q218" s="5"/>
      <c r="R218" s="5"/>
      <c r="S218" s="5"/>
      <c r="T218" s="5"/>
      <c r="U218" s="5"/>
      <c r="V218" s="5"/>
      <c r="W218" s="5"/>
    </row>
    <row r="219" spans="1:23" ht="16" x14ac:dyDescent="0.2">
      <c r="A219" s="5"/>
      <c r="B219" s="6"/>
      <c r="C219" s="6"/>
      <c r="D219" s="6"/>
      <c r="E219" s="6"/>
      <c r="F219" s="5"/>
      <c r="G219" s="5"/>
      <c r="H219" s="5"/>
      <c r="I219" s="5"/>
      <c r="J219" s="5"/>
      <c r="K219" s="5"/>
      <c r="L219" s="5"/>
      <c r="M219" s="5"/>
      <c r="N219" s="5"/>
      <c r="O219" s="5"/>
      <c r="P219" s="5"/>
      <c r="Q219" s="5"/>
      <c r="R219" s="5"/>
      <c r="S219" s="5"/>
      <c r="T219" s="5"/>
      <c r="U219" s="5"/>
      <c r="V219" s="5"/>
      <c r="W219" s="5"/>
    </row>
    <row r="220" spans="1:23" ht="16" x14ac:dyDescent="0.2">
      <c r="A220" s="5"/>
      <c r="B220" s="6"/>
      <c r="C220" s="6"/>
      <c r="D220" s="6"/>
      <c r="E220" s="6"/>
      <c r="F220" s="5"/>
      <c r="G220" s="5"/>
      <c r="H220" s="5"/>
      <c r="I220" s="5"/>
      <c r="J220" s="5"/>
      <c r="K220" s="5"/>
      <c r="L220" s="5"/>
      <c r="M220" s="5"/>
      <c r="N220" s="5"/>
      <c r="O220" s="5"/>
      <c r="P220" s="5"/>
      <c r="Q220" s="5"/>
      <c r="R220" s="5"/>
      <c r="S220" s="5"/>
      <c r="T220" s="5"/>
      <c r="U220" s="5"/>
      <c r="V220" s="5"/>
      <c r="W220" s="5"/>
    </row>
    <row r="221" spans="1:23" ht="16" x14ac:dyDescent="0.2">
      <c r="A221" s="5"/>
      <c r="B221" s="6"/>
      <c r="C221" s="6"/>
      <c r="D221" s="6"/>
      <c r="E221" s="6"/>
      <c r="F221" s="5"/>
      <c r="G221" s="5"/>
      <c r="H221" s="5"/>
      <c r="I221" s="5"/>
      <c r="J221" s="5"/>
      <c r="K221" s="5"/>
      <c r="L221" s="5"/>
      <c r="M221" s="5"/>
      <c r="N221" s="5"/>
      <c r="O221" s="5"/>
      <c r="P221" s="5"/>
      <c r="Q221" s="5"/>
      <c r="R221" s="5"/>
      <c r="S221" s="5"/>
      <c r="T221" s="5"/>
      <c r="U221" s="5"/>
      <c r="V221" s="5"/>
      <c r="W221" s="5"/>
    </row>
    <row r="222" spans="1:23" ht="16" x14ac:dyDescent="0.2">
      <c r="A222" s="5"/>
      <c r="B222" s="6"/>
      <c r="C222" s="6"/>
      <c r="D222" s="6"/>
      <c r="E222" s="6"/>
      <c r="F222" s="5"/>
      <c r="G222" s="5"/>
      <c r="H222" s="5"/>
      <c r="I222" s="5"/>
      <c r="J222" s="5"/>
      <c r="K222" s="5"/>
      <c r="L222" s="5"/>
      <c r="M222" s="5"/>
      <c r="N222" s="5"/>
      <c r="O222" s="5"/>
      <c r="P222" s="5"/>
      <c r="Q222" s="5"/>
      <c r="R222" s="5"/>
      <c r="S222" s="5"/>
      <c r="T222" s="5"/>
      <c r="U222" s="5"/>
      <c r="V222" s="5"/>
      <c r="W222" s="5"/>
    </row>
    <row r="223" spans="1:23" ht="16" x14ac:dyDescent="0.2">
      <c r="A223" s="5"/>
      <c r="B223" s="6"/>
      <c r="C223" s="6"/>
      <c r="D223" s="6"/>
      <c r="E223" s="6"/>
      <c r="F223" s="5"/>
      <c r="G223" s="5"/>
      <c r="H223" s="5"/>
      <c r="I223" s="5"/>
      <c r="J223" s="5"/>
      <c r="K223" s="5"/>
      <c r="L223" s="5"/>
      <c r="M223" s="5"/>
      <c r="N223" s="5"/>
      <c r="O223" s="5"/>
      <c r="P223" s="5"/>
      <c r="Q223" s="5"/>
      <c r="R223" s="5"/>
      <c r="S223" s="5"/>
      <c r="T223" s="5"/>
      <c r="U223" s="5"/>
      <c r="V223" s="5"/>
      <c r="W223" s="5"/>
    </row>
    <row r="224" spans="1:23" ht="16" x14ac:dyDescent="0.2">
      <c r="A224" s="5"/>
      <c r="B224" s="6"/>
      <c r="C224" s="6"/>
      <c r="D224" s="6"/>
      <c r="E224" s="6"/>
      <c r="F224" s="5"/>
      <c r="G224" s="5"/>
      <c r="H224" s="5"/>
      <c r="I224" s="5"/>
      <c r="J224" s="5"/>
      <c r="K224" s="5"/>
      <c r="L224" s="5"/>
      <c r="M224" s="5"/>
      <c r="N224" s="5"/>
      <c r="O224" s="5"/>
      <c r="P224" s="5"/>
      <c r="Q224" s="5"/>
      <c r="R224" s="5"/>
      <c r="S224" s="5"/>
      <c r="T224" s="5"/>
      <c r="U224" s="5"/>
      <c r="V224" s="5"/>
      <c r="W224" s="5"/>
    </row>
    <row r="225" spans="1:23" ht="16" x14ac:dyDescent="0.2">
      <c r="A225" s="5"/>
      <c r="B225" s="6"/>
      <c r="C225" s="6"/>
      <c r="D225" s="6"/>
      <c r="E225" s="6"/>
      <c r="F225" s="5"/>
      <c r="G225" s="5"/>
      <c r="H225" s="5"/>
      <c r="I225" s="5"/>
      <c r="J225" s="5"/>
      <c r="K225" s="5"/>
      <c r="L225" s="5"/>
      <c r="M225" s="5"/>
      <c r="N225" s="5"/>
      <c r="O225" s="5"/>
      <c r="P225" s="5"/>
      <c r="Q225" s="5"/>
      <c r="R225" s="5"/>
      <c r="S225" s="5"/>
      <c r="T225" s="5"/>
      <c r="U225" s="5"/>
      <c r="V225" s="5"/>
      <c r="W225" s="5"/>
    </row>
    <row r="226" spans="1:23" ht="16" x14ac:dyDescent="0.2">
      <c r="A226" s="5"/>
      <c r="B226" s="6"/>
      <c r="C226" s="6"/>
      <c r="D226" s="6"/>
      <c r="E226" s="6"/>
      <c r="F226" s="5"/>
      <c r="G226" s="5"/>
      <c r="H226" s="5"/>
      <c r="I226" s="5"/>
      <c r="J226" s="5"/>
      <c r="K226" s="5"/>
      <c r="L226" s="5"/>
      <c r="M226" s="5"/>
      <c r="N226" s="5"/>
      <c r="O226" s="5"/>
      <c r="P226" s="5"/>
      <c r="Q226" s="5"/>
      <c r="R226" s="5"/>
      <c r="S226" s="5"/>
      <c r="T226" s="5"/>
      <c r="U226" s="5"/>
      <c r="V226" s="5"/>
      <c r="W226" s="5"/>
    </row>
    <row r="227" spans="1:23" ht="16" x14ac:dyDescent="0.2">
      <c r="A227" s="5"/>
      <c r="B227" s="6"/>
      <c r="C227" s="6"/>
      <c r="D227" s="6"/>
      <c r="E227" s="6"/>
      <c r="F227" s="5"/>
      <c r="G227" s="5"/>
      <c r="H227" s="5"/>
      <c r="I227" s="5"/>
      <c r="J227" s="5"/>
      <c r="K227" s="5"/>
      <c r="L227" s="5"/>
      <c r="M227" s="5"/>
      <c r="N227" s="5"/>
      <c r="O227" s="5"/>
      <c r="P227" s="5"/>
      <c r="Q227" s="5"/>
      <c r="R227" s="5"/>
      <c r="S227" s="5"/>
      <c r="T227" s="5"/>
      <c r="U227" s="5"/>
      <c r="V227" s="5"/>
      <c r="W227" s="5"/>
    </row>
    <row r="228" spans="1:23" ht="16" x14ac:dyDescent="0.2">
      <c r="A228" s="5"/>
      <c r="B228" s="6"/>
      <c r="C228" s="6"/>
      <c r="D228" s="6"/>
      <c r="E228" s="6"/>
      <c r="F228" s="5"/>
      <c r="G228" s="5"/>
      <c r="H228" s="5"/>
      <c r="I228" s="5"/>
      <c r="J228" s="5"/>
      <c r="K228" s="5"/>
      <c r="L228" s="5"/>
      <c r="M228" s="5"/>
      <c r="N228" s="5"/>
      <c r="O228" s="5"/>
      <c r="P228" s="5"/>
      <c r="Q228" s="5"/>
      <c r="R228" s="5"/>
      <c r="S228" s="5"/>
      <c r="T228" s="5"/>
      <c r="U228" s="5"/>
      <c r="V228" s="5"/>
      <c r="W228" s="5"/>
    </row>
    <row r="229" spans="1:23" ht="16" x14ac:dyDescent="0.2">
      <c r="A229" s="5"/>
      <c r="B229" s="6"/>
      <c r="C229" s="6"/>
      <c r="D229" s="6"/>
      <c r="E229" s="6"/>
      <c r="F229" s="5"/>
      <c r="G229" s="5"/>
      <c r="H229" s="5"/>
      <c r="I229" s="5"/>
      <c r="J229" s="5"/>
      <c r="K229" s="5"/>
      <c r="L229" s="5"/>
      <c r="M229" s="5"/>
      <c r="N229" s="5"/>
      <c r="O229" s="5"/>
      <c r="P229" s="5"/>
      <c r="Q229" s="5"/>
      <c r="R229" s="5"/>
      <c r="S229" s="5"/>
      <c r="T229" s="5"/>
      <c r="U229" s="5"/>
      <c r="V229" s="5"/>
      <c r="W229" s="5"/>
    </row>
    <row r="230" spans="1:23" ht="16" x14ac:dyDescent="0.2">
      <c r="A230" s="5"/>
      <c r="B230" s="6"/>
      <c r="C230" s="6"/>
      <c r="D230" s="6"/>
      <c r="E230" s="6"/>
      <c r="F230" s="5"/>
      <c r="G230" s="5"/>
      <c r="H230" s="5"/>
      <c r="I230" s="5"/>
      <c r="J230" s="5"/>
      <c r="K230" s="5"/>
      <c r="L230" s="5"/>
      <c r="M230" s="5"/>
      <c r="N230" s="5"/>
      <c r="O230" s="5"/>
      <c r="P230" s="5"/>
      <c r="Q230" s="5"/>
      <c r="R230" s="5"/>
      <c r="S230" s="5"/>
      <c r="T230" s="5"/>
      <c r="U230" s="5"/>
      <c r="V230" s="5"/>
      <c r="W230" s="5"/>
    </row>
    <row r="231" spans="1:23" ht="16" x14ac:dyDescent="0.2">
      <c r="A231" s="5"/>
      <c r="B231" s="6"/>
      <c r="C231" s="6"/>
      <c r="D231" s="6"/>
      <c r="E231" s="6"/>
      <c r="F231" s="5"/>
      <c r="G231" s="5"/>
      <c r="H231" s="5"/>
      <c r="I231" s="5"/>
      <c r="J231" s="5"/>
      <c r="K231" s="5"/>
      <c r="L231" s="5"/>
      <c r="M231" s="5"/>
      <c r="N231" s="5"/>
      <c r="O231" s="5"/>
      <c r="P231" s="5"/>
      <c r="Q231" s="5"/>
      <c r="R231" s="5"/>
      <c r="S231" s="5"/>
      <c r="T231" s="5"/>
      <c r="U231" s="5"/>
      <c r="V231" s="5"/>
      <c r="W231" s="5"/>
    </row>
    <row r="232" spans="1:23" ht="16" x14ac:dyDescent="0.2">
      <c r="A232" s="5"/>
      <c r="B232" s="6"/>
      <c r="C232" s="6"/>
      <c r="D232" s="6"/>
      <c r="E232" s="6"/>
      <c r="F232" s="5"/>
      <c r="G232" s="5"/>
      <c r="H232" s="5"/>
      <c r="I232" s="5"/>
      <c r="J232" s="5"/>
      <c r="K232" s="5"/>
      <c r="L232" s="5"/>
      <c r="M232" s="5"/>
      <c r="N232" s="5"/>
      <c r="O232" s="5"/>
      <c r="P232" s="5"/>
      <c r="Q232" s="5"/>
      <c r="R232" s="5"/>
      <c r="S232" s="5"/>
      <c r="T232" s="5"/>
      <c r="U232" s="5"/>
      <c r="V232" s="5"/>
      <c r="W232" s="5"/>
    </row>
    <row r="233" spans="1:23" ht="16" x14ac:dyDescent="0.2">
      <c r="A233" s="5"/>
      <c r="B233" s="6"/>
      <c r="C233" s="6"/>
      <c r="D233" s="6"/>
      <c r="E233" s="6"/>
      <c r="F233" s="5"/>
      <c r="G233" s="5"/>
      <c r="H233" s="5"/>
      <c r="I233" s="5"/>
      <c r="J233" s="5"/>
      <c r="K233" s="5"/>
      <c r="L233" s="5"/>
      <c r="M233" s="5"/>
      <c r="N233" s="5"/>
      <c r="O233" s="5"/>
      <c r="P233" s="5"/>
      <c r="Q233" s="5"/>
      <c r="R233" s="5"/>
      <c r="S233" s="5"/>
      <c r="T233" s="5"/>
      <c r="U233" s="5"/>
      <c r="V233" s="5"/>
      <c r="W233" s="5"/>
    </row>
    <row r="234" spans="1:23" ht="16" x14ac:dyDescent="0.2">
      <c r="A234" s="5"/>
      <c r="B234" s="6"/>
      <c r="C234" s="6"/>
      <c r="D234" s="6"/>
      <c r="E234" s="6"/>
      <c r="F234" s="5"/>
      <c r="G234" s="5"/>
      <c r="H234" s="5"/>
      <c r="I234" s="5"/>
      <c r="J234" s="5"/>
      <c r="K234" s="5"/>
      <c r="L234" s="5"/>
      <c r="M234" s="5"/>
      <c r="N234" s="5"/>
      <c r="O234" s="5"/>
      <c r="P234" s="5"/>
      <c r="Q234" s="5"/>
      <c r="R234" s="5"/>
      <c r="S234" s="5"/>
      <c r="T234" s="5"/>
      <c r="U234" s="5"/>
      <c r="V234" s="5"/>
      <c r="W234" s="5"/>
    </row>
    <row r="235" spans="1:23" ht="16" x14ac:dyDescent="0.2">
      <c r="A235" s="5"/>
      <c r="B235" s="6"/>
      <c r="C235" s="6"/>
      <c r="D235" s="6"/>
      <c r="E235" s="6"/>
      <c r="F235" s="5"/>
      <c r="G235" s="5"/>
      <c r="H235" s="5"/>
      <c r="I235" s="5"/>
      <c r="J235" s="5"/>
      <c r="K235" s="5"/>
      <c r="L235" s="5"/>
      <c r="M235" s="5"/>
      <c r="N235" s="5"/>
      <c r="O235" s="5"/>
      <c r="P235" s="5"/>
      <c r="Q235" s="5"/>
      <c r="R235" s="5"/>
      <c r="S235" s="5"/>
      <c r="T235" s="5"/>
      <c r="U235" s="5"/>
      <c r="V235" s="5"/>
      <c r="W235" s="5"/>
    </row>
    <row r="236" spans="1:23" ht="16" x14ac:dyDescent="0.2">
      <c r="A236" s="5"/>
      <c r="B236" s="6"/>
      <c r="C236" s="6"/>
      <c r="D236" s="6"/>
      <c r="E236" s="6"/>
      <c r="F236" s="5"/>
      <c r="G236" s="5"/>
      <c r="H236" s="5"/>
      <c r="I236" s="5"/>
      <c r="J236" s="5"/>
      <c r="K236" s="5"/>
      <c r="L236" s="5"/>
      <c r="M236" s="5"/>
      <c r="N236" s="5"/>
      <c r="O236" s="5"/>
      <c r="P236" s="5"/>
      <c r="Q236" s="5"/>
      <c r="R236" s="5"/>
      <c r="S236" s="5"/>
      <c r="T236" s="5"/>
      <c r="U236" s="5"/>
      <c r="V236" s="5"/>
      <c r="W236" s="5"/>
    </row>
    <row r="237" spans="1:23" ht="16" x14ac:dyDescent="0.2">
      <c r="A237" s="5"/>
      <c r="B237" s="6"/>
      <c r="C237" s="6"/>
      <c r="D237" s="6"/>
      <c r="E237" s="6"/>
      <c r="F237" s="5"/>
      <c r="G237" s="5"/>
      <c r="H237" s="5"/>
      <c r="I237" s="5"/>
      <c r="J237" s="5"/>
      <c r="K237" s="5"/>
      <c r="L237" s="5"/>
      <c r="M237" s="5"/>
      <c r="N237" s="5"/>
      <c r="O237" s="5"/>
      <c r="P237" s="5"/>
      <c r="Q237" s="5"/>
      <c r="R237" s="5"/>
      <c r="S237" s="5"/>
      <c r="T237" s="5"/>
      <c r="U237" s="5"/>
      <c r="V237" s="5"/>
      <c r="W237" s="5"/>
    </row>
    <row r="238" spans="1:23" ht="16" x14ac:dyDescent="0.2">
      <c r="A238" s="5"/>
      <c r="B238" s="6"/>
      <c r="C238" s="6"/>
      <c r="D238" s="6"/>
      <c r="E238" s="6"/>
      <c r="F238" s="5"/>
      <c r="G238" s="5"/>
      <c r="H238" s="5"/>
      <c r="I238" s="5"/>
      <c r="J238" s="5"/>
      <c r="K238" s="5"/>
      <c r="L238" s="5"/>
      <c r="M238" s="5"/>
      <c r="N238" s="5"/>
      <c r="O238" s="5"/>
      <c r="P238" s="5"/>
      <c r="Q238" s="5"/>
      <c r="R238" s="5"/>
      <c r="S238" s="5"/>
      <c r="T238" s="5"/>
      <c r="U238" s="5"/>
      <c r="V238" s="5"/>
      <c r="W238" s="5"/>
    </row>
    <row r="239" spans="1:23" ht="16" x14ac:dyDescent="0.2">
      <c r="A239" s="5"/>
      <c r="B239" s="6"/>
      <c r="C239" s="6"/>
      <c r="D239" s="6"/>
      <c r="E239" s="6"/>
      <c r="F239" s="5"/>
      <c r="G239" s="5"/>
      <c r="H239" s="5"/>
      <c r="I239" s="5"/>
      <c r="J239" s="5"/>
      <c r="K239" s="5"/>
      <c r="L239" s="5"/>
      <c r="M239" s="5"/>
      <c r="N239" s="5"/>
      <c r="O239" s="5"/>
      <c r="P239" s="5"/>
      <c r="Q239" s="5"/>
      <c r="R239" s="5"/>
      <c r="S239" s="5"/>
      <c r="T239" s="5"/>
      <c r="U239" s="5"/>
      <c r="V239" s="5"/>
      <c r="W239" s="5"/>
    </row>
    <row r="240" spans="1:23" ht="16" x14ac:dyDescent="0.2">
      <c r="A240" s="5"/>
      <c r="B240" s="6"/>
      <c r="C240" s="6"/>
      <c r="D240" s="6"/>
      <c r="E240" s="6"/>
      <c r="F240" s="5"/>
      <c r="G240" s="5"/>
      <c r="H240" s="5"/>
      <c r="I240" s="5"/>
      <c r="J240" s="5"/>
      <c r="K240" s="5"/>
      <c r="L240" s="5"/>
      <c r="M240" s="5"/>
      <c r="N240" s="5"/>
      <c r="O240" s="5"/>
      <c r="P240" s="5"/>
      <c r="Q240" s="5"/>
      <c r="R240" s="5"/>
      <c r="S240" s="5"/>
      <c r="T240" s="5"/>
      <c r="U240" s="5"/>
      <c r="V240" s="5"/>
      <c r="W240" s="5"/>
    </row>
    <row r="241" spans="1:23" ht="16" x14ac:dyDescent="0.2">
      <c r="A241" s="5"/>
      <c r="B241" s="6"/>
      <c r="C241" s="6"/>
      <c r="D241" s="6"/>
      <c r="E241" s="6"/>
      <c r="F241" s="5"/>
      <c r="G241" s="5"/>
      <c r="H241" s="5"/>
      <c r="I241" s="5"/>
      <c r="J241" s="5"/>
      <c r="K241" s="5"/>
      <c r="L241" s="5"/>
      <c r="M241" s="5"/>
      <c r="N241" s="5"/>
      <c r="O241" s="5"/>
      <c r="P241" s="5"/>
      <c r="Q241" s="5"/>
      <c r="R241" s="5"/>
      <c r="S241" s="5"/>
      <c r="T241" s="5"/>
      <c r="U241" s="5"/>
      <c r="V241" s="5"/>
      <c r="W241" s="5"/>
    </row>
    <row r="242" spans="1:23" ht="16" x14ac:dyDescent="0.2">
      <c r="A242" s="5"/>
      <c r="B242" s="6"/>
      <c r="C242" s="6"/>
      <c r="D242" s="6"/>
      <c r="E242" s="6"/>
      <c r="F242" s="5"/>
      <c r="G242" s="5"/>
      <c r="H242" s="5"/>
      <c r="I242" s="5"/>
      <c r="J242" s="5"/>
      <c r="K242" s="5"/>
      <c r="L242" s="5"/>
      <c r="M242" s="5"/>
      <c r="N242" s="5"/>
      <c r="O242" s="5"/>
      <c r="P242" s="5"/>
      <c r="Q242" s="5"/>
      <c r="R242" s="5"/>
      <c r="S242" s="5"/>
      <c r="T242" s="5"/>
      <c r="U242" s="5"/>
      <c r="V242" s="5"/>
      <c r="W242" s="5"/>
    </row>
    <row r="243" spans="1:23" ht="16" x14ac:dyDescent="0.2">
      <c r="A243" s="5"/>
      <c r="B243" s="6"/>
      <c r="C243" s="6"/>
      <c r="D243" s="6"/>
      <c r="E243" s="6"/>
      <c r="F243" s="5"/>
      <c r="G243" s="5"/>
      <c r="H243" s="5"/>
      <c r="I243" s="5"/>
      <c r="J243" s="5"/>
      <c r="K243" s="5"/>
      <c r="L243" s="5"/>
      <c r="M243" s="5"/>
      <c r="N243" s="5"/>
      <c r="O243" s="5"/>
      <c r="P243" s="5"/>
      <c r="Q243" s="5"/>
      <c r="R243" s="5"/>
      <c r="S243" s="5"/>
      <c r="T243" s="5"/>
      <c r="U243" s="5"/>
      <c r="V243" s="5"/>
      <c r="W243" s="5"/>
    </row>
    <row r="244" spans="1:23" ht="16" x14ac:dyDescent="0.2">
      <c r="A244" s="5"/>
      <c r="B244" s="6"/>
      <c r="C244" s="6"/>
      <c r="D244" s="6"/>
      <c r="E244" s="6"/>
      <c r="F244" s="5"/>
      <c r="G244" s="5"/>
      <c r="H244" s="5"/>
      <c r="I244" s="5"/>
      <c r="J244" s="5"/>
      <c r="K244" s="5"/>
      <c r="L244" s="5"/>
      <c r="M244" s="5"/>
      <c r="N244" s="5"/>
      <c r="O244" s="5"/>
      <c r="P244" s="5"/>
      <c r="Q244" s="5"/>
      <c r="R244" s="5"/>
      <c r="S244" s="5"/>
      <c r="T244" s="5"/>
      <c r="U244" s="5"/>
      <c r="V244" s="5"/>
      <c r="W244" s="5"/>
    </row>
    <row r="245" spans="1:23" ht="16" x14ac:dyDescent="0.2">
      <c r="A245" s="5"/>
      <c r="B245" s="6"/>
      <c r="C245" s="6"/>
      <c r="D245" s="6"/>
      <c r="E245" s="6"/>
      <c r="F245" s="5"/>
      <c r="G245" s="5"/>
      <c r="H245" s="5"/>
      <c r="I245" s="5"/>
      <c r="J245" s="5"/>
      <c r="K245" s="5"/>
      <c r="L245" s="5"/>
      <c r="M245" s="5"/>
      <c r="N245" s="5"/>
      <c r="O245" s="5"/>
      <c r="P245" s="5"/>
      <c r="Q245" s="5"/>
      <c r="R245" s="5"/>
      <c r="S245" s="5"/>
      <c r="T245" s="5"/>
      <c r="U245" s="5"/>
      <c r="V245" s="5"/>
      <c r="W245" s="5"/>
    </row>
    <row r="246" spans="1:23" ht="16" x14ac:dyDescent="0.2">
      <c r="A246" s="5"/>
      <c r="B246" s="6"/>
      <c r="C246" s="6"/>
      <c r="D246" s="6"/>
      <c r="E246" s="6"/>
      <c r="F246" s="5"/>
      <c r="G246" s="5"/>
      <c r="H246" s="5"/>
      <c r="I246" s="5"/>
      <c r="J246" s="5"/>
      <c r="K246" s="5"/>
      <c r="L246" s="5"/>
      <c r="M246" s="5"/>
      <c r="N246" s="5"/>
      <c r="O246" s="5"/>
      <c r="P246" s="5"/>
      <c r="Q246" s="5"/>
      <c r="R246" s="5"/>
      <c r="S246" s="5"/>
      <c r="T246" s="5"/>
      <c r="U246" s="5"/>
      <c r="V246" s="5"/>
      <c r="W246" s="5"/>
    </row>
    <row r="247" spans="1:23" ht="16" x14ac:dyDescent="0.2">
      <c r="A247" s="5"/>
      <c r="B247" s="6"/>
      <c r="C247" s="6"/>
      <c r="D247" s="6"/>
      <c r="E247" s="6"/>
      <c r="F247" s="5"/>
      <c r="G247" s="5"/>
      <c r="H247" s="5"/>
      <c r="I247" s="5"/>
      <c r="J247" s="5"/>
      <c r="K247" s="5"/>
      <c r="L247" s="5"/>
      <c r="M247" s="5"/>
      <c r="N247" s="5"/>
      <c r="O247" s="5"/>
      <c r="P247" s="5"/>
      <c r="Q247" s="5"/>
      <c r="R247" s="5"/>
      <c r="S247" s="5"/>
      <c r="T247" s="5"/>
      <c r="U247" s="5"/>
      <c r="V247" s="5"/>
      <c r="W247" s="5"/>
    </row>
    <row r="248" spans="1:23" ht="16" x14ac:dyDescent="0.2">
      <c r="A248" s="5"/>
      <c r="B248" s="6"/>
      <c r="C248" s="6"/>
      <c r="D248" s="6"/>
      <c r="E248" s="6"/>
      <c r="F248" s="5"/>
      <c r="G248" s="5"/>
      <c r="H248" s="5"/>
      <c r="I248" s="5"/>
      <c r="J248" s="5"/>
      <c r="K248" s="5"/>
      <c r="L248" s="5"/>
      <c r="M248" s="5"/>
      <c r="N248" s="5"/>
      <c r="O248" s="5"/>
      <c r="P248" s="5"/>
      <c r="Q248" s="5"/>
      <c r="R248" s="5"/>
      <c r="S248" s="5"/>
      <c r="T248" s="5"/>
      <c r="U248" s="5"/>
      <c r="V248" s="5"/>
      <c r="W248" s="5"/>
    </row>
    <row r="249" spans="1:23" ht="16" x14ac:dyDescent="0.2">
      <c r="A249" s="5"/>
      <c r="B249" s="6"/>
      <c r="C249" s="6"/>
      <c r="D249" s="6"/>
      <c r="E249" s="6"/>
      <c r="F249" s="5"/>
      <c r="G249" s="5"/>
      <c r="H249" s="5"/>
      <c r="I249" s="5"/>
      <c r="J249" s="5"/>
      <c r="K249" s="5"/>
      <c r="L249" s="5"/>
      <c r="M249" s="5"/>
      <c r="N249" s="5"/>
      <c r="O249" s="5"/>
      <c r="P249" s="5"/>
      <c r="Q249" s="5"/>
      <c r="R249" s="5"/>
      <c r="S249" s="5"/>
      <c r="T249" s="5"/>
      <c r="U249" s="5"/>
      <c r="V249" s="5"/>
      <c r="W249" s="5"/>
    </row>
    <row r="250" spans="1:23" ht="16" x14ac:dyDescent="0.2">
      <c r="A250" s="5"/>
      <c r="B250" s="6"/>
      <c r="C250" s="6"/>
      <c r="D250" s="6"/>
      <c r="E250" s="6"/>
      <c r="F250" s="5"/>
      <c r="G250" s="5"/>
      <c r="H250" s="5"/>
      <c r="I250" s="5"/>
      <c r="J250" s="5"/>
      <c r="K250" s="5"/>
      <c r="L250" s="5"/>
      <c r="M250" s="5"/>
      <c r="N250" s="5"/>
      <c r="O250" s="5"/>
      <c r="P250" s="5"/>
      <c r="Q250" s="5"/>
      <c r="R250" s="5"/>
      <c r="S250" s="5"/>
      <c r="T250" s="5"/>
      <c r="U250" s="5"/>
      <c r="V250" s="5"/>
      <c r="W250" s="5"/>
    </row>
    <row r="251" spans="1:23" ht="16" x14ac:dyDescent="0.2">
      <c r="A251" s="5"/>
      <c r="B251" s="6"/>
      <c r="C251" s="6"/>
      <c r="D251" s="6"/>
      <c r="E251" s="6"/>
      <c r="F251" s="5"/>
      <c r="G251" s="5"/>
      <c r="H251" s="5"/>
      <c r="I251" s="5"/>
      <c r="J251" s="5"/>
      <c r="K251" s="5"/>
      <c r="L251" s="5"/>
      <c r="M251" s="5"/>
      <c r="N251" s="5"/>
      <c r="O251" s="5"/>
      <c r="P251" s="5"/>
      <c r="Q251" s="5"/>
      <c r="R251" s="5"/>
      <c r="S251" s="5"/>
      <c r="T251" s="5"/>
      <c r="U251" s="5"/>
      <c r="V251" s="5"/>
      <c r="W251" s="5"/>
    </row>
    <row r="252" spans="1:23" ht="16" x14ac:dyDescent="0.2">
      <c r="A252" s="5"/>
      <c r="B252" s="6"/>
      <c r="C252" s="6"/>
      <c r="D252" s="6"/>
      <c r="E252" s="6"/>
      <c r="F252" s="5"/>
      <c r="G252" s="5"/>
      <c r="H252" s="5"/>
      <c r="I252" s="5"/>
      <c r="J252" s="5"/>
      <c r="K252" s="5"/>
      <c r="L252" s="5"/>
      <c r="M252" s="5"/>
      <c r="N252" s="5"/>
      <c r="O252" s="5"/>
      <c r="P252" s="5"/>
      <c r="Q252" s="5"/>
      <c r="R252" s="5"/>
      <c r="S252" s="5"/>
      <c r="T252" s="5"/>
      <c r="U252" s="5"/>
      <c r="V252" s="5"/>
      <c r="W252" s="5"/>
    </row>
    <row r="253" spans="1:23" ht="16" x14ac:dyDescent="0.2">
      <c r="A253" s="5"/>
      <c r="B253" s="6"/>
      <c r="C253" s="6"/>
      <c r="D253" s="6"/>
      <c r="E253" s="6"/>
      <c r="F253" s="5"/>
      <c r="G253" s="5"/>
      <c r="H253" s="5"/>
      <c r="I253" s="5"/>
      <c r="J253" s="5"/>
      <c r="K253" s="5"/>
      <c r="L253" s="5"/>
      <c r="M253" s="5"/>
      <c r="N253" s="5"/>
      <c r="O253" s="5"/>
      <c r="P253" s="5"/>
      <c r="Q253" s="5"/>
      <c r="R253" s="5"/>
      <c r="S253" s="5"/>
      <c r="T253" s="5"/>
      <c r="U253" s="5"/>
      <c r="V253" s="5"/>
      <c r="W253" s="5"/>
    </row>
    <row r="254" spans="1:23" ht="16" x14ac:dyDescent="0.2">
      <c r="A254" s="5"/>
      <c r="B254" s="6"/>
      <c r="C254" s="6"/>
      <c r="D254" s="6"/>
      <c r="E254" s="6"/>
      <c r="F254" s="5"/>
      <c r="G254" s="5"/>
      <c r="H254" s="5"/>
      <c r="I254" s="5"/>
      <c r="J254" s="5"/>
      <c r="K254" s="5"/>
      <c r="L254" s="5"/>
      <c r="M254" s="5"/>
      <c r="N254" s="5"/>
      <c r="O254" s="5"/>
      <c r="P254" s="5"/>
      <c r="Q254" s="5"/>
      <c r="R254" s="5"/>
      <c r="S254" s="5"/>
      <c r="T254" s="5"/>
      <c r="U254" s="5"/>
      <c r="V254" s="5"/>
      <c r="W254" s="5"/>
    </row>
    <row r="255" spans="1:23" ht="16" x14ac:dyDescent="0.2">
      <c r="A255" s="5"/>
      <c r="B255" s="6"/>
      <c r="C255" s="6"/>
      <c r="D255" s="6"/>
      <c r="E255" s="6"/>
      <c r="F255" s="5"/>
      <c r="G255" s="5"/>
      <c r="H255" s="5"/>
      <c r="I255" s="5"/>
      <c r="J255" s="5"/>
      <c r="K255" s="5"/>
      <c r="L255" s="5"/>
      <c r="M255" s="5"/>
      <c r="N255" s="5"/>
      <c r="O255" s="5"/>
      <c r="P255" s="5"/>
      <c r="Q255" s="5"/>
      <c r="R255" s="5"/>
      <c r="S255" s="5"/>
      <c r="T255" s="5"/>
      <c r="U255" s="5"/>
      <c r="V255" s="5"/>
      <c r="W255" s="5"/>
    </row>
    <row r="256" spans="1:23" ht="16" x14ac:dyDescent="0.2">
      <c r="A256" s="5"/>
      <c r="B256" s="6"/>
      <c r="C256" s="6"/>
      <c r="D256" s="6"/>
      <c r="E256" s="6"/>
      <c r="F256" s="5"/>
      <c r="G256" s="5"/>
      <c r="H256" s="5"/>
      <c r="I256" s="5"/>
      <c r="J256" s="5"/>
      <c r="K256" s="5"/>
      <c r="L256" s="5"/>
      <c r="M256" s="5"/>
      <c r="N256" s="5"/>
      <c r="O256" s="5"/>
      <c r="P256" s="5"/>
      <c r="Q256" s="5"/>
      <c r="R256" s="5"/>
      <c r="S256" s="5"/>
      <c r="T256" s="5"/>
      <c r="U256" s="5"/>
      <c r="V256" s="5"/>
      <c r="W256" s="5"/>
    </row>
    <row r="257" spans="1:23" ht="16" x14ac:dyDescent="0.2">
      <c r="A257" s="5"/>
      <c r="B257" s="6"/>
      <c r="C257" s="6"/>
      <c r="D257" s="6"/>
      <c r="E257" s="6"/>
      <c r="F257" s="5"/>
      <c r="G257" s="5"/>
      <c r="H257" s="5"/>
      <c r="I257" s="5"/>
      <c r="J257" s="5"/>
      <c r="K257" s="5"/>
      <c r="L257" s="5"/>
      <c r="M257" s="5"/>
      <c r="N257" s="5"/>
      <c r="O257" s="5"/>
      <c r="P257" s="5"/>
      <c r="Q257" s="5"/>
      <c r="R257" s="5"/>
      <c r="S257" s="5"/>
      <c r="T257" s="5"/>
      <c r="U257" s="5"/>
      <c r="V257" s="5"/>
      <c r="W257" s="5"/>
    </row>
    <row r="258" spans="1:23" ht="16" x14ac:dyDescent="0.2">
      <c r="A258" s="5"/>
      <c r="B258" s="6"/>
      <c r="C258" s="6"/>
      <c r="D258" s="6"/>
      <c r="E258" s="6"/>
      <c r="F258" s="5"/>
      <c r="G258" s="5"/>
      <c r="H258" s="5"/>
      <c r="I258" s="5"/>
      <c r="J258" s="5"/>
      <c r="K258" s="5"/>
      <c r="L258" s="5"/>
      <c r="M258" s="5"/>
      <c r="N258" s="5"/>
      <c r="O258" s="5"/>
      <c r="P258" s="5"/>
      <c r="Q258" s="5"/>
      <c r="R258" s="5"/>
      <c r="S258" s="5"/>
      <c r="T258" s="5"/>
      <c r="U258" s="5"/>
      <c r="V258" s="5"/>
      <c r="W258" s="5"/>
    </row>
    <row r="259" spans="1:23" ht="16" x14ac:dyDescent="0.2">
      <c r="A259" s="5"/>
      <c r="B259" s="6"/>
      <c r="C259" s="6"/>
      <c r="D259" s="6"/>
      <c r="E259" s="6"/>
      <c r="F259" s="5"/>
      <c r="G259" s="5"/>
      <c r="H259" s="5"/>
      <c r="I259" s="5"/>
      <c r="J259" s="5"/>
      <c r="K259" s="5"/>
      <c r="L259" s="5"/>
      <c r="M259" s="5"/>
      <c r="N259" s="5"/>
      <c r="O259" s="5"/>
      <c r="P259" s="5"/>
      <c r="Q259" s="5"/>
      <c r="R259" s="5"/>
      <c r="S259" s="5"/>
      <c r="T259" s="5"/>
      <c r="U259" s="5"/>
      <c r="V259" s="5"/>
      <c r="W259" s="5"/>
    </row>
    <row r="260" spans="1:23" ht="16" x14ac:dyDescent="0.2">
      <c r="A260" s="5"/>
      <c r="B260" s="6"/>
      <c r="C260" s="6"/>
      <c r="D260" s="6"/>
      <c r="E260" s="6"/>
      <c r="F260" s="5"/>
      <c r="G260" s="5"/>
      <c r="H260" s="5"/>
      <c r="I260" s="5"/>
      <c r="J260" s="5"/>
      <c r="K260" s="5"/>
      <c r="L260" s="5"/>
      <c r="M260" s="5"/>
      <c r="N260" s="5"/>
      <c r="O260" s="5"/>
      <c r="P260" s="5"/>
      <c r="Q260" s="5"/>
      <c r="R260" s="5"/>
      <c r="S260" s="5"/>
      <c r="T260" s="5"/>
      <c r="U260" s="5"/>
      <c r="V260" s="5"/>
      <c r="W260" s="5"/>
    </row>
    <row r="261" spans="1:23" ht="16" x14ac:dyDescent="0.2">
      <c r="A261" s="5"/>
      <c r="B261" s="6"/>
      <c r="C261" s="6"/>
      <c r="D261" s="6"/>
      <c r="E261" s="6"/>
      <c r="F261" s="5"/>
      <c r="G261" s="5"/>
      <c r="H261" s="5"/>
      <c r="I261" s="5"/>
      <c r="J261" s="5"/>
      <c r="K261" s="5"/>
      <c r="L261" s="5"/>
      <c r="M261" s="5"/>
      <c r="N261" s="5"/>
      <c r="O261" s="5"/>
      <c r="P261" s="5"/>
      <c r="Q261" s="5"/>
      <c r="R261" s="5"/>
      <c r="S261" s="5"/>
      <c r="T261" s="5"/>
      <c r="U261" s="5"/>
      <c r="V261" s="5"/>
      <c r="W261" s="5"/>
    </row>
    <row r="262" spans="1:23" ht="16" x14ac:dyDescent="0.2">
      <c r="A262" s="5"/>
      <c r="B262" s="6"/>
      <c r="C262" s="6"/>
      <c r="D262" s="6"/>
      <c r="E262" s="6"/>
      <c r="F262" s="5"/>
      <c r="G262" s="5"/>
      <c r="H262" s="5"/>
      <c r="I262" s="5"/>
      <c r="J262" s="5"/>
      <c r="K262" s="5"/>
      <c r="L262" s="5"/>
      <c r="M262" s="5"/>
      <c r="N262" s="5"/>
      <c r="O262" s="5"/>
      <c r="P262" s="5"/>
      <c r="Q262" s="5"/>
      <c r="R262" s="5"/>
      <c r="S262" s="5"/>
      <c r="T262" s="5"/>
      <c r="U262" s="5"/>
      <c r="V262" s="5"/>
      <c r="W262" s="5"/>
    </row>
    <row r="263" spans="1:23" ht="16" x14ac:dyDescent="0.2">
      <c r="A263" s="5"/>
      <c r="B263" s="6"/>
      <c r="C263" s="6"/>
      <c r="D263" s="6"/>
      <c r="E263" s="6"/>
      <c r="F263" s="5"/>
      <c r="G263" s="5"/>
      <c r="H263" s="5"/>
      <c r="I263" s="5"/>
      <c r="J263" s="5"/>
      <c r="K263" s="5"/>
      <c r="L263" s="5"/>
      <c r="M263" s="5"/>
      <c r="N263" s="5"/>
      <c r="O263" s="5"/>
      <c r="P263" s="5"/>
      <c r="Q263" s="5"/>
      <c r="R263" s="5"/>
      <c r="S263" s="5"/>
      <c r="T263" s="5"/>
      <c r="U263" s="5"/>
      <c r="V263" s="5"/>
      <c r="W263" s="5"/>
    </row>
    <row r="264" spans="1:23" ht="16" x14ac:dyDescent="0.2">
      <c r="A264" s="5"/>
      <c r="B264" s="6"/>
      <c r="C264" s="6"/>
      <c r="D264" s="6"/>
      <c r="E264" s="6"/>
      <c r="F264" s="5"/>
      <c r="G264" s="5"/>
      <c r="H264" s="5"/>
      <c r="I264" s="5"/>
      <c r="J264" s="5"/>
      <c r="K264" s="5"/>
      <c r="L264" s="5"/>
      <c r="M264" s="5"/>
      <c r="N264" s="5"/>
      <c r="O264" s="5"/>
      <c r="P264" s="5"/>
      <c r="Q264" s="5"/>
      <c r="R264" s="5"/>
      <c r="S264" s="5"/>
      <c r="T264" s="5"/>
      <c r="U264" s="5"/>
      <c r="V264" s="5"/>
      <c r="W264" s="5"/>
    </row>
    <row r="265" spans="1:23" ht="16" x14ac:dyDescent="0.2">
      <c r="A265" s="5"/>
      <c r="B265" s="6"/>
      <c r="C265" s="6"/>
      <c r="D265" s="6"/>
      <c r="E265" s="6"/>
      <c r="F265" s="5"/>
      <c r="G265" s="5"/>
      <c r="H265" s="5"/>
      <c r="I265" s="5"/>
      <c r="J265" s="5"/>
      <c r="K265" s="5"/>
      <c r="L265" s="5"/>
      <c r="M265" s="5"/>
      <c r="N265" s="5"/>
      <c r="O265" s="5"/>
      <c r="P265" s="5"/>
      <c r="Q265" s="5"/>
      <c r="R265" s="5"/>
      <c r="S265" s="5"/>
      <c r="T265" s="5"/>
      <c r="U265" s="5"/>
      <c r="V265" s="5"/>
      <c r="W265" s="5"/>
    </row>
    <row r="266" spans="1:23" ht="16" x14ac:dyDescent="0.2">
      <c r="A266" s="5"/>
      <c r="B266" s="6"/>
      <c r="C266" s="6"/>
      <c r="D266" s="6"/>
      <c r="E266" s="6"/>
      <c r="F266" s="5"/>
      <c r="G266" s="5"/>
      <c r="H266" s="5"/>
      <c r="I266" s="5"/>
      <c r="J266" s="5"/>
      <c r="K266" s="5"/>
      <c r="L266" s="5"/>
      <c r="M266" s="5"/>
      <c r="N266" s="5"/>
      <c r="O266" s="5"/>
      <c r="P266" s="5"/>
      <c r="Q266" s="5"/>
      <c r="R266" s="5"/>
      <c r="S266" s="5"/>
      <c r="T266" s="5"/>
      <c r="U266" s="5"/>
      <c r="V266" s="5"/>
      <c r="W266" s="5"/>
    </row>
    <row r="267" spans="1:23" ht="16" x14ac:dyDescent="0.2">
      <c r="A267" s="5"/>
      <c r="B267" s="6"/>
      <c r="C267" s="6"/>
      <c r="D267" s="6"/>
      <c r="E267" s="6"/>
      <c r="F267" s="5"/>
      <c r="G267" s="5"/>
      <c r="H267" s="5"/>
      <c r="I267" s="5"/>
      <c r="J267" s="5"/>
      <c r="K267" s="5"/>
      <c r="L267" s="5"/>
      <c r="M267" s="5"/>
      <c r="N267" s="5"/>
      <c r="O267" s="5"/>
      <c r="P267" s="5"/>
      <c r="Q267" s="5"/>
      <c r="R267" s="5"/>
      <c r="S267" s="5"/>
      <c r="T267" s="5"/>
      <c r="U267" s="5"/>
      <c r="V267" s="5"/>
      <c r="W267" s="5"/>
    </row>
    <row r="268" spans="1:23" ht="16" x14ac:dyDescent="0.2">
      <c r="A268" s="5"/>
      <c r="B268" s="6"/>
      <c r="C268" s="6"/>
      <c r="D268" s="6"/>
      <c r="E268" s="6"/>
      <c r="F268" s="5"/>
      <c r="G268" s="5"/>
      <c r="H268" s="5"/>
      <c r="I268" s="5"/>
      <c r="J268" s="5"/>
      <c r="K268" s="5"/>
      <c r="L268" s="5"/>
      <c r="M268" s="5"/>
      <c r="N268" s="5"/>
      <c r="O268" s="5"/>
      <c r="P268" s="5"/>
      <c r="Q268" s="5"/>
      <c r="R268" s="5"/>
      <c r="S268" s="5"/>
      <c r="T268" s="5"/>
      <c r="U268" s="5"/>
      <c r="V268" s="5"/>
      <c r="W268" s="5"/>
    </row>
    <row r="269" spans="1:23" ht="16" x14ac:dyDescent="0.2">
      <c r="A269" s="5"/>
      <c r="B269" s="6"/>
      <c r="C269" s="6"/>
      <c r="D269" s="6"/>
      <c r="E269" s="6"/>
      <c r="F269" s="5"/>
      <c r="G269" s="5"/>
      <c r="H269" s="5"/>
      <c r="I269" s="5"/>
      <c r="J269" s="5"/>
      <c r="K269" s="5"/>
      <c r="L269" s="5"/>
      <c r="M269" s="5"/>
      <c r="N269" s="5"/>
      <c r="O269" s="5"/>
      <c r="P269" s="5"/>
      <c r="Q269" s="5"/>
      <c r="R269" s="5"/>
      <c r="S269" s="5"/>
      <c r="T269" s="5"/>
      <c r="U269" s="5"/>
      <c r="V269" s="5"/>
      <c r="W269" s="5"/>
    </row>
    <row r="270" spans="1:23" ht="16" x14ac:dyDescent="0.2">
      <c r="A270" s="5"/>
      <c r="B270" s="6"/>
      <c r="C270" s="6"/>
      <c r="D270" s="6"/>
      <c r="E270" s="6"/>
      <c r="F270" s="5"/>
      <c r="G270" s="5"/>
      <c r="H270" s="5"/>
      <c r="I270" s="5"/>
      <c r="J270" s="5"/>
      <c r="K270" s="5"/>
      <c r="L270" s="5"/>
      <c r="M270" s="5"/>
      <c r="N270" s="5"/>
      <c r="O270" s="5"/>
      <c r="P270" s="5"/>
      <c r="Q270" s="5"/>
      <c r="R270" s="5"/>
      <c r="S270" s="5"/>
      <c r="T270" s="5"/>
      <c r="U270" s="5"/>
      <c r="V270" s="5"/>
      <c r="W270" s="5"/>
    </row>
    <row r="271" spans="1:23" ht="16" x14ac:dyDescent="0.2">
      <c r="A271" s="5"/>
      <c r="B271" s="6"/>
      <c r="C271" s="6"/>
      <c r="D271" s="6"/>
      <c r="E271" s="6"/>
      <c r="F271" s="5"/>
      <c r="G271" s="5"/>
      <c r="H271" s="5"/>
      <c r="I271" s="5"/>
      <c r="J271" s="5"/>
      <c r="K271" s="5"/>
      <c r="L271" s="5"/>
      <c r="M271" s="5"/>
      <c r="N271" s="5"/>
      <c r="O271" s="5"/>
      <c r="P271" s="5"/>
      <c r="Q271" s="5"/>
      <c r="R271" s="5"/>
      <c r="S271" s="5"/>
      <c r="T271" s="5"/>
      <c r="U271" s="5"/>
      <c r="V271" s="5"/>
      <c r="W271" s="5"/>
    </row>
    <row r="272" spans="1:23" ht="16" x14ac:dyDescent="0.2">
      <c r="A272" s="5"/>
      <c r="B272" s="6"/>
      <c r="C272" s="6"/>
      <c r="D272" s="6"/>
      <c r="E272" s="6"/>
      <c r="F272" s="5"/>
      <c r="G272" s="5"/>
      <c r="H272" s="5"/>
      <c r="I272" s="5"/>
      <c r="J272" s="5"/>
      <c r="K272" s="5"/>
      <c r="L272" s="5"/>
      <c r="M272" s="5"/>
      <c r="N272" s="5"/>
      <c r="O272" s="5"/>
      <c r="P272" s="5"/>
      <c r="Q272" s="5"/>
      <c r="R272" s="5"/>
      <c r="S272" s="5"/>
      <c r="T272" s="5"/>
      <c r="U272" s="5"/>
      <c r="V272" s="5"/>
      <c r="W272" s="5"/>
    </row>
    <row r="273" spans="1:23" ht="16" x14ac:dyDescent="0.2">
      <c r="A273" s="5"/>
      <c r="B273" s="6"/>
      <c r="C273" s="6"/>
      <c r="D273" s="6"/>
      <c r="E273" s="6"/>
      <c r="F273" s="5"/>
      <c r="G273" s="5"/>
      <c r="H273" s="5"/>
      <c r="I273" s="5"/>
      <c r="J273" s="5"/>
      <c r="K273" s="5"/>
      <c r="L273" s="5"/>
      <c r="M273" s="5"/>
      <c r="N273" s="5"/>
      <c r="O273" s="5"/>
      <c r="P273" s="5"/>
      <c r="Q273" s="5"/>
      <c r="R273" s="5"/>
      <c r="S273" s="5"/>
      <c r="T273" s="5"/>
      <c r="U273" s="5"/>
      <c r="V273" s="5"/>
      <c r="W273" s="5"/>
    </row>
    <row r="274" spans="1:23" ht="16" x14ac:dyDescent="0.2">
      <c r="A274" s="5"/>
      <c r="B274" s="6"/>
      <c r="C274" s="6"/>
      <c r="D274" s="6"/>
      <c r="E274" s="6"/>
      <c r="F274" s="5"/>
      <c r="G274" s="5"/>
      <c r="H274" s="5"/>
      <c r="I274" s="5"/>
      <c r="J274" s="5"/>
      <c r="K274" s="5"/>
      <c r="L274" s="5"/>
      <c r="M274" s="5"/>
      <c r="N274" s="5"/>
      <c r="O274" s="5"/>
      <c r="P274" s="5"/>
      <c r="Q274" s="5"/>
      <c r="R274" s="5"/>
      <c r="S274" s="5"/>
      <c r="T274" s="5"/>
      <c r="U274" s="5"/>
      <c r="V274" s="5"/>
      <c r="W274" s="5"/>
    </row>
    <row r="275" spans="1:23" ht="16" x14ac:dyDescent="0.2">
      <c r="A275" s="5"/>
      <c r="B275" s="6"/>
      <c r="C275" s="6"/>
      <c r="D275" s="6"/>
      <c r="E275" s="6"/>
      <c r="F275" s="5"/>
      <c r="G275" s="5"/>
      <c r="H275" s="5"/>
      <c r="I275" s="5"/>
      <c r="J275" s="5"/>
      <c r="K275" s="5"/>
      <c r="L275" s="5"/>
      <c r="M275" s="5"/>
      <c r="N275" s="5"/>
      <c r="O275" s="5"/>
      <c r="P275" s="5"/>
      <c r="Q275" s="5"/>
      <c r="R275" s="5"/>
      <c r="S275" s="5"/>
      <c r="T275" s="5"/>
      <c r="U275" s="5"/>
      <c r="V275" s="5"/>
      <c r="W275" s="5"/>
    </row>
    <row r="276" spans="1:23" ht="16" x14ac:dyDescent="0.2">
      <c r="A276" s="5"/>
      <c r="B276" s="6"/>
      <c r="C276" s="6"/>
      <c r="D276" s="6"/>
      <c r="E276" s="6"/>
      <c r="F276" s="5"/>
      <c r="G276" s="5"/>
      <c r="H276" s="5"/>
      <c r="I276" s="5"/>
      <c r="J276" s="5"/>
      <c r="K276" s="5"/>
      <c r="L276" s="5"/>
      <c r="M276" s="5"/>
      <c r="N276" s="5"/>
      <c r="O276" s="5"/>
      <c r="P276" s="5"/>
      <c r="Q276" s="5"/>
      <c r="R276" s="5"/>
      <c r="S276" s="5"/>
      <c r="T276" s="5"/>
      <c r="U276" s="5"/>
      <c r="V276" s="5"/>
      <c r="W276" s="5"/>
    </row>
    <row r="277" spans="1:23" ht="16" x14ac:dyDescent="0.2">
      <c r="A277" s="5"/>
      <c r="B277" s="6"/>
      <c r="C277" s="6"/>
      <c r="D277" s="6"/>
      <c r="E277" s="6"/>
      <c r="F277" s="5"/>
      <c r="G277" s="5"/>
      <c r="H277" s="5"/>
      <c r="I277" s="5"/>
      <c r="J277" s="5"/>
      <c r="K277" s="5"/>
      <c r="L277" s="5"/>
      <c r="M277" s="5"/>
      <c r="N277" s="5"/>
      <c r="O277" s="5"/>
      <c r="P277" s="5"/>
      <c r="Q277" s="5"/>
      <c r="R277" s="5"/>
      <c r="S277" s="5"/>
      <c r="T277" s="5"/>
      <c r="U277" s="5"/>
      <c r="V277" s="5"/>
      <c r="W277" s="5"/>
    </row>
    <row r="278" spans="1:23" ht="16" x14ac:dyDescent="0.2">
      <c r="A278" s="5"/>
      <c r="B278" s="6"/>
      <c r="C278" s="6"/>
      <c r="D278" s="6"/>
      <c r="E278" s="6"/>
      <c r="F278" s="5"/>
      <c r="G278" s="5"/>
      <c r="H278" s="5"/>
      <c r="I278" s="5"/>
      <c r="J278" s="5"/>
      <c r="K278" s="5"/>
      <c r="L278" s="5"/>
      <c r="M278" s="5"/>
      <c r="N278" s="5"/>
      <c r="O278" s="5"/>
      <c r="P278" s="5"/>
      <c r="Q278" s="5"/>
      <c r="R278" s="5"/>
      <c r="S278" s="5"/>
      <c r="T278" s="5"/>
      <c r="U278" s="5"/>
      <c r="V278" s="5"/>
      <c r="W278" s="5"/>
    </row>
    <row r="279" spans="1:23" ht="16" x14ac:dyDescent="0.2">
      <c r="A279" s="5"/>
      <c r="B279" s="6"/>
      <c r="C279" s="6"/>
      <c r="D279" s="6"/>
      <c r="E279" s="6"/>
      <c r="F279" s="5"/>
      <c r="G279" s="5"/>
      <c r="H279" s="5"/>
      <c r="I279" s="5"/>
      <c r="J279" s="5"/>
      <c r="K279" s="5"/>
      <c r="L279" s="5"/>
      <c r="M279" s="5"/>
      <c r="N279" s="5"/>
      <c r="O279" s="5"/>
      <c r="P279" s="5"/>
      <c r="Q279" s="5"/>
      <c r="R279" s="5"/>
      <c r="S279" s="5"/>
      <c r="T279" s="5"/>
      <c r="U279" s="5"/>
      <c r="V279" s="5"/>
      <c r="W279" s="5"/>
    </row>
    <row r="280" spans="1:23" ht="16" x14ac:dyDescent="0.2">
      <c r="A280" s="5"/>
      <c r="B280" s="6"/>
      <c r="C280" s="6"/>
      <c r="D280" s="6"/>
      <c r="E280" s="6"/>
      <c r="F280" s="5"/>
      <c r="G280" s="5"/>
      <c r="H280" s="5"/>
      <c r="I280" s="5"/>
      <c r="J280" s="5"/>
      <c r="K280" s="5"/>
      <c r="L280" s="5"/>
      <c r="M280" s="5"/>
      <c r="N280" s="5"/>
      <c r="O280" s="5"/>
      <c r="P280" s="5"/>
      <c r="Q280" s="5"/>
      <c r="R280" s="5"/>
      <c r="S280" s="5"/>
      <c r="T280" s="5"/>
      <c r="U280" s="5"/>
      <c r="V280" s="5"/>
      <c r="W280" s="5"/>
    </row>
    <row r="281" spans="1:23" ht="16" x14ac:dyDescent="0.2">
      <c r="A281" s="5"/>
      <c r="B281" s="6"/>
      <c r="C281" s="6"/>
      <c r="D281" s="6"/>
      <c r="E281" s="6"/>
      <c r="F281" s="5"/>
      <c r="G281" s="5"/>
      <c r="H281" s="5"/>
      <c r="I281" s="5"/>
      <c r="J281" s="5"/>
      <c r="K281" s="5"/>
      <c r="L281" s="5"/>
      <c r="M281" s="5"/>
      <c r="N281" s="5"/>
      <c r="O281" s="5"/>
      <c r="P281" s="5"/>
      <c r="Q281" s="5"/>
      <c r="R281" s="5"/>
      <c r="S281" s="5"/>
      <c r="T281" s="5"/>
      <c r="U281" s="5"/>
      <c r="V281" s="5"/>
      <c r="W281" s="5"/>
    </row>
    <row r="282" spans="1:23" ht="16" x14ac:dyDescent="0.2">
      <c r="A282" s="5"/>
      <c r="B282" s="6"/>
      <c r="C282" s="6"/>
      <c r="D282" s="6"/>
      <c r="E282" s="6"/>
      <c r="F282" s="5"/>
      <c r="G282" s="5"/>
      <c r="H282" s="5"/>
      <c r="I282" s="5"/>
      <c r="J282" s="5"/>
      <c r="K282" s="5"/>
      <c r="L282" s="5"/>
      <c r="M282" s="5"/>
      <c r="N282" s="5"/>
      <c r="O282" s="5"/>
      <c r="P282" s="5"/>
      <c r="Q282" s="5"/>
      <c r="R282" s="5"/>
      <c r="S282" s="5"/>
      <c r="T282" s="5"/>
      <c r="U282" s="5"/>
      <c r="V282" s="5"/>
      <c r="W282" s="5"/>
    </row>
    <row r="283" spans="1:23" ht="16" x14ac:dyDescent="0.2">
      <c r="A283" s="5"/>
      <c r="B283" s="6"/>
      <c r="C283" s="6"/>
      <c r="D283" s="6"/>
      <c r="E283" s="6"/>
      <c r="F283" s="5"/>
      <c r="G283" s="5"/>
      <c r="H283" s="5"/>
      <c r="I283" s="5"/>
      <c r="J283" s="5"/>
      <c r="K283" s="5"/>
      <c r="L283" s="5"/>
      <c r="M283" s="5"/>
      <c r="N283" s="5"/>
      <c r="O283" s="5"/>
      <c r="P283" s="5"/>
      <c r="Q283" s="5"/>
      <c r="R283" s="5"/>
      <c r="S283" s="5"/>
      <c r="T283" s="5"/>
      <c r="U283" s="5"/>
      <c r="V283" s="5"/>
      <c r="W283" s="5"/>
    </row>
    <row r="284" spans="1:23" ht="16" x14ac:dyDescent="0.2">
      <c r="A284" s="5"/>
      <c r="B284" s="6"/>
      <c r="C284" s="6"/>
      <c r="D284" s="6"/>
      <c r="E284" s="6"/>
      <c r="F284" s="5"/>
      <c r="G284" s="5"/>
      <c r="H284" s="5"/>
      <c r="I284" s="5"/>
      <c r="J284" s="5"/>
      <c r="K284" s="5"/>
      <c r="L284" s="5"/>
      <c r="M284" s="5"/>
      <c r="N284" s="5"/>
      <c r="O284" s="5"/>
      <c r="P284" s="5"/>
      <c r="Q284" s="5"/>
      <c r="R284" s="5"/>
      <c r="S284" s="5"/>
      <c r="T284" s="5"/>
      <c r="U284" s="5"/>
      <c r="V284" s="5"/>
      <c r="W284" s="5"/>
    </row>
    <row r="285" spans="1:23" ht="16" x14ac:dyDescent="0.2">
      <c r="A285" s="5"/>
      <c r="B285" s="6"/>
      <c r="C285" s="6"/>
      <c r="D285" s="6"/>
      <c r="E285" s="6"/>
      <c r="F285" s="5"/>
      <c r="G285" s="5"/>
      <c r="H285" s="5"/>
      <c r="I285" s="5"/>
      <c r="J285" s="5"/>
      <c r="K285" s="5"/>
      <c r="L285" s="5"/>
      <c r="M285" s="5"/>
      <c r="N285" s="5"/>
      <c r="O285" s="5"/>
      <c r="P285" s="5"/>
      <c r="Q285" s="5"/>
      <c r="R285" s="5"/>
      <c r="S285" s="5"/>
      <c r="T285" s="5"/>
      <c r="U285" s="5"/>
      <c r="V285" s="5"/>
      <c r="W285" s="5"/>
    </row>
    <row r="286" spans="1:23" ht="16" x14ac:dyDescent="0.2">
      <c r="A286" s="5"/>
      <c r="B286" s="6"/>
      <c r="C286" s="6"/>
      <c r="D286" s="6"/>
      <c r="E286" s="6"/>
      <c r="F286" s="5"/>
      <c r="G286" s="5"/>
      <c r="H286" s="5"/>
      <c r="I286" s="5"/>
      <c r="J286" s="5"/>
      <c r="K286" s="5"/>
      <c r="L286" s="5"/>
      <c r="M286" s="5"/>
      <c r="N286" s="5"/>
      <c r="O286" s="5"/>
      <c r="P286" s="5"/>
      <c r="Q286" s="5"/>
      <c r="R286" s="5"/>
      <c r="S286" s="5"/>
      <c r="T286" s="5"/>
      <c r="U286" s="5"/>
      <c r="V286" s="5"/>
      <c r="W286" s="5"/>
    </row>
    <row r="287" spans="1:23" ht="16" x14ac:dyDescent="0.2">
      <c r="A287" s="5"/>
      <c r="B287" s="6"/>
      <c r="C287" s="6"/>
      <c r="D287" s="6"/>
      <c r="E287" s="6"/>
      <c r="F287" s="5"/>
      <c r="G287" s="5"/>
      <c r="H287" s="5"/>
      <c r="I287" s="5"/>
      <c r="J287" s="5"/>
      <c r="K287" s="5"/>
      <c r="L287" s="5"/>
      <c r="M287" s="5"/>
      <c r="N287" s="5"/>
      <c r="O287" s="5"/>
      <c r="P287" s="5"/>
      <c r="Q287" s="5"/>
      <c r="R287" s="5"/>
      <c r="S287" s="5"/>
      <c r="T287" s="5"/>
      <c r="U287" s="5"/>
      <c r="V287" s="5"/>
      <c r="W287" s="5"/>
    </row>
    <row r="288" spans="1:23" ht="16" x14ac:dyDescent="0.2">
      <c r="A288" s="5"/>
      <c r="B288" s="6"/>
      <c r="C288" s="6"/>
      <c r="D288" s="6"/>
      <c r="E288" s="6"/>
      <c r="F288" s="5"/>
      <c r="G288" s="5"/>
      <c r="H288" s="5"/>
      <c r="I288" s="5"/>
      <c r="J288" s="5"/>
      <c r="K288" s="5"/>
      <c r="L288" s="5"/>
      <c r="M288" s="5"/>
      <c r="N288" s="5"/>
      <c r="O288" s="5"/>
      <c r="P288" s="5"/>
      <c r="Q288" s="5"/>
      <c r="R288" s="5"/>
      <c r="S288" s="5"/>
      <c r="T288" s="5"/>
      <c r="U288" s="5"/>
      <c r="V288" s="5"/>
      <c r="W288" s="5"/>
    </row>
    <row r="289" spans="1:23" ht="16" x14ac:dyDescent="0.2">
      <c r="A289" s="5"/>
      <c r="B289" s="6"/>
      <c r="C289" s="6"/>
      <c r="D289" s="6"/>
      <c r="E289" s="6"/>
      <c r="F289" s="5"/>
      <c r="G289" s="5"/>
      <c r="H289" s="5"/>
      <c r="I289" s="5"/>
      <c r="J289" s="5"/>
      <c r="K289" s="5"/>
      <c r="L289" s="5"/>
      <c r="M289" s="5"/>
      <c r="N289" s="5"/>
      <c r="O289" s="5"/>
      <c r="P289" s="5"/>
      <c r="Q289" s="5"/>
      <c r="R289" s="5"/>
      <c r="S289" s="5"/>
      <c r="T289" s="5"/>
      <c r="U289" s="5"/>
      <c r="V289" s="5"/>
      <c r="W289" s="5"/>
    </row>
    <row r="290" spans="1:23" ht="16" x14ac:dyDescent="0.2">
      <c r="A290" s="5"/>
      <c r="B290" s="6"/>
      <c r="C290" s="6"/>
      <c r="D290" s="6"/>
      <c r="E290" s="6"/>
      <c r="F290" s="5"/>
      <c r="G290" s="5"/>
      <c r="H290" s="5"/>
      <c r="I290" s="5"/>
      <c r="J290" s="5"/>
      <c r="K290" s="5"/>
      <c r="L290" s="5"/>
      <c r="M290" s="5"/>
      <c r="N290" s="5"/>
      <c r="O290" s="5"/>
      <c r="P290" s="5"/>
      <c r="Q290" s="5"/>
      <c r="R290" s="5"/>
      <c r="S290" s="5"/>
      <c r="T290" s="5"/>
      <c r="U290" s="5"/>
      <c r="V290" s="5"/>
      <c r="W290" s="5"/>
    </row>
    <row r="291" spans="1:23" ht="16" x14ac:dyDescent="0.2">
      <c r="A291" s="5"/>
      <c r="B291" s="6"/>
      <c r="C291" s="6"/>
      <c r="D291" s="6"/>
      <c r="E291" s="6"/>
      <c r="F291" s="5"/>
      <c r="G291" s="5"/>
      <c r="H291" s="5"/>
      <c r="I291" s="5"/>
      <c r="J291" s="5"/>
      <c r="K291" s="5"/>
      <c r="L291" s="5"/>
      <c r="M291" s="5"/>
      <c r="N291" s="5"/>
      <c r="O291" s="5"/>
      <c r="P291" s="5"/>
      <c r="Q291" s="5"/>
      <c r="R291" s="5"/>
      <c r="S291" s="5"/>
      <c r="T291" s="5"/>
      <c r="U291" s="5"/>
      <c r="V291" s="5"/>
      <c r="W291" s="5"/>
    </row>
    <row r="292" spans="1:23" ht="16" x14ac:dyDescent="0.2">
      <c r="A292" s="5"/>
      <c r="B292" s="6"/>
      <c r="C292" s="6"/>
      <c r="D292" s="6"/>
      <c r="E292" s="6"/>
      <c r="F292" s="5"/>
      <c r="G292" s="5"/>
      <c r="H292" s="5"/>
      <c r="I292" s="5"/>
      <c r="J292" s="5"/>
      <c r="K292" s="5"/>
      <c r="L292" s="5"/>
      <c r="M292" s="5"/>
      <c r="N292" s="5"/>
      <c r="O292" s="5"/>
      <c r="P292" s="5"/>
      <c r="Q292" s="5"/>
      <c r="R292" s="5"/>
      <c r="S292" s="5"/>
      <c r="T292" s="5"/>
      <c r="U292" s="5"/>
      <c r="V292" s="5"/>
      <c r="W292" s="5"/>
    </row>
    <row r="293" spans="1:23" ht="16" x14ac:dyDescent="0.2">
      <c r="A293" s="5"/>
      <c r="B293" s="6"/>
      <c r="C293" s="6"/>
      <c r="D293" s="6"/>
      <c r="E293" s="6"/>
      <c r="F293" s="5"/>
      <c r="G293" s="5"/>
      <c r="H293" s="5"/>
      <c r="I293" s="5"/>
      <c r="J293" s="5"/>
      <c r="K293" s="5"/>
      <c r="L293" s="5"/>
      <c r="M293" s="5"/>
      <c r="N293" s="5"/>
      <c r="O293" s="5"/>
      <c r="P293" s="5"/>
      <c r="Q293" s="5"/>
      <c r="R293" s="5"/>
      <c r="S293" s="5"/>
      <c r="T293" s="5"/>
      <c r="U293" s="5"/>
      <c r="V293" s="5"/>
      <c r="W293" s="5"/>
    </row>
    <row r="294" spans="1:23" ht="16" x14ac:dyDescent="0.2">
      <c r="A294" s="5"/>
      <c r="B294" s="6"/>
      <c r="C294" s="6"/>
      <c r="D294" s="6"/>
      <c r="E294" s="6"/>
      <c r="F294" s="5"/>
      <c r="G294" s="5"/>
      <c r="H294" s="5"/>
      <c r="I294" s="5"/>
      <c r="J294" s="5"/>
      <c r="K294" s="5"/>
      <c r="L294" s="5"/>
      <c r="M294" s="5"/>
      <c r="N294" s="5"/>
      <c r="O294" s="5"/>
      <c r="P294" s="5"/>
      <c r="Q294" s="5"/>
      <c r="R294" s="5"/>
      <c r="S294" s="5"/>
      <c r="T294" s="5"/>
      <c r="U294" s="5"/>
      <c r="V294" s="5"/>
      <c r="W294" s="5"/>
    </row>
    <row r="295" spans="1:23" ht="16" x14ac:dyDescent="0.2">
      <c r="A295" s="5"/>
      <c r="B295" s="6"/>
      <c r="C295" s="6"/>
      <c r="D295" s="6"/>
      <c r="E295" s="6"/>
      <c r="F295" s="5"/>
      <c r="G295" s="5"/>
      <c r="H295" s="5"/>
      <c r="I295" s="5"/>
      <c r="J295" s="5"/>
      <c r="K295" s="5"/>
      <c r="L295" s="5"/>
      <c r="M295" s="5"/>
      <c r="N295" s="5"/>
      <c r="O295" s="5"/>
      <c r="P295" s="5"/>
      <c r="Q295" s="5"/>
      <c r="R295" s="5"/>
      <c r="S295" s="5"/>
      <c r="T295" s="5"/>
      <c r="U295" s="5"/>
      <c r="V295" s="5"/>
      <c r="W295" s="5"/>
    </row>
    <row r="296" spans="1:23" ht="16" x14ac:dyDescent="0.2">
      <c r="A296" s="5"/>
      <c r="B296" s="6"/>
      <c r="C296" s="6"/>
      <c r="D296" s="6"/>
      <c r="E296" s="6"/>
      <c r="F296" s="5"/>
      <c r="G296" s="5"/>
      <c r="H296" s="5"/>
      <c r="I296" s="5"/>
      <c r="J296" s="5"/>
      <c r="K296" s="5"/>
      <c r="L296" s="5"/>
      <c r="M296" s="5"/>
      <c r="N296" s="5"/>
      <c r="O296" s="5"/>
      <c r="P296" s="5"/>
      <c r="Q296" s="5"/>
      <c r="R296" s="5"/>
      <c r="S296" s="5"/>
      <c r="T296" s="5"/>
      <c r="U296" s="5"/>
      <c r="V296" s="5"/>
      <c r="W296" s="5"/>
    </row>
    <row r="297" spans="1:23" ht="16" x14ac:dyDescent="0.2">
      <c r="A297" s="5"/>
      <c r="B297" s="6"/>
      <c r="C297" s="6"/>
      <c r="D297" s="6"/>
      <c r="E297" s="6"/>
      <c r="F297" s="5"/>
      <c r="G297" s="5"/>
      <c r="H297" s="5"/>
      <c r="I297" s="5"/>
      <c r="J297" s="5"/>
      <c r="K297" s="5"/>
      <c r="L297" s="5"/>
      <c r="M297" s="5"/>
      <c r="N297" s="5"/>
      <c r="O297" s="5"/>
      <c r="P297" s="5"/>
      <c r="Q297" s="5"/>
      <c r="R297" s="5"/>
      <c r="S297" s="5"/>
      <c r="T297" s="5"/>
      <c r="U297" s="5"/>
      <c r="V297" s="5"/>
      <c r="W297" s="5"/>
    </row>
    <row r="298" spans="1:23" ht="16" x14ac:dyDescent="0.2">
      <c r="A298" s="5"/>
      <c r="B298" s="6"/>
      <c r="C298" s="6"/>
      <c r="D298" s="6"/>
      <c r="E298" s="6"/>
      <c r="F298" s="5"/>
      <c r="G298" s="5"/>
      <c r="H298" s="5"/>
      <c r="I298" s="5"/>
      <c r="J298" s="5"/>
      <c r="K298" s="5"/>
      <c r="L298" s="5"/>
      <c r="M298" s="5"/>
      <c r="N298" s="5"/>
      <c r="O298" s="5"/>
      <c r="P298" s="5"/>
      <c r="Q298" s="5"/>
      <c r="R298" s="5"/>
      <c r="S298" s="5"/>
      <c r="T298" s="5"/>
      <c r="U298" s="5"/>
      <c r="V298" s="5"/>
      <c r="W298" s="5"/>
    </row>
    <row r="299" spans="1:23" ht="16" x14ac:dyDescent="0.2">
      <c r="A299" s="5"/>
      <c r="B299" s="6"/>
      <c r="C299" s="6"/>
      <c r="D299" s="6"/>
      <c r="E299" s="6"/>
      <c r="F299" s="5"/>
      <c r="G299" s="5"/>
      <c r="H299" s="5"/>
      <c r="I299" s="5"/>
      <c r="J299" s="5"/>
      <c r="K299" s="5"/>
      <c r="L299" s="5"/>
      <c r="M299" s="5"/>
      <c r="N299" s="5"/>
      <c r="O299" s="5"/>
      <c r="P299" s="5"/>
      <c r="Q299" s="5"/>
      <c r="R299" s="5"/>
      <c r="S299" s="5"/>
      <c r="T299" s="5"/>
      <c r="U299" s="5"/>
      <c r="V299" s="5"/>
      <c r="W299" s="5"/>
    </row>
    <row r="300" spans="1:23" ht="16" x14ac:dyDescent="0.2">
      <c r="A300" s="5"/>
      <c r="B300" s="6"/>
      <c r="C300" s="6"/>
      <c r="D300" s="6"/>
      <c r="E300" s="6"/>
      <c r="F300" s="5"/>
      <c r="G300" s="5"/>
      <c r="H300" s="5"/>
      <c r="I300" s="5"/>
      <c r="J300" s="5"/>
      <c r="K300" s="5"/>
      <c r="L300" s="5"/>
      <c r="M300" s="5"/>
      <c r="N300" s="5"/>
      <c r="O300" s="5"/>
      <c r="P300" s="5"/>
      <c r="Q300" s="5"/>
      <c r="R300" s="5"/>
      <c r="S300" s="5"/>
      <c r="T300" s="5"/>
      <c r="U300" s="5"/>
      <c r="V300" s="5"/>
      <c r="W300" s="5"/>
    </row>
    <row r="301" spans="1:23" ht="16" x14ac:dyDescent="0.2">
      <c r="A301" s="5"/>
      <c r="B301" s="6"/>
      <c r="C301" s="6"/>
      <c r="D301" s="6"/>
      <c r="E301" s="6"/>
      <c r="F301" s="5"/>
      <c r="G301" s="5"/>
      <c r="H301" s="5"/>
      <c r="I301" s="5"/>
      <c r="J301" s="5"/>
      <c r="K301" s="5"/>
      <c r="L301" s="5"/>
      <c r="M301" s="5"/>
      <c r="N301" s="5"/>
      <c r="O301" s="5"/>
      <c r="P301" s="5"/>
      <c r="Q301" s="5"/>
      <c r="R301" s="5"/>
      <c r="S301" s="5"/>
      <c r="T301" s="5"/>
      <c r="U301" s="5"/>
      <c r="V301" s="5"/>
      <c r="W301" s="5"/>
    </row>
    <row r="302" spans="1:23" ht="16" x14ac:dyDescent="0.2">
      <c r="A302" s="5"/>
      <c r="B302" s="6"/>
      <c r="C302" s="6"/>
      <c r="D302" s="6"/>
      <c r="E302" s="6"/>
      <c r="F302" s="5"/>
      <c r="G302" s="5"/>
      <c r="H302" s="5"/>
      <c r="I302" s="5"/>
      <c r="J302" s="5"/>
      <c r="K302" s="5"/>
      <c r="L302" s="5"/>
      <c r="M302" s="5"/>
      <c r="N302" s="5"/>
      <c r="O302" s="5"/>
      <c r="P302" s="5"/>
      <c r="Q302" s="5"/>
      <c r="R302" s="5"/>
      <c r="S302" s="5"/>
      <c r="T302" s="5"/>
      <c r="U302" s="5"/>
      <c r="V302" s="5"/>
      <c r="W302" s="5"/>
    </row>
    <row r="303" spans="1:23" ht="16" x14ac:dyDescent="0.2">
      <c r="A303" s="5"/>
      <c r="B303" s="6"/>
      <c r="C303" s="6"/>
      <c r="D303" s="6"/>
      <c r="E303" s="6"/>
      <c r="F303" s="5"/>
      <c r="G303" s="5"/>
      <c r="H303" s="5"/>
      <c r="I303" s="5"/>
      <c r="J303" s="5"/>
      <c r="K303" s="5"/>
      <c r="L303" s="5"/>
      <c r="M303" s="5"/>
      <c r="N303" s="5"/>
      <c r="O303" s="5"/>
      <c r="P303" s="5"/>
      <c r="Q303" s="5"/>
      <c r="R303" s="5"/>
      <c r="S303" s="5"/>
      <c r="T303" s="5"/>
      <c r="U303" s="5"/>
      <c r="V303" s="5"/>
      <c r="W303" s="5"/>
    </row>
    <row r="304" spans="1:23" ht="16" x14ac:dyDescent="0.2">
      <c r="A304" s="5"/>
      <c r="B304" s="6"/>
      <c r="C304" s="6"/>
      <c r="D304" s="6"/>
      <c r="E304" s="6"/>
      <c r="F304" s="5"/>
      <c r="G304" s="5"/>
      <c r="H304" s="5"/>
      <c r="I304" s="5"/>
      <c r="J304" s="5"/>
      <c r="K304" s="5"/>
      <c r="L304" s="5"/>
      <c r="M304" s="5"/>
      <c r="N304" s="5"/>
      <c r="O304" s="5"/>
      <c r="P304" s="5"/>
      <c r="Q304" s="5"/>
      <c r="R304" s="5"/>
      <c r="S304" s="5"/>
      <c r="T304" s="5"/>
      <c r="U304" s="5"/>
      <c r="V304" s="5"/>
      <c r="W304" s="5"/>
    </row>
    <row r="305" spans="1:23" ht="16" x14ac:dyDescent="0.2">
      <c r="A305" s="5"/>
      <c r="B305" s="6"/>
      <c r="C305" s="6"/>
      <c r="D305" s="6"/>
      <c r="E305" s="6"/>
      <c r="F305" s="5"/>
      <c r="G305" s="5"/>
      <c r="H305" s="5"/>
      <c r="I305" s="5"/>
      <c r="J305" s="5"/>
      <c r="K305" s="5"/>
      <c r="L305" s="5"/>
      <c r="M305" s="5"/>
      <c r="N305" s="5"/>
      <c r="O305" s="5"/>
      <c r="P305" s="5"/>
      <c r="Q305" s="5"/>
      <c r="R305" s="5"/>
      <c r="S305" s="5"/>
      <c r="T305" s="5"/>
      <c r="U305" s="5"/>
      <c r="V305" s="5"/>
      <c r="W305" s="5"/>
    </row>
    <row r="306" spans="1:23" ht="16" x14ac:dyDescent="0.2">
      <c r="A306" s="5"/>
      <c r="B306" s="6"/>
      <c r="C306" s="6"/>
      <c r="D306" s="6"/>
      <c r="E306" s="6"/>
      <c r="F306" s="5"/>
      <c r="G306" s="5"/>
      <c r="H306" s="5"/>
      <c r="I306" s="5"/>
      <c r="J306" s="5"/>
      <c r="K306" s="5"/>
      <c r="L306" s="5"/>
      <c r="M306" s="5"/>
      <c r="N306" s="5"/>
      <c r="O306" s="5"/>
      <c r="P306" s="5"/>
      <c r="Q306" s="5"/>
      <c r="R306" s="5"/>
      <c r="S306" s="5"/>
      <c r="T306" s="5"/>
      <c r="U306" s="5"/>
      <c r="V306" s="5"/>
      <c r="W306" s="5"/>
    </row>
    <row r="307" spans="1:23" ht="16" x14ac:dyDescent="0.2">
      <c r="A307" s="5"/>
      <c r="B307" s="6"/>
      <c r="C307" s="6"/>
      <c r="D307" s="6"/>
      <c r="E307" s="6"/>
      <c r="F307" s="5"/>
      <c r="G307" s="5"/>
      <c r="H307" s="5"/>
      <c r="I307" s="5"/>
      <c r="J307" s="5"/>
      <c r="K307" s="5"/>
      <c r="L307" s="5"/>
      <c r="M307" s="5"/>
      <c r="N307" s="5"/>
      <c r="O307" s="5"/>
      <c r="P307" s="5"/>
      <c r="Q307" s="5"/>
      <c r="R307" s="5"/>
      <c r="S307" s="5"/>
      <c r="T307" s="5"/>
      <c r="U307" s="5"/>
      <c r="V307" s="5"/>
      <c r="W307" s="5"/>
    </row>
    <row r="308" spans="1:23" ht="16" x14ac:dyDescent="0.2">
      <c r="A308" s="5"/>
      <c r="B308" s="6"/>
      <c r="C308" s="6"/>
      <c r="D308" s="6"/>
      <c r="E308" s="6"/>
      <c r="F308" s="5"/>
      <c r="G308" s="5"/>
      <c r="H308" s="5"/>
      <c r="I308" s="5"/>
      <c r="J308" s="5"/>
      <c r="K308" s="5"/>
      <c r="L308" s="5"/>
      <c r="M308" s="5"/>
      <c r="N308" s="5"/>
      <c r="O308" s="5"/>
      <c r="P308" s="5"/>
      <c r="Q308" s="5"/>
      <c r="R308" s="5"/>
      <c r="S308" s="5"/>
      <c r="T308" s="5"/>
      <c r="U308" s="5"/>
      <c r="V308" s="5"/>
      <c r="W308" s="5"/>
    </row>
    <row r="309" spans="1:23" ht="16" x14ac:dyDescent="0.2">
      <c r="A309" s="5"/>
      <c r="B309" s="6"/>
      <c r="C309" s="6"/>
      <c r="D309" s="6"/>
      <c r="E309" s="6"/>
      <c r="F309" s="5"/>
      <c r="G309" s="5"/>
      <c r="H309" s="5"/>
      <c r="I309" s="5"/>
      <c r="J309" s="5"/>
      <c r="K309" s="5"/>
      <c r="L309" s="5"/>
      <c r="M309" s="5"/>
      <c r="N309" s="5"/>
      <c r="O309" s="5"/>
      <c r="P309" s="5"/>
      <c r="Q309" s="5"/>
      <c r="R309" s="5"/>
      <c r="S309" s="5"/>
      <c r="T309" s="5"/>
      <c r="U309" s="5"/>
      <c r="V309" s="5"/>
      <c r="W309" s="5"/>
    </row>
    <row r="310" spans="1:23" ht="16" x14ac:dyDescent="0.2">
      <c r="A310" s="5"/>
      <c r="B310" s="6"/>
      <c r="C310" s="6"/>
      <c r="D310" s="6"/>
      <c r="E310" s="6"/>
      <c r="F310" s="5"/>
      <c r="G310" s="5"/>
      <c r="H310" s="5"/>
      <c r="I310" s="5"/>
      <c r="J310" s="5"/>
      <c r="K310" s="5"/>
      <c r="L310" s="5"/>
      <c r="M310" s="5"/>
      <c r="N310" s="5"/>
      <c r="O310" s="5"/>
      <c r="P310" s="5"/>
      <c r="Q310" s="5"/>
      <c r="R310" s="5"/>
      <c r="S310" s="5"/>
      <c r="T310" s="5"/>
      <c r="U310" s="5"/>
      <c r="V310" s="5"/>
      <c r="W310" s="5"/>
    </row>
    <row r="311" spans="1:23" ht="16" x14ac:dyDescent="0.2">
      <c r="A311" s="5"/>
      <c r="B311" s="6"/>
      <c r="C311" s="6"/>
      <c r="D311" s="6"/>
      <c r="E311" s="6"/>
      <c r="F311" s="5"/>
      <c r="G311" s="5"/>
      <c r="H311" s="5"/>
      <c r="I311" s="5"/>
      <c r="J311" s="5"/>
      <c r="K311" s="5"/>
      <c r="L311" s="5"/>
      <c r="M311" s="5"/>
      <c r="N311" s="5"/>
      <c r="O311" s="5"/>
      <c r="P311" s="5"/>
      <c r="Q311" s="5"/>
      <c r="R311" s="5"/>
      <c r="S311" s="5"/>
      <c r="T311" s="5"/>
      <c r="U311" s="5"/>
      <c r="V311" s="5"/>
      <c r="W311" s="5"/>
    </row>
    <row r="312" spans="1:23" ht="16" x14ac:dyDescent="0.2">
      <c r="A312" s="5"/>
      <c r="B312" s="6"/>
      <c r="C312" s="6"/>
      <c r="D312" s="6"/>
      <c r="E312" s="6"/>
      <c r="F312" s="5"/>
      <c r="G312" s="5"/>
      <c r="H312" s="5"/>
      <c r="I312" s="5"/>
      <c r="J312" s="5"/>
      <c r="K312" s="5"/>
      <c r="L312" s="5"/>
      <c r="M312" s="5"/>
      <c r="N312" s="5"/>
      <c r="O312" s="5"/>
      <c r="P312" s="5"/>
      <c r="Q312" s="5"/>
      <c r="R312" s="5"/>
      <c r="S312" s="5"/>
      <c r="T312" s="5"/>
      <c r="U312" s="5"/>
      <c r="V312" s="5"/>
      <c r="W312" s="5"/>
    </row>
    <row r="313" spans="1:23" ht="16" x14ac:dyDescent="0.2">
      <c r="A313" s="5"/>
      <c r="B313" s="6"/>
      <c r="C313" s="6"/>
      <c r="D313" s="6"/>
      <c r="E313" s="6"/>
      <c r="F313" s="5"/>
      <c r="G313" s="5"/>
      <c r="H313" s="5"/>
      <c r="I313" s="5"/>
      <c r="J313" s="5"/>
      <c r="K313" s="5"/>
      <c r="L313" s="5"/>
      <c r="M313" s="5"/>
      <c r="N313" s="5"/>
      <c r="O313" s="5"/>
      <c r="P313" s="5"/>
      <c r="Q313" s="5"/>
      <c r="R313" s="5"/>
      <c r="S313" s="5"/>
      <c r="T313" s="5"/>
      <c r="U313" s="5"/>
      <c r="V313" s="5"/>
      <c r="W313" s="5"/>
    </row>
    <row r="314" spans="1:23" ht="16" x14ac:dyDescent="0.2">
      <c r="A314" s="5"/>
      <c r="B314" s="6"/>
      <c r="C314" s="6"/>
      <c r="D314" s="6"/>
      <c r="E314" s="6"/>
      <c r="F314" s="5"/>
      <c r="G314" s="5"/>
      <c r="H314" s="5"/>
      <c r="I314" s="5"/>
      <c r="J314" s="5"/>
      <c r="K314" s="5"/>
      <c r="L314" s="5"/>
      <c r="M314" s="5"/>
      <c r="N314" s="5"/>
      <c r="O314" s="5"/>
      <c r="P314" s="5"/>
      <c r="Q314" s="5"/>
      <c r="R314" s="5"/>
      <c r="S314" s="5"/>
      <c r="T314" s="5"/>
      <c r="U314" s="5"/>
      <c r="V314" s="5"/>
      <c r="W314" s="5"/>
    </row>
    <row r="315" spans="1:23" ht="16" x14ac:dyDescent="0.2">
      <c r="A315" s="5"/>
      <c r="B315" s="6"/>
      <c r="C315" s="6"/>
      <c r="D315" s="6"/>
      <c r="E315" s="6"/>
      <c r="F315" s="5"/>
      <c r="G315" s="5"/>
      <c r="H315" s="5"/>
      <c r="I315" s="5"/>
      <c r="J315" s="5"/>
      <c r="K315" s="5"/>
      <c r="L315" s="5"/>
      <c r="M315" s="5"/>
      <c r="N315" s="5"/>
      <c r="O315" s="5"/>
      <c r="P315" s="5"/>
      <c r="Q315" s="5"/>
      <c r="R315" s="5"/>
      <c r="S315" s="5"/>
      <c r="T315" s="5"/>
      <c r="U315" s="5"/>
      <c r="V315" s="5"/>
      <c r="W315" s="5"/>
    </row>
    <row r="316" spans="1:23" ht="16" x14ac:dyDescent="0.2">
      <c r="A316" s="5"/>
      <c r="B316" s="6"/>
      <c r="C316" s="6"/>
      <c r="D316" s="6"/>
      <c r="E316" s="6"/>
      <c r="F316" s="5"/>
      <c r="G316" s="5"/>
      <c r="H316" s="5"/>
      <c r="I316" s="5"/>
      <c r="J316" s="5"/>
      <c r="K316" s="5"/>
      <c r="L316" s="5"/>
      <c r="M316" s="5"/>
      <c r="N316" s="5"/>
      <c r="O316" s="5"/>
      <c r="P316" s="5"/>
      <c r="Q316" s="5"/>
      <c r="R316" s="5"/>
      <c r="S316" s="5"/>
      <c r="T316" s="5"/>
      <c r="U316" s="5"/>
      <c r="V316" s="5"/>
      <c r="W316" s="5"/>
    </row>
    <row r="317" spans="1:23" ht="16" x14ac:dyDescent="0.2">
      <c r="A317" s="5"/>
      <c r="B317" s="6"/>
      <c r="C317" s="6"/>
      <c r="D317" s="6"/>
      <c r="E317" s="6"/>
      <c r="F317" s="5"/>
      <c r="G317" s="5"/>
      <c r="H317" s="5"/>
      <c r="I317" s="5"/>
      <c r="J317" s="5"/>
      <c r="K317" s="5"/>
      <c r="L317" s="5"/>
      <c r="M317" s="5"/>
      <c r="N317" s="5"/>
      <c r="O317" s="5"/>
      <c r="P317" s="5"/>
      <c r="Q317" s="5"/>
      <c r="R317" s="5"/>
      <c r="S317" s="5"/>
      <c r="T317" s="5"/>
      <c r="U317" s="5"/>
      <c r="V317" s="5"/>
      <c r="W317" s="5"/>
    </row>
    <row r="318" spans="1:23" ht="16" x14ac:dyDescent="0.2">
      <c r="A318" s="5"/>
      <c r="B318" s="6"/>
      <c r="C318" s="6"/>
      <c r="D318" s="6"/>
      <c r="E318" s="6"/>
      <c r="F318" s="5"/>
      <c r="G318" s="5"/>
      <c r="H318" s="5"/>
      <c r="I318" s="5"/>
      <c r="J318" s="5"/>
      <c r="K318" s="5"/>
      <c r="L318" s="5"/>
      <c r="M318" s="5"/>
      <c r="N318" s="5"/>
      <c r="O318" s="5"/>
      <c r="P318" s="5"/>
      <c r="Q318" s="5"/>
      <c r="R318" s="5"/>
      <c r="S318" s="5"/>
      <c r="T318" s="5"/>
      <c r="U318" s="5"/>
      <c r="V318" s="5"/>
      <c r="W318" s="5"/>
    </row>
    <row r="319" spans="1:23" ht="16" x14ac:dyDescent="0.2">
      <c r="A319" s="5"/>
      <c r="B319" s="6"/>
      <c r="C319" s="6"/>
      <c r="D319" s="6"/>
      <c r="E319" s="6"/>
      <c r="F319" s="5"/>
      <c r="G319" s="5"/>
      <c r="H319" s="5"/>
      <c r="I319" s="5"/>
      <c r="J319" s="5"/>
      <c r="K319" s="5"/>
      <c r="L319" s="5"/>
      <c r="M319" s="5"/>
      <c r="N319" s="5"/>
      <c r="O319" s="5"/>
      <c r="P319" s="5"/>
      <c r="Q319" s="5"/>
      <c r="R319" s="5"/>
      <c r="S319" s="5"/>
      <c r="T319" s="5"/>
      <c r="U319" s="5"/>
      <c r="V319" s="5"/>
      <c r="W319" s="5"/>
    </row>
    <row r="320" spans="1:23" ht="16" x14ac:dyDescent="0.2">
      <c r="A320" s="5"/>
      <c r="B320" s="6"/>
      <c r="C320" s="6"/>
      <c r="D320" s="6"/>
      <c r="E320" s="6"/>
      <c r="F320" s="5"/>
      <c r="G320" s="5"/>
      <c r="H320" s="5"/>
      <c r="I320" s="5"/>
      <c r="J320" s="5"/>
      <c r="K320" s="5"/>
      <c r="L320" s="5"/>
      <c r="M320" s="5"/>
      <c r="N320" s="5"/>
      <c r="O320" s="5"/>
      <c r="P320" s="5"/>
      <c r="Q320" s="5"/>
      <c r="R320" s="5"/>
      <c r="S320" s="5"/>
      <c r="T320" s="5"/>
      <c r="U320" s="5"/>
      <c r="V320" s="5"/>
      <c r="W320" s="5"/>
    </row>
    <row r="321" spans="1:23" ht="16" x14ac:dyDescent="0.2">
      <c r="A321" s="5"/>
      <c r="B321" s="6"/>
      <c r="C321" s="6"/>
      <c r="D321" s="6"/>
      <c r="E321" s="6"/>
      <c r="F321" s="5"/>
      <c r="G321" s="5"/>
      <c r="H321" s="5"/>
      <c r="I321" s="5"/>
      <c r="J321" s="5"/>
      <c r="K321" s="5"/>
      <c r="L321" s="5"/>
      <c r="M321" s="5"/>
      <c r="N321" s="5"/>
      <c r="O321" s="5"/>
      <c r="P321" s="5"/>
      <c r="Q321" s="5"/>
      <c r="R321" s="5"/>
      <c r="S321" s="5"/>
      <c r="T321" s="5"/>
      <c r="U321" s="5"/>
      <c r="V321" s="5"/>
      <c r="W321" s="5"/>
    </row>
    <row r="322" spans="1:23" ht="16" x14ac:dyDescent="0.2">
      <c r="A322" s="5"/>
      <c r="B322" s="6"/>
      <c r="C322" s="6"/>
      <c r="D322" s="6"/>
      <c r="E322" s="6"/>
      <c r="F322" s="5"/>
      <c r="G322" s="5"/>
      <c r="H322" s="5"/>
      <c r="I322" s="5"/>
      <c r="J322" s="5"/>
      <c r="K322" s="5"/>
      <c r="L322" s="5"/>
      <c r="M322" s="5"/>
      <c r="N322" s="5"/>
      <c r="O322" s="5"/>
      <c r="P322" s="5"/>
      <c r="Q322" s="5"/>
      <c r="R322" s="5"/>
      <c r="S322" s="5"/>
      <c r="T322" s="5"/>
      <c r="U322" s="5"/>
      <c r="V322" s="5"/>
      <c r="W322" s="5"/>
    </row>
    <row r="323" spans="1:23" ht="16" x14ac:dyDescent="0.2">
      <c r="A323" s="5"/>
      <c r="B323" s="6"/>
      <c r="C323" s="6"/>
      <c r="D323" s="6"/>
      <c r="E323" s="6"/>
      <c r="F323" s="5"/>
      <c r="G323" s="5"/>
      <c r="H323" s="5"/>
      <c r="I323" s="5"/>
      <c r="J323" s="5"/>
      <c r="K323" s="5"/>
      <c r="L323" s="5"/>
      <c r="M323" s="5"/>
      <c r="N323" s="5"/>
      <c r="O323" s="5"/>
      <c r="P323" s="5"/>
      <c r="Q323" s="5"/>
      <c r="R323" s="5"/>
      <c r="S323" s="5"/>
      <c r="T323" s="5"/>
      <c r="U323" s="5"/>
      <c r="V323" s="5"/>
      <c r="W323" s="5"/>
    </row>
    <row r="324" spans="1:23" ht="16" x14ac:dyDescent="0.2">
      <c r="A324" s="5"/>
      <c r="B324" s="6"/>
      <c r="C324" s="6"/>
      <c r="D324" s="6"/>
      <c r="E324" s="6"/>
      <c r="F324" s="5"/>
      <c r="G324" s="5"/>
      <c r="H324" s="5"/>
      <c r="I324" s="5"/>
      <c r="J324" s="5"/>
      <c r="K324" s="5"/>
      <c r="L324" s="5"/>
      <c r="M324" s="5"/>
      <c r="N324" s="5"/>
      <c r="O324" s="5"/>
      <c r="P324" s="5"/>
      <c r="Q324" s="5"/>
      <c r="R324" s="5"/>
      <c r="S324" s="5"/>
      <c r="T324" s="5"/>
      <c r="U324" s="5"/>
      <c r="V324" s="5"/>
      <c r="W324" s="5"/>
    </row>
    <row r="325" spans="1:23" ht="16" x14ac:dyDescent="0.2">
      <c r="A325" s="5"/>
      <c r="B325" s="6"/>
      <c r="C325" s="6"/>
      <c r="D325" s="6"/>
      <c r="E325" s="6"/>
      <c r="F325" s="5"/>
      <c r="G325" s="5"/>
      <c r="H325" s="5"/>
      <c r="I325" s="5"/>
      <c r="J325" s="5"/>
      <c r="K325" s="5"/>
      <c r="L325" s="5"/>
      <c r="M325" s="5"/>
      <c r="N325" s="5"/>
      <c r="O325" s="5"/>
      <c r="P325" s="5"/>
      <c r="Q325" s="5"/>
      <c r="R325" s="5"/>
      <c r="S325" s="5"/>
      <c r="T325" s="5"/>
      <c r="U325" s="5"/>
      <c r="V325" s="5"/>
      <c r="W325" s="5"/>
    </row>
    <row r="326" spans="1:23" ht="16" x14ac:dyDescent="0.2">
      <c r="A326" s="5"/>
      <c r="B326" s="6"/>
      <c r="C326" s="6"/>
      <c r="D326" s="6"/>
      <c r="E326" s="6"/>
      <c r="F326" s="5"/>
      <c r="G326" s="5"/>
      <c r="H326" s="5"/>
      <c r="I326" s="5"/>
      <c r="J326" s="5"/>
      <c r="K326" s="5"/>
      <c r="L326" s="5"/>
      <c r="M326" s="5"/>
      <c r="N326" s="5"/>
      <c r="O326" s="5"/>
      <c r="P326" s="5"/>
      <c r="Q326" s="5"/>
      <c r="R326" s="5"/>
      <c r="S326" s="5"/>
      <c r="T326" s="5"/>
      <c r="U326" s="5"/>
      <c r="V326" s="5"/>
      <c r="W326" s="5"/>
    </row>
    <row r="327" spans="1:23" ht="16" x14ac:dyDescent="0.2">
      <c r="A327" s="5"/>
      <c r="B327" s="6"/>
      <c r="C327" s="6"/>
      <c r="D327" s="6"/>
      <c r="E327" s="6"/>
      <c r="F327" s="5"/>
      <c r="G327" s="5"/>
      <c r="H327" s="5"/>
      <c r="I327" s="5"/>
      <c r="J327" s="5"/>
      <c r="K327" s="5"/>
      <c r="L327" s="5"/>
      <c r="M327" s="5"/>
      <c r="N327" s="5"/>
      <c r="O327" s="5"/>
      <c r="P327" s="5"/>
      <c r="Q327" s="5"/>
      <c r="R327" s="5"/>
      <c r="S327" s="5"/>
      <c r="T327" s="5"/>
      <c r="U327" s="5"/>
      <c r="V327" s="5"/>
      <c r="W327" s="5"/>
    </row>
    <row r="328" spans="1:23" ht="16" x14ac:dyDescent="0.2">
      <c r="A328" s="5"/>
      <c r="B328" s="6"/>
      <c r="C328" s="6"/>
      <c r="D328" s="6"/>
      <c r="E328" s="6"/>
      <c r="F328" s="5"/>
      <c r="G328" s="5"/>
      <c r="H328" s="5"/>
      <c r="I328" s="5"/>
      <c r="J328" s="5"/>
      <c r="K328" s="5"/>
      <c r="L328" s="5"/>
      <c r="M328" s="5"/>
      <c r="N328" s="5"/>
      <c r="O328" s="5"/>
      <c r="P328" s="5"/>
      <c r="Q328" s="5"/>
      <c r="R328" s="5"/>
      <c r="S328" s="5"/>
      <c r="T328" s="5"/>
      <c r="U328" s="5"/>
      <c r="V328" s="5"/>
      <c r="W328" s="5"/>
    </row>
    <row r="329" spans="1:23" ht="16" x14ac:dyDescent="0.2">
      <c r="A329" s="5"/>
      <c r="B329" s="6"/>
      <c r="C329" s="6"/>
      <c r="D329" s="6"/>
      <c r="E329" s="6"/>
      <c r="F329" s="5"/>
      <c r="G329" s="5"/>
      <c r="H329" s="5"/>
      <c r="I329" s="5"/>
      <c r="J329" s="5"/>
      <c r="K329" s="5"/>
      <c r="L329" s="5"/>
      <c r="M329" s="5"/>
      <c r="N329" s="5"/>
      <c r="O329" s="5"/>
      <c r="P329" s="5"/>
      <c r="Q329" s="5"/>
      <c r="R329" s="5"/>
      <c r="S329" s="5"/>
      <c r="T329" s="5"/>
      <c r="U329" s="5"/>
      <c r="V329" s="5"/>
      <c r="W329" s="5"/>
    </row>
    <row r="330" spans="1:23" ht="16" x14ac:dyDescent="0.2">
      <c r="A330" s="5"/>
      <c r="B330" s="6"/>
      <c r="C330" s="6"/>
      <c r="D330" s="6"/>
      <c r="E330" s="6"/>
      <c r="F330" s="5"/>
      <c r="G330" s="5"/>
      <c r="H330" s="5"/>
      <c r="I330" s="5"/>
      <c r="J330" s="5"/>
      <c r="K330" s="5"/>
      <c r="L330" s="5"/>
      <c r="M330" s="5"/>
      <c r="N330" s="5"/>
      <c r="O330" s="5"/>
      <c r="P330" s="5"/>
      <c r="Q330" s="5"/>
      <c r="R330" s="5"/>
      <c r="S330" s="5"/>
      <c r="T330" s="5"/>
      <c r="U330" s="5"/>
      <c r="V330" s="5"/>
      <c r="W330" s="5"/>
    </row>
    <row r="331" spans="1:23" ht="16" x14ac:dyDescent="0.2">
      <c r="A331" s="5"/>
      <c r="B331" s="6"/>
      <c r="C331" s="6"/>
      <c r="D331" s="6"/>
      <c r="E331" s="6"/>
      <c r="F331" s="5"/>
      <c r="G331" s="5"/>
      <c r="H331" s="5"/>
      <c r="I331" s="5"/>
      <c r="J331" s="5"/>
      <c r="K331" s="5"/>
      <c r="L331" s="5"/>
      <c r="M331" s="5"/>
      <c r="N331" s="5"/>
      <c r="O331" s="5"/>
      <c r="P331" s="5"/>
      <c r="Q331" s="5"/>
      <c r="R331" s="5"/>
      <c r="S331" s="5"/>
      <c r="T331" s="5"/>
      <c r="U331" s="5"/>
      <c r="V331" s="5"/>
      <c r="W331" s="5"/>
    </row>
    <row r="332" spans="1:23" ht="16" x14ac:dyDescent="0.2">
      <c r="A332" s="5"/>
      <c r="B332" s="6"/>
      <c r="C332" s="6"/>
      <c r="D332" s="6"/>
      <c r="E332" s="6"/>
      <c r="F332" s="5"/>
      <c r="G332" s="5"/>
      <c r="H332" s="5"/>
      <c r="I332" s="5"/>
      <c r="J332" s="5"/>
      <c r="K332" s="5"/>
      <c r="L332" s="5"/>
      <c r="M332" s="5"/>
      <c r="N332" s="5"/>
      <c r="O332" s="5"/>
      <c r="P332" s="5"/>
      <c r="Q332" s="5"/>
      <c r="R332" s="5"/>
      <c r="S332" s="5"/>
      <c r="T332" s="5"/>
      <c r="U332" s="5"/>
      <c r="V332" s="5"/>
      <c r="W332" s="5"/>
    </row>
    <row r="333" spans="1:23" ht="16" x14ac:dyDescent="0.2">
      <c r="A333" s="5"/>
      <c r="B333" s="6"/>
      <c r="C333" s="6"/>
      <c r="D333" s="6"/>
      <c r="E333" s="6"/>
      <c r="F333" s="5"/>
      <c r="G333" s="5"/>
      <c r="H333" s="5"/>
      <c r="I333" s="5"/>
      <c r="J333" s="5"/>
      <c r="K333" s="5"/>
      <c r="L333" s="5"/>
      <c r="M333" s="5"/>
      <c r="N333" s="5"/>
      <c r="O333" s="5"/>
      <c r="P333" s="5"/>
      <c r="Q333" s="5"/>
      <c r="R333" s="5"/>
      <c r="S333" s="5"/>
      <c r="T333" s="5"/>
      <c r="U333" s="5"/>
      <c r="V333" s="5"/>
      <c r="W333" s="5"/>
    </row>
    <row r="334" spans="1:23" ht="16" x14ac:dyDescent="0.2">
      <c r="A334" s="5"/>
      <c r="B334" s="6"/>
      <c r="C334" s="6"/>
      <c r="D334" s="6"/>
      <c r="E334" s="6"/>
      <c r="F334" s="5"/>
      <c r="G334" s="5"/>
      <c r="H334" s="5"/>
      <c r="I334" s="5"/>
      <c r="J334" s="5"/>
      <c r="K334" s="5"/>
      <c r="L334" s="5"/>
      <c r="M334" s="5"/>
      <c r="N334" s="5"/>
      <c r="O334" s="5"/>
      <c r="P334" s="5"/>
      <c r="Q334" s="5"/>
      <c r="R334" s="5"/>
      <c r="S334" s="5"/>
      <c r="T334" s="5"/>
      <c r="U334" s="5"/>
      <c r="V334" s="5"/>
      <c r="W334" s="5"/>
    </row>
    <row r="335" spans="1:23" ht="16" x14ac:dyDescent="0.2">
      <c r="A335" s="5"/>
      <c r="B335" s="6"/>
      <c r="C335" s="6"/>
      <c r="D335" s="6"/>
      <c r="E335" s="6"/>
      <c r="F335" s="5"/>
      <c r="G335" s="5"/>
      <c r="H335" s="5"/>
      <c r="I335" s="5"/>
      <c r="J335" s="5"/>
      <c r="K335" s="5"/>
      <c r="L335" s="5"/>
      <c r="M335" s="5"/>
      <c r="N335" s="5"/>
      <c r="O335" s="5"/>
      <c r="P335" s="5"/>
      <c r="Q335" s="5"/>
      <c r="R335" s="5"/>
      <c r="S335" s="5"/>
      <c r="T335" s="5"/>
      <c r="U335" s="5"/>
      <c r="V335" s="5"/>
      <c r="W335" s="5"/>
    </row>
    <row r="336" spans="1:23" ht="16" x14ac:dyDescent="0.2">
      <c r="A336" s="5"/>
      <c r="B336" s="6"/>
      <c r="C336" s="6"/>
      <c r="D336" s="6"/>
      <c r="E336" s="6"/>
      <c r="F336" s="5"/>
      <c r="G336" s="5"/>
      <c r="H336" s="5"/>
      <c r="I336" s="5"/>
      <c r="J336" s="5"/>
      <c r="K336" s="5"/>
      <c r="L336" s="5"/>
      <c r="M336" s="5"/>
      <c r="N336" s="5"/>
      <c r="O336" s="5"/>
      <c r="P336" s="5"/>
      <c r="Q336" s="5"/>
      <c r="R336" s="5"/>
      <c r="S336" s="5"/>
      <c r="T336" s="5"/>
      <c r="U336" s="5"/>
      <c r="V336" s="5"/>
      <c r="W336" s="5"/>
    </row>
    <row r="337" spans="1:23" ht="16" x14ac:dyDescent="0.2">
      <c r="A337" s="5"/>
      <c r="B337" s="6"/>
      <c r="C337" s="6"/>
      <c r="D337" s="6"/>
      <c r="E337" s="6"/>
      <c r="F337" s="5"/>
      <c r="G337" s="5"/>
      <c r="H337" s="5"/>
      <c r="I337" s="5"/>
      <c r="J337" s="5"/>
      <c r="K337" s="5"/>
      <c r="L337" s="5"/>
      <c r="M337" s="5"/>
      <c r="N337" s="5"/>
      <c r="O337" s="5"/>
      <c r="P337" s="5"/>
      <c r="Q337" s="5"/>
      <c r="R337" s="5"/>
      <c r="S337" s="5"/>
      <c r="T337" s="5"/>
      <c r="U337" s="5"/>
      <c r="V337" s="5"/>
      <c r="W337" s="5"/>
    </row>
    <row r="338" spans="1:23" ht="16" x14ac:dyDescent="0.2">
      <c r="A338" s="5"/>
      <c r="B338" s="6"/>
      <c r="C338" s="6"/>
      <c r="D338" s="6"/>
      <c r="E338" s="6"/>
      <c r="F338" s="5"/>
      <c r="G338" s="5"/>
      <c r="H338" s="5"/>
      <c r="I338" s="5"/>
      <c r="J338" s="5"/>
      <c r="K338" s="5"/>
      <c r="L338" s="5"/>
      <c r="M338" s="5"/>
      <c r="N338" s="5"/>
      <c r="O338" s="5"/>
      <c r="P338" s="5"/>
      <c r="Q338" s="5"/>
      <c r="R338" s="5"/>
      <c r="S338" s="5"/>
      <c r="T338" s="5"/>
      <c r="U338" s="5"/>
      <c r="V338" s="5"/>
      <c r="W338" s="5"/>
    </row>
    <row r="339" spans="1:23" ht="16" x14ac:dyDescent="0.2">
      <c r="A339" s="5"/>
      <c r="B339" s="6"/>
      <c r="C339" s="6"/>
      <c r="D339" s="6"/>
      <c r="E339" s="6"/>
      <c r="F339" s="5"/>
      <c r="G339" s="5"/>
      <c r="H339" s="5"/>
      <c r="I339" s="5"/>
      <c r="J339" s="5"/>
      <c r="K339" s="5"/>
      <c r="L339" s="5"/>
      <c r="M339" s="5"/>
      <c r="N339" s="5"/>
      <c r="O339" s="5"/>
      <c r="P339" s="5"/>
      <c r="Q339" s="5"/>
      <c r="R339" s="5"/>
      <c r="S339" s="5"/>
      <c r="T339" s="5"/>
      <c r="U339" s="5"/>
      <c r="V339" s="5"/>
      <c r="W339" s="5"/>
    </row>
    <row r="340" spans="1:23" ht="16" x14ac:dyDescent="0.2">
      <c r="A340" s="5"/>
      <c r="B340" s="6"/>
      <c r="C340" s="6"/>
      <c r="D340" s="6"/>
      <c r="E340" s="6"/>
      <c r="F340" s="5"/>
      <c r="G340" s="5"/>
      <c r="H340" s="5"/>
      <c r="I340" s="5"/>
      <c r="J340" s="5"/>
      <c r="K340" s="5"/>
      <c r="L340" s="5"/>
      <c r="M340" s="5"/>
      <c r="N340" s="5"/>
      <c r="O340" s="5"/>
      <c r="P340" s="5"/>
      <c r="Q340" s="5"/>
      <c r="R340" s="5"/>
      <c r="S340" s="5"/>
      <c r="T340" s="5"/>
      <c r="U340" s="5"/>
      <c r="V340" s="5"/>
      <c r="W340" s="5"/>
    </row>
    <row r="341" spans="1:23" ht="16" x14ac:dyDescent="0.2">
      <c r="A341" s="5"/>
      <c r="B341" s="6"/>
      <c r="C341" s="6"/>
      <c r="D341" s="6"/>
      <c r="E341" s="6"/>
      <c r="F341" s="5"/>
      <c r="G341" s="5"/>
      <c r="H341" s="5"/>
      <c r="I341" s="5"/>
      <c r="J341" s="5"/>
      <c r="K341" s="5"/>
      <c r="L341" s="5"/>
      <c r="M341" s="5"/>
      <c r="N341" s="5"/>
      <c r="O341" s="5"/>
      <c r="P341" s="5"/>
      <c r="Q341" s="5"/>
      <c r="R341" s="5"/>
      <c r="S341" s="5"/>
      <c r="T341" s="5"/>
      <c r="U341" s="5"/>
      <c r="V341" s="5"/>
      <c r="W341" s="5"/>
    </row>
    <row r="342" spans="1:23" ht="16" x14ac:dyDescent="0.2">
      <c r="A342" s="5"/>
      <c r="B342" s="6"/>
      <c r="C342" s="6"/>
      <c r="D342" s="6"/>
      <c r="E342" s="6"/>
      <c r="F342" s="5"/>
      <c r="G342" s="5"/>
      <c r="H342" s="5"/>
      <c r="I342" s="5"/>
      <c r="J342" s="5"/>
      <c r="K342" s="5"/>
      <c r="L342" s="5"/>
      <c r="M342" s="5"/>
      <c r="N342" s="5"/>
      <c r="O342" s="5"/>
      <c r="P342" s="5"/>
      <c r="Q342" s="5"/>
      <c r="R342" s="5"/>
      <c r="S342" s="5"/>
      <c r="T342" s="5"/>
      <c r="U342" s="5"/>
      <c r="V342" s="5"/>
      <c r="W342" s="5"/>
    </row>
    <row r="343" spans="1:23" ht="16" x14ac:dyDescent="0.2">
      <c r="A343" s="5"/>
      <c r="B343" s="6"/>
      <c r="C343" s="6"/>
      <c r="D343" s="6"/>
      <c r="E343" s="6"/>
      <c r="F343" s="5"/>
      <c r="G343" s="5"/>
      <c r="H343" s="5"/>
      <c r="I343" s="5"/>
      <c r="J343" s="5"/>
      <c r="K343" s="5"/>
      <c r="L343" s="5"/>
      <c r="M343" s="5"/>
      <c r="N343" s="5"/>
      <c r="O343" s="5"/>
      <c r="P343" s="5"/>
      <c r="Q343" s="5"/>
      <c r="R343" s="5"/>
      <c r="S343" s="5"/>
      <c r="T343" s="5"/>
      <c r="U343" s="5"/>
      <c r="V343" s="5"/>
      <c r="W343" s="5"/>
    </row>
    <row r="344" spans="1:23" ht="16" x14ac:dyDescent="0.2">
      <c r="A344" s="5"/>
      <c r="B344" s="6"/>
      <c r="C344" s="6"/>
      <c r="D344" s="6"/>
      <c r="E344" s="6"/>
      <c r="F344" s="5"/>
      <c r="G344" s="5"/>
      <c r="H344" s="5"/>
      <c r="I344" s="5"/>
      <c r="J344" s="5"/>
      <c r="K344" s="5"/>
      <c r="L344" s="5"/>
      <c r="M344" s="5"/>
      <c r="N344" s="5"/>
      <c r="O344" s="5"/>
      <c r="P344" s="5"/>
      <c r="Q344" s="5"/>
      <c r="R344" s="5"/>
      <c r="S344" s="5"/>
      <c r="T344" s="5"/>
      <c r="U344" s="5"/>
      <c r="V344" s="5"/>
      <c r="W344" s="5"/>
    </row>
    <row r="345" spans="1:23" ht="16" x14ac:dyDescent="0.2">
      <c r="A345" s="5"/>
      <c r="B345" s="6"/>
      <c r="C345" s="6"/>
      <c r="D345" s="6"/>
      <c r="E345" s="6"/>
      <c r="F345" s="5"/>
      <c r="G345" s="5"/>
      <c r="H345" s="5"/>
      <c r="I345" s="5"/>
      <c r="J345" s="5"/>
      <c r="K345" s="5"/>
      <c r="L345" s="5"/>
      <c r="M345" s="5"/>
      <c r="N345" s="5"/>
      <c r="O345" s="5"/>
      <c r="P345" s="5"/>
      <c r="Q345" s="5"/>
      <c r="R345" s="5"/>
      <c r="S345" s="5"/>
      <c r="T345" s="5"/>
      <c r="U345" s="5"/>
      <c r="V345" s="5"/>
      <c r="W345" s="5"/>
    </row>
    <row r="346" spans="1:23" ht="16" x14ac:dyDescent="0.2">
      <c r="A346" s="5"/>
      <c r="B346" s="6"/>
      <c r="C346" s="6"/>
      <c r="D346" s="6"/>
      <c r="E346" s="6"/>
      <c r="F346" s="5"/>
      <c r="G346" s="5"/>
      <c r="H346" s="5"/>
      <c r="I346" s="5"/>
      <c r="J346" s="5"/>
      <c r="K346" s="5"/>
      <c r="L346" s="5"/>
      <c r="M346" s="5"/>
      <c r="N346" s="5"/>
      <c r="O346" s="5"/>
      <c r="P346" s="5"/>
      <c r="Q346" s="5"/>
      <c r="R346" s="5"/>
      <c r="S346" s="5"/>
      <c r="T346" s="5"/>
      <c r="U346" s="5"/>
      <c r="V346" s="5"/>
      <c r="W346" s="5"/>
    </row>
    <row r="347" spans="1:23" ht="16" x14ac:dyDescent="0.2">
      <c r="A347" s="5"/>
      <c r="B347" s="6"/>
      <c r="C347" s="6"/>
      <c r="D347" s="6"/>
      <c r="E347" s="6"/>
      <c r="F347" s="5"/>
      <c r="G347" s="5"/>
      <c r="H347" s="5"/>
      <c r="I347" s="5"/>
      <c r="J347" s="5"/>
      <c r="K347" s="5"/>
      <c r="L347" s="5"/>
      <c r="M347" s="5"/>
      <c r="N347" s="5"/>
      <c r="O347" s="5"/>
      <c r="P347" s="5"/>
      <c r="Q347" s="5"/>
      <c r="R347" s="5"/>
      <c r="S347" s="5"/>
      <c r="T347" s="5"/>
      <c r="U347" s="5"/>
      <c r="V347" s="5"/>
      <c r="W347" s="5"/>
    </row>
    <row r="348" spans="1:23" ht="16" x14ac:dyDescent="0.2">
      <c r="A348" s="5"/>
      <c r="B348" s="6"/>
      <c r="C348" s="6"/>
      <c r="D348" s="6"/>
      <c r="E348" s="6"/>
      <c r="F348" s="5"/>
      <c r="G348" s="5"/>
      <c r="H348" s="5"/>
      <c r="I348" s="5"/>
      <c r="J348" s="5"/>
      <c r="K348" s="5"/>
      <c r="L348" s="5"/>
      <c r="M348" s="5"/>
      <c r="N348" s="5"/>
      <c r="O348" s="5"/>
      <c r="P348" s="5"/>
      <c r="Q348" s="5"/>
      <c r="R348" s="5"/>
      <c r="S348" s="5"/>
      <c r="T348" s="5"/>
      <c r="U348" s="5"/>
      <c r="V348" s="5"/>
      <c r="W348" s="5"/>
    </row>
    <row r="349" spans="1:23" ht="16" x14ac:dyDescent="0.2">
      <c r="A349" s="5"/>
      <c r="B349" s="6"/>
      <c r="C349" s="6"/>
      <c r="D349" s="6"/>
      <c r="E349" s="6"/>
      <c r="F349" s="5"/>
      <c r="G349" s="5"/>
      <c r="H349" s="5"/>
      <c r="I349" s="5"/>
      <c r="J349" s="5"/>
      <c r="K349" s="5"/>
      <c r="L349" s="5"/>
      <c r="M349" s="5"/>
      <c r="N349" s="5"/>
      <c r="O349" s="5"/>
      <c r="P349" s="5"/>
      <c r="Q349" s="5"/>
      <c r="R349" s="5"/>
      <c r="S349" s="5"/>
      <c r="T349" s="5"/>
      <c r="U349" s="5"/>
      <c r="V349" s="5"/>
      <c r="W349" s="5"/>
    </row>
    <row r="350" spans="1:23" ht="16" x14ac:dyDescent="0.2">
      <c r="A350" s="5"/>
      <c r="B350" s="6"/>
      <c r="C350" s="6"/>
      <c r="D350" s="6"/>
      <c r="E350" s="6"/>
      <c r="F350" s="5"/>
      <c r="G350" s="5"/>
      <c r="H350" s="5"/>
      <c r="I350" s="5"/>
      <c r="J350" s="5"/>
      <c r="K350" s="5"/>
      <c r="L350" s="5"/>
      <c r="M350" s="5"/>
      <c r="N350" s="5"/>
      <c r="O350" s="5"/>
      <c r="P350" s="5"/>
      <c r="Q350" s="5"/>
      <c r="R350" s="5"/>
      <c r="S350" s="5"/>
      <c r="T350" s="5"/>
      <c r="U350" s="5"/>
      <c r="V350" s="5"/>
      <c r="W350" s="5"/>
    </row>
    <row r="351" spans="1:23" ht="16" x14ac:dyDescent="0.2">
      <c r="A351" s="5"/>
      <c r="B351" s="6"/>
      <c r="C351" s="6"/>
      <c r="D351" s="6"/>
      <c r="E351" s="6"/>
      <c r="F351" s="5"/>
      <c r="G351" s="5"/>
      <c r="H351" s="5"/>
      <c r="I351" s="5"/>
      <c r="J351" s="5"/>
      <c r="K351" s="5"/>
      <c r="L351" s="5"/>
      <c r="M351" s="5"/>
      <c r="N351" s="5"/>
      <c r="O351" s="5"/>
      <c r="P351" s="5"/>
      <c r="Q351" s="5"/>
      <c r="R351" s="5"/>
      <c r="S351" s="5"/>
      <c r="T351" s="5"/>
      <c r="U351" s="5"/>
      <c r="V351" s="5"/>
      <c r="W351" s="5"/>
    </row>
    <row r="352" spans="1:23" ht="16" x14ac:dyDescent="0.2">
      <c r="A352" s="5"/>
      <c r="B352" s="6"/>
      <c r="C352" s="6"/>
      <c r="D352" s="6"/>
      <c r="E352" s="6"/>
      <c r="F352" s="5"/>
      <c r="G352" s="5"/>
      <c r="H352" s="5"/>
      <c r="I352" s="5"/>
      <c r="J352" s="5"/>
      <c r="K352" s="5"/>
      <c r="L352" s="5"/>
      <c r="M352" s="5"/>
      <c r="N352" s="5"/>
      <c r="O352" s="5"/>
      <c r="P352" s="5"/>
      <c r="Q352" s="5"/>
      <c r="R352" s="5"/>
      <c r="S352" s="5"/>
      <c r="T352" s="5"/>
      <c r="U352" s="5"/>
      <c r="V352" s="5"/>
      <c r="W352" s="5"/>
    </row>
    <row r="353" spans="1:23" ht="16" x14ac:dyDescent="0.2">
      <c r="A353" s="5"/>
      <c r="B353" s="6"/>
      <c r="C353" s="6"/>
      <c r="D353" s="6"/>
      <c r="E353" s="6"/>
      <c r="F353" s="5"/>
      <c r="G353" s="5"/>
      <c r="H353" s="5"/>
      <c r="I353" s="5"/>
      <c r="J353" s="5"/>
      <c r="K353" s="5"/>
      <c r="L353" s="5"/>
      <c r="M353" s="5"/>
      <c r="N353" s="5"/>
      <c r="O353" s="5"/>
      <c r="P353" s="5"/>
      <c r="Q353" s="5"/>
      <c r="R353" s="5"/>
      <c r="S353" s="5"/>
      <c r="T353" s="5"/>
      <c r="U353" s="5"/>
      <c r="V353" s="5"/>
      <c r="W353" s="5"/>
    </row>
    <row r="354" spans="1:23" ht="16" x14ac:dyDescent="0.2">
      <c r="A354" s="5"/>
      <c r="B354" s="6"/>
      <c r="C354" s="6"/>
      <c r="D354" s="6"/>
      <c r="E354" s="6"/>
      <c r="F354" s="5"/>
      <c r="G354" s="5"/>
      <c r="H354" s="5"/>
      <c r="I354" s="5"/>
      <c r="J354" s="5"/>
      <c r="K354" s="5"/>
      <c r="L354" s="5"/>
      <c r="M354" s="5"/>
      <c r="N354" s="5"/>
      <c r="O354" s="5"/>
      <c r="P354" s="5"/>
      <c r="Q354" s="5"/>
      <c r="R354" s="5"/>
      <c r="S354" s="5"/>
      <c r="T354" s="5"/>
      <c r="U354" s="5"/>
      <c r="V354" s="5"/>
      <c r="W354" s="5"/>
    </row>
    <row r="355" spans="1:23" ht="16" x14ac:dyDescent="0.2">
      <c r="A355" s="5"/>
      <c r="B355" s="6"/>
      <c r="C355" s="6"/>
      <c r="D355" s="6"/>
      <c r="E355" s="6"/>
      <c r="F355" s="5"/>
      <c r="G355" s="5"/>
      <c r="H355" s="5"/>
      <c r="I355" s="5"/>
      <c r="J355" s="5"/>
      <c r="K355" s="5"/>
      <c r="L355" s="5"/>
      <c r="M355" s="5"/>
      <c r="N355" s="5"/>
      <c r="O355" s="5"/>
      <c r="P355" s="5"/>
      <c r="Q355" s="5"/>
      <c r="R355" s="5"/>
      <c r="S355" s="5"/>
      <c r="T355" s="5"/>
      <c r="U355" s="5"/>
      <c r="V355" s="5"/>
      <c r="W355" s="5"/>
    </row>
    <row r="356" spans="1:23" ht="16" x14ac:dyDescent="0.2">
      <c r="A356" s="5"/>
      <c r="B356" s="6"/>
      <c r="C356" s="6"/>
      <c r="D356" s="6"/>
      <c r="E356" s="6"/>
      <c r="F356" s="5"/>
      <c r="G356" s="5"/>
      <c r="H356" s="5"/>
      <c r="I356" s="5"/>
      <c r="J356" s="5"/>
      <c r="K356" s="5"/>
      <c r="L356" s="5"/>
      <c r="M356" s="5"/>
      <c r="N356" s="5"/>
      <c r="O356" s="5"/>
      <c r="P356" s="5"/>
      <c r="Q356" s="5"/>
      <c r="R356" s="5"/>
      <c r="S356" s="5"/>
      <c r="T356" s="5"/>
      <c r="U356" s="5"/>
      <c r="V356" s="5"/>
      <c r="W356" s="5"/>
    </row>
    <row r="357" spans="1:23" ht="16" x14ac:dyDescent="0.2">
      <c r="A357" s="5"/>
      <c r="B357" s="6"/>
      <c r="C357" s="6"/>
      <c r="D357" s="6"/>
      <c r="E357" s="6"/>
      <c r="F357" s="5"/>
      <c r="G357" s="5"/>
      <c r="H357" s="5"/>
      <c r="I357" s="5"/>
      <c r="J357" s="5"/>
      <c r="K357" s="5"/>
      <c r="L357" s="5"/>
      <c r="M357" s="5"/>
      <c r="N357" s="5"/>
      <c r="O357" s="5"/>
      <c r="P357" s="5"/>
      <c r="Q357" s="5"/>
      <c r="R357" s="5"/>
      <c r="S357" s="5"/>
      <c r="T357" s="5"/>
      <c r="U357" s="5"/>
      <c r="V357" s="5"/>
      <c r="W357" s="5"/>
    </row>
    <row r="358" spans="1:23" ht="16" x14ac:dyDescent="0.2">
      <c r="A358" s="5"/>
      <c r="B358" s="6"/>
      <c r="C358" s="6"/>
      <c r="D358" s="6"/>
      <c r="E358" s="6"/>
      <c r="F358" s="5"/>
      <c r="G358" s="5"/>
      <c r="H358" s="5"/>
      <c r="I358" s="5"/>
      <c r="J358" s="5"/>
      <c r="K358" s="5"/>
      <c r="L358" s="5"/>
      <c r="M358" s="5"/>
      <c r="N358" s="5"/>
      <c r="O358" s="5"/>
      <c r="P358" s="5"/>
      <c r="Q358" s="5"/>
      <c r="R358" s="5"/>
      <c r="S358" s="5"/>
      <c r="T358" s="5"/>
      <c r="U358" s="5"/>
      <c r="V358" s="5"/>
      <c r="W358" s="5"/>
    </row>
    <row r="359" spans="1:23" ht="16" x14ac:dyDescent="0.2">
      <c r="A359" s="5"/>
      <c r="B359" s="6"/>
      <c r="C359" s="6"/>
      <c r="D359" s="6"/>
      <c r="E359" s="6"/>
      <c r="F359" s="5"/>
      <c r="G359" s="5"/>
      <c r="H359" s="5"/>
      <c r="I359" s="5"/>
      <c r="J359" s="5"/>
      <c r="K359" s="5"/>
      <c r="L359" s="5"/>
      <c r="M359" s="5"/>
      <c r="N359" s="5"/>
      <c r="O359" s="5"/>
      <c r="P359" s="5"/>
      <c r="Q359" s="5"/>
      <c r="R359" s="5"/>
      <c r="S359" s="5"/>
      <c r="T359" s="5"/>
      <c r="U359" s="5"/>
      <c r="V359" s="5"/>
      <c r="W359" s="5"/>
    </row>
    <row r="360" spans="1:23" ht="16" x14ac:dyDescent="0.2">
      <c r="A360" s="5"/>
      <c r="B360" s="6"/>
      <c r="C360" s="6"/>
      <c r="D360" s="6"/>
      <c r="E360" s="6"/>
      <c r="F360" s="5"/>
      <c r="G360" s="5"/>
      <c r="H360" s="5"/>
      <c r="I360" s="5"/>
      <c r="J360" s="5"/>
      <c r="K360" s="5"/>
      <c r="L360" s="5"/>
      <c r="M360" s="5"/>
      <c r="N360" s="5"/>
      <c r="O360" s="5"/>
      <c r="P360" s="5"/>
      <c r="Q360" s="5"/>
      <c r="R360" s="5"/>
      <c r="S360" s="5"/>
      <c r="T360" s="5"/>
      <c r="U360" s="5"/>
      <c r="V360" s="5"/>
      <c r="W360" s="5"/>
    </row>
    <row r="361" spans="1:23" ht="16" x14ac:dyDescent="0.2">
      <c r="A361" s="5"/>
      <c r="B361" s="6"/>
      <c r="C361" s="6"/>
      <c r="D361" s="6"/>
      <c r="E361" s="6"/>
      <c r="F361" s="5"/>
      <c r="G361" s="5"/>
      <c r="H361" s="5"/>
      <c r="I361" s="5"/>
      <c r="J361" s="5"/>
      <c r="K361" s="5"/>
      <c r="L361" s="5"/>
      <c r="M361" s="5"/>
      <c r="N361" s="5"/>
      <c r="O361" s="5"/>
      <c r="P361" s="5"/>
      <c r="Q361" s="5"/>
      <c r="R361" s="5"/>
      <c r="S361" s="5"/>
      <c r="T361" s="5"/>
      <c r="U361" s="5"/>
      <c r="V361" s="5"/>
      <c r="W361" s="5"/>
    </row>
    <row r="362" spans="1:23" ht="16" x14ac:dyDescent="0.2">
      <c r="A362" s="5"/>
      <c r="B362" s="6"/>
      <c r="C362" s="6"/>
      <c r="D362" s="6"/>
      <c r="E362" s="6"/>
      <c r="F362" s="5"/>
      <c r="G362" s="5"/>
      <c r="H362" s="5"/>
      <c r="I362" s="5"/>
      <c r="J362" s="5"/>
      <c r="K362" s="5"/>
      <c r="L362" s="5"/>
      <c r="M362" s="5"/>
      <c r="N362" s="5"/>
      <c r="O362" s="5"/>
      <c r="P362" s="5"/>
      <c r="Q362" s="5"/>
      <c r="R362" s="5"/>
      <c r="S362" s="5"/>
      <c r="T362" s="5"/>
      <c r="U362" s="5"/>
      <c r="V362" s="5"/>
      <c r="W362" s="5"/>
    </row>
    <row r="363" spans="1:23" ht="16" x14ac:dyDescent="0.2">
      <c r="A363" s="5"/>
      <c r="B363" s="6"/>
      <c r="C363" s="6"/>
      <c r="D363" s="6"/>
      <c r="E363" s="6"/>
      <c r="F363" s="5"/>
      <c r="G363" s="5"/>
      <c r="H363" s="5"/>
      <c r="I363" s="5"/>
      <c r="J363" s="5"/>
      <c r="K363" s="5"/>
      <c r="L363" s="5"/>
      <c r="M363" s="5"/>
      <c r="N363" s="5"/>
      <c r="O363" s="5"/>
      <c r="P363" s="5"/>
      <c r="Q363" s="5"/>
      <c r="R363" s="5"/>
      <c r="S363" s="5"/>
      <c r="T363" s="5"/>
      <c r="U363" s="5"/>
      <c r="V363" s="5"/>
      <c r="W363" s="5"/>
    </row>
    <row r="364" spans="1:23" ht="16" x14ac:dyDescent="0.2">
      <c r="A364" s="5"/>
      <c r="B364" s="6"/>
      <c r="C364" s="6"/>
      <c r="D364" s="6"/>
      <c r="E364" s="6"/>
      <c r="F364" s="5"/>
      <c r="G364" s="5"/>
      <c r="H364" s="5"/>
      <c r="I364" s="5"/>
      <c r="J364" s="5"/>
      <c r="K364" s="5"/>
      <c r="L364" s="5"/>
      <c r="M364" s="5"/>
      <c r="N364" s="5"/>
      <c r="O364" s="5"/>
      <c r="P364" s="5"/>
      <c r="Q364" s="5"/>
      <c r="R364" s="5"/>
      <c r="S364" s="5"/>
      <c r="T364" s="5"/>
      <c r="U364" s="5"/>
      <c r="V364" s="5"/>
      <c r="W364" s="5"/>
    </row>
    <row r="365" spans="1:23" ht="16" x14ac:dyDescent="0.2">
      <c r="A365" s="5"/>
      <c r="B365" s="6"/>
      <c r="C365" s="6"/>
      <c r="D365" s="6"/>
      <c r="E365" s="6"/>
      <c r="F365" s="5"/>
      <c r="G365" s="5"/>
      <c r="H365" s="5"/>
      <c r="I365" s="5"/>
      <c r="J365" s="5"/>
      <c r="K365" s="5"/>
      <c r="L365" s="5"/>
      <c r="M365" s="5"/>
      <c r="N365" s="5"/>
      <c r="O365" s="5"/>
      <c r="P365" s="5"/>
      <c r="Q365" s="5"/>
      <c r="R365" s="5"/>
      <c r="S365" s="5"/>
      <c r="T365" s="5"/>
      <c r="U365" s="5"/>
      <c r="V365" s="5"/>
      <c r="W365" s="5"/>
    </row>
    <row r="366" spans="1:23" ht="16" x14ac:dyDescent="0.2">
      <c r="A366" s="5"/>
      <c r="B366" s="6"/>
      <c r="C366" s="6"/>
      <c r="D366" s="6"/>
      <c r="E366" s="6"/>
      <c r="F366" s="5"/>
      <c r="G366" s="5"/>
      <c r="H366" s="5"/>
      <c r="I366" s="5"/>
      <c r="J366" s="5"/>
      <c r="K366" s="5"/>
      <c r="L366" s="5"/>
      <c r="M366" s="5"/>
      <c r="N366" s="5"/>
      <c r="O366" s="5"/>
      <c r="P366" s="5"/>
      <c r="Q366" s="5"/>
      <c r="R366" s="5"/>
      <c r="S366" s="5"/>
      <c r="T366" s="5"/>
      <c r="U366" s="5"/>
      <c r="V366" s="5"/>
      <c r="W366" s="5"/>
    </row>
    <row r="367" spans="1:23" ht="16" x14ac:dyDescent="0.2">
      <c r="A367" s="5"/>
      <c r="B367" s="6"/>
      <c r="C367" s="6"/>
      <c r="D367" s="6"/>
      <c r="E367" s="6"/>
      <c r="F367" s="5"/>
      <c r="G367" s="5"/>
      <c r="H367" s="5"/>
      <c r="I367" s="5"/>
      <c r="J367" s="5"/>
      <c r="K367" s="5"/>
      <c r="L367" s="5"/>
      <c r="M367" s="5"/>
      <c r="N367" s="5"/>
      <c r="O367" s="5"/>
      <c r="P367" s="5"/>
      <c r="Q367" s="5"/>
      <c r="R367" s="5"/>
      <c r="S367" s="5"/>
      <c r="T367" s="5"/>
      <c r="U367" s="5"/>
      <c r="V367" s="5"/>
      <c r="W367" s="5"/>
    </row>
    <row r="368" spans="1:23" ht="16" x14ac:dyDescent="0.2">
      <c r="A368" s="5"/>
      <c r="B368" s="6"/>
      <c r="C368" s="6"/>
      <c r="D368" s="6"/>
      <c r="E368" s="6"/>
      <c r="F368" s="5"/>
      <c r="G368" s="5"/>
      <c r="H368" s="5"/>
      <c r="I368" s="5"/>
      <c r="J368" s="5"/>
      <c r="K368" s="5"/>
      <c r="L368" s="5"/>
      <c r="M368" s="5"/>
      <c r="N368" s="5"/>
      <c r="O368" s="5"/>
      <c r="P368" s="5"/>
      <c r="Q368" s="5"/>
      <c r="R368" s="5"/>
      <c r="S368" s="5"/>
      <c r="T368" s="5"/>
      <c r="U368" s="5"/>
      <c r="V368" s="5"/>
      <c r="W368" s="5"/>
    </row>
    <row r="369" spans="1:23" ht="16" x14ac:dyDescent="0.2">
      <c r="A369" s="5"/>
      <c r="B369" s="6"/>
      <c r="C369" s="6"/>
      <c r="D369" s="6"/>
      <c r="E369" s="6"/>
      <c r="F369" s="5"/>
      <c r="G369" s="5"/>
      <c r="H369" s="5"/>
      <c r="I369" s="5"/>
      <c r="J369" s="5"/>
      <c r="K369" s="5"/>
      <c r="L369" s="5"/>
      <c r="M369" s="5"/>
      <c r="N369" s="5"/>
      <c r="O369" s="5"/>
      <c r="P369" s="5"/>
      <c r="Q369" s="5"/>
      <c r="R369" s="5"/>
      <c r="S369" s="5"/>
      <c r="T369" s="5"/>
      <c r="U369" s="5"/>
      <c r="V369" s="5"/>
      <c r="W369" s="5"/>
    </row>
    <row r="370" spans="1:23" ht="16" x14ac:dyDescent="0.2">
      <c r="A370" s="5"/>
      <c r="B370" s="6"/>
      <c r="C370" s="6"/>
      <c r="D370" s="6"/>
      <c r="E370" s="6"/>
      <c r="F370" s="5"/>
      <c r="G370" s="5"/>
      <c r="H370" s="5"/>
      <c r="I370" s="5"/>
      <c r="J370" s="5"/>
      <c r="K370" s="5"/>
      <c r="L370" s="5"/>
      <c r="M370" s="5"/>
      <c r="N370" s="5"/>
      <c r="O370" s="5"/>
      <c r="P370" s="5"/>
      <c r="Q370" s="5"/>
      <c r="R370" s="5"/>
      <c r="S370" s="5"/>
      <c r="T370" s="5"/>
      <c r="U370" s="5"/>
      <c r="V370" s="5"/>
      <c r="W370" s="5"/>
    </row>
    <row r="371" spans="1:23" ht="16" x14ac:dyDescent="0.2">
      <c r="A371" s="5"/>
      <c r="B371" s="6"/>
      <c r="C371" s="6"/>
      <c r="D371" s="6"/>
      <c r="E371" s="6"/>
      <c r="F371" s="5"/>
      <c r="G371" s="5"/>
      <c r="H371" s="5"/>
      <c r="I371" s="5"/>
      <c r="J371" s="5"/>
      <c r="K371" s="5"/>
      <c r="L371" s="5"/>
      <c r="M371" s="5"/>
      <c r="N371" s="5"/>
      <c r="O371" s="5"/>
      <c r="P371" s="5"/>
      <c r="Q371" s="5"/>
      <c r="R371" s="5"/>
      <c r="S371" s="5"/>
      <c r="T371" s="5"/>
      <c r="U371" s="5"/>
      <c r="V371" s="5"/>
      <c r="W371" s="5"/>
    </row>
    <row r="372" spans="1:23" ht="16" x14ac:dyDescent="0.2">
      <c r="A372" s="5"/>
      <c r="B372" s="6"/>
      <c r="C372" s="6"/>
      <c r="D372" s="6"/>
      <c r="E372" s="6"/>
      <c r="F372" s="5"/>
      <c r="G372" s="5"/>
      <c r="H372" s="5"/>
      <c r="I372" s="5"/>
      <c r="J372" s="5"/>
      <c r="K372" s="5"/>
      <c r="L372" s="5"/>
      <c r="M372" s="5"/>
      <c r="N372" s="5"/>
      <c r="O372" s="5"/>
      <c r="P372" s="5"/>
      <c r="Q372" s="5"/>
      <c r="R372" s="5"/>
      <c r="S372" s="5"/>
      <c r="T372" s="5"/>
      <c r="U372" s="5"/>
      <c r="V372" s="5"/>
      <c r="W372" s="5"/>
    </row>
    <row r="373" spans="1:23" ht="16" x14ac:dyDescent="0.2">
      <c r="A373" s="5"/>
      <c r="B373" s="6"/>
      <c r="C373" s="6"/>
      <c r="D373" s="6"/>
      <c r="E373" s="6"/>
      <c r="F373" s="5"/>
      <c r="G373" s="5"/>
      <c r="H373" s="5"/>
      <c r="I373" s="5"/>
      <c r="J373" s="5"/>
      <c r="K373" s="5"/>
      <c r="L373" s="5"/>
      <c r="M373" s="5"/>
      <c r="N373" s="5"/>
      <c r="O373" s="5"/>
      <c r="P373" s="5"/>
      <c r="Q373" s="5"/>
      <c r="R373" s="5"/>
      <c r="S373" s="5"/>
      <c r="T373" s="5"/>
      <c r="U373" s="5"/>
      <c r="V373" s="5"/>
      <c r="W373" s="5"/>
    </row>
    <row r="374" spans="1:23" ht="16" x14ac:dyDescent="0.2">
      <c r="A374" s="5"/>
      <c r="B374" s="6"/>
      <c r="C374" s="6"/>
      <c r="D374" s="6"/>
      <c r="E374" s="6"/>
      <c r="F374" s="5"/>
      <c r="G374" s="5"/>
      <c r="H374" s="5"/>
      <c r="I374" s="5"/>
      <c r="J374" s="5"/>
      <c r="K374" s="5"/>
      <c r="L374" s="5"/>
      <c r="M374" s="5"/>
      <c r="N374" s="5"/>
      <c r="O374" s="5"/>
      <c r="P374" s="5"/>
      <c r="Q374" s="5"/>
      <c r="R374" s="5"/>
      <c r="S374" s="5"/>
      <c r="T374" s="5"/>
      <c r="U374" s="5"/>
      <c r="V374" s="5"/>
      <c r="W374" s="5"/>
    </row>
    <row r="375" spans="1:23" ht="16" x14ac:dyDescent="0.2">
      <c r="A375" s="5"/>
      <c r="B375" s="6"/>
      <c r="C375" s="6"/>
      <c r="D375" s="6"/>
      <c r="E375" s="6"/>
      <c r="F375" s="5"/>
      <c r="G375" s="5"/>
      <c r="H375" s="5"/>
      <c r="I375" s="5"/>
      <c r="J375" s="5"/>
      <c r="K375" s="5"/>
      <c r="L375" s="5"/>
      <c r="M375" s="5"/>
      <c r="N375" s="5"/>
      <c r="O375" s="5"/>
      <c r="P375" s="5"/>
      <c r="Q375" s="5"/>
      <c r="R375" s="5"/>
      <c r="S375" s="5"/>
      <c r="T375" s="5"/>
      <c r="U375" s="5"/>
      <c r="V375" s="5"/>
      <c r="W375" s="5"/>
    </row>
    <row r="376" spans="1:23" ht="16" x14ac:dyDescent="0.2">
      <c r="A376" s="5"/>
      <c r="B376" s="6"/>
      <c r="C376" s="6"/>
      <c r="D376" s="6"/>
      <c r="E376" s="6"/>
      <c r="F376" s="5"/>
      <c r="G376" s="5"/>
      <c r="H376" s="5"/>
      <c r="I376" s="5"/>
      <c r="J376" s="5"/>
      <c r="K376" s="5"/>
      <c r="L376" s="5"/>
      <c r="M376" s="5"/>
      <c r="N376" s="5"/>
      <c r="O376" s="5"/>
      <c r="P376" s="5"/>
      <c r="Q376" s="5"/>
      <c r="R376" s="5"/>
      <c r="S376" s="5"/>
      <c r="T376" s="5"/>
      <c r="U376" s="5"/>
      <c r="V376" s="5"/>
      <c r="W376" s="5"/>
    </row>
    <row r="377" spans="1:23" ht="16" x14ac:dyDescent="0.2">
      <c r="A377" s="5"/>
      <c r="B377" s="6"/>
      <c r="C377" s="6"/>
      <c r="D377" s="6"/>
      <c r="E377" s="6"/>
      <c r="F377" s="5"/>
      <c r="G377" s="5"/>
      <c r="H377" s="5"/>
      <c r="I377" s="5"/>
      <c r="J377" s="5"/>
      <c r="K377" s="5"/>
      <c r="L377" s="5"/>
      <c r="M377" s="5"/>
      <c r="N377" s="5"/>
      <c r="O377" s="5"/>
      <c r="P377" s="5"/>
      <c r="Q377" s="5"/>
      <c r="R377" s="5"/>
      <c r="S377" s="5"/>
      <c r="T377" s="5"/>
      <c r="U377" s="5"/>
      <c r="V377" s="5"/>
      <c r="W377" s="5"/>
    </row>
    <row r="378" spans="1:23" ht="16" x14ac:dyDescent="0.2">
      <c r="A378" s="5"/>
      <c r="B378" s="6"/>
      <c r="C378" s="6"/>
      <c r="D378" s="6"/>
      <c r="E378" s="6"/>
      <c r="F378" s="5"/>
      <c r="G378" s="5"/>
      <c r="H378" s="5"/>
      <c r="I378" s="5"/>
      <c r="J378" s="5"/>
      <c r="K378" s="5"/>
      <c r="L378" s="5"/>
      <c r="M378" s="5"/>
      <c r="N378" s="5"/>
      <c r="O378" s="5"/>
      <c r="P378" s="5"/>
      <c r="Q378" s="5"/>
      <c r="R378" s="5"/>
      <c r="S378" s="5"/>
      <c r="T378" s="5"/>
      <c r="U378" s="5"/>
      <c r="V378" s="5"/>
      <c r="W378" s="5"/>
    </row>
    <row r="379" spans="1:23" ht="16" x14ac:dyDescent="0.2">
      <c r="A379" s="5"/>
      <c r="B379" s="6"/>
      <c r="C379" s="6"/>
      <c r="D379" s="6"/>
      <c r="E379" s="6"/>
      <c r="F379" s="5"/>
      <c r="G379" s="5"/>
      <c r="H379" s="5"/>
      <c r="I379" s="5"/>
      <c r="J379" s="5"/>
      <c r="K379" s="5"/>
      <c r="L379" s="5"/>
      <c r="M379" s="5"/>
      <c r="N379" s="5"/>
      <c r="O379" s="5"/>
      <c r="P379" s="5"/>
      <c r="Q379" s="5"/>
      <c r="R379" s="5"/>
      <c r="S379" s="5"/>
      <c r="T379" s="5"/>
      <c r="U379" s="5"/>
      <c r="V379" s="5"/>
      <c r="W379" s="5"/>
    </row>
    <row r="380" spans="1:23" ht="16" x14ac:dyDescent="0.2">
      <c r="A380" s="5"/>
      <c r="B380" s="6"/>
      <c r="C380" s="6"/>
      <c r="D380" s="6"/>
      <c r="E380" s="6"/>
      <c r="F380" s="5"/>
      <c r="G380" s="5"/>
      <c r="H380" s="5"/>
      <c r="I380" s="5"/>
      <c r="J380" s="5"/>
      <c r="K380" s="5"/>
      <c r="L380" s="5"/>
      <c r="M380" s="5"/>
      <c r="N380" s="5"/>
      <c r="O380" s="5"/>
      <c r="P380" s="5"/>
      <c r="Q380" s="5"/>
      <c r="R380" s="5"/>
      <c r="S380" s="5"/>
      <c r="T380" s="5"/>
      <c r="U380" s="5"/>
      <c r="V380" s="5"/>
      <c r="W380" s="5"/>
    </row>
    <row r="381" spans="1:23" ht="16" x14ac:dyDescent="0.2">
      <c r="A381" s="5"/>
      <c r="B381" s="6"/>
      <c r="C381" s="6"/>
      <c r="D381" s="6"/>
      <c r="E381" s="6"/>
      <c r="F381" s="5"/>
      <c r="G381" s="5"/>
      <c r="H381" s="5"/>
      <c r="I381" s="5"/>
      <c r="J381" s="5"/>
      <c r="K381" s="5"/>
      <c r="L381" s="5"/>
      <c r="M381" s="5"/>
      <c r="N381" s="5"/>
      <c r="O381" s="5"/>
      <c r="P381" s="5"/>
      <c r="Q381" s="5"/>
      <c r="R381" s="5"/>
      <c r="S381" s="5"/>
      <c r="T381" s="5"/>
      <c r="U381" s="5"/>
      <c r="V381" s="5"/>
      <c r="W381" s="5"/>
    </row>
    <row r="382" spans="1:23" ht="16" x14ac:dyDescent="0.2">
      <c r="A382" s="5"/>
      <c r="B382" s="6"/>
      <c r="C382" s="6"/>
      <c r="D382" s="6"/>
      <c r="E382" s="6"/>
      <c r="F382" s="5"/>
      <c r="G382" s="5"/>
      <c r="H382" s="5"/>
      <c r="I382" s="5"/>
      <c r="J382" s="5"/>
      <c r="K382" s="5"/>
      <c r="L382" s="5"/>
      <c r="M382" s="5"/>
      <c r="N382" s="5"/>
      <c r="O382" s="5"/>
      <c r="P382" s="5"/>
      <c r="Q382" s="5"/>
      <c r="R382" s="5"/>
      <c r="S382" s="5"/>
      <c r="T382" s="5"/>
      <c r="U382" s="5"/>
      <c r="V382" s="5"/>
      <c r="W382" s="5"/>
    </row>
    <row r="383" spans="1:23" ht="16" x14ac:dyDescent="0.2">
      <c r="A383" s="5"/>
      <c r="B383" s="6"/>
      <c r="C383" s="6"/>
      <c r="D383" s="6"/>
      <c r="E383" s="6"/>
      <c r="F383" s="5"/>
      <c r="G383" s="5"/>
      <c r="H383" s="5"/>
      <c r="I383" s="5"/>
      <c r="J383" s="5"/>
      <c r="K383" s="5"/>
      <c r="L383" s="5"/>
      <c r="M383" s="5"/>
      <c r="N383" s="5"/>
      <c r="O383" s="5"/>
      <c r="P383" s="5"/>
      <c r="Q383" s="5"/>
      <c r="R383" s="5"/>
      <c r="S383" s="5"/>
      <c r="T383" s="5"/>
      <c r="U383" s="5"/>
      <c r="V383" s="5"/>
      <c r="W383" s="5"/>
    </row>
    <row r="384" spans="1:23" ht="16" x14ac:dyDescent="0.2">
      <c r="A384" s="5"/>
      <c r="B384" s="6"/>
      <c r="C384" s="6"/>
      <c r="D384" s="6"/>
      <c r="E384" s="6"/>
      <c r="F384" s="5"/>
      <c r="G384" s="5"/>
      <c r="H384" s="5"/>
      <c r="I384" s="5"/>
      <c r="J384" s="5"/>
      <c r="K384" s="5"/>
      <c r="L384" s="5"/>
      <c r="M384" s="5"/>
      <c r="N384" s="5"/>
      <c r="O384" s="5"/>
      <c r="P384" s="5"/>
      <c r="Q384" s="5"/>
      <c r="R384" s="5"/>
      <c r="S384" s="5"/>
      <c r="T384" s="5"/>
      <c r="U384" s="5"/>
      <c r="V384" s="5"/>
      <c r="W384" s="5"/>
    </row>
    <row r="385" spans="1:23" ht="16" x14ac:dyDescent="0.2">
      <c r="A385" s="5"/>
      <c r="B385" s="6"/>
      <c r="C385" s="6"/>
      <c r="D385" s="6"/>
      <c r="E385" s="6"/>
      <c r="F385" s="5"/>
      <c r="G385" s="5"/>
      <c r="H385" s="5"/>
      <c r="I385" s="5"/>
      <c r="J385" s="5"/>
      <c r="K385" s="5"/>
      <c r="L385" s="5"/>
      <c r="M385" s="5"/>
      <c r="N385" s="5"/>
      <c r="O385" s="5"/>
      <c r="P385" s="5"/>
      <c r="Q385" s="5"/>
      <c r="R385" s="5"/>
      <c r="S385" s="5"/>
      <c r="T385" s="5"/>
      <c r="U385" s="5"/>
      <c r="V385" s="5"/>
      <c r="W385" s="5"/>
    </row>
    <row r="386" spans="1:23" ht="16" x14ac:dyDescent="0.2">
      <c r="A386" s="5"/>
      <c r="B386" s="6"/>
      <c r="C386" s="6"/>
      <c r="D386" s="6"/>
      <c r="E386" s="6"/>
      <c r="F386" s="5"/>
      <c r="G386" s="5"/>
      <c r="H386" s="5"/>
      <c r="I386" s="5"/>
      <c r="J386" s="5"/>
      <c r="K386" s="5"/>
      <c r="L386" s="5"/>
      <c r="M386" s="5"/>
      <c r="N386" s="5"/>
      <c r="O386" s="5"/>
      <c r="P386" s="5"/>
      <c r="Q386" s="5"/>
      <c r="R386" s="5"/>
      <c r="S386" s="5"/>
      <c r="T386" s="5"/>
      <c r="U386" s="5"/>
      <c r="V386" s="5"/>
      <c r="W386" s="5"/>
    </row>
    <row r="387" spans="1:23" ht="16" x14ac:dyDescent="0.2">
      <c r="A387" s="5"/>
      <c r="B387" s="6"/>
      <c r="C387" s="6"/>
      <c r="D387" s="6"/>
      <c r="E387" s="6"/>
      <c r="F387" s="5"/>
      <c r="G387" s="5"/>
      <c r="H387" s="5"/>
      <c r="I387" s="5"/>
      <c r="J387" s="5"/>
      <c r="K387" s="5"/>
      <c r="L387" s="5"/>
      <c r="M387" s="5"/>
      <c r="N387" s="5"/>
      <c r="O387" s="5"/>
      <c r="P387" s="5"/>
      <c r="Q387" s="5"/>
      <c r="R387" s="5"/>
      <c r="S387" s="5"/>
      <c r="T387" s="5"/>
      <c r="U387" s="5"/>
      <c r="V387" s="5"/>
      <c r="W387" s="5"/>
    </row>
    <row r="388" spans="1:23" ht="16" x14ac:dyDescent="0.2">
      <c r="A388" s="5"/>
      <c r="B388" s="6"/>
      <c r="C388" s="6"/>
      <c r="D388" s="6"/>
      <c r="E388" s="6"/>
      <c r="F388" s="5"/>
      <c r="G388" s="5"/>
      <c r="H388" s="5"/>
      <c r="I388" s="5"/>
      <c r="J388" s="5"/>
      <c r="K388" s="5"/>
      <c r="L388" s="5"/>
      <c r="M388" s="5"/>
      <c r="N388" s="5"/>
      <c r="O388" s="5"/>
      <c r="P388" s="5"/>
      <c r="Q388" s="5"/>
      <c r="R388" s="5"/>
      <c r="S388" s="5"/>
      <c r="T388" s="5"/>
      <c r="U388" s="5"/>
      <c r="V388" s="5"/>
      <c r="W388" s="5"/>
    </row>
    <row r="389" spans="1:23" ht="16" x14ac:dyDescent="0.2">
      <c r="A389" s="5"/>
      <c r="B389" s="6"/>
      <c r="C389" s="6"/>
      <c r="D389" s="6"/>
      <c r="E389" s="6"/>
      <c r="F389" s="5"/>
      <c r="G389" s="5"/>
      <c r="H389" s="5"/>
      <c r="I389" s="5"/>
      <c r="J389" s="5"/>
      <c r="K389" s="5"/>
      <c r="L389" s="5"/>
      <c r="M389" s="5"/>
      <c r="N389" s="5"/>
      <c r="O389" s="5"/>
      <c r="P389" s="5"/>
      <c r="Q389" s="5"/>
      <c r="R389" s="5"/>
      <c r="S389" s="5"/>
      <c r="T389" s="5"/>
      <c r="U389" s="5"/>
      <c r="V389" s="5"/>
      <c r="W389" s="5"/>
    </row>
    <row r="390" spans="1:23" ht="16" x14ac:dyDescent="0.2">
      <c r="A390" s="5"/>
      <c r="B390" s="6"/>
      <c r="C390" s="6"/>
      <c r="D390" s="6"/>
      <c r="E390" s="6"/>
      <c r="F390" s="5"/>
      <c r="G390" s="5"/>
      <c r="H390" s="5"/>
      <c r="I390" s="5"/>
      <c r="J390" s="5"/>
      <c r="K390" s="5"/>
      <c r="L390" s="5"/>
      <c r="M390" s="5"/>
      <c r="N390" s="5"/>
      <c r="O390" s="5"/>
      <c r="P390" s="5"/>
      <c r="Q390" s="5"/>
      <c r="R390" s="5"/>
      <c r="S390" s="5"/>
      <c r="T390" s="5"/>
      <c r="U390" s="5"/>
      <c r="V390" s="5"/>
      <c r="W390" s="5"/>
    </row>
    <row r="391" spans="1:23" ht="16" x14ac:dyDescent="0.2">
      <c r="A391" s="5"/>
      <c r="B391" s="6"/>
      <c r="C391" s="6"/>
      <c r="D391" s="6"/>
      <c r="E391" s="6"/>
      <c r="F391" s="5"/>
      <c r="G391" s="5"/>
      <c r="H391" s="5"/>
      <c r="I391" s="5"/>
      <c r="J391" s="5"/>
      <c r="K391" s="5"/>
      <c r="L391" s="5"/>
      <c r="M391" s="5"/>
      <c r="N391" s="5"/>
      <c r="O391" s="5"/>
      <c r="P391" s="5"/>
      <c r="Q391" s="5"/>
      <c r="R391" s="5"/>
      <c r="S391" s="5"/>
      <c r="T391" s="5"/>
      <c r="U391" s="5"/>
      <c r="V391" s="5"/>
      <c r="W391" s="5"/>
    </row>
    <row r="392" spans="1:23" ht="16" x14ac:dyDescent="0.2">
      <c r="A392" s="5"/>
      <c r="B392" s="6"/>
      <c r="C392" s="6"/>
      <c r="D392" s="6"/>
      <c r="E392" s="6"/>
      <c r="F392" s="5"/>
      <c r="G392" s="5"/>
      <c r="H392" s="5"/>
      <c r="I392" s="5"/>
      <c r="J392" s="5"/>
      <c r="K392" s="5"/>
      <c r="L392" s="5"/>
      <c r="M392" s="5"/>
      <c r="N392" s="5"/>
      <c r="O392" s="5"/>
      <c r="P392" s="5"/>
      <c r="Q392" s="5"/>
      <c r="R392" s="5"/>
      <c r="S392" s="5"/>
      <c r="T392" s="5"/>
      <c r="U392" s="5"/>
      <c r="V392" s="5"/>
      <c r="W392" s="5"/>
    </row>
    <row r="393" spans="1:23" ht="16" x14ac:dyDescent="0.2">
      <c r="A393" s="5"/>
      <c r="B393" s="6"/>
      <c r="C393" s="6"/>
      <c r="D393" s="6"/>
      <c r="E393" s="6"/>
      <c r="F393" s="5"/>
      <c r="G393" s="5"/>
      <c r="H393" s="5"/>
      <c r="I393" s="5"/>
      <c r="J393" s="5"/>
      <c r="K393" s="5"/>
      <c r="L393" s="5"/>
      <c r="M393" s="5"/>
      <c r="N393" s="5"/>
      <c r="O393" s="5"/>
      <c r="P393" s="5"/>
      <c r="Q393" s="5"/>
      <c r="R393" s="5"/>
      <c r="S393" s="5"/>
      <c r="T393" s="5"/>
      <c r="U393" s="5"/>
      <c r="V393" s="5"/>
      <c r="W393" s="5"/>
    </row>
    <row r="394" spans="1:23" ht="16" x14ac:dyDescent="0.2">
      <c r="A394" s="5"/>
      <c r="B394" s="6"/>
      <c r="C394" s="6"/>
      <c r="D394" s="6"/>
      <c r="E394" s="6"/>
      <c r="F394" s="5"/>
      <c r="G394" s="5"/>
      <c r="H394" s="5"/>
      <c r="I394" s="5"/>
      <c r="J394" s="5"/>
      <c r="K394" s="5"/>
      <c r="L394" s="5"/>
      <c r="M394" s="5"/>
      <c r="N394" s="5"/>
      <c r="O394" s="5"/>
      <c r="P394" s="5"/>
      <c r="Q394" s="5"/>
      <c r="R394" s="5"/>
      <c r="S394" s="5"/>
      <c r="T394" s="5"/>
      <c r="U394" s="5"/>
      <c r="V394" s="5"/>
      <c r="W394" s="5"/>
    </row>
    <row r="395" spans="1:23" ht="16" x14ac:dyDescent="0.2">
      <c r="A395" s="5"/>
      <c r="B395" s="6"/>
      <c r="C395" s="6"/>
      <c r="D395" s="6"/>
      <c r="E395" s="6"/>
      <c r="F395" s="5"/>
      <c r="G395" s="5"/>
      <c r="H395" s="5"/>
      <c r="I395" s="5"/>
      <c r="J395" s="5"/>
      <c r="K395" s="5"/>
      <c r="L395" s="5"/>
      <c r="M395" s="5"/>
      <c r="N395" s="5"/>
      <c r="O395" s="5"/>
      <c r="P395" s="5"/>
      <c r="Q395" s="5"/>
      <c r="R395" s="5"/>
      <c r="S395" s="5"/>
      <c r="T395" s="5"/>
      <c r="U395" s="5"/>
      <c r="V395" s="5"/>
      <c r="W395" s="5"/>
    </row>
    <row r="396" spans="1:23" ht="16" x14ac:dyDescent="0.2">
      <c r="A396" s="5"/>
      <c r="B396" s="6"/>
      <c r="C396" s="6"/>
      <c r="D396" s="6"/>
      <c r="E396" s="6"/>
      <c r="F396" s="5"/>
      <c r="G396" s="5"/>
      <c r="H396" s="5"/>
      <c r="I396" s="5"/>
      <c r="J396" s="5"/>
      <c r="K396" s="5"/>
      <c r="L396" s="5"/>
      <c r="M396" s="5"/>
      <c r="N396" s="5"/>
      <c r="O396" s="5"/>
      <c r="P396" s="5"/>
      <c r="Q396" s="5"/>
      <c r="R396" s="5"/>
      <c r="S396" s="5"/>
      <c r="T396" s="5"/>
      <c r="U396" s="5"/>
      <c r="V396" s="5"/>
      <c r="W396" s="5"/>
    </row>
    <row r="397" spans="1:23" ht="16" x14ac:dyDescent="0.2">
      <c r="A397" s="5"/>
      <c r="B397" s="6"/>
      <c r="C397" s="6"/>
      <c r="D397" s="6"/>
      <c r="E397" s="6"/>
      <c r="F397" s="5"/>
      <c r="G397" s="5"/>
      <c r="H397" s="5"/>
      <c r="I397" s="5"/>
      <c r="J397" s="5"/>
      <c r="K397" s="5"/>
      <c r="L397" s="5"/>
      <c r="M397" s="5"/>
      <c r="N397" s="5"/>
      <c r="O397" s="5"/>
      <c r="P397" s="5"/>
      <c r="Q397" s="5"/>
      <c r="R397" s="5"/>
      <c r="S397" s="5"/>
      <c r="T397" s="5"/>
      <c r="U397" s="5"/>
      <c r="V397" s="5"/>
      <c r="W397" s="5"/>
    </row>
    <row r="398" spans="1:23" ht="16" x14ac:dyDescent="0.2">
      <c r="A398" s="5"/>
      <c r="B398" s="6"/>
      <c r="C398" s="6"/>
      <c r="D398" s="6"/>
      <c r="E398" s="6"/>
      <c r="F398" s="5"/>
      <c r="G398" s="5"/>
      <c r="H398" s="5"/>
      <c r="I398" s="5"/>
      <c r="J398" s="5"/>
      <c r="K398" s="5"/>
      <c r="L398" s="5"/>
      <c r="M398" s="5"/>
      <c r="N398" s="5"/>
      <c r="O398" s="5"/>
      <c r="P398" s="5"/>
      <c r="Q398" s="5"/>
      <c r="R398" s="5"/>
      <c r="S398" s="5"/>
      <c r="T398" s="5"/>
      <c r="U398" s="5"/>
      <c r="V398" s="5"/>
      <c r="W398" s="5"/>
    </row>
    <row r="399" spans="1:23" ht="16" x14ac:dyDescent="0.2">
      <c r="A399" s="5"/>
      <c r="B399" s="6"/>
      <c r="C399" s="6"/>
      <c r="D399" s="6"/>
      <c r="E399" s="6"/>
      <c r="F399" s="5"/>
      <c r="G399" s="5"/>
      <c r="H399" s="5"/>
      <c r="I399" s="5"/>
      <c r="J399" s="5"/>
      <c r="K399" s="5"/>
      <c r="L399" s="5"/>
      <c r="M399" s="5"/>
      <c r="N399" s="5"/>
      <c r="O399" s="5"/>
      <c r="P399" s="5"/>
      <c r="Q399" s="5"/>
      <c r="R399" s="5"/>
      <c r="S399" s="5"/>
      <c r="T399" s="5"/>
      <c r="U399" s="5"/>
      <c r="V399" s="5"/>
      <c r="W399" s="5"/>
    </row>
    <row r="400" spans="1:23" ht="16" x14ac:dyDescent="0.2">
      <c r="A400" s="5"/>
      <c r="B400" s="6"/>
      <c r="C400" s="6"/>
      <c r="D400" s="6"/>
      <c r="E400" s="6"/>
      <c r="F400" s="5"/>
      <c r="G400" s="5"/>
      <c r="H400" s="5"/>
      <c r="I400" s="5"/>
      <c r="J400" s="5"/>
      <c r="K400" s="5"/>
      <c r="L400" s="5"/>
      <c r="M400" s="5"/>
      <c r="N400" s="5"/>
      <c r="O400" s="5"/>
      <c r="P400" s="5"/>
      <c r="Q400" s="5"/>
      <c r="R400" s="5"/>
      <c r="S400" s="5"/>
      <c r="T400" s="5"/>
      <c r="U400" s="5"/>
      <c r="V400" s="5"/>
      <c r="W400" s="5"/>
    </row>
    <row r="401" spans="1:23" ht="16" x14ac:dyDescent="0.2">
      <c r="A401" s="5"/>
      <c r="B401" s="6"/>
      <c r="C401" s="6"/>
      <c r="D401" s="6"/>
      <c r="E401" s="6"/>
      <c r="F401" s="5"/>
      <c r="G401" s="5"/>
      <c r="H401" s="5"/>
      <c r="I401" s="5"/>
      <c r="J401" s="5"/>
      <c r="K401" s="5"/>
      <c r="L401" s="5"/>
      <c r="M401" s="5"/>
      <c r="N401" s="5"/>
      <c r="O401" s="5"/>
      <c r="P401" s="5"/>
      <c r="Q401" s="5"/>
      <c r="R401" s="5"/>
      <c r="S401" s="5"/>
      <c r="T401" s="5"/>
      <c r="U401" s="5"/>
      <c r="V401" s="5"/>
      <c r="W401" s="5"/>
    </row>
    <row r="402" spans="1:23" ht="16" x14ac:dyDescent="0.2">
      <c r="A402" s="5"/>
      <c r="B402" s="6"/>
      <c r="C402" s="6"/>
      <c r="D402" s="6"/>
      <c r="E402" s="6"/>
      <c r="F402" s="5"/>
      <c r="G402" s="5"/>
      <c r="H402" s="5"/>
      <c r="I402" s="5"/>
      <c r="J402" s="5"/>
      <c r="K402" s="5"/>
      <c r="L402" s="5"/>
      <c r="M402" s="5"/>
      <c r="N402" s="5"/>
      <c r="O402" s="5"/>
      <c r="P402" s="5"/>
      <c r="Q402" s="5"/>
      <c r="R402" s="5"/>
      <c r="S402" s="5"/>
      <c r="T402" s="5"/>
      <c r="U402" s="5"/>
      <c r="V402" s="5"/>
      <c r="W402" s="5"/>
    </row>
    <row r="403" spans="1:23" ht="16" x14ac:dyDescent="0.2">
      <c r="A403" s="5"/>
      <c r="B403" s="6"/>
      <c r="C403" s="6"/>
      <c r="D403" s="6"/>
      <c r="E403" s="6"/>
      <c r="F403" s="5"/>
      <c r="G403" s="5"/>
      <c r="H403" s="5"/>
      <c r="I403" s="5"/>
      <c r="J403" s="5"/>
      <c r="K403" s="5"/>
      <c r="L403" s="5"/>
      <c r="M403" s="5"/>
      <c r="N403" s="5"/>
      <c r="O403" s="5"/>
      <c r="P403" s="5"/>
      <c r="Q403" s="5"/>
      <c r="R403" s="5"/>
      <c r="S403" s="5"/>
      <c r="T403" s="5"/>
      <c r="U403" s="5"/>
      <c r="V403" s="5"/>
      <c r="W403" s="5"/>
    </row>
    <row r="404" spans="1:23" ht="16" x14ac:dyDescent="0.2">
      <c r="A404" s="5"/>
      <c r="B404" s="6"/>
      <c r="C404" s="6"/>
      <c r="D404" s="6"/>
      <c r="E404" s="6"/>
      <c r="F404" s="5"/>
      <c r="G404" s="5"/>
      <c r="H404" s="5"/>
      <c r="I404" s="5"/>
      <c r="J404" s="5"/>
      <c r="K404" s="5"/>
      <c r="L404" s="5"/>
      <c r="M404" s="5"/>
      <c r="N404" s="5"/>
      <c r="O404" s="5"/>
      <c r="P404" s="5"/>
      <c r="Q404" s="5"/>
      <c r="R404" s="5"/>
      <c r="S404" s="5"/>
      <c r="T404" s="5"/>
      <c r="U404" s="5"/>
      <c r="V404" s="5"/>
      <c r="W404" s="5"/>
    </row>
    <row r="405" spans="1:23" ht="16" x14ac:dyDescent="0.2">
      <c r="A405" s="5"/>
      <c r="B405" s="6"/>
      <c r="C405" s="6"/>
      <c r="D405" s="6"/>
      <c r="E405" s="6"/>
      <c r="F405" s="5"/>
      <c r="G405" s="5"/>
      <c r="H405" s="5"/>
      <c r="I405" s="5"/>
      <c r="J405" s="5"/>
      <c r="K405" s="5"/>
      <c r="L405" s="5"/>
      <c r="M405" s="5"/>
      <c r="N405" s="5"/>
      <c r="O405" s="5"/>
      <c r="P405" s="5"/>
      <c r="Q405" s="5"/>
      <c r="R405" s="5"/>
      <c r="S405" s="5"/>
      <c r="T405" s="5"/>
      <c r="U405" s="5"/>
      <c r="V405" s="5"/>
      <c r="W405" s="5"/>
    </row>
    <row r="406" spans="1:23" ht="16" x14ac:dyDescent="0.2">
      <c r="A406" s="5"/>
      <c r="B406" s="6"/>
      <c r="C406" s="6"/>
      <c r="D406" s="6"/>
      <c r="E406" s="6"/>
      <c r="F406" s="5"/>
      <c r="G406" s="5"/>
      <c r="H406" s="5"/>
      <c r="I406" s="5"/>
      <c r="J406" s="5"/>
      <c r="K406" s="5"/>
      <c r="L406" s="5"/>
      <c r="M406" s="5"/>
      <c r="N406" s="5"/>
      <c r="O406" s="5"/>
      <c r="P406" s="5"/>
      <c r="Q406" s="5"/>
      <c r="R406" s="5"/>
      <c r="S406" s="5"/>
      <c r="T406" s="5"/>
      <c r="U406" s="5"/>
      <c r="V406" s="5"/>
      <c r="W406" s="5"/>
    </row>
    <row r="407" spans="1:23" ht="16" x14ac:dyDescent="0.2">
      <c r="A407" s="5"/>
      <c r="B407" s="6"/>
      <c r="C407" s="6"/>
      <c r="D407" s="6"/>
      <c r="E407" s="6"/>
      <c r="F407" s="5"/>
      <c r="G407" s="5"/>
      <c r="H407" s="5"/>
      <c r="I407" s="5"/>
      <c r="J407" s="5"/>
      <c r="K407" s="5"/>
      <c r="L407" s="5"/>
      <c r="M407" s="5"/>
      <c r="N407" s="5"/>
      <c r="O407" s="5"/>
      <c r="P407" s="5"/>
      <c r="Q407" s="5"/>
      <c r="R407" s="5"/>
      <c r="S407" s="5"/>
      <c r="T407" s="5"/>
      <c r="U407" s="5"/>
      <c r="V407" s="5"/>
      <c r="W407" s="5"/>
    </row>
    <row r="408" spans="1:23" ht="16" x14ac:dyDescent="0.2">
      <c r="A408" s="5"/>
      <c r="B408" s="6"/>
      <c r="C408" s="6"/>
      <c r="D408" s="6"/>
      <c r="E408" s="6"/>
      <c r="F408" s="5"/>
      <c r="G408" s="5"/>
      <c r="H408" s="5"/>
      <c r="I408" s="5"/>
      <c r="J408" s="5"/>
      <c r="K408" s="5"/>
      <c r="L408" s="5"/>
      <c r="M408" s="5"/>
      <c r="N408" s="5"/>
      <c r="O408" s="5"/>
      <c r="P408" s="5"/>
      <c r="Q408" s="5"/>
      <c r="R408" s="5"/>
      <c r="S408" s="5"/>
      <c r="T408" s="5"/>
      <c r="U408" s="5"/>
      <c r="V408" s="5"/>
      <c r="W408" s="5"/>
    </row>
    <row r="409" spans="1:23" ht="16" x14ac:dyDescent="0.2">
      <c r="A409" s="5"/>
      <c r="B409" s="6"/>
      <c r="C409" s="6"/>
      <c r="D409" s="6"/>
      <c r="E409" s="6"/>
      <c r="F409" s="5"/>
      <c r="G409" s="5"/>
      <c r="H409" s="5"/>
      <c r="I409" s="5"/>
      <c r="J409" s="5"/>
      <c r="K409" s="5"/>
      <c r="L409" s="5"/>
      <c r="M409" s="5"/>
      <c r="N409" s="5"/>
      <c r="O409" s="5"/>
      <c r="P409" s="5"/>
      <c r="Q409" s="5"/>
      <c r="R409" s="5"/>
      <c r="S409" s="5"/>
      <c r="T409" s="5"/>
      <c r="U409" s="5"/>
      <c r="V409" s="5"/>
      <c r="W409" s="5"/>
    </row>
    <row r="410" spans="1:23" ht="16" x14ac:dyDescent="0.2">
      <c r="A410" s="5"/>
      <c r="B410" s="6"/>
      <c r="C410" s="6"/>
      <c r="D410" s="6"/>
      <c r="E410" s="6"/>
      <c r="F410" s="5"/>
      <c r="G410" s="5"/>
      <c r="H410" s="5"/>
      <c r="I410" s="5"/>
      <c r="J410" s="5"/>
      <c r="K410" s="5"/>
      <c r="L410" s="5"/>
      <c r="M410" s="5"/>
      <c r="N410" s="5"/>
      <c r="O410" s="5"/>
      <c r="P410" s="5"/>
      <c r="Q410" s="5"/>
      <c r="R410" s="5"/>
      <c r="S410" s="5"/>
      <c r="T410" s="5"/>
      <c r="U410" s="5"/>
      <c r="V410" s="5"/>
      <c r="W410" s="5"/>
    </row>
    <row r="411" spans="1:23" ht="16" x14ac:dyDescent="0.2">
      <c r="A411" s="5"/>
      <c r="B411" s="6"/>
      <c r="C411" s="6"/>
      <c r="D411" s="6"/>
      <c r="E411" s="6"/>
      <c r="F411" s="5"/>
      <c r="G411" s="5"/>
      <c r="H411" s="5"/>
      <c r="I411" s="5"/>
      <c r="J411" s="5"/>
      <c r="K411" s="5"/>
      <c r="L411" s="5"/>
      <c r="M411" s="5"/>
      <c r="N411" s="5"/>
      <c r="O411" s="5"/>
      <c r="P411" s="5"/>
      <c r="Q411" s="5"/>
      <c r="R411" s="5"/>
      <c r="S411" s="5"/>
      <c r="T411" s="5"/>
      <c r="U411" s="5"/>
      <c r="V411" s="5"/>
      <c r="W411" s="5"/>
    </row>
    <row r="412" spans="1:23" ht="16" x14ac:dyDescent="0.2">
      <c r="A412" s="5"/>
      <c r="B412" s="6"/>
      <c r="C412" s="6"/>
      <c r="D412" s="6"/>
      <c r="E412" s="6"/>
      <c r="F412" s="5"/>
      <c r="G412" s="5"/>
      <c r="H412" s="5"/>
      <c r="I412" s="5"/>
      <c r="J412" s="5"/>
      <c r="K412" s="5"/>
      <c r="L412" s="5"/>
      <c r="M412" s="5"/>
      <c r="N412" s="5"/>
      <c r="O412" s="5"/>
      <c r="P412" s="5"/>
      <c r="Q412" s="5"/>
      <c r="R412" s="5"/>
      <c r="S412" s="5"/>
      <c r="T412" s="5"/>
      <c r="U412" s="5"/>
      <c r="V412" s="5"/>
      <c r="W412" s="5"/>
    </row>
    <row r="413" spans="1:23" ht="16" x14ac:dyDescent="0.2">
      <c r="A413" s="5"/>
      <c r="B413" s="6"/>
      <c r="C413" s="6"/>
      <c r="D413" s="6"/>
      <c r="E413" s="6"/>
      <c r="F413" s="5"/>
      <c r="G413" s="5"/>
      <c r="H413" s="5"/>
      <c r="I413" s="5"/>
      <c r="J413" s="5"/>
      <c r="K413" s="5"/>
      <c r="L413" s="5"/>
      <c r="M413" s="5"/>
      <c r="N413" s="5"/>
      <c r="O413" s="5"/>
      <c r="P413" s="5"/>
      <c r="Q413" s="5"/>
      <c r="R413" s="5"/>
      <c r="S413" s="5"/>
      <c r="T413" s="5"/>
      <c r="U413" s="5"/>
      <c r="V413" s="5"/>
      <c r="W413" s="5"/>
    </row>
    <row r="414" spans="1:23" ht="16" x14ac:dyDescent="0.2">
      <c r="A414" s="5"/>
      <c r="B414" s="6"/>
      <c r="C414" s="6"/>
      <c r="D414" s="6"/>
      <c r="E414" s="6"/>
      <c r="F414" s="5"/>
      <c r="G414" s="5"/>
      <c r="H414" s="5"/>
      <c r="I414" s="5"/>
      <c r="J414" s="5"/>
      <c r="K414" s="5"/>
      <c r="L414" s="5"/>
      <c r="M414" s="5"/>
      <c r="N414" s="5"/>
      <c r="O414" s="5"/>
      <c r="P414" s="5"/>
      <c r="Q414" s="5"/>
      <c r="R414" s="5"/>
      <c r="S414" s="5"/>
      <c r="T414" s="5"/>
      <c r="U414" s="5"/>
      <c r="V414" s="5"/>
      <c r="W414" s="5"/>
    </row>
    <row r="415" spans="1:23" ht="16" x14ac:dyDescent="0.2">
      <c r="A415" s="5"/>
      <c r="B415" s="6"/>
      <c r="C415" s="6"/>
      <c r="D415" s="6"/>
      <c r="E415" s="6"/>
      <c r="F415" s="5"/>
      <c r="G415" s="5"/>
      <c r="H415" s="5"/>
      <c r="I415" s="5"/>
      <c r="J415" s="5"/>
      <c r="K415" s="5"/>
      <c r="L415" s="5"/>
      <c r="M415" s="5"/>
      <c r="N415" s="5"/>
      <c r="O415" s="5"/>
      <c r="P415" s="5"/>
      <c r="Q415" s="5"/>
      <c r="R415" s="5"/>
      <c r="S415" s="5"/>
      <c r="T415" s="5"/>
      <c r="U415" s="5"/>
      <c r="V415" s="5"/>
      <c r="W415" s="5"/>
    </row>
    <row r="416" spans="1:23" ht="16" x14ac:dyDescent="0.2">
      <c r="A416" s="5"/>
      <c r="B416" s="6"/>
      <c r="C416" s="6"/>
      <c r="D416" s="6"/>
      <c r="E416" s="6"/>
      <c r="F416" s="5"/>
      <c r="G416" s="5"/>
      <c r="H416" s="5"/>
      <c r="I416" s="5"/>
      <c r="J416" s="5"/>
      <c r="K416" s="5"/>
      <c r="L416" s="5"/>
      <c r="M416" s="5"/>
      <c r="N416" s="5"/>
      <c r="O416" s="5"/>
      <c r="P416" s="5"/>
      <c r="Q416" s="5"/>
      <c r="R416" s="5"/>
      <c r="S416" s="5"/>
      <c r="T416" s="5"/>
      <c r="U416" s="5"/>
      <c r="V416" s="5"/>
      <c r="W416" s="5"/>
    </row>
    <row r="417" spans="1:23" ht="16" x14ac:dyDescent="0.2">
      <c r="A417" s="5"/>
      <c r="B417" s="6"/>
      <c r="C417" s="6"/>
      <c r="D417" s="6"/>
      <c r="E417" s="6"/>
      <c r="F417" s="5"/>
      <c r="G417" s="5"/>
      <c r="H417" s="5"/>
      <c r="I417" s="5"/>
      <c r="J417" s="5"/>
      <c r="K417" s="5"/>
      <c r="L417" s="5"/>
      <c r="M417" s="5"/>
      <c r="N417" s="5"/>
      <c r="O417" s="5"/>
      <c r="P417" s="5"/>
      <c r="Q417" s="5"/>
      <c r="R417" s="5"/>
      <c r="S417" s="5"/>
      <c r="T417" s="5"/>
      <c r="U417" s="5"/>
      <c r="V417" s="5"/>
      <c r="W417" s="5"/>
    </row>
    <row r="418" spans="1:23" ht="16" x14ac:dyDescent="0.2">
      <c r="A418" s="5"/>
      <c r="B418" s="6"/>
      <c r="C418" s="6"/>
      <c r="D418" s="6"/>
      <c r="E418" s="6"/>
      <c r="F418" s="5"/>
      <c r="G418" s="5"/>
      <c r="H418" s="5"/>
      <c r="I418" s="5"/>
      <c r="J418" s="5"/>
      <c r="K418" s="5"/>
      <c r="L418" s="5"/>
      <c r="M418" s="5"/>
      <c r="N418" s="5"/>
      <c r="O418" s="5"/>
      <c r="P418" s="5"/>
      <c r="Q418" s="5"/>
      <c r="R418" s="5"/>
      <c r="S418" s="5"/>
      <c r="T418" s="5"/>
      <c r="U418" s="5"/>
      <c r="V418" s="5"/>
      <c r="W418" s="5"/>
    </row>
    <row r="419" spans="1:23" ht="16" x14ac:dyDescent="0.2">
      <c r="A419" s="5"/>
      <c r="B419" s="6"/>
      <c r="C419" s="6"/>
      <c r="D419" s="6"/>
      <c r="E419" s="6"/>
      <c r="F419" s="5"/>
      <c r="G419" s="5"/>
      <c r="H419" s="5"/>
      <c r="I419" s="5"/>
      <c r="J419" s="5"/>
      <c r="K419" s="5"/>
      <c r="L419" s="5"/>
      <c r="M419" s="5"/>
      <c r="N419" s="5"/>
      <c r="O419" s="5"/>
      <c r="P419" s="5"/>
      <c r="Q419" s="5"/>
      <c r="R419" s="5"/>
      <c r="S419" s="5"/>
      <c r="T419" s="5"/>
      <c r="U419" s="5"/>
      <c r="V419" s="5"/>
      <c r="W419" s="5"/>
    </row>
    <row r="420" spans="1:23" ht="16" x14ac:dyDescent="0.2">
      <c r="A420" s="5"/>
      <c r="B420" s="6"/>
      <c r="C420" s="6"/>
      <c r="D420" s="6"/>
      <c r="E420" s="6"/>
      <c r="F420" s="5"/>
      <c r="G420" s="5"/>
      <c r="H420" s="5"/>
      <c r="I420" s="5"/>
      <c r="J420" s="5"/>
      <c r="K420" s="5"/>
      <c r="L420" s="5"/>
      <c r="M420" s="5"/>
      <c r="N420" s="5"/>
      <c r="O420" s="5"/>
      <c r="P420" s="5"/>
      <c r="Q420" s="5"/>
      <c r="R420" s="5"/>
      <c r="S420" s="5"/>
      <c r="T420" s="5"/>
      <c r="U420" s="5"/>
      <c r="V420" s="5"/>
      <c r="W420" s="5"/>
    </row>
    <row r="421" spans="1:23" ht="16" x14ac:dyDescent="0.2">
      <c r="A421" s="5"/>
      <c r="B421" s="6"/>
      <c r="C421" s="6"/>
      <c r="D421" s="6"/>
      <c r="E421" s="6"/>
      <c r="F421" s="5"/>
      <c r="G421" s="5"/>
      <c r="H421" s="5"/>
      <c r="I421" s="5"/>
      <c r="J421" s="5"/>
      <c r="K421" s="5"/>
      <c r="L421" s="5"/>
      <c r="M421" s="5"/>
      <c r="N421" s="5"/>
      <c r="O421" s="5"/>
      <c r="P421" s="5"/>
      <c r="Q421" s="5"/>
      <c r="R421" s="5"/>
      <c r="S421" s="5"/>
      <c r="T421" s="5"/>
      <c r="U421" s="5"/>
      <c r="V421" s="5"/>
      <c r="W421" s="5"/>
    </row>
    <row r="422" spans="1:23" ht="16" x14ac:dyDescent="0.2">
      <c r="A422" s="5"/>
      <c r="B422" s="6"/>
      <c r="C422" s="6"/>
      <c r="D422" s="6"/>
      <c r="E422" s="6"/>
      <c r="F422" s="5"/>
      <c r="G422" s="5"/>
      <c r="H422" s="5"/>
      <c r="I422" s="5"/>
      <c r="J422" s="5"/>
      <c r="K422" s="5"/>
      <c r="L422" s="5"/>
      <c r="M422" s="5"/>
      <c r="N422" s="5"/>
      <c r="O422" s="5"/>
      <c r="P422" s="5"/>
      <c r="Q422" s="5"/>
      <c r="R422" s="5"/>
      <c r="S422" s="5"/>
      <c r="T422" s="5"/>
      <c r="U422" s="5"/>
      <c r="V422" s="5"/>
      <c r="W422" s="5"/>
    </row>
    <row r="423" spans="1:23" ht="16" x14ac:dyDescent="0.2">
      <c r="A423" s="5"/>
      <c r="B423" s="6"/>
      <c r="C423" s="6"/>
      <c r="D423" s="6"/>
      <c r="E423" s="6"/>
      <c r="F423" s="5"/>
      <c r="G423" s="5"/>
      <c r="H423" s="5"/>
      <c r="I423" s="5"/>
      <c r="J423" s="5"/>
      <c r="K423" s="5"/>
      <c r="L423" s="5"/>
      <c r="M423" s="5"/>
      <c r="N423" s="5"/>
      <c r="O423" s="5"/>
      <c r="P423" s="5"/>
      <c r="Q423" s="5"/>
      <c r="R423" s="5"/>
      <c r="S423" s="5"/>
      <c r="T423" s="5"/>
      <c r="U423" s="5"/>
      <c r="V423" s="5"/>
      <c r="W423" s="5"/>
    </row>
    <row r="424" spans="1:23" ht="16" x14ac:dyDescent="0.2">
      <c r="A424" s="5"/>
      <c r="B424" s="6"/>
      <c r="C424" s="6"/>
      <c r="D424" s="6"/>
      <c r="E424" s="6"/>
      <c r="F424" s="5"/>
      <c r="G424" s="5"/>
      <c r="H424" s="5"/>
      <c r="I424" s="5"/>
      <c r="J424" s="5"/>
      <c r="K424" s="5"/>
      <c r="L424" s="5"/>
      <c r="M424" s="5"/>
      <c r="N424" s="5"/>
      <c r="O424" s="5"/>
      <c r="P424" s="5"/>
      <c r="Q424" s="5"/>
      <c r="R424" s="5"/>
      <c r="S424" s="5"/>
      <c r="T424" s="5"/>
      <c r="U424" s="5"/>
      <c r="V424" s="5"/>
      <c r="W424" s="5"/>
    </row>
    <row r="425" spans="1:23" ht="16" x14ac:dyDescent="0.2">
      <c r="A425" s="5"/>
      <c r="B425" s="6"/>
      <c r="C425" s="6"/>
      <c r="D425" s="6"/>
      <c r="E425" s="6"/>
      <c r="F425" s="5"/>
      <c r="G425" s="5"/>
      <c r="H425" s="5"/>
      <c r="I425" s="5"/>
      <c r="J425" s="5"/>
      <c r="K425" s="5"/>
      <c r="L425" s="5"/>
      <c r="M425" s="5"/>
      <c r="N425" s="5"/>
      <c r="O425" s="5"/>
      <c r="P425" s="5"/>
      <c r="Q425" s="5"/>
      <c r="R425" s="5"/>
      <c r="S425" s="5"/>
      <c r="T425" s="5"/>
      <c r="U425" s="5"/>
      <c r="V425" s="5"/>
      <c r="W425" s="5"/>
    </row>
    <row r="426" spans="1:23" ht="16" x14ac:dyDescent="0.2">
      <c r="A426" s="5"/>
      <c r="B426" s="6"/>
      <c r="C426" s="6"/>
      <c r="D426" s="6"/>
      <c r="E426" s="6"/>
      <c r="F426" s="5"/>
      <c r="G426" s="5"/>
      <c r="H426" s="5"/>
      <c r="I426" s="5"/>
      <c r="J426" s="5"/>
      <c r="K426" s="5"/>
      <c r="L426" s="5"/>
      <c r="M426" s="5"/>
      <c r="N426" s="5"/>
      <c r="O426" s="5"/>
      <c r="P426" s="5"/>
      <c r="Q426" s="5"/>
      <c r="R426" s="5"/>
      <c r="S426" s="5"/>
      <c r="T426" s="5"/>
      <c r="U426" s="5"/>
      <c r="V426" s="5"/>
      <c r="W426" s="5"/>
    </row>
    <row r="427" spans="1:23" ht="16" x14ac:dyDescent="0.2">
      <c r="A427" s="5"/>
      <c r="B427" s="6"/>
      <c r="C427" s="6"/>
      <c r="D427" s="6"/>
      <c r="E427" s="6"/>
      <c r="F427" s="5"/>
      <c r="G427" s="5"/>
      <c r="H427" s="5"/>
      <c r="I427" s="5"/>
      <c r="J427" s="5"/>
      <c r="K427" s="5"/>
      <c r="L427" s="5"/>
      <c r="M427" s="5"/>
      <c r="N427" s="5"/>
      <c r="O427" s="5"/>
      <c r="P427" s="5"/>
      <c r="Q427" s="5"/>
      <c r="R427" s="5"/>
      <c r="S427" s="5"/>
      <c r="T427" s="5"/>
      <c r="U427" s="5"/>
      <c r="V427" s="5"/>
      <c r="W427" s="5"/>
    </row>
    <row r="428" spans="1:23" ht="16" x14ac:dyDescent="0.2">
      <c r="A428" s="5"/>
      <c r="B428" s="6"/>
      <c r="C428" s="6"/>
      <c r="D428" s="6"/>
      <c r="E428" s="6"/>
      <c r="F428" s="5"/>
      <c r="G428" s="5"/>
      <c r="H428" s="5"/>
      <c r="I428" s="5"/>
      <c r="J428" s="5"/>
      <c r="K428" s="5"/>
      <c r="L428" s="5"/>
      <c r="M428" s="5"/>
      <c r="N428" s="5"/>
      <c r="O428" s="5"/>
      <c r="P428" s="5"/>
      <c r="Q428" s="5"/>
      <c r="R428" s="5"/>
      <c r="S428" s="5"/>
      <c r="T428" s="5"/>
      <c r="U428" s="5"/>
      <c r="V428" s="5"/>
      <c r="W428" s="5"/>
    </row>
    <row r="429" spans="1:23" ht="16" x14ac:dyDescent="0.2">
      <c r="A429" s="5"/>
      <c r="B429" s="6"/>
      <c r="C429" s="6"/>
      <c r="D429" s="6"/>
      <c r="E429" s="6"/>
      <c r="F429" s="5"/>
      <c r="G429" s="5"/>
      <c r="H429" s="5"/>
      <c r="I429" s="5"/>
      <c r="J429" s="5"/>
      <c r="K429" s="5"/>
      <c r="L429" s="5"/>
      <c r="M429" s="5"/>
      <c r="N429" s="5"/>
      <c r="O429" s="5"/>
      <c r="P429" s="5"/>
      <c r="Q429" s="5"/>
      <c r="R429" s="5"/>
      <c r="S429" s="5"/>
      <c r="T429" s="5"/>
      <c r="U429" s="5"/>
      <c r="V429" s="5"/>
      <c r="W429" s="5"/>
    </row>
    <row r="430" spans="1:23" ht="16" x14ac:dyDescent="0.2">
      <c r="A430" s="5"/>
      <c r="B430" s="6"/>
      <c r="C430" s="6"/>
      <c r="D430" s="6"/>
      <c r="E430" s="6"/>
      <c r="F430" s="5"/>
      <c r="G430" s="5"/>
      <c r="H430" s="5"/>
      <c r="I430" s="5"/>
      <c r="J430" s="5"/>
      <c r="K430" s="5"/>
      <c r="L430" s="5"/>
      <c r="M430" s="5"/>
      <c r="N430" s="5"/>
      <c r="O430" s="5"/>
      <c r="P430" s="5"/>
      <c r="Q430" s="5"/>
      <c r="R430" s="5"/>
      <c r="S430" s="5"/>
      <c r="T430" s="5"/>
      <c r="U430" s="5"/>
      <c r="V430" s="5"/>
      <c r="W430" s="5"/>
    </row>
    <row r="431" spans="1:23" ht="16" x14ac:dyDescent="0.2">
      <c r="A431" s="5"/>
      <c r="B431" s="6"/>
      <c r="C431" s="6"/>
      <c r="D431" s="6"/>
      <c r="E431" s="6"/>
      <c r="F431" s="5"/>
      <c r="G431" s="5"/>
      <c r="H431" s="5"/>
      <c r="I431" s="5"/>
      <c r="J431" s="5"/>
      <c r="K431" s="5"/>
      <c r="L431" s="5"/>
      <c r="M431" s="5"/>
      <c r="N431" s="5"/>
      <c r="O431" s="5"/>
      <c r="P431" s="5"/>
      <c r="Q431" s="5"/>
      <c r="R431" s="5"/>
      <c r="S431" s="5"/>
      <c r="T431" s="5"/>
      <c r="U431" s="5"/>
      <c r="V431" s="5"/>
      <c r="W431" s="5"/>
    </row>
    <row r="432" spans="1:23" ht="16" x14ac:dyDescent="0.2">
      <c r="A432" s="5"/>
      <c r="B432" s="6"/>
      <c r="C432" s="6"/>
      <c r="D432" s="6"/>
      <c r="E432" s="6"/>
      <c r="F432" s="5"/>
      <c r="G432" s="5"/>
      <c r="H432" s="5"/>
      <c r="I432" s="5"/>
      <c r="J432" s="5"/>
      <c r="K432" s="5"/>
      <c r="L432" s="5"/>
      <c r="M432" s="5"/>
      <c r="N432" s="5"/>
      <c r="O432" s="5"/>
      <c r="P432" s="5"/>
      <c r="Q432" s="5"/>
      <c r="R432" s="5"/>
      <c r="S432" s="5"/>
      <c r="T432" s="5"/>
      <c r="U432" s="5"/>
      <c r="V432" s="5"/>
      <c r="W432" s="5"/>
    </row>
    <row r="433" spans="1:23" ht="16" x14ac:dyDescent="0.2">
      <c r="A433" s="5"/>
      <c r="B433" s="6"/>
      <c r="C433" s="6"/>
      <c r="D433" s="6"/>
      <c r="E433" s="6"/>
      <c r="F433" s="5"/>
      <c r="G433" s="5"/>
      <c r="H433" s="5"/>
      <c r="I433" s="5"/>
      <c r="J433" s="5"/>
      <c r="K433" s="5"/>
      <c r="L433" s="5"/>
      <c r="M433" s="5"/>
      <c r="N433" s="5"/>
      <c r="O433" s="5"/>
      <c r="P433" s="5"/>
      <c r="Q433" s="5"/>
      <c r="R433" s="5"/>
      <c r="S433" s="5"/>
      <c r="T433" s="5"/>
      <c r="U433" s="5"/>
      <c r="V433" s="5"/>
      <c r="W433" s="5"/>
    </row>
    <row r="434" spans="1:23" ht="16" x14ac:dyDescent="0.2">
      <c r="A434" s="5"/>
      <c r="B434" s="6"/>
      <c r="C434" s="6"/>
      <c r="D434" s="6"/>
      <c r="E434" s="6"/>
      <c r="F434" s="5"/>
      <c r="G434" s="5"/>
      <c r="H434" s="5"/>
      <c r="I434" s="5"/>
      <c r="J434" s="5"/>
      <c r="K434" s="5"/>
      <c r="L434" s="5"/>
      <c r="M434" s="5"/>
      <c r="N434" s="5"/>
      <c r="O434" s="5"/>
      <c r="P434" s="5"/>
      <c r="Q434" s="5"/>
      <c r="R434" s="5"/>
      <c r="S434" s="5"/>
      <c r="T434" s="5"/>
      <c r="U434" s="5"/>
      <c r="V434" s="5"/>
      <c r="W434" s="5"/>
    </row>
    <row r="435" spans="1:23" ht="16" x14ac:dyDescent="0.2">
      <c r="A435" s="5"/>
      <c r="B435" s="6"/>
      <c r="C435" s="6"/>
      <c r="D435" s="6"/>
      <c r="E435" s="6"/>
      <c r="F435" s="5"/>
      <c r="G435" s="5"/>
      <c r="H435" s="5"/>
      <c r="I435" s="5"/>
      <c r="J435" s="5"/>
      <c r="K435" s="5"/>
      <c r="L435" s="5"/>
      <c r="M435" s="5"/>
      <c r="N435" s="5"/>
      <c r="O435" s="5"/>
      <c r="P435" s="5"/>
      <c r="Q435" s="5"/>
      <c r="R435" s="5"/>
      <c r="S435" s="5"/>
      <c r="T435" s="5"/>
      <c r="U435" s="5"/>
      <c r="V435" s="5"/>
      <c r="W435" s="5"/>
    </row>
    <row r="436" spans="1:23" ht="16" x14ac:dyDescent="0.2">
      <c r="A436" s="5"/>
      <c r="B436" s="6"/>
      <c r="C436" s="6"/>
      <c r="D436" s="6"/>
      <c r="E436" s="6"/>
      <c r="F436" s="5"/>
      <c r="G436" s="5"/>
      <c r="H436" s="5"/>
      <c r="I436" s="5"/>
      <c r="J436" s="5"/>
      <c r="K436" s="5"/>
      <c r="L436" s="5"/>
      <c r="M436" s="5"/>
      <c r="N436" s="5"/>
      <c r="O436" s="5"/>
      <c r="P436" s="5"/>
      <c r="Q436" s="5"/>
      <c r="R436" s="5"/>
      <c r="S436" s="5"/>
      <c r="T436" s="5"/>
      <c r="U436" s="5"/>
      <c r="V436" s="5"/>
      <c r="W436" s="5"/>
    </row>
    <row r="437" spans="1:23" ht="16" x14ac:dyDescent="0.2">
      <c r="A437" s="5"/>
      <c r="B437" s="6"/>
      <c r="C437" s="6"/>
      <c r="D437" s="6"/>
      <c r="E437" s="6"/>
      <c r="F437" s="5"/>
      <c r="G437" s="5"/>
      <c r="H437" s="5"/>
      <c r="I437" s="5"/>
      <c r="J437" s="5"/>
      <c r="K437" s="5"/>
      <c r="L437" s="5"/>
      <c r="M437" s="5"/>
      <c r="N437" s="5"/>
      <c r="O437" s="5"/>
      <c r="P437" s="5"/>
      <c r="Q437" s="5"/>
      <c r="R437" s="5"/>
      <c r="S437" s="5"/>
      <c r="T437" s="5"/>
      <c r="U437" s="5"/>
      <c r="V437" s="5"/>
      <c r="W437" s="5"/>
    </row>
    <row r="438" spans="1:23" ht="16" x14ac:dyDescent="0.2">
      <c r="A438" s="5"/>
      <c r="B438" s="6"/>
      <c r="C438" s="6"/>
      <c r="D438" s="6"/>
      <c r="E438" s="6"/>
      <c r="F438" s="5"/>
      <c r="G438" s="5"/>
      <c r="H438" s="5"/>
      <c r="I438" s="5"/>
      <c r="J438" s="5"/>
      <c r="K438" s="5"/>
      <c r="L438" s="5"/>
      <c r="M438" s="5"/>
      <c r="N438" s="5"/>
      <c r="O438" s="5"/>
      <c r="P438" s="5"/>
      <c r="Q438" s="5"/>
      <c r="R438" s="5"/>
      <c r="S438" s="5"/>
      <c r="T438" s="5"/>
      <c r="U438" s="5"/>
      <c r="V438" s="5"/>
      <c r="W438" s="5"/>
    </row>
    <row r="439" spans="1:23" ht="16" x14ac:dyDescent="0.2">
      <c r="A439" s="5"/>
      <c r="B439" s="6"/>
      <c r="C439" s="6"/>
      <c r="D439" s="6"/>
      <c r="E439" s="6"/>
      <c r="F439" s="5"/>
      <c r="G439" s="5"/>
      <c r="H439" s="5"/>
      <c r="I439" s="5"/>
      <c r="J439" s="5"/>
      <c r="K439" s="5"/>
      <c r="L439" s="5"/>
      <c r="M439" s="5"/>
      <c r="N439" s="5"/>
      <c r="O439" s="5"/>
      <c r="P439" s="5"/>
      <c r="Q439" s="5"/>
      <c r="R439" s="5"/>
      <c r="S439" s="5"/>
      <c r="T439" s="5"/>
      <c r="U439" s="5"/>
      <c r="V439" s="5"/>
      <c r="W439" s="5"/>
    </row>
    <row r="440" spans="1:23" ht="16" x14ac:dyDescent="0.2">
      <c r="A440" s="5"/>
      <c r="B440" s="6"/>
      <c r="C440" s="6"/>
      <c r="D440" s="6"/>
      <c r="E440" s="6"/>
      <c r="F440" s="5"/>
      <c r="G440" s="5"/>
      <c r="H440" s="5"/>
      <c r="I440" s="5"/>
      <c r="J440" s="5"/>
      <c r="K440" s="5"/>
      <c r="L440" s="5"/>
      <c r="M440" s="5"/>
      <c r="N440" s="5"/>
      <c r="O440" s="5"/>
      <c r="P440" s="5"/>
      <c r="Q440" s="5"/>
      <c r="R440" s="5"/>
      <c r="S440" s="5"/>
      <c r="T440" s="5"/>
      <c r="U440" s="5"/>
      <c r="V440" s="5"/>
      <c r="W440" s="5"/>
    </row>
    <row r="441" spans="1:23" ht="16" x14ac:dyDescent="0.2">
      <c r="A441" s="5"/>
      <c r="B441" s="6"/>
      <c r="C441" s="6"/>
      <c r="D441" s="6"/>
      <c r="E441" s="6"/>
      <c r="F441" s="5"/>
      <c r="G441" s="5"/>
      <c r="H441" s="5"/>
      <c r="I441" s="5"/>
      <c r="J441" s="5"/>
      <c r="K441" s="5"/>
      <c r="L441" s="5"/>
      <c r="M441" s="5"/>
      <c r="N441" s="5"/>
      <c r="O441" s="5"/>
      <c r="P441" s="5"/>
      <c r="Q441" s="5"/>
      <c r="R441" s="5"/>
      <c r="S441" s="5"/>
      <c r="T441" s="5"/>
      <c r="U441" s="5"/>
      <c r="V441" s="5"/>
      <c r="W441" s="5"/>
    </row>
    <row r="442" spans="1:23" ht="16" x14ac:dyDescent="0.2">
      <c r="A442" s="5"/>
      <c r="B442" s="6"/>
      <c r="C442" s="6"/>
      <c r="D442" s="6"/>
      <c r="E442" s="6"/>
      <c r="F442" s="5"/>
      <c r="G442" s="5"/>
      <c r="H442" s="5"/>
      <c r="I442" s="5"/>
      <c r="J442" s="5"/>
      <c r="K442" s="5"/>
      <c r="L442" s="5"/>
      <c r="M442" s="5"/>
      <c r="N442" s="5"/>
      <c r="O442" s="5"/>
      <c r="P442" s="5"/>
      <c r="Q442" s="5"/>
      <c r="R442" s="5"/>
      <c r="S442" s="5"/>
      <c r="T442" s="5"/>
      <c r="U442" s="5"/>
      <c r="V442" s="5"/>
      <c r="W442" s="5"/>
    </row>
    <row r="443" spans="1:23" ht="16" x14ac:dyDescent="0.2">
      <c r="A443" s="5"/>
      <c r="B443" s="6"/>
      <c r="C443" s="6"/>
      <c r="D443" s="6"/>
      <c r="E443" s="6"/>
      <c r="F443" s="5"/>
      <c r="G443" s="5"/>
      <c r="H443" s="5"/>
      <c r="I443" s="5"/>
      <c r="J443" s="5"/>
      <c r="K443" s="5"/>
      <c r="L443" s="5"/>
      <c r="M443" s="5"/>
      <c r="N443" s="5"/>
      <c r="O443" s="5"/>
      <c r="P443" s="5"/>
      <c r="Q443" s="5"/>
      <c r="R443" s="5"/>
      <c r="S443" s="5"/>
      <c r="T443" s="5"/>
      <c r="U443" s="5"/>
      <c r="V443" s="5"/>
      <c r="W443" s="5"/>
    </row>
    <row r="444" spans="1:23" ht="16" x14ac:dyDescent="0.2">
      <c r="A444" s="5"/>
      <c r="B444" s="6"/>
      <c r="C444" s="6"/>
      <c r="D444" s="6"/>
      <c r="E444" s="6"/>
      <c r="F444" s="5"/>
      <c r="G444" s="5"/>
      <c r="H444" s="5"/>
      <c r="I444" s="5"/>
      <c r="J444" s="5"/>
      <c r="K444" s="5"/>
      <c r="L444" s="5"/>
      <c r="M444" s="5"/>
      <c r="N444" s="5"/>
      <c r="O444" s="5"/>
      <c r="P444" s="5"/>
      <c r="Q444" s="5"/>
      <c r="R444" s="5"/>
      <c r="S444" s="5"/>
      <c r="T444" s="5"/>
      <c r="U444" s="5"/>
      <c r="V444" s="5"/>
      <c r="W444" s="5"/>
    </row>
    <row r="445" spans="1:23" ht="16" x14ac:dyDescent="0.2">
      <c r="A445" s="5"/>
      <c r="B445" s="6"/>
      <c r="C445" s="6"/>
      <c r="D445" s="6"/>
      <c r="E445" s="6"/>
      <c r="F445" s="5"/>
      <c r="G445" s="5"/>
      <c r="H445" s="5"/>
      <c r="I445" s="5"/>
      <c r="J445" s="5"/>
      <c r="K445" s="5"/>
      <c r="L445" s="5"/>
      <c r="M445" s="5"/>
      <c r="N445" s="5"/>
      <c r="O445" s="5"/>
      <c r="P445" s="5"/>
      <c r="Q445" s="5"/>
      <c r="R445" s="5"/>
      <c r="S445" s="5"/>
      <c r="T445" s="5"/>
      <c r="U445" s="5"/>
      <c r="V445" s="5"/>
      <c r="W445" s="5"/>
    </row>
    <row r="446" spans="1:23" ht="16" x14ac:dyDescent="0.2">
      <c r="A446" s="5"/>
      <c r="B446" s="6"/>
      <c r="C446" s="6"/>
      <c r="D446" s="6"/>
      <c r="E446" s="6"/>
      <c r="F446" s="5"/>
      <c r="G446" s="5"/>
      <c r="H446" s="5"/>
      <c r="I446" s="5"/>
      <c r="J446" s="5"/>
      <c r="K446" s="5"/>
      <c r="L446" s="5"/>
      <c r="M446" s="5"/>
      <c r="N446" s="5"/>
      <c r="O446" s="5"/>
      <c r="P446" s="5"/>
      <c r="Q446" s="5"/>
      <c r="R446" s="5"/>
      <c r="S446" s="5"/>
      <c r="T446" s="5"/>
      <c r="U446" s="5"/>
      <c r="V446" s="5"/>
      <c r="W446" s="5"/>
    </row>
    <row r="447" spans="1:23" ht="16" x14ac:dyDescent="0.2">
      <c r="A447" s="5"/>
      <c r="B447" s="6"/>
      <c r="C447" s="6"/>
      <c r="D447" s="6"/>
      <c r="E447" s="6"/>
      <c r="F447" s="5"/>
      <c r="G447" s="5"/>
      <c r="H447" s="5"/>
      <c r="I447" s="5"/>
      <c r="J447" s="5"/>
      <c r="K447" s="5"/>
      <c r="L447" s="5"/>
      <c r="M447" s="5"/>
      <c r="N447" s="5"/>
      <c r="O447" s="5"/>
      <c r="P447" s="5"/>
      <c r="Q447" s="5"/>
      <c r="R447" s="5"/>
      <c r="S447" s="5"/>
      <c r="T447" s="5"/>
      <c r="U447" s="5"/>
      <c r="V447" s="5"/>
      <c r="W447" s="5"/>
    </row>
    <row r="448" spans="1:23" ht="16" x14ac:dyDescent="0.2">
      <c r="A448" s="5"/>
      <c r="B448" s="6"/>
      <c r="C448" s="6"/>
      <c r="D448" s="6"/>
      <c r="E448" s="6"/>
      <c r="F448" s="5"/>
      <c r="G448" s="5"/>
      <c r="H448" s="5"/>
      <c r="I448" s="5"/>
      <c r="J448" s="5"/>
      <c r="K448" s="5"/>
      <c r="L448" s="5"/>
      <c r="M448" s="5"/>
      <c r="N448" s="5"/>
      <c r="O448" s="5"/>
      <c r="P448" s="5"/>
      <c r="Q448" s="5"/>
      <c r="R448" s="5"/>
      <c r="S448" s="5"/>
      <c r="T448" s="5"/>
      <c r="U448" s="5"/>
      <c r="V448" s="5"/>
      <c r="W448" s="5"/>
    </row>
    <row r="449" spans="1:23" ht="16" x14ac:dyDescent="0.2">
      <c r="A449" s="5"/>
      <c r="B449" s="6"/>
      <c r="C449" s="6"/>
      <c r="D449" s="6"/>
      <c r="E449" s="6"/>
      <c r="F449" s="5"/>
      <c r="G449" s="5"/>
      <c r="H449" s="5"/>
      <c r="I449" s="5"/>
      <c r="J449" s="5"/>
      <c r="K449" s="5"/>
      <c r="L449" s="5"/>
      <c r="M449" s="5"/>
      <c r="N449" s="5"/>
      <c r="O449" s="5"/>
      <c r="P449" s="5"/>
      <c r="Q449" s="5"/>
      <c r="R449" s="5"/>
      <c r="S449" s="5"/>
      <c r="T449" s="5"/>
      <c r="U449" s="5"/>
      <c r="V449" s="5"/>
      <c r="W449" s="5"/>
    </row>
    <row r="450" spans="1:23" ht="16" x14ac:dyDescent="0.2">
      <c r="A450" s="5"/>
      <c r="B450" s="6"/>
      <c r="C450" s="6"/>
      <c r="D450" s="6"/>
      <c r="E450" s="6"/>
      <c r="F450" s="5"/>
      <c r="G450" s="5"/>
      <c r="H450" s="5"/>
      <c r="I450" s="5"/>
      <c r="J450" s="5"/>
      <c r="K450" s="5"/>
      <c r="L450" s="5"/>
      <c r="M450" s="5"/>
      <c r="N450" s="5"/>
      <c r="O450" s="5"/>
      <c r="P450" s="5"/>
      <c r="Q450" s="5"/>
      <c r="R450" s="5"/>
      <c r="S450" s="5"/>
      <c r="T450" s="5"/>
      <c r="U450" s="5"/>
      <c r="V450" s="5"/>
      <c r="W450" s="5"/>
    </row>
    <row r="451" spans="1:23" ht="16" x14ac:dyDescent="0.2">
      <c r="A451" s="5"/>
      <c r="B451" s="6"/>
      <c r="C451" s="6"/>
      <c r="D451" s="6"/>
      <c r="E451" s="6"/>
      <c r="F451" s="5"/>
      <c r="G451" s="5"/>
      <c r="H451" s="5"/>
      <c r="I451" s="5"/>
      <c r="J451" s="5"/>
      <c r="K451" s="5"/>
      <c r="L451" s="5"/>
      <c r="M451" s="5"/>
      <c r="N451" s="5"/>
      <c r="O451" s="5"/>
      <c r="P451" s="5"/>
      <c r="Q451" s="5"/>
      <c r="R451" s="5"/>
      <c r="S451" s="5"/>
      <c r="T451" s="5"/>
      <c r="U451" s="5"/>
      <c r="V451" s="5"/>
      <c r="W451" s="5"/>
    </row>
    <row r="452" spans="1:23" ht="16" x14ac:dyDescent="0.2">
      <c r="A452" s="5"/>
      <c r="B452" s="6"/>
      <c r="C452" s="6"/>
      <c r="D452" s="6"/>
      <c r="E452" s="6"/>
      <c r="F452" s="5"/>
      <c r="G452" s="5"/>
      <c r="H452" s="5"/>
      <c r="I452" s="5"/>
      <c r="J452" s="5"/>
      <c r="K452" s="5"/>
      <c r="L452" s="5"/>
      <c r="M452" s="5"/>
      <c r="N452" s="5"/>
      <c r="O452" s="5"/>
      <c r="P452" s="5"/>
      <c r="Q452" s="5"/>
      <c r="R452" s="5"/>
      <c r="S452" s="5"/>
      <c r="T452" s="5"/>
      <c r="U452" s="5"/>
      <c r="V452" s="5"/>
      <c r="W452" s="5"/>
    </row>
    <row r="453" spans="1:23" ht="16" x14ac:dyDescent="0.2">
      <c r="A453" s="5"/>
      <c r="B453" s="6"/>
      <c r="C453" s="6"/>
      <c r="D453" s="6"/>
      <c r="E453" s="6"/>
      <c r="F453" s="5"/>
      <c r="G453" s="5"/>
      <c r="H453" s="5"/>
      <c r="I453" s="5"/>
      <c r="J453" s="5"/>
      <c r="K453" s="5"/>
      <c r="L453" s="5"/>
      <c r="M453" s="5"/>
      <c r="N453" s="5"/>
      <c r="O453" s="5"/>
      <c r="P453" s="5"/>
      <c r="Q453" s="5"/>
      <c r="R453" s="5"/>
      <c r="S453" s="5"/>
      <c r="T453" s="5"/>
      <c r="U453" s="5"/>
      <c r="V453" s="5"/>
      <c r="W453" s="5"/>
    </row>
    <row r="454" spans="1:23" ht="16" x14ac:dyDescent="0.2">
      <c r="A454" s="5"/>
      <c r="B454" s="6"/>
      <c r="C454" s="6"/>
      <c r="D454" s="6"/>
      <c r="E454" s="6"/>
      <c r="F454" s="5"/>
      <c r="G454" s="5"/>
      <c r="H454" s="5"/>
      <c r="I454" s="5"/>
      <c r="J454" s="5"/>
      <c r="K454" s="5"/>
      <c r="L454" s="5"/>
      <c r="M454" s="5"/>
      <c r="N454" s="5"/>
      <c r="O454" s="5"/>
      <c r="P454" s="5"/>
      <c r="Q454" s="5"/>
      <c r="R454" s="5"/>
      <c r="S454" s="5"/>
      <c r="T454" s="5"/>
      <c r="U454" s="5"/>
      <c r="V454" s="5"/>
      <c r="W454" s="5"/>
    </row>
    <row r="455" spans="1:23" ht="16" x14ac:dyDescent="0.2">
      <c r="A455" s="5"/>
      <c r="B455" s="6"/>
      <c r="C455" s="6"/>
      <c r="D455" s="6"/>
      <c r="E455" s="6"/>
      <c r="F455" s="5"/>
      <c r="G455" s="5"/>
      <c r="H455" s="5"/>
      <c r="I455" s="5"/>
      <c r="J455" s="5"/>
      <c r="K455" s="5"/>
      <c r="L455" s="5"/>
      <c r="M455" s="5"/>
      <c r="N455" s="5"/>
      <c r="O455" s="5"/>
      <c r="P455" s="5"/>
      <c r="Q455" s="5"/>
      <c r="R455" s="5"/>
      <c r="S455" s="5"/>
      <c r="T455" s="5"/>
      <c r="U455" s="5"/>
      <c r="V455" s="5"/>
      <c r="W455" s="5"/>
    </row>
    <row r="456" spans="1:23" ht="16" x14ac:dyDescent="0.2">
      <c r="A456" s="5"/>
      <c r="B456" s="6"/>
      <c r="C456" s="6"/>
      <c r="D456" s="6"/>
      <c r="E456" s="6"/>
      <c r="F456" s="5"/>
      <c r="G456" s="5"/>
      <c r="H456" s="5"/>
      <c r="I456" s="5"/>
      <c r="J456" s="5"/>
      <c r="K456" s="5"/>
      <c r="L456" s="5"/>
      <c r="M456" s="5"/>
      <c r="N456" s="5"/>
      <c r="O456" s="5"/>
      <c r="P456" s="5"/>
      <c r="Q456" s="5"/>
      <c r="R456" s="5"/>
      <c r="S456" s="5"/>
      <c r="T456" s="5"/>
      <c r="U456" s="5"/>
      <c r="V456" s="5"/>
      <c r="W456" s="5"/>
    </row>
    <row r="457" spans="1:23" ht="16" x14ac:dyDescent="0.2">
      <c r="A457" s="5"/>
      <c r="B457" s="6"/>
      <c r="C457" s="6"/>
      <c r="D457" s="6"/>
      <c r="E457" s="6"/>
      <c r="F457" s="5"/>
      <c r="G457" s="5"/>
      <c r="H457" s="5"/>
      <c r="I457" s="5"/>
      <c r="J457" s="5"/>
      <c r="K457" s="5"/>
      <c r="L457" s="5"/>
      <c r="M457" s="5"/>
      <c r="N457" s="5"/>
      <c r="O457" s="5"/>
      <c r="P457" s="5"/>
      <c r="Q457" s="5"/>
      <c r="R457" s="5"/>
      <c r="S457" s="5"/>
      <c r="T457" s="5"/>
      <c r="U457" s="5"/>
      <c r="V457" s="5"/>
      <c r="W457" s="5"/>
    </row>
    <row r="458" spans="1:23" ht="16" x14ac:dyDescent="0.2">
      <c r="A458" s="5"/>
      <c r="B458" s="6"/>
      <c r="C458" s="6"/>
      <c r="D458" s="6"/>
      <c r="E458" s="6"/>
      <c r="F458" s="5"/>
      <c r="G458" s="5"/>
      <c r="H458" s="5"/>
      <c r="I458" s="5"/>
      <c r="J458" s="5"/>
      <c r="K458" s="5"/>
      <c r="L458" s="5"/>
      <c r="M458" s="5"/>
      <c r="N458" s="5"/>
      <c r="O458" s="5"/>
      <c r="P458" s="5"/>
      <c r="Q458" s="5"/>
      <c r="R458" s="5"/>
      <c r="S458" s="5"/>
      <c r="T458" s="5"/>
      <c r="U458" s="5"/>
      <c r="V458" s="5"/>
      <c r="W458" s="5"/>
    </row>
    <row r="459" spans="1:23" ht="16" x14ac:dyDescent="0.2">
      <c r="A459" s="5"/>
      <c r="B459" s="6"/>
      <c r="C459" s="6"/>
      <c r="D459" s="6"/>
      <c r="E459" s="6"/>
      <c r="F459" s="5"/>
      <c r="G459" s="5"/>
      <c r="H459" s="5"/>
      <c r="I459" s="5"/>
      <c r="J459" s="5"/>
      <c r="K459" s="5"/>
      <c r="L459" s="5"/>
      <c r="M459" s="5"/>
      <c r="N459" s="5"/>
      <c r="O459" s="5"/>
      <c r="P459" s="5"/>
      <c r="Q459" s="5"/>
      <c r="R459" s="5"/>
      <c r="S459" s="5"/>
      <c r="T459" s="5"/>
      <c r="U459" s="5"/>
      <c r="V459" s="5"/>
      <c r="W459" s="5"/>
    </row>
    <row r="460" spans="1:23" ht="16" x14ac:dyDescent="0.2">
      <c r="A460" s="5"/>
      <c r="B460" s="6"/>
      <c r="C460" s="6"/>
      <c r="D460" s="6"/>
      <c r="E460" s="6"/>
      <c r="F460" s="5"/>
      <c r="G460" s="5"/>
      <c r="H460" s="5"/>
      <c r="I460" s="5"/>
      <c r="J460" s="5"/>
      <c r="K460" s="5"/>
      <c r="L460" s="5"/>
      <c r="M460" s="5"/>
      <c r="N460" s="5"/>
      <c r="O460" s="5"/>
      <c r="P460" s="5"/>
      <c r="Q460" s="5"/>
      <c r="R460" s="5"/>
      <c r="S460" s="5"/>
      <c r="T460" s="5"/>
      <c r="U460" s="5"/>
      <c r="V460" s="5"/>
      <c r="W460" s="5"/>
    </row>
    <row r="461" spans="1:23" ht="16" x14ac:dyDescent="0.2">
      <c r="A461" s="5"/>
      <c r="B461" s="6"/>
      <c r="C461" s="6"/>
      <c r="D461" s="6"/>
      <c r="E461" s="6"/>
      <c r="F461" s="5"/>
      <c r="G461" s="5"/>
      <c r="H461" s="5"/>
      <c r="I461" s="5"/>
      <c r="J461" s="5"/>
      <c r="K461" s="5"/>
      <c r="L461" s="5"/>
      <c r="M461" s="5"/>
      <c r="N461" s="5"/>
      <c r="O461" s="5"/>
      <c r="P461" s="5"/>
      <c r="Q461" s="5"/>
      <c r="R461" s="5"/>
      <c r="S461" s="5"/>
      <c r="T461" s="5"/>
      <c r="U461" s="5"/>
      <c r="V461" s="5"/>
      <c r="W461" s="5"/>
    </row>
    <row r="462" spans="1:23" ht="16" x14ac:dyDescent="0.2">
      <c r="A462" s="5"/>
      <c r="B462" s="6"/>
      <c r="C462" s="6"/>
      <c r="D462" s="6"/>
      <c r="E462" s="6"/>
      <c r="F462" s="5"/>
      <c r="G462" s="5"/>
      <c r="H462" s="5"/>
      <c r="I462" s="5"/>
      <c r="J462" s="5"/>
      <c r="K462" s="5"/>
      <c r="L462" s="5"/>
      <c r="M462" s="5"/>
      <c r="N462" s="5"/>
      <c r="O462" s="5"/>
      <c r="P462" s="5"/>
      <c r="Q462" s="5"/>
      <c r="R462" s="5"/>
      <c r="S462" s="5"/>
      <c r="T462" s="5"/>
      <c r="U462" s="5"/>
      <c r="V462" s="5"/>
      <c r="W462" s="5"/>
    </row>
    <row r="463" spans="1:23" ht="16" x14ac:dyDescent="0.2">
      <c r="A463" s="5"/>
      <c r="B463" s="6"/>
      <c r="C463" s="6"/>
      <c r="D463" s="6"/>
      <c r="E463" s="6"/>
      <c r="F463" s="5"/>
      <c r="G463" s="5"/>
      <c r="H463" s="5"/>
      <c r="I463" s="5"/>
      <c r="J463" s="5"/>
      <c r="K463" s="5"/>
      <c r="L463" s="5"/>
      <c r="M463" s="5"/>
      <c r="N463" s="5"/>
      <c r="O463" s="5"/>
      <c r="P463" s="5"/>
      <c r="Q463" s="5"/>
      <c r="R463" s="5"/>
      <c r="S463" s="5"/>
      <c r="T463" s="5"/>
      <c r="U463" s="5"/>
      <c r="V463" s="5"/>
      <c r="W463" s="5"/>
    </row>
    <row r="464" spans="1:23" ht="16" x14ac:dyDescent="0.2">
      <c r="A464" s="5"/>
      <c r="B464" s="6"/>
      <c r="C464" s="6"/>
      <c r="D464" s="6"/>
      <c r="E464" s="6"/>
      <c r="F464" s="5"/>
      <c r="G464" s="5"/>
      <c r="H464" s="5"/>
      <c r="I464" s="5"/>
      <c r="J464" s="5"/>
      <c r="K464" s="5"/>
      <c r="L464" s="5"/>
      <c r="M464" s="5"/>
      <c r="N464" s="5"/>
      <c r="O464" s="5"/>
      <c r="P464" s="5"/>
      <c r="Q464" s="5"/>
      <c r="R464" s="5"/>
      <c r="S464" s="5"/>
      <c r="T464" s="5"/>
      <c r="U464" s="5"/>
      <c r="V464" s="5"/>
      <c r="W464" s="5"/>
    </row>
    <row r="465" spans="1:23" ht="16" x14ac:dyDescent="0.2">
      <c r="A465" s="5"/>
      <c r="B465" s="6"/>
      <c r="C465" s="6"/>
      <c r="D465" s="6"/>
      <c r="E465" s="6"/>
      <c r="F465" s="5"/>
      <c r="G465" s="5"/>
      <c r="H465" s="5"/>
      <c r="I465" s="5"/>
      <c r="J465" s="5"/>
      <c r="K465" s="5"/>
      <c r="L465" s="5"/>
      <c r="M465" s="5"/>
      <c r="N465" s="5"/>
      <c r="O465" s="5"/>
      <c r="P465" s="5"/>
      <c r="Q465" s="5"/>
      <c r="R465" s="5"/>
      <c r="S465" s="5"/>
      <c r="T465" s="5"/>
      <c r="U465" s="5"/>
      <c r="V465" s="5"/>
      <c r="W465" s="5"/>
    </row>
    <row r="466" spans="1:23" ht="16" x14ac:dyDescent="0.2">
      <c r="A466" s="5"/>
      <c r="B466" s="6"/>
      <c r="C466" s="6"/>
      <c r="D466" s="6"/>
      <c r="E466" s="6"/>
      <c r="F466" s="5"/>
      <c r="G466" s="5"/>
      <c r="H466" s="5"/>
      <c r="I466" s="5"/>
      <c r="J466" s="5"/>
      <c r="K466" s="5"/>
      <c r="L466" s="5"/>
      <c r="M466" s="5"/>
      <c r="N466" s="5"/>
      <c r="O466" s="5"/>
      <c r="P466" s="5"/>
      <c r="Q466" s="5"/>
      <c r="R466" s="5"/>
      <c r="S466" s="5"/>
      <c r="T466" s="5"/>
      <c r="U466" s="5"/>
      <c r="V466" s="5"/>
      <c r="W466" s="5"/>
    </row>
    <row r="467" spans="1:23" ht="16" x14ac:dyDescent="0.2">
      <c r="A467" s="5"/>
      <c r="B467" s="6"/>
      <c r="C467" s="6"/>
      <c r="D467" s="6"/>
      <c r="E467" s="6"/>
      <c r="F467" s="5"/>
      <c r="G467" s="5"/>
      <c r="H467" s="5"/>
      <c r="I467" s="5"/>
      <c r="J467" s="5"/>
      <c r="K467" s="5"/>
      <c r="L467" s="5"/>
      <c r="M467" s="5"/>
      <c r="N467" s="5"/>
      <c r="O467" s="5"/>
      <c r="P467" s="5"/>
      <c r="Q467" s="5"/>
      <c r="R467" s="5"/>
      <c r="S467" s="5"/>
      <c r="T467" s="5"/>
      <c r="U467" s="5"/>
      <c r="V467" s="5"/>
      <c r="W467" s="5"/>
    </row>
    <row r="468" spans="1:23" ht="16" x14ac:dyDescent="0.2">
      <c r="A468" s="5"/>
      <c r="B468" s="6"/>
      <c r="C468" s="6"/>
      <c r="D468" s="6"/>
      <c r="E468" s="6"/>
      <c r="F468" s="5"/>
      <c r="G468" s="5"/>
      <c r="H468" s="5"/>
      <c r="I468" s="5"/>
      <c r="J468" s="5"/>
      <c r="K468" s="5"/>
      <c r="L468" s="5"/>
      <c r="M468" s="5"/>
      <c r="N468" s="5"/>
      <c r="O468" s="5"/>
      <c r="P468" s="5"/>
      <c r="Q468" s="5"/>
      <c r="R468" s="5"/>
      <c r="S468" s="5"/>
      <c r="T468" s="5"/>
      <c r="U468" s="5"/>
      <c r="V468" s="5"/>
      <c r="W468" s="5"/>
    </row>
    <row r="469" spans="1:23" ht="16" x14ac:dyDescent="0.2">
      <c r="A469" s="5"/>
      <c r="B469" s="6"/>
      <c r="C469" s="6"/>
      <c r="D469" s="6"/>
      <c r="E469" s="6"/>
      <c r="F469" s="5"/>
      <c r="G469" s="5"/>
      <c r="H469" s="5"/>
      <c r="I469" s="5"/>
      <c r="J469" s="5"/>
      <c r="K469" s="5"/>
      <c r="L469" s="5"/>
      <c r="M469" s="5"/>
      <c r="N469" s="5"/>
      <c r="O469" s="5"/>
      <c r="P469" s="5"/>
      <c r="Q469" s="5"/>
      <c r="R469" s="5"/>
      <c r="S469" s="5"/>
      <c r="T469" s="5"/>
      <c r="U469" s="5"/>
      <c r="V469" s="5"/>
      <c r="W469" s="5"/>
    </row>
    <row r="470" spans="1:23" ht="16" x14ac:dyDescent="0.2">
      <c r="A470" s="5"/>
      <c r="B470" s="6"/>
      <c r="C470" s="6"/>
      <c r="D470" s="6"/>
      <c r="E470" s="6"/>
      <c r="F470" s="5"/>
      <c r="G470" s="5"/>
      <c r="H470" s="5"/>
      <c r="I470" s="5"/>
      <c r="J470" s="5"/>
      <c r="K470" s="5"/>
      <c r="L470" s="5"/>
      <c r="M470" s="5"/>
      <c r="N470" s="5"/>
      <c r="O470" s="5"/>
      <c r="P470" s="5"/>
      <c r="Q470" s="5"/>
      <c r="R470" s="5"/>
      <c r="S470" s="5"/>
      <c r="T470" s="5"/>
      <c r="U470" s="5"/>
      <c r="V470" s="5"/>
      <c r="W470" s="5"/>
    </row>
    <row r="471" spans="1:23" ht="16" x14ac:dyDescent="0.2">
      <c r="A471" s="5"/>
      <c r="B471" s="6"/>
      <c r="C471" s="6"/>
      <c r="D471" s="6"/>
      <c r="E471" s="6"/>
      <c r="F471" s="5"/>
      <c r="G471" s="5"/>
      <c r="H471" s="5"/>
      <c r="I471" s="5"/>
      <c r="J471" s="5"/>
      <c r="K471" s="5"/>
      <c r="L471" s="5"/>
      <c r="M471" s="5"/>
      <c r="N471" s="5"/>
      <c r="O471" s="5"/>
      <c r="P471" s="5"/>
      <c r="Q471" s="5"/>
      <c r="R471" s="5"/>
      <c r="S471" s="5"/>
      <c r="T471" s="5"/>
      <c r="U471" s="5"/>
      <c r="V471" s="5"/>
      <c r="W471" s="5"/>
    </row>
    <row r="472" spans="1:23" ht="16" x14ac:dyDescent="0.2">
      <c r="A472" s="5"/>
      <c r="B472" s="6"/>
      <c r="C472" s="6"/>
      <c r="D472" s="6"/>
      <c r="E472" s="6"/>
      <c r="F472" s="5"/>
      <c r="G472" s="5"/>
      <c r="H472" s="5"/>
      <c r="I472" s="5"/>
      <c r="J472" s="5"/>
      <c r="K472" s="5"/>
      <c r="L472" s="5"/>
      <c r="M472" s="5"/>
      <c r="N472" s="5"/>
      <c r="O472" s="5"/>
      <c r="P472" s="5"/>
      <c r="Q472" s="5"/>
      <c r="R472" s="5"/>
      <c r="S472" s="5"/>
      <c r="T472" s="5"/>
      <c r="U472" s="5"/>
      <c r="V472" s="5"/>
      <c r="W472" s="5"/>
    </row>
    <row r="473" spans="1:23" ht="16" x14ac:dyDescent="0.2">
      <c r="A473" s="5"/>
      <c r="B473" s="6"/>
      <c r="C473" s="6"/>
      <c r="D473" s="6"/>
      <c r="E473" s="6"/>
      <c r="F473" s="5"/>
      <c r="G473" s="5"/>
      <c r="H473" s="5"/>
      <c r="I473" s="5"/>
      <c r="J473" s="5"/>
      <c r="K473" s="5"/>
      <c r="L473" s="5"/>
      <c r="M473" s="5"/>
      <c r="N473" s="5"/>
      <c r="O473" s="5"/>
      <c r="P473" s="5"/>
      <c r="Q473" s="5"/>
      <c r="R473" s="5"/>
      <c r="S473" s="5"/>
      <c r="T473" s="5"/>
      <c r="U473" s="5"/>
      <c r="V473" s="5"/>
      <c r="W473" s="5"/>
    </row>
    <row r="474" spans="1:23" ht="16" x14ac:dyDescent="0.2">
      <c r="A474" s="5"/>
      <c r="B474" s="6"/>
      <c r="C474" s="6"/>
      <c r="D474" s="6"/>
      <c r="E474" s="6"/>
      <c r="F474" s="5"/>
      <c r="G474" s="5"/>
      <c r="H474" s="5"/>
      <c r="I474" s="5"/>
      <c r="J474" s="5"/>
      <c r="K474" s="5"/>
      <c r="L474" s="5"/>
      <c r="M474" s="5"/>
      <c r="N474" s="5"/>
      <c r="O474" s="5"/>
      <c r="P474" s="5"/>
      <c r="Q474" s="5"/>
      <c r="R474" s="5"/>
      <c r="S474" s="5"/>
      <c r="T474" s="5"/>
      <c r="U474" s="5"/>
      <c r="V474" s="5"/>
      <c r="W474" s="5"/>
    </row>
    <row r="475" spans="1:23" ht="16" x14ac:dyDescent="0.2">
      <c r="A475" s="5"/>
      <c r="B475" s="6"/>
      <c r="C475" s="6"/>
      <c r="D475" s="6"/>
      <c r="E475" s="6"/>
      <c r="F475" s="5"/>
      <c r="G475" s="5"/>
      <c r="H475" s="5"/>
      <c r="I475" s="5"/>
      <c r="J475" s="5"/>
      <c r="K475" s="5"/>
      <c r="L475" s="5"/>
      <c r="M475" s="5"/>
      <c r="N475" s="5"/>
      <c r="O475" s="5"/>
      <c r="P475" s="5"/>
      <c r="Q475" s="5"/>
      <c r="R475" s="5"/>
      <c r="S475" s="5"/>
      <c r="T475" s="5"/>
      <c r="U475" s="5"/>
      <c r="V475" s="5"/>
      <c r="W475" s="5"/>
    </row>
    <row r="476" spans="1:23" ht="16" x14ac:dyDescent="0.2">
      <c r="A476" s="5"/>
      <c r="B476" s="6"/>
      <c r="C476" s="6"/>
      <c r="D476" s="6"/>
      <c r="E476" s="6"/>
      <c r="F476" s="5"/>
      <c r="G476" s="5"/>
      <c r="H476" s="5"/>
      <c r="I476" s="5"/>
      <c r="J476" s="5"/>
      <c r="K476" s="5"/>
      <c r="L476" s="5"/>
      <c r="M476" s="5"/>
      <c r="N476" s="5"/>
      <c r="O476" s="5"/>
      <c r="P476" s="5"/>
      <c r="Q476" s="5"/>
      <c r="R476" s="5"/>
      <c r="S476" s="5"/>
      <c r="T476" s="5"/>
      <c r="U476" s="5"/>
      <c r="V476" s="5"/>
      <c r="W476" s="5"/>
    </row>
    <row r="477" spans="1:23" ht="16" x14ac:dyDescent="0.2">
      <c r="A477" s="5"/>
      <c r="B477" s="6"/>
      <c r="C477" s="6"/>
      <c r="D477" s="6"/>
      <c r="E477" s="6"/>
      <c r="F477" s="5"/>
      <c r="G477" s="5"/>
      <c r="H477" s="5"/>
      <c r="I477" s="5"/>
      <c r="J477" s="5"/>
      <c r="K477" s="5"/>
      <c r="L477" s="5"/>
      <c r="M477" s="5"/>
      <c r="N477" s="5"/>
      <c r="O477" s="5"/>
      <c r="P477" s="5"/>
      <c r="Q477" s="5"/>
      <c r="R477" s="5"/>
      <c r="S477" s="5"/>
      <c r="T477" s="5"/>
      <c r="U477" s="5"/>
      <c r="V477" s="5"/>
      <c r="W477" s="5"/>
    </row>
    <row r="478" spans="1:23" ht="16" x14ac:dyDescent="0.2">
      <c r="A478" s="5"/>
      <c r="B478" s="6"/>
      <c r="C478" s="6"/>
      <c r="D478" s="6"/>
      <c r="E478" s="6"/>
      <c r="F478" s="5"/>
      <c r="G478" s="5"/>
      <c r="H478" s="5"/>
      <c r="I478" s="5"/>
      <c r="J478" s="5"/>
      <c r="K478" s="5"/>
      <c r="L478" s="5"/>
      <c r="M478" s="5"/>
      <c r="N478" s="5"/>
      <c r="O478" s="5"/>
      <c r="P478" s="5"/>
      <c r="Q478" s="5"/>
      <c r="R478" s="5"/>
      <c r="S478" s="5"/>
      <c r="T478" s="5"/>
      <c r="U478" s="5"/>
      <c r="V478" s="5"/>
      <c r="W478" s="5"/>
    </row>
    <row r="479" spans="1:23" ht="16" x14ac:dyDescent="0.2">
      <c r="A479" s="5"/>
      <c r="B479" s="6"/>
      <c r="C479" s="6"/>
      <c r="D479" s="6"/>
      <c r="E479" s="6"/>
      <c r="F479" s="5"/>
      <c r="G479" s="5"/>
      <c r="H479" s="5"/>
      <c r="I479" s="5"/>
      <c r="J479" s="5"/>
      <c r="K479" s="5"/>
      <c r="L479" s="5"/>
      <c r="M479" s="5"/>
      <c r="N479" s="5"/>
      <c r="O479" s="5"/>
      <c r="P479" s="5"/>
      <c r="Q479" s="5"/>
      <c r="R479" s="5"/>
      <c r="S479" s="5"/>
      <c r="T479" s="5"/>
      <c r="U479" s="5"/>
      <c r="V479" s="5"/>
      <c r="W479" s="5"/>
    </row>
    <row r="480" spans="1:23" ht="16" x14ac:dyDescent="0.2">
      <c r="A480" s="5"/>
      <c r="B480" s="6"/>
      <c r="C480" s="6"/>
      <c r="D480" s="6"/>
      <c r="E480" s="6"/>
      <c r="F480" s="5"/>
      <c r="G480" s="5"/>
      <c r="H480" s="5"/>
      <c r="I480" s="5"/>
      <c r="J480" s="5"/>
      <c r="K480" s="5"/>
      <c r="L480" s="5"/>
      <c r="M480" s="5"/>
      <c r="N480" s="5"/>
      <c r="O480" s="5"/>
      <c r="P480" s="5"/>
      <c r="Q480" s="5"/>
      <c r="R480" s="5"/>
      <c r="S480" s="5"/>
      <c r="T480" s="5"/>
      <c r="U480" s="5"/>
      <c r="V480" s="5"/>
      <c r="W480" s="5"/>
    </row>
    <row r="481" spans="1:23" ht="16" x14ac:dyDescent="0.2">
      <c r="A481" s="5"/>
      <c r="B481" s="6"/>
      <c r="C481" s="6"/>
      <c r="D481" s="6"/>
      <c r="E481" s="6"/>
      <c r="F481" s="5"/>
      <c r="G481" s="5"/>
      <c r="H481" s="5"/>
      <c r="I481" s="5"/>
      <c r="J481" s="5"/>
      <c r="K481" s="5"/>
      <c r="L481" s="5"/>
      <c r="M481" s="5"/>
      <c r="N481" s="5"/>
      <c r="O481" s="5"/>
      <c r="P481" s="5"/>
      <c r="Q481" s="5"/>
      <c r="R481" s="5"/>
      <c r="S481" s="5"/>
      <c r="T481" s="5"/>
      <c r="U481" s="5"/>
      <c r="V481" s="5"/>
      <c r="W481" s="5"/>
    </row>
    <row r="482" spans="1:23" ht="16" x14ac:dyDescent="0.2">
      <c r="A482" s="5"/>
      <c r="B482" s="6"/>
      <c r="C482" s="6"/>
      <c r="D482" s="6"/>
      <c r="E482" s="6"/>
      <c r="F482" s="5"/>
      <c r="G482" s="5"/>
      <c r="H482" s="5"/>
      <c r="I482" s="5"/>
      <c r="J482" s="5"/>
      <c r="K482" s="5"/>
      <c r="L482" s="5"/>
      <c r="M482" s="5"/>
      <c r="N482" s="5"/>
      <c r="O482" s="5"/>
      <c r="P482" s="5"/>
      <c r="Q482" s="5"/>
      <c r="R482" s="5"/>
      <c r="S482" s="5"/>
      <c r="T482" s="5"/>
      <c r="U482" s="5"/>
      <c r="V482" s="5"/>
      <c r="W482" s="5"/>
    </row>
    <row r="483" spans="1:23" ht="16" x14ac:dyDescent="0.2">
      <c r="A483" s="5"/>
      <c r="B483" s="6"/>
      <c r="C483" s="6"/>
      <c r="D483" s="6"/>
      <c r="E483" s="6"/>
      <c r="F483" s="5"/>
      <c r="G483" s="5"/>
      <c r="H483" s="5"/>
      <c r="I483" s="5"/>
      <c r="J483" s="5"/>
      <c r="K483" s="5"/>
      <c r="L483" s="5"/>
      <c r="M483" s="5"/>
      <c r="N483" s="5"/>
      <c r="O483" s="5"/>
      <c r="P483" s="5"/>
      <c r="Q483" s="5"/>
      <c r="R483" s="5"/>
      <c r="S483" s="5"/>
      <c r="T483" s="5"/>
      <c r="U483" s="5"/>
      <c r="V483" s="5"/>
      <c r="W483" s="5"/>
    </row>
    <row r="484" spans="1:23" ht="16" x14ac:dyDescent="0.2">
      <c r="A484" s="5"/>
      <c r="B484" s="6"/>
      <c r="C484" s="6"/>
      <c r="D484" s="6"/>
      <c r="E484" s="6"/>
      <c r="F484" s="5"/>
      <c r="G484" s="5"/>
      <c r="H484" s="5"/>
      <c r="I484" s="5"/>
      <c r="J484" s="5"/>
      <c r="K484" s="5"/>
      <c r="L484" s="5"/>
      <c r="M484" s="5"/>
      <c r="N484" s="5"/>
      <c r="O484" s="5"/>
      <c r="P484" s="5"/>
      <c r="Q484" s="5"/>
      <c r="R484" s="5"/>
      <c r="S484" s="5"/>
      <c r="T484" s="5"/>
      <c r="U484" s="5"/>
      <c r="V484" s="5"/>
      <c r="W484" s="5"/>
    </row>
    <row r="485" spans="1:23" ht="16" x14ac:dyDescent="0.2">
      <c r="A485" s="5"/>
      <c r="B485" s="6"/>
      <c r="C485" s="6"/>
      <c r="D485" s="6"/>
      <c r="E485" s="6"/>
      <c r="F485" s="5"/>
      <c r="G485" s="5"/>
      <c r="H485" s="5"/>
      <c r="I485" s="5"/>
      <c r="J485" s="5"/>
      <c r="K485" s="5"/>
      <c r="L485" s="5"/>
      <c r="M485" s="5"/>
      <c r="N485" s="5"/>
      <c r="O485" s="5"/>
      <c r="P485" s="5"/>
      <c r="Q485" s="5"/>
      <c r="R485" s="5"/>
      <c r="S485" s="5"/>
      <c r="T485" s="5"/>
      <c r="U485" s="5"/>
      <c r="V485" s="5"/>
      <c r="W485" s="5"/>
    </row>
    <row r="486" spans="1:23" ht="16" x14ac:dyDescent="0.2">
      <c r="A486" s="5"/>
      <c r="B486" s="6"/>
      <c r="C486" s="6"/>
      <c r="D486" s="6"/>
      <c r="E486" s="6"/>
      <c r="F486" s="5"/>
      <c r="G486" s="5"/>
      <c r="H486" s="5"/>
      <c r="I486" s="5"/>
      <c r="J486" s="5"/>
      <c r="K486" s="5"/>
      <c r="L486" s="5"/>
      <c r="M486" s="5"/>
      <c r="N486" s="5"/>
      <c r="O486" s="5"/>
      <c r="P486" s="5"/>
      <c r="Q486" s="5"/>
      <c r="R486" s="5"/>
      <c r="S486" s="5"/>
      <c r="T486" s="5"/>
      <c r="U486" s="5"/>
      <c r="V486" s="5"/>
      <c r="W486" s="5"/>
    </row>
    <row r="487" spans="1:23" ht="16" x14ac:dyDescent="0.2">
      <c r="A487" s="5"/>
      <c r="B487" s="6"/>
      <c r="C487" s="6"/>
      <c r="D487" s="6"/>
      <c r="E487" s="6"/>
      <c r="F487" s="5"/>
      <c r="G487" s="5"/>
      <c r="H487" s="5"/>
      <c r="I487" s="5"/>
      <c r="J487" s="5"/>
      <c r="K487" s="5"/>
      <c r="L487" s="5"/>
      <c r="M487" s="5"/>
      <c r="N487" s="5"/>
      <c r="O487" s="5"/>
      <c r="P487" s="5"/>
      <c r="Q487" s="5"/>
      <c r="R487" s="5"/>
      <c r="S487" s="5"/>
      <c r="T487" s="5"/>
      <c r="U487" s="5"/>
      <c r="V487" s="5"/>
      <c r="W487" s="5"/>
    </row>
    <row r="488" spans="1:23" ht="16" x14ac:dyDescent="0.2">
      <c r="A488" s="5"/>
      <c r="B488" s="6"/>
      <c r="C488" s="6"/>
      <c r="D488" s="6"/>
      <c r="E488" s="6"/>
      <c r="F488" s="5"/>
      <c r="G488" s="5"/>
      <c r="H488" s="5"/>
      <c r="I488" s="5"/>
      <c r="J488" s="5"/>
      <c r="K488" s="5"/>
      <c r="L488" s="5"/>
      <c r="M488" s="5"/>
      <c r="N488" s="5"/>
      <c r="O488" s="5"/>
      <c r="P488" s="5"/>
      <c r="Q488" s="5"/>
      <c r="R488" s="5"/>
      <c r="S488" s="5"/>
      <c r="T488" s="5"/>
      <c r="U488" s="5"/>
      <c r="V488" s="5"/>
      <c r="W488" s="5"/>
    </row>
    <row r="489" spans="1:23" ht="16" x14ac:dyDescent="0.2">
      <c r="A489" s="5"/>
      <c r="B489" s="6"/>
      <c r="C489" s="6"/>
      <c r="D489" s="6"/>
      <c r="E489" s="6"/>
      <c r="F489" s="5"/>
      <c r="G489" s="5"/>
      <c r="H489" s="5"/>
      <c r="I489" s="5"/>
      <c r="J489" s="5"/>
      <c r="K489" s="5"/>
      <c r="L489" s="5"/>
      <c r="M489" s="5"/>
      <c r="N489" s="5"/>
      <c r="O489" s="5"/>
      <c r="P489" s="5"/>
      <c r="Q489" s="5"/>
      <c r="R489" s="5"/>
      <c r="S489" s="5"/>
      <c r="T489" s="5"/>
      <c r="U489" s="5"/>
      <c r="V489" s="5"/>
      <c r="W489" s="5"/>
    </row>
    <row r="490" spans="1:23" ht="16" x14ac:dyDescent="0.2">
      <c r="A490" s="5"/>
      <c r="B490" s="6"/>
      <c r="C490" s="6"/>
      <c r="D490" s="6"/>
      <c r="E490" s="6"/>
      <c r="F490" s="5"/>
      <c r="G490" s="5"/>
      <c r="H490" s="5"/>
      <c r="I490" s="5"/>
      <c r="J490" s="5"/>
      <c r="K490" s="5"/>
      <c r="L490" s="5"/>
      <c r="M490" s="5"/>
      <c r="N490" s="5"/>
      <c r="O490" s="5"/>
      <c r="P490" s="5"/>
      <c r="Q490" s="5"/>
      <c r="R490" s="5"/>
      <c r="S490" s="5"/>
      <c r="T490" s="5"/>
      <c r="U490" s="5"/>
      <c r="V490" s="5"/>
      <c r="W490" s="5"/>
    </row>
    <row r="491" spans="1:23" ht="16" x14ac:dyDescent="0.2">
      <c r="A491" s="5"/>
      <c r="B491" s="6"/>
      <c r="C491" s="6"/>
      <c r="D491" s="6"/>
      <c r="E491" s="6"/>
      <c r="F491" s="5"/>
      <c r="G491" s="5"/>
      <c r="H491" s="5"/>
      <c r="I491" s="5"/>
      <c r="J491" s="5"/>
      <c r="K491" s="5"/>
      <c r="L491" s="5"/>
      <c r="M491" s="5"/>
      <c r="N491" s="5"/>
      <c r="O491" s="5"/>
      <c r="P491" s="5"/>
      <c r="Q491" s="5"/>
      <c r="R491" s="5"/>
      <c r="S491" s="5"/>
      <c r="T491" s="5"/>
      <c r="U491" s="5"/>
      <c r="V491" s="5"/>
      <c r="W491" s="5"/>
    </row>
    <row r="492" spans="1:23" ht="16" x14ac:dyDescent="0.2">
      <c r="A492" s="5"/>
      <c r="B492" s="6"/>
      <c r="C492" s="6"/>
      <c r="D492" s="6"/>
      <c r="E492" s="6"/>
      <c r="F492" s="5"/>
      <c r="G492" s="5"/>
      <c r="H492" s="5"/>
      <c r="I492" s="5"/>
      <c r="J492" s="5"/>
      <c r="K492" s="5"/>
      <c r="L492" s="5"/>
      <c r="M492" s="5"/>
      <c r="N492" s="5"/>
      <c r="O492" s="5"/>
      <c r="P492" s="5"/>
      <c r="Q492" s="5"/>
      <c r="R492" s="5"/>
      <c r="S492" s="5"/>
      <c r="T492" s="5"/>
      <c r="U492" s="5"/>
      <c r="V492" s="5"/>
      <c r="W492" s="5"/>
    </row>
    <row r="493" spans="1:23" ht="16" x14ac:dyDescent="0.2">
      <c r="A493" s="5"/>
      <c r="B493" s="6"/>
      <c r="C493" s="6"/>
      <c r="D493" s="6"/>
      <c r="E493" s="6"/>
      <c r="F493" s="5"/>
      <c r="G493" s="5"/>
      <c r="H493" s="5"/>
      <c r="I493" s="5"/>
      <c r="J493" s="5"/>
      <c r="K493" s="5"/>
      <c r="L493" s="5"/>
      <c r="M493" s="5"/>
      <c r="N493" s="5"/>
      <c r="O493" s="5"/>
      <c r="P493" s="5"/>
      <c r="Q493" s="5"/>
      <c r="R493" s="5"/>
      <c r="S493" s="5"/>
      <c r="T493" s="5"/>
      <c r="U493" s="5"/>
      <c r="V493" s="5"/>
      <c r="W493" s="5"/>
    </row>
    <row r="494" spans="1:23" ht="16" x14ac:dyDescent="0.2">
      <c r="A494" s="5"/>
      <c r="B494" s="6"/>
      <c r="C494" s="6"/>
      <c r="D494" s="6"/>
      <c r="E494" s="6"/>
      <c r="F494" s="5"/>
      <c r="G494" s="5"/>
      <c r="H494" s="5"/>
      <c r="I494" s="5"/>
      <c r="J494" s="5"/>
      <c r="K494" s="5"/>
      <c r="L494" s="5"/>
      <c r="M494" s="5"/>
      <c r="N494" s="5"/>
      <c r="O494" s="5"/>
      <c r="P494" s="5"/>
      <c r="Q494" s="5"/>
      <c r="R494" s="5"/>
      <c r="S494" s="5"/>
      <c r="T494" s="5"/>
      <c r="U494" s="5"/>
      <c r="V494" s="5"/>
      <c r="W494" s="5"/>
    </row>
    <row r="495" spans="1:23" ht="16" x14ac:dyDescent="0.2">
      <c r="A495" s="5"/>
      <c r="B495" s="6"/>
      <c r="C495" s="6"/>
      <c r="D495" s="6"/>
      <c r="E495" s="6"/>
      <c r="F495" s="5"/>
      <c r="G495" s="5"/>
      <c r="H495" s="5"/>
      <c r="I495" s="5"/>
      <c r="J495" s="5"/>
      <c r="K495" s="5"/>
      <c r="L495" s="5"/>
      <c r="M495" s="5"/>
      <c r="N495" s="5"/>
      <c r="O495" s="5"/>
      <c r="P495" s="5"/>
      <c r="Q495" s="5"/>
      <c r="R495" s="5"/>
      <c r="S495" s="5"/>
      <c r="T495" s="5"/>
      <c r="U495" s="5"/>
      <c r="V495" s="5"/>
      <c r="W495" s="5"/>
    </row>
    <row r="496" spans="1:23" ht="16" x14ac:dyDescent="0.2">
      <c r="A496" s="5"/>
      <c r="B496" s="6"/>
      <c r="C496" s="6"/>
      <c r="D496" s="6"/>
      <c r="E496" s="6"/>
      <c r="F496" s="5"/>
      <c r="G496" s="5"/>
      <c r="H496" s="5"/>
      <c r="I496" s="5"/>
      <c r="J496" s="5"/>
      <c r="K496" s="5"/>
      <c r="L496" s="5"/>
      <c r="M496" s="5"/>
      <c r="N496" s="5"/>
      <c r="O496" s="5"/>
      <c r="P496" s="5"/>
      <c r="Q496" s="5"/>
      <c r="R496" s="5"/>
      <c r="S496" s="5"/>
      <c r="T496" s="5"/>
      <c r="U496" s="5"/>
      <c r="V496" s="5"/>
      <c r="W496" s="5"/>
    </row>
    <row r="497" spans="1:23" ht="16" x14ac:dyDescent="0.2">
      <c r="A497" s="5"/>
      <c r="B497" s="6"/>
      <c r="C497" s="6"/>
      <c r="D497" s="6"/>
      <c r="E497" s="6"/>
      <c r="F497" s="5"/>
      <c r="G497" s="5"/>
      <c r="H497" s="5"/>
      <c r="I497" s="5"/>
      <c r="J497" s="5"/>
      <c r="K497" s="5"/>
      <c r="L497" s="5"/>
      <c r="M497" s="5"/>
      <c r="N497" s="5"/>
      <c r="O497" s="5"/>
      <c r="P497" s="5"/>
      <c r="Q497" s="5"/>
      <c r="R497" s="5"/>
      <c r="S497" s="5"/>
      <c r="T497" s="5"/>
      <c r="U497" s="5"/>
      <c r="V497" s="5"/>
      <c r="W497" s="5"/>
    </row>
    <row r="498" spans="1:23" ht="16" x14ac:dyDescent="0.2">
      <c r="A498" s="5"/>
      <c r="B498" s="6"/>
      <c r="C498" s="6"/>
      <c r="D498" s="6"/>
      <c r="E498" s="6"/>
      <c r="F498" s="5"/>
      <c r="G498" s="5"/>
      <c r="H498" s="5"/>
      <c r="I498" s="5"/>
      <c r="J498" s="5"/>
      <c r="K498" s="5"/>
      <c r="L498" s="5"/>
      <c r="M498" s="5"/>
      <c r="N498" s="5"/>
      <c r="O498" s="5"/>
      <c r="P498" s="5"/>
      <c r="Q498" s="5"/>
      <c r="R498" s="5"/>
      <c r="S498" s="5"/>
      <c r="T498" s="5"/>
      <c r="U498" s="5"/>
      <c r="V498" s="5"/>
      <c r="W498" s="5"/>
    </row>
    <row r="499" spans="1:23" ht="16" x14ac:dyDescent="0.2">
      <c r="A499" s="5"/>
      <c r="B499" s="6"/>
      <c r="C499" s="6"/>
      <c r="D499" s="6"/>
      <c r="E499" s="6"/>
      <c r="F499" s="5"/>
      <c r="G499" s="5"/>
      <c r="H499" s="5"/>
      <c r="I499" s="5"/>
      <c r="J499" s="5"/>
      <c r="K499" s="5"/>
      <c r="L499" s="5"/>
      <c r="M499" s="5"/>
      <c r="N499" s="5"/>
      <c r="O499" s="5"/>
      <c r="P499" s="5"/>
      <c r="Q499" s="5"/>
      <c r="R499" s="5"/>
      <c r="S499" s="5"/>
      <c r="T499" s="5"/>
      <c r="U499" s="5"/>
      <c r="V499" s="5"/>
      <c r="W499" s="5"/>
    </row>
    <row r="500" spans="1:23" ht="16" x14ac:dyDescent="0.2">
      <c r="A500" s="5"/>
      <c r="B500" s="6"/>
      <c r="C500" s="6"/>
      <c r="D500" s="6"/>
      <c r="E500" s="6"/>
      <c r="F500" s="5"/>
      <c r="G500" s="5"/>
      <c r="H500" s="5"/>
      <c r="I500" s="5"/>
      <c r="J500" s="5"/>
      <c r="K500" s="5"/>
      <c r="L500" s="5"/>
      <c r="M500" s="5"/>
      <c r="N500" s="5"/>
      <c r="O500" s="5"/>
      <c r="P500" s="5"/>
      <c r="Q500" s="5"/>
      <c r="R500" s="5"/>
      <c r="S500" s="5"/>
      <c r="T500" s="5"/>
      <c r="U500" s="5"/>
      <c r="V500" s="5"/>
      <c r="W500" s="5"/>
    </row>
    <row r="501" spans="1:23" ht="16" x14ac:dyDescent="0.2">
      <c r="A501" s="5"/>
      <c r="B501" s="6"/>
      <c r="C501" s="6"/>
      <c r="D501" s="6"/>
      <c r="E501" s="6"/>
      <c r="F501" s="5"/>
      <c r="G501" s="5"/>
      <c r="H501" s="5"/>
      <c r="I501" s="5"/>
      <c r="J501" s="5"/>
      <c r="K501" s="5"/>
      <c r="L501" s="5"/>
      <c r="M501" s="5"/>
      <c r="N501" s="5"/>
      <c r="O501" s="5"/>
      <c r="P501" s="5"/>
      <c r="Q501" s="5"/>
      <c r="R501" s="5"/>
      <c r="S501" s="5"/>
      <c r="T501" s="5"/>
      <c r="U501" s="5"/>
      <c r="V501" s="5"/>
      <c r="W501" s="5"/>
    </row>
    <row r="502" spans="1:23" ht="16" x14ac:dyDescent="0.2">
      <c r="A502" s="5"/>
      <c r="B502" s="6"/>
      <c r="C502" s="6"/>
      <c r="D502" s="6"/>
      <c r="E502" s="6"/>
      <c r="F502" s="5"/>
      <c r="G502" s="5"/>
      <c r="H502" s="5"/>
      <c r="I502" s="5"/>
      <c r="J502" s="5"/>
      <c r="K502" s="5"/>
      <c r="L502" s="5"/>
      <c r="M502" s="5"/>
      <c r="N502" s="5"/>
      <c r="O502" s="5"/>
      <c r="P502" s="5"/>
      <c r="Q502" s="5"/>
      <c r="R502" s="5"/>
      <c r="S502" s="5"/>
      <c r="T502" s="5"/>
      <c r="U502" s="5"/>
      <c r="V502" s="5"/>
      <c r="W502" s="5"/>
    </row>
    <row r="503" spans="1:23" ht="16" x14ac:dyDescent="0.2">
      <c r="A503" s="5"/>
      <c r="B503" s="6"/>
      <c r="C503" s="6"/>
      <c r="D503" s="6"/>
      <c r="E503" s="6"/>
      <c r="F503" s="5"/>
      <c r="G503" s="5"/>
      <c r="H503" s="5"/>
      <c r="I503" s="5"/>
      <c r="J503" s="5"/>
      <c r="K503" s="5"/>
      <c r="L503" s="5"/>
      <c r="M503" s="5"/>
      <c r="N503" s="5"/>
      <c r="O503" s="5"/>
      <c r="P503" s="5"/>
      <c r="Q503" s="5"/>
      <c r="R503" s="5"/>
      <c r="S503" s="5"/>
      <c r="T503" s="5"/>
      <c r="U503" s="5"/>
      <c r="V503" s="5"/>
      <c r="W503" s="5"/>
    </row>
    <row r="504" spans="1:23" ht="16" x14ac:dyDescent="0.2">
      <c r="A504" s="5"/>
      <c r="B504" s="6"/>
      <c r="C504" s="6"/>
      <c r="D504" s="6"/>
      <c r="E504" s="6"/>
      <c r="F504" s="5"/>
      <c r="G504" s="5"/>
      <c r="H504" s="5"/>
      <c r="I504" s="5"/>
      <c r="J504" s="5"/>
      <c r="K504" s="5"/>
      <c r="L504" s="5"/>
      <c r="M504" s="5"/>
      <c r="N504" s="5"/>
      <c r="O504" s="5"/>
      <c r="P504" s="5"/>
      <c r="Q504" s="5"/>
      <c r="R504" s="5"/>
      <c r="S504" s="5"/>
      <c r="T504" s="5"/>
      <c r="U504" s="5"/>
      <c r="V504" s="5"/>
      <c r="W504" s="5"/>
    </row>
    <row r="505" spans="1:23" ht="16" x14ac:dyDescent="0.2">
      <c r="A505" s="5"/>
      <c r="B505" s="6"/>
      <c r="C505" s="6"/>
      <c r="D505" s="6"/>
      <c r="E505" s="6"/>
      <c r="F505" s="5"/>
      <c r="G505" s="5"/>
      <c r="H505" s="5"/>
      <c r="I505" s="5"/>
      <c r="J505" s="5"/>
      <c r="K505" s="5"/>
      <c r="L505" s="5"/>
      <c r="M505" s="5"/>
      <c r="N505" s="5"/>
      <c r="O505" s="5"/>
      <c r="P505" s="5"/>
      <c r="Q505" s="5"/>
      <c r="R505" s="5"/>
      <c r="S505" s="5"/>
      <c r="T505" s="5"/>
      <c r="U505" s="5"/>
      <c r="V505" s="5"/>
      <c r="W505" s="5"/>
    </row>
    <row r="506" spans="1:23" ht="16" x14ac:dyDescent="0.2">
      <c r="A506" s="5"/>
      <c r="B506" s="6"/>
      <c r="C506" s="6"/>
      <c r="D506" s="6"/>
      <c r="E506" s="6"/>
      <c r="F506" s="5"/>
      <c r="G506" s="5"/>
      <c r="H506" s="5"/>
      <c r="I506" s="5"/>
      <c r="J506" s="5"/>
      <c r="K506" s="5"/>
      <c r="L506" s="5"/>
      <c r="M506" s="5"/>
      <c r="N506" s="5"/>
      <c r="O506" s="5"/>
      <c r="P506" s="5"/>
      <c r="Q506" s="5"/>
      <c r="R506" s="5"/>
      <c r="S506" s="5"/>
      <c r="T506" s="5"/>
      <c r="U506" s="5"/>
      <c r="V506" s="5"/>
      <c r="W506" s="5"/>
    </row>
    <row r="507" spans="1:23" ht="16" x14ac:dyDescent="0.2">
      <c r="A507" s="5"/>
      <c r="B507" s="6"/>
      <c r="C507" s="6"/>
      <c r="D507" s="6"/>
      <c r="E507" s="6"/>
      <c r="F507" s="5"/>
      <c r="G507" s="5"/>
      <c r="H507" s="5"/>
      <c r="I507" s="5"/>
      <c r="J507" s="5"/>
      <c r="K507" s="5"/>
      <c r="L507" s="5"/>
      <c r="M507" s="5"/>
      <c r="N507" s="5"/>
      <c r="O507" s="5"/>
      <c r="P507" s="5"/>
      <c r="Q507" s="5"/>
      <c r="R507" s="5"/>
      <c r="S507" s="5"/>
      <c r="T507" s="5"/>
      <c r="U507" s="5"/>
      <c r="V507" s="5"/>
      <c r="W507" s="5"/>
    </row>
    <row r="508" spans="1:23" ht="16" x14ac:dyDescent="0.2">
      <c r="A508" s="5"/>
      <c r="B508" s="6"/>
      <c r="C508" s="6"/>
      <c r="D508" s="6"/>
      <c r="E508" s="6"/>
      <c r="F508" s="5"/>
      <c r="G508" s="5"/>
      <c r="H508" s="5"/>
      <c r="I508" s="5"/>
      <c r="J508" s="5"/>
      <c r="K508" s="5"/>
      <c r="L508" s="5"/>
      <c r="M508" s="5"/>
      <c r="N508" s="5"/>
      <c r="O508" s="5"/>
      <c r="P508" s="5"/>
      <c r="Q508" s="5"/>
      <c r="R508" s="5"/>
      <c r="S508" s="5"/>
      <c r="T508" s="5"/>
      <c r="U508" s="5"/>
      <c r="V508" s="5"/>
      <c r="W508" s="5"/>
    </row>
    <row r="509" spans="1:23" ht="16" x14ac:dyDescent="0.2">
      <c r="A509" s="5"/>
      <c r="B509" s="6"/>
      <c r="C509" s="6"/>
      <c r="D509" s="6"/>
      <c r="E509" s="6"/>
      <c r="F509" s="5"/>
      <c r="G509" s="5"/>
      <c r="H509" s="5"/>
      <c r="I509" s="5"/>
      <c r="J509" s="5"/>
      <c r="K509" s="5"/>
      <c r="L509" s="5"/>
      <c r="M509" s="5"/>
      <c r="N509" s="5"/>
      <c r="O509" s="5"/>
      <c r="P509" s="5"/>
      <c r="Q509" s="5"/>
      <c r="R509" s="5"/>
      <c r="S509" s="5"/>
      <c r="T509" s="5"/>
      <c r="U509" s="5"/>
      <c r="V509" s="5"/>
      <c r="W509" s="5"/>
    </row>
    <row r="510" spans="1:23" ht="16" x14ac:dyDescent="0.2">
      <c r="A510" s="5"/>
      <c r="B510" s="6"/>
      <c r="C510" s="6"/>
      <c r="D510" s="6"/>
      <c r="E510" s="6"/>
      <c r="F510" s="5"/>
      <c r="G510" s="5"/>
      <c r="H510" s="5"/>
      <c r="I510" s="5"/>
      <c r="J510" s="5"/>
      <c r="K510" s="5"/>
      <c r="L510" s="5"/>
      <c r="M510" s="5"/>
      <c r="N510" s="5"/>
      <c r="O510" s="5"/>
      <c r="P510" s="5"/>
      <c r="Q510" s="5"/>
      <c r="R510" s="5"/>
      <c r="S510" s="5"/>
      <c r="T510" s="5"/>
      <c r="U510" s="5"/>
      <c r="V510" s="5"/>
      <c r="W510" s="5"/>
    </row>
    <row r="511" spans="1:23" ht="16" x14ac:dyDescent="0.2">
      <c r="A511" s="5"/>
      <c r="B511" s="6"/>
      <c r="C511" s="6"/>
      <c r="D511" s="6"/>
      <c r="E511" s="6"/>
      <c r="F511" s="5"/>
      <c r="G511" s="5"/>
      <c r="H511" s="5"/>
      <c r="I511" s="5"/>
      <c r="J511" s="5"/>
      <c r="K511" s="5"/>
      <c r="L511" s="5"/>
      <c r="M511" s="5"/>
      <c r="N511" s="5"/>
      <c r="O511" s="5"/>
      <c r="P511" s="5"/>
      <c r="Q511" s="5"/>
      <c r="R511" s="5"/>
      <c r="S511" s="5"/>
      <c r="T511" s="5"/>
      <c r="U511" s="5"/>
      <c r="V511" s="5"/>
      <c r="W511" s="5"/>
    </row>
    <row r="512" spans="1:23" ht="16" x14ac:dyDescent="0.2">
      <c r="A512" s="5"/>
      <c r="B512" s="6"/>
      <c r="C512" s="6"/>
      <c r="D512" s="6"/>
      <c r="E512" s="6"/>
      <c r="F512" s="5"/>
      <c r="G512" s="5"/>
      <c r="H512" s="5"/>
      <c r="I512" s="5"/>
      <c r="J512" s="5"/>
      <c r="K512" s="5"/>
      <c r="L512" s="5"/>
      <c r="M512" s="5"/>
      <c r="N512" s="5"/>
      <c r="O512" s="5"/>
      <c r="P512" s="5"/>
      <c r="Q512" s="5"/>
      <c r="R512" s="5"/>
      <c r="S512" s="5"/>
      <c r="T512" s="5"/>
      <c r="U512" s="5"/>
      <c r="V512" s="5"/>
      <c r="W512" s="5"/>
    </row>
    <row r="513" spans="1:23" ht="16" x14ac:dyDescent="0.2">
      <c r="A513" s="5"/>
      <c r="B513" s="6"/>
      <c r="C513" s="6"/>
      <c r="D513" s="6"/>
      <c r="E513" s="6"/>
      <c r="F513" s="5"/>
      <c r="G513" s="5"/>
      <c r="H513" s="5"/>
      <c r="I513" s="5"/>
      <c r="J513" s="5"/>
      <c r="K513" s="5"/>
      <c r="L513" s="5"/>
      <c r="M513" s="5"/>
      <c r="N513" s="5"/>
      <c r="O513" s="5"/>
      <c r="P513" s="5"/>
      <c r="Q513" s="5"/>
      <c r="R513" s="5"/>
      <c r="S513" s="5"/>
      <c r="T513" s="5"/>
      <c r="U513" s="5"/>
      <c r="V513" s="5"/>
      <c r="W513" s="5"/>
    </row>
    <row r="514" spans="1:23" ht="16" x14ac:dyDescent="0.2">
      <c r="A514" s="5"/>
      <c r="B514" s="6"/>
      <c r="C514" s="6"/>
      <c r="D514" s="6"/>
      <c r="E514" s="6"/>
      <c r="F514" s="5"/>
      <c r="G514" s="5"/>
      <c r="H514" s="5"/>
      <c r="I514" s="5"/>
      <c r="J514" s="5"/>
      <c r="K514" s="5"/>
      <c r="L514" s="5"/>
      <c r="M514" s="5"/>
      <c r="N514" s="5"/>
      <c r="O514" s="5"/>
      <c r="P514" s="5"/>
      <c r="Q514" s="5"/>
      <c r="R514" s="5"/>
      <c r="S514" s="5"/>
      <c r="T514" s="5"/>
      <c r="U514" s="5"/>
      <c r="V514" s="5"/>
      <c r="W514" s="5"/>
    </row>
    <row r="515" spans="1:23" ht="16" x14ac:dyDescent="0.2">
      <c r="A515" s="5"/>
      <c r="B515" s="6"/>
      <c r="C515" s="6"/>
      <c r="D515" s="6"/>
      <c r="E515" s="6"/>
      <c r="F515" s="5"/>
      <c r="G515" s="5"/>
      <c r="H515" s="5"/>
      <c r="I515" s="5"/>
      <c r="J515" s="5"/>
      <c r="K515" s="5"/>
      <c r="L515" s="5"/>
      <c r="M515" s="5"/>
      <c r="N515" s="5"/>
      <c r="O515" s="5"/>
      <c r="P515" s="5"/>
      <c r="Q515" s="5"/>
      <c r="R515" s="5"/>
      <c r="S515" s="5"/>
      <c r="T515" s="5"/>
      <c r="U515" s="5"/>
      <c r="V515" s="5"/>
      <c r="W515" s="5"/>
    </row>
    <row r="516" spans="1:23" ht="16" x14ac:dyDescent="0.2">
      <c r="A516" s="5"/>
      <c r="B516" s="6"/>
      <c r="C516" s="6"/>
      <c r="D516" s="6"/>
      <c r="E516" s="6"/>
      <c r="F516" s="5"/>
      <c r="G516" s="5"/>
      <c r="H516" s="5"/>
      <c r="I516" s="5"/>
      <c r="J516" s="5"/>
      <c r="K516" s="5"/>
      <c r="L516" s="5"/>
      <c r="M516" s="5"/>
      <c r="N516" s="5"/>
      <c r="O516" s="5"/>
      <c r="P516" s="5"/>
      <c r="Q516" s="5"/>
      <c r="R516" s="5"/>
      <c r="S516" s="5"/>
      <c r="T516" s="5"/>
      <c r="U516" s="5"/>
      <c r="V516" s="5"/>
      <c r="W516" s="5"/>
    </row>
    <row r="517" spans="1:23" ht="16" x14ac:dyDescent="0.2">
      <c r="A517" s="5"/>
      <c r="B517" s="6"/>
      <c r="C517" s="6"/>
      <c r="D517" s="6"/>
      <c r="E517" s="6"/>
      <c r="F517" s="5"/>
      <c r="G517" s="5"/>
      <c r="H517" s="5"/>
      <c r="I517" s="5"/>
      <c r="J517" s="5"/>
      <c r="K517" s="5"/>
      <c r="L517" s="5"/>
      <c r="M517" s="5"/>
      <c r="N517" s="5"/>
      <c r="O517" s="5"/>
      <c r="P517" s="5"/>
      <c r="Q517" s="5"/>
      <c r="R517" s="5"/>
      <c r="S517" s="5"/>
      <c r="T517" s="5"/>
      <c r="U517" s="5"/>
      <c r="V517" s="5"/>
      <c r="W517" s="5"/>
    </row>
    <row r="518" spans="1:23" ht="16" x14ac:dyDescent="0.2">
      <c r="A518" s="5"/>
      <c r="B518" s="6"/>
      <c r="C518" s="6"/>
      <c r="D518" s="6"/>
      <c r="E518" s="6"/>
      <c r="F518" s="5"/>
      <c r="G518" s="5"/>
      <c r="H518" s="5"/>
      <c r="I518" s="5"/>
      <c r="J518" s="5"/>
      <c r="K518" s="5"/>
      <c r="L518" s="5"/>
      <c r="M518" s="5"/>
      <c r="N518" s="5"/>
      <c r="O518" s="5"/>
      <c r="P518" s="5"/>
      <c r="Q518" s="5"/>
      <c r="R518" s="5"/>
      <c r="S518" s="5"/>
      <c r="T518" s="5"/>
      <c r="U518" s="5"/>
      <c r="V518" s="5"/>
      <c r="W518" s="5"/>
    </row>
    <row r="519" spans="1:23" ht="16" x14ac:dyDescent="0.2">
      <c r="A519" s="5"/>
      <c r="B519" s="6"/>
      <c r="C519" s="6"/>
      <c r="D519" s="6"/>
      <c r="E519" s="6"/>
      <c r="F519" s="5"/>
      <c r="G519" s="5"/>
      <c r="H519" s="5"/>
      <c r="I519" s="5"/>
      <c r="J519" s="5"/>
      <c r="K519" s="5"/>
      <c r="L519" s="5"/>
      <c r="M519" s="5"/>
      <c r="N519" s="5"/>
      <c r="O519" s="5"/>
      <c r="P519" s="5"/>
      <c r="Q519" s="5"/>
      <c r="R519" s="5"/>
      <c r="S519" s="5"/>
      <c r="T519" s="5"/>
      <c r="U519" s="5"/>
      <c r="V519" s="5"/>
      <c r="W519" s="5"/>
    </row>
    <row r="520" spans="1:23" ht="16" x14ac:dyDescent="0.2">
      <c r="A520" s="5"/>
      <c r="B520" s="6"/>
      <c r="C520" s="6"/>
      <c r="D520" s="6"/>
      <c r="E520" s="6"/>
      <c r="F520" s="5"/>
      <c r="G520" s="5"/>
      <c r="H520" s="5"/>
      <c r="I520" s="5"/>
      <c r="J520" s="5"/>
      <c r="K520" s="5"/>
      <c r="L520" s="5"/>
      <c r="M520" s="5"/>
      <c r="N520" s="5"/>
      <c r="O520" s="5"/>
      <c r="P520" s="5"/>
      <c r="Q520" s="5"/>
      <c r="R520" s="5"/>
      <c r="S520" s="5"/>
      <c r="T520" s="5"/>
      <c r="U520" s="5"/>
      <c r="V520" s="5"/>
      <c r="W520" s="5"/>
    </row>
    <row r="521" spans="1:23" ht="16" x14ac:dyDescent="0.2">
      <c r="A521" s="5"/>
      <c r="B521" s="6"/>
      <c r="C521" s="6"/>
      <c r="D521" s="6"/>
      <c r="E521" s="6"/>
      <c r="F521" s="5"/>
      <c r="G521" s="5"/>
      <c r="H521" s="5"/>
      <c r="I521" s="5"/>
      <c r="J521" s="5"/>
      <c r="K521" s="5"/>
      <c r="L521" s="5"/>
      <c r="M521" s="5"/>
      <c r="N521" s="5"/>
      <c r="O521" s="5"/>
      <c r="P521" s="5"/>
      <c r="Q521" s="5"/>
      <c r="R521" s="5"/>
      <c r="S521" s="5"/>
      <c r="T521" s="5"/>
      <c r="U521" s="5"/>
      <c r="V521" s="5"/>
      <c r="W521" s="5"/>
    </row>
    <row r="522" spans="1:23" ht="16" x14ac:dyDescent="0.2">
      <c r="A522" s="5"/>
      <c r="B522" s="6"/>
      <c r="C522" s="6"/>
      <c r="D522" s="6"/>
      <c r="E522" s="6"/>
      <c r="F522" s="5"/>
      <c r="G522" s="5"/>
      <c r="H522" s="5"/>
      <c r="I522" s="5"/>
      <c r="J522" s="5"/>
      <c r="K522" s="5"/>
      <c r="L522" s="5"/>
      <c r="M522" s="5"/>
      <c r="N522" s="5"/>
      <c r="O522" s="5"/>
      <c r="P522" s="5"/>
      <c r="Q522" s="5"/>
      <c r="R522" s="5"/>
      <c r="S522" s="5"/>
      <c r="T522" s="5"/>
      <c r="U522" s="5"/>
      <c r="V522" s="5"/>
      <c r="W522" s="5"/>
    </row>
    <row r="523" spans="1:23" ht="16" x14ac:dyDescent="0.2">
      <c r="A523" s="5"/>
      <c r="B523" s="6"/>
      <c r="C523" s="6"/>
      <c r="D523" s="6"/>
      <c r="E523" s="6"/>
      <c r="F523" s="5"/>
      <c r="G523" s="5"/>
      <c r="H523" s="5"/>
      <c r="I523" s="5"/>
      <c r="J523" s="5"/>
      <c r="K523" s="5"/>
      <c r="L523" s="5"/>
      <c r="M523" s="5"/>
      <c r="N523" s="5"/>
      <c r="O523" s="5"/>
      <c r="P523" s="5"/>
      <c r="Q523" s="5"/>
      <c r="R523" s="5"/>
      <c r="S523" s="5"/>
      <c r="T523" s="5"/>
      <c r="U523" s="5"/>
      <c r="V523" s="5"/>
      <c r="W523" s="5"/>
    </row>
    <row r="524" spans="1:23" ht="16" x14ac:dyDescent="0.2">
      <c r="A524" s="5"/>
      <c r="B524" s="6"/>
      <c r="C524" s="6"/>
      <c r="D524" s="6"/>
      <c r="E524" s="6"/>
      <c r="F524" s="5"/>
      <c r="G524" s="5"/>
      <c r="H524" s="5"/>
      <c r="I524" s="5"/>
      <c r="J524" s="5"/>
      <c r="K524" s="5"/>
      <c r="L524" s="5"/>
      <c r="M524" s="5"/>
      <c r="N524" s="5"/>
      <c r="O524" s="5"/>
      <c r="P524" s="5"/>
      <c r="Q524" s="5"/>
      <c r="R524" s="5"/>
      <c r="S524" s="5"/>
      <c r="T524" s="5"/>
      <c r="U524" s="5"/>
      <c r="V524" s="5"/>
      <c r="W524" s="5"/>
    </row>
    <row r="525" spans="1:23" ht="16" x14ac:dyDescent="0.2">
      <c r="A525" s="5"/>
      <c r="B525" s="6"/>
      <c r="C525" s="6"/>
      <c r="D525" s="6"/>
      <c r="E525" s="6"/>
      <c r="F525" s="5"/>
      <c r="G525" s="5"/>
      <c r="H525" s="5"/>
      <c r="I525" s="5"/>
      <c r="J525" s="5"/>
      <c r="K525" s="5"/>
      <c r="L525" s="5"/>
      <c r="M525" s="5"/>
      <c r="N525" s="5"/>
      <c r="O525" s="5"/>
      <c r="P525" s="5"/>
      <c r="Q525" s="5"/>
      <c r="R525" s="5"/>
      <c r="S525" s="5"/>
      <c r="T525" s="5"/>
      <c r="U525" s="5"/>
      <c r="V525" s="5"/>
      <c r="W525" s="5"/>
    </row>
    <row r="526" spans="1:23" ht="16" x14ac:dyDescent="0.2">
      <c r="A526" s="5"/>
      <c r="B526" s="6"/>
      <c r="C526" s="6"/>
      <c r="D526" s="6"/>
      <c r="E526" s="6"/>
      <c r="F526" s="5"/>
      <c r="G526" s="5"/>
      <c r="H526" s="5"/>
      <c r="I526" s="5"/>
      <c r="J526" s="5"/>
      <c r="K526" s="5"/>
      <c r="L526" s="5"/>
      <c r="M526" s="5"/>
      <c r="N526" s="5"/>
      <c r="O526" s="5"/>
      <c r="P526" s="5"/>
      <c r="Q526" s="5"/>
      <c r="R526" s="5"/>
      <c r="S526" s="5"/>
      <c r="T526" s="5"/>
      <c r="U526" s="5"/>
      <c r="V526" s="5"/>
      <c r="W526" s="5"/>
    </row>
    <row r="527" spans="1:23" ht="16" x14ac:dyDescent="0.2">
      <c r="A527" s="5"/>
      <c r="B527" s="6"/>
      <c r="C527" s="6"/>
      <c r="D527" s="6"/>
      <c r="E527" s="6"/>
      <c r="F527" s="5"/>
      <c r="G527" s="5"/>
      <c r="H527" s="5"/>
      <c r="I527" s="5"/>
      <c r="J527" s="5"/>
      <c r="K527" s="5"/>
      <c r="L527" s="5"/>
      <c r="M527" s="5"/>
      <c r="N527" s="5"/>
      <c r="O527" s="5"/>
      <c r="P527" s="5"/>
      <c r="Q527" s="5"/>
      <c r="R527" s="5"/>
      <c r="S527" s="5"/>
      <c r="T527" s="5"/>
      <c r="U527" s="5"/>
      <c r="V527" s="5"/>
      <c r="W527" s="5"/>
    </row>
    <row r="528" spans="1:23" ht="16" x14ac:dyDescent="0.2">
      <c r="A528" s="5"/>
      <c r="B528" s="6"/>
      <c r="C528" s="6"/>
      <c r="D528" s="6"/>
      <c r="E528" s="6"/>
      <c r="F528" s="5"/>
      <c r="G528" s="5"/>
      <c r="H528" s="5"/>
      <c r="I528" s="5"/>
      <c r="J528" s="5"/>
      <c r="K528" s="5"/>
      <c r="L528" s="5"/>
      <c r="M528" s="5"/>
      <c r="N528" s="5"/>
      <c r="O528" s="5"/>
      <c r="P528" s="5"/>
      <c r="Q528" s="5"/>
      <c r="R528" s="5"/>
      <c r="S528" s="5"/>
      <c r="T528" s="5"/>
      <c r="U528" s="5"/>
      <c r="V528" s="5"/>
      <c r="W528" s="5"/>
    </row>
    <row r="529" spans="1:23" ht="16" x14ac:dyDescent="0.2">
      <c r="A529" s="5"/>
      <c r="B529" s="6"/>
      <c r="C529" s="6"/>
      <c r="D529" s="6"/>
      <c r="E529" s="6"/>
      <c r="F529" s="5"/>
      <c r="G529" s="5"/>
      <c r="H529" s="5"/>
      <c r="I529" s="5"/>
      <c r="J529" s="5"/>
      <c r="K529" s="5"/>
      <c r="L529" s="5"/>
      <c r="M529" s="5"/>
      <c r="N529" s="5"/>
      <c r="O529" s="5"/>
      <c r="P529" s="5"/>
      <c r="Q529" s="5"/>
      <c r="R529" s="5"/>
      <c r="S529" s="5"/>
      <c r="T529" s="5"/>
      <c r="U529" s="5"/>
      <c r="V529" s="5"/>
      <c r="W529" s="5"/>
    </row>
    <row r="530" spans="1:23" ht="16" x14ac:dyDescent="0.2">
      <c r="A530" s="5"/>
      <c r="B530" s="6"/>
      <c r="C530" s="6"/>
      <c r="D530" s="6"/>
      <c r="E530" s="6"/>
      <c r="F530" s="5"/>
      <c r="G530" s="5"/>
      <c r="H530" s="5"/>
      <c r="I530" s="5"/>
      <c r="J530" s="5"/>
      <c r="K530" s="5"/>
      <c r="L530" s="5"/>
      <c r="M530" s="5"/>
      <c r="N530" s="5"/>
      <c r="O530" s="5"/>
      <c r="P530" s="5"/>
      <c r="Q530" s="5"/>
      <c r="R530" s="5"/>
      <c r="S530" s="5"/>
      <c r="T530" s="5"/>
      <c r="U530" s="5"/>
      <c r="V530" s="5"/>
      <c r="W530" s="5"/>
    </row>
    <row r="531" spans="1:23" ht="16" x14ac:dyDescent="0.2">
      <c r="A531" s="5"/>
      <c r="B531" s="6"/>
      <c r="C531" s="6"/>
      <c r="D531" s="6"/>
      <c r="E531" s="6"/>
      <c r="F531" s="5"/>
      <c r="G531" s="5"/>
      <c r="H531" s="5"/>
      <c r="I531" s="5"/>
      <c r="J531" s="5"/>
      <c r="K531" s="5"/>
      <c r="L531" s="5"/>
      <c r="M531" s="5"/>
      <c r="N531" s="5"/>
      <c r="O531" s="5"/>
      <c r="P531" s="5"/>
      <c r="Q531" s="5"/>
      <c r="R531" s="5"/>
      <c r="S531" s="5"/>
      <c r="T531" s="5"/>
      <c r="U531" s="5"/>
      <c r="V531" s="5"/>
      <c r="W531" s="5"/>
    </row>
    <row r="532" spans="1:23" ht="16" x14ac:dyDescent="0.2">
      <c r="A532" s="5"/>
      <c r="B532" s="6"/>
      <c r="C532" s="6"/>
      <c r="D532" s="6"/>
      <c r="E532" s="6"/>
      <c r="F532" s="5"/>
      <c r="G532" s="5"/>
      <c r="H532" s="5"/>
      <c r="I532" s="5"/>
      <c r="J532" s="5"/>
      <c r="K532" s="5"/>
      <c r="L532" s="5"/>
      <c r="M532" s="5"/>
      <c r="N532" s="5"/>
      <c r="O532" s="5"/>
      <c r="P532" s="5"/>
      <c r="Q532" s="5"/>
      <c r="R532" s="5"/>
      <c r="S532" s="5"/>
      <c r="T532" s="5"/>
      <c r="U532" s="5"/>
      <c r="V532" s="5"/>
      <c r="W532" s="5"/>
    </row>
    <row r="533" spans="1:23" ht="16" x14ac:dyDescent="0.2">
      <c r="A533" s="5"/>
      <c r="B533" s="6"/>
      <c r="C533" s="6"/>
      <c r="D533" s="6"/>
      <c r="E533" s="6"/>
      <c r="F533" s="5"/>
      <c r="G533" s="5"/>
      <c r="H533" s="5"/>
      <c r="I533" s="5"/>
      <c r="J533" s="5"/>
      <c r="K533" s="5"/>
      <c r="L533" s="5"/>
      <c r="M533" s="5"/>
      <c r="N533" s="5"/>
      <c r="O533" s="5"/>
      <c r="P533" s="5"/>
      <c r="Q533" s="5"/>
      <c r="R533" s="5"/>
      <c r="S533" s="5"/>
      <c r="T533" s="5"/>
      <c r="U533" s="5"/>
      <c r="V533" s="5"/>
      <c r="W533" s="5"/>
    </row>
    <row r="534" spans="1:23" ht="16" x14ac:dyDescent="0.2">
      <c r="A534" s="5"/>
      <c r="B534" s="6"/>
      <c r="C534" s="6"/>
      <c r="D534" s="6"/>
      <c r="E534" s="6"/>
      <c r="F534" s="5"/>
      <c r="G534" s="5"/>
      <c r="H534" s="5"/>
      <c r="I534" s="5"/>
      <c r="J534" s="5"/>
      <c r="K534" s="5"/>
      <c r="L534" s="5"/>
      <c r="M534" s="5"/>
      <c r="N534" s="5"/>
      <c r="O534" s="5"/>
      <c r="P534" s="5"/>
      <c r="Q534" s="5"/>
      <c r="R534" s="5"/>
      <c r="S534" s="5"/>
      <c r="T534" s="5"/>
      <c r="U534" s="5"/>
      <c r="V534" s="5"/>
      <c r="W534" s="5"/>
    </row>
    <row r="535" spans="1:23" ht="16" x14ac:dyDescent="0.2">
      <c r="A535" s="5"/>
      <c r="B535" s="6"/>
      <c r="C535" s="6"/>
      <c r="D535" s="6"/>
      <c r="E535" s="6"/>
      <c r="F535" s="5"/>
      <c r="G535" s="5"/>
      <c r="H535" s="5"/>
      <c r="I535" s="5"/>
      <c r="J535" s="5"/>
      <c r="K535" s="5"/>
      <c r="L535" s="5"/>
      <c r="M535" s="5"/>
      <c r="N535" s="5"/>
      <c r="O535" s="5"/>
      <c r="P535" s="5"/>
      <c r="Q535" s="5"/>
      <c r="R535" s="5"/>
      <c r="S535" s="5"/>
      <c r="T535" s="5"/>
      <c r="U535" s="5"/>
      <c r="V535" s="5"/>
      <c r="W535" s="5"/>
    </row>
    <row r="536" spans="1:23" ht="16" x14ac:dyDescent="0.2">
      <c r="A536" s="5"/>
      <c r="B536" s="6"/>
      <c r="C536" s="6"/>
      <c r="D536" s="6"/>
      <c r="E536" s="6"/>
      <c r="F536" s="5"/>
      <c r="G536" s="5"/>
      <c r="H536" s="5"/>
      <c r="I536" s="5"/>
      <c r="J536" s="5"/>
      <c r="K536" s="5"/>
      <c r="L536" s="5"/>
      <c r="M536" s="5"/>
      <c r="N536" s="5"/>
      <c r="O536" s="5"/>
      <c r="P536" s="5"/>
      <c r="Q536" s="5"/>
      <c r="R536" s="5"/>
      <c r="S536" s="5"/>
      <c r="T536" s="5"/>
      <c r="U536" s="5"/>
      <c r="V536" s="5"/>
      <c r="W536" s="5"/>
    </row>
    <row r="537" spans="1:23" ht="16" x14ac:dyDescent="0.2">
      <c r="A537" s="5"/>
      <c r="B537" s="6"/>
      <c r="C537" s="6"/>
      <c r="D537" s="6"/>
      <c r="E537" s="6"/>
      <c r="F537" s="5"/>
      <c r="G537" s="5"/>
      <c r="H537" s="5"/>
      <c r="I537" s="5"/>
      <c r="J537" s="5"/>
      <c r="K537" s="5"/>
      <c r="L537" s="5"/>
      <c r="M537" s="5"/>
      <c r="N537" s="5"/>
      <c r="O537" s="5"/>
      <c r="P537" s="5"/>
      <c r="Q537" s="5"/>
      <c r="R537" s="5"/>
      <c r="S537" s="5"/>
      <c r="T537" s="5"/>
      <c r="U537" s="5"/>
      <c r="V537" s="5"/>
      <c r="W537" s="5"/>
    </row>
    <row r="538" spans="1:23" ht="16" x14ac:dyDescent="0.2">
      <c r="A538" s="5"/>
      <c r="B538" s="6"/>
      <c r="C538" s="6"/>
      <c r="D538" s="6"/>
      <c r="E538" s="6"/>
      <c r="F538" s="5"/>
      <c r="G538" s="5"/>
      <c r="H538" s="5"/>
      <c r="I538" s="5"/>
      <c r="J538" s="5"/>
      <c r="K538" s="5"/>
      <c r="L538" s="5"/>
      <c r="M538" s="5"/>
      <c r="N538" s="5"/>
      <c r="O538" s="5"/>
      <c r="P538" s="5"/>
      <c r="Q538" s="5"/>
      <c r="R538" s="5"/>
      <c r="S538" s="5"/>
      <c r="T538" s="5"/>
      <c r="U538" s="5"/>
      <c r="V538" s="5"/>
      <c r="W538" s="5"/>
    </row>
    <row r="539" spans="1:23" ht="16" x14ac:dyDescent="0.2">
      <c r="A539" s="5"/>
      <c r="B539" s="6"/>
      <c r="C539" s="6"/>
      <c r="D539" s="6"/>
      <c r="E539" s="6"/>
      <c r="F539" s="5"/>
      <c r="G539" s="5"/>
      <c r="H539" s="5"/>
      <c r="I539" s="5"/>
      <c r="J539" s="5"/>
      <c r="K539" s="5"/>
      <c r="L539" s="5"/>
      <c r="M539" s="5"/>
      <c r="N539" s="5"/>
      <c r="O539" s="5"/>
      <c r="P539" s="5"/>
      <c r="Q539" s="5"/>
      <c r="R539" s="5"/>
      <c r="S539" s="5"/>
      <c r="T539" s="5"/>
      <c r="U539" s="5"/>
      <c r="V539" s="5"/>
      <c r="W539" s="5"/>
    </row>
    <row r="540" spans="1:23" ht="16" x14ac:dyDescent="0.2">
      <c r="A540" s="5"/>
      <c r="B540" s="6"/>
      <c r="C540" s="6"/>
      <c r="D540" s="6"/>
      <c r="E540" s="6"/>
      <c r="F540" s="5"/>
      <c r="G540" s="5"/>
      <c r="H540" s="5"/>
      <c r="I540" s="5"/>
      <c r="J540" s="5"/>
      <c r="K540" s="5"/>
      <c r="L540" s="5"/>
      <c r="M540" s="5"/>
      <c r="N540" s="5"/>
      <c r="O540" s="5"/>
      <c r="P540" s="5"/>
      <c r="Q540" s="5"/>
      <c r="R540" s="5"/>
      <c r="S540" s="5"/>
      <c r="T540" s="5"/>
      <c r="U540" s="5"/>
      <c r="V540" s="5"/>
      <c r="W540" s="5"/>
    </row>
    <row r="541" spans="1:23" ht="16" x14ac:dyDescent="0.2">
      <c r="A541" s="5"/>
      <c r="B541" s="6"/>
      <c r="C541" s="6"/>
      <c r="D541" s="6"/>
      <c r="E541" s="6"/>
      <c r="F541" s="5"/>
      <c r="G541" s="5"/>
      <c r="H541" s="5"/>
      <c r="I541" s="5"/>
      <c r="J541" s="5"/>
      <c r="K541" s="5"/>
      <c r="L541" s="5"/>
      <c r="M541" s="5"/>
      <c r="N541" s="5"/>
      <c r="O541" s="5"/>
      <c r="P541" s="5"/>
      <c r="Q541" s="5"/>
      <c r="R541" s="5"/>
      <c r="S541" s="5"/>
      <c r="T541" s="5"/>
      <c r="U541" s="5"/>
      <c r="V541" s="5"/>
      <c r="W541" s="5"/>
    </row>
    <row r="542" spans="1:23" ht="16" x14ac:dyDescent="0.2">
      <c r="A542" s="5"/>
      <c r="B542" s="6"/>
      <c r="C542" s="6"/>
      <c r="D542" s="6"/>
      <c r="E542" s="6"/>
      <c r="F542" s="5"/>
      <c r="G542" s="5"/>
      <c r="H542" s="5"/>
      <c r="I542" s="5"/>
      <c r="J542" s="5"/>
      <c r="K542" s="5"/>
      <c r="L542" s="5"/>
      <c r="M542" s="5"/>
      <c r="N542" s="5"/>
      <c r="O542" s="5"/>
      <c r="P542" s="5"/>
      <c r="Q542" s="5"/>
      <c r="R542" s="5"/>
      <c r="S542" s="5"/>
      <c r="T542" s="5"/>
      <c r="U542" s="5"/>
      <c r="V542" s="5"/>
      <c r="W542" s="5"/>
    </row>
    <row r="543" spans="1:23" ht="16" x14ac:dyDescent="0.2">
      <c r="A543" s="5"/>
      <c r="B543" s="6"/>
      <c r="C543" s="6"/>
      <c r="D543" s="6"/>
      <c r="E543" s="6"/>
      <c r="F543" s="5"/>
      <c r="G543" s="5"/>
      <c r="H543" s="5"/>
      <c r="I543" s="5"/>
      <c r="J543" s="5"/>
      <c r="K543" s="5"/>
      <c r="L543" s="5"/>
      <c r="M543" s="5"/>
      <c r="N543" s="5"/>
      <c r="O543" s="5"/>
      <c r="P543" s="5"/>
      <c r="Q543" s="5"/>
      <c r="R543" s="5"/>
      <c r="S543" s="5"/>
      <c r="T543" s="5"/>
      <c r="U543" s="5"/>
      <c r="V543" s="5"/>
      <c r="W543" s="5"/>
    </row>
    <row r="544" spans="1:23" ht="16" x14ac:dyDescent="0.2">
      <c r="A544" s="5"/>
      <c r="B544" s="6"/>
      <c r="C544" s="6"/>
      <c r="D544" s="6"/>
      <c r="E544" s="6"/>
      <c r="F544" s="5"/>
      <c r="G544" s="5"/>
      <c r="H544" s="5"/>
      <c r="I544" s="5"/>
      <c r="J544" s="5"/>
      <c r="K544" s="5"/>
      <c r="L544" s="5"/>
      <c r="M544" s="5"/>
      <c r="N544" s="5"/>
      <c r="O544" s="5"/>
      <c r="P544" s="5"/>
      <c r="Q544" s="5"/>
      <c r="R544" s="5"/>
      <c r="S544" s="5"/>
      <c r="T544" s="5"/>
      <c r="U544" s="5"/>
      <c r="V544" s="5"/>
      <c r="W544" s="5"/>
    </row>
    <row r="545" spans="1:23" ht="16" x14ac:dyDescent="0.2">
      <c r="A545" s="5"/>
      <c r="B545" s="6"/>
      <c r="C545" s="6"/>
      <c r="D545" s="6"/>
      <c r="E545" s="6"/>
      <c r="F545" s="5"/>
      <c r="G545" s="5"/>
      <c r="H545" s="5"/>
      <c r="I545" s="5"/>
      <c r="J545" s="5"/>
      <c r="K545" s="5"/>
      <c r="L545" s="5"/>
      <c r="M545" s="5"/>
      <c r="N545" s="5"/>
      <c r="O545" s="5"/>
      <c r="P545" s="5"/>
      <c r="Q545" s="5"/>
      <c r="R545" s="5"/>
      <c r="S545" s="5"/>
      <c r="T545" s="5"/>
      <c r="U545" s="5"/>
      <c r="V545" s="5"/>
      <c r="W545" s="5"/>
    </row>
    <row r="546" spans="1:23" ht="16" x14ac:dyDescent="0.2">
      <c r="A546" s="5"/>
      <c r="B546" s="6"/>
      <c r="C546" s="6"/>
      <c r="D546" s="6"/>
      <c r="E546" s="6"/>
      <c r="F546" s="5"/>
      <c r="G546" s="5"/>
      <c r="H546" s="5"/>
      <c r="I546" s="5"/>
      <c r="J546" s="5"/>
      <c r="K546" s="5"/>
      <c r="L546" s="5"/>
      <c r="M546" s="5"/>
      <c r="N546" s="5"/>
      <c r="O546" s="5"/>
      <c r="P546" s="5"/>
      <c r="Q546" s="5"/>
      <c r="R546" s="5"/>
      <c r="S546" s="5"/>
      <c r="T546" s="5"/>
      <c r="U546" s="5"/>
      <c r="V546" s="5"/>
      <c r="W546" s="5"/>
    </row>
    <row r="547" spans="1:23" ht="16" x14ac:dyDescent="0.2">
      <c r="A547" s="5"/>
      <c r="B547" s="6"/>
      <c r="C547" s="6"/>
      <c r="D547" s="6"/>
      <c r="E547" s="6"/>
      <c r="F547" s="5"/>
      <c r="G547" s="5"/>
      <c r="H547" s="5"/>
      <c r="I547" s="5"/>
      <c r="J547" s="5"/>
      <c r="K547" s="5"/>
      <c r="L547" s="5"/>
      <c r="M547" s="5"/>
      <c r="N547" s="5"/>
      <c r="O547" s="5"/>
      <c r="P547" s="5"/>
      <c r="Q547" s="5"/>
      <c r="R547" s="5"/>
      <c r="S547" s="5"/>
      <c r="T547" s="5"/>
      <c r="U547" s="5"/>
      <c r="V547" s="5"/>
      <c r="W547" s="5"/>
    </row>
    <row r="548" spans="1:23" ht="16" x14ac:dyDescent="0.2">
      <c r="A548" s="5"/>
      <c r="B548" s="6"/>
      <c r="C548" s="6"/>
      <c r="D548" s="6"/>
      <c r="E548" s="6"/>
      <c r="F548" s="5"/>
      <c r="G548" s="5"/>
      <c r="H548" s="5"/>
      <c r="I548" s="5"/>
      <c r="J548" s="5"/>
      <c r="K548" s="5"/>
      <c r="L548" s="5"/>
      <c r="M548" s="5"/>
      <c r="N548" s="5"/>
      <c r="O548" s="5"/>
      <c r="P548" s="5"/>
      <c r="Q548" s="5"/>
      <c r="R548" s="5"/>
      <c r="S548" s="5"/>
      <c r="T548" s="5"/>
      <c r="U548" s="5"/>
      <c r="V548" s="5"/>
      <c r="W548" s="5"/>
    </row>
    <row r="549" spans="1:23" ht="16" x14ac:dyDescent="0.2">
      <c r="A549" s="5"/>
      <c r="B549" s="6"/>
      <c r="C549" s="6"/>
      <c r="D549" s="6"/>
      <c r="E549" s="6"/>
      <c r="F549" s="5"/>
      <c r="G549" s="5"/>
      <c r="H549" s="5"/>
      <c r="I549" s="5"/>
      <c r="J549" s="5"/>
      <c r="K549" s="5"/>
      <c r="L549" s="5"/>
      <c r="M549" s="5"/>
      <c r="N549" s="5"/>
      <c r="O549" s="5"/>
      <c r="P549" s="5"/>
      <c r="Q549" s="5"/>
      <c r="R549" s="5"/>
      <c r="S549" s="5"/>
      <c r="T549" s="5"/>
      <c r="U549" s="5"/>
      <c r="V549" s="5"/>
      <c r="W549" s="5"/>
    </row>
    <row r="550" spans="1:23" ht="16" x14ac:dyDescent="0.2">
      <c r="A550" s="5"/>
      <c r="B550" s="6"/>
      <c r="C550" s="6"/>
      <c r="D550" s="6"/>
      <c r="E550" s="6"/>
      <c r="F550" s="5"/>
      <c r="G550" s="5"/>
      <c r="H550" s="5"/>
      <c r="I550" s="5"/>
      <c r="J550" s="5"/>
      <c r="K550" s="5"/>
      <c r="L550" s="5"/>
      <c r="M550" s="5"/>
      <c r="N550" s="5"/>
      <c r="O550" s="5"/>
      <c r="P550" s="5"/>
      <c r="Q550" s="5"/>
      <c r="R550" s="5"/>
      <c r="S550" s="5"/>
      <c r="T550" s="5"/>
      <c r="U550" s="5"/>
      <c r="V550" s="5"/>
      <c r="W550" s="5"/>
    </row>
    <row r="551" spans="1:23" ht="16" x14ac:dyDescent="0.2">
      <c r="A551" s="5"/>
      <c r="B551" s="6"/>
      <c r="C551" s="6"/>
      <c r="D551" s="6"/>
      <c r="E551" s="6"/>
      <c r="F551" s="5"/>
      <c r="G551" s="5"/>
      <c r="H551" s="5"/>
      <c r="I551" s="5"/>
      <c r="J551" s="5"/>
      <c r="K551" s="5"/>
      <c r="L551" s="5"/>
      <c r="M551" s="5"/>
      <c r="N551" s="5"/>
      <c r="O551" s="5"/>
      <c r="P551" s="5"/>
      <c r="Q551" s="5"/>
      <c r="R551" s="5"/>
      <c r="S551" s="5"/>
      <c r="T551" s="5"/>
      <c r="U551" s="5"/>
      <c r="V551" s="5"/>
      <c r="W551" s="5"/>
    </row>
    <row r="552" spans="1:23" ht="16" x14ac:dyDescent="0.2">
      <c r="A552" s="5"/>
      <c r="B552" s="6"/>
      <c r="C552" s="6"/>
      <c r="D552" s="6"/>
      <c r="E552" s="6"/>
      <c r="F552" s="5"/>
      <c r="G552" s="5"/>
      <c r="H552" s="5"/>
      <c r="I552" s="5"/>
      <c r="J552" s="5"/>
      <c r="K552" s="5"/>
      <c r="L552" s="5"/>
      <c r="M552" s="5"/>
      <c r="N552" s="5"/>
      <c r="O552" s="5"/>
      <c r="P552" s="5"/>
      <c r="Q552" s="5"/>
      <c r="R552" s="5"/>
      <c r="S552" s="5"/>
      <c r="T552" s="5"/>
      <c r="U552" s="5"/>
      <c r="V552" s="5"/>
      <c r="W552" s="5"/>
    </row>
    <row r="553" spans="1:23" ht="16" x14ac:dyDescent="0.2">
      <c r="A553" s="5"/>
      <c r="B553" s="6"/>
      <c r="C553" s="6"/>
      <c r="D553" s="6"/>
      <c r="E553" s="6"/>
      <c r="F553" s="5"/>
      <c r="G553" s="5"/>
      <c r="H553" s="5"/>
      <c r="I553" s="5"/>
      <c r="J553" s="5"/>
      <c r="K553" s="5"/>
      <c r="L553" s="5"/>
      <c r="M553" s="5"/>
      <c r="N553" s="5"/>
      <c r="O553" s="5"/>
      <c r="P553" s="5"/>
      <c r="Q553" s="5"/>
      <c r="R553" s="5"/>
      <c r="S553" s="5"/>
      <c r="T553" s="5"/>
      <c r="U553" s="5"/>
      <c r="V553" s="5"/>
      <c r="W553" s="5"/>
    </row>
    <row r="554" spans="1:23" ht="16" x14ac:dyDescent="0.2">
      <c r="A554" s="5"/>
      <c r="B554" s="6"/>
      <c r="C554" s="6"/>
      <c r="D554" s="6"/>
      <c r="E554" s="6"/>
      <c r="F554" s="5"/>
      <c r="G554" s="5"/>
      <c r="H554" s="5"/>
      <c r="I554" s="5"/>
      <c r="J554" s="5"/>
      <c r="K554" s="5"/>
      <c r="L554" s="5"/>
      <c r="M554" s="5"/>
      <c r="N554" s="5"/>
      <c r="O554" s="5"/>
      <c r="P554" s="5"/>
      <c r="Q554" s="5"/>
      <c r="R554" s="5"/>
      <c r="S554" s="5"/>
      <c r="T554" s="5"/>
      <c r="U554" s="5"/>
      <c r="V554" s="5"/>
      <c r="W554" s="5"/>
    </row>
    <row r="555" spans="1:23" ht="16" x14ac:dyDescent="0.2">
      <c r="A555" s="5"/>
      <c r="B555" s="6"/>
      <c r="C555" s="6"/>
      <c r="D555" s="6"/>
      <c r="E555" s="6"/>
      <c r="F555" s="5"/>
      <c r="G555" s="5"/>
      <c r="H555" s="5"/>
      <c r="I555" s="5"/>
      <c r="J555" s="5"/>
      <c r="K555" s="5"/>
      <c r="L555" s="5"/>
      <c r="M555" s="5"/>
      <c r="N555" s="5"/>
      <c r="O555" s="5"/>
      <c r="P555" s="5"/>
      <c r="Q555" s="5"/>
      <c r="R555" s="5"/>
      <c r="S555" s="5"/>
      <c r="T555" s="5"/>
      <c r="U555" s="5"/>
      <c r="V555" s="5"/>
      <c r="W555" s="5"/>
    </row>
    <row r="556" spans="1:23" ht="16" x14ac:dyDescent="0.2">
      <c r="A556" s="5"/>
      <c r="B556" s="6"/>
      <c r="C556" s="6"/>
      <c r="D556" s="6"/>
      <c r="E556" s="6"/>
      <c r="F556" s="5"/>
      <c r="G556" s="5"/>
      <c r="H556" s="5"/>
      <c r="I556" s="5"/>
      <c r="J556" s="5"/>
      <c r="K556" s="5"/>
      <c r="L556" s="5"/>
      <c r="M556" s="5"/>
      <c r="N556" s="5"/>
      <c r="O556" s="5"/>
      <c r="P556" s="5"/>
      <c r="Q556" s="5"/>
      <c r="R556" s="5"/>
      <c r="S556" s="5"/>
      <c r="T556" s="5"/>
      <c r="U556" s="5"/>
      <c r="V556" s="5"/>
      <c r="W556" s="5"/>
    </row>
    <row r="557" spans="1:23" ht="16" x14ac:dyDescent="0.2">
      <c r="A557" s="5"/>
      <c r="B557" s="6"/>
      <c r="C557" s="6"/>
      <c r="D557" s="6"/>
      <c r="E557" s="6"/>
      <c r="F557" s="5"/>
      <c r="G557" s="5"/>
      <c r="H557" s="5"/>
      <c r="I557" s="5"/>
      <c r="J557" s="5"/>
      <c r="K557" s="5"/>
      <c r="L557" s="5"/>
      <c r="M557" s="5"/>
      <c r="N557" s="5"/>
      <c r="O557" s="5"/>
      <c r="P557" s="5"/>
      <c r="Q557" s="5"/>
      <c r="R557" s="5"/>
      <c r="S557" s="5"/>
      <c r="T557" s="5"/>
      <c r="U557" s="5"/>
      <c r="V557" s="5"/>
      <c r="W557" s="5"/>
    </row>
    <row r="558" spans="1:23" ht="16" x14ac:dyDescent="0.2">
      <c r="A558" s="5"/>
      <c r="B558" s="6"/>
      <c r="C558" s="6"/>
      <c r="D558" s="6"/>
      <c r="E558" s="6"/>
      <c r="F558" s="5"/>
      <c r="G558" s="5"/>
      <c r="H558" s="5"/>
      <c r="I558" s="5"/>
      <c r="J558" s="5"/>
      <c r="K558" s="5"/>
      <c r="L558" s="5"/>
      <c r="M558" s="5"/>
      <c r="N558" s="5"/>
      <c r="O558" s="5"/>
      <c r="P558" s="5"/>
      <c r="Q558" s="5"/>
      <c r="R558" s="5"/>
      <c r="S558" s="5"/>
      <c r="T558" s="5"/>
      <c r="U558" s="5"/>
      <c r="V558" s="5"/>
      <c r="W558" s="5"/>
    </row>
    <row r="559" spans="1:23" ht="16" x14ac:dyDescent="0.2">
      <c r="A559" s="5"/>
      <c r="B559" s="6"/>
      <c r="C559" s="6"/>
      <c r="D559" s="6"/>
      <c r="E559" s="6"/>
      <c r="F559" s="5"/>
      <c r="G559" s="5"/>
      <c r="H559" s="5"/>
      <c r="I559" s="5"/>
      <c r="J559" s="5"/>
      <c r="K559" s="5"/>
      <c r="L559" s="5"/>
      <c r="M559" s="5"/>
      <c r="N559" s="5"/>
      <c r="O559" s="5"/>
      <c r="P559" s="5"/>
      <c r="Q559" s="5"/>
      <c r="R559" s="5"/>
      <c r="S559" s="5"/>
      <c r="T559" s="5"/>
      <c r="U559" s="5"/>
      <c r="V559" s="5"/>
      <c r="W559" s="5"/>
    </row>
    <row r="560" spans="1:23" ht="16" x14ac:dyDescent="0.2">
      <c r="A560" s="5"/>
      <c r="B560" s="6"/>
      <c r="C560" s="6"/>
      <c r="D560" s="6"/>
      <c r="E560" s="6"/>
      <c r="F560" s="5"/>
      <c r="G560" s="5"/>
      <c r="H560" s="5"/>
      <c r="I560" s="5"/>
      <c r="J560" s="5"/>
      <c r="K560" s="5"/>
      <c r="L560" s="5"/>
      <c r="M560" s="5"/>
      <c r="N560" s="5"/>
      <c r="O560" s="5"/>
      <c r="P560" s="5"/>
      <c r="Q560" s="5"/>
      <c r="R560" s="5"/>
      <c r="S560" s="5"/>
      <c r="T560" s="5"/>
      <c r="U560" s="5"/>
      <c r="V560" s="5"/>
      <c r="W560" s="5"/>
    </row>
    <row r="561" spans="1:23" ht="16" x14ac:dyDescent="0.2">
      <c r="A561" s="5"/>
      <c r="B561" s="6"/>
      <c r="C561" s="6"/>
      <c r="D561" s="6"/>
      <c r="E561" s="6"/>
      <c r="F561" s="5"/>
      <c r="G561" s="5"/>
      <c r="H561" s="5"/>
      <c r="I561" s="5"/>
      <c r="J561" s="5"/>
      <c r="K561" s="5"/>
      <c r="L561" s="5"/>
      <c r="M561" s="5"/>
      <c r="N561" s="5"/>
      <c r="O561" s="5"/>
      <c r="P561" s="5"/>
      <c r="Q561" s="5"/>
      <c r="R561" s="5"/>
      <c r="S561" s="5"/>
      <c r="T561" s="5"/>
      <c r="U561" s="5"/>
      <c r="V561" s="5"/>
      <c r="W561" s="5"/>
    </row>
    <row r="562" spans="1:23" ht="16" x14ac:dyDescent="0.2">
      <c r="A562" s="5"/>
      <c r="B562" s="6"/>
      <c r="C562" s="6"/>
      <c r="D562" s="6"/>
      <c r="E562" s="6"/>
      <c r="F562" s="5"/>
      <c r="G562" s="5"/>
      <c r="H562" s="5"/>
      <c r="I562" s="5"/>
      <c r="J562" s="5"/>
      <c r="K562" s="5"/>
      <c r="L562" s="5"/>
      <c r="M562" s="5"/>
      <c r="N562" s="5"/>
      <c r="O562" s="5"/>
      <c r="P562" s="5"/>
      <c r="Q562" s="5"/>
      <c r="R562" s="5"/>
      <c r="S562" s="5"/>
      <c r="T562" s="5"/>
      <c r="U562" s="5"/>
      <c r="V562" s="5"/>
      <c r="W562" s="5"/>
    </row>
    <row r="563" spans="1:23" ht="16" x14ac:dyDescent="0.2">
      <c r="A563" s="5"/>
      <c r="B563" s="6"/>
      <c r="C563" s="6"/>
      <c r="D563" s="6"/>
      <c r="E563" s="6"/>
      <c r="F563" s="5"/>
      <c r="G563" s="5"/>
      <c r="H563" s="5"/>
      <c r="I563" s="5"/>
      <c r="J563" s="5"/>
      <c r="K563" s="5"/>
      <c r="L563" s="5"/>
      <c r="M563" s="5"/>
      <c r="N563" s="5"/>
      <c r="O563" s="5"/>
      <c r="P563" s="5"/>
      <c r="Q563" s="5"/>
      <c r="R563" s="5"/>
      <c r="S563" s="5"/>
      <c r="T563" s="5"/>
      <c r="U563" s="5"/>
      <c r="V563" s="5"/>
      <c r="W563" s="5"/>
    </row>
    <row r="564" spans="1:23" ht="16" x14ac:dyDescent="0.2">
      <c r="A564" s="5"/>
      <c r="B564" s="6"/>
      <c r="C564" s="6"/>
      <c r="D564" s="6"/>
      <c r="E564" s="6"/>
      <c r="F564" s="5"/>
      <c r="G564" s="5"/>
      <c r="H564" s="5"/>
      <c r="I564" s="5"/>
      <c r="J564" s="5"/>
      <c r="K564" s="5"/>
      <c r="L564" s="5"/>
      <c r="M564" s="5"/>
      <c r="N564" s="5"/>
      <c r="O564" s="5"/>
      <c r="P564" s="5"/>
      <c r="Q564" s="5"/>
      <c r="R564" s="5"/>
      <c r="S564" s="5"/>
      <c r="T564" s="5"/>
      <c r="U564" s="5"/>
      <c r="V564" s="5"/>
      <c r="W564" s="5"/>
    </row>
    <row r="565" spans="1:23" ht="16" x14ac:dyDescent="0.2">
      <c r="A565" s="5"/>
      <c r="B565" s="6"/>
      <c r="C565" s="6"/>
      <c r="D565" s="6"/>
      <c r="E565" s="6"/>
      <c r="F565" s="5"/>
      <c r="G565" s="5"/>
      <c r="H565" s="5"/>
      <c r="I565" s="5"/>
      <c r="J565" s="5"/>
      <c r="K565" s="5"/>
      <c r="L565" s="5"/>
      <c r="M565" s="5"/>
      <c r="N565" s="5"/>
      <c r="O565" s="5"/>
      <c r="P565" s="5"/>
      <c r="Q565" s="5"/>
      <c r="R565" s="5"/>
      <c r="S565" s="5"/>
      <c r="T565" s="5"/>
      <c r="U565" s="5"/>
      <c r="V565" s="5"/>
      <c r="W565" s="5"/>
    </row>
    <row r="566" spans="1:23" ht="16" x14ac:dyDescent="0.2">
      <c r="A566" s="5"/>
      <c r="B566" s="6"/>
      <c r="C566" s="6"/>
      <c r="D566" s="6"/>
      <c r="E566" s="6"/>
      <c r="F566" s="5"/>
      <c r="G566" s="5"/>
      <c r="H566" s="5"/>
      <c r="I566" s="5"/>
      <c r="J566" s="5"/>
      <c r="K566" s="5"/>
      <c r="L566" s="5"/>
      <c r="M566" s="5"/>
      <c r="N566" s="5"/>
      <c r="O566" s="5"/>
      <c r="P566" s="5"/>
      <c r="Q566" s="5"/>
      <c r="R566" s="5"/>
      <c r="S566" s="5"/>
      <c r="T566" s="5"/>
      <c r="U566" s="5"/>
      <c r="V566" s="5"/>
      <c r="W566" s="5"/>
    </row>
    <row r="567" spans="1:23" ht="16" x14ac:dyDescent="0.2">
      <c r="A567" s="5"/>
      <c r="B567" s="6"/>
      <c r="C567" s="6"/>
      <c r="D567" s="6"/>
      <c r="E567" s="6"/>
      <c r="F567" s="5"/>
      <c r="G567" s="5"/>
      <c r="H567" s="5"/>
      <c r="I567" s="5"/>
      <c r="J567" s="5"/>
      <c r="K567" s="5"/>
      <c r="L567" s="5"/>
      <c r="M567" s="5"/>
      <c r="N567" s="5"/>
      <c r="O567" s="5"/>
      <c r="P567" s="5"/>
      <c r="Q567" s="5"/>
      <c r="R567" s="5"/>
      <c r="S567" s="5"/>
      <c r="T567" s="5"/>
      <c r="U567" s="5"/>
      <c r="V567" s="5"/>
      <c r="W567" s="5"/>
    </row>
    <row r="568" spans="1:23" ht="16" x14ac:dyDescent="0.2">
      <c r="A568" s="5"/>
      <c r="B568" s="6"/>
      <c r="C568" s="6"/>
      <c r="D568" s="6"/>
      <c r="E568" s="6"/>
      <c r="F568" s="5"/>
      <c r="G568" s="5"/>
      <c r="H568" s="5"/>
      <c r="I568" s="5"/>
      <c r="J568" s="5"/>
      <c r="K568" s="5"/>
      <c r="L568" s="5"/>
      <c r="M568" s="5"/>
      <c r="N568" s="5"/>
      <c r="O568" s="5"/>
      <c r="P568" s="5"/>
      <c r="Q568" s="5"/>
      <c r="R568" s="5"/>
      <c r="S568" s="5"/>
      <c r="T568" s="5"/>
      <c r="U568" s="5"/>
      <c r="V568" s="5"/>
      <c r="W568" s="5"/>
    </row>
    <row r="569" spans="1:23" ht="16" x14ac:dyDescent="0.2">
      <c r="A569" s="5"/>
      <c r="B569" s="6"/>
      <c r="C569" s="6"/>
      <c r="D569" s="6"/>
      <c r="E569" s="6"/>
      <c r="F569" s="5"/>
      <c r="G569" s="5"/>
      <c r="H569" s="5"/>
      <c r="I569" s="5"/>
      <c r="J569" s="5"/>
      <c r="K569" s="5"/>
      <c r="L569" s="5"/>
      <c r="M569" s="5"/>
      <c r="N569" s="5"/>
      <c r="O569" s="5"/>
      <c r="P569" s="5"/>
      <c r="Q569" s="5"/>
      <c r="R569" s="5"/>
      <c r="S569" s="5"/>
      <c r="T569" s="5"/>
      <c r="U569" s="5"/>
      <c r="V569" s="5"/>
      <c r="W569" s="5"/>
    </row>
    <row r="570" spans="1:23" ht="16" x14ac:dyDescent="0.2">
      <c r="A570" s="5"/>
      <c r="B570" s="6"/>
      <c r="C570" s="6"/>
      <c r="D570" s="6"/>
      <c r="E570" s="6"/>
      <c r="F570" s="5"/>
      <c r="G570" s="5"/>
      <c r="H570" s="5"/>
      <c r="I570" s="5"/>
      <c r="J570" s="5"/>
      <c r="K570" s="5"/>
      <c r="L570" s="5"/>
      <c r="M570" s="5"/>
      <c r="N570" s="5"/>
      <c r="O570" s="5"/>
      <c r="P570" s="5"/>
      <c r="Q570" s="5"/>
      <c r="R570" s="5"/>
      <c r="S570" s="5"/>
      <c r="T570" s="5"/>
      <c r="U570" s="5"/>
      <c r="V570" s="5"/>
      <c r="W570" s="5"/>
    </row>
    <row r="571" spans="1:23" ht="16" x14ac:dyDescent="0.2">
      <c r="A571" s="5"/>
      <c r="B571" s="6"/>
      <c r="C571" s="6"/>
      <c r="D571" s="6"/>
      <c r="E571" s="6"/>
      <c r="F571" s="5"/>
      <c r="G571" s="5"/>
      <c r="H571" s="5"/>
      <c r="I571" s="5"/>
      <c r="J571" s="5"/>
      <c r="K571" s="5"/>
      <c r="L571" s="5"/>
      <c r="M571" s="5"/>
      <c r="N571" s="5"/>
      <c r="O571" s="5"/>
      <c r="P571" s="5"/>
      <c r="Q571" s="5"/>
      <c r="R571" s="5"/>
      <c r="S571" s="5"/>
      <c r="T571" s="5"/>
      <c r="U571" s="5"/>
      <c r="V571" s="5"/>
      <c r="W571" s="5"/>
    </row>
    <row r="572" spans="1:23" ht="16" x14ac:dyDescent="0.2">
      <c r="A572" s="5"/>
      <c r="B572" s="6"/>
      <c r="C572" s="6"/>
      <c r="D572" s="6"/>
      <c r="E572" s="6"/>
      <c r="F572" s="5"/>
      <c r="G572" s="5"/>
      <c r="H572" s="5"/>
      <c r="I572" s="5"/>
      <c r="J572" s="5"/>
      <c r="K572" s="5"/>
      <c r="L572" s="5"/>
      <c r="M572" s="5"/>
      <c r="N572" s="5"/>
      <c r="O572" s="5"/>
      <c r="P572" s="5"/>
      <c r="Q572" s="5"/>
      <c r="R572" s="5"/>
      <c r="S572" s="5"/>
      <c r="T572" s="5"/>
      <c r="U572" s="5"/>
      <c r="V572" s="5"/>
      <c r="W572" s="5"/>
    </row>
    <row r="573" spans="1:23" ht="16" x14ac:dyDescent="0.2">
      <c r="A573" s="5"/>
      <c r="B573" s="6"/>
      <c r="C573" s="6"/>
      <c r="D573" s="6"/>
      <c r="E573" s="6"/>
      <c r="F573" s="5"/>
      <c r="G573" s="5"/>
      <c r="H573" s="5"/>
      <c r="I573" s="5"/>
      <c r="J573" s="5"/>
      <c r="K573" s="5"/>
      <c r="L573" s="5"/>
      <c r="M573" s="5"/>
      <c r="N573" s="5"/>
      <c r="O573" s="5"/>
      <c r="P573" s="5"/>
      <c r="Q573" s="5"/>
      <c r="R573" s="5"/>
      <c r="S573" s="5"/>
      <c r="T573" s="5"/>
      <c r="U573" s="5"/>
      <c r="V573" s="5"/>
      <c r="W573" s="5"/>
    </row>
    <row r="574" spans="1:23" ht="16" x14ac:dyDescent="0.2">
      <c r="A574" s="5"/>
      <c r="B574" s="6"/>
      <c r="C574" s="6"/>
      <c r="D574" s="6"/>
      <c r="E574" s="6"/>
      <c r="F574" s="5"/>
      <c r="G574" s="5"/>
      <c r="H574" s="5"/>
      <c r="I574" s="5"/>
      <c r="J574" s="5"/>
      <c r="K574" s="5"/>
      <c r="L574" s="5"/>
      <c r="M574" s="5"/>
      <c r="N574" s="5"/>
      <c r="O574" s="5"/>
      <c r="P574" s="5"/>
      <c r="Q574" s="5"/>
      <c r="R574" s="5"/>
      <c r="S574" s="5"/>
      <c r="T574" s="5"/>
      <c r="U574" s="5"/>
      <c r="V574" s="5"/>
      <c r="W574" s="5"/>
    </row>
    <row r="575" spans="1:23" ht="16" x14ac:dyDescent="0.2">
      <c r="A575" s="5"/>
      <c r="B575" s="6"/>
      <c r="C575" s="6"/>
      <c r="D575" s="6"/>
      <c r="E575" s="6"/>
      <c r="F575" s="5"/>
      <c r="G575" s="5"/>
      <c r="H575" s="5"/>
      <c r="I575" s="5"/>
      <c r="J575" s="5"/>
      <c r="K575" s="5"/>
      <c r="L575" s="5"/>
      <c r="M575" s="5"/>
      <c r="N575" s="5"/>
      <c r="O575" s="5"/>
      <c r="P575" s="5"/>
      <c r="Q575" s="5"/>
      <c r="R575" s="5"/>
      <c r="S575" s="5"/>
      <c r="T575" s="5"/>
      <c r="U575" s="5"/>
      <c r="V575" s="5"/>
      <c r="W575" s="5"/>
    </row>
    <row r="576" spans="1:23" ht="16" x14ac:dyDescent="0.2">
      <c r="A576" s="5"/>
      <c r="B576" s="6"/>
      <c r="C576" s="6"/>
      <c r="D576" s="6"/>
      <c r="E576" s="6"/>
      <c r="F576" s="5"/>
      <c r="G576" s="5"/>
      <c r="H576" s="5"/>
      <c r="I576" s="5"/>
      <c r="J576" s="5"/>
      <c r="K576" s="5"/>
      <c r="L576" s="5"/>
      <c r="M576" s="5"/>
      <c r="N576" s="5"/>
      <c r="O576" s="5"/>
      <c r="P576" s="5"/>
      <c r="Q576" s="5"/>
      <c r="R576" s="5"/>
      <c r="S576" s="5"/>
      <c r="T576" s="5"/>
      <c r="U576" s="5"/>
      <c r="V576" s="5"/>
      <c r="W576" s="5"/>
    </row>
    <row r="577" spans="1:23" ht="16" x14ac:dyDescent="0.2">
      <c r="A577" s="5"/>
      <c r="B577" s="6"/>
      <c r="C577" s="6"/>
      <c r="D577" s="6"/>
      <c r="E577" s="6"/>
      <c r="F577" s="5"/>
      <c r="G577" s="5"/>
      <c r="H577" s="5"/>
      <c r="I577" s="5"/>
      <c r="J577" s="5"/>
      <c r="K577" s="5"/>
      <c r="L577" s="5"/>
      <c r="M577" s="5"/>
      <c r="N577" s="5"/>
      <c r="O577" s="5"/>
      <c r="P577" s="5"/>
      <c r="Q577" s="5"/>
      <c r="R577" s="5"/>
      <c r="S577" s="5"/>
      <c r="T577" s="5"/>
      <c r="U577" s="5"/>
      <c r="V577" s="5"/>
      <c r="W577" s="5"/>
    </row>
    <row r="578" spans="1:23" ht="16" x14ac:dyDescent="0.2">
      <c r="A578" s="5"/>
      <c r="B578" s="6"/>
      <c r="C578" s="6"/>
      <c r="D578" s="6"/>
      <c r="E578" s="6"/>
      <c r="F578" s="5"/>
      <c r="G578" s="5"/>
      <c r="H578" s="5"/>
      <c r="I578" s="5"/>
      <c r="J578" s="5"/>
      <c r="K578" s="5"/>
      <c r="L578" s="5"/>
      <c r="M578" s="5"/>
      <c r="N578" s="5"/>
      <c r="O578" s="5"/>
      <c r="P578" s="5"/>
      <c r="Q578" s="5"/>
      <c r="R578" s="5"/>
      <c r="S578" s="5"/>
      <c r="T578" s="5"/>
      <c r="U578" s="5"/>
      <c r="V578" s="5"/>
      <c r="W578" s="5"/>
    </row>
    <row r="579" spans="1:23" ht="16" x14ac:dyDescent="0.2">
      <c r="A579" s="5"/>
      <c r="B579" s="6"/>
      <c r="C579" s="6"/>
      <c r="D579" s="6"/>
      <c r="E579" s="6"/>
      <c r="F579" s="5"/>
      <c r="G579" s="5"/>
      <c r="H579" s="5"/>
      <c r="I579" s="5"/>
      <c r="J579" s="5"/>
      <c r="K579" s="5"/>
      <c r="L579" s="5"/>
      <c r="M579" s="5"/>
      <c r="N579" s="5"/>
      <c r="O579" s="5"/>
      <c r="P579" s="5"/>
      <c r="Q579" s="5"/>
      <c r="R579" s="5"/>
      <c r="S579" s="5"/>
      <c r="T579" s="5"/>
      <c r="U579" s="5"/>
      <c r="V579" s="5"/>
      <c r="W579" s="5"/>
    </row>
    <row r="580" spans="1:23" ht="16" x14ac:dyDescent="0.2">
      <c r="A580" s="5"/>
      <c r="B580" s="6"/>
      <c r="C580" s="6"/>
      <c r="D580" s="6"/>
      <c r="E580" s="6"/>
      <c r="F580" s="5"/>
      <c r="G580" s="5"/>
      <c r="H580" s="5"/>
      <c r="I580" s="5"/>
      <c r="J580" s="5"/>
      <c r="K580" s="5"/>
      <c r="L580" s="5"/>
      <c r="M580" s="5"/>
      <c r="N580" s="5"/>
      <c r="O580" s="5"/>
      <c r="P580" s="5"/>
      <c r="Q580" s="5"/>
      <c r="R580" s="5"/>
      <c r="S580" s="5"/>
      <c r="T580" s="5"/>
      <c r="U580" s="5"/>
      <c r="V580" s="5"/>
      <c r="W580" s="5"/>
    </row>
    <row r="581" spans="1:23" ht="16" x14ac:dyDescent="0.2">
      <c r="A581" s="5"/>
      <c r="B581" s="6"/>
      <c r="C581" s="6"/>
      <c r="D581" s="6"/>
      <c r="E581" s="6"/>
      <c r="F581" s="5"/>
      <c r="G581" s="5"/>
      <c r="H581" s="5"/>
      <c r="I581" s="5"/>
      <c r="J581" s="5"/>
      <c r="K581" s="5"/>
      <c r="L581" s="5"/>
      <c r="M581" s="5"/>
      <c r="N581" s="5"/>
      <c r="O581" s="5"/>
      <c r="P581" s="5"/>
      <c r="Q581" s="5"/>
      <c r="R581" s="5"/>
      <c r="S581" s="5"/>
      <c r="T581" s="5"/>
      <c r="U581" s="5"/>
      <c r="V581" s="5"/>
      <c r="W581" s="5"/>
    </row>
    <row r="582" spans="1:23" ht="16" x14ac:dyDescent="0.2">
      <c r="A582" s="5"/>
      <c r="B582" s="6"/>
      <c r="C582" s="6"/>
      <c r="D582" s="6"/>
      <c r="E582" s="6"/>
      <c r="F582" s="5"/>
      <c r="G582" s="5"/>
      <c r="H582" s="5"/>
      <c r="I582" s="5"/>
      <c r="J582" s="5"/>
      <c r="K582" s="5"/>
      <c r="L582" s="5"/>
      <c r="M582" s="5"/>
      <c r="N582" s="5"/>
      <c r="O582" s="5"/>
      <c r="P582" s="5"/>
      <c r="Q582" s="5"/>
      <c r="R582" s="5"/>
      <c r="S582" s="5"/>
      <c r="T582" s="5"/>
      <c r="U582" s="5"/>
      <c r="V582" s="5"/>
      <c r="W582" s="5"/>
    </row>
    <row r="583" spans="1:23" ht="16" x14ac:dyDescent="0.2">
      <c r="A583" s="5"/>
      <c r="B583" s="6"/>
      <c r="C583" s="6"/>
      <c r="D583" s="6"/>
      <c r="E583" s="6"/>
      <c r="F583" s="5"/>
      <c r="G583" s="5"/>
      <c r="H583" s="5"/>
      <c r="I583" s="5"/>
      <c r="J583" s="5"/>
      <c r="K583" s="5"/>
      <c r="L583" s="5"/>
      <c r="M583" s="5"/>
      <c r="N583" s="5"/>
      <c r="O583" s="5"/>
      <c r="P583" s="5"/>
      <c r="Q583" s="5"/>
      <c r="R583" s="5"/>
      <c r="S583" s="5"/>
      <c r="T583" s="5"/>
      <c r="U583" s="5"/>
      <c r="V583" s="5"/>
      <c r="W583" s="5"/>
    </row>
    <row r="584" spans="1:23" ht="16" x14ac:dyDescent="0.2">
      <c r="A584" s="5"/>
      <c r="B584" s="6"/>
      <c r="C584" s="6"/>
      <c r="D584" s="6"/>
      <c r="E584" s="6"/>
      <c r="F584" s="5"/>
      <c r="G584" s="5"/>
      <c r="H584" s="5"/>
      <c r="I584" s="5"/>
      <c r="J584" s="5"/>
      <c r="K584" s="5"/>
      <c r="L584" s="5"/>
      <c r="M584" s="5"/>
      <c r="N584" s="5"/>
      <c r="O584" s="5"/>
      <c r="P584" s="5"/>
      <c r="Q584" s="5"/>
      <c r="R584" s="5"/>
      <c r="S584" s="5"/>
      <c r="T584" s="5"/>
      <c r="U584" s="5"/>
      <c r="V584" s="5"/>
      <c r="W584" s="5"/>
    </row>
    <row r="585" spans="1:23" ht="16" x14ac:dyDescent="0.2">
      <c r="A585" s="5"/>
      <c r="B585" s="6"/>
      <c r="C585" s="6"/>
      <c r="D585" s="6"/>
      <c r="E585" s="6"/>
      <c r="F585" s="5"/>
      <c r="G585" s="5"/>
      <c r="H585" s="5"/>
      <c r="I585" s="5"/>
      <c r="J585" s="5"/>
      <c r="K585" s="5"/>
      <c r="L585" s="5"/>
      <c r="M585" s="5"/>
      <c r="N585" s="5"/>
      <c r="O585" s="5"/>
      <c r="P585" s="5"/>
      <c r="Q585" s="5"/>
      <c r="R585" s="5"/>
      <c r="S585" s="5"/>
      <c r="T585" s="5"/>
      <c r="U585" s="5"/>
      <c r="V585" s="5"/>
      <c r="W585" s="5"/>
    </row>
    <row r="586" spans="1:23" ht="16" x14ac:dyDescent="0.2">
      <c r="A586" s="5"/>
      <c r="B586" s="6"/>
      <c r="C586" s="6"/>
      <c r="D586" s="6"/>
      <c r="E586" s="6"/>
      <c r="F586" s="5"/>
      <c r="G586" s="5"/>
      <c r="H586" s="5"/>
      <c r="I586" s="5"/>
      <c r="J586" s="5"/>
      <c r="K586" s="5"/>
      <c r="L586" s="5"/>
      <c r="M586" s="5"/>
      <c r="N586" s="5"/>
      <c r="O586" s="5"/>
      <c r="P586" s="5"/>
      <c r="Q586" s="5"/>
      <c r="R586" s="5"/>
      <c r="S586" s="5"/>
      <c r="T586" s="5"/>
      <c r="U586" s="5"/>
      <c r="V586" s="5"/>
      <c r="W586" s="5"/>
    </row>
    <row r="587" spans="1:23" ht="16" x14ac:dyDescent="0.2">
      <c r="A587" s="5"/>
      <c r="B587" s="6"/>
      <c r="C587" s="6"/>
      <c r="D587" s="6"/>
      <c r="E587" s="6"/>
      <c r="F587" s="5"/>
      <c r="G587" s="5"/>
      <c r="H587" s="5"/>
      <c r="I587" s="5"/>
      <c r="J587" s="5"/>
      <c r="K587" s="5"/>
      <c r="L587" s="5"/>
      <c r="M587" s="5"/>
      <c r="N587" s="5"/>
      <c r="O587" s="5"/>
      <c r="P587" s="5"/>
      <c r="Q587" s="5"/>
      <c r="R587" s="5"/>
      <c r="S587" s="5"/>
      <c r="T587" s="5"/>
      <c r="U587" s="5"/>
      <c r="V587" s="5"/>
      <c r="W587" s="5"/>
    </row>
    <row r="588" spans="1:23" ht="16" x14ac:dyDescent="0.2">
      <c r="A588" s="5"/>
      <c r="B588" s="6"/>
      <c r="C588" s="6"/>
      <c r="D588" s="6"/>
      <c r="E588" s="6"/>
      <c r="F588" s="5"/>
      <c r="G588" s="5"/>
      <c r="H588" s="5"/>
      <c r="I588" s="5"/>
      <c r="J588" s="5"/>
      <c r="K588" s="5"/>
      <c r="L588" s="5"/>
      <c r="M588" s="5"/>
      <c r="N588" s="5"/>
      <c r="O588" s="5"/>
      <c r="P588" s="5"/>
      <c r="Q588" s="5"/>
      <c r="R588" s="5"/>
      <c r="S588" s="5"/>
      <c r="T588" s="5"/>
      <c r="U588" s="5"/>
      <c r="V588" s="5"/>
      <c r="W588" s="5"/>
    </row>
    <row r="589" spans="1:23" ht="16" x14ac:dyDescent="0.2">
      <c r="A589" s="5"/>
      <c r="B589" s="6"/>
      <c r="C589" s="6"/>
      <c r="D589" s="6"/>
      <c r="E589" s="6"/>
      <c r="F589" s="5"/>
      <c r="G589" s="5"/>
      <c r="H589" s="5"/>
      <c r="I589" s="5"/>
      <c r="J589" s="5"/>
      <c r="K589" s="5"/>
      <c r="L589" s="5"/>
      <c r="M589" s="5"/>
      <c r="N589" s="5"/>
      <c r="O589" s="5"/>
      <c r="P589" s="5"/>
      <c r="Q589" s="5"/>
      <c r="R589" s="5"/>
      <c r="S589" s="5"/>
      <c r="T589" s="5"/>
      <c r="U589" s="5"/>
      <c r="V589" s="5"/>
      <c r="W589" s="5"/>
    </row>
    <row r="590" spans="1:23" ht="16" x14ac:dyDescent="0.2">
      <c r="A590" s="5"/>
      <c r="B590" s="6"/>
      <c r="C590" s="6"/>
      <c r="D590" s="6"/>
      <c r="E590" s="6"/>
      <c r="F590" s="5"/>
      <c r="G590" s="5"/>
      <c r="H590" s="5"/>
      <c r="I590" s="5"/>
      <c r="J590" s="5"/>
      <c r="K590" s="5"/>
      <c r="L590" s="5"/>
      <c r="M590" s="5"/>
      <c r="N590" s="5"/>
      <c r="O590" s="5"/>
      <c r="P590" s="5"/>
      <c r="Q590" s="5"/>
      <c r="R590" s="5"/>
      <c r="S590" s="5"/>
      <c r="T590" s="5"/>
      <c r="U590" s="5"/>
      <c r="V590" s="5"/>
      <c r="W590" s="5"/>
    </row>
    <row r="591" spans="1:23" ht="16" x14ac:dyDescent="0.2">
      <c r="A591" s="5"/>
      <c r="B591" s="6"/>
      <c r="C591" s="6"/>
      <c r="D591" s="6"/>
      <c r="E591" s="6"/>
      <c r="F591" s="5"/>
      <c r="G591" s="5"/>
      <c r="H591" s="5"/>
      <c r="I591" s="5"/>
      <c r="J591" s="5"/>
      <c r="K591" s="5"/>
      <c r="L591" s="5"/>
      <c r="M591" s="5"/>
      <c r="N591" s="5"/>
      <c r="O591" s="5"/>
      <c r="P591" s="5"/>
      <c r="Q591" s="5"/>
      <c r="R591" s="5"/>
      <c r="S591" s="5"/>
      <c r="T591" s="5"/>
      <c r="U591" s="5"/>
      <c r="V591" s="5"/>
      <c r="W591" s="5"/>
    </row>
    <row r="592" spans="1:23" ht="16" x14ac:dyDescent="0.2">
      <c r="A592" s="5"/>
      <c r="B592" s="6"/>
      <c r="C592" s="6"/>
      <c r="D592" s="6"/>
      <c r="E592" s="6"/>
      <c r="F592" s="5"/>
      <c r="G592" s="5"/>
      <c r="H592" s="5"/>
      <c r="I592" s="5"/>
      <c r="J592" s="5"/>
      <c r="K592" s="5"/>
      <c r="L592" s="5"/>
      <c r="M592" s="5"/>
      <c r="N592" s="5"/>
      <c r="O592" s="5"/>
      <c r="P592" s="5"/>
      <c r="Q592" s="5"/>
      <c r="R592" s="5"/>
      <c r="S592" s="5"/>
      <c r="T592" s="5"/>
      <c r="U592" s="5"/>
      <c r="V592" s="5"/>
      <c r="W592" s="5"/>
    </row>
    <row r="593" spans="1:23" ht="16" x14ac:dyDescent="0.2">
      <c r="A593" s="5"/>
      <c r="B593" s="6"/>
      <c r="C593" s="6"/>
      <c r="D593" s="6"/>
      <c r="E593" s="6"/>
      <c r="F593" s="5"/>
      <c r="G593" s="5"/>
      <c r="H593" s="5"/>
      <c r="I593" s="5"/>
      <c r="J593" s="5"/>
      <c r="K593" s="5"/>
      <c r="L593" s="5"/>
      <c r="M593" s="5"/>
      <c r="N593" s="5"/>
      <c r="O593" s="5"/>
      <c r="P593" s="5"/>
      <c r="Q593" s="5"/>
      <c r="R593" s="5"/>
      <c r="S593" s="5"/>
      <c r="T593" s="5"/>
      <c r="U593" s="5"/>
      <c r="V593" s="5"/>
      <c r="W593" s="5"/>
    </row>
    <row r="594" spans="1:23" ht="16" x14ac:dyDescent="0.2">
      <c r="A594" s="5"/>
      <c r="B594" s="6"/>
      <c r="C594" s="6"/>
      <c r="D594" s="6"/>
      <c r="E594" s="6"/>
      <c r="F594" s="5"/>
      <c r="G594" s="5"/>
      <c r="H594" s="5"/>
      <c r="I594" s="5"/>
      <c r="J594" s="5"/>
      <c r="K594" s="5"/>
      <c r="L594" s="5"/>
      <c r="M594" s="5"/>
      <c r="N594" s="5"/>
      <c r="O594" s="5"/>
      <c r="P594" s="5"/>
      <c r="Q594" s="5"/>
      <c r="R594" s="5"/>
      <c r="S594" s="5"/>
      <c r="T594" s="5"/>
      <c r="U594" s="5"/>
      <c r="V594" s="5"/>
      <c r="W594" s="5"/>
    </row>
    <row r="595" spans="1:23" ht="16" x14ac:dyDescent="0.2">
      <c r="A595" s="5"/>
      <c r="B595" s="6"/>
      <c r="C595" s="6"/>
      <c r="D595" s="6"/>
      <c r="E595" s="6"/>
      <c r="F595" s="5"/>
      <c r="G595" s="5"/>
      <c r="H595" s="5"/>
      <c r="I595" s="5"/>
      <c r="J595" s="5"/>
      <c r="K595" s="5"/>
      <c r="L595" s="5"/>
      <c r="M595" s="5"/>
      <c r="N595" s="5"/>
      <c r="O595" s="5"/>
      <c r="P595" s="5"/>
      <c r="Q595" s="5"/>
      <c r="R595" s="5"/>
      <c r="S595" s="5"/>
      <c r="T595" s="5"/>
      <c r="U595" s="5"/>
      <c r="V595" s="5"/>
      <c r="W595" s="5"/>
    </row>
    <row r="596" spans="1:23" ht="16" x14ac:dyDescent="0.2">
      <c r="A596" s="5"/>
      <c r="B596" s="6"/>
      <c r="C596" s="6"/>
      <c r="D596" s="6"/>
      <c r="E596" s="6"/>
      <c r="F596" s="5"/>
      <c r="G596" s="5"/>
      <c r="H596" s="5"/>
      <c r="I596" s="5"/>
      <c r="J596" s="5"/>
      <c r="K596" s="5"/>
      <c r="L596" s="5"/>
      <c r="M596" s="5"/>
      <c r="N596" s="5"/>
      <c r="O596" s="5"/>
      <c r="P596" s="5"/>
      <c r="Q596" s="5"/>
      <c r="R596" s="5"/>
      <c r="S596" s="5"/>
      <c r="T596" s="5"/>
      <c r="U596" s="5"/>
      <c r="V596" s="5"/>
      <c r="W596" s="5"/>
    </row>
    <row r="597" spans="1:23" ht="16" x14ac:dyDescent="0.2">
      <c r="A597" s="5"/>
      <c r="B597" s="6"/>
      <c r="C597" s="6"/>
      <c r="D597" s="6"/>
      <c r="E597" s="6"/>
      <c r="F597" s="5"/>
      <c r="G597" s="5"/>
      <c r="H597" s="5"/>
      <c r="I597" s="5"/>
      <c r="J597" s="5"/>
      <c r="K597" s="5"/>
      <c r="L597" s="5"/>
      <c r="M597" s="5"/>
      <c r="N597" s="5"/>
      <c r="O597" s="5"/>
      <c r="P597" s="5"/>
      <c r="Q597" s="5"/>
      <c r="R597" s="5"/>
      <c r="S597" s="5"/>
      <c r="T597" s="5"/>
      <c r="U597" s="5"/>
      <c r="V597" s="5"/>
      <c r="W597" s="5"/>
    </row>
    <row r="598" spans="1:23" ht="16" x14ac:dyDescent="0.2">
      <c r="A598" s="5"/>
      <c r="B598" s="6"/>
      <c r="C598" s="6"/>
      <c r="D598" s="6"/>
      <c r="E598" s="6"/>
      <c r="F598" s="5"/>
      <c r="G598" s="5"/>
      <c r="H598" s="5"/>
      <c r="I598" s="5"/>
      <c r="J598" s="5"/>
      <c r="K598" s="5"/>
      <c r="L598" s="5"/>
      <c r="M598" s="5"/>
      <c r="N598" s="5"/>
      <c r="O598" s="5"/>
      <c r="P598" s="5"/>
      <c r="Q598" s="5"/>
      <c r="R598" s="5"/>
      <c r="S598" s="5"/>
      <c r="T598" s="5"/>
      <c r="U598" s="5"/>
      <c r="V598" s="5"/>
      <c r="W598" s="5"/>
    </row>
    <row r="599" spans="1:23" ht="16" x14ac:dyDescent="0.2">
      <c r="A599" s="5"/>
      <c r="B599" s="6"/>
      <c r="C599" s="6"/>
      <c r="D599" s="6"/>
      <c r="E599" s="6"/>
      <c r="F599" s="5"/>
      <c r="G599" s="5"/>
      <c r="H599" s="5"/>
      <c r="I599" s="5"/>
      <c r="J599" s="5"/>
      <c r="K599" s="5"/>
      <c r="L599" s="5"/>
      <c r="M599" s="5"/>
      <c r="N599" s="5"/>
      <c r="O599" s="5"/>
      <c r="P599" s="5"/>
      <c r="Q599" s="5"/>
      <c r="R599" s="5"/>
      <c r="S599" s="5"/>
      <c r="T599" s="5"/>
      <c r="U599" s="5"/>
      <c r="V599" s="5"/>
      <c r="W599" s="5"/>
    </row>
    <row r="600" spans="1:23" ht="16" x14ac:dyDescent="0.2">
      <c r="A600" s="5"/>
      <c r="B600" s="6"/>
      <c r="C600" s="6"/>
      <c r="D600" s="6"/>
      <c r="E600" s="6"/>
      <c r="F600" s="5"/>
      <c r="G600" s="5"/>
      <c r="H600" s="5"/>
      <c r="I600" s="5"/>
      <c r="J600" s="5"/>
      <c r="K600" s="5"/>
      <c r="L600" s="5"/>
      <c r="M600" s="5"/>
      <c r="N600" s="5"/>
      <c r="O600" s="5"/>
      <c r="P600" s="5"/>
      <c r="Q600" s="5"/>
      <c r="R600" s="5"/>
      <c r="S600" s="5"/>
      <c r="T600" s="5"/>
      <c r="U600" s="5"/>
      <c r="V600" s="5"/>
      <c r="W600" s="5"/>
    </row>
    <row r="601" spans="1:23" ht="16" x14ac:dyDescent="0.2">
      <c r="A601" s="5"/>
      <c r="B601" s="6"/>
      <c r="C601" s="6"/>
      <c r="D601" s="6"/>
      <c r="E601" s="6"/>
      <c r="F601" s="5"/>
      <c r="G601" s="5"/>
      <c r="H601" s="5"/>
      <c r="I601" s="5"/>
      <c r="J601" s="5"/>
      <c r="K601" s="5"/>
      <c r="L601" s="5"/>
      <c r="M601" s="5"/>
      <c r="N601" s="5"/>
      <c r="O601" s="5"/>
      <c r="P601" s="5"/>
      <c r="Q601" s="5"/>
      <c r="R601" s="5"/>
      <c r="S601" s="5"/>
      <c r="T601" s="5"/>
      <c r="U601" s="5"/>
      <c r="V601" s="5"/>
      <c r="W601" s="5"/>
    </row>
    <row r="602" spans="1:23" ht="16" x14ac:dyDescent="0.2">
      <c r="A602" s="5"/>
      <c r="B602" s="6"/>
      <c r="C602" s="6"/>
      <c r="D602" s="6"/>
      <c r="E602" s="6"/>
      <c r="F602" s="5"/>
      <c r="G602" s="5"/>
      <c r="H602" s="5"/>
      <c r="I602" s="5"/>
      <c r="J602" s="5"/>
      <c r="K602" s="5"/>
      <c r="L602" s="5"/>
      <c r="M602" s="5"/>
      <c r="N602" s="5"/>
      <c r="O602" s="5"/>
      <c r="P602" s="5"/>
      <c r="Q602" s="5"/>
      <c r="R602" s="5"/>
      <c r="S602" s="5"/>
      <c r="T602" s="5"/>
      <c r="U602" s="5"/>
      <c r="V602" s="5"/>
      <c r="W602" s="5"/>
    </row>
    <row r="603" spans="1:23" ht="16" x14ac:dyDescent="0.2">
      <c r="A603" s="5"/>
      <c r="B603" s="6"/>
      <c r="C603" s="6"/>
      <c r="D603" s="6"/>
      <c r="E603" s="6"/>
      <c r="F603" s="5"/>
      <c r="G603" s="5"/>
      <c r="H603" s="5"/>
      <c r="I603" s="5"/>
      <c r="J603" s="5"/>
      <c r="K603" s="5"/>
      <c r="L603" s="5"/>
      <c r="M603" s="5"/>
      <c r="N603" s="5"/>
      <c r="O603" s="5"/>
      <c r="P603" s="5"/>
      <c r="Q603" s="5"/>
      <c r="R603" s="5"/>
      <c r="S603" s="5"/>
      <c r="T603" s="5"/>
      <c r="U603" s="5"/>
      <c r="V603" s="5"/>
      <c r="W603" s="5"/>
    </row>
    <row r="604" spans="1:23" ht="16" x14ac:dyDescent="0.2">
      <c r="A604" s="5"/>
      <c r="B604" s="6"/>
      <c r="C604" s="6"/>
      <c r="D604" s="6"/>
      <c r="E604" s="6"/>
      <c r="F604" s="5"/>
      <c r="G604" s="5"/>
      <c r="H604" s="5"/>
      <c r="I604" s="5"/>
      <c r="J604" s="5"/>
      <c r="K604" s="5"/>
      <c r="L604" s="5"/>
      <c r="M604" s="5"/>
      <c r="N604" s="5"/>
      <c r="O604" s="5"/>
      <c r="P604" s="5"/>
      <c r="Q604" s="5"/>
      <c r="R604" s="5"/>
      <c r="S604" s="5"/>
      <c r="T604" s="5"/>
      <c r="U604" s="5"/>
      <c r="V604" s="5"/>
      <c r="W604" s="5"/>
    </row>
    <row r="605" spans="1:23" ht="16" x14ac:dyDescent="0.2">
      <c r="A605" s="5"/>
      <c r="B605" s="6"/>
      <c r="C605" s="6"/>
      <c r="D605" s="6"/>
      <c r="E605" s="6"/>
      <c r="F605" s="5"/>
      <c r="G605" s="5"/>
      <c r="H605" s="5"/>
      <c r="I605" s="5"/>
      <c r="J605" s="5"/>
      <c r="K605" s="5"/>
      <c r="L605" s="5"/>
      <c r="M605" s="5"/>
      <c r="N605" s="5"/>
      <c r="O605" s="5"/>
      <c r="P605" s="5"/>
      <c r="Q605" s="5"/>
      <c r="R605" s="5"/>
      <c r="S605" s="5"/>
      <c r="T605" s="5"/>
      <c r="U605" s="5"/>
      <c r="V605" s="5"/>
      <c r="W605" s="5"/>
    </row>
    <row r="606" spans="1:23" ht="16" x14ac:dyDescent="0.2">
      <c r="A606" s="5"/>
      <c r="B606" s="6"/>
      <c r="C606" s="6"/>
      <c r="D606" s="6"/>
      <c r="E606" s="6"/>
      <c r="F606" s="5"/>
      <c r="G606" s="5"/>
      <c r="H606" s="5"/>
      <c r="I606" s="5"/>
      <c r="J606" s="5"/>
      <c r="K606" s="5"/>
      <c r="L606" s="5"/>
      <c r="M606" s="5"/>
      <c r="N606" s="5"/>
      <c r="O606" s="5"/>
      <c r="P606" s="5"/>
      <c r="Q606" s="5"/>
      <c r="R606" s="5"/>
      <c r="S606" s="5"/>
      <c r="T606" s="5"/>
      <c r="U606" s="5"/>
      <c r="V606" s="5"/>
      <c r="W606" s="5"/>
    </row>
    <row r="607" spans="1:23" ht="16" x14ac:dyDescent="0.2">
      <c r="A607" s="5"/>
      <c r="B607" s="6"/>
      <c r="C607" s="6"/>
      <c r="D607" s="6"/>
      <c r="E607" s="6"/>
      <c r="F607" s="5"/>
      <c r="G607" s="5"/>
      <c r="H607" s="5"/>
      <c r="I607" s="5"/>
      <c r="J607" s="5"/>
      <c r="K607" s="5"/>
      <c r="L607" s="5"/>
      <c r="M607" s="5"/>
      <c r="N607" s="5"/>
      <c r="O607" s="5"/>
      <c r="P607" s="5"/>
      <c r="Q607" s="5"/>
      <c r="R607" s="5"/>
      <c r="S607" s="5"/>
      <c r="T607" s="5"/>
      <c r="U607" s="5"/>
      <c r="V607" s="5"/>
      <c r="W607" s="5"/>
    </row>
    <row r="608" spans="1:23" ht="16" x14ac:dyDescent="0.2">
      <c r="A608" s="5"/>
      <c r="B608" s="6"/>
      <c r="C608" s="6"/>
      <c r="D608" s="6"/>
      <c r="E608" s="6"/>
      <c r="F608" s="5"/>
      <c r="G608" s="5"/>
      <c r="H608" s="5"/>
      <c r="I608" s="5"/>
      <c r="J608" s="5"/>
      <c r="K608" s="5"/>
      <c r="L608" s="5"/>
      <c r="M608" s="5"/>
      <c r="N608" s="5"/>
      <c r="O608" s="5"/>
      <c r="P608" s="5"/>
      <c r="Q608" s="5"/>
      <c r="R608" s="5"/>
      <c r="S608" s="5"/>
      <c r="T608" s="5"/>
      <c r="U608" s="5"/>
      <c r="V608" s="5"/>
      <c r="W608" s="5"/>
    </row>
    <row r="609" spans="1:23" ht="16" x14ac:dyDescent="0.2">
      <c r="A609" s="5"/>
      <c r="B609" s="6"/>
      <c r="C609" s="6"/>
      <c r="D609" s="6"/>
      <c r="E609" s="6"/>
      <c r="F609" s="5"/>
      <c r="G609" s="5"/>
      <c r="H609" s="5"/>
      <c r="I609" s="5"/>
      <c r="J609" s="5"/>
      <c r="K609" s="5"/>
      <c r="L609" s="5"/>
      <c r="M609" s="5"/>
      <c r="N609" s="5"/>
      <c r="O609" s="5"/>
      <c r="P609" s="5"/>
      <c r="Q609" s="5"/>
      <c r="R609" s="5"/>
      <c r="S609" s="5"/>
      <c r="T609" s="5"/>
      <c r="U609" s="5"/>
      <c r="V609" s="5"/>
      <c r="W609" s="5"/>
    </row>
    <row r="610" spans="1:23" ht="16" x14ac:dyDescent="0.2">
      <c r="A610" s="5"/>
      <c r="B610" s="6"/>
      <c r="C610" s="6"/>
      <c r="D610" s="6"/>
      <c r="E610" s="6"/>
      <c r="F610" s="5"/>
      <c r="G610" s="5"/>
      <c r="H610" s="5"/>
      <c r="I610" s="5"/>
      <c r="J610" s="5"/>
      <c r="K610" s="5"/>
      <c r="L610" s="5"/>
      <c r="M610" s="5"/>
      <c r="N610" s="5"/>
      <c r="O610" s="5"/>
      <c r="P610" s="5"/>
      <c r="Q610" s="5"/>
      <c r="R610" s="5"/>
      <c r="S610" s="5"/>
      <c r="T610" s="5"/>
      <c r="U610" s="5"/>
      <c r="V610" s="5"/>
      <c r="W610" s="5"/>
    </row>
    <row r="611" spans="1:23" ht="16" x14ac:dyDescent="0.2">
      <c r="A611" s="5"/>
      <c r="B611" s="6"/>
      <c r="C611" s="6"/>
      <c r="D611" s="6"/>
      <c r="E611" s="6"/>
      <c r="F611" s="5"/>
      <c r="G611" s="5"/>
      <c r="H611" s="5"/>
      <c r="I611" s="5"/>
      <c r="J611" s="5"/>
      <c r="K611" s="5"/>
      <c r="L611" s="5"/>
      <c r="M611" s="5"/>
      <c r="N611" s="5"/>
      <c r="O611" s="5"/>
      <c r="P611" s="5"/>
      <c r="Q611" s="5"/>
      <c r="R611" s="5"/>
      <c r="S611" s="5"/>
      <c r="T611" s="5"/>
      <c r="U611" s="5"/>
      <c r="V611" s="5"/>
      <c r="W611" s="5"/>
    </row>
    <row r="612" spans="1:23" ht="16" x14ac:dyDescent="0.2">
      <c r="A612" s="5"/>
      <c r="B612" s="6"/>
      <c r="C612" s="6"/>
      <c r="D612" s="6"/>
      <c r="E612" s="6"/>
      <c r="F612" s="5"/>
      <c r="G612" s="5"/>
      <c r="H612" s="5"/>
      <c r="I612" s="5"/>
      <c r="J612" s="5"/>
      <c r="K612" s="5"/>
      <c r="L612" s="5"/>
      <c r="M612" s="5"/>
      <c r="N612" s="5"/>
      <c r="O612" s="5"/>
      <c r="P612" s="5"/>
      <c r="Q612" s="5"/>
      <c r="R612" s="5"/>
      <c r="S612" s="5"/>
      <c r="T612" s="5"/>
      <c r="U612" s="5"/>
      <c r="V612" s="5"/>
      <c r="W612" s="5"/>
    </row>
    <row r="613" spans="1:23" ht="16" x14ac:dyDescent="0.2">
      <c r="A613" s="5"/>
      <c r="B613" s="6"/>
      <c r="C613" s="6"/>
      <c r="D613" s="6"/>
      <c r="E613" s="6"/>
      <c r="F613" s="5"/>
      <c r="G613" s="5"/>
      <c r="H613" s="5"/>
      <c r="I613" s="5"/>
      <c r="J613" s="5"/>
      <c r="K613" s="5"/>
      <c r="L613" s="5"/>
      <c r="M613" s="5"/>
      <c r="N613" s="5"/>
      <c r="O613" s="5"/>
      <c r="P613" s="5"/>
      <c r="Q613" s="5"/>
      <c r="R613" s="5"/>
      <c r="S613" s="5"/>
      <c r="T613" s="5"/>
      <c r="U613" s="5"/>
      <c r="V613" s="5"/>
      <c r="W613" s="5"/>
    </row>
    <row r="614" spans="1:23" ht="16" x14ac:dyDescent="0.2">
      <c r="A614" s="5"/>
      <c r="B614" s="6"/>
      <c r="C614" s="6"/>
      <c r="D614" s="6"/>
      <c r="E614" s="6"/>
      <c r="F614" s="5"/>
      <c r="G614" s="5"/>
      <c r="H614" s="5"/>
      <c r="I614" s="5"/>
      <c r="J614" s="5"/>
      <c r="K614" s="5"/>
      <c r="L614" s="5"/>
      <c r="M614" s="5"/>
      <c r="N614" s="5"/>
      <c r="O614" s="5"/>
      <c r="P614" s="5"/>
      <c r="Q614" s="5"/>
      <c r="R614" s="5"/>
      <c r="S614" s="5"/>
      <c r="T614" s="5"/>
      <c r="U614" s="5"/>
      <c r="V614" s="5"/>
      <c r="W614" s="5"/>
    </row>
    <row r="615" spans="1:23" ht="16" x14ac:dyDescent="0.2">
      <c r="A615" s="5"/>
      <c r="B615" s="6"/>
      <c r="C615" s="6"/>
      <c r="D615" s="6"/>
      <c r="E615" s="6"/>
      <c r="F615" s="5"/>
      <c r="G615" s="5"/>
      <c r="H615" s="5"/>
      <c r="I615" s="5"/>
      <c r="J615" s="5"/>
      <c r="K615" s="5"/>
      <c r="L615" s="5"/>
      <c r="M615" s="5"/>
      <c r="N615" s="5"/>
      <c r="O615" s="5"/>
      <c r="P615" s="5"/>
      <c r="Q615" s="5"/>
      <c r="R615" s="5"/>
      <c r="S615" s="5"/>
      <c r="T615" s="5"/>
      <c r="U615" s="5"/>
      <c r="V615" s="5"/>
      <c r="W615" s="5"/>
    </row>
    <row r="616" spans="1:23" ht="16" x14ac:dyDescent="0.2">
      <c r="A616" s="5"/>
      <c r="B616" s="6"/>
      <c r="C616" s="6"/>
      <c r="D616" s="6"/>
      <c r="E616" s="6"/>
      <c r="F616" s="5"/>
      <c r="G616" s="5"/>
      <c r="H616" s="5"/>
      <c r="I616" s="5"/>
      <c r="J616" s="5"/>
      <c r="K616" s="5"/>
      <c r="L616" s="5"/>
      <c r="M616" s="5"/>
      <c r="N616" s="5"/>
      <c r="O616" s="5"/>
      <c r="P616" s="5"/>
      <c r="Q616" s="5"/>
      <c r="R616" s="5"/>
      <c r="S616" s="5"/>
      <c r="T616" s="5"/>
      <c r="U616" s="5"/>
      <c r="V616" s="5"/>
      <c r="W616" s="5"/>
    </row>
    <row r="617" spans="1:23" ht="16" x14ac:dyDescent="0.2">
      <c r="A617" s="5"/>
      <c r="B617" s="6"/>
      <c r="C617" s="6"/>
      <c r="D617" s="6"/>
      <c r="E617" s="6"/>
      <c r="F617" s="5"/>
      <c r="G617" s="5"/>
      <c r="H617" s="5"/>
      <c r="I617" s="5"/>
      <c r="J617" s="5"/>
      <c r="K617" s="5"/>
      <c r="L617" s="5"/>
      <c r="M617" s="5"/>
      <c r="N617" s="5"/>
      <c r="O617" s="5"/>
      <c r="P617" s="5"/>
      <c r="Q617" s="5"/>
      <c r="R617" s="5"/>
      <c r="S617" s="5"/>
      <c r="T617" s="5"/>
      <c r="U617" s="5"/>
      <c r="V617" s="5"/>
      <c r="W617" s="5"/>
    </row>
    <row r="618" spans="1:23" ht="16" x14ac:dyDescent="0.2">
      <c r="A618" s="5"/>
      <c r="B618" s="6"/>
      <c r="C618" s="6"/>
      <c r="D618" s="6"/>
      <c r="E618" s="6"/>
      <c r="F618" s="5"/>
      <c r="G618" s="5"/>
      <c r="H618" s="5"/>
      <c r="I618" s="5"/>
      <c r="J618" s="5"/>
      <c r="K618" s="5"/>
      <c r="L618" s="5"/>
      <c r="M618" s="5"/>
      <c r="N618" s="5"/>
      <c r="O618" s="5"/>
      <c r="P618" s="5"/>
      <c r="Q618" s="5"/>
      <c r="R618" s="5"/>
      <c r="S618" s="5"/>
      <c r="T618" s="5"/>
      <c r="U618" s="5"/>
      <c r="V618" s="5"/>
      <c r="W618" s="5"/>
    </row>
    <row r="619" spans="1:23" ht="16" x14ac:dyDescent="0.2">
      <c r="A619" s="5"/>
      <c r="B619" s="6"/>
      <c r="C619" s="6"/>
      <c r="D619" s="6"/>
      <c r="E619" s="6"/>
      <c r="F619" s="5"/>
      <c r="G619" s="5"/>
      <c r="H619" s="5"/>
      <c r="I619" s="5"/>
      <c r="J619" s="5"/>
      <c r="K619" s="5"/>
      <c r="L619" s="5"/>
      <c r="M619" s="5"/>
      <c r="N619" s="5"/>
      <c r="O619" s="5"/>
      <c r="P619" s="5"/>
      <c r="Q619" s="5"/>
      <c r="R619" s="5"/>
      <c r="S619" s="5"/>
      <c r="T619" s="5"/>
      <c r="U619" s="5"/>
      <c r="V619" s="5"/>
      <c r="W619" s="5"/>
    </row>
    <row r="620" spans="1:23" ht="16" x14ac:dyDescent="0.2">
      <c r="A620" s="5"/>
      <c r="B620" s="6"/>
      <c r="C620" s="6"/>
      <c r="D620" s="6"/>
      <c r="E620" s="6"/>
      <c r="F620" s="5"/>
      <c r="G620" s="5"/>
      <c r="H620" s="5"/>
      <c r="I620" s="5"/>
      <c r="J620" s="5"/>
      <c r="K620" s="5"/>
      <c r="L620" s="5"/>
      <c r="M620" s="5"/>
      <c r="N620" s="5"/>
      <c r="O620" s="5"/>
      <c r="P620" s="5"/>
      <c r="Q620" s="5"/>
      <c r="R620" s="5"/>
      <c r="S620" s="5"/>
      <c r="T620" s="5"/>
      <c r="U620" s="5"/>
      <c r="V620" s="5"/>
      <c r="W620" s="5"/>
    </row>
    <row r="621" spans="1:23" ht="16" x14ac:dyDescent="0.2">
      <c r="A621" s="5"/>
      <c r="B621" s="6"/>
      <c r="C621" s="6"/>
      <c r="D621" s="6"/>
      <c r="E621" s="6"/>
      <c r="F621" s="5"/>
      <c r="G621" s="5"/>
      <c r="H621" s="5"/>
      <c r="I621" s="5"/>
      <c r="J621" s="5"/>
      <c r="K621" s="5"/>
      <c r="L621" s="5"/>
      <c r="M621" s="5"/>
      <c r="N621" s="5"/>
      <c r="O621" s="5"/>
      <c r="P621" s="5"/>
      <c r="Q621" s="5"/>
      <c r="R621" s="5"/>
      <c r="S621" s="5"/>
      <c r="T621" s="5"/>
      <c r="U621" s="5"/>
      <c r="V621" s="5"/>
      <c r="W621" s="5"/>
    </row>
    <row r="622" spans="1:23" ht="16" x14ac:dyDescent="0.2">
      <c r="A622" s="5"/>
      <c r="B622" s="6"/>
      <c r="C622" s="6"/>
      <c r="D622" s="6"/>
      <c r="E622" s="6"/>
      <c r="F622" s="5"/>
      <c r="G622" s="5"/>
      <c r="H622" s="5"/>
      <c r="I622" s="5"/>
      <c r="J622" s="5"/>
      <c r="K622" s="5"/>
      <c r="L622" s="5"/>
      <c r="M622" s="5"/>
      <c r="N622" s="5"/>
      <c r="O622" s="5"/>
      <c r="P622" s="5"/>
      <c r="Q622" s="5"/>
      <c r="R622" s="5"/>
      <c r="S622" s="5"/>
      <c r="T622" s="5"/>
      <c r="U622" s="5"/>
      <c r="V622" s="5"/>
      <c r="W622" s="5"/>
    </row>
    <row r="623" spans="1:23" ht="16" x14ac:dyDescent="0.2">
      <c r="A623" s="5"/>
      <c r="B623" s="6"/>
      <c r="C623" s="6"/>
      <c r="D623" s="6"/>
      <c r="E623" s="6"/>
      <c r="F623" s="5"/>
      <c r="G623" s="5"/>
      <c r="H623" s="5"/>
      <c r="I623" s="5"/>
      <c r="J623" s="5"/>
      <c r="K623" s="5"/>
      <c r="L623" s="5"/>
      <c r="M623" s="5"/>
      <c r="N623" s="5"/>
      <c r="O623" s="5"/>
      <c r="P623" s="5"/>
      <c r="Q623" s="5"/>
      <c r="R623" s="5"/>
      <c r="S623" s="5"/>
      <c r="T623" s="5"/>
      <c r="U623" s="5"/>
      <c r="V623" s="5"/>
      <c r="W623" s="5"/>
    </row>
    <row r="624" spans="1:23" ht="16" x14ac:dyDescent="0.2">
      <c r="A624" s="5"/>
      <c r="B624" s="6"/>
      <c r="C624" s="6"/>
      <c r="D624" s="6"/>
      <c r="E624" s="6"/>
      <c r="F624" s="5"/>
      <c r="G624" s="5"/>
      <c r="H624" s="5"/>
      <c r="I624" s="5"/>
      <c r="J624" s="5"/>
      <c r="K624" s="5"/>
      <c r="L624" s="5"/>
      <c r="M624" s="5"/>
      <c r="N624" s="5"/>
      <c r="O624" s="5"/>
      <c r="P624" s="5"/>
      <c r="Q624" s="5"/>
      <c r="R624" s="5"/>
      <c r="S624" s="5"/>
      <c r="T624" s="5"/>
      <c r="U624" s="5"/>
      <c r="V624" s="5"/>
      <c r="W624" s="5"/>
    </row>
    <row r="625" spans="1:23" ht="16" x14ac:dyDescent="0.2">
      <c r="A625" s="5"/>
      <c r="B625" s="6"/>
      <c r="C625" s="6"/>
      <c r="D625" s="6"/>
      <c r="E625" s="6"/>
      <c r="F625" s="5"/>
      <c r="G625" s="5"/>
      <c r="H625" s="5"/>
      <c r="I625" s="5"/>
      <c r="J625" s="5"/>
      <c r="K625" s="5"/>
      <c r="L625" s="5"/>
      <c r="M625" s="5"/>
      <c r="N625" s="5"/>
      <c r="O625" s="5"/>
      <c r="P625" s="5"/>
      <c r="Q625" s="5"/>
      <c r="R625" s="5"/>
      <c r="S625" s="5"/>
      <c r="T625" s="5"/>
      <c r="U625" s="5"/>
      <c r="V625" s="5"/>
      <c r="W625" s="5"/>
    </row>
    <row r="626" spans="1:23" ht="16" x14ac:dyDescent="0.2">
      <c r="A626" s="5"/>
      <c r="B626" s="6"/>
      <c r="C626" s="6"/>
      <c r="D626" s="6"/>
      <c r="E626" s="6"/>
      <c r="F626" s="5"/>
      <c r="G626" s="5"/>
      <c r="H626" s="5"/>
      <c r="I626" s="5"/>
      <c r="J626" s="5"/>
      <c r="K626" s="5"/>
      <c r="L626" s="5"/>
      <c r="M626" s="5"/>
      <c r="N626" s="5"/>
      <c r="O626" s="5"/>
      <c r="P626" s="5"/>
      <c r="Q626" s="5"/>
      <c r="R626" s="5"/>
      <c r="S626" s="5"/>
      <c r="T626" s="5"/>
      <c r="U626" s="5"/>
      <c r="V626" s="5"/>
      <c r="W626" s="5"/>
    </row>
    <row r="627" spans="1:23" ht="16" x14ac:dyDescent="0.2">
      <c r="A627" s="5"/>
      <c r="B627" s="6"/>
      <c r="C627" s="6"/>
      <c r="D627" s="6"/>
      <c r="E627" s="6"/>
      <c r="F627" s="5"/>
      <c r="G627" s="5"/>
      <c r="H627" s="5"/>
      <c r="I627" s="5"/>
      <c r="J627" s="5"/>
      <c r="K627" s="5"/>
      <c r="L627" s="5"/>
      <c r="M627" s="5"/>
      <c r="N627" s="5"/>
      <c r="O627" s="5"/>
      <c r="P627" s="5"/>
      <c r="Q627" s="5"/>
      <c r="R627" s="5"/>
      <c r="S627" s="5"/>
      <c r="T627" s="5"/>
      <c r="U627" s="5"/>
      <c r="V627" s="5"/>
      <c r="W627" s="5"/>
    </row>
    <row r="628" spans="1:23" ht="16" x14ac:dyDescent="0.2">
      <c r="A628" s="5"/>
      <c r="B628" s="6"/>
      <c r="C628" s="6"/>
      <c r="D628" s="6"/>
      <c r="E628" s="6"/>
      <c r="F628" s="5"/>
      <c r="G628" s="5"/>
      <c r="H628" s="5"/>
      <c r="I628" s="5"/>
      <c r="J628" s="5"/>
      <c r="K628" s="5"/>
      <c r="L628" s="5"/>
      <c r="M628" s="5"/>
      <c r="N628" s="5"/>
      <c r="O628" s="5"/>
      <c r="P628" s="5"/>
      <c r="Q628" s="5"/>
      <c r="R628" s="5"/>
      <c r="S628" s="5"/>
      <c r="T628" s="5"/>
      <c r="U628" s="5"/>
      <c r="V628" s="5"/>
      <c r="W628" s="5"/>
    </row>
    <row r="629" spans="1:23" ht="16" x14ac:dyDescent="0.2">
      <c r="A629" s="5"/>
      <c r="B629" s="6"/>
      <c r="C629" s="6"/>
      <c r="D629" s="6"/>
      <c r="E629" s="6"/>
      <c r="F629" s="5"/>
      <c r="G629" s="5"/>
      <c r="H629" s="5"/>
      <c r="I629" s="5"/>
      <c r="J629" s="5"/>
      <c r="K629" s="5"/>
      <c r="L629" s="5"/>
      <c r="M629" s="5"/>
      <c r="N629" s="5"/>
      <c r="O629" s="5"/>
      <c r="P629" s="5"/>
      <c r="Q629" s="5"/>
      <c r="R629" s="5"/>
      <c r="S629" s="5"/>
      <c r="T629" s="5"/>
      <c r="U629" s="5"/>
      <c r="V629" s="5"/>
      <c r="W629" s="5"/>
    </row>
    <row r="630" spans="1:23" ht="16" x14ac:dyDescent="0.2">
      <c r="A630" s="5"/>
      <c r="B630" s="6"/>
      <c r="C630" s="6"/>
      <c r="D630" s="6"/>
      <c r="E630" s="6"/>
      <c r="F630" s="5"/>
      <c r="G630" s="5"/>
      <c r="H630" s="5"/>
      <c r="I630" s="5"/>
      <c r="J630" s="5"/>
      <c r="K630" s="5"/>
      <c r="L630" s="5"/>
      <c r="M630" s="5"/>
      <c r="N630" s="5"/>
      <c r="O630" s="5"/>
      <c r="P630" s="5"/>
      <c r="Q630" s="5"/>
      <c r="R630" s="5"/>
      <c r="S630" s="5"/>
      <c r="T630" s="5"/>
      <c r="U630" s="5"/>
      <c r="V630" s="5"/>
      <c r="W630" s="5"/>
    </row>
    <row r="631" spans="1:23" ht="16" x14ac:dyDescent="0.2">
      <c r="A631" s="5"/>
      <c r="B631" s="6"/>
      <c r="C631" s="6"/>
      <c r="D631" s="6"/>
      <c r="E631" s="6"/>
      <c r="F631" s="5"/>
      <c r="G631" s="5"/>
      <c r="H631" s="5"/>
      <c r="I631" s="5"/>
      <c r="J631" s="5"/>
      <c r="K631" s="5"/>
      <c r="L631" s="5"/>
      <c r="M631" s="5"/>
      <c r="N631" s="5"/>
      <c r="O631" s="5"/>
      <c r="P631" s="5"/>
      <c r="Q631" s="5"/>
      <c r="R631" s="5"/>
      <c r="S631" s="5"/>
      <c r="T631" s="5"/>
      <c r="U631" s="5"/>
      <c r="V631" s="5"/>
      <c r="W631" s="5"/>
    </row>
    <row r="632" spans="1:23" ht="16" x14ac:dyDescent="0.2">
      <c r="A632" s="5"/>
      <c r="B632" s="6"/>
      <c r="C632" s="6"/>
      <c r="D632" s="6"/>
      <c r="E632" s="6"/>
      <c r="F632" s="5"/>
      <c r="G632" s="5"/>
      <c r="H632" s="5"/>
      <c r="I632" s="5"/>
      <c r="J632" s="5"/>
      <c r="K632" s="5"/>
      <c r="L632" s="5"/>
      <c r="M632" s="5"/>
      <c r="N632" s="5"/>
      <c r="O632" s="5"/>
      <c r="P632" s="5"/>
      <c r="Q632" s="5"/>
      <c r="R632" s="5"/>
      <c r="S632" s="5"/>
      <c r="T632" s="5"/>
      <c r="U632" s="5"/>
      <c r="V632" s="5"/>
      <c r="W632" s="5"/>
    </row>
    <row r="633" spans="1:23" ht="16" x14ac:dyDescent="0.2">
      <c r="A633" s="5"/>
      <c r="B633" s="6"/>
      <c r="C633" s="6"/>
      <c r="D633" s="6"/>
      <c r="E633" s="6"/>
      <c r="F633" s="5"/>
      <c r="G633" s="5"/>
      <c r="H633" s="5"/>
      <c r="I633" s="5"/>
      <c r="J633" s="5"/>
      <c r="K633" s="5"/>
      <c r="L633" s="5"/>
      <c r="M633" s="5"/>
      <c r="N633" s="5"/>
      <c r="O633" s="5"/>
      <c r="P633" s="5"/>
      <c r="Q633" s="5"/>
      <c r="R633" s="5"/>
      <c r="S633" s="5"/>
      <c r="T633" s="5"/>
      <c r="U633" s="5"/>
      <c r="V633" s="5"/>
      <c r="W633" s="5"/>
    </row>
    <row r="634" spans="1:23" ht="16" x14ac:dyDescent="0.2">
      <c r="A634" s="5"/>
      <c r="B634" s="6"/>
      <c r="C634" s="6"/>
      <c r="D634" s="6"/>
      <c r="E634" s="6"/>
      <c r="F634" s="5"/>
      <c r="G634" s="5"/>
      <c r="H634" s="5"/>
      <c r="I634" s="5"/>
      <c r="J634" s="5"/>
      <c r="K634" s="5"/>
      <c r="L634" s="5"/>
      <c r="M634" s="5"/>
      <c r="N634" s="5"/>
      <c r="O634" s="5"/>
      <c r="P634" s="5"/>
      <c r="Q634" s="5"/>
      <c r="R634" s="5"/>
      <c r="S634" s="5"/>
      <c r="T634" s="5"/>
      <c r="U634" s="5"/>
      <c r="V634" s="5"/>
      <c r="W634" s="5"/>
    </row>
    <row r="635" spans="1:23" ht="16" x14ac:dyDescent="0.2">
      <c r="A635" s="5"/>
      <c r="B635" s="6"/>
      <c r="C635" s="6"/>
      <c r="D635" s="6"/>
      <c r="E635" s="6"/>
      <c r="F635" s="5"/>
      <c r="G635" s="5"/>
      <c r="H635" s="5"/>
      <c r="I635" s="5"/>
      <c r="J635" s="5"/>
      <c r="K635" s="5"/>
      <c r="L635" s="5"/>
      <c r="M635" s="5"/>
      <c r="N635" s="5"/>
      <c r="O635" s="5"/>
      <c r="P635" s="5"/>
      <c r="Q635" s="5"/>
      <c r="R635" s="5"/>
      <c r="S635" s="5"/>
      <c r="T635" s="5"/>
      <c r="U635" s="5"/>
      <c r="V635" s="5"/>
      <c r="W635" s="5"/>
    </row>
    <row r="636" spans="1:23" ht="16" x14ac:dyDescent="0.2">
      <c r="A636" s="5"/>
      <c r="B636" s="6"/>
      <c r="C636" s="6"/>
      <c r="D636" s="6"/>
      <c r="E636" s="6"/>
      <c r="F636" s="5"/>
      <c r="G636" s="5"/>
      <c r="H636" s="5"/>
      <c r="I636" s="5"/>
      <c r="J636" s="5"/>
      <c r="K636" s="5"/>
      <c r="L636" s="5"/>
      <c r="M636" s="5"/>
      <c r="N636" s="5"/>
      <c r="O636" s="5"/>
      <c r="P636" s="5"/>
      <c r="Q636" s="5"/>
      <c r="R636" s="5"/>
      <c r="S636" s="5"/>
      <c r="T636" s="5"/>
      <c r="U636" s="5"/>
      <c r="V636" s="5"/>
      <c r="W636" s="5"/>
    </row>
    <row r="637" spans="1:23" ht="16" x14ac:dyDescent="0.2">
      <c r="A637" s="5"/>
      <c r="B637" s="6"/>
      <c r="C637" s="6"/>
      <c r="D637" s="6"/>
      <c r="E637" s="6"/>
      <c r="F637" s="5"/>
      <c r="G637" s="5"/>
      <c r="H637" s="5"/>
      <c r="I637" s="5"/>
      <c r="J637" s="5"/>
      <c r="K637" s="5"/>
      <c r="L637" s="5"/>
      <c r="M637" s="5"/>
      <c r="N637" s="5"/>
      <c r="O637" s="5"/>
      <c r="P637" s="5"/>
      <c r="Q637" s="5"/>
      <c r="R637" s="5"/>
      <c r="S637" s="5"/>
      <c r="T637" s="5"/>
      <c r="U637" s="5"/>
      <c r="V637" s="5"/>
      <c r="W637" s="5"/>
    </row>
    <row r="638" spans="1:23" ht="16" x14ac:dyDescent="0.2">
      <c r="A638" s="5"/>
      <c r="B638" s="6"/>
      <c r="C638" s="6"/>
      <c r="D638" s="6"/>
      <c r="E638" s="6"/>
      <c r="F638" s="5"/>
      <c r="G638" s="5"/>
      <c r="H638" s="5"/>
      <c r="I638" s="5"/>
      <c r="J638" s="5"/>
      <c r="K638" s="5"/>
      <c r="L638" s="5"/>
      <c r="M638" s="5"/>
      <c r="N638" s="5"/>
      <c r="O638" s="5"/>
      <c r="P638" s="5"/>
      <c r="Q638" s="5"/>
      <c r="R638" s="5"/>
      <c r="S638" s="5"/>
      <c r="T638" s="5"/>
      <c r="U638" s="5"/>
      <c r="V638" s="5"/>
      <c r="W638" s="5"/>
    </row>
    <row r="639" spans="1:23" ht="16" x14ac:dyDescent="0.2">
      <c r="A639" s="5"/>
      <c r="B639" s="6"/>
      <c r="C639" s="6"/>
      <c r="D639" s="6"/>
      <c r="E639" s="6"/>
      <c r="F639" s="5"/>
      <c r="G639" s="5"/>
      <c r="H639" s="5"/>
      <c r="I639" s="5"/>
      <c r="J639" s="5"/>
      <c r="K639" s="5"/>
      <c r="L639" s="5"/>
      <c r="M639" s="5"/>
      <c r="N639" s="5"/>
      <c r="O639" s="5"/>
      <c r="P639" s="5"/>
      <c r="Q639" s="5"/>
      <c r="R639" s="5"/>
      <c r="S639" s="5"/>
      <c r="T639" s="5"/>
      <c r="U639" s="5"/>
      <c r="V639" s="5"/>
      <c r="W639" s="5"/>
    </row>
    <row r="640" spans="1:23" ht="16" x14ac:dyDescent="0.2">
      <c r="A640" s="5"/>
      <c r="B640" s="6"/>
      <c r="C640" s="6"/>
      <c r="D640" s="6"/>
      <c r="E640" s="6"/>
      <c r="F640" s="5"/>
      <c r="G640" s="5"/>
      <c r="H640" s="5"/>
      <c r="I640" s="5"/>
      <c r="J640" s="5"/>
      <c r="K640" s="5"/>
      <c r="L640" s="5"/>
      <c r="M640" s="5"/>
      <c r="N640" s="5"/>
      <c r="O640" s="5"/>
      <c r="P640" s="5"/>
      <c r="Q640" s="5"/>
      <c r="R640" s="5"/>
      <c r="S640" s="5"/>
      <c r="T640" s="5"/>
      <c r="U640" s="5"/>
      <c r="V640" s="5"/>
      <c r="W640" s="5"/>
    </row>
    <row r="641" spans="1:23" ht="16" x14ac:dyDescent="0.2">
      <c r="A641" s="5"/>
      <c r="B641" s="6"/>
      <c r="C641" s="6"/>
      <c r="D641" s="6"/>
      <c r="E641" s="6"/>
      <c r="F641" s="5"/>
      <c r="G641" s="5"/>
      <c r="H641" s="5"/>
      <c r="I641" s="5"/>
      <c r="J641" s="5"/>
      <c r="K641" s="5"/>
      <c r="L641" s="5"/>
      <c r="M641" s="5"/>
      <c r="N641" s="5"/>
      <c r="O641" s="5"/>
      <c r="P641" s="5"/>
      <c r="Q641" s="5"/>
      <c r="R641" s="5"/>
      <c r="S641" s="5"/>
      <c r="T641" s="5"/>
      <c r="U641" s="5"/>
      <c r="V641" s="5"/>
      <c r="W641" s="5"/>
    </row>
    <row r="642" spans="1:23" ht="16" x14ac:dyDescent="0.2">
      <c r="A642" s="5"/>
      <c r="B642" s="6"/>
      <c r="C642" s="6"/>
      <c r="D642" s="6"/>
      <c r="E642" s="6"/>
      <c r="F642" s="5"/>
      <c r="G642" s="5"/>
      <c r="H642" s="5"/>
      <c r="I642" s="5"/>
      <c r="J642" s="5"/>
      <c r="K642" s="5"/>
      <c r="L642" s="5"/>
      <c r="M642" s="5"/>
      <c r="N642" s="5"/>
      <c r="O642" s="5"/>
      <c r="P642" s="5"/>
      <c r="Q642" s="5"/>
      <c r="R642" s="5"/>
      <c r="S642" s="5"/>
      <c r="T642" s="5"/>
      <c r="U642" s="5"/>
      <c r="V642" s="5"/>
      <c r="W642" s="5"/>
    </row>
    <row r="643" spans="1:23" ht="16" x14ac:dyDescent="0.2">
      <c r="A643" s="5"/>
      <c r="B643" s="6"/>
      <c r="C643" s="6"/>
      <c r="D643" s="6"/>
      <c r="E643" s="6"/>
      <c r="F643" s="5"/>
      <c r="G643" s="5"/>
      <c r="H643" s="5"/>
      <c r="I643" s="5"/>
      <c r="J643" s="5"/>
      <c r="K643" s="5"/>
      <c r="L643" s="5"/>
      <c r="M643" s="5"/>
      <c r="N643" s="5"/>
      <c r="O643" s="5"/>
      <c r="P643" s="5"/>
      <c r="Q643" s="5"/>
      <c r="R643" s="5"/>
      <c r="S643" s="5"/>
      <c r="T643" s="5"/>
      <c r="U643" s="5"/>
      <c r="V643" s="5"/>
      <c r="W643" s="5"/>
    </row>
    <row r="644" spans="1:23" ht="16" x14ac:dyDescent="0.2">
      <c r="A644" s="5"/>
      <c r="B644" s="6"/>
      <c r="C644" s="6"/>
      <c r="D644" s="6"/>
      <c r="E644" s="6"/>
      <c r="F644" s="5"/>
      <c r="G644" s="5"/>
      <c r="H644" s="5"/>
      <c r="I644" s="5"/>
      <c r="J644" s="5"/>
      <c r="K644" s="5"/>
      <c r="L644" s="5"/>
      <c r="M644" s="5"/>
      <c r="N644" s="5"/>
      <c r="O644" s="5"/>
      <c r="P644" s="5"/>
      <c r="Q644" s="5"/>
      <c r="R644" s="5"/>
      <c r="S644" s="5"/>
      <c r="T644" s="5"/>
      <c r="U644" s="5"/>
      <c r="V644" s="5"/>
      <c r="W644" s="5"/>
    </row>
    <row r="645" spans="1:23" ht="16" x14ac:dyDescent="0.2">
      <c r="A645" s="5"/>
      <c r="B645" s="6"/>
      <c r="C645" s="6"/>
      <c r="D645" s="6"/>
      <c r="E645" s="6"/>
      <c r="F645" s="5"/>
      <c r="G645" s="5"/>
      <c r="H645" s="5"/>
      <c r="I645" s="5"/>
      <c r="J645" s="5"/>
      <c r="K645" s="5"/>
      <c r="L645" s="5"/>
      <c r="M645" s="5"/>
      <c r="N645" s="5"/>
      <c r="O645" s="5"/>
      <c r="P645" s="5"/>
      <c r="Q645" s="5"/>
      <c r="R645" s="5"/>
      <c r="S645" s="5"/>
      <c r="T645" s="5"/>
      <c r="U645" s="5"/>
      <c r="V645" s="5"/>
      <c r="W645" s="5"/>
    </row>
    <row r="646" spans="1:23" ht="16" x14ac:dyDescent="0.2">
      <c r="A646" s="5"/>
      <c r="B646" s="6"/>
      <c r="C646" s="6"/>
      <c r="D646" s="6"/>
      <c r="E646" s="6"/>
      <c r="F646" s="5"/>
      <c r="G646" s="5"/>
      <c r="H646" s="5"/>
      <c r="I646" s="5"/>
      <c r="J646" s="5"/>
      <c r="K646" s="5"/>
      <c r="L646" s="5"/>
      <c r="M646" s="5"/>
      <c r="N646" s="5"/>
      <c r="O646" s="5"/>
      <c r="P646" s="5"/>
      <c r="Q646" s="5"/>
      <c r="R646" s="5"/>
      <c r="S646" s="5"/>
      <c r="T646" s="5"/>
      <c r="U646" s="5"/>
      <c r="V646" s="5"/>
      <c r="W646" s="5"/>
    </row>
    <row r="647" spans="1:23" ht="16" x14ac:dyDescent="0.2">
      <c r="A647" s="5"/>
      <c r="B647" s="6"/>
      <c r="C647" s="6"/>
      <c r="D647" s="6"/>
      <c r="E647" s="6"/>
      <c r="F647" s="5"/>
      <c r="G647" s="5"/>
      <c r="H647" s="5"/>
      <c r="I647" s="5"/>
      <c r="J647" s="5"/>
      <c r="K647" s="5"/>
      <c r="L647" s="5"/>
      <c r="M647" s="5"/>
      <c r="N647" s="5"/>
      <c r="O647" s="5"/>
      <c r="P647" s="5"/>
      <c r="Q647" s="5"/>
      <c r="R647" s="5"/>
      <c r="S647" s="5"/>
      <c r="T647" s="5"/>
      <c r="U647" s="5"/>
      <c r="V647" s="5"/>
      <c r="W647" s="5"/>
    </row>
    <row r="648" spans="1:23" ht="16" x14ac:dyDescent="0.2">
      <c r="A648" s="5"/>
      <c r="B648" s="6"/>
      <c r="C648" s="6"/>
      <c r="D648" s="6"/>
      <c r="E648" s="6"/>
      <c r="F648" s="5"/>
      <c r="G648" s="5"/>
      <c r="H648" s="5"/>
      <c r="I648" s="5"/>
      <c r="J648" s="5"/>
      <c r="K648" s="5"/>
      <c r="L648" s="5"/>
      <c r="M648" s="5"/>
      <c r="N648" s="5"/>
      <c r="O648" s="5"/>
      <c r="P648" s="5"/>
      <c r="Q648" s="5"/>
      <c r="R648" s="5"/>
      <c r="S648" s="5"/>
      <c r="T648" s="5"/>
      <c r="U648" s="5"/>
      <c r="V648" s="5"/>
      <c r="W648" s="5"/>
    </row>
    <row r="649" spans="1:23" ht="16" x14ac:dyDescent="0.2">
      <c r="A649" s="5"/>
      <c r="B649" s="6"/>
      <c r="C649" s="6"/>
      <c r="D649" s="6"/>
      <c r="E649" s="6"/>
      <c r="F649" s="5"/>
      <c r="G649" s="5"/>
      <c r="H649" s="5"/>
      <c r="I649" s="5"/>
      <c r="J649" s="5"/>
      <c r="K649" s="5"/>
      <c r="L649" s="5"/>
      <c r="M649" s="5"/>
      <c r="N649" s="5"/>
      <c r="O649" s="5"/>
      <c r="P649" s="5"/>
      <c r="Q649" s="5"/>
      <c r="R649" s="5"/>
      <c r="S649" s="5"/>
      <c r="T649" s="5"/>
      <c r="U649" s="5"/>
      <c r="V649" s="5"/>
      <c r="W649" s="5"/>
    </row>
    <row r="650" spans="1:23" ht="16" x14ac:dyDescent="0.2">
      <c r="A650" s="5"/>
      <c r="B650" s="6"/>
      <c r="C650" s="6"/>
      <c r="D650" s="6"/>
      <c r="E650" s="6"/>
      <c r="F650" s="5"/>
      <c r="G650" s="5"/>
      <c r="H650" s="5"/>
      <c r="I650" s="5"/>
      <c r="J650" s="5"/>
      <c r="K650" s="5"/>
      <c r="L650" s="5"/>
      <c r="M650" s="5"/>
      <c r="N650" s="5"/>
      <c r="O650" s="5"/>
      <c r="P650" s="5"/>
      <c r="Q650" s="5"/>
      <c r="R650" s="5"/>
      <c r="S650" s="5"/>
      <c r="T650" s="5"/>
      <c r="U650" s="5"/>
      <c r="V650" s="5"/>
      <c r="W650" s="5"/>
    </row>
    <row r="651" spans="1:23" ht="16" x14ac:dyDescent="0.2">
      <c r="A651" s="5"/>
      <c r="B651" s="6"/>
      <c r="C651" s="6"/>
      <c r="D651" s="6"/>
      <c r="E651" s="6"/>
      <c r="F651" s="5"/>
      <c r="G651" s="5"/>
      <c r="H651" s="5"/>
      <c r="I651" s="5"/>
      <c r="J651" s="5"/>
      <c r="K651" s="5"/>
      <c r="L651" s="5"/>
      <c r="M651" s="5"/>
      <c r="N651" s="5"/>
      <c r="O651" s="5"/>
      <c r="P651" s="5"/>
      <c r="Q651" s="5"/>
      <c r="R651" s="5"/>
      <c r="S651" s="5"/>
      <c r="T651" s="5"/>
      <c r="U651" s="5"/>
      <c r="V651" s="5"/>
      <c r="W651" s="5"/>
    </row>
    <row r="652" spans="1:23" ht="16" x14ac:dyDescent="0.2">
      <c r="A652" s="5"/>
      <c r="B652" s="6"/>
      <c r="C652" s="6"/>
      <c r="D652" s="6"/>
      <c r="E652" s="6"/>
      <c r="F652" s="5"/>
      <c r="G652" s="5"/>
      <c r="H652" s="5"/>
      <c r="I652" s="5"/>
      <c r="J652" s="5"/>
      <c r="K652" s="5"/>
      <c r="L652" s="5"/>
      <c r="M652" s="5"/>
      <c r="N652" s="5"/>
      <c r="O652" s="5"/>
      <c r="P652" s="5"/>
      <c r="Q652" s="5"/>
      <c r="R652" s="5"/>
      <c r="S652" s="5"/>
      <c r="T652" s="5"/>
      <c r="U652" s="5"/>
      <c r="V652" s="5"/>
      <c r="W652" s="5"/>
    </row>
    <row r="653" spans="1:23" ht="16" x14ac:dyDescent="0.2">
      <c r="A653" s="5"/>
      <c r="B653" s="6"/>
      <c r="C653" s="6"/>
      <c r="D653" s="6"/>
      <c r="E653" s="6"/>
      <c r="F653" s="5"/>
      <c r="G653" s="5"/>
      <c r="H653" s="5"/>
      <c r="I653" s="5"/>
      <c r="J653" s="5"/>
      <c r="K653" s="5"/>
      <c r="L653" s="5"/>
      <c r="M653" s="5"/>
      <c r="N653" s="5"/>
      <c r="O653" s="5"/>
      <c r="P653" s="5"/>
      <c r="Q653" s="5"/>
      <c r="R653" s="5"/>
      <c r="S653" s="5"/>
      <c r="T653" s="5"/>
      <c r="U653" s="5"/>
      <c r="V653" s="5"/>
      <c r="W653" s="5"/>
    </row>
    <row r="654" spans="1:23" ht="16" x14ac:dyDescent="0.2">
      <c r="A654" s="5"/>
      <c r="B654" s="6"/>
      <c r="C654" s="6"/>
      <c r="D654" s="6"/>
      <c r="E654" s="6"/>
      <c r="F654" s="5"/>
      <c r="G654" s="5"/>
      <c r="H654" s="5"/>
      <c r="I654" s="5"/>
      <c r="J654" s="5"/>
      <c r="K654" s="5"/>
      <c r="L654" s="5"/>
      <c r="M654" s="5"/>
      <c r="N654" s="5"/>
      <c r="O654" s="5"/>
      <c r="P654" s="5"/>
      <c r="Q654" s="5"/>
      <c r="R654" s="5"/>
      <c r="S654" s="5"/>
      <c r="T654" s="5"/>
      <c r="U654" s="5"/>
      <c r="V654" s="5"/>
      <c r="W654" s="5"/>
    </row>
    <row r="655" spans="1:23" ht="16" x14ac:dyDescent="0.2">
      <c r="A655" s="5"/>
      <c r="B655" s="6"/>
      <c r="C655" s="6"/>
      <c r="D655" s="6"/>
      <c r="E655" s="6"/>
      <c r="F655" s="5"/>
      <c r="G655" s="5"/>
      <c r="H655" s="5"/>
      <c r="I655" s="5"/>
      <c r="J655" s="5"/>
      <c r="K655" s="5"/>
      <c r="L655" s="5"/>
      <c r="M655" s="5"/>
      <c r="N655" s="5"/>
      <c r="O655" s="5"/>
      <c r="P655" s="5"/>
      <c r="Q655" s="5"/>
      <c r="R655" s="5"/>
      <c r="S655" s="5"/>
      <c r="T655" s="5"/>
      <c r="U655" s="5"/>
      <c r="V655" s="5"/>
      <c r="W655" s="5"/>
    </row>
    <row r="656" spans="1:23" ht="16" x14ac:dyDescent="0.2">
      <c r="A656" s="5"/>
      <c r="B656" s="6"/>
      <c r="C656" s="6"/>
      <c r="D656" s="6"/>
      <c r="E656" s="6"/>
      <c r="F656" s="5"/>
      <c r="G656" s="5"/>
      <c r="H656" s="5"/>
      <c r="I656" s="5"/>
      <c r="J656" s="5"/>
      <c r="K656" s="5"/>
      <c r="L656" s="5"/>
      <c r="M656" s="5"/>
      <c r="N656" s="5"/>
      <c r="O656" s="5"/>
      <c r="P656" s="5"/>
      <c r="Q656" s="5"/>
      <c r="R656" s="5"/>
      <c r="S656" s="5"/>
      <c r="T656" s="5"/>
      <c r="U656" s="5"/>
      <c r="V656" s="5"/>
      <c r="W656" s="5"/>
    </row>
    <row r="657" spans="1:23" ht="16" x14ac:dyDescent="0.2">
      <c r="A657" s="5"/>
      <c r="B657" s="6"/>
      <c r="C657" s="6"/>
      <c r="D657" s="6"/>
      <c r="E657" s="6"/>
      <c r="F657" s="5"/>
      <c r="G657" s="5"/>
      <c r="H657" s="5"/>
      <c r="I657" s="5"/>
      <c r="J657" s="5"/>
      <c r="K657" s="5"/>
      <c r="L657" s="5"/>
      <c r="M657" s="5"/>
      <c r="N657" s="5"/>
      <c r="O657" s="5"/>
      <c r="P657" s="5"/>
      <c r="Q657" s="5"/>
      <c r="R657" s="5"/>
      <c r="S657" s="5"/>
      <c r="T657" s="5"/>
      <c r="U657" s="5"/>
      <c r="V657" s="5"/>
      <c r="W657" s="5"/>
    </row>
    <row r="658" spans="1:23" ht="16" x14ac:dyDescent="0.2">
      <c r="A658" s="5"/>
      <c r="B658" s="6"/>
      <c r="C658" s="6"/>
      <c r="D658" s="6"/>
      <c r="E658" s="6"/>
      <c r="F658" s="5"/>
      <c r="G658" s="5"/>
      <c r="H658" s="5"/>
      <c r="I658" s="5"/>
      <c r="J658" s="5"/>
      <c r="K658" s="5"/>
      <c r="L658" s="5"/>
      <c r="M658" s="5"/>
      <c r="N658" s="5"/>
      <c r="O658" s="5"/>
      <c r="P658" s="5"/>
      <c r="Q658" s="5"/>
      <c r="R658" s="5"/>
      <c r="S658" s="5"/>
      <c r="T658" s="5"/>
      <c r="U658" s="5"/>
      <c r="V658" s="5"/>
      <c r="W658" s="5"/>
    </row>
    <row r="659" spans="1:23" ht="16" x14ac:dyDescent="0.2">
      <c r="A659" s="5"/>
      <c r="B659" s="6"/>
      <c r="C659" s="6"/>
      <c r="D659" s="6"/>
      <c r="E659" s="6"/>
      <c r="F659" s="5"/>
      <c r="G659" s="5"/>
      <c r="H659" s="5"/>
      <c r="I659" s="5"/>
      <c r="J659" s="5"/>
      <c r="K659" s="5"/>
      <c r="L659" s="5"/>
      <c r="M659" s="5"/>
      <c r="N659" s="5"/>
      <c r="O659" s="5"/>
      <c r="P659" s="5"/>
      <c r="Q659" s="5"/>
      <c r="R659" s="5"/>
      <c r="S659" s="5"/>
      <c r="T659" s="5"/>
      <c r="U659" s="5"/>
      <c r="V659" s="5"/>
      <c r="W659" s="5"/>
    </row>
    <row r="660" spans="1:23" ht="16" x14ac:dyDescent="0.2">
      <c r="A660" s="5"/>
      <c r="B660" s="6"/>
      <c r="C660" s="6"/>
      <c r="D660" s="6"/>
      <c r="E660" s="6"/>
      <c r="F660" s="5"/>
      <c r="G660" s="5"/>
      <c r="H660" s="5"/>
      <c r="I660" s="5"/>
      <c r="J660" s="5"/>
      <c r="K660" s="5"/>
      <c r="L660" s="5"/>
      <c r="M660" s="5"/>
      <c r="N660" s="5"/>
      <c r="O660" s="5"/>
      <c r="P660" s="5"/>
      <c r="Q660" s="5"/>
      <c r="R660" s="5"/>
      <c r="S660" s="5"/>
      <c r="T660" s="5"/>
      <c r="U660" s="5"/>
      <c r="V660" s="5"/>
      <c r="W660" s="5"/>
    </row>
    <row r="661" spans="1:23" ht="16" x14ac:dyDescent="0.2">
      <c r="A661" s="5"/>
      <c r="B661" s="6"/>
      <c r="C661" s="6"/>
      <c r="D661" s="6"/>
      <c r="E661" s="6"/>
      <c r="F661" s="5"/>
      <c r="G661" s="5"/>
      <c r="H661" s="5"/>
      <c r="I661" s="5"/>
      <c r="J661" s="5"/>
      <c r="K661" s="5"/>
      <c r="L661" s="5"/>
      <c r="M661" s="5"/>
      <c r="N661" s="5"/>
      <c r="O661" s="5"/>
      <c r="P661" s="5"/>
      <c r="Q661" s="5"/>
      <c r="R661" s="5"/>
      <c r="S661" s="5"/>
      <c r="T661" s="5"/>
      <c r="U661" s="5"/>
      <c r="V661" s="5"/>
      <c r="W661" s="5"/>
    </row>
    <row r="662" spans="1:23" ht="16" x14ac:dyDescent="0.2">
      <c r="A662" s="5"/>
      <c r="B662" s="6"/>
      <c r="C662" s="6"/>
      <c r="D662" s="6"/>
      <c r="E662" s="6"/>
      <c r="F662" s="5"/>
      <c r="G662" s="5"/>
      <c r="H662" s="5"/>
      <c r="I662" s="5"/>
      <c r="J662" s="5"/>
      <c r="K662" s="5"/>
      <c r="L662" s="5"/>
      <c r="M662" s="5"/>
      <c r="N662" s="5"/>
      <c r="O662" s="5"/>
      <c r="P662" s="5"/>
      <c r="Q662" s="5"/>
      <c r="R662" s="5"/>
      <c r="S662" s="5"/>
      <c r="T662" s="5"/>
      <c r="U662" s="5"/>
      <c r="V662" s="5"/>
      <c r="W662" s="5"/>
    </row>
    <row r="663" spans="1:23" ht="16" x14ac:dyDescent="0.2">
      <c r="A663" s="5"/>
      <c r="B663" s="6"/>
      <c r="C663" s="6"/>
      <c r="D663" s="6"/>
      <c r="E663" s="6"/>
      <c r="F663" s="5"/>
      <c r="G663" s="5"/>
      <c r="H663" s="5"/>
      <c r="I663" s="5"/>
      <c r="J663" s="5"/>
      <c r="K663" s="5"/>
      <c r="L663" s="5"/>
      <c r="M663" s="5"/>
      <c r="N663" s="5"/>
      <c r="O663" s="5"/>
      <c r="P663" s="5"/>
      <c r="Q663" s="5"/>
      <c r="R663" s="5"/>
      <c r="S663" s="5"/>
      <c r="T663" s="5"/>
      <c r="U663" s="5"/>
      <c r="V663" s="5"/>
      <c r="W663" s="5"/>
    </row>
    <row r="664" spans="1:23" ht="16" x14ac:dyDescent="0.2">
      <c r="A664" s="5"/>
      <c r="B664" s="6"/>
      <c r="C664" s="6"/>
      <c r="D664" s="6"/>
      <c r="E664" s="6"/>
      <c r="F664" s="5"/>
      <c r="G664" s="5"/>
      <c r="H664" s="5"/>
      <c r="I664" s="5"/>
      <c r="J664" s="5"/>
      <c r="K664" s="5"/>
      <c r="L664" s="5"/>
      <c r="M664" s="5"/>
      <c r="N664" s="5"/>
      <c r="O664" s="5"/>
      <c r="P664" s="5"/>
      <c r="Q664" s="5"/>
      <c r="R664" s="5"/>
      <c r="S664" s="5"/>
      <c r="T664" s="5"/>
      <c r="U664" s="5"/>
      <c r="V664" s="5"/>
      <c r="W664" s="5"/>
    </row>
    <row r="665" spans="1:23" ht="16" x14ac:dyDescent="0.2">
      <c r="A665" s="5"/>
      <c r="B665" s="6"/>
      <c r="C665" s="6"/>
      <c r="D665" s="6"/>
      <c r="E665" s="6"/>
      <c r="F665" s="5"/>
      <c r="G665" s="5"/>
      <c r="H665" s="5"/>
      <c r="I665" s="5"/>
      <c r="J665" s="5"/>
      <c r="K665" s="5"/>
      <c r="L665" s="5"/>
      <c r="M665" s="5"/>
      <c r="N665" s="5"/>
      <c r="O665" s="5"/>
      <c r="P665" s="5"/>
      <c r="Q665" s="5"/>
      <c r="R665" s="5"/>
      <c r="S665" s="5"/>
      <c r="T665" s="5"/>
      <c r="U665" s="5"/>
      <c r="V665" s="5"/>
      <c r="W665" s="5"/>
    </row>
    <row r="666" spans="1:23" ht="16" x14ac:dyDescent="0.2">
      <c r="A666" s="5"/>
      <c r="B666" s="6"/>
      <c r="C666" s="6"/>
      <c r="D666" s="6"/>
      <c r="E666" s="6"/>
      <c r="F666" s="5"/>
      <c r="G666" s="5"/>
      <c r="H666" s="5"/>
      <c r="I666" s="5"/>
      <c r="J666" s="5"/>
      <c r="K666" s="5"/>
      <c r="L666" s="5"/>
      <c r="M666" s="5"/>
      <c r="N666" s="5"/>
      <c r="O666" s="5"/>
      <c r="P666" s="5"/>
      <c r="Q666" s="5"/>
      <c r="R666" s="5"/>
      <c r="S666" s="5"/>
      <c r="T666" s="5"/>
      <c r="U666" s="5"/>
      <c r="V666" s="5"/>
      <c r="W666" s="5"/>
    </row>
    <row r="667" spans="1:23" ht="16" x14ac:dyDescent="0.2">
      <c r="A667" s="5"/>
      <c r="B667" s="6"/>
      <c r="C667" s="6"/>
      <c r="D667" s="6"/>
      <c r="E667" s="6"/>
      <c r="F667" s="5"/>
      <c r="G667" s="5"/>
      <c r="H667" s="5"/>
      <c r="I667" s="5"/>
      <c r="J667" s="5"/>
      <c r="K667" s="5"/>
      <c r="L667" s="5"/>
      <c r="M667" s="5"/>
      <c r="N667" s="5"/>
      <c r="O667" s="5"/>
      <c r="P667" s="5"/>
      <c r="Q667" s="5"/>
      <c r="R667" s="5"/>
      <c r="S667" s="5"/>
      <c r="T667" s="5"/>
      <c r="U667" s="5"/>
      <c r="V667" s="5"/>
      <c r="W667" s="5"/>
    </row>
    <row r="668" spans="1:23" ht="16" x14ac:dyDescent="0.2">
      <c r="A668" s="5"/>
      <c r="B668" s="6"/>
      <c r="C668" s="6"/>
      <c r="D668" s="6"/>
      <c r="E668" s="6"/>
      <c r="F668" s="5"/>
      <c r="G668" s="5"/>
      <c r="H668" s="5"/>
      <c r="I668" s="5"/>
      <c r="J668" s="5"/>
      <c r="K668" s="5"/>
      <c r="L668" s="5"/>
      <c r="M668" s="5"/>
      <c r="N668" s="5"/>
      <c r="O668" s="5"/>
      <c r="P668" s="5"/>
      <c r="Q668" s="5"/>
      <c r="R668" s="5"/>
      <c r="S668" s="5"/>
      <c r="T668" s="5"/>
      <c r="U668" s="5"/>
      <c r="V668" s="5"/>
      <c r="W668" s="5"/>
    </row>
    <row r="669" spans="1:23" ht="16" x14ac:dyDescent="0.2">
      <c r="A669" s="5"/>
      <c r="B669" s="6"/>
      <c r="C669" s="6"/>
      <c r="D669" s="6"/>
      <c r="E669" s="6"/>
      <c r="F669" s="5"/>
      <c r="G669" s="5"/>
      <c r="H669" s="5"/>
      <c r="I669" s="5"/>
      <c r="J669" s="5"/>
      <c r="K669" s="5"/>
      <c r="L669" s="5"/>
      <c r="M669" s="5"/>
      <c r="N669" s="5"/>
      <c r="O669" s="5"/>
      <c r="P669" s="5"/>
      <c r="Q669" s="5"/>
      <c r="R669" s="5"/>
      <c r="S669" s="5"/>
      <c r="T669" s="5"/>
      <c r="U669" s="5"/>
      <c r="V669" s="5"/>
      <c r="W669" s="5"/>
    </row>
    <row r="670" spans="1:23" ht="16" x14ac:dyDescent="0.2">
      <c r="A670" s="5"/>
      <c r="B670" s="6"/>
      <c r="C670" s="6"/>
      <c r="D670" s="6"/>
      <c r="E670" s="6"/>
      <c r="F670" s="5"/>
      <c r="G670" s="5"/>
      <c r="H670" s="5"/>
      <c r="I670" s="5"/>
      <c r="J670" s="5"/>
      <c r="K670" s="5"/>
      <c r="L670" s="5"/>
      <c r="M670" s="5"/>
      <c r="N670" s="5"/>
      <c r="O670" s="5"/>
      <c r="P670" s="5"/>
      <c r="Q670" s="5"/>
      <c r="R670" s="5"/>
      <c r="S670" s="5"/>
      <c r="T670" s="5"/>
      <c r="U670" s="5"/>
      <c r="V670" s="5"/>
      <c r="W670" s="5"/>
    </row>
    <row r="671" spans="1:23" ht="16" x14ac:dyDescent="0.2">
      <c r="A671" s="5"/>
      <c r="B671" s="6"/>
      <c r="C671" s="6"/>
      <c r="D671" s="6"/>
      <c r="E671" s="6"/>
      <c r="F671" s="5"/>
      <c r="G671" s="5"/>
      <c r="H671" s="5"/>
      <c r="I671" s="5"/>
      <c r="J671" s="5"/>
      <c r="K671" s="5"/>
      <c r="L671" s="5"/>
      <c r="M671" s="5"/>
      <c r="N671" s="5"/>
      <c r="O671" s="5"/>
      <c r="P671" s="5"/>
      <c r="Q671" s="5"/>
      <c r="R671" s="5"/>
      <c r="S671" s="5"/>
      <c r="T671" s="5"/>
      <c r="U671" s="5"/>
      <c r="V671" s="5"/>
      <c r="W671" s="5"/>
    </row>
    <row r="672" spans="1:23" ht="16" x14ac:dyDescent="0.2">
      <c r="A672" s="5"/>
      <c r="B672" s="6"/>
      <c r="C672" s="6"/>
      <c r="D672" s="6"/>
      <c r="E672" s="6"/>
      <c r="F672" s="5"/>
      <c r="G672" s="5"/>
      <c r="H672" s="5"/>
      <c r="I672" s="5"/>
      <c r="J672" s="5"/>
      <c r="K672" s="5"/>
      <c r="L672" s="5"/>
      <c r="M672" s="5"/>
      <c r="N672" s="5"/>
      <c r="O672" s="5"/>
      <c r="P672" s="5"/>
      <c r="Q672" s="5"/>
      <c r="R672" s="5"/>
      <c r="S672" s="5"/>
      <c r="T672" s="5"/>
      <c r="U672" s="5"/>
      <c r="V672" s="5"/>
      <c r="W672" s="5"/>
    </row>
    <row r="673" spans="1:23" ht="16" x14ac:dyDescent="0.2">
      <c r="A673" s="5"/>
      <c r="B673" s="6"/>
      <c r="C673" s="6"/>
      <c r="D673" s="6"/>
      <c r="E673" s="6"/>
      <c r="F673" s="5"/>
      <c r="G673" s="5"/>
      <c r="H673" s="5"/>
      <c r="I673" s="5"/>
      <c r="J673" s="5"/>
      <c r="K673" s="5"/>
      <c r="L673" s="5"/>
      <c r="M673" s="5"/>
      <c r="N673" s="5"/>
      <c r="O673" s="5"/>
      <c r="P673" s="5"/>
      <c r="Q673" s="5"/>
      <c r="R673" s="5"/>
      <c r="S673" s="5"/>
      <c r="T673" s="5"/>
      <c r="U673" s="5"/>
      <c r="V673" s="5"/>
      <c r="W673" s="5"/>
    </row>
    <row r="674" spans="1:23" ht="16" x14ac:dyDescent="0.2">
      <c r="A674" s="5"/>
      <c r="B674" s="6"/>
      <c r="C674" s="6"/>
      <c r="D674" s="6"/>
      <c r="E674" s="6"/>
      <c r="F674" s="5"/>
      <c r="G674" s="5"/>
      <c r="H674" s="5"/>
      <c r="I674" s="5"/>
      <c r="J674" s="5"/>
      <c r="K674" s="5"/>
      <c r="L674" s="5"/>
      <c r="M674" s="5"/>
      <c r="N674" s="5"/>
      <c r="O674" s="5"/>
      <c r="P674" s="5"/>
      <c r="Q674" s="5"/>
      <c r="R674" s="5"/>
      <c r="S674" s="5"/>
      <c r="T674" s="5"/>
      <c r="U674" s="5"/>
      <c r="V674" s="5"/>
      <c r="W674" s="5"/>
    </row>
    <row r="675" spans="1:23" ht="16" x14ac:dyDescent="0.2">
      <c r="A675" s="5"/>
      <c r="B675" s="6"/>
      <c r="C675" s="6"/>
      <c r="D675" s="6"/>
      <c r="E675" s="6"/>
      <c r="F675" s="5"/>
      <c r="G675" s="5"/>
      <c r="H675" s="5"/>
      <c r="I675" s="5"/>
      <c r="J675" s="5"/>
      <c r="K675" s="5"/>
      <c r="L675" s="5"/>
      <c r="M675" s="5"/>
      <c r="N675" s="5"/>
      <c r="O675" s="5"/>
      <c r="P675" s="5"/>
      <c r="Q675" s="5"/>
      <c r="R675" s="5"/>
      <c r="S675" s="5"/>
      <c r="T675" s="5"/>
      <c r="U675" s="5"/>
      <c r="V675" s="5"/>
      <c r="W675" s="5"/>
    </row>
    <row r="676" spans="1:23" ht="16" x14ac:dyDescent="0.2">
      <c r="A676" s="5"/>
      <c r="B676" s="6"/>
      <c r="C676" s="6"/>
      <c r="D676" s="6"/>
      <c r="E676" s="6"/>
      <c r="F676" s="5"/>
      <c r="G676" s="5"/>
      <c r="H676" s="5"/>
      <c r="I676" s="5"/>
      <c r="J676" s="5"/>
      <c r="K676" s="5"/>
      <c r="L676" s="5"/>
      <c r="M676" s="5"/>
      <c r="N676" s="5"/>
      <c r="O676" s="5"/>
      <c r="P676" s="5"/>
      <c r="Q676" s="5"/>
      <c r="R676" s="5"/>
      <c r="S676" s="5"/>
      <c r="T676" s="5"/>
      <c r="U676" s="5"/>
      <c r="V676" s="5"/>
      <c r="W676" s="5"/>
    </row>
    <row r="677" spans="1:23" ht="16" x14ac:dyDescent="0.2">
      <c r="A677" s="5"/>
      <c r="B677" s="6"/>
      <c r="C677" s="6"/>
      <c r="D677" s="6"/>
      <c r="E677" s="6"/>
      <c r="F677" s="5"/>
      <c r="G677" s="5"/>
      <c r="H677" s="5"/>
      <c r="I677" s="5"/>
      <c r="J677" s="5"/>
      <c r="K677" s="5"/>
      <c r="L677" s="5"/>
      <c r="M677" s="5"/>
      <c r="N677" s="5"/>
      <c r="O677" s="5"/>
      <c r="P677" s="5"/>
      <c r="Q677" s="5"/>
      <c r="R677" s="5"/>
      <c r="S677" s="5"/>
      <c r="T677" s="5"/>
      <c r="U677" s="5"/>
      <c r="V677" s="5"/>
      <c r="W677" s="5"/>
    </row>
    <row r="678" spans="1:23" ht="16" x14ac:dyDescent="0.2">
      <c r="A678" s="5"/>
      <c r="B678" s="6"/>
      <c r="C678" s="6"/>
      <c r="D678" s="6"/>
      <c r="E678" s="6"/>
      <c r="F678" s="5"/>
      <c r="G678" s="5"/>
      <c r="H678" s="5"/>
      <c r="I678" s="5"/>
      <c r="J678" s="5"/>
      <c r="K678" s="5"/>
      <c r="L678" s="5"/>
      <c r="M678" s="5"/>
      <c r="N678" s="5"/>
      <c r="O678" s="5"/>
      <c r="P678" s="5"/>
      <c r="Q678" s="5"/>
      <c r="R678" s="5"/>
      <c r="S678" s="5"/>
      <c r="T678" s="5"/>
      <c r="U678" s="5"/>
      <c r="V678" s="5"/>
      <c r="W678" s="5"/>
    </row>
    <row r="679" spans="1:23" ht="16" x14ac:dyDescent="0.2">
      <c r="A679" s="5"/>
      <c r="B679" s="6"/>
      <c r="C679" s="6"/>
      <c r="D679" s="6"/>
      <c r="E679" s="6"/>
      <c r="F679" s="5"/>
      <c r="G679" s="5"/>
      <c r="H679" s="5"/>
      <c r="I679" s="5"/>
      <c r="J679" s="5"/>
      <c r="K679" s="5"/>
      <c r="L679" s="5"/>
      <c r="M679" s="5"/>
      <c r="N679" s="5"/>
      <c r="O679" s="5"/>
      <c r="P679" s="5"/>
      <c r="Q679" s="5"/>
      <c r="R679" s="5"/>
      <c r="S679" s="5"/>
      <c r="T679" s="5"/>
      <c r="U679" s="5"/>
      <c r="V679" s="5"/>
      <c r="W679" s="5"/>
    </row>
    <row r="680" spans="1:23" ht="16" x14ac:dyDescent="0.2">
      <c r="A680" s="5"/>
      <c r="B680" s="6"/>
      <c r="C680" s="6"/>
      <c r="D680" s="6"/>
      <c r="E680" s="6"/>
      <c r="F680" s="5"/>
      <c r="G680" s="5"/>
      <c r="H680" s="5"/>
      <c r="I680" s="5"/>
      <c r="J680" s="5"/>
      <c r="K680" s="5"/>
      <c r="L680" s="5"/>
      <c r="M680" s="5"/>
      <c r="N680" s="5"/>
      <c r="O680" s="5"/>
      <c r="P680" s="5"/>
      <c r="Q680" s="5"/>
      <c r="R680" s="5"/>
      <c r="S680" s="5"/>
      <c r="T680" s="5"/>
      <c r="U680" s="5"/>
      <c r="V680" s="5"/>
      <c r="W680" s="5"/>
    </row>
    <row r="681" spans="1:23" ht="16" x14ac:dyDescent="0.2">
      <c r="A681" s="5"/>
      <c r="B681" s="6"/>
      <c r="C681" s="6"/>
      <c r="D681" s="6"/>
      <c r="E681" s="6"/>
      <c r="F681" s="5"/>
      <c r="G681" s="5"/>
      <c r="H681" s="5"/>
      <c r="I681" s="5"/>
      <c r="J681" s="5"/>
      <c r="K681" s="5"/>
      <c r="L681" s="5"/>
      <c r="M681" s="5"/>
      <c r="N681" s="5"/>
      <c r="O681" s="5"/>
      <c r="P681" s="5"/>
      <c r="Q681" s="5"/>
      <c r="R681" s="5"/>
      <c r="S681" s="5"/>
      <c r="T681" s="5"/>
      <c r="U681" s="5"/>
      <c r="V681" s="5"/>
      <c r="W681" s="5"/>
    </row>
    <row r="682" spans="1:23" ht="16" x14ac:dyDescent="0.2">
      <c r="A682" s="5"/>
      <c r="B682" s="6"/>
      <c r="C682" s="6"/>
      <c r="D682" s="6"/>
      <c r="E682" s="6"/>
      <c r="F682" s="5"/>
      <c r="G682" s="5"/>
      <c r="H682" s="5"/>
      <c r="I682" s="5"/>
      <c r="J682" s="5"/>
      <c r="K682" s="5"/>
      <c r="L682" s="5"/>
      <c r="M682" s="5"/>
      <c r="N682" s="5"/>
      <c r="O682" s="5"/>
      <c r="P682" s="5"/>
      <c r="Q682" s="5"/>
      <c r="R682" s="5"/>
      <c r="S682" s="5"/>
      <c r="T682" s="5"/>
      <c r="U682" s="5"/>
      <c r="V682" s="5"/>
      <c r="W682" s="5"/>
    </row>
    <row r="683" spans="1:23" ht="16" x14ac:dyDescent="0.2">
      <c r="A683" s="5"/>
      <c r="B683" s="6"/>
      <c r="C683" s="6"/>
      <c r="D683" s="6"/>
      <c r="E683" s="6"/>
      <c r="F683" s="5"/>
      <c r="G683" s="5"/>
      <c r="H683" s="5"/>
      <c r="I683" s="5"/>
      <c r="J683" s="5"/>
      <c r="K683" s="5"/>
      <c r="L683" s="5"/>
      <c r="M683" s="5"/>
      <c r="N683" s="5"/>
      <c r="O683" s="5"/>
      <c r="P683" s="5"/>
      <c r="Q683" s="5"/>
      <c r="R683" s="5"/>
      <c r="S683" s="5"/>
      <c r="T683" s="5"/>
      <c r="U683" s="5"/>
      <c r="V683" s="5"/>
      <c r="W683" s="5"/>
    </row>
    <row r="684" spans="1:23" ht="16" x14ac:dyDescent="0.2">
      <c r="A684" s="5"/>
      <c r="B684" s="6"/>
      <c r="C684" s="6"/>
      <c r="D684" s="6"/>
      <c r="E684" s="6"/>
      <c r="F684" s="5"/>
      <c r="G684" s="5"/>
      <c r="H684" s="5"/>
      <c r="I684" s="5"/>
      <c r="J684" s="5"/>
      <c r="K684" s="5"/>
      <c r="L684" s="5"/>
      <c r="M684" s="5"/>
      <c r="N684" s="5"/>
      <c r="O684" s="5"/>
      <c r="P684" s="5"/>
      <c r="Q684" s="5"/>
      <c r="R684" s="5"/>
      <c r="S684" s="5"/>
      <c r="T684" s="5"/>
      <c r="U684" s="5"/>
      <c r="V684" s="5"/>
      <c r="W684" s="5"/>
    </row>
    <row r="685" spans="1:23" ht="16" x14ac:dyDescent="0.2">
      <c r="A685" s="5"/>
      <c r="B685" s="6"/>
      <c r="C685" s="6"/>
      <c r="D685" s="6"/>
      <c r="E685" s="6"/>
      <c r="F685" s="5"/>
      <c r="G685" s="5"/>
      <c r="H685" s="5"/>
      <c r="I685" s="5"/>
      <c r="J685" s="5"/>
      <c r="K685" s="5"/>
      <c r="L685" s="5"/>
      <c r="M685" s="5"/>
      <c r="N685" s="5"/>
      <c r="O685" s="5"/>
      <c r="P685" s="5"/>
      <c r="Q685" s="5"/>
      <c r="R685" s="5"/>
      <c r="S685" s="5"/>
      <c r="T685" s="5"/>
      <c r="U685" s="5"/>
      <c r="V685" s="5"/>
      <c r="W685" s="5"/>
    </row>
    <row r="686" spans="1:23" ht="16" x14ac:dyDescent="0.2">
      <c r="A686" s="5"/>
      <c r="B686" s="6"/>
      <c r="C686" s="6"/>
      <c r="D686" s="6"/>
      <c r="E686" s="6"/>
      <c r="F686" s="5"/>
      <c r="G686" s="5"/>
      <c r="H686" s="5"/>
      <c r="I686" s="5"/>
      <c r="J686" s="5"/>
      <c r="K686" s="5"/>
      <c r="L686" s="5"/>
      <c r="M686" s="5"/>
      <c r="N686" s="5"/>
      <c r="O686" s="5"/>
      <c r="P686" s="5"/>
      <c r="Q686" s="5"/>
      <c r="R686" s="5"/>
      <c r="S686" s="5"/>
      <c r="T686" s="5"/>
      <c r="U686" s="5"/>
      <c r="V686" s="5"/>
      <c r="W686" s="5"/>
    </row>
    <row r="687" spans="1:23" ht="16" x14ac:dyDescent="0.2">
      <c r="A687" s="5"/>
      <c r="B687" s="6"/>
      <c r="C687" s="6"/>
      <c r="D687" s="6"/>
      <c r="E687" s="6"/>
      <c r="F687" s="5"/>
      <c r="G687" s="5"/>
      <c r="H687" s="5"/>
      <c r="I687" s="5"/>
      <c r="J687" s="5"/>
      <c r="K687" s="5"/>
      <c r="L687" s="5"/>
      <c r="M687" s="5"/>
      <c r="N687" s="5"/>
      <c r="O687" s="5"/>
      <c r="P687" s="5"/>
      <c r="Q687" s="5"/>
      <c r="R687" s="5"/>
      <c r="S687" s="5"/>
      <c r="T687" s="5"/>
      <c r="U687" s="5"/>
      <c r="V687" s="5"/>
      <c r="W687" s="5"/>
    </row>
    <row r="688" spans="1:23" ht="16" x14ac:dyDescent="0.2">
      <c r="A688" s="5"/>
      <c r="B688" s="6"/>
      <c r="C688" s="6"/>
      <c r="D688" s="6"/>
      <c r="E688" s="6"/>
      <c r="F688" s="5"/>
      <c r="G688" s="5"/>
      <c r="H688" s="5"/>
      <c r="I688" s="5"/>
      <c r="J688" s="5"/>
      <c r="K688" s="5"/>
      <c r="L688" s="5"/>
      <c r="M688" s="5"/>
      <c r="N688" s="5"/>
      <c r="O688" s="5"/>
      <c r="P688" s="5"/>
      <c r="Q688" s="5"/>
      <c r="R688" s="5"/>
      <c r="S688" s="5"/>
      <c r="T688" s="5"/>
      <c r="U688" s="5"/>
      <c r="V688" s="5"/>
      <c r="W688" s="5"/>
    </row>
    <row r="689" spans="1:23" ht="16" x14ac:dyDescent="0.2">
      <c r="A689" s="5"/>
      <c r="B689" s="6"/>
      <c r="C689" s="6"/>
      <c r="D689" s="6"/>
      <c r="E689" s="6"/>
      <c r="F689" s="5"/>
      <c r="G689" s="5"/>
      <c r="H689" s="5"/>
      <c r="I689" s="5"/>
      <c r="J689" s="5"/>
      <c r="K689" s="5"/>
      <c r="L689" s="5"/>
      <c r="M689" s="5"/>
      <c r="N689" s="5"/>
      <c r="O689" s="5"/>
      <c r="P689" s="5"/>
      <c r="Q689" s="5"/>
      <c r="R689" s="5"/>
      <c r="S689" s="5"/>
      <c r="T689" s="5"/>
      <c r="U689" s="5"/>
      <c r="V689" s="5"/>
      <c r="W689" s="5"/>
    </row>
    <row r="690" spans="1:23" ht="16" x14ac:dyDescent="0.2">
      <c r="A690" s="5"/>
      <c r="B690" s="6"/>
      <c r="C690" s="6"/>
      <c r="D690" s="6"/>
      <c r="E690" s="6"/>
      <c r="F690" s="5"/>
      <c r="G690" s="5"/>
      <c r="H690" s="5"/>
      <c r="I690" s="5"/>
      <c r="J690" s="5"/>
      <c r="K690" s="5"/>
      <c r="L690" s="5"/>
      <c r="M690" s="5"/>
      <c r="N690" s="5"/>
      <c r="O690" s="5"/>
      <c r="P690" s="5"/>
      <c r="Q690" s="5"/>
      <c r="R690" s="5"/>
      <c r="S690" s="5"/>
      <c r="T690" s="5"/>
      <c r="U690" s="5"/>
      <c r="V690" s="5"/>
      <c r="W690" s="5"/>
    </row>
    <row r="691" spans="1:23" ht="16" x14ac:dyDescent="0.2">
      <c r="A691" s="5"/>
      <c r="B691" s="6"/>
      <c r="C691" s="6"/>
      <c r="D691" s="6"/>
      <c r="E691" s="6"/>
      <c r="F691" s="5"/>
      <c r="G691" s="5"/>
      <c r="H691" s="5"/>
      <c r="I691" s="5"/>
      <c r="J691" s="5"/>
      <c r="K691" s="5"/>
      <c r="L691" s="5"/>
      <c r="M691" s="5"/>
      <c r="N691" s="5"/>
      <c r="O691" s="5"/>
      <c r="P691" s="5"/>
      <c r="Q691" s="5"/>
      <c r="R691" s="5"/>
      <c r="S691" s="5"/>
      <c r="T691" s="5"/>
      <c r="U691" s="5"/>
      <c r="V691" s="5"/>
      <c r="W691" s="5"/>
    </row>
    <row r="692" spans="1:23" ht="16" x14ac:dyDescent="0.2">
      <c r="A692" s="5"/>
      <c r="B692" s="6"/>
      <c r="C692" s="6"/>
      <c r="D692" s="6"/>
      <c r="E692" s="6"/>
      <c r="F692" s="5"/>
      <c r="G692" s="5"/>
      <c r="H692" s="5"/>
      <c r="I692" s="5"/>
      <c r="J692" s="5"/>
      <c r="K692" s="5"/>
      <c r="L692" s="5"/>
      <c r="M692" s="5"/>
      <c r="N692" s="5"/>
      <c r="O692" s="5"/>
      <c r="P692" s="5"/>
      <c r="Q692" s="5"/>
      <c r="R692" s="5"/>
      <c r="S692" s="5"/>
      <c r="T692" s="5"/>
      <c r="U692" s="5"/>
      <c r="V692" s="5"/>
      <c r="W692" s="5"/>
    </row>
    <row r="693" spans="1:23" ht="16" x14ac:dyDescent="0.2">
      <c r="A693" s="5"/>
      <c r="B693" s="6"/>
      <c r="C693" s="6"/>
      <c r="D693" s="6"/>
      <c r="E693" s="6"/>
      <c r="F693" s="5"/>
      <c r="G693" s="5"/>
      <c r="H693" s="5"/>
      <c r="I693" s="5"/>
      <c r="J693" s="5"/>
      <c r="K693" s="5"/>
      <c r="L693" s="5"/>
      <c r="M693" s="5"/>
      <c r="N693" s="5"/>
      <c r="O693" s="5"/>
      <c r="P693" s="5"/>
      <c r="Q693" s="5"/>
      <c r="R693" s="5"/>
      <c r="S693" s="5"/>
      <c r="T693" s="5"/>
      <c r="U693" s="5"/>
      <c r="V693" s="5"/>
      <c r="W693" s="5"/>
    </row>
    <row r="694" spans="1:23" ht="16" x14ac:dyDescent="0.2">
      <c r="A694" s="5"/>
      <c r="B694" s="6"/>
      <c r="C694" s="6"/>
      <c r="D694" s="6"/>
      <c r="E694" s="6"/>
      <c r="F694" s="5"/>
      <c r="G694" s="5"/>
      <c r="H694" s="5"/>
      <c r="I694" s="5"/>
      <c r="J694" s="5"/>
      <c r="K694" s="5"/>
      <c r="L694" s="5"/>
      <c r="M694" s="5"/>
      <c r="N694" s="5"/>
      <c r="O694" s="5"/>
      <c r="P694" s="5"/>
      <c r="Q694" s="5"/>
      <c r="R694" s="5"/>
      <c r="S694" s="5"/>
      <c r="T694" s="5"/>
      <c r="U694" s="5"/>
      <c r="V694" s="5"/>
      <c r="W694" s="5"/>
    </row>
    <row r="695" spans="1:23" ht="16" x14ac:dyDescent="0.2">
      <c r="A695" s="5"/>
      <c r="B695" s="6"/>
      <c r="C695" s="6"/>
      <c r="D695" s="6"/>
      <c r="E695" s="6"/>
      <c r="F695" s="5"/>
      <c r="G695" s="5"/>
      <c r="H695" s="5"/>
      <c r="I695" s="5"/>
      <c r="J695" s="5"/>
      <c r="K695" s="5"/>
      <c r="L695" s="5"/>
      <c r="M695" s="5"/>
      <c r="N695" s="5"/>
      <c r="O695" s="5"/>
      <c r="P695" s="5"/>
      <c r="Q695" s="5"/>
      <c r="R695" s="5"/>
      <c r="S695" s="5"/>
      <c r="T695" s="5"/>
      <c r="U695" s="5"/>
      <c r="V695" s="5"/>
      <c r="W695" s="5"/>
    </row>
    <row r="696" spans="1:23" ht="16" x14ac:dyDescent="0.2">
      <c r="A696" s="5"/>
      <c r="B696" s="6"/>
      <c r="C696" s="6"/>
      <c r="D696" s="6"/>
      <c r="E696" s="6"/>
      <c r="F696" s="5"/>
      <c r="G696" s="5"/>
      <c r="H696" s="5"/>
      <c r="I696" s="5"/>
      <c r="J696" s="5"/>
      <c r="K696" s="5"/>
      <c r="L696" s="5"/>
      <c r="M696" s="5"/>
      <c r="N696" s="5"/>
      <c r="O696" s="5"/>
      <c r="P696" s="5"/>
      <c r="Q696" s="5"/>
      <c r="R696" s="5"/>
      <c r="S696" s="5"/>
      <c r="T696" s="5"/>
      <c r="U696" s="5"/>
      <c r="V696" s="5"/>
      <c r="W696" s="5"/>
    </row>
    <row r="697" spans="1:23" ht="16" x14ac:dyDescent="0.2">
      <c r="A697" s="5"/>
      <c r="B697" s="6"/>
      <c r="C697" s="6"/>
      <c r="D697" s="6"/>
      <c r="E697" s="6"/>
      <c r="F697" s="5"/>
      <c r="G697" s="5"/>
      <c r="H697" s="5"/>
      <c r="I697" s="5"/>
      <c r="J697" s="5"/>
      <c r="K697" s="5"/>
      <c r="L697" s="5"/>
      <c r="M697" s="5"/>
      <c r="N697" s="5"/>
      <c r="O697" s="5"/>
      <c r="P697" s="5"/>
      <c r="Q697" s="5"/>
      <c r="R697" s="5"/>
      <c r="S697" s="5"/>
      <c r="T697" s="5"/>
      <c r="U697" s="5"/>
      <c r="V697" s="5"/>
      <c r="W697" s="5"/>
    </row>
    <row r="698" spans="1:23" ht="16" x14ac:dyDescent="0.2">
      <c r="A698" s="5"/>
      <c r="B698" s="6"/>
      <c r="C698" s="6"/>
      <c r="D698" s="6"/>
      <c r="E698" s="6"/>
      <c r="F698" s="5"/>
      <c r="G698" s="5"/>
      <c r="H698" s="5"/>
      <c r="I698" s="5"/>
      <c r="J698" s="5"/>
      <c r="K698" s="5"/>
      <c r="L698" s="5"/>
      <c r="M698" s="5"/>
      <c r="N698" s="5"/>
      <c r="O698" s="5"/>
      <c r="P698" s="5"/>
      <c r="Q698" s="5"/>
      <c r="R698" s="5"/>
      <c r="S698" s="5"/>
      <c r="T698" s="5"/>
      <c r="U698" s="5"/>
      <c r="V698" s="5"/>
      <c r="W698" s="5"/>
    </row>
    <row r="699" spans="1:23" ht="16" x14ac:dyDescent="0.2">
      <c r="A699" s="5"/>
      <c r="B699" s="6"/>
      <c r="C699" s="6"/>
      <c r="D699" s="6"/>
      <c r="E699" s="6"/>
      <c r="F699" s="5"/>
      <c r="G699" s="5"/>
      <c r="H699" s="5"/>
      <c r="I699" s="5"/>
      <c r="J699" s="5"/>
      <c r="K699" s="5"/>
      <c r="L699" s="5"/>
      <c r="M699" s="5"/>
      <c r="N699" s="5"/>
      <c r="O699" s="5"/>
      <c r="P699" s="5"/>
      <c r="Q699" s="5"/>
      <c r="R699" s="5"/>
      <c r="S699" s="5"/>
      <c r="T699" s="5"/>
      <c r="U699" s="5"/>
      <c r="V699" s="5"/>
      <c r="W699" s="5"/>
    </row>
    <row r="700" spans="1:23" ht="16" x14ac:dyDescent="0.2">
      <c r="A700" s="5"/>
      <c r="B700" s="6"/>
      <c r="C700" s="6"/>
      <c r="D700" s="6"/>
      <c r="E700" s="6"/>
      <c r="F700" s="5"/>
      <c r="G700" s="5"/>
      <c r="H700" s="5"/>
      <c r="I700" s="5"/>
      <c r="J700" s="5"/>
      <c r="K700" s="5"/>
      <c r="L700" s="5"/>
      <c r="M700" s="5"/>
      <c r="N700" s="5"/>
      <c r="O700" s="5"/>
      <c r="P700" s="5"/>
      <c r="Q700" s="5"/>
      <c r="R700" s="5"/>
      <c r="S700" s="5"/>
      <c r="T700" s="5"/>
      <c r="U700" s="5"/>
      <c r="V700" s="5"/>
      <c r="W700" s="5"/>
    </row>
    <row r="701" spans="1:23" ht="16" x14ac:dyDescent="0.2">
      <c r="A701" s="5"/>
      <c r="B701" s="6"/>
      <c r="C701" s="6"/>
      <c r="D701" s="6"/>
      <c r="E701" s="6"/>
      <c r="F701" s="5"/>
      <c r="G701" s="5"/>
      <c r="H701" s="5"/>
      <c r="I701" s="5"/>
      <c r="J701" s="5"/>
      <c r="K701" s="5"/>
      <c r="L701" s="5"/>
      <c r="M701" s="5"/>
      <c r="N701" s="5"/>
      <c r="O701" s="5"/>
      <c r="P701" s="5"/>
      <c r="Q701" s="5"/>
      <c r="R701" s="5"/>
      <c r="S701" s="5"/>
      <c r="T701" s="5"/>
      <c r="U701" s="5"/>
      <c r="V701" s="5"/>
      <c r="W701" s="5"/>
    </row>
    <row r="702" spans="1:23" ht="16" x14ac:dyDescent="0.2">
      <c r="A702" s="5"/>
      <c r="B702" s="6"/>
      <c r="C702" s="6"/>
      <c r="D702" s="6"/>
      <c r="E702" s="6"/>
      <c r="F702" s="5"/>
      <c r="G702" s="5"/>
      <c r="H702" s="5"/>
      <c r="I702" s="5"/>
      <c r="J702" s="5"/>
      <c r="K702" s="5"/>
      <c r="L702" s="5"/>
      <c r="M702" s="5"/>
      <c r="N702" s="5"/>
      <c r="O702" s="5"/>
      <c r="P702" s="5"/>
      <c r="Q702" s="5"/>
      <c r="R702" s="5"/>
      <c r="S702" s="5"/>
      <c r="T702" s="5"/>
      <c r="U702" s="5"/>
      <c r="V702" s="5"/>
      <c r="W702" s="5"/>
    </row>
    <row r="703" spans="1:23" ht="16" x14ac:dyDescent="0.2">
      <c r="A703" s="5"/>
      <c r="B703" s="6"/>
      <c r="C703" s="6"/>
      <c r="D703" s="6"/>
      <c r="E703" s="6"/>
      <c r="F703" s="5"/>
      <c r="G703" s="5"/>
      <c r="H703" s="5"/>
      <c r="I703" s="5"/>
      <c r="J703" s="5"/>
      <c r="K703" s="5"/>
      <c r="L703" s="5"/>
      <c r="M703" s="5"/>
      <c r="N703" s="5"/>
      <c r="O703" s="5"/>
      <c r="P703" s="5"/>
      <c r="Q703" s="5"/>
      <c r="R703" s="5"/>
      <c r="S703" s="5"/>
      <c r="T703" s="5"/>
      <c r="U703" s="5"/>
      <c r="V703" s="5"/>
      <c r="W703" s="5"/>
    </row>
    <row r="704" spans="1:23" ht="16" x14ac:dyDescent="0.2">
      <c r="A704" s="5"/>
      <c r="B704" s="6"/>
      <c r="C704" s="6"/>
      <c r="D704" s="6"/>
      <c r="E704" s="6"/>
      <c r="F704" s="5"/>
      <c r="G704" s="5"/>
      <c r="H704" s="5"/>
      <c r="I704" s="5"/>
      <c r="J704" s="5"/>
      <c r="K704" s="5"/>
      <c r="L704" s="5"/>
      <c r="M704" s="5"/>
      <c r="N704" s="5"/>
      <c r="O704" s="5"/>
      <c r="P704" s="5"/>
      <c r="Q704" s="5"/>
      <c r="R704" s="5"/>
      <c r="S704" s="5"/>
      <c r="T704" s="5"/>
      <c r="U704" s="5"/>
      <c r="V704" s="5"/>
      <c r="W704" s="5"/>
    </row>
    <row r="705" spans="1:23" ht="16" x14ac:dyDescent="0.2">
      <c r="A705" s="5"/>
      <c r="B705" s="6"/>
      <c r="C705" s="6"/>
      <c r="D705" s="6"/>
      <c r="E705" s="6"/>
      <c r="F705" s="5"/>
      <c r="G705" s="5"/>
      <c r="H705" s="5"/>
      <c r="I705" s="5"/>
      <c r="J705" s="5"/>
      <c r="K705" s="5"/>
      <c r="L705" s="5"/>
      <c r="M705" s="5"/>
      <c r="N705" s="5"/>
      <c r="O705" s="5"/>
      <c r="P705" s="5"/>
      <c r="Q705" s="5"/>
      <c r="R705" s="5"/>
      <c r="S705" s="5"/>
      <c r="T705" s="5"/>
      <c r="U705" s="5"/>
      <c r="V705" s="5"/>
      <c r="W705" s="5"/>
    </row>
    <row r="706" spans="1:23" ht="16" x14ac:dyDescent="0.2">
      <c r="A706" s="5"/>
      <c r="B706" s="6"/>
      <c r="C706" s="6"/>
      <c r="D706" s="6"/>
      <c r="E706" s="6"/>
      <c r="F706" s="5"/>
      <c r="G706" s="5"/>
      <c r="H706" s="5"/>
      <c r="I706" s="5"/>
      <c r="J706" s="5"/>
      <c r="K706" s="5"/>
      <c r="L706" s="5"/>
      <c r="M706" s="5"/>
      <c r="N706" s="5"/>
      <c r="O706" s="5"/>
      <c r="P706" s="5"/>
      <c r="Q706" s="5"/>
      <c r="R706" s="5"/>
      <c r="S706" s="5"/>
      <c r="T706" s="5"/>
      <c r="U706" s="5"/>
      <c r="V706" s="5"/>
      <c r="W706" s="5"/>
    </row>
    <row r="707" spans="1:23" ht="16" x14ac:dyDescent="0.2">
      <c r="A707" s="5"/>
      <c r="B707" s="6"/>
      <c r="C707" s="6"/>
      <c r="D707" s="6"/>
      <c r="E707" s="6"/>
      <c r="F707" s="5"/>
      <c r="G707" s="5"/>
      <c r="H707" s="5"/>
      <c r="I707" s="5"/>
      <c r="J707" s="5"/>
      <c r="K707" s="5"/>
      <c r="L707" s="5"/>
      <c r="M707" s="5"/>
      <c r="N707" s="5"/>
      <c r="O707" s="5"/>
      <c r="P707" s="5"/>
      <c r="Q707" s="5"/>
      <c r="R707" s="5"/>
      <c r="S707" s="5"/>
      <c r="T707" s="5"/>
      <c r="U707" s="5"/>
      <c r="V707" s="5"/>
      <c r="W707" s="5"/>
    </row>
    <row r="708" spans="1:23" ht="16" x14ac:dyDescent="0.2">
      <c r="A708" s="5"/>
      <c r="B708" s="6"/>
      <c r="C708" s="6"/>
      <c r="D708" s="6"/>
      <c r="E708" s="6"/>
      <c r="F708" s="5"/>
      <c r="G708" s="5"/>
      <c r="H708" s="5"/>
      <c r="I708" s="5"/>
      <c r="J708" s="5"/>
      <c r="K708" s="5"/>
      <c r="L708" s="5"/>
      <c r="M708" s="5"/>
      <c r="N708" s="5"/>
      <c r="O708" s="5"/>
      <c r="P708" s="5"/>
      <c r="Q708" s="5"/>
      <c r="R708" s="5"/>
      <c r="S708" s="5"/>
      <c r="T708" s="5"/>
      <c r="U708" s="5"/>
      <c r="V708" s="5"/>
      <c r="W708" s="5"/>
    </row>
    <row r="709" spans="1:23" ht="16" x14ac:dyDescent="0.2">
      <c r="A709" s="5"/>
      <c r="B709" s="6"/>
      <c r="C709" s="6"/>
      <c r="D709" s="6"/>
      <c r="E709" s="6"/>
      <c r="F709" s="5"/>
      <c r="G709" s="5"/>
      <c r="H709" s="5"/>
      <c r="I709" s="5"/>
      <c r="J709" s="5"/>
      <c r="K709" s="5"/>
      <c r="L709" s="5"/>
      <c r="M709" s="5"/>
      <c r="N709" s="5"/>
      <c r="O709" s="5"/>
      <c r="P709" s="5"/>
      <c r="Q709" s="5"/>
      <c r="R709" s="5"/>
      <c r="S709" s="5"/>
      <c r="T709" s="5"/>
      <c r="U709" s="5"/>
      <c r="V709" s="5"/>
      <c r="W709" s="5"/>
    </row>
    <row r="710" spans="1:23" ht="16" x14ac:dyDescent="0.2">
      <c r="A710" s="5"/>
      <c r="B710" s="6"/>
      <c r="C710" s="6"/>
      <c r="D710" s="6"/>
      <c r="E710" s="6"/>
      <c r="F710" s="5"/>
      <c r="G710" s="5"/>
      <c r="H710" s="5"/>
      <c r="I710" s="5"/>
      <c r="J710" s="5"/>
      <c r="K710" s="5"/>
      <c r="L710" s="5"/>
      <c r="M710" s="5"/>
      <c r="N710" s="5"/>
      <c r="O710" s="5"/>
      <c r="P710" s="5"/>
      <c r="Q710" s="5"/>
      <c r="R710" s="5"/>
      <c r="S710" s="5"/>
      <c r="T710" s="5"/>
      <c r="U710" s="5"/>
      <c r="V710" s="5"/>
      <c r="W710" s="5"/>
    </row>
    <row r="711" spans="1:23" ht="16" x14ac:dyDescent="0.2">
      <c r="A711" s="5"/>
      <c r="B711" s="6"/>
      <c r="C711" s="6"/>
      <c r="D711" s="6"/>
      <c r="E711" s="6"/>
      <c r="F711" s="5"/>
      <c r="G711" s="5"/>
      <c r="H711" s="5"/>
      <c r="I711" s="5"/>
      <c r="J711" s="5"/>
      <c r="K711" s="5"/>
      <c r="L711" s="5"/>
      <c r="M711" s="5"/>
      <c r="N711" s="5"/>
      <c r="O711" s="5"/>
      <c r="P711" s="5"/>
      <c r="Q711" s="5"/>
      <c r="R711" s="5"/>
      <c r="S711" s="5"/>
      <c r="T711" s="5"/>
      <c r="U711" s="5"/>
      <c r="V711" s="5"/>
      <c r="W711" s="5"/>
    </row>
    <row r="712" spans="1:23" ht="16" x14ac:dyDescent="0.2">
      <c r="A712" s="5"/>
      <c r="B712" s="6"/>
      <c r="C712" s="6"/>
      <c r="D712" s="6"/>
      <c r="E712" s="6"/>
      <c r="F712" s="5"/>
      <c r="G712" s="5"/>
      <c r="H712" s="5"/>
      <c r="I712" s="5"/>
      <c r="J712" s="5"/>
      <c r="K712" s="5"/>
      <c r="L712" s="5"/>
      <c r="M712" s="5"/>
      <c r="N712" s="5"/>
      <c r="O712" s="5"/>
      <c r="P712" s="5"/>
      <c r="Q712" s="5"/>
      <c r="R712" s="5"/>
      <c r="S712" s="5"/>
      <c r="T712" s="5"/>
      <c r="U712" s="5"/>
      <c r="V712" s="5"/>
      <c r="W712" s="5"/>
    </row>
    <row r="713" spans="1:23" ht="16" x14ac:dyDescent="0.2">
      <c r="A713" s="5"/>
      <c r="B713" s="6"/>
      <c r="C713" s="6"/>
      <c r="D713" s="6"/>
      <c r="E713" s="6"/>
      <c r="F713" s="5"/>
      <c r="G713" s="5"/>
      <c r="H713" s="5"/>
      <c r="I713" s="5"/>
      <c r="J713" s="5"/>
      <c r="K713" s="5"/>
      <c r="L713" s="5"/>
      <c r="M713" s="5"/>
      <c r="N713" s="5"/>
      <c r="O713" s="5"/>
      <c r="P713" s="5"/>
      <c r="Q713" s="5"/>
      <c r="R713" s="5"/>
      <c r="S713" s="5"/>
      <c r="T713" s="5"/>
      <c r="U713" s="5"/>
      <c r="V713" s="5"/>
      <c r="W713" s="5"/>
    </row>
    <row r="714" spans="1:23" ht="16" x14ac:dyDescent="0.2">
      <c r="A714" s="5"/>
      <c r="B714" s="6"/>
      <c r="C714" s="6"/>
      <c r="D714" s="6"/>
      <c r="E714" s="6"/>
      <c r="F714" s="5"/>
      <c r="G714" s="5"/>
      <c r="H714" s="5"/>
      <c r="I714" s="5"/>
      <c r="J714" s="5"/>
      <c r="K714" s="5"/>
      <c r="L714" s="5"/>
      <c r="M714" s="5"/>
      <c r="N714" s="5"/>
      <c r="O714" s="5"/>
      <c r="P714" s="5"/>
      <c r="Q714" s="5"/>
      <c r="R714" s="5"/>
      <c r="S714" s="5"/>
      <c r="T714" s="5"/>
      <c r="U714" s="5"/>
      <c r="V714" s="5"/>
      <c r="W714" s="5"/>
    </row>
    <row r="715" spans="1:23" ht="16" x14ac:dyDescent="0.2">
      <c r="A715" s="5"/>
      <c r="B715" s="6"/>
      <c r="C715" s="6"/>
      <c r="D715" s="6"/>
      <c r="E715" s="6"/>
      <c r="F715" s="5"/>
      <c r="G715" s="5"/>
      <c r="H715" s="5"/>
      <c r="I715" s="5"/>
      <c r="J715" s="5"/>
      <c r="K715" s="5"/>
      <c r="L715" s="5"/>
      <c r="M715" s="5"/>
      <c r="N715" s="5"/>
      <c r="O715" s="5"/>
      <c r="P715" s="5"/>
      <c r="Q715" s="5"/>
      <c r="R715" s="5"/>
      <c r="S715" s="5"/>
      <c r="T715" s="5"/>
      <c r="U715" s="5"/>
      <c r="V715" s="5"/>
      <c r="W715" s="5"/>
    </row>
    <row r="716" spans="1:23" ht="16" x14ac:dyDescent="0.2">
      <c r="A716" s="5"/>
      <c r="B716" s="6"/>
      <c r="C716" s="6"/>
      <c r="D716" s="6"/>
      <c r="E716" s="6"/>
      <c r="F716" s="5"/>
      <c r="G716" s="5"/>
      <c r="H716" s="5"/>
      <c r="I716" s="5"/>
      <c r="J716" s="5"/>
      <c r="K716" s="5"/>
      <c r="L716" s="5"/>
      <c r="M716" s="5"/>
      <c r="N716" s="5"/>
      <c r="O716" s="5"/>
      <c r="P716" s="5"/>
      <c r="Q716" s="5"/>
      <c r="R716" s="5"/>
      <c r="S716" s="5"/>
      <c r="T716" s="5"/>
      <c r="U716" s="5"/>
      <c r="V716" s="5"/>
      <c r="W716" s="5"/>
    </row>
    <row r="717" spans="1:23" ht="16" x14ac:dyDescent="0.2">
      <c r="A717" s="5"/>
      <c r="B717" s="6"/>
      <c r="C717" s="6"/>
      <c r="D717" s="6"/>
      <c r="E717" s="6"/>
      <c r="F717" s="5"/>
      <c r="G717" s="5"/>
      <c r="H717" s="5"/>
      <c r="I717" s="5"/>
      <c r="J717" s="5"/>
      <c r="K717" s="5"/>
      <c r="L717" s="5"/>
      <c r="M717" s="5"/>
      <c r="N717" s="5"/>
      <c r="O717" s="5"/>
      <c r="P717" s="5"/>
      <c r="Q717" s="5"/>
      <c r="R717" s="5"/>
      <c r="S717" s="5"/>
      <c r="T717" s="5"/>
      <c r="U717" s="5"/>
      <c r="V717" s="5"/>
      <c r="W717" s="5"/>
    </row>
    <row r="718" spans="1:23" ht="16" x14ac:dyDescent="0.2">
      <c r="A718" s="5"/>
      <c r="B718" s="6"/>
      <c r="C718" s="6"/>
      <c r="D718" s="6"/>
      <c r="E718" s="6"/>
      <c r="F718" s="5"/>
      <c r="G718" s="5"/>
      <c r="H718" s="5"/>
      <c r="I718" s="5"/>
      <c r="J718" s="5"/>
      <c r="K718" s="5"/>
      <c r="L718" s="5"/>
      <c r="M718" s="5"/>
      <c r="N718" s="5"/>
      <c r="O718" s="5"/>
      <c r="P718" s="5"/>
      <c r="Q718" s="5"/>
      <c r="R718" s="5"/>
      <c r="S718" s="5"/>
      <c r="T718" s="5"/>
      <c r="U718" s="5"/>
      <c r="V718" s="5"/>
      <c r="W718" s="5"/>
    </row>
    <row r="719" spans="1:23" ht="16" x14ac:dyDescent="0.2">
      <c r="A719" s="5"/>
      <c r="B719" s="6"/>
      <c r="C719" s="6"/>
      <c r="D719" s="6"/>
      <c r="E719" s="6"/>
      <c r="F719" s="5"/>
      <c r="G719" s="5"/>
      <c r="H719" s="5"/>
      <c r="I719" s="5"/>
      <c r="J719" s="5"/>
      <c r="K719" s="5"/>
      <c r="L719" s="5"/>
      <c r="M719" s="5"/>
      <c r="N719" s="5"/>
      <c r="O719" s="5"/>
      <c r="P719" s="5"/>
      <c r="Q719" s="5"/>
      <c r="R719" s="5"/>
      <c r="S719" s="5"/>
      <c r="T719" s="5"/>
      <c r="U719" s="5"/>
      <c r="V719" s="5"/>
      <c r="W719" s="5"/>
    </row>
    <row r="720" spans="1:23" ht="16" x14ac:dyDescent="0.2">
      <c r="A720" s="5"/>
      <c r="B720" s="6"/>
      <c r="C720" s="6"/>
      <c r="D720" s="6"/>
      <c r="E720" s="6"/>
      <c r="F720" s="5"/>
      <c r="G720" s="5"/>
      <c r="H720" s="5"/>
      <c r="I720" s="5"/>
      <c r="J720" s="5"/>
      <c r="K720" s="5"/>
      <c r="L720" s="5"/>
      <c r="M720" s="5"/>
      <c r="N720" s="5"/>
      <c r="O720" s="5"/>
      <c r="P720" s="5"/>
      <c r="Q720" s="5"/>
      <c r="R720" s="5"/>
      <c r="S720" s="5"/>
      <c r="T720" s="5"/>
      <c r="U720" s="5"/>
      <c r="V720" s="5"/>
      <c r="W720" s="5"/>
    </row>
    <row r="721" spans="1:23" ht="16" x14ac:dyDescent="0.2">
      <c r="A721" s="5"/>
      <c r="B721" s="6"/>
      <c r="C721" s="6"/>
      <c r="D721" s="6"/>
      <c r="E721" s="6"/>
      <c r="F721" s="5"/>
      <c r="G721" s="5"/>
      <c r="H721" s="5"/>
      <c r="I721" s="5"/>
      <c r="J721" s="5"/>
      <c r="K721" s="5"/>
      <c r="L721" s="5"/>
      <c r="M721" s="5"/>
      <c r="N721" s="5"/>
      <c r="O721" s="5"/>
      <c r="P721" s="5"/>
      <c r="Q721" s="5"/>
      <c r="R721" s="5"/>
      <c r="S721" s="5"/>
      <c r="T721" s="5"/>
      <c r="U721" s="5"/>
      <c r="V721" s="5"/>
      <c r="W721" s="5"/>
    </row>
    <row r="722" spans="1:23" ht="16" x14ac:dyDescent="0.2">
      <c r="A722" s="5"/>
      <c r="B722" s="6"/>
      <c r="C722" s="6"/>
      <c r="D722" s="6"/>
      <c r="E722" s="6"/>
      <c r="F722" s="5"/>
      <c r="G722" s="5"/>
      <c r="H722" s="5"/>
      <c r="I722" s="5"/>
      <c r="J722" s="5"/>
      <c r="K722" s="5"/>
      <c r="L722" s="5"/>
      <c r="M722" s="5"/>
      <c r="N722" s="5"/>
      <c r="O722" s="5"/>
      <c r="P722" s="5"/>
      <c r="Q722" s="5"/>
      <c r="R722" s="5"/>
      <c r="S722" s="5"/>
      <c r="T722" s="5"/>
      <c r="U722" s="5"/>
      <c r="V722" s="5"/>
      <c r="W722" s="5"/>
    </row>
    <row r="723" spans="1:23" ht="16" x14ac:dyDescent="0.2">
      <c r="A723" s="5"/>
      <c r="B723" s="6"/>
      <c r="C723" s="6"/>
      <c r="D723" s="6"/>
      <c r="E723" s="6"/>
      <c r="F723" s="5"/>
      <c r="G723" s="5"/>
      <c r="H723" s="5"/>
      <c r="I723" s="5"/>
      <c r="J723" s="5"/>
      <c r="K723" s="5"/>
      <c r="L723" s="5"/>
      <c r="M723" s="5"/>
      <c r="N723" s="5"/>
      <c r="O723" s="5"/>
      <c r="P723" s="5"/>
      <c r="Q723" s="5"/>
      <c r="R723" s="5"/>
      <c r="S723" s="5"/>
      <c r="T723" s="5"/>
      <c r="U723" s="5"/>
      <c r="V723" s="5"/>
      <c r="W723" s="5"/>
    </row>
    <row r="724" spans="1:23" ht="16" x14ac:dyDescent="0.2">
      <c r="A724" s="5"/>
      <c r="B724" s="6"/>
      <c r="C724" s="6"/>
      <c r="D724" s="6"/>
      <c r="E724" s="6"/>
      <c r="F724" s="5"/>
      <c r="G724" s="5"/>
      <c r="H724" s="5"/>
      <c r="I724" s="5"/>
      <c r="J724" s="5"/>
      <c r="K724" s="5"/>
      <c r="L724" s="5"/>
      <c r="M724" s="5"/>
      <c r="N724" s="5"/>
      <c r="O724" s="5"/>
      <c r="P724" s="5"/>
      <c r="Q724" s="5"/>
      <c r="R724" s="5"/>
      <c r="S724" s="5"/>
      <c r="T724" s="5"/>
      <c r="U724" s="5"/>
      <c r="V724" s="5"/>
      <c r="W724" s="5"/>
    </row>
    <row r="725" spans="1:23" ht="16" x14ac:dyDescent="0.2">
      <c r="A725" s="5"/>
      <c r="B725" s="6"/>
      <c r="C725" s="6"/>
      <c r="D725" s="6"/>
      <c r="E725" s="6"/>
      <c r="F725" s="5"/>
      <c r="G725" s="5"/>
      <c r="H725" s="5"/>
      <c r="I725" s="5"/>
      <c r="J725" s="5"/>
      <c r="K725" s="5"/>
      <c r="L725" s="5"/>
      <c r="M725" s="5"/>
      <c r="N725" s="5"/>
      <c r="O725" s="5"/>
      <c r="P725" s="5"/>
      <c r="Q725" s="5"/>
      <c r="R725" s="5"/>
      <c r="S725" s="5"/>
      <c r="T725" s="5"/>
      <c r="U725" s="5"/>
      <c r="V725" s="5"/>
      <c r="W725" s="5"/>
    </row>
    <row r="726" spans="1:23" ht="16" x14ac:dyDescent="0.2">
      <c r="A726" s="5"/>
      <c r="B726" s="6"/>
      <c r="C726" s="6"/>
      <c r="D726" s="6"/>
      <c r="E726" s="6"/>
      <c r="F726" s="5"/>
      <c r="G726" s="5"/>
      <c r="H726" s="5"/>
      <c r="I726" s="5"/>
      <c r="J726" s="5"/>
      <c r="K726" s="5"/>
      <c r="L726" s="5"/>
      <c r="M726" s="5"/>
      <c r="N726" s="5"/>
      <c r="O726" s="5"/>
      <c r="P726" s="5"/>
      <c r="Q726" s="5"/>
      <c r="R726" s="5"/>
      <c r="S726" s="5"/>
      <c r="T726" s="5"/>
      <c r="U726" s="5"/>
      <c r="V726" s="5"/>
      <c r="W726" s="5"/>
    </row>
    <row r="727" spans="1:23" ht="16" x14ac:dyDescent="0.2">
      <c r="A727" s="5"/>
      <c r="B727" s="6"/>
      <c r="C727" s="6"/>
      <c r="D727" s="6"/>
      <c r="E727" s="6"/>
      <c r="F727" s="5"/>
      <c r="G727" s="5"/>
      <c r="H727" s="5"/>
      <c r="I727" s="5"/>
      <c r="J727" s="5"/>
      <c r="K727" s="5"/>
      <c r="L727" s="5"/>
      <c r="M727" s="5"/>
      <c r="N727" s="5"/>
      <c r="O727" s="5"/>
      <c r="P727" s="5"/>
      <c r="Q727" s="5"/>
      <c r="R727" s="5"/>
      <c r="S727" s="5"/>
      <c r="T727" s="5"/>
      <c r="U727" s="5"/>
      <c r="V727" s="5"/>
      <c r="W727" s="5"/>
    </row>
    <row r="728" spans="1:23" ht="16" x14ac:dyDescent="0.2">
      <c r="A728" s="5"/>
      <c r="B728" s="6"/>
      <c r="C728" s="6"/>
      <c r="D728" s="6"/>
      <c r="E728" s="6"/>
      <c r="F728" s="5"/>
      <c r="G728" s="5"/>
      <c r="H728" s="5"/>
      <c r="I728" s="5"/>
      <c r="J728" s="5"/>
      <c r="K728" s="5"/>
      <c r="L728" s="5"/>
      <c r="M728" s="5"/>
      <c r="N728" s="5"/>
      <c r="O728" s="5"/>
      <c r="P728" s="5"/>
      <c r="Q728" s="5"/>
      <c r="R728" s="5"/>
      <c r="S728" s="5"/>
      <c r="T728" s="5"/>
      <c r="U728" s="5"/>
      <c r="V728" s="5"/>
      <c r="W728" s="5"/>
    </row>
    <row r="729" spans="1:23" ht="16" x14ac:dyDescent="0.2">
      <c r="A729" s="5"/>
      <c r="B729" s="6"/>
      <c r="C729" s="6"/>
      <c r="D729" s="6"/>
      <c r="E729" s="6"/>
      <c r="F729" s="5"/>
      <c r="G729" s="5"/>
      <c r="H729" s="5"/>
      <c r="I729" s="5"/>
      <c r="J729" s="5"/>
      <c r="K729" s="5"/>
      <c r="L729" s="5"/>
      <c r="M729" s="5"/>
      <c r="N729" s="5"/>
      <c r="O729" s="5"/>
      <c r="P729" s="5"/>
      <c r="Q729" s="5"/>
      <c r="R729" s="5"/>
      <c r="S729" s="5"/>
      <c r="T729" s="5"/>
      <c r="U729" s="5"/>
      <c r="V729" s="5"/>
      <c r="W729" s="5"/>
    </row>
    <row r="730" spans="1:23" ht="16" x14ac:dyDescent="0.2">
      <c r="A730" s="5"/>
      <c r="B730" s="6"/>
      <c r="C730" s="6"/>
      <c r="D730" s="6"/>
      <c r="E730" s="6"/>
      <c r="F730" s="5"/>
      <c r="G730" s="5"/>
      <c r="H730" s="5"/>
      <c r="I730" s="5"/>
      <c r="J730" s="5"/>
      <c r="K730" s="5"/>
      <c r="L730" s="5"/>
      <c r="M730" s="5"/>
      <c r="N730" s="5"/>
      <c r="O730" s="5"/>
      <c r="P730" s="5"/>
      <c r="Q730" s="5"/>
      <c r="R730" s="5"/>
      <c r="S730" s="5"/>
      <c r="T730" s="5"/>
      <c r="U730" s="5"/>
      <c r="V730" s="5"/>
      <c r="W730" s="5"/>
    </row>
    <row r="731" spans="1:23" ht="16" x14ac:dyDescent="0.2">
      <c r="A731" s="5"/>
      <c r="B731" s="6"/>
      <c r="C731" s="6"/>
      <c r="D731" s="6"/>
      <c r="E731" s="6"/>
      <c r="F731" s="5"/>
      <c r="G731" s="5"/>
      <c r="H731" s="5"/>
      <c r="I731" s="5"/>
      <c r="J731" s="5"/>
      <c r="K731" s="5"/>
      <c r="L731" s="5"/>
      <c r="M731" s="5"/>
      <c r="N731" s="5"/>
      <c r="O731" s="5"/>
      <c r="P731" s="5"/>
      <c r="Q731" s="5"/>
      <c r="R731" s="5"/>
      <c r="S731" s="5"/>
      <c r="T731" s="5"/>
      <c r="U731" s="5"/>
      <c r="V731" s="5"/>
      <c r="W731" s="5"/>
    </row>
    <row r="732" spans="1:23" ht="16" x14ac:dyDescent="0.2">
      <c r="A732" s="5"/>
      <c r="B732" s="6"/>
      <c r="C732" s="6"/>
      <c r="D732" s="6"/>
      <c r="E732" s="6"/>
      <c r="F732" s="5"/>
      <c r="G732" s="5"/>
      <c r="H732" s="5"/>
      <c r="I732" s="5"/>
      <c r="J732" s="5"/>
      <c r="K732" s="5"/>
      <c r="L732" s="5"/>
      <c r="M732" s="5"/>
      <c r="N732" s="5"/>
      <c r="O732" s="5"/>
      <c r="P732" s="5"/>
      <c r="Q732" s="5"/>
      <c r="R732" s="5"/>
      <c r="S732" s="5"/>
      <c r="T732" s="5"/>
      <c r="U732" s="5"/>
      <c r="V732" s="5"/>
      <c r="W732" s="5"/>
    </row>
    <row r="733" spans="1:23" ht="16" x14ac:dyDescent="0.2">
      <c r="A733" s="5"/>
      <c r="B733" s="6"/>
      <c r="C733" s="6"/>
      <c r="D733" s="6"/>
      <c r="E733" s="6"/>
      <c r="F733" s="5"/>
      <c r="G733" s="5"/>
      <c r="H733" s="5"/>
      <c r="I733" s="5"/>
      <c r="J733" s="5"/>
      <c r="K733" s="5"/>
      <c r="L733" s="5"/>
      <c r="M733" s="5"/>
      <c r="N733" s="5"/>
      <c r="O733" s="5"/>
      <c r="P733" s="5"/>
      <c r="Q733" s="5"/>
      <c r="R733" s="5"/>
      <c r="S733" s="5"/>
      <c r="T733" s="5"/>
      <c r="U733" s="5"/>
      <c r="V733" s="5"/>
      <c r="W733" s="5"/>
    </row>
    <row r="734" spans="1:23" ht="16" x14ac:dyDescent="0.2">
      <c r="A734" s="5"/>
      <c r="B734" s="6"/>
      <c r="C734" s="6"/>
      <c r="D734" s="6"/>
      <c r="E734" s="6"/>
      <c r="F734" s="5"/>
      <c r="G734" s="5"/>
      <c r="H734" s="5"/>
      <c r="I734" s="5"/>
      <c r="J734" s="5"/>
      <c r="K734" s="5"/>
      <c r="L734" s="5"/>
      <c r="M734" s="5"/>
      <c r="N734" s="5"/>
      <c r="O734" s="5"/>
      <c r="P734" s="5"/>
      <c r="Q734" s="5"/>
      <c r="R734" s="5"/>
      <c r="S734" s="5"/>
      <c r="T734" s="5"/>
      <c r="U734" s="5"/>
      <c r="V734" s="5"/>
      <c r="W734" s="5"/>
    </row>
    <row r="735" spans="1:23" ht="16" x14ac:dyDescent="0.2">
      <c r="A735" s="5"/>
      <c r="B735" s="6"/>
      <c r="C735" s="6"/>
      <c r="D735" s="6"/>
      <c r="E735" s="6"/>
      <c r="F735" s="5"/>
      <c r="G735" s="5"/>
      <c r="H735" s="5"/>
      <c r="I735" s="5"/>
      <c r="J735" s="5"/>
      <c r="K735" s="5"/>
      <c r="L735" s="5"/>
      <c r="M735" s="5"/>
      <c r="N735" s="5"/>
      <c r="O735" s="5"/>
      <c r="P735" s="5"/>
      <c r="Q735" s="5"/>
      <c r="R735" s="5"/>
      <c r="S735" s="5"/>
      <c r="T735" s="5"/>
      <c r="U735" s="5"/>
      <c r="V735" s="5"/>
      <c r="W735" s="5"/>
    </row>
    <row r="736" spans="1:23" ht="16" x14ac:dyDescent="0.2">
      <c r="A736" s="5"/>
      <c r="B736" s="6"/>
      <c r="C736" s="6"/>
      <c r="D736" s="6"/>
      <c r="E736" s="6"/>
      <c r="F736" s="5"/>
      <c r="G736" s="5"/>
      <c r="H736" s="5"/>
      <c r="I736" s="5"/>
      <c r="J736" s="5"/>
      <c r="K736" s="5"/>
      <c r="L736" s="5"/>
      <c r="M736" s="5"/>
      <c r="N736" s="5"/>
      <c r="O736" s="5"/>
      <c r="P736" s="5"/>
      <c r="Q736" s="5"/>
      <c r="R736" s="5"/>
      <c r="S736" s="5"/>
      <c r="T736" s="5"/>
      <c r="U736" s="5"/>
      <c r="V736" s="5"/>
      <c r="W736" s="5"/>
    </row>
    <row r="737" spans="1:23" ht="16" x14ac:dyDescent="0.2">
      <c r="A737" s="5"/>
      <c r="B737" s="6"/>
      <c r="C737" s="6"/>
      <c r="D737" s="6"/>
      <c r="E737" s="6"/>
      <c r="F737" s="5"/>
      <c r="G737" s="5"/>
      <c r="H737" s="5"/>
      <c r="I737" s="5"/>
      <c r="J737" s="5"/>
      <c r="K737" s="5"/>
      <c r="L737" s="5"/>
      <c r="M737" s="5"/>
      <c r="N737" s="5"/>
      <c r="O737" s="5"/>
      <c r="P737" s="5"/>
      <c r="Q737" s="5"/>
      <c r="R737" s="5"/>
      <c r="S737" s="5"/>
      <c r="T737" s="5"/>
      <c r="U737" s="5"/>
      <c r="V737" s="5"/>
      <c r="W737" s="5"/>
    </row>
    <row r="738" spans="1:23" ht="16" x14ac:dyDescent="0.2">
      <c r="A738" s="5"/>
      <c r="B738" s="6"/>
      <c r="C738" s="6"/>
      <c r="D738" s="6"/>
      <c r="E738" s="6"/>
      <c r="F738" s="5"/>
      <c r="G738" s="5"/>
      <c r="H738" s="5"/>
      <c r="I738" s="5"/>
      <c r="J738" s="5"/>
      <c r="K738" s="5"/>
      <c r="L738" s="5"/>
      <c r="M738" s="5"/>
      <c r="N738" s="5"/>
      <c r="O738" s="5"/>
      <c r="P738" s="5"/>
      <c r="Q738" s="5"/>
      <c r="R738" s="5"/>
      <c r="S738" s="5"/>
      <c r="T738" s="5"/>
      <c r="U738" s="5"/>
      <c r="V738" s="5"/>
      <c r="W738" s="5"/>
    </row>
    <row r="739" spans="1:23" ht="16" x14ac:dyDescent="0.2">
      <c r="A739" s="5"/>
      <c r="B739" s="6"/>
      <c r="C739" s="6"/>
      <c r="D739" s="6"/>
      <c r="E739" s="6"/>
      <c r="F739" s="5"/>
      <c r="G739" s="5"/>
      <c r="H739" s="5"/>
      <c r="I739" s="5"/>
      <c r="J739" s="5"/>
      <c r="K739" s="5"/>
      <c r="L739" s="5"/>
      <c r="M739" s="5"/>
      <c r="N739" s="5"/>
      <c r="O739" s="5"/>
      <c r="P739" s="5"/>
      <c r="Q739" s="5"/>
      <c r="R739" s="5"/>
      <c r="S739" s="5"/>
      <c r="T739" s="5"/>
      <c r="U739" s="5"/>
      <c r="V739" s="5"/>
      <c r="W739" s="5"/>
    </row>
    <row r="740" spans="1:23" ht="16" x14ac:dyDescent="0.2">
      <c r="A740" s="5"/>
      <c r="B740" s="6"/>
      <c r="C740" s="6"/>
      <c r="D740" s="6"/>
      <c r="E740" s="6"/>
      <c r="F740" s="5"/>
      <c r="G740" s="5"/>
      <c r="H740" s="5"/>
      <c r="I740" s="5"/>
      <c r="J740" s="5"/>
      <c r="K740" s="5"/>
      <c r="L740" s="5"/>
      <c r="M740" s="5"/>
      <c r="N740" s="5"/>
      <c r="O740" s="5"/>
      <c r="P740" s="5"/>
      <c r="Q740" s="5"/>
      <c r="R740" s="5"/>
      <c r="S740" s="5"/>
      <c r="T740" s="5"/>
      <c r="U740" s="5"/>
      <c r="V740" s="5"/>
      <c r="W740" s="5"/>
    </row>
    <row r="741" spans="1:23" ht="16" x14ac:dyDescent="0.2">
      <c r="A741" s="5"/>
      <c r="B741" s="6"/>
      <c r="C741" s="6"/>
      <c r="D741" s="6"/>
      <c r="E741" s="6"/>
      <c r="F741" s="5"/>
      <c r="G741" s="5"/>
      <c r="H741" s="5"/>
      <c r="I741" s="5"/>
      <c r="J741" s="5"/>
      <c r="K741" s="5"/>
      <c r="L741" s="5"/>
      <c r="M741" s="5"/>
      <c r="N741" s="5"/>
      <c r="O741" s="5"/>
      <c r="P741" s="5"/>
      <c r="Q741" s="5"/>
      <c r="R741" s="5"/>
      <c r="S741" s="5"/>
      <c r="T741" s="5"/>
      <c r="U741" s="5"/>
      <c r="V741" s="5"/>
      <c r="W741" s="5"/>
    </row>
    <row r="742" spans="1:23" ht="16" x14ac:dyDescent="0.2">
      <c r="A742" s="5"/>
      <c r="B742" s="6"/>
      <c r="C742" s="6"/>
      <c r="D742" s="6"/>
      <c r="E742" s="6"/>
      <c r="F742" s="5"/>
      <c r="G742" s="5"/>
      <c r="H742" s="5"/>
      <c r="I742" s="5"/>
      <c r="J742" s="5"/>
      <c r="K742" s="5"/>
      <c r="L742" s="5"/>
      <c r="M742" s="5"/>
      <c r="N742" s="5"/>
      <c r="O742" s="5"/>
      <c r="P742" s="5"/>
      <c r="Q742" s="5"/>
      <c r="R742" s="5"/>
      <c r="S742" s="5"/>
      <c r="T742" s="5"/>
      <c r="U742" s="5"/>
      <c r="V742" s="5"/>
      <c r="W742" s="5"/>
    </row>
    <row r="743" spans="1:23" ht="16" x14ac:dyDescent="0.2">
      <c r="A743" s="5"/>
      <c r="B743" s="6"/>
      <c r="C743" s="6"/>
      <c r="D743" s="6"/>
      <c r="E743" s="6"/>
      <c r="F743" s="5"/>
      <c r="G743" s="5"/>
      <c r="H743" s="5"/>
      <c r="I743" s="5"/>
      <c r="J743" s="5"/>
      <c r="K743" s="5"/>
      <c r="L743" s="5"/>
      <c r="M743" s="5"/>
      <c r="N743" s="5"/>
      <c r="O743" s="5"/>
      <c r="P743" s="5"/>
      <c r="Q743" s="5"/>
      <c r="R743" s="5"/>
      <c r="S743" s="5"/>
      <c r="T743" s="5"/>
      <c r="U743" s="5"/>
      <c r="V743" s="5"/>
      <c r="W743" s="5"/>
    </row>
    <row r="744" spans="1:23" ht="16" x14ac:dyDescent="0.2">
      <c r="A744" s="5"/>
      <c r="B744" s="6"/>
      <c r="C744" s="6"/>
      <c r="D744" s="6"/>
      <c r="E744" s="6"/>
      <c r="F744" s="5"/>
      <c r="G744" s="5"/>
      <c r="H744" s="5"/>
      <c r="I744" s="5"/>
      <c r="J744" s="5"/>
      <c r="K744" s="5"/>
      <c r="L744" s="5"/>
      <c r="M744" s="5"/>
      <c r="N744" s="5"/>
      <c r="O744" s="5"/>
      <c r="P744" s="5"/>
      <c r="Q744" s="5"/>
      <c r="R744" s="5"/>
      <c r="S744" s="5"/>
      <c r="T744" s="5"/>
      <c r="U744" s="5"/>
      <c r="V744" s="5"/>
      <c r="W744" s="5"/>
    </row>
    <row r="745" spans="1:23" ht="16" x14ac:dyDescent="0.2">
      <c r="A745" s="5"/>
      <c r="B745" s="6"/>
      <c r="C745" s="6"/>
      <c r="D745" s="6"/>
      <c r="E745" s="6"/>
      <c r="F745" s="5"/>
      <c r="G745" s="5"/>
      <c r="H745" s="5"/>
      <c r="I745" s="5"/>
      <c r="J745" s="5"/>
      <c r="K745" s="5"/>
      <c r="L745" s="5"/>
      <c r="M745" s="5"/>
      <c r="N745" s="5"/>
      <c r="O745" s="5"/>
      <c r="P745" s="5"/>
      <c r="Q745" s="5"/>
      <c r="R745" s="5"/>
      <c r="S745" s="5"/>
      <c r="T745" s="5"/>
      <c r="U745" s="5"/>
      <c r="V745" s="5"/>
      <c r="W745" s="5"/>
    </row>
    <row r="746" spans="1:23" ht="16" x14ac:dyDescent="0.2">
      <c r="A746" s="5"/>
      <c r="B746" s="6"/>
      <c r="C746" s="6"/>
      <c r="D746" s="6"/>
      <c r="E746" s="6"/>
      <c r="F746" s="5"/>
      <c r="G746" s="5"/>
      <c r="H746" s="5"/>
      <c r="I746" s="5"/>
      <c r="J746" s="5"/>
      <c r="K746" s="5"/>
      <c r="L746" s="5"/>
      <c r="M746" s="5"/>
      <c r="N746" s="5"/>
      <c r="O746" s="5"/>
      <c r="P746" s="5"/>
      <c r="Q746" s="5"/>
      <c r="R746" s="5"/>
      <c r="S746" s="5"/>
      <c r="T746" s="5"/>
      <c r="U746" s="5"/>
      <c r="V746" s="5"/>
      <c r="W746" s="5"/>
    </row>
    <row r="747" spans="1:23" ht="16" x14ac:dyDescent="0.2">
      <c r="A747" s="5"/>
      <c r="B747" s="6"/>
      <c r="C747" s="6"/>
      <c r="D747" s="6"/>
      <c r="E747" s="6"/>
      <c r="F747" s="5"/>
      <c r="G747" s="5"/>
      <c r="H747" s="5"/>
      <c r="I747" s="5"/>
      <c r="J747" s="5"/>
      <c r="K747" s="5"/>
      <c r="L747" s="5"/>
      <c r="M747" s="5"/>
      <c r="N747" s="5"/>
      <c r="O747" s="5"/>
      <c r="P747" s="5"/>
      <c r="Q747" s="5"/>
      <c r="R747" s="5"/>
      <c r="S747" s="5"/>
      <c r="T747" s="5"/>
      <c r="U747" s="5"/>
      <c r="V747" s="5"/>
      <c r="W747" s="5"/>
    </row>
    <row r="748" spans="1:23" ht="16" x14ac:dyDescent="0.2">
      <c r="A748" s="5"/>
      <c r="B748" s="6"/>
      <c r="C748" s="6"/>
      <c r="D748" s="6"/>
      <c r="E748" s="6"/>
      <c r="F748" s="5"/>
      <c r="G748" s="5"/>
      <c r="H748" s="5"/>
      <c r="I748" s="5"/>
      <c r="J748" s="5"/>
      <c r="K748" s="5"/>
      <c r="L748" s="5"/>
      <c r="M748" s="5"/>
      <c r="N748" s="5"/>
      <c r="O748" s="5"/>
      <c r="P748" s="5"/>
      <c r="Q748" s="5"/>
      <c r="R748" s="5"/>
      <c r="S748" s="5"/>
      <c r="T748" s="5"/>
      <c r="U748" s="5"/>
      <c r="V748" s="5"/>
      <c r="W748" s="5"/>
    </row>
    <row r="749" spans="1:23" ht="16" x14ac:dyDescent="0.2">
      <c r="A749" s="5"/>
      <c r="B749" s="6"/>
      <c r="C749" s="6"/>
      <c r="D749" s="6"/>
      <c r="E749" s="6"/>
      <c r="F749" s="5"/>
      <c r="G749" s="5"/>
      <c r="H749" s="5"/>
      <c r="I749" s="5"/>
      <c r="J749" s="5"/>
      <c r="K749" s="5"/>
      <c r="L749" s="5"/>
      <c r="M749" s="5"/>
      <c r="N749" s="5"/>
      <c r="O749" s="5"/>
      <c r="P749" s="5"/>
      <c r="Q749" s="5"/>
      <c r="R749" s="5"/>
      <c r="S749" s="5"/>
      <c r="T749" s="5"/>
      <c r="U749" s="5"/>
      <c r="V749" s="5"/>
      <c r="W749" s="5"/>
    </row>
    <row r="750" spans="1:23" ht="16" x14ac:dyDescent="0.2">
      <c r="A750" s="5"/>
      <c r="B750" s="6"/>
      <c r="C750" s="6"/>
      <c r="D750" s="6"/>
      <c r="E750" s="6"/>
      <c r="F750" s="5"/>
      <c r="G750" s="5"/>
      <c r="H750" s="5"/>
      <c r="I750" s="5"/>
      <c r="J750" s="5"/>
      <c r="K750" s="5"/>
      <c r="L750" s="5"/>
      <c r="M750" s="5"/>
      <c r="N750" s="5"/>
      <c r="O750" s="5"/>
      <c r="P750" s="5"/>
      <c r="Q750" s="5"/>
      <c r="R750" s="5"/>
      <c r="S750" s="5"/>
      <c r="T750" s="5"/>
      <c r="U750" s="5"/>
      <c r="V750" s="5"/>
      <c r="W750" s="5"/>
    </row>
    <row r="751" spans="1:23" ht="16" x14ac:dyDescent="0.2">
      <c r="A751" s="5"/>
      <c r="B751" s="6"/>
      <c r="C751" s="6"/>
      <c r="D751" s="6"/>
      <c r="E751" s="6"/>
      <c r="F751" s="5"/>
      <c r="G751" s="5"/>
      <c r="H751" s="5"/>
      <c r="I751" s="5"/>
      <c r="J751" s="5"/>
      <c r="K751" s="5"/>
      <c r="L751" s="5"/>
      <c r="M751" s="5"/>
      <c r="N751" s="5"/>
      <c r="O751" s="5"/>
      <c r="P751" s="5"/>
      <c r="Q751" s="5"/>
      <c r="R751" s="5"/>
      <c r="S751" s="5"/>
      <c r="T751" s="5"/>
      <c r="U751" s="5"/>
      <c r="V751" s="5"/>
      <c r="W751" s="5"/>
    </row>
    <row r="752" spans="1:23" ht="16" x14ac:dyDescent="0.2">
      <c r="A752" s="5"/>
      <c r="B752" s="6"/>
      <c r="C752" s="6"/>
      <c r="D752" s="6"/>
      <c r="E752" s="6"/>
      <c r="F752" s="5"/>
      <c r="G752" s="5"/>
      <c r="H752" s="5"/>
      <c r="I752" s="5"/>
      <c r="J752" s="5"/>
      <c r="K752" s="5"/>
      <c r="L752" s="5"/>
      <c r="M752" s="5"/>
      <c r="N752" s="5"/>
      <c r="O752" s="5"/>
      <c r="P752" s="5"/>
      <c r="Q752" s="5"/>
      <c r="R752" s="5"/>
      <c r="S752" s="5"/>
      <c r="T752" s="5"/>
      <c r="U752" s="5"/>
      <c r="V752" s="5"/>
      <c r="W752" s="5"/>
    </row>
    <row r="753" spans="1:23" ht="16" x14ac:dyDescent="0.2">
      <c r="A753" s="5"/>
      <c r="B753" s="6"/>
      <c r="C753" s="6"/>
      <c r="D753" s="6"/>
      <c r="E753" s="6"/>
      <c r="F753" s="5"/>
      <c r="G753" s="5"/>
      <c r="H753" s="5"/>
      <c r="I753" s="5"/>
      <c r="J753" s="5"/>
      <c r="K753" s="5"/>
      <c r="L753" s="5"/>
      <c r="M753" s="5"/>
      <c r="N753" s="5"/>
      <c r="O753" s="5"/>
      <c r="P753" s="5"/>
      <c r="Q753" s="5"/>
      <c r="R753" s="5"/>
      <c r="S753" s="5"/>
      <c r="T753" s="5"/>
      <c r="U753" s="5"/>
      <c r="V753" s="5"/>
      <c r="W753" s="5"/>
    </row>
    <row r="754" spans="1:23" ht="16" x14ac:dyDescent="0.2">
      <c r="A754" s="5"/>
      <c r="B754" s="6"/>
      <c r="C754" s="6"/>
      <c r="D754" s="6"/>
      <c r="E754" s="6"/>
      <c r="F754" s="5"/>
      <c r="G754" s="5"/>
      <c r="H754" s="5"/>
      <c r="I754" s="5"/>
      <c r="J754" s="5"/>
      <c r="K754" s="5"/>
      <c r="L754" s="5"/>
      <c r="M754" s="5"/>
      <c r="N754" s="5"/>
      <c r="O754" s="5"/>
      <c r="P754" s="5"/>
      <c r="Q754" s="5"/>
      <c r="R754" s="5"/>
      <c r="S754" s="5"/>
      <c r="T754" s="5"/>
      <c r="U754" s="5"/>
      <c r="V754" s="5"/>
      <c r="W754" s="5"/>
    </row>
    <row r="755" spans="1:23" ht="16" x14ac:dyDescent="0.2">
      <c r="A755" s="5"/>
      <c r="B755" s="6"/>
      <c r="C755" s="6"/>
      <c r="D755" s="6"/>
      <c r="E755" s="6"/>
      <c r="F755" s="5"/>
      <c r="G755" s="5"/>
      <c r="H755" s="5"/>
      <c r="I755" s="5"/>
      <c r="J755" s="5"/>
      <c r="K755" s="5"/>
      <c r="L755" s="5"/>
      <c r="M755" s="5"/>
      <c r="N755" s="5"/>
      <c r="O755" s="5"/>
      <c r="P755" s="5"/>
      <c r="Q755" s="5"/>
      <c r="R755" s="5"/>
      <c r="S755" s="5"/>
      <c r="T755" s="5"/>
      <c r="U755" s="5"/>
      <c r="V755" s="5"/>
      <c r="W755" s="5"/>
    </row>
    <row r="756" spans="1:23" ht="16" x14ac:dyDescent="0.2">
      <c r="A756" s="5"/>
      <c r="B756" s="6"/>
      <c r="C756" s="6"/>
      <c r="D756" s="6"/>
      <c r="E756" s="6"/>
      <c r="F756" s="5"/>
      <c r="G756" s="5"/>
      <c r="H756" s="5"/>
      <c r="I756" s="5"/>
      <c r="J756" s="5"/>
      <c r="K756" s="5"/>
      <c r="L756" s="5"/>
      <c r="M756" s="5"/>
      <c r="N756" s="5"/>
      <c r="O756" s="5"/>
      <c r="P756" s="5"/>
      <c r="Q756" s="5"/>
      <c r="R756" s="5"/>
      <c r="S756" s="5"/>
      <c r="T756" s="5"/>
      <c r="U756" s="5"/>
      <c r="V756" s="5"/>
      <c r="W756" s="5"/>
    </row>
    <row r="757" spans="1:23" ht="16" x14ac:dyDescent="0.2">
      <c r="A757" s="5"/>
      <c r="B757" s="6"/>
      <c r="C757" s="6"/>
      <c r="D757" s="6"/>
      <c r="E757" s="6"/>
      <c r="F757" s="5"/>
      <c r="G757" s="5"/>
      <c r="H757" s="5"/>
      <c r="I757" s="5"/>
      <c r="J757" s="5"/>
      <c r="K757" s="5"/>
      <c r="L757" s="5"/>
      <c r="M757" s="5"/>
      <c r="N757" s="5"/>
      <c r="O757" s="5"/>
      <c r="P757" s="5"/>
      <c r="Q757" s="5"/>
      <c r="R757" s="5"/>
      <c r="S757" s="5"/>
      <c r="T757" s="5"/>
      <c r="U757" s="5"/>
      <c r="V757" s="5"/>
      <c r="W757" s="5"/>
    </row>
    <row r="758" spans="1:23" ht="16" x14ac:dyDescent="0.2">
      <c r="A758" s="5"/>
      <c r="B758" s="6"/>
      <c r="C758" s="6"/>
      <c r="D758" s="6"/>
      <c r="E758" s="6"/>
      <c r="F758" s="5"/>
      <c r="G758" s="5"/>
      <c r="H758" s="5"/>
      <c r="I758" s="5"/>
      <c r="J758" s="5"/>
      <c r="K758" s="5"/>
      <c r="L758" s="5"/>
      <c r="M758" s="5"/>
      <c r="N758" s="5"/>
      <c r="O758" s="5"/>
      <c r="P758" s="5"/>
      <c r="Q758" s="5"/>
      <c r="R758" s="5"/>
      <c r="S758" s="5"/>
      <c r="T758" s="5"/>
      <c r="U758" s="5"/>
      <c r="V758" s="5"/>
      <c r="W758" s="5"/>
    </row>
    <row r="759" spans="1:23" ht="16" x14ac:dyDescent="0.2">
      <c r="A759" s="5"/>
      <c r="B759" s="6"/>
      <c r="C759" s="6"/>
      <c r="D759" s="6"/>
      <c r="E759" s="6"/>
      <c r="F759" s="5"/>
      <c r="G759" s="5"/>
      <c r="H759" s="5"/>
      <c r="I759" s="5"/>
      <c r="J759" s="5"/>
      <c r="K759" s="5"/>
      <c r="L759" s="5"/>
      <c r="M759" s="5"/>
      <c r="N759" s="5"/>
      <c r="O759" s="5"/>
      <c r="P759" s="5"/>
      <c r="Q759" s="5"/>
      <c r="R759" s="5"/>
      <c r="S759" s="5"/>
      <c r="T759" s="5"/>
      <c r="U759" s="5"/>
      <c r="V759" s="5"/>
      <c r="W759" s="5"/>
    </row>
    <row r="760" spans="1:23" ht="16" x14ac:dyDescent="0.2">
      <c r="A760" s="5"/>
      <c r="B760" s="6"/>
      <c r="C760" s="6"/>
      <c r="D760" s="6"/>
      <c r="E760" s="6"/>
      <c r="F760" s="5"/>
      <c r="G760" s="5"/>
      <c r="H760" s="5"/>
      <c r="I760" s="5"/>
      <c r="J760" s="5"/>
      <c r="K760" s="5"/>
      <c r="L760" s="5"/>
      <c r="M760" s="5"/>
      <c r="N760" s="5"/>
      <c r="O760" s="5"/>
      <c r="P760" s="5"/>
      <c r="Q760" s="5"/>
      <c r="R760" s="5"/>
      <c r="S760" s="5"/>
      <c r="T760" s="5"/>
      <c r="U760" s="5"/>
      <c r="V760" s="5"/>
      <c r="W760" s="5"/>
    </row>
    <row r="761" spans="1:23" ht="16" x14ac:dyDescent="0.2">
      <c r="A761" s="5"/>
      <c r="B761" s="6"/>
      <c r="C761" s="6"/>
      <c r="D761" s="6"/>
      <c r="E761" s="6"/>
      <c r="F761" s="5"/>
      <c r="G761" s="5"/>
      <c r="H761" s="5"/>
      <c r="I761" s="5"/>
      <c r="J761" s="5"/>
      <c r="K761" s="5"/>
      <c r="L761" s="5"/>
      <c r="M761" s="5"/>
      <c r="N761" s="5"/>
      <c r="O761" s="5"/>
      <c r="P761" s="5"/>
      <c r="Q761" s="5"/>
      <c r="R761" s="5"/>
      <c r="S761" s="5"/>
      <c r="T761" s="5"/>
      <c r="U761" s="5"/>
      <c r="V761" s="5"/>
      <c r="W761" s="5"/>
    </row>
    <row r="762" spans="1:23" ht="16" x14ac:dyDescent="0.2">
      <c r="A762" s="5"/>
      <c r="B762" s="6"/>
      <c r="C762" s="6"/>
      <c r="D762" s="6"/>
      <c r="E762" s="6"/>
      <c r="F762" s="5"/>
      <c r="G762" s="5"/>
      <c r="H762" s="5"/>
      <c r="I762" s="5"/>
      <c r="J762" s="5"/>
      <c r="K762" s="5"/>
      <c r="L762" s="5"/>
      <c r="M762" s="5"/>
      <c r="N762" s="5"/>
      <c r="O762" s="5"/>
      <c r="P762" s="5"/>
      <c r="Q762" s="5"/>
      <c r="R762" s="5"/>
      <c r="S762" s="5"/>
      <c r="T762" s="5"/>
      <c r="U762" s="5"/>
      <c r="V762" s="5"/>
      <c r="W762" s="5"/>
    </row>
    <row r="763" spans="1:23" ht="16" x14ac:dyDescent="0.2">
      <c r="A763" s="5"/>
      <c r="B763" s="6"/>
      <c r="C763" s="6"/>
      <c r="D763" s="6"/>
      <c r="E763" s="6"/>
      <c r="F763" s="5"/>
      <c r="G763" s="5"/>
      <c r="H763" s="5"/>
      <c r="I763" s="5"/>
      <c r="J763" s="5"/>
      <c r="K763" s="5"/>
      <c r="L763" s="5"/>
      <c r="M763" s="5"/>
      <c r="N763" s="5"/>
      <c r="O763" s="5"/>
      <c r="P763" s="5"/>
      <c r="Q763" s="5"/>
      <c r="R763" s="5"/>
      <c r="S763" s="5"/>
      <c r="T763" s="5"/>
      <c r="U763" s="5"/>
      <c r="V763" s="5"/>
      <c r="W763" s="5"/>
    </row>
    <row r="764" spans="1:23" ht="16" x14ac:dyDescent="0.2">
      <c r="A764" s="5"/>
      <c r="B764" s="6"/>
      <c r="C764" s="6"/>
      <c r="D764" s="6"/>
      <c r="E764" s="6"/>
      <c r="F764" s="5"/>
      <c r="G764" s="5"/>
      <c r="H764" s="5"/>
      <c r="I764" s="5"/>
      <c r="J764" s="5"/>
      <c r="K764" s="5"/>
      <c r="L764" s="5"/>
      <c r="M764" s="5"/>
      <c r="N764" s="5"/>
      <c r="O764" s="5"/>
      <c r="P764" s="5"/>
      <c r="Q764" s="5"/>
      <c r="R764" s="5"/>
      <c r="S764" s="5"/>
      <c r="T764" s="5"/>
      <c r="U764" s="5"/>
      <c r="V764" s="5"/>
      <c r="W764" s="5"/>
    </row>
    <row r="765" spans="1:23" ht="16" x14ac:dyDescent="0.2">
      <c r="A765" s="5"/>
      <c r="B765" s="6"/>
      <c r="C765" s="6"/>
      <c r="D765" s="6"/>
      <c r="E765" s="6"/>
      <c r="F765" s="5"/>
      <c r="G765" s="5"/>
      <c r="H765" s="5"/>
      <c r="I765" s="5"/>
      <c r="J765" s="5"/>
      <c r="K765" s="5"/>
      <c r="L765" s="5"/>
      <c r="M765" s="5"/>
      <c r="N765" s="5"/>
      <c r="O765" s="5"/>
      <c r="P765" s="5"/>
      <c r="Q765" s="5"/>
      <c r="R765" s="5"/>
      <c r="S765" s="5"/>
      <c r="T765" s="5"/>
      <c r="U765" s="5"/>
      <c r="V765" s="5"/>
      <c r="W765" s="5"/>
    </row>
    <row r="766" spans="1:23" ht="16" x14ac:dyDescent="0.2">
      <c r="A766" s="5"/>
      <c r="B766" s="6"/>
      <c r="C766" s="6"/>
      <c r="D766" s="6"/>
      <c r="E766" s="6"/>
      <c r="F766" s="5"/>
      <c r="G766" s="5"/>
      <c r="H766" s="5"/>
      <c r="I766" s="5"/>
      <c r="J766" s="5"/>
      <c r="K766" s="5"/>
      <c r="L766" s="5"/>
      <c r="M766" s="5"/>
      <c r="N766" s="5"/>
      <c r="O766" s="5"/>
      <c r="P766" s="5"/>
      <c r="Q766" s="5"/>
      <c r="R766" s="5"/>
      <c r="S766" s="5"/>
      <c r="T766" s="5"/>
      <c r="U766" s="5"/>
      <c r="V766" s="5"/>
      <c r="W766" s="5"/>
    </row>
    <row r="767" spans="1:23" ht="16" x14ac:dyDescent="0.2">
      <c r="A767" s="5"/>
      <c r="B767" s="6"/>
      <c r="C767" s="6"/>
      <c r="D767" s="6"/>
      <c r="E767" s="6"/>
      <c r="F767" s="5"/>
      <c r="G767" s="5"/>
      <c r="H767" s="5"/>
      <c r="I767" s="5"/>
      <c r="J767" s="5"/>
      <c r="K767" s="5"/>
      <c r="L767" s="5"/>
      <c r="M767" s="5"/>
      <c r="N767" s="5"/>
      <c r="O767" s="5"/>
      <c r="P767" s="5"/>
      <c r="Q767" s="5"/>
      <c r="R767" s="5"/>
      <c r="S767" s="5"/>
      <c r="T767" s="5"/>
      <c r="U767" s="5"/>
      <c r="V767" s="5"/>
      <c r="W767" s="5"/>
    </row>
    <row r="768" spans="1:23" ht="16" x14ac:dyDescent="0.2">
      <c r="A768" s="5"/>
      <c r="B768" s="6"/>
      <c r="C768" s="6"/>
      <c r="D768" s="6"/>
      <c r="E768" s="6"/>
      <c r="F768" s="5"/>
      <c r="G768" s="5"/>
      <c r="H768" s="5"/>
      <c r="I768" s="5"/>
      <c r="J768" s="5"/>
      <c r="K768" s="5"/>
      <c r="L768" s="5"/>
      <c r="M768" s="5"/>
      <c r="N768" s="5"/>
      <c r="O768" s="5"/>
      <c r="P768" s="5"/>
      <c r="Q768" s="5"/>
      <c r="R768" s="5"/>
      <c r="S768" s="5"/>
      <c r="T768" s="5"/>
      <c r="U768" s="5"/>
      <c r="V768" s="5"/>
      <c r="W768" s="5"/>
    </row>
    <row r="769" spans="1:23" ht="16" x14ac:dyDescent="0.2">
      <c r="A769" s="5"/>
      <c r="B769" s="6"/>
      <c r="C769" s="6"/>
      <c r="D769" s="6"/>
      <c r="E769" s="6"/>
      <c r="F769" s="5"/>
      <c r="G769" s="5"/>
      <c r="H769" s="5"/>
      <c r="I769" s="5"/>
      <c r="J769" s="5"/>
      <c r="K769" s="5"/>
      <c r="L769" s="5"/>
      <c r="M769" s="5"/>
      <c r="N769" s="5"/>
      <c r="O769" s="5"/>
      <c r="P769" s="5"/>
      <c r="Q769" s="5"/>
      <c r="R769" s="5"/>
      <c r="S769" s="5"/>
      <c r="T769" s="5"/>
      <c r="U769" s="5"/>
      <c r="V769" s="5"/>
      <c r="W769" s="5"/>
    </row>
    <row r="770" spans="1:23" ht="16" x14ac:dyDescent="0.2">
      <c r="A770" s="5"/>
      <c r="B770" s="6"/>
      <c r="C770" s="6"/>
      <c r="D770" s="6"/>
      <c r="E770" s="6"/>
      <c r="F770" s="5"/>
      <c r="G770" s="5"/>
      <c r="H770" s="5"/>
      <c r="I770" s="5"/>
      <c r="J770" s="5"/>
      <c r="K770" s="5"/>
      <c r="L770" s="5"/>
      <c r="M770" s="5"/>
      <c r="N770" s="5"/>
      <c r="O770" s="5"/>
      <c r="P770" s="5"/>
      <c r="Q770" s="5"/>
      <c r="R770" s="5"/>
      <c r="S770" s="5"/>
      <c r="T770" s="5"/>
      <c r="U770" s="5"/>
      <c r="V770" s="5"/>
      <c r="W770" s="5"/>
    </row>
    <row r="771" spans="1:23" ht="16" x14ac:dyDescent="0.2">
      <c r="A771" s="5"/>
      <c r="B771" s="6"/>
      <c r="C771" s="6"/>
      <c r="D771" s="6"/>
      <c r="E771" s="6"/>
      <c r="F771" s="5"/>
      <c r="G771" s="5"/>
      <c r="H771" s="5"/>
      <c r="I771" s="5"/>
      <c r="J771" s="5"/>
      <c r="K771" s="5"/>
      <c r="L771" s="5"/>
      <c r="M771" s="5"/>
      <c r="N771" s="5"/>
      <c r="O771" s="5"/>
      <c r="P771" s="5"/>
      <c r="Q771" s="5"/>
      <c r="R771" s="5"/>
      <c r="S771" s="5"/>
      <c r="T771" s="5"/>
      <c r="U771" s="5"/>
      <c r="V771" s="5"/>
      <c r="W771" s="5"/>
    </row>
    <row r="772" spans="1:23" ht="16" x14ac:dyDescent="0.2">
      <c r="A772" s="5"/>
      <c r="B772" s="6"/>
      <c r="C772" s="6"/>
      <c r="D772" s="6"/>
      <c r="E772" s="6"/>
      <c r="F772" s="5"/>
      <c r="G772" s="5"/>
      <c r="H772" s="5"/>
      <c r="I772" s="5"/>
      <c r="J772" s="5"/>
      <c r="K772" s="5"/>
      <c r="L772" s="5"/>
      <c r="M772" s="5"/>
      <c r="N772" s="5"/>
      <c r="O772" s="5"/>
      <c r="P772" s="5"/>
      <c r="Q772" s="5"/>
      <c r="R772" s="5"/>
      <c r="S772" s="5"/>
      <c r="T772" s="5"/>
      <c r="U772" s="5"/>
      <c r="V772" s="5"/>
      <c r="W772" s="5"/>
    </row>
    <row r="773" spans="1:23" ht="16" x14ac:dyDescent="0.2">
      <c r="A773" s="5"/>
      <c r="B773" s="6"/>
      <c r="C773" s="6"/>
      <c r="D773" s="6"/>
      <c r="E773" s="6"/>
      <c r="F773" s="5"/>
      <c r="G773" s="5"/>
      <c r="H773" s="5"/>
      <c r="I773" s="5"/>
      <c r="J773" s="5"/>
      <c r="K773" s="5"/>
      <c r="L773" s="5"/>
      <c r="M773" s="5"/>
      <c r="N773" s="5"/>
      <c r="O773" s="5"/>
      <c r="P773" s="5"/>
      <c r="Q773" s="5"/>
      <c r="R773" s="5"/>
      <c r="S773" s="5"/>
      <c r="T773" s="5"/>
      <c r="U773" s="5"/>
      <c r="V773" s="5"/>
      <c r="W773" s="5"/>
    </row>
    <row r="774" spans="1:23" ht="16" x14ac:dyDescent="0.2">
      <c r="A774" s="5"/>
      <c r="B774" s="6"/>
      <c r="C774" s="6"/>
      <c r="D774" s="6"/>
      <c r="E774" s="6"/>
      <c r="F774" s="5"/>
      <c r="G774" s="5"/>
      <c r="H774" s="5"/>
      <c r="I774" s="5"/>
      <c r="J774" s="5"/>
      <c r="K774" s="5"/>
      <c r="L774" s="5"/>
      <c r="M774" s="5"/>
      <c r="N774" s="5"/>
      <c r="O774" s="5"/>
      <c r="P774" s="5"/>
      <c r="Q774" s="5"/>
      <c r="R774" s="5"/>
      <c r="S774" s="5"/>
      <c r="T774" s="5"/>
      <c r="U774" s="5"/>
      <c r="V774" s="5"/>
      <c r="W774" s="5"/>
    </row>
    <row r="775" spans="1:23" ht="16" x14ac:dyDescent="0.2">
      <c r="A775" s="5"/>
      <c r="B775" s="6"/>
      <c r="C775" s="6"/>
      <c r="D775" s="6"/>
      <c r="E775" s="6"/>
      <c r="F775" s="5"/>
      <c r="G775" s="5"/>
      <c r="H775" s="5"/>
      <c r="I775" s="5"/>
      <c r="J775" s="5"/>
      <c r="K775" s="5"/>
      <c r="L775" s="5"/>
      <c r="M775" s="5"/>
      <c r="N775" s="5"/>
      <c r="O775" s="5"/>
      <c r="P775" s="5"/>
      <c r="Q775" s="5"/>
      <c r="R775" s="5"/>
      <c r="S775" s="5"/>
      <c r="T775" s="5"/>
      <c r="U775" s="5"/>
      <c r="V775" s="5"/>
      <c r="W775" s="5"/>
    </row>
    <row r="776" spans="1:23" ht="16" x14ac:dyDescent="0.2">
      <c r="A776" s="5"/>
      <c r="B776" s="6"/>
      <c r="C776" s="6"/>
      <c r="D776" s="6"/>
      <c r="E776" s="6"/>
      <c r="F776" s="5"/>
      <c r="G776" s="5"/>
      <c r="H776" s="5"/>
      <c r="I776" s="5"/>
      <c r="J776" s="5"/>
      <c r="K776" s="5"/>
      <c r="L776" s="5"/>
      <c r="M776" s="5"/>
      <c r="N776" s="5"/>
      <c r="O776" s="5"/>
      <c r="P776" s="5"/>
      <c r="Q776" s="5"/>
      <c r="R776" s="5"/>
      <c r="S776" s="5"/>
      <c r="T776" s="5"/>
      <c r="U776" s="5"/>
      <c r="V776" s="5"/>
      <c r="W776" s="5"/>
    </row>
    <row r="777" spans="1:23" ht="16" x14ac:dyDescent="0.2">
      <c r="A777" s="5"/>
      <c r="B777" s="6"/>
      <c r="C777" s="6"/>
      <c r="D777" s="6"/>
      <c r="E777" s="6"/>
      <c r="F777" s="5"/>
      <c r="G777" s="5"/>
      <c r="H777" s="5"/>
      <c r="I777" s="5"/>
      <c r="J777" s="5"/>
      <c r="K777" s="5"/>
      <c r="L777" s="5"/>
      <c r="M777" s="5"/>
      <c r="N777" s="5"/>
      <c r="O777" s="5"/>
      <c r="P777" s="5"/>
      <c r="Q777" s="5"/>
      <c r="R777" s="5"/>
      <c r="S777" s="5"/>
      <c r="T777" s="5"/>
      <c r="U777" s="5"/>
      <c r="V777" s="5"/>
      <c r="W777" s="5"/>
    </row>
    <row r="778" spans="1:23" ht="16" x14ac:dyDescent="0.2">
      <c r="A778" s="5"/>
      <c r="B778" s="6"/>
      <c r="C778" s="6"/>
      <c r="D778" s="6"/>
      <c r="E778" s="6"/>
      <c r="F778" s="5"/>
      <c r="G778" s="5"/>
      <c r="H778" s="5"/>
      <c r="I778" s="5"/>
      <c r="J778" s="5"/>
      <c r="K778" s="5"/>
      <c r="L778" s="5"/>
      <c r="M778" s="5"/>
      <c r="N778" s="5"/>
      <c r="O778" s="5"/>
      <c r="P778" s="5"/>
      <c r="Q778" s="5"/>
      <c r="R778" s="5"/>
      <c r="S778" s="5"/>
      <c r="T778" s="5"/>
      <c r="U778" s="5"/>
      <c r="V778" s="5"/>
      <c r="W778" s="5"/>
    </row>
    <row r="779" spans="1:23" ht="16" x14ac:dyDescent="0.2">
      <c r="A779" s="5"/>
      <c r="B779" s="6"/>
      <c r="C779" s="6"/>
      <c r="D779" s="6"/>
      <c r="E779" s="6"/>
      <c r="F779" s="5"/>
      <c r="G779" s="5"/>
      <c r="H779" s="5"/>
      <c r="I779" s="5"/>
      <c r="J779" s="5"/>
      <c r="K779" s="5"/>
      <c r="L779" s="5"/>
      <c r="M779" s="5"/>
      <c r="N779" s="5"/>
      <c r="O779" s="5"/>
      <c r="P779" s="5"/>
      <c r="Q779" s="5"/>
      <c r="R779" s="5"/>
      <c r="S779" s="5"/>
      <c r="T779" s="5"/>
      <c r="U779" s="5"/>
      <c r="V779" s="5"/>
      <c r="W779" s="5"/>
    </row>
    <row r="780" spans="1:23" ht="16" x14ac:dyDescent="0.2">
      <c r="A780" s="5"/>
      <c r="B780" s="6"/>
      <c r="C780" s="6"/>
      <c r="D780" s="6"/>
      <c r="E780" s="6"/>
      <c r="F780" s="5"/>
      <c r="G780" s="5"/>
      <c r="H780" s="5"/>
      <c r="I780" s="5"/>
      <c r="J780" s="5"/>
      <c r="K780" s="5"/>
      <c r="L780" s="5"/>
      <c r="M780" s="5"/>
      <c r="N780" s="5"/>
      <c r="O780" s="5"/>
      <c r="P780" s="5"/>
      <c r="Q780" s="5"/>
      <c r="R780" s="5"/>
      <c r="S780" s="5"/>
      <c r="T780" s="5"/>
      <c r="U780" s="5"/>
      <c r="V780" s="5"/>
      <c r="W780" s="5"/>
    </row>
    <row r="781" spans="1:23" ht="16" x14ac:dyDescent="0.2">
      <c r="A781" s="5"/>
      <c r="B781" s="6"/>
      <c r="C781" s="6"/>
      <c r="D781" s="6"/>
      <c r="E781" s="6"/>
      <c r="F781" s="5"/>
      <c r="G781" s="5"/>
      <c r="H781" s="5"/>
      <c r="I781" s="5"/>
      <c r="J781" s="5"/>
      <c r="K781" s="5"/>
      <c r="L781" s="5"/>
      <c r="M781" s="5"/>
      <c r="N781" s="5"/>
      <c r="O781" s="5"/>
      <c r="P781" s="5"/>
      <c r="Q781" s="5"/>
      <c r="R781" s="5"/>
      <c r="S781" s="5"/>
      <c r="T781" s="5"/>
      <c r="U781" s="5"/>
      <c r="V781" s="5"/>
      <c r="W781" s="5"/>
    </row>
    <row r="782" spans="1:23" ht="16" x14ac:dyDescent="0.2">
      <c r="A782" s="5"/>
      <c r="B782" s="6"/>
      <c r="C782" s="6"/>
      <c r="D782" s="6"/>
      <c r="E782" s="6"/>
      <c r="F782" s="5"/>
      <c r="G782" s="5"/>
      <c r="H782" s="5"/>
      <c r="I782" s="5"/>
      <c r="J782" s="5"/>
      <c r="K782" s="5"/>
      <c r="L782" s="5"/>
      <c r="M782" s="5"/>
      <c r="N782" s="5"/>
      <c r="O782" s="5"/>
      <c r="P782" s="5"/>
      <c r="Q782" s="5"/>
      <c r="R782" s="5"/>
      <c r="S782" s="5"/>
      <c r="T782" s="5"/>
      <c r="U782" s="5"/>
      <c r="V782" s="5"/>
      <c r="W782" s="5"/>
    </row>
    <row r="783" spans="1:23" ht="16" x14ac:dyDescent="0.2">
      <c r="A783" s="5"/>
      <c r="B783" s="6"/>
      <c r="C783" s="6"/>
      <c r="D783" s="6"/>
      <c r="E783" s="6"/>
      <c r="F783" s="5"/>
      <c r="G783" s="5"/>
      <c r="H783" s="5"/>
      <c r="I783" s="5"/>
      <c r="J783" s="5"/>
      <c r="K783" s="5"/>
      <c r="L783" s="5"/>
      <c r="M783" s="5"/>
      <c r="N783" s="5"/>
      <c r="O783" s="5"/>
      <c r="P783" s="5"/>
      <c r="Q783" s="5"/>
      <c r="R783" s="5"/>
      <c r="S783" s="5"/>
      <c r="T783" s="5"/>
      <c r="U783" s="5"/>
      <c r="V783" s="5"/>
      <c r="W783" s="5"/>
    </row>
    <row r="784" spans="1:23" ht="16" x14ac:dyDescent="0.2">
      <c r="A784" s="5"/>
      <c r="B784" s="6"/>
      <c r="C784" s="6"/>
      <c r="D784" s="6"/>
      <c r="E784" s="6"/>
      <c r="F784" s="5"/>
      <c r="G784" s="5"/>
      <c r="H784" s="5"/>
      <c r="I784" s="5"/>
      <c r="J784" s="5"/>
      <c r="K784" s="5"/>
      <c r="L784" s="5"/>
      <c r="M784" s="5"/>
      <c r="N784" s="5"/>
      <c r="O784" s="5"/>
      <c r="P784" s="5"/>
      <c r="Q784" s="5"/>
      <c r="R784" s="5"/>
      <c r="S784" s="5"/>
      <c r="T784" s="5"/>
      <c r="U784" s="5"/>
      <c r="V784" s="5"/>
      <c r="W784" s="5"/>
    </row>
    <row r="785" spans="1:23" ht="16" x14ac:dyDescent="0.2">
      <c r="A785" s="5"/>
      <c r="B785" s="6"/>
      <c r="C785" s="6"/>
      <c r="D785" s="6"/>
      <c r="E785" s="6"/>
      <c r="F785" s="5"/>
      <c r="G785" s="5"/>
      <c r="H785" s="5"/>
      <c r="I785" s="5"/>
      <c r="J785" s="5"/>
      <c r="K785" s="5"/>
      <c r="L785" s="5"/>
      <c r="M785" s="5"/>
      <c r="N785" s="5"/>
      <c r="O785" s="5"/>
      <c r="P785" s="5"/>
      <c r="Q785" s="5"/>
      <c r="R785" s="5"/>
      <c r="S785" s="5"/>
      <c r="T785" s="5"/>
      <c r="U785" s="5"/>
      <c r="V785" s="5"/>
      <c r="W785" s="5"/>
    </row>
    <row r="786" spans="1:23" ht="16" x14ac:dyDescent="0.2">
      <c r="A786" s="5"/>
      <c r="B786" s="6"/>
      <c r="C786" s="6"/>
      <c r="D786" s="6"/>
      <c r="E786" s="6"/>
      <c r="F786" s="5"/>
      <c r="G786" s="5"/>
      <c r="H786" s="5"/>
      <c r="I786" s="5"/>
      <c r="J786" s="5"/>
      <c r="K786" s="5"/>
      <c r="L786" s="5"/>
      <c r="M786" s="5"/>
      <c r="N786" s="5"/>
      <c r="O786" s="5"/>
      <c r="P786" s="5"/>
      <c r="Q786" s="5"/>
      <c r="R786" s="5"/>
      <c r="S786" s="5"/>
      <c r="T786" s="5"/>
      <c r="U786" s="5"/>
      <c r="V786" s="5"/>
      <c r="W786" s="5"/>
    </row>
    <row r="787" spans="1:23" ht="16" x14ac:dyDescent="0.2">
      <c r="A787" s="5"/>
      <c r="B787" s="6"/>
      <c r="C787" s="6"/>
      <c r="D787" s="6"/>
      <c r="E787" s="6"/>
      <c r="F787" s="5"/>
      <c r="G787" s="5"/>
      <c r="H787" s="5"/>
      <c r="I787" s="5"/>
      <c r="J787" s="5"/>
      <c r="K787" s="5"/>
      <c r="L787" s="5"/>
      <c r="M787" s="5"/>
      <c r="N787" s="5"/>
      <c r="O787" s="5"/>
      <c r="P787" s="5"/>
      <c r="Q787" s="5"/>
      <c r="R787" s="5"/>
      <c r="S787" s="5"/>
      <c r="T787" s="5"/>
      <c r="U787" s="5"/>
      <c r="V787" s="5"/>
      <c r="W787" s="5"/>
    </row>
    <row r="788" spans="1:23" ht="16" x14ac:dyDescent="0.2">
      <c r="A788" s="5"/>
      <c r="B788" s="6"/>
      <c r="C788" s="6"/>
      <c r="D788" s="6"/>
      <c r="E788" s="6"/>
      <c r="F788" s="5"/>
      <c r="G788" s="5"/>
      <c r="H788" s="5"/>
      <c r="I788" s="5"/>
      <c r="J788" s="5"/>
      <c r="K788" s="5"/>
      <c r="L788" s="5"/>
      <c r="M788" s="5"/>
      <c r="N788" s="5"/>
      <c r="O788" s="5"/>
      <c r="P788" s="5"/>
      <c r="Q788" s="5"/>
      <c r="R788" s="5"/>
      <c r="S788" s="5"/>
      <c r="T788" s="5"/>
      <c r="U788" s="5"/>
      <c r="V788" s="5"/>
      <c r="W788" s="5"/>
    </row>
    <row r="789" spans="1:23" ht="16" x14ac:dyDescent="0.2">
      <c r="A789" s="5"/>
      <c r="B789" s="6"/>
      <c r="C789" s="6"/>
      <c r="D789" s="6"/>
      <c r="E789" s="6"/>
      <c r="F789" s="5"/>
      <c r="G789" s="5"/>
      <c r="H789" s="5"/>
      <c r="I789" s="5"/>
      <c r="J789" s="5"/>
      <c r="K789" s="5"/>
      <c r="L789" s="5"/>
      <c r="M789" s="5"/>
      <c r="N789" s="5"/>
      <c r="O789" s="5"/>
      <c r="P789" s="5"/>
      <c r="Q789" s="5"/>
      <c r="R789" s="5"/>
      <c r="S789" s="5"/>
      <c r="T789" s="5"/>
      <c r="U789" s="5"/>
      <c r="V789" s="5"/>
      <c r="W789" s="5"/>
    </row>
    <row r="790" spans="1:23" ht="16" x14ac:dyDescent="0.2">
      <c r="A790" s="5"/>
      <c r="B790" s="6"/>
      <c r="C790" s="6"/>
      <c r="D790" s="6"/>
      <c r="E790" s="6"/>
      <c r="F790" s="5"/>
      <c r="G790" s="5"/>
      <c r="H790" s="5"/>
      <c r="I790" s="5"/>
      <c r="J790" s="5"/>
      <c r="K790" s="5"/>
      <c r="L790" s="5"/>
      <c r="M790" s="5"/>
      <c r="N790" s="5"/>
      <c r="O790" s="5"/>
      <c r="P790" s="5"/>
      <c r="Q790" s="5"/>
      <c r="R790" s="5"/>
      <c r="S790" s="5"/>
      <c r="T790" s="5"/>
      <c r="U790" s="5"/>
      <c r="V790" s="5"/>
      <c r="W790" s="5"/>
    </row>
    <row r="791" spans="1:23" ht="16" x14ac:dyDescent="0.2">
      <c r="A791" s="5"/>
      <c r="B791" s="6"/>
      <c r="C791" s="6"/>
      <c r="D791" s="6"/>
      <c r="E791" s="6"/>
      <c r="F791" s="5"/>
      <c r="G791" s="5"/>
      <c r="H791" s="5"/>
      <c r="I791" s="5"/>
      <c r="J791" s="5"/>
      <c r="K791" s="5"/>
      <c r="L791" s="5"/>
      <c r="M791" s="5"/>
      <c r="N791" s="5"/>
      <c r="O791" s="5"/>
      <c r="P791" s="5"/>
      <c r="Q791" s="5"/>
      <c r="R791" s="5"/>
      <c r="S791" s="5"/>
      <c r="T791" s="5"/>
      <c r="U791" s="5"/>
      <c r="V791" s="5"/>
      <c r="W791" s="5"/>
    </row>
    <row r="792" spans="1:23" ht="16" x14ac:dyDescent="0.2">
      <c r="A792" s="5"/>
      <c r="B792" s="6"/>
      <c r="C792" s="6"/>
      <c r="D792" s="6"/>
      <c r="E792" s="6"/>
      <c r="F792" s="5"/>
      <c r="G792" s="5"/>
      <c r="H792" s="5"/>
      <c r="I792" s="5"/>
      <c r="J792" s="5"/>
      <c r="K792" s="5"/>
      <c r="L792" s="5"/>
      <c r="M792" s="5"/>
      <c r="N792" s="5"/>
      <c r="O792" s="5"/>
      <c r="P792" s="5"/>
      <c r="Q792" s="5"/>
      <c r="R792" s="5"/>
      <c r="S792" s="5"/>
      <c r="T792" s="5"/>
      <c r="U792" s="5"/>
      <c r="V792" s="5"/>
      <c r="W792" s="5"/>
    </row>
    <row r="793" spans="1:23" ht="16" x14ac:dyDescent="0.2">
      <c r="A793" s="5"/>
      <c r="B793" s="6"/>
      <c r="C793" s="6"/>
      <c r="D793" s="6"/>
      <c r="E793" s="6"/>
      <c r="F793" s="5"/>
      <c r="G793" s="5"/>
      <c r="H793" s="5"/>
      <c r="I793" s="5"/>
      <c r="J793" s="5"/>
      <c r="K793" s="5"/>
      <c r="L793" s="5"/>
      <c r="M793" s="5"/>
      <c r="N793" s="5"/>
      <c r="O793" s="5"/>
      <c r="P793" s="5"/>
      <c r="Q793" s="5"/>
      <c r="R793" s="5"/>
      <c r="S793" s="5"/>
      <c r="T793" s="5"/>
      <c r="U793" s="5"/>
      <c r="V793" s="5"/>
      <c r="W793" s="5"/>
    </row>
    <row r="794" spans="1:23" ht="16" x14ac:dyDescent="0.2">
      <c r="A794" s="5"/>
      <c r="B794" s="6"/>
      <c r="C794" s="6"/>
      <c r="D794" s="6"/>
      <c r="E794" s="6"/>
      <c r="F794" s="5"/>
      <c r="G794" s="5"/>
      <c r="H794" s="5"/>
      <c r="I794" s="5"/>
      <c r="J794" s="5"/>
      <c r="K794" s="5"/>
      <c r="L794" s="5"/>
      <c r="M794" s="5"/>
      <c r="N794" s="5"/>
      <c r="O794" s="5"/>
      <c r="P794" s="5"/>
      <c r="Q794" s="5"/>
      <c r="R794" s="5"/>
      <c r="S794" s="5"/>
      <c r="T794" s="5"/>
      <c r="U794" s="5"/>
      <c r="V794" s="5"/>
      <c r="W794" s="5"/>
    </row>
    <row r="795" spans="1:23" ht="16" x14ac:dyDescent="0.2">
      <c r="A795" s="5"/>
      <c r="B795" s="6"/>
      <c r="C795" s="6"/>
      <c r="D795" s="6"/>
      <c r="E795" s="6"/>
      <c r="F795" s="5"/>
      <c r="G795" s="5"/>
      <c r="H795" s="5"/>
      <c r="I795" s="5"/>
      <c r="J795" s="5"/>
      <c r="K795" s="5"/>
      <c r="L795" s="5"/>
      <c r="M795" s="5"/>
      <c r="N795" s="5"/>
      <c r="O795" s="5"/>
      <c r="P795" s="5"/>
      <c r="Q795" s="5"/>
      <c r="R795" s="5"/>
      <c r="S795" s="5"/>
      <c r="T795" s="5"/>
      <c r="U795" s="5"/>
      <c r="V795" s="5"/>
      <c r="W795" s="5"/>
    </row>
    <row r="796" spans="1:23" ht="16" x14ac:dyDescent="0.2">
      <c r="A796" s="5"/>
      <c r="B796" s="6"/>
      <c r="C796" s="6"/>
      <c r="D796" s="6"/>
      <c r="E796" s="6"/>
      <c r="F796" s="5"/>
      <c r="G796" s="5"/>
      <c r="H796" s="5"/>
      <c r="I796" s="5"/>
      <c r="J796" s="5"/>
      <c r="K796" s="5"/>
      <c r="L796" s="5"/>
      <c r="M796" s="5"/>
      <c r="N796" s="5"/>
      <c r="O796" s="5"/>
      <c r="P796" s="5"/>
      <c r="Q796" s="5"/>
      <c r="R796" s="5"/>
      <c r="S796" s="5"/>
      <c r="T796" s="5"/>
      <c r="U796" s="5"/>
      <c r="V796" s="5"/>
      <c r="W796" s="5"/>
    </row>
    <row r="797" spans="1:23" ht="16" x14ac:dyDescent="0.2">
      <c r="A797" s="5"/>
      <c r="B797" s="6"/>
      <c r="C797" s="6"/>
      <c r="D797" s="6"/>
      <c r="E797" s="6"/>
      <c r="F797" s="5"/>
      <c r="G797" s="5"/>
      <c r="H797" s="5"/>
      <c r="I797" s="5"/>
      <c r="J797" s="5"/>
      <c r="K797" s="5"/>
      <c r="L797" s="5"/>
      <c r="M797" s="5"/>
      <c r="N797" s="5"/>
      <c r="O797" s="5"/>
      <c r="P797" s="5"/>
      <c r="Q797" s="5"/>
      <c r="R797" s="5"/>
      <c r="S797" s="5"/>
      <c r="T797" s="5"/>
      <c r="U797" s="5"/>
      <c r="V797" s="5"/>
      <c r="W797" s="5"/>
    </row>
    <row r="798" spans="1:23" ht="16" x14ac:dyDescent="0.2">
      <c r="A798" s="5"/>
      <c r="B798" s="6"/>
      <c r="C798" s="6"/>
      <c r="D798" s="6"/>
      <c r="E798" s="6"/>
      <c r="F798" s="5"/>
      <c r="G798" s="5"/>
      <c r="H798" s="5"/>
      <c r="I798" s="5"/>
      <c r="J798" s="5"/>
      <c r="K798" s="5"/>
      <c r="L798" s="5"/>
      <c r="M798" s="5"/>
      <c r="N798" s="5"/>
      <c r="O798" s="5"/>
      <c r="P798" s="5"/>
      <c r="Q798" s="5"/>
      <c r="R798" s="5"/>
      <c r="S798" s="5"/>
      <c r="T798" s="5"/>
      <c r="U798" s="5"/>
      <c r="V798" s="5"/>
      <c r="W798" s="5"/>
    </row>
    <row r="799" spans="1:23" ht="16" x14ac:dyDescent="0.2">
      <c r="A799" s="5"/>
      <c r="B799" s="6"/>
      <c r="C799" s="6"/>
      <c r="D799" s="6"/>
      <c r="E799" s="6"/>
      <c r="F799" s="5"/>
      <c r="G799" s="5"/>
      <c r="H799" s="5"/>
      <c r="I799" s="5"/>
      <c r="J799" s="5"/>
      <c r="K799" s="5"/>
      <c r="L799" s="5"/>
      <c r="M799" s="5"/>
      <c r="N799" s="5"/>
      <c r="O799" s="5"/>
      <c r="P799" s="5"/>
      <c r="Q799" s="5"/>
      <c r="R799" s="5"/>
      <c r="S799" s="5"/>
      <c r="T799" s="5"/>
      <c r="U799" s="5"/>
      <c r="V799" s="5"/>
      <c r="W799" s="5"/>
    </row>
    <row r="800" spans="1:23" ht="16" x14ac:dyDescent="0.2">
      <c r="A800" s="5"/>
      <c r="B800" s="6"/>
      <c r="C800" s="6"/>
      <c r="D800" s="6"/>
      <c r="E800" s="6"/>
      <c r="F800" s="5"/>
      <c r="G800" s="5"/>
      <c r="H800" s="5"/>
      <c r="I800" s="5"/>
      <c r="J800" s="5"/>
      <c r="K800" s="5"/>
      <c r="L800" s="5"/>
      <c r="M800" s="5"/>
      <c r="N800" s="5"/>
      <c r="O800" s="5"/>
      <c r="P800" s="5"/>
      <c r="Q800" s="5"/>
      <c r="R800" s="5"/>
      <c r="S800" s="5"/>
      <c r="T800" s="5"/>
      <c r="U800" s="5"/>
      <c r="V800" s="5"/>
      <c r="W800" s="5"/>
    </row>
    <row r="801" spans="1:23" ht="16" x14ac:dyDescent="0.2">
      <c r="A801" s="5"/>
      <c r="B801" s="6"/>
      <c r="C801" s="6"/>
      <c r="D801" s="6"/>
      <c r="E801" s="6"/>
      <c r="F801" s="5"/>
      <c r="G801" s="5"/>
      <c r="H801" s="5"/>
      <c r="I801" s="5"/>
      <c r="J801" s="5"/>
      <c r="K801" s="5"/>
      <c r="L801" s="5"/>
      <c r="M801" s="5"/>
      <c r="N801" s="5"/>
      <c r="O801" s="5"/>
      <c r="P801" s="5"/>
      <c r="Q801" s="5"/>
      <c r="R801" s="5"/>
      <c r="S801" s="5"/>
      <c r="T801" s="5"/>
      <c r="U801" s="5"/>
      <c r="V801" s="5"/>
      <c r="W801" s="5"/>
    </row>
    <row r="802" spans="1:23" ht="16" x14ac:dyDescent="0.2">
      <c r="A802" s="5"/>
      <c r="B802" s="6"/>
      <c r="C802" s="6"/>
      <c r="D802" s="6"/>
      <c r="E802" s="6"/>
      <c r="F802" s="5"/>
      <c r="G802" s="5"/>
      <c r="H802" s="5"/>
      <c r="I802" s="5"/>
      <c r="J802" s="5"/>
      <c r="K802" s="5"/>
      <c r="L802" s="5"/>
      <c r="M802" s="5"/>
      <c r="N802" s="5"/>
      <c r="O802" s="5"/>
      <c r="P802" s="5"/>
      <c r="Q802" s="5"/>
      <c r="R802" s="5"/>
      <c r="S802" s="5"/>
      <c r="T802" s="5"/>
      <c r="U802" s="5"/>
      <c r="V802" s="5"/>
      <c r="W802" s="5"/>
    </row>
    <row r="803" spans="1:23" ht="16" x14ac:dyDescent="0.2">
      <c r="A803" s="5"/>
      <c r="B803" s="6"/>
      <c r="C803" s="6"/>
      <c r="D803" s="6"/>
      <c r="E803" s="6"/>
      <c r="F803" s="5"/>
      <c r="G803" s="5"/>
      <c r="H803" s="5"/>
      <c r="I803" s="5"/>
      <c r="J803" s="5"/>
      <c r="K803" s="5"/>
      <c r="L803" s="5"/>
      <c r="M803" s="5"/>
      <c r="N803" s="5"/>
      <c r="O803" s="5"/>
      <c r="P803" s="5"/>
      <c r="Q803" s="5"/>
      <c r="R803" s="5"/>
      <c r="S803" s="5"/>
      <c r="T803" s="5"/>
      <c r="U803" s="5"/>
      <c r="V803" s="5"/>
      <c r="W803" s="5"/>
    </row>
    <row r="804" spans="1:23" ht="16" x14ac:dyDescent="0.2">
      <c r="A804" s="5"/>
      <c r="B804" s="6"/>
      <c r="C804" s="6"/>
      <c r="D804" s="6"/>
      <c r="E804" s="6"/>
      <c r="F804" s="5"/>
      <c r="G804" s="5"/>
      <c r="H804" s="5"/>
      <c r="I804" s="5"/>
      <c r="J804" s="5"/>
      <c r="K804" s="5"/>
      <c r="L804" s="5"/>
      <c r="M804" s="5"/>
      <c r="N804" s="5"/>
      <c r="O804" s="5"/>
      <c r="P804" s="5"/>
      <c r="Q804" s="5"/>
      <c r="R804" s="5"/>
      <c r="S804" s="5"/>
      <c r="T804" s="5"/>
      <c r="U804" s="5"/>
      <c r="V804" s="5"/>
      <c r="W804" s="5"/>
    </row>
    <row r="805" spans="1:23" ht="16" x14ac:dyDescent="0.2">
      <c r="A805" s="5"/>
      <c r="B805" s="6"/>
      <c r="C805" s="6"/>
      <c r="D805" s="6"/>
      <c r="E805" s="6"/>
      <c r="F805" s="5"/>
      <c r="G805" s="5"/>
      <c r="H805" s="5"/>
      <c r="I805" s="5"/>
      <c r="J805" s="5"/>
      <c r="K805" s="5"/>
      <c r="L805" s="5"/>
      <c r="M805" s="5"/>
      <c r="N805" s="5"/>
      <c r="O805" s="5"/>
      <c r="P805" s="5"/>
      <c r="Q805" s="5"/>
      <c r="R805" s="5"/>
      <c r="S805" s="5"/>
      <c r="T805" s="5"/>
      <c r="U805" s="5"/>
      <c r="V805" s="5"/>
      <c r="W805" s="5"/>
    </row>
    <row r="806" spans="1:23" ht="16" x14ac:dyDescent="0.2">
      <c r="A806" s="5"/>
      <c r="B806" s="6"/>
      <c r="C806" s="6"/>
      <c r="D806" s="6"/>
      <c r="E806" s="6"/>
      <c r="F806" s="5"/>
      <c r="G806" s="5"/>
      <c r="H806" s="5"/>
      <c r="I806" s="5"/>
      <c r="J806" s="5"/>
      <c r="K806" s="5"/>
      <c r="L806" s="5"/>
      <c r="M806" s="5"/>
      <c r="N806" s="5"/>
      <c r="O806" s="5"/>
      <c r="P806" s="5"/>
      <c r="Q806" s="5"/>
      <c r="R806" s="5"/>
      <c r="S806" s="5"/>
      <c r="T806" s="5"/>
      <c r="U806" s="5"/>
      <c r="V806" s="5"/>
      <c r="W806" s="5"/>
    </row>
    <row r="807" spans="1:23" ht="16" x14ac:dyDescent="0.2">
      <c r="A807" s="5"/>
      <c r="B807" s="6"/>
      <c r="C807" s="6"/>
      <c r="D807" s="6"/>
      <c r="E807" s="6"/>
      <c r="F807" s="5"/>
      <c r="G807" s="5"/>
      <c r="H807" s="5"/>
      <c r="I807" s="5"/>
      <c r="J807" s="5"/>
      <c r="K807" s="5"/>
      <c r="L807" s="5"/>
      <c r="M807" s="5"/>
      <c r="N807" s="5"/>
      <c r="O807" s="5"/>
      <c r="P807" s="5"/>
      <c r="Q807" s="5"/>
      <c r="R807" s="5"/>
      <c r="S807" s="5"/>
      <c r="T807" s="5"/>
      <c r="U807" s="5"/>
      <c r="V807" s="5"/>
      <c r="W807" s="5"/>
    </row>
    <row r="808" spans="1:23" ht="16" x14ac:dyDescent="0.2">
      <c r="A808" s="5"/>
      <c r="B808" s="6"/>
      <c r="C808" s="6"/>
      <c r="D808" s="6"/>
      <c r="E808" s="6"/>
      <c r="F808" s="5"/>
      <c r="G808" s="5"/>
      <c r="H808" s="5"/>
      <c r="I808" s="5"/>
      <c r="J808" s="5"/>
      <c r="K808" s="5"/>
      <c r="L808" s="5"/>
      <c r="M808" s="5"/>
      <c r="N808" s="5"/>
      <c r="O808" s="5"/>
      <c r="P808" s="5"/>
      <c r="Q808" s="5"/>
      <c r="R808" s="5"/>
      <c r="S808" s="5"/>
      <c r="T808" s="5"/>
      <c r="U808" s="5"/>
      <c r="V808" s="5"/>
      <c r="W808" s="5"/>
    </row>
    <row r="809" spans="1:23" ht="16" x14ac:dyDescent="0.2">
      <c r="A809" s="5"/>
      <c r="B809" s="6"/>
      <c r="C809" s="6"/>
      <c r="D809" s="6"/>
      <c r="E809" s="6"/>
      <c r="F809" s="5"/>
      <c r="G809" s="5"/>
      <c r="H809" s="5"/>
      <c r="I809" s="5"/>
      <c r="J809" s="5"/>
      <c r="K809" s="5"/>
      <c r="L809" s="5"/>
      <c r="M809" s="5"/>
      <c r="N809" s="5"/>
      <c r="O809" s="5"/>
      <c r="P809" s="5"/>
      <c r="Q809" s="5"/>
      <c r="R809" s="5"/>
      <c r="S809" s="5"/>
      <c r="T809" s="5"/>
      <c r="U809" s="5"/>
      <c r="V809" s="5"/>
      <c r="W809" s="5"/>
    </row>
    <row r="810" spans="1:23" ht="16" x14ac:dyDescent="0.2">
      <c r="A810" s="5"/>
      <c r="B810" s="6"/>
      <c r="C810" s="6"/>
      <c r="D810" s="6"/>
      <c r="E810" s="6"/>
      <c r="F810" s="5"/>
      <c r="G810" s="5"/>
      <c r="H810" s="5"/>
      <c r="I810" s="5"/>
      <c r="J810" s="5"/>
      <c r="K810" s="5"/>
      <c r="L810" s="5"/>
      <c r="M810" s="5"/>
      <c r="N810" s="5"/>
      <c r="O810" s="5"/>
      <c r="P810" s="5"/>
      <c r="Q810" s="5"/>
      <c r="R810" s="5"/>
      <c r="S810" s="5"/>
      <c r="T810" s="5"/>
      <c r="U810" s="5"/>
      <c r="V810" s="5"/>
      <c r="W810" s="5"/>
    </row>
    <row r="811" spans="1:23" ht="16" x14ac:dyDescent="0.2">
      <c r="A811" s="5"/>
      <c r="B811" s="6"/>
      <c r="C811" s="6"/>
      <c r="D811" s="6"/>
      <c r="E811" s="6"/>
      <c r="F811" s="5"/>
      <c r="G811" s="5"/>
      <c r="H811" s="5"/>
      <c r="I811" s="5"/>
      <c r="J811" s="5"/>
      <c r="K811" s="5"/>
      <c r="L811" s="5"/>
      <c r="M811" s="5"/>
      <c r="N811" s="5"/>
      <c r="O811" s="5"/>
      <c r="P811" s="5"/>
      <c r="Q811" s="5"/>
      <c r="R811" s="5"/>
      <c r="S811" s="5"/>
      <c r="T811" s="5"/>
      <c r="U811" s="5"/>
      <c r="V811" s="5"/>
      <c r="W811" s="5"/>
    </row>
    <row r="812" spans="1:23" ht="16" x14ac:dyDescent="0.2">
      <c r="A812" s="5"/>
      <c r="B812" s="6"/>
      <c r="C812" s="6"/>
      <c r="D812" s="6"/>
      <c r="E812" s="6"/>
      <c r="F812" s="5"/>
      <c r="G812" s="5"/>
      <c r="H812" s="5"/>
      <c r="I812" s="5"/>
      <c r="J812" s="5"/>
      <c r="K812" s="5"/>
      <c r="L812" s="5"/>
      <c r="M812" s="5"/>
      <c r="N812" s="5"/>
      <c r="O812" s="5"/>
      <c r="P812" s="5"/>
      <c r="Q812" s="5"/>
      <c r="R812" s="5"/>
      <c r="S812" s="5"/>
      <c r="T812" s="5"/>
      <c r="U812" s="5"/>
      <c r="V812" s="5"/>
      <c r="W812" s="5"/>
    </row>
    <row r="813" spans="1:23" ht="16" x14ac:dyDescent="0.2">
      <c r="A813" s="5"/>
      <c r="B813" s="6"/>
      <c r="C813" s="6"/>
      <c r="D813" s="6"/>
      <c r="E813" s="6"/>
      <c r="F813" s="5"/>
      <c r="G813" s="5"/>
      <c r="H813" s="5"/>
      <c r="I813" s="5"/>
      <c r="J813" s="5"/>
      <c r="K813" s="5"/>
      <c r="L813" s="5"/>
      <c r="M813" s="5"/>
      <c r="N813" s="5"/>
      <c r="O813" s="5"/>
      <c r="P813" s="5"/>
      <c r="Q813" s="5"/>
      <c r="R813" s="5"/>
      <c r="S813" s="5"/>
      <c r="T813" s="5"/>
      <c r="U813" s="5"/>
      <c r="V813" s="5"/>
      <c r="W813" s="5"/>
    </row>
    <row r="814" spans="1:23" ht="16" x14ac:dyDescent="0.2">
      <c r="A814" s="5"/>
      <c r="B814" s="6"/>
      <c r="C814" s="6"/>
      <c r="D814" s="6"/>
      <c r="E814" s="6"/>
      <c r="F814" s="5"/>
      <c r="G814" s="5"/>
      <c r="H814" s="5"/>
      <c r="I814" s="5"/>
      <c r="J814" s="5"/>
      <c r="K814" s="5"/>
      <c r="L814" s="5"/>
      <c r="M814" s="5"/>
      <c r="N814" s="5"/>
      <c r="O814" s="5"/>
      <c r="P814" s="5"/>
      <c r="Q814" s="5"/>
      <c r="R814" s="5"/>
      <c r="S814" s="5"/>
      <c r="T814" s="5"/>
      <c r="U814" s="5"/>
      <c r="V814" s="5"/>
      <c r="W814" s="5"/>
    </row>
    <row r="815" spans="1:23" ht="16" x14ac:dyDescent="0.2">
      <c r="A815" s="5"/>
      <c r="B815" s="6"/>
      <c r="C815" s="6"/>
      <c r="D815" s="6"/>
      <c r="E815" s="6"/>
      <c r="F815" s="5"/>
      <c r="G815" s="5"/>
      <c r="H815" s="5"/>
      <c r="I815" s="5"/>
      <c r="J815" s="5"/>
      <c r="K815" s="5"/>
      <c r="L815" s="5"/>
      <c r="M815" s="5"/>
      <c r="N815" s="5"/>
      <c r="O815" s="5"/>
      <c r="P815" s="5"/>
      <c r="Q815" s="5"/>
      <c r="R815" s="5"/>
      <c r="S815" s="5"/>
      <c r="T815" s="5"/>
      <c r="U815" s="5"/>
      <c r="V815" s="5"/>
      <c r="W815" s="5"/>
    </row>
    <row r="816" spans="1:23" ht="16" x14ac:dyDescent="0.2">
      <c r="A816" s="5"/>
      <c r="B816" s="6"/>
      <c r="C816" s="6"/>
      <c r="D816" s="6"/>
      <c r="E816" s="6"/>
      <c r="F816" s="5"/>
      <c r="G816" s="5"/>
      <c r="H816" s="5"/>
      <c r="I816" s="5"/>
      <c r="J816" s="5"/>
      <c r="K816" s="5"/>
      <c r="L816" s="5"/>
      <c r="M816" s="5"/>
      <c r="N816" s="5"/>
      <c r="O816" s="5"/>
      <c r="P816" s="5"/>
      <c r="Q816" s="5"/>
      <c r="R816" s="5"/>
      <c r="S816" s="5"/>
      <c r="T816" s="5"/>
      <c r="U816" s="5"/>
      <c r="V816" s="5"/>
      <c r="W816" s="5"/>
    </row>
    <row r="817" spans="1:23" ht="16" x14ac:dyDescent="0.2">
      <c r="A817" s="5"/>
      <c r="B817" s="6"/>
      <c r="C817" s="6"/>
      <c r="D817" s="6"/>
      <c r="E817" s="6"/>
      <c r="F817" s="5"/>
      <c r="G817" s="5"/>
      <c r="H817" s="5"/>
      <c r="I817" s="5"/>
      <c r="J817" s="5"/>
      <c r="K817" s="5"/>
      <c r="L817" s="5"/>
      <c r="M817" s="5"/>
      <c r="N817" s="5"/>
      <c r="O817" s="5"/>
      <c r="P817" s="5"/>
      <c r="Q817" s="5"/>
      <c r="R817" s="5"/>
      <c r="S817" s="5"/>
      <c r="T817" s="5"/>
      <c r="U817" s="5"/>
      <c r="V817" s="5"/>
      <c r="W817" s="5"/>
    </row>
    <row r="818" spans="1:23" ht="16" x14ac:dyDescent="0.2">
      <c r="A818" s="5"/>
      <c r="B818" s="6"/>
      <c r="C818" s="6"/>
      <c r="D818" s="6"/>
      <c r="E818" s="6"/>
      <c r="F818" s="5"/>
      <c r="G818" s="5"/>
      <c r="H818" s="5"/>
      <c r="I818" s="5"/>
      <c r="J818" s="5"/>
      <c r="K818" s="5"/>
      <c r="L818" s="5"/>
      <c r="M818" s="5"/>
      <c r="N818" s="5"/>
      <c r="O818" s="5"/>
      <c r="P818" s="5"/>
      <c r="Q818" s="5"/>
      <c r="R818" s="5"/>
      <c r="S818" s="5"/>
      <c r="T818" s="5"/>
      <c r="U818" s="5"/>
      <c r="V818" s="5"/>
      <c r="W818" s="5"/>
    </row>
    <row r="819" spans="1:23" ht="16" x14ac:dyDescent="0.2">
      <c r="A819" s="5"/>
      <c r="B819" s="6"/>
      <c r="C819" s="6"/>
      <c r="D819" s="6"/>
      <c r="E819" s="6"/>
      <c r="F819" s="5"/>
      <c r="G819" s="5"/>
      <c r="H819" s="5"/>
      <c r="I819" s="5"/>
      <c r="J819" s="5"/>
      <c r="K819" s="5"/>
      <c r="L819" s="5"/>
      <c r="M819" s="5"/>
      <c r="N819" s="5"/>
      <c r="O819" s="5"/>
      <c r="P819" s="5"/>
      <c r="Q819" s="5"/>
      <c r="R819" s="5"/>
      <c r="S819" s="5"/>
      <c r="T819" s="5"/>
      <c r="U819" s="5"/>
      <c r="V819" s="5"/>
      <c r="W819" s="5"/>
    </row>
    <row r="820" spans="1:23" ht="16" x14ac:dyDescent="0.2">
      <c r="A820" s="5"/>
      <c r="B820" s="6"/>
      <c r="C820" s="6"/>
      <c r="D820" s="6"/>
      <c r="E820" s="6"/>
      <c r="F820" s="5"/>
      <c r="G820" s="5"/>
      <c r="H820" s="5"/>
      <c r="I820" s="5"/>
      <c r="J820" s="5"/>
      <c r="K820" s="5"/>
      <c r="L820" s="5"/>
      <c r="M820" s="5"/>
      <c r="N820" s="5"/>
      <c r="O820" s="5"/>
      <c r="P820" s="5"/>
      <c r="Q820" s="5"/>
      <c r="R820" s="5"/>
      <c r="S820" s="5"/>
      <c r="T820" s="5"/>
      <c r="U820" s="5"/>
      <c r="V820" s="5"/>
      <c r="W820" s="5"/>
    </row>
    <row r="821" spans="1:23" ht="16" x14ac:dyDescent="0.2">
      <c r="A821" s="5"/>
      <c r="B821" s="6"/>
      <c r="C821" s="6"/>
      <c r="D821" s="6"/>
      <c r="E821" s="6"/>
      <c r="F821" s="5"/>
      <c r="G821" s="5"/>
      <c r="H821" s="5"/>
      <c r="I821" s="5"/>
      <c r="J821" s="5"/>
      <c r="K821" s="5"/>
      <c r="L821" s="5"/>
      <c r="M821" s="5"/>
      <c r="N821" s="5"/>
      <c r="O821" s="5"/>
      <c r="P821" s="5"/>
      <c r="Q821" s="5"/>
      <c r="R821" s="5"/>
      <c r="S821" s="5"/>
      <c r="T821" s="5"/>
      <c r="U821" s="5"/>
      <c r="V821" s="5"/>
      <c r="W821" s="5"/>
    </row>
    <row r="822" spans="1:23" ht="16" x14ac:dyDescent="0.2">
      <c r="A822" s="5"/>
      <c r="B822" s="6"/>
      <c r="C822" s="6"/>
      <c r="D822" s="6"/>
      <c r="E822" s="6"/>
      <c r="F822" s="5"/>
      <c r="G822" s="5"/>
      <c r="H822" s="5"/>
      <c r="I822" s="5"/>
      <c r="J822" s="5"/>
      <c r="K822" s="5"/>
      <c r="L822" s="5"/>
      <c r="M822" s="5"/>
      <c r="N822" s="5"/>
      <c r="O822" s="5"/>
      <c r="P822" s="5"/>
      <c r="Q822" s="5"/>
      <c r="R822" s="5"/>
      <c r="S822" s="5"/>
      <c r="T822" s="5"/>
      <c r="U822" s="5"/>
      <c r="V822" s="5"/>
      <c r="W822" s="5"/>
    </row>
    <row r="823" spans="1:23" ht="16" x14ac:dyDescent="0.2">
      <c r="A823" s="5"/>
      <c r="B823" s="6"/>
      <c r="C823" s="6"/>
      <c r="D823" s="6"/>
      <c r="E823" s="6"/>
      <c r="F823" s="5"/>
      <c r="G823" s="5"/>
      <c r="H823" s="5"/>
      <c r="I823" s="5"/>
      <c r="J823" s="5"/>
      <c r="K823" s="5"/>
      <c r="L823" s="5"/>
      <c r="M823" s="5"/>
      <c r="N823" s="5"/>
      <c r="O823" s="5"/>
      <c r="P823" s="5"/>
      <c r="Q823" s="5"/>
      <c r="R823" s="5"/>
      <c r="S823" s="5"/>
      <c r="T823" s="5"/>
      <c r="U823" s="5"/>
      <c r="V823" s="5"/>
      <c r="W823" s="5"/>
    </row>
    <row r="824" spans="1:23" ht="16" x14ac:dyDescent="0.2">
      <c r="A824" s="5"/>
      <c r="B824" s="6"/>
      <c r="C824" s="6"/>
      <c r="D824" s="6"/>
      <c r="E824" s="6"/>
      <c r="F824" s="5"/>
      <c r="G824" s="5"/>
      <c r="H824" s="5"/>
      <c r="I824" s="5"/>
      <c r="J824" s="5"/>
      <c r="K824" s="5"/>
      <c r="L824" s="5"/>
      <c r="M824" s="5"/>
      <c r="N824" s="5"/>
      <c r="O824" s="5"/>
      <c r="P824" s="5"/>
      <c r="Q824" s="5"/>
      <c r="R824" s="5"/>
      <c r="S824" s="5"/>
      <c r="T824" s="5"/>
      <c r="U824" s="5"/>
      <c r="V824" s="5"/>
      <c r="W824" s="5"/>
    </row>
    <row r="825" spans="1:23" ht="16" x14ac:dyDescent="0.2">
      <c r="A825" s="5"/>
      <c r="B825" s="6"/>
      <c r="C825" s="6"/>
      <c r="D825" s="6"/>
      <c r="E825" s="6"/>
      <c r="F825" s="5"/>
      <c r="G825" s="5"/>
      <c r="H825" s="5"/>
      <c r="I825" s="5"/>
      <c r="J825" s="5"/>
      <c r="K825" s="5"/>
      <c r="L825" s="5"/>
      <c r="M825" s="5"/>
      <c r="N825" s="5"/>
      <c r="O825" s="5"/>
      <c r="P825" s="5"/>
      <c r="Q825" s="5"/>
      <c r="R825" s="5"/>
      <c r="S825" s="5"/>
      <c r="T825" s="5"/>
      <c r="U825" s="5"/>
      <c r="V825" s="5"/>
      <c r="W825" s="5"/>
    </row>
    <row r="826" spans="1:23" ht="16" x14ac:dyDescent="0.2">
      <c r="A826" s="5"/>
      <c r="B826" s="6"/>
      <c r="C826" s="6"/>
      <c r="D826" s="6"/>
      <c r="E826" s="6"/>
      <c r="F826" s="5"/>
      <c r="G826" s="5"/>
      <c r="H826" s="5"/>
      <c r="I826" s="5"/>
      <c r="J826" s="5"/>
      <c r="K826" s="5"/>
      <c r="L826" s="5"/>
      <c r="M826" s="5"/>
      <c r="N826" s="5"/>
      <c r="O826" s="5"/>
      <c r="P826" s="5"/>
      <c r="Q826" s="5"/>
      <c r="R826" s="5"/>
      <c r="S826" s="5"/>
      <c r="T826" s="5"/>
      <c r="U826" s="5"/>
      <c r="V826" s="5"/>
      <c r="W826" s="5"/>
    </row>
    <row r="827" spans="1:23" ht="16" x14ac:dyDescent="0.2">
      <c r="A827" s="5"/>
      <c r="B827" s="6"/>
      <c r="C827" s="6"/>
      <c r="D827" s="6"/>
      <c r="E827" s="6"/>
      <c r="F827" s="5"/>
      <c r="G827" s="5"/>
      <c r="H827" s="5"/>
      <c r="I827" s="5"/>
      <c r="J827" s="5"/>
      <c r="K827" s="5"/>
      <c r="L827" s="5"/>
      <c r="M827" s="5"/>
      <c r="N827" s="5"/>
      <c r="O827" s="5"/>
      <c r="P827" s="5"/>
      <c r="Q827" s="5"/>
      <c r="R827" s="5"/>
      <c r="S827" s="5"/>
      <c r="T827" s="5"/>
      <c r="U827" s="5"/>
      <c r="V827" s="5"/>
      <c r="W827" s="5"/>
    </row>
    <row r="828" spans="1:23" ht="16" x14ac:dyDescent="0.2">
      <c r="A828" s="5"/>
      <c r="B828" s="6"/>
      <c r="C828" s="6"/>
      <c r="D828" s="6"/>
      <c r="E828" s="6"/>
      <c r="F828" s="5"/>
      <c r="G828" s="5"/>
      <c r="H828" s="5"/>
      <c r="I828" s="5"/>
      <c r="J828" s="5"/>
      <c r="K828" s="5"/>
      <c r="L828" s="5"/>
      <c r="M828" s="5"/>
      <c r="N828" s="5"/>
      <c r="O828" s="5"/>
      <c r="P828" s="5"/>
      <c r="Q828" s="5"/>
      <c r="R828" s="5"/>
      <c r="S828" s="5"/>
      <c r="T828" s="5"/>
      <c r="U828" s="5"/>
      <c r="V828" s="5"/>
      <c r="W828" s="5"/>
    </row>
    <row r="829" spans="1:23" ht="16" x14ac:dyDescent="0.2">
      <c r="A829" s="5"/>
      <c r="B829" s="6"/>
      <c r="C829" s="6"/>
      <c r="D829" s="6"/>
      <c r="E829" s="6"/>
      <c r="F829" s="5"/>
      <c r="G829" s="5"/>
      <c r="H829" s="5"/>
      <c r="I829" s="5"/>
      <c r="J829" s="5"/>
      <c r="K829" s="5"/>
      <c r="L829" s="5"/>
      <c r="M829" s="5"/>
      <c r="N829" s="5"/>
      <c r="O829" s="5"/>
      <c r="P829" s="5"/>
      <c r="Q829" s="5"/>
      <c r="R829" s="5"/>
      <c r="S829" s="5"/>
      <c r="T829" s="5"/>
      <c r="U829" s="5"/>
      <c r="V829" s="5"/>
      <c r="W829" s="5"/>
    </row>
    <row r="830" spans="1:23" ht="16" x14ac:dyDescent="0.2">
      <c r="A830" s="5"/>
      <c r="B830" s="6"/>
      <c r="C830" s="6"/>
      <c r="D830" s="6"/>
      <c r="E830" s="6"/>
      <c r="F830" s="5"/>
      <c r="G830" s="5"/>
      <c r="H830" s="5"/>
      <c r="I830" s="5"/>
      <c r="J830" s="5"/>
      <c r="K830" s="5"/>
      <c r="L830" s="5"/>
      <c r="M830" s="5"/>
      <c r="N830" s="5"/>
      <c r="O830" s="5"/>
      <c r="P830" s="5"/>
      <c r="Q830" s="5"/>
      <c r="R830" s="5"/>
      <c r="S830" s="5"/>
      <c r="T830" s="5"/>
      <c r="U830" s="5"/>
      <c r="V830" s="5"/>
      <c r="W830" s="5"/>
    </row>
    <row r="831" spans="1:23" ht="16" x14ac:dyDescent="0.2">
      <c r="A831" s="5"/>
      <c r="B831" s="6"/>
      <c r="C831" s="6"/>
      <c r="D831" s="6"/>
      <c r="E831" s="6"/>
      <c r="F831" s="5"/>
      <c r="G831" s="5"/>
      <c r="H831" s="5"/>
      <c r="I831" s="5"/>
      <c r="J831" s="5"/>
      <c r="K831" s="5"/>
      <c r="L831" s="5"/>
      <c r="M831" s="5"/>
      <c r="N831" s="5"/>
      <c r="O831" s="5"/>
      <c r="P831" s="5"/>
      <c r="Q831" s="5"/>
      <c r="R831" s="5"/>
      <c r="S831" s="5"/>
      <c r="T831" s="5"/>
      <c r="U831" s="5"/>
      <c r="V831" s="5"/>
      <c r="W831" s="5"/>
    </row>
    <row r="832" spans="1:23" ht="16" x14ac:dyDescent="0.2">
      <c r="A832" s="5"/>
      <c r="B832" s="6"/>
      <c r="C832" s="6"/>
      <c r="D832" s="6"/>
      <c r="E832" s="6"/>
      <c r="F832" s="5"/>
      <c r="G832" s="5"/>
      <c r="H832" s="5"/>
      <c r="I832" s="5"/>
      <c r="J832" s="5"/>
      <c r="K832" s="5"/>
      <c r="L832" s="5"/>
      <c r="M832" s="5"/>
      <c r="N832" s="5"/>
      <c r="O832" s="5"/>
      <c r="P832" s="5"/>
      <c r="Q832" s="5"/>
      <c r="R832" s="5"/>
      <c r="S832" s="5"/>
      <c r="T832" s="5"/>
      <c r="U832" s="5"/>
      <c r="V832" s="5"/>
      <c r="W832" s="5"/>
    </row>
    <row r="833" spans="1:23" ht="16" x14ac:dyDescent="0.2">
      <c r="A833" s="5"/>
      <c r="B833" s="6"/>
      <c r="C833" s="6"/>
      <c r="D833" s="6"/>
      <c r="E833" s="6"/>
      <c r="F833" s="5"/>
      <c r="G833" s="5"/>
      <c r="H833" s="5"/>
      <c r="I833" s="5"/>
      <c r="J833" s="5"/>
      <c r="K833" s="5"/>
      <c r="L833" s="5"/>
      <c r="M833" s="5"/>
      <c r="N833" s="5"/>
      <c r="O833" s="5"/>
      <c r="P833" s="5"/>
      <c r="Q833" s="5"/>
      <c r="R833" s="5"/>
      <c r="S833" s="5"/>
      <c r="T833" s="5"/>
      <c r="U833" s="5"/>
      <c r="V833" s="5"/>
      <c r="W833" s="5"/>
    </row>
    <row r="834" spans="1:23" ht="16" x14ac:dyDescent="0.2">
      <c r="A834" s="5"/>
      <c r="B834" s="6"/>
      <c r="C834" s="6"/>
      <c r="D834" s="6"/>
      <c r="E834" s="6"/>
      <c r="F834" s="5"/>
      <c r="G834" s="5"/>
      <c r="H834" s="5"/>
      <c r="I834" s="5"/>
      <c r="J834" s="5"/>
      <c r="K834" s="5"/>
      <c r="L834" s="5"/>
      <c r="M834" s="5"/>
      <c r="N834" s="5"/>
      <c r="O834" s="5"/>
      <c r="P834" s="5"/>
      <c r="Q834" s="5"/>
      <c r="R834" s="5"/>
      <c r="S834" s="5"/>
      <c r="T834" s="5"/>
      <c r="U834" s="5"/>
      <c r="V834" s="5"/>
      <c r="W834" s="5"/>
    </row>
    <row r="835" spans="1:23" ht="16" x14ac:dyDescent="0.2">
      <c r="A835" s="5"/>
      <c r="B835" s="6"/>
      <c r="C835" s="6"/>
      <c r="D835" s="6"/>
      <c r="E835" s="6"/>
      <c r="F835" s="5"/>
      <c r="G835" s="5"/>
      <c r="H835" s="5"/>
      <c r="I835" s="5"/>
      <c r="J835" s="5"/>
      <c r="K835" s="5"/>
      <c r="L835" s="5"/>
      <c r="M835" s="5"/>
      <c r="N835" s="5"/>
      <c r="O835" s="5"/>
      <c r="P835" s="5"/>
      <c r="Q835" s="5"/>
      <c r="R835" s="5"/>
      <c r="S835" s="5"/>
      <c r="T835" s="5"/>
      <c r="U835" s="5"/>
      <c r="V835" s="5"/>
      <c r="W835" s="5"/>
    </row>
    <row r="836" spans="1:23" ht="16" x14ac:dyDescent="0.2">
      <c r="A836" s="5"/>
      <c r="B836" s="6"/>
      <c r="C836" s="6"/>
      <c r="D836" s="6"/>
      <c r="E836" s="6"/>
      <c r="F836" s="5"/>
      <c r="G836" s="5"/>
      <c r="H836" s="5"/>
      <c r="I836" s="5"/>
      <c r="J836" s="5"/>
      <c r="K836" s="5"/>
      <c r="L836" s="5"/>
      <c r="M836" s="5"/>
      <c r="N836" s="5"/>
      <c r="O836" s="5"/>
      <c r="P836" s="5"/>
      <c r="Q836" s="5"/>
      <c r="R836" s="5"/>
      <c r="S836" s="5"/>
      <c r="T836" s="5"/>
      <c r="U836" s="5"/>
      <c r="V836" s="5"/>
      <c r="W836" s="5"/>
    </row>
    <row r="837" spans="1:23" ht="16" x14ac:dyDescent="0.2">
      <c r="A837" s="5"/>
      <c r="B837" s="6"/>
      <c r="C837" s="6"/>
      <c r="D837" s="6"/>
      <c r="E837" s="6"/>
      <c r="F837" s="5"/>
      <c r="G837" s="5"/>
      <c r="H837" s="5"/>
      <c r="I837" s="5"/>
      <c r="J837" s="5"/>
      <c r="K837" s="5"/>
      <c r="L837" s="5"/>
      <c r="M837" s="5"/>
      <c r="N837" s="5"/>
      <c r="O837" s="5"/>
      <c r="P837" s="5"/>
      <c r="Q837" s="5"/>
      <c r="R837" s="5"/>
      <c r="S837" s="5"/>
      <c r="T837" s="5"/>
      <c r="U837" s="5"/>
      <c r="V837" s="5"/>
      <c r="W837" s="5"/>
    </row>
    <row r="838" spans="1:23" ht="16" x14ac:dyDescent="0.2">
      <c r="A838" s="5"/>
      <c r="B838" s="6"/>
      <c r="C838" s="6"/>
      <c r="D838" s="6"/>
      <c r="E838" s="6"/>
      <c r="F838" s="5"/>
      <c r="G838" s="5"/>
      <c r="H838" s="5"/>
      <c r="I838" s="5"/>
      <c r="J838" s="5"/>
      <c r="K838" s="5"/>
      <c r="L838" s="5"/>
      <c r="M838" s="5"/>
      <c r="N838" s="5"/>
      <c r="O838" s="5"/>
      <c r="P838" s="5"/>
      <c r="Q838" s="5"/>
      <c r="R838" s="5"/>
      <c r="S838" s="5"/>
      <c r="T838" s="5"/>
      <c r="U838" s="5"/>
      <c r="V838" s="5"/>
      <c r="W838" s="5"/>
    </row>
    <row r="839" spans="1:23" ht="16" x14ac:dyDescent="0.2">
      <c r="A839" s="5"/>
      <c r="B839" s="6"/>
      <c r="C839" s="6"/>
      <c r="D839" s="6"/>
      <c r="E839" s="6"/>
      <c r="F839" s="5"/>
      <c r="G839" s="5"/>
      <c r="H839" s="5"/>
      <c r="I839" s="5"/>
      <c r="J839" s="5"/>
      <c r="K839" s="5"/>
      <c r="L839" s="5"/>
      <c r="M839" s="5"/>
      <c r="N839" s="5"/>
      <c r="O839" s="5"/>
      <c r="P839" s="5"/>
      <c r="Q839" s="5"/>
      <c r="R839" s="5"/>
      <c r="S839" s="5"/>
      <c r="T839" s="5"/>
      <c r="U839" s="5"/>
      <c r="V839" s="5"/>
      <c r="W839" s="5"/>
    </row>
    <row r="840" spans="1:23" ht="16" x14ac:dyDescent="0.2">
      <c r="A840" s="5"/>
      <c r="B840" s="6"/>
      <c r="C840" s="6"/>
      <c r="D840" s="6"/>
      <c r="E840" s="6"/>
      <c r="F840" s="5"/>
      <c r="G840" s="5"/>
      <c r="H840" s="5"/>
      <c r="I840" s="5"/>
      <c r="J840" s="5"/>
      <c r="K840" s="5"/>
      <c r="L840" s="5"/>
      <c r="M840" s="5"/>
      <c r="N840" s="5"/>
      <c r="O840" s="5"/>
      <c r="P840" s="5"/>
      <c r="Q840" s="5"/>
      <c r="R840" s="5"/>
      <c r="S840" s="5"/>
      <c r="T840" s="5"/>
      <c r="U840" s="5"/>
      <c r="V840" s="5"/>
      <c r="W840" s="5"/>
    </row>
    <row r="841" spans="1:23" ht="16" x14ac:dyDescent="0.2">
      <c r="A841" s="5"/>
      <c r="B841" s="6"/>
      <c r="C841" s="6"/>
      <c r="D841" s="6"/>
      <c r="E841" s="6"/>
      <c r="F841" s="5"/>
      <c r="G841" s="5"/>
      <c r="H841" s="5"/>
      <c r="I841" s="5"/>
      <c r="J841" s="5"/>
      <c r="K841" s="5"/>
      <c r="L841" s="5"/>
      <c r="M841" s="5"/>
      <c r="N841" s="5"/>
      <c r="O841" s="5"/>
      <c r="P841" s="5"/>
      <c r="Q841" s="5"/>
      <c r="R841" s="5"/>
      <c r="S841" s="5"/>
      <c r="T841" s="5"/>
      <c r="U841" s="5"/>
      <c r="V841" s="5"/>
      <c r="W841" s="5"/>
    </row>
    <row r="842" spans="1:23" ht="16" x14ac:dyDescent="0.2">
      <c r="A842" s="5"/>
      <c r="B842" s="6"/>
      <c r="C842" s="6"/>
      <c r="D842" s="6"/>
      <c r="E842" s="6"/>
      <c r="F842" s="5"/>
      <c r="G842" s="5"/>
      <c r="H842" s="5"/>
      <c r="I842" s="5"/>
      <c r="J842" s="5"/>
      <c r="K842" s="5"/>
      <c r="L842" s="5"/>
      <c r="M842" s="5"/>
      <c r="N842" s="5"/>
      <c r="O842" s="5"/>
      <c r="P842" s="5"/>
      <c r="Q842" s="5"/>
      <c r="R842" s="5"/>
      <c r="S842" s="5"/>
      <c r="T842" s="5"/>
      <c r="U842" s="5"/>
      <c r="V842" s="5"/>
      <c r="W842" s="5"/>
    </row>
    <row r="843" spans="1:23" ht="16" x14ac:dyDescent="0.2">
      <c r="A843" s="5"/>
      <c r="B843" s="6"/>
      <c r="C843" s="6"/>
      <c r="D843" s="6"/>
      <c r="E843" s="6"/>
      <c r="F843" s="5"/>
      <c r="G843" s="5"/>
      <c r="H843" s="5"/>
      <c r="I843" s="5"/>
      <c r="J843" s="5"/>
      <c r="K843" s="5"/>
      <c r="L843" s="5"/>
      <c r="M843" s="5"/>
      <c r="N843" s="5"/>
      <c r="O843" s="5"/>
      <c r="P843" s="5"/>
      <c r="Q843" s="5"/>
      <c r="R843" s="5"/>
      <c r="S843" s="5"/>
      <c r="T843" s="5"/>
      <c r="U843" s="5"/>
      <c r="V843" s="5"/>
      <c r="W843" s="5"/>
    </row>
    <row r="844" spans="1:23" ht="16" x14ac:dyDescent="0.2">
      <c r="A844" s="5"/>
      <c r="B844" s="6"/>
      <c r="C844" s="6"/>
      <c r="D844" s="6"/>
      <c r="E844" s="6"/>
      <c r="F844" s="5"/>
      <c r="G844" s="5"/>
      <c r="H844" s="5"/>
      <c r="I844" s="5"/>
      <c r="J844" s="5"/>
      <c r="K844" s="5"/>
      <c r="L844" s="5"/>
      <c r="M844" s="5"/>
      <c r="N844" s="5"/>
      <c r="O844" s="5"/>
      <c r="P844" s="5"/>
      <c r="Q844" s="5"/>
      <c r="R844" s="5"/>
      <c r="S844" s="5"/>
      <c r="T844" s="5"/>
      <c r="U844" s="5"/>
      <c r="V844" s="5"/>
      <c r="W844" s="5"/>
    </row>
    <row r="845" spans="1:23" ht="16" x14ac:dyDescent="0.2">
      <c r="A845" s="5"/>
      <c r="B845" s="6"/>
      <c r="C845" s="6"/>
      <c r="D845" s="6"/>
      <c r="E845" s="6"/>
      <c r="F845" s="5"/>
      <c r="G845" s="5"/>
      <c r="H845" s="5"/>
      <c r="I845" s="5"/>
      <c r="J845" s="5"/>
      <c r="K845" s="5"/>
      <c r="L845" s="5"/>
      <c r="M845" s="5"/>
      <c r="N845" s="5"/>
      <c r="O845" s="5"/>
      <c r="P845" s="5"/>
      <c r="Q845" s="5"/>
      <c r="R845" s="5"/>
      <c r="S845" s="5"/>
      <c r="T845" s="5"/>
      <c r="U845" s="5"/>
      <c r="V845" s="5"/>
      <c r="W845" s="5"/>
    </row>
    <row r="846" spans="1:23" ht="16" x14ac:dyDescent="0.2">
      <c r="A846" s="5"/>
      <c r="B846" s="6"/>
      <c r="C846" s="6"/>
      <c r="D846" s="6"/>
      <c r="E846" s="6"/>
      <c r="F846" s="5"/>
      <c r="G846" s="5"/>
      <c r="H846" s="5"/>
      <c r="I846" s="5"/>
      <c r="J846" s="5"/>
      <c r="K846" s="5"/>
      <c r="L846" s="5"/>
      <c r="M846" s="5"/>
      <c r="N846" s="5"/>
      <c r="O846" s="5"/>
      <c r="P846" s="5"/>
      <c r="Q846" s="5"/>
      <c r="R846" s="5"/>
      <c r="S846" s="5"/>
      <c r="T846" s="5"/>
      <c r="U846" s="5"/>
      <c r="V846" s="5"/>
      <c r="W846" s="5"/>
    </row>
    <row r="847" spans="1:23" ht="16" x14ac:dyDescent="0.2">
      <c r="A847" s="5"/>
      <c r="B847" s="6"/>
      <c r="C847" s="6"/>
      <c r="D847" s="6"/>
      <c r="E847" s="6"/>
      <c r="F847" s="5"/>
      <c r="G847" s="5"/>
      <c r="H847" s="5"/>
      <c r="I847" s="5"/>
      <c r="J847" s="5"/>
      <c r="K847" s="5"/>
      <c r="L847" s="5"/>
      <c r="M847" s="5"/>
      <c r="N847" s="5"/>
      <c r="O847" s="5"/>
      <c r="P847" s="5"/>
      <c r="Q847" s="5"/>
      <c r="R847" s="5"/>
      <c r="S847" s="5"/>
      <c r="T847" s="5"/>
      <c r="U847" s="5"/>
      <c r="V847" s="5"/>
      <c r="W847" s="5"/>
    </row>
    <row r="848" spans="1:23" ht="16" x14ac:dyDescent="0.2">
      <c r="A848" s="5"/>
      <c r="B848" s="6"/>
      <c r="C848" s="6"/>
      <c r="D848" s="6"/>
      <c r="E848" s="6"/>
      <c r="F848" s="5"/>
      <c r="G848" s="5"/>
      <c r="H848" s="5"/>
      <c r="I848" s="5"/>
      <c r="J848" s="5"/>
      <c r="K848" s="5"/>
      <c r="L848" s="5"/>
      <c r="M848" s="5"/>
      <c r="N848" s="5"/>
      <c r="O848" s="5"/>
      <c r="P848" s="5"/>
      <c r="Q848" s="5"/>
      <c r="R848" s="5"/>
      <c r="S848" s="5"/>
      <c r="T848" s="5"/>
      <c r="U848" s="5"/>
      <c r="V848" s="5"/>
      <c r="W848" s="5"/>
    </row>
    <row r="849" spans="1:23" ht="16" x14ac:dyDescent="0.2">
      <c r="A849" s="5"/>
      <c r="B849" s="6"/>
      <c r="C849" s="6"/>
      <c r="D849" s="6"/>
      <c r="E849" s="6"/>
      <c r="F849" s="5"/>
      <c r="G849" s="5"/>
      <c r="H849" s="5"/>
      <c r="I849" s="5"/>
      <c r="J849" s="5"/>
      <c r="K849" s="5"/>
      <c r="L849" s="5"/>
      <c r="M849" s="5"/>
      <c r="N849" s="5"/>
      <c r="O849" s="5"/>
      <c r="P849" s="5"/>
      <c r="Q849" s="5"/>
      <c r="R849" s="5"/>
      <c r="S849" s="5"/>
      <c r="T849" s="5"/>
      <c r="U849" s="5"/>
      <c r="V849" s="5"/>
      <c r="W849" s="5"/>
    </row>
    <row r="850" spans="1:23" ht="16" x14ac:dyDescent="0.2">
      <c r="A850" s="5"/>
      <c r="B850" s="6"/>
      <c r="C850" s="6"/>
      <c r="D850" s="6"/>
      <c r="E850" s="6"/>
      <c r="F850" s="5"/>
      <c r="G850" s="5"/>
      <c r="H850" s="5"/>
      <c r="I850" s="5"/>
      <c r="J850" s="5"/>
      <c r="K850" s="5"/>
      <c r="L850" s="5"/>
      <c r="M850" s="5"/>
      <c r="N850" s="5"/>
      <c r="O850" s="5"/>
      <c r="P850" s="5"/>
      <c r="Q850" s="5"/>
      <c r="R850" s="5"/>
      <c r="S850" s="5"/>
      <c r="T850" s="5"/>
      <c r="U850" s="5"/>
      <c r="V850" s="5"/>
      <c r="W850" s="5"/>
    </row>
    <row r="851" spans="1:23" ht="16" x14ac:dyDescent="0.2">
      <c r="A851" s="5"/>
      <c r="B851" s="6"/>
      <c r="C851" s="6"/>
      <c r="D851" s="6"/>
      <c r="E851" s="6"/>
      <c r="F851" s="5"/>
      <c r="G851" s="5"/>
      <c r="H851" s="5"/>
      <c r="I851" s="5"/>
      <c r="J851" s="5"/>
      <c r="K851" s="5"/>
      <c r="L851" s="5"/>
      <c r="M851" s="5"/>
      <c r="N851" s="5"/>
      <c r="O851" s="5"/>
      <c r="P851" s="5"/>
      <c r="Q851" s="5"/>
      <c r="R851" s="5"/>
      <c r="S851" s="5"/>
      <c r="T851" s="5"/>
      <c r="U851" s="5"/>
      <c r="V851" s="5"/>
      <c r="W851" s="5"/>
    </row>
    <row r="852" spans="1:23" ht="16" x14ac:dyDescent="0.2">
      <c r="A852" s="5"/>
      <c r="B852" s="6"/>
      <c r="C852" s="6"/>
      <c r="D852" s="6"/>
      <c r="E852" s="6"/>
      <c r="F852" s="5"/>
      <c r="G852" s="5"/>
      <c r="H852" s="5"/>
      <c r="I852" s="5"/>
      <c r="J852" s="5"/>
      <c r="K852" s="5"/>
      <c r="L852" s="5"/>
      <c r="M852" s="5"/>
      <c r="N852" s="5"/>
      <c r="O852" s="5"/>
      <c r="P852" s="5"/>
      <c r="Q852" s="5"/>
      <c r="R852" s="5"/>
      <c r="S852" s="5"/>
      <c r="T852" s="5"/>
      <c r="U852" s="5"/>
      <c r="V852" s="5"/>
      <c r="W852" s="5"/>
    </row>
    <row r="853" spans="1:23" ht="16" x14ac:dyDescent="0.2">
      <c r="A853" s="5"/>
      <c r="B853" s="6"/>
      <c r="C853" s="6"/>
      <c r="D853" s="6"/>
      <c r="E853" s="6"/>
      <c r="F853" s="5"/>
      <c r="G853" s="5"/>
      <c r="H853" s="5"/>
      <c r="I853" s="5"/>
      <c r="J853" s="5"/>
      <c r="K853" s="5"/>
      <c r="L853" s="5"/>
      <c r="M853" s="5"/>
      <c r="N853" s="5"/>
      <c r="O853" s="5"/>
      <c r="P853" s="5"/>
      <c r="Q853" s="5"/>
      <c r="R853" s="5"/>
      <c r="S853" s="5"/>
      <c r="T853" s="5"/>
      <c r="U853" s="5"/>
      <c r="V853" s="5"/>
      <c r="W853" s="5"/>
    </row>
    <row r="854" spans="1:23" ht="16" x14ac:dyDescent="0.2">
      <c r="A854" s="5"/>
      <c r="B854" s="6"/>
      <c r="C854" s="6"/>
      <c r="D854" s="6"/>
      <c r="E854" s="6"/>
      <c r="F854" s="5"/>
      <c r="G854" s="5"/>
      <c r="H854" s="5"/>
      <c r="I854" s="5"/>
      <c r="J854" s="5"/>
      <c r="K854" s="5"/>
      <c r="L854" s="5"/>
      <c r="M854" s="5"/>
      <c r="N854" s="5"/>
      <c r="O854" s="5"/>
      <c r="P854" s="5"/>
      <c r="Q854" s="5"/>
      <c r="R854" s="5"/>
      <c r="S854" s="5"/>
      <c r="T854" s="5"/>
      <c r="U854" s="5"/>
      <c r="V854" s="5"/>
      <c r="W854" s="5"/>
    </row>
    <row r="855" spans="1:23" ht="16" x14ac:dyDescent="0.2">
      <c r="A855" s="5"/>
      <c r="B855" s="6"/>
      <c r="C855" s="6"/>
      <c r="D855" s="6"/>
      <c r="E855" s="6"/>
      <c r="F855" s="5"/>
      <c r="G855" s="5"/>
      <c r="H855" s="5"/>
      <c r="I855" s="5"/>
      <c r="J855" s="5"/>
      <c r="K855" s="5"/>
      <c r="L855" s="5"/>
      <c r="M855" s="5"/>
      <c r="N855" s="5"/>
      <c r="O855" s="5"/>
      <c r="P855" s="5"/>
      <c r="Q855" s="5"/>
      <c r="R855" s="5"/>
      <c r="S855" s="5"/>
      <c r="T855" s="5"/>
      <c r="U855" s="5"/>
      <c r="V855" s="5"/>
      <c r="W855" s="5"/>
    </row>
    <row r="856" spans="1:23" ht="16" x14ac:dyDescent="0.2">
      <c r="A856" s="5"/>
      <c r="B856" s="6"/>
      <c r="C856" s="6"/>
      <c r="D856" s="6"/>
      <c r="E856" s="6"/>
      <c r="F856" s="5"/>
      <c r="G856" s="5"/>
      <c r="H856" s="5"/>
      <c r="I856" s="5"/>
      <c r="J856" s="5"/>
      <c r="K856" s="5"/>
      <c r="L856" s="5"/>
      <c r="M856" s="5"/>
      <c r="N856" s="5"/>
      <c r="O856" s="5"/>
      <c r="P856" s="5"/>
      <c r="Q856" s="5"/>
      <c r="R856" s="5"/>
      <c r="S856" s="5"/>
      <c r="T856" s="5"/>
      <c r="U856" s="5"/>
      <c r="V856" s="5"/>
      <c r="W856" s="5"/>
    </row>
    <row r="857" spans="1:23" ht="16" x14ac:dyDescent="0.2">
      <c r="A857" s="5"/>
      <c r="B857" s="6"/>
      <c r="C857" s="6"/>
      <c r="D857" s="6"/>
      <c r="E857" s="6"/>
      <c r="F857" s="5"/>
      <c r="G857" s="5"/>
      <c r="H857" s="5"/>
      <c r="I857" s="5"/>
      <c r="J857" s="5"/>
      <c r="K857" s="5"/>
      <c r="L857" s="5"/>
      <c r="M857" s="5"/>
      <c r="N857" s="5"/>
      <c r="O857" s="5"/>
      <c r="P857" s="5"/>
      <c r="Q857" s="5"/>
      <c r="R857" s="5"/>
      <c r="S857" s="5"/>
      <c r="T857" s="5"/>
      <c r="U857" s="5"/>
      <c r="V857" s="5"/>
      <c r="W857" s="5"/>
    </row>
    <row r="858" spans="1:23" ht="16" x14ac:dyDescent="0.2">
      <c r="A858" s="5"/>
      <c r="B858" s="6"/>
      <c r="C858" s="6"/>
      <c r="D858" s="6"/>
      <c r="E858" s="6"/>
      <c r="F858" s="5"/>
      <c r="G858" s="5"/>
      <c r="H858" s="5"/>
      <c r="I858" s="5"/>
      <c r="J858" s="5"/>
      <c r="K858" s="5"/>
      <c r="L858" s="5"/>
      <c r="M858" s="5"/>
      <c r="N858" s="5"/>
      <c r="O858" s="5"/>
      <c r="P858" s="5"/>
      <c r="Q858" s="5"/>
      <c r="R858" s="5"/>
      <c r="S858" s="5"/>
      <c r="T858" s="5"/>
      <c r="U858" s="5"/>
      <c r="V858" s="5"/>
      <c r="W858" s="5"/>
    </row>
    <row r="859" spans="1:23" ht="16" x14ac:dyDescent="0.2">
      <c r="A859" s="5"/>
      <c r="B859" s="6"/>
      <c r="C859" s="6"/>
      <c r="D859" s="6"/>
      <c r="E859" s="6"/>
      <c r="F859" s="5"/>
      <c r="G859" s="5"/>
      <c r="H859" s="5"/>
      <c r="I859" s="5"/>
      <c r="J859" s="5"/>
      <c r="K859" s="5"/>
      <c r="L859" s="5"/>
      <c r="M859" s="5"/>
      <c r="N859" s="5"/>
      <c r="O859" s="5"/>
      <c r="P859" s="5"/>
      <c r="Q859" s="5"/>
      <c r="R859" s="5"/>
      <c r="S859" s="5"/>
      <c r="T859" s="5"/>
      <c r="U859" s="5"/>
      <c r="V859" s="5"/>
      <c r="W859" s="5"/>
    </row>
    <row r="860" spans="1:23" ht="16" x14ac:dyDescent="0.2">
      <c r="A860" s="5"/>
      <c r="B860" s="6"/>
      <c r="C860" s="6"/>
      <c r="D860" s="6"/>
      <c r="E860" s="6"/>
      <c r="F860" s="5"/>
      <c r="G860" s="5"/>
      <c r="H860" s="5"/>
      <c r="I860" s="5"/>
      <c r="J860" s="5"/>
      <c r="K860" s="5"/>
      <c r="L860" s="5"/>
      <c r="M860" s="5"/>
      <c r="N860" s="5"/>
      <c r="O860" s="5"/>
      <c r="P860" s="5"/>
      <c r="Q860" s="5"/>
      <c r="R860" s="5"/>
      <c r="S860" s="5"/>
      <c r="T860" s="5"/>
      <c r="U860" s="5"/>
      <c r="V860" s="5"/>
      <c r="W860" s="5"/>
    </row>
    <row r="861" spans="1:23" ht="16" x14ac:dyDescent="0.2">
      <c r="A861" s="5"/>
      <c r="B861" s="6"/>
      <c r="C861" s="6"/>
      <c r="D861" s="6"/>
      <c r="E861" s="6"/>
      <c r="F861" s="5"/>
      <c r="G861" s="5"/>
      <c r="H861" s="5"/>
      <c r="I861" s="5"/>
      <c r="J861" s="5"/>
      <c r="K861" s="5"/>
      <c r="L861" s="5"/>
      <c r="M861" s="5"/>
      <c r="N861" s="5"/>
      <c r="O861" s="5"/>
      <c r="P861" s="5"/>
      <c r="Q861" s="5"/>
      <c r="R861" s="5"/>
      <c r="S861" s="5"/>
      <c r="T861" s="5"/>
      <c r="U861" s="5"/>
      <c r="V861" s="5"/>
      <c r="W861" s="5"/>
    </row>
    <row r="862" spans="1:23" ht="16" x14ac:dyDescent="0.2">
      <c r="A862" s="5"/>
      <c r="B862" s="6"/>
      <c r="C862" s="6"/>
      <c r="D862" s="6"/>
      <c r="E862" s="6"/>
      <c r="F862" s="5"/>
      <c r="G862" s="5"/>
      <c r="H862" s="5"/>
      <c r="I862" s="5"/>
      <c r="J862" s="5"/>
      <c r="K862" s="5"/>
      <c r="L862" s="5"/>
      <c r="M862" s="5"/>
      <c r="N862" s="5"/>
      <c r="O862" s="5"/>
      <c r="P862" s="5"/>
      <c r="Q862" s="5"/>
      <c r="R862" s="5"/>
      <c r="S862" s="5"/>
      <c r="T862" s="5"/>
      <c r="U862" s="5"/>
      <c r="V862" s="5"/>
      <c r="W862" s="5"/>
    </row>
    <row r="863" spans="1:23" ht="16" x14ac:dyDescent="0.2">
      <c r="A863" s="5"/>
      <c r="B863" s="6"/>
      <c r="C863" s="6"/>
      <c r="D863" s="6"/>
      <c r="E863" s="6"/>
      <c r="F863" s="5"/>
      <c r="G863" s="5"/>
      <c r="H863" s="5"/>
      <c r="I863" s="5"/>
      <c r="J863" s="5"/>
      <c r="K863" s="5"/>
      <c r="L863" s="5"/>
      <c r="M863" s="5"/>
      <c r="N863" s="5"/>
      <c r="O863" s="5"/>
      <c r="P863" s="5"/>
      <c r="Q863" s="5"/>
      <c r="R863" s="5"/>
      <c r="S863" s="5"/>
      <c r="T863" s="5"/>
      <c r="U863" s="5"/>
      <c r="V863" s="5"/>
      <c r="W863" s="5"/>
    </row>
    <row r="864" spans="1:23" ht="16" x14ac:dyDescent="0.2">
      <c r="A864" s="5"/>
      <c r="B864" s="6"/>
      <c r="C864" s="6"/>
      <c r="D864" s="6"/>
      <c r="E864" s="6"/>
      <c r="F864" s="5"/>
      <c r="G864" s="5"/>
      <c r="H864" s="5"/>
      <c r="I864" s="5"/>
      <c r="J864" s="5"/>
      <c r="K864" s="5"/>
      <c r="L864" s="5"/>
      <c r="M864" s="5"/>
      <c r="N864" s="5"/>
      <c r="O864" s="5"/>
      <c r="P864" s="5"/>
      <c r="Q864" s="5"/>
      <c r="R864" s="5"/>
      <c r="S864" s="5"/>
      <c r="T864" s="5"/>
      <c r="U864" s="5"/>
      <c r="V864" s="5"/>
      <c r="W864" s="5"/>
    </row>
    <row r="865" spans="1:23" ht="16" x14ac:dyDescent="0.2">
      <c r="A865" s="5"/>
      <c r="B865" s="6"/>
      <c r="C865" s="6"/>
      <c r="D865" s="6"/>
      <c r="E865" s="6"/>
      <c r="F865" s="5"/>
      <c r="G865" s="5"/>
      <c r="H865" s="5"/>
      <c r="I865" s="5"/>
      <c r="J865" s="5"/>
      <c r="K865" s="5"/>
      <c r="L865" s="5"/>
      <c r="M865" s="5"/>
      <c r="N865" s="5"/>
      <c r="O865" s="5"/>
      <c r="P865" s="5"/>
      <c r="Q865" s="5"/>
      <c r="R865" s="5"/>
      <c r="S865" s="5"/>
      <c r="T865" s="5"/>
      <c r="U865" s="5"/>
      <c r="V865" s="5"/>
      <c r="W865" s="5"/>
    </row>
    <row r="866" spans="1:23" ht="16" x14ac:dyDescent="0.2">
      <c r="A866" s="5"/>
      <c r="B866" s="6"/>
      <c r="C866" s="6"/>
      <c r="D866" s="6"/>
      <c r="E866" s="6"/>
      <c r="F866" s="5"/>
      <c r="G866" s="5"/>
      <c r="H866" s="5"/>
      <c r="I866" s="5"/>
      <c r="J866" s="5"/>
      <c r="K866" s="5"/>
      <c r="L866" s="5"/>
      <c r="M866" s="5"/>
      <c r="N866" s="5"/>
      <c r="O866" s="5"/>
      <c r="P866" s="5"/>
      <c r="Q866" s="5"/>
      <c r="R866" s="5"/>
      <c r="S866" s="5"/>
      <c r="T866" s="5"/>
      <c r="U866" s="5"/>
      <c r="V866" s="5"/>
      <c r="W866" s="5"/>
    </row>
    <row r="867" spans="1:23" ht="16" x14ac:dyDescent="0.2">
      <c r="A867" s="5"/>
      <c r="B867" s="6"/>
      <c r="C867" s="6"/>
      <c r="D867" s="6"/>
      <c r="E867" s="6"/>
      <c r="F867" s="5"/>
      <c r="G867" s="5"/>
      <c r="H867" s="5"/>
      <c r="I867" s="5"/>
      <c r="J867" s="5"/>
      <c r="K867" s="5"/>
      <c r="L867" s="5"/>
      <c r="M867" s="5"/>
      <c r="N867" s="5"/>
      <c r="O867" s="5"/>
      <c r="P867" s="5"/>
      <c r="Q867" s="5"/>
      <c r="R867" s="5"/>
      <c r="S867" s="5"/>
      <c r="T867" s="5"/>
      <c r="U867" s="5"/>
      <c r="V867" s="5"/>
      <c r="W867" s="5"/>
    </row>
    <row r="868" spans="1:23" ht="16" x14ac:dyDescent="0.2">
      <c r="A868" s="5"/>
      <c r="B868" s="6"/>
      <c r="C868" s="6"/>
      <c r="D868" s="6"/>
      <c r="E868" s="6"/>
      <c r="F868" s="5"/>
      <c r="G868" s="5"/>
      <c r="H868" s="5"/>
      <c r="I868" s="5"/>
      <c r="J868" s="5"/>
      <c r="K868" s="5"/>
      <c r="L868" s="5"/>
      <c r="M868" s="5"/>
      <c r="N868" s="5"/>
      <c r="O868" s="5"/>
      <c r="P868" s="5"/>
      <c r="Q868" s="5"/>
      <c r="R868" s="5"/>
      <c r="S868" s="5"/>
      <c r="T868" s="5"/>
      <c r="U868" s="5"/>
      <c r="V868" s="5"/>
      <c r="W868" s="5"/>
    </row>
    <row r="869" spans="1:23" ht="16" x14ac:dyDescent="0.2">
      <c r="A869" s="5"/>
      <c r="B869" s="6"/>
      <c r="C869" s="6"/>
      <c r="D869" s="6"/>
      <c r="E869" s="6"/>
      <c r="F869" s="5"/>
      <c r="G869" s="5"/>
      <c r="H869" s="5"/>
      <c r="I869" s="5"/>
      <c r="J869" s="5"/>
      <c r="K869" s="5"/>
      <c r="L869" s="5"/>
      <c r="M869" s="5"/>
      <c r="N869" s="5"/>
      <c r="O869" s="5"/>
      <c r="P869" s="5"/>
      <c r="Q869" s="5"/>
      <c r="R869" s="5"/>
      <c r="S869" s="5"/>
      <c r="T869" s="5"/>
      <c r="U869" s="5"/>
      <c r="V869" s="5"/>
      <c r="W869" s="5"/>
    </row>
    <row r="870" spans="1:23" ht="16" x14ac:dyDescent="0.2">
      <c r="A870" s="5"/>
      <c r="B870" s="6"/>
      <c r="C870" s="6"/>
      <c r="D870" s="6"/>
      <c r="E870" s="6"/>
      <c r="F870" s="5"/>
      <c r="G870" s="5"/>
      <c r="H870" s="5"/>
      <c r="I870" s="5"/>
      <c r="J870" s="5"/>
      <c r="K870" s="5"/>
      <c r="L870" s="5"/>
      <c r="M870" s="5"/>
      <c r="N870" s="5"/>
      <c r="O870" s="5"/>
      <c r="P870" s="5"/>
      <c r="Q870" s="5"/>
      <c r="R870" s="5"/>
      <c r="S870" s="5"/>
      <c r="T870" s="5"/>
      <c r="U870" s="5"/>
      <c r="V870" s="5"/>
      <c r="W870" s="5"/>
    </row>
    <row r="871" spans="1:23" ht="16" x14ac:dyDescent="0.2">
      <c r="A871" s="5"/>
      <c r="B871" s="6"/>
      <c r="C871" s="6"/>
      <c r="D871" s="6"/>
      <c r="E871" s="6"/>
      <c r="F871" s="5"/>
      <c r="G871" s="5"/>
      <c r="H871" s="5"/>
      <c r="I871" s="5"/>
      <c r="J871" s="5"/>
      <c r="K871" s="5"/>
      <c r="L871" s="5"/>
      <c r="M871" s="5"/>
      <c r="N871" s="5"/>
      <c r="O871" s="5"/>
      <c r="P871" s="5"/>
      <c r="Q871" s="5"/>
      <c r="R871" s="5"/>
      <c r="S871" s="5"/>
      <c r="T871" s="5"/>
      <c r="U871" s="5"/>
      <c r="V871" s="5"/>
      <c r="W871" s="5"/>
    </row>
    <row r="872" spans="1:23" ht="16" x14ac:dyDescent="0.2">
      <c r="A872" s="5"/>
      <c r="B872" s="6"/>
      <c r="C872" s="6"/>
      <c r="D872" s="6"/>
      <c r="E872" s="6"/>
      <c r="F872" s="5"/>
      <c r="G872" s="5"/>
      <c r="H872" s="5"/>
      <c r="I872" s="5"/>
      <c r="J872" s="5"/>
      <c r="K872" s="5"/>
      <c r="L872" s="5"/>
      <c r="M872" s="5"/>
      <c r="N872" s="5"/>
      <c r="O872" s="5"/>
      <c r="P872" s="5"/>
      <c r="Q872" s="5"/>
      <c r="R872" s="5"/>
      <c r="S872" s="5"/>
      <c r="T872" s="5"/>
      <c r="U872" s="5"/>
      <c r="V872" s="5"/>
      <c r="W872" s="5"/>
    </row>
    <row r="873" spans="1:23" ht="16" x14ac:dyDescent="0.2">
      <c r="A873" s="5"/>
      <c r="B873" s="6"/>
      <c r="C873" s="6"/>
      <c r="D873" s="6"/>
      <c r="E873" s="6"/>
      <c r="F873" s="5"/>
      <c r="G873" s="5"/>
      <c r="H873" s="5"/>
      <c r="I873" s="5"/>
      <c r="J873" s="5"/>
      <c r="K873" s="5"/>
      <c r="L873" s="5"/>
      <c r="M873" s="5"/>
      <c r="N873" s="5"/>
      <c r="O873" s="5"/>
      <c r="P873" s="5"/>
      <c r="Q873" s="5"/>
      <c r="R873" s="5"/>
      <c r="S873" s="5"/>
      <c r="T873" s="5"/>
      <c r="U873" s="5"/>
      <c r="V873" s="5"/>
      <c r="W873" s="5"/>
    </row>
    <row r="874" spans="1:23" ht="16" x14ac:dyDescent="0.2">
      <c r="A874" s="5"/>
      <c r="B874" s="6"/>
      <c r="C874" s="6"/>
      <c r="D874" s="6"/>
      <c r="E874" s="6"/>
      <c r="F874" s="5"/>
      <c r="G874" s="5"/>
      <c r="H874" s="5"/>
      <c r="I874" s="5"/>
      <c r="J874" s="5"/>
      <c r="K874" s="5"/>
      <c r="L874" s="5"/>
      <c r="M874" s="5"/>
      <c r="N874" s="5"/>
      <c r="O874" s="5"/>
      <c r="P874" s="5"/>
      <c r="Q874" s="5"/>
      <c r="R874" s="5"/>
      <c r="S874" s="5"/>
      <c r="T874" s="5"/>
      <c r="U874" s="5"/>
      <c r="V874" s="5"/>
      <c r="W874" s="5"/>
    </row>
    <row r="875" spans="1:23" ht="16" x14ac:dyDescent="0.2">
      <c r="A875" s="5"/>
      <c r="B875" s="6"/>
      <c r="C875" s="6"/>
      <c r="D875" s="6"/>
      <c r="E875" s="6"/>
      <c r="F875" s="5"/>
      <c r="G875" s="5"/>
      <c r="H875" s="5"/>
      <c r="I875" s="5"/>
      <c r="J875" s="5"/>
      <c r="K875" s="5"/>
      <c r="L875" s="5"/>
      <c r="M875" s="5"/>
      <c r="N875" s="5"/>
      <c r="O875" s="5"/>
      <c r="P875" s="5"/>
      <c r="Q875" s="5"/>
      <c r="R875" s="5"/>
      <c r="S875" s="5"/>
      <c r="T875" s="5"/>
      <c r="U875" s="5"/>
      <c r="V875" s="5"/>
      <c r="W875" s="5"/>
    </row>
    <row r="876" spans="1:23" ht="16" x14ac:dyDescent="0.2">
      <c r="A876" s="5"/>
      <c r="B876" s="6"/>
      <c r="C876" s="6"/>
      <c r="D876" s="6"/>
      <c r="E876" s="6"/>
      <c r="F876" s="5"/>
      <c r="G876" s="5"/>
      <c r="H876" s="5"/>
      <c r="I876" s="5"/>
      <c r="J876" s="5"/>
      <c r="K876" s="5"/>
      <c r="L876" s="5"/>
      <c r="M876" s="5"/>
      <c r="N876" s="5"/>
      <c r="O876" s="5"/>
      <c r="P876" s="5"/>
      <c r="Q876" s="5"/>
      <c r="R876" s="5"/>
      <c r="S876" s="5"/>
      <c r="T876" s="5"/>
      <c r="U876" s="5"/>
      <c r="V876" s="5"/>
      <c r="W876" s="5"/>
    </row>
    <row r="877" spans="1:23" ht="16" x14ac:dyDescent="0.2">
      <c r="A877" s="5"/>
      <c r="B877" s="6"/>
      <c r="C877" s="6"/>
      <c r="D877" s="6"/>
      <c r="E877" s="6"/>
      <c r="F877" s="5"/>
      <c r="G877" s="5"/>
      <c r="H877" s="5"/>
      <c r="I877" s="5"/>
      <c r="J877" s="5"/>
      <c r="K877" s="5"/>
      <c r="L877" s="5"/>
      <c r="M877" s="5"/>
      <c r="N877" s="5"/>
      <c r="O877" s="5"/>
      <c r="P877" s="5"/>
      <c r="Q877" s="5"/>
      <c r="R877" s="5"/>
      <c r="S877" s="5"/>
      <c r="T877" s="5"/>
      <c r="U877" s="5"/>
      <c r="V877" s="5"/>
      <c r="W877" s="5"/>
    </row>
    <row r="878" spans="1:23" ht="16" x14ac:dyDescent="0.2">
      <c r="A878" s="5"/>
      <c r="B878" s="6"/>
      <c r="C878" s="6"/>
      <c r="D878" s="6"/>
      <c r="E878" s="6"/>
      <c r="F878" s="5"/>
      <c r="G878" s="5"/>
      <c r="H878" s="5"/>
      <c r="I878" s="5"/>
      <c r="J878" s="5"/>
      <c r="K878" s="5"/>
      <c r="L878" s="5"/>
      <c r="M878" s="5"/>
      <c r="N878" s="5"/>
      <c r="O878" s="5"/>
      <c r="P878" s="5"/>
      <c r="Q878" s="5"/>
      <c r="R878" s="5"/>
      <c r="S878" s="5"/>
      <c r="T878" s="5"/>
      <c r="U878" s="5"/>
      <c r="V878" s="5"/>
      <c r="W878" s="5"/>
    </row>
    <row r="879" spans="1:23" ht="16" x14ac:dyDescent="0.2">
      <c r="A879" s="5"/>
      <c r="B879" s="6"/>
      <c r="C879" s="6"/>
      <c r="D879" s="6"/>
      <c r="E879" s="6"/>
      <c r="F879" s="5"/>
      <c r="G879" s="5"/>
      <c r="H879" s="5"/>
      <c r="I879" s="5"/>
      <c r="J879" s="5"/>
      <c r="K879" s="5"/>
      <c r="L879" s="5"/>
      <c r="M879" s="5"/>
      <c r="N879" s="5"/>
      <c r="O879" s="5"/>
      <c r="P879" s="5"/>
      <c r="Q879" s="5"/>
      <c r="R879" s="5"/>
      <c r="S879" s="5"/>
      <c r="T879" s="5"/>
      <c r="U879" s="5"/>
      <c r="V879" s="5"/>
      <c r="W879" s="5"/>
    </row>
    <row r="880" spans="1:23" ht="16" x14ac:dyDescent="0.2">
      <c r="A880" s="5"/>
      <c r="B880" s="6"/>
      <c r="C880" s="6"/>
      <c r="D880" s="6"/>
      <c r="E880" s="6"/>
      <c r="F880" s="5"/>
      <c r="G880" s="5"/>
      <c r="H880" s="5"/>
      <c r="I880" s="5"/>
      <c r="J880" s="5"/>
      <c r="K880" s="5"/>
      <c r="L880" s="5"/>
      <c r="M880" s="5"/>
      <c r="N880" s="5"/>
      <c r="O880" s="5"/>
      <c r="P880" s="5"/>
      <c r="Q880" s="5"/>
      <c r="R880" s="5"/>
      <c r="S880" s="5"/>
      <c r="T880" s="5"/>
      <c r="U880" s="5"/>
      <c r="V880" s="5"/>
      <c r="W880" s="5"/>
    </row>
    <row r="881" spans="1:23" ht="16" x14ac:dyDescent="0.2">
      <c r="A881" s="5"/>
      <c r="B881" s="6"/>
      <c r="C881" s="6"/>
      <c r="D881" s="6"/>
      <c r="E881" s="6"/>
      <c r="F881" s="5"/>
      <c r="G881" s="5"/>
      <c r="H881" s="5"/>
      <c r="I881" s="5"/>
      <c r="J881" s="5"/>
      <c r="K881" s="5"/>
      <c r="L881" s="5"/>
      <c r="M881" s="5"/>
      <c r="N881" s="5"/>
      <c r="O881" s="5"/>
      <c r="P881" s="5"/>
      <c r="Q881" s="5"/>
      <c r="R881" s="5"/>
      <c r="S881" s="5"/>
      <c r="T881" s="5"/>
      <c r="U881" s="5"/>
      <c r="V881" s="5"/>
      <c r="W881" s="5"/>
    </row>
    <row r="882" spans="1:23" ht="16" x14ac:dyDescent="0.2">
      <c r="A882" s="5"/>
      <c r="B882" s="6"/>
      <c r="C882" s="6"/>
      <c r="D882" s="6"/>
      <c r="E882" s="6"/>
      <c r="F882" s="5"/>
      <c r="G882" s="5"/>
      <c r="H882" s="5"/>
      <c r="I882" s="5"/>
      <c r="J882" s="5"/>
      <c r="K882" s="5"/>
      <c r="L882" s="5"/>
      <c r="M882" s="5"/>
      <c r="N882" s="5"/>
      <c r="O882" s="5"/>
      <c r="P882" s="5"/>
      <c r="Q882" s="5"/>
      <c r="R882" s="5"/>
      <c r="S882" s="5"/>
      <c r="T882" s="5"/>
      <c r="U882" s="5"/>
      <c r="V882" s="5"/>
      <c r="W882" s="5"/>
    </row>
    <row r="883" spans="1:23" ht="16" x14ac:dyDescent="0.2">
      <c r="A883" s="5"/>
      <c r="B883" s="6"/>
      <c r="C883" s="6"/>
      <c r="D883" s="6"/>
      <c r="E883" s="6"/>
      <c r="F883" s="5"/>
      <c r="G883" s="5"/>
      <c r="H883" s="5"/>
      <c r="I883" s="5"/>
      <c r="J883" s="5"/>
      <c r="K883" s="5"/>
      <c r="L883" s="5"/>
      <c r="M883" s="5"/>
      <c r="N883" s="5"/>
      <c r="O883" s="5"/>
      <c r="P883" s="5"/>
      <c r="Q883" s="5"/>
      <c r="R883" s="5"/>
      <c r="S883" s="5"/>
      <c r="T883" s="5"/>
      <c r="U883" s="5"/>
      <c r="V883" s="5"/>
      <c r="W883" s="5"/>
    </row>
    <row r="884" spans="1:23" ht="16" x14ac:dyDescent="0.2">
      <c r="A884" s="5"/>
      <c r="B884" s="6"/>
      <c r="C884" s="6"/>
      <c r="D884" s="6"/>
      <c r="E884" s="6"/>
      <c r="F884" s="5"/>
      <c r="G884" s="5"/>
      <c r="H884" s="5"/>
      <c r="I884" s="5"/>
      <c r="J884" s="5"/>
      <c r="K884" s="5"/>
      <c r="L884" s="5"/>
      <c r="M884" s="5"/>
      <c r="N884" s="5"/>
      <c r="O884" s="5"/>
      <c r="P884" s="5"/>
      <c r="Q884" s="5"/>
      <c r="R884" s="5"/>
      <c r="S884" s="5"/>
      <c r="T884" s="5"/>
      <c r="U884" s="5"/>
      <c r="V884" s="5"/>
      <c r="W884" s="5"/>
    </row>
    <row r="885" spans="1:23" ht="16" x14ac:dyDescent="0.2">
      <c r="A885" s="5"/>
      <c r="B885" s="6"/>
      <c r="C885" s="6"/>
      <c r="D885" s="6"/>
      <c r="E885" s="6"/>
      <c r="F885" s="5"/>
      <c r="G885" s="5"/>
      <c r="H885" s="5"/>
      <c r="I885" s="5"/>
      <c r="J885" s="5"/>
      <c r="K885" s="5"/>
      <c r="L885" s="5"/>
      <c r="M885" s="5"/>
      <c r="N885" s="5"/>
      <c r="O885" s="5"/>
      <c r="P885" s="5"/>
      <c r="Q885" s="5"/>
      <c r="R885" s="5"/>
      <c r="S885" s="5"/>
      <c r="T885" s="5"/>
      <c r="U885" s="5"/>
      <c r="V885" s="5"/>
      <c r="W885" s="5"/>
    </row>
    <row r="886" spans="1:23" ht="16" x14ac:dyDescent="0.2">
      <c r="A886" s="5"/>
      <c r="B886" s="6"/>
      <c r="C886" s="6"/>
      <c r="D886" s="6"/>
      <c r="E886" s="6"/>
      <c r="F886" s="5"/>
      <c r="G886" s="5"/>
      <c r="H886" s="5"/>
      <c r="I886" s="5"/>
      <c r="J886" s="5"/>
      <c r="K886" s="5"/>
      <c r="L886" s="5"/>
      <c r="M886" s="5"/>
      <c r="N886" s="5"/>
      <c r="O886" s="5"/>
      <c r="P886" s="5"/>
      <c r="Q886" s="5"/>
      <c r="R886" s="5"/>
      <c r="S886" s="5"/>
      <c r="T886" s="5"/>
      <c r="U886" s="5"/>
      <c r="V886" s="5"/>
      <c r="W886" s="5"/>
    </row>
    <row r="887" spans="1:23" ht="16" x14ac:dyDescent="0.2">
      <c r="A887" s="5"/>
      <c r="B887" s="6"/>
      <c r="C887" s="6"/>
      <c r="D887" s="6"/>
      <c r="E887" s="6"/>
      <c r="F887" s="5"/>
      <c r="G887" s="5"/>
      <c r="H887" s="5"/>
      <c r="I887" s="5"/>
      <c r="J887" s="5"/>
      <c r="K887" s="5"/>
      <c r="L887" s="5"/>
      <c r="M887" s="5"/>
      <c r="N887" s="5"/>
      <c r="O887" s="5"/>
      <c r="P887" s="5"/>
      <c r="Q887" s="5"/>
      <c r="R887" s="5"/>
      <c r="S887" s="5"/>
      <c r="T887" s="5"/>
      <c r="U887" s="5"/>
      <c r="V887" s="5"/>
      <c r="W887" s="5"/>
    </row>
    <row r="888" spans="1:23" ht="16" x14ac:dyDescent="0.2">
      <c r="A888" s="5"/>
      <c r="B888" s="6"/>
      <c r="C888" s="6"/>
      <c r="D888" s="6"/>
      <c r="E888" s="6"/>
      <c r="F888" s="5"/>
      <c r="G888" s="5"/>
      <c r="H888" s="5"/>
      <c r="I888" s="5"/>
      <c r="J888" s="5"/>
      <c r="K888" s="5"/>
      <c r="L888" s="5"/>
      <c r="M888" s="5"/>
      <c r="N888" s="5"/>
      <c r="O888" s="5"/>
      <c r="P888" s="5"/>
      <c r="Q888" s="5"/>
      <c r="R888" s="5"/>
      <c r="S888" s="5"/>
      <c r="T888" s="5"/>
      <c r="U888" s="5"/>
      <c r="V888" s="5"/>
      <c r="W888" s="5"/>
    </row>
    <row r="889" spans="1:23" ht="16" x14ac:dyDescent="0.2">
      <c r="A889" s="5"/>
      <c r="B889" s="6"/>
      <c r="C889" s="6"/>
      <c r="D889" s="6"/>
      <c r="E889" s="6"/>
      <c r="F889" s="5"/>
      <c r="G889" s="5"/>
      <c r="H889" s="5"/>
      <c r="I889" s="5"/>
      <c r="J889" s="5"/>
      <c r="K889" s="5"/>
      <c r="L889" s="5"/>
      <c r="M889" s="5"/>
      <c r="N889" s="5"/>
      <c r="O889" s="5"/>
      <c r="P889" s="5"/>
      <c r="Q889" s="5"/>
      <c r="R889" s="5"/>
      <c r="S889" s="5"/>
      <c r="T889" s="5"/>
      <c r="U889" s="5"/>
      <c r="V889" s="5"/>
      <c r="W889" s="5"/>
    </row>
    <row r="890" spans="1:23" ht="16" x14ac:dyDescent="0.2">
      <c r="A890" s="5"/>
      <c r="B890" s="6"/>
      <c r="C890" s="6"/>
      <c r="D890" s="6"/>
      <c r="E890" s="6"/>
      <c r="F890" s="5"/>
      <c r="G890" s="5"/>
      <c r="H890" s="5"/>
      <c r="I890" s="5"/>
      <c r="J890" s="5"/>
      <c r="K890" s="5"/>
      <c r="L890" s="5"/>
      <c r="M890" s="5"/>
      <c r="N890" s="5"/>
      <c r="O890" s="5"/>
      <c r="P890" s="5"/>
      <c r="Q890" s="5"/>
      <c r="R890" s="5"/>
      <c r="S890" s="5"/>
      <c r="T890" s="5"/>
      <c r="U890" s="5"/>
      <c r="V890" s="5"/>
      <c r="W890" s="5"/>
    </row>
    <row r="891" spans="1:23" ht="16" x14ac:dyDescent="0.2">
      <c r="A891" s="5"/>
      <c r="B891" s="6"/>
      <c r="C891" s="6"/>
      <c r="D891" s="6"/>
      <c r="E891" s="6"/>
      <c r="F891" s="5"/>
      <c r="G891" s="5"/>
      <c r="H891" s="5"/>
      <c r="I891" s="5"/>
      <c r="J891" s="5"/>
      <c r="K891" s="5"/>
      <c r="L891" s="5"/>
      <c r="M891" s="5"/>
      <c r="N891" s="5"/>
      <c r="O891" s="5"/>
      <c r="P891" s="5"/>
      <c r="Q891" s="5"/>
      <c r="R891" s="5"/>
      <c r="S891" s="5"/>
      <c r="T891" s="5"/>
      <c r="U891" s="5"/>
      <c r="V891" s="5"/>
      <c r="W891" s="5"/>
    </row>
    <row r="892" spans="1:23" ht="16" x14ac:dyDescent="0.2">
      <c r="A892" s="5"/>
      <c r="B892" s="6"/>
      <c r="C892" s="6"/>
      <c r="D892" s="6"/>
      <c r="E892" s="6"/>
      <c r="F892" s="5"/>
      <c r="G892" s="5"/>
      <c r="H892" s="5"/>
      <c r="I892" s="5"/>
      <c r="J892" s="5"/>
      <c r="K892" s="5"/>
      <c r="L892" s="5"/>
      <c r="M892" s="5"/>
      <c r="N892" s="5"/>
      <c r="O892" s="5"/>
      <c r="P892" s="5"/>
      <c r="Q892" s="5"/>
      <c r="R892" s="5"/>
      <c r="S892" s="5"/>
      <c r="T892" s="5"/>
      <c r="U892" s="5"/>
      <c r="V892" s="5"/>
      <c r="W892" s="5"/>
    </row>
    <row r="893" spans="1:23" ht="16" x14ac:dyDescent="0.2">
      <c r="A893" s="5"/>
      <c r="B893" s="6"/>
      <c r="C893" s="6"/>
      <c r="D893" s="6"/>
      <c r="E893" s="6"/>
      <c r="F893" s="5"/>
      <c r="G893" s="5"/>
      <c r="H893" s="5"/>
      <c r="I893" s="5"/>
      <c r="J893" s="5"/>
      <c r="K893" s="5"/>
      <c r="L893" s="5"/>
      <c r="M893" s="5"/>
      <c r="N893" s="5"/>
      <c r="O893" s="5"/>
      <c r="P893" s="5"/>
      <c r="Q893" s="5"/>
      <c r="R893" s="5"/>
      <c r="S893" s="5"/>
      <c r="T893" s="5"/>
      <c r="U893" s="5"/>
      <c r="V893" s="5"/>
      <c r="W893" s="5"/>
    </row>
    <row r="894" spans="1:23" ht="16" x14ac:dyDescent="0.2">
      <c r="A894" s="5"/>
      <c r="B894" s="6"/>
      <c r="C894" s="6"/>
      <c r="D894" s="6"/>
      <c r="E894" s="6"/>
      <c r="F894" s="5"/>
      <c r="G894" s="5"/>
      <c r="H894" s="5"/>
      <c r="I894" s="5"/>
      <c r="J894" s="5"/>
      <c r="K894" s="5"/>
      <c r="L894" s="5"/>
      <c r="M894" s="5"/>
      <c r="N894" s="5"/>
      <c r="O894" s="5"/>
      <c r="P894" s="5"/>
      <c r="Q894" s="5"/>
      <c r="R894" s="5"/>
      <c r="S894" s="5"/>
      <c r="T894" s="5"/>
      <c r="U894" s="5"/>
      <c r="V894" s="5"/>
      <c r="W894" s="5"/>
    </row>
    <row r="895" spans="1:23" ht="16" x14ac:dyDescent="0.2">
      <c r="A895" s="5"/>
      <c r="B895" s="6"/>
      <c r="C895" s="6"/>
      <c r="D895" s="6"/>
      <c r="E895" s="6"/>
      <c r="F895" s="5"/>
      <c r="G895" s="5"/>
      <c r="H895" s="5"/>
      <c r="I895" s="5"/>
      <c r="J895" s="5"/>
      <c r="K895" s="5"/>
      <c r="L895" s="5"/>
      <c r="M895" s="5"/>
      <c r="N895" s="5"/>
      <c r="O895" s="5"/>
      <c r="P895" s="5"/>
      <c r="Q895" s="5"/>
      <c r="R895" s="5"/>
      <c r="S895" s="5"/>
      <c r="T895" s="5"/>
      <c r="U895" s="5"/>
      <c r="V895" s="5"/>
      <c r="W895" s="5"/>
    </row>
    <row r="896" spans="1:23" ht="16" x14ac:dyDescent="0.2">
      <c r="A896" s="5"/>
      <c r="B896" s="6"/>
      <c r="C896" s="6"/>
      <c r="D896" s="6"/>
      <c r="E896" s="6"/>
      <c r="F896" s="5"/>
      <c r="G896" s="5"/>
      <c r="H896" s="5"/>
      <c r="I896" s="5"/>
      <c r="J896" s="5"/>
      <c r="K896" s="5"/>
      <c r="L896" s="5"/>
      <c r="M896" s="5"/>
      <c r="N896" s="5"/>
      <c r="O896" s="5"/>
      <c r="P896" s="5"/>
      <c r="Q896" s="5"/>
      <c r="R896" s="5"/>
      <c r="S896" s="5"/>
      <c r="T896" s="5"/>
      <c r="U896" s="5"/>
      <c r="V896" s="5"/>
      <c r="W896" s="5"/>
    </row>
    <row r="897" spans="1:23" ht="16" x14ac:dyDescent="0.2">
      <c r="A897" s="5"/>
      <c r="B897" s="6"/>
      <c r="C897" s="6"/>
      <c r="D897" s="6"/>
      <c r="E897" s="6"/>
      <c r="F897" s="5"/>
      <c r="G897" s="5"/>
      <c r="H897" s="5"/>
      <c r="I897" s="5"/>
      <c r="J897" s="5"/>
      <c r="K897" s="5"/>
      <c r="L897" s="5"/>
      <c r="M897" s="5"/>
      <c r="N897" s="5"/>
      <c r="O897" s="5"/>
      <c r="P897" s="5"/>
      <c r="Q897" s="5"/>
      <c r="R897" s="5"/>
      <c r="S897" s="5"/>
      <c r="T897" s="5"/>
      <c r="U897" s="5"/>
      <c r="V897" s="5"/>
      <c r="W897" s="5"/>
    </row>
    <row r="898" spans="1:23" ht="16" x14ac:dyDescent="0.2">
      <c r="A898" s="5"/>
      <c r="B898" s="6"/>
      <c r="C898" s="6"/>
      <c r="D898" s="6"/>
      <c r="E898" s="6"/>
      <c r="F898" s="5"/>
      <c r="G898" s="5"/>
      <c r="H898" s="5"/>
      <c r="I898" s="5"/>
      <c r="J898" s="5"/>
      <c r="K898" s="5"/>
      <c r="L898" s="5"/>
      <c r="M898" s="5"/>
      <c r="N898" s="5"/>
      <c r="O898" s="5"/>
      <c r="P898" s="5"/>
      <c r="Q898" s="5"/>
      <c r="R898" s="5"/>
      <c r="S898" s="5"/>
      <c r="T898" s="5"/>
      <c r="U898" s="5"/>
      <c r="V898" s="5"/>
      <c r="W898" s="5"/>
    </row>
    <row r="899" spans="1:23" ht="16" x14ac:dyDescent="0.2">
      <c r="A899" s="5"/>
      <c r="B899" s="6"/>
      <c r="C899" s="6"/>
      <c r="D899" s="6"/>
      <c r="E899" s="6"/>
      <c r="F899" s="5"/>
      <c r="G899" s="5"/>
      <c r="H899" s="5"/>
      <c r="I899" s="5"/>
      <c r="J899" s="5"/>
      <c r="K899" s="5"/>
      <c r="L899" s="5"/>
      <c r="M899" s="5"/>
      <c r="N899" s="5"/>
      <c r="O899" s="5"/>
      <c r="P899" s="5"/>
      <c r="Q899" s="5"/>
      <c r="R899" s="5"/>
      <c r="S899" s="5"/>
      <c r="T899" s="5"/>
      <c r="U899" s="5"/>
      <c r="V899" s="5"/>
      <c r="W899" s="5"/>
    </row>
    <row r="900" spans="1:23" ht="16" x14ac:dyDescent="0.2">
      <c r="A900" s="5"/>
      <c r="B900" s="6"/>
      <c r="C900" s="6"/>
      <c r="D900" s="6"/>
      <c r="E900" s="6"/>
      <c r="F900" s="5"/>
      <c r="G900" s="5"/>
      <c r="H900" s="5"/>
      <c r="I900" s="5"/>
      <c r="J900" s="5"/>
      <c r="K900" s="5"/>
      <c r="L900" s="5"/>
      <c r="M900" s="5"/>
      <c r="N900" s="5"/>
      <c r="O900" s="5"/>
      <c r="P900" s="5"/>
      <c r="Q900" s="5"/>
      <c r="R900" s="5"/>
      <c r="S900" s="5"/>
      <c r="T900" s="5"/>
      <c r="U900" s="5"/>
      <c r="V900" s="5"/>
      <c r="W900" s="5"/>
    </row>
    <row r="901" spans="1:23" ht="16" x14ac:dyDescent="0.2">
      <c r="A901" s="5"/>
      <c r="B901" s="6"/>
      <c r="C901" s="6"/>
      <c r="D901" s="6"/>
      <c r="E901" s="6"/>
      <c r="F901" s="5"/>
      <c r="G901" s="5"/>
      <c r="H901" s="5"/>
      <c r="I901" s="5"/>
      <c r="J901" s="5"/>
      <c r="K901" s="5"/>
      <c r="L901" s="5"/>
      <c r="M901" s="5"/>
      <c r="N901" s="5"/>
      <c r="O901" s="5"/>
      <c r="P901" s="5"/>
      <c r="Q901" s="5"/>
      <c r="R901" s="5"/>
      <c r="S901" s="5"/>
      <c r="T901" s="5"/>
      <c r="U901" s="5"/>
      <c r="V901" s="5"/>
      <c r="W901" s="5"/>
    </row>
    <row r="902" spans="1:23" ht="16" x14ac:dyDescent="0.2">
      <c r="A902" s="5"/>
      <c r="B902" s="6"/>
      <c r="C902" s="6"/>
      <c r="D902" s="6"/>
      <c r="E902" s="6"/>
      <c r="F902" s="5"/>
      <c r="G902" s="5"/>
      <c r="H902" s="5"/>
      <c r="I902" s="5"/>
      <c r="J902" s="5"/>
      <c r="K902" s="5"/>
      <c r="L902" s="5"/>
      <c r="M902" s="5"/>
      <c r="N902" s="5"/>
      <c r="O902" s="5"/>
      <c r="P902" s="5"/>
      <c r="Q902" s="5"/>
      <c r="R902" s="5"/>
      <c r="S902" s="5"/>
      <c r="T902" s="5"/>
      <c r="U902" s="5"/>
      <c r="V902" s="5"/>
      <c r="W902" s="5"/>
    </row>
    <row r="903" spans="1:23" ht="16" x14ac:dyDescent="0.2">
      <c r="A903" s="5"/>
      <c r="B903" s="6"/>
      <c r="C903" s="6"/>
      <c r="D903" s="6"/>
      <c r="E903" s="6"/>
      <c r="F903" s="5"/>
      <c r="G903" s="5"/>
      <c r="H903" s="5"/>
      <c r="I903" s="5"/>
      <c r="J903" s="5"/>
      <c r="K903" s="5"/>
      <c r="L903" s="5"/>
      <c r="M903" s="5"/>
      <c r="N903" s="5"/>
      <c r="O903" s="5"/>
      <c r="P903" s="5"/>
      <c r="Q903" s="5"/>
      <c r="R903" s="5"/>
      <c r="S903" s="5"/>
      <c r="T903" s="5"/>
      <c r="U903" s="5"/>
      <c r="V903" s="5"/>
      <c r="W903" s="5"/>
    </row>
    <row r="904" spans="1:23" ht="16" x14ac:dyDescent="0.2">
      <c r="A904" s="5"/>
      <c r="B904" s="6"/>
      <c r="C904" s="6"/>
      <c r="D904" s="6"/>
      <c r="E904" s="6"/>
      <c r="F904" s="5"/>
      <c r="G904" s="5"/>
      <c r="H904" s="5"/>
      <c r="I904" s="5"/>
      <c r="J904" s="5"/>
      <c r="K904" s="5"/>
      <c r="L904" s="5"/>
      <c r="M904" s="5"/>
      <c r="N904" s="5"/>
      <c r="O904" s="5"/>
      <c r="P904" s="5"/>
      <c r="Q904" s="5"/>
      <c r="R904" s="5"/>
      <c r="S904" s="5"/>
      <c r="T904" s="5"/>
      <c r="U904" s="5"/>
      <c r="V904" s="5"/>
      <c r="W904" s="5"/>
    </row>
    <row r="905" spans="1:23" ht="16" x14ac:dyDescent="0.2">
      <c r="A905" s="5"/>
      <c r="B905" s="6"/>
      <c r="C905" s="6"/>
      <c r="D905" s="6"/>
      <c r="E905" s="6"/>
      <c r="F905" s="5"/>
      <c r="G905" s="5"/>
      <c r="H905" s="5"/>
      <c r="I905" s="5"/>
      <c r="J905" s="5"/>
      <c r="K905" s="5"/>
      <c r="L905" s="5"/>
      <c r="M905" s="5"/>
      <c r="N905" s="5"/>
      <c r="O905" s="5"/>
      <c r="P905" s="5"/>
      <c r="Q905" s="5"/>
      <c r="R905" s="5"/>
      <c r="S905" s="5"/>
      <c r="T905" s="5"/>
      <c r="U905" s="5"/>
      <c r="V905" s="5"/>
      <c r="W905" s="5"/>
    </row>
    <row r="906" spans="1:23" ht="16" x14ac:dyDescent="0.2">
      <c r="A906" s="5"/>
      <c r="B906" s="6"/>
      <c r="C906" s="6"/>
      <c r="D906" s="6"/>
      <c r="E906" s="6"/>
      <c r="F906" s="5"/>
      <c r="G906" s="5"/>
      <c r="H906" s="5"/>
      <c r="I906" s="5"/>
      <c r="J906" s="5"/>
      <c r="K906" s="5"/>
      <c r="L906" s="5"/>
      <c r="M906" s="5"/>
      <c r="N906" s="5"/>
      <c r="O906" s="5"/>
      <c r="P906" s="5"/>
      <c r="Q906" s="5"/>
      <c r="R906" s="5"/>
      <c r="S906" s="5"/>
      <c r="T906" s="5"/>
      <c r="U906" s="5"/>
      <c r="V906" s="5"/>
      <c r="W906" s="5"/>
    </row>
    <row r="907" spans="1:23" ht="16" x14ac:dyDescent="0.2">
      <c r="A907" s="5"/>
      <c r="B907" s="6"/>
      <c r="C907" s="6"/>
      <c r="D907" s="6"/>
      <c r="E907" s="6"/>
      <c r="F907" s="5"/>
      <c r="G907" s="5"/>
      <c r="H907" s="5"/>
      <c r="I907" s="5"/>
      <c r="J907" s="5"/>
      <c r="K907" s="5"/>
      <c r="L907" s="5"/>
      <c r="M907" s="5"/>
      <c r="N907" s="5"/>
      <c r="O907" s="5"/>
      <c r="P907" s="5"/>
      <c r="Q907" s="5"/>
      <c r="R907" s="5"/>
      <c r="S907" s="5"/>
      <c r="T907" s="5"/>
      <c r="U907" s="5"/>
      <c r="V907" s="5"/>
      <c r="W907" s="5"/>
    </row>
    <row r="908" spans="1:23" ht="16" x14ac:dyDescent="0.2">
      <c r="A908" s="5"/>
      <c r="B908" s="6"/>
      <c r="C908" s="6"/>
      <c r="D908" s="6"/>
      <c r="E908" s="6"/>
      <c r="F908" s="5"/>
      <c r="G908" s="5"/>
      <c r="H908" s="5"/>
      <c r="I908" s="5"/>
      <c r="J908" s="5"/>
      <c r="K908" s="5"/>
      <c r="L908" s="5"/>
      <c r="M908" s="5"/>
      <c r="N908" s="5"/>
      <c r="O908" s="5"/>
      <c r="P908" s="5"/>
      <c r="Q908" s="5"/>
      <c r="R908" s="5"/>
      <c r="S908" s="5"/>
      <c r="T908" s="5"/>
      <c r="U908" s="5"/>
      <c r="V908" s="5"/>
      <c r="W908" s="5"/>
    </row>
    <row r="909" spans="1:23" ht="16" x14ac:dyDescent="0.2">
      <c r="A909" s="5"/>
      <c r="B909" s="6"/>
      <c r="C909" s="6"/>
      <c r="D909" s="6"/>
      <c r="E909" s="6"/>
      <c r="F909" s="5"/>
      <c r="G909" s="5"/>
      <c r="H909" s="5"/>
      <c r="I909" s="5"/>
      <c r="J909" s="5"/>
      <c r="K909" s="5"/>
      <c r="L909" s="5"/>
      <c r="M909" s="5"/>
      <c r="N909" s="5"/>
      <c r="O909" s="5"/>
      <c r="P909" s="5"/>
      <c r="Q909" s="5"/>
      <c r="R909" s="5"/>
      <c r="S909" s="5"/>
      <c r="T909" s="5"/>
      <c r="U909" s="5"/>
      <c r="V909" s="5"/>
      <c r="W909" s="5"/>
    </row>
    <row r="910" spans="1:23" ht="16" x14ac:dyDescent="0.2">
      <c r="A910" s="5"/>
      <c r="B910" s="6"/>
      <c r="C910" s="6"/>
      <c r="D910" s="6"/>
      <c r="E910" s="6"/>
      <c r="F910" s="5"/>
      <c r="G910" s="5"/>
      <c r="H910" s="5"/>
      <c r="I910" s="5"/>
      <c r="J910" s="5"/>
      <c r="K910" s="5"/>
      <c r="L910" s="5"/>
      <c r="M910" s="5"/>
      <c r="N910" s="5"/>
      <c r="O910" s="5"/>
      <c r="P910" s="5"/>
      <c r="Q910" s="5"/>
      <c r="R910" s="5"/>
      <c r="S910" s="5"/>
      <c r="T910" s="5"/>
      <c r="U910" s="5"/>
      <c r="V910" s="5"/>
      <c r="W910" s="5"/>
    </row>
    <row r="911" spans="1:23" ht="16" x14ac:dyDescent="0.2">
      <c r="A911" s="5"/>
      <c r="B911" s="6"/>
      <c r="C911" s="6"/>
      <c r="D911" s="6"/>
      <c r="E911" s="6"/>
      <c r="F911" s="5"/>
      <c r="G911" s="5"/>
      <c r="H911" s="5"/>
      <c r="I911" s="5"/>
      <c r="J911" s="5"/>
      <c r="K911" s="5"/>
      <c r="L911" s="5"/>
      <c r="M911" s="5"/>
      <c r="N911" s="5"/>
      <c r="O911" s="5"/>
      <c r="P911" s="5"/>
      <c r="Q911" s="5"/>
      <c r="R911" s="5"/>
      <c r="S911" s="5"/>
      <c r="T911" s="5"/>
      <c r="U911" s="5"/>
      <c r="V911" s="5"/>
      <c r="W911" s="5"/>
    </row>
    <row r="912" spans="1:23" ht="16" x14ac:dyDescent="0.2">
      <c r="A912" s="5"/>
      <c r="B912" s="6"/>
      <c r="C912" s="6"/>
      <c r="D912" s="6"/>
      <c r="E912" s="6"/>
      <c r="F912" s="5"/>
      <c r="G912" s="5"/>
      <c r="H912" s="5"/>
      <c r="I912" s="5"/>
      <c r="J912" s="5"/>
      <c r="K912" s="5"/>
      <c r="L912" s="5"/>
      <c r="M912" s="5"/>
      <c r="N912" s="5"/>
      <c r="O912" s="5"/>
      <c r="P912" s="5"/>
      <c r="Q912" s="5"/>
      <c r="R912" s="5"/>
      <c r="S912" s="5"/>
      <c r="T912" s="5"/>
      <c r="U912" s="5"/>
      <c r="V912" s="5"/>
      <c r="W912" s="5"/>
    </row>
    <row r="913" spans="1:23" ht="16" x14ac:dyDescent="0.2">
      <c r="A913" s="5"/>
      <c r="B913" s="6"/>
      <c r="C913" s="6"/>
      <c r="D913" s="6"/>
      <c r="E913" s="6"/>
      <c r="F913" s="5"/>
      <c r="G913" s="5"/>
      <c r="H913" s="5"/>
      <c r="I913" s="5"/>
      <c r="J913" s="5"/>
      <c r="K913" s="5"/>
      <c r="L913" s="5"/>
      <c r="M913" s="5"/>
      <c r="N913" s="5"/>
      <c r="O913" s="5"/>
      <c r="P913" s="5"/>
      <c r="Q913" s="5"/>
      <c r="R913" s="5"/>
      <c r="S913" s="5"/>
      <c r="T913" s="5"/>
      <c r="U913" s="5"/>
      <c r="V913" s="5"/>
      <c r="W913" s="5"/>
    </row>
    <row r="914" spans="1:23" ht="16" x14ac:dyDescent="0.2">
      <c r="A914" s="5"/>
      <c r="B914" s="6"/>
      <c r="C914" s="6"/>
      <c r="D914" s="6"/>
      <c r="E914" s="6"/>
      <c r="F914" s="5"/>
      <c r="G914" s="5"/>
      <c r="H914" s="5"/>
      <c r="I914" s="5"/>
      <c r="J914" s="5"/>
      <c r="K914" s="5"/>
      <c r="L914" s="5"/>
      <c r="M914" s="5"/>
      <c r="N914" s="5"/>
      <c r="O914" s="5"/>
      <c r="P914" s="5"/>
      <c r="Q914" s="5"/>
      <c r="R914" s="5"/>
      <c r="S914" s="5"/>
      <c r="T914" s="5"/>
      <c r="U914" s="5"/>
      <c r="V914" s="5"/>
      <c r="W914" s="5"/>
    </row>
    <row r="915" spans="1:23" ht="16" x14ac:dyDescent="0.2">
      <c r="A915" s="5"/>
      <c r="B915" s="6"/>
      <c r="C915" s="6"/>
      <c r="D915" s="6"/>
      <c r="E915" s="6"/>
      <c r="F915" s="5"/>
      <c r="G915" s="5"/>
      <c r="H915" s="5"/>
      <c r="I915" s="5"/>
      <c r="J915" s="5"/>
      <c r="K915" s="5"/>
      <c r="L915" s="5"/>
      <c r="M915" s="5"/>
      <c r="N915" s="5"/>
      <c r="O915" s="5"/>
      <c r="P915" s="5"/>
      <c r="Q915" s="5"/>
      <c r="R915" s="5"/>
      <c r="S915" s="5"/>
      <c r="T915" s="5"/>
      <c r="U915" s="5"/>
      <c r="V915" s="5"/>
      <c r="W915" s="5"/>
    </row>
    <row r="916" spans="1:23" ht="16" x14ac:dyDescent="0.2">
      <c r="A916" s="5"/>
      <c r="B916" s="6"/>
      <c r="C916" s="6"/>
      <c r="D916" s="6"/>
      <c r="E916" s="6"/>
      <c r="F916" s="5"/>
      <c r="G916" s="5"/>
      <c r="H916" s="5"/>
      <c r="I916" s="5"/>
      <c r="J916" s="5"/>
      <c r="K916" s="5"/>
      <c r="L916" s="5"/>
      <c r="M916" s="5"/>
      <c r="N916" s="5"/>
      <c r="O916" s="5"/>
      <c r="P916" s="5"/>
      <c r="Q916" s="5"/>
      <c r="R916" s="5"/>
      <c r="S916" s="5"/>
      <c r="T916" s="5"/>
      <c r="U916" s="5"/>
      <c r="V916" s="5"/>
      <c r="W916" s="5"/>
    </row>
    <row r="917" spans="1:23" ht="16" x14ac:dyDescent="0.2">
      <c r="A917" s="5"/>
      <c r="B917" s="6"/>
      <c r="C917" s="6"/>
      <c r="D917" s="6"/>
      <c r="E917" s="6"/>
      <c r="F917" s="5"/>
      <c r="G917" s="5"/>
      <c r="H917" s="5"/>
      <c r="I917" s="5"/>
      <c r="J917" s="5"/>
      <c r="K917" s="5"/>
      <c r="L917" s="5"/>
      <c r="M917" s="5"/>
      <c r="N917" s="5"/>
      <c r="O917" s="5"/>
      <c r="P917" s="5"/>
      <c r="Q917" s="5"/>
      <c r="R917" s="5"/>
      <c r="S917" s="5"/>
      <c r="T917" s="5"/>
      <c r="U917" s="5"/>
      <c r="V917" s="5"/>
      <c r="W917" s="5"/>
    </row>
    <row r="918" spans="1:23" ht="16" x14ac:dyDescent="0.2">
      <c r="A918" s="5"/>
      <c r="B918" s="6"/>
      <c r="C918" s="6"/>
      <c r="D918" s="6"/>
      <c r="E918" s="6"/>
      <c r="F918" s="5"/>
      <c r="G918" s="5"/>
      <c r="H918" s="5"/>
      <c r="I918" s="5"/>
      <c r="J918" s="5"/>
      <c r="K918" s="5"/>
      <c r="L918" s="5"/>
      <c r="M918" s="5"/>
      <c r="N918" s="5"/>
      <c r="O918" s="5"/>
      <c r="P918" s="5"/>
      <c r="Q918" s="5"/>
      <c r="R918" s="5"/>
      <c r="S918" s="5"/>
      <c r="T918" s="5"/>
      <c r="U918" s="5"/>
      <c r="V918" s="5"/>
      <c r="W918" s="5"/>
    </row>
    <row r="919" spans="1:23" ht="16" x14ac:dyDescent="0.2">
      <c r="A919" s="5"/>
      <c r="B919" s="6"/>
      <c r="C919" s="6"/>
      <c r="D919" s="6"/>
      <c r="E919" s="6"/>
      <c r="F919" s="5"/>
      <c r="G919" s="5"/>
      <c r="H919" s="5"/>
      <c r="I919" s="5"/>
      <c r="J919" s="5"/>
      <c r="K919" s="5"/>
      <c r="L919" s="5"/>
      <c r="M919" s="5"/>
      <c r="N919" s="5"/>
      <c r="O919" s="5"/>
      <c r="P919" s="5"/>
      <c r="Q919" s="5"/>
      <c r="R919" s="5"/>
      <c r="S919" s="5"/>
      <c r="T919" s="5"/>
      <c r="U919" s="5"/>
      <c r="V919" s="5"/>
      <c r="W919" s="5"/>
    </row>
    <row r="920" spans="1:23" ht="16" x14ac:dyDescent="0.2">
      <c r="A920" s="5"/>
      <c r="B920" s="6"/>
      <c r="C920" s="6"/>
      <c r="D920" s="6"/>
      <c r="E920" s="6"/>
      <c r="F920" s="5"/>
      <c r="G920" s="5"/>
      <c r="H920" s="5"/>
      <c r="I920" s="5"/>
      <c r="J920" s="5"/>
      <c r="K920" s="5"/>
      <c r="L920" s="5"/>
      <c r="M920" s="5"/>
      <c r="N920" s="5"/>
      <c r="O920" s="5"/>
      <c r="P920" s="5"/>
      <c r="Q920" s="5"/>
      <c r="R920" s="5"/>
      <c r="S920" s="5"/>
      <c r="T920" s="5"/>
      <c r="U920" s="5"/>
      <c r="V920" s="5"/>
      <c r="W920" s="5"/>
    </row>
    <row r="921" spans="1:23" ht="16" x14ac:dyDescent="0.2">
      <c r="A921" s="5"/>
      <c r="B921" s="6"/>
      <c r="C921" s="6"/>
      <c r="D921" s="6"/>
      <c r="E921" s="6"/>
      <c r="F921" s="5"/>
      <c r="G921" s="5"/>
      <c r="H921" s="5"/>
      <c r="I921" s="5"/>
      <c r="J921" s="5"/>
      <c r="K921" s="5"/>
      <c r="L921" s="5"/>
      <c r="M921" s="5"/>
      <c r="N921" s="5"/>
      <c r="O921" s="5"/>
      <c r="P921" s="5"/>
      <c r="Q921" s="5"/>
      <c r="R921" s="5"/>
      <c r="S921" s="5"/>
      <c r="T921" s="5"/>
      <c r="U921" s="5"/>
      <c r="V921" s="5"/>
      <c r="W921" s="5"/>
    </row>
    <row r="922" spans="1:23" ht="16" x14ac:dyDescent="0.2">
      <c r="A922" s="5"/>
      <c r="B922" s="6"/>
      <c r="C922" s="6"/>
      <c r="D922" s="6"/>
      <c r="E922" s="6"/>
      <c r="F922" s="5"/>
      <c r="G922" s="5"/>
      <c r="H922" s="5"/>
      <c r="I922" s="5"/>
      <c r="J922" s="5"/>
      <c r="K922" s="5"/>
      <c r="L922" s="5"/>
      <c r="M922" s="5"/>
      <c r="N922" s="5"/>
      <c r="O922" s="5"/>
      <c r="P922" s="5"/>
      <c r="Q922" s="5"/>
      <c r="R922" s="5"/>
      <c r="S922" s="5"/>
      <c r="T922" s="5"/>
      <c r="U922" s="5"/>
      <c r="V922" s="5"/>
      <c r="W922" s="5"/>
    </row>
    <row r="923" spans="1:23" ht="16" x14ac:dyDescent="0.2">
      <c r="A923" s="5"/>
      <c r="B923" s="6"/>
      <c r="C923" s="6"/>
      <c r="D923" s="6"/>
      <c r="E923" s="6"/>
      <c r="F923" s="5"/>
      <c r="G923" s="5"/>
      <c r="H923" s="5"/>
      <c r="I923" s="5"/>
      <c r="J923" s="5"/>
      <c r="K923" s="5"/>
      <c r="L923" s="5"/>
      <c r="M923" s="5"/>
      <c r="N923" s="5"/>
      <c r="O923" s="5"/>
      <c r="P923" s="5"/>
      <c r="Q923" s="5"/>
      <c r="R923" s="5"/>
      <c r="S923" s="5"/>
      <c r="T923" s="5"/>
      <c r="U923" s="5"/>
      <c r="V923" s="5"/>
      <c r="W923" s="5"/>
    </row>
    <row r="924" spans="1:23" ht="16" x14ac:dyDescent="0.2">
      <c r="A924" s="5"/>
      <c r="B924" s="6"/>
      <c r="C924" s="6"/>
      <c r="D924" s="6"/>
      <c r="E924" s="6"/>
      <c r="F924" s="5"/>
      <c r="G924" s="5"/>
      <c r="H924" s="5"/>
      <c r="I924" s="5"/>
      <c r="J924" s="5"/>
      <c r="K924" s="5"/>
      <c r="L924" s="5"/>
      <c r="M924" s="5"/>
      <c r="N924" s="5"/>
      <c r="O924" s="5"/>
      <c r="P924" s="5"/>
      <c r="Q924" s="5"/>
      <c r="R924" s="5"/>
      <c r="S924" s="5"/>
      <c r="T924" s="5"/>
      <c r="U924" s="5"/>
      <c r="V924" s="5"/>
      <c r="W924" s="5"/>
    </row>
    <row r="925" spans="1:23" ht="16" x14ac:dyDescent="0.2">
      <c r="A925" s="5"/>
      <c r="B925" s="6"/>
      <c r="C925" s="6"/>
      <c r="D925" s="6"/>
      <c r="E925" s="6"/>
      <c r="F925" s="5"/>
      <c r="G925" s="5"/>
      <c r="H925" s="5"/>
      <c r="I925" s="5"/>
      <c r="J925" s="5"/>
      <c r="K925" s="5"/>
      <c r="L925" s="5"/>
      <c r="M925" s="5"/>
      <c r="N925" s="5"/>
      <c r="O925" s="5"/>
      <c r="P925" s="5"/>
      <c r="Q925" s="5"/>
      <c r="R925" s="5"/>
      <c r="S925" s="5"/>
      <c r="T925" s="5"/>
      <c r="U925" s="5"/>
      <c r="V925" s="5"/>
      <c r="W925" s="5"/>
    </row>
    <row r="926" spans="1:23" ht="16" x14ac:dyDescent="0.2">
      <c r="A926" s="5"/>
      <c r="B926" s="6"/>
      <c r="C926" s="6"/>
      <c r="D926" s="6"/>
      <c r="E926" s="6"/>
      <c r="F926" s="5"/>
      <c r="G926" s="5"/>
      <c r="H926" s="5"/>
      <c r="I926" s="5"/>
      <c r="J926" s="5"/>
      <c r="K926" s="5"/>
      <c r="L926" s="5"/>
      <c r="M926" s="5"/>
      <c r="N926" s="5"/>
      <c r="O926" s="5"/>
      <c r="P926" s="5"/>
      <c r="Q926" s="5"/>
      <c r="R926" s="5"/>
      <c r="S926" s="5"/>
      <c r="T926" s="5"/>
      <c r="U926" s="5"/>
      <c r="V926" s="5"/>
      <c r="W926" s="5"/>
    </row>
    <row r="927" spans="1:23" ht="16" x14ac:dyDescent="0.2">
      <c r="A927" s="5"/>
      <c r="B927" s="6"/>
      <c r="C927" s="6"/>
      <c r="D927" s="6"/>
      <c r="E927" s="6"/>
      <c r="F927" s="5"/>
      <c r="G927" s="5"/>
      <c r="H927" s="5"/>
      <c r="I927" s="5"/>
      <c r="J927" s="5"/>
      <c r="K927" s="5"/>
      <c r="L927" s="5"/>
      <c r="M927" s="5"/>
      <c r="N927" s="5"/>
      <c r="O927" s="5"/>
      <c r="P927" s="5"/>
      <c r="Q927" s="5"/>
      <c r="R927" s="5"/>
      <c r="S927" s="5"/>
      <c r="T927" s="5"/>
      <c r="U927" s="5"/>
      <c r="V927" s="5"/>
      <c r="W927" s="5"/>
    </row>
    <row r="928" spans="1:23" ht="16" x14ac:dyDescent="0.2">
      <c r="A928" s="5"/>
      <c r="B928" s="6"/>
      <c r="C928" s="6"/>
      <c r="D928" s="6"/>
      <c r="E928" s="6"/>
      <c r="F928" s="5"/>
      <c r="G928" s="5"/>
      <c r="H928" s="5"/>
      <c r="I928" s="5"/>
      <c r="J928" s="5"/>
      <c r="K928" s="5"/>
      <c r="L928" s="5"/>
      <c r="M928" s="5"/>
      <c r="N928" s="5"/>
      <c r="O928" s="5"/>
      <c r="P928" s="5"/>
      <c r="Q928" s="5"/>
      <c r="R928" s="5"/>
      <c r="S928" s="5"/>
      <c r="T928" s="5"/>
      <c r="U928" s="5"/>
      <c r="V928" s="5"/>
      <c r="W928" s="5"/>
    </row>
    <row r="929" spans="1:23" ht="16" x14ac:dyDescent="0.2">
      <c r="A929" s="5"/>
      <c r="B929" s="6"/>
      <c r="C929" s="6"/>
      <c r="D929" s="6"/>
      <c r="E929" s="6"/>
      <c r="F929" s="5"/>
      <c r="G929" s="5"/>
      <c r="H929" s="5"/>
      <c r="I929" s="5"/>
      <c r="J929" s="5"/>
      <c r="K929" s="5"/>
      <c r="L929" s="5"/>
      <c r="M929" s="5"/>
      <c r="N929" s="5"/>
      <c r="O929" s="5"/>
      <c r="P929" s="5"/>
      <c r="Q929" s="5"/>
      <c r="R929" s="5"/>
      <c r="S929" s="5"/>
      <c r="T929" s="5"/>
      <c r="U929" s="5"/>
      <c r="V929" s="5"/>
      <c r="W929" s="5"/>
    </row>
    <row r="930" spans="1:23" ht="16" x14ac:dyDescent="0.2">
      <c r="A930" s="5"/>
      <c r="B930" s="6"/>
      <c r="C930" s="6"/>
      <c r="D930" s="6"/>
      <c r="E930" s="6"/>
      <c r="F930" s="5"/>
      <c r="G930" s="5"/>
      <c r="H930" s="5"/>
      <c r="I930" s="5"/>
      <c r="J930" s="5"/>
      <c r="K930" s="5"/>
      <c r="L930" s="5"/>
      <c r="M930" s="5"/>
      <c r="N930" s="5"/>
      <c r="O930" s="5"/>
      <c r="P930" s="5"/>
      <c r="Q930" s="5"/>
      <c r="R930" s="5"/>
      <c r="S930" s="5"/>
      <c r="T930" s="5"/>
      <c r="U930" s="5"/>
      <c r="V930" s="5"/>
      <c r="W930" s="5"/>
    </row>
    <row r="931" spans="1:23" ht="16" x14ac:dyDescent="0.2">
      <c r="A931" s="5"/>
      <c r="B931" s="6"/>
      <c r="C931" s="6"/>
      <c r="D931" s="6"/>
      <c r="E931" s="6"/>
      <c r="F931" s="5"/>
      <c r="G931" s="5"/>
      <c r="H931" s="5"/>
      <c r="I931" s="5"/>
      <c r="J931" s="5"/>
      <c r="K931" s="5"/>
      <c r="L931" s="5"/>
      <c r="M931" s="5"/>
      <c r="N931" s="5"/>
      <c r="O931" s="5"/>
      <c r="P931" s="5"/>
      <c r="Q931" s="5"/>
      <c r="R931" s="5"/>
      <c r="S931" s="5"/>
      <c r="T931" s="5"/>
      <c r="U931" s="5"/>
      <c r="V931" s="5"/>
      <c r="W931" s="5"/>
    </row>
    <row r="932" spans="1:23" ht="16" x14ac:dyDescent="0.2">
      <c r="A932" s="5"/>
      <c r="B932" s="6"/>
      <c r="C932" s="6"/>
      <c r="D932" s="6"/>
      <c r="E932" s="6"/>
      <c r="F932" s="5"/>
      <c r="G932" s="5"/>
      <c r="H932" s="5"/>
      <c r="I932" s="5"/>
      <c r="J932" s="5"/>
      <c r="K932" s="5"/>
      <c r="L932" s="5"/>
      <c r="M932" s="5"/>
      <c r="N932" s="5"/>
      <c r="O932" s="5"/>
      <c r="P932" s="5"/>
      <c r="Q932" s="5"/>
      <c r="R932" s="5"/>
      <c r="S932" s="5"/>
      <c r="T932" s="5"/>
      <c r="U932" s="5"/>
      <c r="V932" s="5"/>
      <c r="W932" s="5"/>
    </row>
    <row r="933" spans="1:23" ht="16" x14ac:dyDescent="0.2">
      <c r="A933" s="5"/>
      <c r="B933" s="6"/>
      <c r="C933" s="6"/>
      <c r="D933" s="6"/>
      <c r="E933" s="6"/>
      <c r="F933" s="5"/>
      <c r="G933" s="5"/>
      <c r="H933" s="5"/>
      <c r="I933" s="5"/>
      <c r="J933" s="5"/>
      <c r="K933" s="5"/>
      <c r="L933" s="5"/>
      <c r="M933" s="5"/>
      <c r="N933" s="5"/>
      <c r="O933" s="5"/>
      <c r="P933" s="5"/>
      <c r="Q933" s="5"/>
      <c r="R933" s="5"/>
      <c r="S933" s="5"/>
      <c r="T933" s="5"/>
      <c r="U933" s="5"/>
      <c r="V933" s="5"/>
      <c r="W933" s="5"/>
    </row>
    <row r="934" spans="1:23" ht="16" x14ac:dyDescent="0.2">
      <c r="A934" s="5"/>
      <c r="B934" s="6"/>
      <c r="C934" s="6"/>
      <c r="D934" s="6"/>
      <c r="E934" s="6"/>
      <c r="F934" s="5"/>
      <c r="G934" s="5"/>
      <c r="H934" s="5"/>
      <c r="I934" s="5"/>
      <c r="J934" s="5"/>
      <c r="K934" s="5"/>
      <c r="L934" s="5"/>
      <c r="M934" s="5"/>
      <c r="N934" s="5"/>
      <c r="O934" s="5"/>
      <c r="P934" s="5"/>
      <c r="Q934" s="5"/>
      <c r="R934" s="5"/>
      <c r="S934" s="5"/>
      <c r="T934" s="5"/>
      <c r="U934" s="5"/>
      <c r="V934" s="5"/>
      <c r="W934" s="5"/>
    </row>
    <row r="935" spans="1:23" ht="16" x14ac:dyDescent="0.2">
      <c r="A935" s="5"/>
      <c r="B935" s="6"/>
      <c r="C935" s="6"/>
      <c r="D935" s="6"/>
      <c r="E935" s="6"/>
      <c r="F935" s="5"/>
      <c r="G935" s="5"/>
      <c r="H935" s="5"/>
      <c r="I935" s="5"/>
      <c r="J935" s="5"/>
      <c r="K935" s="5"/>
      <c r="L935" s="5"/>
      <c r="M935" s="5"/>
      <c r="N935" s="5"/>
      <c r="O935" s="5"/>
      <c r="P935" s="5"/>
      <c r="Q935" s="5"/>
      <c r="R935" s="5"/>
      <c r="S935" s="5"/>
      <c r="T935" s="5"/>
      <c r="U935" s="5"/>
      <c r="V935" s="5"/>
      <c r="W935" s="5"/>
    </row>
    <row r="936" spans="1:23" ht="16" x14ac:dyDescent="0.2">
      <c r="A936" s="5"/>
      <c r="B936" s="6"/>
      <c r="C936" s="6"/>
      <c r="D936" s="6"/>
      <c r="E936" s="6"/>
      <c r="F936" s="5"/>
      <c r="G936" s="5"/>
      <c r="H936" s="5"/>
      <c r="I936" s="5"/>
      <c r="J936" s="5"/>
      <c r="K936" s="5"/>
      <c r="L936" s="5"/>
      <c r="M936" s="5"/>
      <c r="N936" s="5"/>
      <c r="O936" s="5"/>
      <c r="P936" s="5"/>
      <c r="Q936" s="5"/>
      <c r="R936" s="5"/>
      <c r="S936" s="5"/>
      <c r="T936" s="5"/>
      <c r="U936" s="5"/>
      <c r="V936" s="5"/>
      <c r="W936" s="5"/>
    </row>
    <row r="937" spans="1:23" ht="16" x14ac:dyDescent="0.2">
      <c r="A937" s="5"/>
      <c r="B937" s="6"/>
      <c r="C937" s="6"/>
      <c r="D937" s="6"/>
      <c r="E937" s="6"/>
      <c r="F937" s="5"/>
      <c r="G937" s="5"/>
      <c r="H937" s="5"/>
      <c r="I937" s="5"/>
      <c r="J937" s="5"/>
      <c r="K937" s="5"/>
      <c r="L937" s="5"/>
      <c r="M937" s="5"/>
      <c r="N937" s="5"/>
      <c r="O937" s="5"/>
      <c r="P937" s="5"/>
      <c r="Q937" s="5"/>
      <c r="R937" s="5"/>
      <c r="S937" s="5"/>
      <c r="T937" s="5"/>
      <c r="U937" s="5"/>
      <c r="V937" s="5"/>
      <c r="W937" s="5"/>
    </row>
    <row r="938" spans="1:23" ht="16" x14ac:dyDescent="0.2">
      <c r="A938" s="5"/>
      <c r="B938" s="6"/>
      <c r="C938" s="6"/>
      <c r="D938" s="6"/>
      <c r="E938" s="6"/>
      <c r="F938" s="5"/>
      <c r="G938" s="5"/>
      <c r="H938" s="5"/>
      <c r="I938" s="5"/>
      <c r="J938" s="5"/>
      <c r="K938" s="5"/>
      <c r="L938" s="5"/>
      <c r="M938" s="5"/>
      <c r="N938" s="5"/>
      <c r="O938" s="5"/>
      <c r="P938" s="5"/>
      <c r="Q938" s="5"/>
      <c r="R938" s="5"/>
      <c r="S938" s="5"/>
      <c r="T938" s="5"/>
      <c r="U938" s="5"/>
      <c r="V938" s="5"/>
      <c r="W938" s="5"/>
    </row>
    <row r="939" spans="1:23" ht="16" x14ac:dyDescent="0.2">
      <c r="A939" s="5"/>
      <c r="B939" s="6"/>
      <c r="C939" s="6"/>
      <c r="D939" s="6"/>
      <c r="E939" s="6"/>
      <c r="F939" s="5"/>
      <c r="G939" s="5"/>
      <c r="H939" s="5"/>
      <c r="I939" s="5"/>
      <c r="J939" s="5"/>
      <c r="K939" s="5"/>
      <c r="L939" s="5"/>
      <c r="M939" s="5"/>
      <c r="N939" s="5"/>
      <c r="O939" s="5"/>
      <c r="P939" s="5"/>
      <c r="Q939" s="5"/>
      <c r="R939" s="5"/>
      <c r="S939" s="5"/>
      <c r="T939" s="5"/>
      <c r="U939" s="5"/>
      <c r="V939" s="5"/>
      <c r="W939" s="5"/>
    </row>
    <row r="940" spans="1:23" ht="16" x14ac:dyDescent="0.2">
      <c r="A940" s="5"/>
      <c r="B940" s="6"/>
      <c r="C940" s="6"/>
      <c r="D940" s="6"/>
      <c r="E940" s="6"/>
      <c r="F940" s="5"/>
      <c r="G940" s="5"/>
      <c r="H940" s="5"/>
      <c r="I940" s="5"/>
      <c r="J940" s="5"/>
      <c r="K940" s="5"/>
      <c r="L940" s="5"/>
      <c r="M940" s="5"/>
      <c r="N940" s="5"/>
      <c r="O940" s="5"/>
      <c r="P940" s="5"/>
      <c r="Q940" s="5"/>
      <c r="R940" s="5"/>
      <c r="S940" s="5"/>
      <c r="T940" s="5"/>
      <c r="U940" s="5"/>
      <c r="V940" s="5"/>
      <c r="W940" s="5"/>
    </row>
    <row r="941" spans="1:23" ht="16" x14ac:dyDescent="0.2">
      <c r="A941" s="5"/>
      <c r="B941" s="6"/>
      <c r="C941" s="6"/>
      <c r="D941" s="6"/>
      <c r="E941" s="6"/>
      <c r="F941" s="5"/>
      <c r="G941" s="5"/>
      <c r="H941" s="5"/>
      <c r="I941" s="5"/>
      <c r="J941" s="5"/>
      <c r="K941" s="5"/>
      <c r="L941" s="5"/>
      <c r="M941" s="5"/>
      <c r="N941" s="5"/>
      <c r="O941" s="5"/>
      <c r="P941" s="5"/>
      <c r="Q941" s="5"/>
      <c r="R941" s="5"/>
      <c r="S941" s="5"/>
      <c r="T941" s="5"/>
      <c r="U941" s="5"/>
      <c r="V941" s="5"/>
      <c r="W941" s="5"/>
    </row>
    <row r="942" spans="1:23" ht="16" x14ac:dyDescent="0.2">
      <c r="A942" s="5"/>
      <c r="B942" s="6"/>
      <c r="C942" s="6"/>
      <c r="D942" s="6"/>
      <c r="E942" s="6"/>
      <c r="F942" s="5"/>
      <c r="G942" s="5"/>
      <c r="H942" s="5"/>
      <c r="I942" s="5"/>
      <c r="J942" s="5"/>
      <c r="K942" s="5"/>
      <c r="L942" s="5"/>
      <c r="M942" s="5"/>
      <c r="N942" s="5"/>
      <c r="O942" s="5"/>
      <c r="P942" s="5"/>
      <c r="Q942" s="5"/>
      <c r="R942" s="5"/>
      <c r="S942" s="5"/>
      <c r="T942" s="5"/>
      <c r="U942" s="5"/>
      <c r="V942" s="5"/>
      <c r="W942" s="5"/>
    </row>
    <row r="943" spans="1:23" ht="16" x14ac:dyDescent="0.2">
      <c r="A943" s="5"/>
      <c r="B943" s="6"/>
      <c r="C943" s="6"/>
      <c r="D943" s="6"/>
      <c r="E943" s="6"/>
      <c r="F943" s="5"/>
      <c r="G943" s="5"/>
      <c r="H943" s="5"/>
      <c r="I943" s="5"/>
      <c r="J943" s="5"/>
      <c r="K943" s="5"/>
      <c r="L943" s="5"/>
      <c r="M943" s="5"/>
      <c r="N943" s="5"/>
      <c r="O943" s="5"/>
      <c r="P943" s="5"/>
      <c r="Q943" s="5"/>
      <c r="R943" s="5"/>
      <c r="S943" s="5"/>
      <c r="T943" s="5"/>
      <c r="U943" s="5"/>
      <c r="V943" s="5"/>
      <c r="W943" s="5"/>
    </row>
    <row r="944" spans="1:23" ht="16" x14ac:dyDescent="0.2">
      <c r="A944" s="5"/>
      <c r="B944" s="6"/>
      <c r="C944" s="6"/>
      <c r="D944" s="6"/>
      <c r="E944" s="6"/>
      <c r="F944" s="5"/>
      <c r="G944" s="5"/>
      <c r="H944" s="5"/>
      <c r="I944" s="5"/>
      <c r="J944" s="5"/>
      <c r="K944" s="5"/>
      <c r="L944" s="5"/>
      <c r="M944" s="5"/>
      <c r="N944" s="5"/>
      <c r="O944" s="5"/>
      <c r="P944" s="5"/>
      <c r="Q944" s="5"/>
      <c r="R944" s="5"/>
      <c r="S944" s="5"/>
      <c r="T944" s="5"/>
      <c r="U944" s="5"/>
      <c r="V944" s="5"/>
      <c r="W944" s="5"/>
    </row>
    <row r="945" spans="1:23" ht="16" x14ac:dyDescent="0.2">
      <c r="A945" s="5"/>
      <c r="B945" s="6"/>
      <c r="C945" s="6"/>
      <c r="D945" s="6"/>
      <c r="E945" s="6"/>
      <c r="F945" s="5"/>
      <c r="G945" s="5"/>
      <c r="H945" s="5"/>
      <c r="I945" s="5"/>
      <c r="J945" s="5"/>
      <c r="K945" s="5"/>
      <c r="L945" s="5"/>
      <c r="M945" s="5"/>
      <c r="N945" s="5"/>
      <c r="O945" s="5"/>
      <c r="P945" s="5"/>
      <c r="Q945" s="5"/>
      <c r="R945" s="5"/>
      <c r="S945" s="5"/>
      <c r="T945" s="5"/>
      <c r="U945" s="5"/>
      <c r="V945" s="5"/>
      <c r="W945" s="5"/>
    </row>
    <row r="946" spans="1:23" ht="16" x14ac:dyDescent="0.2">
      <c r="A946" s="5"/>
      <c r="B946" s="6"/>
      <c r="C946" s="6"/>
      <c r="D946" s="6"/>
      <c r="E946" s="6"/>
      <c r="F946" s="5"/>
      <c r="G946" s="5"/>
      <c r="H946" s="5"/>
      <c r="I946" s="5"/>
      <c r="J946" s="5"/>
      <c r="K946" s="5"/>
      <c r="L946" s="5"/>
      <c r="M946" s="5"/>
      <c r="N946" s="5"/>
      <c r="O946" s="5"/>
      <c r="P946" s="5"/>
      <c r="Q946" s="5"/>
      <c r="R946" s="5"/>
      <c r="S946" s="5"/>
      <c r="T946" s="5"/>
      <c r="U946" s="5"/>
      <c r="V946" s="5"/>
      <c r="W946" s="5"/>
    </row>
    <row r="947" spans="1:23" ht="16" x14ac:dyDescent="0.2">
      <c r="A947" s="5"/>
      <c r="B947" s="6"/>
      <c r="C947" s="6"/>
      <c r="D947" s="6"/>
      <c r="E947" s="6"/>
      <c r="F947" s="5"/>
      <c r="G947" s="5"/>
      <c r="H947" s="5"/>
      <c r="I947" s="5"/>
      <c r="J947" s="5"/>
      <c r="K947" s="5"/>
      <c r="L947" s="5"/>
      <c r="M947" s="5"/>
      <c r="N947" s="5"/>
      <c r="O947" s="5"/>
      <c r="P947" s="5"/>
      <c r="Q947" s="5"/>
      <c r="R947" s="5"/>
      <c r="S947" s="5"/>
      <c r="T947" s="5"/>
      <c r="U947" s="5"/>
      <c r="V947" s="5"/>
      <c r="W947" s="5"/>
    </row>
    <row r="948" spans="1:23" ht="16" x14ac:dyDescent="0.2">
      <c r="A948" s="5"/>
      <c r="B948" s="6"/>
      <c r="C948" s="6"/>
      <c r="D948" s="6"/>
      <c r="E948" s="6"/>
      <c r="F948" s="5"/>
      <c r="G948" s="5"/>
      <c r="H948" s="5"/>
      <c r="I948" s="5"/>
      <c r="J948" s="5"/>
      <c r="K948" s="5"/>
      <c r="L948" s="5"/>
      <c r="M948" s="5"/>
      <c r="N948" s="5"/>
      <c r="O948" s="5"/>
      <c r="P948" s="5"/>
      <c r="Q948" s="5"/>
      <c r="R948" s="5"/>
      <c r="S948" s="5"/>
      <c r="T948" s="5"/>
      <c r="U948" s="5"/>
      <c r="V948" s="5"/>
      <c r="W948" s="5"/>
    </row>
    <row r="949" spans="1:23" ht="16" x14ac:dyDescent="0.2">
      <c r="A949" s="5"/>
      <c r="B949" s="6"/>
      <c r="C949" s="6"/>
      <c r="D949" s="6"/>
      <c r="E949" s="6"/>
      <c r="F949" s="5"/>
      <c r="G949" s="5"/>
      <c r="H949" s="5"/>
      <c r="I949" s="5"/>
      <c r="J949" s="5"/>
      <c r="K949" s="5"/>
      <c r="L949" s="5"/>
      <c r="M949" s="5"/>
      <c r="N949" s="5"/>
      <c r="O949" s="5"/>
      <c r="P949" s="5"/>
      <c r="Q949" s="5"/>
      <c r="R949" s="5"/>
      <c r="S949" s="5"/>
      <c r="T949" s="5"/>
      <c r="U949" s="5"/>
      <c r="V949" s="5"/>
      <c r="W949" s="5"/>
    </row>
    <row r="950" spans="1:23" ht="16" x14ac:dyDescent="0.2">
      <c r="A950" s="5"/>
      <c r="B950" s="6"/>
      <c r="C950" s="6"/>
      <c r="D950" s="6"/>
      <c r="E950" s="6"/>
      <c r="F950" s="5"/>
      <c r="G950" s="5"/>
      <c r="H950" s="5"/>
      <c r="I950" s="5"/>
      <c r="J950" s="5"/>
      <c r="K950" s="5"/>
      <c r="L950" s="5"/>
      <c r="M950" s="5"/>
      <c r="N950" s="5"/>
      <c r="O950" s="5"/>
      <c r="P950" s="5"/>
      <c r="Q950" s="5"/>
      <c r="R950" s="5"/>
      <c r="S950" s="5"/>
      <c r="T950" s="5"/>
      <c r="U950" s="5"/>
      <c r="V950" s="5"/>
      <c r="W950" s="5"/>
    </row>
    <row r="951" spans="1:23" ht="16" x14ac:dyDescent="0.2">
      <c r="A951" s="5"/>
      <c r="B951" s="6"/>
      <c r="C951" s="6"/>
      <c r="D951" s="6"/>
      <c r="E951" s="6"/>
      <c r="F951" s="5"/>
      <c r="G951" s="5"/>
      <c r="H951" s="5"/>
      <c r="I951" s="5"/>
      <c r="J951" s="5"/>
      <c r="K951" s="5"/>
      <c r="L951" s="5"/>
      <c r="M951" s="5"/>
      <c r="N951" s="5"/>
      <c r="O951" s="5"/>
      <c r="P951" s="5"/>
      <c r="Q951" s="5"/>
      <c r="R951" s="5"/>
      <c r="S951" s="5"/>
      <c r="T951" s="5"/>
      <c r="U951" s="5"/>
      <c r="V951" s="5"/>
      <c r="W951" s="5"/>
    </row>
    <row r="952" spans="1:23" ht="16" x14ac:dyDescent="0.2">
      <c r="A952" s="5"/>
      <c r="B952" s="6"/>
      <c r="C952" s="6"/>
      <c r="D952" s="6"/>
      <c r="E952" s="6"/>
      <c r="F952" s="5"/>
      <c r="G952" s="5"/>
      <c r="H952" s="5"/>
      <c r="I952" s="5"/>
      <c r="J952" s="5"/>
      <c r="K952" s="5"/>
      <c r="L952" s="5"/>
      <c r="M952" s="5"/>
      <c r="N952" s="5"/>
      <c r="O952" s="5"/>
      <c r="P952" s="5"/>
      <c r="Q952" s="5"/>
      <c r="R952" s="5"/>
      <c r="S952" s="5"/>
      <c r="T952" s="5"/>
      <c r="U952" s="5"/>
      <c r="V952" s="5"/>
      <c r="W952" s="5"/>
    </row>
    <row r="953" spans="1:23" ht="16" x14ac:dyDescent="0.2">
      <c r="A953" s="5"/>
      <c r="B953" s="6"/>
      <c r="C953" s="6"/>
      <c r="D953" s="6"/>
      <c r="E953" s="6"/>
      <c r="F953" s="5"/>
      <c r="G953" s="5"/>
      <c r="H953" s="5"/>
      <c r="I953" s="5"/>
      <c r="J953" s="5"/>
      <c r="K953" s="5"/>
      <c r="L953" s="5"/>
      <c r="M953" s="5"/>
      <c r="N953" s="5"/>
      <c r="O953" s="5"/>
      <c r="P953" s="5"/>
      <c r="Q953" s="5"/>
      <c r="R953" s="5"/>
      <c r="S953" s="5"/>
      <c r="T953" s="5"/>
      <c r="U953" s="5"/>
      <c r="V953" s="5"/>
      <c r="W953" s="5"/>
    </row>
    <row r="954" spans="1:23" ht="16" x14ac:dyDescent="0.2">
      <c r="A954" s="5"/>
      <c r="B954" s="6"/>
      <c r="C954" s="6"/>
      <c r="D954" s="6"/>
      <c r="E954" s="6"/>
      <c r="F954" s="5"/>
      <c r="G954" s="5"/>
      <c r="H954" s="5"/>
      <c r="I954" s="5"/>
      <c r="J954" s="5"/>
      <c r="K954" s="5"/>
      <c r="L954" s="5"/>
      <c r="M954" s="5"/>
      <c r="N954" s="5"/>
      <c r="O954" s="5"/>
      <c r="P954" s="5"/>
      <c r="Q954" s="5"/>
      <c r="R954" s="5"/>
      <c r="S954" s="5"/>
      <c r="T954" s="5"/>
      <c r="U954" s="5"/>
      <c r="V954" s="5"/>
      <c r="W954" s="5"/>
    </row>
    <row r="955" spans="1:23" ht="16" x14ac:dyDescent="0.2">
      <c r="A955" s="5"/>
      <c r="B955" s="6"/>
      <c r="C955" s="6"/>
      <c r="D955" s="6"/>
      <c r="E955" s="6"/>
      <c r="F955" s="5"/>
      <c r="G955" s="5"/>
      <c r="H955" s="5"/>
      <c r="I955" s="5"/>
      <c r="J955" s="5"/>
      <c r="K955" s="5"/>
      <c r="L955" s="5"/>
      <c r="M955" s="5"/>
      <c r="N955" s="5"/>
      <c r="O955" s="5"/>
      <c r="P955" s="5"/>
      <c r="Q955" s="5"/>
      <c r="R955" s="5"/>
      <c r="S955" s="5"/>
      <c r="T955" s="5"/>
      <c r="U955" s="5"/>
      <c r="V955" s="5"/>
      <c r="W955" s="5"/>
    </row>
    <row r="956" spans="1:23" ht="16" x14ac:dyDescent="0.2">
      <c r="A956" s="5"/>
      <c r="B956" s="6"/>
      <c r="C956" s="6"/>
      <c r="D956" s="6"/>
      <c r="E956" s="6"/>
      <c r="F956" s="5"/>
      <c r="G956" s="5"/>
      <c r="H956" s="5"/>
      <c r="I956" s="5"/>
      <c r="J956" s="5"/>
      <c r="K956" s="5"/>
      <c r="L956" s="5"/>
      <c r="M956" s="5"/>
      <c r="N956" s="5"/>
      <c r="O956" s="5"/>
      <c r="P956" s="5"/>
      <c r="Q956" s="5"/>
      <c r="R956" s="5"/>
      <c r="S956" s="5"/>
      <c r="T956" s="5"/>
      <c r="U956" s="5"/>
      <c r="V956" s="5"/>
      <c r="W956" s="5"/>
    </row>
    <row r="957" spans="1:23" ht="16" x14ac:dyDescent="0.2">
      <c r="A957" s="5"/>
      <c r="B957" s="6"/>
      <c r="C957" s="6"/>
      <c r="D957" s="6"/>
      <c r="E957" s="6"/>
      <c r="F957" s="5"/>
      <c r="G957" s="5"/>
      <c r="H957" s="5"/>
      <c r="I957" s="5"/>
      <c r="J957" s="5"/>
      <c r="K957" s="5"/>
      <c r="L957" s="5"/>
      <c r="M957" s="5"/>
      <c r="N957" s="5"/>
      <c r="O957" s="5"/>
      <c r="P957" s="5"/>
      <c r="Q957" s="5"/>
      <c r="R957" s="5"/>
      <c r="S957" s="5"/>
      <c r="T957" s="5"/>
      <c r="U957" s="5"/>
      <c r="V957" s="5"/>
      <c r="W957" s="5"/>
    </row>
    <row r="958" spans="1:23" ht="16" x14ac:dyDescent="0.2">
      <c r="A958" s="5"/>
      <c r="B958" s="6"/>
      <c r="C958" s="6"/>
      <c r="D958" s="6"/>
      <c r="E958" s="6"/>
      <c r="F958" s="5"/>
      <c r="G958" s="5"/>
      <c r="H958" s="5"/>
      <c r="I958" s="5"/>
      <c r="J958" s="5"/>
      <c r="K958" s="5"/>
      <c r="L958" s="5"/>
      <c r="M958" s="5"/>
      <c r="N958" s="5"/>
      <c r="O958" s="5"/>
      <c r="P958" s="5"/>
      <c r="Q958" s="5"/>
      <c r="R958" s="5"/>
      <c r="S958" s="5"/>
      <c r="T958" s="5"/>
      <c r="U958" s="5"/>
      <c r="V958" s="5"/>
      <c r="W958" s="5"/>
    </row>
    <row r="959" spans="1:23" ht="16" x14ac:dyDescent="0.2">
      <c r="A959" s="5"/>
      <c r="B959" s="6"/>
      <c r="C959" s="6"/>
      <c r="D959" s="6"/>
      <c r="E959" s="6"/>
      <c r="F959" s="5"/>
      <c r="G959" s="5"/>
      <c r="H959" s="5"/>
      <c r="I959" s="5"/>
      <c r="J959" s="5"/>
      <c r="K959" s="5"/>
      <c r="L959" s="5"/>
      <c r="M959" s="5"/>
      <c r="N959" s="5"/>
      <c r="O959" s="5"/>
      <c r="P959" s="5"/>
      <c r="Q959" s="5"/>
      <c r="R959" s="5"/>
      <c r="S959" s="5"/>
      <c r="T959" s="5"/>
      <c r="U959" s="5"/>
      <c r="V959" s="5"/>
      <c r="W959" s="5"/>
    </row>
    <row r="960" spans="1:23" ht="16" x14ac:dyDescent="0.2">
      <c r="A960" s="5"/>
      <c r="B960" s="6"/>
      <c r="C960" s="6"/>
      <c r="D960" s="6"/>
      <c r="E960" s="6"/>
      <c r="F960" s="5"/>
      <c r="G960" s="5"/>
      <c r="H960" s="5"/>
      <c r="I960" s="5"/>
      <c r="J960" s="5"/>
      <c r="K960" s="5"/>
      <c r="L960" s="5"/>
      <c r="M960" s="5"/>
      <c r="N960" s="5"/>
      <c r="O960" s="5"/>
      <c r="P960" s="5"/>
      <c r="Q960" s="5"/>
      <c r="R960" s="5"/>
      <c r="S960" s="5"/>
      <c r="T960" s="5"/>
      <c r="U960" s="5"/>
      <c r="V960" s="5"/>
      <c r="W960" s="5"/>
    </row>
    <row r="961" spans="1:23" ht="16" x14ac:dyDescent="0.2">
      <c r="A961" s="5"/>
      <c r="B961" s="6"/>
      <c r="C961" s="6"/>
      <c r="D961" s="6"/>
      <c r="E961" s="6"/>
      <c r="F961" s="5"/>
      <c r="G961" s="5"/>
      <c r="H961" s="5"/>
      <c r="I961" s="5"/>
      <c r="J961" s="5"/>
      <c r="K961" s="5"/>
      <c r="L961" s="5"/>
      <c r="M961" s="5"/>
      <c r="N961" s="5"/>
      <c r="O961" s="5"/>
      <c r="P961" s="5"/>
      <c r="Q961" s="5"/>
      <c r="R961" s="5"/>
      <c r="S961" s="5"/>
      <c r="T961" s="5"/>
      <c r="U961" s="5"/>
      <c r="V961" s="5"/>
      <c r="W961" s="5"/>
    </row>
    <row r="962" spans="1:23" ht="16" x14ac:dyDescent="0.2">
      <c r="A962" s="5"/>
      <c r="B962" s="6"/>
      <c r="C962" s="6"/>
      <c r="D962" s="6"/>
      <c r="E962" s="6"/>
      <c r="F962" s="5"/>
      <c r="G962" s="5"/>
      <c r="H962" s="5"/>
      <c r="I962" s="5"/>
      <c r="J962" s="5"/>
      <c r="K962" s="5"/>
      <c r="L962" s="5"/>
      <c r="M962" s="5"/>
      <c r="N962" s="5"/>
      <c r="O962" s="5"/>
      <c r="P962" s="5"/>
      <c r="Q962" s="5"/>
      <c r="R962" s="5"/>
      <c r="S962" s="5"/>
      <c r="T962" s="5"/>
      <c r="U962" s="5"/>
      <c r="V962" s="5"/>
      <c r="W962" s="5"/>
    </row>
    <row r="963" spans="1:23" ht="16" x14ac:dyDescent="0.2">
      <c r="A963" s="5"/>
      <c r="B963" s="6"/>
      <c r="C963" s="6"/>
      <c r="D963" s="6"/>
      <c r="E963" s="6"/>
      <c r="F963" s="5"/>
      <c r="G963" s="5"/>
      <c r="H963" s="5"/>
      <c r="I963" s="5"/>
      <c r="J963" s="5"/>
      <c r="K963" s="5"/>
      <c r="L963" s="5"/>
      <c r="M963" s="5"/>
      <c r="N963" s="5"/>
      <c r="O963" s="5"/>
      <c r="P963" s="5"/>
      <c r="Q963" s="5"/>
      <c r="R963" s="5"/>
      <c r="S963" s="5"/>
      <c r="T963" s="5"/>
      <c r="U963" s="5"/>
      <c r="V963" s="5"/>
      <c r="W963" s="5"/>
    </row>
    <row r="964" spans="1:23" ht="16" x14ac:dyDescent="0.2">
      <c r="A964" s="5"/>
      <c r="B964" s="6"/>
      <c r="C964" s="6"/>
      <c r="D964" s="6"/>
      <c r="E964" s="6"/>
      <c r="F964" s="5"/>
      <c r="G964" s="5"/>
      <c r="H964" s="5"/>
      <c r="I964" s="5"/>
      <c r="J964" s="5"/>
      <c r="K964" s="5"/>
      <c r="L964" s="5"/>
      <c r="M964" s="5"/>
      <c r="N964" s="5"/>
      <c r="O964" s="5"/>
      <c r="P964" s="5"/>
      <c r="Q964" s="5"/>
      <c r="R964" s="5"/>
      <c r="S964" s="5"/>
      <c r="T964" s="5"/>
      <c r="U964" s="5"/>
      <c r="V964" s="5"/>
      <c r="W964" s="5"/>
    </row>
    <row r="965" spans="1:23" ht="16" x14ac:dyDescent="0.2">
      <c r="A965" s="5"/>
      <c r="B965" s="6"/>
      <c r="C965" s="6"/>
      <c r="D965" s="6"/>
      <c r="E965" s="6"/>
      <c r="F965" s="5"/>
      <c r="G965" s="5"/>
      <c r="H965" s="5"/>
      <c r="I965" s="5"/>
      <c r="J965" s="5"/>
      <c r="K965" s="5"/>
      <c r="L965" s="5"/>
      <c r="M965" s="5"/>
      <c r="N965" s="5"/>
      <c r="O965" s="5"/>
      <c r="P965" s="5"/>
      <c r="Q965" s="5"/>
      <c r="R965" s="5"/>
      <c r="S965" s="5"/>
      <c r="T965" s="5"/>
      <c r="U965" s="5"/>
      <c r="V965" s="5"/>
      <c r="W965" s="5"/>
    </row>
    <row r="966" spans="1:23" ht="16" x14ac:dyDescent="0.2">
      <c r="A966" s="5"/>
      <c r="B966" s="6"/>
      <c r="C966" s="6"/>
      <c r="D966" s="6"/>
      <c r="E966" s="6"/>
      <c r="F966" s="5"/>
      <c r="G966" s="5"/>
      <c r="H966" s="5"/>
      <c r="I966" s="5"/>
      <c r="J966" s="5"/>
      <c r="K966" s="5"/>
      <c r="L966" s="5"/>
      <c r="M966" s="5"/>
      <c r="N966" s="5"/>
      <c r="O966" s="5"/>
      <c r="P966" s="5"/>
      <c r="Q966" s="5"/>
      <c r="R966" s="5"/>
      <c r="S966" s="5"/>
      <c r="T966" s="5"/>
      <c r="U966" s="5"/>
      <c r="V966" s="5"/>
      <c r="W966" s="5"/>
    </row>
    <row r="967" spans="1:23" ht="16" x14ac:dyDescent="0.2">
      <c r="A967" s="5"/>
      <c r="B967" s="6"/>
      <c r="C967" s="6"/>
      <c r="D967" s="6"/>
      <c r="E967" s="6"/>
      <c r="F967" s="5"/>
      <c r="G967" s="5"/>
      <c r="H967" s="5"/>
      <c r="I967" s="5"/>
      <c r="J967" s="5"/>
      <c r="K967" s="5"/>
      <c r="L967" s="5"/>
      <c r="M967" s="5"/>
      <c r="N967" s="5"/>
      <c r="O967" s="5"/>
      <c r="P967" s="5"/>
      <c r="Q967" s="5"/>
      <c r="R967" s="5"/>
      <c r="S967" s="5"/>
      <c r="T967" s="5"/>
      <c r="U967" s="5"/>
      <c r="V967" s="5"/>
      <c r="W967" s="5"/>
    </row>
    <row r="968" spans="1:23" ht="16" x14ac:dyDescent="0.2">
      <c r="A968" s="5"/>
      <c r="B968" s="6"/>
      <c r="C968" s="6"/>
      <c r="D968" s="6"/>
      <c r="E968" s="6"/>
      <c r="F968" s="5"/>
      <c r="G968" s="5"/>
      <c r="H968" s="5"/>
      <c r="I968" s="5"/>
      <c r="J968" s="5"/>
      <c r="K968" s="5"/>
      <c r="L968" s="5"/>
      <c r="M968" s="5"/>
      <c r="N968" s="5"/>
      <c r="O968" s="5"/>
      <c r="P968" s="5"/>
      <c r="Q968" s="5"/>
      <c r="R968" s="5"/>
      <c r="S968" s="5"/>
      <c r="T968" s="5"/>
      <c r="U968" s="5"/>
      <c r="V968" s="5"/>
      <c r="W968" s="5"/>
    </row>
    <row r="969" spans="1:23" ht="16" x14ac:dyDescent="0.2">
      <c r="A969" s="5"/>
      <c r="B969" s="6"/>
      <c r="C969" s="6"/>
      <c r="D969" s="6"/>
      <c r="E969" s="6"/>
      <c r="F969" s="5"/>
      <c r="G969" s="5"/>
      <c r="H969" s="5"/>
      <c r="I969" s="5"/>
      <c r="J969" s="5"/>
      <c r="K969" s="5"/>
      <c r="L969" s="5"/>
      <c r="M969" s="5"/>
      <c r="N969" s="5"/>
      <c r="O969" s="5"/>
      <c r="P969" s="5"/>
      <c r="Q969" s="5"/>
      <c r="R969" s="5"/>
      <c r="S969" s="5"/>
      <c r="T969" s="5"/>
      <c r="U969" s="5"/>
      <c r="V969" s="5"/>
      <c r="W969" s="5"/>
    </row>
    <row r="970" spans="1:23" ht="16" x14ac:dyDescent="0.2">
      <c r="A970" s="5"/>
      <c r="B970" s="6"/>
      <c r="C970" s="6"/>
      <c r="D970" s="6"/>
      <c r="E970" s="6"/>
      <c r="F970" s="5"/>
      <c r="G970" s="5"/>
      <c r="H970" s="5"/>
      <c r="I970" s="5"/>
      <c r="J970" s="5"/>
      <c r="K970" s="5"/>
      <c r="L970" s="5"/>
      <c r="M970" s="5"/>
      <c r="N970" s="5"/>
      <c r="O970" s="5"/>
      <c r="P970" s="5"/>
      <c r="Q970" s="5"/>
      <c r="R970" s="5"/>
      <c r="S970" s="5"/>
      <c r="T970" s="5"/>
      <c r="U970" s="5"/>
      <c r="V970" s="5"/>
      <c r="W970" s="5"/>
    </row>
    <row r="971" spans="1:23" ht="16" x14ac:dyDescent="0.2">
      <c r="A971" s="5"/>
      <c r="B971" s="6"/>
      <c r="C971" s="6"/>
      <c r="D971" s="6"/>
      <c r="E971" s="6"/>
      <c r="F971" s="5"/>
      <c r="G971" s="5"/>
      <c r="H971" s="5"/>
      <c r="I971" s="5"/>
      <c r="J971" s="5"/>
      <c r="K971" s="5"/>
      <c r="L971" s="5"/>
      <c r="M971" s="5"/>
      <c r="N971" s="5"/>
      <c r="O971" s="5"/>
      <c r="P971" s="5"/>
      <c r="Q971" s="5"/>
      <c r="R971" s="5"/>
      <c r="S971" s="5"/>
      <c r="T971" s="5"/>
      <c r="U971" s="5"/>
      <c r="V971" s="5"/>
      <c r="W971" s="5"/>
    </row>
    <row r="972" spans="1:23" ht="16" x14ac:dyDescent="0.2">
      <c r="A972" s="5"/>
      <c r="B972" s="6"/>
      <c r="C972" s="6"/>
      <c r="D972" s="6"/>
      <c r="E972" s="6"/>
      <c r="F972" s="5"/>
      <c r="G972" s="5"/>
      <c r="H972" s="5"/>
      <c r="I972" s="5"/>
      <c r="J972" s="5"/>
      <c r="K972" s="5"/>
      <c r="L972" s="5"/>
      <c r="M972" s="5"/>
      <c r="N972" s="5"/>
      <c r="O972" s="5"/>
      <c r="P972" s="5"/>
      <c r="Q972" s="5"/>
      <c r="R972" s="5"/>
      <c r="S972" s="5"/>
      <c r="T972" s="5"/>
      <c r="U972" s="5"/>
      <c r="V972" s="5"/>
      <c r="W972" s="5"/>
    </row>
    <row r="973" spans="1:23" ht="16" x14ac:dyDescent="0.2">
      <c r="A973" s="5"/>
      <c r="B973" s="6"/>
      <c r="C973" s="6"/>
      <c r="D973" s="6"/>
      <c r="E973" s="6"/>
      <c r="F973" s="5"/>
      <c r="G973" s="5"/>
      <c r="H973" s="5"/>
      <c r="I973" s="5"/>
      <c r="J973" s="5"/>
      <c r="K973" s="5"/>
      <c r="L973" s="5"/>
      <c r="M973" s="5"/>
      <c r="N973" s="5"/>
      <c r="O973" s="5"/>
      <c r="P973" s="5"/>
      <c r="Q973" s="5"/>
      <c r="R973" s="5"/>
      <c r="S973" s="5"/>
      <c r="T973" s="5"/>
      <c r="U973" s="5"/>
      <c r="V973" s="5"/>
      <c r="W973" s="5"/>
    </row>
    <row r="974" spans="1:23" ht="16" x14ac:dyDescent="0.2">
      <c r="A974" s="5"/>
      <c r="B974" s="6"/>
      <c r="C974" s="6"/>
      <c r="D974" s="6"/>
      <c r="E974" s="6"/>
      <c r="F974" s="5"/>
      <c r="G974" s="5"/>
      <c r="H974" s="5"/>
      <c r="I974" s="5"/>
      <c r="J974" s="5"/>
      <c r="K974" s="5"/>
      <c r="L974" s="5"/>
      <c r="M974" s="5"/>
      <c r="N974" s="5"/>
      <c r="O974" s="5"/>
      <c r="P974" s="5"/>
      <c r="Q974" s="5"/>
      <c r="R974" s="5"/>
      <c r="S974" s="5"/>
      <c r="T974" s="5"/>
      <c r="U974" s="5"/>
      <c r="V974" s="5"/>
      <c r="W974" s="5"/>
    </row>
    <row r="975" spans="1:23" ht="16" x14ac:dyDescent="0.2">
      <c r="A975" s="5"/>
      <c r="B975" s="6"/>
      <c r="C975" s="6"/>
      <c r="D975" s="6"/>
      <c r="E975" s="6"/>
      <c r="F975" s="5"/>
      <c r="G975" s="5"/>
      <c r="H975" s="5"/>
      <c r="I975" s="5"/>
      <c r="J975" s="5"/>
      <c r="K975" s="5"/>
      <c r="L975" s="5"/>
      <c r="M975" s="5"/>
      <c r="N975" s="5"/>
      <c r="O975" s="5"/>
      <c r="P975" s="5"/>
      <c r="Q975" s="5"/>
      <c r="R975" s="5"/>
      <c r="S975" s="5"/>
      <c r="T975" s="5"/>
      <c r="U975" s="5"/>
      <c r="V975" s="5"/>
      <c r="W975" s="5"/>
    </row>
    <row r="976" spans="1:23" ht="16" x14ac:dyDescent="0.2">
      <c r="A976" s="5"/>
      <c r="B976" s="6"/>
      <c r="C976" s="6"/>
      <c r="D976" s="6"/>
      <c r="E976" s="6"/>
      <c r="F976" s="5"/>
      <c r="G976" s="5"/>
      <c r="H976" s="5"/>
      <c r="I976" s="5"/>
      <c r="J976" s="5"/>
      <c r="K976" s="5"/>
      <c r="L976" s="5"/>
      <c r="M976" s="5"/>
      <c r="N976" s="5"/>
      <c r="O976" s="5"/>
      <c r="P976" s="5"/>
      <c r="Q976" s="5"/>
      <c r="R976" s="5"/>
      <c r="S976" s="5"/>
      <c r="T976" s="5"/>
      <c r="U976" s="5"/>
      <c r="V976" s="5"/>
      <c r="W976" s="5"/>
    </row>
    <row r="977" spans="1:23" ht="16" x14ac:dyDescent="0.2">
      <c r="A977" s="5"/>
      <c r="B977" s="6"/>
      <c r="C977" s="6"/>
      <c r="D977" s="6"/>
      <c r="E977" s="6"/>
      <c r="F977" s="5"/>
      <c r="G977" s="5"/>
      <c r="H977" s="5"/>
      <c r="I977" s="5"/>
      <c r="J977" s="5"/>
      <c r="K977" s="5"/>
      <c r="L977" s="5"/>
      <c r="M977" s="5"/>
      <c r="N977" s="5"/>
      <c r="O977" s="5"/>
      <c r="P977" s="5"/>
      <c r="Q977" s="5"/>
      <c r="R977" s="5"/>
      <c r="S977" s="5"/>
      <c r="T977" s="5"/>
      <c r="U977" s="5"/>
      <c r="V977" s="5"/>
      <c r="W977" s="5"/>
    </row>
    <row r="978" spans="1:23" ht="16" x14ac:dyDescent="0.2">
      <c r="A978" s="5"/>
      <c r="B978" s="6"/>
      <c r="C978" s="6"/>
      <c r="D978" s="6"/>
      <c r="E978" s="6"/>
      <c r="F978" s="5"/>
      <c r="G978" s="5"/>
      <c r="H978" s="5"/>
      <c r="I978" s="5"/>
      <c r="J978" s="5"/>
      <c r="K978" s="5"/>
      <c r="L978" s="5"/>
      <c r="M978" s="5"/>
      <c r="N978" s="5"/>
      <c r="O978" s="5"/>
      <c r="P978" s="5"/>
      <c r="Q978" s="5"/>
      <c r="R978" s="5"/>
      <c r="S978" s="5"/>
      <c r="T978" s="5"/>
      <c r="U978" s="5"/>
      <c r="V978" s="5"/>
      <c r="W978" s="5"/>
    </row>
    <row r="979" spans="1:23" ht="16" x14ac:dyDescent="0.2">
      <c r="A979" s="5"/>
      <c r="B979" s="6"/>
      <c r="C979" s="6"/>
      <c r="D979" s="6"/>
      <c r="E979" s="6"/>
      <c r="F979" s="5"/>
      <c r="G979" s="5"/>
      <c r="H979" s="5"/>
      <c r="I979" s="5"/>
      <c r="J979" s="5"/>
      <c r="K979" s="5"/>
      <c r="L979" s="5"/>
      <c r="M979" s="5"/>
      <c r="N979" s="5"/>
      <c r="O979" s="5"/>
      <c r="P979" s="5"/>
      <c r="Q979" s="5"/>
      <c r="R979" s="5"/>
      <c r="S979" s="5"/>
      <c r="T979" s="5"/>
      <c r="U979" s="5"/>
      <c r="V979" s="5"/>
      <c r="W979" s="5"/>
    </row>
    <row r="980" spans="1:23" ht="16" x14ac:dyDescent="0.2">
      <c r="A980" s="5"/>
      <c r="B980" s="6"/>
      <c r="C980" s="6"/>
      <c r="D980" s="6"/>
      <c r="E980" s="6"/>
      <c r="F980" s="5"/>
      <c r="G980" s="5"/>
      <c r="H980" s="5"/>
      <c r="I980" s="5"/>
      <c r="J980" s="5"/>
      <c r="K980" s="5"/>
      <c r="L980" s="5"/>
      <c r="M980" s="5"/>
      <c r="N980" s="5"/>
      <c r="O980" s="5"/>
      <c r="P980" s="5"/>
      <c r="Q980" s="5"/>
      <c r="R980" s="5"/>
      <c r="S980" s="5"/>
      <c r="T980" s="5"/>
      <c r="U980" s="5"/>
      <c r="V980" s="5"/>
      <c r="W980" s="5"/>
    </row>
    <row r="981" spans="1:23" ht="16" x14ac:dyDescent="0.2">
      <c r="A981" s="5"/>
      <c r="B981" s="6"/>
      <c r="C981" s="6"/>
      <c r="D981" s="6"/>
      <c r="E981" s="6"/>
      <c r="F981" s="5"/>
      <c r="G981" s="5"/>
      <c r="H981" s="5"/>
      <c r="I981" s="5"/>
      <c r="J981" s="5"/>
      <c r="K981" s="5"/>
      <c r="L981" s="5"/>
      <c r="M981" s="5"/>
      <c r="N981" s="5"/>
      <c r="O981" s="5"/>
      <c r="P981" s="5"/>
      <c r="Q981" s="5"/>
      <c r="R981" s="5"/>
      <c r="S981" s="5"/>
      <c r="T981" s="5"/>
      <c r="U981" s="5"/>
      <c r="V981" s="5"/>
      <c r="W981" s="5"/>
    </row>
    <row r="982" spans="1:23" ht="16" x14ac:dyDescent="0.2">
      <c r="A982" s="5"/>
      <c r="B982" s="6"/>
      <c r="C982" s="6"/>
      <c r="D982" s="6"/>
      <c r="E982" s="6"/>
      <c r="F982" s="5"/>
      <c r="G982" s="5"/>
      <c r="H982" s="5"/>
      <c r="I982" s="5"/>
      <c r="J982" s="5"/>
      <c r="K982" s="5"/>
      <c r="L982" s="5"/>
      <c r="M982" s="5"/>
      <c r="N982" s="5"/>
      <c r="O982" s="5"/>
      <c r="P982" s="5"/>
      <c r="Q982" s="5"/>
      <c r="R982" s="5"/>
      <c r="S982" s="5"/>
      <c r="T982" s="5"/>
      <c r="U982" s="5"/>
      <c r="V982" s="5"/>
      <c r="W982" s="5"/>
    </row>
    <row r="983" spans="1:23" ht="16" x14ac:dyDescent="0.2">
      <c r="A983" s="5"/>
      <c r="B983" s="6"/>
      <c r="C983" s="6"/>
      <c r="D983" s="6"/>
      <c r="E983" s="6"/>
      <c r="F983" s="5"/>
      <c r="G983" s="5"/>
      <c r="H983" s="5"/>
      <c r="I983" s="5"/>
      <c r="J983" s="5"/>
      <c r="K983" s="5"/>
      <c r="L983" s="5"/>
      <c r="M983" s="5"/>
      <c r="N983" s="5"/>
      <c r="O983" s="5"/>
      <c r="P983" s="5"/>
      <c r="Q983" s="5"/>
      <c r="R983" s="5"/>
      <c r="S983" s="5"/>
      <c r="T983" s="5"/>
      <c r="U983" s="5"/>
      <c r="V983" s="5"/>
      <c r="W983" s="5"/>
    </row>
    <row r="984" spans="1:23" ht="16" x14ac:dyDescent="0.2">
      <c r="A984" s="5"/>
      <c r="B984" s="6"/>
      <c r="C984" s="6"/>
      <c r="D984" s="6"/>
      <c r="E984" s="6"/>
      <c r="F984" s="5"/>
      <c r="G984" s="5"/>
      <c r="H984" s="5"/>
      <c r="I984" s="5"/>
      <c r="J984" s="5"/>
      <c r="K984" s="5"/>
      <c r="L984" s="5"/>
      <c r="M984" s="5"/>
      <c r="N984" s="5"/>
      <c r="O984" s="5"/>
      <c r="P984" s="5"/>
      <c r="Q984" s="5"/>
      <c r="R984" s="5"/>
      <c r="S984" s="5"/>
      <c r="T984" s="5"/>
      <c r="U984" s="5"/>
      <c r="V984" s="5"/>
      <c r="W984" s="5"/>
    </row>
    <row r="985" spans="1:23" ht="16" x14ac:dyDescent="0.2">
      <c r="A985" s="5"/>
      <c r="B985" s="6"/>
      <c r="C985" s="6"/>
      <c r="D985" s="6"/>
      <c r="E985" s="6"/>
      <c r="F985" s="5"/>
      <c r="G985" s="5"/>
      <c r="H985" s="5"/>
      <c r="I985" s="5"/>
      <c r="J985" s="5"/>
      <c r="K985" s="5"/>
      <c r="L985" s="5"/>
      <c r="M985" s="5"/>
      <c r="N985" s="5"/>
      <c r="O985" s="5"/>
      <c r="P985" s="5"/>
      <c r="Q985" s="5"/>
      <c r="R985" s="5"/>
      <c r="S985" s="5"/>
      <c r="T985" s="5"/>
      <c r="U985" s="5"/>
      <c r="V985" s="5"/>
      <c r="W985" s="5"/>
    </row>
    <row r="986" spans="1:23" ht="16" x14ac:dyDescent="0.2">
      <c r="A986" s="5"/>
      <c r="B986" s="6"/>
      <c r="C986" s="6"/>
      <c r="D986" s="6"/>
      <c r="E986" s="6"/>
      <c r="F986" s="5"/>
      <c r="G986" s="5"/>
      <c r="H986" s="5"/>
      <c r="I986" s="5"/>
      <c r="J986" s="5"/>
      <c r="K986" s="5"/>
      <c r="L986" s="5"/>
      <c r="M986" s="5"/>
      <c r="N986" s="5"/>
      <c r="O986" s="5"/>
      <c r="P986" s="5"/>
      <c r="Q986" s="5"/>
      <c r="R986" s="5"/>
      <c r="S986" s="5"/>
      <c r="T986" s="5"/>
      <c r="U986" s="5"/>
      <c r="V986" s="5"/>
      <c r="W986" s="5"/>
    </row>
    <row r="987" spans="1:23" ht="16" x14ac:dyDescent="0.2">
      <c r="A987" s="5"/>
      <c r="B987" s="6"/>
      <c r="C987" s="6"/>
      <c r="D987" s="6"/>
      <c r="E987" s="6"/>
      <c r="F987" s="5"/>
      <c r="G987" s="5"/>
      <c r="H987" s="5"/>
      <c r="I987" s="5"/>
      <c r="J987" s="5"/>
      <c r="K987" s="5"/>
      <c r="L987" s="5"/>
      <c r="M987" s="5"/>
      <c r="N987" s="5"/>
      <c r="O987" s="5"/>
      <c r="P987" s="5"/>
      <c r="Q987" s="5"/>
      <c r="R987" s="5"/>
      <c r="S987" s="5"/>
      <c r="T987" s="5"/>
      <c r="U987" s="5"/>
      <c r="V987" s="5"/>
      <c r="W987" s="5"/>
    </row>
    <row r="988" spans="1:23" ht="16" x14ac:dyDescent="0.2">
      <c r="A988" s="5"/>
      <c r="B988" s="6"/>
      <c r="C988" s="6"/>
      <c r="D988" s="6"/>
      <c r="E988" s="6"/>
      <c r="F988" s="5"/>
      <c r="G988" s="5"/>
      <c r="H988" s="5"/>
      <c r="I988" s="5"/>
      <c r="J988" s="5"/>
      <c r="K988" s="5"/>
      <c r="L988" s="5"/>
      <c r="M988" s="5"/>
      <c r="N988" s="5"/>
      <c r="O988" s="5"/>
      <c r="P988" s="5"/>
      <c r="Q988" s="5"/>
      <c r="R988" s="5"/>
      <c r="S988" s="5"/>
      <c r="T988" s="5"/>
      <c r="U988" s="5"/>
      <c r="V988" s="5"/>
      <c r="W988" s="5"/>
    </row>
    <row r="989" spans="1:23" ht="16" x14ac:dyDescent="0.2">
      <c r="A989" s="5"/>
      <c r="B989" s="6"/>
      <c r="C989" s="6"/>
      <c r="D989" s="6"/>
      <c r="E989" s="6"/>
      <c r="F989" s="5"/>
      <c r="G989" s="5"/>
      <c r="H989" s="5"/>
      <c r="I989" s="5"/>
      <c r="J989" s="5"/>
      <c r="K989" s="5"/>
      <c r="L989" s="5"/>
      <c r="M989" s="5"/>
      <c r="N989" s="5"/>
      <c r="O989" s="5"/>
      <c r="P989" s="5"/>
      <c r="Q989" s="5"/>
      <c r="R989" s="5"/>
      <c r="S989" s="5"/>
      <c r="T989" s="5"/>
      <c r="U989" s="5"/>
      <c r="V989" s="5"/>
      <c r="W989" s="5"/>
    </row>
    <row r="990" spans="1:23" ht="16" x14ac:dyDescent="0.2">
      <c r="A990" s="5"/>
      <c r="B990" s="6"/>
      <c r="C990" s="6"/>
      <c r="D990" s="6"/>
      <c r="E990" s="6"/>
      <c r="F990" s="5"/>
      <c r="G990" s="5"/>
      <c r="H990" s="5"/>
      <c r="I990" s="5"/>
      <c r="J990" s="5"/>
      <c r="K990" s="5"/>
      <c r="L990" s="5"/>
      <c r="M990" s="5"/>
      <c r="N990" s="5"/>
      <c r="O990" s="5"/>
      <c r="P990" s="5"/>
      <c r="Q990" s="5"/>
      <c r="R990" s="5"/>
      <c r="S990" s="5"/>
      <c r="T990" s="5"/>
      <c r="U990" s="5"/>
      <c r="V990" s="5"/>
      <c r="W990" s="5"/>
    </row>
    <row r="991" spans="1:23" ht="16" x14ac:dyDescent="0.2">
      <c r="A991" s="5"/>
      <c r="B991" s="6"/>
      <c r="C991" s="6"/>
      <c r="D991" s="6"/>
      <c r="E991" s="6"/>
      <c r="F991" s="5"/>
      <c r="G991" s="5"/>
      <c r="H991" s="5"/>
      <c r="I991" s="5"/>
      <c r="J991" s="5"/>
      <c r="K991" s="5"/>
      <c r="L991" s="5"/>
      <c r="M991" s="5"/>
      <c r="N991" s="5"/>
      <c r="O991" s="5"/>
      <c r="P991" s="5"/>
      <c r="Q991" s="5"/>
      <c r="R991" s="5"/>
      <c r="S991" s="5"/>
      <c r="T991" s="5"/>
      <c r="U991" s="5"/>
      <c r="V991" s="5"/>
      <c r="W991" s="5"/>
    </row>
    <row r="992" spans="1:23" ht="16" x14ac:dyDescent="0.2">
      <c r="A992" s="5"/>
      <c r="B992" s="6"/>
      <c r="C992" s="6"/>
      <c r="D992" s="6"/>
      <c r="E992" s="6"/>
      <c r="F992" s="5"/>
      <c r="G992" s="5"/>
      <c r="H992" s="5"/>
      <c r="I992" s="5"/>
      <c r="J992" s="5"/>
      <c r="K992" s="5"/>
      <c r="L992" s="5"/>
      <c r="M992" s="5"/>
      <c r="N992" s="5"/>
      <c r="O992" s="5"/>
      <c r="P992" s="5"/>
      <c r="Q992" s="5"/>
      <c r="R992" s="5"/>
      <c r="S992" s="5"/>
      <c r="T992" s="5"/>
      <c r="U992" s="5"/>
      <c r="V992" s="5"/>
      <c r="W992" s="5"/>
    </row>
    <row r="993" spans="1:23" ht="16" x14ac:dyDescent="0.2">
      <c r="A993" s="5"/>
      <c r="B993" s="6"/>
      <c r="C993" s="6"/>
      <c r="D993" s="6"/>
      <c r="E993" s="6"/>
      <c r="F993" s="5"/>
      <c r="G993" s="5"/>
      <c r="H993" s="5"/>
      <c r="I993" s="5"/>
      <c r="J993" s="5"/>
      <c r="K993" s="5"/>
      <c r="L993" s="5"/>
      <c r="M993" s="5"/>
      <c r="N993" s="5"/>
      <c r="O993" s="5"/>
      <c r="P993" s="5"/>
      <c r="Q993" s="5"/>
      <c r="R993" s="5"/>
      <c r="S993" s="5"/>
      <c r="T993" s="5"/>
      <c r="U993" s="5"/>
      <c r="V993" s="5"/>
      <c r="W993" s="5"/>
    </row>
    <row r="994" spans="1:23" ht="16" x14ac:dyDescent="0.2">
      <c r="A994" s="5"/>
      <c r="B994" s="6"/>
      <c r="C994" s="6"/>
      <c r="D994" s="6"/>
      <c r="E994" s="6"/>
      <c r="F994" s="5"/>
      <c r="G994" s="5"/>
      <c r="H994" s="5"/>
      <c r="I994" s="5"/>
      <c r="J994" s="5"/>
      <c r="K994" s="5"/>
      <c r="L994" s="5"/>
      <c r="M994" s="5"/>
      <c r="N994" s="5"/>
      <c r="O994" s="5"/>
      <c r="P994" s="5"/>
      <c r="Q994" s="5"/>
      <c r="R994" s="5"/>
      <c r="S994" s="5"/>
      <c r="T994" s="5"/>
      <c r="U994" s="5"/>
      <c r="V994" s="5"/>
      <c r="W994" s="5"/>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2025-12-07T14:29:28Z</dcterms:created>
  <dcterms:modified xsi:type="dcterms:W3CDTF">2025-12-07T18:51:32Z</dcterms:modified>
</cp:coreProperties>
</file>