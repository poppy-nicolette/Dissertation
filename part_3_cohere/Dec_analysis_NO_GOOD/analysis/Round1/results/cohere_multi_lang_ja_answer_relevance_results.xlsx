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poppyriddle/Documents/PhD/Research_proposal/Part_3/part_3_cohere/analysis/Round1/results/"/>
    </mc:Choice>
  </mc:AlternateContent>
  <xr:revisionPtr revIDLastSave="0" documentId="13_ncr:1_{7A801445-9D44-B44D-9F42-2A2B4D719059}" xr6:coauthVersionLast="47" xr6:coauthVersionMax="47" xr10:uidLastSave="{00000000-0000-0000-0000-000000000000}"/>
  <bookViews>
    <workbookView xWindow="0" yWindow="760" windowWidth="30240" windowHeight="18880" xr2:uid="{00000000-000D-0000-FFFF-FFFF00000000}"/>
  </bookViews>
  <sheets>
    <sheet name="raw data" sheetId="1" r:id="rId1"/>
    <sheet name="Cohens Kappa - Raters A &amp; B" sheetId="2" r:id="rId2"/>
  </sheets>
  <calcPr calcId="191029"/>
  <pivotCaches>
    <pivotCache cacheId="45"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2" l="1"/>
  <c r="D13" i="2"/>
  <c r="C14" i="2"/>
  <c r="D14" i="2"/>
  <c r="B20" i="2"/>
  <c r="B21" i="2"/>
  <c r="C21" i="2" s="1"/>
  <c r="B22" i="2"/>
  <c r="C20" i="2" l="1"/>
  <c r="C23" i="2" s="1"/>
  <c r="B23" i="2"/>
</calcChain>
</file>

<file path=xl/sharedStrings.xml><?xml version="1.0" encoding="utf-8"?>
<sst xmlns="http://schemas.openxmlformats.org/spreadsheetml/2006/main" count="197" uniqueCount="118">
  <si>
    <t>Query</t>
  </si>
  <si>
    <t>Response</t>
  </si>
  <si>
    <t>['which studies examined the abstract in metadata?']</t>
  </si>
  <si>
    <t>Summary: Three studies examined the abstract in metadata.
DOI: 10.1162/qss_a_00286 - This study compared the amount of metadata and the completeness degree of research publications in new academic databases.
DOI: 10.1177/09610006241239080 - This study identified the most commonly measured dimensions of metadata quality in existing studies on metadata quality assessment.
DOI: 10.5281/zenodo.14006424 - This study analysed OpenAlex’s coverage and metadata availability of African-based publications.
Is there anything else I can help you with, my lady?</t>
  </si>
  <si>
    <t>['which studies examined citations?']</t>
  </si>
  <si>
    <t>Summary: Two studies examined citations.
DOI: 10.1108/JD-10-2022-0234 - This study analysed reference elements, i.e. bibliographic references, mentions, quotations and respective in-text reference pointers, from 729 articles published in 147 journals across 27 subject areas.
DOI: 10.1007/s11192-022-04367-w - This study identified classes of DOI mistakes by analysing the open bibliographic metadata available in Crossref, highlighting which publishers were responsible for such mistakes and how many of these incorrect DOIs could be corrected through automatic processes.
Is there anything else I can help you with, my lady?</t>
  </si>
  <si>
    <t>['Tell me about Crossref.']</t>
  </si>
  <si>
    <t>Summary: Crossref is a community-owned source of scholarly metadata that contains over 106 million records and expands at an average rate of 11% a year.
DOI: 10.1162/qss_a_00022
Is there anything else I can help you with, my lady?</t>
  </si>
  <si>
    <t>['Which papers evaluate the linguistic coverage or language-related metadata in scholarly databases?']</t>
  </si>
  <si>
    <t>Summary: I have found four papers that evaluate the linguistic coverage or language-related metadata in scholarly databases.
DOI: 10.48550/arXiv.2409.10633
Evaluating the Linguistic Coverage of OpenAlex: An Assessment of Metadata Accuracy and Completeness
This paper evaluates the completeness and accuracy of OpenAlex's metadata related to language, through a comparison with WoS, as well as an in-depth manual validation of a sample of 6,836 articles.
DOI: 10.48550/arXiv.2508.18620
Investigating Document Type, Language, Publication Year, and Author Count Discrepancies Between OpenAlex and Web of Science
This study aims to assess metadata quality in OpenAlex and WoS, focusing on document type, publication year, language, and number of authors.
DOI: 10.1162/qss_a_00286
Completeness degree of publication metadata in eight free-access scholarly databases
This study compares the amount of metadata and the completeness degree of research publications in new academic databases, including language.
DOI: 10.5281/zenodo.14006424
Coverage and metadata availability of African publications in OpenAlex: A comparative analysis
This paper analyses OpenAlex’s coverage and metadata availability of African-based publications.
My lady, I hope this information is helpful.</t>
  </si>
  <si>
    <t>['Which papers address funding metadata, its availability, or its analysis in scholarly databases?']</t>
  </si>
  <si>
    <t>Summary: I have found four papers that address funding metadata, its availability, or its analysis in scholarly databases.
DOI: 10.1162/qss_a_00210 - This paper addresses the availability and completeness of open funder metadata, using a case study of publications funded by the Dutch Research Council.
DOI: 10.5281/zenodo.14006424 - This paper analyses the coverage and metadata availability of African publications in OpenAlex, including funder information.
DOI: 10.31222/osf.io/smxe5 - This paper presents an overview of the availability of six metadata elements in Crossref, including funding information.
DOI: 10.1162/qss_a_00212 - This paper studies the open availability of funding data in Crossref, focusing on funding data for publications related to COVID-19 research.
My lady, I hope this information is helpful. If you have any further questions or need more details, please let me know.</t>
  </si>
  <si>
    <t>['Which papers discuss the use of Retrieval-Augmented Generation (RAG) when used in applications?']</t>
  </si>
  <si>
    <t>I'm sorry, my lady, I am unable to answer your question as there is no relevant information provided.</t>
  </si>
  <si>
    <t>['What is Crossref’s role in the scholarly research ecosystem?']</t>
  </si>
  <si>
    <t>Summary: Crossref is a sustainable source of community-owned scholarly metadata, providing over 106 million records of academic data for publishers, authors, librarians, funders, and researchers.
DOI: 10.1162/qss_a_00022
Is there anything else I can help you with, my lady?</t>
  </si>
  <si>
    <t>['What are the key features and limitations of OpenAlex as a bibliometric database?']</t>
  </si>
  <si>
    <t>Summary: OpenAlex is a new bibliometric database that promises comprehensive, inclusive, and open-source research information. It has been compared to other databases such as Scopus, Web of Science (WoS), and Microsoft Academic Graph (MAG) in terms of its metadata quality, coverage, and suitability for bibliometric analyses.
DOI: 10.48550/arXiv.2404.17663 - OpenAlex is a superset of Scopus and can be a reliable alternative for some analyses, particularly at the country level. However, issues of metadata accuracy and completeness need to be addressed for its broader adoption.
DOI: 10.48550/arXiv.2508.18620 - OpenAlex's metadata quality is a concern, particularly in terms of document type, publication year, language, and author count discrepancies when compared to WoS.
DOI: 10.29173/cais1943 - OpenAlex has issues with document type accuracy, with over 4% of publications misclassified as research articles or reviews, compared to WoS.
DOI: 10.48550/arXiv.2409.10633 - OpenAlex exhibits a more balanced linguistic coverage than WoS, but its language metadata is not always accurate, leading to overestimation of English and underestimation of other languages.
DOI: 10.3145/epi.2023.mar.09 - OpenAlex is at least as suited for bibliometric analyses as MAG, particularly for publication years before 2021, due to its broader coverage of document type assignments.
My lady, I hope this information is helpful. If you have any further questions or would like more details on a specific aspect of OpenAlex, please let me know.</t>
  </si>
  <si>
    <t>['What are the strengths and weaknesses of Web of Science (WoS) as a bibliometric database?']</t>
  </si>
  <si>
    <t>Summary: Web of Science (WoS) is a bibliometric database that has been the main supporting infrastructure of the field for more than 30 years.
DOI: 10.1007/s11192-015-1765-5
WoS has a bias towards Natural Sciences and Engineering as well as Biomedical Research and English-language journals.
DOI: 10.48550/arXiv.2508.18620 and 10.29173/cais1943:
WoS has high-quality metadata and fewer misclassifications than OpenAlex.
DOI: 10.1162/qss_a_00211
WoS has the highest overall quality of the bibliometric databases considered.
My lady, is there anything else I can help you with?</t>
  </si>
  <si>
    <t>['How is RAG used to improve question answering or information retrieval systems?']</t>
  </si>
  <si>
    <t>Summary: Retrieval-Augmented Generation (RAG) is a technique used to improve question answering and information retrieval systems by enhancing Large Language Models (LLMs) with relevant documents before generating responses. This approach addresses issues like hallucination, outdated information, and lack of context in standard LLMs, leading to more accurate and contextually relevant answers.
DOI: 10.17821/srels/2024/v61i5/171583 - This study demonstrates that RAG can significantly improve the performance of LLMs in question answering by providing a set of relevant documents before generating responses. The research found that RAG-enhanced LLMs consistently provided accurate, informative, and contextualized answers, unlike standard LLMs, which often produced incorrect and hallucinated responses.
DOI: 10.48550/arXiv.2406.13213 - This paper introduces Multi-Meta-RAG, a method that improves RAG for multi-hop queries by using database filtering with LLM-extracted metadata. This approach enhances the selection of relevant documents from various sources, leading to better performance in answering complex questions.
DOI: 10.6109/jkiice.2023.27.12.1489 - The study proposes a Metadata Retrieval-Augmented Generation (M-RAG) method that improves open-domain question answering by utilizing embeddings with metadata and generative models. This method enables the model to understand the order and context of documents, resulting in more accurate answers.
DOI: 10.48550/arXiv.2505.13557 - This research presents AMAQA, a metadata-based QA dataset for RAG systems, which addresses the lack of metadata integration in current benchmarks. The study shows that leveraging metadata significantly boosts accuracy, highlighting the importance of structured context in RAG systems.
DOI: 10.48550/arXiv.2505.18247 - This paper introduces MetaGen Blended RAG, a novel approach that enhances semantic retrievers through metadata generation and hybrid query indexes. This method achieves high zero-shot precision in specialized domains, outperforming previous RAG benchmarks and fine-tuned models.
My lady, I hope this summary provides a comprehensive overview of how RAG is used to improve question answering and information retrieval systems. If you have any further questions or would like more details on a specific study, please let me know.</t>
  </si>
  <si>
    <t>['What are the main challenges in normalizing citation metrics across scientific fields?']</t>
  </si>
  <si>
    <t>Summary: I'm sorry, my lady, I couldn't find any information about the main challenges in normalizing citation metrics across scientific fields.
DOI: 10.1045/september2016‐meschenmoser - This paper discusses the challenges and solutions for automated content extraction from scientific web repositories, focusing on improving transparency and access to raw scientometric data.</t>
  </si>
  <si>
    <t>['What methods are used to detect and correct errors in bibliographic datasets?']</t>
  </si>
  <si>
    <t>Summary: Metadata quality is crucial for digital objects to be discovered through digital library interfaces.
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
DOI: 10.1007/s11192-022-04289-7 - This paper introduces a novel scientometrics method and applies it to estimate the subject coverages of many of the popular English-focused bibliographic databases in academia. The method uses query results as a common denominator to compare a wide variety of search engines, repositories, digital libraries, and other bibliographic databases. The method extends existing sampling-based approaches that analyze smaller sets of database coverages. The findings show the relative and absolute subject coverages of 56 databases—information that has often not been available before. Knowing the databases’ absolute subject coverage allows the selection of the most comprehensive databases for searches requiring high recall/sensitivity, particularly relevant in lookup or exploratory searches. Knowing the databases’ relative subject coverage allows the selection of specialized databases for searches requiring high precision/specificity, particularly relevant in systematic searches. The findings illustrate not only differences in the disciplinary coverage of Google Scholar, Scopus, or Web of Science, but also of less frequently analyzed databases. For example, researchers might be surprised how Meta (discontinued), Embase, or Europe PMC are found to cover more records than PubMed in Medicine and other health subjects. These findings should encourage researchers to re-evaluate their go-to databases, also against newly introduced options. Searching with more comprehensive databases can improve finding, particularly when selecting the most fitting databases needs particular thought, such as in systematic reviews and meta-analyses. This comparison can also help librarians and other information experts re-evaluate expensive database procurement strategies. Researchers without institutional access learn which open databases are likely most comprehensive in their disciplines.
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
Is there anything else I can help you with, my lady?</t>
  </si>
  <si>
    <t>['tell me about how RAG works.']</t>
  </si>
  <si>
    <t>Summary: Retrieval-Augmented Generation (RAG) is a promising solution for addressing the limitations of Large Language Models (LLMs), such as hallucinations, outdated knowledge, and non-transparent reasoning processes. RAG enhances the accuracy and credibility of generated content by incorporating external knowledge from databases or document collections. It combines the intrinsic knowledge of LLMs with vast, dynamic external repositories, enabling continuous knowledge updates and domain-specific information integration. RAG systems consist of a retrieval module and an LLM-based generation module, working together to reduce the risk of hallucinations and improve performance on knowledge-intensive tasks.
DOI: 10.48550/arXiv.2312.10997 - This paper provides a comprehensive review of RAG paradigms, including Naive RAG, Advanced RAG, and Modular RAG. It examines the tripartite foundation of RAG frameworks: retrieval, generation, and augmentation techniques. The study highlights state-of-the-art technologies in each component, offering a deep understanding of RAG advancements. It also introduces an up-to-date evaluation framework and benchmark, discusses current challenges, and outlines future research directions.
DOI: 10.48550/arXiv.2406.13213 - This research introduces Multi-Meta-RAG, a method to improve RAG for multi-hop queries by using LLM-extracted metadata for database filtering. Traditional RAG struggles with multi-hop questions, but Multi-Meta-RAG enhances document selection from various sources, showing significant improvements on the MultiHop-RAG benchmark.
DOI: 10.1145/3637528.3671470 - The paper reviews Retrieval-Augmented Large Language Models (RA-LLMs), focusing on how RAG provides reliable, up-to-date external knowledge. It covers three technical perspectives, discusses current limitations, and suggests future research directions to enhance the quality of LLM-generated content.
DOI: 10.18653/v1/2024.eacl-demo.16 - This work introduces RAGAs, a reference-free evaluation framework for RAG pipelines. RAGAs assess the retrieval system's ability to identify relevant context, the LLM's ability to utilize this context faithfully, and the quality of the generated output. It aims to accelerate evaluation cycles, crucial for the rapid adoption of LLMs.
DOI: 10.48550/arXiv.2404.13948 - This study investigates the robustness of RAG, specifically its vulnerability to noisy documents and minor textual errors. It introduces GARAG, a genetic attack method to test RAG components and their interconnected relationships. Experiments show that GARAG achieves high attack success rates, highlighting the risks of textual inaccuracies in real-world RAG systems.
My lady, I hope this summary meets your requirements. If you have any further questions or need additional details, please let me know.</t>
  </si>
  <si>
    <t>['What are the key challenges and advancements in metadata quality assessment?']</t>
  </si>
  <si>
    <t>Summary: The key challenges in metadata quality assessment include defining and measuring quality dimensions, handling diverse metadata types, and addressing cultural and contextual influences. Advancements include the development of automated frameworks, standardized schemas, and the application of AI techniques for metadata enhancement.
DOI: 10.1145/2964909 - This study focuses on the automated quality assessment of metadata across open data portals. It highlights the challenges of increasing data volume and the need for a generic framework to assess metadata quality. The authors propose a method to map specific metadata from different portal software frameworks to a standardized schema, enabling independent evaluation. They define quality metrics and report findings from monitoring 260 open data portals with 1.1 million datasets.
DOI: 10.1109/ADL.1998.670425 - This research discusses the assessment of metadata quality in the context of the US Government Information Locator Service (GILS). It emphasizes the need for diverse criteria and procedures to evaluate different types of metadata, such as descriptive and transactional metadata. The study contributes to the methodological development of metadata quality assessment.
DOI: 10.1177/09610006241239080 - This scoping review identifies commonly measured dimensions of metadata quality, including completeness, accuracy, consistency, accessibility, conformance, provenance, and timeliness. It highlights the lack of consensus on definitions and measurements and calls for further research into less commonly assessed dimensions. The study also emphasizes the importance of improving metadata quality assessment tools.
DOI: 10.5860/crl.86.1.101 - This study explores metadata quality issues across cultures, identifying tensions between sociocultural representations, resource constraints, and standardized systems. It investigates how metadata quality impacts individuals and communities and categorizes 32 unique issues from a review of 427 records.
DOI: 10.48550/arXiv.2303.17661 - This research introduces MetaEnhance, a framework using state-of-the-art AI methods to improve metadata quality for electronic theses and dissertations (ETDs). It demonstrates high effectiveness in error detection and correction across seven key fields, showcasing advancements in automated metadata enhancement.
My lady, I hope this summary meets your requirements. If you have any further questions or need additional details, please let me know.</t>
  </si>
  <si>
    <t>['What are the key challenges and potential solutions for improving metadata quality?']</t>
  </si>
  <si>
    <t>Summary: Metadata quality is crucial for digital object discovery and user experience, but it faces challenges like incompleteness, inconsistency, and inaccuracy. Solutions include automated methods, standardization, and improved assessment tools.
DOI: 10.48550/arXiv.2303.17661 - Metadata quality issues like incompleteness, inconsistency, and inaccuracy are common in digital objects. The study proposes MetaEnhance, an AI-based framework, to automatically detect and correct errors in electronic theses and dissertations (ETDs), achieving high F1-scores in error detection and correction.
DOI: 10.1080/19386389.2011.570654 - Metadata records face issues like incorrect values, missing information, and inconsistent representation. The paper emphasizes the need for preventive and corrective measures to balance the benefits of metadata with the costs of creation.
DOI: 10.1177/09610006241239080 - This scoping review identifies completeness, accuracy, consistency, accessibility, conformance, provenance, and timeliness as key dimensions of metadata quality. It highlights the need for further research and flexible assessment tools to improve metadata quality assurance.
DOI: 10.1007/s11192-023-04923-y - OpenAlex faces a severe issue of missing institutions in journal article metadata. The study defines three types of institutional information and explores reasons, risks, and solutions for this problem, emphasizing the importance of data quality improvements in open resources.
My lady, these DOIs provide insights into the challenges and solutions for improving metadata quality. If you wish to delve deeper into any specific aspect, feel free to ask.</t>
  </si>
  <si>
    <t>['What are the key challenges and advancements in Retrieval-Augmented Generation (RAG) systems?']</t>
  </si>
  <si>
    <t>Summary: Retrieval-Augmented Generation (RAG) systems face challenges such as hallucination, outdated knowledge, non-transparent reasoning processes, computational costs, and evaluating system effectiveness. Advancements include improved factual accuracy, dynamic knowledge updates, and enhanced performance in specialized domains.
DOI: 10.48550/arXiv.2312.10997 - This paper discusses the progression of RAG paradigms, including Naive RAG, Advanced RAG, and Modular RAG, and highlights the state-of-the-art technologies in retrieval, generation, and augmentation techniques. It also introduces an up-to-date evaluation framework and benchmark.
DOI: 10.1016/j.caeai.2025.100417 - This study focuses on RAG in educational applications, addressing challenges like mitigating hallucinations, ensuring knowledge completeness and timeliness, and reducing computational costs. It explores practical applications in interactive learning systems and educational content generation.
DOI: 10.48550/arXiv.2505.18247 - Introducing MetaGen Blended RAG, this paper presents a novel approach to enhance semantic retrievers for specialized domain question-answering. It achieves high zero-shot precision without fine-tuning, outperforming previous benchmarks.
DOI: 10.1007/s44427-025-00006-3 - This research evaluates open-source LLMs in RAG systems using a benchmark dataset derived from diploma theses abstracts. It highlights the strengths and weaknesses of different models and retrieval strategies for academic tasks.
DOI: 10.1145/3637528.3671470 - A comprehensive review of Retrieval-Augmented Large Language Models (RA-LLMs), discussing their current limitations and future research directions. It emphasizes the role of RAG in providing reliable external knowledge for high-quality AI-generated content.
My lady, I hope this summary meets your requirements. If you have any further questions or need additional information, please let me know.</t>
  </si>
  <si>
    <t>Summary: Three studies examined the abstract in metadata.
DOI: 10.1162/qss_a_00286 - This study compares the amount of metadata and the completeness degree of research publications in new academic databases.
DOI: 10.1177/09610006241239080 - This study investigates the most commonly measured dimensions of metadata quality in existing studies on metadata quality assessment.
DOI: 10.5281/zenodo.14006424 - This study analyses OpenAlex’s coverage and metadata availability of African-based publications.
Is there anything else I can help you with, my lady?</t>
  </si>
  <si>
    <t>Summary: Three studies examined citations.
DOI: 10.1108/JD-10-2022-0234 - This study analysed reference elements, i.e. bibliographic references, mentions, quotations and respective in-text reference pointers, from 729 articles published in 147 journals across 27 subject areas.
DOI: 10.1007/s11192-022-04367-w - This study analysed the open bibliographic metadata available in Crossref, highlighting which publishers were responsible for such mistakes and how many of these incorrect DOIs could be corrected through automatic processes.
DOI: 10.1162/qss_a_00112 - This study compared five multidisciplinary bibliographic data sources, analysing differences between the data sources in the coverage of documents, focusing on differences over time, differences per document type, and differences per discipline.
My lady, I hope this information is helpful.</t>
  </si>
  <si>
    <t>Summary: Several papers evaluate the linguistic coverage or language-related metadata in scholarly databases.
DOI: 10.48550/arXiv.2409.10633 - Evaluating the Linguistic Coverage of OpenAlex: An Assessment of Metadata Accuracy and Completeness - This paper assesses the completeness and accuracy of OpenAlex's language-related metadata through a comparison with WoS and manual validation of 6,836 articles.
DOI: 10.48550/arXiv.2508.18620 - Investigating Document Type, Language, Publication Year, and Author Count Discrepancies Between OpenAlex and Web of Science - This study evaluates metadata quality in OpenAlex and WoS, focusing on language, among other attributes, to address discrepancies and misattributions.
DOI: 10.1162/qss_a_00286 - Completeness degree of publication metadata in eight free-access scholarly databases - This research compares metadata completeness, including language, across eight databases, highlighting differences between academic search engines and third-party databases.
DOI: 10.5281/zenodo.14006424 - Coverage and metadata availability of African publications in OpenAlex: A comparative analysis - This paper analyzes OpenAlex's coverage and metadata availability for African publications, including language-related metadata, in comparison to Scopus, WoS, and AJOL.
DOI: 10.1007/s11192-022-04289-7 - Search where you will find most: Comparing the disciplinary coverage of 56 bibliographic databases - While primarily focused on disciplinary coverage, this paper also touches on language-related aspects in comparing the coverage of 56 bibliographic databases.
My lady, I hope this information is helpful. If you have any further questions or need additional details, please let me know.</t>
  </si>
  <si>
    <t>Summary: Several papers address funding metadata, its availability, or its analysis in scholarly databases.
DOI: 10.1162/qss_a_00210 - This paper investigates the availability and completeness of open funder metadata, specifically focusing on publications funded by the Dutch Research Council (NWO). It found that only 67% of articles contain funding information in Crossref, with variations in acknowledging NWO as the funder name or linking Funder IDs to NWO. The study also compares funding metadata in Crossref with proprietary databases like Web of Science, Scopus, and Dimensions, highlighting differences in coverage and completeness.
DOI: 10.5281/zenodo.14006424 - This paper analyzes the coverage and metadata availability of African publications in OpenAlex, comparing it with Scopus, Web of Science, and African Journals Online. While OpenAlex offers the most extensive publication coverage, its performance regarding funder information is weaker compared to other metadata aspects. The study also highlights that metadata availability in OpenAlex is better for publications indexed in Scopus or Web of Science.
DOI: 10.31222/osf.io/smxe5 - This paper presents an overview of the availability of six metadata elements in Crossref, including funding information. The analysis shows that the availability of these metadata elements has improved over time, particularly for journal articles. However, it also highlights the need for publishers to make additional efforts to achieve full openness of bibliographic metadata.
DOI: 10.1162/qss_a_00286 - This study compares the completeness of publication metadata in eight free-access scholarly databases, including Dimensions, Google Scholar, and OpenAlex. The results show that third-party databases have higher metadata quality and completeness compared to academic search engines. The paper concludes that academic search engines lack the ability to retrieve reliable descriptive data, while third-party databases face challenges in integrating information from different sources.
DOI: 10.1162/qss_a_00212 - This paper focuses on the analysis of funding data for COVID-19 research using open data infrastructures like Crossref, Scopus, and Web of Science. The study reveals limited coverage of funding data in Crossref and highlights problems related to the quality of funding data, especially in Scopus. It provides recommendations for improving the open availability of funding data in Crossref.
My lady, I hope this information is helpful. If you have any further questions or need additional assistance, please let me know.</t>
  </si>
  <si>
    <t>I'm sorry, my lady, I am unable to answer your question.
Is there anything else I can help you with?</t>
  </si>
  <si>
    <t>Summary: Crossref is a sustainable source of community-owned scholarly metadata that has become one of the major sources of scholarly data for publishers, authors, librarians, funders, and researchers.
DOI: 10.1162/qss_a_00022
Crossref is a sustainable source of community-owned scholarly metadata that has become one of the major sources of scholarly data for publishers, authors, librarians, funders, and researchers. Containing over 106 million records and expanding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is there anything else I can help you with?</t>
  </si>
  <si>
    <t>Summary: OpenAlex is a bibliographic database that launched in 2022 and stands out for its openness and extensive coverage. It has the potential to reduce or eliminate barriers to accessing bibliometric data, but concerns about the quality of its metadata hinder its broader adoption for research and research evaluation.
DOI: 10.48550/arXiv.2404.17663 - OpenAlex is a superset of Scopus and can be a reliable alternative for some analyses, particularly at the country level. However, issues of metadata accuracy and completeness require additional research to fully comprehend and address OpenAlex's limitations.
DOI: 10.48550/arXiv.2508.18620 -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
DOI: 10.29173/cais1943 - Over 4% of publications indexed in both OpenAlex and WoS appear to be misclassified as research articles or reviews, with the vast majority of these errors occurring in OpenAlex. This study aims to address discrepancies and misattributions in document types to improve data quality in bibliometric research.
DOI: 10.48550/arXiv.2409.10633 - OpenAlex exhibits a more balanced linguistic coverage than WoS, but its language metadata is not always accurate. If used critically, OpenAlex can provide comprehensive and representative analyses of languages used in scholarly publishing. However, more work is needed to ensure the quality of metadata on language.
DOI: 10.3145/epi.2023.mar.09 - OpenAlex seems to be at least as suited for bibliometric analyses as Microsoft Academic Graph (MAG), particularly for publication years before 2021. The document type specifications have improved significantly from MAG to OpenAlex, and OpenAlex has a broader coverage of document type assignments.
My lady, I hope this summary of OpenAlex's key features and limitations as a bibliometric database is helpful. If you have any further questions or would like more information on a specific aspect, please let me know.</t>
  </si>
  <si>
    <t>Summary: I'm sorry, my lady, I was unable to find any information about the strengths and weaknesses of Web of Science (WoS) as a bibliometric database.
DOI: 10.1007/s11192-015-1765-5 discusses the journal coverage of WoS and Scopus and how both databases favour Natural Sciences and Engineering as well as Biomedical Research over Social Sciences and Arts and Humanities.
DOI: 10.48550/arXiv.2508.18620 and 10.29173/cais1943 both compare OpenAlex and WoS, with the former focusing on document type, language, publication year and author count discrepancies and the latter focusing on document type discrepancies.
DOI: 10.1162/qss_a_00112 compares Scopus, WoS, Dimensions, Crossref and Microsoft Academic and highlights the importance of combining comprehensive coverage of scientific literature with a flexible set of filters for literature selection.
DOI: 10.1162/qss_a_00211 assesses the quality of bibliographic data sources for measuring international research collaboration and finds that WoS has the highest overall quality.</t>
  </si>
  <si>
    <t>Summary: Retrieval-Augmented Generation (RAG) is a technique used to improve question answering and information retrieval systems by enhancing Large Language Models (LLMs) with relevant documents before generating responses. This approach helps mitigate issues like hallucination and outdated or non-contextualized answers.
DOI: 10.17821/srels/2024/v61i5/171583 - This study demonstrates that libraries can develop low-cost conversational search systems using open-source tools and LLMs through a RAG framework. By augmenting LLMs with relevant documents, the system provides accurate, informative, and contextualized responses, outperforming standard LLMs without RAG.
DOI: 10.48550/arXiv.2406.13213 - Introduces Multi-Meta-RAG, a method that improves RAG for multi-hop queries by using database filtering with LLM-extracted metadata. This approach enhances the selection of relevant documents, significantly improving performance on multi-hop benchmarks.
DOI: 10.6109/jkiice.2023.27.12.1489 - Proposes a Metadata Retrieval-Augmented Generation (M-RAG) method for open-domain question answering. By utilizing embeddings with metadata and generative models, M-RAG improves performance by up to 46% compared to external inference systems and 6% over conventional RAG.
DOI: 10.48550/arXiv.2505.13557 - Presents AMAQA, a metadata-based QA dataset for RAG systems, addressing the lack of metadata integration in current benchmarks. Leveraging metadata boosts accuracy and enables precise, contextualized queries, particularly in fields requiring rapid data analysis.
DOI: 10.48550/arXiv.2505.18247 - Introduces MetaGen Blended RAG, a novel approach for specialized domain question answering. By enhancing semantic retrievers with metadata generation and hybrid query indexes, it achieves high zero-shot precision without fine-tuning, redefining enterprise search.
My lady, RAG is a powerful technique for improving the accuracy and context-awareness of question answering and information retrieval systems, as evidenced by these studies.</t>
  </si>
  <si>
    <t>Summary: I'm sorry, my lady, I could not find any information about the challenges in normalising citation metrics across scientific fields.
DOI: 10.1045/september2016‐meschenmoser - This paper discusses the challenges and solutions for automated content extraction from scientific web repositories.</t>
  </si>
  <si>
    <t>Summary: Metadata quality is crucial for digital objects to be discovered through digital library interfaces.
DOI: 10.48550/arXiv.2303.17661: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
DOI: 10.5281/ZENODO.6188748: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
My lady, I have included the DOI and a summary of the text associated with each DOI. Is there anything else I can help you with?</t>
  </si>
  <si>
    <t>Summary: Retrieval-Augmented Generation (RAG) is a promising solution to the limitations of Large Language Models (LLMs), such as hallucinations, outdated knowledge, and non-transparent reasoning processes. RAG enhances the accuracy and credibility of generated content by incorporating knowledge from external databases. It combines the intrinsic knowledge of LLMs with vast, dynamic external repositories, enabling continuous knowledge updates and integration of domain-specific information.
DOI: 10.48550/arXiv.2312.10997: This paper provides a comprehensive review of RAG paradigms, including Naive RAG, Advanced RAG, and Modular RAG. It examines the tripartite foundation of RAG frameworks: retrieval, generation, and augmentation techniques. The study highlights state-of-the-art technologies in each component, introduces up-to-date evaluation frameworks and benchmarks, and discusses challenges and future research directions.
DOI: 10.48550/arXiv.2406.13213: This research introduces Multi-Meta-RAG, a method to improve RAG for multi-hop queries by using LLM-extracted metadata for database filtering. It addresses the poor performance of traditional RAG in multi-hop questions and demonstrates significant improvements on the MultiHop-RAG benchmark.
DOI: 10.1145/3637528.3671470: This survey focuses on Retrieval-Augmented Large Language Models (RA-LLMs), emphasizing RAG's role in providing reliable, up-to-date external knowledge. It reviews existing research on RA-LLMs, covering three technical perspectives, and discusses current limitations and future research directions.
DOI: 10.18653/v1/2024.eacl-demo.16: This paper introduces RAGAs, a framework for reference-free evaluation of RAG pipelines. It addresses the challenges in evaluating RAG architectures by introducing metrics to assess retrieval, generation, and augmentation without human annotations.
DOI: 10.48550/arXiv.2404.13948: This study investigates the robustness of RAG, focusing on vulnerability to noisy documents and holistic evaluation. It introduces GARAG, a genetic attack method, and demonstrates its effectiveness in disrupting RAG systems with minor textual inaccuracies.
My lady, if you have further questions or need more details, please let me know.</t>
  </si>
  <si>
    <t>Summary: The key challenges in metadata quality assessment include inconsistent definitions and measurements of quality dimensions, tensions between sociocultural representations and standardized systems, and issues with completeness, accuracy, and consistency in metadata values. Advancements include the development of automated frameworks like MetaEnhance, generic metadata quality assessment frameworks for open data portals, and methodological contributions from studies like the US Government Information Locator Service (GILS) evaluation.
DOI: 10.1145/2964909 - This study addresses the increasing concerns over metadata quality in open data portals, particularly as the number of published resources grows. It proposes a generic metadata quality assessment framework that maps specific metadata from widely used portal software frameworks (CKAN, Socrata, OpenDataSoft) to a standardized schema. The framework defines quality metrics that can be evaluated automatically and reports findings from monitoring over 260 open data portals with 1.1 million datasets.
DOI: 10.1109/ADL.1998.670425 - This research discusses the application of qualitative and quantitative content analysis techniques to assess metadata records, specifically in the context of the US Government Information Locator Service (GILS). It highlights the need for diverse criteria and procedures to evaluate different types of metadata, such as descriptive and transactional metadata.
DOI: 10.1177/09610006241239080 - This scoping review identifies commonly measured dimensions of metadata quality, including completeness, accuracy, consistency, accessibility, conformance, provenance, and timeliness. However, it notes a lack of consensus on their definitions and measurements, emphasizing the need for further research into less commonly assessed dimensions.
DOI: 10.5860/crl.86.1.101 - This study explores how metadata quality, consistency, and completeness impact individuals and communities, identifying 32 unique issues across 427 records and categorizing them to understand cultural interactions with metadata.
DOI: 10.48550/arXiv.2303.17661 - This research introduces MetaEnhance, a framework that uses state-of-the-art artificial intelligence methods to automatically detect, correct, and canonicalize scholarly metadata. Evaluated on a benchmark of 500 electronic theses and dissertations (ETDs), MetaEnhance achieved high F1-scores in error detection and correction.
My lady, I hope this summary meets your requirements. If you have any further questions, feel free to ask!</t>
  </si>
  <si>
    <t>Summary: Metadata quality is crucial for digital objects to be discovered through digital library interfaces. However, metadata often exhibits incomplete, inconsistent, and incorrect values.
DOI: 10.48550/arXiv.2303.17661 - Metadata quality is crucial for digital objects to be discovered through digital library interfaces. However, metadata often exhibits incomplete, inconsistent, and incorrect values. MetaEnhance, a framework utilizing state-of-the-art artificial intelligence methods, is proposed to improve the quality of metadata fields.
DOI: 10.1080/19386389.2011.570654 - Metadata plays a vital role in digital libraries, but records must be problem-free to be useful. Five categories of metadata problems are identified: Incorrect Values, Incorrect Elements, Missing Information, Information Loss, and Inconsistent Value Representation. Preventive or corrective measures are necessary to ensure the benefits of metadata outweigh the costs of creation.
DOI: 10.1177/09610006241239080 - Metadata quality assessment commonly uses dimensions like completeness, accuracy, consistency, accessibility, conformance, provenance, and timeliness. However, there is no consensus on their exact definition and measurement. Further investigation is needed into less commonly assessed quality dimensions.
DOI: 10.1007/s11192-023-04923-y - OpenAlex, an open data platform, faces a severe data quality problem of missing institutions in journal article metadata. The study investigates possible reasons, consequences, and solutions for this issue.
My lady, I hope this information is helpful. If you have any further questions or need more details, please let me know.</t>
  </si>
  <si>
    <t>Summary: Retrieval-Augmented Generation (RAG) systems face challenges such as hallucination, outdated knowledge, and non-transparent reasoning processes. However, advancements in RAG, such as MetaGen Blended RAG, have shown promising results in improving accuracy and credibility in knowledge-intensive tasks.
DOI: 10.48550/arXiv.2312.10997 - This paper discusses the challenges faced by Large Language Models (LLMs) and how RAG can enhance their performance by incorporating external knowledge. It also introduces the Naive RAG, Advanced RAG, and Modular RAG paradigms.
DOI: 10.1016/j.caeai.2025.100417 - This paper focuses on the application of RAG in educational scenarios, highlighting its potential to improve factual accuracy and enable dynamic knowledge updates. It also discusses challenges such as mitigating hallucinations and reducing computational costs.
DOI: 10.48550/arXiv.2505.18247 - This paper introduces MetaGen Blended RAG, a novel approach that enhances semantic retrievers and achieves high accuracy in specialized domain question-answering tasks without fine-tuning.
DOI: 10.1007/s44427-025-00006-3 - This study evaluates the effectiveness of RAG systems using a benchmark dataset and highlights the strengths and weaknesses of different models and retrieval strategies.
DOI: 10.1145/3637528.3671470 - This survey paper discusses the current state of RAG research, its limitations, and potential future directions, emphasizing its role in enhancing the quality of generated content in LLMs.
My lady, I hope this summary meets your requirements. If you have any further questions or would like more details on a specific aspect, please let me know.</t>
  </si>
  <si>
    <t>Summary: Two studies examined the abstract in metadata.
DOI: 10.1162/qss_a_00286 - This study compared the amount of metadata and the completeness degree of research publications in new academic databases. Seven characteristics were analyzed, including the abstract.
DOI: 10.1177/09610006241239080 - This scoping review identified the most commonly measured dimensions of metadata quality in existing studies on metadata quality assessment. The co-occurrence analysis was made on the title and abstract of selected articles.
My lady, I hope this information is helpful.</t>
  </si>
  <si>
    <t>Summary: Two studies examined citations.
DOI: 10.1108/JD-10-2022-0234 - This study analysed reference elements, i.e. bibliographic references, mentions, quotations and respective in-text reference pointers, from 729 articles published in 147 journals across 27 subject areas.
DOI: 10.1162/qss_a_00112 - This study compared five multidisciplinary bibliographic data sources: Scopus, Web of Science, Dimensions, Crossref, and Microsoft Academic. It studied differences in the completeness and accuracy of citation links.
Is there anything else I can help you with, my lady?</t>
  </si>
  <si>
    <t>Summary: Crossref is a sustainable source of community-owned scholarly metadata.
DOI: 10.1162/qss_a_00022: Crossref is a sustainable source of community-owned scholarly metadata. Containing over 106 million records and expanding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is there anything else I can help you with?</t>
  </si>
  <si>
    <t>Summary: Several papers evaluate the linguistic coverage or language-related metadata in scholarly databases.
DOI: 10.48550/arXiv.2409.10633 - Evaluates the linguistic coverage of OpenAlex by assessing the completeness and accuracy of its language-related metadata through a comparison with WoS and manual validation of 6,836 articles.
DOI: 10.48550/arXiv.2508.18620 - Investigates discrepancies in language metadata between OpenAlex and WoS, aiming to enhance awareness of data quality issues in bibliometric research.
DOI: 10.1162/qss_a_00286 - Compares the completeness of language metadata in eight free-access scholarly databases, including OpenAlex, using a quantitative approach and a random Crossref sample of 115,000 records.
DOI: 10.5281/zenodo.14006424 - Analyzes the coverage and metadata availability of African publications in OpenAlex, comparing it with Scopus, WoS, and AJOL, with a focus on language-related metadata.
DOI: 10.1007/s11192-022-04289-7 - Introduces a novel method to estimate the subject coverage of 56 bibliographic databases, including an analysis of language-related metadata in popular English-focused databases.
My lady, these papers provide insights into the evaluation of linguistic coverage and language-related metadata in various scholarly databases. If you would like more information on any of these papers, please let me know.</t>
  </si>
  <si>
    <t>Summary: I found four papers that address funding metadata, its availability, or its analysis in scholarly databases.
DOI: 10.1162/qss_a_00210 - This paper investigates the availability and completeness of open funder metadata, specifically for publications funded by the Dutch Research Council (NWO). It highlights the challenges in assessing the coverage of funder metadata due to the unknown number of articles resulting from funded research. The study found that only 67% of articles funded by NWO contain funding information in Crossref, with variations in acknowledging NWO as the funder name or linking Funder IDs to NWO.
DOI: 10.5281/zenodo.14006424 - This paper analyzes the coverage and metadata availability of African publications in OpenAlex, comparing it with Scopus, Web of Science (WoS), and African Journals Online (AJOL). While OpenAlex offers the most extensive publication coverage, it performs worse in terms of funder information metadata. The study also found that metadata availability in OpenAlex is better for publications indexed in Scopus or WoS.
DOI: 10.31222/osf.io/smxe5 - This paper presents an overview of the availability of six metadata elements in Crossref, including funding information. The analysis shows that the availability of these metadata elements has improved over time, particularly for journal articles. However, many publishers still need to make additional efforts to achieve full openness of bibliographic metadata.
DOI: 10.1162/qss_a_00212 - This paper focuses on the open availability of funding data in Crossref, specifically for COVID-19 related research publications. It compares funding data in Crossref with two proprietary bibliometric databases, Scopus and Web of Science. The analysis reveals limited coverage of funding data in Crossref and highlights issues related to the quality of funding data, particularly in Scopus.
My lady, I hope this information is helpful. If you have any further questions or need more details, please let me know.</t>
  </si>
  <si>
    <t>Summary: Crossref is a sustainable source of community-owned scholarly metadata that is available to publishers, authors, librarians, funders, and researchers.
DOI: 10.1162/qss_a_00022
Is there anything else I can help you with, my lady?</t>
  </si>
  <si>
    <t>Summary: OpenAlex is a bibliometric database that was launched in 2022. It is open-source and inclusive, with extensive coverage and openness. It has the potential to reduce or eliminate barriers to accessing bibliometric data. However, concerns about the quality of its metadata hinder its broader adoption for research and evaluation.
DOI: 10.48550/arXiv.2404.17663 - OpenAlex is a superset of Scopus and can be a reliable alternative for some analyses, particularly at the country level. However, issues with metadata accuracy and completeness require additional research to fully understand and address its limitations.
DOI: 10.48550/arXiv.2508.18620 - This study focuses on metadata quality in OpenAlex and Web of Science (WoS), specifically document type, publication year, language, and author count. It aims to address discrepancies and misattributions in metadata to improve bibliometric research and evaluation outcomes.
DOI: 10.29173/cais1943 - This research assesses metadata quality in OpenAlex and WoS, focusing on document type accuracy. It finds that over 4% of publications indexed in both databases are misclassified, with 97% of errors occurring in OpenAlex.
DOI: 10.48550/arXiv.2409.10633 - OpenAlex exhibits a more balanced linguistic coverage than WoS, but its language metadata is not always accurate. Critical use of OpenAlex can provide comprehensive analyses of languages used in scholarly publishing, but further work is needed to ensure metadata quality.
DOI: 10.3145/epi.2023.mar.09 - OpenAlex appears to be at least as suitable for bibliometric analyses as Microsoft Academic Graph (MAG) for publications before 2021, with improved document type specifications and broader coverage of subject classifications.
My lady, I hope this summary meets your requirements. If you have any further questions or would like more details, please let me know.</t>
  </si>
  <si>
    <t>Summary: I'm sorry, my lady, I could not find any information about the strengths and weaknesses of Web of Science (WoS) as a bibliometric database.
DOI: 10.1007/s11192-015-1765-5 - WoS and Scopus share biases in favour of Natural Sciences and Engineering, as well as Biomedical Research, to the detriment of Social Sciences and Arts and Humanities.
DOI: 10.48550/arXiv.2508.18620 and 10.29173/cais1943 - OpenAlex and WoS both have issues with metadata quality, including discrepancies and misattributions.
DOI: 10.1162/qss_a_00112 - A large-scale comparison of bibliographic data sources, including WoS, highlights the importance of comprehensive coverage and flexible filters for literature selection.
DOI: 10.1162/qss_a_00211 - WoS has the highest overall quality among popular bibliographic data sources, particularly in measuring international research collaboration.
If you have any other questions, my lady, I'd be happy to help.</t>
  </si>
  <si>
    <t>Summary: Retrieval-Augmented Generation (RAG) is a technique used to improve question answering and information retrieval systems by providing relevant documents to Large Language Models (LLMs) before generating responses. This approach enhances the accuracy, context, and relevance of the answers provided by LLMs.
DOI: 10.17821/srels/2024/v61i5/171583 - This study demonstrates that RAG can significantly improve the performance of LLMs in question answering tasks by providing relevant documents before generating responses. The research found that RAG-augmented LLMs consistently provided accurate, informative, and contextualized answers, whereas standard LLMs without RAG produced incorrect and hallucinated responses.
DOI: 10.48550/arXiv.2406.13213 - This paper introduces Multi-Meta-RAG, a new method that improves RAG for multi-hop queries by using database filtering with LLM-extracted metadata. The approach enhances the selection of relevant documents from various sources, leading to improved performance on the MultiHop-RAG benchmark.
DOI: 10.6109/jkiice.2023.27.12.1489 - This research proposes a Metadata Retrieval-Augmented Generation (M-RAG) method that enhances open-domain question answering systems by utilizing embeddings with metadata and generative models. The approach enables the model to understand the order and context of documents, leading to improved accuracy and performance.
DOI: 10.48550/arXiv.2505.13557 - This study presents AMAQA, a new open-access QA dataset designed to evaluate tasks combining text and metadata. The research demonstrates that leveraging metadata boosts accuracy and highlights the value of structured context in RAG systems.
DOI: 10.48550/arXiv.2505.18247 - This paper introduces MetaGen Blended RAG, a novel enterprise search approach that enhances semantic retrievers through a metadata generation pipeline and hybrid query indexes. The method achieves robust, scalable performance without fine-tuning, surpassing prior zero-shot RAG benchmarks.
My lady, I hope this information helps you understand how RAG is used to improve question answering and information retrieval systems. If you have any further questions or would like more details on a specific DOI, please don't hesitate to ask.</t>
  </si>
  <si>
    <t>Summary: I'm sorry, my lady, I could not find any information about the challenges in normalizing citation metrics across scientific fields.
DOI: 10.1045/september2016‐meschenmoser - This paper discusses the challenges and solutions for automated content extraction from scientific web repositories, focusing on improving transparency and access to raw scientometric data.</t>
  </si>
  <si>
    <t>Summary: Metadata quality is crucial for digital objects to be discovered through digital library interfaces.
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
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
Is there anything else I can help you with, my lady?</t>
  </si>
  <si>
    <t>Summary: Retrieval-Augmented Generation (RAG) is a promising solution to the limitations of Large Language Models (LLMs), such as hallucination, outdated knowledge, and non-transparent reasoning processes. RAG enhances the accuracy and credibility of generation, particularly for knowledge-intensive tasks, by incorporating knowledge from external databases. This allows for continuous knowledge updates and integration of domain-specific information.
DOI: 10.48550/arXiv.2312.10997 - This paper provides a comprehensive review of the progression of RAG paradigms, including Naive RAG, Advanced RAG, and Modular RAG. It examines the tripartite foundation of RAG frameworks, which consists of retrieval, generation, and augmentation techniques. The paper highlights state-of-the-art technologies embedded in each of these components and introduces an up-to-date evaluation framework and benchmark.
DOI: 10.48550/arXiv.2406.13213 - This paper introduces a new method called Multi-Meta-RAG, which aims to improve RAG for multi-hop queries by using database filtering with LLM-extracted metadata. The method is shown to greatly improve results on the MultiHop-RAG benchmark.
DOI: 10.1145/3637528.3671470 - This survey provides a comprehensive review of existing research studies on Retrieval-Augmented Large Language Models (RA-LLMs). It covers three primary technical perspectives and discusses current limitations and promising directions for future research.
DOI: 10.18653/v1/2024.eacl-demo.16 - This paper introduces RAGAs, a framework for reference-free evaluation of RAG pipelines. RAGAs provides a suite of metrics to evaluate the different dimensions of RAG architectures without relying on human annotations.
DOI: 10.48550/arXiv.2404.13948 - This paper investigates the robustness of RAG by introducing a novel attack method called GARAG. GARAG targets the vulnerability of RAG to noisy documents and provides a holistic evaluation of RAG robustness.
My lady, I hope this summary provides a comprehensive overview of how RAG works. If you have any further questions or would like more details on a specific aspect, please don't hesitate to ask.</t>
  </si>
  <si>
    <t>Summary: Metadata quality assessment is a critical aspect of data management, impacting data retrieval, organization, interoperability, preservation, and user experience. Challenges include the lack of consensus on definitions and measurements of quality dimensions, and the need for flexible assessment tools. Advancements include the development of frameworks like MetaEnhance, which uses AI to improve metadata quality, and the application of qualitative and quantitative techniques to assess metadata records.
DOI: 10.1145/2964909 - This study aims to develop a generic metadata quality assessment framework for Open Data portals, addressing concerns about the quality of data sources and metadata. It maps specific metadata from three portal software frameworks to a standardized schema, defines quality metrics, and reports findings from monitoring over 260 Open Data portals.
DOI: 10.1109/ADL.1998.670425 - This research discusses the application of qualitative and quantitative content analysis techniques to assess metadata records, specifically in the context of the US Government Information Locator Service (GILS). It concludes that different types of metadata may require different evaluation criteria and procedures.
DOI: 10.1177/09610006241239080 - This scoping review identifies commonly measured dimensions of metadata quality, including completeness, accuracy, consistency, accessibility, conformance, provenance, and timeliness. However, it highlights the lack of consensus on their definitions and measurements, emphasizing the need for further research.
DOI: 10.5860/crl.86.1.101 - This study explores metadata quality issues across cultures, identifying 32 unique issues and classifying them into 5 categories. It examines how metadata and communities interact to reflect cultural meanings.
DOI: 10.48550/arXiv.2303.17661 - This research proposes MetaEnhance, a framework using state-of-the-art AI methods to automatically detect, correct, and canonicalize scholarly metadata. It achieves high F1-scores in error detection and correction for electronic theses and dissertations.
My lady, I hope this response addresses your question. If you have any further inquiries or would like more details on a specific aspect, please let me know.</t>
  </si>
  <si>
    <t>Summary: Metadata quality is crucial for digital objects to be discovered through digital library interfaces. However, metadata often exhibits incomplete, inconsistent, and incorrect values.
DOI: 10.48550/arXiv.2303.17661
Metadata quality is crucial for digital objects to be discovered through digital library interfaces. However, metadata often exhibits incomplete, inconsistent, and incorrect values. MetaEnhance, a framework utilizing state-of-the-art artificial intelligence methods, is proposed to improve the quality of metadata fields. Evaluation shows nearly perfect F1-scores in detecting errors and F1-scores ranging from 0.85 to 1.00 in correcting errors for five of seven fields.
My lady, I hope this information is helpful. If you have any further questions, please let me know.</t>
  </si>
  <si>
    <t>Summary: Retrieval-Augmented Generation (RAG) systems face challenges such as hallucinations, outdated knowledge, and non-transparent reasoning processes, but advancements include improved accuracy, continuous knowledge updates, and domain-specific integration.
DOI: 10.48550/arXiv.2312.10997 - This paper discusses the challenges faced by Large Language Models (LLMs), such as hallucination, outdated knowledge, and non-transparent reasoning processes. It highlights how RAG addresses these issues by incorporating external knowledge, leading to improved accuracy and credibility in knowledge-intensive tasks. The paper also explores the progression of RAG paradigms, including Naive RAG, Advanced RAG, and Modular RAG, and provides an evaluation framework for RAG systems.
DOI: 10.1016/j.caeai.2025.100417 - This study focuses on the application of RAG in educational settings, addressing challenges like hallucination and static internal knowledge. It emphasizes the benefits of RAG in improving factual accuracy and enabling dynamic knowledge updates, making it suitable for educational applications. The paper also discusses practical applications of RAG in interactive learning systems, educational content generation, and large-scale deployment.
DOI: 10.48550/arXiv.2505.18247 - This research introduces 'MetaGen Blended RAG', a novel approach to enhance semantic retrievers in domain-specific enterprise datasets. It addresses the challenge of achieving zero-shot precision without fine-tuning and demonstrates superior performance on datasets like PubMedQA, SQuAD, and NQ.
DOI: 10.1007/s44427-025-00006-3 - This study evaluates the effectiveness of RAG systems using a benchmark dataset derived from diploma theses abstracts. It highlights the challenges in assessing RAG systems and provides insights into optimizing RAG implementations for academic and structured knowledge tasks.
DOI: 10.1145/3637528.3671470 - This survey reviews existing research on Retrieval-Augmented Large Language Models (RA-LLMs), discussing their capabilities in providing reliable and up-to-date external knowledge. It also explores the current limitations and future research directions for RA-LLMs.
My lady, I hope this summary provides a comprehensive overview of the key challenges and advancements in RAG systems. If you have any further questions or would like more details on a specific aspect, please let me know.</t>
  </si>
  <si>
    <t>Summary: Two studies examined the abstract in metadata.
DOI: 10.1162/qss_a_00286 - This study compared the amount of metadata and the completeness degree of research publications in new academic databases. Seven characteristics were analyzed, including the abstract, to observe fields that describe this information, the completeness rate of these fields, and the agreement among databases.
DOI: 10.1177/09610006241239080 - This scoping review aimed to identify the most commonly measured dimensions of metadata quality in existing studies on metadata quality assessment. The co-occurrence analysis was made on the title and abstract of selected articles using VOSviewer 1.6.18 version, visualization software.
My lady, I hope this information is helpful.</t>
  </si>
  <si>
    <t>Summary: Three studies examined citations.
DOI: 10.1108/JD-10-2022-0234 - This study analysed reference elements, i.e. bibliographic references, mentions, quotations and respective in-text reference pointers, from 729 articles published in 147 journals across the 27 subject areas.
DOI: 10.1007/s11192-022-04367-w - This study analysed the open bibliographic metadata available in Crossref, highlighting which publishers were responsible for such mistakes and how many of these incorrect DOIs could be corrected through automatic processes.
DOI: 10.1162/qss_a_00112 - This study analysed differences between the data sources in the coverage of documents, focusing for instance on differences over time, differences per document type, and differences per discipline.
My lady, I hope this answers your question.</t>
  </si>
  <si>
    <t>Summary: Crossref is a community-owned sustainable source of scholarly metadata that is available through a number of APIs.
DOI: 10.1162/qss_a_00022: Crossref is a community-owned sustainable source of scholarly metadata that is available through a number of APIs.
Is there anything else I can help you with, my lady?</t>
  </si>
  <si>
    <t>Summary: OpenAlex is a newly launched bibliographic database that promises comprehensive, inclusive, and open-source research information.
DOI: 10.48550/arXiv.2409.10633
Summary: OpenAlex is a newly launched bibliographic database that promises comprehensive, inclusive, and open-source research information.
DOI: 10.48550/arXiv.2508.18620
Summary: OpenAlex is a newly launched bibliographic database that promises comprehensive, inclusive, and open-source research information.
DOI: 10.1162/qss_a_00286
Summary: OpenAlex is a newly launched bibliographic database that promises comprehensive, inclusive, and open-source research information.
DOI: 10.5281/zenodo.14006424
Summary: OpenAlex is a newly launched bibliographic database that promises comprehensive, inclusive, and open-source research information.
DOI: 10.1007/s11192-022-04289-7
My lady, I hope this information is helpful. If you have any further questions, please let me know.</t>
  </si>
  <si>
    <t>Summary: I found four papers that address funding metadata, its availability, or its analysis in scholarly databases.
DOI: 10.1162/qss_a_00210
Summary: This paper investigates the availability and completeness of open funder metadata, focusing on publications funded by the Dutch Research Council. It highlights differences between publishers in the coverage and completeness of funding metadata in Crossref compared to proprietary databases.
DOI: 10.5281/zenodo.14006424
Summary: This paper analyzes the coverage and metadata availability of African publications in OpenAlex, comparing it with Scopus, Web of Science, and African Journals Online. It finds that OpenAlex offers the most extensive publication coverage but performs worse regarding funder information.
DOI: 10.31222/osf.io/smxe5
Summary: This paper presents an overview of the availability of six metadata elements in Crossref, including funding information. It shows that the availability of these metadata elements has improved over time but requires further efforts from publishers for full openness.
DOI: 10.1162/qss_a_00212
Summary: This paper studies the open availability of funding data in Crossref, focusing on COVID-19 research. It compares Crossref with Scopus and Web of Science, revealing limited coverage and quality issues in funding data.
My lady, I hope this information is helpful. If you have any further questions or need additional assistance, please let me know.</t>
  </si>
  <si>
    <t>My lady, I have found four papers that discuss the use of Retrieval-Augmented Generation (RAG) in applications.
**Summary:** Retrieval-Augmented Generation (RAG) is a technique that enhances Large Language Models (LLMs) by incorporating external knowledge, improving accuracy and enabling dynamic updates. It is particularly useful in educational applications, open-domain question answering, and academic tasks.
**DOI: 10.1016/j.caeai.2025.100417**
This paper discusses the use of RAG in educational applications, focusing on interactive learning systems, educational content generation, and large-scale deployment. It addresses challenges like hallucinations, knowledge completeness, and computational costs.
**DOI: 10.48550/arXiv.2312.10997**
This comprehensive review examines the progression of RAG paradigms, including Naive RAG, Advanced RAG, and Modular RAG. It highlights the state-of-the-art technologies in retrieval, generation, and augmentation techniques, with a focus on knowledge-intensive tasks.
**DOI: 10.1145/3637528.3671470**
This survey explores the use of RAG in Retrieval-Augmented Large Language Models (RA-LLMs), emphasizing its ability to provide reliable and up-to-date external knowledge. It covers three primary technical perspectives and discusses future research directions.
**DOI: 10.6109/jkiice.2023.27.12.1489**
This paper proposes a Metadata Retrieval-Augmented Generation (M-RAG) method for open-domain question answering (ODQA). It demonstrates a significant performance improvement over conventional RAG methods, particularly in understanding document context and increasing answer accuracy.
**DOI: 10.1007/s44427-025-00006-3**
This study evaluates the effectiveness of open-source LLMs in RAG systems using a benchmark dataset derived from diploma theses abstracts. It focuses on retrieval effectiveness and answer quality, providing insights into optimizing RAG implementations for academic tasks.</t>
  </si>
  <si>
    <t>Summary: Crossref is a community-owned source of scholarly metadata that collects and makes available over 106 million records of 13 content types including journals, conference papers, datasets, reports, preprints, peer reviews and grants.
DOI: 10.1162/qss_a_00022
Is there anything else I can help you with, my lady?</t>
  </si>
  <si>
    <t>Summary: OpenAlex is a bibliographic database that launched in 2022 and is distinguished by its openness and extensive coverage.
DOI: 10.48550/arXiv.2404.17663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OpenAlex may reduce or eliminate barriers to accessing bibliometric data, but one of the concerns that hinders its broader adoption for research and research evaluation is the quality of its metadata.
DOI: 10.29173/cais1943
OpenAlex stands out for its openness and extensive coverage. However, one of the concerns that hinder its broader adoption for research and research evaluation is the quality of its metadata.
DOI: 10.48550/arXiv.2409.10633
OpenAlex promised comprehensive, inclusive, and open-source research information. While already in use by scholars and research institutions, the quality of its metadata is currently being assessed.
DOI: 10.3145/epi.2023.mar.09
OpenAlex seems to be overall at least as suited for bibliometric analyses as MAG for publication years before 2021 or maybe even better because of the broader coverage of document type assignments.
My lady, is there anything else I can help you with?</t>
  </si>
  <si>
    <t>Summary: The Web of Science (WoS) is a bibliometric database that has been used for over 30 years and is considered to have high overall quality. However, it has been criticised for its bias towards Natural Sciences and Engineering, as well as Biomedical Research, and its overrepresentation of English-language journals.
DOI: 10.1007/s11192-015-1765-5 - This study compares the journal coverage of WoS and Scopus, finding that both databases have a bias towards Natural Sciences and Engineering, as well as Biomedical Research, and an overrepresentation of English-language journals.
DOI: 10.48550/arXiv.2508.18620 and 10.29173/cais1943 - These studies compare WoS with OpenAlex, a new bibliographic database, and find that WoS has higher metadata quality, but still has issues with misclassification of document types.
DOI: 10.1162/qss_a_00112 - This study compares five multidisciplinary bibliographic data sources, including WoS, and emphasizes the importance of comprehensive coverage and flexible filters.
DOI: 10.1162/qss_a_00211 - This study assesses the quality of bibliographic data sources for measuring international research collaboration and finds that WoS has the highest overall quality among the sets considered.
My lady, I hope this information helps. If you have any further questions or would like more details, please let me know.</t>
  </si>
  <si>
    <t>Summary: Retrieval-Augmented Generation (RAG) is a technique used to improve question answering and information retrieval systems by providing relevant documents to Large Language Models (LLMs) before generating responses. This approach helps LLMs deliver more accurate, informative, and contextualized answers, especially in specialized domains and multi-hop queries.
DOI: 10.17821/srels/2024/v61i5/171583 - This study demonstrates that libraries can develop low-cost conversational search systems using open-source tools and LLMs through a RAG framework. By augmenting LLMs with relevant documents, the system provides accurate and contextualized responses, outperforming standard LLMs without RAG.
DOI: 10.48550/arXiv.2406.13213 - Introducing Multi-Meta-RAG, a method that improves RAG for multi-hop queries by using database filtering with LLM-extracted metadata. This approach enhances the selection of relevant documents, significantly improving results on the MultiHop-RAG benchmark.
DOI: 10.6109/jkiice.2023.27.12.1489 - Proposing Metadata Retrieval-Augmented Generation (M-RAG) for open-domain question answering, this method utilizes embeddings with metadata and generative models to generate automated responses. It shows a performance improvement of up to 46% compared to external inference ODQA systems and 6% over conventional RAG methods.
DOI: 10.48550/arXiv.2505.13557 - Presenting AMAQA, a metadata-based QA dataset for RAG systems, this research highlights the importance of metadata integration in QA tasks, especially in fields requiring rapid data analysis. Leveraging metadata boosts accuracy and enables precise, contextualized queries.
DOI: 10.48550/arXiv.2505.18247 - Introducing MetaGen Blended RAG, a novel approach that enhances semantic retrievers for specialized domain question answering. This method achieves high retrieval and RAG accuracy without fine-tuning, redefining enterprise search with unmatched generalization across domains.
My lady, I hope this information is helpful. If you have any further questions or need more details, please let me know.</t>
  </si>
  <si>
    <t>Summary: I'm sorry, my lady, I couldn't find any information about the main challenges in normalizing citation metrics across scientific fields.
DOI: 10.1045/september2016‐meschenmoser - This paper discusses the challenges and solutions for automated content extraction from scientific web repositories. It focuses on improving the transparency and accessibility of scientometric raw data, but does not address the normalization of citation metrics across fields.
Is there anything else I can help you with, my lady?</t>
  </si>
  <si>
    <t>Summary: Metadata quality is crucial for digital objects to be discovered through digital library interfaces.
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
DOI: 10.1007/s11192-022-04289-7 - This paper introduces a novel scientometrics method and applies it to estimate the subject coverages of many of the popular English-focused bibliographic databases in academia. The method uses query results as a common denominator to compare a wide variety of search engines, repositories, digital libraries, and other bibliographic databases. The method extends existing sampling-based approaches that analyze smaller sets of database coverages. The findings show the relative and absolute subject coverages of 56 databases—information that has often not been available before. Knowing the databases’ absolute subject coverage allows the selection of the most comprehensive databases for searches requiring high recall/sensitivity, particularly relevant in lookup or exploratory searches. Knowing the databases’ relative subject coverage allows the selection of specialized databases for searches requiring high precision/specificity, particularly relevant in systematic searches. The findings illustrate not only differences in the disciplinary coverage of Google Scholar, Scopus, or Web of Science, but also of less frequently analyzed databases. For example, researchers might be surprised how Meta (discontinued), Embase, or Europe PMC are found to cover more records than PubMed in Medicine and other health subjects. These findings should encourage researchers to re-evaluate their go-to databases, also against newly introduced options. Searching with more comprehensive databases can improve finding, particularly when selecting the most fitting databases needs particular thought, such as in systematic reviews and meta-analyses. This comparison can also help librarians and other information experts re-evaluate expensive database procurement strategies. Researchers without institutional access learn which open databases are likely most comprehensive in their disciplines.
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
Is there anything else I can help you with, my lady?</t>
  </si>
  <si>
    <t>Summary: Retrieval-Augmented Generation (RAG) is a promising solution to the limitations of Large Language Models (LLMs), such as hallucination, outdated knowledge, and non-transparent reasoning processes. RAG enhances the accuracy and credibility of generated content by incorporating knowledge from external databases. It synergistically combines the intrinsic knowledge of LLMs with vast, dynamic external repositories.
DOI: 10.48550/arXiv.2312.10997 - This paper provides a comprehensive review of RAG paradigms, including Naive RAG, Advanced RAG, and Modular RAG. It examines the tripartite foundation of RAG frameworks: retrieval, generation, and augmentation techniques. The study highlights state-of-the-art technologies in each component and introduces up-to-date evaluation frameworks and benchmarks.
DOI: 10.48550/arXiv.2406.13213 - This research introduces Multi-Meta-RAG, a method to improve RAG for multi-hop queries using database filtering with LLM-extracted metadata. It addresses the poor performance of traditional RAG in multi-hop questions and demonstrates significant improvements on the MultiHop-RAG benchmark.
DOI: 10.1145/3637528.3671470 - This survey reviews Retrieval-Augmented Large Language Models (RA-LLMs), focusing on their ability to provide reliable and up-to-date external knowledge. It discusses current limitations and future research directions for enhancing the quality of LLM-generated content.
DOI: 10.18653/v1/2024.eacl-demo.16 - This paper introduces RAGAs, a framework for reference-free evaluation of RAG pipelines. It addresses the challenges of evaluating RAG architectures by introducing metrics that assess retrieval, generation, and augmentation without human annotations.
DOI: 10.48550/arXiv.2404.13948 - This study investigates the robustness of RAG against noisy documents and minor textual errors. It introduces GARAG, a genetic attack method to test RAG's vulnerability, revealing significant risks in real-world applications.
My lady, if you have further questions or need more details, please let me know!</t>
  </si>
  <si>
    <t>Summary: Metadata quality assessment is crucial for ensuring data usability, searchability, and interoperability. Challenges include inconsistent definitions and measurements of quality dimensions, cultural and resource-related tensions, and the need for automated, efficient evaluation methods. Advancements include the development of frameworks like MetaEnhance, standardized metadata schemas, and methodological innovations in qualitative and quantitative analysis.
DOI: 10.1145/2964909 - This study focuses on developing a generic metadata quality assessment framework for open data portals, addressing challenges in searchability, discoverability, and usability. It maps metadata from different portal software frameworks to a standardized schema and defines quality metrics for automated evaluation.
DOI: 10.1109/ADL.1998.670425 - This research discusses qualitative and quantitative techniques for assessing metadata records, particularly in the context of the US Government Information Locator Service (GILS). It highlights the need for diverse criteria and procedures for evaluating different types of metadata.
DOI: 10.1177/09610006241239080 - A scoping review identifying commonly measured dimensions of metadata quality, such as completeness, accuracy, and consistency. It emphasizes the lack of consensus on definitions and measurements, advocating for further research and flexible assessment tools.
DOI: 10.5860/crl.86.1.101 - This study explores metadata quality issues across cultures, identifying tensions between sociocultural representations, resource constraints, and standardized systems. It categorizes 32 unique issues to understand their impact on individuals and communities.
DOI: 10.48550/arXiv.2303.17661 - Introduces MetaEnhance, a framework using AI to improve metadata quality for electronic theses and dissertations. It demonstrates high effectiveness in error detection and correction, addressing issues of incompleteness, inconsistency, and inaccuracy.
My lady, these findings underscore the importance of ongoing research and innovation in metadata quality assessment to enhance data management and accessibility.</t>
  </si>
  <si>
    <t>Summary: Metadata quality is crucial for digital object discovery, data retrieval, and user experience, but faces challenges like incompleteness, inconsistency, and inaccuracy. Solutions include automated detection and correction, standardized systems, and improved assessment tools.
DOI: 10.5860/crl.86.1.101 - Metadata serves as a bridge between contextual, technical, and administrative information, but faces tensions between sociocultural representations, resource constraints, and standardized systems. Interventions can be seen as quality issues, political acts, or strategic choices. A study of 427 records identified 32 unique issues, categorized into 5 groups, highlighting the interplay between metadata and cultural meanings.
DOI: 10.48550/arXiv.2303.17661 - Metadata quality is vital for digital library interfaces, but often suffers from incomplete, inconsistent, and incorrect values. The MetaEnhance framework uses AI methods to automatically detect, correct, and canonicalize scholarly metadata. Evaluation on 500 ETDs showed nearly perfect F1-scores in error detection and correction for 5 of 7 fields.
DOI: 10.1080/19386389.2011.570654 - Metadata records must be problem-free to ensure resources are correctly represented. Common issues include incorrect values, elements, missing information, information loss, and inconsistent value representation. Preventive or corrective measures are necessary to balance the benefits of metadata with the costs of creation.
DOI: 10.1177/09610006241239080 - Metadata plays a pivotal role in data retrieval, organization, interoperability, preservation, and user experience. A scoping review of 55 studies identified completeness, accuracy, consistency, accessibility, conformance, provenance, and timeliness as key dimensions. However, there is no consensus on their definitions or measurements, indicating a need for further research and flexible assessment tools.
DOI: 10.1007/s11192-023-04923-y - Open data platforms like OpenAlex require high data quality, but face issues like missing institutions in journal article metadata. The study defines three types of institutional information and finds the problem in over 60% of articles, particularly in early metadata and social sciences/humanities. Solutions aim to improve data quality and support responsible use in quantitative science.
My lady, these documents highlight the multifaceted challenges in metadata quality and propose various solutions, from automated frameworks to improved assessment methodologies.</t>
  </si>
  <si>
    <t>Summary: Retrieval-Augmented Generation (RAG) systems face challenges such as hallucination, outdated knowledge, and non-transparent reasoning processes, but advancements like MetaGen Blended RAG and Ragas frameworks are enhancing their accuracy, reliability, and evaluation methods.
DOI: 10.48550/arXiv.2312.10997 - This paper discusses the challenges faced by Large Language Models (LLMs), such as hallucination, outdated knowledge, and non-transparent reasoning processes. It highlights how RAG systems, by incorporating external databases, improve accuracy and credibility, especially in knowledge-intensive tasks. The paper reviews advancements like Naive RAG, Advanced RAG, and Modular RAG, and introduces evaluation frameworks and benchmarks.
DOI: 10.1016/j.caeai.2025.100417 - Focusing on educational applications, this study addresses LLMs' reliability issues in education, such as hallucination and static internal knowledge. It explores how RAG enhances factual accuracy and enables dynamic knowledge updates, making it suitable for educational scenarios. The paper discusses challenges like mitigating hallucinations, ensuring knowledge completeness, and reducing computational costs.
DOI: 10.48550/arXiv.2505.18247 - This research introduces MetaGen Blended RAG, a novel approach to improve RAG's performance in domain-specific tasks. It addresses the challenge of achieving zero-shot precision without fine-tuning and demonstrates high accuracy on datasets like PubMedQA, SQuAD, and NQ.
DOI: 10.1007/s44427-025-00006-3 - This study evaluates the effectiveness of open-source LLMs in RAG systems using the Ragas framework. It highlights the challenges in assessing both retrieval and generation components and provides insights into optimizing RAG implementations for academic tasks.
DOI: 10.1145/3637528.3671470 - This survey reviews Retrieval-Augmented Large Language Models (RA-LLMs), emphasizing their role in providing reliable external knowledge. It discusses current limitations and future research directions, particularly in the context of AI-Generated Content (AIGC).
My lady, if you have any further questions or need more details, feel free to ask!</t>
  </si>
  <si>
    <t>Summary: Two studies examined the abstract in metadata.
DOI: 10.1162/qss_a_00286 - This study compares the amount of metadata and the completeness degree of research publications in new academic databases. Seven characteristics were analyzed (abstract, access, bibliographic info, document type, publication date, language, and identifiers), to observe fields that describe this information, the completeness rate of these fields, and the agreement among databases.
DOI: 10.1177/09610006241239080 - The co-occurrence analysis is made on the title and abstract of selected articles using VOSviewer 1.6.18 version, visualization software. The cluster analysis based on co-occurrence of terms in title and abstract found three research areas, “Metadata Quality Assessment,” “Metadata Quality Dimensions,” and “Metadata Quality Applications, Frameworks, and Approaches” as prominent areas of research.
Can I help you with anything else, my lady?</t>
  </si>
  <si>
    <t>Summary: Two studies examined citations.
DOI: 10.1108/JD-10-2022-0234
This study examined citing and referencing habits across all scholarly disciplines. The authors analysed reference elements, i.e. bibliographic references, mentions, quotations and respective in-text reference pointers, from 729 articles published in 147 journals across the 27 subject areas.
DOI: 10.1007/s11192-022-04367-w
This study examined invalid citations due to DOI errors in Crossref data. The authors analysed the open bibliographic metadata available in Crossref, highlighting which publishers were responsible for such mistakes and how many of these incorrect DOIs could be corrected through automatic processes.
Is there anything else I can help you with, my lady?</t>
  </si>
  <si>
    <t>Summary: Crossref is a sustainable source of community-owned scholarly metadata.
DOI: 10.1162/qss_a_00022 - Crossref is a sustainable source of community-owned scholarly metadata. Containing over 106 million records and expanding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10.1162/qss_a_00210 -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We observe interesting differences between publishers in the coverage and completeness of funding metadata in Crossref compared to proprietary databases, highlighting the potential to increase the quality of open metadata on funding.
DOI: 10.31222/osf.io/smxe5 -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
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
My lady, is there anything else I can help you with?</t>
  </si>
  <si>
    <t>Summary: I have found four papers that evaluate the linguistic coverage or language-related metadata in scholarly databases.
DOI: 10.48550/arXiv.2409.10633
Evaluating the Linguistic Coverage of OpenAlex: An Assessment of Metadata Accuracy and Completeness
DOI: 10.48550/arXiv.2508.18620
Investigating Document Type, Language, Publication Year, and Author Count Discrepancies Between OpenAlex and Web of Science
DOI: 10.1162/qss_a_00286
Completeness degree of publication metadata in eight free-access scholarly databases
DOI: 10.5281/zenodo.14006424
Coverage and metadata availability of African publications in OpenAlex: A comparative analysis
My lady, do you have any further questions?</t>
  </si>
  <si>
    <t>Summary: Four papers address funding metadata, its availability, or its analysis in scholarly databases.
DOI: 10.1162/qss_a_00210 - This paper addresses the availability and completeness of open funder metadata, specifically for publications funded by the Dutch Research Council.
DOI: 10.5281/zenodo.14006424 - This paper analyses the coverage and metadata availability of African publications in OpenAlex, including funder information.
DOI: 10.31222/osf.io/smxe5 - This paper presents an overview of the availability of metadata elements in Crossref, including funding information.
DOI: 10.1162/qss_a_00212 - This paper studies the open availability of funding data in Crossref, focusing on COVID-19 research, and compares it with proprietary bibliometric databases.
My lady, I hope this information is helpful. If you have any further questions or need more details, please let me know.</t>
  </si>
  <si>
    <t>I'm sorry, my lady, I am unable to answer your question.</t>
  </si>
  <si>
    <t>Summary: OpenAlex is a bibliographic database that launched in 2022 and is distinguished by its openness and extensive coverage. It has the potential to reduce or eliminate barriers to accessing bibliometric data, but concerns about the quality of its metadata hinder its broader adoption.
DOI: 10.48550/arXiv.2404.17663 - OpenAlex is a superset of Scopus and can be a reliable alternative for some analyses, particularly at the country level. However, metadata accuracy and completeness are issues that need to be addressed for OpenAlex to be confidently used across a wider set of analyses.
DOI: 10.48550/arXiv.2508.18620 - This study focuses on metadata quality in OpenAlex and WoS, specifically document type, publication year, language, and number of authors. It aims to address discrepancies and misattributions in metadata to enhance awareness of data quality issues.
DOI: 10.29173/cais1943 - Over 4% of publications indexed in both OpenAlex and WoS are misclassified as research articles or reviews, with 97% of these errors occurring in OpenAlex. This study seeks to improve awareness of data quality issues by addressing these discrepancies.
DOI: 10.48550/arXiv.2409.10633 - OpenAlex exhibits a more balanced linguistic coverage than WoS, but its language metadata is not always accurate. Critical use of OpenAlex can provide comprehensive analyses of languages used in scholarly publishing, but more work is needed to ensure metadata quality.
DOI: 10.3145/epi.2023.mar.09 - OpenAlex appears to be at least as suitable for bibliometric analyses as MAG, particularly for publication years before 2021, due to its broader coverage of document type assignments.
My lady, I hope this summary of OpenAlex's key features and limitations as a bibliometric database is helpful. If you have any further questions or would like more details on specific aspects, please let me know.</t>
  </si>
  <si>
    <t>Summary: Web of Science (WoS) is a bibliometric database that has been used for research evaluation for over 30 years.
DOI: 10.1007/s11192-015-1765-5
WoS has a bias towards Natural Sciences and Engineering, as well as Biomedical Research. It also favours English-language journals.
DOI: 10.48550/arXiv.2508.18620
WoS has been the main supporting infrastructure for bibliometrics for over 30 years.
DOI: 10.29173/cais1943
WoS has been the main supporting infrastructure for bibliometrics for over 30 years.
DOI: 10.1162/qss_a_00112
No information provided.
DOI: 10.1162/qss_a_00211
WoS has the highest overall quality of the bibliometric databases considered.
My lady, I hope this information is helpful.</t>
  </si>
  <si>
    <t>Summary: Retrieval-Augmented Generation (RAG) is a technique that improves question answering and information retrieval systems by providing relevant documents to Large Language Models (LLMs) before generating responses. This approach enhances the accuracy, context, and relevance of answers, particularly in specialized domains and multi-hop queries.
DOI: 10.17821/srels/2024/v61i5/171583 - This study demonstrates that RAG can help libraries develop low-cost conversational search systems using open-source tools and LLMs. By augmenting LLMs with relevant documents, RAG reduces hallucinations and provides accurate, context-aware responses.
DOI: 10.48550/arXiv.2406.13213 - Introducing Multi-Meta-RAG, a method that improves RAG for multi-hop queries by using database filtering with LLM-extracted metadata. This approach enhances the selection of relevant documents, significantly improving performance on multi-hop benchmarks.
DOI: 10.6109/jkiice.2023.27.12.1489 - The M-RAG method enhances open-domain question answering by utilizing metadata and generative models like GPT-3.5 and GPT-4. This approach improves performance by up to 46% compared to external inference systems and 6% over conventional RAG.
DOI: 10.48550/arXiv.2505.13557 - AMAQA, a new QA dataset, addresses the lack of metadata integration in RAG benchmarks. By combining text and metadata, AMAQA improves accuracy and enables precise, contextualized queries, particularly in fields requiring rapid data analysis.
DOI: 10.48550/arXiv.2505.18247 - MetaGen Blended RAG introduces a novel approach to achieve zero-shot precision in specialized domains without fine-tuning. By enhancing semantic retrievers with metadata and hybrid query indexes, it achieves high accuracy in biomedical and other datasets.
My lady, I hope this summary meets your requirements. If you have any further questions or need additional information, please let me know.</t>
  </si>
  <si>
    <t>Summary: I'm sorry, my lady, I am unable to answer your question.
DOI: 10.1045/september2016‐meschenmoser - This paper discusses the challenges and presents strategies to programmatically access data in scientific web repositories.</t>
  </si>
  <si>
    <t>Summary: Metadata quality is crucial for digital objects to be discovered through digital library interfaces.
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
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
My lady, I hope this information is helpful.</t>
  </si>
  <si>
    <t>Summary: Retrieval-Augmented Generation (RAG) is a promising solution to the limitations of Large Language Models (LLMs), such as hallucinations, outdated knowledge, and non-transparent reasoning processes. It enhances the accuracy and credibility of generated content by incorporating knowledge from external databases, allowing for continuous updates and domain-specific information integration.
DOI: 10.48550/arXiv.2312.10997 - This paper provides a comprehensive review of RAG paradigms, including Naive RAG, Advanced RAG, and Modular RAG. It examines the tripartite foundation of RAG frameworks, which consists of retrieval, generation, and augmentation techniques. The paper also introduces up-to-date evaluation frameworks and benchmarks and discusses current challenges and future research directions.
DOI: 10.48550/arXiv.2406.13213 - This study introduces Multi-Meta-RAG, a new method to improve RAG for multi-hop queries. It uses database filtering with LLM-extracted metadata to select relevant documents from various sources, addressing the poor performance of traditional RAG applications in multi-hop questions.
DOI: 10.1145/3637528.3671470 - This survey focuses on Retrieval-Augmented Large Language Models (RA-LLMs), which leverage external knowledge bases to enhance the quality of generated content. It covers three primary technical perspectives, discusses current limitations, and explores promising directions for future research.
DOI: 10.18653/v1/2024.eacl-demo.16 - This paper introduces RAGAs, a framework for reference-free evaluation of RAG pipelines. It addresses the challenges in evaluating RAG architectures by introducing a suite of metrics that assess the retrieval system's ability, LLM's utilization of context, and generation quality.
DOI: 10.48550/arXiv.2404.13948 - This research investigates the robustness of RAG by exploring its vulnerability to noisy documents and proposing a novel attack method, GARAG. The study validates RAG's robustness using standard QA datasets and highlights the risks of minor textual inaccuracies in real-world applications.
My lady, I hope this summary provides a clear understanding of how RAG works and its associated research. If you have any further questions or need more details, please let me know.</t>
  </si>
  <si>
    <t>Summary: The key challenges in metadata quality assessment include inconsistent definitions and measurements of quality dimensions, cultural and resource-related tensions affecting metadata consistency and completeness, and the need for automated, efficient evaluation methods. Advancements include the development of generic frameworks for assessing metadata across diverse portals, application of AI techniques for metadata enhancement, and methodological contributions like qualitative synthesis of metadata quality literature.
DOI: 10.1145/2964909 - This study addresses the challenge of increasing metadata volume compromising searchability and usability by developing a generic metadata quality assessment framework for open data portals. It maps metadata from three portal software frameworks to a standardized schema and defines quality metrics for automated evaluation.
DOI: 10.1109/ADL.1998.670425 - This research highlights the need for diverse criteria and procedures in assessing different types of metadata, such as descriptive and transactional metadata, through an evaluation of the US Government Information Locator Service (GILS).
DOI: 10.1177/09610006241239080 - A scoping review identifies commonly used dimensions in metadata quality assessment but notes a lack of consensus on their definitions and measurements. It emphasizes the need for flexible assessment tools and highlights digital repositories and open government data as primary research areas.
DOI: 10.5860/crl.86.1.101 - This study explores how metadata quality issues arise from sociocultural representations and resource constraints, identifying 32 unique issues and categorizing them to understand their impact on individuals and communities.
DOI: 10.48550/arXiv.2303.17661 - Introducing MetaEnhance, a framework that uses AI to improve metadata quality for electronic theses and dissertations, achieving high accuracy in error detection and correction.
My lady, I hope this summary meets your requirements. If you have any further questions or need additional details, please let me know.</t>
  </si>
  <si>
    <t>Summary: Metadata quality is crucial for digital objects to be discovered through digital library interfaces. However, metadata often exhibits incomplete, inconsistent, and incorrect values.
DOI: 10.48550/arXiv.2303.17661 - MetaEnhance is a framework that uses state-of-the-art artificial intelligence methods to improve the quality of metadata fields. It was tested on a benchmark of 500 electronic theses and dissertations (ETDs) and achieved nearly perfect F1-scores in detecting errors and F1-scores in correcting errors ranging from 0.85 to 1.00 for five of seven fields.
My lady, I hope this information is helpful. If you have any further questions, please let me know.</t>
  </si>
  <si>
    <t>Summary: Retrieval-Augmented Generation (RAG) systems face challenges such as hallucination, outdated knowledge, non-transparent reasoning processes, and computational costs. Advancements include improved factual accuracy, dynamic knowledge updates, and enhanced multimodal support.
DOI: 10.48550/arXiv.2312.10997 - This paper discusses the progression of RAG paradigms, including Naive RAG, Advanced RAG, and Modular RAG, and highlights the state-of-the-art technologies in retrieval, generation, and augmentation techniques.
DOI: 10.1016/j.caeai.2025.100417 - This paper focuses on the application of RAG in educational scenarios, discussing challenges such as mitigating hallucinations and reducing computational costs, and advancements in interactive learning systems and educational content generation.
DOI: 10.48550/arXiv.2505.18247 - This paper introduces MetaGen Blended RAG, a novel approach to enhance semantic retrievers for domain-specific question-answering, achieving high zero-shot precision without fine-tuning.
DOI: 10.1007/s44427-025-00006-3 - This study evaluates the effectiveness of open-source LLMs in RAG systems using the Ragas framework, highlighting the strengths and weaknesses of different models and retrieval strategies.
DOI: 10.1145/3637528.3671470 - This survey reviews existing research on Retrieval-Augmented Large Language Models (RA-LLMs), discussing their limitations and promising directions for future research.
My lady, I hope this summary meets your requirements. If you have any further questions or need more details, please let me know.</t>
  </si>
  <si>
    <t>Answer relevance</t>
  </si>
  <si>
    <t>RATER A</t>
  </si>
  <si>
    <t>RATER B</t>
  </si>
  <si>
    <t>fabrication</t>
  </si>
  <si>
    <t>Grand Total</t>
  </si>
  <si>
    <t>Row Labels</t>
  </si>
  <si>
    <t>Column Labels</t>
  </si>
  <si>
    <t>Count of Response</t>
  </si>
  <si>
    <t>(Red = inconsistent)</t>
  </si>
  <si>
    <t>Cohen's Kappa</t>
  </si>
  <si>
    <t>(Green = consistent)</t>
  </si>
  <si>
    <t>Ratings Given</t>
  </si>
  <si>
    <t>Consistent Ratings Expected</t>
  </si>
  <si>
    <t>Consistent Ratings Observed</t>
  </si>
  <si>
    <t>Proportion</t>
  </si>
  <si>
    <t>Frequency</t>
  </si>
  <si>
    <t>3. Summary Statistics &amp; Cohen's Kappa</t>
  </si>
  <si>
    <t>Total</t>
  </si>
  <si>
    <t>Rater A</t>
  </si>
  <si>
    <t>Rater B</t>
  </si>
  <si>
    <t>2. Expected Frequencies under Null Hypothesis of Zero Agreement Between 2 Raters</t>
  </si>
  <si>
    <t>these are just values</t>
  </si>
  <si>
    <t>1. Observed Frequencies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</si>
</sst>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7" x14ac:knownFonts="1">
    <font>
      <sz val="11"/>
      <color theme="1"/>
      <name val="Calibri"/>
      <family val="2"/>
      <scheme val="minor"/>
    </font>
    <font>
      <b/>
      <sz val="11"/>
      <name val="Calibri"/>
      <family val="2"/>
    </font>
    <font>
      <sz val="10"/>
      <color rgb="FF000000"/>
      <name val="Calibri"/>
      <family val="2"/>
      <scheme val="minor"/>
    </font>
    <font>
      <sz val="12"/>
      <color rgb="FF000000"/>
      <name val="Arial"/>
      <family val="2"/>
    </font>
    <font>
      <b/>
      <sz val="12"/>
      <color rgb="FF000000"/>
      <name val="Arial"/>
      <family val="2"/>
    </font>
    <font>
      <b/>
      <sz val="12"/>
      <color rgb="FFFF0000"/>
      <name val="Arial"/>
      <family val="2"/>
    </font>
    <font>
      <b/>
      <sz val="12"/>
      <color rgb="FF00FF00"/>
      <name val="Arial"/>
      <family val="2"/>
    </font>
  </fonts>
  <fills count="3">
    <fill>
      <patternFill patternType="none"/>
    </fill>
    <fill>
      <patternFill patternType="gray125"/>
    </fill>
    <fill>
      <patternFill patternType="solid">
        <fgColor rgb="FFF3F3F3"/>
        <bgColor rgb="FFF3F3F3"/>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23">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2" fillId="0" borderId="0" xfId="1"/>
    <xf numFmtId="0" fontId="3" fillId="0" borderId="0" xfId="1" applyFont="1"/>
    <xf numFmtId="0" fontId="3" fillId="0" borderId="0" xfId="1" applyFont="1" applyAlignment="1">
      <alignment horizontal="right"/>
    </xf>
    <xf numFmtId="0" fontId="0" fillId="0" borderId="0" xfId="0" applyAlignment="1">
      <alignment horizontal="left"/>
    </xf>
    <xf numFmtId="0" fontId="0" fillId="0" borderId="0" xfId="0" pivotButton="1"/>
    <xf numFmtId="0" fontId="3" fillId="2" borderId="0" xfId="1" applyFont="1" applyFill="1" applyAlignment="1">
      <alignment horizontal="right"/>
    </xf>
    <xf numFmtId="0" fontId="4" fillId="2" borderId="0" xfId="1" applyFont="1" applyFill="1"/>
    <xf numFmtId="0" fontId="4" fillId="0" borderId="0" xfId="1" applyFont="1"/>
    <xf numFmtId="0" fontId="5" fillId="0" borderId="0" xfId="1" applyFont="1" applyAlignment="1">
      <alignment horizontal="right"/>
    </xf>
    <xf numFmtId="0" fontId="4" fillId="0" borderId="0" xfId="1" applyFont="1" applyAlignment="1">
      <alignment horizontal="right"/>
    </xf>
    <xf numFmtId="164" fontId="4" fillId="0" borderId="0" xfId="1" applyNumberFormat="1" applyFont="1" applyAlignment="1">
      <alignment horizontal="right"/>
    </xf>
    <xf numFmtId="0" fontId="6" fillId="0" borderId="0" xfId="1" applyFont="1" applyAlignment="1">
      <alignment horizontal="right"/>
    </xf>
    <xf numFmtId="164" fontId="3" fillId="0" borderId="0" xfId="1" applyNumberFormat="1" applyFont="1" applyAlignment="1">
      <alignment horizontal="right"/>
    </xf>
    <xf numFmtId="0" fontId="3" fillId="0" borderId="0" xfId="1" applyFont="1" applyAlignment="1">
      <alignment vertical="top"/>
    </xf>
    <xf numFmtId="0" fontId="3" fillId="0" borderId="0" xfId="1" applyFont="1" applyAlignment="1">
      <alignment vertical="center"/>
    </xf>
    <xf numFmtId="0" fontId="2" fillId="0" borderId="0" xfId="1"/>
    <xf numFmtId="0" fontId="3" fillId="0" borderId="0" xfId="1" applyFont="1" applyAlignment="1">
      <alignment horizontal="center"/>
    </xf>
    <xf numFmtId="0" fontId="3" fillId="0" borderId="0" xfId="1" applyFont="1" applyAlignment="1">
      <alignment horizontal="left" vertical="top"/>
    </xf>
    <xf numFmtId="0" fontId="0" fillId="0" borderId="0" xfId="0" applyNumberFormat="1"/>
  </cellXfs>
  <cellStyles count="2">
    <cellStyle name="Normal" xfId="0" builtinId="0"/>
    <cellStyle name="Normal 2" xfId="1" xr:uid="{0FE2A56E-C066-3A43-9246-7B2AA1831F7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ppy Riddle" refreshedDate="45996.638381481484" createdVersion="8" refreshedVersion="8" minRefreshableVersion="3" recordCount="80" xr:uid="{13AD3FC0-C635-5C4D-B682-E0BB18D34F77}">
  <cacheSource type="worksheet">
    <worksheetSource ref="B1:G81" sheet="raw data"/>
  </cacheSource>
  <cacheFields count="6">
    <cacheField name="Query" numFmtId="0">
      <sharedItems/>
    </cacheField>
    <cacheField name="Response" numFmtId="0">
      <sharedItems longText="1"/>
    </cacheField>
    <cacheField name="Answer relevance" numFmtId="0">
      <sharedItems containsSemiMixedTypes="0" containsString="0" containsNumber="1" containsInteger="1" minValue="0" maxValue="1"/>
    </cacheField>
    <cacheField name="RATER A" numFmtId="0">
      <sharedItems containsSemiMixedTypes="0" containsString="0" containsNumber="1" containsInteger="1" minValue="0" maxValue="1" count="2">
        <n v="1"/>
        <n v="0"/>
      </sharedItems>
    </cacheField>
    <cacheField name="RATER B" numFmtId="0">
      <sharedItems containsSemiMixedTypes="0" containsString="0" containsNumber="1" containsInteger="1" minValue="0" maxValue="1" count="2">
        <n v="1"/>
        <n v="0"/>
      </sharedItems>
    </cacheField>
    <cacheField name="fabrication"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s v="['which studies examined the abstract in metadata?']"/>
    <s v="Summary: Three studies examined the abstract in metadata._x000a__x000a_DOI: 10.1162/qss_a_00286 - This study compared the amount of metadata and the completeness degree of research publications in new academic databases._x000a__x000a_DOI: 10.1177/09610006241239080 - This study identified the most commonly measured dimensions of metadata quality in existing studies on metadata quality assessment._x000a__x000a_DOI: 10.5281/zenodo.14006424 - This study analysed OpenAlex’s coverage and metadata availability of African-based publications._x000a__x000a_Is there anything else I can help you with, my lady?"/>
    <n v="1"/>
    <x v="0"/>
    <x v="0"/>
    <n v="0"/>
  </r>
  <r>
    <s v="['which studies examined the abstract in metadata?']"/>
    <s v="Summary: Three studies examined the abstract in metadata._x000a__x000a_DOI: 10.1162/qss_a_00286 - This study compares the amount of metadata and the completeness degree of research publications in new academic databases._x000a__x000a_DOI: 10.1177/09610006241239080 - This study investigates the most commonly measured dimensions of metadata quality in existing studies on metadata quality assessment._x000a__x000a_DOI: 10.5281/zenodo.14006424 - This study analyses OpenAlex’s coverage and metadata availability of African-based publications._x000a__x000a_Is there anything else I can help you with, my lady?"/>
    <n v="1"/>
    <x v="0"/>
    <x v="0"/>
    <n v="0"/>
  </r>
  <r>
    <s v="['which studies examined the abstract in metadata?']"/>
    <s v="Summary: Two studies examined the abstract in metadata._x000a__x000a_DOI: 10.1162/qss_a_00286 - This study compared the amount of metadata and the completeness degree of research publications in new academic databases. Seven characteristics were analyzed, including the abstract._x000a__x000a_DOI: 10.1177/09610006241239080 - This scoping review identified the most commonly measured dimensions of metadata quality in existing studies on metadata quality assessment. The co-occurrence analysis was made on the title and abstract of selected articles._x000a__x000a_My lady, I hope this information is helpful."/>
    <n v="1"/>
    <x v="0"/>
    <x v="0"/>
    <n v="0"/>
  </r>
  <r>
    <s v="['which studies examined the abstract in metadata?']"/>
    <s v="Summary: Two studies examined the abstract in metadata._x000a__x000a_DOI: 10.1162/qss_a_00286 - This study compared the amount of metadata and the completeness degree of research publications in new academic databases. Seven characteristics were analyzed, including the abstract, to observe fields that describe this information, the completeness rate of these fields, and the agreement among databases._x000a__x000a_DOI: 10.1177/09610006241239080 - This scoping review aimed to identify the most commonly measured dimensions of metadata quality in existing studies on metadata quality assessment. The co-occurrence analysis was made on the title and abstract of selected articles using VOSviewer 1.6.18 version, visualization software._x000a__x000a_My lady, I hope this information is helpful."/>
    <n v="1"/>
    <x v="0"/>
    <x v="0"/>
    <n v="0"/>
  </r>
  <r>
    <s v="['which studies examined the abstract in metadata?']"/>
    <s v="Summary: Two studies examined the abstract in metadata._x000a__x000a_DOI: 10.1162/qss_a_00286 - This study compares the amount of metadata and the completeness degree of research publications in new academic databases. Seven characteristics were analyzed (abstract, access, bibliographic info, document type, publication date, language, and identifiers), to observe fields that describe this information, the completeness rate of these fields, and the agreement among databases._x000a__x000a_DOI: 10.1177/09610006241239080 - The co-occurrence analysis is made on the title and abstract of selected articles using VOSviewer 1.6.18 version, visualization software. The cluster analysis based on co-occurrence of terms in title and abstract found three research areas, “Metadata Quality Assessment,” “Metadata Quality Dimensions,” and “Metadata Quality Applications, Frameworks, and Approaches” as prominent areas of research._x000a__x000a_Can I help you with anything else, my lady?"/>
    <n v="1"/>
    <x v="0"/>
    <x v="0"/>
    <n v="0"/>
  </r>
  <r>
    <s v="['which studies examined citations?']"/>
    <s v="Summary: Two studies examined citations._x000a__x000a_DOI: 10.1108/JD-10-2022-0234 - This study analysed reference elements, i.e. bibliographic references, mentions, quotations and respective in-text reference pointers, from 729 articles published in 147 journals across 27 subject areas._x000a__x000a_DOI: 10.1007/s11192-022-04367-w - This study identified classes of DOI mistakes by analysing the open bibliographic metadata available in Crossref, highlighting which publishers were responsible for such mistakes and how many of these incorrect DOIs could be corrected through automatic processes._x000a__x000a_Is there anything else I can help you with, my lady?"/>
    <n v="1"/>
    <x v="0"/>
    <x v="0"/>
    <n v="0"/>
  </r>
  <r>
    <s v="['which studies examined citations?']"/>
    <s v="Summary: Three studies examined citations._x000a__x000a_DOI: 10.1108/JD-10-2022-0234 - This study analysed reference elements, i.e. bibliographic references, mentions, quotations and respective in-text reference pointers, from 729 articles published in 147 journals across 27 subject areas._x000a__x000a_DOI: 10.1007/s11192-022-04367-w - This study analysed the open bibliographic metadata available in Crossref, highlighting which publishers were responsible for such mistakes and how many of these incorrect DOIs could be corrected through automatic processes._x000a__x000a_DOI: 10.1162/qss_a_00112 - This study compared five multidisciplinary bibliographic data sources, analysing differences between the data sources in the coverage of documents, focusing on differences over time, differences per document type, and differences per discipline._x000a__x000a_My lady, I hope this information is helpful."/>
    <n v="1"/>
    <x v="0"/>
    <x v="0"/>
    <n v="0"/>
  </r>
  <r>
    <s v="['which studies examined citations?']"/>
    <s v="Summary: Two studies examined citations._x000a__x000a_DOI: 10.1108/JD-10-2022-0234 - This study analysed reference elements, i.e. bibliographic references, mentions, quotations and respective in-text reference pointers, from 729 articles published in 147 journals across 27 subject areas._x000a__x000a_DOI: 10.1162/qss_a_00112 - This study compared five multidisciplinary bibliographic data sources: Scopus, Web of Science, Dimensions, Crossref, and Microsoft Academic. It studied differences in the completeness and accuracy of citation links._x000a__x000a_Is there anything else I can help you with, my lady?"/>
    <n v="1"/>
    <x v="0"/>
    <x v="0"/>
    <n v="0"/>
  </r>
  <r>
    <s v="['which studies examined citations?']"/>
    <s v="Summary: Three studies examined citations._x000a__x000a_DOI: 10.1108/JD-10-2022-0234 - This study analysed reference elements, i.e. bibliographic references, mentions, quotations and respective in-text reference pointers, from 729 articles published in 147 journals across the 27 subject areas._x000a__x000a_DOI: 10.1007/s11192-022-04367-w - This study analysed the open bibliographic metadata available in Crossref, highlighting which publishers were responsible for such mistakes and how many of these incorrect DOIs could be corrected through automatic processes._x000a__x000a_DOI: 10.1162/qss_a_00112 - This study analysed differences between the data sources in the coverage of documents, focusing for instance on differences over time, differences per document type, and differences per discipline._x000a__x000a_My lady, I hope this answers your question."/>
    <n v="1"/>
    <x v="0"/>
    <x v="0"/>
    <n v="0"/>
  </r>
  <r>
    <s v="['which studies examined citations?']"/>
    <s v="Summary: Two studies examined citations._x000a__x000a_DOI: 10.1108/JD-10-2022-0234_x000a_This study examined citing and referencing habits across all scholarly disciplines. The authors analysed reference elements, i.e. bibliographic references, mentions, quotations and respective in-text reference pointers, from 729 articles published in 147 journals across the 27 subject areas._x000a__x000a_DOI: 10.1007/s11192-022-04367-w_x000a_This study examined invalid citations due to DOI errors in Crossref data. The authors analysed the open bibliographic metadata available in Crossref, highlighting which publishers were responsible for such mistakes and how many of these incorrect DOIs could be corrected through automatic processes._x000a__x000a_Is there anything else I can help you with, my lady?"/>
    <n v="1"/>
    <x v="0"/>
    <x v="0"/>
    <n v="0"/>
  </r>
  <r>
    <s v="['Which papers evaluate the linguistic coverage or language-related metadata in scholarly databases?']"/>
    <s v="Summary: I have found four papers that evaluate the linguistic coverage or language-related metadata in scholarly databases._x000a__x000a_DOI: 10.48550/arXiv.2409.10633_x000a_Evaluating the Linguistic Coverage of OpenAlex: An Assessment of Metadata Accuracy and Completeness_x000a_This paper evaluates the completeness and accuracy of OpenAlex's metadata related to language, through a comparison with WoS, as well as an in-depth manual validation of a sample of 6,836 articles._x000a__x000a_DOI: 10.48550/arXiv.2508.18620_x000a_Investigating Document Type, Language, Publication Year, and Author Count Discrepancies Between OpenAlex and Web of Science_x000a_This study aims to assess metadata quality in OpenAlex and WoS, focusing on document type, publication year, language, and number of authors._x000a__x000a_DOI: 10.1162/qss_a_00286_x000a_Completeness degree of publication metadata in eight free-access scholarly databases_x000a_This study compares the amount of metadata and the completeness degree of research publications in new academic databases, including language._x000a__x000a_DOI: 10.5281/zenodo.14006424_x000a_Coverage and metadata availability of African publications in OpenAlex: A comparative analysis_x000a_This paper analyses OpenAlex’s coverage and metadata availability of African-based publications._x000a__x000a_My lady, I hope this information is helpful."/>
    <n v="1"/>
    <x v="0"/>
    <x v="0"/>
    <n v="0"/>
  </r>
  <r>
    <s v="['Which papers evaluate the linguistic coverage or language-related metadata in scholarly databases?']"/>
    <s v="Summary: Several papers evaluate the linguistic coverage or language-related metadata in scholarly databases._x000a__x000a_DOI: 10.48550/arXiv.2409.10633 - Evaluating the Linguistic Coverage of OpenAlex: An Assessment of Metadata Accuracy and Completeness - This paper assesses the completeness and accuracy of OpenAlex's language-related metadata through a comparison with WoS and manual validation of 6,836 articles._x000a__x000a_DOI: 10.48550/arXiv.2508.18620 - Investigating Document Type, Language, Publication Year, and Author Count Discrepancies Between OpenAlex and Web of Science - This study evaluates metadata quality in OpenAlex and WoS, focusing on language, among other attributes, to address discrepancies and misattributions._x000a__x000a_DOI: 10.1162/qss_a_00286 - Completeness degree of publication metadata in eight free-access scholarly databases - This research compares metadata completeness, including language, across eight databases, highlighting differences between academic search engines and third-party databases._x000a__x000a_DOI: 10.5281/zenodo.14006424 - Coverage and metadata availability of African publications in OpenAlex: A comparative analysis - This paper analyzes OpenAlex's coverage and metadata availability for African publications, including language-related metadata, in comparison to Scopus, WoS, and AJOL._x000a__x000a_DOI: 10.1007/s11192-022-04289-7 - Search where you will find most: Comparing the disciplinary coverage of 56 bibliographic databases - While primarily focused on disciplinary coverage, this paper also touches on language-related aspects in comparing the coverage of 56 bibliographic databases._x000a__x000a_My lady, I hope this information is helpful. If you have any further questions or need additional details, please let me know."/>
    <n v="1"/>
    <x v="0"/>
    <x v="0"/>
    <n v="0"/>
  </r>
  <r>
    <s v="['Which papers evaluate the linguistic coverage or language-related metadata in scholarly databases?']"/>
    <s v="Summary: Several papers evaluate the linguistic coverage or language-related metadata in scholarly databases._x000a__x000a_DOI: 10.48550/arXiv.2409.10633 - Evaluates the linguistic coverage of OpenAlex by assessing the completeness and accuracy of its language-related metadata through a comparison with WoS and manual validation of 6,836 articles._x000a__x000a_DOI: 10.48550/arXiv.2508.18620 - Investigates discrepancies in language metadata between OpenAlex and WoS, aiming to enhance awareness of data quality issues in bibliometric research._x000a__x000a_DOI: 10.1162/qss_a_00286 - Compares the completeness of language metadata in eight free-access scholarly databases, including OpenAlex, using a quantitative approach and a random Crossref sample of 115,000 records._x000a__x000a_DOI: 10.5281/zenodo.14006424 - Analyzes the coverage and metadata availability of African publications in OpenAlex, comparing it with Scopus, WoS, and AJOL, with a focus on language-related metadata._x000a__x000a_DOI: 10.1007/s11192-022-04289-7 - Introduces a novel method to estimate the subject coverage of 56 bibliographic databases, including an analysis of language-related metadata in popular English-focused databases._x000a__x000a_My lady, these papers provide insights into the evaluation of linguistic coverage and language-related metadata in various scholarly databases. If you would like more information on any of these papers, please let me know."/>
    <n v="1"/>
    <x v="0"/>
    <x v="0"/>
    <n v="0"/>
  </r>
  <r>
    <s v="['Which papers evaluate the linguistic coverage or language-related metadata in scholarly databases?']"/>
    <s v="Summary: OpenAlex is a newly launched bibliographic database that promises comprehensive, inclusive, and open-source research information._x000a__x000a_DOI: 10.48550/arXiv.2409.10633_x000a__x000a_Summary: OpenAlex is a newly launched bibliographic database that promises comprehensive, inclusive, and open-source research information._x000a__x000a_DOI: 10.48550/arXiv.2508.18620_x000a__x000a_Summary: OpenAlex is a newly launched bibliographic database that promises comprehensive, inclusive, and open-source research information._x000a__x000a_DOI: 10.1162/qss_a_00286_x000a__x000a_Summary: OpenAlex is a newly launched bibliographic database that promises comprehensive, inclusive, and open-source research information._x000a__x000a_DOI: 10.5281/zenodo.14006424_x000a__x000a_Summary: OpenAlex is a newly launched bibliographic database that promises comprehensive, inclusive, and open-source research information._x000a__x000a_DOI: 10.1007/s11192-022-04289-7_x000a__x000a_My lady, I hope this information is helpful. If you have any further questions, please let me know."/>
    <n v="0"/>
    <x v="1"/>
    <x v="1"/>
    <n v="0"/>
  </r>
  <r>
    <s v="['Which papers evaluate the linguistic coverage or language-related metadata in scholarly databases?']"/>
    <s v="Summary: I have found four papers that evaluate the linguistic coverage or language-related metadata in scholarly databases._x000a__x000a_DOI: 10.48550/arXiv.2409.10633_x000a_Evaluating the Linguistic Coverage of OpenAlex: An Assessment of Metadata Accuracy and Completeness_x000a__x000a_DOI: 10.48550/arXiv.2508.18620_x000a_Investigating Document Type, Language, Publication Year, and Author Count Discrepancies Between OpenAlex and Web of Science_x000a__x000a_DOI: 10.1162/qss_a_00286_x000a_Completeness degree of publication metadata in eight free-access scholarly databases_x000a__x000a_DOI: 10.5281/zenodo.14006424_x000a_Coverage and metadata availability of African publications in OpenAlex: A comparative analysis_x000a__x000a_My lady, do you have any further questions?"/>
    <n v="1"/>
    <x v="0"/>
    <x v="0"/>
    <n v="0"/>
  </r>
  <r>
    <s v="['Which papers discuss the use of Retrieval-Augmented Generation (RAG) when used in applications?']"/>
    <s v="I'm sorry, my lady, I am unable to answer your question as there is no relevant information provided."/>
    <n v="0"/>
    <x v="1"/>
    <x v="1"/>
    <n v="0"/>
  </r>
  <r>
    <s v="['Which papers discuss the use of Retrieval-Augmented Generation (RAG) when used in applications?']"/>
    <s v="I'm sorry, my lady, I am unable to answer your question._x000a__x000a_Is there anything else I can help you with?"/>
    <n v="0"/>
    <x v="1"/>
    <x v="1"/>
    <n v="0"/>
  </r>
  <r>
    <s v="['Which papers discuss the use of Retrieval-Augmented Generation (RAG) when used in applications?']"/>
    <s v="I'm sorry, my lady, I am unable to answer your question._x000a__x000a_Is there anything else I can help you with?"/>
    <n v="0"/>
    <x v="1"/>
    <x v="1"/>
    <n v="0"/>
  </r>
  <r>
    <s v="['Which papers discuss the use of Retrieval-Augmented Generation (RAG) when used in applications?']"/>
    <s v="My lady, I have found four papers that discuss the use of Retrieval-Augmented Generation (RAG) in applications._x000a__x000a_**Summary:** Retrieval-Augmented Generation (RAG) is a technique that enhances Large Language Models (LLMs) by incorporating external knowledge, improving accuracy and enabling dynamic updates. It is particularly useful in educational applications, open-domain question answering, and academic tasks._x000a__x000a_**DOI: 10.1016/j.caeai.2025.100417**_x000a_This paper discusses the use of RAG in educational applications, focusing on interactive learning systems, educational content generation, and large-scale deployment. It addresses challenges like hallucinations, knowledge completeness, and computational costs._x000a__x000a_**DOI: 10.48550/arXiv.2312.10997**_x000a_This comprehensive review examines the progression of RAG paradigms, including Naive RAG, Advanced RAG, and Modular RAG. It highlights the state-of-the-art technologies in retrieval, generation, and augmentation techniques, with a focus on knowledge-intensive tasks._x000a__x000a_**DOI: 10.1145/3637528.3671470**_x000a_This survey explores the use of RAG in Retrieval-Augmented Large Language Models (RA-LLMs), emphasizing its ability to provide reliable and up-to-date external knowledge. It covers three primary technical perspectives and discusses future research directions._x000a__x000a_**DOI: 10.6109/jkiice.2023.27.12.1489**_x000a_This paper proposes a Metadata Retrieval-Augmented Generation (M-RAG) method for open-domain question answering (ODQA). It demonstrates a significant performance improvement over conventional RAG methods, particularly in understanding document context and increasing answer accuracy._x000a__x000a_**DOI: 10.1007/s44427-025-00006-3**_x000a_This study evaluates the effectiveness of open-source LLMs in RAG systems using a benchmark dataset derived from diploma theses abstracts. It focuses on retrieval effectiveness and answer quality, providing insights into optimizing RAG implementations for academic tasks."/>
    <n v="1"/>
    <x v="0"/>
    <x v="0"/>
    <n v="0"/>
  </r>
  <r>
    <s v="['Which papers discuss the use of Retrieval-Augmented Generation (RAG) when used in applications?']"/>
    <s v="I'm sorry, my lady, I am unable to answer your question."/>
    <n v="0"/>
    <x v="1"/>
    <x v="1"/>
    <n v="0"/>
  </r>
  <r>
    <s v="['Which papers address funding metadata, its availability, or its analysis in scholarly databases?']"/>
    <s v="Summary: I have found four papers that address funding metadata, its availability, or its analysis in scholarly databases._x000a__x000a_DOI: 10.1162/qss_a_00210 - This paper addresses the availability and completeness of open funder metadata, using a case study of publications funded by the Dutch Research Council._x000a__x000a_DOI: 10.5281/zenodo.14006424 - This paper analyses the coverage and metadata availability of African publications in OpenAlex, including funder information._x000a__x000a_DOI: 10.31222/osf.io/smxe5 - This paper presents an overview of the availability of six metadata elements in Crossref, including funding information._x000a__x000a_DOI: 10.1162/qss_a_00212 - This paper studies the open availability of funding data in Crossref, focusing on funding data for publications related to COVID-19 research._x000a__x000a_My lady, I hope this information is helpful. If you have any further questions or need more details, please let me know."/>
    <n v="1"/>
    <x v="0"/>
    <x v="0"/>
    <n v="0"/>
  </r>
  <r>
    <s v="['Which papers address funding metadata, its availability, or its analysis in scholarly databases?']"/>
    <s v="Summary: Several papers address funding metadata, its availability, or its analysis in scholarly databases._x000a__x000a_DOI: 10.1162/qss_a_00210 - This paper investigates the availability and completeness of open funder metadata, specifically focusing on publications funded by the Dutch Research Council (NWO). It found that only 67% of articles contain funding information in Crossref, with variations in acknowledging NWO as the funder name or linking Funder IDs to NWO. The study also compares funding metadata in Crossref with proprietary databases like Web of Science, Scopus, and Dimensions, highlighting differences in coverage and completeness._x000a__x000a_DOI: 10.5281/zenodo.14006424 - This paper analyzes the coverage and metadata availability of African publications in OpenAlex, comparing it with Scopus, Web of Science, and African Journals Online. While OpenAlex offers the most extensive publication coverage, its performance regarding funder information is weaker compared to other metadata aspects. The study also highlights that metadata availability in OpenAlex is better for publications indexed in Scopus or Web of Science._x000a__x000a_DOI: 10.31222/osf.io/smxe5 - This paper presents an overview of the availability of six metadata elements in Crossref, including funding information. The analysis shows that the availability of these metadata elements has improved over time, particularly for journal articles. However, it also highlights the need for publishers to make additional efforts to achieve full openness of bibliographic metadata._x000a__x000a_DOI: 10.1162/qss_a_00286 - This study compares the completeness of publication metadata in eight free-access scholarly databases, including Dimensions, Google Scholar, and OpenAlex. The results show that third-party databases have higher metadata quality and completeness compared to academic search engines. The paper concludes that academic search engines lack the ability to retrieve reliable descriptive data, while third-party databases face challenges in integrating information from different sources._x000a__x000a_DOI: 10.1162/qss_a_00212 - This paper focuses on the analysis of funding data for COVID-19 research using open data infrastructures like Crossref, Scopus, and Web of Science. The study reveals limited coverage of funding data in Crossref and highlights problems related to the quality of funding data, especially in Scopus. It provides recommendations for improving the open availability of funding data in Crossref._x000a__x000a_My lady, I hope this information is helpful. If you have any further questions or need additional assistance, please let me know."/>
    <n v="1"/>
    <x v="0"/>
    <x v="0"/>
    <n v="0"/>
  </r>
  <r>
    <s v="['Which papers address funding metadata, its availability, or its analysis in scholarly databases?']"/>
    <s v="Summary: I found four papers that address funding metadata, its availability, or its analysis in scholarly databases._x000a__x000a_DOI: 10.1162/qss_a_00210 - This paper investigates the availability and completeness of open funder metadata, specifically for publications funded by the Dutch Research Council (NWO). It highlights the challenges in assessing the coverage of funder metadata due to the unknown number of articles resulting from funded research. The study found that only 67% of articles funded by NWO contain funding information in Crossref, with variations in acknowledging NWO as the funder name or linking Funder IDs to NWO._x000a__x000a_DOI: 10.5281/zenodo.14006424 - This paper analyzes the coverage and metadata availability of African publications in OpenAlex, comparing it with Scopus, Web of Science (WoS), and African Journals Online (AJOL). While OpenAlex offers the most extensive publication coverage, it performs worse in terms of funder information metadata. The study also found that metadata availability in OpenAlex is better for publications indexed in Scopus or WoS._x000a__x000a_DOI: 10.31222/osf.io/smxe5 - This paper presents an overview of the availability of six metadata elements in Crossref, including funding information. The analysis shows that the availability of these metadata elements has improved over time, particularly for journal articles. However, many publishers still need to make additional efforts to achieve full openness of bibliographic metadata._x000a__x000a_DOI: 10.1162/qss_a_00212 - This paper focuses on the open availability of funding data in Crossref, specifically for COVID-19 related research publications. It compares funding data in Crossref with two proprietary bibliometric databases, Scopus and Web of Science. The analysis reveals limited coverage of funding data in Crossref and highlights issues related to the quality of funding data, particularly in Scopus._x000a__x000a_My lady, I hope this information is helpful. If you have any further questions or need more details, please let me know."/>
    <n v="1"/>
    <x v="0"/>
    <x v="0"/>
    <n v="0"/>
  </r>
  <r>
    <s v="['Which papers address funding metadata, its availability, or its analysis in scholarly databases?']"/>
    <s v="Summary: I found four papers that address funding metadata, its availability, or its analysis in scholarly databases._x000a__x000a_DOI: 10.1162/qss_a_00210_x000a_Summary: This paper investigates the availability and completeness of open funder metadata, focusing on publications funded by the Dutch Research Council. It highlights differences between publishers in the coverage and completeness of funding metadata in Crossref compared to proprietary databases._x000a__x000a_DOI: 10.5281/zenodo.14006424_x000a_Summary: This paper analyzes the coverage and metadata availability of African publications in OpenAlex, comparing it with Scopus, Web of Science, and African Journals Online. It finds that OpenAlex offers the most extensive publication coverage but performs worse regarding funder information._x000a__x000a_DOI: 10.31222/osf.io/smxe5_x000a_Summary: This paper presents an overview of the availability of six metadata elements in Crossref, including funding information. It shows that the availability of these metadata elements has improved over time but requires further efforts from publishers for full openness._x000a__x000a_DOI: 10.1162/qss_a_00212_x000a_Summary: This paper studies the open availability of funding data in Crossref, focusing on COVID-19 research. It compares Crossref with Scopus and Web of Science, revealing limited coverage and quality issues in funding data._x000a__x000a_My lady, I hope this information is helpful. If you have any further questions or need additional assistance, please let me know."/>
    <n v="1"/>
    <x v="0"/>
    <x v="0"/>
    <n v="0"/>
  </r>
  <r>
    <s v="['Which papers address funding metadata, its availability, or its analysis in scholarly databases?']"/>
    <s v="Summary: Four papers address funding metadata, its availability, or its analysis in scholarly databases._x000a__x000a_DOI: 10.1162/qss_a_00210 - This paper addresses the availability and completeness of open funder metadata, specifically for publications funded by the Dutch Research Council._x000a__x000a_DOI: 10.5281/zenodo.14006424 - This paper analyses the coverage and metadata availability of African publications in OpenAlex, including funder information._x000a__x000a_DOI: 10.31222/osf.io/smxe5 - This paper presents an overview of the availability of metadata elements in Crossref, including funding information._x000a__x000a_DOI: 10.1162/qss_a_00212 - This paper studies the open availability of funding data in Crossref, focusing on COVID-19 research, and compares it with proprietary bibliometric databases._x000a__x000a_My lady, I hope this information is helpful. If you have any further questions or need more details, please let me know."/>
    <n v="1"/>
    <x v="0"/>
    <x v="0"/>
    <n v="0"/>
  </r>
  <r>
    <s v="['What methods are used to detect and correct errors in bibliographic datasets?']"/>
    <s v="Summary: Metadata quality is crucial for digital objects to be discovered through digital library interfaces._x000a__x000a_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_x000a__x000a_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_x000a__x000a_DOI: 10.1007/s11192-022-04289-7 - This paper introduces a novel scientometrics method and applies it to estimate the subject coverages of many of the popular English-focused bibliographic databases in academia. The method uses query results as a common denominator to compare a wide variety of search engines, repositories, digital libraries, and other bibliographic databases. The method extends existing sampling-based approaches that analyze smaller sets of database coverages. The findings show the relative and absolute subject coverages of 56 databases—information that has often not been available before. Knowing the databases’ absolute subject coverage allows the selection of the most comprehensive databases for searches requiring high recall/sensitivity, particularly relevant in lookup or exploratory searches. Knowing the databases’ relative subject coverage allows the selection of specialized databases for searches requiring high precision/specificity, particularly relevant in systematic searches. The findings illustrate not only differences in the disciplinary coverage of Google Scholar, Scopus, or Web of Science, but also of less frequently analyzed databases. For example, researchers might be surprised how Meta (discontinued), Embase, or Europe PMC are found to cover more records than PubMed in Medicine and other health subjects. These findings should encourage researchers to re-evaluate their go-to databases, also against newly introduced options. Searching with more comprehensive databases can improve finding, particularly when selecting the most fitting databases needs particular thought, such as in systematic reviews and meta-analyses. This comparison can also help librarians and other information experts re-evaluate expensive database procurement strategies. Researchers without institutional access learn which open databases are likely most comprehensive in their disciplines._x000a__x000a_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_x000a__x000a_Is there anything else I can help you with, my lady?"/>
    <n v="1"/>
    <x v="0"/>
    <x v="0"/>
    <n v="0"/>
  </r>
  <r>
    <s v="['What methods are used to detect and correct errors in bibliographic datasets?']"/>
    <s v="Summary: Metadata quality is crucial for digital objects to be discovered through digital library interfaces._x000a_DOI: 10.48550/arXiv.2303.17661: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_x000a__x000a_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_x000a__x000a_DOI: 10.5281/ZENODO.6188748: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_x000a__x000a_My lady, I have included the DOI and a summary of the text associated with each DOI. Is there anything else I can help you with?"/>
    <n v="1"/>
    <x v="0"/>
    <x v="0"/>
    <n v="0"/>
  </r>
  <r>
    <s v="['What methods are used to detect and correct errors in bibliographic datasets?']"/>
    <s v="Summary: Metadata quality is crucial for digital objects to be discovered through digital library interfaces._x000a_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_x000a__x000a_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_x000a__x000a_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_x000a__x000a_Is there anything else I can help you with, my lady?"/>
    <n v="1"/>
    <x v="0"/>
    <x v="0"/>
    <n v="0"/>
  </r>
  <r>
    <s v="['What methods are used to detect and correct errors in bibliographic datasets?']"/>
    <s v="Summary: Metadata quality is crucial for digital objects to be discovered through digital library interfaces._x000a_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_x000a__x000a_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_x000a__x000a_DOI: 10.1007/s11192-022-04289-7 - This paper introduces a novel scientometrics method and applies it to estimate the subject coverages of many of the popular English-focused bibliographic databases in academia. The method uses query results as a common denominator to compare a wide variety of search engines, repositories, digital libraries, and other bibliographic databases. The method extends existing sampling-based approaches that analyze smaller sets of database coverages. The findings show the relative and absolute subject coverages of 56 databases—information that has often not been available before. Knowing the databases’ absolute subject coverage allows the selection of the most comprehensive databases for searches requiring high recall/sensitivity, particularly relevant in lookup or exploratory searches. Knowing the databases’ relative subject coverage allows the selection of specialized databases for searches requiring high precision/specificity, particularly relevant in systematic searches. The findings illustrate not only differences in the disciplinary coverage of Google Scholar, Scopus, or Web of Science, but also of less frequently analyzed databases. For example, researchers might be surprised how Meta (discontinued), Embase, or Europe PMC are found to cover more records than PubMed in Medicine and other health subjects. These findings should encourage researchers to re-evaluate their go-to databases, also against newly introduced options. Searching with more comprehensive databases can improve finding, particularly when selecting the most fitting databases needs particular thought, such as in systematic reviews and meta-analyses. This comparison can also help librarians and other information experts re-evaluate expensive database procurement strategies. Researchers without institutional access learn which open databases are likely most comprehensive in their disciplines._x000a__x000a_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_x000a__x000a_Is there anything else I can help you with, my lady?"/>
    <n v="1"/>
    <x v="0"/>
    <x v="0"/>
    <n v="0"/>
  </r>
  <r>
    <s v="['What methods are used to detect and correct errors in bibliographic datasets?']"/>
    <s v="Summary: Metadata quality is crucial for digital objects to be discovered through digital library interfaces._x000a_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_x000a__x000a_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_x000a__x000a_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_x000a__x000a_My lady, I hope this information is helpful."/>
    <n v="1"/>
    <x v="0"/>
    <x v="0"/>
    <n v="0"/>
  </r>
  <r>
    <s v="['What is Crossref’s role in the scholarly research ecosystem?']"/>
    <s v="Summary: Crossref is a sustainable source of community-owned scholarly metadata, providing over 106 million records of academic data for publishers, authors, librarians, funders, and researchers._x000a__x000a_DOI: 10.1162/qss_a_00022_x000a__x000a_Is there anything else I can help you with, my lady?"/>
    <n v="0"/>
    <x v="1"/>
    <x v="1"/>
    <n v="0"/>
  </r>
  <r>
    <s v="['What is Crossref’s role in the scholarly research ecosystem?']"/>
    <s v="Summary: Crossref is a sustainable source of community-owned scholarly metadata that has become one of the major sources of scholarly data for publishers, authors, librarians, funders, and researchers._x000a__x000a_DOI: 10.1162/qss_a_00022_x000a__x000a_Crossref is a sustainable source of community-owned scholarly metadata that has become one of the major sources of scholarly data for publishers, authors, librarians, funders, and researchers. Containing over 106 million records and expanding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My lady, is there anything else I can help you with?"/>
    <n v="1"/>
    <x v="0"/>
    <x v="0"/>
    <n v="0"/>
  </r>
  <r>
    <s v="['What is Crossref’s role in the scholarly research ecosystem?']"/>
    <s v="Summary: Crossref is a sustainable source of community-owned scholarly metadata that is available to publishers, authors, librarians, funders, and researchers._x000a__x000a_DOI: 10.1162/qss_a_00022_x000a__x000a_Is there anything else I can help you with, my lady?"/>
    <n v="0"/>
    <x v="1"/>
    <x v="1"/>
    <n v="0"/>
  </r>
  <r>
    <s v="['What is Crossref’s role in the scholarly research ecosystem?']"/>
    <s v="Summary: Crossref is a community-owned source of scholarly metadata that collects and makes available over 106 million records of 13 content types including journals, conference papers, datasets, reports, preprints, peer reviews and grants._x000a__x000a_DOI: 10.1162/qss_a_00022_x000a__x000a_Is there anything else I can help you with, my lady?"/>
    <n v="0"/>
    <x v="1"/>
    <x v="1"/>
    <n v="0"/>
  </r>
  <r>
    <s v="['What is Crossref’s role in the scholarly research ecosystem?']"/>
    <s v="Summary: Crossref is a sustainable source of community-owned scholarly metadata, providing over 106 million records of academic data for publishers, authors, librarians, funders, and researchers._x000a__x000a_DOI: 10.1162/qss_a_00022_x000a__x000a_Is there anything else I can help you with, my lady?"/>
    <n v="0"/>
    <x v="1"/>
    <x v="1"/>
    <n v="0"/>
  </r>
  <r>
    <s v="['What are the strengths and weaknesses of Web of Science (WoS) as a bibliometric database?']"/>
    <s v="Summary: Web of Science (WoS) is a bibliometric database that has been the main supporting infrastructure of the field for more than 30 years._x000a__x000a_DOI: 10.1007/s11192-015-1765-5_x000a_WoS has a bias towards Natural Sciences and Engineering as well as Biomedical Research and English-language journals._x000a__x000a_DOI: 10.48550/arXiv.2508.18620 and 10.29173/cais1943:_x000a_WoS has high-quality metadata and fewer misclassifications than OpenAlex._x000a__x000a_DOI: 10.1162/qss_a_00211_x000a_WoS has the highest overall quality of the bibliometric databases considered._x000a__x000a_My lady, is there anything else I can help you with?"/>
    <n v="0"/>
    <x v="1"/>
    <x v="1"/>
    <n v="0"/>
  </r>
  <r>
    <s v="['What are the strengths and weaknesses of Web of Science (WoS) as a bibliometric database?']"/>
    <s v="Summary: I'm sorry, my lady, I was unable to find any information about the strengths and weaknesses of Web of Science (WoS) as a bibliometric database._x000a__x000a_DOI: 10.1007/s11192-015-1765-5 discusses the journal coverage of WoS and Scopus and how both databases favour Natural Sciences and Engineering as well as Biomedical Research over Social Sciences and Arts and Humanities._x000a__x000a_DOI: 10.48550/arXiv.2508.18620 and 10.29173/cais1943 both compare OpenAlex and WoS, with the former focusing on document type, language, publication year and author count discrepancies and the latter focusing on document type discrepancies._x000a__x000a_DOI: 10.1162/qss_a_00112 compares Scopus, WoS, Dimensions, Crossref and Microsoft Academic and highlights the importance of combining comprehensive coverage of scientific literature with a flexible set of filters for literature selection._x000a__x000a_DOI: 10.1162/qss_a_00211 assesses the quality of bibliographic data sources for measuring international research collaboration and finds that WoS has the highest overall quality."/>
    <n v="1"/>
    <x v="0"/>
    <x v="0"/>
    <n v="0"/>
  </r>
  <r>
    <s v="['What are the strengths and weaknesses of Web of Science (WoS) as a bibliometric database?']"/>
    <s v="Summary: I'm sorry, my lady, I could not find any information about the strengths and weaknesses of Web of Science (WoS) as a bibliometric database._x000a__x000a_DOI: 10.1007/s11192-015-1765-5 - WoS and Scopus share biases in favour of Natural Sciences and Engineering, as well as Biomedical Research, to the detriment of Social Sciences and Arts and Humanities._x000a__x000a_DOI: 10.48550/arXiv.2508.18620 and 10.29173/cais1943 - OpenAlex and WoS both have issues with metadata quality, including discrepancies and misattributions._x000a__x000a_DOI: 10.1162/qss_a_00112 - A large-scale comparison of bibliographic data sources, including WoS, highlights the importance of comprehensive coverage and flexible filters for literature selection._x000a__x000a_DOI: 10.1162/qss_a_00211 - WoS has the highest overall quality among popular bibliographic data sources, particularly in measuring international research collaboration._x000a__x000a_If you have any other questions, my lady, I'd be happy to help."/>
    <n v="1"/>
    <x v="0"/>
    <x v="0"/>
    <n v="0"/>
  </r>
  <r>
    <s v="['What are the strengths and weaknesses of Web of Science (WoS) as a bibliometric database?']"/>
    <s v="Summary: The Web of Science (WoS) is a bibliometric database that has been used for over 30 years and is considered to have high overall quality. However, it has been criticised for its bias towards Natural Sciences and Engineering, as well as Biomedical Research, and its overrepresentation of English-language journals._x000a__x000a_DOI: 10.1007/s11192-015-1765-5 - This study compares the journal coverage of WoS and Scopus, finding that both databases have a bias towards Natural Sciences and Engineering, as well as Biomedical Research, and an overrepresentation of English-language journals._x000a__x000a_DOI: 10.48550/arXiv.2508.18620 and 10.29173/cais1943 - These studies compare WoS with OpenAlex, a new bibliographic database, and find that WoS has higher metadata quality, but still has issues with misclassification of document types._x000a__x000a_DOI: 10.1162/qss_a_00112 - This study compares five multidisciplinary bibliographic data sources, including WoS, and emphasizes the importance of comprehensive coverage and flexible filters._x000a__x000a_DOI: 10.1162/qss_a_00211 - This study assesses the quality of bibliographic data sources for measuring international research collaboration and finds that WoS has the highest overall quality among the sets considered._x000a__x000a_My lady, I hope this information helps. If you have any further questions or would like more details, please let me know."/>
    <n v="1"/>
    <x v="0"/>
    <x v="0"/>
    <n v="0"/>
  </r>
  <r>
    <s v="['What are the strengths and weaknesses of Web of Science (WoS) as a bibliometric database?']"/>
    <s v="Summary: Web of Science (WoS) is a bibliometric database that has been used for research evaluation for over 30 years._x000a__x000a_DOI: 10.1007/s11192-015-1765-5_x000a_WoS has a bias towards Natural Sciences and Engineering, as well as Biomedical Research. It also favours English-language journals._x000a__x000a_DOI: 10.48550/arXiv.2508.18620_x000a_WoS has been the main supporting infrastructure for bibliometrics for over 30 years._x000a__x000a_DOI: 10.29173/cais1943_x000a_WoS has been the main supporting infrastructure for bibliometrics for over 30 years._x000a__x000a_DOI: 10.1162/qss_a_00112_x000a_No information provided._x000a__x000a_DOI: 10.1162/qss_a_00211_x000a_WoS has the highest overall quality of the bibliometric databases considered._x000a__x000a_My lady, I hope this information is helpful."/>
    <n v="1"/>
    <x v="0"/>
    <x v="0"/>
    <n v="0"/>
  </r>
  <r>
    <s v="['What are the main challenges in normalizing citation metrics across scientific fields?']"/>
    <s v="Summary: I'm sorry, my lady, I couldn't find any information about the main challenges in normalizing citation metrics across scientific fields._x000a__x000a_DOI: 10.1045/september2016‐meschenmoser - This paper discusses the challenges and solutions for automated content extraction from scientific web repositories, focusing on improving transparency and access to raw scientometric data."/>
    <n v="0"/>
    <x v="1"/>
    <x v="1"/>
    <n v="0"/>
  </r>
  <r>
    <s v="['What are the main challenges in normalizing citation metrics across scientific fields?']"/>
    <s v="Summary: I'm sorry, my lady, I could not find any information about the challenges in normalising citation metrics across scientific fields._x000a__x000a_DOI: 10.1045/september2016‐meschenmoser - This paper discusses the challenges and solutions for automated content extraction from scientific web repositories."/>
    <n v="0"/>
    <x v="1"/>
    <x v="1"/>
    <n v="0"/>
  </r>
  <r>
    <s v="['What are the main challenges in normalizing citation metrics across scientific fields?']"/>
    <s v="Summary: I'm sorry, my lady, I could not find any information about the challenges in normalizing citation metrics across scientific fields._x000a__x000a_DOI: 10.1045/september2016‐meschenmoser - This paper discusses the challenges and solutions for automated content extraction from scientific web repositories, focusing on improving transparency and access to raw scientometric data."/>
    <n v="0"/>
    <x v="1"/>
    <x v="1"/>
    <n v="0"/>
  </r>
  <r>
    <s v="['What are the main challenges in normalizing citation metrics across scientific fields?']"/>
    <s v="Summary: I'm sorry, my lady, I couldn't find any information about the main challenges in normalizing citation metrics across scientific fields._x000a__x000a_DOI: 10.1045/september2016‐meschenmoser - This paper discusses the challenges and solutions for automated content extraction from scientific web repositories. It focuses on improving the transparency and accessibility of scientometric raw data, but does not address the normalization of citation metrics across fields._x000a__x000a_Is there anything else I can help you with, my lady?"/>
    <n v="0"/>
    <x v="0"/>
    <x v="1"/>
    <n v="0"/>
  </r>
  <r>
    <s v="['What are the main challenges in normalizing citation metrics across scientific fields?']"/>
    <s v="Summary: I'm sorry, my lady, I am unable to answer your question._x000a__x000a_DOI: 10.1045/september2016‐meschenmoser - This paper discusses the challenges and presents strategies to programmatically access data in scientific web repositories."/>
    <n v="0"/>
    <x v="1"/>
    <x v="1"/>
    <n v="0"/>
  </r>
  <r>
    <s v="['What are the key features and limitations of OpenAlex as a bibliometric database?']"/>
    <s v="Summary: OpenAlex is a new bibliometric database that promises comprehensive, inclusive, and open-source research information. It has been compared to other databases such as Scopus, Web of Science (WoS), and Microsoft Academic Graph (MAG) in terms of its metadata quality, coverage, and suitability for bibliometric analyses._x000a__x000a_DOI: 10.48550/arXiv.2404.17663 - OpenAlex is a superset of Scopus and can be a reliable alternative for some analyses, particularly at the country level. However, issues of metadata accuracy and completeness need to be addressed for its broader adoption._x000a__x000a_DOI: 10.48550/arXiv.2508.18620 - OpenAlex's metadata quality is a concern, particularly in terms of document type, publication year, language, and author count discrepancies when compared to WoS._x000a__x000a_DOI: 10.29173/cais1943 - OpenAlex has issues with document type accuracy, with over 4% of publications misclassified as research articles or reviews, compared to WoS._x000a__x000a_DOI: 10.48550/arXiv.2409.10633 - OpenAlex exhibits a more balanced linguistic coverage than WoS, but its language metadata is not always accurate, leading to overestimation of English and underestimation of other languages._x000a__x000a_DOI: 10.3145/epi.2023.mar.09 - OpenAlex is at least as suited for bibliometric analyses as MAG, particularly for publication years before 2021, due to its broader coverage of document type assignments._x000a__x000a_My lady, I hope this information is helpful. If you have any further questions or would like more details on a specific aspect of OpenAlex, please let me know."/>
    <n v="1"/>
    <x v="0"/>
    <x v="0"/>
    <n v="0"/>
  </r>
  <r>
    <s v="['What are the key features and limitations of OpenAlex as a bibliometric database?']"/>
    <s v="Summary: OpenAlex is a bibliographic database that launched in 2022 and stands out for its openness and extensive coverage. It has the potential to reduce or eliminate barriers to accessing bibliometric data, but concerns about the quality of its metadata hinder its broader adoption for research and research evaluation._x000a__x000a_DOI: 10.48550/arXiv.2404.17663 - OpenAlex is a superset of Scopus and can be a reliable alternative for some analyses, particularly at the country level. However, issues of metadata accuracy and completeness require additional research to fully comprehend and address OpenAlex's limitations._x000a__x000a_DOI: 10.48550/arXiv.2508.18620 -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_x000a__x000a_DOI: 10.29173/cais1943 - Over 4% of publications indexed in both OpenAlex and WoS appear to be misclassified as research articles or reviews, with the vast majority of these errors occurring in OpenAlex. This study aims to address discrepancies and misattributions in document types to improve data quality in bibliometric research._x000a__x000a_DOI: 10.48550/arXiv.2409.10633 - OpenAlex exhibits a more balanced linguistic coverage than WoS, but its language metadata is not always accurate. If used critically, OpenAlex can provide comprehensive and representative analyses of languages used in scholarly publishing. However, more work is needed to ensure the quality of metadata on language._x000a__x000a_DOI: 10.3145/epi.2023.mar.09 - OpenAlex seems to be at least as suited for bibliometric analyses as Microsoft Academic Graph (MAG), particularly for publication years before 2021. The document type specifications have improved significantly from MAG to OpenAlex, and OpenAlex has a broader coverage of document type assignments._x000a__x000a_My lady, I hope this summary of OpenAlex's key features and limitations as a bibliometric database is helpful. If you have any further questions or would like more information on a specific aspect, please let me know."/>
    <n v="1"/>
    <x v="0"/>
    <x v="0"/>
    <n v="0"/>
  </r>
  <r>
    <s v="['What are the key features and limitations of OpenAlex as a bibliometric database?']"/>
    <s v="Summary: OpenAlex is a bibliometric database that was launched in 2022. It is open-source and inclusive, with extensive coverage and openness. It has the potential to reduce or eliminate barriers to accessing bibliometric data. However, concerns about the quality of its metadata hinder its broader adoption for research and evaluation._x000a__x000a_DOI: 10.48550/arXiv.2404.17663 - OpenAlex is a superset of Scopus and can be a reliable alternative for some analyses, particularly at the country level. However, issues with metadata accuracy and completeness require additional research to fully understand and address its limitations._x000a__x000a_DOI: 10.48550/arXiv.2508.18620 - This study focuses on metadata quality in OpenAlex and Web of Science (WoS), specifically document type, publication year, language, and author count. It aims to address discrepancies and misattributions in metadata to improve bibliometric research and evaluation outcomes._x000a__x000a_DOI: 10.29173/cais1943 - This research assesses metadata quality in OpenAlex and WoS, focusing on document type accuracy. It finds that over 4% of publications indexed in both databases are misclassified, with 97% of errors occurring in OpenAlex._x000a__x000a_DOI: 10.48550/arXiv.2409.10633 - OpenAlex exhibits a more balanced linguistic coverage than WoS, but its language metadata is not always accurate. Critical use of OpenAlex can provide comprehensive analyses of languages used in scholarly publishing, but further work is needed to ensure metadata quality._x000a__x000a_DOI: 10.3145/epi.2023.mar.09 - OpenAlex appears to be at least as suitable for bibliometric analyses as Microsoft Academic Graph (MAG) for publications before 2021, with improved document type specifications and broader coverage of subject classifications._x000a__x000a_My lady, I hope this summary meets your requirements. If you have any further questions or would like more details, please let me know."/>
    <n v="1"/>
    <x v="0"/>
    <x v="0"/>
    <n v="0"/>
  </r>
  <r>
    <s v="['What are the key features and limitations of OpenAlex as a bibliometric database?']"/>
    <s v="Summary: OpenAlex is a bibliographic database that launched in 2022 and is distinguished by its openness and extensive coverage._x000a__x000a_DOI: 10.48550/arXiv.2404.17663_x000a_OpenAlex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508.18620_x000a_OpenAlex may reduce or eliminate barriers to accessing bibliometric data, but one of the concerns that hinders its broader adoption for research and research evaluation is the quality of its metadata._x000a__x000a_DOI: 10.29173/cais1943_x000a_OpenAlex stands out for its openness and extensive coverage. However, one of the concerns that hinder its broader adoption for research and research evaluation is the quality of its metadata._x000a__x000a_DOI: 10.48550/arXiv.2409.10633_x000a_OpenAlex promised comprehensive, inclusive, and open-source research information. While already in use by scholars and research institutions, the quality of its metadata is currently being assessed._x000a__x000a_DOI: 10.3145/epi.2023.mar.09_x000a_OpenAlex seems to be overall at least as suited for bibliometric analyses as MAG for publication years before 2021 or maybe even better because of the broader coverage of document type assignments._x000a__x000a_My lady, is there anything else I can help you with?"/>
    <n v="1"/>
    <x v="0"/>
    <x v="0"/>
    <n v="0"/>
  </r>
  <r>
    <s v="['What are the key features and limitations of OpenAlex as a bibliometric database?']"/>
    <s v="Summary: OpenAlex is a bibliographic database that launched in 2022 and is distinguished by its openness and extensive coverage. It has the potential to reduce or eliminate barriers to accessing bibliometric data, but concerns about the quality of its metadata hinder its broader adoption._x000a__x000a_DOI: 10.48550/arXiv.2404.17663 - OpenAlex is a superset of Scopus and can be a reliable alternative for some analyses, particularly at the country level. However, metadata accuracy and completeness are issues that need to be addressed for OpenAlex to be confidently used across a wider set of analyses._x000a__x000a_DOI: 10.48550/arXiv.2508.18620 - This study focuses on metadata quality in OpenAlex and WoS, specifically document type, publication year, language, and number of authors. It aims to address discrepancies and misattributions in metadata to enhance awareness of data quality issues._x000a__x000a_DOI: 10.29173/cais1943 - Over 4% of publications indexed in both OpenAlex and WoS are misclassified as research articles or reviews, with 97% of these errors occurring in OpenAlex. This study seeks to improve awareness of data quality issues by addressing these discrepancies._x000a__x000a_DOI: 10.48550/arXiv.2409.10633 - OpenAlex exhibits a more balanced linguistic coverage than WoS, but its language metadata is not always accurate. Critical use of OpenAlex can provide comprehensive analyses of languages used in scholarly publishing, but more work is needed to ensure metadata quality._x000a__x000a_DOI: 10.3145/epi.2023.mar.09 - OpenAlex appears to be at least as suitable for bibliometric analyses as MAG, particularly for publication years before 2021, due to its broader coverage of document type assignments._x000a__x000a_My lady, I hope this summary of OpenAlex's key features and limitations as a bibliometric database is helpful. If you have any further questions or would like more details on specific aspects, please let me know."/>
    <n v="1"/>
    <x v="0"/>
    <x v="0"/>
    <n v="0"/>
  </r>
  <r>
    <s v="['What are the key challenges and potential solutions for improving metadata quality?']"/>
    <s v="Summary: Metadata quality is crucial for digital object discovery and user experience, but it faces challenges like incompleteness, inconsistency, and inaccuracy. Solutions include automated methods, standardization, and improved assessment tools._x000a__x000a_DOI: 10.48550/arXiv.2303.17661 - Metadata quality issues like incompleteness, inconsistency, and inaccuracy are common in digital objects. The study proposes MetaEnhance, an AI-based framework, to automatically detect and correct errors in electronic theses and dissertations (ETDs), achieving high F1-scores in error detection and correction._x000a__x000a_DOI: 10.1080/19386389.2011.570654 - Metadata records face issues like incorrect values, missing information, and inconsistent representation. The paper emphasizes the need for preventive and corrective measures to balance the benefits of metadata with the costs of creation._x000a__x000a_DOI: 10.1177/09610006241239080 - This scoping review identifies completeness, accuracy, consistency, accessibility, conformance, provenance, and timeliness as key dimensions of metadata quality. It highlights the need for further research and flexible assessment tools to improve metadata quality assurance._x000a__x000a_DOI: 10.1007/s11192-023-04923-y - OpenAlex faces a severe issue of missing institutions in journal article metadata. The study defines three types of institutional information and explores reasons, risks, and solutions for this problem, emphasizing the importance of data quality improvements in open resources._x000a__x000a_My lady, these DOIs provide insights into the challenges and solutions for improving metadata quality. If you wish to delve deeper into any specific aspect, feel free to ask."/>
    <n v="1"/>
    <x v="0"/>
    <x v="0"/>
    <n v="0"/>
  </r>
  <r>
    <s v="['What are the key challenges and potential solutions for improving metadata quality?']"/>
    <s v="Summary: Metadata quality is crucial for digital objects to be discovered through digital library interfaces. However, metadata often exhibits incomplete, inconsistent, and incorrect values._x000a__x000a_DOI: 10.48550/arXiv.2303.17661 - Metadata quality is crucial for digital objects to be discovered through digital library interfaces. However, metadata often exhibits incomplete, inconsistent, and incorrect values. MetaEnhance, a framework utilizing state-of-the-art artificial intelligence methods, is proposed to improve the quality of metadata fields._x000a__x000a_DOI: 10.1080/19386389.2011.570654 - Metadata plays a vital role in digital libraries, but records must be problem-free to be useful. Five categories of metadata problems are identified: Incorrect Values, Incorrect Elements, Missing Information, Information Loss, and Inconsistent Value Representation. Preventive or corrective measures are necessary to ensure the benefits of metadata outweigh the costs of creation._x000a__x000a_DOI: 10.1177/09610006241239080 - Metadata quality assessment commonly uses dimensions like completeness, accuracy, consistency, accessibility, conformance, provenance, and timeliness. However, there is no consensus on their exact definition and measurement. Further investigation is needed into less commonly assessed quality dimensions._x000a__x000a_DOI: 10.1007/s11192-023-04923-y - OpenAlex, an open data platform, faces a severe data quality problem of missing institutions in journal article metadata. The study investigates possible reasons, consequences, and solutions for this issue._x000a__x000a_My lady, I hope this information is helpful. If you have any further questions or need more details, please let me know."/>
    <n v="1"/>
    <x v="0"/>
    <x v="0"/>
    <n v="0"/>
  </r>
  <r>
    <s v="['What are the key challenges and potential solutions for improving metadata quality?']"/>
    <s v="Summary: Metadata quality is crucial for digital objects to be discovered through digital library interfaces. However, metadata often exhibits incomplete, inconsistent, and incorrect values._x000a__x000a_DOI: 10.48550/arXiv.2303.17661_x000a__x000a_Metadata quality is crucial for digital objects to be discovered through digital library interfaces. However, metadata often exhibits incomplete, inconsistent, and incorrect values. MetaEnhance, a framework utilizing state-of-the-art artificial intelligence methods, is proposed to improve the quality of metadata fields. Evaluation shows nearly perfect F1-scores in detecting errors and F1-scores ranging from 0.85 to 1.00 in correcting errors for five of seven fields._x000a__x000a_My lady, I hope this information is helpful. If you have any further questions, please let me know."/>
    <n v="1"/>
    <x v="0"/>
    <x v="0"/>
    <n v="0"/>
  </r>
  <r>
    <s v="['What are the key challenges and potential solutions for improving metadata quality?']"/>
    <s v="Summary: Metadata quality is crucial for digital object discovery, data retrieval, and user experience, but faces challenges like incompleteness, inconsistency, and inaccuracy. Solutions include automated detection and correction, standardized systems, and improved assessment tools._x000a__x000a_DOI: 10.5860/crl.86.1.101 - Metadata serves as a bridge between contextual, technical, and administrative information, but faces tensions between sociocultural representations, resource constraints, and standardized systems. Interventions can be seen as quality issues, political acts, or strategic choices. A study of 427 records identified 32 unique issues, categorized into 5 groups, highlighting the interplay between metadata and cultural meanings._x000a__x000a_DOI: 10.48550/arXiv.2303.17661 - Metadata quality is vital for digital library interfaces, but often suffers from incomplete, inconsistent, and incorrect values. The MetaEnhance framework uses AI methods to automatically detect, correct, and canonicalize scholarly metadata. Evaluation on 500 ETDs showed nearly perfect F1-scores in error detection and correction for 5 of 7 fields._x000a__x000a_DOI: 10.1080/19386389.2011.570654 - Metadata records must be problem-free to ensure resources are correctly represented. Common issues include incorrect values, elements, missing information, information loss, and inconsistent value representation. Preventive or corrective measures are necessary to balance the benefits of metadata with the costs of creation._x000a__x000a_DOI: 10.1177/09610006241239080 - Metadata plays a pivotal role in data retrieval, organization, interoperability, preservation, and user experience. A scoping review of 55 studies identified completeness, accuracy, consistency, accessibility, conformance, provenance, and timeliness as key dimensions. However, there is no consensus on their definitions or measurements, indicating a need for further research and flexible assessment tools._x000a__x000a_DOI: 10.1007/s11192-023-04923-y - Open data platforms like OpenAlex require high data quality, but face issues like missing institutions in journal article metadata. The study defines three types of institutional information and finds the problem in over 60% of articles, particularly in early metadata and social sciences/humanities. Solutions aim to improve data quality and support responsible use in quantitative science._x000a__x000a_My lady, these documents highlight the multifaceted challenges in metadata quality and propose various solutions, from automated frameworks to improved assessment methodologies."/>
    <n v="1"/>
    <x v="0"/>
    <x v="0"/>
    <n v="0"/>
  </r>
  <r>
    <s v="['What are the key challenges and potential solutions for improving metadata quality?']"/>
    <s v="Summary: Metadata quality is crucial for digital objects to be discovered through digital library interfaces. However, metadata often exhibits incomplete, inconsistent, and incorrect values._x000a__x000a_DOI: 10.48550/arXiv.2303.17661 - MetaEnhance is a framework that uses state-of-the-art artificial intelligence methods to improve the quality of metadata fields. It was tested on a benchmark of 500 electronic theses and dissertations (ETDs) and achieved nearly perfect F1-scores in detecting errors and F1-scores in correcting errors ranging from 0.85 to 1.00 for five of seven fields._x000a__x000a_My lady, I hope this information is helpful. If you have any further questions, please let me know."/>
    <n v="1"/>
    <x v="0"/>
    <x v="0"/>
    <n v="0"/>
  </r>
  <r>
    <s v="['What are the key challenges and advancements in Retrieval-Augmented Generation (RAG) systems?']"/>
    <s v="Summary: Retrieval-Augmented Generation (RAG) systems face challenges such as hallucination, outdated knowledge, non-transparent reasoning processes, computational costs, and evaluating system effectiveness. Advancements include improved factual accuracy, dynamic knowledge updates, and enhanced performance in specialized domains._x000a__x000a_DOI: 10.48550/arXiv.2312.10997 - This paper discusses the progression of RAG paradigms, including Naive RAG, Advanced RAG, and Modular RAG, and highlights the state-of-the-art technologies in retrieval, generation, and augmentation techniques. It also introduces an up-to-date evaluation framework and benchmark._x000a__x000a_DOI: 10.1016/j.caeai.2025.100417 - This study focuses on RAG in educational applications, addressing challenges like mitigating hallucinations, ensuring knowledge completeness and timeliness, and reducing computational costs. It explores practical applications in interactive learning systems and educational content generation._x000a__x000a_DOI: 10.48550/arXiv.2505.18247 - Introducing MetaGen Blended RAG, this paper presents a novel approach to enhance semantic retrievers for specialized domain question-answering. It achieves high zero-shot precision without fine-tuning, outperforming previous benchmarks._x000a__x000a_DOI: 10.1007/s44427-025-00006-3 - This research evaluates open-source LLMs in RAG systems using a benchmark dataset derived from diploma theses abstracts. It highlights the strengths and weaknesses of different models and retrieval strategies for academic tasks._x000a__x000a_DOI: 10.1145/3637528.3671470 - A comprehensive review of Retrieval-Augmented Large Language Models (RA-LLMs), discussing their current limitations and future research directions. It emphasizes the role of RAG in providing reliable external knowledge for high-quality AI-generated content._x000a__x000a_My lady, I hope this summary meets your requirements. If you have any further questions or need additional information, please let me know."/>
    <n v="1"/>
    <x v="0"/>
    <x v="0"/>
    <n v="0"/>
  </r>
  <r>
    <s v="['What are the key challenges and advancements in Retrieval-Augmented Generation (RAG) systems?']"/>
    <s v="Summary: Retrieval-Augmented Generation (RAG) systems face challenges such as hallucination, outdated knowledge, and non-transparent reasoning processes. However, advancements in RAG, such as MetaGen Blended RAG, have shown promising results in improving accuracy and credibility in knowledge-intensive tasks._x000a__x000a_DOI: 10.48550/arXiv.2312.10997 - This paper discusses the challenges faced by Large Language Models (LLMs) and how RAG can enhance their performance by incorporating external knowledge. It also introduces the Naive RAG, Advanced RAG, and Modular RAG paradigms._x000a__x000a_DOI: 10.1016/j.caeai.2025.100417 - This paper focuses on the application of RAG in educational scenarios, highlighting its potential to improve factual accuracy and enable dynamic knowledge updates. It also discusses challenges such as mitigating hallucinations and reducing computational costs._x000a__x000a_DOI: 10.48550/arXiv.2505.18247 - This paper introduces MetaGen Blended RAG, a novel approach that enhances semantic retrievers and achieves high accuracy in specialized domain question-answering tasks without fine-tuning._x000a__x000a_DOI: 10.1007/s44427-025-00006-3 - This study evaluates the effectiveness of RAG systems using a benchmark dataset and highlights the strengths and weaknesses of different models and retrieval strategies._x000a__x000a_DOI: 10.1145/3637528.3671470 - This survey paper discusses the current state of RAG research, its limitations, and potential future directions, emphasizing its role in enhancing the quality of generated content in LLMs._x000a__x000a_My lady, I hope this summary meets your requirements. If you have any further questions or would like more details on a specific aspect, please let me know."/>
    <n v="1"/>
    <x v="0"/>
    <x v="0"/>
    <n v="0"/>
  </r>
  <r>
    <s v="['What are the key challenges and advancements in Retrieval-Augmented Generation (RAG) systems?']"/>
    <s v="Summary: Retrieval-Augmented Generation (RAG) systems face challenges such as hallucinations, outdated knowledge, and non-transparent reasoning processes, but advancements include improved accuracy, continuous knowledge updates, and domain-specific integration._x000a__x000a_DOI: 10.48550/arXiv.2312.10997 - This paper discusses the challenges faced by Large Language Models (LLMs), such as hallucination, outdated knowledge, and non-transparent reasoning processes. It highlights how RAG addresses these issues by incorporating external knowledge, leading to improved accuracy and credibility in knowledge-intensive tasks. The paper also explores the progression of RAG paradigms, including Naive RAG, Advanced RAG, and Modular RAG, and provides an evaluation framework for RAG systems._x000a__x000a_DOI: 10.1016/j.caeai.2025.100417 - This study focuses on the application of RAG in educational settings, addressing challenges like hallucination and static internal knowledge. It emphasizes the benefits of RAG in improving factual accuracy and enabling dynamic knowledge updates, making it suitable for educational applications. The paper also discusses practical applications of RAG in interactive learning systems, educational content generation, and large-scale deployment._x000a__x000a_DOI: 10.48550/arXiv.2505.18247 - This research introduces 'MetaGen Blended RAG', a novel approach to enhance semantic retrievers in domain-specific enterprise datasets. It addresses the challenge of achieving zero-shot precision without fine-tuning and demonstrates superior performance on datasets like PubMedQA, SQuAD, and NQ._x000a__x000a_DOI: 10.1007/s44427-025-00006-3 - This study evaluates the effectiveness of RAG systems using a benchmark dataset derived from diploma theses abstracts. It highlights the challenges in assessing RAG systems and provides insights into optimizing RAG implementations for academic and structured knowledge tasks._x000a__x000a_DOI: 10.1145/3637528.3671470 - This survey reviews existing research on Retrieval-Augmented Large Language Models (RA-LLMs), discussing their capabilities in providing reliable and up-to-date external knowledge. It also explores the current limitations and future research directions for RA-LLMs._x000a__x000a_My lady, I hope this summary provides a comprehensive overview of the key challenges and advancements in RAG systems. If you have any further questions or would like more details on a specific aspect, please let me know."/>
    <n v="1"/>
    <x v="0"/>
    <x v="0"/>
    <n v="0"/>
  </r>
  <r>
    <s v="['What are the key challenges and advancements in Retrieval-Augmented Generation (RAG) systems?']"/>
    <s v="Summary: Retrieval-Augmented Generation (RAG) systems face challenges such as hallucination, outdated knowledge, and non-transparent reasoning processes, but advancements like MetaGen Blended RAG and Ragas frameworks are enhancing their accuracy, reliability, and evaluation methods._x000a__x000a_DOI: 10.48550/arXiv.2312.10997 - This paper discusses the challenges faced by Large Language Models (LLMs), such as hallucination, outdated knowledge, and non-transparent reasoning processes. It highlights how RAG systems, by incorporating external databases, improve accuracy and credibility, especially in knowledge-intensive tasks. The paper reviews advancements like Naive RAG, Advanced RAG, and Modular RAG, and introduces evaluation frameworks and benchmarks._x000a__x000a_DOI: 10.1016/j.caeai.2025.100417 - Focusing on educational applications, this study addresses LLMs' reliability issues in education, such as hallucination and static internal knowledge. It explores how RAG enhances factual accuracy and enables dynamic knowledge updates, making it suitable for educational scenarios. The paper discusses challenges like mitigating hallucinations, ensuring knowledge completeness, and reducing computational costs._x000a__x000a_DOI: 10.48550/arXiv.2505.18247 - This research introduces MetaGen Blended RAG, a novel approach to improve RAG's performance in domain-specific tasks. It addresses the challenge of achieving zero-shot precision without fine-tuning and demonstrates high accuracy on datasets like PubMedQA, SQuAD, and NQ._x000a__x000a_DOI: 10.1007/s44427-025-00006-3 - This study evaluates the effectiveness of open-source LLMs in RAG systems using the Ragas framework. It highlights the challenges in assessing both retrieval and generation components and provides insights into optimizing RAG implementations for academic tasks._x000a__x000a_DOI: 10.1145/3637528.3671470 - This survey reviews Retrieval-Augmented Large Language Models (RA-LLMs), emphasizing their role in providing reliable external knowledge. It discusses current limitations and future research directions, particularly in the context of AI-Generated Content (AIGC)._x000a__x000a_My lady, if you have any further questions or need more details, feel free to ask!"/>
    <n v="1"/>
    <x v="0"/>
    <x v="0"/>
    <n v="0"/>
  </r>
  <r>
    <s v="['What are the key challenges and advancements in Retrieval-Augmented Generation (RAG) systems?']"/>
    <s v="Summary: Retrieval-Augmented Generation (RAG) systems face challenges such as hallucination, outdated knowledge, non-transparent reasoning processes, and computational costs. Advancements include improved factual accuracy, dynamic knowledge updates, and enhanced multimodal support._x000a__x000a_DOI: 10.48550/arXiv.2312.10997 - This paper discusses the progression of RAG paradigms, including Naive RAG, Advanced RAG, and Modular RAG, and highlights the state-of-the-art technologies in retrieval, generation, and augmentation techniques._x000a__x000a_DOI: 10.1016/j.caeai.2025.100417 - This paper focuses on the application of RAG in educational scenarios, discussing challenges such as mitigating hallucinations and reducing computational costs, and advancements in interactive learning systems and educational content generation._x000a__x000a_DOI: 10.48550/arXiv.2505.18247 - This paper introduces MetaGen Blended RAG, a novel approach to enhance semantic retrievers for domain-specific question-answering, achieving high zero-shot precision without fine-tuning._x000a__x000a_DOI: 10.1007/s44427-025-00006-3 - This study evaluates the effectiveness of open-source LLMs in RAG systems using the Ragas framework, highlighting the strengths and weaknesses of different models and retrieval strategies._x000a__x000a_DOI: 10.1145/3637528.3671470 - This survey reviews existing research on Retrieval-Augmented Large Language Models (RA-LLMs), discussing their limitations and promising directions for future research._x000a__x000a_My lady, I hope this summary meets your requirements. If you have any further questions or need more details, please let me know."/>
    <n v="1"/>
    <x v="0"/>
    <x v="0"/>
    <n v="0"/>
  </r>
  <r>
    <s v="['What are the key challenges and advancements in metadata quality assessment?']"/>
    <s v="Summary: The key challenges in metadata quality assessment include defining and measuring quality dimensions, handling diverse metadata types, and addressing cultural and contextual influences. Advancements include the development of automated frameworks, standardized schemas, and the application of AI techniques for metadata enhancement._x000a__x000a_DOI: 10.1145/2964909 - This study focuses on the automated quality assessment of metadata across open data portals. It highlights the challenges of increasing data volume and the need for a generic framework to assess metadata quality. The authors propose a method to map specific metadata from different portal software frameworks to a standardized schema, enabling independent evaluation. They define quality metrics and report findings from monitoring 260 open data portals with 1.1 million datasets._x000a__x000a_DOI: 10.1109/ADL.1998.670425 - This research discusses the assessment of metadata quality in the context of the US Government Information Locator Service (GILS). It emphasizes the need for diverse criteria and procedures to evaluate different types of metadata, such as descriptive and transactional metadata. The study contributes to the methodological development of metadata quality assessment._x000a__x000a_DOI: 10.1177/09610006241239080 - This scoping review identifies commonly measured dimensions of metadata quality, including completeness, accuracy, consistency, accessibility, conformance, provenance, and timeliness. It highlights the lack of consensus on definitions and measurements and calls for further research into less commonly assessed dimensions. The study also emphasizes the importance of improving metadata quality assessment tools._x000a__x000a_DOI: 10.5860/crl.86.1.101 - This study explores metadata quality issues across cultures, identifying tensions between sociocultural representations, resource constraints, and standardized systems. It investigates how metadata quality impacts individuals and communities and categorizes 32 unique issues from a review of 427 records._x000a__x000a_DOI: 10.48550/arXiv.2303.17661 - This research introduces MetaEnhance, a framework using state-of-the-art AI methods to improve metadata quality for electronic theses and dissertations (ETDs). It demonstrates high effectiveness in error detection and correction across seven key fields, showcasing advancements in automated metadata enhancement._x000a__x000a_My lady, I hope this summary meets your requirements. If you have any further questions or need additional details, please let me know."/>
    <n v="1"/>
    <x v="0"/>
    <x v="0"/>
    <n v="0"/>
  </r>
  <r>
    <s v="['What are the key challenges and advancements in metadata quality assessment?']"/>
    <s v="Summary: The key challenges in metadata quality assessment include inconsistent definitions and measurements of quality dimensions, tensions between sociocultural representations and standardized systems, and issues with completeness, accuracy, and consistency in metadata values. Advancements include the development of automated frameworks like MetaEnhance, generic metadata quality assessment frameworks for open data portals, and methodological contributions from studies like the US Government Information Locator Service (GILS) evaluation._x000a__x000a_DOI: 10.1145/2964909 - This study addresses the increasing concerns over metadata quality in open data portals, particularly as the number of published resources grows. It proposes a generic metadata quality assessment framework that maps specific metadata from widely used portal software frameworks (CKAN, Socrata, OpenDataSoft) to a standardized schema. The framework defines quality metrics that can be evaluated automatically and reports findings from monitoring over 260 open data portals with 1.1 million datasets._x000a__x000a_DOI: 10.1109/ADL.1998.670425 - This research discusses the application of qualitative and quantitative content analysis techniques to assess metadata records, specifically in the context of the US Government Information Locator Service (GILS). It highlights the need for diverse criteria and procedures to evaluate different types of metadata, such as descriptive and transactional metadata._x000a__x000a_DOI: 10.1177/09610006241239080 - This scoping review identifies commonly measured dimensions of metadata quality, including completeness, accuracy, consistency, accessibility, conformance, provenance, and timeliness. However, it notes a lack of consensus on their definitions and measurements, emphasizing the need for further research into less commonly assessed dimensions._x000a__x000a_DOI: 10.5860/crl.86.1.101 - This study explores how metadata quality, consistency, and completeness impact individuals and communities, identifying 32 unique issues across 427 records and categorizing them to understand cultural interactions with metadata._x000a__x000a_DOI: 10.48550/arXiv.2303.17661 - This research introduces MetaEnhance, a framework that uses state-of-the-art artificial intelligence methods to automatically detect, correct, and canonicalize scholarly metadata. Evaluated on a benchmark of 500 electronic theses and dissertations (ETDs), MetaEnhance achieved high F1-scores in error detection and correction._x000a__x000a_My lady, I hope this summary meets your requirements. If you have any further questions, feel free to ask!"/>
    <n v="1"/>
    <x v="0"/>
    <x v="0"/>
    <n v="0"/>
  </r>
  <r>
    <s v="['What are the key challenges and advancements in metadata quality assessment?']"/>
    <s v="Summary: Metadata quality assessment is a critical aspect of data management, impacting data retrieval, organization, interoperability, preservation, and user experience. Challenges include the lack of consensus on definitions and measurements of quality dimensions, and the need for flexible assessment tools. Advancements include the development of frameworks like MetaEnhance, which uses AI to improve metadata quality, and the application of qualitative and quantitative techniques to assess metadata records._x000a__x000a_DOI: 10.1145/2964909 - This study aims to develop a generic metadata quality assessment framework for Open Data portals, addressing concerns about the quality of data sources and metadata. It maps specific metadata from three portal software frameworks to a standardized schema, defines quality metrics, and reports findings from monitoring over 260 Open Data portals._x000a__x000a_DOI: 10.1109/ADL.1998.670425 - This research discusses the application of qualitative and quantitative content analysis techniques to assess metadata records, specifically in the context of the US Government Information Locator Service (GILS). It concludes that different types of metadata may require different evaluation criteria and procedures._x000a__x000a_DOI: 10.1177/09610006241239080 - This scoping review identifies commonly measured dimensions of metadata quality, including completeness, accuracy, consistency, accessibility, conformance, provenance, and timeliness. However, it highlights the lack of consensus on their definitions and measurements, emphasizing the need for further research._x000a__x000a_DOI: 10.5860/crl.86.1.101 - This study explores metadata quality issues across cultures, identifying 32 unique issues and classifying them into 5 categories. It examines how metadata and communities interact to reflect cultural meanings._x000a__x000a_DOI: 10.48550/arXiv.2303.17661 - This research proposes MetaEnhance, a framework using state-of-the-art AI methods to automatically detect, correct, and canonicalize scholarly metadata. It achieves high F1-scores in error detection and correction for electronic theses and dissertations._x000a__x000a_My lady, I hope this response addresses your question. If you have any further inquiries or would like more details on a specific aspect, please let me know."/>
    <n v="1"/>
    <x v="0"/>
    <x v="0"/>
    <n v="0"/>
  </r>
  <r>
    <s v="['What are the key challenges and advancements in metadata quality assessment?']"/>
    <s v="Summary: Metadata quality assessment is crucial for ensuring data usability, searchability, and interoperability. Challenges include inconsistent definitions and measurements of quality dimensions, cultural and resource-related tensions, and the need for automated, efficient evaluation methods. Advancements include the development of frameworks like MetaEnhance, standardized metadata schemas, and methodological innovations in qualitative and quantitative analysis._x000a__x000a_DOI: 10.1145/2964909 - This study focuses on developing a generic metadata quality assessment framework for open data portals, addressing challenges in searchability, discoverability, and usability. It maps metadata from different portal software frameworks to a standardized schema and defines quality metrics for automated evaluation._x000a__x000a_DOI: 10.1109/ADL.1998.670425 - This research discusses qualitative and quantitative techniques for assessing metadata records, particularly in the context of the US Government Information Locator Service (GILS). It highlights the need for diverse criteria and procedures for evaluating different types of metadata._x000a__x000a_DOI: 10.1177/09610006241239080 - A scoping review identifying commonly measured dimensions of metadata quality, such as completeness, accuracy, and consistency. It emphasizes the lack of consensus on definitions and measurements, advocating for further research and flexible assessment tools._x000a__x000a_DOI: 10.5860/crl.86.1.101 - This study explores metadata quality issues across cultures, identifying tensions between sociocultural representations, resource constraints, and standardized systems. It categorizes 32 unique issues to understand their impact on individuals and communities._x000a__x000a_DOI: 10.48550/arXiv.2303.17661 - Introduces MetaEnhance, a framework using AI to improve metadata quality for electronic theses and dissertations. It demonstrates high effectiveness in error detection and correction, addressing issues of incompleteness, inconsistency, and inaccuracy._x000a__x000a_My lady, these findings underscore the importance of ongoing research and innovation in metadata quality assessment to enhance data management and accessibility."/>
    <n v="1"/>
    <x v="0"/>
    <x v="0"/>
    <n v="0"/>
  </r>
  <r>
    <s v="['What are the key challenges and advancements in metadata quality assessment?']"/>
    <s v="Summary: The key challenges in metadata quality assessment include inconsistent definitions and measurements of quality dimensions, cultural and resource-related tensions affecting metadata consistency and completeness, and the need for automated, efficient evaluation methods. Advancements include the development of generic frameworks for assessing metadata across diverse portals, application of AI techniques for metadata enhancement, and methodological contributions like qualitative synthesis of metadata quality literature._x000a__x000a_DOI: 10.1145/2964909 - This study addresses the challenge of increasing metadata volume compromising searchability and usability by developing a generic metadata quality assessment framework for open data portals. It maps metadata from three portal software frameworks to a standardized schema and defines quality metrics for automated evaluation._x000a__x000a_DOI: 10.1109/ADL.1998.670425 - This research highlights the need for diverse criteria and procedures in assessing different types of metadata, such as descriptive and transactional metadata, through an evaluation of the US Government Information Locator Service (GILS)._x000a__x000a_DOI: 10.1177/09610006241239080 - A scoping review identifies commonly used dimensions in metadata quality assessment but notes a lack of consensus on their definitions and measurements. It emphasizes the need for flexible assessment tools and highlights digital repositories and open government data as primary research areas._x000a__x000a_DOI: 10.5860/crl.86.1.101 - This study explores how metadata quality issues arise from sociocultural representations and resource constraints, identifying 32 unique issues and categorizing them to understand their impact on individuals and communities._x000a__x000a_DOI: 10.48550/arXiv.2303.17661 - Introducing MetaEnhance, a framework that uses AI to improve metadata quality for electronic theses and dissertations, achieving high accuracy in error detection and correction._x000a__x000a_My lady, I hope this summary meets your requirements. If you have any further questions or need additional details, please let me know."/>
    <n v="1"/>
    <x v="0"/>
    <x v="0"/>
    <n v="0"/>
  </r>
  <r>
    <s v="['tell me about how RAG works.']"/>
    <s v="Summary: Retrieval-Augmented Generation (RAG) is a promising solution for addressing the limitations of Large Language Models (LLMs), such as hallucinations, outdated knowledge, and non-transparent reasoning processes. RAG enhances the accuracy and credibility of generated content by incorporating external knowledge from databases or document collections. It combines the intrinsic knowledge of LLMs with vast, dynamic external repositories, enabling continuous knowledge updates and domain-specific information integration. RAG systems consist of a retrieval module and an LLM-based generation module, working together to reduce the risk of hallucinations and improve performance on knowledge-intensive tasks._x000a__x000a_DOI: 10.48550/arXiv.2312.10997 - This paper provides a comprehensive review of RAG paradigms, including Naive RAG, Advanced RAG, and Modular RAG. It examines the tripartite foundation of RAG frameworks: retrieval, generation, and augmentation techniques. The study highlights state-of-the-art technologies in each component, offering a deep understanding of RAG advancements. It also introduces an up-to-date evaluation framework and benchmark, discusses current challenges, and outlines future research directions._x000a__x000a_DOI: 10.48550/arXiv.2406.13213 - This research introduces Multi-Meta-RAG, a method to improve RAG for multi-hop queries by using LLM-extracted metadata for database filtering. Traditional RAG struggles with multi-hop questions, but Multi-Meta-RAG enhances document selection from various sources, showing significant improvements on the MultiHop-RAG benchmark._x000a__x000a_DOI: 10.1145/3637528.3671470 - The paper reviews Retrieval-Augmented Large Language Models (RA-LLMs), focusing on how RAG provides reliable, up-to-date external knowledge. It covers three technical perspectives, discusses current limitations, and suggests future research directions to enhance the quality of LLM-generated content._x000a__x000a_DOI: 10.18653/v1/2024.eacl-demo.16 - This work introduces RAGAs, a reference-free evaluation framework for RAG pipelines. RAGAs assess the retrieval system's ability to identify relevant context, the LLM's ability to utilize this context faithfully, and the quality of the generated output. It aims to accelerate evaluation cycles, crucial for the rapid adoption of LLMs._x000a__x000a_DOI: 10.48550/arXiv.2404.13948 - This study investigates the robustness of RAG, specifically its vulnerability to noisy documents and minor textual errors. It introduces GARAG, a genetic attack method to test RAG components and their interconnected relationships. Experiments show that GARAG achieves high attack success rates, highlighting the risks of textual inaccuracies in real-world RAG systems._x000a__x000a_My lady, I hope this summary meets your requirements. If you have any further questions or need additional details, please let me know."/>
    <n v="1"/>
    <x v="0"/>
    <x v="0"/>
    <n v="0"/>
  </r>
  <r>
    <s v="['tell me about how RAG works.']"/>
    <s v="Summary: Retrieval-Augmented Generation (RAG) is a promising solution to the limitations of Large Language Models (LLMs), such as hallucinations, outdated knowledge, and non-transparent reasoning processes. RAG enhances the accuracy and credibility of generated content by incorporating knowledge from external databases. It combines the intrinsic knowledge of LLMs with vast, dynamic external repositories, enabling continuous knowledge updates and integration of domain-specific information._x000a__x000a_DOI: 10.48550/arXiv.2312.10997: This paper provides a comprehensive review of RAG paradigms, including Naive RAG, Advanced RAG, and Modular RAG. It examines the tripartite foundation of RAG frameworks: retrieval, generation, and augmentation techniques. The study highlights state-of-the-art technologies in each component, introduces up-to-date evaluation frameworks and benchmarks, and discusses challenges and future research directions._x000a__x000a_DOI: 10.48550/arXiv.2406.13213: This research introduces Multi-Meta-RAG, a method to improve RAG for multi-hop queries by using LLM-extracted metadata for database filtering. It addresses the poor performance of traditional RAG in multi-hop questions and demonstrates significant improvements on the MultiHop-RAG benchmark._x000a__x000a_DOI: 10.1145/3637528.3671470: This survey focuses on Retrieval-Augmented Large Language Models (RA-LLMs), emphasizing RAG's role in providing reliable, up-to-date external knowledge. It reviews existing research on RA-LLMs, covering three technical perspectives, and discusses current limitations and future research directions._x000a__x000a_DOI: 10.18653/v1/2024.eacl-demo.16: This paper introduces RAGAs, a framework for reference-free evaluation of RAG pipelines. It addresses the challenges in evaluating RAG architectures by introducing metrics to assess retrieval, generation, and augmentation without human annotations._x000a__x000a_DOI: 10.48550/arXiv.2404.13948: This study investigates the robustness of RAG, focusing on vulnerability to noisy documents and holistic evaluation. It introduces GARAG, a genetic attack method, and demonstrates its effectiveness in disrupting RAG systems with minor textual inaccuracies._x000a__x000a_My lady, if you have further questions or need more details, please let me know."/>
    <n v="1"/>
    <x v="0"/>
    <x v="0"/>
    <n v="0"/>
  </r>
  <r>
    <s v="['tell me about how RAG works.']"/>
    <s v="Summary: Retrieval-Augmented Generation (RAG) is a promising solution to the limitations of Large Language Models (LLMs), such as hallucination, outdated knowledge, and non-transparent reasoning processes. RAG enhances the accuracy and credibility of generation, particularly for knowledge-intensive tasks, by incorporating knowledge from external databases. This allows for continuous knowledge updates and integration of domain-specific information._x000a__x000a_DOI: 10.48550/arXiv.2312.10997 - This paper provides a comprehensive review of the progression of RAG paradigms, including Naive RAG, Advanced RAG, and Modular RAG. It examines the tripartite foundation of RAG frameworks, which consists of retrieval, generation, and augmentation techniques. The paper highlights state-of-the-art technologies embedded in each of these components and introduces an up-to-date evaluation framework and benchmark._x000a__x000a_DOI: 10.48550/arXiv.2406.13213 - This paper introduces a new method called Multi-Meta-RAG, which aims to improve RAG for multi-hop queries by using database filtering with LLM-extracted metadata. The method is shown to greatly improve results on the MultiHop-RAG benchmark._x000a__x000a_DOI: 10.1145/3637528.3671470 - This survey provides a comprehensive review of existing research studies on Retrieval-Augmented Large Language Models (RA-LLMs). It covers three primary technical perspectives and discusses current limitations and promising directions for future research._x000a__x000a_DOI: 10.18653/v1/2024.eacl-demo.16 - This paper introduces RAGAs, a framework for reference-free evaluation of RAG pipelines. RAGAs provides a suite of metrics to evaluate the different dimensions of RAG architectures without relying on human annotations._x000a__x000a_DOI: 10.48550/arXiv.2404.13948 - This paper investigates the robustness of RAG by introducing a novel attack method called GARAG. GARAG targets the vulnerability of RAG to noisy documents and provides a holistic evaluation of RAG robustness._x000a__x000a_My lady, I hope this summary provides a comprehensive overview of how RAG works. If you have any further questions or would like more details on a specific aspect, please don't hesitate to ask."/>
    <n v="1"/>
    <x v="0"/>
    <x v="0"/>
    <n v="0"/>
  </r>
  <r>
    <s v="['tell me about how RAG works.']"/>
    <s v="Summary: Retrieval-Augmented Generation (RAG) is a promising solution to the limitations of Large Language Models (LLMs), such as hallucination, outdated knowledge, and non-transparent reasoning processes. RAG enhances the accuracy and credibility of generated content by incorporating knowledge from external databases. It synergistically combines the intrinsic knowledge of LLMs with vast, dynamic external repositories._x000a__x000a_DOI: 10.48550/arXiv.2312.10997 - This paper provides a comprehensive review of RAG paradigms, including Naive RAG, Advanced RAG, and Modular RAG. It examines the tripartite foundation of RAG frameworks: retrieval, generation, and augmentation techniques. The study highlights state-of-the-art technologies in each component and introduces up-to-date evaluation frameworks and benchmarks._x000a__x000a_DOI: 10.48550/arXiv.2406.13213 - This research introduces Multi-Meta-RAG, a method to improve RAG for multi-hop queries using database filtering with LLM-extracted metadata. It addresses the poor performance of traditional RAG in multi-hop questions and demonstrates significant improvements on the MultiHop-RAG benchmark._x000a__x000a_DOI: 10.1145/3637528.3671470 - This survey reviews Retrieval-Augmented Large Language Models (RA-LLMs), focusing on their ability to provide reliable and up-to-date external knowledge. It discusses current limitations and future research directions for enhancing the quality of LLM-generated content._x000a__x000a_DOI: 10.18653/v1/2024.eacl-demo.16 - This paper introduces RAGAs, a framework for reference-free evaluation of RAG pipelines. It addresses the challenges of evaluating RAG architectures by introducing metrics that assess retrieval, generation, and augmentation without human annotations._x000a__x000a_DOI: 10.48550/arXiv.2404.13948 - This study investigates the robustness of RAG against noisy documents and minor textual errors. It introduces GARAG, a genetic attack method to test RAG's vulnerability, revealing significant risks in real-world applications._x000a__x000a_My lady, if you have further questions or need more details, please let me know!"/>
    <n v="1"/>
    <x v="0"/>
    <x v="0"/>
    <n v="0"/>
  </r>
  <r>
    <s v="['tell me about how RAG works.']"/>
    <s v="Summary: Retrieval-Augmented Generation (RAG) is a promising solution to the limitations of Large Language Models (LLMs), such as hallucinations, outdated knowledge, and non-transparent reasoning processes. It enhances the accuracy and credibility of generated content by incorporating knowledge from external databases, allowing for continuous updates and domain-specific information integration._x000a__x000a_DOI: 10.48550/arXiv.2312.10997 - This paper provides a comprehensive review of RAG paradigms, including Naive RAG, Advanced RAG, and Modular RAG. It examines the tripartite foundation of RAG frameworks, which consists of retrieval, generation, and augmentation techniques. The paper also introduces up-to-date evaluation frameworks and benchmarks and discusses current challenges and future research directions._x000a__x000a_DOI: 10.48550/arXiv.2406.13213 - This study introduces Multi-Meta-RAG, a new method to improve RAG for multi-hop queries. It uses database filtering with LLM-extracted metadata to select relevant documents from various sources, addressing the poor performance of traditional RAG applications in multi-hop questions._x000a__x000a_DOI: 10.1145/3637528.3671470 - This survey focuses on Retrieval-Augmented Large Language Models (RA-LLMs), which leverage external knowledge bases to enhance the quality of generated content. It covers three primary technical perspectives, discusses current limitations, and explores promising directions for future research._x000a__x000a_DOI: 10.18653/v1/2024.eacl-demo.16 - This paper introduces RAGAs, a framework for reference-free evaluation of RAG pipelines. It addresses the challenges in evaluating RAG architectures by introducing a suite of metrics that assess the retrieval system's ability, LLM's utilization of context, and generation quality._x000a__x000a_DOI: 10.48550/arXiv.2404.13948 - This research investigates the robustness of RAG by exploring its vulnerability to noisy documents and proposing a novel attack method, GARAG. The study validates RAG's robustness using standard QA datasets and highlights the risks of minor textual inaccuracies in real-world applications._x000a__x000a_My lady, I hope this summary provides a clear understanding of how RAG works and its associated research. If you have any further questions or need more details, please let me know."/>
    <n v="1"/>
    <x v="0"/>
    <x v="0"/>
    <n v="0"/>
  </r>
  <r>
    <s v="['Tell me about Crossref.']"/>
    <s v="Summary: Crossref is a community-owned source of scholarly metadata that contains over 106 million records and expands at an average rate of 11% a year._x000a__x000a_DOI: 10.1162/qss_a_00022_x000a__x000a_Is there anything else I can help you with, my lady?"/>
    <n v="0"/>
    <x v="1"/>
    <x v="1"/>
    <n v="0"/>
  </r>
  <r>
    <s v="['Tell me about Crossref.']"/>
    <s v="Summary: Crossref is a community-owned source of scholarly metadata that contains over 106 million records and expands at an average rate of 11% a year._x000a__x000a_DOI: 10.1162/qss_a_00022_x000a__x000a_Is there anything else I can help you with, my lady?"/>
    <n v="0"/>
    <x v="1"/>
    <x v="1"/>
    <n v="0"/>
  </r>
  <r>
    <s v="['Tell me about Crossref.']"/>
    <s v="Summary: Crossref is a sustainable source of community-owned scholarly metadata._x000a__x000a_DOI: 10.1162/qss_a_00022: Crossref is a sustainable source of community-owned scholarly metadata. Containing over 106 million records and expanding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My lady, is there anything else I can help you with?"/>
    <n v="1"/>
    <x v="0"/>
    <x v="0"/>
    <n v="0"/>
  </r>
  <r>
    <s v="['Tell me about Crossref.']"/>
    <s v="Summary: Crossref is a community-owned sustainable source of scholarly metadata that is available through a number of APIs._x000a__x000a_DOI: 10.1162/qss_a_00022: Crossref is a community-owned sustainable source of scholarly metadata that is available through a number of APIs._x000a__x000a_Is there anything else I can help you with, my lady?"/>
    <n v="1"/>
    <x v="0"/>
    <x v="0"/>
    <n v="0"/>
  </r>
  <r>
    <s v="['Tell me about Crossref.']"/>
    <s v="Summary: Crossref is a sustainable source of community-owned scholarly metadata._x000a__x000a_DOI: 10.1162/qss_a_00022 - Crossref is a sustainable source of community-owned scholarly metadata. Containing over 106 million records and expanding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DOI: 10.1162/qss_a_00210 -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We observe interesting differences between publishers in the coverage and completeness of funding metadata in Crossref compared to proprietary databases, highlighting the potential to increase the quality of open metadata on funding._x000a__x000a_DOI: 10.31222/osf.io/smxe5 -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_x000a__x000a_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_x000a__x000a_My lady, is there anything else I can help you with?"/>
    <n v="1"/>
    <x v="0"/>
    <x v="0"/>
    <n v="0"/>
  </r>
  <r>
    <s v="['How is RAG used to improve question answering or information retrieval systems?']"/>
    <s v="Summary: Retrieval-Augmented Generation (RAG) is a technique used to improve question answering and information retrieval systems by enhancing Large Language Models (LLMs) with relevant documents before generating responses. This approach addresses issues like hallucination, outdated information, and lack of context in standard LLMs, leading to more accurate and contextually relevant answers._x000a__x000a_DOI: 10.17821/srels/2024/v61i5/171583 - This study demonstrates that RAG can significantly improve the performance of LLMs in question answering by providing a set of relevant documents before generating responses. The research found that RAG-enhanced LLMs consistently provided accurate, informative, and contextualized answers, unlike standard LLMs, which often produced incorrect and hallucinated responses._x000a__x000a_DOI: 10.48550/arXiv.2406.13213 - This paper introduces Multi-Meta-RAG, a method that improves RAG for multi-hop queries by using database filtering with LLM-extracted metadata. This approach enhances the selection of relevant documents from various sources, leading to better performance in answering complex questions._x000a__x000a_DOI: 10.6109/jkiice.2023.27.12.1489 - The study proposes a Metadata Retrieval-Augmented Generation (M-RAG) method that improves open-domain question answering by utilizing embeddings with metadata and generative models. This method enables the model to understand the order and context of documents, resulting in more accurate answers._x000a__x000a_DOI: 10.48550/arXiv.2505.13557 - This research presents AMAQA, a metadata-based QA dataset for RAG systems, which addresses the lack of metadata integration in current benchmarks. The study shows that leveraging metadata significantly boosts accuracy, highlighting the importance of structured context in RAG systems._x000a__x000a_DOI: 10.48550/arXiv.2505.18247 - This paper introduces MetaGen Blended RAG, a novel approach that enhances semantic retrievers through metadata generation and hybrid query indexes. This method achieves high zero-shot precision in specialized domains, outperforming previous RAG benchmarks and fine-tuned models._x000a__x000a_My lady, I hope this summary provides a comprehensive overview of how RAG is used to improve question answering and information retrieval systems. If you have any further questions or would like more details on a specific study, please let me know."/>
    <n v="1"/>
    <x v="0"/>
    <x v="0"/>
    <n v="0"/>
  </r>
  <r>
    <s v="['How is RAG used to improve question answering or information retrieval systems?']"/>
    <s v="Summary: Retrieval-Augmented Generation (RAG) is a technique used to improve question answering and information retrieval systems by enhancing Large Language Models (LLMs) with relevant documents before generating responses. This approach helps mitigate issues like hallucination and outdated or non-contextualized answers._x000a__x000a_DOI: 10.17821/srels/2024/v61i5/171583 - This study demonstrates that libraries can develop low-cost conversational search systems using open-source tools and LLMs through a RAG framework. By augmenting LLMs with relevant documents, the system provides accurate, informative, and contextualized responses, outperforming standard LLMs without RAG._x000a__x000a_DOI: 10.48550/arXiv.2406.13213 - Introduces Multi-Meta-RAG, a method that improves RAG for multi-hop queries by using database filtering with LLM-extracted metadata. This approach enhances the selection of relevant documents, significantly improving performance on multi-hop benchmarks._x000a__x000a_DOI: 10.6109/jkiice.2023.27.12.1489 - Proposes a Metadata Retrieval-Augmented Generation (M-RAG) method for open-domain question answering. By utilizing embeddings with metadata and generative models, M-RAG improves performance by up to 46% compared to external inference systems and 6% over conventional RAG._x000a__x000a_DOI: 10.48550/arXiv.2505.13557 - Presents AMAQA, a metadata-based QA dataset for RAG systems, addressing the lack of metadata integration in current benchmarks. Leveraging metadata boosts accuracy and enables precise, contextualized queries, particularly in fields requiring rapid data analysis._x000a__x000a_DOI: 10.48550/arXiv.2505.18247 - Introduces MetaGen Blended RAG, a novel approach for specialized domain question answering. By enhancing semantic retrievers with metadata generation and hybrid query indexes, it achieves high zero-shot precision without fine-tuning, redefining enterprise search._x000a__x000a_My lady, RAG is a powerful technique for improving the accuracy and context-awareness of question answering and information retrieval systems, as evidenced by these studies."/>
    <n v="1"/>
    <x v="0"/>
    <x v="0"/>
    <n v="0"/>
  </r>
  <r>
    <s v="['How is RAG used to improve question answering or information retrieval systems?']"/>
    <s v="Summary: Retrieval-Augmented Generation (RAG) is a technique used to improve question answering and information retrieval systems by providing relevant documents to Large Language Models (LLMs) before generating responses. This approach enhances the accuracy, context, and relevance of the answers provided by LLMs._x000a__x000a_DOI: 10.17821/srels/2024/v61i5/171583 - This study demonstrates that RAG can significantly improve the performance of LLMs in question answering tasks by providing relevant documents before generating responses. The research found that RAG-augmented LLMs consistently provided accurate, informative, and contextualized answers, whereas standard LLMs without RAG produced incorrect and hallucinated responses._x000a__x000a_DOI: 10.48550/arXiv.2406.13213 - This paper introduces Multi-Meta-RAG, a new method that improves RAG for multi-hop queries by using database filtering with LLM-extracted metadata. The approach enhances the selection of relevant documents from various sources, leading to improved performance on the MultiHop-RAG benchmark._x000a__x000a_DOI: 10.6109/jkiice.2023.27.12.1489 - This research proposes a Metadata Retrieval-Augmented Generation (M-RAG) method that enhances open-domain question answering systems by utilizing embeddings with metadata and generative models. The approach enables the model to understand the order and context of documents, leading to improved accuracy and performance._x000a__x000a_DOI: 10.48550/arXiv.2505.13557 - This study presents AMAQA, a new open-access QA dataset designed to evaluate tasks combining text and metadata. The research demonstrates that leveraging metadata boosts accuracy and highlights the value of structured context in RAG systems._x000a__x000a_DOI: 10.48550/arXiv.2505.18247 - This paper introduces MetaGen Blended RAG, a novel enterprise search approach that enhances semantic retrievers through a metadata generation pipeline and hybrid query indexes. The method achieves robust, scalable performance without fine-tuning, surpassing prior zero-shot RAG benchmarks._x000a__x000a_My lady, I hope this information helps you understand how RAG is used to improve question answering and information retrieval systems. If you have any further questions or would like more details on a specific DOI, please don't hesitate to ask."/>
    <n v="1"/>
    <x v="0"/>
    <x v="0"/>
    <n v="0"/>
  </r>
  <r>
    <s v="['How is RAG used to improve question answering or information retrieval systems?']"/>
    <s v="Summary: Retrieval-Augmented Generation (RAG) is a technique used to improve question answering and information retrieval systems by providing relevant documents to Large Language Models (LLMs) before generating responses. This approach helps LLMs deliver more accurate, informative, and contextualized answers, especially in specialized domains and multi-hop queries._x000a__x000a_DOI: 10.17821/srels/2024/v61i5/171583 - This study demonstrates that libraries can develop low-cost conversational search systems using open-source tools and LLMs through a RAG framework. By augmenting LLMs with relevant documents, the system provides accurate and contextualized responses, outperforming standard LLMs without RAG._x000a__x000a_DOI: 10.48550/arXiv.2406.13213 - Introducing Multi-Meta-RAG, a method that improves RAG for multi-hop queries by using database filtering with LLM-extracted metadata. This approach enhances the selection of relevant documents, significantly improving results on the MultiHop-RAG benchmark._x000a__x000a_DOI: 10.6109/jkiice.2023.27.12.1489 - Proposing Metadata Retrieval-Augmented Generation (M-RAG) for open-domain question answering, this method utilizes embeddings with metadata and generative models to generate automated responses. It shows a performance improvement of up to 46% compared to external inference ODQA systems and 6% over conventional RAG methods._x000a__x000a_DOI: 10.48550/arXiv.2505.13557 - Presenting AMAQA, a metadata-based QA dataset for RAG systems, this research highlights the importance of metadata integration in QA tasks, especially in fields requiring rapid data analysis. Leveraging metadata boosts accuracy and enables precise, contextualized queries._x000a__x000a_DOI: 10.48550/arXiv.2505.18247 - Introducing MetaGen Blended RAG, a novel approach that enhances semantic retrievers for specialized domain question answering. This method achieves high retrieval and RAG accuracy without fine-tuning, redefining enterprise search with unmatched generalization across domains._x000a__x000a_My lady, I hope this information is helpful. If you have any further questions or need more details, please let me know."/>
    <n v="1"/>
    <x v="0"/>
    <x v="0"/>
    <n v="0"/>
  </r>
  <r>
    <s v="['How is RAG used to improve question answering or information retrieval systems?']"/>
    <s v="Summary: Retrieval-Augmented Generation (RAG) is a technique that improves question answering and information retrieval systems by providing relevant documents to Large Language Models (LLMs) before generating responses. This approach enhances the accuracy, context, and relevance of answers, particularly in specialized domains and multi-hop queries._x000a__x000a_DOI: 10.17821/srels/2024/v61i5/171583 - This study demonstrates that RAG can help libraries develop low-cost conversational search systems using open-source tools and LLMs. By augmenting LLMs with relevant documents, RAG reduces hallucinations and provides accurate, context-aware responses._x000a__x000a_DOI: 10.48550/arXiv.2406.13213 - Introducing Multi-Meta-RAG, a method that improves RAG for multi-hop queries by using database filtering with LLM-extracted metadata. This approach enhances the selection of relevant documents, significantly improving performance on multi-hop benchmarks._x000a__x000a_DOI: 10.6109/jkiice.2023.27.12.1489 - The M-RAG method enhances open-domain question answering by utilizing metadata and generative models like GPT-3.5 and GPT-4. This approach improves performance by up to 46% compared to external inference systems and 6% over conventional RAG._x000a__x000a_DOI: 10.48550/arXiv.2505.13557 - AMAQA, a new QA dataset, addresses the lack of metadata integration in RAG benchmarks. By combining text and metadata, AMAQA improves accuracy and enables precise, contextualized queries, particularly in fields requiring rapid data analysis._x000a__x000a_DOI: 10.48550/arXiv.2505.18247 - MetaGen Blended RAG introduces a novel approach to achieve zero-shot precision in specialized domains without fine-tuning. By enhancing semantic retrievers with metadata and hybrid query indexes, it achieves high accuracy in biomedical and other datasets._x000a__x000a_My lady, I hope this summary meets your requirements. If you have any further questions or need additional information, please let me know."/>
    <n v="1"/>
    <x v="0"/>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487410-29E2-554F-B95A-868C17AAFD2C}" name="PivotTable4"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D32" firstHeaderRow="1" firstDataRow="2" firstDataCol="1"/>
  <pivotFields count="6">
    <pivotField showAll="0"/>
    <pivotField dataField="1" showAll="0"/>
    <pivotField showAll="0"/>
    <pivotField axis="axisRow" showAll="0">
      <items count="3">
        <item x="1"/>
        <item x="0"/>
        <item t="default"/>
      </items>
    </pivotField>
    <pivotField axis="axisCol" showAll="0">
      <items count="3">
        <item x="1"/>
        <item x="0"/>
        <item t="default"/>
      </items>
    </pivotField>
    <pivotField showAll="0"/>
  </pivotFields>
  <rowFields count="1">
    <field x="3"/>
  </rowFields>
  <rowItems count="3">
    <i>
      <x/>
    </i>
    <i>
      <x v="1"/>
    </i>
    <i t="grand">
      <x/>
    </i>
  </rowItems>
  <colFields count="1">
    <field x="4"/>
  </colFields>
  <colItems count="3">
    <i>
      <x/>
    </i>
    <i>
      <x v="1"/>
    </i>
    <i t="grand">
      <x/>
    </i>
  </colItems>
  <dataFields count="1">
    <dataField name="Count of Respons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1"/>
  <sheetViews>
    <sheetView tabSelected="1" zoomScale="140" zoomScaleNormal="140" workbookViewId="0">
      <selection activeCell="B2" sqref="B2"/>
    </sheetView>
  </sheetViews>
  <sheetFormatPr baseColWidth="10" defaultColWidth="8.83203125" defaultRowHeight="15" x14ac:dyDescent="0.2"/>
  <cols>
    <col min="2" max="2" width="31.83203125" style="3" customWidth="1"/>
    <col min="3" max="3" width="125.33203125" style="3" customWidth="1"/>
  </cols>
  <sheetData>
    <row r="1" spans="1:7" ht="16" x14ac:dyDescent="0.2">
      <c r="B1" s="2" t="s">
        <v>0</v>
      </c>
      <c r="C1" s="2" t="s">
        <v>1</v>
      </c>
      <c r="D1" t="s">
        <v>95</v>
      </c>
      <c r="E1" t="s">
        <v>96</v>
      </c>
      <c r="F1" t="s">
        <v>97</v>
      </c>
      <c r="G1" t="s">
        <v>98</v>
      </c>
    </row>
    <row r="2" spans="1:7" ht="160" x14ac:dyDescent="0.2">
      <c r="A2" s="1">
        <v>0</v>
      </c>
      <c r="B2" s="3" t="s">
        <v>2</v>
      </c>
      <c r="C2" s="3" t="s">
        <v>3</v>
      </c>
      <c r="D2">
        <v>1</v>
      </c>
      <c r="E2">
        <v>1</v>
      </c>
      <c r="F2">
        <v>1</v>
      </c>
      <c r="G2">
        <v>0</v>
      </c>
    </row>
    <row r="3" spans="1:7" ht="160" x14ac:dyDescent="0.2">
      <c r="A3" s="1">
        <v>16</v>
      </c>
      <c r="B3" s="3" t="s">
        <v>2</v>
      </c>
      <c r="C3" s="3" t="s">
        <v>34</v>
      </c>
      <c r="D3">
        <v>1</v>
      </c>
      <c r="E3">
        <v>1</v>
      </c>
      <c r="F3">
        <v>1</v>
      </c>
      <c r="G3">
        <v>0</v>
      </c>
    </row>
    <row r="4" spans="1:7" ht="144" x14ac:dyDescent="0.2">
      <c r="A4" s="1">
        <v>32</v>
      </c>
      <c r="B4" s="3" t="s">
        <v>2</v>
      </c>
      <c r="C4" s="3" t="s">
        <v>49</v>
      </c>
      <c r="D4">
        <v>1</v>
      </c>
      <c r="E4">
        <v>1</v>
      </c>
      <c r="F4">
        <v>1</v>
      </c>
      <c r="G4">
        <v>0</v>
      </c>
    </row>
    <row r="5" spans="1:7" ht="176" x14ac:dyDescent="0.2">
      <c r="A5" s="1">
        <v>48</v>
      </c>
      <c r="B5" s="3" t="s">
        <v>2</v>
      </c>
      <c r="C5" s="3" t="s">
        <v>64</v>
      </c>
      <c r="D5">
        <v>1</v>
      </c>
      <c r="E5">
        <v>1</v>
      </c>
      <c r="F5">
        <v>1</v>
      </c>
      <c r="G5">
        <v>0</v>
      </c>
    </row>
    <row r="6" spans="1:7" ht="176" x14ac:dyDescent="0.2">
      <c r="A6" s="1">
        <v>64</v>
      </c>
      <c r="B6" s="3" t="s">
        <v>2</v>
      </c>
      <c r="C6" s="3" t="s">
        <v>80</v>
      </c>
      <c r="D6">
        <v>1</v>
      </c>
      <c r="E6">
        <v>1</v>
      </c>
      <c r="F6">
        <v>1</v>
      </c>
      <c r="G6">
        <v>0</v>
      </c>
    </row>
    <row r="7" spans="1:7" ht="144" x14ac:dyDescent="0.2">
      <c r="A7" s="1">
        <v>1</v>
      </c>
      <c r="B7" s="3" t="s">
        <v>4</v>
      </c>
      <c r="C7" s="3" t="s">
        <v>5</v>
      </c>
      <c r="D7">
        <v>1</v>
      </c>
      <c r="E7">
        <v>1</v>
      </c>
      <c r="F7">
        <v>1</v>
      </c>
      <c r="G7">
        <v>0</v>
      </c>
    </row>
    <row r="8" spans="1:7" ht="192" x14ac:dyDescent="0.2">
      <c r="A8" s="1">
        <v>17</v>
      </c>
      <c r="B8" s="3" t="s">
        <v>4</v>
      </c>
      <c r="C8" s="3" t="s">
        <v>35</v>
      </c>
      <c r="D8">
        <v>1</v>
      </c>
      <c r="E8">
        <v>1</v>
      </c>
      <c r="F8">
        <v>1</v>
      </c>
      <c r="G8">
        <v>0</v>
      </c>
    </row>
    <row r="9" spans="1:7" ht="144" x14ac:dyDescent="0.2">
      <c r="A9" s="1">
        <v>33</v>
      </c>
      <c r="B9" s="3" t="s">
        <v>4</v>
      </c>
      <c r="C9" s="3" t="s">
        <v>50</v>
      </c>
      <c r="D9">
        <v>1</v>
      </c>
      <c r="E9">
        <v>1</v>
      </c>
      <c r="F9">
        <v>1</v>
      </c>
      <c r="G9">
        <v>0</v>
      </c>
    </row>
    <row r="10" spans="1:7" ht="192" x14ac:dyDescent="0.2">
      <c r="A10" s="1">
        <v>49</v>
      </c>
      <c r="B10" s="3" t="s">
        <v>4</v>
      </c>
      <c r="C10" s="3" t="s">
        <v>65</v>
      </c>
      <c r="D10">
        <v>1</v>
      </c>
      <c r="E10">
        <v>1</v>
      </c>
      <c r="F10">
        <v>1</v>
      </c>
      <c r="G10">
        <v>0</v>
      </c>
    </row>
    <row r="11" spans="1:7" ht="176" x14ac:dyDescent="0.2">
      <c r="A11" s="1">
        <v>65</v>
      </c>
      <c r="B11" s="3" t="s">
        <v>4</v>
      </c>
      <c r="C11" s="3" t="s">
        <v>81</v>
      </c>
      <c r="D11">
        <v>1</v>
      </c>
      <c r="E11">
        <v>1</v>
      </c>
      <c r="F11">
        <v>1</v>
      </c>
      <c r="G11">
        <v>0</v>
      </c>
    </row>
    <row r="12" spans="1:7" ht="320" x14ac:dyDescent="0.2">
      <c r="A12" s="1">
        <v>3</v>
      </c>
      <c r="B12" s="3" t="s">
        <v>8</v>
      </c>
      <c r="C12" s="3" t="s">
        <v>9</v>
      </c>
      <c r="D12">
        <v>1</v>
      </c>
      <c r="E12">
        <v>1</v>
      </c>
      <c r="F12">
        <v>1</v>
      </c>
      <c r="G12">
        <v>0</v>
      </c>
    </row>
    <row r="13" spans="1:7" ht="304" x14ac:dyDescent="0.2">
      <c r="A13" s="1">
        <v>19</v>
      </c>
      <c r="B13" s="3" t="s">
        <v>8</v>
      </c>
      <c r="C13" s="3" t="s">
        <v>36</v>
      </c>
      <c r="D13">
        <v>1</v>
      </c>
      <c r="E13">
        <v>1</v>
      </c>
      <c r="F13">
        <v>1</v>
      </c>
      <c r="G13">
        <v>0</v>
      </c>
    </row>
    <row r="14" spans="1:7" ht="304" x14ac:dyDescent="0.2">
      <c r="A14" s="1">
        <v>35</v>
      </c>
      <c r="B14" s="3" t="s">
        <v>8</v>
      </c>
      <c r="C14" s="3" t="s">
        <v>52</v>
      </c>
      <c r="D14">
        <v>1</v>
      </c>
      <c r="E14">
        <v>1</v>
      </c>
      <c r="F14">
        <v>1</v>
      </c>
      <c r="G14">
        <v>0</v>
      </c>
    </row>
    <row r="15" spans="1:7" ht="335" x14ac:dyDescent="0.2">
      <c r="A15" s="1">
        <v>51</v>
      </c>
      <c r="B15" s="3" t="s">
        <v>8</v>
      </c>
      <c r="C15" s="3" t="s">
        <v>67</v>
      </c>
      <c r="D15">
        <v>0</v>
      </c>
      <c r="E15">
        <v>0</v>
      </c>
      <c r="F15">
        <v>0</v>
      </c>
      <c r="G15">
        <v>0</v>
      </c>
    </row>
    <row r="16" spans="1:7" ht="240" x14ac:dyDescent="0.2">
      <c r="A16" s="1">
        <v>67</v>
      </c>
      <c r="B16" s="3" t="s">
        <v>8</v>
      </c>
      <c r="C16" s="3" t="s">
        <v>83</v>
      </c>
      <c r="D16">
        <v>1</v>
      </c>
      <c r="E16">
        <v>1</v>
      </c>
      <c r="F16">
        <v>1</v>
      </c>
      <c r="G16">
        <v>0</v>
      </c>
    </row>
    <row r="17" spans="1:7" ht="48" x14ac:dyDescent="0.2">
      <c r="A17" s="1">
        <v>5</v>
      </c>
      <c r="B17" s="3" t="s">
        <v>12</v>
      </c>
      <c r="C17" s="3" t="s">
        <v>13</v>
      </c>
      <c r="D17">
        <v>0</v>
      </c>
      <c r="E17">
        <v>0</v>
      </c>
      <c r="F17">
        <v>0</v>
      </c>
      <c r="G17">
        <v>0</v>
      </c>
    </row>
    <row r="18" spans="1:7" ht="48" x14ac:dyDescent="0.2">
      <c r="A18" s="1">
        <v>21</v>
      </c>
      <c r="B18" s="3" t="s">
        <v>12</v>
      </c>
      <c r="C18" s="3" t="s">
        <v>38</v>
      </c>
      <c r="D18">
        <v>0</v>
      </c>
      <c r="E18">
        <v>0</v>
      </c>
      <c r="F18">
        <v>0</v>
      </c>
      <c r="G18">
        <v>0</v>
      </c>
    </row>
    <row r="19" spans="1:7" ht="48" x14ac:dyDescent="0.2">
      <c r="A19" s="1">
        <v>37</v>
      </c>
      <c r="B19" s="3" t="s">
        <v>12</v>
      </c>
      <c r="C19" s="3" t="s">
        <v>38</v>
      </c>
      <c r="D19">
        <v>0</v>
      </c>
      <c r="E19">
        <v>0</v>
      </c>
      <c r="F19">
        <v>0</v>
      </c>
      <c r="G19">
        <v>0</v>
      </c>
    </row>
    <row r="20" spans="1:7" ht="380" x14ac:dyDescent="0.2">
      <c r="A20" s="1">
        <v>53</v>
      </c>
      <c r="B20" s="3" t="s">
        <v>12</v>
      </c>
      <c r="C20" s="3" t="s">
        <v>69</v>
      </c>
      <c r="D20">
        <v>1</v>
      </c>
      <c r="E20">
        <v>1</v>
      </c>
      <c r="F20">
        <v>1</v>
      </c>
      <c r="G20">
        <v>0</v>
      </c>
    </row>
    <row r="21" spans="1:7" ht="48" x14ac:dyDescent="0.2">
      <c r="A21" s="1">
        <v>69</v>
      </c>
      <c r="B21" s="3" t="s">
        <v>12</v>
      </c>
      <c r="C21" s="3" t="s">
        <v>85</v>
      </c>
      <c r="D21">
        <v>0</v>
      </c>
      <c r="E21">
        <v>0</v>
      </c>
      <c r="F21">
        <v>0</v>
      </c>
      <c r="G21">
        <v>0</v>
      </c>
    </row>
    <row r="22" spans="1:7" ht="208" x14ac:dyDescent="0.2">
      <c r="A22" s="1">
        <v>4</v>
      </c>
      <c r="B22" s="3" t="s">
        <v>10</v>
      </c>
      <c r="C22" s="3" t="s">
        <v>11</v>
      </c>
      <c r="D22">
        <v>1</v>
      </c>
      <c r="E22">
        <v>1</v>
      </c>
      <c r="F22">
        <v>1</v>
      </c>
      <c r="G22">
        <v>0</v>
      </c>
    </row>
    <row r="23" spans="1:7" ht="409.6" x14ac:dyDescent="0.2">
      <c r="A23" s="1">
        <v>20</v>
      </c>
      <c r="B23" s="3" t="s">
        <v>10</v>
      </c>
      <c r="C23" s="3" t="s">
        <v>37</v>
      </c>
      <c r="D23">
        <v>1</v>
      </c>
      <c r="E23">
        <v>1</v>
      </c>
      <c r="F23">
        <v>1</v>
      </c>
      <c r="G23">
        <v>0</v>
      </c>
    </row>
    <row r="24" spans="1:7" ht="320" x14ac:dyDescent="0.2">
      <c r="A24" s="1">
        <v>36</v>
      </c>
      <c r="B24" s="3" t="s">
        <v>10</v>
      </c>
      <c r="C24" s="3" t="s">
        <v>53</v>
      </c>
      <c r="D24">
        <v>1</v>
      </c>
      <c r="E24">
        <v>1</v>
      </c>
      <c r="F24">
        <v>1</v>
      </c>
      <c r="G24">
        <v>0</v>
      </c>
    </row>
    <row r="25" spans="1:7" ht="304" x14ac:dyDescent="0.2">
      <c r="A25" s="1">
        <v>52</v>
      </c>
      <c r="B25" s="3" t="s">
        <v>10</v>
      </c>
      <c r="C25" s="3" t="s">
        <v>68</v>
      </c>
      <c r="D25">
        <v>1</v>
      </c>
      <c r="E25">
        <v>1</v>
      </c>
      <c r="F25">
        <v>1</v>
      </c>
      <c r="G25">
        <v>0</v>
      </c>
    </row>
    <row r="26" spans="1:7" ht="208" x14ac:dyDescent="0.2">
      <c r="A26" s="1">
        <v>68</v>
      </c>
      <c r="B26" s="3" t="s">
        <v>10</v>
      </c>
      <c r="C26" s="3" t="s">
        <v>84</v>
      </c>
      <c r="D26">
        <v>1</v>
      </c>
      <c r="E26">
        <v>1</v>
      </c>
      <c r="F26">
        <v>1</v>
      </c>
      <c r="G26">
        <v>0</v>
      </c>
    </row>
    <row r="27" spans="1:7" ht="409.6" x14ac:dyDescent="0.2">
      <c r="A27" s="1">
        <v>11</v>
      </c>
      <c r="B27" s="3" t="s">
        <v>24</v>
      </c>
      <c r="C27" s="3" t="s">
        <v>25</v>
      </c>
      <c r="D27">
        <v>1</v>
      </c>
      <c r="E27">
        <v>1</v>
      </c>
      <c r="F27">
        <v>1</v>
      </c>
      <c r="G27">
        <v>0</v>
      </c>
    </row>
    <row r="28" spans="1:7" ht="409.6" x14ac:dyDescent="0.2">
      <c r="A28" s="1">
        <v>27</v>
      </c>
      <c r="B28" s="3" t="s">
        <v>24</v>
      </c>
      <c r="C28" s="3" t="s">
        <v>44</v>
      </c>
      <c r="D28">
        <v>1</v>
      </c>
      <c r="E28">
        <v>1</v>
      </c>
      <c r="F28">
        <v>1</v>
      </c>
      <c r="G28">
        <v>0</v>
      </c>
    </row>
    <row r="29" spans="1:7" ht="409.6" x14ac:dyDescent="0.2">
      <c r="A29" s="1">
        <v>43</v>
      </c>
      <c r="B29" s="3" t="s">
        <v>24</v>
      </c>
      <c r="C29" s="3" t="s">
        <v>59</v>
      </c>
      <c r="D29">
        <v>1</v>
      </c>
      <c r="E29">
        <v>1</v>
      </c>
      <c r="F29">
        <v>1</v>
      </c>
      <c r="G29">
        <v>0</v>
      </c>
    </row>
    <row r="30" spans="1:7" ht="409.6" x14ac:dyDescent="0.2">
      <c r="A30" s="1">
        <v>59</v>
      </c>
      <c r="B30" s="3" t="s">
        <v>24</v>
      </c>
      <c r="C30" s="3" t="s">
        <v>75</v>
      </c>
      <c r="D30">
        <v>1</v>
      </c>
      <c r="E30">
        <v>1</v>
      </c>
      <c r="F30">
        <v>1</v>
      </c>
      <c r="G30">
        <v>0</v>
      </c>
    </row>
    <row r="31" spans="1:7" ht="409.6" x14ac:dyDescent="0.2">
      <c r="A31" s="1">
        <v>75</v>
      </c>
      <c r="B31" s="3" t="s">
        <v>24</v>
      </c>
      <c r="C31" s="3" t="s">
        <v>90</v>
      </c>
      <c r="D31">
        <v>1</v>
      </c>
      <c r="E31">
        <v>1</v>
      </c>
      <c r="F31">
        <v>1</v>
      </c>
      <c r="G31">
        <v>0</v>
      </c>
    </row>
    <row r="32" spans="1:7" ht="96" x14ac:dyDescent="0.2">
      <c r="A32" s="1">
        <v>6</v>
      </c>
      <c r="B32" s="3" t="s">
        <v>14</v>
      </c>
      <c r="C32" s="3" t="s">
        <v>15</v>
      </c>
      <c r="D32">
        <v>0</v>
      </c>
      <c r="E32">
        <v>0</v>
      </c>
      <c r="F32">
        <v>0</v>
      </c>
      <c r="G32">
        <v>0</v>
      </c>
    </row>
    <row r="33" spans="1:7" ht="224" x14ac:dyDescent="0.2">
      <c r="A33" s="1">
        <v>22</v>
      </c>
      <c r="B33" s="3" t="s">
        <v>14</v>
      </c>
      <c r="C33" s="3" t="s">
        <v>39</v>
      </c>
      <c r="D33">
        <v>1</v>
      </c>
      <c r="E33">
        <v>1</v>
      </c>
      <c r="F33">
        <v>1</v>
      </c>
      <c r="G33">
        <v>0</v>
      </c>
    </row>
    <row r="34" spans="1:7" ht="80" x14ac:dyDescent="0.2">
      <c r="A34" s="1">
        <v>38</v>
      </c>
      <c r="B34" s="3" t="s">
        <v>14</v>
      </c>
      <c r="C34" s="3" t="s">
        <v>54</v>
      </c>
      <c r="D34">
        <v>0</v>
      </c>
      <c r="E34">
        <v>0</v>
      </c>
      <c r="F34">
        <v>0</v>
      </c>
      <c r="G34">
        <v>0</v>
      </c>
    </row>
    <row r="35" spans="1:7" ht="96" x14ac:dyDescent="0.2">
      <c r="A35" s="1">
        <v>54</v>
      </c>
      <c r="B35" s="3" t="s">
        <v>14</v>
      </c>
      <c r="C35" s="3" t="s">
        <v>70</v>
      </c>
      <c r="D35">
        <v>0</v>
      </c>
      <c r="E35">
        <v>0</v>
      </c>
      <c r="F35">
        <v>0</v>
      </c>
      <c r="G35">
        <v>0</v>
      </c>
    </row>
    <row r="36" spans="1:7" ht="96" x14ac:dyDescent="0.2">
      <c r="A36" s="1">
        <v>70</v>
      </c>
      <c r="B36" s="3" t="s">
        <v>14</v>
      </c>
      <c r="C36" s="3" t="s">
        <v>15</v>
      </c>
      <c r="D36">
        <v>0</v>
      </c>
      <c r="E36">
        <v>0</v>
      </c>
      <c r="F36">
        <v>0</v>
      </c>
      <c r="G36">
        <v>0</v>
      </c>
    </row>
    <row r="37" spans="1:7" ht="192" x14ac:dyDescent="0.2">
      <c r="A37" s="1">
        <v>8</v>
      </c>
      <c r="B37" s="3" t="s">
        <v>18</v>
      </c>
      <c r="C37" s="3" t="s">
        <v>19</v>
      </c>
      <c r="D37">
        <v>0</v>
      </c>
      <c r="E37">
        <v>0</v>
      </c>
      <c r="F37">
        <v>0</v>
      </c>
      <c r="G37">
        <v>0</v>
      </c>
    </row>
    <row r="38" spans="1:7" ht="208" x14ac:dyDescent="0.2">
      <c r="A38" s="1">
        <v>24</v>
      </c>
      <c r="B38" s="3" t="s">
        <v>18</v>
      </c>
      <c r="C38" s="3" t="s">
        <v>41</v>
      </c>
      <c r="D38">
        <v>1</v>
      </c>
      <c r="E38">
        <v>1</v>
      </c>
      <c r="F38">
        <v>1</v>
      </c>
      <c r="G38">
        <v>0</v>
      </c>
    </row>
    <row r="39" spans="1:7" ht="240" x14ac:dyDescent="0.2">
      <c r="A39" s="1">
        <v>40</v>
      </c>
      <c r="B39" s="3" t="s">
        <v>18</v>
      </c>
      <c r="C39" s="3" t="s">
        <v>56</v>
      </c>
      <c r="D39">
        <v>1</v>
      </c>
      <c r="E39">
        <v>1</v>
      </c>
      <c r="F39">
        <v>1</v>
      </c>
      <c r="G39">
        <v>0</v>
      </c>
    </row>
    <row r="40" spans="1:7" ht="256" x14ac:dyDescent="0.2">
      <c r="A40" s="1">
        <v>56</v>
      </c>
      <c r="B40" s="3" t="s">
        <v>18</v>
      </c>
      <c r="C40" s="3" t="s">
        <v>72</v>
      </c>
      <c r="D40">
        <v>1</v>
      </c>
      <c r="E40">
        <v>1</v>
      </c>
      <c r="F40">
        <v>1</v>
      </c>
      <c r="G40">
        <v>0</v>
      </c>
    </row>
    <row r="41" spans="1:7" ht="288" x14ac:dyDescent="0.2">
      <c r="A41" s="1">
        <v>72</v>
      </c>
      <c r="B41" s="3" t="s">
        <v>18</v>
      </c>
      <c r="C41" s="3" t="s">
        <v>87</v>
      </c>
      <c r="D41">
        <v>1</v>
      </c>
      <c r="E41">
        <v>1</v>
      </c>
      <c r="F41">
        <v>1</v>
      </c>
      <c r="G41">
        <v>0</v>
      </c>
    </row>
    <row r="42" spans="1:7" ht="64" x14ac:dyDescent="0.2">
      <c r="A42" s="1">
        <v>10</v>
      </c>
      <c r="B42" s="3" t="s">
        <v>22</v>
      </c>
      <c r="C42" s="3" t="s">
        <v>23</v>
      </c>
      <c r="D42">
        <v>0</v>
      </c>
      <c r="E42">
        <v>0</v>
      </c>
      <c r="F42">
        <v>0</v>
      </c>
      <c r="G42">
        <v>0</v>
      </c>
    </row>
    <row r="43" spans="1:7" ht="64" x14ac:dyDescent="0.2">
      <c r="A43" s="1">
        <v>26</v>
      </c>
      <c r="B43" s="3" t="s">
        <v>22</v>
      </c>
      <c r="C43" s="3" t="s">
        <v>43</v>
      </c>
      <c r="D43">
        <v>0</v>
      </c>
      <c r="E43">
        <v>0</v>
      </c>
      <c r="F43">
        <v>0</v>
      </c>
      <c r="G43">
        <v>0</v>
      </c>
    </row>
    <row r="44" spans="1:7" ht="64" x14ac:dyDescent="0.2">
      <c r="A44" s="1">
        <v>42</v>
      </c>
      <c r="B44" s="3" t="s">
        <v>22</v>
      </c>
      <c r="C44" s="3" t="s">
        <v>58</v>
      </c>
      <c r="D44">
        <v>0</v>
      </c>
      <c r="E44">
        <v>0</v>
      </c>
      <c r="F44">
        <v>0</v>
      </c>
      <c r="G44">
        <v>0</v>
      </c>
    </row>
    <row r="45" spans="1:7" ht="112" x14ac:dyDescent="0.2">
      <c r="A45" s="1">
        <v>58</v>
      </c>
      <c r="B45" s="3" t="s">
        <v>22</v>
      </c>
      <c r="C45" s="3" t="s">
        <v>74</v>
      </c>
      <c r="D45">
        <v>0</v>
      </c>
      <c r="E45">
        <v>1</v>
      </c>
      <c r="F45">
        <v>0</v>
      </c>
      <c r="G45">
        <v>0</v>
      </c>
    </row>
    <row r="46" spans="1:7" ht="64" x14ac:dyDescent="0.2">
      <c r="A46" s="1">
        <v>74</v>
      </c>
      <c r="B46" s="3" t="s">
        <v>22</v>
      </c>
      <c r="C46" s="3" t="s">
        <v>89</v>
      </c>
      <c r="D46">
        <v>0</v>
      </c>
      <c r="E46">
        <v>0</v>
      </c>
      <c r="F46">
        <v>0</v>
      </c>
      <c r="G46">
        <v>0</v>
      </c>
    </row>
    <row r="47" spans="1:7" ht="320" x14ac:dyDescent="0.2">
      <c r="A47" s="1">
        <v>7</v>
      </c>
      <c r="B47" s="3" t="s">
        <v>16</v>
      </c>
      <c r="C47" s="3" t="s">
        <v>17</v>
      </c>
      <c r="D47">
        <v>1</v>
      </c>
      <c r="E47">
        <v>1</v>
      </c>
      <c r="F47">
        <v>1</v>
      </c>
      <c r="G47">
        <v>0</v>
      </c>
    </row>
    <row r="48" spans="1:7" ht="395" x14ac:dyDescent="0.2">
      <c r="A48" s="1">
        <v>23</v>
      </c>
      <c r="B48" s="3" t="s">
        <v>16</v>
      </c>
      <c r="C48" s="3" t="s">
        <v>40</v>
      </c>
      <c r="D48">
        <v>1</v>
      </c>
      <c r="E48">
        <v>1</v>
      </c>
      <c r="F48">
        <v>1</v>
      </c>
      <c r="G48">
        <v>0</v>
      </c>
    </row>
    <row r="49" spans="1:7" ht="320" x14ac:dyDescent="0.2">
      <c r="A49" s="1">
        <v>39</v>
      </c>
      <c r="B49" s="3" t="s">
        <v>16</v>
      </c>
      <c r="C49" s="3" t="s">
        <v>55</v>
      </c>
      <c r="D49">
        <v>1</v>
      </c>
      <c r="E49">
        <v>1</v>
      </c>
      <c r="F49">
        <v>1</v>
      </c>
      <c r="G49">
        <v>0</v>
      </c>
    </row>
    <row r="50" spans="1:7" ht="365" x14ac:dyDescent="0.2">
      <c r="A50" s="1">
        <v>55</v>
      </c>
      <c r="B50" s="3" t="s">
        <v>16</v>
      </c>
      <c r="C50" s="3" t="s">
        <v>71</v>
      </c>
      <c r="D50">
        <v>1</v>
      </c>
      <c r="E50">
        <v>1</v>
      </c>
      <c r="F50">
        <v>1</v>
      </c>
      <c r="G50">
        <v>0</v>
      </c>
    </row>
    <row r="51" spans="1:7" ht="320" x14ac:dyDescent="0.2">
      <c r="A51" s="1">
        <v>71</v>
      </c>
      <c r="B51" s="3" t="s">
        <v>16</v>
      </c>
      <c r="C51" s="3" t="s">
        <v>86</v>
      </c>
      <c r="D51">
        <v>1</v>
      </c>
      <c r="E51">
        <v>1</v>
      </c>
      <c r="F51">
        <v>1</v>
      </c>
      <c r="G51">
        <v>0</v>
      </c>
    </row>
    <row r="52" spans="1:7" ht="304" x14ac:dyDescent="0.2">
      <c r="A52" s="1">
        <v>14</v>
      </c>
      <c r="B52" s="3" t="s">
        <v>30</v>
      </c>
      <c r="C52" s="3" t="s">
        <v>31</v>
      </c>
      <c r="D52">
        <v>1</v>
      </c>
      <c r="E52">
        <v>1</v>
      </c>
      <c r="F52">
        <v>1</v>
      </c>
      <c r="G52">
        <v>0</v>
      </c>
    </row>
    <row r="53" spans="1:7" ht="304" x14ac:dyDescent="0.2">
      <c r="A53" s="1">
        <v>30</v>
      </c>
      <c r="B53" s="3" t="s">
        <v>30</v>
      </c>
      <c r="C53" s="3" t="s">
        <v>47</v>
      </c>
      <c r="D53">
        <v>1</v>
      </c>
      <c r="E53">
        <v>1</v>
      </c>
      <c r="F53">
        <v>1</v>
      </c>
      <c r="G53">
        <v>0</v>
      </c>
    </row>
    <row r="54" spans="1:7" ht="160" x14ac:dyDescent="0.2">
      <c r="A54" s="1">
        <v>46</v>
      </c>
      <c r="B54" s="3" t="s">
        <v>30</v>
      </c>
      <c r="C54" s="3" t="s">
        <v>62</v>
      </c>
      <c r="D54">
        <v>1</v>
      </c>
      <c r="E54">
        <v>1</v>
      </c>
      <c r="F54">
        <v>1</v>
      </c>
      <c r="G54">
        <v>0</v>
      </c>
    </row>
    <row r="55" spans="1:7" ht="395" x14ac:dyDescent="0.2">
      <c r="A55" s="1">
        <v>62</v>
      </c>
      <c r="B55" s="3" t="s">
        <v>30</v>
      </c>
      <c r="C55" s="3" t="s">
        <v>78</v>
      </c>
      <c r="D55">
        <v>1</v>
      </c>
      <c r="E55">
        <v>1</v>
      </c>
      <c r="F55">
        <v>1</v>
      </c>
      <c r="G55">
        <v>0</v>
      </c>
    </row>
    <row r="56" spans="1:7" ht="128" x14ac:dyDescent="0.2">
      <c r="A56" s="1">
        <v>78</v>
      </c>
      <c r="B56" s="3" t="s">
        <v>30</v>
      </c>
      <c r="C56" s="3" t="s">
        <v>93</v>
      </c>
      <c r="D56">
        <v>1</v>
      </c>
      <c r="E56">
        <v>1</v>
      </c>
      <c r="F56">
        <v>1</v>
      </c>
      <c r="G56">
        <v>0</v>
      </c>
    </row>
    <row r="57" spans="1:7" ht="335" x14ac:dyDescent="0.2">
      <c r="A57" s="1">
        <v>15</v>
      </c>
      <c r="B57" s="3" t="s">
        <v>32</v>
      </c>
      <c r="C57" s="3" t="s">
        <v>33</v>
      </c>
      <c r="D57">
        <v>1</v>
      </c>
      <c r="E57">
        <v>1</v>
      </c>
      <c r="F57">
        <v>1</v>
      </c>
      <c r="G57">
        <v>0</v>
      </c>
    </row>
    <row r="58" spans="1:7" ht="304" x14ac:dyDescent="0.2">
      <c r="A58" s="1">
        <v>31</v>
      </c>
      <c r="B58" s="3" t="s">
        <v>32</v>
      </c>
      <c r="C58" s="3" t="s">
        <v>48</v>
      </c>
      <c r="D58">
        <v>1</v>
      </c>
      <c r="E58">
        <v>1</v>
      </c>
      <c r="F58">
        <v>1</v>
      </c>
      <c r="G58">
        <v>0</v>
      </c>
    </row>
    <row r="59" spans="1:7" ht="380" x14ac:dyDescent="0.2">
      <c r="A59" s="1">
        <v>47</v>
      </c>
      <c r="B59" s="3" t="s">
        <v>32</v>
      </c>
      <c r="C59" s="3" t="s">
        <v>63</v>
      </c>
      <c r="D59">
        <v>1</v>
      </c>
      <c r="E59">
        <v>1</v>
      </c>
      <c r="F59">
        <v>1</v>
      </c>
      <c r="G59">
        <v>0</v>
      </c>
    </row>
    <row r="60" spans="1:7" ht="350" x14ac:dyDescent="0.2">
      <c r="A60" s="1">
        <v>63</v>
      </c>
      <c r="B60" s="3" t="s">
        <v>32</v>
      </c>
      <c r="C60" s="3" t="s">
        <v>79</v>
      </c>
      <c r="D60">
        <v>1</v>
      </c>
      <c r="E60">
        <v>1</v>
      </c>
      <c r="F60">
        <v>1</v>
      </c>
      <c r="G60">
        <v>0</v>
      </c>
    </row>
    <row r="61" spans="1:7" ht="304" x14ac:dyDescent="0.2">
      <c r="A61" s="1">
        <v>79</v>
      </c>
      <c r="B61" s="3" t="s">
        <v>32</v>
      </c>
      <c r="C61" s="3" t="s">
        <v>94</v>
      </c>
      <c r="D61">
        <v>1</v>
      </c>
      <c r="E61">
        <v>1</v>
      </c>
      <c r="F61">
        <v>1</v>
      </c>
      <c r="G61">
        <v>0</v>
      </c>
    </row>
    <row r="62" spans="1:7" ht="409.6" x14ac:dyDescent="0.2">
      <c r="A62" s="1">
        <v>13</v>
      </c>
      <c r="B62" s="3" t="s">
        <v>28</v>
      </c>
      <c r="C62" s="3" t="s">
        <v>29</v>
      </c>
      <c r="D62">
        <v>1</v>
      </c>
      <c r="E62">
        <v>1</v>
      </c>
      <c r="F62">
        <v>1</v>
      </c>
      <c r="G62">
        <v>0</v>
      </c>
    </row>
    <row r="63" spans="1:7" ht="409.6" x14ac:dyDescent="0.2">
      <c r="A63" s="1">
        <v>29</v>
      </c>
      <c r="B63" s="3" t="s">
        <v>28</v>
      </c>
      <c r="C63" s="3" t="s">
        <v>46</v>
      </c>
      <c r="D63">
        <v>1</v>
      </c>
      <c r="E63">
        <v>1</v>
      </c>
      <c r="F63">
        <v>1</v>
      </c>
      <c r="G63">
        <v>0</v>
      </c>
    </row>
    <row r="64" spans="1:7" ht="380" x14ac:dyDescent="0.2">
      <c r="A64" s="1">
        <v>45</v>
      </c>
      <c r="B64" s="3" t="s">
        <v>28</v>
      </c>
      <c r="C64" s="3" t="s">
        <v>61</v>
      </c>
      <c r="D64">
        <v>1</v>
      </c>
      <c r="E64">
        <v>1</v>
      </c>
      <c r="F64">
        <v>1</v>
      </c>
      <c r="G64">
        <v>0</v>
      </c>
    </row>
    <row r="65" spans="1:7" ht="350" x14ac:dyDescent="0.2">
      <c r="A65" s="1">
        <v>61</v>
      </c>
      <c r="B65" s="3" t="s">
        <v>28</v>
      </c>
      <c r="C65" s="3" t="s">
        <v>77</v>
      </c>
      <c r="D65">
        <v>1</v>
      </c>
      <c r="E65">
        <v>1</v>
      </c>
      <c r="F65">
        <v>1</v>
      </c>
      <c r="G65">
        <v>0</v>
      </c>
    </row>
    <row r="66" spans="1:7" ht="365" x14ac:dyDescent="0.2">
      <c r="A66" s="1">
        <v>77</v>
      </c>
      <c r="B66" s="3" t="s">
        <v>28</v>
      </c>
      <c r="C66" s="3" t="s">
        <v>92</v>
      </c>
      <c r="D66">
        <v>1</v>
      </c>
      <c r="E66">
        <v>1</v>
      </c>
      <c r="F66">
        <v>1</v>
      </c>
      <c r="G66">
        <v>0</v>
      </c>
    </row>
    <row r="67" spans="1:7" ht="409.6" x14ac:dyDescent="0.2">
      <c r="A67" s="1">
        <v>12</v>
      </c>
      <c r="B67" s="3" t="s">
        <v>26</v>
      </c>
      <c r="C67" s="3" t="s">
        <v>27</v>
      </c>
      <c r="D67">
        <v>1</v>
      </c>
      <c r="E67">
        <v>1</v>
      </c>
      <c r="F67">
        <v>1</v>
      </c>
      <c r="G67">
        <v>0</v>
      </c>
    </row>
    <row r="68" spans="1:7" ht="380" x14ac:dyDescent="0.2">
      <c r="A68" s="1">
        <v>28</v>
      </c>
      <c r="B68" s="3" t="s">
        <v>26</v>
      </c>
      <c r="C68" s="3" t="s">
        <v>45</v>
      </c>
      <c r="D68">
        <v>1</v>
      </c>
      <c r="E68">
        <v>1</v>
      </c>
      <c r="F68">
        <v>1</v>
      </c>
      <c r="G68">
        <v>0</v>
      </c>
    </row>
    <row r="69" spans="1:7" ht="350" x14ac:dyDescent="0.2">
      <c r="A69" s="1">
        <v>44</v>
      </c>
      <c r="B69" s="3" t="s">
        <v>26</v>
      </c>
      <c r="C69" s="3" t="s">
        <v>60</v>
      </c>
      <c r="D69">
        <v>1</v>
      </c>
      <c r="E69">
        <v>1</v>
      </c>
      <c r="F69">
        <v>1</v>
      </c>
      <c r="G69">
        <v>0</v>
      </c>
    </row>
    <row r="70" spans="1:7" ht="350" x14ac:dyDescent="0.2">
      <c r="A70" s="1">
        <v>60</v>
      </c>
      <c r="B70" s="3" t="s">
        <v>26</v>
      </c>
      <c r="C70" s="3" t="s">
        <v>76</v>
      </c>
      <c r="D70">
        <v>1</v>
      </c>
      <c r="E70">
        <v>1</v>
      </c>
      <c r="F70">
        <v>1</v>
      </c>
      <c r="G70">
        <v>0</v>
      </c>
    </row>
    <row r="71" spans="1:7" ht="395" x14ac:dyDescent="0.2">
      <c r="A71" s="1">
        <v>76</v>
      </c>
      <c r="B71" s="3" t="s">
        <v>26</v>
      </c>
      <c r="C71" s="3" t="s">
        <v>91</v>
      </c>
      <c r="D71">
        <v>1</v>
      </c>
      <c r="E71">
        <v>1</v>
      </c>
      <c r="F71">
        <v>1</v>
      </c>
      <c r="G71">
        <v>0</v>
      </c>
    </row>
    <row r="72" spans="1:7" ht="80" x14ac:dyDescent="0.2">
      <c r="A72" s="1">
        <v>2</v>
      </c>
      <c r="B72" s="3" t="s">
        <v>6</v>
      </c>
      <c r="C72" s="3" t="s">
        <v>7</v>
      </c>
      <c r="D72">
        <v>0</v>
      </c>
      <c r="E72">
        <v>0</v>
      </c>
      <c r="F72">
        <v>0</v>
      </c>
      <c r="G72">
        <v>0</v>
      </c>
    </row>
    <row r="73" spans="1:7" ht="80" x14ac:dyDescent="0.2">
      <c r="A73" s="1">
        <v>18</v>
      </c>
      <c r="B73" s="3" t="s">
        <v>6</v>
      </c>
      <c r="C73" s="3" t="s">
        <v>7</v>
      </c>
      <c r="D73">
        <v>0</v>
      </c>
      <c r="E73">
        <v>0</v>
      </c>
      <c r="F73">
        <v>0</v>
      </c>
      <c r="G73">
        <v>0</v>
      </c>
    </row>
    <row r="74" spans="1:7" ht="176" x14ac:dyDescent="0.2">
      <c r="A74" s="1">
        <v>34</v>
      </c>
      <c r="B74" s="3" t="s">
        <v>6</v>
      </c>
      <c r="C74" s="3" t="s">
        <v>51</v>
      </c>
      <c r="D74">
        <v>1</v>
      </c>
      <c r="E74">
        <v>1</v>
      </c>
      <c r="F74">
        <v>1</v>
      </c>
      <c r="G74">
        <v>0</v>
      </c>
    </row>
    <row r="75" spans="1:7" ht="80" x14ac:dyDescent="0.2">
      <c r="A75" s="1">
        <v>50</v>
      </c>
      <c r="B75" s="3" t="s">
        <v>6</v>
      </c>
      <c r="C75" s="3" t="s">
        <v>66</v>
      </c>
      <c r="D75">
        <v>1</v>
      </c>
      <c r="E75">
        <v>1</v>
      </c>
      <c r="F75">
        <v>1</v>
      </c>
      <c r="G75">
        <v>0</v>
      </c>
    </row>
    <row r="76" spans="1:7" ht="409.6" x14ac:dyDescent="0.2">
      <c r="A76" s="1">
        <v>66</v>
      </c>
      <c r="B76" s="3" t="s">
        <v>6</v>
      </c>
      <c r="C76" s="3" t="s">
        <v>82</v>
      </c>
      <c r="D76">
        <v>1</v>
      </c>
      <c r="E76">
        <v>1</v>
      </c>
      <c r="F76">
        <v>1</v>
      </c>
      <c r="G76">
        <v>0</v>
      </c>
    </row>
    <row r="77" spans="1:7" ht="409.6" x14ac:dyDescent="0.2">
      <c r="A77" s="1">
        <v>9</v>
      </c>
      <c r="B77" s="3" t="s">
        <v>20</v>
      </c>
      <c r="C77" s="3" t="s">
        <v>21</v>
      </c>
      <c r="D77">
        <v>1</v>
      </c>
      <c r="E77">
        <v>1</v>
      </c>
      <c r="F77">
        <v>1</v>
      </c>
      <c r="G77">
        <v>0</v>
      </c>
    </row>
    <row r="78" spans="1:7" ht="365" x14ac:dyDescent="0.2">
      <c r="A78" s="1">
        <v>25</v>
      </c>
      <c r="B78" s="3" t="s">
        <v>20</v>
      </c>
      <c r="C78" s="3" t="s">
        <v>42</v>
      </c>
      <c r="D78">
        <v>1</v>
      </c>
      <c r="E78">
        <v>1</v>
      </c>
      <c r="F78">
        <v>1</v>
      </c>
      <c r="G78">
        <v>0</v>
      </c>
    </row>
    <row r="79" spans="1:7" ht="395" x14ac:dyDescent="0.2">
      <c r="A79" s="1">
        <v>41</v>
      </c>
      <c r="B79" s="3" t="s">
        <v>20</v>
      </c>
      <c r="C79" s="3" t="s">
        <v>57</v>
      </c>
      <c r="D79">
        <v>1</v>
      </c>
      <c r="E79">
        <v>1</v>
      </c>
      <c r="F79">
        <v>1</v>
      </c>
      <c r="G79">
        <v>0</v>
      </c>
    </row>
    <row r="80" spans="1:7" ht="365" x14ac:dyDescent="0.2">
      <c r="A80" s="1">
        <v>57</v>
      </c>
      <c r="B80" s="3" t="s">
        <v>20</v>
      </c>
      <c r="C80" s="3" t="s">
        <v>73</v>
      </c>
      <c r="D80">
        <v>1</v>
      </c>
      <c r="E80">
        <v>1</v>
      </c>
      <c r="F80">
        <v>1</v>
      </c>
      <c r="G80">
        <v>0</v>
      </c>
    </row>
    <row r="81" spans="1:7" ht="320" x14ac:dyDescent="0.2">
      <c r="A81" s="1">
        <v>73</v>
      </c>
      <c r="B81" s="3" t="s">
        <v>20</v>
      </c>
      <c r="C81" s="3" t="s">
        <v>88</v>
      </c>
      <c r="D81">
        <v>1</v>
      </c>
      <c r="E81">
        <v>1</v>
      </c>
      <c r="F81">
        <v>1</v>
      </c>
      <c r="G81">
        <v>0</v>
      </c>
    </row>
  </sheetData>
  <sortState xmlns:xlrd2="http://schemas.microsoft.com/office/spreadsheetml/2017/richdata2" ref="A2:G81">
    <sortCondition descending="1" ref="B2:B81"/>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6A0C1-D18F-B44C-B963-DDD05BD4AC50}">
  <sheetPr>
    <outlinePr summaryBelow="0" summaryRight="0"/>
  </sheetPr>
  <dimension ref="A1:W994"/>
  <sheetViews>
    <sheetView workbookViewId="0">
      <selection activeCell="E13" sqref="E13:E15"/>
    </sheetView>
  </sheetViews>
  <sheetFormatPr baseColWidth="10" defaultColWidth="12.6640625" defaultRowHeight="15.75" customHeight="1" x14ac:dyDescent="0.2"/>
  <cols>
    <col min="1" max="1" width="15.33203125" style="4" bestFit="1" customWidth="1"/>
    <col min="2" max="2" width="14.83203125" style="4" bestFit="1" customWidth="1"/>
    <col min="3" max="3" width="14" style="4" customWidth="1"/>
    <col min="4" max="4" width="10" style="4" bestFit="1" customWidth="1"/>
    <col min="5" max="5" width="17" style="4" customWidth="1"/>
    <col min="6" max="16384" width="12.6640625" style="4"/>
  </cols>
  <sheetData>
    <row r="1" spans="1:23" ht="16" x14ac:dyDescent="0.2">
      <c r="A1" s="10" t="s">
        <v>117</v>
      </c>
      <c r="B1" s="9"/>
      <c r="C1" s="9"/>
      <c r="D1" s="9"/>
      <c r="E1" s="9"/>
      <c r="F1" s="5"/>
      <c r="H1" s="5"/>
      <c r="I1" s="5"/>
      <c r="J1" s="5"/>
      <c r="K1" s="5"/>
      <c r="L1" s="5"/>
      <c r="M1" s="5"/>
      <c r="N1" s="5"/>
      <c r="O1" s="5"/>
      <c r="P1" s="5"/>
      <c r="Q1" s="5"/>
      <c r="R1" s="5"/>
      <c r="S1" s="5"/>
      <c r="T1" s="5"/>
      <c r="U1" s="5"/>
      <c r="V1" s="5"/>
      <c r="W1" s="5"/>
    </row>
    <row r="2" spans="1:23" ht="16" x14ac:dyDescent="0.2">
      <c r="A2" s="5"/>
      <c r="B2" s="6"/>
      <c r="C2" s="6"/>
      <c r="D2" s="6"/>
      <c r="E2" s="6"/>
      <c r="F2" s="5"/>
      <c r="H2" s="5"/>
      <c r="I2" s="5"/>
      <c r="J2" s="5"/>
      <c r="K2" s="5"/>
      <c r="L2" s="5"/>
      <c r="M2" s="5"/>
      <c r="N2" s="5"/>
      <c r="O2" s="5"/>
      <c r="P2" s="5"/>
      <c r="Q2" s="5"/>
      <c r="R2" s="5"/>
      <c r="S2" s="5"/>
      <c r="T2" s="5"/>
      <c r="U2" s="5"/>
      <c r="V2" s="5"/>
      <c r="W2" s="5"/>
    </row>
    <row r="3" spans="1:23" ht="16" x14ac:dyDescent="0.2">
      <c r="A3" s="5" t="s">
        <v>116</v>
      </c>
      <c r="C3" s="5" t="s">
        <v>114</v>
      </c>
      <c r="E3" s="5" t="s">
        <v>112</v>
      </c>
      <c r="F3" s="5"/>
      <c r="G3" s="5"/>
      <c r="H3" s="5"/>
      <c r="I3" s="5"/>
      <c r="J3" s="5"/>
      <c r="K3" s="5"/>
      <c r="L3" s="5"/>
      <c r="M3" s="5"/>
      <c r="N3" s="5"/>
      <c r="O3" s="5"/>
      <c r="P3" s="5"/>
      <c r="Q3" s="5"/>
      <c r="R3" s="5"/>
      <c r="S3" s="5"/>
      <c r="T3" s="5"/>
      <c r="U3" s="5"/>
      <c r="V3" s="5"/>
      <c r="W3" s="5"/>
    </row>
    <row r="4" spans="1:23" ht="16" x14ac:dyDescent="0.2">
      <c r="B4" t="s">
        <v>100</v>
      </c>
      <c r="C4">
        <v>0</v>
      </c>
      <c r="D4">
        <v>1</v>
      </c>
      <c r="E4" t="s">
        <v>99</v>
      </c>
      <c r="F4" s="5"/>
      <c r="G4" s="5"/>
      <c r="H4" s="5"/>
      <c r="I4" s="5"/>
      <c r="J4" s="5"/>
      <c r="K4" s="5"/>
      <c r="L4" s="5"/>
      <c r="M4" s="5"/>
      <c r="N4" s="5"/>
      <c r="O4" s="5"/>
      <c r="P4" s="5"/>
      <c r="Q4" s="5"/>
      <c r="R4" s="5"/>
      <c r="S4" s="5"/>
      <c r="T4" s="5"/>
      <c r="U4" s="5"/>
      <c r="V4" s="5"/>
      <c r="W4" s="5"/>
    </row>
    <row r="5" spans="1:23" ht="16" x14ac:dyDescent="0.2">
      <c r="A5" s="18" t="s">
        <v>113</v>
      </c>
      <c r="B5">
        <v>0</v>
      </c>
      <c r="C5">
        <v>16</v>
      </c>
      <c r="D5"/>
      <c r="E5">
        <v>16</v>
      </c>
      <c r="F5" s="5"/>
      <c r="G5" s="5"/>
      <c r="H5" s="5"/>
      <c r="I5" s="5"/>
      <c r="J5" s="5"/>
      <c r="K5" s="5"/>
      <c r="L5" s="5"/>
      <c r="M5" s="5"/>
      <c r="N5" s="5"/>
      <c r="O5" s="5"/>
      <c r="P5" s="5"/>
      <c r="Q5" s="5"/>
      <c r="R5" s="5"/>
      <c r="S5" s="5"/>
      <c r="T5" s="5"/>
      <c r="U5" s="5"/>
      <c r="V5" s="5"/>
      <c r="W5" s="5"/>
    </row>
    <row r="6" spans="1:23" ht="16" x14ac:dyDescent="0.2">
      <c r="B6">
        <v>1</v>
      </c>
      <c r="C6">
        <v>1</v>
      </c>
      <c r="D6">
        <v>63</v>
      </c>
      <c r="E6">
        <v>64</v>
      </c>
      <c r="F6" s="5"/>
      <c r="G6" s="5"/>
      <c r="H6" s="5"/>
      <c r="I6" s="5"/>
      <c r="J6" s="5"/>
      <c r="K6" s="5"/>
      <c r="L6" s="5"/>
      <c r="M6" s="5"/>
      <c r="N6" s="5"/>
      <c r="O6" s="5"/>
      <c r="P6" s="5"/>
      <c r="Q6" s="5"/>
      <c r="R6" s="5"/>
      <c r="S6" s="5"/>
      <c r="T6" s="5"/>
      <c r="U6" s="5"/>
      <c r="V6" s="5"/>
      <c r="W6" s="5"/>
    </row>
    <row r="7" spans="1:23" ht="16" x14ac:dyDescent="0.2">
      <c r="A7" s="21"/>
      <c r="B7" t="s">
        <v>99</v>
      </c>
      <c r="C7">
        <v>17</v>
      </c>
      <c r="D7">
        <v>63</v>
      </c>
      <c r="E7">
        <v>80</v>
      </c>
      <c r="H7" s="5"/>
      <c r="I7" s="5"/>
      <c r="J7" s="5"/>
      <c r="K7" s="5"/>
      <c r="L7" s="5"/>
      <c r="M7" s="5"/>
      <c r="N7" s="5"/>
      <c r="O7" s="5"/>
      <c r="P7" s="5"/>
      <c r="Q7" s="5"/>
      <c r="R7" s="5"/>
      <c r="S7" s="5"/>
      <c r="T7" s="5"/>
      <c r="U7" s="5"/>
      <c r="V7" s="5"/>
      <c r="W7" s="5"/>
    </row>
    <row r="8" spans="1:23" ht="16" x14ac:dyDescent="0.2">
      <c r="A8" s="5"/>
      <c r="B8" s="6"/>
      <c r="C8" s="6"/>
      <c r="D8" s="6"/>
      <c r="E8" s="6"/>
      <c r="F8" s="5"/>
      <c r="G8" s="5"/>
      <c r="H8" s="5"/>
      <c r="I8" s="5"/>
      <c r="J8" s="5"/>
      <c r="K8" s="5"/>
      <c r="L8" s="5"/>
      <c r="M8" s="5"/>
      <c r="N8" s="5"/>
      <c r="O8" s="5"/>
      <c r="P8" s="5"/>
      <c r="Q8" s="5"/>
      <c r="R8" s="5"/>
      <c r="S8" s="5"/>
      <c r="T8" s="5"/>
      <c r="U8" s="5"/>
      <c r="V8" s="5"/>
      <c r="W8" s="5"/>
    </row>
    <row r="9" spans="1:23" ht="16" x14ac:dyDescent="0.2">
      <c r="A9" s="10" t="s">
        <v>115</v>
      </c>
      <c r="B9" s="9"/>
      <c r="C9" s="9"/>
      <c r="D9" s="9"/>
      <c r="E9" s="9"/>
      <c r="F9" s="5"/>
      <c r="G9" s="5"/>
      <c r="H9" s="5"/>
      <c r="I9" s="5"/>
      <c r="J9" s="5"/>
      <c r="K9" s="5"/>
      <c r="L9" s="5"/>
      <c r="M9" s="5"/>
      <c r="N9" s="5"/>
      <c r="O9" s="5"/>
      <c r="P9" s="5"/>
      <c r="Q9" s="5"/>
      <c r="R9" s="5"/>
      <c r="S9" s="5"/>
      <c r="T9" s="5"/>
      <c r="U9" s="5"/>
      <c r="V9" s="5"/>
      <c r="W9" s="5"/>
    </row>
    <row r="10" spans="1:23" ht="16" x14ac:dyDescent="0.2">
      <c r="A10" s="5"/>
      <c r="B10" s="6"/>
      <c r="C10" s="6"/>
      <c r="D10" s="6"/>
      <c r="E10" s="6"/>
      <c r="F10" s="5"/>
      <c r="G10" s="5"/>
      <c r="H10" s="5"/>
      <c r="I10" s="5"/>
      <c r="J10" s="5"/>
      <c r="K10" s="5"/>
      <c r="L10" s="5"/>
      <c r="M10" s="5"/>
      <c r="N10" s="5"/>
      <c r="O10" s="5"/>
      <c r="P10" s="5"/>
      <c r="Q10" s="5"/>
      <c r="R10" s="5"/>
      <c r="S10" s="5"/>
      <c r="T10" s="5"/>
      <c r="U10" s="5"/>
      <c r="V10" s="5"/>
      <c r="W10" s="5"/>
    </row>
    <row r="11" spans="1:23" ht="16" x14ac:dyDescent="0.2">
      <c r="A11" s="5"/>
      <c r="C11" s="20" t="s">
        <v>114</v>
      </c>
      <c r="D11" s="19"/>
      <c r="E11" s="5" t="s">
        <v>112</v>
      </c>
      <c r="F11" s="5"/>
      <c r="G11" s="5"/>
      <c r="H11" s="5"/>
      <c r="I11" s="5"/>
      <c r="J11" s="5"/>
      <c r="K11" s="5"/>
      <c r="L11" s="5"/>
      <c r="M11" s="5"/>
      <c r="N11" s="5"/>
      <c r="O11" s="5"/>
      <c r="P11" s="5"/>
      <c r="Q11" s="5"/>
      <c r="R11" s="5"/>
      <c r="S11" s="5"/>
      <c r="T11" s="5"/>
      <c r="U11" s="5"/>
      <c r="V11" s="5"/>
      <c r="W11" s="5"/>
    </row>
    <row r="12" spans="1:23" ht="16" x14ac:dyDescent="0.2">
      <c r="C12" s="4">
        <v>0</v>
      </c>
      <c r="D12" s="4">
        <v>1</v>
      </c>
      <c r="E12" s="6" t="s">
        <v>99</v>
      </c>
      <c r="F12" s="5"/>
      <c r="G12" s="5"/>
      <c r="H12" s="5"/>
      <c r="I12" s="5"/>
      <c r="J12" s="5"/>
      <c r="K12" s="5"/>
      <c r="L12" s="5"/>
      <c r="M12" s="5"/>
      <c r="N12" s="5"/>
      <c r="O12" s="5"/>
      <c r="P12" s="5"/>
      <c r="Q12" s="5"/>
      <c r="R12" s="5"/>
      <c r="S12" s="5"/>
      <c r="T12" s="5"/>
      <c r="U12" s="5"/>
      <c r="V12" s="5"/>
      <c r="W12" s="5"/>
    </row>
    <row r="13" spans="1:23" ht="16" x14ac:dyDescent="0.2">
      <c r="A13" s="18" t="s">
        <v>113</v>
      </c>
      <c r="B13" s="4">
        <v>0</v>
      </c>
      <c r="C13" s="15">
        <f>C$15*$E13/$E$15</f>
        <v>3.4</v>
      </c>
      <c r="D13" s="12">
        <f>D$15*$E13/$E$15</f>
        <v>12.6</v>
      </c>
      <c r="E13">
        <v>16</v>
      </c>
      <c r="F13" s="5"/>
      <c r="G13" s="5"/>
      <c r="H13" s="5"/>
      <c r="I13" s="5"/>
      <c r="J13" s="5"/>
      <c r="K13" s="5"/>
      <c r="L13" s="5"/>
      <c r="M13" s="5"/>
      <c r="N13" s="5"/>
      <c r="O13" s="5"/>
      <c r="P13" s="5"/>
      <c r="Q13" s="5"/>
      <c r="R13" s="5"/>
      <c r="S13" s="5"/>
      <c r="T13" s="5"/>
      <c r="U13" s="5"/>
      <c r="V13" s="5"/>
      <c r="W13" s="5"/>
    </row>
    <row r="14" spans="1:23" ht="16" x14ac:dyDescent="0.2">
      <c r="B14" s="4">
        <v>1</v>
      </c>
      <c r="C14" s="12">
        <f>C$15*$E14/$E$15</f>
        <v>13.6</v>
      </c>
      <c r="D14" s="15">
        <f>D$15*$E14/$E$15</f>
        <v>50.4</v>
      </c>
      <c r="E14">
        <v>64</v>
      </c>
      <c r="F14" s="5"/>
      <c r="G14" s="5"/>
      <c r="H14" s="5"/>
      <c r="I14" s="5"/>
      <c r="J14" s="5"/>
      <c r="K14" s="5"/>
      <c r="L14" s="5"/>
      <c r="M14" s="5"/>
      <c r="N14" s="5"/>
      <c r="O14" s="5"/>
      <c r="P14" s="5"/>
      <c r="Q14" s="5"/>
      <c r="R14" s="5"/>
      <c r="S14" s="5"/>
      <c r="T14" s="5"/>
      <c r="U14" s="5"/>
      <c r="V14" s="5"/>
      <c r="W14" s="5"/>
    </row>
    <row r="15" spans="1:23" ht="16" x14ac:dyDescent="0.2">
      <c r="A15" s="17" t="s">
        <v>112</v>
      </c>
      <c r="C15">
        <v>17</v>
      </c>
      <c r="D15">
        <v>63</v>
      </c>
      <c r="E15">
        <v>80</v>
      </c>
      <c r="F15" s="5"/>
      <c r="G15" s="5"/>
      <c r="H15" s="5"/>
      <c r="I15" s="5"/>
      <c r="J15" s="5"/>
      <c r="K15" s="5"/>
      <c r="L15" s="5"/>
      <c r="M15" s="5"/>
      <c r="N15" s="5"/>
      <c r="O15" s="5"/>
      <c r="P15" s="5"/>
      <c r="Q15" s="5"/>
      <c r="R15" s="5"/>
      <c r="S15" s="5"/>
      <c r="T15" s="5"/>
      <c r="U15" s="5"/>
      <c r="V15" s="5"/>
      <c r="W15" s="5"/>
    </row>
    <row r="16" spans="1:23" ht="16" x14ac:dyDescent="0.2">
      <c r="A16" s="5"/>
      <c r="B16" s="6"/>
      <c r="C16" s="6"/>
      <c r="D16" s="6"/>
      <c r="E16" s="6"/>
      <c r="F16" s="5"/>
      <c r="G16" s="5"/>
      <c r="H16" s="5"/>
      <c r="I16" s="5"/>
      <c r="J16" s="5"/>
      <c r="K16" s="5"/>
      <c r="L16" s="5"/>
      <c r="M16" s="5"/>
      <c r="N16" s="5"/>
      <c r="O16" s="5"/>
      <c r="P16" s="5"/>
      <c r="Q16" s="5"/>
      <c r="R16" s="5"/>
      <c r="S16" s="5"/>
      <c r="T16" s="5"/>
      <c r="U16" s="5"/>
      <c r="V16" s="5"/>
      <c r="W16" s="5"/>
    </row>
    <row r="17" spans="1:23" ht="16" x14ac:dyDescent="0.2">
      <c r="A17" s="10" t="s">
        <v>111</v>
      </c>
      <c r="B17" s="9"/>
      <c r="C17" s="9"/>
      <c r="D17" s="9"/>
      <c r="E17" s="9"/>
      <c r="F17" s="5"/>
      <c r="G17" s="5"/>
      <c r="H17" s="5"/>
      <c r="I17" s="5"/>
      <c r="J17" s="5"/>
      <c r="K17" s="5"/>
      <c r="L17" s="5"/>
      <c r="M17" s="5"/>
      <c r="N17" s="5"/>
      <c r="O17" s="5"/>
      <c r="P17" s="5"/>
      <c r="Q17" s="5"/>
      <c r="R17" s="5"/>
      <c r="S17" s="5"/>
      <c r="T17" s="5"/>
      <c r="U17" s="5"/>
      <c r="V17" s="5"/>
      <c r="W17" s="5"/>
    </row>
    <row r="18" spans="1:23" ht="16" x14ac:dyDescent="0.2">
      <c r="B18" s="6"/>
      <c r="C18" s="6"/>
      <c r="D18" s="6"/>
      <c r="E18" s="6"/>
      <c r="F18" s="5"/>
      <c r="G18" s="5"/>
      <c r="H18" s="5"/>
      <c r="I18" s="5"/>
      <c r="J18" s="5"/>
      <c r="K18" s="5"/>
      <c r="L18" s="5"/>
      <c r="M18" s="5"/>
      <c r="N18" s="5"/>
      <c r="O18" s="5"/>
      <c r="P18" s="5"/>
      <c r="Q18" s="5"/>
      <c r="R18" s="5"/>
      <c r="S18" s="5"/>
      <c r="T18" s="5"/>
      <c r="U18" s="5"/>
      <c r="V18" s="5"/>
      <c r="W18" s="5"/>
    </row>
    <row r="19" spans="1:23" ht="16" x14ac:dyDescent="0.2">
      <c r="B19" s="6" t="s">
        <v>110</v>
      </c>
      <c r="C19" s="6" t="s">
        <v>109</v>
      </c>
      <c r="D19" s="6"/>
      <c r="E19" s="6"/>
      <c r="F19" s="5"/>
      <c r="G19" s="5"/>
      <c r="H19" s="5"/>
      <c r="I19" s="5"/>
      <c r="J19" s="5"/>
      <c r="K19" s="5"/>
      <c r="L19" s="5"/>
      <c r="M19" s="5"/>
      <c r="N19" s="5"/>
      <c r="O19" s="5"/>
      <c r="P19" s="5"/>
      <c r="Q19" s="5"/>
      <c r="R19" s="5"/>
      <c r="S19" s="5"/>
      <c r="T19" s="5"/>
      <c r="U19" s="5"/>
      <c r="V19" s="5"/>
      <c r="W19" s="5"/>
    </row>
    <row r="20" spans="1:23" ht="16" x14ac:dyDescent="0.2">
      <c r="A20" s="5" t="s">
        <v>108</v>
      </c>
      <c r="B20" s="6">
        <f>SUM(C5,D6)</f>
        <v>79</v>
      </c>
      <c r="C20" s="16">
        <f>B20/B22</f>
        <v>0.98750000000000004</v>
      </c>
      <c r="D20" s="6"/>
      <c r="E20" s="6"/>
      <c r="F20" s="5"/>
      <c r="G20" s="5"/>
      <c r="H20" s="5"/>
      <c r="I20" s="5"/>
      <c r="J20" s="5"/>
      <c r="K20" s="5"/>
      <c r="L20" s="5"/>
      <c r="M20" s="5"/>
      <c r="N20" s="5"/>
      <c r="O20" s="5"/>
      <c r="P20" s="5"/>
      <c r="Q20" s="5"/>
      <c r="R20" s="5"/>
      <c r="S20" s="5"/>
      <c r="T20" s="5"/>
      <c r="U20" s="5"/>
      <c r="V20" s="5"/>
      <c r="W20" s="5"/>
    </row>
    <row r="21" spans="1:23" ht="16" x14ac:dyDescent="0.2">
      <c r="A21" s="5" t="s">
        <v>107</v>
      </c>
      <c r="B21" s="6">
        <f>SUM(C13,D14)</f>
        <v>53.8</v>
      </c>
      <c r="C21" s="16">
        <f>B21/B22</f>
        <v>0.67249999999999999</v>
      </c>
      <c r="D21" s="6"/>
      <c r="E21" s="6"/>
      <c r="F21" s="5"/>
      <c r="G21" s="5"/>
      <c r="H21" s="5"/>
      <c r="I21" s="5"/>
      <c r="J21" s="5"/>
      <c r="K21" s="5"/>
      <c r="L21" s="5"/>
      <c r="M21" s="5"/>
      <c r="N21" s="5"/>
      <c r="O21" s="5"/>
      <c r="P21" s="5"/>
      <c r="Q21" s="5"/>
      <c r="R21" s="5"/>
      <c r="S21" s="5"/>
      <c r="T21" s="5"/>
      <c r="U21" s="5"/>
      <c r="V21" s="5"/>
      <c r="W21" s="5"/>
    </row>
    <row r="22" spans="1:23" ht="16" x14ac:dyDescent="0.2">
      <c r="A22" s="5" t="s">
        <v>106</v>
      </c>
      <c r="B22" s="6">
        <f>E15</f>
        <v>80</v>
      </c>
      <c r="C22" s="16">
        <v>1</v>
      </c>
      <c r="D22" s="6"/>
      <c r="E22" s="15" t="s">
        <v>105</v>
      </c>
      <c r="F22" s="5"/>
      <c r="G22" s="5"/>
      <c r="H22" s="5"/>
      <c r="I22" s="5"/>
      <c r="J22" s="5"/>
      <c r="K22" s="5"/>
      <c r="L22" s="5"/>
      <c r="M22" s="5"/>
      <c r="N22" s="5"/>
      <c r="O22" s="5"/>
      <c r="P22" s="5"/>
      <c r="Q22" s="5"/>
      <c r="R22" s="5"/>
      <c r="S22" s="5"/>
      <c r="T22" s="5"/>
      <c r="U22" s="5"/>
      <c r="V22" s="5"/>
      <c r="W22" s="5"/>
    </row>
    <row r="23" spans="1:23" ht="16" x14ac:dyDescent="0.2">
      <c r="A23" s="11" t="s">
        <v>104</v>
      </c>
      <c r="B23" s="14">
        <f>(B20-B21)/(B22-B21)</f>
        <v>0.96183206106870234</v>
      </c>
      <c r="C23" s="14">
        <f>(C20-C21)/(C22-C21)</f>
        <v>0.96183206106870245</v>
      </c>
      <c r="D23" s="13"/>
      <c r="E23" s="12" t="s">
        <v>103</v>
      </c>
      <c r="F23" s="11"/>
      <c r="G23" s="11"/>
      <c r="H23" s="11"/>
      <c r="I23" s="11"/>
      <c r="J23" s="11"/>
      <c r="K23" s="11"/>
      <c r="L23" s="11"/>
      <c r="M23" s="11"/>
      <c r="N23" s="11"/>
      <c r="O23" s="11"/>
      <c r="P23" s="11"/>
      <c r="Q23" s="11"/>
      <c r="R23" s="11"/>
      <c r="S23" s="11"/>
      <c r="T23" s="11"/>
      <c r="U23" s="11"/>
      <c r="V23" s="11"/>
      <c r="W23" s="11"/>
    </row>
    <row r="24" spans="1:23" ht="16" x14ac:dyDescent="0.2">
      <c r="A24" s="5"/>
      <c r="B24" s="6"/>
      <c r="C24" s="6"/>
      <c r="D24" s="6"/>
      <c r="E24" s="6"/>
      <c r="F24" s="5"/>
      <c r="G24" s="5"/>
      <c r="H24" s="5"/>
      <c r="I24" s="5"/>
      <c r="J24" s="5"/>
      <c r="K24" s="5"/>
      <c r="L24" s="5"/>
      <c r="M24" s="5"/>
      <c r="N24" s="5"/>
      <c r="O24" s="5"/>
      <c r="P24" s="5"/>
      <c r="Q24" s="5"/>
      <c r="R24" s="5"/>
      <c r="S24" s="5"/>
      <c r="T24" s="5"/>
      <c r="U24" s="5"/>
      <c r="V24" s="5"/>
      <c r="W24" s="5"/>
    </row>
    <row r="25" spans="1:23" ht="16" x14ac:dyDescent="0.2">
      <c r="A25" s="10"/>
      <c r="B25" s="9"/>
      <c r="C25" s="9"/>
      <c r="D25" s="9"/>
      <c r="E25" s="9"/>
      <c r="F25" s="5"/>
      <c r="G25" s="5"/>
      <c r="H25" s="5"/>
      <c r="I25" s="5"/>
      <c r="J25" s="5"/>
      <c r="K25" s="5"/>
      <c r="L25" s="5"/>
      <c r="M25" s="5"/>
      <c r="N25" s="5"/>
      <c r="O25" s="5"/>
      <c r="P25" s="5"/>
      <c r="Q25" s="5"/>
      <c r="R25" s="5"/>
      <c r="S25" s="5"/>
      <c r="T25" s="5"/>
      <c r="U25" s="5"/>
      <c r="V25" s="5"/>
      <c r="W25" s="5"/>
    </row>
    <row r="26" spans="1:23" ht="16" x14ac:dyDescent="0.2">
      <c r="A26" s="5"/>
      <c r="B26" s="6"/>
      <c r="C26" s="6"/>
      <c r="D26" s="6"/>
      <c r="E26" s="6"/>
      <c r="F26" s="5"/>
      <c r="G26" s="5"/>
      <c r="H26" s="5"/>
      <c r="I26" s="5"/>
      <c r="J26" s="5"/>
      <c r="K26" s="5"/>
      <c r="L26" s="5"/>
      <c r="M26" s="5"/>
      <c r="N26" s="5"/>
      <c r="O26" s="5"/>
      <c r="P26" s="5"/>
      <c r="Q26" s="5"/>
      <c r="R26" s="5"/>
      <c r="S26" s="5"/>
      <c r="T26" s="5"/>
      <c r="U26" s="5"/>
      <c r="V26" s="5"/>
      <c r="W26" s="5"/>
    </row>
    <row r="27" spans="1:23" ht="16" x14ac:dyDescent="0.2">
      <c r="A27" s="5"/>
      <c r="B27" s="6"/>
      <c r="C27" s="6"/>
      <c r="D27" s="6"/>
      <c r="E27" s="6"/>
      <c r="F27" s="5"/>
      <c r="G27" s="5"/>
      <c r="H27" s="5"/>
      <c r="I27" s="5"/>
      <c r="J27" s="5"/>
      <c r="K27" s="5"/>
      <c r="L27" s="5"/>
      <c r="M27" s="5"/>
      <c r="N27" s="5"/>
      <c r="O27" s="5"/>
      <c r="P27" s="5"/>
      <c r="Q27" s="5"/>
      <c r="R27" s="5"/>
      <c r="S27" s="5"/>
      <c r="T27" s="5"/>
      <c r="U27" s="5"/>
      <c r="V27" s="5"/>
      <c r="W27" s="5"/>
    </row>
    <row r="28" spans="1:23" ht="16" x14ac:dyDescent="0.2">
      <c r="A28" s="8" t="s">
        <v>102</v>
      </c>
      <c r="B28" s="8" t="s">
        <v>101</v>
      </c>
      <c r="C28"/>
      <c r="D28"/>
      <c r="E28" s="6"/>
      <c r="F28" s="5"/>
      <c r="G28" s="5"/>
      <c r="H28" s="5"/>
      <c r="I28" s="5"/>
      <c r="J28" s="5"/>
      <c r="K28" s="5"/>
      <c r="L28" s="5"/>
      <c r="M28" s="5"/>
      <c r="N28" s="5"/>
      <c r="O28" s="5"/>
      <c r="P28" s="5"/>
      <c r="Q28" s="5"/>
      <c r="R28" s="5"/>
      <c r="S28" s="5"/>
      <c r="T28" s="5"/>
      <c r="U28" s="5"/>
      <c r="V28" s="5"/>
      <c r="W28" s="5"/>
    </row>
    <row r="29" spans="1:23" ht="16" x14ac:dyDescent="0.2">
      <c r="A29" s="8" t="s">
        <v>100</v>
      </c>
      <c r="B29">
        <v>0</v>
      </c>
      <c r="C29">
        <v>1</v>
      </c>
      <c r="D29" t="s">
        <v>99</v>
      </c>
      <c r="E29" s="6"/>
      <c r="F29" s="5"/>
      <c r="G29" s="5"/>
      <c r="H29" s="5"/>
      <c r="I29" s="5"/>
      <c r="J29" s="5"/>
      <c r="K29" s="5"/>
      <c r="L29" s="5"/>
      <c r="M29" s="5"/>
      <c r="N29" s="5"/>
      <c r="O29" s="5"/>
      <c r="P29" s="5"/>
      <c r="Q29" s="5"/>
      <c r="R29" s="5"/>
      <c r="S29" s="5"/>
      <c r="T29" s="5"/>
      <c r="U29" s="5"/>
      <c r="V29" s="5"/>
      <c r="W29" s="5"/>
    </row>
    <row r="30" spans="1:23" ht="16" x14ac:dyDescent="0.2">
      <c r="A30" s="7">
        <v>0</v>
      </c>
      <c r="B30" s="22">
        <v>16</v>
      </c>
      <c r="C30" s="22"/>
      <c r="D30" s="22">
        <v>16</v>
      </c>
      <c r="E30" s="6"/>
      <c r="F30" s="5"/>
      <c r="G30" s="5"/>
      <c r="H30" s="5"/>
      <c r="I30" s="5"/>
      <c r="J30" s="5"/>
      <c r="K30" s="5"/>
      <c r="L30" s="5"/>
      <c r="M30" s="5"/>
      <c r="N30" s="5"/>
      <c r="O30" s="5"/>
      <c r="P30" s="5"/>
      <c r="Q30" s="5"/>
      <c r="R30" s="5"/>
      <c r="S30" s="5"/>
      <c r="T30" s="5"/>
      <c r="U30" s="5"/>
      <c r="V30" s="5"/>
      <c r="W30" s="5"/>
    </row>
    <row r="31" spans="1:23" ht="16" x14ac:dyDescent="0.2">
      <c r="A31" s="7">
        <v>1</v>
      </c>
      <c r="B31" s="22">
        <v>1</v>
      </c>
      <c r="C31" s="22">
        <v>63</v>
      </c>
      <c r="D31" s="22">
        <v>64</v>
      </c>
      <c r="E31" s="6"/>
      <c r="F31" s="5"/>
      <c r="G31" s="5"/>
      <c r="H31" s="5"/>
      <c r="I31" s="5"/>
      <c r="J31" s="5"/>
      <c r="K31" s="5"/>
      <c r="L31" s="5"/>
      <c r="M31" s="5"/>
      <c r="N31" s="5"/>
      <c r="O31" s="5"/>
      <c r="P31" s="5"/>
      <c r="Q31" s="5"/>
      <c r="R31" s="5"/>
      <c r="S31" s="5"/>
      <c r="T31" s="5"/>
      <c r="U31" s="5"/>
      <c r="V31" s="5"/>
      <c r="W31" s="5"/>
    </row>
    <row r="32" spans="1:23" ht="16" x14ac:dyDescent="0.2">
      <c r="A32" s="7" t="s">
        <v>99</v>
      </c>
      <c r="B32" s="22">
        <v>17</v>
      </c>
      <c r="C32" s="22">
        <v>63</v>
      </c>
      <c r="D32" s="22">
        <v>80</v>
      </c>
      <c r="E32" s="6"/>
      <c r="F32" s="5"/>
      <c r="G32" s="5"/>
      <c r="H32" s="5"/>
      <c r="I32" s="5"/>
      <c r="J32" s="5"/>
      <c r="K32" s="5"/>
      <c r="L32" s="5"/>
      <c r="M32" s="5"/>
      <c r="N32" s="5"/>
      <c r="O32" s="5"/>
      <c r="P32" s="5"/>
      <c r="Q32" s="5"/>
      <c r="R32" s="5"/>
      <c r="S32" s="5"/>
      <c r="T32" s="5"/>
      <c r="U32" s="5"/>
      <c r="V32" s="5"/>
      <c r="W32" s="5"/>
    </row>
    <row r="33" spans="1:23" ht="16" x14ac:dyDescent="0.2">
      <c r="A33"/>
      <c r="B33"/>
      <c r="C33"/>
      <c r="D33"/>
      <c r="E33" s="6"/>
      <c r="F33" s="5"/>
      <c r="G33" s="5"/>
      <c r="H33" s="5"/>
      <c r="I33" s="5"/>
      <c r="J33" s="5"/>
      <c r="K33" s="5"/>
      <c r="L33" s="5"/>
      <c r="M33" s="5"/>
      <c r="N33" s="5"/>
      <c r="O33" s="5"/>
      <c r="P33" s="5"/>
      <c r="Q33" s="5"/>
      <c r="R33" s="5"/>
      <c r="S33" s="5"/>
      <c r="T33" s="5"/>
      <c r="U33" s="5"/>
      <c r="V33" s="5"/>
      <c r="W33" s="5"/>
    </row>
    <row r="34" spans="1:23" ht="16" x14ac:dyDescent="0.2">
      <c r="A34" t="s">
        <v>100</v>
      </c>
      <c r="B34">
        <v>0</v>
      </c>
      <c r="C34">
        <v>1</v>
      </c>
      <c r="D34" t="s">
        <v>99</v>
      </c>
      <c r="E34" s="6"/>
      <c r="F34" s="5"/>
      <c r="G34" s="5"/>
      <c r="H34" s="5"/>
      <c r="I34" s="5"/>
      <c r="J34" s="5"/>
      <c r="K34" s="5"/>
      <c r="L34" s="5"/>
      <c r="M34" s="5"/>
      <c r="N34" s="5"/>
      <c r="O34" s="5"/>
      <c r="P34" s="5"/>
      <c r="Q34" s="5"/>
      <c r="R34" s="5"/>
      <c r="S34" s="5"/>
      <c r="T34" s="5"/>
      <c r="U34" s="5"/>
      <c r="V34" s="5"/>
      <c r="W34" s="5"/>
    </row>
    <row r="35" spans="1:23" ht="16" x14ac:dyDescent="0.2">
      <c r="A35">
        <v>0</v>
      </c>
      <c r="B35">
        <v>16</v>
      </c>
      <c r="C35"/>
      <c r="D35">
        <v>16</v>
      </c>
      <c r="E35" s="6"/>
      <c r="F35" s="5"/>
      <c r="G35" s="5"/>
      <c r="H35" s="5"/>
      <c r="I35" s="5"/>
      <c r="J35" s="5"/>
      <c r="K35" s="5"/>
      <c r="L35" s="5"/>
      <c r="M35" s="5"/>
      <c r="N35" s="5"/>
      <c r="O35" s="5"/>
      <c r="P35" s="5"/>
      <c r="Q35" s="5"/>
      <c r="R35" s="5"/>
      <c r="S35" s="5"/>
      <c r="T35" s="5"/>
      <c r="U35" s="5"/>
      <c r="V35" s="5"/>
      <c r="W35" s="5"/>
    </row>
    <row r="36" spans="1:23" ht="16" x14ac:dyDescent="0.2">
      <c r="A36">
        <v>1</v>
      </c>
      <c r="B36">
        <v>1</v>
      </c>
      <c r="C36">
        <v>63</v>
      </c>
      <c r="D36">
        <v>64</v>
      </c>
      <c r="E36" s="6"/>
      <c r="F36" s="5"/>
      <c r="G36" s="5"/>
      <c r="H36" s="5"/>
      <c r="I36" s="5"/>
      <c r="J36" s="5"/>
      <c r="K36" s="5"/>
      <c r="L36" s="5"/>
      <c r="M36" s="5"/>
      <c r="N36" s="5"/>
      <c r="O36" s="5"/>
      <c r="P36" s="5"/>
      <c r="Q36" s="5"/>
      <c r="R36" s="5"/>
      <c r="S36" s="5"/>
      <c r="T36" s="5"/>
      <c r="U36" s="5"/>
      <c r="V36" s="5"/>
      <c r="W36" s="5"/>
    </row>
    <row r="37" spans="1:23" ht="16" x14ac:dyDescent="0.2">
      <c r="A37" t="s">
        <v>99</v>
      </c>
      <c r="B37">
        <v>17</v>
      </c>
      <c r="C37">
        <v>63</v>
      </c>
      <c r="D37">
        <v>80</v>
      </c>
      <c r="E37" s="6"/>
      <c r="F37" s="5"/>
      <c r="G37" s="5"/>
      <c r="H37" s="5"/>
      <c r="I37" s="5"/>
      <c r="J37" s="5"/>
      <c r="K37" s="5"/>
      <c r="L37" s="5"/>
      <c r="M37" s="5"/>
      <c r="N37" s="5"/>
      <c r="O37" s="5"/>
      <c r="P37" s="5"/>
      <c r="Q37" s="5"/>
      <c r="R37" s="5"/>
      <c r="S37" s="5"/>
      <c r="T37" s="5"/>
      <c r="U37" s="5"/>
      <c r="V37" s="5"/>
      <c r="W37" s="5"/>
    </row>
    <row r="38" spans="1:23" ht="16" x14ac:dyDescent="0.2">
      <c r="A38"/>
      <c r="B38"/>
      <c r="C38"/>
      <c r="D38"/>
      <c r="E38" s="6"/>
      <c r="F38" s="5"/>
      <c r="G38" s="5"/>
      <c r="H38" s="5"/>
      <c r="I38" s="5"/>
      <c r="J38" s="5"/>
      <c r="K38" s="5"/>
      <c r="L38" s="5"/>
      <c r="M38" s="5"/>
      <c r="N38" s="5"/>
      <c r="O38" s="5"/>
      <c r="P38" s="5"/>
      <c r="Q38" s="5"/>
      <c r="R38" s="5"/>
      <c r="S38" s="5"/>
      <c r="T38" s="5"/>
      <c r="U38" s="5"/>
      <c r="V38" s="5"/>
      <c r="W38" s="5"/>
    </row>
    <row r="39" spans="1:23" ht="16" x14ac:dyDescent="0.2">
      <c r="A39"/>
      <c r="B39"/>
      <c r="C39"/>
      <c r="D39" s="6"/>
      <c r="E39" s="6"/>
      <c r="F39" s="5"/>
      <c r="G39" s="5"/>
      <c r="H39" s="5"/>
      <c r="I39" s="5"/>
      <c r="J39" s="5"/>
      <c r="K39" s="5"/>
      <c r="L39" s="5"/>
      <c r="M39" s="5"/>
      <c r="N39" s="5"/>
      <c r="O39" s="5"/>
      <c r="P39" s="5"/>
      <c r="Q39" s="5"/>
      <c r="R39" s="5"/>
      <c r="S39" s="5"/>
      <c r="T39" s="5"/>
      <c r="U39" s="5"/>
      <c r="V39" s="5"/>
      <c r="W39" s="5"/>
    </row>
    <row r="40" spans="1:23" ht="16" x14ac:dyDescent="0.2">
      <c r="A40"/>
      <c r="B40"/>
      <c r="C40"/>
      <c r="D40" s="6"/>
      <c r="E40" s="6"/>
      <c r="F40" s="5"/>
      <c r="G40" s="5"/>
      <c r="H40" s="5"/>
      <c r="I40" s="5"/>
      <c r="J40" s="5"/>
      <c r="K40" s="5"/>
      <c r="L40" s="5"/>
      <c r="M40" s="5"/>
      <c r="N40" s="5"/>
      <c r="O40" s="5"/>
      <c r="P40" s="5"/>
      <c r="Q40" s="5"/>
      <c r="R40" s="5"/>
      <c r="S40" s="5"/>
      <c r="T40" s="5"/>
      <c r="U40" s="5"/>
      <c r="V40" s="5"/>
      <c r="W40" s="5"/>
    </row>
    <row r="41" spans="1:23" ht="16" x14ac:dyDescent="0.2">
      <c r="A41"/>
      <c r="B41"/>
      <c r="C41"/>
      <c r="D41" s="6"/>
      <c r="E41" s="6"/>
      <c r="F41" s="5"/>
      <c r="G41" s="5"/>
      <c r="H41" s="5"/>
      <c r="I41" s="5"/>
      <c r="J41" s="5"/>
      <c r="K41" s="5"/>
      <c r="L41" s="5"/>
      <c r="M41" s="5"/>
      <c r="N41" s="5"/>
      <c r="O41" s="5"/>
      <c r="P41" s="5"/>
      <c r="Q41" s="5"/>
      <c r="R41" s="5"/>
      <c r="S41" s="5"/>
      <c r="T41" s="5"/>
      <c r="U41" s="5"/>
      <c r="V41" s="5"/>
      <c r="W41" s="5"/>
    </row>
    <row r="42" spans="1:23" ht="16" x14ac:dyDescent="0.2">
      <c r="A42"/>
      <c r="B42"/>
      <c r="C42"/>
      <c r="D42" s="6"/>
      <c r="E42" s="6"/>
      <c r="F42" s="5"/>
      <c r="G42" s="5"/>
      <c r="H42" s="5"/>
      <c r="I42" s="5"/>
      <c r="J42" s="5"/>
      <c r="K42" s="5"/>
      <c r="L42" s="5"/>
      <c r="M42" s="5"/>
      <c r="N42" s="5"/>
      <c r="O42" s="5"/>
      <c r="P42" s="5"/>
      <c r="Q42" s="5"/>
      <c r="R42" s="5"/>
      <c r="S42" s="5"/>
      <c r="T42" s="5"/>
      <c r="U42" s="5"/>
      <c r="V42" s="5"/>
      <c r="W42" s="5"/>
    </row>
    <row r="43" spans="1:23" ht="16" x14ac:dyDescent="0.2">
      <c r="A43"/>
      <c r="B43"/>
      <c r="C43"/>
      <c r="D43" s="6"/>
      <c r="E43" s="6"/>
      <c r="F43" s="5"/>
      <c r="G43" s="5"/>
      <c r="H43" s="5"/>
      <c r="I43" s="5"/>
      <c r="J43" s="5"/>
      <c r="K43" s="5"/>
      <c r="L43" s="5"/>
      <c r="M43" s="5"/>
      <c r="N43" s="5"/>
      <c r="O43" s="5"/>
      <c r="P43" s="5"/>
      <c r="Q43" s="5"/>
      <c r="R43" s="5"/>
      <c r="S43" s="5"/>
      <c r="T43" s="5"/>
      <c r="U43" s="5"/>
      <c r="V43" s="5"/>
      <c r="W43" s="5"/>
    </row>
    <row r="44" spans="1:23" ht="16" x14ac:dyDescent="0.2">
      <c r="A44"/>
      <c r="B44"/>
      <c r="C44"/>
      <c r="D44" s="6"/>
      <c r="E44" s="6"/>
      <c r="F44" s="5"/>
      <c r="G44" s="5"/>
      <c r="H44" s="5"/>
      <c r="I44" s="5"/>
      <c r="J44" s="5"/>
      <c r="K44" s="5"/>
      <c r="L44" s="5"/>
      <c r="M44" s="5"/>
      <c r="N44" s="5"/>
      <c r="O44" s="5"/>
      <c r="P44" s="5"/>
      <c r="Q44" s="5"/>
      <c r="R44" s="5"/>
      <c r="S44" s="5"/>
      <c r="T44" s="5"/>
      <c r="U44" s="5"/>
      <c r="V44" s="5"/>
      <c r="W44" s="5"/>
    </row>
    <row r="45" spans="1:23" ht="16" x14ac:dyDescent="0.2">
      <c r="A45"/>
      <c r="B45"/>
      <c r="C45"/>
      <c r="D45" s="6"/>
      <c r="E45" s="6"/>
      <c r="F45" s="5"/>
      <c r="G45" s="5"/>
      <c r="H45" s="5"/>
      <c r="I45" s="5"/>
      <c r="J45" s="5"/>
      <c r="K45" s="5"/>
      <c r="L45" s="5"/>
      <c r="M45" s="5"/>
      <c r="N45" s="5"/>
      <c r="O45" s="5"/>
      <c r="P45" s="5"/>
      <c r="Q45" s="5"/>
      <c r="R45" s="5"/>
      <c r="S45" s="5"/>
      <c r="T45" s="5"/>
      <c r="U45" s="5"/>
      <c r="V45" s="5"/>
      <c r="W45" s="5"/>
    </row>
    <row r="46" spans="1:23" ht="16" x14ac:dyDescent="0.2">
      <c r="A46"/>
      <c r="B46"/>
      <c r="C46"/>
      <c r="D46" s="6"/>
      <c r="E46" s="6"/>
      <c r="F46" s="5"/>
      <c r="G46" s="5"/>
      <c r="H46" s="5"/>
      <c r="I46" s="5"/>
      <c r="J46" s="5"/>
      <c r="K46" s="5"/>
      <c r="L46" s="5"/>
      <c r="M46" s="5"/>
      <c r="N46" s="5"/>
      <c r="O46" s="5"/>
      <c r="P46" s="5"/>
      <c r="Q46" s="5"/>
      <c r="R46" s="5"/>
      <c r="S46" s="5"/>
      <c r="T46" s="5"/>
      <c r="U46" s="5"/>
      <c r="V46" s="5"/>
      <c r="W46" s="5"/>
    </row>
    <row r="47" spans="1:23" ht="16" x14ac:dyDescent="0.2">
      <c r="A47" s="5"/>
      <c r="B47" s="6"/>
      <c r="C47" s="6"/>
      <c r="D47" s="6"/>
      <c r="E47" s="6"/>
      <c r="F47" s="5"/>
      <c r="G47" s="5"/>
      <c r="H47" s="5"/>
      <c r="I47" s="5"/>
      <c r="J47" s="5"/>
      <c r="K47" s="5"/>
      <c r="L47" s="5"/>
      <c r="M47" s="5"/>
      <c r="N47" s="5"/>
      <c r="O47" s="5"/>
      <c r="P47" s="5"/>
      <c r="Q47" s="5"/>
      <c r="R47" s="5"/>
      <c r="S47" s="5"/>
      <c r="T47" s="5"/>
      <c r="U47" s="5"/>
      <c r="V47" s="5"/>
      <c r="W47" s="5"/>
    </row>
    <row r="48" spans="1:23" ht="16" x14ac:dyDescent="0.2">
      <c r="A48" s="5"/>
      <c r="B48" s="6"/>
      <c r="C48" s="6"/>
      <c r="D48" s="6"/>
      <c r="E48" s="6"/>
      <c r="F48" s="5"/>
      <c r="G48" s="5"/>
      <c r="H48" s="5"/>
      <c r="I48" s="5"/>
      <c r="J48" s="5"/>
      <c r="K48" s="5"/>
      <c r="L48" s="5"/>
      <c r="M48" s="5"/>
      <c r="N48" s="5"/>
      <c r="O48" s="5"/>
      <c r="P48" s="5"/>
      <c r="Q48" s="5"/>
      <c r="R48" s="5"/>
      <c r="S48" s="5"/>
      <c r="T48" s="5"/>
      <c r="U48" s="5"/>
      <c r="V48" s="5"/>
      <c r="W48" s="5"/>
    </row>
    <row r="49" spans="1:23" ht="16" x14ac:dyDescent="0.2">
      <c r="A49" s="5"/>
      <c r="B49" s="6"/>
      <c r="C49" s="6"/>
      <c r="D49" s="6"/>
      <c r="E49" s="6"/>
      <c r="F49" s="5"/>
      <c r="G49" s="5"/>
      <c r="H49" s="5"/>
      <c r="I49" s="5"/>
      <c r="J49" s="5"/>
      <c r="K49" s="5"/>
      <c r="L49" s="5"/>
      <c r="M49" s="5"/>
      <c r="N49" s="5"/>
      <c r="O49" s="5"/>
      <c r="P49" s="5"/>
      <c r="Q49" s="5"/>
      <c r="R49" s="5"/>
      <c r="S49" s="5"/>
      <c r="T49" s="5"/>
      <c r="U49" s="5"/>
      <c r="V49" s="5"/>
      <c r="W49" s="5"/>
    </row>
    <row r="50" spans="1:23" ht="16" x14ac:dyDescent="0.2">
      <c r="A50" s="5"/>
      <c r="B50" s="6"/>
      <c r="C50" s="6"/>
      <c r="D50" s="6"/>
      <c r="E50" s="6"/>
      <c r="F50" s="5"/>
      <c r="G50" s="5"/>
      <c r="H50" s="5"/>
      <c r="I50" s="5"/>
      <c r="J50" s="5"/>
      <c r="K50" s="5"/>
      <c r="L50" s="5"/>
      <c r="M50" s="5"/>
      <c r="N50" s="5"/>
      <c r="O50" s="5"/>
      <c r="P50" s="5"/>
      <c r="Q50" s="5"/>
      <c r="R50" s="5"/>
      <c r="S50" s="5"/>
      <c r="T50" s="5"/>
      <c r="U50" s="5"/>
      <c r="V50" s="5"/>
      <c r="W50" s="5"/>
    </row>
    <row r="51" spans="1:23" ht="16" x14ac:dyDescent="0.2">
      <c r="A51" s="5"/>
      <c r="B51" s="6"/>
      <c r="C51" s="6"/>
      <c r="D51" s="6"/>
      <c r="E51" s="6"/>
      <c r="F51" s="5"/>
      <c r="G51" s="5"/>
      <c r="H51" s="5"/>
      <c r="I51" s="5"/>
      <c r="J51" s="5"/>
      <c r="K51" s="5"/>
      <c r="L51" s="5"/>
      <c r="M51" s="5"/>
      <c r="N51" s="5"/>
      <c r="O51" s="5"/>
      <c r="P51" s="5"/>
      <c r="Q51" s="5"/>
      <c r="R51" s="5"/>
      <c r="S51" s="5"/>
      <c r="T51" s="5"/>
      <c r="U51" s="5"/>
      <c r="V51" s="5"/>
      <c r="W51" s="5"/>
    </row>
    <row r="52" spans="1:23" ht="16" x14ac:dyDescent="0.2">
      <c r="A52" s="5"/>
      <c r="B52" s="6"/>
      <c r="C52" s="6"/>
      <c r="D52" s="6"/>
      <c r="E52" s="6"/>
      <c r="F52" s="5"/>
      <c r="G52" s="5"/>
      <c r="H52" s="5"/>
      <c r="I52" s="5"/>
      <c r="J52" s="5"/>
      <c r="K52" s="5"/>
      <c r="L52" s="5"/>
      <c r="M52" s="5"/>
      <c r="N52" s="5"/>
      <c r="O52" s="5"/>
      <c r="P52" s="5"/>
      <c r="Q52" s="5"/>
      <c r="R52" s="5"/>
      <c r="S52" s="5"/>
      <c r="T52" s="5"/>
      <c r="U52" s="5"/>
      <c r="V52" s="5"/>
      <c r="W52" s="5"/>
    </row>
    <row r="53" spans="1:23" ht="16" x14ac:dyDescent="0.2">
      <c r="A53" s="5"/>
      <c r="B53" s="6"/>
      <c r="C53" s="6"/>
      <c r="D53" s="6"/>
      <c r="E53" s="6"/>
      <c r="F53" s="5"/>
      <c r="G53" s="5"/>
      <c r="H53" s="5"/>
      <c r="I53" s="5"/>
      <c r="J53" s="5"/>
      <c r="K53" s="5"/>
      <c r="L53" s="5"/>
      <c r="M53" s="5"/>
      <c r="N53" s="5"/>
      <c r="O53" s="5"/>
      <c r="P53" s="5"/>
      <c r="Q53" s="5"/>
      <c r="R53" s="5"/>
      <c r="S53" s="5"/>
      <c r="T53" s="5"/>
      <c r="U53" s="5"/>
      <c r="V53" s="5"/>
      <c r="W53" s="5"/>
    </row>
    <row r="54" spans="1:23" ht="16" x14ac:dyDescent="0.2">
      <c r="A54" s="5"/>
      <c r="B54" s="6"/>
      <c r="C54" s="6"/>
      <c r="D54" s="6"/>
      <c r="E54" s="6"/>
      <c r="F54" s="5"/>
      <c r="G54" s="5"/>
      <c r="H54" s="5"/>
      <c r="I54" s="5"/>
      <c r="J54" s="5"/>
      <c r="K54" s="5"/>
      <c r="L54" s="5"/>
      <c r="M54" s="5"/>
      <c r="N54" s="5"/>
      <c r="O54" s="5"/>
      <c r="P54" s="5"/>
      <c r="Q54" s="5"/>
      <c r="R54" s="5"/>
      <c r="S54" s="5"/>
      <c r="T54" s="5"/>
      <c r="U54" s="5"/>
      <c r="V54" s="5"/>
      <c r="W54" s="5"/>
    </row>
    <row r="55" spans="1:23" ht="16" x14ac:dyDescent="0.2">
      <c r="A55" s="5"/>
      <c r="B55" s="6"/>
      <c r="C55" s="6"/>
      <c r="D55" s="6"/>
      <c r="E55" s="6"/>
      <c r="F55" s="5"/>
      <c r="G55" s="5"/>
      <c r="H55" s="5"/>
      <c r="I55" s="5"/>
      <c r="J55" s="5"/>
      <c r="K55" s="5"/>
      <c r="L55" s="5"/>
      <c r="M55" s="5"/>
      <c r="N55" s="5"/>
      <c r="O55" s="5"/>
      <c r="P55" s="5"/>
      <c r="Q55" s="5"/>
      <c r="R55" s="5"/>
      <c r="S55" s="5"/>
      <c r="T55" s="5"/>
      <c r="U55" s="5"/>
      <c r="V55" s="5"/>
      <c r="W55" s="5"/>
    </row>
    <row r="56" spans="1:23" ht="16" x14ac:dyDescent="0.2">
      <c r="A56" s="5"/>
      <c r="B56" s="6"/>
      <c r="C56" s="6"/>
      <c r="D56" s="6"/>
      <c r="E56" s="6"/>
      <c r="F56" s="5"/>
      <c r="G56" s="5"/>
      <c r="H56" s="5"/>
      <c r="I56" s="5"/>
      <c r="J56" s="5"/>
      <c r="K56" s="5"/>
      <c r="L56" s="5"/>
      <c r="M56" s="5"/>
      <c r="N56" s="5"/>
      <c r="O56" s="5"/>
      <c r="P56" s="5"/>
      <c r="Q56" s="5"/>
      <c r="R56" s="5"/>
      <c r="S56" s="5"/>
      <c r="T56" s="5"/>
      <c r="U56" s="5"/>
      <c r="V56" s="5"/>
      <c r="W56" s="5"/>
    </row>
    <row r="57" spans="1:23" ht="16" x14ac:dyDescent="0.2">
      <c r="A57" s="5"/>
      <c r="B57" s="6"/>
      <c r="C57" s="6"/>
      <c r="D57" s="6"/>
      <c r="E57" s="6"/>
      <c r="F57" s="5"/>
      <c r="G57" s="5"/>
      <c r="H57" s="5"/>
      <c r="I57" s="5"/>
      <c r="J57" s="5"/>
      <c r="K57" s="5"/>
      <c r="L57" s="5"/>
      <c r="M57" s="5"/>
      <c r="N57" s="5"/>
      <c r="O57" s="5"/>
      <c r="P57" s="5"/>
      <c r="Q57" s="5"/>
      <c r="R57" s="5"/>
      <c r="S57" s="5"/>
      <c r="T57" s="5"/>
      <c r="U57" s="5"/>
      <c r="V57" s="5"/>
      <c r="W57" s="5"/>
    </row>
    <row r="58" spans="1:23" ht="16" x14ac:dyDescent="0.2">
      <c r="A58" s="5"/>
      <c r="B58" s="6"/>
      <c r="C58" s="6"/>
      <c r="D58" s="6"/>
      <c r="E58" s="6"/>
      <c r="F58" s="5"/>
      <c r="G58" s="5"/>
      <c r="H58" s="5"/>
      <c r="I58" s="5"/>
      <c r="J58" s="5"/>
      <c r="K58" s="5"/>
      <c r="L58" s="5"/>
      <c r="M58" s="5"/>
      <c r="N58" s="5"/>
      <c r="O58" s="5"/>
      <c r="P58" s="5"/>
      <c r="Q58" s="5"/>
      <c r="R58" s="5"/>
      <c r="S58" s="5"/>
      <c r="T58" s="5"/>
      <c r="U58" s="5"/>
      <c r="V58" s="5"/>
      <c r="W58" s="5"/>
    </row>
    <row r="59" spans="1:23" ht="16" x14ac:dyDescent="0.2">
      <c r="A59" s="5"/>
      <c r="B59" s="6"/>
      <c r="C59" s="6"/>
      <c r="D59" s="6"/>
      <c r="E59" s="6"/>
      <c r="F59" s="5"/>
      <c r="G59" s="5"/>
      <c r="H59" s="5"/>
      <c r="I59" s="5"/>
      <c r="J59" s="5"/>
      <c r="K59" s="5"/>
      <c r="L59" s="5"/>
      <c r="M59" s="5"/>
      <c r="N59" s="5"/>
      <c r="O59" s="5"/>
      <c r="P59" s="5"/>
      <c r="Q59" s="5"/>
      <c r="R59" s="5"/>
      <c r="S59" s="5"/>
      <c r="T59" s="5"/>
      <c r="U59" s="5"/>
      <c r="V59" s="5"/>
      <c r="W59" s="5"/>
    </row>
    <row r="60" spans="1:23" ht="16" x14ac:dyDescent="0.2">
      <c r="A60" s="5"/>
      <c r="B60" s="6"/>
      <c r="C60" s="6"/>
      <c r="D60" s="6"/>
      <c r="E60" s="6"/>
      <c r="F60" s="5"/>
      <c r="G60" s="5"/>
      <c r="H60" s="5"/>
      <c r="I60" s="5"/>
      <c r="J60" s="5"/>
      <c r="K60" s="5"/>
      <c r="L60" s="5"/>
      <c r="M60" s="5"/>
      <c r="N60" s="5"/>
      <c r="O60" s="5"/>
      <c r="P60" s="5"/>
      <c r="Q60" s="5"/>
      <c r="R60" s="5"/>
      <c r="S60" s="5"/>
      <c r="T60" s="5"/>
      <c r="U60" s="5"/>
      <c r="V60" s="5"/>
      <c r="W60" s="5"/>
    </row>
    <row r="61" spans="1:23" ht="16" x14ac:dyDescent="0.2">
      <c r="A61" s="5"/>
      <c r="B61" s="6"/>
      <c r="C61" s="6"/>
      <c r="D61" s="6"/>
      <c r="E61" s="6"/>
      <c r="F61" s="5"/>
      <c r="G61" s="5"/>
      <c r="H61" s="5"/>
      <c r="I61" s="5"/>
      <c r="J61" s="5"/>
      <c r="K61" s="5"/>
      <c r="L61" s="5"/>
      <c r="M61" s="5"/>
      <c r="N61" s="5"/>
      <c r="O61" s="5"/>
      <c r="P61" s="5"/>
      <c r="Q61" s="5"/>
      <c r="R61" s="5"/>
      <c r="S61" s="5"/>
      <c r="T61" s="5"/>
      <c r="U61" s="5"/>
      <c r="V61" s="5"/>
      <c r="W61" s="5"/>
    </row>
    <row r="62" spans="1:23" ht="16" x14ac:dyDescent="0.2">
      <c r="A62" s="5"/>
      <c r="B62" s="6"/>
      <c r="C62" s="6"/>
      <c r="D62" s="6"/>
      <c r="E62" s="6"/>
      <c r="F62" s="5"/>
      <c r="G62" s="5"/>
      <c r="H62" s="5"/>
      <c r="I62" s="5"/>
      <c r="J62" s="5"/>
      <c r="K62" s="5"/>
      <c r="L62" s="5"/>
      <c r="M62" s="5"/>
      <c r="N62" s="5"/>
      <c r="O62" s="5"/>
      <c r="P62" s="5"/>
      <c r="Q62" s="5"/>
      <c r="R62" s="5"/>
      <c r="S62" s="5"/>
      <c r="T62" s="5"/>
      <c r="U62" s="5"/>
      <c r="V62" s="5"/>
      <c r="W62" s="5"/>
    </row>
    <row r="63" spans="1:23" ht="16" x14ac:dyDescent="0.2">
      <c r="A63" s="5"/>
      <c r="B63" s="6"/>
      <c r="C63" s="6"/>
      <c r="D63" s="6"/>
      <c r="E63" s="6"/>
      <c r="F63" s="5"/>
      <c r="G63" s="5"/>
      <c r="H63" s="5"/>
      <c r="I63" s="5"/>
      <c r="J63" s="5"/>
      <c r="K63" s="5"/>
      <c r="L63" s="5"/>
      <c r="M63" s="5"/>
      <c r="N63" s="5"/>
      <c r="O63" s="5"/>
      <c r="P63" s="5"/>
      <c r="Q63" s="5"/>
      <c r="R63" s="5"/>
      <c r="S63" s="5"/>
      <c r="T63" s="5"/>
      <c r="U63" s="5"/>
      <c r="V63" s="5"/>
      <c r="W63" s="5"/>
    </row>
    <row r="64" spans="1:23" ht="16" x14ac:dyDescent="0.2">
      <c r="A64" s="5"/>
      <c r="B64" s="6"/>
      <c r="C64" s="6"/>
      <c r="D64" s="6"/>
      <c r="E64" s="6"/>
      <c r="F64" s="5"/>
      <c r="G64" s="5"/>
      <c r="H64" s="5"/>
      <c r="I64" s="5"/>
      <c r="J64" s="5"/>
      <c r="K64" s="5"/>
      <c r="L64" s="5"/>
      <c r="M64" s="5"/>
      <c r="N64" s="5"/>
      <c r="O64" s="5"/>
      <c r="P64" s="5"/>
      <c r="Q64" s="5"/>
      <c r="R64" s="5"/>
      <c r="S64" s="5"/>
      <c r="T64" s="5"/>
      <c r="U64" s="5"/>
      <c r="V64" s="5"/>
      <c r="W64" s="5"/>
    </row>
    <row r="65" spans="1:23" ht="16" x14ac:dyDescent="0.2">
      <c r="A65" s="5"/>
      <c r="B65" s="6"/>
      <c r="C65" s="6"/>
      <c r="D65" s="6"/>
      <c r="E65" s="6"/>
      <c r="F65" s="5"/>
      <c r="G65" s="5"/>
      <c r="H65" s="5"/>
      <c r="I65" s="5"/>
      <c r="J65" s="5"/>
      <c r="K65" s="5"/>
      <c r="L65" s="5"/>
      <c r="M65" s="5"/>
      <c r="N65" s="5"/>
      <c r="O65" s="5"/>
      <c r="P65" s="5"/>
      <c r="Q65" s="5"/>
      <c r="R65" s="5"/>
      <c r="S65" s="5"/>
      <c r="T65" s="5"/>
      <c r="U65" s="5"/>
      <c r="V65" s="5"/>
      <c r="W65" s="5"/>
    </row>
    <row r="66" spans="1:23" ht="16" x14ac:dyDescent="0.2">
      <c r="A66" s="5"/>
      <c r="B66" s="6"/>
      <c r="C66" s="6"/>
      <c r="D66" s="6"/>
      <c r="E66" s="6"/>
      <c r="F66" s="5"/>
      <c r="G66" s="5"/>
      <c r="H66" s="5"/>
      <c r="I66" s="5"/>
      <c r="J66" s="5"/>
      <c r="K66" s="5"/>
      <c r="L66" s="5"/>
      <c r="M66" s="5"/>
      <c r="N66" s="5"/>
      <c r="O66" s="5"/>
      <c r="P66" s="5"/>
      <c r="Q66" s="5"/>
      <c r="R66" s="5"/>
      <c r="S66" s="5"/>
      <c r="T66" s="5"/>
      <c r="U66" s="5"/>
      <c r="V66" s="5"/>
      <c r="W66" s="5"/>
    </row>
    <row r="67" spans="1:23" ht="16" x14ac:dyDescent="0.2">
      <c r="A67" s="5"/>
      <c r="B67" s="6"/>
      <c r="C67" s="6"/>
      <c r="D67" s="6"/>
      <c r="E67" s="6"/>
      <c r="F67" s="5"/>
      <c r="G67" s="5"/>
      <c r="H67" s="5"/>
      <c r="I67" s="5"/>
      <c r="J67" s="5"/>
      <c r="K67" s="5"/>
      <c r="L67" s="5"/>
      <c r="M67" s="5"/>
      <c r="N67" s="5"/>
      <c r="O67" s="5"/>
      <c r="P67" s="5"/>
      <c r="Q67" s="5"/>
      <c r="R67" s="5"/>
      <c r="S67" s="5"/>
      <c r="T67" s="5"/>
      <c r="U67" s="5"/>
      <c r="V67" s="5"/>
      <c r="W67" s="5"/>
    </row>
    <row r="68" spans="1:23" ht="16" x14ac:dyDescent="0.2">
      <c r="A68" s="5"/>
      <c r="B68" s="6"/>
      <c r="C68" s="6"/>
      <c r="D68" s="6"/>
      <c r="E68" s="6"/>
      <c r="F68" s="5"/>
      <c r="G68" s="5"/>
      <c r="H68" s="5"/>
      <c r="I68" s="5"/>
      <c r="J68" s="5"/>
      <c r="K68" s="5"/>
      <c r="L68" s="5"/>
      <c r="M68" s="5"/>
      <c r="N68" s="5"/>
      <c r="O68" s="5"/>
      <c r="P68" s="5"/>
      <c r="Q68" s="5"/>
      <c r="R68" s="5"/>
      <c r="S68" s="5"/>
      <c r="T68" s="5"/>
      <c r="U68" s="5"/>
      <c r="V68" s="5"/>
      <c r="W68" s="5"/>
    </row>
    <row r="69" spans="1:23" ht="16" x14ac:dyDescent="0.2">
      <c r="A69" s="5"/>
      <c r="B69" s="6"/>
      <c r="C69" s="6"/>
      <c r="D69" s="6"/>
      <c r="E69" s="6"/>
      <c r="F69" s="5"/>
      <c r="G69" s="5"/>
      <c r="H69" s="5"/>
      <c r="I69" s="5"/>
      <c r="J69" s="5"/>
      <c r="K69" s="5"/>
      <c r="L69" s="5"/>
      <c r="M69" s="5"/>
      <c r="N69" s="5"/>
      <c r="O69" s="5"/>
      <c r="P69" s="5"/>
      <c r="Q69" s="5"/>
      <c r="R69" s="5"/>
      <c r="S69" s="5"/>
      <c r="T69" s="5"/>
      <c r="U69" s="5"/>
      <c r="V69" s="5"/>
      <c r="W69" s="5"/>
    </row>
    <row r="70" spans="1:23" ht="16" x14ac:dyDescent="0.2">
      <c r="A70" s="5"/>
      <c r="B70" s="6"/>
      <c r="C70" s="6"/>
      <c r="D70" s="6"/>
      <c r="E70" s="6"/>
      <c r="F70" s="5"/>
      <c r="G70" s="5"/>
      <c r="H70" s="5"/>
      <c r="I70" s="5"/>
      <c r="J70" s="5"/>
      <c r="K70" s="5"/>
      <c r="L70" s="5"/>
      <c r="M70" s="5"/>
      <c r="N70" s="5"/>
      <c r="O70" s="5"/>
      <c r="P70" s="5"/>
      <c r="Q70" s="5"/>
      <c r="R70" s="5"/>
      <c r="S70" s="5"/>
      <c r="T70" s="5"/>
      <c r="U70" s="5"/>
      <c r="V70" s="5"/>
      <c r="W70" s="5"/>
    </row>
    <row r="71" spans="1:23" ht="16" x14ac:dyDescent="0.2">
      <c r="A71" s="5"/>
      <c r="B71" s="6"/>
      <c r="C71" s="6"/>
      <c r="D71" s="6"/>
      <c r="E71" s="6"/>
      <c r="F71" s="5"/>
      <c r="G71" s="5"/>
      <c r="H71" s="5"/>
      <c r="I71" s="5"/>
      <c r="J71" s="5"/>
      <c r="K71" s="5"/>
      <c r="L71" s="5"/>
      <c r="M71" s="5"/>
      <c r="N71" s="5"/>
      <c r="O71" s="5"/>
      <c r="P71" s="5"/>
      <c r="Q71" s="5"/>
      <c r="R71" s="5"/>
      <c r="S71" s="5"/>
      <c r="T71" s="5"/>
      <c r="U71" s="5"/>
      <c r="V71" s="5"/>
      <c r="W71" s="5"/>
    </row>
    <row r="72" spans="1:23" ht="16" x14ac:dyDescent="0.2">
      <c r="A72" s="5"/>
      <c r="B72" s="6"/>
      <c r="C72" s="6"/>
      <c r="D72" s="6"/>
      <c r="E72" s="6"/>
      <c r="F72" s="5"/>
      <c r="G72" s="5"/>
      <c r="H72" s="5"/>
      <c r="I72" s="5"/>
      <c r="J72" s="5"/>
      <c r="K72" s="5"/>
      <c r="L72" s="5"/>
      <c r="M72" s="5"/>
      <c r="N72" s="5"/>
      <c r="O72" s="5"/>
      <c r="P72" s="5"/>
      <c r="Q72" s="5"/>
      <c r="R72" s="5"/>
      <c r="S72" s="5"/>
      <c r="T72" s="5"/>
      <c r="U72" s="5"/>
      <c r="V72" s="5"/>
      <c r="W72" s="5"/>
    </row>
    <row r="73" spans="1:23" ht="16" x14ac:dyDescent="0.2">
      <c r="A73" s="5"/>
      <c r="B73" s="6"/>
      <c r="C73" s="6"/>
      <c r="D73" s="6"/>
      <c r="E73" s="6"/>
      <c r="F73" s="5"/>
      <c r="G73" s="5"/>
      <c r="H73" s="5"/>
      <c r="I73" s="5"/>
      <c r="J73" s="5"/>
      <c r="K73" s="5"/>
      <c r="L73" s="5"/>
      <c r="M73" s="5"/>
      <c r="N73" s="5"/>
      <c r="O73" s="5"/>
      <c r="P73" s="5"/>
      <c r="Q73" s="5"/>
      <c r="R73" s="5"/>
      <c r="S73" s="5"/>
      <c r="T73" s="5"/>
      <c r="U73" s="5"/>
      <c r="V73" s="5"/>
      <c r="W73" s="5"/>
    </row>
    <row r="74" spans="1:23" ht="16" x14ac:dyDescent="0.2">
      <c r="A74" s="5"/>
      <c r="B74" s="6"/>
      <c r="C74" s="6"/>
      <c r="D74" s="6"/>
      <c r="E74" s="6"/>
      <c r="F74" s="5"/>
      <c r="G74" s="5"/>
      <c r="H74" s="5"/>
      <c r="I74" s="5"/>
      <c r="J74" s="5"/>
      <c r="K74" s="5"/>
      <c r="L74" s="5"/>
      <c r="M74" s="5"/>
      <c r="N74" s="5"/>
      <c r="O74" s="5"/>
      <c r="P74" s="5"/>
      <c r="Q74" s="5"/>
      <c r="R74" s="5"/>
      <c r="S74" s="5"/>
      <c r="T74" s="5"/>
      <c r="U74" s="5"/>
      <c r="V74" s="5"/>
      <c r="W74" s="5"/>
    </row>
    <row r="75" spans="1:23" ht="16" x14ac:dyDescent="0.2">
      <c r="A75" s="5"/>
      <c r="B75" s="6"/>
      <c r="C75" s="6"/>
      <c r="D75" s="6"/>
      <c r="E75" s="6"/>
      <c r="F75" s="5"/>
      <c r="G75" s="5"/>
      <c r="H75" s="5"/>
      <c r="I75" s="5"/>
      <c r="J75" s="5"/>
      <c r="K75" s="5"/>
      <c r="L75" s="5"/>
      <c r="M75" s="5"/>
      <c r="N75" s="5"/>
      <c r="O75" s="5"/>
      <c r="P75" s="5"/>
      <c r="Q75" s="5"/>
      <c r="R75" s="5"/>
      <c r="S75" s="5"/>
      <c r="T75" s="5"/>
      <c r="U75" s="5"/>
      <c r="V75" s="5"/>
      <c r="W75" s="5"/>
    </row>
    <row r="76" spans="1:23" ht="16" x14ac:dyDescent="0.2">
      <c r="A76" s="5"/>
      <c r="B76" s="6"/>
      <c r="C76" s="6"/>
      <c r="D76" s="6"/>
      <c r="E76" s="6"/>
      <c r="F76" s="5"/>
      <c r="G76" s="5"/>
      <c r="H76" s="5"/>
      <c r="I76" s="5"/>
      <c r="J76" s="5"/>
      <c r="K76" s="5"/>
      <c r="L76" s="5"/>
      <c r="M76" s="5"/>
      <c r="N76" s="5"/>
      <c r="O76" s="5"/>
      <c r="P76" s="5"/>
      <c r="Q76" s="5"/>
      <c r="R76" s="5"/>
      <c r="S76" s="5"/>
      <c r="T76" s="5"/>
      <c r="U76" s="5"/>
      <c r="V76" s="5"/>
      <c r="W76" s="5"/>
    </row>
    <row r="77" spans="1:23" ht="16" x14ac:dyDescent="0.2">
      <c r="A77" s="5"/>
      <c r="B77" s="6"/>
      <c r="C77" s="6"/>
      <c r="D77" s="6"/>
      <c r="E77" s="6"/>
      <c r="F77" s="5"/>
      <c r="G77" s="5"/>
      <c r="H77" s="5"/>
      <c r="I77" s="5"/>
      <c r="J77" s="5"/>
      <c r="K77" s="5"/>
      <c r="L77" s="5"/>
      <c r="M77" s="5"/>
      <c r="N77" s="5"/>
      <c r="O77" s="5"/>
      <c r="P77" s="5"/>
      <c r="Q77" s="5"/>
      <c r="R77" s="5"/>
      <c r="S77" s="5"/>
      <c r="T77" s="5"/>
      <c r="U77" s="5"/>
      <c r="V77" s="5"/>
      <c r="W77" s="5"/>
    </row>
    <row r="78" spans="1:23" ht="16" x14ac:dyDescent="0.2">
      <c r="A78" s="5"/>
      <c r="B78" s="6"/>
      <c r="C78" s="6"/>
      <c r="D78" s="6"/>
      <c r="E78" s="6"/>
      <c r="F78" s="5"/>
      <c r="G78" s="5"/>
      <c r="H78" s="5"/>
      <c r="I78" s="5"/>
      <c r="J78" s="5"/>
      <c r="K78" s="5"/>
      <c r="L78" s="5"/>
      <c r="M78" s="5"/>
      <c r="N78" s="5"/>
      <c r="O78" s="5"/>
      <c r="P78" s="5"/>
      <c r="Q78" s="5"/>
      <c r="R78" s="5"/>
      <c r="S78" s="5"/>
      <c r="T78" s="5"/>
      <c r="U78" s="5"/>
      <c r="V78" s="5"/>
      <c r="W78" s="5"/>
    </row>
    <row r="79" spans="1:23" ht="16" x14ac:dyDescent="0.2">
      <c r="A79" s="5"/>
      <c r="B79" s="6"/>
      <c r="C79" s="6"/>
      <c r="D79" s="6"/>
      <c r="E79" s="6"/>
      <c r="F79" s="5"/>
      <c r="G79" s="5"/>
      <c r="H79" s="5"/>
      <c r="I79" s="5"/>
      <c r="J79" s="5"/>
      <c r="K79" s="5"/>
      <c r="L79" s="5"/>
      <c r="M79" s="5"/>
      <c r="N79" s="5"/>
      <c r="O79" s="5"/>
      <c r="P79" s="5"/>
      <c r="Q79" s="5"/>
      <c r="R79" s="5"/>
      <c r="S79" s="5"/>
      <c r="T79" s="5"/>
      <c r="U79" s="5"/>
      <c r="V79" s="5"/>
      <c r="W79" s="5"/>
    </row>
    <row r="80" spans="1:23" ht="16" x14ac:dyDescent="0.2">
      <c r="A80" s="5"/>
      <c r="B80" s="6"/>
      <c r="C80" s="6"/>
      <c r="D80" s="6"/>
      <c r="E80" s="6"/>
      <c r="F80" s="5"/>
      <c r="G80" s="5"/>
      <c r="H80" s="5"/>
      <c r="I80" s="5"/>
      <c r="J80" s="5"/>
      <c r="K80" s="5"/>
      <c r="L80" s="5"/>
      <c r="M80" s="5"/>
      <c r="N80" s="5"/>
      <c r="O80" s="5"/>
      <c r="P80" s="5"/>
      <c r="Q80" s="5"/>
      <c r="R80" s="5"/>
      <c r="S80" s="5"/>
      <c r="T80" s="5"/>
      <c r="U80" s="5"/>
      <c r="V80" s="5"/>
      <c r="W80" s="5"/>
    </row>
    <row r="81" spans="1:23" ht="16" x14ac:dyDescent="0.2">
      <c r="A81" s="5"/>
      <c r="B81" s="6"/>
      <c r="C81" s="6"/>
      <c r="D81" s="6"/>
      <c r="E81" s="6"/>
      <c r="F81" s="5"/>
      <c r="G81" s="5"/>
      <c r="H81" s="5"/>
      <c r="I81" s="5"/>
      <c r="J81" s="5"/>
      <c r="K81" s="5"/>
      <c r="L81" s="5"/>
      <c r="M81" s="5"/>
      <c r="N81" s="5"/>
      <c r="O81" s="5"/>
      <c r="P81" s="5"/>
      <c r="Q81" s="5"/>
      <c r="R81" s="5"/>
      <c r="S81" s="5"/>
      <c r="T81" s="5"/>
      <c r="U81" s="5"/>
      <c r="V81" s="5"/>
      <c r="W81" s="5"/>
    </row>
    <row r="82" spans="1:23" ht="16" x14ac:dyDescent="0.2">
      <c r="A82" s="5"/>
      <c r="B82" s="6"/>
      <c r="C82" s="6"/>
      <c r="D82" s="6"/>
      <c r="E82" s="6"/>
      <c r="F82" s="5"/>
      <c r="G82" s="5"/>
      <c r="H82" s="5"/>
      <c r="I82" s="5"/>
      <c r="J82" s="5"/>
      <c r="K82" s="5"/>
      <c r="L82" s="5"/>
      <c r="M82" s="5"/>
      <c r="N82" s="5"/>
      <c r="O82" s="5"/>
      <c r="P82" s="5"/>
      <c r="Q82" s="5"/>
      <c r="R82" s="5"/>
      <c r="S82" s="5"/>
      <c r="T82" s="5"/>
      <c r="U82" s="5"/>
      <c r="V82" s="5"/>
      <c r="W82" s="5"/>
    </row>
    <row r="83" spans="1:23" ht="16" x14ac:dyDescent="0.2">
      <c r="A83" s="5"/>
      <c r="B83" s="6"/>
      <c r="C83" s="6"/>
      <c r="D83" s="6"/>
      <c r="E83" s="6"/>
      <c r="F83" s="5"/>
      <c r="G83" s="5"/>
      <c r="H83" s="5"/>
      <c r="I83" s="5"/>
      <c r="J83" s="5"/>
      <c r="K83" s="5"/>
      <c r="L83" s="5"/>
      <c r="M83" s="5"/>
      <c r="N83" s="5"/>
      <c r="O83" s="5"/>
      <c r="P83" s="5"/>
      <c r="Q83" s="5"/>
      <c r="R83" s="5"/>
      <c r="S83" s="5"/>
      <c r="T83" s="5"/>
      <c r="U83" s="5"/>
      <c r="V83" s="5"/>
      <c r="W83" s="5"/>
    </row>
    <row r="84" spans="1:23" ht="16" x14ac:dyDescent="0.2">
      <c r="A84" s="5"/>
      <c r="B84" s="6"/>
      <c r="C84" s="6"/>
      <c r="D84" s="6"/>
      <c r="E84" s="6"/>
      <c r="F84" s="5"/>
      <c r="G84" s="5"/>
      <c r="H84" s="5"/>
      <c r="I84" s="5"/>
      <c r="J84" s="5"/>
      <c r="K84" s="5"/>
      <c r="L84" s="5"/>
      <c r="M84" s="5"/>
      <c r="N84" s="5"/>
      <c r="O84" s="5"/>
      <c r="P84" s="5"/>
      <c r="Q84" s="5"/>
      <c r="R84" s="5"/>
      <c r="S84" s="5"/>
      <c r="T84" s="5"/>
      <c r="U84" s="5"/>
      <c r="V84" s="5"/>
      <c r="W84" s="5"/>
    </row>
    <row r="85" spans="1:23" ht="16" x14ac:dyDescent="0.2">
      <c r="A85" s="5"/>
      <c r="B85" s="6"/>
      <c r="C85" s="6"/>
      <c r="D85" s="6"/>
      <c r="E85" s="6"/>
      <c r="F85" s="5"/>
      <c r="G85" s="5"/>
      <c r="H85" s="5"/>
      <c r="I85" s="5"/>
      <c r="J85" s="5"/>
      <c r="K85" s="5"/>
      <c r="L85" s="5"/>
      <c r="M85" s="5"/>
      <c r="N85" s="5"/>
      <c r="O85" s="5"/>
      <c r="P85" s="5"/>
      <c r="Q85" s="5"/>
      <c r="R85" s="5"/>
      <c r="S85" s="5"/>
      <c r="T85" s="5"/>
      <c r="U85" s="5"/>
      <c r="V85" s="5"/>
      <c r="W85" s="5"/>
    </row>
    <row r="86" spans="1:23" ht="16" x14ac:dyDescent="0.2">
      <c r="A86" s="5"/>
      <c r="B86" s="6"/>
      <c r="C86" s="6"/>
      <c r="D86" s="6"/>
      <c r="E86" s="6"/>
      <c r="F86" s="5"/>
      <c r="G86" s="5"/>
      <c r="H86" s="5"/>
      <c r="I86" s="5"/>
      <c r="J86" s="5"/>
      <c r="K86" s="5"/>
      <c r="L86" s="5"/>
      <c r="M86" s="5"/>
      <c r="N86" s="5"/>
      <c r="O86" s="5"/>
      <c r="P86" s="5"/>
      <c r="Q86" s="5"/>
      <c r="R86" s="5"/>
      <c r="S86" s="5"/>
      <c r="T86" s="5"/>
      <c r="U86" s="5"/>
      <c r="V86" s="5"/>
      <c r="W86" s="5"/>
    </row>
    <row r="87" spans="1:23" ht="16" x14ac:dyDescent="0.2">
      <c r="A87" s="5"/>
      <c r="B87" s="6"/>
      <c r="C87" s="6"/>
      <c r="D87" s="6"/>
      <c r="E87" s="6"/>
      <c r="F87" s="5"/>
      <c r="G87" s="5"/>
      <c r="H87" s="5"/>
      <c r="I87" s="5"/>
      <c r="J87" s="5"/>
      <c r="K87" s="5"/>
      <c r="L87" s="5"/>
      <c r="M87" s="5"/>
      <c r="N87" s="5"/>
      <c r="O87" s="5"/>
      <c r="P87" s="5"/>
      <c r="Q87" s="5"/>
      <c r="R87" s="5"/>
      <c r="S87" s="5"/>
      <c r="T87" s="5"/>
      <c r="U87" s="5"/>
      <c r="V87" s="5"/>
      <c r="W87" s="5"/>
    </row>
    <row r="88" spans="1:23" ht="16" x14ac:dyDescent="0.2">
      <c r="A88" s="5"/>
      <c r="B88" s="6"/>
      <c r="C88" s="6"/>
      <c r="D88" s="6"/>
      <c r="E88" s="6"/>
      <c r="F88" s="5"/>
      <c r="G88" s="5"/>
      <c r="H88" s="5"/>
      <c r="I88" s="5"/>
      <c r="J88" s="5"/>
      <c r="K88" s="5"/>
      <c r="L88" s="5"/>
      <c r="M88" s="5"/>
      <c r="N88" s="5"/>
      <c r="O88" s="5"/>
      <c r="P88" s="5"/>
      <c r="Q88" s="5"/>
      <c r="R88" s="5"/>
      <c r="S88" s="5"/>
      <c r="T88" s="5"/>
      <c r="U88" s="5"/>
      <c r="V88" s="5"/>
      <c r="W88" s="5"/>
    </row>
    <row r="89" spans="1:23" ht="16" x14ac:dyDescent="0.2">
      <c r="A89" s="5"/>
      <c r="B89" s="6"/>
      <c r="C89" s="6"/>
      <c r="D89" s="6"/>
      <c r="E89" s="6"/>
      <c r="F89" s="5"/>
      <c r="G89" s="5"/>
      <c r="H89" s="5"/>
      <c r="I89" s="5"/>
      <c r="J89" s="5"/>
      <c r="K89" s="5"/>
      <c r="L89" s="5"/>
      <c r="M89" s="5"/>
      <c r="N89" s="5"/>
      <c r="O89" s="5"/>
      <c r="P89" s="5"/>
      <c r="Q89" s="5"/>
      <c r="R89" s="5"/>
      <c r="S89" s="5"/>
      <c r="T89" s="5"/>
      <c r="U89" s="5"/>
      <c r="V89" s="5"/>
      <c r="W89" s="5"/>
    </row>
    <row r="90" spans="1:23" ht="16" x14ac:dyDescent="0.2">
      <c r="A90" s="5"/>
      <c r="B90" s="6"/>
      <c r="C90" s="6"/>
      <c r="D90" s="6"/>
      <c r="E90" s="6"/>
      <c r="F90" s="5"/>
      <c r="G90" s="5"/>
      <c r="H90" s="5"/>
      <c r="I90" s="5"/>
      <c r="J90" s="5"/>
      <c r="K90" s="5"/>
      <c r="L90" s="5"/>
      <c r="M90" s="5"/>
      <c r="N90" s="5"/>
      <c r="O90" s="5"/>
      <c r="P90" s="5"/>
      <c r="Q90" s="5"/>
      <c r="R90" s="5"/>
      <c r="S90" s="5"/>
      <c r="T90" s="5"/>
      <c r="U90" s="5"/>
      <c r="V90" s="5"/>
      <c r="W90" s="5"/>
    </row>
    <row r="91" spans="1:23" ht="16" x14ac:dyDescent="0.2">
      <c r="A91" s="5"/>
      <c r="B91" s="6"/>
      <c r="C91" s="6"/>
      <c r="D91" s="6"/>
      <c r="E91" s="6"/>
      <c r="F91" s="5"/>
      <c r="G91" s="5"/>
      <c r="H91" s="5"/>
      <c r="I91" s="5"/>
      <c r="J91" s="5"/>
      <c r="K91" s="5"/>
      <c r="L91" s="5"/>
      <c r="M91" s="5"/>
      <c r="N91" s="5"/>
      <c r="O91" s="5"/>
      <c r="P91" s="5"/>
      <c r="Q91" s="5"/>
      <c r="R91" s="5"/>
      <c r="S91" s="5"/>
      <c r="T91" s="5"/>
      <c r="U91" s="5"/>
      <c r="V91" s="5"/>
      <c r="W91" s="5"/>
    </row>
    <row r="92" spans="1:23" ht="16" x14ac:dyDescent="0.2">
      <c r="A92" s="5"/>
      <c r="B92" s="6"/>
      <c r="C92" s="6"/>
      <c r="D92" s="6"/>
      <c r="E92" s="6"/>
      <c r="F92" s="5"/>
      <c r="G92" s="5"/>
      <c r="H92" s="5"/>
      <c r="I92" s="5"/>
      <c r="J92" s="5"/>
      <c r="K92" s="5"/>
      <c r="L92" s="5"/>
      <c r="M92" s="5"/>
      <c r="N92" s="5"/>
      <c r="O92" s="5"/>
      <c r="P92" s="5"/>
      <c r="Q92" s="5"/>
      <c r="R92" s="5"/>
      <c r="S92" s="5"/>
      <c r="T92" s="5"/>
      <c r="U92" s="5"/>
      <c r="V92" s="5"/>
      <c r="W92" s="5"/>
    </row>
    <row r="93" spans="1:23" ht="16" x14ac:dyDescent="0.2">
      <c r="A93" s="5"/>
      <c r="B93" s="6"/>
      <c r="C93" s="6"/>
      <c r="D93" s="6"/>
      <c r="E93" s="6"/>
      <c r="F93" s="5"/>
      <c r="G93" s="5"/>
      <c r="H93" s="5"/>
      <c r="I93" s="5"/>
      <c r="J93" s="5"/>
      <c r="K93" s="5"/>
      <c r="L93" s="5"/>
      <c r="M93" s="5"/>
      <c r="N93" s="5"/>
      <c r="O93" s="5"/>
      <c r="P93" s="5"/>
      <c r="Q93" s="5"/>
      <c r="R93" s="5"/>
      <c r="S93" s="5"/>
      <c r="T93" s="5"/>
      <c r="U93" s="5"/>
      <c r="V93" s="5"/>
      <c r="W93" s="5"/>
    </row>
    <row r="94" spans="1:23" ht="16" x14ac:dyDescent="0.2">
      <c r="A94" s="5"/>
      <c r="B94" s="6"/>
      <c r="C94" s="6"/>
      <c r="D94" s="6"/>
      <c r="E94" s="6"/>
      <c r="F94" s="5"/>
      <c r="G94" s="5"/>
      <c r="H94" s="5"/>
      <c r="I94" s="5"/>
      <c r="J94" s="5"/>
      <c r="K94" s="5"/>
      <c r="L94" s="5"/>
      <c r="M94" s="5"/>
      <c r="N94" s="5"/>
      <c r="O94" s="5"/>
      <c r="P94" s="5"/>
      <c r="Q94" s="5"/>
      <c r="R94" s="5"/>
      <c r="S94" s="5"/>
      <c r="T94" s="5"/>
      <c r="U94" s="5"/>
      <c r="V94" s="5"/>
      <c r="W94" s="5"/>
    </row>
    <row r="95" spans="1:23" ht="16" x14ac:dyDescent="0.2">
      <c r="A95" s="5"/>
      <c r="B95" s="6"/>
      <c r="C95" s="6"/>
      <c r="D95" s="6"/>
      <c r="E95" s="6"/>
      <c r="F95" s="5"/>
      <c r="G95" s="5"/>
      <c r="H95" s="5"/>
      <c r="I95" s="5"/>
      <c r="J95" s="5"/>
      <c r="K95" s="5"/>
      <c r="L95" s="5"/>
      <c r="M95" s="5"/>
      <c r="N95" s="5"/>
      <c r="O95" s="5"/>
      <c r="P95" s="5"/>
      <c r="Q95" s="5"/>
      <c r="R95" s="5"/>
      <c r="S95" s="5"/>
      <c r="T95" s="5"/>
      <c r="U95" s="5"/>
      <c r="V95" s="5"/>
      <c r="W95" s="5"/>
    </row>
    <row r="96" spans="1:23" ht="16" x14ac:dyDescent="0.2">
      <c r="A96" s="5"/>
      <c r="B96" s="6"/>
      <c r="C96" s="6"/>
      <c r="D96" s="6"/>
      <c r="E96" s="6"/>
      <c r="F96" s="5"/>
      <c r="G96" s="5"/>
      <c r="H96" s="5"/>
      <c r="I96" s="5"/>
      <c r="J96" s="5"/>
      <c r="K96" s="5"/>
      <c r="L96" s="5"/>
      <c r="M96" s="5"/>
      <c r="N96" s="5"/>
      <c r="O96" s="5"/>
      <c r="P96" s="5"/>
      <c r="Q96" s="5"/>
      <c r="R96" s="5"/>
      <c r="S96" s="5"/>
      <c r="T96" s="5"/>
      <c r="U96" s="5"/>
      <c r="V96" s="5"/>
      <c r="W96" s="5"/>
    </row>
    <row r="97" spans="1:23" ht="16" x14ac:dyDescent="0.2">
      <c r="A97" s="5"/>
      <c r="B97" s="6"/>
      <c r="C97" s="6"/>
      <c r="D97" s="6"/>
      <c r="E97" s="6"/>
      <c r="F97" s="5"/>
      <c r="G97" s="5"/>
      <c r="H97" s="5"/>
      <c r="I97" s="5"/>
      <c r="J97" s="5"/>
      <c r="K97" s="5"/>
      <c r="L97" s="5"/>
      <c r="M97" s="5"/>
      <c r="N97" s="5"/>
      <c r="O97" s="5"/>
      <c r="P97" s="5"/>
      <c r="Q97" s="5"/>
      <c r="R97" s="5"/>
      <c r="S97" s="5"/>
      <c r="T97" s="5"/>
      <c r="U97" s="5"/>
      <c r="V97" s="5"/>
      <c r="W97" s="5"/>
    </row>
    <row r="98" spans="1:23" ht="16" x14ac:dyDescent="0.2">
      <c r="A98" s="5"/>
      <c r="B98" s="6"/>
      <c r="C98" s="6"/>
      <c r="D98" s="6"/>
      <c r="E98" s="6"/>
      <c r="F98" s="5"/>
      <c r="G98" s="5"/>
      <c r="H98" s="5"/>
      <c r="I98" s="5"/>
      <c r="J98" s="5"/>
      <c r="K98" s="5"/>
      <c r="L98" s="5"/>
      <c r="M98" s="5"/>
      <c r="N98" s="5"/>
      <c r="O98" s="5"/>
      <c r="P98" s="5"/>
      <c r="Q98" s="5"/>
      <c r="R98" s="5"/>
      <c r="S98" s="5"/>
      <c r="T98" s="5"/>
      <c r="U98" s="5"/>
      <c r="V98" s="5"/>
      <c r="W98" s="5"/>
    </row>
    <row r="99" spans="1:23" ht="16" x14ac:dyDescent="0.2">
      <c r="A99" s="5"/>
      <c r="B99" s="6"/>
      <c r="C99" s="6"/>
      <c r="D99" s="6"/>
      <c r="E99" s="6"/>
      <c r="F99" s="5"/>
      <c r="G99" s="5"/>
      <c r="H99" s="5"/>
      <c r="I99" s="5"/>
      <c r="J99" s="5"/>
      <c r="K99" s="5"/>
      <c r="L99" s="5"/>
      <c r="M99" s="5"/>
      <c r="N99" s="5"/>
      <c r="O99" s="5"/>
      <c r="P99" s="5"/>
      <c r="Q99" s="5"/>
      <c r="R99" s="5"/>
      <c r="S99" s="5"/>
      <c r="T99" s="5"/>
      <c r="U99" s="5"/>
      <c r="V99" s="5"/>
      <c r="W99" s="5"/>
    </row>
    <row r="100" spans="1:23" ht="16" x14ac:dyDescent="0.2">
      <c r="A100" s="5"/>
      <c r="B100" s="6"/>
      <c r="C100" s="6"/>
      <c r="D100" s="6"/>
      <c r="E100" s="6"/>
      <c r="F100" s="5"/>
      <c r="G100" s="5"/>
      <c r="H100" s="5"/>
      <c r="I100" s="5"/>
      <c r="J100" s="5"/>
      <c r="K100" s="5"/>
      <c r="L100" s="5"/>
      <c r="M100" s="5"/>
      <c r="N100" s="5"/>
      <c r="O100" s="5"/>
      <c r="P100" s="5"/>
      <c r="Q100" s="5"/>
      <c r="R100" s="5"/>
      <c r="S100" s="5"/>
      <c r="T100" s="5"/>
      <c r="U100" s="5"/>
      <c r="V100" s="5"/>
      <c r="W100" s="5"/>
    </row>
    <row r="101" spans="1:23" ht="16" x14ac:dyDescent="0.2">
      <c r="A101" s="5"/>
      <c r="B101" s="6"/>
      <c r="C101" s="6"/>
      <c r="D101" s="6"/>
      <c r="E101" s="6"/>
      <c r="F101" s="5"/>
      <c r="G101" s="5"/>
      <c r="H101" s="5"/>
      <c r="I101" s="5"/>
      <c r="J101" s="5"/>
      <c r="K101" s="5"/>
      <c r="L101" s="5"/>
      <c r="M101" s="5"/>
      <c r="N101" s="5"/>
      <c r="O101" s="5"/>
      <c r="P101" s="5"/>
      <c r="Q101" s="5"/>
      <c r="R101" s="5"/>
      <c r="S101" s="5"/>
      <c r="T101" s="5"/>
      <c r="U101" s="5"/>
      <c r="V101" s="5"/>
      <c r="W101" s="5"/>
    </row>
    <row r="102" spans="1:23" ht="16" x14ac:dyDescent="0.2">
      <c r="A102" s="5"/>
      <c r="B102" s="6"/>
      <c r="C102" s="6"/>
      <c r="D102" s="6"/>
      <c r="E102" s="6"/>
      <c r="F102" s="5"/>
      <c r="G102" s="5"/>
      <c r="H102" s="5"/>
      <c r="I102" s="5"/>
      <c r="J102" s="5"/>
      <c r="K102" s="5"/>
      <c r="L102" s="5"/>
      <c r="M102" s="5"/>
      <c r="N102" s="5"/>
      <c r="O102" s="5"/>
      <c r="P102" s="5"/>
      <c r="Q102" s="5"/>
      <c r="R102" s="5"/>
      <c r="S102" s="5"/>
      <c r="T102" s="5"/>
      <c r="U102" s="5"/>
      <c r="V102" s="5"/>
      <c r="W102" s="5"/>
    </row>
    <row r="103" spans="1:23" ht="16" x14ac:dyDescent="0.2">
      <c r="A103" s="5"/>
      <c r="B103" s="6"/>
      <c r="C103" s="6"/>
      <c r="D103" s="6"/>
      <c r="E103" s="6"/>
      <c r="F103" s="5"/>
      <c r="G103" s="5"/>
      <c r="H103" s="5"/>
      <c r="I103" s="5"/>
      <c r="J103" s="5"/>
      <c r="K103" s="5"/>
      <c r="L103" s="5"/>
      <c r="M103" s="5"/>
      <c r="N103" s="5"/>
      <c r="O103" s="5"/>
      <c r="P103" s="5"/>
      <c r="Q103" s="5"/>
      <c r="R103" s="5"/>
      <c r="S103" s="5"/>
      <c r="T103" s="5"/>
      <c r="U103" s="5"/>
      <c r="V103" s="5"/>
      <c r="W103" s="5"/>
    </row>
    <row r="104" spans="1:23" ht="16" x14ac:dyDescent="0.2">
      <c r="A104" s="5"/>
      <c r="B104" s="6"/>
      <c r="C104" s="6"/>
      <c r="D104" s="6"/>
      <c r="E104" s="6"/>
      <c r="F104" s="5"/>
      <c r="G104" s="5"/>
      <c r="H104" s="5"/>
      <c r="I104" s="5"/>
      <c r="J104" s="5"/>
      <c r="K104" s="5"/>
      <c r="L104" s="5"/>
      <c r="M104" s="5"/>
      <c r="N104" s="5"/>
      <c r="O104" s="5"/>
      <c r="P104" s="5"/>
      <c r="Q104" s="5"/>
      <c r="R104" s="5"/>
      <c r="S104" s="5"/>
      <c r="T104" s="5"/>
      <c r="U104" s="5"/>
      <c r="V104" s="5"/>
      <c r="W104" s="5"/>
    </row>
    <row r="105" spans="1:23" ht="16" x14ac:dyDescent="0.2">
      <c r="A105" s="5"/>
      <c r="B105" s="6"/>
      <c r="C105" s="6"/>
      <c r="D105" s="6"/>
      <c r="E105" s="6"/>
      <c r="F105" s="5"/>
      <c r="G105" s="5"/>
      <c r="H105" s="5"/>
      <c r="I105" s="5"/>
      <c r="J105" s="5"/>
      <c r="K105" s="5"/>
      <c r="L105" s="5"/>
      <c r="M105" s="5"/>
      <c r="N105" s="5"/>
      <c r="O105" s="5"/>
      <c r="P105" s="5"/>
      <c r="Q105" s="5"/>
      <c r="R105" s="5"/>
      <c r="S105" s="5"/>
      <c r="T105" s="5"/>
      <c r="U105" s="5"/>
      <c r="V105" s="5"/>
      <c r="W105" s="5"/>
    </row>
    <row r="106" spans="1:23" ht="16" x14ac:dyDescent="0.2">
      <c r="A106" s="5"/>
      <c r="B106" s="6"/>
      <c r="C106" s="6"/>
      <c r="D106" s="6"/>
      <c r="E106" s="6"/>
      <c r="F106" s="5"/>
      <c r="G106" s="5"/>
      <c r="H106" s="5"/>
      <c r="I106" s="5"/>
      <c r="J106" s="5"/>
      <c r="K106" s="5"/>
      <c r="L106" s="5"/>
      <c r="M106" s="5"/>
      <c r="N106" s="5"/>
      <c r="O106" s="5"/>
      <c r="P106" s="5"/>
      <c r="Q106" s="5"/>
      <c r="R106" s="5"/>
      <c r="S106" s="5"/>
      <c r="T106" s="5"/>
      <c r="U106" s="5"/>
      <c r="V106" s="5"/>
      <c r="W106" s="5"/>
    </row>
    <row r="107" spans="1:23" ht="16" x14ac:dyDescent="0.2">
      <c r="A107" s="5"/>
      <c r="B107" s="6"/>
      <c r="C107" s="6"/>
      <c r="D107" s="6"/>
      <c r="E107" s="6"/>
      <c r="F107" s="5"/>
      <c r="G107" s="5"/>
      <c r="H107" s="5"/>
      <c r="I107" s="5"/>
      <c r="J107" s="5"/>
      <c r="K107" s="5"/>
      <c r="L107" s="5"/>
      <c r="M107" s="5"/>
      <c r="N107" s="5"/>
      <c r="O107" s="5"/>
      <c r="P107" s="5"/>
      <c r="Q107" s="5"/>
      <c r="R107" s="5"/>
      <c r="S107" s="5"/>
      <c r="T107" s="5"/>
      <c r="U107" s="5"/>
      <c r="V107" s="5"/>
      <c r="W107" s="5"/>
    </row>
    <row r="108" spans="1:23" ht="16" x14ac:dyDescent="0.2">
      <c r="A108" s="5"/>
      <c r="B108" s="6"/>
      <c r="C108" s="6"/>
      <c r="D108" s="6"/>
      <c r="E108" s="6"/>
      <c r="F108" s="5"/>
      <c r="G108" s="5"/>
      <c r="H108" s="5"/>
      <c r="I108" s="5"/>
      <c r="J108" s="5"/>
      <c r="K108" s="5"/>
      <c r="L108" s="5"/>
      <c r="M108" s="5"/>
      <c r="N108" s="5"/>
      <c r="O108" s="5"/>
      <c r="P108" s="5"/>
      <c r="Q108" s="5"/>
      <c r="R108" s="5"/>
      <c r="S108" s="5"/>
      <c r="T108" s="5"/>
      <c r="U108" s="5"/>
      <c r="V108" s="5"/>
      <c r="W108" s="5"/>
    </row>
    <row r="109" spans="1:23" ht="16" x14ac:dyDescent="0.2">
      <c r="A109" s="5"/>
      <c r="B109" s="6"/>
      <c r="C109" s="6"/>
      <c r="D109" s="6"/>
      <c r="E109" s="6"/>
      <c r="F109" s="5"/>
      <c r="G109" s="5"/>
      <c r="H109" s="5"/>
      <c r="I109" s="5"/>
      <c r="J109" s="5"/>
      <c r="K109" s="5"/>
      <c r="L109" s="5"/>
      <c r="M109" s="5"/>
      <c r="N109" s="5"/>
      <c r="O109" s="5"/>
      <c r="P109" s="5"/>
      <c r="Q109" s="5"/>
      <c r="R109" s="5"/>
      <c r="S109" s="5"/>
      <c r="T109" s="5"/>
      <c r="U109" s="5"/>
      <c r="V109" s="5"/>
      <c r="W109" s="5"/>
    </row>
    <row r="110" spans="1:23" ht="16" x14ac:dyDescent="0.2">
      <c r="A110" s="5"/>
      <c r="B110" s="6"/>
      <c r="C110" s="6"/>
      <c r="D110" s="6"/>
      <c r="E110" s="6"/>
      <c r="F110" s="5"/>
      <c r="G110" s="5"/>
      <c r="H110" s="5"/>
      <c r="I110" s="5"/>
      <c r="J110" s="5"/>
      <c r="K110" s="5"/>
      <c r="L110" s="5"/>
      <c r="M110" s="5"/>
      <c r="N110" s="5"/>
      <c r="O110" s="5"/>
      <c r="P110" s="5"/>
      <c r="Q110" s="5"/>
      <c r="R110" s="5"/>
      <c r="S110" s="5"/>
      <c r="T110" s="5"/>
      <c r="U110" s="5"/>
      <c r="V110" s="5"/>
      <c r="W110" s="5"/>
    </row>
    <row r="111" spans="1:23" ht="16" x14ac:dyDescent="0.2">
      <c r="A111" s="5"/>
      <c r="B111" s="6"/>
      <c r="C111" s="6"/>
      <c r="D111" s="6"/>
      <c r="E111" s="6"/>
      <c r="F111" s="5"/>
      <c r="G111" s="5"/>
      <c r="H111" s="5"/>
      <c r="I111" s="5"/>
      <c r="J111" s="5"/>
      <c r="K111" s="5"/>
      <c r="L111" s="5"/>
      <c r="M111" s="5"/>
      <c r="N111" s="5"/>
      <c r="O111" s="5"/>
      <c r="P111" s="5"/>
      <c r="Q111" s="5"/>
      <c r="R111" s="5"/>
      <c r="S111" s="5"/>
      <c r="T111" s="5"/>
      <c r="U111" s="5"/>
      <c r="V111" s="5"/>
      <c r="W111" s="5"/>
    </row>
    <row r="112" spans="1:23" ht="16" x14ac:dyDescent="0.2">
      <c r="A112" s="5"/>
      <c r="B112" s="6"/>
      <c r="C112" s="6"/>
      <c r="D112" s="6"/>
      <c r="E112" s="6"/>
      <c r="F112" s="5"/>
      <c r="G112" s="5"/>
      <c r="H112" s="5"/>
      <c r="I112" s="5"/>
      <c r="J112" s="5"/>
      <c r="K112" s="5"/>
      <c r="L112" s="5"/>
      <c r="M112" s="5"/>
      <c r="N112" s="5"/>
      <c r="O112" s="5"/>
      <c r="P112" s="5"/>
      <c r="Q112" s="5"/>
      <c r="R112" s="5"/>
      <c r="S112" s="5"/>
      <c r="T112" s="5"/>
      <c r="U112" s="5"/>
      <c r="V112" s="5"/>
      <c r="W112" s="5"/>
    </row>
    <row r="113" spans="1:23" ht="16" x14ac:dyDescent="0.2">
      <c r="A113" s="5"/>
      <c r="B113" s="6"/>
      <c r="C113" s="6"/>
      <c r="D113" s="6"/>
      <c r="E113" s="6"/>
      <c r="F113" s="5"/>
      <c r="G113" s="5"/>
      <c r="H113" s="5"/>
      <c r="I113" s="5"/>
      <c r="J113" s="5"/>
      <c r="K113" s="5"/>
      <c r="L113" s="5"/>
      <c r="M113" s="5"/>
      <c r="N113" s="5"/>
      <c r="O113" s="5"/>
      <c r="P113" s="5"/>
      <c r="Q113" s="5"/>
      <c r="R113" s="5"/>
      <c r="S113" s="5"/>
      <c r="T113" s="5"/>
      <c r="U113" s="5"/>
      <c r="V113" s="5"/>
      <c r="W113" s="5"/>
    </row>
    <row r="114" spans="1:23" ht="16" x14ac:dyDescent="0.2">
      <c r="A114" s="5"/>
      <c r="B114" s="6"/>
      <c r="C114" s="6"/>
      <c r="D114" s="6"/>
      <c r="E114" s="6"/>
      <c r="F114" s="5"/>
      <c r="G114" s="5"/>
      <c r="H114" s="5"/>
      <c r="I114" s="5"/>
      <c r="J114" s="5"/>
      <c r="K114" s="5"/>
      <c r="L114" s="5"/>
      <c r="M114" s="5"/>
      <c r="N114" s="5"/>
      <c r="O114" s="5"/>
      <c r="P114" s="5"/>
      <c r="Q114" s="5"/>
      <c r="R114" s="5"/>
      <c r="S114" s="5"/>
      <c r="T114" s="5"/>
      <c r="U114" s="5"/>
      <c r="V114" s="5"/>
      <c r="W114" s="5"/>
    </row>
    <row r="115" spans="1:23" ht="16" x14ac:dyDescent="0.2">
      <c r="A115" s="5"/>
      <c r="B115" s="6"/>
      <c r="C115" s="6"/>
      <c r="D115" s="6"/>
      <c r="E115" s="6"/>
      <c r="F115" s="5"/>
      <c r="G115" s="5"/>
      <c r="H115" s="5"/>
      <c r="I115" s="5"/>
      <c r="J115" s="5"/>
      <c r="K115" s="5"/>
      <c r="L115" s="5"/>
      <c r="M115" s="5"/>
      <c r="N115" s="5"/>
      <c r="O115" s="5"/>
      <c r="P115" s="5"/>
      <c r="Q115" s="5"/>
      <c r="R115" s="5"/>
      <c r="S115" s="5"/>
      <c r="T115" s="5"/>
      <c r="U115" s="5"/>
      <c r="V115" s="5"/>
      <c r="W115" s="5"/>
    </row>
    <row r="116" spans="1:23" ht="16" x14ac:dyDescent="0.2">
      <c r="A116" s="5"/>
      <c r="B116" s="6"/>
      <c r="C116" s="6"/>
      <c r="D116" s="6"/>
      <c r="E116" s="6"/>
      <c r="F116" s="5"/>
      <c r="G116" s="5"/>
      <c r="H116" s="5"/>
      <c r="I116" s="5"/>
      <c r="J116" s="5"/>
      <c r="K116" s="5"/>
      <c r="L116" s="5"/>
      <c r="M116" s="5"/>
      <c r="N116" s="5"/>
      <c r="O116" s="5"/>
      <c r="P116" s="5"/>
      <c r="Q116" s="5"/>
      <c r="R116" s="5"/>
      <c r="S116" s="5"/>
      <c r="T116" s="5"/>
      <c r="U116" s="5"/>
      <c r="V116" s="5"/>
      <c r="W116" s="5"/>
    </row>
    <row r="117" spans="1:23" ht="16" x14ac:dyDescent="0.2">
      <c r="A117" s="5"/>
      <c r="B117" s="6"/>
      <c r="C117" s="6"/>
      <c r="D117" s="6"/>
      <c r="E117" s="6"/>
      <c r="F117" s="5"/>
      <c r="G117" s="5"/>
      <c r="H117" s="5"/>
      <c r="I117" s="5"/>
      <c r="J117" s="5"/>
      <c r="K117" s="5"/>
      <c r="L117" s="5"/>
      <c r="M117" s="5"/>
      <c r="N117" s="5"/>
      <c r="O117" s="5"/>
      <c r="P117" s="5"/>
      <c r="Q117" s="5"/>
      <c r="R117" s="5"/>
      <c r="S117" s="5"/>
      <c r="T117" s="5"/>
      <c r="U117" s="5"/>
      <c r="V117" s="5"/>
      <c r="W117" s="5"/>
    </row>
    <row r="118" spans="1:23" ht="16" x14ac:dyDescent="0.2">
      <c r="A118" s="5"/>
      <c r="B118" s="6"/>
      <c r="C118" s="6"/>
      <c r="D118" s="6"/>
      <c r="E118" s="6"/>
      <c r="F118" s="5"/>
      <c r="G118" s="5"/>
      <c r="H118" s="5"/>
      <c r="I118" s="5"/>
      <c r="J118" s="5"/>
      <c r="K118" s="5"/>
      <c r="L118" s="5"/>
      <c r="M118" s="5"/>
      <c r="N118" s="5"/>
      <c r="O118" s="5"/>
      <c r="P118" s="5"/>
      <c r="Q118" s="5"/>
      <c r="R118" s="5"/>
      <c r="S118" s="5"/>
      <c r="T118" s="5"/>
      <c r="U118" s="5"/>
      <c r="V118" s="5"/>
      <c r="W118" s="5"/>
    </row>
    <row r="119" spans="1:23" ht="16" x14ac:dyDescent="0.2">
      <c r="A119" s="5"/>
      <c r="B119" s="6"/>
      <c r="C119" s="6"/>
      <c r="D119" s="6"/>
      <c r="E119" s="6"/>
      <c r="F119" s="5"/>
      <c r="G119" s="5"/>
      <c r="H119" s="5"/>
      <c r="I119" s="5"/>
      <c r="J119" s="5"/>
      <c r="K119" s="5"/>
      <c r="L119" s="5"/>
      <c r="M119" s="5"/>
      <c r="N119" s="5"/>
      <c r="O119" s="5"/>
      <c r="P119" s="5"/>
      <c r="Q119" s="5"/>
      <c r="R119" s="5"/>
      <c r="S119" s="5"/>
      <c r="T119" s="5"/>
      <c r="U119" s="5"/>
      <c r="V119" s="5"/>
      <c r="W119" s="5"/>
    </row>
    <row r="120" spans="1:23" ht="16" x14ac:dyDescent="0.2">
      <c r="A120" s="5"/>
      <c r="B120" s="6"/>
      <c r="C120" s="6"/>
      <c r="D120" s="6"/>
      <c r="E120" s="6"/>
      <c r="F120" s="5"/>
      <c r="G120" s="5"/>
      <c r="H120" s="5"/>
      <c r="I120" s="5"/>
      <c r="J120" s="5"/>
      <c r="K120" s="5"/>
      <c r="L120" s="5"/>
      <c r="M120" s="5"/>
      <c r="N120" s="5"/>
      <c r="O120" s="5"/>
      <c r="P120" s="5"/>
      <c r="Q120" s="5"/>
      <c r="R120" s="5"/>
      <c r="S120" s="5"/>
      <c r="T120" s="5"/>
      <c r="U120" s="5"/>
      <c r="V120" s="5"/>
      <c r="W120" s="5"/>
    </row>
    <row r="121" spans="1:23" ht="16" x14ac:dyDescent="0.2">
      <c r="A121" s="5"/>
      <c r="B121" s="6"/>
      <c r="C121" s="6"/>
      <c r="D121" s="6"/>
      <c r="E121" s="6"/>
      <c r="F121" s="5"/>
      <c r="G121" s="5"/>
      <c r="H121" s="5"/>
      <c r="I121" s="5"/>
      <c r="J121" s="5"/>
      <c r="K121" s="5"/>
      <c r="L121" s="5"/>
      <c r="M121" s="5"/>
      <c r="N121" s="5"/>
      <c r="O121" s="5"/>
      <c r="P121" s="5"/>
      <c r="Q121" s="5"/>
      <c r="R121" s="5"/>
      <c r="S121" s="5"/>
      <c r="T121" s="5"/>
      <c r="U121" s="5"/>
      <c r="V121" s="5"/>
      <c r="W121" s="5"/>
    </row>
    <row r="122" spans="1:23" ht="16" x14ac:dyDescent="0.2">
      <c r="A122" s="5"/>
      <c r="B122" s="6"/>
      <c r="C122" s="6"/>
      <c r="D122" s="6"/>
      <c r="E122" s="6"/>
      <c r="F122" s="5"/>
      <c r="G122" s="5"/>
      <c r="H122" s="5"/>
      <c r="I122" s="5"/>
      <c r="J122" s="5"/>
      <c r="K122" s="5"/>
      <c r="L122" s="5"/>
      <c r="M122" s="5"/>
      <c r="N122" s="5"/>
      <c r="O122" s="5"/>
      <c r="P122" s="5"/>
      <c r="Q122" s="5"/>
      <c r="R122" s="5"/>
      <c r="S122" s="5"/>
      <c r="T122" s="5"/>
      <c r="U122" s="5"/>
      <c r="V122" s="5"/>
      <c r="W122" s="5"/>
    </row>
    <row r="123" spans="1:23" ht="16" x14ac:dyDescent="0.2">
      <c r="A123" s="5"/>
      <c r="B123" s="6"/>
      <c r="C123" s="6"/>
      <c r="D123" s="6"/>
      <c r="E123" s="6"/>
      <c r="F123" s="5"/>
      <c r="G123" s="5"/>
      <c r="H123" s="5"/>
      <c r="I123" s="5"/>
      <c r="J123" s="5"/>
      <c r="K123" s="5"/>
      <c r="L123" s="5"/>
      <c r="M123" s="5"/>
      <c r="N123" s="5"/>
      <c r="O123" s="5"/>
      <c r="P123" s="5"/>
      <c r="Q123" s="5"/>
      <c r="R123" s="5"/>
      <c r="S123" s="5"/>
      <c r="T123" s="5"/>
      <c r="U123" s="5"/>
      <c r="V123" s="5"/>
      <c r="W123" s="5"/>
    </row>
    <row r="124" spans="1:23" ht="16" x14ac:dyDescent="0.2">
      <c r="A124" s="5"/>
      <c r="B124" s="6"/>
      <c r="C124" s="6"/>
      <c r="D124" s="6"/>
      <c r="E124" s="6"/>
      <c r="F124" s="5"/>
      <c r="G124" s="5"/>
      <c r="H124" s="5"/>
      <c r="I124" s="5"/>
      <c r="J124" s="5"/>
      <c r="K124" s="5"/>
      <c r="L124" s="5"/>
      <c r="M124" s="5"/>
      <c r="N124" s="5"/>
      <c r="O124" s="5"/>
      <c r="P124" s="5"/>
      <c r="Q124" s="5"/>
      <c r="R124" s="5"/>
      <c r="S124" s="5"/>
      <c r="T124" s="5"/>
      <c r="U124" s="5"/>
      <c r="V124" s="5"/>
      <c r="W124" s="5"/>
    </row>
    <row r="125" spans="1:23" ht="16" x14ac:dyDescent="0.2">
      <c r="A125" s="5"/>
      <c r="B125" s="6"/>
      <c r="C125" s="6"/>
      <c r="D125" s="6"/>
      <c r="E125" s="6"/>
      <c r="F125" s="5"/>
      <c r="G125" s="5"/>
      <c r="H125" s="5"/>
      <c r="I125" s="5"/>
      <c r="J125" s="5"/>
      <c r="K125" s="5"/>
      <c r="L125" s="5"/>
      <c r="M125" s="5"/>
      <c r="N125" s="5"/>
      <c r="O125" s="5"/>
      <c r="P125" s="5"/>
      <c r="Q125" s="5"/>
      <c r="R125" s="5"/>
      <c r="S125" s="5"/>
      <c r="T125" s="5"/>
      <c r="U125" s="5"/>
      <c r="V125" s="5"/>
      <c r="W125" s="5"/>
    </row>
    <row r="126" spans="1:23" ht="16" x14ac:dyDescent="0.2">
      <c r="A126" s="5"/>
      <c r="B126" s="6"/>
      <c r="C126" s="6"/>
      <c r="D126" s="6"/>
      <c r="E126" s="6"/>
      <c r="F126" s="5"/>
      <c r="G126" s="5"/>
      <c r="H126" s="5"/>
      <c r="I126" s="5"/>
      <c r="J126" s="5"/>
      <c r="K126" s="5"/>
      <c r="L126" s="5"/>
      <c r="M126" s="5"/>
      <c r="N126" s="5"/>
      <c r="O126" s="5"/>
      <c r="P126" s="5"/>
      <c r="Q126" s="5"/>
      <c r="R126" s="5"/>
      <c r="S126" s="5"/>
      <c r="T126" s="5"/>
      <c r="U126" s="5"/>
      <c r="V126" s="5"/>
      <c r="W126" s="5"/>
    </row>
    <row r="127" spans="1:23" ht="16" x14ac:dyDescent="0.2">
      <c r="A127" s="5"/>
      <c r="B127" s="6"/>
      <c r="C127" s="6"/>
      <c r="D127" s="6"/>
      <c r="E127" s="6"/>
      <c r="F127" s="5"/>
      <c r="G127" s="5"/>
      <c r="H127" s="5"/>
      <c r="I127" s="5"/>
      <c r="J127" s="5"/>
      <c r="K127" s="5"/>
      <c r="L127" s="5"/>
      <c r="M127" s="5"/>
      <c r="N127" s="5"/>
      <c r="O127" s="5"/>
      <c r="P127" s="5"/>
      <c r="Q127" s="5"/>
      <c r="R127" s="5"/>
      <c r="S127" s="5"/>
      <c r="T127" s="5"/>
      <c r="U127" s="5"/>
      <c r="V127" s="5"/>
      <c r="W127" s="5"/>
    </row>
    <row r="128" spans="1:23" ht="16" x14ac:dyDescent="0.2">
      <c r="A128" s="5"/>
      <c r="B128" s="6"/>
      <c r="C128" s="6"/>
      <c r="D128" s="6"/>
      <c r="E128" s="6"/>
      <c r="F128" s="5"/>
      <c r="G128" s="5"/>
      <c r="H128" s="5"/>
      <c r="I128" s="5"/>
      <c r="J128" s="5"/>
      <c r="K128" s="5"/>
      <c r="L128" s="5"/>
      <c r="M128" s="5"/>
      <c r="N128" s="5"/>
      <c r="O128" s="5"/>
      <c r="P128" s="5"/>
      <c r="Q128" s="5"/>
      <c r="R128" s="5"/>
      <c r="S128" s="5"/>
      <c r="T128" s="5"/>
      <c r="U128" s="5"/>
      <c r="V128" s="5"/>
      <c r="W128" s="5"/>
    </row>
    <row r="129" spans="1:23" ht="16" x14ac:dyDescent="0.2">
      <c r="A129" s="5"/>
      <c r="B129" s="6"/>
      <c r="C129" s="6"/>
      <c r="D129" s="6"/>
      <c r="E129" s="6"/>
      <c r="F129" s="5"/>
      <c r="G129" s="5"/>
      <c r="H129" s="5"/>
      <c r="I129" s="5"/>
      <c r="J129" s="5"/>
      <c r="K129" s="5"/>
      <c r="L129" s="5"/>
      <c r="M129" s="5"/>
      <c r="N129" s="5"/>
      <c r="O129" s="5"/>
      <c r="P129" s="5"/>
      <c r="Q129" s="5"/>
      <c r="R129" s="5"/>
      <c r="S129" s="5"/>
      <c r="T129" s="5"/>
      <c r="U129" s="5"/>
      <c r="V129" s="5"/>
      <c r="W129" s="5"/>
    </row>
    <row r="130" spans="1:23" ht="16" x14ac:dyDescent="0.2">
      <c r="A130" s="5"/>
      <c r="B130" s="6"/>
      <c r="C130" s="6"/>
      <c r="D130" s="6"/>
      <c r="E130" s="6"/>
      <c r="F130" s="5"/>
      <c r="G130" s="5"/>
      <c r="H130" s="5"/>
      <c r="I130" s="5"/>
      <c r="J130" s="5"/>
      <c r="K130" s="5"/>
      <c r="L130" s="5"/>
      <c r="M130" s="5"/>
      <c r="N130" s="5"/>
      <c r="O130" s="5"/>
      <c r="P130" s="5"/>
      <c r="Q130" s="5"/>
      <c r="R130" s="5"/>
      <c r="S130" s="5"/>
      <c r="T130" s="5"/>
      <c r="U130" s="5"/>
      <c r="V130" s="5"/>
      <c r="W130" s="5"/>
    </row>
    <row r="131" spans="1:23" ht="16" x14ac:dyDescent="0.2">
      <c r="A131" s="5"/>
      <c r="B131" s="6"/>
      <c r="C131" s="6"/>
      <c r="D131" s="6"/>
      <c r="E131" s="6"/>
      <c r="F131" s="5"/>
      <c r="G131" s="5"/>
      <c r="H131" s="5"/>
      <c r="I131" s="5"/>
      <c r="J131" s="5"/>
      <c r="K131" s="5"/>
      <c r="L131" s="5"/>
      <c r="M131" s="5"/>
      <c r="N131" s="5"/>
      <c r="O131" s="5"/>
      <c r="P131" s="5"/>
      <c r="Q131" s="5"/>
      <c r="R131" s="5"/>
      <c r="S131" s="5"/>
      <c r="T131" s="5"/>
      <c r="U131" s="5"/>
      <c r="V131" s="5"/>
      <c r="W131" s="5"/>
    </row>
    <row r="132" spans="1:23" ht="16" x14ac:dyDescent="0.2">
      <c r="A132" s="5"/>
      <c r="B132" s="6"/>
      <c r="C132" s="6"/>
      <c r="D132" s="6"/>
      <c r="E132" s="6"/>
      <c r="F132" s="5"/>
      <c r="G132" s="5"/>
      <c r="H132" s="5"/>
      <c r="I132" s="5"/>
      <c r="J132" s="5"/>
      <c r="K132" s="5"/>
      <c r="L132" s="5"/>
      <c r="M132" s="5"/>
      <c r="N132" s="5"/>
      <c r="O132" s="5"/>
      <c r="P132" s="5"/>
      <c r="Q132" s="5"/>
      <c r="R132" s="5"/>
      <c r="S132" s="5"/>
      <c r="T132" s="5"/>
      <c r="U132" s="5"/>
      <c r="V132" s="5"/>
      <c r="W132" s="5"/>
    </row>
    <row r="133" spans="1:23" ht="16" x14ac:dyDescent="0.2">
      <c r="A133" s="5"/>
      <c r="B133" s="6"/>
      <c r="C133" s="6"/>
      <c r="D133" s="6"/>
      <c r="E133" s="6"/>
      <c r="F133" s="5"/>
      <c r="G133" s="5"/>
      <c r="H133" s="5"/>
      <c r="I133" s="5"/>
      <c r="J133" s="5"/>
      <c r="K133" s="5"/>
      <c r="L133" s="5"/>
      <c r="M133" s="5"/>
      <c r="N133" s="5"/>
      <c r="O133" s="5"/>
      <c r="P133" s="5"/>
      <c r="Q133" s="5"/>
      <c r="R133" s="5"/>
      <c r="S133" s="5"/>
      <c r="T133" s="5"/>
      <c r="U133" s="5"/>
      <c r="V133" s="5"/>
      <c r="W133" s="5"/>
    </row>
    <row r="134" spans="1:23" ht="16" x14ac:dyDescent="0.2">
      <c r="A134" s="5"/>
      <c r="B134" s="6"/>
      <c r="C134" s="6"/>
      <c r="D134" s="6"/>
      <c r="E134" s="6"/>
      <c r="F134" s="5"/>
      <c r="G134" s="5"/>
      <c r="H134" s="5"/>
      <c r="I134" s="5"/>
      <c r="J134" s="5"/>
      <c r="K134" s="5"/>
      <c r="L134" s="5"/>
      <c r="M134" s="5"/>
      <c r="N134" s="5"/>
      <c r="O134" s="5"/>
      <c r="P134" s="5"/>
      <c r="Q134" s="5"/>
      <c r="R134" s="5"/>
      <c r="S134" s="5"/>
      <c r="T134" s="5"/>
      <c r="U134" s="5"/>
      <c r="V134" s="5"/>
      <c r="W134" s="5"/>
    </row>
    <row r="135" spans="1:23" ht="16" x14ac:dyDescent="0.2">
      <c r="A135" s="5"/>
      <c r="B135" s="6"/>
      <c r="C135" s="6"/>
      <c r="D135" s="6"/>
      <c r="E135" s="6"/>
      <c r="F135" s="5"/>
      <c r="G135" s="5"/>
      <c r="H135" s="5"/>
      <c r="I135" s="5"/>
      <c r="J135" s="5"/>
      <c r="K135" s="5"/>
      <c r="L135" s="5"/>
      <c r="M135" s="5"/>
      <c r="N135" s="5"/>
      <c r="O135" s="5"/>
      <c r="P135" s="5"/>
      <c r="Q135" s="5"/>
      <c r="R135" s="5"/>
      <c r="S135" s="5"/>
      <c r="T135" s="5"/>
      <c r="U135" s="5"/>
      <c r="V135" s="5"/>
      <c r="W135" s="5"/>
    </row>
    <row r="136" spans="1:23" ht="16" x14ac:dyDescent="0.2">
      <c r="A136" s="5"/>
      <c r="B136" s="6"/>
      <c r="C136" s="6"/>
      <c r="D136" s="6"/>
      <c r="E136" s="6"/>
      <c r="F136" s="5"/>
      <c r="G136" s="5"/>
      <c r="H136" s="5"/>
      <c r="I136" s="5"/>
      <c r="J136" s="5"/>
      <c r="K136" s="5"/>
      <c r="L136" s="5"/>
      <c r="M136" s="5"/>
      <c r="N136" s="5"/>
      <c r="O136" s="5"/>
      <c r="P136" s="5"/>
      <c r="Q136" s="5"/>
      <c r="R136" s="5"/>
      <c r="S136" s="5"/>
      <c r="T136" s="5"/>
      <c r="U136" s="5"/>
      <c r="V136" s="5"/>
      <c r="W136" s="5"/>
    </row>
    <row r="137" spans="1:23" ht="16" x14ac:dyDescent="0.2">
      <c r="A137" s="5"/>
      <c r="B137" s="6"/>
      <c r="C137" s="6"/>
      <c r="D137" s="6"/>
      <c r="E137" s="6"/>
      <c r="F137" s="5"/>
      <c r="G137" s="5"/>
      <c r="H137" s="5"/>
      <c r="I137" s="5"/>
      <c r="J137" s="5"/>
      <c r="K137" s="5"/>
      <c r="L137" s="5"/>
      <c r="M137" s="5"/>
      <c r="N137" s="5"/>
      <c r="O137" s="5"/>
      <c r="P137" s="5"/>
      <c r="Q137" s="5"/>
      <c r="R137" s="5"/>
      <c r="S137" s="5"/>
      <c r="T137" s="5"/>
      <c r="U137" s="5"/>
      <c r="V137" s="5"/>
      <c r="W137" s="5"/>
    </row>
    <row r="138" spans="1:23" ht="16" x14ac:dyDescent="0.2">
      <c r="A138" s="5"/>
      <c r="B138" s="6"/>
      <c r="C138" s="6"/>
      <c r="D138" s="6"/>
      <c r="E138" s="6"/>
      <c r="F138" s="5"/>
      <c r="G138" s="5"/>
      <c r="H138" s="5"/>
      <c r="I138" s="5"/>
      <c r="J138" s="5"/>
      <c r="K138" s="5"/>
      <c r="L138" s="5"/>
      <c r="M138" s="5"/>
      <c r="N138" s="5"/>
      <c r="O138" s="5"/>
      <c r="P138" s="5"/>
      <c r="Q138" s="5"/>
      <c r="R138" s="5"/>
      <c r="S138" s="5"/>
      <c r="T138" s="5"/>
      <c r="U138" s="5"/>
      <c r="V138" s="5"/>
      <c r="W138" s="5"/>
    </row>
    <row r="139" spans="1:23" ht="16" x14ac:dyDescent="0.2">
      <c r="A139" s="5"/>
      <c r="B139" s="6"/>
      <c r="C139" s="6"/>
      <c r="D139" s="6"/>
      <c r="E139" s="6"/>
      <c r="F139" s="5"/>
      <c r="G139" s="5"/>
      <c r="H139" s="5"/>
      <c r="I139" s="5"/>
      <c r="J139" s="5"/>
      <c r="K139" s="5"/>
      <c r="L139" s="5"/>
      <c r="M139" s="5"/>
      <c r="N139" s="5"/>
      <c r="O139" s="5"/>
      <c r="P139" s="5"/>
      <c r="Q139" s="5"/>
      <c r="R139" s="5"/>
      <c r="S139" s="5"/>
      <c r="T139" s="5"/>
      <c r="U139" s="5"/>
      <c r="V139" s="5"/>
      <c r="W139" s="5"/>
    </row>
    <row r="140" spans="1:23" ht="16" x14ac:dyDescent="0.2">
      <c r="A140" s="5"/>
      <c r="B140" s="6"/>
      <c r="C140" s="6"/>
      <c r="D140" s="6"/>
      <c r="E140" s="6"/>
      <c r="F140" s="5"/>
      <c r="G140" s="5"/>
      <c r="H140" s="5"/>
      <c r="I140" s="5"/>
      <c r="J140" s="5"/>
      <c r="K140" s="5"/>
      <c r="L140" s="5"/>
      <c r="M140" s="5"/>
      <c r="N140" s="5"/>
      <c r="O140" s="5"/>
      <c r="P140" s="5"/>
      <c r="Q140" s="5"/>
      <c r="R140" s="5"/>
      <c r="S140" s="5"/>
      <c r="T140" s="5"/>
      <c r="U140" s="5"/>
      <c r="V140" s="5"/>
      <c r="W140" s="5"/>
    </row>
    <row r="141" spans="1:23" ht="16" x14ac:dyDescent="0.2">
      <c r="A141" s="5"/>
      <c r="B141" s="6"/>
      <c r="C141" s="6"/>
      <c r="D141" s="6"/>
      <c r="E141" s="6"/>
      <c r="F141" s="5"/>
      <c r="G141" s="5"/>
      <c r="H141" s="5"/>
      <c r="I141" s="5"/>
      <c r="J141" s="5"/>
      <c r="K141" s="5"/>
      <c r="L141" s="5"/>
      <c r="M141" s="5"/>
      <c r="N141" s="5"/>
      <c r="O141" s="5"/>
      <c r="P141" s="5"/>
      <c r="Q141" s="5"/>
      <c r="R141" s="5"/>
      <c r="S141" s="5"/>
      <c r="T141" s="5"/>
      <c r="U141" s="5"/>
      <c r="V141" s="5"/>
      <c r="W141" s="5"/>
    </row>
    <row r="142" spans="1:23" ht="16" x14ac:dyDescent="0.2">
      <c r="A142" s="5"/>
      <c r="B142" s="6"/>
      <c r="C142" s="6"/>
      <c r="D142" s="6"/>
      <c r="E142" s="6"/>
      <c r="F142" s="5"/>
      <c r="G142" s="5"/>
      <c r="H142" s="5"/>
      <c r="I142" s="5"/>
      <c r="J142" s="5"/>
      <c r="K142" s="5"/>
      <c r="L142" s="5"/>
      <c r="M142" s="5"/>
      <c r="N142" s="5"/>
      <c r="O142" s="5"/>
      <c r="P142" s="5"/>
      <c r="Q142" s="5"/>
      <c r="R142" s="5"/>
      <c r="S142" s="5"/>
      <c r="T142" s="5"/>
      <c r="U142" s="5"/>
      <c r="V142" s="5"/>
      <c r="W142" s="5"/>
    </row>
    <row r="143" spans="1:23" ht="16" x14ac:dyDescent="0.2">
      <c r="A143" s="5"/>
      <c r="B143" s="6"/>
      <c r="C143" s="6"/>
      <c r="D143" s="6"/>
      <c r="E143" s="6"/>
      <c r="F143" s="5"/>
      <c r="G143" s="5"/>
      <c r="H143" s="5"/>
      <c r="I143" s="5"/>
      <c r="J143" s="5"/>
      <c r="K143" s="5"/>
      <c r="L143" s="5"/>
      <c r="M143" s="5"/>
      <c r="N143" s="5"/>
      <c r="O143" s="5"/>
      <c r="P143" s="5"/>
      <c r="Q143" s="5"/>
      <c r="R143" s="5"/>
      <c r="S143" s="5"/>
      <c r="T143" s="5"/>
      <c r="U143" s="5"/>
      <c r="V143" s="5"/>
      <c r="W143" s="5"/>
    </row>
    <row r="144" spans="1:23" ht="16" x14ac:dyDescent="0.2">
      <c r="A144" s="5"/>
      <c r="B144" s="6"/>
      <c r="C144" s="6"/>
      <c r="D144" s="6"/>
      <c r="E144" s="6"/>
      <c r="F144" s="5"/>
      <c r="G144" s="5"/>
      <c r="H144" s="5"/>
      <c r="I144" s="5"/>
      <c r="J144" s="5"/>
      <c r="K144" s="5"/>
      <c r="L144" s="5"/>
      <c r="M144" s="5"/>
      <c r="N144" s="5"/>
      <c r="O144" s="5"/>
      <c r="P144" s="5"/>
      <c r="Q144" s="5"/>
      <c r="R144" s="5"/>
      <c r="S144" s="5"/>
      <c r="T144" s="5"/>
      <c r="U144" s="5"/>
      <c r="V144" s="5"/>
      <c r="W144" s="5"/>
    </row>
    <row r="145" spans="1:23" ht="16" x14ac:dyDescent="0.2">
      <c r="A145" s="5"/>
      <c r="B145" s="6"/>
      <c r="C145" s="6"/>
      <c r="D145" s="6"/>
      <c r="E145" s="6"/>
      <c r="F145" s="5"/>
      <c r="G145" s="5"/>
      <c r="H145" s="5"/>
      <c r="I145" s="5"/>
      <c r="J145" s="5"/>
      <c r="K145" s="5"/>
      <c r="L145" s="5"/>
      <c r="M145" s="5"/>
      <c r="N145" s="5"/>
      <c r="O145" s="5"/>
      <c r="P145" s="5"/>
      <c r="Q145" s="5"/>
      <c r="R145" s="5"/>
      <c r="S145" s="5"/>
      <c r="T145" s="5"/>
      <c r="U145" s="5"/>
      <c r="V145" s="5"/>
      <c r="W145" s="5"/>
    </row>
    <row r="146" spans="1:23" ht="16" x14ac:dyDescent="0.2">
      <c r="A146" s="5"/>
      <c r="B146" s="6"/>
      <c r="C146" s="6"/>
      <c r="D146" s="6"/>
      <c r="E146" s="6"/>
      <c r="F146" s="5"/>
      <c r="G146" s="5"/>
      <c r="H146" s="5"/>
      <c r="I146" s="5"/>
      <c r="J146" s="5"/>
      <c r="K146" s="5"/>
      <c r="L146" s="5"/>
      <c r="M146" s="5"/>
      <c r="N146" s="5"/>
      <c r="O146" s="5"/>
      <c r="P146" s="5"/>
      <c r="Q146" s="5"/>
      <c r="R146" s="5"/>
      <c r="S146" s="5"/>
      <c r="T146" s="5"/>
      <c r="U146" s="5"/>
      <c r="V146" s="5"/>
      <c r="W146" s="5"/>
    </row>
    <row r="147" spans="1:23" ht="16" x14ac:dyDescent="0.2">
      <c r="A147" s="5"/>
      <c r="B147" s="6"/>
      <c r="C147" s="6"/>
      <c r="D147" s="6"/>
      <c r="E147" s="6"/>
      <c r="F147" s="5"/>
      <c r="G147" s="5"/>
      <c r="H147" s="5"/>
      <c r="I147" s="5"/>
      <c r="J147" s="5"/>
      <c r="K147" s="5"/>
      <c r="L147" s="5"/>
      <c r="M147" s="5"/>
      <c r="N147" s="5"/>
      <c r="O147" s="5"/>
      <c r="P147" s="5"/>
      <c r="Q147" s="5"/>
      <c r="R147" s="5"/>
      <c r="S147" s="5"/>
      <c r="T147" s="5"/>
      <c r="U147" s="5"/>
      <c r="V147" s="5"/>
      <c r="W147" s="5"/>
    </row>
    <row r="148" spans="1:23" ht="16" x14ac:dyDescent="0.2">
      <c r="A148" s="5"/>
      <c r="B148" s="6"/>
      <c r="C148" s="6"/>
      <c r="D148" s="6"/>
      <c r="E148" s="6"/>
      <c r="F148" s="5"/>
      <c r="G148" s="5"/>
      <c r="H148" s="5"/>
      <c r="I148" s="5"/>
      <c r="J148" s="5"/>
      <c r="K148" s="5"/>
      <c r="L148" s="5"/>
      <c r="M148" s="5"/>
      <c r="N148" s="5"/>
      <c r="O148" s="5"/>
      <c r="P148" s="5"/>
      <c r="Q148" s="5"/>
      <c r="R148" s="5"/>
      <c r="S148" s="5"/>
      <c r="T148" s="5"/>
      <c r="U148" s="5"/>
      <c r="V148" s="5"/>
      <c r="W148" s="5"/>
    </row>
    <row r="149" spans="1:23" ht="16" x14ac:dyDescent="0.2">
      <c r="A149" s="5"/>
      <c r="B149" s="6"/>
      <c r="C149" s="6"/>
      <c r="D149" s="6"/>
      <c r="E149" s="6"/>
      <c r="F149" s="5"/>
      <c r="G149" s="5"/>
      <c r="H149" s="5"/>
      <c r="I149" s="5"/>
      <c r="J149" s="5"/>
      <c r="K149" s="5"/>
      <c r="L149" s="5"/>
      <c r="M149" s="5"/>
      <c r="N149" s="5"/>
      <c r="O149" s="5"/>
      <c r="P149" s="5"/>
      <c r="Q149" s="5"/>
      <c r="R149" s="5"/>
      <c r="S149" s="5"/>
      <c r="T149" s="5"/>
      <c r="U149" s="5"/>
      <c r="V149" s="5"/>
      <c r="W149" s="5"/>
    </row>
    <row r="150" spans="1:23" ht="16" x14ac:dyDescent="0.2">
      <c r="A150" s="5"/>
      <c r="B150" s="6"/>
      <c r="C150" s="6"/>
      <c r="D150" s="6"/>
      <c r="E150" s="6"/>
      <c r="F150" s="5"/>
      <c r="G150" s="5"/>
      <c r="H150" s="5"/>
      <c r="I150" s="5"/>
      <c r="J150" s="5"/>
      <c r="K150" s="5"/>
      <c r="L150" s="5"/>
      <c r="M150" s="5"/>
      <c r="N150" s="5"/>
      <c r="O150" s="5"/>
      <c r="P150" s="5"/>
      <c r="Q150" s="5"/>
      <c r="R150" s="5"/>
      <c r="S150" s="5"/>
      <c r="T150" s="5"/>
      <c r="U150" s="5"/>
      <c r="V150" s="5"/>
      <c r="W150" s="5"/>
    </row>
    <row r="151" spans="1:23" ht="16" x14ac:dyDescent="0.2">
      <c r="A151" s="5"/>
      <c r="B151" s="6"/>
      <c r="C151" s="6"/>
      <c r="D151" s="6"/>
      <c r="E151" s="6"/>
      <c r="F151" s="5"/>
      <c r="G151" s="5"/>
      <c r="H151" s="5"/>
      <c r="I151" s="5"/>
      <c r="J151" s="5"/>
      <c r="K151" s="5"/>
      <c r="L151" s="5"/>
      <c r="M151" s="5"/>
      <c r="N151" s="5"/>
      <c r="O151" s="5"/>
      <c r="P151" s="5"/>
      <c r="Q151" s="5"/>
      <c r="R151" s="5"/>
      <c r="S151" s="5"/>
      <c r="T151" s="5"/>
      <c r="U151" s="5"/>
      <c r="V151" s="5"/>
      <c r="W151" s="5"/>
    </row>
    <row r="152" spans="1:23" ht="16" x14ac:dyDescent="0.2">
      <c r="A152" s="5"/>
      <c r="B152" s="6"/>
      <c r="C152" s="6"/>
      <c r="D152" s="6"/>
      <c r="E152" s="6"/>
      <c r="F152" s="5"/>
      <c r="G152" s="5"/>
      <c r="H152" s="5"/>
      <c r="I152" s="5"/>
      <c r="J152" s="5"/>
      <c r="K152" s="5"/>
      <c r="L152" s="5"/>
      <c r="M152" s="5"/>
      <c r="N152" s="5"/>
      <c r="O152" s="5"/>
      <c r="P152" s="5"/>
      <c r="Q152" s="5"/>
      <c r="R152" s="5"/>
      <c r="S152" s="5"/>
      <c r="T152" s="5"/>
      <c r="U152" s="5"/>
      <c r="V152" s="5"/>
      <c r="W152" s="5"/>
    </row>
    <row r="153" spans="1:23" ht="16" x14ac:dyDescent="0.2">
      <c r="A153" s="5"/>
      <c r="B153" s="6"/>
      <c r="C153" s="6"/>
      <c r="D153" s="6"/>
      <c r="E153" s="6"/>
      <c r="F153" s="5"/>
      <c r="G153" s="5"/>
      <c r="H153" s="5"/>
      <c r="I153" s="5"/>
      <c r="J153" s="5"/>
      <c r="K153" s="5"/>
      <c r="L153" s="5"/>
      <c r="M153" s="5"/>
      <c r="N153" s="5"/>
      <c r="O153" s="5"/>
      <c r="P153" s="5"/>
      <c r="Q153" s="5"/>
      <c r="R153" s="5"/>
      <c r="S153" s="5"/>
      <c r="T153" s="5"/>
      <c r="U153" s="5"/>
      <c r="V153" s="5"/>
      <c r="W153" s="5"/>
    </row>
    <row r="154" spans="1:23" ht="16" x14ac:dyDescent="0.2">
      <c r="A154" s="5"/>
      <c r="B154" s="6"/>
      <c r="C154" s="6"/>
      <c r="D154" s="6"/>
      <c r="E154" s="6"/>
      <c r="F154" s="5"/>
      <c r="G154" s="5"/>
      <c r="H154" s="5"/>
      <c r="I154" s="5"/>
      <c r="J154" s="5"/>
      <c r="K154" s="5"/>
      <c r="L154" s="5"/>
      <c r="M154" s="5"/>
      <c r="N154" s="5"/>
      <c r="O154" s="5"/>
      <c r="P154" s="5"/>
      <c r="Q154" s="5"/>
      <c r="R154" s="5"/>
      <c r="S154" s="5"/>
      <c r="T154" s="5"/>
      <c r="U154" s="5"/>
      <c r="V154" s="5"/>
      <c r="W154" s="5"/>
    </row>
    <row r="155" spans="1:23" ht="16" x14ac:dyDescent="0.2">
      <c r="A155" s="5"/>
      <c r="B155" s="6"/>
      <c r="C155" s="6"/>
      <c r="D155" s="6"/>
      <c r="E155" s="6"/>
      <c r="F155" s="5"/>
      <c r="G155" s="5"/>
      <c r="H155" s="5"/>
      <c r="I155" s="5"/>
      <c r="J155" s="5"/>
      <c r="K155" s="5"/>
      <c r="L155" s="5"/>
      <c r="M155" s="5"/>
      <c r="N155" s="5"/>
      <c r="O155" s="5"/>
      <c r="P155" s="5"/>
      <c r="Q155" s="5"/>
      <c r="R155" s="5"/>
      <c r="S155" s="5"/>
      <c r="T155" s="5"/>
      <c r="U155" s="5"/>
      <c r="V155" s="5"/>
      <c r="W155" s="5"/>
    </row>
    <row r="156" spans="1:23" ht="16" x14ac:dyDescent="0.2">
      <c r="A156" s="5"/>
      <c r="B156" s="6"/>
      <c r="C156" s="6"/>
      <c r="D156" s="6"/>
      <c r="E156" s="6"/>
      <c r="F156" s="5"/>
      <c r="G156" s="5"/>
      <c r="H156" s="5"/>
      <c r="I156" s="5"/>
      <c r="J156" s="5"/>
      <c r="K156" s="5"/>
      <c r="L156" s="5"/>
      <c r="M156" s="5"/>
      <c r="N156" s="5"/>
      <c r="O156" s="5"/>
      <c r="P156" s="5"/>
      <c r="Q156" s="5"/>
      <c r="R156" s="5"/>
      <c r="S156" s="5"/>
      <c r="T156" s="5"/>
      <c r="U156" s="5"/>
      <c r="V156" s="5"/>
      <c r="W156" s="5"/>
    </row>
    <row r="157" spans="1:23" ht="16" x14ac:dyDescent="0.2">
      <c r="A157" s="5"/>
      <c r="B157" s="6"/>
      <c r="C157" s="6"/>
      <c r="D157" s="6"/>
      <c r="E157" s="6"/>
      <c r="F157" s="5"/>
      <c r="G157" s="5"/>
      <c r="H157" s="5"/>
      <c r="I157" s="5"/>
      <c r="J157" s="5"/>
      <c r="K157" s="5"/>
      <c r="L157" s="5"/>
      <c r="M157" s="5"/>
      <c r="N157" s="5"/>
      <c r="O157" s="5"/>
      <c r="P157" s="5"/>
      <c r="Q157" s="5"/>
      <c r="R157" s="5"/>
      <c r="S157" s="5"/>
      <c r="T157" s="5"/>
      <c r="U157" s="5"/>
      <c r="V157" s="5"/>
      <c r="W157" s="5"/>
    </row>
    <row r="158" spans="1:23" ht="16" x14ac:dyDescent="0.2">
      <c r="A158" s="5"/>
      <c r="B158" s="6"/>
      <c r="C158" s="6"/>
      <c r="D158" s="6"/>
      <c r="E158" s="6"/>
      <c r="F158" s="5"/>
      <c r="G158" s="5"/>
      <c r="H158" s="5"/>
      <c r="I158" s="5"/>
      <c r="J158" s="5"/>
      <c r="K158" s="5"/>
      <c r="L158" s="5"/>
      <c r="M158" s="5"/>
      <c r="N158" s="5"/>
      <c r="O158" s="5"/>
      <c r="P158" s="5"/>
      <c r="Q158" s="5"/>
      <c r="R158" s="5"/>
      <c r="S158" s="5"/>
      <c r="T158" s="5"/>
      <c r="U158" s="5"/>
      <c r="V158" s="5"/>
      <c r="W158" s="5"/>
    </row>
    <row r="159" spans="1:23" ht="16" x14ac:dyDescent="0.2">
      <c r="A159" s="5"/>
      <c r="B159" s="6"/>
      <c r="C159" s="6"/>
      <c r="D159" s="6"/>
      <c r="E159" s="6"/>
      <c r="F159" s="5"/>
      <c r="G159" s="5"/>
      <c r="H159" s="5"/>
      <c r="I159" s="5"/>
      <c r="J159" s="5"/>
      <c r="K159" s="5"/>
      <c r="L159" s="5"/>
      <c r="M159" s="5"/>
      <c r="N159" s="5"/>
      <c r="O159" s="5"/>
      <c r="P159" s="5"/>
      <c r="Q159" s="5"/>
      <c r="R159" s="5"/>
      <c r="S159" s="5"/>
      <c r="T159" s="5"/>
      <c r="U159" s="5"/>
      <c r="V159" s="5"/>
      <c r="W159" s="5"/>
    </row>
    <row r="160" spans="1:23" ht="16" x14ac:dyDescent="0.2">
      <c r="A160" s="5"/>
      <c r="B160" s="6"/>
      <c r="C160" s="6"/>
      <c r="D160" s="6"/>
      <c r="E160" s="6"/>
      <c r="F160" s="5"/>
      <c r="G160" s="5"/>
      <c r="H160" s="5"/>
      <c r="I160" s="5"/>
      <c r="J160" s="5"/>
      <c r="K160" s="5"/>
      <c r="L160" s="5"/>
      <c r="M160" s="5"/>
      <c r="N160" s="5"/>
      <c r="O160" s="5"/>
      <c r="P160" s="5"/>
      <c r="Q160" s="5"/>
      <c r="R160" s="5"/>
      <c r="S160" s="5"/>
      <c r="T160" s="5"/>
      <c r="U160" s="5"/>
      <c r="V160" s="5"/>
      <c r="W160" s="5"/>
    </row>
    <row r="161" spans="1:23" ht="16" x14ac:dyDescent="0.2">
      <c r="A161" s="5"/>
      <c r="B161" s="6"/>
      <c r="C161" s="6"/>
      <c r="D161" s="6"/>
      <c r="E161" s="6"/>
      <c r="F161" s="5"/>
      <c r="G161" s="5"/>
      <c r="H161" s="5"/>
      <c r="I161" s="5"/>
      <c r="J161" s="5"/>
      <c r="K161" s="5"/>
      <c r="L161" s="5"/>
      <c r="M161" s="5"/>
      <c r="N161" s="5"/>
      <c r="O161" s="5"/>
      <c r="P161" s="5"/>
      <c r="Q161" s="5"/>
      <c r="R161" s="5"/>
      <c r="S161" s="5"/>
      <c r="T161" s="5"/>
      <c r="U161" s="5"/>
      <c r="V161" s="5"/>
      <c r="W161" s="5"/>
    </row>
    <row r="162" spans="1:23" ht="16" x14ac:dyDescent="0.2">
      <c r="A162" s="5"/>
      <c r="B162" s="6"/>
      <c r="C162" s="6"/>
      <c r="D162" s="6"/>
      <c r="E162" s="6"/>
      <c r="F162" s="5"/>
      <c r="G162" s="5"/>
      <c r="H162" s="5"/>
      <c r="I162" s="5"/>
      <c r="J162" s="5"/>
      <c r="K162" s="5"/>
      <c r="L162" s="5"/>
      <c r="M162" s="5"/>
      <c r="N162" s="5"/>
      <c r="O162" s="5"/>
      <c r="P162" s="5"/>
      <c r="Q162" s="5"/>
      <c r="R162" s="5"/>
      <c r="S162" s="5"/>
      <c r="T162" s="5"/>
      <c r="U162" s="5"/>
      <c r="V162" s="5"/>
      <c r="W162" s="5"/>
    </row>
    <row r="163" spans="1:23" ht="16" x14ac:dyDescent="0.2">
      <c r="A163" s="5"/>
      <c r="B163" s="6"/>
      <c r="C163" s="6"/>
      <c r="D163" s="6"/>
      <c r="E163" s="6"/>
      <c r="F163" s="5"/>
      <c r="G163" s="5"/>
      <c r="H163" s="5"/>
      <c r="I163" s="5"/>
      <c r="J163" s="5"/>
      <c r="K163" s="5"/>
      <c r="L163" s="5"/>
      <c r="M163" s="5"/>
      <c r="N163" s="5"/>
      <c r="O163" s="5"/>
      <c r="P163" s="5"/>
      <c r="Q163" s="5"/>
      <c r="R163" s="5"/>
      <c r="S163" s="5"/>
      <c r="T163" s="5"/>
      <c r="U163" s="5"/>
      <c r="V163" s="5"/>
      <c r="W163" s="5"/>
    </row>
    <row r="164" spans="1:23" ht="16" x14ac:dyDescent="0.2">
      <c r="A164" s="5"/>
      <c r="B164" s="6"/>
      <c r="C164" s="6"/>
      <c r="D164" s="6"/>
      <c r="E164" s="6"/>
      <c r="F164" s="5"/>
      <c r="G164" s="5"/>
      <c r="H164" s="5"/>
      <c r="I164" s="5"/>
      <c r="J164" s="5"/>
      <c r="K164" s="5"/>
      <c r="L164" s="5"/>
      <c r="M164" s="5"/>
      <c r="N164" s="5"/>
      <c r="O164" s="5"/>
      <c r="P164" s="5"/>
      <c r="Q164" s="5"/>
      <c r="R164" s="5"/>
      <c r="S164" s="5"/>
      <c r="T164" s="5"/>
      <c r="U164" s="5"/>
      <c r="V164" s="5"/>
      <c r="W164" s="5"/>
    </row>
    <row r="165" spans="1:23" ht="16" x14ac:dyDescent="0.2">
      <c r="A165" s="5"/>
      <c r="B165" s="6"/>
      <c r="C165" s="6"/>
      <c r="D165" s="6"/>
      <c r="E165" s="6"/>
      <c r="F165" s="5"/>
      <c r="G165" s="5"/>
      <c r="H165" s="5"/>
      <c r="I165" s="5"/>
      <c r="J165" s="5"/>
      <c r="K165" s="5"/>
      <c r="L165" s="5"/>
      <c r="M165" s="5"/>
      <c r="N165" s="5"/>
      <c r="O165" s="5"/>
      <c r="P165" s="5"/>
      <c r="Q165" s="5"/>
      <c r="R165" s="5"/>
      <c r="S165" s="5"/>
      <c r="T165" s="5"/>
      <c r="U165" s="5"/>
      <c r="V165" s="5"/>
      <c r="W165" s="5"/>
    </row>
    <row r="166" spans="1:23" ht="16" x14ac:dyDescent="0.2">
      <c r="A166" s="5"/>
      <c r="B166" s="6"/>
      <c r="C166" s="6"/>
      <c r="D166" s="6"/>
      <c r="E166" s="6"/>
      <c r="F166" s="5"/>
      <c r="G166" s="5"/>
      <c r="H166" s="5"/>
      <c r="I166" s="5"/>
      <c r="J166" s="5"/>
      <c r="K166" s="5"/>
      <c r="L166" s="5"/>
      <c r="M166" s="5"/>
      <c r="N166" s="5"/>
      <c r="O166" s="5"/>
      <c r="P166" s="5"/>
      <c r="Q166" s="5"/>
      <c r="R166" s="5"/>
      <c r="S166" s="5"/>
      <c r="T166" s="5"/>
      <c r="U166" s="5"/>
      <c r="V166" s="5"/>
      <c r="W166" s="5"/>
    </row>
    <row r="167" spans="1:23" ht="16" x14ac:dyDescent="0.2">
      <c r="A167" s="5"/>
      <c r="B167" s="6"/>
      <c r="C167" s="6"/>
      <c r="D167" s="6"/>
      <c r="E167" s="6"/>
      <c r="F167" s="5"/>
      <c r="G167" s="5"/>
      <c r="H167" s="5"/>
      <c r="I167" s="5"/>
      <c r="J167" s="5"/>
      <c r="K167" s="5"/>
      <c r="L167" s="5"/>
      <c r="M167" s="5"/>
      <c r="N167" s="5"/>
      <c r="O167" s="5"/>
      <c r="P167" s="5"/>
      <c r="Q167" s="5"/>
      <c r="R167" s="5"/>
      <c r="S167" s="5"/>
      <c r="T167" s="5"/>
      <c r="U167" s="5"/>
      <c r="V167" s="5"/>
      <c r="W167" s="5"/>
    </row>
    <row r="168" spans="1:23" ht="16" x14ac:dyDescent="0.2">
      <c r="A168" s="5"/>
      <c r="B168" s="6"/>
      <c r="C168" s="6"/>
      <c r="D168" s="6"/>
      <c r="E168" s="6"/>
      <c r="F168" s="5"/>
      <c r="G168" s="5"/>
      <c r="H168" s="5"/>
      <c r="I168" s="5"/>
      <c r="J168" s="5"/>
      <c r="K168" s="5"/>
      <c r="L168" s="5"/>
      <c r="M168" s="5"/>
      <c r="N168" s="5"/>
      <c r="O168" s="5"/>
      <c r="P168" s="5"/>
      <c r="Q168" s="5"/>
      <c r="R168" s="5"/>
      <c r="S168" s="5"/>
      <c r="T168" s="5"/>
      <c r="U168" s="5"/>
      <c r="V168" s="5"/>
      <c r="W168" s="5"/>
    </row>
    <row r="169" spans="1:23" ht="16" x14ac:dyDescent="0.2">
      <c r="A169" s="5"/>
      <c r="B169" s="6"/>
      <c r="C169" s="6"/>
      <c r="D169" s="6"/>
      <c r="E169" s="6"/>
      <c r="F169" s="5"/>
      <c r="G169" s="5"/>
      <c r="H169" s="5"/>
      <c r="I169" s="5"/>
      <c r="J169" s="5"/>
      <c r="K169" s="5"/>
      <c r="L169" s="5"/>
      <c r="M169" s="5"/>
      <c r="N169" s="5"/>
      <c r="O169" s="5"/>
      <c r="P169" s="5"/>
      <c r="Q169" s="5"/>
      <c r="R169" s="5"/>
      <c r="S169" s="5"/>
      <c r="T169" s="5"/>
      <c r="U169" s="5"/>
      <c r="V169" s="5"/>
      <c r="W169" s="5"/>
    </row>
    <row r="170" spans="1:23" ht="16" x14ac:dyDescent="0.2">
      <c r="A170" s="5"/>
      <c r="B170" s="6"/>
      <c r="C170" s="6"/>
      <c r="D170" s="6"/>
      <c r="E170" s="6"/>
      <c r="F170" s="5"/>
      <c r="G170" s="5"/>
      <c r="H170" s="5"/>
      <c r="I170" s="5"/>
      <c r="J170" s="5"/>
      <c r="K170" s="5"/>
      <c r="L170" s="5"/>
      <c r="M170" s="5"/>
      <c r="N170" s="5"/>
      <c r="O170" s="5"/>
      <c r="P170" s="5"/>
      <c r="Q170" s="5"/>
      <c r="R170" s="5"/>
      <c r="S170" s="5"/>
      <c r="T170" s="5"/>
      <c r="U170" s="5"/>
      <c r="V170" s="5"/>
      <c r="W170" s="5"/>
    </row>
    <row r="171" spans="1:23" ht="16" x14ac:dyDescent="0.2">
      <c r="A171" s="5"/>
      <c r="B171" s="6"/>
      <c r="C171" s="6"/>
      <c r="D171" s="6"/>
      <c r="E171" s="6"/>
      <c r="F171" s="5"/>
      <c r="G171" s="5"/>
      <c r="H171" s="5"/>
      <c r="I171" s="5"/>
      <c r="J171" s="5"/>
      <c r="K171" s="5"/>
      <c r="L171" s="5"/>
      <c r="M171" s="5"/>
      <c r="N171" s="5"/>
      <c r="O171" s="5"/>
      <c r="P171" s="5"/>
      <c r="Q171" s="5"/>
      <c r="R171" s="5"/>
      <c r="S171" s="5"/>
      <c r="T171" s="5"/>
      <c r="U171" s="5"/>
      <c r="V171" s="5"/>
      <c r="W171" s="5"/>
    </row>
    <row r="172" spans="1:23" ht="16" x14ac:dyDescent="0.2">
      <c r="A172" s="5"/>
      <c r="B172" s="6"/>
      <c r="C172" s="6"/>
      <c r="D172" s="6"/>
      <c r="E172" s="6"/>
      <c r="F172" s="5"/>
      <c r="G172" s="5"/>
      <c r="H172" s="5"/>
      <c r="I172" s="5"/>
      <c r="J172" s="5"/>
      <c r="K172" s="5"/>
      <c r="L172" s="5"/>
      <c r="M172" s="5"/>
      <c r="N172" s="5"/>
      <c r="O172" s="5"/>
      <c r="P172" s="5"/>
      <c r="Q172" s="5"/>
      <c r="R172" s="5"/>
      <c r="S172" s="5"/>
      <c r="T172" s="5"/>
      <c r="U172" s="5"/>
      <c r="V172" s="5"/>
      <c r="W172" s="5"/>
    </row>
    <row r="173" spans="1:23" ht="16" x14ac:dyDescent="0.2">
      <c r="A173" s="5"/>
      <c r="B173" s="6"/>
      <c r="C173" s="6"/>
      <c r="D173" s="6"/>
      <c r="E173" s="6"/>
      <c r="F173" s="5"/>
      <c r="G173" s="5"/>
      <c r="H173" s="5"/>
      <c r="I173" s="5"/>
      <c r="J173" s="5"/>
      <c r="K173" s="5"/>
      <c r="L173" s="5"/>
      <c r="M173" s="5"/>
      <c r="N173" s="5"/>
      <c r="O173" s="5"/>
      <c r="P173" s="5"/>
      <c r="Q173" s="5"/>
      <c r="R173" s="5"/>
      <c r="S173" s="5"/>
      <c r="T173" s="5"/>
      <c r="U173" s="5"/>
      <c r="V173" s="5"/>
      <c r="W173" s="5"/>
    </row>
    <row r="174" spans="1:23" ht="16" x14ac:dyDescent="0.2">
      <c r="A174" s="5"/>
      <c r="B174" s="6"/>
      <c r="C174" s="6"/>
      <c r="D174" s="6"/>
      <c r="E174" s="6"/>
      <c r="F174" s="5"/>
      <c r="G174" s="5"/>
      <c r="H174" s="5"/>
      <c r="I174" s="5"/>
      <c r="J174" s="5"/>
      <c r="K174" s="5"/>
      <c r="L174" s="5"/>
      <c r="M174" s="5"/>
      <c r="N174" s="5"/>
      <c r="O174" s="5"/>
      <c r="P174" s="5"/>
      <c r="Q174" s="5"/>
      <c r="R174" s="5"/>
      <c r="S174" s="5"/>
      <c r="T174" s="5"/>
      <c r="U174" s="5"/>
      <c r="V174" s="5"/>
      <c r="W174" s="5"/>
    </row>
    <row r="175" spans="1:23" ht="16" x14ac:dyDescent="0.2">
      <c r="A175" s="5"/>
      <c r="B175" s="6"/>
      <c r="C175" s="6"/>
      <c r="D175" s="6"/>
      <c r="E175" s="6"/>
      <c r="F175" s="5"/>
      <c r="G175" s="5"/>
      <c r="H175" s="5"/>
      <c r="I175" s="5"/>
      <c r="J175" s="5"/>
      <c r="K175" s="5"/>
      <c r="L175" s="5"/>
      <c r="M175" s="5"/>
      <c r="N175" s="5"/>
      <c r="O175" s="5"/>
      <c r="P175" s="5"/>
      <c r="Q175" s="5"/>
      <c r="R175" s="5"/>
      <c r="S175" s="5"/>
      <c r="T175" s="5"/>
      <c r="U175" s="5"/>
      <c r="V175" s="5"/>
      <c r="W175" s="5"/>
    </row>
    <row r="176" spans="1:23" ht="16" x14ac:dyDescent="0.2">
      <c r="A176" s="5"/>
      <c r="B176" s="6"/>
      <c r="C176" s="6"/>
      <c r="D176" s="6"/>
      <c r="E176" s="6"/>
      <c r="F176" s="5"/>
      <c r="G176" s="5"/>
      <c r="H176" s="5"/>
      <c r="I176" s="5"/>
      <c r="J176" s="5"/>
      <c r="K176" s="5"/>
      <c r="L176" s="5"/>
      <c r="M176" s="5"/>
      <c r="N176" s="5"/>
      <c r="O176" s="5"/>
      <c r="P176" s="5"/>
      <c r="Q176" s="5"/>
      <c r="R176" s="5"/>
      <c r="S176" s="5"/>
      <c r="T176" s="5"/>
      <c r="U176" s="5"/>
      <c r="V176" s="5"/>
      <c r="W176" s="5"/>
    </row>
    <row r="177" spans="1:23" ht="16" x14ac:dyDescent="0.2">
      <c r="A177" s="5"/>
      <c r="B177" s="6"/>
      <c r="C177" s="6"/>
      <c r="D177" s="6"/>
      <c r="E177" s="6"/>
      <c r="F177" s="5"/>
      <c r="G177" s="5"/>
      <c r="H177" s="5"/>
      <c r="I177" s="5"/>
      <c r="J177" s="5"/>
      <c r="K177" s="5"/>
      <c r="L177" s="5"/>
      <c r="M177" s="5"/>
      <c r="N177" s="5"/>
      <c r="O177" s="5"/>
      <c r="P177" s="5"/>
      <c r="Q177" s="5"/>
      <c r="R177" s="5"/>
      <c r="S177" s="5"/>
      <c r="T177" s="5"/>
      <c r="U177" s="5"/>
      <c r="V177" s="5"/>
      <c r="W177" s="5"/>
    </row>
    <row r="178" spans="1:23" ht="16" x14ac:dyDescent="0.2">
      <c r="A178" s="5"/>
      <c r="B178" s="6"/>
      <c r="C178" s="6"/>
      <c r="D178" s="6"/>
      <c r="E178" s="6"/>
      <c r="F178" s="5"/>
      <c r="G178" s="5"/>
      <c r="H178" s="5"/>
      <c r="I178" s="5"/>
      <c r="J178" s="5"/>
      <c r="K178" s="5"/>
      <c r="L178" s="5"/>
      <c r="M178" s="5"/>
      <c r="N178" s="5"/>
      <c r="O178" s="5"/>
      <c r="P178" s="5"/>
      <c r="Q178" s="5"/>
      <c r="R178" s="5"/>
      <c r="S178" s="5"/>
      <c r="T178" s="5"/>
      <c r="U178" s="5"/>
      <c r="V178" s="5"/>
      <c r="W178" s="5"/>
    </row>
    <row r="179" spans="1:23" ht="16" x14ac:dyDescent="0.2">
      <c r="A179" s="5"/>
      <c r="B179" s="6"/>
      <c r="C179" s="6"/>
      <c r="D179" s="6"/>
      <c r="E179" s="6"/>
      <c r="F179" s="5"/>
      <c r="G179" s="5"/>
      <c r="H179" s="5"/>
      <c r="I179" s="5"/>
      <c r="J179" s="5"/>
      <c r="K179" s="5"/>
      <c r="L179" s="5"/>
      <c r="M179" s="5"/>
      <c r="N179" s="5"/>
      <c r="O179" s="5"/>
      <c r="P179" s="5"/>
      <c r="Q179" s="5"/>
      <c r="R179" s="5"/>
      <c r="S179" s="5"/>
      <c r="T179" s="5"/>
      <c r="U179" s="5"/>
      <c r="V179" s="5"/>
      <c r="W179" s="5"/>
    </row>
    <row r="180" spans="1:23" ht="16" x14ac:dyDescent="0.2">
      <c r="A180" s="5"/>
      <c r="B180" s="6"/>
      <c r="C180" s="6"/>
      <c r="D180" s="6"/>
      <c r="E180" s="6"/>
      <c r="F180" s="5"/>
      <c r="G180" s="5"/>
      <c r="H180" s="5"/>
      <c r="I180" s="5"/>
      <c r="J180" s="5"/>
      <c r="K180" s="5"/>
      <c r="L180" s="5"/>
      <c r="M180" s="5"/>
      <c r="N180" s="5"/>
      <c r="O180" s="5"/>
      <c r="P180" s="5"/>
      <c r="Q180" s="5"/>
      <c r="R180" s="5"/>
      <c r="S180" s="5"/>
      <c r="T180" s="5"/>
      <c r="U180" s="5"/>
      <c r="V180" s="5"/>
      <c r="W180" s="5"/>
    </row>
    <row r="181" spans="1:23" ht="16" x14ac:dyDescent="0.2">
      <c r="A181" s="5"/>
      <c r="B181" s="6"/>
      <c r="C181" s="6"/>
      <c r="D181" s="6"/>
      <c r="E181" s="6"/>
      <c r="F181" s="5"/>
      <c r="G181" s="5"/>
      <c r="H181" s="5"/>
      <c r="I181" s="5"/>
      <c r="J181" s="5"/>
      <c r="K181" s="5"/>
      <c r="L181" s="5"/>
      <c r="M181" s="5"/>
      <c r="N181" s="5"/>
      <c r="O181" s="5"/>
      <c r="P181" s="5"/>
      <c r="Q181" s="5"/>
      <c r="R181" s="5"/>
      <c r="S181" s="5"/>
      <c r="T181" s="5"/>
      <c r="U181" s="5"/>
      <c r="V181" s="5"/>
      <c r="W181" s="5"/>
    </row>
    <row r="182" spans="1:23" ht="16" x14ac:dyDescent="0.2">
      <c r="A182" s="5"/>
      <c r="B182" s="6"/>
      <c r="C182" s="6"/>
      <c r="D182" s="6"/>
      <c r="E182" s="6"/>
      <c r="F182" s="5"/>
      <c r="G182" s="5"/>
      <c r="H182" s="5"/>
      <c r="I182" s="5"/>
      <c r="J182" s="5"/>
      <c r="K182" s="5"/>
      <c r="L182" s="5"/>
      <c r="M182" s="5"/>
      <c r="N182" s="5"/>
      <c r="O182" s="5"/>
      <c r="P182" s="5"/>
      <c r="Q182" s="5"/>
      <c r="R182" s="5"/>
      <c r="S182" s="5"/>
      <c r="T182" s="5"/>
      <c r="U182" s="5"/>
      <c r="V182" s="5"/>
      <c r="W182" s="5"/>
    </row>
    <row r="183" spans="1:23" ht="16" x14ac:dyDescent="0.2">
      <c r="A183" s="5"/>
      <c r="B183" s="6"/>
      <c r="C183" s="6"/>
      <c r="D183" s="6"/>
      <c r="E183" s="6"/>
      <c r="F183" s="5"/>
      <c r="G183" s="5"/>
      <c r="H183" s="5"/>
      <c r="I183" s="5"/>
      <c r="J183" s="5"/>
      <c r="K183" s="5"/>
      <c r="L183" s="5"/>
      <c r="M183" s="5"/>
      <c r="N183" s="5"/>
      <c r="O183" s="5"/>
      <c r="P183" s="5"/>
      <c r="Q183" s="5"/>
      <c r="R183" s="5"/>
      <c r="S183" s="5"/>
      <c r="T183" s="5"/>
      <c r="U183" s="5"/>
      <c r="V183" s="5"/>
      <c r="W183" s="5"/>
    </row>
    <row r="184" spans="1:23" ht="16" x14ac:dyDescent="0.2">
      <c r="A184" s="5"/>
      <c r="B184" s="6"/>
      <c r="C184" s="6"/>
      <c r="D184" s="6"/>
      <c r="E184" s="6"/>
      <c r="F184" s="5"/>
      <c r="G184" s="5"/>
      <c r="H184" s="5"/>
      <c r="I184" s="5"/>
      <c r="J184" s="5"/>
      <c r="K184" s="5"/>
      <c r="L184" s="5"/>
      <c r="M184" s="5"/>
      <c r="N184" s="5"/>
      <c r="O184" s="5"/>
      <c r="P184" s="5"/>
      <c r="Q184" s="5"/>
      <c r="R184" s="5"/>
      <c r="S184" s="5"/>
      <c r="T184" s="5"/>
      <c r="U184" s="5"/>
      <c r="V184" s="5"/>
      <c r="W184" s="5"/>
    </row>
    <row r="185" spans="1:23" ht="16" x14ac:dyDescent="0.2">
      <c r="A185" s="5"/>
      <c r="B185" s="6"/>
      <c r="C185" s="6"/>
      <c r="D185" s="6"/>
      <c r="E185" s="6"/>
      <c r="F185" s="5"/>
      <c r="G185" s="5"/>
      <c r="H185" s="5"/>
      <c r="I185" s="5"/>
      <c r="J185" s="5"/>
      <c r="K185" s="5"/>
      <c r="L185" s="5"/>
      <c r="M185" s="5"/>
      <c r="N185" s="5"/>
      <c r="O185" s="5"/>
      <c r="P185" s="5"/>
      <c r="Q185" s="5"/>
      <c r="R185" s="5"/>
      <c r="S185" s="5"/>
      <c r="T185" s="5"/>
      <c r="U185" s="5"/>
      <c r="V185" s="5"/>
      <c r="W185" s="5"/>
    </row>
    <row r="186" spans="1:23" ht="16" x14ac:dyDescent="0.2">
      <c r="A186" s="5"/>
      <c r="B186" s="6"/>
      <c r="C186" s="6"/>
      <c r="D186" s="6"/>
      <c r="E186" s="6"/>
      <c r="F186" s="5"/>
      <c r="G186" s="5"/>
      <c r="H186" s="5"/>
      <c r="I186" s="5"/>
      <c r="J186" s="5"/>
      <c r="K186" s="5"/>
      <c r="L186" s="5"/>
      <c r="M186" s="5"/>
      <c r="N186" s="5"/>
      <c r="O186" s="5"/>
      <c r="P186" s="5"/>
      <c r="Q186" s="5"/>
      <c r="R186" s="5"/>
      <c r="S186" s="5"/>
      <c r="T186" s="5"/>
      <c r="U186" s="5"/>
      <c r="V186" s="5"/>
      <c r="W186" s="5"/>
    </row>
    <row r="187" spans="1:23" ht="16" x14ac:dyDescent="0.2">
      <c r="A187" s="5"/>
      <c r="B187" s="6"/>
      <c r="C187" s="6"/>
      <c r="D187" s="6"/>
      <c r="E187" s="6"/>
      <c r="F187" s="5"/>
      <c r="G187" s="5"/>
      <c r="H187" s="5"/>
      <c r="I187" s="5"/>
      <c r="J187" s="5"/>
      <c r="K187" s="5"/>
      <c r="L187" s="5"/>
      <c r="M187" s="5"/>
      <c r="N187" s="5"/>
      <c r="O187" s="5"/>
      <c r="P187" s="5"/>
      <c r="Q187" s="5"/>
      <c r="R187" s="5"/>
      <c r="S187" s="5"/>
      <c r="T187" s="5"/>
      <c r="U187" s="5"/>
      <c r="V187" s="5"/>
      <c r="W187" s="5"/>
    </row>
    <row r="188" spans="1:23" ht="16" x14ac:dyDescent="0.2">
      <c r="A188" s="5"/>
      <c r="B188" s="6"/>
      <c r="C188" s="6"/>
      <c r="D188" s="6"/>
      <c r="E188" s="6"/>
      <c r="F188" s="5"/>
      <c r="G188" s="5"/>
      <c r="H188" s="5"/>
      <c r="I188" s="5"/>
      <c r="J188" s="5"/>
      <c r="K188" s="5"/>
      <c r="L188" s="5"/>
      <c r="M188" s="5"/>
      <c r="N188" s="5"/>
      <c r="O188" s="5"/>
      <c r="P188" s="5"/>
      <c r="Q188" s="5"/>
      <c r="R188" s="5"/>
      <c r="S188" s="5"/>
      <c r="T188" s="5"/>
      <c r="U188" s="5"/>
      <c r="V188" s="5"/>
      <c r="W188" s="5"/>
    </row>
    <row r="189" spans="1:23" ht="16" x14ac:dyDescent="0.2">
      <c r="A189" s="5"/>
      <c r="B189" s="6"/>
      <c r="C189" s="6"/>
      <c r="D189" s="6"/>
      <c r="E189" s="6"/>
      <c r="F189" s="5"/>
      <c r="G189" s="5"/>
      <c r="H189" s="5"/>
      <c r="I189" s="5"/>
      <c r="J189" s="5"/>
      <c r="K189" s="5"/>
      <c r="L189" s="5"/>
      <c r="M189" s="5"/>
      <c r="N189" s="5"/>
      <c r="O189" s="5"/>
      <c r="P189" s="5"/>
      <c r="Q189" s="5"/>
      <c r="R189" s="5"/>
      <c r="S189" s="5"/>
      <c r="T189" s="5"/>
      <c r="U189" s="5"/>
      <c r="V189" s="5"/>
      <c r="W189" s="5"/>
    </row>
    <row r="190" spans="1:23" ht="16" x14ac:dyDescent="0.2">
      <c r="A190" s="5"/>
      <c r="B190" s="6"/>
      <c r="C190" s="6"/>
      <c r="D190" s="6"/>
      <c r="E190" s="6"/>
      <c r="F190" s="5"/>
      <c r="G190" s="5"/>
      <c r="H190" s="5"/>
      <c r="I190" s="5"/>
      <c r="J190" s="5"/>
      <c r="K190" s="5"/>
      <c r="L190" s="5"/>
      <c r="M190" s="5"/>
      <c r="N190" s="5"/>
      <c r="O190" s="5"/>
      <c r="P190" s="5"/>
      <c r="Q190" s="5"/>
      <c r="R190" s="5"/>
      <c r="S190" s="5"/>
      <c r="T190" s="5"/>
      <c r="U190" s="5"/>
      <c r="V190" s="5"/>
      <c r="W190" s="5"/>
    </row>
    <row r="191" spans="1:23" ht="16" x14ac:dyDescent="0.2">
      <c r="A191" s="5"/>
      <c r="B191" s="6"/>
      <c r="C191" s="6"/>
      <c r="D191" s="6"/>
      <c r="E191" s="6"/>
      <c r="F191" s="5"/>
      <c r="G191" s="5"/>
      <c r="H191" s="5"/>
      <c r="I191" s="5"/>
      <c r="J191" s="5"/>
      <c r="K191" s="5"/>
      <c r="L191" s="5"/>
      <c r="M191" s="5"/>
      <c r="N191" s="5"/>
      <c r="O191" s="5"/>
      <c r="P191" s="5"/>
      <c r="Q191" s="5"/>
      <c r="R191" s="5"/>
      <c r="S191" s="5"/>
      <c r="T191" s="5"/>
      <c r="U191" s="5"/>
      <c r="V191" s="5"/>
      <c r="W191" s="5"/>
    </row>
    <row r="192" spans="1:23" ht="16" x14ac:dyDescent="0.2">
      <c r="A192" s="5"/>
      <c r="B192" s="6"/>
      <c r="C192" s="6"/>
      <c r="D192" s="6"/>
      <c r="E192" s="6"/>
      <c r="F192" s="5"/>
      <c r="G192" s="5"/>
      <c r="H192" s="5"/>
      <c r="I192" s="5"/>
      <c r="J192" s="5"/>
      <c r="K192" s="5"/>
      <c r="L192" s="5"/>
      <c r="M192" s="5"/>
      <c r="N192" s="5"/>
      <c r="O192" s="5"/>
      <c r="P192" s="5"/>
      <c r="Q192" s="5"/>
      <c r="R192" s="5"/>
      <c r="S192" s="5"/>
      <c r="T192" s="5"/>
      <c r="U192" s="5"/>
      <c r="V192" s="5"/>
      <c r="W192" s="5"/>
    </row>
    <row r="193" spans="1:23" ht="16" x14ac:dyDescent="0.2">
      <c r="A193" s="5"/>
      <c r="B193" s="6"/>
      <c r="C193" s="6"/>
      <c r="D193" s="6"/>
      <c r="E193" s="6"/>
      <c r="F193" s="5"/>
      <c r="G193" s="5"/>
      <c r="H193" s="5"/>
      <c r="I193" s="5"/>
      <c r="J193" s="5"/>
      <c r="K193" s="5"/>
      <c r="L193" s="5"/>
      <c r="M193" s="5"/>
      <c r="N193" s="5"/>
      <c r="O193" s="5"/>
      <c r="P193" s="5"/>
      <c r="Q193" s="5"/>
      <c r="R193" s="5"/>
      <c r="S193" s="5"/>
      <c r="T193" s="5"/>
      <c r="U193" s="5"/>
      <c r="V193" s="5"/>
      <c r="W193" s="5"/>
    </row>
    <row r="194" spans="1:23" ht="16" x14ac:dyDescent="0.2">
      <c r="A194" s="5"/>
      <c r="B194" s="6"/>
      <c r="C194" s="6"/>
      <c r="D194" s="6"/>
      <c r="E194" s="6"/>
      <c r="F194" s="5"/>
      <c r="G194" s="5"/>
      <c r="H194" s="5"/>
      <c r="I194" s="5"/>
      <c r="J194" s="5"/>
      <c r="K194" s="5"/>
      <c r="L194" s="5"/>
      <c r="M194" s="5"/>
      <c r="N194" s="5"/>
      <c r="O194" s="5"/>
      <c r="P194" s="5"/>
      <c r="Q194" s="5"/>
      <c r="R194" s="5"/>
      <c r="S194" s="5"/>
      <c r="T194" s="5"/>
      <c r="U194" s="5"/>
      <c r="V194" s="5"/>
      <c r="W194" s="5"/>
    </row>
    <row r="195" spans="1:23" ht="16" x14ac:dyDescent="0.2">
      <c r="A195" s="5"/>
      <c r="B195" s="6"/>
      <c r="C195" s="6"/>
      <c r="D195" s="6"/>
      <c r="E195" s="6"/>
      <c r="F195" s="5"/>
      <c r="G195" s="5"/>
      <c r="H195" s="5"/>
      <c r="I195" s="5"/>
      <c r="J195" s="5"/>
      <c r="K195" s="5"/>
      <c r="L195" s="5"/>
      <c r="M195" s="5"/>
      <c r="N195" s="5"/>
      <c r="O195" s="5"/>
      <c r="P195" s="5"/>
      <c r="Q195" s="5"/>
      <c r="R195" s="5"/>
      <c r="S195" s="5"/>
      <c r="T195" s="5"/>
      <c r="U195" s="5"/>
      <c r="V195" s="5"/>
      <c r="W195" s="5"/>
    </row>
    <row r="196" spans="1:23" ht="16" x14ac:dyDescent="0.2">
      <c r="A196" s="5"/>
      <c r="B196" s="6"/>
      <c r="C196" s="6"/>
      <c r="D196" s="6"/>
      <c r="E196" s="6"/>
      <c r="F196" s="5"/>
      <c r="G196" s="5"/>
      <c r="H196" s="5"/>
      <c r="I196" s="5"/>
      <c r="J196" s="5"/>
      <c r="K196" s="5"/>
      <c r="L196" s="5"/>
      <c r="M196" s="5"/>
      <c r="N196" s="5"/>
      <c r="O196" s="5"/>
      <c r="P196" s="5"/>
      <c r="Q196" s="5"/>
      <c r="R196" s="5"/>
      <c r="S196" s="5"/>
      <c r="T196" s="5"/>
      <c r="U196" s="5"/>
      <c r="V196" s="5"/>
      <c r="W196" s="5"/>
    </row>
    <row r="197" spans="1:23" ht="16" x14ac:dyDescent="0.2">
      <c r="A197" s="5"/>
      <c r="B197" s="6"/>
      <c r="C197" s="6"/>
      <c r="D197" s="6"/>
      <c r="E197" s="6"/>
      <c r="F197" s="5"/>
      <c r="G197" s="5"/>
      <c r="H197" s="5"/>
      <c r="I197" s="5"/>
      <c r="J197" s="5"/>
      <c r="K197" s="5"/>
      <c r="L197" s="5"/>
      <c r="M197" s="5"/>
      <c r="N197" s="5"/>
      <c r="O197" s="5"/>
      <c r="P197" s="5"/>
      <c r="Q197" s="5"/>
      <c r="R197" s="5"/>
      <c r="S197" s="5"/>
      <c r="T197" s="5"/>
      <c r="U197" s="5"/>
      <c r="V197" s="5"/>
      <c r="W197" s="5"/>
    </row>
    <row r="198" spans="1:23" ht="16" x14ac:dyDescent="0.2">
      <c r="A198" s="5"/>
      <c r="B198" s="6"/>
      <c r="C198" s="6"/>
      <c r="D198" s="6"/>
      <c r="E198" s="6"/>
      <c r="F198" s="5"/>
      <c r="G198" s="5"/>
      <c r="H198" s="5"/>
      <c r="I198" s="5"/>
      <c r="J198" s="5"/>
      <c r="K198" s="5"/>
      <c r="L198" s="5"/>
      <c r="M198" s="5"/>
      <c r="N198" s="5"/>
      <c r="O198" s="5"/>
      <c r="P198" s="5"/>
      <c r="Q198" s="5"/>
      <c r="R198" s="5"/>
      <c r="S198" s="5"/>
      <c r="T198" s="5"/>
      <c r="U198" s="5"/>
      <c r="V198" s="5"/>
      <c r="W198" s="5"/>
    </row>
    <row r="199" spans="1:23" ht="16" x14ac:dyDescent="0.2">
      <c r="A199" s="5"/>
      <c r="B199" s="6"/>
      <c r="C199" s="6"/>
      <c r="D199" s="6"/>
      <c r="E199" s="6"/>
      <c r="F199" s="5"/>
      <c r="G199" s="5"/>
      <c r="H199" s="5"/>
      <c r="I199" s="5"/>
      <c r="J199" s="5"/>
      <c r="K199" s="5"/>
      <c r="L199" s="5"/>
      <c r="M199" s="5"/>
      <c r="N199" s="5"/>
      <c r="O199" s="5"/>
      <c r="P199" s="5"/>
      <c r="Q199" s="5"/>
      <c r="R199" s="5"/>
      <c r="S199" s="5"/>
      <c r="T199" s="5"/>
      <c r="U199" s="5"/>
      <c r="V199" s="5"/>
      <c r="W199" s="5"/>
    </row>
    <row r="200" spans="1:23" ht="16" x14ac:dyDescent="0.2">
      <c r="A200" s="5"/>
      <c r="B200" s="6"/>
      <c r="C200" s="6"/>
      <c r="D200" s="6"/>
      <c r="E200" s="6"/>
      <c r="F200" s="5"/>
      <c r="G200" s="5"/>
      <c r="H200" s="5"/>
      <c r="I200" s="5"/>
      <c r="J200" s="5"/>
      <c r="K200" s="5"/>
      <c r="L200" s="5"/>
      <c r="M200" s="5"/>
      <c r="N200" s="5"/>
      <c r="O200" s="5"/>
      <c r="P200" s="5"/>
      <c r="Q200" s="5"/>
      <c r="R200" s="5"/>
      <c r="S200" s="5"/>
      <c r="T200" s="5"/>
      <c r="U200" s="5"/>
      <c r="V200" s="5"/>
      <c r="W200" s="5"/>
    </row>
    <row r="201" spans="1:23" ht="16" x14ac:dyDescent="0.2">
      <c r="A201" s="5"/>
      <c r="B201" s="6"/>
      <c r="C201" s="6"/>
      <c r="D201" s="6"/>
      <c r="E201" s="6"/>
      <c r="F201" s="5"/>
      <c r="G201" s="5"/>
      <c r="H201" s="5"/>
      <c r="I201" s="5"/>
      <c r="J201" s="5"/>
      <c r="K201" s="5"/>
      <c r="L201" s="5"/>
      <c r="M201" s="5"/>
      <c r="N201" s="5"/>
      <c r="O201" s="5"/>
      <c r="P201" s="5"/>
      <c r="Q201" s="5"/>
      <c r="R201" s="5"/>
      <c r="S201" s="5"/>
      <c r="T201" s="5"/>
      <c r="U201" s="5"/>
      <c r="V201" s="5"/>
      <c r="W201" s="5"/>
    </row>
    <row r="202" spans="1:23" ht="16" x14ac:dyDescent="0.2">
      <c r="A202" s="5"/>
      <c r="B202" s="6"/>
      <c r="C202" s="6"/>
      <c r="D202" s="6"/>
      <c r="E202" s="6"/>
      <c r="F202" s="5"/>
      <c r="G202" s="5"/>
      <c r="H202" s="5"/>
      <c r="I202" s="5"/>
      <c r="J202" s="5"/>
      <c r="K202" s="5"/>
      <c r="L202" s="5"/>
      <c r="M202" s="5"/>
      <c r="N202" s="5"/>
      <c r="O202" s="5"/>
      <c r="P202" s="5"/>
      <c r="Q202" s="5"/>
      <c r="R202" s="5"/>
      <c r="S202" s="5"/>
      <c r="T202" s="5"/>
      <c r="U202" s="5"/>
      <c r="V202" s="5"/>
      <c r="W202" s="5"/>
    </row>
    <row r="203" spans="1:23" ht="16" x14ac:dyDescent="0.2">
      <c r="A203" s="5"/>
      <c r="B203" s="6"/>
      <c r="C203" s="6"/>
      <c r="D203" s="6"/>
      <c r="E203" s="6"/>
      <c r="F203" s="5"/>
      <c r="G203" s="5"/>
      <c r="H203" s="5"/>
      <c r="I203" s="5"/>
      <c r="J203" s="5"/>
      <c r="K203" s="5"/>
      <c r="L203" s="5"/>
      <c r="M203" s="5"/>
      <c r="N203" s="5"/>
      <c r="O203" s="5"/>
      <c r="P203" s="5"/>
      <c r="Q203" s="5"/>
      <c r="R203" s="5"/>
      <c r="S203" s="5"/>
      <c r="T203" s="5"/>
      <c r="U203" s="5"/>
      <c r="V203" s="5"/>
      <c r="W203" s="5"/>
    </row>
    <row r="204" spans="1:23" ht="16" x14ac:dyDescent="0.2">
      <c r="A204" s="5"/>
      <c r="B204" s="6"/>
      <c r="C204" s="6"/>
      <c r="D204" s="6"/>
      <c r="E204" s="6"/>
      <c r="F204" s="5"/>
      <c r="G204" s="5"/>
      <c r="H204" s="5"/>
      <c r="I204" s="5"/>
      <c r="J204" s="5"/>
      <c r="K204" s="5"/>
      <c r="L204" s="5"/>
      <c r="M204" s="5"/>
      <c r="N204" s="5"/>
      <c r="O204" s="5"/>
      <c r="P204" s="5"/>
      <c r="Q204" s="5"/>
      <c r="R204" s="5"/>
      <c r="S204" s="5"/>
      <c r="T204" s="5"/>
      <c r="U204" s="5"/>
      <c r="V204" s="5"/>
      <c r="W204" s="5"/>
    </row>
    <row r="205" spans="1:23" ht="16" x14ac:dyDescent="0.2">
      <c r="A205" s="5"/>
      <c r="B205" s="6"/>
      <c r="C205" s="6"/>
      <c r="D205" s="6"/>
      <c r="E205" s="6"/>
      <c r="F205" s="5"/>
      <c r="G205" s="5"/>
      <c r="H205" s="5"/>
      <c r="I205" s="5"/>
      <c r="J205" s="5"/>
      <c r="K205" s="5"/>
      <c r="L205" s="5"/>
      <c r="M205" s="5"/>
      <c r="N205" s="5"/>
      <c r="O205" s="5"/>
      <c r="P205" s="5"/>
      <c r="Q205" s="5"/>
      <c r="R205" s="5"/>
      <c r="S205" s="5"/>
      <c r="T205" s="5"/>
      <c r="U205" s="5"/>
      <c r="V205" s="5"/>
      <c r="W205" s="5"/>
    </row>
    <row r="206" spans="1:23" ht="16" x14ac:dyDescent="0.2">
      <c r="A206" s="5"/>
      <c r="B206" s="6"/>
      <c r="C206" s="6"/>
      <c r="D206" s="6"/>
      <c r="E206" s="6"/>
      <c r="F206" s="5"/>
      <c r="G206" s="5"/>
      <c r="H206" s="5"/>
      <c r="I206" s="5"/>
      <c r="J206" s="5"/>
      <c r="K206" s="5"/>
      <c r="L206" s="5"/>
      <c r="M206" s="5"/>
      <c r="N206" s="5"/>
      <c r="O206" s="5"/>
      <c r="P206" s="5"/>
      <c r="Q206" s="5"/>
      <c r="R206" s="5"/>
      <c r="S206" s="5"/>
      <c r="T206" s="5"/>
      <c r="U206" s="5"/>
      <c r="V206" s="5"/>
      <c r="W206" s="5"/>
    </row>
    <row r="207" spans="1:23" ht="16" x14ac:dyDescent="0.2">
      <c r="A207" s="5"/>
      <c r="B207" s="6"/>
      <c r="C207" s="6"/>
      <c r="D207" s="6"/>
      <c r="E207" s="6"/>
      <c r="F207" s="5"/>
      <c r="G207" s="5"/>
      <c r="H207" s="5"/>
      <c r="I207" s="5"/>
      <c r="J207" s="5"/>
      <c r="K207" s="5"/>
      <c r="L207" s="5"/>
      <c r="M207" s="5"/>
      <c r="N207" s="5"/>
      <c r="O207" s="5"/>
      <c r="P207" s="5"/>
      <c r="Q207" s="5"/>
      <c r="R207" s="5"/>
      <c r="S207" s="5"/>
      <c r="T207" s="5"/>
      <c r="U207" s="5"/>
      <c r="V207" s="5"/>
      <c r="W207" s="5"/>
    </row>
    <row r="208" spans="1:23" ht="16" x14ac:dyDescent="0.2">
      <c r="A208" s="5"/>
      <c r="B208" s="6"/>
      <c r="C208" s="6"/>
      <c r="D208" s="6"/>
      <c r="E208" s="6"/>
      <c r="F208" s="5"/>
      <c r="G208" s="5"/>
      <c r="H208" s="5"/>
      <c r="I208" s="5"/>
      <c r="J208" s="5"/>
      <c r="K208" s="5"/>
      <c r="L208" s="5"/>
      <c r="M208" s="5"/>
      <c r="N208" s="5"/>
      <c r="O208" s="5"/>
      <c r="P208" s="5"/>
      <c r="Q208" s="5"/>
      <c r="R208" s="5"/>
      <c r="S208" s="5"/>
      <c r="T208" s="5"/>
      <c r="U208" s="5"/>
      <c r="V208" s="5"/>
      <c r="W208" s="5"/>
    </row>
    <row r="209" spans="1:23" ht="16" x14ac:dyDescent="0.2">
      <c r="A209" s="5"/>
      <c r="B209" s="6"/>
      <c r="C209" s="6"/>
      <c r="D209" s="6"/>
      <c r="E209" s="6"/>
      <c r="F209" s="5"/>
      <c r="G209" s="5"/>
      <c r="H209" s="5"/>
      <c r="I209" s="5"/>
      <c r="J209" s="5"/>
      <c r="K209" s="5"/>
      <c r="L209" s="5"/>
      <c r="M209" s="5"/>
      <c r="N209" s="5"/>
      <c r="O209" s="5"/>
      <c r="P209" s="5"/>
      <c r="Q209" s="5"/>
      <c r="R209" s="5"/>
      <c r="S209" s="5"/>
      <c r="T209" s="5"/>
      <c r="U209" s="5"/>
      <c r="V209" s="5"/>
      <c r="W209" s="5"/>
    </row>
    <row r="210" spans="1:23" ht="16" x14ac:dyDescent="0.2">
      <c r="A210" s="5"/>
      <c r="B210" s="6"/>
      <c r="C210" s="6"/>
      <c r="D210" s="6"/>
      <c r="E210" s="6"/>
      <c r="F210" s="5"/>
      <c r="G210" s="5"/>
      <c r="H210" s="5"/>
      <c r="I210" s="5"/>
      <c r="J210" s="5"/>
      <c r="K210" s="5"/>
      <c r="L210" s="5"/>
      <c r="M210" s="5"/>
      <c r="N210" s="5"/>
      <c r="O210" s="5"/>
      <c r="P210" s="5"/>
      <c r="Q210" s="5"/>
      <c r="R210" s="5"/>
      <c r="S210" s="5"/>
      <c r="T210" s="5"/>
      <c r="U210" s="5"/>
      <c r="V210" s="5"/>
      <c r="W210" s="5"/>
    </row>
    <row r="211" spans="1:23" ht="16" x14ac:dyDescent="0.2">
      <c r="A211" s="5"/>
      <c r="B211" s="6"/>
      <c r="C211" s="6"/>
      <c r="D211" s="6"/>
      <c r="E211" s="6"/>
      <c r="F211" s="5"/>
      <c r="G211" s="5"/>
      <c r="H211" s="5"/>
      <c r="I211" s="5"/>
      <c r="J211" s="5"/>
      <c r="K211" s="5"/>
      <c r="L211" s="5"/>
      <c r="M211" s="5"/>
      <c r="N211" s="5"/>
      <c r="O211" s="5"/>
      <c r="P211" s="5"/>
      <c r="Q211" s="5"/>
      <c r="R211" s="5"/>
      <c r="S211" s="5"/>
      <c r="T211" s="5"/>
      <c r="U211" s="5"/>
      <c r="V211" s="5"/>
      <c r="W211" s="5"/>
    </row>
    <row r="212" spans="1:23" ht="16" x14ac:dyDescent="0.2">
      <c r="A212" s="5"/>
      <c r="B212" s="6"/>
      <c r="C212" s="6"/>
      <c r="D212" s="6"/>
      <c r="E212" s="6"/>
      <c r="F212" s="5"/>
      <c r="G212" s="5"/>
      <c r="H212" s="5"/>
      <c r="I212" s="5"/>
      <c r="J212" s="5"/>
      <c r="K212" s="5"/>
      <c r="L212" s="5"/>
      <c r="M212" s="5"/>
      <c r="N212" s="5"/>
      <c r="O212" s="5"/>
      <c r="P212" s="5"/>
      <c r="Q212" s="5"/>
      <c r="R212" s="5"/>
      <c r="S212" s="5"/>
      <c r="T212" s="5"/>
      <c r="U212" s="5"/>
      <c r="V212" s="5"/>
      <c r="W212" s="5"/>
    </row>
    <row r="213" spans="1:23" ht="16" x14ac:dyDescent="0.2">
      <c r="A213" s="5"/>
      <c r="B213" s="6"/>
      <c r="C213" s="6"/>
      <c r="D213" s="6"/>
      <c r="E213" s="6"/>
      <c r="F213" s="5"/>
      <c r="G213" s="5"/>
      <c r="H213" s="5"/>
      <c r="I213" s="5"/>
      <c r="J213" s="5"/>
      <c r="K213" s="5"/>
      <c r="L213" s="5"/>
      <c r="M213" s="5"/>
      <c r="N213" s="5"/>
      <c r="O213" s="5"/>
      <c r="P213" s="5"/>
      <c r="Q213" s="5"/>
      <c r="R213" s="5"/>
      <c r="S213" s="5"/>
      <c r="T213" s="5"/>
      <c r="U213" s="5"/>
      <c r="V213" s="5"/>
      <c r="W213" s="5"/>
    </row>
    <row r="214" spans="1:23" ht="16" x14ac:dyDescent="0.2">
      <c r="A214" s="5"/>
      <c r="B214" s="6"/>
      <c r="C214" s="6"/>
      <c r="D214" s="6"/>
      <c r="E214" s="6"/>
      <c r="F214" s="5"/>
      <c r="G214" s="5"/>
      <c r="H214" s="5"/>
      <c r="I214" s="5"/>
      <c r="J214" s="5"/>
      <c r="K214" s="5"/>
      <c r="L214" s="5"/>
      <c r="M214" s="5"/>
      <c r="N214" s="5"/>
      <c r="O214" s="5"/>
      <c r="P214" s="5"/>
      <c r="Q214" s="5"/>
      <c r="R214" s="5"/>
      <c r="S214" s="5"/>
      <c r="T214" s="5"/>
      <c r="U214" s="5"/>
      <c r="V214" s="5"/>
      <c r="W214" s="5"/>
    </row>
    <row r="215" spans="1:23" ht="16" x14ac:dyDescent="0.2">
      <c r="A215" s="5"/>
      <c r="B215" s="6"/>
      <c r="C215" s="6"/>
      <c r="D215" s="6"/>
      <c r="E215" s="6"/>
      <c r="F215" s="5"/>
      <c r="G215" s="5"/>
      <c r="H215" s="5"/>
      <c r="I215" s="5"/>
      <c r="J215" s="5"/>
      <c r="K215" s="5"/>
      <c r="L215" s="5"/>
      <c r="M215" s="5"/>
      <c r="N215" s="5"/>
      <c r="O215" s="5"/>
      <c r="P215" s="5"/>
      <c r="Q215" s="5"/>
      <c r="R215" s="5"/>
      <c r="S215" s="5"/>
      <c r="T215" s="5"/>
      <c r="U215" s="5"/>
      <c r="V215" s="5"/>
      <c r="W215" s="5"/>
    </row>
    <row r="216" spans="1:23" ht="16" x14ac:dyDescent="0.2">
      <c r="A216" s="5"/>
      <c r="B216" s="6"/>
      <c r="C216" s="6"/>
      <c r="D216" s="6"/>
      <c r="E216" s="6"/>
      <c r="F216" s="5"/>
      <c r="G216" s="5"/>
      <c r="H216" s="5"/>
      <c r="I216" s="5"/>
      <c r="J216" s="5"/>
      <c r="K216" s="5"/>
      <c r="L216" s="5"/>
      <c r="M216" s="5"/>
      <c r="N216" s="5"/>
      <c r="O216" s="5"/>
      <c r="P216" s="5"/>
      <c r="Q216" s="5"/>
      <c r="R216" s="5"/>
      <c r="S216" s="5"/>
      <c r="T216" s="5"/>
      <c r="U216" s="5"/>
      <c r="V216" s="5"/>
      <c r="W216" s="5"/>
    </row>
    <row r="217" spans="1:23" ht="16" x14ac:dyDescent="0.2">
      <c r="A217" s="5"/>
      <c r="B217" s="6"/>
      <c r="C217" s="6"/>
      <c r="D217" s="6"/>
      <c r="E217" s="6"/>
      <c r="F217" s="5"/>
      <c r="G217" s="5"/>
      <c r="H217" s="5"/>
      <c r="I217" s="5"/>
      <c r="J217" s="5"/>
      <c r="K217" s="5"/>
      <c r="L217" s="5"/>
      <c r="M217" s="5"/>
      <c r="N217" s="5"/>
      <c r="O217" s="5"/>
      <c r="P217" s="5"/>
      <c r="Q217" s="5"/>
      <c r="R217" s="5"/>
      <c r="S217" s="5"/>
      <c r="T217" s="5"/>
      <c r="U217" s="5"/>
      <c r="V217" s="5"/>
      <c r="W217" s="5"/>
    </row>
    <row r="218" spans="1:23" ht="16" x14ac:dyDescent="0.2">
      <c r="A218" s="5"/>
      <c r="B218" s="6"/>
      <c r="C218" s="6"/>
      <c r="D218" s="6"/>
      <c r="E218" s="6"/>
      <c r="F218" s="5"/>
      <c r="G218" s="5"/>
      <c r="H218" s="5"/>
      <c r="I218" s="5"/>
      <c r="J218" s="5"/>
      <c r="K218" s="5"/>
      <c r="L218" s="5"/>
      <c r="M218" s="5"/>
      <c r="N218" s="5"/>
      <c r="O218" s="5"/>
      <c r="P218" s="5"/>
      <c r="Q218" s="5"/>
      <c r="R218" s="5"/>
      <c r="S218" s="5"/>
      <c r="T218" s="5"/>
      <c r="U218" s="5"/>
      <c r="V218" s="5"/>
      <c r="W218" s="5"/>
    </row>
    <row r="219" spans="1:23" ht="16" x14ac:dyDescent="0.2">
      <c r="A219" s="5"/>
      <c r="B219" s="6"/>
      <c r="C219" s="6"/>
      <c r="D219" s="6"/>
      <c r="E219" s="6"/>
      <c r="F219" s="5"/>
      <c r="G219" s="5"/>
      <c r="H219" s="5"/>
      <c r="I219" s="5"/>
      <c r="J219" s="5"/>
      <c r="K219" s="5"/>
      <c r="L219" s="5"/>
      <c r="M219" s="5"/>
      <c r="N219" s="5"/>
      <c r="O219" s="5"/>
      <c r="P219" s="5"/>
      <c r="Q219" s="5"/>
      <c r="R219" s="5"/>
      <c r="S219" s="5"/>
      <c r="T219" s="5"/>
      <c r="U219" s="5"/>
      <c r="V219" s="5"/>
      <c r="W219" s="5"/>
    </row>
    <row r="220" spans="1:23" ht="16" x14ac:dyDescent="0.2">
      <c r="A220" s="5"/>
      <c r="B220" s="6"/>
      <c r="C220" s="6"/>
      <c r="D220" s="6"/>
      <c r="E220" s="6"/>
      <c r="F220" s="5"/>
      <c r="G220" s="5"/>
      <c r="H220" s="5"/>
      <c r="I220" s="5"/>
      <c r="J220" s="5"/>
      <c r="K220" s="5"/>
      <c r="L220" s="5"/>
      <c r="M220" s="5"/>
      <c r="N220" s="5"/>
      <c r="O220" s="5"/>
      <c r="P220" s="5"/>
      <c r="Q220" s="5"/>
      <c r="R220" s="5"/>
      <c r="S220" s="5"/>
      <c r="T220" s="5"/>
      <c r="U220" s="5"/>
      <c r="V220" s="5"/>
      <c r="W220" s="5"/>
    </row>
    <row r="221" spans="1:23" ht="16" x14ac:dyDescent="0.2">
      <c r="A221" s="5"/>
      <c r="B221" s="6"/>
      <c r="C221" s="6"/>
      <c r="D221" s="6"/>
      <c r="E221" s="6"/>
      <c r="F221" s="5"/>
      <c r="G221" s="5"/>
      <c r="H221" s="5"/>
      <c r="I221" s="5"/>
      <c r="J221" s="5"/>
      <c r="K221" s="5"/>
      <c r="L221" s="5"/>
      <c r="M221" s="5"/>
      <c r="N221" s="5"/>
      <c r="O221" s="5"/>
      <c r="P221" s="5"/>
      <c r="Q221" s="5"/>
      <c r="R221" s="5"/>
      <c r="S221" s="5"/>
      <c r="T221" s="5"/>
      <c r="U221" s="5"/>
      <c r="V221" s="5"/>
      <c r="W221" s="5"/>
    </row>
    <row r="222" spans="1:23" ht="16" x14ac:dyDescent="0.2">
      <c r="A222" s="5"/>
      <c r="B222" s="6"/>
      <c r="C222" s="6"/>
      <c r="D222" s="6"/>
      <c r="E222" s="6"/>
      <c r="F222" s="5"/>
      <c r="G222" s="5"/>
      <c r="H222" s="5"/>
      <c r="I222" s="5"/>
      <c r="J222" s="5"/>
      <c r="K222" s="5"/>
      <c r="L222" s="5"/>
      <c r="M222" s="5"/>
      <c r="N222" s="5"/>
      <c r="O222" s="5"/>
      <c r="P222" s="5"/>
      <c r="Q222" s="5"/>
      <c r="R222" s="5"/>
      <c r="S222" s="5"/>
      <c r="T222" s="5"/>
      <c r="U222" s="5"/>
      <c r="V222" s="5"/>
      <c r="W222" s="5"/>
    </row>
    <row r="223" spans="1:23" ht="16" x14ac:dyDescent="0.2">
      <c r="A223" s="5"/>
      <c r="B223" s="6"/>
      <c r="C223" s="6"/>
      <c r="D223" s="6"/>
      <c r="E223" s="6"/>
      <c r="F223" s="5"/>
      <c r="G223" s="5"/>
      <c r="H223" s="5"/>
      <c r="I223" s="5"/>
      <c r="J223" s="5"/>
      <c r="K223" s="5"/>
      <c r="L223" s="5"/>
      <c r="M223" s="5"/>
      <c r="N223" s="5"/>
      <c r="O223" s="5"/>
      <c r="P223" s="5"/>
      <c r="Q223" s="5"/>
      <c r="R223" s="5"/>
      <c r="S223" s="5"/>
      <c r="T223" s="5"/>
      <c r="U223" s="5"/>
      <c r="V223" s="5"/>
      <c r="W223" s="5"/>
    </row>
    <row r="224" spans="1:23" ht="16" x14ac:dyDescent="0.2">
      <c r="A224" s="5"/>
      <c r="B224" s="6"/>
      <c r="C224" s="6"/>
      <c r="D224" s="6"/>
      <c r="E224" s="6"/>
      <c r="F224" s="5"/>
      <c r="G224" s="5"/>
      <c r="H224" s="5"/>
      <c r="I224" s="5"/>
      <c r="J224" s="5"/>
      <c r="K224" s="5"/>
      <c r="L224" s="5"/>
      <c r="M224" s="5"/>
      <c r="N224" s="5"/>
      <c r="O224" s="5"/>
      <c r="P224" s="5"/>
      <c r="Q224" s="5"/>
      <c r="R224" s="5"/>
      <c r="S224" s="5"/>
      <c r="T224" s="5"/>
      <c r="U224" s="5"/>
      <c r="V224" s="5"/>
      <c r="W224" s="5"/>
    </row>
    <row r="225" spans="1:23" ht="16" x14ac:dyDescent="0.2">
      <c r="A225" s="5"/>
      <c r="B225" s="6"/>
      <c r="C225" s="6"/>
      <c r="D225" s="6"/>
      <c r="E225" s="6"/>
      <c r="F225" s="5"/>
      <c r="G225" s="5"/>
      <c r="H225" s="5"/>
      <c r="I225" s="5"/>
      <c r="J225" s="5"/>
      <c r="K225" s="5"/>
      <c r="L225" s="5"/>
      <c r="M225" s="5"/>
      <c r="N225" s="5"/>
      <c r="O225" s="5"/>
      <c r="P225" s="5"/>
      <c r="Q225" s="5"/>
      <c r="R225" s="5"/>
      <c r="S225" s="5"/>
      <c r="T225" s="5"/>
      <c r="U225" s="5"/>
      <c r="V225" s="5"/>
      <c r="W225" s="5"/>
    </row>
    <row r="226" spans="1:23" ht="16" x14ac:dyDescent="0.2">
      <c r="A226" s="5"/>
      <c r="B226" s="6"/>
      <c r="C226" s="6"/>
      <c r="D226" s="6"/>
      <c r="E226" s="6"/>
      <c r="F226" s="5"/>
      <c r="G226" s="5"/>
      <c r="H226" s="5"/>
      <c r="I226" s="5"/>
      <c r="J226" s="5"/>
      <c r="K226" s="5"/>
      <c r="L226" s="5"/>
      <c r="M226" s="5"/>
      <c r="N226" s="5"/>
      <c r="O226" s="5"/>
      <c r="P226" s="5"/>
      <c r="Q226" s="5"/>
      <c r="R226" s="5"/>
      <c r="S226" s="5"/>
      <c r="T226" s="5"/>
      <c r="U226" s="5"/>
      <c r="V226" s="5"/>
      <c r="W226" s="5"/>
    </row>
    <row r="227" spans="1:23" ht="16" x14ac:dyDescent="0.2">
      <c r="A227" s="5"/>
      <c r="B227" s="6"/>
      <c r="C227" s="6"/>
      <c r="D227" s="6"/>
      <c r="E227" s="6"/>
      <c r="F227" s="5"/>
      <c r="G227" s="5"/>
      <c r="H227" s="5"/>
      <c r="I227" s="5"/>
      <c r="J227" s="5"/>
      <c r="K227" s="5"/>
      <c r="L227" s="5"/>
      <c r="M227" s="5"/>
      <c r="N227" s="5"/>
      <c r="O227" s="5"/>
      <c r="P227" s="5"/>
      <c r="Q227" s="5"/>
      <c r="R227" s="5"/>
      <c r="S227" s="5"/>
      <c r="T227" s="5"/>
      <c r="U227" s="5"/>
      <c r="V227" s="5"/>
      <c r="W227" s="5"/>
    </row>
    <row r="228" spans="1:23" ht="16" x14ac:dyDescent="0.2">
      <c r="A228" s="5"/>
      <c r="B228" s="6"/>
      <c r="C228" s="6"/>
      <c r="D228" s="6"/>
      <c r="E228" s="6"/>
      <c r="F228" s="5"/>
      <c r="G228" s="5"/>
      <c r="H228" s="5"/>
      <c r="I228" s="5"/>
      <c r="J228" s="5"/>
      <c r="K228" s="5"/>
      <c r="L228" s="5"/>
      <c r="M228" s="5"/>
      <c r="N228" s="5"/>
      <c r="O228" s="5"/>
      <c r="P228" s="5"/>
      <c r="Q228" s="5"/>
      <c r="R228" s="5"/>
      <c r="S228" s="5"/>
      <c r="T228" s="5"/>
      <c r="U228" s="5"/>
      <c r="V228" s="5"/>
      <c r="W228" s="5"/>
    </row>
    <row r="229" spans="1:23" ht="16" x14ac:dyDescent="0.2">
      <c r="A229" s="5"/>
      <c r="B229" s="6"/>
      <c r="C229" s="6"/>
      <c r="D229" s="6"/>
      <c r="E229" s="6"/>
      <c r="F229" s="5"/>
      <c r="G229" s="5"/>
      <c r="H229" s="5"/>
      <c r="I229" s="5"/>
      <c r="J229" s="5"/>
      <c r="K229" s="5"/>
      <c r="L229" s="5"/>
      <c r="M229" s="5"/>
      <c r="N229" s="5"/>
      <c r="O229" s="5"/>
      <c r="P229" s="5"/>
      <c r="Q229" s="5"/>
      <c r="R229" s="5"/>
      <c r="S229" s="5"/>
      <c r="T229" s="5"/>
      <c r="U229" s="5"/>
      <c r="V229" s="5"/>
      <c r="W229" s="5"/>
    </row>
    <row r="230" spans="1:23" ht="16" x14ac:dyDescent="0.2">
      <c r="A230" s="5"/>
      <c r="B230" s="6"/>
      <c r="C230" s="6"/>
      <c r="D230" s="6"/>
      <c r="E230" s="6"/>
      <c r="F230" s="5"/>
      <c r="G230" s="5"/>
      <c r="H230" s="5"/>
      <c r="I230" s="5"/>
      <c r="J230" s="5"/>
      <c r="K230" s="5"/>
      <c r="L230" s="5"/>
      <c r="M230" s="5"/>
      <c r="N230" s="5"/>
      <c r="O230" s="5"/>
      <c r="P230" s="5"/>
      <c r="Q230" s="5"/>
      <c r="R230" s="5"/>
      <c r="S230" s="5"/>
      <c r="T230" s="5"/>
      <c r="U230" s="5"/>
      <c r="V230" s="5"/>
      <c r="W230" s="5"/>
    </row>
    <row r="231" spans="1:23" ht="16" x14ac:dyDescent="0.2">
      <c r="A231" s="5"/>
      <c r="B231" s="6"/>
      <c r="C231" s="6"/>
      <c r="D231" s="6"/>
      <c r="E231" s="6"/>
      <c r="F231" s="5"/>
      <c r="G231" s="5"/>
      <c r="H231" s="5"/>
      <c r="I231" s="5"/>
      <c r="J231" s="5"/>
      <c r="K231" s="5"/>
      <c r="L231" s="5"/>
      <c r="M231" s="5"/>
      <c r="N231" s="5"/>
      <c r="O231" s="5"/>
      <c r="P231" s="5"/>
      <c r="Q231" s="5"/>
      <c r="R231" s="5"/>
      <c r="S231" s="5"/>
      <c r="T231" s="5"/>
      <c r="U231" s="5"/>
      <c r="V231" s="5"/>
      <c r="W231" s="5"/>
    </row>
    <row r="232" spans="1:23" ht="16" x14ac:dyDescent="0.2">
      <c r="A232" s="5"/>
      <c r="B232" s="6"/>
      <c r="C232" s="6"/>
      <c r="D232" s="6"/>
      <c r="E232" s="6"/>
      <c r="F232" s="5"/>
      <c r="G232" s="5"/>
      <c r="H232" s="5"/>
      <c r="I232" s="5"/>
      <c r="J232" s="5"/>
      <c r="K232" s="5"/>
      <c r="L232" s="5"/>
      <c r="M232" s="5"/>
      <c r="N232" s="5"/>
      <c r="O232" s="5"/>
      <c r="P232" s="5"/>
      <c r="Q232" s="5"/>
      <c r="R232" s="5"/>
      <c r="S232" s="5"/>
      <c r="T232" s="5"/>
      <c r="U232" s="5"/>
      <c r="V232" s="5"/>
      <c r="W232" s="5"/>
    </row>
    <row r="233" spans="1:23" ht="16" x14ac:dyDescent="0.2">
      <c r="A233" s="5"/>
      <c r="B233" s="6"/>
      <c r="C233" s="6"/>
      <c r="D233" s="6"/>
      <c r="E233" s="6"/>
      <c r="F233" s="5"/>
      <c r="G233" s="5"/>
      <c r="H233" s="5"/>
      <c r="I233" s="5"/>
      <c r="J233" s="5"/>
      <c r="K233" s="5"/>
      <c r="L233" s="5"/>
      <c r="M233" s="5"/>
      <c r="N233" s="5"/>
      <c r="O233" s="5"/>
      <c r="P233" s="5"/>
      <c r="Q233" s="5"/>
      <c r="R233" s="5"/>
      <c r="S233" s="5"/>
      <c r="T233" s="5"/>
      <c r="U233" s="5"/>
      <c r="V233" s="5"/>
      <c r="W233" s="5"/>
    </row>
    <row r="234" spans="1:23" ht="16" x14ac:dyDescent="0.2">
      <c r="A234" s="5"/>
      <c r="B234" s="6"/>
      <c r="C234" s="6"/>
      <c r="D234" s="6"/>
      <c r="E234" s="6"/>
      <c r="F234" s="5"/>
      <c r="G234" s="5"/>
      <c r="H234" s="5"/>
      <c r="I234" s="5"/>
      <c r="J234" s="5"/>
      <c r="K234" s="5"/>
      <c r="L234" s="5"/>
      <c r="M234" s="5"/>
      <c r="N234" s="5"/>
      <c r="O234" s="5"/>
      <c r="P234" s="5"/>
      <c r="Q234" s="5"/>
      <c r="R234" s="5"/>
      <c r="S234" s="5"/>
      <c r="T234" s="5"/>
      <c r="U234" s="5"/>
      <c r="V234" s="5"/>
      <c r="W234" s="5"/>
    </row>
    <row r="235" spans="1:23" ht="16" x14ac:dyDescent="0.2">
      <c r="A235" s="5"/>
      <c r="B235" s="6"/>
      <c r="C235" s="6"/>
      <c r="D235" s="6"/>
      <c r="E235" s="6"/>
      <c r="F235" s="5"/>
      <c r="G235" s="5"/>
      <c r="H235" s="5"/>
      <c r="I235" s="5"/>
      <c r="J235" s="5"/>
      <c r="K235" s="5"/>
      <c r="L235" s="5"/>
      <c r="M235" s="5"/>
      <c r="N235" s="5"/>
      <c r="O235" s="5"/>
      <c r="P235" s="5"/>
      <c r="Q235" s="5"/>
      <c r="R235" s="5"/>
      <c r="S235" s="5"/>
      <c r="T235" s="5"/>
      <c r="U235" s="5"/>
      <c r="V235" s="5"/>
      <c r="W235" s="5"/>
    </row>
    <row r="236" spans="1:23" ht="16" x14ac:dyDescent="0.2">
      <c r="A236" s="5"/>
      <c r="B236" s="6"/>
      <c r="C236" s="6"/>
      <c r="D236" s="6"/>
      <c r="E236" s="6"/>
      <c r="F236" s="5"/>
      <c r="G236" s="5"/>
      <c r="H236" s="5"/>
      <c r="I236" s="5"/>
      <c r="J236" s="5"/>
      <c r="K236" s="5"/>
      <c r="L236" s="5"/>
      <c r="M236" s="5"/>
      <c r="N236" s="5"/>
      <c r="O236" s="5"/>
      <c r="P236" s="5"/>
      <c r="Q236" s="5"/>
      <c r="R236" s="5"/>
      <c r="S236" s="5"/>
      <c r="T236" s="5"/>
      <c r="U236" s="5"/>
      <c r="V236" s="5"/>
      <c r="W236" s="5"/>
    </row>
    <row r="237" spans="1:23" ht="16" x14ac:dyDescent="0.2">
      <c r="A237" s="5"/>
      <c r="B237" s="6"/>
      <c r="C237" s="6"/>
      <c r="D237" s="6"/>
      <c r="E237" s="6"/>
      <c r="F237" s="5"/>
      <c r="G237" s="5"/>
      <c r="H237" s="5"/>
      <c r="I237" s="5"/>
      <c r="J237" s="5"/>
      <c r="K237" s="5"/>
      <c r="L237" s="5"/>
      <c r="M237" s="5"/>
      <c r="N237" s="5"/>
      <c r="O237" s="5"/>
      <c r="P237" s="5"/>
      <c r="Q237" s="5"/>
      <c r="R237" s="5"/>
      <c r="S237" s="5"/>
      <c r="T237" s="5"/>
      <c r="U237" s="5"/>
      <c r="V237" s="5"/>
      <c r="W237" s="5"/>
    </row>
    <row r="238" spans="1:23" ht="16" x14ac:dyDescent="0.2">
      <c r="A238" s="5"/>
      <c r="B238" s="6"/>
      <c r="C238" s="6"/>
      <c r="D238" s="6"/>
      <c r="E238" s="6"/>
      <c r="F238" s="5"/>
      <c r="G238" s="5"/>
      <c r="H238" s="5"/>
      <c r="I238" s="5"/>
      <c r="J238" s="5"/>
      <c r="K238" s="5"/>
      <c r="L238" s="5"/>
      <c r="M238" s="5"/>
      <c r="N238" s="5"/>
      <c r="O238" s="5"/>
      <c r="P238" s="5"/>
      <c r="Q238" s="5"/>
      <c r="R238" s="5"/>
      <c r="S238" s="5"/>
      <c r="T238" s="5"/>
      <c r="U238" s="5"/>
      <c r="V238" s="5"/>
      <c r="W238" s="5"/>
    </row>
    <row r="239" spans="1:23" ht="16" x14ac:dyDescent="0.2">
      <c r="A239" s="5"/>
      <c r="B239" s="6"/>
      <c r="C239" s="6"/>
      <c r="D239" s="6"/>
      <c r="E239" s="6"/>
      <c r="F239" s="5"/>
      <c r="G239" s="5"/>
      <c r="H239" s="5"/>
      <c r="I239" s="5"/>
      <c r="J239" s="5"/>
      <c r="K239" s="5"/>
      <c r="L239" s="5"/>
      <c r="M239" s="5"/>
      <c r="N239" s="5"/>
      <c r="O239" s="5"/>
      <c r="P239" s="5"/>
      <c r="Q239" s="5"/>
      <c r="R239" s="5"/>
      <c r="S239" s="5"/>
      <c r="T239" s="5"/>
      <c r="U239" s="5"/>
      <c r="V239" s="5"/>
      <c r="W239" s="5"/>
    </row>
    <row r="240" spans="1:23" ht="16" x14ac:dyDescent="0.2">
      <c r="A240" s="5"/>
      <c r="B240" s="6"/>
      <c r="C240" s="6"/>
      <c r="D240" s="6"/>
      <c r="E240" s="6"/>
      <c r="F240" s="5"/>
      <c r="G240" s="5"/>
      <c r="H240" s="5"/>
      <c r="I240" s="5"/>
      <c r="J240" s="5"/>
      <c r="K240" s="5"/>
      <c r="L240" s="5"/>
      <c r="M240" s="5"/>
      <c r="N240" s="5"/>
      <c r="O240" s="5"/>
      <c r="P240" s="5"/>
      <c r="Q240" s="5"/>
      <c r="R240" s="5"/>
      <c r="S240" s="5"/>
      <c r="T240" s="5"/>
      <c r="U240" s="5"/>
      <c r="V240" s="5"/>
      <c r="W240" s="5"/>
    </row>
    <row r="241" spans="1:23" ht="16" x14ac:dyDescent="0.2">
      <c r="A241" s="5"/>
      <c r="B241" s="6"/>
      <c r="C241" s="6"/>
      <c r="D241" s="6"/>
      <c r="E241" s="6"/>
      <c r="F241" s="5"/>
      <c r="G241" s="5"/>
      <c r="H241" s="5"/>
      <c r="I241" s="5"/>
      <c r="J241" s="5"/>
      <c r="K241" s="5"/>
      <c r="L241" s="5"/>
      <c r="M241" s="5"/>
      <c r="N241" s="5"/>
      <c r="O241" s="5"/>
      <c r="P241" s="5"/>
      <c r="Q241" s="5"/>
      <c r="R241" s="5"/>
      <c r="S241" s="5"/>
      <c r="T241" s="5"/>
      <c r="U241" s="5"/>
      <c r="V241" s="5"/>
      <c r="W241" s="5"/>
    </row>
    <row r="242" spans="1:23" ht="16" x14ac:dyDescent="0.2">
      <c r="A242" s="5"/>
      <c r="B242" s="6"/>
      <c r="C242" s="6"/>
      <c r="D242" s="6"/>
      <c r="E242" s="6"/>
      <c r="F242" s="5"/>
      <c r="G242" s="5"/>
      <c r="H242" s="5"/>
      <c r="I242" s="5"/>
      <c r="J242" s="5"/>
      <c r="K242" s="5"/>
      <c r="L242" s="5"/>
      <c r="M242" s="5"/>
      <c r="N242" s="5"/>
      <c r="O242" s="5"/>
      <c r="P242" s="5"/>
      <c r="Q242" s="5"/>
      <c r="R242" s="5"/>
      <c r="S242" s="5"/>
      <c r="T242" s="5"/>
      <c r="U242" s="5"/>
      <c r="V242" s="5"/>
      <c r="W242" s="5"/>
    </row>
    <row r="243" spans="1:23" ht="16" x14ac:dyDescent="0.2">
      <c r="A243" s="5"/>
      <c r="B243" s="6"/>
      <c r="C243" s="6"/>
      <c r="D243" s="6"/>
      <c r="E243" s="6"/>
      <c r="F243" s="5"/>
      <c r="G243" s="5"/>
      <c r="H243" s="5"/>
      <c r="I243" s="5"/>
      <c r="J243" s="5"/>
      <c r="K243" s="5"/>
      <c r="L243" s="5"/>
      <c r="M243" s="5"/>
      <c r="N243" s="5"/>
      <c r="O243" s="5"/>
      <c r="P243" s="5"/>
      <c r="Q243" s="5"/>
      <c r="R243" s="5"/>
      <c r="S243" s="5"/>
      <c r="T243" s="5"/>
      <c r="U243" s="5"/>
      <c r="V243" s="5"/>
      <c r="W243" s="5"/>
    </row>
    <row r="244" spans="1:23" ht="16" x14ac:dyDescent="0.2">
      <c r="A244" s="5"/>
      <c r="B244" s="6"/>
      <c r="C244" s="6"/>
      <c r="D244" s="6"/>
      <c r="E244" s="6"/>
      <c r="F244" s="5"/>
      <c r="G244" s="5"/>
      <c r="H244" s="5"/>
      <c r="I244" s="5"/>
      <c r="J244" s="5"/>
      <c r="K244" s="5"/>
      <c r="L244" s="5"/>
      <c r="M244" s="5"/>
      <c r="N244" s="5"/>
      <c r="O244" s="5"/>
      <c r="P244" s="5"/>
      <c r="Q244" s="5"/>
      <c r="R244" s="5"/>
      <c r="S244" s="5"/>
      <c r="T244" s="5"/>
      <c r="U244" s="5"/>
      <c r="V244" s="5"/>
      <c r="W244" s="5"/>
    </row>
    <row r="245" spans="1:23" ht="16" x14ac:dyDescent="0.2">
      <c r="A245" s="5"/>
      <c r="B245" s="6"/>
      <c r="C245" s="6"/>
      <c r="D245" s="6"/>
      <c r="E245" s="6"/>
      <c r="F245" s="5"/>
      <c r="G245" s="5"/>
      <c r="H245" s="5"/>
      <c r="I245" s="5"/>
      <c r="J245" s="5"/>
      <c r="K245" s="5"/>
      <c r="L245" s="5"/>
      <c r="M245" s="5"/>
      <c r="N245" s="5"/>
      <c r="O245" s="5"/>
      <c r="P245" s="5"/>
      <c r="Q245" s="5"/>
      <c r="R245" s="5"/>
      <c r="S245" s="5"/>
      <c r="T245" s="5"/>
      <c r="U245" s="5"/>
      <c r="V245" s="5"/>
      <c r="W245" s="5"/>
    </row>
    <row r="246" spans="1:23" ht="16" x14ac:dyDescent="0.2">
      <c r="A246" s="5"/>
      <c r="B246" s="6"/>
      <c r="C246" s="6"/>
      <c r="D246" s="6"/>
      <c r="E246" s="6"/>
      <c r="F246" s="5"/>
      <c r="G246" s="5"/>
      <c r="H246" s="5"/>
      <c r="I246" s="5"/>
      <c r="J246" s="5"/>
      <c r="K246" s="5"/>
      <c r="L246" s="5"/>
      <c r="M246" s="5"/>
      <c r="N246" s="5"/>
      <c r="O246" s="5"/>
      <c r="P246" s="5"/>
      <c r="Q246" s="5"/>
      <c r="R246" s="5"/>
      <c r="S246" s="5"/>
      <c r="T246" s="5"/>
      <c r="U246" s="5"/>
      <c r="V246" s="5"/>
      <c r="W246" s="5"/>
    </row>
    <row r="247" spans="1:23" ht="16" x14ac:dyDescent="0.2">
      <c r="A247" s="5"/>
      <c r="B247" s="6"/>
      <c r="C247" s="6"/>
      <c r="D247" s="6"/>
      <c r="E247" s="6"/>
      <c r="F247" s="5"/>
      <c r="G247" s="5"/>
      <c r="H247" s="5"/>
      <c r="I247" s="5"/>
      <c r="J247" s="5"/>
      <c r="K247" s="5"/>
      <c r="L247" s="5"/>
      <c r="M247" s="5"/>
      <c r="N247" s="5"/>
      <c r="O247" s="5"/>
      <c r="P247" s="5"/>
      <c r="Q247" s="5"/>
      <c r="R247" s="5"/>
      <c r="S247" s="5"/>
      <c r="T247" s="5"/>
      <c r="U247" s="5"/>
      <c r="V247" s="5"/>
      <c r="W247" s="5"/>
    </row>
    <row r="248" spans="1:23" ht="16" x14ac:dyDescent="0.2">
      <c r="A248" s="5"/>
      <c r="B248" s="6"/>
      <c r="C248" s="6"/>
      <c r="D248" s="6"/>
      <c r="E248" s="6"/>
      <c r="F248" s="5"/>
      <c r="G248" s="5"/>
      <c r="H248" s="5"/>
      <c r="I248" s="5"/>
      <c r="J248" s="5"/>
      <c r="K248" s="5"/>
      <c r="L248" s="5"/>
      <c r="M248" s="5"/>
      <c r="N248" s="5"/>
      <c r="O248" s="5"/>
      <c r="P248" s="5"/>
      <c r="Q248" s="5"/>
      <c r="R248" s="5"/>
      <c r="S248" s="5"/>
      <c r="T248" s="5"/>
      <c r="U248" s="5"/>
      <c r="V248" s="5"/>
      <c r="W248" s="5"/>
    </row>
    <row r="249" spans="1:23" ht="16" x14ac:dyDescent="0.2">
      <c r="A249" s="5"/>
      <c r="B249" s="6"/>
      <c r="C249" s="6"/>
      <c r="D249" s="6"/>
      <c r="E249" s="6"/>
      <c r="F249" s="5"/>
      <c r="G249" s="5"/>
      <c r="H249" s="5"/>
      <c r="I249" s="5"/>
      <c r="J249" s="5"/>
      <c r="K249" s="5"/>
      <c r="L249" s="5"/>
      <c r="M249" s="5"/>
      <c r="N249" s="5"/>
      <c r="O249" s="5"/>
      <c r="P249" s="5"/>
      <c r="Q249" s="5"/>
      <c r="R249" s="5"/>
      <c r="S249" s="5"/>
      <c r="T249" s="5"/>
      <c r="U249" s="5"/>
      <c r="V249" s="5"/>
      <c r="W249" s="5"/>
    </row>
    <row r="250" spans="1:23" ht="16" x14ac:dyDescent="0.2">
      <c r="A250" s="5"/>
      <c r="B250" s="6"/>
      <c r="C250" s="6"/>
      <c r="D250" s="6"/>
      <c r="E250" s="6"/>
      <c r="F250" s="5"/>
      <c r="G250" s="5"/>
      <c r="H250" s="5"/>
      <c r="I250" s="5"/>
      <c r="J250" s="5"/>
      <c r="K250" s="5"/>
      <c r="L250" s="5"/>
      <c r="M250" s="5"/>
      <c r="N250" s="5"/>
      <c r="O250" s="5"/>
      <c r="P250" s="5"/>
      <c r="Q250" s="5"/>
      <c r="R250" s="5"/>
      <c r="S250" s="5"/>
      <c r="T250" s="5"/>
      <c r="U250" s="5"/>
      <c r="V250" s="5"/>
      <c r="W250" s="5"/>
    </row>
    <row r="251" spans="1:23" ht="16" x14ac:dyDescent="0.2">
      <c r="A251" s="5"/>
      <c r="B251" s="6"/>
      <c r="C251" s="6"/>
      <c r="D251" s="6"/>
      <c r="E251" s="6"/>
      <c r="F251" s="5"/>
      <c r="G251" s="5"/>
      <c r="H251" s="5"/>
      <c r="I251" s="5"/>
      <c r="J251" s="5"/>
      <c r="K251" s="5"/>
      <c r="L251" s="5"/>
      <c r="M251" s="5"/>
      <c r="N251" s="5"/>
      <c r="O251" s="5"/>
      <c r="P251" s="5"/>
      <c r="Q251" s="5"/>
      <c r="R251" s="5"/>
      <c r="S251" s="5"/>
      <c r="T251" s="5"/>
      <c r="U251" s="5"/>
      <c r="V251" s="5"/>
      <c r="W251" s="5"/>
    </row>
    <row r="252" spans="1:23" ht="16" x14ac:dyDescent="0.2">
      <c r="A252" s="5"/>
      <c r="B252" s="6"/>
      <c r="C252" s="6"/>
      <c r="D252" s="6"/>
      <c r="E252" s="6"/>
      <c r="F252" s="5"/>
      <c r="G252" s="5"/>
      <c r="H252" s="5"/>
      <c r="I252" s="5"/>
      <c r="J252" s="5"/>
      <c r="K252" s="5"/>
      <c r="L252" s="5"/>
      <c r="M252" s="5"/>
      <c r="N252" s="5"/>
      <c r="O252" s="5"/>
      <c r="P252" s="5"/>
      <c r="Q252" s="5"/>
      <c r="R252" s="5"/>
      <c r="S252" s="5"/>
      <c r="T252" s="5"/>
      <c r="U252" s="5"/>
      <c r="V252" s="5"/>
      <c r="W252" s="5"/>
    </row>
    <row r="253" spans="1:23" ht="16" x14ac:dyDescent="0.2">
      <c r="A253" s="5"/>
      <c r="B253" s="6"/>
      <c r="C253" s="6"/>
      <c r="D253" s="6"/>
      <c r="E253" s="6"/>
      <c r="F253" s="5"/>
      <c r="G253" s="5"/>
      <c r="H253" s="5"/>
      <c r="I253" s="5"/>
      <c r="J253" s="5"/>
      <c r="K253" s="5"/>
      <c r="L253" s="5"/>
      <c r="M253" s="5"/>
      <c r="N253" s="5"/>
      <c r="O253" s="5"/>
      <c r="P253" s="5"/>
      <c r="Q253" s="5"/>
      <c r="R253" s="5"/>
      <c r="S253" s="5"/>
      <c r="T253" s="5"/>
      <c r="U253" s="5"/>
      <c r="V253" s="5"/>
      <c r="W253" s="5"/>
    </row>
    <row r="254" spans="1:23" ht="16" x14ac:dyDescent="0.2">
      <c r="A254" s="5"/>
      <c r="B254" s="6"/>
      <c r="C254" s="6"/>
      <c r="D254" s="6"/>
      <c r="E254" s="6"/>
      <c r="F254" s="5"/>
      <c r="G254" s="5"/>
      <c r="H254" s="5"/>
      <c r="I254" s="5"/>
      <c r="J254" s="5"/>
      <c r="K254" s="5"/>
      <c r="L254" s="5"/>
      <c r="M254" s="5"/>
      <c r="N254" s="5"/>
      <c r="O254" s="5"/>
      <c r="P254" s="5"/>
      <c r="Q254" s="5"/>
      <c r="R254" s="5"/>
      <c r="S254" s="5"/>
      <c r="T254" s="5"/>
      <c r="U254" s="5"/>
      <c r="V254" s="5"/>
      <c r="W254" s="5"/>
    </row>
    <row r="255" spans="1:23" ht="16" x14ac:dyDescent="0.2">
      <c r="A255" s="5"/>
      <c r="B255" s="6"/>
      <c r="C255" s="6"/>
      <c r="D255" s="6"/>
      <c r="E255" s="6"/>
      <c r="F255" s="5"/>
      <c r="G255" s="5"/>
      <c r="H255" s="5"/>
      <c r="I255" s="5"/>
      <c r="J255" s="5"/>
      <c r="K255" s="5"/>
      <c r="L255" s="5"/>
      <c r="M255" s="5"/>
      <c r="N255" s="5"/>
      <c r="O255" s="5"/>
      <c r="P255" s="5"/>
      <c r="Q255" s="5"/>
      <c r="R255" s="5"/>
      <c r="S255" s="5"/>
      <c r="T255" s="5"/>
      <c r="U255" s="5"/>
      <c r="V255" s="5"/>
      <c r="W255" s="5"/>
    </row>
    <row r="256" spans="1:23" ht="16" x14ac:dyDescent="0.2">
      <c r="A256" s="5"/>
      <c r="B256" s="6"/>
      <c r="C256" s="6"/>
      <c r="D256" s="6"/>
      <c r="E256" s="6"/>
      <c r="F256" s="5"/>
      <c r="G256" s="5"/>
      <c r="H256" s="5"/>
      <c r="I256" s="5"/>
      <c r="J256" s="5"/>
      <c r="K256" s="5"/>
      <c r="L256" s="5"/>
      <c r="M256" s="5"/>
      <c r="N256" s="5"/>
      <c r="O256" s="5"/>
      <c r="P256" s="5"/>
      <c r="Q256" s="5"/>
      <c r="R256" s="5"/>
      <c r="S256" s="5"/>
      <c r="T256" s="5"/>
      <c r="U256" s="5"/>
      <c r="V256" s="5"/>
      <c r="W256" s="5"/>
    </row>
    <row r="257" spans="1:23" ht="16" x14ac:dyDescent="0.2">
      <c r="A257" s="5"/>
      <c r="B257" s="6"/>
      <c r="C257" s="6"/>
      <c r="D257" s="6"/>
      <c r="E257" s="6"/>
      <c r="F257" s="5"/>
      <c r="G257" s="5"/>
      <c r="H257" s="5"/>
      <c r="I257" s="5"/>
      <c r="J257" s="5"/>
      <c r="K257" s="5"/>
      <c r="L257" s="5"/>
      <c r="M257" s="5"/>
      <c r="N257" s="5"/>
      <c r="O257" s="5"/>
      <c r="P257" s="5"/>
      <c r="Q257" s="5"/>
      <c r="R257" s="5"/>
      <c r="S257" s="5"/>
      <c r="T257" s="5"/>
      <c r="U257" s="5"/>
      <c r="V257" s="5"/>
      <c r="W257" s="5"/>
    </row>
    <row r="258" spans="1:23" ht="16" x14ac:dyDescent="0.2">
      <c r="A258" s="5"/>
      <c r="B258" s="6"/>
      <c r="C258" s="6"/>
      <c r="D258" s="6"/>
      <c r="E258" s="6"/>
      <c r="F258" s="5"/>
      <c r="G258" s="5"/>
      <c r="H258" s="5"/>
      <c r="I258" s="5"/>
      <c r="J258" s="5"/>
      <c r="K258" s="5"/>
      <c r="L258" s="5"/>
      <c r="M258" s="5"/>
      <c r="N258" s="5"/>
      <c r="O258" s="5"/>
      <c r="P258" s="5"/>
      <c r="Q258" s="5"/>
      <c r="R258" s="5"/>
      <c r="S258" s="5"/>
      <c r="T258" s="5"/>
      <c r="U258" s="5"/>
      <c r="V258" s="5"/>
      <c r="W258" s="5"/>
    </row>
    <row r="259" spans="1:23" ht="16" x14ac:dyDescent="0.2">
      <c r="A259" s="5"/>
      <c r="B259" s="6"/>
      <c r="C259" s="6"/>
      <c r="D259" s="6"/>
      <c r="E259" s="6"/>
      <c r="F259" s="5"/>
      <c r="G259" s="5"/>
      <c r="H259" s="5"/>
      <c r="I259" s="5"/>
      <c r="J259" s="5"/>
      <c r="K259" s="5"/>
      <c r="L259" s="5"/>
      <c r="M259" s="5"/>
      <c r="N259" s="5"/>
      <c r="O259" s="5"/>
      <c r="P259" s="5"/>
      <c r="Q259" s="5"/>
      <c r="R259" s="5"/>
      <c r="S259" s="5"/>
      <c r="T259" s="5"/>
      <c r="U259" s="5"/>
      <c r="V259" s="5"/>
      <c r="W259" s="5"/>
    </row>
    <row r="260" spans="1:23" ht="16" x14ac:dyDescent="0.2">
      <c r="A260" s="5"/>
      <c r="B260" s="6"/>
      <c r="C260" s="6"/>
      <c r="D260" s="6"/>
      <c r="E260" s="6"/>
      <c r="F260" s="5"/>
      <c r="G260" s="5"/>
      <c r="H260" s="5"/>
      <c r="I260" s="5"/>
      <c r="J260" s="5"/>
      <c r="K260" s="5"/>
      <c r="L260" s="5"/>
      <c r="M260" s="5"/>
      <c r="N260" s="5"/>
      <c r="O260" s="5"/>
      <c r="P260" s="5"/>
      <c r="Q260" s="5"/>
      <c r="R260" s="5"/>
      <c r="S260" s="5"/>
      <c r="T260" s="5"/>
      <c r="U260" s="5"/>
      <c r="V260" s="5"/>
      <c r="W260" s="5"/>
    </row>
    <row r="261" spans="1:23" ht="16" x14ac:dyDescent="0.2">
      <c r="A261" s="5"/>
      <c r="B261" s="6"/>
      <c r="C261" s="6"/>
      <c r="D261" s="6"/>
      <c r="E261" s="6"/>
      <c r="F261" s="5"/>
      <c r="G261" s="5"/>
      <c r="H261" s="5"/>
      <c r="I261" s="5"/>
      <c r="J261" s="5"/>
      <c r="K261" s="5"/>
      <c r="L261" s="5"/>
      <c r="M261" s="5"/>
      <c r="N261" s="5"/>
      <c r="O261" s="5"/>
      <c r="P261" s="5"/>
      <c r="Q261" s="5"/>
      <c r="R261" s="5"/>
      <c r="S261" s="5"/>
      <c r="T261" s="5"/>
      <c r="U261" s="5"/>
      <c r="V261" s="5"/>
      <c r="W261" s="5"/>
    </row>
    <row r="262" spans="1:23" ht="16" x14ac:dyDescent="0.2">
      <c r="A262" s="5"/>
      <c r="B262" s="6"/>
      <c r="C262" s="6"/>
      <c r="D262" s="6"/>
      <c r="E262" s="6"/>
      <c r="F262" s="5"/>
      <c r="G262" s="5"/>
      <c r="H262" s="5"/>
      <c r="I262" s="5"/>
      <c r="J262" s="5"/>
      <c r="K262" s="5"/>
      <c r="L262" s="5"/>
      <c r="M262" s="5"/>
      <c r="N262" s="5"/>
      <c r="O262" s="5"/>
      <c r="P262" s="5"/>
      <c r="Q262" s="5"/>
      <c r="R262" s="5"/>
      <c r="S262" s="5"/>
      <c r="T262" s="5"/>
      <c r="U262" s="5"/>
      <c r="V262" s="5"/>
      <c r="W262" s="5"/>
    </row>
    <row r="263" spans="1:23" ht="16" x14ac:dyDescent="0.2">
      <c r="A263" s="5"/>
      <c r="B263" s="6"/>
      <c r="C263" s="6"/>
      <c r="D263" s="6"/>
      <c r="E263" s="6"/>
      <c r="F263" s="5"/>
      <c r="G263" s="5"/>
      <c r="H263" s="5"/>
      <c r="I263" s="5"/>
      <c r="J263" s="5"/>
      <c r="K263" s="5"/>
      <c r="L263" s="5"/>
      <c r="M263" s="5"/>
      <c r="N263" s="5"/>
      <c r="O263" s="5"/>
      <c r="P263" s="5"/>
      <c r="Q263" s="5"/>
      <c r="R263" s="5"/>
      <c r="S263" s="5"/>
      <c r="T263" s="5"/>
      <c r="U263" s="5"/>
      <c r="V263" s="5"/>
      <c r="W263" s="5"/>
    </row>
    <row r="264" spans="1:23" ht="16" x14ac:dyDescent="0.2">
      <c r="A264" s="5"/>
      <c r="B264" s="6"/>
      <c r="C264" s="6"/>
      <c r="D264" s="6"/>
      <c r="E264" s="6"/>
      <c r="F264" s="5"/>
      <c r="G264" s="5"/>
      <c r="H264" s="5"/>
      <c r="I264" s="5"/>
      <c r="J264" s="5"/>
      <c r="K264" s="5"/>
      <c r="L264" s="5"/>
      <c r="M264" s="5"/>
      <c r="N264" s="5"/>
      <c r="O264" s="5"/>
      <c r="P264" s="5"/>
      <c r="Q264" s="5"/>
      <c r="R264" s="5"/>
      <c r="S264" s="5"/>
      <c r="T264" s="5"/>
      <c r="U264" s="5"/>
      <c r="V264" s="5"/>
      <c r="W264" s="5"/>
    </row>
    <row r="265" spans="1:23" ht="16" x14ac:dyDescent="0.2">
      <c r="A265" s="5"/>
      <c r="B265" s="6"/>
      <c r="C265" s="6"/>
      <c r="D265" s="6"/>
      <c r="E265" s="6"/>
      <c r="F265" s="5"/>
      <c r="G265" s="5"/>
      <c r="H265" s="5"/>
      <c r="I265" s="5"/>
      <c r="J265" s="5"/>
      <c r="K265" s="5"/>
      <c r="L265" s="5"/>
      <c r="M265" s="5"/>
      <c r="N265" s="5"/>
      <c r="O265" s="5"/>
      <c r="P265" s="5"/>
      <c r="Q265" s="5"/>
      <c r="R265" s="5"/>
      <c r="S265" s="5"/>
      <c r="T265" s="5"/>
      <c r="U265" s="5"/>
      <c r="V265" s="5"/>
      <c r="W265" s="5"/>
    </row>
    <row r="266" spans="1:23" ht="16" x14ac:dyDescent="0.2">
      <c r="A266" s="5"/>
      <c r="B266" s="6"/>
      <c r="C266" s="6"/>
      <c r="D266" s="6"/>
      <c r="E266" s="6"/>
      <c r="F266" s="5"/>
      <c r="G266" s="5"/>
      <c r="H266" s="5"/>
      <c r="I266" s="5"/>
      <c r="J266" s="5"/>
      <c r="K266" s="5"/>
      <c r="L266" s="5"/>
      <c r="M266" s="5"/>
      <c r="N266" s="5"/>
      <c r="O266" s="5"/>
      <c r="P266" s="5"/>
      <c r="Q266" s="5"/>
      <c r="R266" s="5"/>
      <c r="S266" s="5"/>
      <c r="T266" s="5"/>
      <c r="U266" s="5"/>
      <c r="V266" s="5"/>
      <c r="W266" s="5"/>
    </row>
    <row r="267" spans="1:23" ht="16" x14ac:dyDescent="0.2">
      <c r="A267" s="5"/>
      <c r="B267" s="6"/>
      <c r="C267" s="6"/>
      <c r="D267" s="6"/>
      <c r="E267" s="6"/>
      <c r="F267" s="5"/>
      <c r="G267" s="5"/>
      <c r="H267" s="5"/>
      <c r="I267" s="5"/>
      <c r="J267" s="5"/>
      <c r="K267" s="5"/>
      <c r="L267" s="5"/>
      <c r="M267" s="5"/>
      <c r="N267" s="5"/>
      <c r="O267" s="5"/>
      <c r="P267" s="5"/>
      <c r="Q267" s="5"/>
      <c r="R267" s="5"/>
      <c r="S267" s="5"/>
      <c r="T267" s="5"/>
      <c r="U267" s="5"/>
      <c r="V267" s="5"/>
      <c r="W267" s="5"/>
    </row>
    <row r="268" spans="1:23" ht="16" x14ac:dyDescent="0.2">
      <c r="A268" s="5"/>
      <c r="B268" s="6"/>
      <c r="C268" s="6"/>
      <c r="D268" s="6"/>
      <c r="E268" s="6"/>
      <c r="F268" s="5"/>
      <c r="G268" s="5"/>
      <c r="H268" s="5"/>
      <c r="I268" s="5"/>
      <c r="J268" s="5"/>
      <c r="K268" s="5"/>
      <c r="L268" s="5"/>
      <c r="M268" s="5"/>
      <c r="N268" s="5"/>
      <c r="O268" s="5"/>
      <c r="P268" s="5"/>
      <c r="Q268" s="5"/>
      <c r="R268" s="5"/>
      <c r="S268" s="5"/>
      <c r="T268" s="5"/>
      <c r="U268" s="5"/>
      <c r="V268" s="5"/>
      <c r="W268" s="5"/>
    </row>
    <row r="269" spans="1:23" ht="16" x14ac:dyDescent="0.2">
      <c r="A269" s="5"/>
      <c r="B269" s="6"/>
      <c r="C269" s="6"/>
      <c r="D269" s="6"/>
      <c r="E269" s="6"/>
      <c r="F269" s="5"/>
      <c r="G269" s="5"/>
      <c r="H269" s="5"/>
      <c r="I269" s="5"/>
      <c r="J269" s="5"/>
      <c r="K269" s="5"/>
      <c r="L269" s="5"/>
      <c r="M269" s="5"/>
      <c r="N269" s="5"/>
      <c r="O269" s="5"/>
      <c r="P269" s="5"/>
      <c r="Q269" s="5"/>
      <c r="R269" s="5"/>
      <c r="S269" s="5"/>
      <c r="T269" s="5"/>
      <c r="U269" s="5"/>
      <c r="V269" s="5"/>
      <c r="W269" s="5"/>
    </row>
    <row r="270" spans="1:23" ht="16" x14ac:dyDescent="0.2">
      <c r="A270" s="5"/>
      <c r="B270" s="6"/>
      <c r="C270" s="6"/>
      <c r="D270" s="6"/>
      <c r="E270" s="6"/>
      <c r="F270" s="5"/>
      <c r="G270" s="5"/>
      <c r="H270" s="5"/>
      <c r="I270" s="5"/>
      <c r="J270" s="5"/>
      <c r="K270" s="5"/>
      <c r="L270" s="5"/>
      <c r="M270" s="5"/>
      <c r="N270" s="5"/>
      <c r="O270" s="5"/>
      <c r="P270" s="5"/>
      <c r="Q270" s="5"/>
      <c r="R270" s="5"/>
      <c r="S270" s="5"/>
      <c r="T270" s="5"/>
      <c r="U270" s="5"/>
      <c r="V270" s="5"/>
      <c r="W270" s="5"/>
    </row>
    <row r="271" spans="1:23" ht="16" x14ac:dyDescent="0.2">
      <c r="A271" s="5"/>
      <c r="B271" s="6"/>
      <c r="C271" s="6"/>
      <c r="D271" s="6"/>
      <c r="E271" s="6"/>
      <c r="F271" s="5"/>
      <c r="G271" s="5"/>
      <c r="H271" s="5"/>
      <c r="I271" s="5"/>
      <c r="J271" s="5"/>
      <c r="K271" s="5"/>
      <c r="L271" s="5"/>
      <c r="M271" s="5"/>
      <c r="N271" s="5"/>
      <c r="O271" s="5"/>
      <c r="P271" s="5"/>
      <c r="Q271" s="5"/>
      <c r="R271" s="5"/>
      <c r="S271" s="5"/>
      <c r="T271" s="5"/>
      <c r="U271" s="5"/>
      <c r="V271" s="5"/>
      <c r="W271" s="5"/>
    </row>
    <row r="272" spans="1:23" ht="16" x14ac:dyDescent="0.2">
      <c r="A272" s="5"/>
      <c r="B272" s="6"/>
      <c r="C272" s="6"/>
      <c r="D272" s="6"/>
      <c r="E272" s="6"/>
      <c r="F272" s="5"/>
      <c r="G272" s="5"/>
      <c r="H272" s="5"/>
      <c r="I272" s="5"/>
      <c r="J272" s="5"/>
      <c r="K272" s="5"/>
      <c r="L272" s="5"/>
      <c r="M272" s="5"/>
      <c r="N272" s="5"/>
      <c r="O272" s="5"/>
      <c r="P272" s="5"/>
      <c r="Q272" s="5"/>
      <c r="R272" s="5"/>
      <c r="S272" s="5"/>
      <c r="T272" s="5"/>
      <c r="U272" s="5"/>
      <c r="V272" s="5"/>
      <c r="W272" s="5"/>
    </row>
    <row r="273" spans="1:23" ht="16" x14ac:dyDescent="0.2">
      <c r="A273" s="5"/>
      <c r="B273" s="6"/>
      <c r="C273" s="6"/>
      <c r="D273" s="6"/>
      <c r="E273" s="6"/>
      <c r="F273" s="5"/>
      <c r="G273" s="5"/>
      <c r="H273" s="5"/>
      <c r="I273" s="5"/>
      <c r="J273" s="5"/>
      <c r="K273" s="5"/>
      <c r="L273" s="5"/>
      <c r="M273" s="5"/>
      <c r="N273" s="5"/>
      <c r="O273" s="5"/>
      <c r="P273" s="5"/>
      <c r="Q273" s="5"/>
      <c r="R273" s="5"/>
      <c r="S273" s="5"/>
      <c r="T273" s="5"/>
      <c r="U273" s="5"/>
      <c r="V273" s="5"/>
      <c r="W273" s="5"/>
    </row>
    <row r="274" spans="1:23" ht="16" x14ac:dyDescent="0.2">
      <c r="A274" s="5"/>
      <c r="B274" s="6"/>
      <c r="C274" s="6"/>
      <c r="D274" s="6"/>
      <c r="E274" s="6"/>
      <c r="F274" s="5"/>
      <c r="G274" s="5"/>
      <c r="H274" s="5"/>
      <c r="I274" s="5"/>
      <c r="J274" s="5"/>
      <c r="K274" s="5"/>
      <c r="L274" s="5"/>
      <c r="M274" s="5"/>
      <c r="N274" s="5"/>
      <c r="O274" s="5"/>
      <c r="P274" s="5"/>
      <c r="Q274" s="5"/>
      <c r="R274" s="5"/>
      <c r="S274" s="5"/>
      <c r="T274" s="5"/>
      <c r="U274" s="5"/>
      <c r="V274" s="5"/>
      <c r="W274" s="5"/>
    </row>
    <row r="275" spans="1:23" ht="16" x14ac:dyDescent="0.2">
      <c r="A275" s="5"/>
      <c r="B275" s="6"/>
      <c r="C275" s="6"/>
      <c r="D275" s="6"/>
      <c r="E275" s="6"/>
      <c r="F275" s="5"/>
      <c r="G275" s="5"/>
      <c r="H275" s="5"/>
      <c r="I275" s="5"/>
      <c r="J275" s="5"/>
      <c r="K275" s="5"/>
      <c r="L275" s="5"/>
      <c r="M275" s="5"/>
      <c r="N275" s="5"/>
      <c r="O275" s="5"/>
      <c r="P275" s="5"/>
      <c r="Q275" s="5"/>
      <c r="R275" s="5"/>
      <c r="S275" s="5"/>
      <c r="T275" s="5"/>
      <c r="U275" s="5"/>
      <c r="V275" s="5"/>
      <c r="W275" s="5"/>
    </row>
    <row r="276" spans="1:23" ht="16" x14ac:dyDescent="0.2">
      <c r="A276" s="5"/>
      <c r="B276" s="6"/>
      <c r="C276" s="6"/>
      <c r="D276" s="6"/>
      <c r="E276" s="6"/>
      <c r="F276" s="5"/>
      <c r="G276" s="5"/>
      <c r="H276" s="5"/>
      <c r="I276" s="5"/>
      <c r="J276" s="5"/>
      <c r="K276" s="5"/>
      <c r="L276" s="5"/>
      <c r="M276" s="5"/>
      <c r="N276" s="5"/>
      <c r="O276" s="5"/>
      <c r="P276" s="5"/>
      <c r="Q276" s="5"/>
      <c r="R276" s="5"/>
      <c r="S276" s="5"/>
      <c r="T276" s="5"/>
      <c r="U276" s="5"/>
      <c r="V276" s="5"/>
      <c r="W276" s="5"/>
    </row>
    <row r="277" spans="1:23" ht="16" x14ac:dyDescent="0.2">
      <c r="A277" s="5"/>
      <c r="B277" s="6"/>
      <c r="C277" s="6"/>
      <c r="D277" s="6"/>
      <c r="E277" s="6"/>
      <c r="F277" s="5"/>
      <c r="G277" s="5"/>
      <c r="H277" s="5"/>
      <c r="I277" s="5"/>
      <c r="J277" s="5"/>
      <c r="K277" s="5"/>
      <c r="L277" s="5"/>
      <c r="M277" s="5"/>
      <c r="N277" s="5"/>
      <c r="O277" s="5"/>
      <c r="P277" s="5"/>
      <c r="Q277" s="5"/>
      <c r="R277" s="5"/>
      <c r="S277" s="5"/>
      <c r="T277" s="5"/>
      <c r="U277" s="5"/>
      <c r="V277" s="5"/>
      <c r="W277" s="5"/>
    </row>
    <row r="278" spans="1:23" ht="16" x14ac:dyDescent="0.2">
      <c r="A278" s="5"/>
      <c r="B278" s="6"/>
      <c r="C278" s="6"/>
      <c r="D278" s="6"/>
      <c r="E278" s="6"/>
      <c r="F278" s="5"/>
      <c r="G278" s="5"/>
      <c r="H278" s="5"/>
      <c r="I278" s="5"/>
      <c r="J278" s="5"/>
      <c r="K278" s="5"/>
      <c r="L278" s="5"/>
      <c r="M278" s="5"/>
      <c r="N278" s="5"/>
      <c r="O278" s="5"/>
      <c r="P278" s="5"/>
      <c r="Q278" s="5"/>
      <c r="R278" s="5"/>
      <c r="S278" s="5"/>
      <c r="T278" s="5"/>
      <c r="U278" s="5"/>
      <c r="V278" s="5"/>
      <c r="W278" s="5"/>
    </row>
    <row r="279" spans="1:23" ht="16" x14ac:dyDescent="0.2">
      <c r="A279" s="5"/>
      <c r="B279" s="6"/>
      <c r="C279" s="6"/>
      <c r="D279" s="6"/>
      <c r="E279" s="6"/>
      <c r="F279" s="5"/>
      <c r="G279" s="5"/>
      <c r="H279" s="5"/>
      <c r="I279" s="5"/>
      <c r="J279" s="5"/>
      <c r="K279" s="5"/>
      <c r="L279" s="5"/>
      <c r="M279" s="5"/>
      <c r="N279" s="5"/>
      <c r="O279" s="5"/>
      <c r="P279" s="5"/>
      <c r="Q279" s="5"/>
      <c r="R279" s="5"/>
      <c r="S279" s="5"/>
      <c r="T279" s="5"/>
      <c r="U279" s="5"/>
      <c r="V279" s="5"/>
      <c r="W279" s="5"/>
    </row>
    <row r="280" spans="1:23" ht="16" x14ac:dyDescent="0.2">
      <c r="A280" s="5"/>
      <c r="B280" s="6"/>
      <c r="C280" s="6"/>
      <c r="D280" s="6"/>
      <c r="E280" s="6"/>
      <c r="F280" s="5"/>
      <c r="G280" s="5"/>
      <c r="H280" s="5"/>
      <c r="I280" s="5"/>
      <c r="J280" s="5"/>
      <c r="K280" s="5"/>
      <c r="L280" s="5"/>
      <c r="M280" s="5"/>
      <c r="N280" s="5"/>
      <c r="O280" s="5"/>
      <c r="P280" s="5"/>
      <c r="Q280" s="5"/>
      <c r="R280" s="5"/>
      <c r="S280" s="5"/>
      <c r="T280" s="5"/>
      <c r="U280" s="5"/>
      <c r="V280" s="5"/>
      <c r="W280" s="5"/>
    </row>
    <row r="281" spans="1:23" ht="16" x14ac:dyDescent="0.2">
      <c r="A281" s="5"/>
      <c r="B281" s="6"/>
      <c r="C281" s="6"/>
      <c r="D281" s="6"/>
      <c r="E281" s="6"/>
      <c r="F281" s="5"/>
      <c r="G281" s="5"/>
      <c r="H281" s="5"/>
      <c r="I281" s="5"/>
      <c r="J281" s="5"/>
      <c r="K281" s="5"/>
      <c r="L281" s="5"/>
      <c r="M281" s="5"/>
      <c r="N281" s="5"/>
      <c r="O281" s="5"/>
      <c r="P281" s="5"/>
      <c r="Q281" s="5"/>
      <c r="R281" s="5"/>
      <c r="S281" s="5"/>
      <c r="T281" s="5"/>
      <c r="U281" s="5"/>
      <c r="V281" s="5"/>
      <c r="W281" s="5"/>
    </row>
    <row r="282" spans="1:23" ht="16" x14ac:dyDescent="0.2">
      <c r="A282" s="5"/>
      <c r="B282" s="6"/>
      <c r="C282" s="6"/>
      <c r="D282" s="6"/>
      <c r="E282" s="6"/>
      <c r="F282" s="5"/>
      <c r="G282" s="5"/>
      <c r="H282" s="5"/>
      <c r="I282" s="5"/>
      <c r="J282" s="5"/>
      <c r="K282" s="5"/>
      <c r="L282" s="5"/>
      <c r="M282" s="5"/>
      <c r="N282" s="5"/>
      <c r="O282" s="5"/>
      <c r="P282" s="5"/>
      <c r="Q282" s="5"/>
      <c r="R282" s="5"/>
      <c r="S282" s="5"/>
      <c r="T282" s="5"/>
      <c r="U282" s="5"/>
      <c r="V282" s="5"/>
      <c r="W282" s="5"/>
    </row>
    <row r="283" spans="1:23" ht="16" x14ac:dyDescent="0.2">
      <c r="A283" s="5"/>
      <c r="B283" s="6"/>
      <c r="C283" s="6"/>
      <c r="D283" s="6"/>
      <c r="E283" s="6"/>
      <c r="F283" s="5"/>
      <c r="G283" s="5"/>
      <c r="H283" s="5"/>
      <c r="I283" s="5"/>
      <c r="J283" s="5"/>
      <c r="K283" s="5"/>
      <c r="L283" s="5"/>
      <c r="M283" s="5"/>
      <c r="N283" s="5"/>
      <c r="O283" s="5"/>
      <c r="P283" s="5"/>
      <c r="Q283" s="5"/>
      <c r="R283" s="5"/>
      <c r="S283" s="5"/>
      <c r="T283" s="5"/>
      <c r="U283" s="5"/>
      <c r="V283" s="5"/>
      <c r="W283" s="5"/>
    </row>
    <row r="284" spans="1:23" ht="16" x14ac:dyDescent="0.2">
      <c r="A284" s="5"/>
      <c r="B284" s="6"/>
      <c r="C284" s="6"/>
      <c r="D284" s="6"/>
      <c r="E284" s="6"/>
      <c r="F284" s="5"/>
      <c r="G284" s="5"/>
      <c r="H284" s="5"/>
      <c r="I284" s="5"/>
      <c r="J284" s="5"/>
      <c r="K284" s="5"/>
      <c r="L284" s="5"/>
      <c r="M284" s="5"/>
      <c r="N284" s="5"/>
      <c r="O284" s="5"/>
      <c r="P284" s="5"/>
      <c r="Q284" s="5"/>
      <c r="R284" s="5"/>
      <c r="S284" s="5"/>
      <c r="T284" s="5"/>
      <c r="U284" s="5"/>
      <c r="V284" s="5"/>
      <c r="W284" s="5"/>
    </row>
    <row r="285" spans="1:23" ht="16" x14ac:dyDescent="0.2">
      <c r="A285" s="5"/>
      <c r="B285" s="6"/>
      <c r="C285" s="6"/>
      <c r="D285" s="6"/>
      <c r="E285" s="6"/>
      <c r="F285" s="5"/>
      <c r="G285" s="5"/>
      <c r="H285" s="5"/>
      <c r="I285" s="5"/>
      <c r="J285" s="5"/>
      <c r="K285" s="5"/>
      <c r="L285" s="5"/>
      <c r="M285" s="5"/>
      <c r="N285" s="5"/>
      <c r="O285" s="5"/>
      <c r="P285" s="5"/>
      <c r="Q285" s="5"/>
      <c r="R285" s="5"/>
      <c r="S285" s="5"/>
      <c r="T285" s="5"/>
      <c r="U285" s="5"/>
      <c r="V285" s="5"/>
      <c r="W285" s="5"/>
    </row>
    <row r="286" spans="1:23" ht="16" x14ac:dyDescent="0.2">
      <c r="A286" s="5"/>
      <c r="B286" s="6"/>
      <c r="C286" s="6"/>
      <c r="D286" s="6"/>
      <c r="E286" s="6"/>
      <c r="F286" s="5"/>
      <c r="G286" s="5"/>
      <c r="H286" s="5"/>
      <c r="I286" s="5"/>
      <c r="J286" s="5"/>
      <c r="K286" s="5"/>
      <c r="L286" s="5"/>
      <c r="M286" s="5"/>
      <c r="N286" s="5"/>
      <c r="O286" s="5"/>
      <c r="P286" s="5"/>
      <c r="Q286" s="5"/>
      <c r="R286" s="5"/>
      <c r="S286" s="5"/>
      <c r="T286" s="5"/>
      <c r="U286" s="5"/>
      <c r="V286" s="5"/>
      <c r="W286" s="5"/>
    </row>
    <row r="287" spans="1:23" ht="16" x14ac:dyDescent="0.2">
      <c r="A287" s="5"/>
      <c r="B287" s="6"/>
      <c r="C287" s="6"/>
      <c r="D287" s="6"/>
      <c r="E287" s="6"/>
      <c r="F287" s="5"/>
      <c r="G287" s="5"/>
      <c r="H287" s="5"/>
      <c r="I287" s="5"/>
      <c r="J287" s="5"/>
      <c r="K287" s="5"/>
      <c r="L287" s="5"/>
      <c r="M287" s="5"/>
      <c r="N287" s="5"/>
      <c r="O287" s="5"/>
      <c r="P287" s="5"/>
      <c r="Q287" s="5"/>
      <c r="R287" s="5"/>
      <c r="S287" s="5"/>
      <c r="T287" s="5"/>
      <c r="U287" s="5"/>
      <c r="V287" s="5"/>
      <c r="W287" s="5"/>
    </row>
    <row r="288" spans="1:23" ht="16" x14ac:dyDescent="0.2">
      <c r="A288" s="5"/>
      <c r="B288" s="6"/>
      <c r="C288" s="6"/>
      <c r="D288" s="6"/>
      <c r="E288" s="6"/>
      <c r="F288" s="5"/>
      <c r="G288" s="5"/>
      <c r="H288" s="5"/>
      <c r="I288" s="5"/>
      <c r="J288" s="5"/>
      <c r="K288" s="5"/>
      <c r="L288" s="5"/>
      <c r="M288" s="5"/>
      <c r="N288" s="5"/>
      <c r="O288" s="5"/>
      <c r="P288" s="5"/>
      <c r="Q288" s="5"/>
      <c r="R288" s="5"/>
      <c r="S288" s="5"/>
      <c r="T288" s="5"/>
      <c r="U288" s="5"/>
      <c r="V288" s="5"/>
      <c r="W288" s="5"/>
    </row>
    <row r="289" spans="1:23" ht="16" x14ac:dyDescent="0.2">
      <c r="A289" s="5"/>
      <c r="B289" s="6"/>
      <c r="C289" s="6"/>
      <c r="D289" s="6"/>
      <c r="E289" s="6"/>
      <c r="F289" s="5"/>
      <c r="G289" s="5"/>
      <c r="H289" s="5"/>
      <c r="I289" s="5"/>
      <c r="J289" s="5"/>
      <c r="K289" s="5"/>
      <c r="L289" s="5"/>
      <c r="M289" s="5"/>
      <c r="N289" s="5"/>
      <c r="O289" s="5"/>
      <c r="P289" s="5"/>
      <c r="Q289" s="5"/>
      <c r="R289" s="5"/>
      <c r="S289" s="5"/>
      <c r="T289" s="5"/>
      <c r="U289" s="5"/>
      <c r="V289" s="5"/>
      <c r="W289" s="5"/>
    </row>
    <row r="290" spans="1:23" ht="16" x14ac:dyDescent="0.2">
      <c r="A290" s="5"/>
      <c r="B290" s="6"/>
      <c r="C290" s="6"/>
      <c r="D290" s="6"/>
      <c r="E290" s="6"/>
      <c r="F290" s="5"/>
      <c r="G290" s="5"/>
      <c r="H290" s="5"/>
      <c r="I290" s="5"/>
      <c r="J290" s="5"/>
      <c r="K290" s="5"/>
      <c r="L290" s="5"/>
      <c r="M290" s="5"/>
      <c r="N290" s="5"/>
      <c r="O290" s="5"/>
      <c r="P290" s="5"/>
      <c r="Q290" s="5"/>
      <c r="R290" s="5"/>
      <c r="S290" s="5"/>
      <c r="T290" s="5"/>
      <c r="U290" s="5"/>
      <c r="V290" s="5"/>
      <c r="W290" s="5"/>
    </row>
    <row r="291" spans="1:23" ht="16" x14ac:dyDescent="0.2">
      <c r="A291" s="5"/>
      <c r="B291" s="6"/>
      <c r="C291" s="6"/>
      <c r="D291" s="6"/>
      <c r="E291" s="6"/>
      <c r="F291" s="5"/>
      <c r="G291" s="5"/>
      <c r="H291" s="5"/>
      <c r="I291" s="5"/>
      <c r="J291" s="5"/>
      <c r="K291" s="5"/>
      <c r="L291" s="5"/>
      <c r="M291" s="5"/>
      <c r="N291" s="5"/>
      <c r="O291" s="5"/>
      <c r="P291" s="5"/>
      <c r="Q291" s="5"/>
      <c r="R291" s="5"/>
      <c r="S291" s="5"/>
      <c r="T291" s="5"/>
      <c r="U291" s="5"/>
      <c r="V291" s="5"/>
      <c r="W291" s="5"/>
    </row>
    <row r="292" spans="1:23" ht="16" x14ac:dyDescent="0.2">
      <c r="A292" s="5"/>
      <c r="B292" s="6"/>
      <c r="C292" s="6"/>
      <c r="D292" s="6"/>
      <c r="E292" s="6"/>
      <c r="F292" s="5"/>
      <c r="G292" s="5"/>
      <c r="H292" s="5"/>
      <c r="I292" s="5"/>
      <c r="J292" s="5"/>
      <c r="K292" s="5"/>
      <c r="L292" s="5"/>
      <c r="M292" s="5"/>
      <c r="N292" s="5"/>
      <c r="O292" s="5"/>
      <c r="P292" s="5"/>
      <c r="Q292" s="5"/>
      <c r="R292" s="5"/>
      <c r="S292" s="5"/>
      <c r="T292" s="5"/>
      <c r="U292" s="5"/>
      <c r="V292" s="5"/>
      <c r="W292" s="5"/>
    </row>
    <row r="293" spans="1:23" ht="16" x14ac:dyDescent="0.2">
      <c r="A293" s="5"/>
      <c r="B293" s="6"/>
      <c r="C293" s="6"/>
      <c r="D293" s="6"/>
      <c r="E293" s="6"/>
      <c r="F293" s="5"/>
      <c r="G293" s="5"/>
      <c r="H293" s="5"/>
      <c r="I293" s="5"/>
      <c r="J293" s="5"/>
      <c r="K293" s="5"/>
      <c r="L293" s="5"/>
      <c r="M293" s="5"/>
      <c r="N293" s="5"/>
      <c r="O293" s="5"/>
      <c r="P293" s="5"/>
      <c r="Q293" s="5"/>
      <c r="R293" s="5"/>
      <c r="S293" s="5"/>
      <c r="T293" s="5"/>
      <c r="U293" s="5"/>
      <c r="V293" s="5"/>
      <c r="W293" s="5"/>
    </row>
    <row r="294" spans="1:23" ht="16" x14ac:dyDescent="0.2">
      <c r="A294" s="5"/>
      <c r="B294" s="6"/>
      <c r="C294" s="6"/>
      <c r="D294" s="6"/>
      <c r="E294" s="6"/>
      <c r="F294" s="5"/>
      <c r="G294" s="5"/>
      <c r="H294" s="5"/>
      <c r="I294" s="5"/>
      <c r="J294" s="5"/>
      <c r="K294" s="5"/>
      <c r="L294" s="5"/>
      <c r="M294" s="5"/>
      <c r="N294" s="5"/>
      <c r="O294" s="5"/>
      <c r="P294" s="5"/>
      <c r="Q294" s="5"/>
      <c r="R294" s="5"/>
      <c r="S294" s="5"/>
      <c r="T294" s="5"/>
      <c r="U294" s="5"/>
      <c r="V294" s="5"/>
      <c r="W294" s="5"/>
    </row>
    <row r="295" spans="1:23" ht="16" x14ac:dyDescent="0.2">
      <c r="A295" s="5"/>
      <c r="B295" s="6"/>
      <c r="C295" s="6"/>
      <c r="D295" s="6"/>
      <c r="E295" s="6"/>
      <c r="F295" s="5"/>
      <c r="G295" s="5"/>
      <c r="H295" s="5"/>
      <c r="I295" s="5"/>
      <c r="J295" s="5"/>
      <c r="K295" s="5"/>
      <c r="L295" s="5"/>
      <c r="M295" s="5"/>
      <c r="N295" s="5"/>
      <c r="O295" s="5"/>
      <c r="P295" s="5"/>
      <c r="Q295" s="5"/>
      <c r="R295" s="5"/>
      <c r="S295" s="5"/>
      <c r="T295" s="5"/>
      <c r="U295" s="5"/>
      <c r="V295" s="5"/>
      <c r="W295" s="5"/>
    </row>
    <row r="296" spans="1:23" ht="16" x14ac:dyDescent="0.2">
      <c r="A296" s="5"/>
      <c r="B296" s="6"/>
      <c r="C296" s="6"/>
      <c r="D296" s="6"/>
      <c r="E296" s="6"/>
      <c r="F296" s="5"/>
      <c r="G296" s="5"/>
      <c r="H296" s="5"/>
      <c r="I296" s="5"/>
      <c r="J296" s="5"/>
      <c r="K296" s="5"/>
      <c r="L296" s="5"/>
      <c r="M296" s="5"/>
      <c r="N296" s="5"/>
      <c r="O296" s="5"/>
      <c r="P296" s="5"/>
      <c r="Q296" s="5"/>
      <c r="R296" s="5"/>
      <c r="S296" s="5"/>
      <c r="T296" s="5"/>
      <c r="U296" s="5"/>
      <c r="V296" s="5"/>
      <c r="W296" s="5"/>
    </row>
    <row r="297" spans="1:23" ht="16" x14ac:dyDescent="0.2">
      <c r="A297" s="5"/>
      <c r="B297" s="6"/>
      <c r="C297" s="6"/>
      <c r="D297" s="6"/>
      <c r="E297" s="6"/>
      <c r="F297" s="5"/>
      <c r="G297" s="5"/>
      <c r="H297" s="5"/>
      <c r="I297" s="5"/>
      <c r="J297" s="5"/>
      <c r="K297" s="5"/>
      <c r="L297" s="5"/>
      <c r="M297" s="5"/>
      <c r="N297" s="5"/>
      <c r="O297" s="5"/>
      <c r="P297" s="5"/>
      <c r="Q297" s="5"/>
      <c r="R297" s="5"/>
      <c r="S297" s="5"/>
      <c r="T297" s="5"/>
      <c r="U297" s="5"/>
      <c r="V297" s="5"/>
      <c r="W297" s="5"/>
    </row>
    <row r="298" spans="1:23" ht="16" x14ac:dyDescent="0.2">
      <c r="A298" s="5"/>
      <c r="B298" s="6"/>
      <c r="C298" s="6"/>
      <c r="D298" s="6"/>
      <c r="E298" s="6"/>
      <c r="F298" s="5"/>
      <c r="G298" s="5"/>
      <c r="H298" s="5"/>
      <c r="I298" s="5"/>
      <c r="J298" s="5"/>
      <c r="K298" s="5"/>
      <c r="L298" s="5"/>
      <c r="M298" s="5"/>
      <c r="N298" s="5"/>
      <c r="O298" s="5"/>
      <c r="P298" s="5"/>
      <c r="Q298" s="5"/>
      <c r="R298" s="5"/>
      <c r="S298" s="5"/>
      <c r="T298" s="5"/>
      <c r="U298" s="5"/>
      <c r="V298" s="5"/>
      <c r="W298" s="5"/>
    </row>
    <row r="299" spans="1:23" ht="16" x14ac:dyDescent="0.2">
      <c r="A299" s="5"/>
      <c r="B299" s="6"/>
      <c r="C299" s="6"/>
      <c r="D299" s="6"/>
      <c r="E299" s="6"/>
      <c r="F299" s="5"/>
      <c r="G299" s="5"/>
      <c r="H299" s="5"/>
      <c r="I299" s="5"/>
      <c r="J299" s="5"/>
      <c r="K299" s="5"/>
      <c r="L299" s="5"/>
      <c r="M299" s="5"/>
      <c r="N299" s="5"/>
      <c r="O299" s="5"/>
      <c r="P299" s="5"/>
      <c r="Q299" s="5"/>
      <c r="R299" s="5"/>
      <c r="S299" s="5"/>
      <c r="T299" s="5"/>
      <c r="U299" s="5"/>
      <c r="V299" s="5"/>
      <c r="W299" s="5"/>
    </row>
    <row r="300" spans="1:23" ht="16" x14ac:dyDescent="0.2">
      <c r="A300" s="5"/>
      <c r="B300" s="6"/>
      <c r="C300" s="6"/>
      <c r="D300" s="6"/>
      <c r="E300" s="6"/>
      <c r="F300" s="5"/>
      <c r="G300" s="5"/>
      <c r="H300" s="5"/>
      <c r="I300" s="5"/>
      <c r="J300" s="5"/>
      <c r="K300" s="5"/>
      <c r="L300" s="5"/>
      <c r="M300" s="5"/>
      <c r="N300" s="5"/>
      <c r="O300" s="5"/>
      <c r="P300" s="5"/>
      <c r="Q300" s="5"/>
      <c r="R300" s="5"/>
      <c r="S300" s="5"/>
      <c r="T300" s="5"/>
      <c r="U300" s="5"/>
      <c r="V300" s="5"/>
      <c r="W300" s="5"/>
    </row>
    <row r="301" spans="1:23" ht="16" x14ac:dyDescent="0.2">
      <c r="A301" s="5"/>
      <c r="B301" s="6"/>
      <c r="C301" s="6"/>
      <c r="D301" s="6"/>
      <c r="E301" s="6"/>
      <c r="F301" s="5"/>
      <c r="G301" s="5"/>
      <c r="H301" s="5"/>
      <c r="I301" s="5"/>
      <c r="J301" s="5"/>
      <c r="K301" s="5"/>
      <c r="L301" s="5"/>
      <c r="M301" s="5"/>
      <c r="N301" s="5"/>
      <c r="O301" s="5"/>
      <c r="P301" s="5"/>
      <c r="Q301" s="5"/>
      <c r="R301" s="5"/>
      <c r="S301" s="5"/>
      <c r="T301" s="5"/>
      <c r="U301" s="5"/>
      <c r="V301" s="5"/>
      <c r="W301" s="5"/>
    </row>
    <row r="302" spans="1:23" ht="16" x14ac:dyDescent="0.2">
      <c r="A302" s="5"/>
      <c r="B302" s="6"/>
      <c r="C302" s="6"/>
      <c r="D302" s="6"/>
      <c r="E302" s="6"/>
      <c r="F302" s="5"/>
      <c r="G302" s="5"/>
      <c r="H302" s="5"/>
      <c r="I302" s="5"/>
      <c r="J302" s="5"/>
      <c r="K302" s="5"/>
      <c r="L302" s="5"/>
      <c r="M302" s="5"/>
      <c r="N302" s="5"/>
      <c r="O302" s="5"/>
      <c r="P302" s="5"/>
      <c r="Q302" s="5"/>
      <c r="R302" s="5"/>
      <c r="S302" s="5"/>
      <c r="T302" s="5"/>
      <c r="U302" s="5"/>
      <c r="V302" s="5"/>
      <c r="W302" s="5"/>
    </row>
    <row r="303" spans="1:23" ht="16" x14ac:dyDescent="0.2">
      <c r="A303" s="5"/>
      <c r="B303" s="6"/>
      <c r="C303" s="6"/>
      <c r="D303" s="6"/>
      <c r="E303" s="6"/>
      <c r="F303" s="5"/>
      <c r="G303" s="5"/>
      <c r="H303" s="5"/>
      <c r="I303" s="5"/>
      <c r="J303" s="5"/>
      <c r="K303" s="5"/>
      <c r="L303" s="5"/>
      <c r="M303" s="5"/>
      <c r="N303" s="5"/>
      <c r="O303" s="5"/>
      <c r="P303" s="5"/>
      <c r="Q303" s="5"/>
      <c r="R303" s="5"/>
      <c r="S303" s="5"/>
      <c r="T303" s="5"/>
      <c r="U303" s="5"/>
      <c r="V303" s="5"/>
      <c r="W303" s="5"/>
    </row>
    <row r="304" spans="1:23" ht="16" x14ac:dyDescent="0.2">
      <c r="A304" s="5"/>
      <c r="B304" s="6"/>
      <c r="C304" s="6"/>
      <c r="D304" s="6"/>
      <c r="E304" s="6"/>
      <c r="F304" s="5"/>
      <c r="G304" s="5"/>
      <c r="H304" s="5"/>
      <c r="I304" s="5"/>
      <c r="J304" s="5"/>
      <c r="K304" s="5"/>
      <c r="L304" s="5"/>
      <c r="M304" s="5"/>
      <c r="N304" s="5"/>
      <c r="O304" s="5"/>
      <c r="P304" s="5"/>
      <c r="Q304" s="5"/>
      <c r="R304" s="5"/>
      <c r="S304" s="5"/>
      <c r="T304" s="5"/>
      <c r="U304" s="5"/>
      <c r="V304" s="5"/>
      <c r="W304" s="5"/>
    </row>
    <row r="305" spans="1:23" ht="16" x14ac:dyDescent="0.2">
      <c r="A305" s="5"/>
      <c r="B305" s="6"/>
      <c r="C305" s="6"/>
      <c r="D305" s="6"/>
      <c r="E305" s="6"/>
      <c r="F305" s="5"/>
      <c r="G305" s="5"/>
      <c r="H305" s="5"/>
      <c r="I305" s="5"/>
      <c r="J305" s="5"/>
      <c r="K305" s="5"/>
      <c r="L305" s="5"/>
      <c r="M305" s="5"/>
      <c r="N305" s="5"/>
      <c r="O305" s="5"/>
      <c r="P305" s="5"/>
      <c r="Q305" s="5"/>
      <c r="R305" s="5"/>
      <c r="S305" s="5"/>
      <c r="T305" s="5"/>
      <c r="U305" s="5"/>
      <c r="V305" s="5"/>
      <c r="W305" s="5"/>
    </row>
    <row r="306" spans="1:23" ht="16" x14ac:dyDescent="0.2">
      <c r="A306" s="5"/>
      <c r="B306" s="6"/>
      <c r="C306" s="6"/>
      <c r="D306" s="6"/>
      <c r="E306" s="6"/>
      <c r="F306" s="5"/>
      <c r="G306" s="5"/>
      <c r="H306" s="5"/>
      <c r="I306" s="5"/>
      <c r="J306" s="5"/>
      <c r="K306" s="5"/>
      <c r="L306" s="5"/>
      <c r="M306" s="5"/>
      <c r="N306" s="5"/>
      <c r="O306" s="5"/>
      <c r="P306" s="5"/>
      <c r="Q306" s="5"/>
      <c r="R306" s="5"/>
      <c r="S306" s="5"/>
      <c r="T306" s="5"/>
      <c r="U306" s="5"/>
      <c r="V306" s="5"/>
      <c r="W306" s="5"/>
    </row>
    <row r="307" spans="1:23" ht="16" x14ac:dyDescent="0.2">
      <c r="A307" s="5"/>
      <c r="B307" s="6"/>
      <c r="C307" s="6"/>
      <c r="D307" s="6"/>
      <c r="E307" s="6"/>
      <c r="F307" s="5"/>
      <c r="G307" s="5"/>
      <c r="H307" s="5"/>
      <c r="I307" s="5"/>
      <c r="J307" s="5"/>
      <c r="K307" s="5"/>
      <c r="L307" s="5"/>
      <c r="M307" s="5"/>
      <c r="N307" s="5"/>
      <c r="O307" s="5"/>
      <c r="P307" s="5"/>
      <c r="Q307" s="5"/>
      <c r="R307" s="5"/>
      <c r="S307" s="5"/>
      <c r="T307" s="5"/>
      <c r="U307" s="5"/>
      <c r="V307" s="5"/>
      <c r="W307" s="5"/>
    </row>
    <row r="308" spans="1:23" ht="16" x14ac:dyDescent="0.2">
      <c r="A308" s="5"/>
      <c r="B308" s="6"/>
      <c r="C308" s="6"/>
      <c r="D308" s="6"/>
      <c r="E308" s="6"/>
      <c r="F308" s="5"/>
      <c r="G308" s="5"/>
      <c r="H308" s="5"/>
      <c r="I308" s="5"/>
      <c r="J308" s="5"/>
      <c r="K308" s="5"/>
      <c r="L308" s="5"/>
      <c r="M308" s="5"/>
      <c r="N308" s="5"/>
      <c r="O308" s="5"/>
      <c r="P308" s="5"/>
      <c r="Q308" s="5"/>
      <c r="R308" s="5"/>
      <c r="S308" s="5"/>
      <c r="T308" s="5"/>
      <c r="U308" s="5"/>
      <c r="V308" s="5"/>
      <c r="W308" s="5"/>
    </row>
    <row r="309" spans="1:23" ht="16" x14ac:dyDescent="0.2">
      <c r="A309" s="5"/>
      <c r="B309" s="6"/>
      <c r="C309" s="6"/>
      <c r="D309" s="6"/>
      <c r="E309" s="6"/>
      <c r="F309" s="5"/>
      <c r="G309" s="5"/>
      <c r="H309" s="5"/>
      <c r="I309" s="5"/>
      <c r="J309" s="5"/>
      <c r="K309" s="5"/>
      <c r="L309" s="5"/>
      <c r="M309" s="5"/>
      <c r="N309" s="5"/>
      <c r="O309" s="5"/>
      <c r="P309" s="5"/>
      <c r="Q309" s="5"/>
      <c r="R309" s="5"/>
      <c r="S309" s="5"/>
      <c r="T309" s="5"/>
      <c r="U309" s="5"/>
      <c r="V309" s="5"/>
      <c r="W309" s="5"/>
    </row>
    <row r="310" spans="1:23" ht="16" x14ac:dyDescent="0.2">
      <c r="A310" s="5"/>
      <c r="B310" s="6"/>
      <c r="C310" s="6"/>
      <c r="D310" s="6"/>
      <c r="E310" s="6"/>
      <c r="F310" s="5"/>
      <c r="G310" s="5"/>
      <c r="H310" s="5"/>
      <c r="I310" s="5"/>
      <c r="J310" s="5"/>
      <c r="K310" s="5"/>
      <c r="L310" s="5"/>
      <c r="M310" s="5"/>
      <c r="N310" s="5"/>
      <c r="O310" s="5"/>
      <c r="P310" s="5"/>
      <c r="Q310" s="5"/>
      <c r="R310" s="5"/>
      <c r="S310" s="5"/>
      <c r="T310" s="5"/>
      <c r="U310" s="5"/>
      <c r="V310" s="5"/>
      <c r="W310" s="5"/>
    </row>
    <row r="311" spans="1:23" ht="16" x14ac:dyDescent="0.2">
      <c r="A311" s="5"/>
      <c r="B311" s="6"/>
      <c r="C311" s="6"/>
      <c r="D311" s="6"/>
      <c r="E311" s="6"/>
      <c r="F311" s="5"/>
      <c r="G311" s="5"/>
      <c r="H311" s="5"/>
      <c r="I311" s="5"/>
      <c r="J311" s="5"/>
      <c r="K311" s="5"/>
      <c r="L311" s="5"/>
      <c r="M311" s="5"/>
      <c r="N311" s="5"/>
      <c r="O311" s="5"/>
      <c r="P311" s="5"/>
      <c r="Q311" s="5"/>
      <c r="R311" s="5"/>
      <c r="S311" s="5"/>
      <c r="T311" s="5"/>
      <c r="U311" s="5"/>
      <c r="V311" s="5"/>
      <c r="W311" s="5"/>
    </row>
    <row r="312" spans="1:23" ht="16" x14ac:dyDescent="0.2">
      <c r="A312" s="5"/>
      <c r="B312" s="6"/>
      <c r="C312" s="6"/>
      <c r="D312" s="6"/>
      <c r="E312" s="6"/>
      <c r="F312" s="5"/>
      <c r="G312" s="5"/>
      <c r="H312" s="5"/>
      <c r="I312" s="5"/>
      <c r="J312" s="5"/>
      <c r="K312" s="5"/>
      <c r="L312" s="5"/>
      <c r="M312" s="5"/>
      <c r="N312" s="5"/>
      <c r="O312" s="5"/>
      <c r="P312" s="5"/>
      <c r="Q312" s="5"/>
      <c r="R312" s="5"/>
      <c r="S312" s="5"/>
      <c r="T312" s="5"/>
      <c r="U312" s="5"/>
      <c r="V312" s="5"/>
      <c r="W312" s="5"/>
    </row>
    <row r="313" spans="1:23" ht="16" x14ac:dyDescent="0.2">
      <c r="A313" s="5"/>
      <c r="B313" s="6"/>
      <c r="C313" s="6"/>
      <c r="D313" s="6"/>
      <c r="E313" s="6"/>
      <c r="F313" s="5"/>
      <c r="G313" s="5"/>
      <c r="H313" s="5"/>
      <c r="I313" s="5"/>
      <c r="J313" s="5"/>
      <c r="K313" s="5"/>
      <c r="L313" s="5"/>
      <c r="M313" s="5"/>
      <c r="N313" s="5"/>
      <c r="O313" s="5"/>
      <c r="P313" s="5"/>
      <c r="Q313" s="5"/>
      <c r="R313" s="5"/>
      <c r="S313" s="5"/>
      <c r="T313" s="5"/>
      <c r="U313" s="5"/>
      <c r="V313" s="5"/>
      <c r="W313" s="5"/>
    </row>
    <row r="314" spans="1:23" ht="16" x14ac:dyDescent="0.2">
      <c r="A314" s="5"/>
      <c r="B314" s="6"/>
      <c r="C314" s="6"/>
      <c r="D314" s="6"/>
      <c r="E314" s="6"/>
      <c r="F314" s="5"/>
      <c r="G314" s="5"/>
      <c r="H314" s="5"/>
      <c r="I314" s="5"/>
      <c r="J314" s="5"/>
      <c r="K314" s="5"/>
      <c r="L314" s="5"/>
      <c r="M314" s="5"/>
      <c r="N314" s="5"/>
      <c r="O314" s="5"/>
      <c r="P314" s="5"/>
      <c r="Q314" s="5"/>
      <c r="R314" s="5"/>
      <c r="S314" s="5"/>
      <c r="T314" s="5"/>
      <c r="U314" s="5"/>
      <c r="V314" s="5"/>
      <c r="W314" s="5"/>
    </row>
    <row r="315" spans="1:23" ht="16" x14ac:dyDescent="0.2">
      <c r="A315" s="5"/>
      <c r="B315" s="6"/>
      <c r="C315" s="6"/>
      <c r="D315" s="6"/>
      <c r="E315" s="6"/>
      <c r="F315" s="5"/>
      <c r="G315" s="5"/>
      <c r="H315" s="5"/>
      <c r="I315" s="5"/>
      <c r="J315" s="5"/>
      <c r="K315" s="5"/>
      <c r="L315" s="5"/>
      <c r="M315" s="5"/>
      <c r="N315" s="5"/>
      <c r="O315" s="5"/>
      <c r="P315" s="5"/>
      <c r="Q315" s="5"/>
      <c r="R315" s="5"/>
      <c r="S315" s="5"/>
      <c r="T315" s="5"/>
      <c r="U315" s="5"/>
      <c r="V315" s="5"/>
      <c r="W315" s="5"/>
    </row>
    <row r="316" spans="1:23" ht="16" x14ac:dyDescent="0.2">
      <c r="A316" s="5"/>
      <c r="B316" s="6"/>
      <c r="C316" s="6"/>
      <c r="D316" s="6"/>
      <c r="E316" s="6"/>
      <c r="F316" s="5"/>
      <c r="G316" s="5"/>
      <c r="H316" s="5"/>
      <c r="I316" s="5"/>
      <c r="J316" s="5"/>
      <c r="K316" s="5"/>
      <c r="L316" s="5"/>
      <c r="M316" s="5"/>
      <c r="N316" s="5"/>
      <c r="O316" s="5"/>
      <c r="P316" s="5"/>
      <c r="Q316" s="5"/>
      <c r="R316" s="5"/>
      <c r="S316" s="5"/>
      <c r="T316" s="5"/>
      <c r="U316" s="5"/>
      <c r="V316" s="5"/>
      <c r="W316" s="5"/>
    </row>
    <row r="317" spans="1:23" ht="16" x14ac:dyDescent="0.2">
      <c r="A317" s="5"/>
      <c r="B317" s="6"/>
      <c r="C317" s="6"/>
      <c r="D317" s="6"/>
      <c r="E317" s="6"/>
      <c r="F317" s="5"/>
      <c r="G317" s="5"/>
      <c r="H317" s="5"/>
      <c r="I317" s="5"/>
      <c r="J317" s="5"/>
      <c r="K317" s="5"/>
      <c r="L317" s="5"/>
      <c r="M317" s="5"/>
      <c r="N317" s="5"/>
      <c r="O317" s="5"/>
      <c r="P317" s="5"/>
      <c r="Q317" s="5"/>
      <c r="R317" s="5"/>
      <c r="S317" s="5"/>
      <c r="T317" s="5"/>
      <c r="U317" s="5"/>
      <c r="V317" s="5"/>
      <c r="W317" s="5"/>
    </row>
    <row r="318" spans="1:23" ht="16" x14ac:dyDescent="0.2">
      <c r="A318" s="5"/>
      <c r="B318" s="6"/>
      <c r="C318" s="6"/>
      <c r="D318" s="6"/>
      <c r="E318" s="6"/>
      <c r="F318" s="5"/>
      <c r="G318" s="5"/>
      <c r="H318" s="5"/>
      <c r="I318" s="5"/>
      <c r="J318" s="5"/>
      <c r="K318" s="5"/>
      <c r="L318" s="5"/>
      <c r="M318" s="5"/>
      <c r="N318" s="5"/>
      <c r="O318" s="5"/>
      <c r="P318" s="5"/>
      <c r="Q318" s="5"/>
      <c r="R318" s="5"/>
      <c r="S318" s="5"/>
      <c r="T318" s="5"/>
      <c r="U318" s="5"/>
      <c r="V318" s="5"/>
      <c r="W318" s="5"/>
    </row>
    <row r="319" spans="1:23" ht="16" x14ac:dyDescent="0.2">
      <c r="A319" s="5"/>
      <c r="B319" s="6"/>
      <c r="C319" s="6"/>
      <c r="D319" s="6"/>
      <c r="E319" s="6"/>
      <c r="F319" s="5"/>
      <c r="G319" s="5"/>
      <c r="H319" s="5"/>
      <c r="I319" s="5"/>
      <c r="J319" s="5"/>
      <c r="K319" s="5"/>
      <c r="L319" s="5"/>
      <c r="M319" s="5"/>
      <c r="N319" s="5"/>
      <c r="O319" s="5"/>
      <c r="P319" s="5"/>
      <c r="Q319" s="5"/>
      <c r="R319" s="5"/>
      <c r="S319" s="5"/>
      <c r="T319" s="5"/>
      <c r="U319" s="5"/>
      <c r="V319" s="5"/>
      <c r="W319" s="5"/>
    </row>
    <row r="320" spans="1:23" ht="16" x14ac:dyDescent="0.2">
      <c r="A320" s="5"/>
      <c r="B320" s="6"/>
      <c r="C320" s="6"/>
      <c r="D320" s="6"/>
      <c r="E320" s="6"/>
      <c r="F320" s="5"/>
      <c r="G320" s="5"/>
      <c r="H320" s="5"/>
      <c r="I320" s="5"/>
      <c r="J320" s="5"/>
      <c r="K320" s="5"/>
      <c r="L320" s="5"/>
      <c r="M320" s="5"/>
      <c r="N320" s="5"/>
      <c r="O320" s="5"/>
      <c r="P320" s="5"/>
      <c r="Q320" s="5"/>
      <c r="R320" s="5"/>
      <c r="S320" s="5"/>
      <c r="T320" s="5"/>
      <c r="U320" s="5"/>
      <c r="V320" s="5"/>
      <c r="W320" s="5"/>
    </row>
    <row r="321" spans="1:23" ht="16" x14ac:dyDescent="0.2">
      <c r="A321" s="5"/>
      <c r="B321" s="6"/>
      <c r="C321" s="6"/>
      <c r="D321" s="6"/>
      <c r="E321" s="6"/>
      <c r="F321" s="5"/>
      <c r="G321" s="5"/>
      <c r="H321" s="5"/>
      <c r="I321" s="5"/>
      <c r="J321" s="5"/>
      <c r="K321" s="5"/>
      <c r="L321" s="5"/>
      <c r="M321" s="5"/>
      <c r="N321" s="5"/>
      <c r="O321" s="5"/>
      <c r="P321" s="5"/>
      <c r="Q321" s="5"/>
      <c r="R321" s="5"/>
      <c r="S321" s="5"/>
      <c r="T321" s="5"/>
      <c r="U321" s="5"/>
      <c r="V321" s="5"/>
      <c r="W321" s="5"/>
    </row>
    <row r="322" spans="1:23" ht="16" x14ac:dyDescent="0.2">
      <c r="A322" s="5"/>
      <c r="B322" s="6"/>
      <c r="C322" s="6"/>
      <c r="D322" s="6"/>
      <c r="E322" s="6"/>
      <c r="F322" s="5"/>
      <c r="G322" s="5"/>
      <c r="H322" s="5"/>
      <c r="I322" s="5"/>
      <c r="J322" s="5"/>
      <c r="K322" s="5"/>
      <c r="L322" s="5"/>
      <c r="M322" s="5"/>
      <c r="N322" s="5"/>
      <c r="O322" s="5"/>
      <c r="P322" s="5"/>
      <c r="Q322" s="5"/>
      <c r="R322" s="5"/>
      <c r="S322" s="5"/>
      <c r="T322" s="5"/>
      <c r="U322" s="5"/>
      <c r="V322" s="5"/>
      <c r="W322" s="5"/>
    </row>
    <row r="323" spans="1:23" ht="16" x14ac:dyDescent="0.2">
      <c r="A323" s="5"/>
      <c r="B323" s="6"/>
      <c r="C323" s="6"/>
      <c r="D323" s="6"/>
      <c r="E323" s="6"/>
      <c r="F323" s="5"/>
      <c r="G323" s="5"/>
      <c r="H323" s="5"/>
      <c r="I323" s="5"/>
      <c r="J323" s="5"/>
      <c r="K323" s="5"/>
      <c r="L323" s="5"/>
      <c r="M323" s="5"/>
      <c r="N323" s="5"/>
      <c r="O323" s="5"/>
      <c r="P323" s="5"/>
      <c r="Q323" s="5"/>
      <c r="R323" s="5"/>
      <c r="S323" s="5"/>
      <c r="T323" s="5"/>
      <c r="U323" s="5"/>
      <c r="V323" s="5"/>
      <c r="W323" s="5"/>
    </row>
    <row r="324" spans="1:23" ht="16" x14ac:dyDescent="0.2">
      <c r="A324" s="5"/>
      <c r="B324" s="6"/>
      <c r="C324" s="6"/>
      <c r="D324" s="6"/>
      <c r="E324" s="6"/>
      <c r="F324" s="5"/>
      <c r="G324" s="5"/>
      <c r="H324" s="5"/>
      <c r="I324" s="5"/>
      <c r="J324" s="5"/>
      <c r="K324" s="5"/>
      <c r="L324" s="5"/>
      <c r="M324" s="5"/>
      <c r="N324" s="5"/>
      <c r="O324" s="5"/>
      <c r="P324" s="5"/>
      <c r="Q324" s="5"/>
      <c r="R324" s="5"/>
      <c r="S324" s="5"/>
      <c r="T324" s="5"/>
      <c r="U324" s="5"/>
      <c r="V324" s="5"/>
      <c r="W324" s="5"/>
    </row>
    <row r="325" spans="1:23" ht="16" x14ac:dyDescent="0.2">
      <c r="A325" s="5"/>
      <c r="B325" s="6"/>
      <c r="C325" s="6"/>
      <c r="D325" s="6"/>
      <c r="E325" s="6"/>
      <c r="F325" s="5"/>
      <c r="G325" s="5"/>
      <c r="H325" s="5"/>
      <c r="I325" s="5"/>
      <c r="J325" s="5"/>
      <c r="K325" s="5"/>
      <c r="L325" s="5"/>
      <c r="M325" s="5"/>
      <c r="N325" s="5"/>
      <c r="O325" s="5"/>
      <c r="P325" s="5"/>
      <c r="Q325" s="5"/>
      <c r="R325" s="5"/>
      <c r="S325" s="5"/>
      <c r="T325" s="5"/>
      <c r="U325" s="5"/>
      <c r="V325" s="5"/>
      <c r="W325" s="5"/>
    </row>
    <row r="326" spans="1:23" ht="16" x14ac:dyDescent="0.2">
      <c r="A326" s="5"/>
      <c r="B326" s="6"/>
      <c r="C326" s="6"/>
      <c r="D326" s="6"/>
      <c r="E326" s="6"/>
      <c r="F326" s="5"/>
      <c r="G326" s="5"/>
      <c r="H326" s="5"/>
      <c r="I326" s="5"/>
      <c r="J326" s="5"/>
      <c r="K326" s="5"/>
      <c r="L326" s="5"/>
      <c r="M326" s="5"/>
      <c r="N326" s="5"/>
      <c r="O326" s="5"/>
      <c r="P326" s="5"/>
      <c r="Q326" s="5"/>
      <c r="R326" s="5"/>
      <c r="S326" s="5"/>
      <c r="T326" s="5"/>
      <c r="U326" s="5"/>
      <c r="V326" s="5"/>
      <c r="W326" s="5"/>
    </row>
    <row r="327" spans="1:23" ht="16" x14ac:dyDescent="0.2">
      <c r="A327" s="5"/>
      <c r="B327" s="6"/>
      <c r="C327" s="6"/>
      <c r="D327" s="6"/>
      <c r="E327" s="6"/>
      <c r="F327" s="5"/>
      <c r="G327" s="5"/>
      <c r="H327" s="5"/>
      <c r="I327" s="5"/>
      <c r="J327" s="5"/>
      <c r="K327" s="5"/>
      <c r="L327" s="5"/>
      <c r="M327" s="5"/>
      <c r="N327" s="5"/>
      <c r="O327" s="5"/>
      <c r="P327" s="5"/>
      <c r="Q327" s="5"/>
      <c r="R327" s="5"/>
      <c r="S327" s="5"/>
      <c r="T327" s="5"/>
      <c r="U327" s="5"/>
      <c r="V327" s="5"/>
      <c r="W327" s="5"/>
    </row>
    <row r="328" spans="1:23" ht="16" x14ac:dyDescent="0.2">
      <c r="A328" s="5"/>
      <c r="B328" s="6"/>
      <c r="C328" s="6"/>
      <c r="D328" s="6"/>
      <c r="E328" s="6"/>
      <c r="F328" s="5"/>
      <c r="G328" s="5"/>
      <c r="H328" s="5"/>
      <c r="I328" s="5"/>
      <c r="J328" s="5"/>
      <c r="K328" s="5"/>
      <c r="L328" s="5"/>
      <c r="M328" s="5"/>
      <c r="N328" s="5"/>
      <c r="O328" s="5"/>
      <c r="P328" s="5"/>
      <c r="Q328" s="5"/>
      <c r="R328" s="5"/>
      <c r="S328" s="5"/>
      <c r="T328" s="5"/>
      <c r="U328" s="5"/>
      <c r="V328" s="5"/>
      <c r="W328" s="5"/>
    </row>
    <row r="329" spans="1:23" ht="16" x14ac:dyDescent="0.2">
      <c r="A329" s="5"/>
      <c r="B329" s="6"/>
      <c r="C329" s="6"/>
      <c r="D329" s="6"/>
      <c r="E329" s="6"/>
      <c r="F329" s="5"/>
      <c r="G329" s="5"/>
      <c r="H329" s="5"/>
      <c r="I329" s="5"/>
      <c r="J329" s="5"/>
      <c r="K329" s="5"/>
      <c r="L329" s="5"/>
      <c r="M329" s="5"/>
      <c r="N329" s="5"/>
      <c r="O329" s="5"/>
      <c r="P329" s="5"/>
      <c r="Q329" s="5"/>
      <c r="R329" s="5"/>
      <c r="S329" s="5"/>
      <c r="T329" s="5"/>
      <c r="U329" s="5"/>
      <c r="V329" s="5"/>
      <c r="W329" s="5"/>
    </row>
    <row r="330" spans="1:23" ht="16" x14ac:dyDescent="0.2">
      <c r="A330" s="5"/>
      <c r="B330" s="6"/>
      <c r="C330" s="6"/>
      <c r="D330" s="6"/>
      <c r="E330" s="6"/>
      <c r="F330" s="5"/>
      <c r="G330" s="5"/>
      <c r="H330" s="5"/>
      <c r="I330" s="5"/>
      <c r="J330" s="5"/>
      <c r="K330" s="5"/>
      <c r="L330" s="5"/>
      <c r="M330" s="5"/>
      <c r="N330" s="5"/>
      <c r="O330" s="5"/>
      <c r="P330" s="5"/>
      <c r="Q330" s="5"/>
      <c r="R330" s="5"/>
      <c r="S330" s="5"/>
      <c r="T330" s="5"/>
      <c r="U330" s="5"/>
      <c r="V330" s="5"/>
      <c r="W330" s="5"/>
    </row>
    <row r="331" spans="1:23" ht="16" x14ac:dyDescent="0.2">
      <c r="A331" s="5"/>
      <c r="B331" s="6"/>
      <c r="C331" s="6"/>
      <c r="D331" s="6"/>
      <c r="E331" s="6"/>
      <c r="F331" s="5"/>
      <c r="G331" s="5"/>
      <c r="H331" s="5"/>
      <c r="I331" s="5"/>
      <c r="J331" s="5"/>
      <c r="K331" s="5"/>
      <c r="L331" s="5"/>
      <c r="M331" s="5"/>
      <c r="N331" s="5"/>
      <c r="O331" s="5"/>
      <c r="P331" s="5"/>
      <c r="Q331" s="5"/>
      <c r="R331" s="5"/>
      <c r="S331" s="5"/>
      <c r="T331" s="5"/>
      <c r="U331" s="5"/>
      <c r="V331" s="5"/>
      <c r="W331" s="5"/>
    </row>
    <row r="332" spans="1:23" ht="16" x14ac:dyDescent="0.2">
      <c r="A332" s="5"/>
      <c r="B332" s="6"/>
      <c r="C332" s="6"/>
      <c r="D332" s="6"/>
      <c r="E332" s="6"/>
      <c r="F332" s="5"/>
      <c r="G332" s="5"/>
      <c r="H332" s="5"/>
      <c r="I332" s="5"/>
      <c r="J332" s="5"/>
      <c r="K332" s="5"/>
      <c r="L332" s="5"/>
      <c r="M332" s="5"/>
      <c r="N332" s="5"/>
      <c r="O332" s="5"/>
      <c r="P332" s="5"/>
      <c r="Q332" s="5"/>
      <c r="R332" s="5"/>
      <c r="S332" s="5"/>
      <c r="T332" s="5"/>
      <c r="U332" s="5"/>
      <c r="V332" s="5"/>
      <c r="W332" s="5"/>
    </row>
    <row r="333" spans="1:23" ht="16" x14ac:dyDescent="0.2">
      <c r="A333" s="5"/>
      <c r="B333" s="6"/>
      <c r="C333" s="6"/>
      <c r="D333" s="6"/>
      <c r="E333" s="6"/>
      <c r="F333" s="5"/>
      <c r="G333" s="5"/>
      <c r="H333" s="5"/>
      <c r="I333" s="5"/>
      <c r="J333" s="5"/>
      <c r="K333" s="5"/>
      <c r="L333" s="5"/>
      <c r="M333" s="5"/>
      <c r="N333" s="5"/>
      <c r="O333" s="5"/>
      <c r="P333" s="5"/>
      <c r="Q333" s="5"/>
      <c r="R333" s="5"/>
      <c r="S333" s="5"/>
      <c r="T333" s="5"/>
      <c r="U333" s="5"/>
      <c r="V333" s="5"/>
      <c r="W333" s="5"/>
    </row>
    <row r="334" spans="1:23" ht="16" x14ac:dyDescent="0.2">
      <c r="A334" s="5"/>
      <c r="B334" s="6"/>
      <c r="C334" s="6"/>
      <c r="D334" s="6"/>
      <c r="E334" s="6"/>
      <c r="F334" s="5"/>
      <c r="G334" s="5"/>
      <c r="H334" s="5"/>
      <c r="I334" s="5"/>
      <c r="J334" s="5"/>
      <c r="K334" s="5"/>
      <c r="L334" s="5"/>
      <c r="M334" s="5"/>
      <c r="N334" s="5"/>
      <c r="O334" s="5"/>
      <c r="P334" s="5"/>
      <c r="Q334" s="5"/>
      <c r="R334" s="5"/>
      <c r="S334" s="5"/>
      <c r="T334" s="5"/>
      <c r="U334" s="5"/>
      <c r="V334" s="5"/>
      <c r="W334" s="5"/>
    </row>
    <row r="335" spans="1:23" ht="16" x14ac:dyDescent="0.2">
      <c r="A335" s="5"/>
      <c r="B335" s="6"/>
      <c r="C335" s="6"/>
      <c r="D335" s="6"/>
      <c r="E335" s="6"/>
      <c r="F335" s="5"/>
      <c r="G335" s="5"/>
      <c r="H335" s="5"/>
      <c r="I335" s="5"/>
      <c r="J335" s="5"/>
      <c r="K335" s="5"/>
      <c r="L335" s="5"/>
      <c r="M335" s="5"/>
      <c r="N335" s="5"/>
      <c r="O335" s="5"/>
      <c r="P335" s="5"/>
      <c r="Q335" s="5"/>
      <c r="R335" s="5"/>
      <c r="S335" s="5"/>
      <c r="T335" s="5"/>
      <c r="U335" s="5"/>
      <c r="V335" s="5"/>
      <c r="W335" s="5"/>
    </row>
    <row r="336" spans="1:23" ht="16" x14ac:dyDescent="0.2">
      <c r="A336" s="5"/>
      <c r="B336" s="6"/>
      <c r="C336" s="6"/>
      <c r="D336" s="6"/>
      <c r="E336" s="6"/>
      <c r="F336" s="5"/>
      <c r="G336" s="5"/>
      <c r="H336" s="5"/>
      <c r="I336" s="5"/>
      <c r="J336" s="5"/>
      <c r="K336" s="5"/>
      <c r="L336" s="5"/>
      <c r="M336" s="5"/>
      <c r="N336" s="5"/>
      <c r="O336" s="5"/>
      <c r="P336" s="5"/>
      <c r="Q336" s="5"/>
      <c r="R336" s="5"/>
      <c r="S336" s="5"/>
      <c r="T336" s="5"/>
      <c r="U336" s="5"/>
      <c r="V336" s="5"/>
      <c r="W336" s="5"/>
    </row>
    <row r="337" spans="1:23" ht="16" x14ac:dyDescent="0.2">
      <c r="A337" s="5"/>
      <c r="B337" s="6"/>
      <c r="C337" s="6"/>
      <c r="D337" s="6"/>
      <c r="E337" s="6"/>
      <c r="F337" s="5"/>
      <c r="G337" s="5"/>
      <c r="H337" s="5"/>
      <c r="I337" s="5"/>
      <c r="J337" s="5"/>
      <c r="K337" s="5"/>
      <c r="L337" s="5"/>
      <c r="M337" s="5"/>
      <c r="N337" s="5"/>
      <c r="O337" s="5"/>
      <c r="P337" s="5"/>
      <c r="Q337" s="5"/>
      <c r="R337" s="5"/>
      <c r="S337" s="5"/>
      <c r="T337" s="5"/>
      <c r="U337" s="5"/>
      <c r="V337" s="5"/>
      <c r="W337" s="5"/>
    </row>
    <row r="338" spans="1:23" ht="16" x14ac:dyDescent="0.2">
      <c r="A338" s="5"/>
      <c r="B338" s="6"/>
      <c r="C338" s="6"/>
      <c r="D338" s="6"/>
      <c r="E338" s="6"/>
      <c r="F338" s="5"/>
      <c r="G338" s="5"/>
      <c r="H338" s="5"/>
      <c r="I338" s="5"/>
      <c r="J338" s="5"/>
      <c r="K338" s="5"/>
      <c r="L338" s="5"/>
      <c r="M338" s="5"/>
      <c r="N338" s="5"/>
      <c r="O338" s="5"/>
      <c r="P338" s="5"/>
      <c r="Q338" s="5"/>
      <c r="R338" s="5"/>
      <c r="S338" s="5"/>
      <c r="T338" s="5"/>
      <c r="U338" s="5"/>
      <c r="V338" s="5"/>
      <c r="W338" s="5"/>
    </row>
    <row r="339" spans="1:23" ht="16" x14ac:dyDescent="0.2">
      <c r="A339" s="5"/>
      <c r="B339" s="6"/>
      <c r="C339" s="6"/>
      <c r="D339" s="6"/>
      <c r="E339" s="6"/>
      <c r="F339" s="5"/>
      <c r="G339" s="5"/>
      <c r="H339" s="5"/>
      <c r="I339" s="5"/>
      <c r="J339" s="5"/>
      <c r="K339" s="5"/>
      <c r="L339" s="5"/>
      <c r="M339" s="5"/>
      <c r="N339" s="5"/>
      <c r="O339" s="5"/>
      <c r="P339" s="5"/>
      <c r="Q339" s="5"/>
      <c r="R339" s="5"/>
      <c r="S339" s="5"/>
      <c r="T339" s="5"/>
      <c r="U339" s="5"/>
      <c r="V339" s="5"/>
      <c r="W339" s="5"/>
    </row>
    <row r="340" spans="1:23" ht="16" x14ac:dyDescent="0.2">
      <c r="A340" s="5"/>
      <c r="B340" s="6"/>
      <c r="C340" s="6"/>
      <c r="D340" s="6"/>
      <c r="E340" s="6"/>
      <c r="F340" s="5"/>
      <c r="G340" s="5"/>
      <c r="H340" s="5"/>
      <c r="I340" s="5"/>
      <c r="J340" s="5"/>
      <c r="K340" s="5"/>
      <c r="L340" s="5"/>
      <c r="M340" s="5"/>
      <c r="N340" s="5"/>
      <c r="O340" s="5"/>
      <c r="P340" s="5"/>
      <c r="Q340" s="5"/>
      <c r="R340" s="5"/>
      <c r="S340" s="5"/>
      <c r="T340" s="5"/>
      <c r="U340" s="5"/>
      <c r="V340" s="5"/>
      <c r="W340" s="5"/>
    </row>
    <row r="341" spans="1:23" ht="16" x14ac:dyDescent="0.2">
      <c r="A341" s="5"/>
      <c r="B341" s="6"/>
      <c r="C341" s="6"/>
      <c r="D341" s="6"/>
      <c r="E341" s="6"/>
      <c r="F341" s="5"/>
      <c r="G341" s="5"/>
      <c r="H341" s="5"/>
      <c r="I341" s="5"/>
      <c r="J341" s="5"/>
      <c r="K341" s="5"/>
      <c r="L341" s="5"/>
      <c r="M341" s="5"/>
      <c r="N341" s="5"/>
      <c r="O341" s="5"/>
      <c r="P341" s="5"/>
      <c r="Q341" s="5"/>
      <c r="R341" s="5"/>
      <c r="S341" s="5"/>
      <c r="T341" s="5"/>
      <c r="U341" s="5"/>
      <c r="V341" s="5"/>
      <c r="W341" s="5"/>
    </row>
    <row r="342" spans="1:23" ht="16" x14ac:dyDescent="0.2">
      <c r="A342" s="5"/>
      <c r="B342" s="6"/>
      <c r="C342" s="6"/>
      <c r="D342" s="6"/>
      <c r="E342" s="6"/>
      <c r="F342" s="5"/>
      <c r="G342" s="5"/>
      <c r="H342" s="5"/>
      <c r="I342" s="5"/>
      <c r="J342" s="5"/>
      <c r="K342" s="5"/>
      <c r="L342" s="5"/>
      <c r="M342" s="5"/>
      <c r="N342" s="5"/>
      <c r="O342" s="5"/>
      <c r="P342" s="5"/>
      <c r="Q342" s="5"/>
      <c r="R342" s="5"/>
      <c r="S342" s="5"/>
      <c r="T342" s="5"/>
      <c r="U342" s="5"/>
      <c r="V342" s="5"/>
      <c r="W342" s="5"/>
    </row>
    <row r="343" spans="1:23" ht="16" x14ac:dyDescent="0.2">
      <c r="A343" s="5"/>
      <c r="B343" s="6"/>
      <c r="C343" s="6"/>
      <c r="D343" s="6"/>
      <c r="E343" s="6"/>
      <c r="F343" s="5"/>
      <c r="G343" s="5"/>
      <c r="H343" s="5"/>
      <c r="I343" s="5"/>
      <c r="J343" s="5"/>
      <c r="K343" s="5"/>
      <c r="L343" s="5"/>
      <c r="M343" s="5"/>
      <c r="N343" s="5"/>
      <c r="O343" s="5"/>
      <c r="P343" s="5"/>
      <c r="Q343" s="5"/>
      <c r="R343" s="5"/>
      <c r="S343" s="5"/>
      <c r="T343" s="5"/>
      <c r="U343" s="5"/>
      <c r="V343" s="5"/>
      <c r="W343" s="5"/>
    </row>
    <row r="344" spans="1:23" ht="16" x14ac:dyDescent="0.2">
      <c r="A344" s="5"/>
      <c r="B344" s="6"/>
      <c r="C344" s="6"/>
      <c r="D344" s="6"/>
      <c r="E344" s="6"/>
      <c r="F344" s="5"/>
      <c r="G344" s="5"/>
      <c r="H344" s="5"/>
      <c r="I344" s="5"/>
      <c r="J344" s="5"/>
      <c r="K344" s="5"/>
      <c r="L344" s="5"/>
      <c r="M344" s="5"/>
      <c r="N344" s="5"/>
      <c r="O344" s="5"/>
      <c r="P344" s="5"/>
      <c r="Q344" s="5"/>
      <c r="R344" s="5"/>
      <c r="S344" s="5"/>
      <c r="T344" s="5"/>
      <c r="U344" s="5"/>
      <c r="V344" s="5"/>
      <c r="W344" s="5"/>
    </row>
    <row r="345" spans="1:23" ht="16" x14ac:dyDescent="0.2">
      <c r="A345" s="5"/>
      <c r="B345" s="6"/>
      <c r="C345" s="6"/>
      <c r="D345" s="6"/>
      <c r="E345" s="6"/>
      <c r="F345" s="5"/>
      <c r="G345" s="5"/>
      <c r="H345" s="5"/>
      <c r="I345" s="5"/>
      <c r="J345" s="5"/>
      <c r="K345" s="5"/>
      <c r="L345" s="5"/>
      <c r="M345" s="5"/>
      <c r="N345" s="5"/>
      <c r="O345" s="5"/>
      <c r="P345" s="5"/>
      <c r="Q345" s="5"/>
      <c r="R345" s="5"/>
      <c r="S345" s="5"/>
      <c r="T345" s="5"/>
      <c r="U345" s="5"/>
      <c r="V345" s="5"/>
      <c r="W345" s="5"/>
    </row>
    <row r="346" spans="1:23" ht="16" x14ac:dyDescent="0.2">
      <c r="A346" s="5"/>
      <c r="B346" s="6"/>
      <c r="C346" s="6"/>
      <c r="D346" s="6"/>
      <c r="E346" s="6"/>
      <c r="F346" s="5"/>
      <c r="G346" s="5"/>
      <c r="H346" s="5"/>
      <c r="I346" s="5"/>
      <c r="J346" s="5"/>
      <c r="K346" s="5"/>
      <c r="L346" s="5"/>
      <c r="M346" s="5"/>
      <c r="N346" s="5"/>
      <c r="O346" s="5"/>
      <c r="P346" s="5"/>
      <c r="Q346" s="5"/>
      <c r="R346" s="5"/>
      <c r="S346" s="5"/>
      <c r="T346" s="5"/>
      <c r="U346" s="5"/>
      <c r="V346" s="5"/>
      <c r="W346" s="5"/>
    </row>
    <row r="347" spans="1:23" ht="16" x14ac:dyDescent="0.2">
      <c r="A347" s="5"/>
      <c r="B347" s="6"/>
      <c r="C347" s="6"/>
      <c r="D347" s="6"/>
      <c r="E347" s="6"/>
      <c r="F347" s="5"/>
      <c r="G347" s="5"/>
      <c r="H347" s="5"/>
      <c r="I347" s="5"/>
      <c r="J347" s="5"/>
      <c r="K347" s="5"/>
      <c r="L347" s="5"/>
      <c r="M347" s="5"/>
      <c r="N347" s="5"/>
      <c r="O347" s="5"/>
      <c r="P347" s="5"/>
      <c r="Q347" s="5"/>
      <c r="R347" s="5"/>
      <c r="S347" s="5"/>
      <c r="T347" s="5"/>
      <c r="U347" s="5"/>
      <c r="V347" s="5"/>
      <c r="W347" s="5"/>
    </row>
    <row r="348" spans="1:23" ht="16" x14ac:dyDescent="0.2">
      <c r="A348" s="5"/>
      <c r="B348" s="6"/>
      <c r="C348" s="6"/>
      <c r="D348" s="6"/>
      <c r="E348" s="6"/>
      <c r="F348" s="5"/>
      <c r="G348" s="5"/>
      <c r="H348" s="5"/>
      <c r="I348" s="5"/>
      <c r="J348" s="5"/>
      <c r="K348" s="5"/>
      <c r="L348" s="5"/>
      <c r="M348" s="5"/>
      <c r="N348" s="5"/>
      <c r="O348" s="5"/>
      <c r="P348" s="5"/>
      <c r="Q348" s="5"/>
      <c r="R348" s="5"/>
      <c r="S348" s="5"/>
      <c r="T348" s="5"/>
      <c r="U348" s="5"/>
      <c r="V348" s="5"/>
      <c r="W348" s="5"/>
    </row>
    <row r="349" spans="1:23" ht="16" x14ac:dyDescent="0.2">
      <c r="A349" s="5"/>
      <c r="B349" s="6"/>
      <c r="C349" s="6"/>
      <c r="D349" s="6"/>
      <c r="E349" s="6"/>
      <c r="F349" s="5"/>
      <c r="G349" s="5"/>
      <c r="H349" s="5"/>
      <c r="I349" s="5"/>
      <c r="J349" s="5"/>
      <c r="K349" s="5"/>
      <c r="L349" s="5"/>
      <c r="M349" s="5"/>
      <c r="N349" s="5"/>
      <c r="O349" s="5"/>
      <c r="P349" s="5"/>
      <c r="Q349" s="5"/>
      <c r="R349" s="5"/>
      <c r="S349" s="5"/>
      <c r="T349" s="5"/>
      <c r="U349" s="5"/>
      <c r="V349" s="5"/>
      <c r="W349" s="5"/>
    </row>
    <row r="350" spans="1:23" ht="16" x14ac:dyDescent="0.2">
      <c r="A350" s="5"/>
      <c r="B350" s="6"/>
      <c r="C350" s="6"/>
      <c r="D350" s="6"/>
      <c r="E350" s="6"/>
      <c r="F350" s="5"/>
      <c r="G350" s="5"/>
      <c r="H350" s="5"/>
      <c r="I350" s="5"/>
      <c r="J350" s="5"/>
      <c r="K350" s="5"/>
      <c r="L350" s="5"/>
      <c r="M350" s="5"/>
      <c r="N350" s="5"/>
      <c r="O350" s="5"/>
      <c r="P350" s="5"/>
      <c r="Q350" s="5"/>
      <c r="R350" s="5"/>
      <c r="S350" s="5"/>
      <c r="T350" s="5"/>
      <c r="U350" s="5"/>
      <c r="V350" s="5"/>
      <c r="W350" s="5"/>
    </row>
    <row r="351" spans="1:23" ht="16" x14ac:dyDescent="0.2">
      <c r="A351" s="5"/>
      <c r="B351" s="6"/>
      <c r="C351" s="6"/>
      <c r="D351" s="6"/>
      <c r="E351" s="6"/>
      <c r="F351" s="5"/>
      <c r="G351" s="5"/>
      <c r="H351" s="5"/>
      <c r="I351" s="5"/>
      <c r="J351" s="5"/>
      <c r="K351" s="5"/>
      <c r="L351" s="5"/>
      <c r="M351" s="5"/>
      <c r="N351" s="5"/>
      <c r="O351" s="5"/>
      <c r="P351" s="5"/>
      <c r="Q351" s="5"/>
      <c r="R351" s="5"/>
      <c r="S351" s="5"/>
      <c r="T351" s="5"/>
      <c r="U351" s="5"/>
      <c r="V351" s="5"/>
      <c r="W351" s="5"/>
    </row>
    <row r="352" spans="1:23" ht="16" x14ac:dyDescent="0.2">
      <c r="A352" s="5"/>
      <c r="B352" s="6"/>
      <c r="C352" s="6"/>
      <c r="D352" s="6"/>
      <c r="E352" s="6"/>
      <c r="F352" s="5"/>
      <c r="G352" s="5"/>
      <c r="H352" s="5"/>
      <c r="I352" s="5"/>
      <c r="J352" s="5"/>
      <c r="K352" s="5"/>
      <c r="L352" s="5"/>
      <c r="M352" s="5"/>
      <c r="N352" s="5"/>
      <c r="O352" s="5"/>
      <c r="P352" s="5"/>
      <c r="Q352" s="5"/>
      <c r="R352" s="5"/>
      <c r="S352" s="5"/>
      <c r="T352" s="5"/>
      <c r="U352" s="5"/>
      <c r="V352" s="5"/>
      <c r="W352" s="5"/>
    </row>
    <row r="353" spans="1:23" ht="16" x14ac:dyDescent="0.2">
      <c r="A353" s="5"/>
      <c r="B353" s="6"/>
      <c r="C353" s="6"/>
      <c r="D353" s="6"/>
      <c r="E353" s="6"/>
      <c r="F353" s="5"/>
      <c r="G353" s="5"/>
      <c r="H353" s="5"/>
      <c r="I353" s="5"/>
      <c r="J353" s="5"/>
      <c r="K353" s="5"/>
      <c r="L353" s="5"/>
      <c r="M353" s="5"/>
      <c r="N353" s="5"/>
      <c r="O353" s="5"/>
      <c r="P353" s="5"/>
      <c r="Q353" s="5"/>
      <c r="R353" s="5"/>
      <c r="S353" s="5"/>
      <c r="T353" s="5"/>
      <c r="U353" s="5"/>
      <c r="V353" s="5"/>
      <c r="W353" s="5"/>
    </row>
    <row r="354" spans="1:23" ht="16" x14ac:dyDescent="0.2">
      <c r="A354" s="5"/>
      <c r="B354" s="6"/>
      <c r="C354" s="6"/>
      <c r="D354" s="6"/>
      <c r="E354" s="6"/>
      <c r="F354" s="5"/>
      <c r="G354" s="5"/>
      <c r="H354" s="5"/>
      <c r="I354" s="5"/>
      <c r="J354" s="5"/>
      <c r="K354" s="5"/>
      <c r="L354" s="5"/>
      <c r="M354" s="5"/>
      <c r="N354" s="5"/>
      <c r="O354" s="5"/>
      <c r="P354" s="5"/>
      <c r="Q354" s="5"/>
      <c r="R354" s="5"/>
      <c r="S354" s="5"/>
      <c r="T354" s="5"/>
      <c r="U354" s="5"/>
      <c r="V354" s="5"/>
      <c r="W354" s="5"/>
    </row>
    <row r="355" spans="1:23" ht="16" x14ac:dyDescent="0.2">
      <c r="A355" s="5"/>
      <c r="B355" s="6"/>
      <c r="C355" s="6"/>
      <c r="D355" s="6"/>
      <c r="E355" s="6"/>
      <c r="F355" s="5"/>
      <c r="G355" s="5"/>
      <c r="H355" s="5"/>
      <c r="I355" s="5"/>
      <c r="J355" s="5"/>
      <c r="K355" s="5"/>
      <c r="L355" s="5"/>
      <c r="M355" s="5"/>
      <c r="N355" s="5"/>
      <c r="O355" s="5"/>
      <c r="P355" s="5"/>
      <c r="Q355" s="5"/>
      <c r="R355" s="5"/>
      <c r="S355" s="5"/>
      <c r="T355" s="5"/>
      <c r="U355" s="5"/>
      <c r="V355" s="5"/>
      <c r="W355" s="5"/>
    </row>
    <row r="356" spans="1:23" ht="16" x14ac:dyDescent="0.2">
      <c r="A356" s="5"/>
      <c r="B356" s="6"/>
      <c r="C356" s="6"/>
      <c r="D356" s="6"/>
      <c r="E356" s="6"/>
      <c r="F356" s="5"/>
      <c r="G356" s="5"/>
      <c r="H356" s="5"/>
      <c r="I356" s="5"/>
      <c r="J356" s="5"/>
      <c r="K356" s="5"/>
      <c r="L356" s="5"/>
      <c r="M356" s="5"/>
      <c r="N356" s="5"/>
      <c r="O356" s="5"/>
      <c r="P356" s="5"/>
      <c r="Q356" s="5"/>
      <c r="R356" s="5"/>
      <c r="S356" s="5"/>
      <c r="T356" s="5"/>
      <c r="U356" s="5"/>
      <c r="V356" s="5"/>
      <c r="W356" s="5"/>
    </row>
    <row r="357" spans="1:23" ht="16" x14ac:dyDescent="0.2">
      <c r="A357" s="5"/>
      <c r="B357" s="6"/>
      <c r="C357" s="6"/>
      <c r="D357" s="6"/>
      <c r="E357" s="6"/>
      <c r="F357" s="5"/>
      <c r="G357" s="5"/>
      <c r="H357" s="5"/>
      <c r="I357" s="5"/>
      <c r="J357" s="5"/>
      <c r="K357" s="5"/>
      <c r="L357" s="5"/>
      <c r="M357" s="5"/>
      <c r="N357" s="5"/>
      <c r="O357" s="5"/>
      <c r="P357" s="5"/>
      <c r="Q357" s="5"/>
      <c r="R357" s="5"/>
      <c r="S357" s="5"/>
      <c r="T357" s="5"/>
      <c r="U357" s="5"/>
      <c r="V357" s="5"/>
      <c r="W357" s="5"/>
    </row>
    <row r="358" spans="1:23" ht="16" x14ac:dyDescent="0.2">
      <c r="A358" s="5"/>
      <c r="B358" s="6"/>
      <c r="C358" s="6"/>
      <c r="D358" s="6"/>
      <c r="E358" s="6"/>
      <c r="F358" s="5"/>
      <c r="G358" s="5"/>
      <c r="H358" s="5"/>
      <c r="I358" s="5"/>
      <c r="J358" s="5"/>
      <c r="K358" s="5"/>
      <c r="L358" s="5"/>
      <c r="M358" s="5"/>
      <c r="N358" s="5"/>
      <c r="O358" s="5"/>
      <c r="P358" s="5"/>
      <c r="Q358" s="5"/>
      <c r="R358" s="5"/>
      <c r="S358" s="5"/>
      <c r="T358" s="5"/>
      <c r="U358" s="5"/>
      <c r="V358" s="5"/>
      <c r="W358" s="5"/>
    </row>
    <row r="359" spans="1:23" ht="16" x14ac:dyDescent="0.2">
      <c r="A359" s="5"/>
      <c r="B359" s="6"/>
      <c r="C359" s="6"/>
      <c r="D359" s="6"/>
      <c r="E359" s="6"/>
      <c r="F359" s="5"/>
      <c r="G359" s="5"/>
      <c r="H359" s="5"/>
      <c r="I359" s="5"/>
      <c r="J359" s="5"/>
      <c r="K359" s="5"/>
      <c r="L359" s="5"/>
      <c r="M359" s="5"/>
      <c r="N359" s="5"/>
      <c r="O359" s="5"/>
      <c r="P359" s="5"/>
      <c r="Q359" s="5"/>
      <c r="R359" s="5"/>
      <c r="S359" s="5"/>
      <c r="T359" s="5"/>
      <c r="U359" s="5"/>
      <c r="V359" s="5"/>
      <c r="W359" s="5"/>
    </row>
    <row r="360" spans="1:23" ht="16" x14ac:dyDescent="0.2">
      <c r="A360" s="5"/>
      <c r="B360" s="6"/>
      <c r="C360" s="6"/>
      <c r="D360" s="6"/>
      <c r="E360" s="6"/>
      <c r="F360" s="5"/>
      <c r="G360" s="5"/>
      <c r="H360" s="5"/>
      <c r="I360" s="5"/>
      <c r="J360" s="5"/>
      <c r="K360" s="5"/>
      <c r="L360" s="5"/>
      <c r="M360" s="5"/>
      <c r="N360" s="5"/>
      <c r="O360" s="5"/>
      <c r="P360" s="5"/>
      <c r="Q360" s="5"/>
      <c r="R360" s="5"/>
      <c r="S360" s="5"/>
      <c r="T360" s="5"/>
      <c r="U360" s="5"/>
      <c r="V360" s="5"/>
      <c r="W360" s="5"/>
    </row>
    <row r="361" spans="1:23" ht="16" x14ac:dyDescent="0.2">
      <c r="A361" s="5"/>
      <c r="B361" s="6"/>
      <c r="C361" s="6"/>
      <c r="D361" s="6"/>
      <c r="E361" s="6"/>
      <c r="F361" s="5"/>
      <c r="G361" s="5"/>
      <c r="H361" s="5"/>
      <c r="I361" s="5"/>
      <c r="J361" s="5"/>
      <c r="K361" s="5"/>
      <c r="L361" s="5"/>
      <c r="M361" s="5"/>
      <c r="N361" s="5"/>
      <c r="O361" s="5"/>
      <c r="P361" s="5"/>
      <c r="Q361" s="5"/>
      <c r="R361" s="5"/>
      <c r="S361" s="5"/>
      <c r="T361" s="5"/>
      <c r="U361" s="5"/>
      <c r="V361" s="5"/>
      <c r="W361" s="5"/>
    </row>
    <row r="362" spans="1:23" ht="16" x14ac:dyDescent="0.2">
      <c r="A362" s="5"/>
      <c r="B362" s="6"/>
      <c r="C362" s="6"/>
      <c r="D362" s="6"/>
      <c r="E362" s="6"/>
      <c r="F362" s="5"/>
      <c r="G362" s="5"/>
      <c r="H362" s="5"/>
      <c r="I362" s="5"/>
      <c r="J362" s="5"/>
      <c r="K362" s="5"/>
      <c r="L362" s="5"/>
      <c r="M362" s="5"/>
      <c r="N362" s="5"/>
      <c r="O362" s="5"/>
      <c r="P362" s="5"/>
      <c r="Q362" s="5"/>
      <c r="R362" s="5"/>
      <c r="S362" s="5"/>
      <c r="T362" s="5"/>
      <c r="U362" s="5"/>
      <c r="V362" s="5"/>
      <c r="W362" s="5"/>
    </row>
    <row r="363" spans="1:23" ht="16" x14ac:dyDescent="0.2">
      <c r="A363" s="5"/>
      <c r="B363" s="6"/>
      <c r="C363" s="6"/>
      <c r="D363" s="6"/>
      <c r="E363" s="6"/>
      <c r="F363" s="5"/>
      <c r="G363" s="5"/>
      <c r="H363" s="5"/>
      <c r="I363" s="5"/>
      <c r="J363" s="5"/>
      <c r="K363" s="5"/>
      <c r="L363" s="5"/>
      <c r="M363" s="5"/>
      <c r="N363" s="5"/>
      <c r="O363" s="5"/>
      <c r="P363" s="5"/>
      <c r="Q363" s="5"/>
      <c r="R363" s="5"/>
      <c r="S363" s="5"/>
      <c r="T363" s="5"/>
      <c r="U363" s="5"/>
      <c r="V363" s="5"/>
      <c r="W363" s="5"/>
    </row>
    <row r="364" spans="1:23" ht="16" x14ac:dyDescent="0.2">
      <c r="A364" s="5"/>
      <c r="B364" s="6"/>
      <c r="C364" s="6"/>
      <c r="D364" s="6"/>
      <c r="E364" s="6"/>
      <c r="F364" s="5"/>
      <c r="G364" s="5"/>
      <c r="H364" s="5"/>
      <c r="I364" s="5"/>
      <c r="J364" s="5"/>
      <c r="K364" s="5"/>
      <c r="L364" s="5"/>
      <c r="M364" s="5"/>
      <c r="N364" s="5"/>
      <c r="O364" s="5"/>
      <c r="P364" s="5"/>
      <c r="Q364" s="5"/>
      <c r="R364" s="5"/>
      <c r="S364" s="5"/>
      <c r="T364" s="5"/>
      <c r="U364" s="5"/>
      <c r="V364" s="5"/>
      <c r="W364" s="5"/>
    </row>
    <row r="365" spans="1:23" ht="16" x14ac:dyDescent="0.2">
      <c r="A365" s="5"/>
      <c r="B365" s="6"/>
      <c r="C365" s="6"/>
      <c r="D365" s="6"/>
      <c r="E365" s="6"/>
      <c r="F365" s="5"/>
      <c r="G365" s="5"/>
      <c r="H365" s="5"/>
      <c r="I365" s="5"/>
      <c r="J365" s="5"/>
      <c r="K365" s="5"/>
      <c r="L365" s="5"/>
      <c r="M365" s="5"/>
      <c r="N365" s="5"/>
      <c r="O365" s="5"/>
      <c r="P365" s="5"/>
      <c r="Q365" s="5"/>
      <c r="R365" s="5"/>
      <c r="S365" s="5"/>
      <c r="T365" s="5"/>
      <c r="U365" s="5"/>
      <c r="V365" s="5"/>
      <c r="W365" s="5"/>
    </row>
    <row r="366" spans="1:23" ht="16" x14ac:dyDescent="0.2">
      <c r="A366" s="5"/>
      <c r="B366" s="6"/>
      <c r="C366" s="6"/>
      <c r="D366" s="6"/>
      <c r="E366" s="6"/>
      <c r="F366" s="5"/>
      <c r="G366" s="5"/>
      <c r="H366" s="5"/>
      <c r="I366" s="5"/>
      <c r="J366" s="5"/>
      <c r="K366" s="5"/>
      <c r="L366" s="5"/>
      <c r="M366" s="5"/>
      <c r="N366" s="5"/>
      <c r="O366" s="5"/>
      <c r="P366" s="5"/>
      <c r="Q366" s="5"/>
      <c r="R366" s="5"/>
      <c r="S366" s="5"/>
      <c r="T366" s="5"/>
      <c r="U366" s="5"/>
      <c r="V366" s="5"/>
      <c r="W366" s="5"/>
    </row>
    <row r="367" spans="1:23" ht="16" x14ac:dyDescent="0.2">
      <c r="A367" s="5"/>
      <c r="B367" s="6"/>
      <c r="C367" s="6"/>
      <c r="D367" s="6"/>
      <c r="E367" s="6"/>
      <c r="F367" s="5"/>
      <c r="G367" s="5"/>
      <c r="H367" s="5"/>
      <c r="I367" s="5"/>
      <c r="J367" s="5"/>
      <c r="K367" s="5"/>
      <c r="L367" s="5"/>
      <c r="M367" s="5"/>
      <c r="N367" s="5"/>
      <c r="O367" s="5"/>
      <c r="P367" s="5"/>
      <c r="Q367" s="5"/>
      <c r="R367" s="5"/>
      <c r="S367" s="5"/>
      <c r="T367" s="5"/>
      <c r="U367" s="5"/>
      <c r="V367" s="5"/>
      <c r="W367" s="5"/>
    </row>
    <row r="368" spans="1:23" ht="16" x14ac:dyDescent="0.2">
      <c r="A368" s="5"/>
      <c r="B368" s="6"/>
      <c r="C368" s="6"/>
      <c r="D368" s="6"/>
      <c r="E368" s="6"/>
      <c r="F368" s="5"/>
      <c r="G368" s="5"/>
      <c r="H368" s="5"/>
      <c r="I368" s="5"/>
      <c r="J368" s="5"/>
      <c r="K368" s="5"/>
      <c r="L368" s="5"/>
      <c r="M368" s="5"/>
      <c r="N368" s="5"/>
      <c r="O368" s="5"/>
      <c r="P368" s="5"/>
      <c r="Q368" s="5"/>
      <c r="R368" s="5"/>
      <c r="S368" s="5"/>
      <c r="T368" s="5"/>
      <c r="U368" s="5"/>
      <c r="V368" s="5"/>
      <c r="W368" s="5"/>
    </row>
    <row r="369" spans="1:23" ht="16" x14ac:dyDescent="0.2">
      <c r="A369" s="5"/>
      <c r="B369" s="6"/>
      <c r="C369" s="6"/>
      <c r="D369" s="6"/>
      <c r="E369" s="6"/>
      <c r="F369" s="5"/>
      <c r="G369" s="5"/>
      <c r="H369" s="5"/>
      <c r="I369" s="5"/>
      <c r="J369" s="5"/>
      <c r="K369" s="5"/>
      <c r="L369" s="5"/>
      <c r="M369" s="5"/>
      <c r="N369" s="5"/>
      <c r="O369" s="5"/>
      <c r="P369" s="5"/>
      <c r="Q369" s="5"/>
      <c r="R369" s="5"/>
      <c r="S369" s="5"/>
      <c r="T369" s="5"/>
      <c r="U369" s="5"/>
      <c r="V369" s="5"/>
      <c r="W369" s="5"/>
    </row>
    <row r="370" spans="1:23" ht="16" x14ac:dyDescent="0.2">
      <c r="A370" s="5"/>
      <c r="B370" s="6"/>
      <c r="C370" s="6"/>
      <c r="D370" s="6"/>
      <c r="E370" s="6"/>
      <c r="F370" s="5"/>
      <c r="G370" s="5"/>
      <c r="H370" s="5"/>
      <c r="I370" s="5"/>
      <c r="J370" s="5"/>
      <c r="K370" s="5"/>
      <c r="L370" s="5"/>
      <c r="M370" s="5"/>
      <c r="N370" s="5"/>
      <c r="O370" s="5"/>
      <c r="P370" s="5"/>
      <c r="Q370" s="5"/>
      <c r="R370" s="5"/>
      <c r="S370" s="5"/>
      <c r="T370" s="5"/>
      <c r="U370" s="5"/>
      <c r="V370" s="5"/>
      <c r="W370" s="5"/>
    </row>
    <row r="371" spans="1:23" ht="16" x14ac:dyDescent="0.2">
      <c r="A371" s="5"/>
      <c r="B371" s="6"/>
      <c r="C371" s="6"/>
      <c r="D371" s="6"/>
      <c r="E371" s="6"/>
      <c r="F371" s="5"/>
      <c r="G371" s="5"/>
      <c r="H371" s="5"/>
      <c r="I371" s="5"/>
      <c r="J371" s="5"/>
      <c r="K371" s="5"/>
      <c r="L371" s="5"/>
      <c r="M371" s="5"/>
      <c r="N371" s="5"/>
      <c r="O371" s="5"/>
      <c r="P371" s="5"/>
      <c r="Q371" s="5"/>
      <c r="R371" s="5"/>
      <c r="S371" s="5"/>
      <c r="T371" s="5"/>
      <c r="U371" s="5"/>
      <c r="V371" s="5"/>
      <c r="W371" s="5"/>
    </row>
    <row r="372" spans="1:23" ht="16" x14ac:dyDescent="0.2">
      <c r="A372" s="5"/>
      <c r="B372" s="6"/>
      <c r="C372" s="6"/>
      <c r="D372" s="6"/>
      <c r="E372" s="6"/>
      <c r="F372" s="5"/>
      <c r="G372" s="5"/>
      <c r="H372" s="5"/>
      <c r="I372" s="5"/>
      <c r="J372" s="5"/>
      <c r="K372" s="5"/>
      <c r="L372" s="5"/>
      <c r="M372" s="5"/>
      <c r="N372" s="5"/>
      <c r="O372" s="5"/>
      <c r="P372" s="5"/>
      <c r="Q372" s="5"/>
      <c r="R372" s="5"/>
      <c r="S372" s="5"/>
      <c r="T372" s="5"/>
      <c r="U372" s="5"/>
      <c r="V372" s="5"/>
      <c r="W372" s="5"/>
    </row>
    <row r="373" spans="1:23" ht="16" x14ac:dyDescent="0.2">
      <c r="A373" s="5"/>
      <c r="B373" s="6"/>
      <c r="C373" s="6"/>
      <c r="D373" s="6"/>
      <c r="E373" s="6"/>
      <c r="F373" s="5"/>
      <c r="G373" s="5"/>
      <c r="H373" s="5"/>
      <c r="I373" s="5"/>
      <c r="J373" s="5"/>
      <c r="K373" s="5"/>
      <c r="L373" s="5"/>
      <c r="M373" s="5"/>
      <c r="N373" s="5"/>
      <c r="O373" s="5"/>
      <c r="P373" s="5"/>
      <c r="Q373" s="5"/>
      <c r="R373" s="5"/>
      <c r="S373" s="5"/>
      <c r="T373" s="5"/>
      <c r="U373" s="5"/>
      <c r="V373" s="5"/>
      <c r="W373" s="5"/>
    </row>
    <row r="374" spans="1:23" ht="16" x14ac:dyDescent="0.2">
      <c r="A374" s="5"/>
      <c r="B374" s="6"/>
      <c r="C374" s="6"/>
      <c r="D374" s="6"/>
      <c r="E374" s="6"/>
      <c r="F374" s="5"/>
      <c r="G374" s="5"/>
      <c r="H374" s="5"/>
      <c r="I374" s="5"/>
      <c r="J374" s="5"/>
      <c r="K374" s="5"/>
      <c r="L374" s="5"/>
      <c r="M374" s="5"/>
      <c r="N374" s="5"/>
      <c r="O374" s="5"/>
      <c r="P374" s="5"/>
      <c r="Q374" s="5"/>
      <c r="R374" s="5"/>
      <c r="S374" s="5"/>
      <c r="T374" s="5"/>
      <c r="U374" s="5"/>
      <c r="V374" s="5"/>
      <c r="W374" s="5"/>
    </row>
    <row r="375" spans="1:23" ht="16" x14ac:dyDescent="0.2">
      <c r="A375" s="5"/>
      <c r="B375" s="6"/>
      <c r="C375" s="6"/>
      <c r="D375" s="6"/>
      <c r="E375" s="6"/>
      <c r="F375" s="5"/>
      <c r="G375" s="5"/>
      <c r="H375" s="5"/>
      <c r="I375" s="5"/>
      <c r="J375" s="5"/>
      <c r="K375" s="5"/>
      <c r="L375" s="5"/>
      <c r="M375" s="5"/>
      <c r="N375" s="5"/>
      <c r="O375" s="5"/>
      <c r="P375" s="5"/>
      <c r="Q375" s="5"/>
      <c r="R375" s="5"/>
      <c r="S375" s="5"/>
      <c r="T375" s="5"/>
      <c r="U375" s="5"/>
      <c r="V375" s="5"/>
      <c r="W375" s="5"/>
    </row>
    <row r="376" spans="1:23" ht="16" x14ac:dyDescent="0.2">
      <c r="A376" s="5"/>
      <c r="B376" s="6"/>
      <c r="C376" s="6"/>
      <c r="D376" s="6"/>
      <c r="E376" s="6"/>
      <c r="F376" s="5"/>
      <c r="G376" s="5"/>
      <c r="H376" s="5"/>
      <c r="I376" s="5"/>
      <c r="J376" s="5"/>
      <c r="K376" s="5"/>
      <c r="L376" s="5"/>
      <c r="M376" s="5"/>
      <c r="N376" s="5"/>
      <c r="O376" s="5"/>
      <c r="P376" s="5"/>
      <c r="Q376" s="5"/>
      <c r="R376" s="5"/>
      <c r="S376" s="5"/>
      <c r="T376" s="5"/>
      <c r="U376" s="5"/>
      <c r="V376" s="5"/>
      <c r="W376" s="5"/>
    </row>
    <row r="377" spans="1:23" ht="16" x14ac:dyDescent="0.2">
      <c r="A377" s="5"/>
      <c r="B377" s="6"/>
      <c r="C377" s="6"/>
      <c r="D377" s="6"/>
      <c r="E377" s="6"/>
      <c r="F377" s="5"/>
      <c r="G377" s="5"/>
      <c r="H377" s="5"/>
      <c r="I377" s="5"/>
      <c r="J377" s="5"/>
      <c r="K377" s="5"/>
      <c r="L377" s="5"/>
      <c r="M377" s="5"/>
      <c r="N377" s="5"/>
      <c r="O377" s="5"/>
      <c r="P377" s="5"/>
      <c r="Q377" s="5"/>
      <c r="R377" s="5"/>
      <c r="S377" s="5"/>
      <c r="T377" s="5"/>
      <c r="U377" s="5"/>
      <c r="V377" s="5"/>
      <c r="W377" s="5"/>
    </row>
    <row r="378" spans="1:23" ht="16" x14ac:dyDescent="0.2">
      <c r="A378" s="5"/>
      <c r="B378" s="6"/>
      <c r="C378" s="6"/>
      <c r="D378" s="6"/>
      <c r="E378" s="6"/>
      <c r="F378" s="5"/>
      <c r="G378" s="5"/>
      <c r="H378" s="5"/>
      <c r="I378" s="5"/>
      <c r="J378" s="5"/>
      <c r="K378" s="5"/>
      <c r="L378" s="5"/>
      <c r="M378" s="5"/>
      <c r="N378" s="5"/>
      <c r="O378" s="5"/>
      <c r="P378" s="5"/>
      <c r="Q378" s="5"/>
      <c r="R378" s="5"/>
      <c r="S378" s="5"/>
      <c r="T378" s="5"/>
      <c r="U378" s="5"/>
      <c r="V378" s="5"/>
      <c r="W378" s="5"/>
    </row>
    <row r="379" spans="1:23" ht="16" x14ac:dyDescent="0.2">
      <c r="A379" s="5"/>
      <c r="B379" s="6"/>
      <c r="C379" s="6"/>
      <c r="D379" s="6"/>
      <c r="E379" s="6"/>
      <c r="F379" s="5"/>
      <c r="G379" s="5"/>
      <c r="H379" s="5"/>
      <c r="I379" s="5"/>
      <c r="J379" s="5"/>
      <c r="K379" s="5"/>
      <c r="L379" s="5"/>
      <c r="M379" s="5"/>
      <c r="N379" s="5"/>
      <c r="O379" s="5"/>
      <c r="P379" s="5"/>
      <c r="Q379" s="5"/>
      <c r="R379" s="5"/>
      <c r="S379" s="5"/>
      <c r="T379" s="5"/>
      <c r="U379" s="5"/>
      <c r="V379" s="5"/>
      <c r="W379" s="5"/>
    </row>
    <row r="380" spans="1:23" ht="16" x14ac:dyDescent="0.2">
      <c r="A380" s="5"/>
      <c r="B380" s="6"/>
      <c r="C380" s="6"/>
      <c r="D380" s="6"/>
      <c r="E380" s="6"/>
      <c r="F380" s="5"/>
      <c r="G380" s="5"/>
      <c r="H380" s="5"/>
      <c r="I380" s="5"/>
      <c r="J380" s="5"/>
      <c r="K380" s="5"/>
      <c r="L380" s="5"/>
      <c r="M380" s="5"/>
      <c r="N380" s="5"/>
      <c r="O380" s="5"/>
      <c r="P380" s="5"/>
      <c r="Q380" s="5"/>
      <c r="R380" s="5"/>
      <c r="S380" s="5"/>
      <c r="T380" s="5"/>
      <c r="U380" s="5"/>
      <c r="V380" s="5"/>
      <c r="W380" s="5"/>
    </row>
    <row r="381" spans="1:23" ht="16" x14ac:dyDescent="0.2">
      <c r="A381" s="5"/>
      <c r="B381" s="6"/>
      <c r="C381" s="6"/>
      <c r="D381" s="6"/>
      <c r="E381" s="6"/>
      <c r="F381" s="5"/>
      <c r="G381" s="5"/>
      <c r="H381" s="5"/>
      <c r="I381" s="5"/>
      <c r="J381" s="5"/>
      <c r="K381" s="5"/>
      <c r="L381" s="5"/>
      <c r="M381" s="5"/>
      <c r="N381" s="5"/>
      <c r="O381" s="5"/>
      <c r="P381" s="5"/>
      <c r="Q381" s="5"/>
      <c r="R381" s="5"/>
      <c r="S381" s="5"/>
      <c r="T381" s="5"/>
      <c r="U381" s="5"/>
      <c r="V381" s="5"/>
      <c r="W381" s="5"/>
    </row>
    <row r="382" spans="1:23" ht="16" x14ac:dyDescent="0.2">
      <c r="A382" s="5"/>
      <c r="B382" s="6"/>
      <c r="C382" s="6"/>
      <c r="D382" s="6"/>
      <c r="E382" s="6"/>
      <c r="F382" s="5"/>
      <c r="G382" s="5"/>
      <c r="H382" s="5"/>
      <c r="I382" s="5"/>
      <c r="J382" s="5"/>
      <c r="K382" s="5"/>
      <c r="L382" s="5"/>
      <c r="M382" s="5"/>
      <c r="N382" s="5"/>
      <c r="O382" s="5"/>
      <c r="P382" s="5"/>
      <c r="Q382" s="5"/>
      <c r="R382" s="5"/>
      <c r="S382" s="5"/>
      <c r="T382" s="5"/>
      <c r="U382" s="5"/>
      <c r="V382" s="5"/>
      <c r="W382" s="5"/>
    </row>
    <row r="383" spans="1:23" ht="16" x14ac:dyDescent="0.2">
      <c r="A383" s="5"/>
      <c r="B383" s="6"/>
      <c r="C383" s="6"/>
      <c r="D383" s="6"/>
      <c r="E383" s="6"/>
      <c r="F383" s="5"/>
      <c r="G383" s="5"/>
      <c r="H383" s="5"/>
      <c r="I383" s="5"/>
      <c r="J383" s="5"/>
      <c r="K383" s="5"/>
      <c r="L383" s="5"/>
      <c r="M383" s="5"/>
      <c r="N383" s="5"/>
      <c r="O383" s="5"/>
      <c r="P383" s="5"/>
      <c r="Q383" s="5"/>
      <c r="R383" s="5"/>
      <c r="S383" s="5"/>
      <c r="T383" s="5"/>
      <c r="U383" s="5"/>
      <c r="V383" s="5"/>
      <c r="W383" s="5"/>
    </row>
    <row r="384" spans="1:23" ht="16" x14ac:dyDescent="0.2">
      <c r="A384" s="5"/>
      <c r="B384" s="6"/>
      <c r="C384" s="6"/>
      <c r="D384" s="6"/>
      <c r="E384" s="6"/>
      <c r="F384" s="5"/>
      <c r="G384" s="5"/>
      <c r="H384" s="5"/>
      <c r="I384" s="5"/>
      <c r="J384" s="5"/>
      <c r="K384" s="5"/>
      <c r="L384" s="5"/>
      <c r="M384" s="5"/>
      <c r="N384" s="5"/>
      <c r="O384" s="5"/>
      <c r="P384" s="5"/>
      <c r="Q384" s="5"/>
      <c r="R384" s="5"/>
      <c r="S384" s="5"/>
      <c r="T384" s="5"/>
      <c r="U384" s="5"/>
      <c r="V384" s="5"/>
      <c r="W384" s="5"/>
    </row>
    <row r="385" spans="1:23" ht="16" x14ac:dyDescent="0.2">
      <c r="A385" s="5"/>
      <c r="B385" s="6"/>
      <c r="C385" s="6"/>
      <c r="D385" s="6"/>
      <c r="E385" s="6"/>
      <c r="F385" s="5"/>
      <c r="G385" s="5"/>
      <c r="H385" s="5"/>
      <c r="I385" s="5"/>
      <c r="J385" s="5"/>
      <c r="K385" s="5"/>
      <c r="L385" s="5"/>
      <c r="M385" s="5"/>
      <c r="N385" s="5"/>
      <c r="O385" s="5"/>
      <c r="P385" s="5"/>
      <c r="Q385" s="5"/>
      <c r="R385" s="5"/>
      <c r="S385" s="5"/>
      <c r="T385" s="5"/>
      <c r="U385" s="5"/>
      <c r="V385" s="5"/>
      <c r="W385" s="5"/>
    </row>
    <row r="386" spans="1:23" ht="16" x14ac:dyDescent="0.2">
      <c r="A386" s="5"/>
      <c r="B386" s="6"/>
      <c r="C386" s="6"/>
      <c r="D386" s="6"/>
      <c r="E386" s="6"/>
      <c r="F386" s="5"/>
      <c r="G386" s="5"/>
      <c r="H386" s="5"/>
      <c r="I386" s="5"/>
      <c r="J386" s="5"/>
      <c r="K386" s="5"/>
      <c r="L386" s="5"/>
      <c r="M386" s="5"/>
      <c r="N386" s="5"/>
      <c r="O386" s="5"/>
      <c r="P386" s="5"/>
      <c r="Q386" s="5"/>
      <c r="R386" s="5"/>
      <c r="S386" s="5"/>
      <c r="T386" s="5"/>
      <c r="U386" s="5"/>
      <c r="V386" s="5"/>
      <c r="W386" s="5"/>
    </row>
    <row r="387" spans="1:23" ht="16" x14ac:dyDescent="0.2">
      <c r="A387" s="5"/>
      <c r="B387" s="6"/>
      <c r="C387" s="6"/>
      <c r="D387" s="6"/>
      <c r="E387" s="6"/>
      <c r="F387" s="5"/>
      <c r="G387" s="5"/>
      <c r="H387" s="5"/>
      <c r="I387" s="5"/>
      <c r="J387" s="5"/>
      <c r="K387" s="5"/>
      <c r="L387" s="5"/>
      <c r="M387" s="5"/>
      <c r="N387" s="5"/>
      <c r="O387" s="5"/>
      <c r="P387" s="5"/>
      <c r="Q387" s="5"/>
      <c r="R387" s="5"/>
      <c r="S387" s="5"/>
      <c r="T387" s="5"/>
      <c r="U387" s="5"/>
      <c r="V387" s="5"/>
      <c r="W387" s="5"/>
    </row>
    <row r="388" spans="1:23" ht="16" x14ac:dyDescent="0.2">
      <c r="A388" s="5"/>
      <c r="B388" s="6"/>
      <c r="C388" s="6"/>
      <c r="D388" s="6"/>
      <c r="E388" s="6"/>
      <c r="F388" s="5"/>
      <c r="G388" s="5"/>
      <c r="H388" s="5"/>
      <c r="I388" s="5"/>
      <c r="J388" s="5"/>
      <c r="K388" s="5"/>
      <c r="L388" s="5"/>
      <c r="M388" s="5"/>
      <c r="N388" s="5"/>
      <c r="O388" s="5"/>
      <c r="P388" s="5"/>
      <c r="Q388" s="5"/>
      <c r="R388" s="5"/>
      <c r="S388" s="5"/>
      <c r="T388" s="5"/>
      <c r="U388" s="5"/>
      <c r="V388" s="5"/>
      <c r="W388" s="5"/>
    </row>
    <row r="389" spans="1:23" ht="16" x14ac:dyDescent="0.2">
      <c r="A389" s="5"/>
      <c r="B389" s="6"/>
      <c r="C389" s="6"/>
      <c r="D389" s="6"/>
      <c r="E389" s="6"/>
      <c r="F389" s="5"/>
      <c r="G389" s="5"/>
      <c r="H389" s="5"/>
      <c r="I389" s="5"/>
      <c r="J389" s="5"/>
      <c r="K389" s="5"/>
      <c r="L389" s="5"/>
      <c r="M389" s="5"/>
      <c r="N389" s="5"/>
      <c r="O389" s="5"/>
      <c r="P389" s="5"/>
      <c r="Q389" s="5"/>
      <c r="R389" s="5"/>
      <c r="S389" s="5"/>
      <c r="T389" s="5"/>
      <c r="U389" s="5"/>
      <c r="V389" s="5"/>
      <c r="W389" s="5"/>
    </row>
    <row r="390" spans="1:23" ht="16" x14ac:dyDescent="0.2">
      <c r="A390" s="5"/>
      <c r="B390" s="6"/>
      <c r="C390" s="6"/>
      <c r="D390" s="6"/>
      <c r="E390" s="6"/>
      <c r="F390" s="5"/>
      <c r="G390" s="5"/>
      <c r="H390" s="5"/>
      <c r="I390" s="5"/>
      <c r="J390" s="5"/>
      <c r="K390" s="5"/>
      <c r="L390" s="5"/>
      <c r="M390" s="5"/>
      <c r="N390" s="5"/>
      <c r="O390" s="5"/>
      <c r="P390" s="5"/>
      <c r="Q390" s="5"/>
      <c r="R390" s="5"/>
      <c r="S390" s="5"/>
      <c r="T390" s="5"/>
      <c r="U390" s="5"/>
      <c r="V390" s="5"/>
      <c r="W390" s="5"/>
    </row>
    <row r="391" spans="1:23" ht="16" x14ac:dyDescent="0.2">
      <c r="A391" s="5"/>
      <c r="B391" s="6"/>
      <c r="C391" s="6"/>
      <c r="D391" s="6"/>
      <c r="E391" s="6"/>
      <c r="F391" s="5"/>
      <c r="G391" s="5"/>
      <c r="H391" s="5"/>
      <c r="I391" s="5"/>
      <c r="J391" s="5"/>
      <c r="K391" s="5"/>
      <c r="L391" s="5"/>
      <c r="M391" s="5"/>
      <c r="N391" s="5"/>
      <c r="O391" s="5"/>
      <c r="P391" s="5"/>
      <c r="Q391" s="5"/>
      <c r="R391" s="5"/>
      <c r="S391" s="5"/>
      <c r="T391" s="5"/>
      <c r="U391" s="5"/>
      <c r="V391" s="5"/>
      <c r="W391" s="5"/>
    </row>
    <row r="392" spans="1:23" ht="16" x14ac:dyDescent="0.2">
      <c r="A392" s="5"/>
      <c r="B392" s="6"/>
      <c r="C392" s="6"/>
      <c r="D392" s="6"/>
      <c r="E392" s="6"/>
      <c r="F392" s="5"/>
      <c r="G392" s="5"/>
      <c r="H392" s="5"/>
      <c r="I392" s="5"/>
      <c r="J392" s="5"/>
      <c r="K392" s="5"/>
      <c r="L392" s="5"/>
      <c r="M392" s="5"/>
      <c r="N392" s="5"/>
      <c r="O392" s="5"/>
      <c r="P392" s="5"/>
      <c r="Q392" s="5"/>
      <c r="R392" s="5"/>
      <c r="S392" s="5"/>
      <c r="T392" s="5"/>
      <c r="U392" s="5"/>
      <c r="V392" s="5"/>
      <c r="W392" s="5"/>
    </row>
    <row r="393" spans="1:23" ht="16" x14ac:dyDescent="0.2">
      <c r="A393" s="5"/>
      <c r="B393" s="6"/>
      <c r="C393" s="6"/>
      <c r="D393" s="6"/>
      <c r="E393" s="6"/>
      <c r="F393" s="5"/>
      <c r="G393" s="5"/>
      <c r="H393" s="5"/>
      <c r="I393" s="5"/>
      <c r="J393" s="5"/>
      <c r="K393" s="5"/>
      <c r="L393" s="5"/>
      <c r="M393" s="5"/>
      <c r="N393" s="5"/>
      <c r="O393" s="5"/>
      <c r="P393" s="5"/>
      <c r="Q393" s="5"/>
      <c r="R393" s="5"/>
      <c r="S393" s="5"/>
      <c r="T393" s="5"/>
      <c r="U393" s="5"/>
      <c r="V393" s="5"/>
      <c r="W393" s="5"/>
    </row>
    <row r="394" spans="1:23" ht="16" x14ac:dyDescent="0.2">
      <c r="A394" s="5"/>
      <c r="B394" s="6"/>
      <c r="C394" s="6"/>
      <c r="D394" s="6"/>
      <c r="E394" s="6"/>
      <c r="F394" s="5"/>
      <c r="G394" s="5"/>
      <c r="H394" s="5"/>
      <c r="I394" s="5"/>
      <c r="J394" s="5"/>
      <c r="K394" s="5"/>
      <c r="L394" s="5"/>
      <c r="M394" s="5"/>
      <c r="N394" s="5"/>
      <c r="O394" s="5"/>
      <c r="P394" s="5"/>
      <c r="Q394" s="5"/>
      <c r="R394" s="5"/>
      <c r="S394" s="5"/>
      <c r="T394" s="5"/>
      <c r="U394" s="5"/>
      <c r="V394" s="5"/>
      <c r="W394" s="5"/>
    </row>
    <row r="395" spans="1:23" ht="16" x14ac:dyDescent="0.2">
      <c r="A395" s="5"/>
      <c r="B395" s="6"/>
      <c r="C395" s="6"/>
      <c r="D395" s="6"/>
      <c r="E395" s="6"/>
      <c r="F395" s="5"/>
      <c r="G395" s="5"/>
      <c r="H395" s="5"/>
      <c r="I395" s="5"/>
      <c r="J395" s="5"/>
      <c r="K395" s="5"/>
      <c r="L395" s="5"/>
      <c r="M395" s="5"/>
      <c r="N395" s="5"/>
      <c r="O395" s="5"/>
      <c r="P395" s="5"/>
      <c r="Q395" s="5"/>
      <c r="R395" s="5"/>
      <c r="S395" s="5"/>
      <c r="T395" s="5"/>
      <c r="U395" s="5"/>
      <c r="V395" s="5"/>
      <c r="W395" s="5"/>
    </row>
    <row r="396" spans="1:23" ht="16" x14ac:dyDescent="0.2">
      <c r="A396" s="5"/>
      <c r="B396" s="6"/>
      <c r="C396" s="6"/>
      <c r="D396" s="6"/>
      <c r="E396" s="6"/>
      <c r="F396" s="5"/>
      <c r="G396" s="5"/>
      <c r="H396" s="5"/>
      <c r="I396" s="5"/>
      <c r="J396" s="5"/>
      <c r="K396" s="5"/>
      <c r="L396" s="5"/>
      <c r="M396" s="5"/>
      <c r="N396" s="5"/>
      <c r="O396" s="5"/>
      <c r="P396" s="5"/>
      <c r="Q396" s="5"/>
      <c r="R396" s="5"/>
      <c r="S396" s="5"/>
      <c r="T396" s="5"/>
      <c r="U396" s="5"/>
      <c r="V396" s="5"/>
      <c r="W396" s="5"/>
    </row>
    <row r="397" spans="1:23" ht="16" x14ac:dyDescent="0.2">
      <c r="A397" s="5"/>
      <c r="B397" s="6"/>
      <c r="C397" s="6"/>
      <c r="D397" s="6"/>
      <c r="E397" s="6"/>
      <c r="F397" s="5"/>
      <c r="G397" s="5"/>
      <c r="H397" s="5"/>
      <c r="I397" s="5"/>
      <c r="J397" s="5"/>
      <c r="K397" s="5"/>
      <c r="L397" s="5"/>
      <c r="M397" s="5"/>
      <c r="N397" s="5"/>
      <c r="O397" s="5"/>
      <c r="P397" s="5"/>
      <c r="Q397" s="5"/>
      <c r="R397" s="5"/>
      <c r="S397" s="5"/>
      <c r="T397" s="5"/>
      <c r="U397" s="5"/>
      <c r="V397" s="5"/>
      <c r="W397" s="5"/>
    </row>
    <row r="398" spans="1:23" ht="16" x14ac:dyDescent="0.2">
      <c r="A398" s="5"/>
      <c r="B398" s="6"/>
      <c r="C398" s="6"/>
      <c r="D398" s="6"/>
      <c r="E398" s="6"/>
      <c r="F398" s="5"/>
      <c r="G398" s="5"/>
      <c r="H398" s="5"/>
      <c r="I398" s="5"/>
      <c r="J398" s="5"/>
      <c r="K398" s="5"/>
      <c r="L398" s="5"/>
      <c r="M398" s="5"/>
      <c r="N398" s="5"/>
      <c r="O398" s="5"/>
      <c r="P398" s="5"/>
      <c r="Q398" s="5"/>
      <c r="R398" s="5"/>
      <c r="S398" s="5"/>
      <c r="T398" s="5"/>
      <c r="U398" s="5"/>
      <c r="V398" s="5"/>
      <c r="W398" s="5"/>
    </row>
    <row r="399" spans="1:23" ht="16" x14ac:dyDescent="0.2">
      <c r="A399" s="5"/>
      <c r="B399" s="6"/>
      <c r="C399" s="6"/>
      <c r="D399" s="6"/>
      <c r="E399" s="6"/>
      <c r="F399" s="5"/>
      <c r="G399" s="5"/>
      <c r="H399" s="5"/>
      <c r="I399" s="5"/>
      <c r="J399" s="5"/>
      <c r="K399" s="5"/>
      <c r="L399" s="5"/>
      <c r="M399" s="5"/>
      <c r="N399" s="5"/>
      <c r="O399" s="5"/>
      <c r="P399" s="5"/>
      <c r="Q399" s="5"/>
      <c r="R399" s="5"/>
      <c r="S399" s="5"/>
      <c r="T399" s="5"/>
      <c r="U399" s="5"/>
      <c r="V399" s="5"/>
      <c r="W399" s="5"/>
    </row>
    <row r="400" spans="1:23" ht="16" x14ac:dyDescent="0.2">
      <c r="A400" s="5"/>
      <c r="B400" s="6"/>
      <c r="C400" s="6"/>
      <c r="D400" s="6"/>
      <c r="E400" s="6"/>
      <c r="F400" s="5"/>
      <c r="G400" s="5"/>
      <c r="H400" s="5"/>
      <c r="I400" s="5"/>
      <c r="J400" s="5"/>
      <c r="K400" s="5"/>
      <c r="L400" s="5"/>
      <c r="M400" s="5"/>
      <c r="N400" s="5"/>
      <c r="O400" s="5"/>
      <c r="P400" s="5"/>
      <c r="Q400" s="5"/>
      <c r="R400" s="5"/>
      <c r="S400" s="5"/>
      <c r="T400" s="5"/>
      <c r="U400" s="5"/>
      <c r="V400" s="5"/>
      <c r="W400" s="5"/>
    </row>
    <row r="401" spans="1:23" ht="16" x14ac:dyDescent="0.2">
      <c r="A401" s="5"/>
      <c r="B401" s="6"/>
      <c r="C401" s="6"/>
      <c r="D401" s="6"/>
      <c r="E401" s="6"/>
      <c r="F401" s="5"/>
      <c r="G401" s="5"/>
      <c r="H401" s="5"/>
      <c r="I401" s="5"/>
      <c r="J401" s="5"/>
      <c r="K401" s="5"/>
      <c r="L401" s="5"/>
      <c r="M401" s="5"/>
      <c r="N401" s="5"/>
      <c r="O401" s="5"/>
      <c r="P401" s="5"/>
      <c r="Q401" s="5"/>
      <c r="R401" s="5"/>
      <c r="S401" s="5"/>
      <c r="T401" s="5"/>
      <c r="U401" s="5"/>
      <c r="V401" s="5"/>
      <c r="W401" s="5"/>
    </row>
    <row r="402" spans="1:23" ht="16" x14ac:dyDescent="0.2">
      <c r="A402" s="5"/>
      <c r="B402" s="6"/>
      <c r="C402" s="6"/>
      <c r="D402" s="6"/>
      <c r="E402" s="6"/>
      <c r="F402" s="5"/>
      <c r="G402" s="5"/>
      <c r="H402" s="5"/>
      <c r="I402" s="5"/>
      <c r="J402" s="5"/>
      <c r="K402" s="5"/>
      <c r="L402" s="5"/>
      <c r="M402" s="5"/>
      <c r="N402" s="5"/>
      <c r="O402" s="5"/>
      <c r="P402" s="5"/>
      <c r="Q402" s="5"/>
      <c r="R402" s="5"/>
      <c r="S402" s="5"/>
      <c r="T402" s="5"/>
      <c r="U402" s="5"/>
      <c r="V402" s="5"/>
      <c r="W402" s="5"/>
    </row>
    <row r="403" spans="1:23" ht="16" x14ac:dyDescent="0.2">
      <c r="A403" s="5"/>
      <c r="B403" s="6"/>
      <c r="C403" s="6"/>
      <c r="D403" s="6"/>
      <c r="E403" s="6"/>
      <c r="F403" s="5"/>
      <c r="G403" s="5"/>
      <c r="H403" s="5"/>
      <c r="I403" s="5"/>
      <c r="J403" s="5"/>
      <c r="K403" s="5"/>
      <c r="L403" s="5"/>
      <c r="M403" s="5"/>
      <c r="N403" s="5"/>
      <c r="O403" s="5"/>
      <c r="P403" s="5"/>
      <c r="Q403" s="5"/>
      <c r="R403" s="5"/>
      <c r="S403" s="5"/>
      <c r="T403" s="5"/>
      <c r="U403" s="5"/>
      <c r="V403" s="5"/>
      <c r="W403" s="5"/>
    </row>
    <row r="404" spans="1:23" ht="16" x14ac:dyDescent="0.2">
      <c r="A404" s="5"/>
      <c r="B404" s="6"/>
      <c r="C404" s="6"/>
      <c r="D404" s="6"/>
      <c r="E404" s="6"/>
      <c r="F404" s="5"/>
      <c r="G404" s="5"/>
      <c r="H404" s="5"/>
      <c r="I404" s="5"/>
      <c r="J404" s="5"/>
      <c r="K404" s="5"/>
      <c r="L404" s="5"/>
      <c r="M404" s="5"/>
      <c r="N404" s="5"/>
      <c r="O404" s="5"/>
      <c r="P404" s="5"/>
      <c r="Q404" s="5"/>
      <c r="R404" s="5"/>
      <c r="S404" s="5"/>
      <c r="T404" s="5"/>
      <c r="U404" s="5"/>
      <c r="V404" s="5"/>
      <c r="W404" s="5"/>
    </row>
    <row r="405" spans="1:23" ht="16" x14ac:dyDescent="0.2">
      <c r="A405" s="5"/>
      <c r="B405" s="6"/>
      <c r="C405" s="6"/>
      <c r="D405" s="6"/>
      <c r="E405" s="6"/>
      <c r="F405" s="5"/>
      <c r="G405" s="5"/>
      <c r="H405" s="5"/>
      <c r="I405" s="5"/>
      <c r="J405" s="5"/>
      <c r="K405" s="5"/>
      <c r="L405" s="5"/>
      <c r="M405" s="5"/>
      <c r="N405" s="5"/>
      <c r="O405" s="5"/>
      <c r="P405" s="5"/>
      <c r="Q405" s="5"/>
      <c r="R405" s="5"/>
      <c r="S405" s="5"/>
      <c r="T405" s="5"/>
      <c r="U405" s="5"/>
      <c r="V405" s="5"/>
      <c r="W405" s="5"/>
    </row>
    <row r="406" spans="1:23" ht="16" x14ac:dyDescent="0.2">
      <c r="A406" s="5"/>
      <c r="B406" s="6"/>
      <c r="C406" s="6"/>
      <c r="D406" s="6"/>
      <c r="E406" s="6"/>
      <c r="F406" s="5"/>
      <c r="G406" s="5"/>
      <c r="H406" s="5"/>
      <c r="I406" s="5"/>
      <c r="J406" s="5"/>
      <c r="K406" s="5"/>
      <c r="L406" s="5"/>
      <c r="M406" s="5"/>
      <c r="N406" s="5"/>
      <c r="O406" s="5"/>
      <c r="P406" s="5"/>
      <c r="Q406" s="5"/>
      <c r="R406" s="5"/>
      <c r="S406" s="5"/>
      <c r="T406" s="5"/>
      <c r="U406" s="5"/>
      <c r="V406" s="5"/>
      <c r="W406" s="5"/>
    </row>
    <row r="407" spans="1:23" ht="16" x14ac:dyDescent="0.2">
      <c r="A407" s="5"/>
      <c r="B407" s="6"/>
      <c r="C407" s="6"/>
      <c r="D407" s="6"/>
      <c r="E407" s="6"/>
      <c r="F407" s="5"/>
      <c r="G407" s="5"/>
      <c r="H407" s="5"/>
      <c r="I407" s="5"/>
      <c r="J407" s="5"/>
      <c r="K407" s="5"/>
      <c r="L407" s="5"/>
      <c r="M407" s="5"/>
      <c r="N407" s="5"/>
      <c r="O407" s="5"/>
      <c r="P407" s="5"/>
      <c r="Q407" s="5"/>
      <c r="R407" s="5"/>
      <c r="S407" s="5"/>
      <c r="T407" s="5"/>
      <c r="U407" s="5"/>
      <c r="V407" s="5"/>
      <c r="W407" s="5"/>
    </row>
    <row r="408" spans="1:23" ht="16" x14ac:dyDescent="0.2">
      <c r="A408" s="5"/>
      <c r="B408" s="6"/>
      <c r="C408" s="6"/>
      <c r="D408" s="6"/>
      <c r="E408" s="6"/>
      <c r="F408" s="5"/>
      <c r="G408" s="5"/>
      <c r="H408" s="5"/>
      <c r="I408" s="5"/>
      <c r="J408" s="5"/>
      <c r="K408" s="5"/>
      <c r="L408" s="5"/>
      <c r="M408" s="5"/>
      <c r="N408" s="5"/>
      <c r="O408" s="5"/>
      <c r="P408" s="5"/>
      <c r="Q408" s="5"/>
      <c r="R408" s="5"/>
      <c r="S408" s="5"/>
      <c r="T408" s="5"/>
      <c r="U408" s="5"/>
      <c r="V408" s="5"/>
      <c r="W408" s="5"/>
    </row>
    <row r="409" spans="1:23" ht="16" x14ac:dyDescent="0.2">
      <c r="A409" s="5"/>
      <c r="B409" s="6"/>
      <c r="C409" s="6"/>
      <c r="D409" s="6"/>
      <c r="E409" s="6"/>
      <c r="F409" s="5"/>
      <c r="G409" s="5"/>
      <c r="H409" s="5"/>
      <c r="I409" s="5"/>
      <c r="J409" s="5"/>
      <c r="K409" s="5"/>
      <c r="L409" s="5"/>
      <c r="M409" s="5"/>
      <c r="N409" s="5"/>
      <c r="O409" s="5"/>
      <c r="P409" s="5"/>
      <c r="Q409" s="5"/>
      <c r="R409" s="5"/>
      <c r="S409" s="5"/>
      <c r="T409" s="5"/>
      <c r="U409" s="5"/>
      <c r="V409" s="5"/>
      <c r="W409" s="5"/>
    </row>
    <row r="410" spans="1:23" ht="16" x14ac:dyDescent="0.2">
      <c r="A410" s="5"/>
      <c r="B410" s="6"/>
      <c r="C410" s="6"/>
      <c r="D410" s="6"/>
      <c r="E410" s="6"/>
      <c r="F410" s="5"/>
      <c r="G410" s="5"/>
      <c r="H410" s="5"/>
      <c r="I410" s="5"/>
      <c r="J410" s="5"/>
      <c r="K410" s="5"/>
      <c r="L410" s="5"/>
      <c r="M410" s="5"/>
      <c r="N410" s="5"/>
      <c r="O410" s="5"/>
      <c r="P410" s="5"/>
      <c r="Q410" s="5"/>
      <c r="R410" s="5"/>
      <c r="S410" s="5"/>
      <c r="T410" s="5"/>
      <c r="U410" s="5"/>
      <c r="V410" s="5"/>
      <c r="W410" s="5"/>
    </row>
    <row r="411" spans="1:23" ht="16" x14ac:dyDescent="0.2">
      <c r="A411" s="5"/>
      <c r="B411" s="6"/>
      <c r="C411" s="6"/>
      <c r="D411" s="6"/>
      <c r="E411" s="6"/>
      <c r="F411" s="5"/>
      <c r="G411" s="5"/>
      <c r="H411" s="5"/>
      <c r="I411" s="5"/>
      <c r="J411" s="5"/>
      <c r="K411" s="5"/>
      <c r="L411" s="5"/>
      <c r="M411" s="5"/>
      <c r="N411" s="5"/>
      <c r="O411" s="5"/>
      <c r="P411" s="5"/>
      <c r="Q411" s="5"/>
      <c r="R411" s="5"/>
      <c r="S411" s="5"/>
      <c r="T411" s="5"/>
      <c r="U411" s="5"/>
      <c r="V411" s="5"/>
      <c r="W411" s="5"/>
    </row>
    <row r="412" spans="1:23" ht="16" x14ac:dyDescent="0.2">
      <c r="A412" s="5"/>
      <c r="B412" s="6"/>
      <c r="C412" s="6"/>
      <c r="D412" s="6"/>
      <c r="E412" s="6"/>
      <c r="F412" s="5"/>
      <c r="G412" s="5"/>
      <c r="H412" s="5"/>
      <c r="I412" s="5"/>
      <c r="J412" s="5"/>
      <c r="K412" s="5"/>
      <c r="L412" s="5"/>
      <c r="M412" s="5"/>
      <c r="N412" s="5"/>
      <c r="O412" s="5"/>
      <c r="P412" s="5"/>
      <c r="Q412" s="5"/>
      <c r="R412" s="5"/>
      <c r="S412" s="5"/>
      <c r="T412" s="5"/>
      <c r="U412" s="5"/>
      <c r="V412" s="5"/>
      <c r="W412" s="5"/>
    </row>
    <row r="413" spans="1:23" ht="16" x14ac:dyDescent="0.2">
      <c r="A413" s="5"/>
      <c r="B413" s="6"/>
      <c r="C413" s="6"/>
      <c r="D413" s="6"/>
      <c r="E413" s="6"/>
      <c r="F413" s="5"/>
      <c r="G413" s="5"/>
      <c r="H413" s="5"/>
      <c r="I413" s="5"/>
      <c r="J413" s="5"/>
      <c r="K413" s="5"/>
      <c r="L413" s="5"/>
      <c r="M413" s="5"/>
      <c r="N413" s="5"/>
      <c r="O413" s="5"/>
      <c r="P413" s="5"/>
      <c r="Q413" s="5"/>
      <c r="R413" s="5"/>
      <c r="S413" s="5"/>
      <c r="T413" s="5"/>
      <c r="U413" s="5"/>
      <c r="V413" s="5"/>
      <c r="W413" s="5"/>
    </row>
    <row r="414" spans="1:23" ht="16" x14ac:dyDescent="0.2">
      <c r="A414" s="5"/>
      <c r="B414" s="6"/>
      <c r="C414" s="6"/>
      <c r="D414" s="6"/>
      <c r="E414" s="6"/>
      <c r="F414" s="5"/>
      <c r="G414" s="5"/>
      <c r="H414" s="5"/>
      <c r="I414" s="5"/>
      <c r="J414" s="5"/>
      <c r="K414" s="5"/>
      <c r="L414" s="5"/>
      <c r="M414" s="5"/>
      <c r="N414" s="5"/>
      <c r="O414" s="5"/>
      <c r="P414" s="5"/>
      <c r="Q414" s="5"/>
      <c r="R414" s="5"/>
      <c r="S414" s="5"/>
      <c r="T414" s="5"/>
      <c r="U414" s="5"/>
      <c r="V414" s="5"/>
      <c r="W414" s="5"/>
    </row>
    <row r="415" spans="1:23" ht="16" x14ac:dyDescent="0.2">
      <c r="A415" s="5"/>
      <c r="B415" s="6"/>
      <c r="C415" s="6"/>
      <c r="D415" s="6"/>
      <c r="E415" s="6"/>
      <c r="F415" s="5"/>
      <c r="G415" s="5"/>
      <c r="H415" s="5"/>
      <c r="I415" s="5"/>
      <c r="J415" s="5"/>
      <c r="K415" s="5"/>
      <c r="L415" s="5"/>
      <c r="M415" s="5"/>
      <c r="N415" s="5"/>
      <c r="O415" s="5"/>
      <c r="P415" s="5"/>
      <c r="Q415" s="5"/>
      <c r="R415" s="5"/>
      <c r="S415" s="5"/>
      <c r="T415" s="5"/>
      <c r="U415" s="5"/>
      <c r="V415" s="5"/>
      <c r="W415" s="5"/>
    </row>
    <row r="416" spans="1:23" ht="16" x14ac:dyDescent="0.2">
      <c r="A416" s="5"/>
      <c r="B416" s="6"/>
      <c r="C416" s="6"/>
      <c r="D416" s="6"/>
      <c r="E416" s="6"/>
      <c r="F416" s="5"/>
      <c r="G416" s="5"/>
      <c r="H416" s="5"/>
      <c r="I416" s="5"/>
      <c r="J416" s="5"/>
      <c r="K416" s="5"/>
      <c r="L416" s="5"/>
      <c r="M416" s="5"/>
      <c r="N416" s="5"/>
      <c r="O416" s="5"/>
      <c r="P416" s="5"/>
      <c r="Q416" s="5"/>
      <c r="R416" s="5"/>
      <c r="S416" s="5"/>
      <c r="T416" s="5"/>
      <c r="U416" s="5"/>
      <c r="V416" s="5"/>
      <c r="W416" s="5"/>
    </row>
    <row r="417" spans="1:23" ht="16" x14ac:dyDescent="0.2">
      <c r="A417" s="5"/>
      <c r="B417" s="6"/>
      <c r="C417" s="6"/>
      <c r="D417" s="6"/>
      <c r="E417" s="6"/>
      <c r="F417" s="5"/>
      <c r="G417" s="5"/>
      <c r="H417" s="5"/>
      <c r="I417" s="5"/>
      <c r="J417" s="5"/>
      <c r="K417" s="5"/>
      <c r="L417" s="5"/>
      <c r="M417" s="5"/>
      <c r="N417" s="5"/>
      <c r="O417" s="5"/>
      <c r="P417" s="5"/>
      <c r="Q417" s="5"/>
      <c r="R417" s="5"/>
      <c r="S417" s="5"/>
      <c r="T417" s="5"/>
      <c r="U417" s="5"/>
      <c r="V417" s="5"/>
      <c r="W417" s="5"/>
    </row>
    <row r="418" spans="1:23" ht="16" x14ac:dyDescent="0.2">
      <c r="A418" s="5"/>
      <c r="B418" s="6"/>
      <c r="C418" s="6"/>
      <c r="D418" s="6"/>
      <c r="E418" s="6"/>
      <c r="F418" s="5"/>
      <c r="G418" s="5"/>
      <c r="H418" s="5"/>
      <c r="I418" s="5"/>
      <c r="J418" s="5"/>
      <c r="K418" s="5"/>
      <c r="L418" s="5"/>
      <c r="M418" s="5"/>
      <c r="N418" s="5"/>
      <c r="O418" s="5"/>
      <c r="P418" s="5"/>
      <c r="Q418" s="5"/>
      <c r="R418" s="5"/>
      <c r="S418" s="5"/>
      <c r="T418" s="5"/>
      <c r="U418" s="5"/>
      <c r="V418" s="5"/>
      <c r="W418" s="5"/>
    </row>
    <row r="419" spans="1:23" ht="16" x14ac:dyDescent="0.2">
      <c r="A419" s="5"/>
      <c r="B419" s="6"/>
      <c r="C419" s="6"/>
      <c r="D419" s="6"/>
      <c r="E419" s="6"/>
      <c r="F419" s="5"/>
      <c r="G419" s="5"/>
      <c r="H419" s="5"/>
      <c r="I419" s="5"/>
      <c r="J419" s="5"/>
      <c r="K419" s="5"/>
      <c r="L419" s="5"/>
      <c r="M419" s="5"/>
      <c r="N419" s="5"/>
      <c r="O419" s="5"/>
      <c r="P419" s="5"/>
      <c r="Q419" s="5"/>
      <c r="R419" s="5"/>
      <c r="S419" s="5"/>
      <c r="T419" s="5"/>
      <c r="U419" s="5"/>
      <c r="V419" s="5"/>
      <c r="W419" s="5"/>
    </row>
    <row r="420" spans="1:23" ht="16" x14ac:dyDescent="0.2">
      <c r="A420" s="5"/>
      <c r="B420" s="6"/>
      <c r="C420" s="6"/>
      <c r="D420" s="6"/>
      <c r="E420" s="6"/>
      <c r="F420" s="5"/>
      <c r="G420" s="5"/>
      <c r="H420" s="5"/>
      <c r="I420" s="5"/>
      <c r="J420" s="5"/>
      <c r="K420" s="5"/>
      <c r="L420" s="5"/>
      <c r="M420" s="5"/>
      <c r="N420" s="5"/>
      <c r="O420" s="5"/>
      <c r="P420" s="5"/>
      <c r="Q420" s="5"/>
      <c r="R420" s="5"/>
      <c r="S420" s="5"/>
      <c r="T420" s="5"/>
      <c r="U420" s="5"/>
      <c r="V420" s="5"/>
      <c r="W420" s="5"/>
    </row>
    <row r="421" spans="1:23" ht="16" x14ac:dyDescent="0.2">
      <c r="A421" s="5"/>
      <c r="B421" s="6"/>
      <c r="C421" s="6"/>
      <c r="D421" s="6"/>
      <c r="E421" s="6"/>
      <c r="F421" s="5"/>
      <c r="G421" s="5"/>
      <c r="H421" s="5"/>
      <c r="I421" s="5"/>
      <c r="J421" s="5"/>
      <c r="K421" s="5"/>
      <c r="L421" s="5"/>
      <c r="M421" s="5"/>
      <c r="N421" s="5"/>
      <c r="O421" s="5"/>
      <c r="P421" s="5"/>
      <c r="Q421" s="5"/>
      <c r="R421" s="5"/>
      <c r="S421" s="5"/>
      <c r="T421" s="5"/>
      <c r="U421" s="5"/>
      <c r="V421" s="5"/>
      <c r="W421" s="5"/>
    </row>
    <row r="422" spans="1:23" ht="16" x14ac:dyDescent="0.2">
      <c r="A422" s="5"/>
      <c r="B422" s="6"/>
      <c r="C422" s="6"/>
      <c r="D422" s="6"/>
      <c r="E422" s="6"/>
      <c r="F422" s="5"/>
      <c r="G422" s="5"/>
      <c r="H422" s="5"/>
      <c r="I422" s="5"/>
      <c r="J422" s="5"/>
      <c r="K422" s="5"/>
      <c r="L422" s="5"/>
      <c r="M422" s="5"/>
      <c r="N422" s="5"/>
      <c r="O422" s="5"/>
      <c r="P422" s="5"/>
      <c r="Q422" s="5"/>
      <c r="R422" s="5"/>
      <c r="S422" s="5"/>
      <c r="T422" s="5"/>
      <c r="U422" s="5"/>
      <c r="V422" s="5"/>
      <c r="W422" s="5"/>
    </row>
    <row r="423" spans="1:23" ht="16" x14ac:dyDescent="0.2">
      <c r="A423" s="5"/>
      <c r="B423" s="6"/>
      <c r="C423" s="6"/>
      <c r="D423" s="6"/>
      <c r="E423" s="6"/>
      <c r="F423" s="5"/>
      <c r="G423" s="5"/>
      <c r="H423" s="5"/>
      <c r="I423" s="5"/>
      <c r="J423" s="5"/>
      <c r="K423" s="5"/>
      <c r="L423" s="5"/>
      <c r="M423" s="5"/>
      <c r="N423" s="5"/>
      <c r="O423" s="5"/>
      <c r="P423" s="5"/>
      <c r="Q423" s="5"/>
      <c r="R423" s="5"/>
      <c r="S423" s="5"/>
      <c r="T423" s="5"/>
      <c r="U423" s="5"/>
      <c r="V423" s="5"/>
      <c r="W423" s="5"/>
    </row>
    <row r="424" spans="1:23" ht="16" x14ac:dyDescent="0.2">
      <c r="A424" s="5"/>
      <c r="B424" s="6"/>
      <c r="C424" s="6"/>
      <c r="D424" s="6"/>
      <c r="E424" s="6"/>
      <c r="F424" s="5"/>
      <c r="G424" s="5"/>
      <c r="H424" s="5"/>
      <c r="I424" s="5"/>
      <c r="J424" s="5"/>
      <c r="K424" s="5"/>
      <c r="L424" s="5"/>
      <c r="M424" s="5"/>
      <c r="N424" s="5"/>
      <c r="O424" s="5"/>
      <c r="P424" s="5"/>
      <c r="Q424" s="5"/>
      <c r="R424" s="5"/>
      <c r="S424" s="5"/>
      <c r="T424" s="5"/>
      <c r="U424" s="5"/>
      <c r="V424" s="5"/>
      <c r="W424" s="5"/>
    </row>
    <row r="425" spans="1:23" ht="16" x14ac:dyDescent="0.2">
      <c r="A425" s="5"/>
      <c r="B425" s="6"/>
      <c r="C425" s="6"/>
      <c r="D425" s="6"/>
      <c r="E425" s="6"/>
      <c r="F425" s="5"/>
      <c r="G425" s="5"/>
      <c r="H425" s="5"/>
      <c r="I425" s="5"/>
      <c r="J425" s="5"/>
      <c r="K425" s="5"/>
      <c r="L425" s="5"/>
      <c r="M425" s="5"/>
      <c r="N425" s="5"/>
      <c r="O425" s="5"/>
      <c r="P425" s="5"/>
      <c r="Q425" s="5"/>
      <c r="R425" s="5"/>
      <c r="S425" s="5"/>
      <c r="T425" s="5"/>
      <c r="U425" s="5"/>
      <c r="V425" s="5"/>
      <c r="W425" s="5"/>
    </row>
    <row r="426" spans="1:23" ht="16" x14ac:dyDescent="0.2">
      <c r="A426" s="5"/>
      <c r="B426" s="6"/>
      <c r="C426" s="6"/>
      <c r="D426" s="6"/>
      <c r="E426" s="6"/>
      <c r="F426" s="5"/>
      <c r="G426" s="5"/>
      <c r="H426" s="5"/>
      <c r="I426" s="5"/>
      <c r="J426" s="5"/>
      <c r="K426" s="5"/>
      <c r="L426" s="5"/>
      <c r="M426" s="5"/>
      <c r="N426" s="5"/>
      <c r="O426" s="5"/>
      <c r="P426" s="5"/>
      <c r="Q426" s="5"/>
      <c r="R426" s="5"/>
      <c r="S426" s="5"/>
      <c r="T426" s="5"/>
      <c r="U426" s="5"/>
      <c r="V426" s="5"/>
      <c r="W426" s="5"/>
    </row>
    <row r="427" spans="1:23" ht="16" x14ac:dyDescent="0.2">
      <c r="A427" s="5"/>
      <c r="B427" s="6"/>
      <c r="C427" s="6"/>
      <c r="D427" s="6"/>
      <c r="E427" s="6"/>
      <c r="F427" s="5"/>
      <c r="G427" s="5"/>
      <c r="H427" s="5"/>
      <c r="I427" s="5"/>
      <c r="J427" s="5"/>
      <c r="K427" s="5"/>
      <c r="L427" s="5"/>
      <c r="M427" s="5"/>
      <c r="N427" s="5"/>
      <c r="O427" s="5"/>
      <c r="P427" s="5"/>
      <c r="Q427" s="5"/>
      <c r="R427" s="5"/>
      <c r="S427" s="5"/>
      <c r="T427" s="5"/>
      <c r="U427" s="5"/>
      <c r="V427" s="5"/>
      <c r="W427" s="5"/>
    </row>
    <row r="428" spans="1:23" ht="16" x14ac:dyDescent="0.2">
      <c r="A428" s="5"/>
      <c r="B428" s="6"/>
      <c r="C428" s="6"/>
      <c r="D428" s="6"/>
      <c r="E428" s="6"/>
      <c r="F428" s="5"/>
      <c r="G428" s="5"/>
      <c r="H428" s="5"/>
      <c r="I428" s="5"/>
      <c r="J428" s="5"/>
      <c r="K428" s="5"/>
      <c r="L428" s="5"/>
      <c r="M428" s="5"/>
      <c r="N428" s="5"/>
      <c r="O428" s="5"/>
      <c r="P428" s="5"/>
      <c r="Q428" s="5"/>
      <c r="R428" s="5"/>
      <c r="S428" s="5"/>
      <c r="T428" s="5"/>
      <c r="U428" s="5"/>
      <c r="V428" s="5"/>
      <c r="W428" s="5"/>
    </row>
    <row r="429" spans="1:23" ht="16" x14ac:dyDescent="0.2">
      <c r="A429" s="5"/>
      <c r="B429" s="6"/>
      <c r="C429" s="6"/>
      <c r="D429" s="6"/>
      <c r="E429" s="6"/>
      <c r="F429" s="5"/>
      <c r="G429" s="5"/>
      <c r="H429" s="5"/>
      <c r="I429" s="5"/>
      <c r="J429" s="5"/>
      <c r="K429" s="5"/>
      <c r="L429" s="5"/>
      <c r="M429" s="5"/>
      <c r="N429" s="5"/>
      <c r="O429" s="5"/>
      <c r="P429" s="5"/>
      <c r="Q429" s="5"/>
      <c r="R429" s="5"/>
      <c r="S429" s="5"/>
      <c r="T429" s="5"/>
      <c r="U429" s="5"/>
      <c r="V429" s="5"/>
      <c r="W429" s="5"/>
    </row>
    <row r="430" spans="1:23" ht="16" x14ac:dyDescent="0.2">
      <c r="A430" s="5"/>
      <c r="B430" s="6"/>
      <c r="C430" s="6"/>
      <c r="D430" s="6"/>
      <c r="E430" s="6"/>
      <c r="F430" s="5"/>
      <c r="G430" s="5"/>
      <c r="H430" s="5"/>
      <c r="I430" s="5"/>
      <c r="J430" s="5"/>
      <c r="K430" s="5"/>
      <c r="L430" s="5"/>
      <c r="M430" s="5"/>
      <c r="N430" s="5"/>
      <c r="O430" s="5"/>
      <c r="P430" s="5"/>
      <c r="Q430" s="5"/>
      <c r="R430" s="5"/>
      <c r="S430" s="5"/>
      <c r="T430" s="5"/>
      <c r="U430" s="5"/>
      <c r="V430" s="5"/>
      <c r="W430" s="5"/>
    </row>
    <row r="431" spans="1:23" ht="16" x14ac:dyDescent="0.2">
      <c r="A431" s="5"/>
      <c r="B431" s="6"/>
      <c r="C431" s="6"/>
      <c r="D431" s="6"/>
      <c r="E431" s="6"/>
      <c r="F431" s="5"/>
      <c r="G431" s="5"/>
      <c r="H431" s="5"/>
      <c r="I431" s="5"/>
      <c r="J431" s="5"/>
      <c r="K431" s="5"/>
      <c r="L431" s="5"/>
      <c r="M431" s="5"/>
      <c r="N431" s="5"/>
      <c r="O431" s="5"/>
      <c r="P431" s="5"/>
      <c r="Q431" s="5"/>
      <c r="R431" s="5"/>
      <c r="S431" s="5"/>
      <c r="T431" s="5"/>
      <c r="U431" s="5"/>
      <c r="V431" s="5"/>
      <c r="W431" s="5"/>
    </row>
    <row r="432" spans="1:23" ht="16" x14ac:dyDescent="0.2">
      <c r="A432" s="5"/>
      <c r="B432" s="6"/>
      <c r="C432" s="6"/>
      <c r="D432" s="6"/>
      <c r="E432" s="6"/>
      <c r="F432" s="5"/>
      <c r="G432" s="5"/>
      <c r="H432" s="5"/>
      <c r="I432" s="5"/>
      <c r="J432" s="5"/>
      <c r="K432" s="5"/>
      <c r="L432" s="5"/>
      <c r="M432" s="5"/>
      <c r="N432" s="5"/>
      <c r="O432" s="5"/>
      <c r="P432" s="5"/>
      <c r="Q432" s="5"/>
      <c r="R432" s="5"/>
      <c r="S432" s="5"/>
      <c r="T432" s="5"/>
      <c r="U432" s="5"/>
      <c r="V432" s="5"/>
      <c r="W432" s="5"/>
    </row>
    <row r="433" spans="1:23" ht="16" x14ac:dyDescent="0.2">
      <c r="A433" s="5"/>
      <c r="B433" s="6"/>
      <c r="C433" s="6"/>
      <c r="D433" s="6"/>
      <c r="E433" s="6"/>
      <c r="F433" s="5"/>
      <c r="G433" s="5"/>
      <c r="H433" s="5"/>
      <c r="I433" s="5"/>
      <c r="J433" s="5"/>
      <c r="K433" s="5"/>
      <c r="L433" s="5"/>
      <c r="M433" s="5"/>
      <c r="N433" s="5"/>
      <c r="O433" s="5"/>
      <c r="P433" s="5"/>
      <c r="Q433" s="5"/>
      <c r="R433" s="5"/>
      <c r="S433" s="5"/>
      <c r="T433" s="5"/>
      <c r="U433" s="5"/>
      <c r="V433" s="5"/>
      <c r="W433" s="5"/>
    </row>
    <row r="434" spans="1:23" ht="16" x14ac:dyDescent="0.2">
      <c r="A434" s="5"/>
      <c r="B434" s="6"/>
      <c r="C434" s="6"/>
      <c r="D434" s="6"/>
      <c r="E434" s="6"/>
      <c r="F434" s="5"/>
      <c r="G434" s="5"/>
      <c r="H434" s="5"/>
      <c r="I434" s="5"/>
      <c r="J434" s="5"/>
      <c r="K434" s="5"/>
      <c r="L434" s="5"/>
      <c r="M434" s="5"/>
      <c r="N434" s="5"/>
      <c r="O434" s="5"/>
      <c r="P434" s="5"/>
      <c r="Q434" s="5"/>
      <c r="R434" s="5"/>
      <c r="S434" s="5"/>
      <c r="T434" s="5"/>
      <c r="U434" s="5"/>
      <c r="V434" s="5"/>
      <c r="W434" s="5"/>
    </row>
    <row r="435" spans="1:23" ht="16" x14ac:dyDescent="0.2">
      <c r="A435" s="5"/>
      <c r="B435" s="6"/>
      <c r="C435" s="6"/>
      <c r="D435" s="6"/>
      <c r="E435" s="6"/>
      <c r="F435" s="5"/>
      <c r="G435" s="5"/>
      <c r="H435" s="5"/>
      <c r="I435" s="5"/>
      <c r="J435" s="5"/>
      <c r="K435" s="5"/>
      <c r="L435" s="5"/>
      <c r="M435" s="5"/>
      <c r="N435" s="5"/>
      <c r="O435" s="5"/>
      <c r="P435" s="5"/>
      <c r="Q435" s="5"/>
      <c r="R435" s="5"/>
      <c r="S435" s="5"/>
      <c r="T435" s="5"/>
      <c r="U435" s="5"/>
      <c r="V435" s="5"/>
      <c r="W435" s="5"/>
    </row>
    <row r="436" spans="1:23" ht="16" x14ac:dyDescent="0.2">
      <c r="A436" s="5"/>
      <c r="B436" s="6"/>
      <c r="C436" s="6"/>
      <c r="D436" s="6"/>
      <c r="E436" s="6"/>
      <c r="F436" s="5"/>
      <c r="G436" s="5"/>
      <c r="H436" s="5"/>
      <c r="I436" s="5"/>
      <c r="J436" s="5"/>
      <c r="K436" s="5"/>
      <c r="L436" s="5"/>
      <c r="M436" s="5"/>
      <c r="N436" s="5"/>
      <c r="O436" s="5"/>
      <c r="P436" s="5"/>
      <c r="Q436" s="5"/>
      <c r="R436" s="5"/>
      <c r="S436" s="5"/>
      <c r="T436" s="5"/>
      <c r="U436" s="5"/>
      <c r="V436" s="5"/>
      <c r="W436" s="5"/>
    </row>
    <row r="437" spans="1:23" ht="16" x14ac:dyDescent="0.2">
      <c r="A437" s="5"/>
      <c r="B437" s="6"/>
      <c r="C437" s="6"/>
      <c r="D437" s="6"/>
      <c r="E437" s="6"/>
      <c r="F437" s="5"/>
      <c r="G437" s="5"/>
      <c r="H437" s="5"/>
      <c r="I437" s="5"/>
      <c r="J437" s="5"/>
      <c r="K437" s="5"/>
      <c r="L437" s="5"/>
      <c r="M437" s="5"/>
      <c r="N437" s="5"/>
      <c r="O437" s="5"/>
      <c r="P437" s="5"/>
      <c r="Q437" s="5"/>
      <c r="R437" s="5"/>
      <c r="S437" s="5"/>
      <c r="T437" s="5"/>
      <c r="U437" s="5"/>
      <c r="V437" s="5"/>
      <c r="W437" s="5"/>
    </row>
    <row r="438" spans="1:23" ht="16" x14ac:dyDescent="0.2">
      <c r="A438" s="5"/>
      <c r="B438" s="6"/>
      <c r="C438" s="6"/>
      <c r="D438" s="6"/>
      <c r="E438" s="6"/>
      <c r="F438" s="5"/>
      <c r="G438" s="5"/>
      <c r="H438" s="5"/>
      <c r="I438" s="5"/>
      <c r="J438" s="5"/>
      <c r="K438" s="5"/>
      <c r="L438" s="5"/>
      <c r="M438" s="5"/>
      <c r="N438" s="5"/>
      <c r="O438" s="5"/>
      <c r="P438" s="5"/>
      <c r="Q438" s="5"/>
      <c r="R438" s="5"/>
      <c r="S438" s="5"/>
      <c r="T438" s="5"/>
      <c r="U438" s="5"/>
      <c r="V438" s="5"/>
      <c r="W438" s="5"/>
    </row>
    <row r="439" spans="1:23" ht="16" x14ac:dyDescent="0.2">
      <c r="A439" s="5"/>
      <c r="B439" s="6"/>
      <c r="C439" s="6"/>
      <c r="D439" s="6"/>
      <c r="E439" s="6"/>
      <c r="F439" s="5"/>
      <c r="G439" s="5"/>
      <c r="H439" s="5"/>
      <c r="I439" s="5"/>
      <c r="J439" s="5"/>
      <c r="K439" s="5"/>
      <c r="L439" s="5"/>
      <c r="M439" s="5"/>
      <c r="N439" s="5"/>
      <c r="O439" s="5"/>
      <c r="P439" s="5"/>
      <c r="Q439" s="5"/>
      <c r="R439" s="5"/>
      <c r="S439" s="5"/>
      <c r="T439" s="5"/>
      <c r="U439" s="5"/>
      <c r="V439" s="5"/>
      <c r="W439" s="5"/>
    </row>
    <row r="440" spans="1:23" ht="16" x14ac:dyDescent="0.2">
      <c r="A440" s="5"/>
      <c r="B440" s="6"/>
      <c r="C440" s="6"/>
      <c r="D440" s="6"/>
      <c r="E440" s="6"/>
      <c r="F440" s="5"/>
      <c r="G440" s="5"/>
      <c r="H440" s="5"/>
      <c r="I440" s="5"/>
      <c r="J440" s="5"/>
      <c r="K440" s="5"/>
      <c r="L440" s="5"/>
      <c r="M440" s="5"/>
      <c r="N440" s="5"/>
      <c r="O440" s="5"/>
      <c r="P440" s="5"/>
      <c r="Q440" s="5"/>
      <c r="R440" s="5"/>
      <c r="S440" s="5"/>
      <c r="T440" s="5"/>
      <c r="U440" s="5"/>
      <c r="V440" s="5"/>
      <c r="W440" s="5"/>
    </row>
    <row r="441" spans="1:23" ht="16" x14ac:dyDescent="0.2">
      <c r="A441" s="5"/>
      <c r="B441" s="6"/>
      <c r="C441" s="6"/>
      <c r="D441" s="6"/>
      <c r="E441" s="6"/>
      <c r="F441" s="5"/>
      <c r="G441" s="5"/>
      <c r="H441" s="5"/>
      <c r="I441" s="5"/>
      <c r="J441" s="5"/>
      <c r="K441" s="5"/>
      <c r="L441" s="5"/>
      <c r="M441" s="5"/>
      <c r="N441" s="5"/>
      <c r="O441" s="5"/>
      <c r="P441" s="5"/>
      <c r="Q441" s="5"/>
      <c r="R441" s="5"/>
      <c r="S441" s="5"/>
      <c r="T441" s="5"/>
      <c r="U441" s="5"/>
      <c r="V441" s="5"/>
      <c r="W441" s="5"/>
    </row>
    <row r="442" spans="1:23" ht="16" x14ac:dyDescent="0.2">
      <c r="A442" s="5"/>
      <c r="B442" s="6"/>
      <c r="C442" s="6"/>
      <c r="D442" s="6"/>
      <c r="E442" s="6"/>
      <c r="F442" s="5"/>
      <c r="G442" s="5"/>
      <c r="H442" s="5"/>
      <c r="I442" s="5"/>
      <c r="J442" s="5"/>
      <c r="K442" s="5"/>
      <c r="L442" s="5"/>
      <c r="M442" s="5"/>
      <c r="N442" s="5"/>
      <c r="O442" s="5"/>
      <c r="P442" s="5"/>
      <c r="Q442" s="5"/>
      <c r="R442" s="5"/>
      <c r="S442" s="5"/>
      <c r="T442" s="5"/>
      <c r="U442" s="5"/>
      <c r="V442" s="5"/>
      <c r="W442" s="5"/>
    </row>
    <row r="443" spans="1:23" ht="16" x14ac:dyDescent="0.2">
      <c r="A443" s="5"/>
      <c r="B443" s="6"/>
      <c r="C443" s="6"/>
      <c r="D443" s="6"/>
      <c r="E443" s="6"/>
      <c r="F443" s="5"/>
      <c r="G443" s="5"/>
      <c r="H443" s="5"/>
      <c r="I443" s="5"/>
      <c r="J443" s="5"/>
      <c r="K443" s="5"/>
      <c r="L443" s="5"/>
      <c r="M443" s="5"/>
      <c r="N443" s="5"/>
      <c r="O443" s="5"/>
      <c r="P443" s="5"/>
      <c r="Q443" s="5"/>
      <c r="R443" s="5"/>
      <c r="S443" s="5"/>
      <c r="T443" s="5"/>
      <c r="U443" s="5"/>
      <c r="V443" s="5"/>
      <c r="W443" s="5"/>
    </row>
    <row r="444" spans="1:23" ht="16" x14ac:dyDescent="0.2">
      <c r="A444" s="5"/>
      <c r="B444" s="6"/>
      <c r="C444" s="6"/>
      <c r="D444" s="6"/>
      <c r="E444" s="6"/>
      <c r="F444" s="5"/>
      <c r="G444" s="5"/>
      <c r="H444" s="5"/>
      <c r="I444" s="5"/>
      <c r="J444" s="5"/>
      <c r="K444" s="5"/>
      <c r="L444" s="5"/>
      <c r="M444" s="5"/>
      <c r="N444" s="5"/>
      <c r="O444" s="5"/>
      <c r="P444" s="5"/>
      <c r="Q444" s="5"/>
      <c r="R444" s="5"/>
      <c r="S444" s="5"/>
      <c r="T444" s="5"/>
      <c r="U444" s="5"/>
      <c r="V444" s="5"/>
      <c r="W444" s="5"/>
    </row>
    <row r="445" spans="1:23" ht="16" x14ac:dyDescent="0.2">
      <c r="A445" s="5"/>
      <c r="B445" s="6"/>
      <c r="C445" s="6"/>
      <c r="D445" s="6"/>
      <c r="E445" s="6"/>
      <c r="F445" s="5"/>
      <c r="G445" s="5"/>
      <c r="H445" s="5"/>
      <c r="I445" s="5"/>
      <c r="J445" s="5"/>
      <c r="K445" s="5"/>
      <c r="L445" s="5"/>
      <c r="M445" s="5"/>
      <c r="N445" s="5"/>
      <c r="O445" s="5"/>
      <c r="P445" s="5"/>
      <c r="Q445" s="5"/>
      <c r="R445" s="5"/>
      <c r="S445" s="5"/>
      <c r="T445" s="5"/>
      <c r="U445" s="5"/>
      <c r="V445" s="5"/>
      <c r="W445" s="5"/>
    </row>
    <row r="446" spans="1:23" ht="16" x14ac:dyDescent="0.2">
      <c r="A446" s="5"/>
      <c r="B446" s="6"/>
      <c r="C446" s="6"/>
      <c r="D446" s="6"/>
      <c r="E446" s="6"/>
      <c r="F446" s="5"/>
      <c r="G446" s="5"/>
      <c r="H446" s="5"/>
      <c r="I446" s="5"/>
      <c r="J446" s="5"/>
      <c r="K446" s="5"/>
      <c r="L446" s="5"/>
      <c r="M446" s="5"/>
      <c r="N446" s="5"/>
      <c r="O446" s="5"/>
      <c r="P446" s="5"/>
      <c r="Q446" s="5"/>
      <c r="R446" s="5"/>
      <c r="S446" s="5"/>
      <c r="T446" s="5"/>
      <c r="U446" s="5"/>
      <c r="V446" s="5"/>
      <c r="W446" s="5"/>
    </row>
    <row r="447" spans="1:23" ht="16" x14ac:dyDescent="0.2">
      <c r="A447" s="5"/>
      <c r="B447" s="6"/>
      <c r="C447" s="6"/>
      <c r="D447" s="6"/>
      <c r="E447" s="6"/>
      <c r="F447" s="5"/>
      <c r="G447" s="5"/>
      <c r="H447" s="5"/>
      <c r="I447" s="5"/>
      <c r="J447" s="5"/>
      <c r="K447" s="5"/>
      <c r="L447" s="5"/>
      <c r="M447" s="5"/>
      <c r="N447" s="5"/>
      <c r="O447" s="5"/>
      <c r="P447" s="5"/>
      <c r="Q447" s="5"/>
      <c r="R447" s="5"/>
      <c r="S447" s="5"/>
      <c r="T447" s="5"/>
      <c r="U447" s="5"/>
      <c r="V447" s="5"/>
      <c r="W447" s="5"/>
    </row>
    <row r="448" spans="1:23" ht="16" x14ac:dyDescent="0.2">
      <c r="A448" s="5"/>
      <c r="B448" s="6"/>
      <c r="C448" s="6"/>
      <c r="D448" s="6"/>
      <c r="E448" s="6"/>
      <c r="F448" s="5"/>
      <c r="G448" s="5"/>
      <c r="H448" s="5"/>
      <c r="I448" s="5"/>
      <c r="J448" s="5"/>
      <c r="K448" s="5"/>
      <c r="L448" s="5"/>
      <c r="M448" s="5"/>
      <c r="N448" s="5"/>
      <c r="O448" s="5"/>
      <c r="P448" s="5"/>
      <c r="Q448" s="5"/>
      <c r="R448" s="5"/>
      <c r="S448" s="5"/>
      <c r="T448" s="5"/>
      <c r="U448" s="5"/>
      <c r="V448" s="5"/>
      <c r="W448" s="5"/>
    </row>
    <row r="449" spans="1:23" ht="16" x14ac:dyDescent="0.2">
      <c r="A449" s="5"/>
      <c r="B449" s="6"/>
      <c r="C449" s="6"/>
      <c r="D449" s="6"/>
      <c r="E449" s="6"/>
      <c r="F449" s="5"/>
      <c r="G449" s="5"/>
      <c r="H449" s="5"/>
      <c r="I449" s="5"/>
      <c r="J449" s="5"/>
      <c r="K449" s="5"/>
      <c r="L449" s="5"/>
      <c r="M449" s="5"/>
      <c r="N449" s="5"/>
      <c r="O449" s="5"/>
      <c r="P449" s="5"/>
      <c r="Q449" s="5"/>
      <c r="R449" s="5"/>
      <c r="S449" s="5"/>
      <c r="T449" s="5"/>
      <c r="U449" s="5"/>
      <c r="V449" s="5"/>
      <c r="W449" s="5"/>
    </row>
    <row r="450" spans="1:23" ht="16" x14ac:dyDescent="0.2">
      <c r="A450" s="5"/>
      <c r="B450" s="6"/>
      <c r="C450" s="6"/>
      <c r="D450" s="6"/>
      <c r="E450" s="6"/>
      <c r="F450" s="5"/>
      <c r="G450" s="5"/>
      <c r="H450" s="5"/>
      <c r="I450" s="5"/>
      <c r="J450" s="5"/>
      <c r="K450" s="5"/>
      <c r="L450" s="5"/>
      <c r="M450" s="5"/>
      <c r="N450" s="5"/>
      <c r="O450" s="5"/>
      <c r="P450" s="5"/>
      <c r="Q450" s="5"/>
      <c r="R450" s="5"/>
      <c r="S450" s="5"/>
      <c r="T450" s="5"/>
      <c r="U450" s="5"/>
      <c r="V450" s="5"/>
      <c r="W450" s="5"/>
    </row>
    <row r="451" spans="1:23" ht="16" x14ac:dyDescent="0.2">
      <c r="A451" s="5"/>
      <c r="B451" s="6"/>
      <c r="C451" s="6"/>
      <c r="D451" s="6"/>
      <c r="E451" s="6"/>
      <c r="F451" s="5"/>
      <c r="G451" s="5"/>
      <c r="H451" s="5"/>
      <c r="I451" s="5"/>
      <c r="J451" s="5"/>
      <c r="K451" s="5"/>
      <c r="L451" s="5"/>
      <c r="M451" s="5"/>
      <c r="N451" s="5"/>
      <c r="O451" s="5"/>
      <c r="P451" s="5"/>
      <c r="Q451" s="5"/>
      <c r="R451" s="5"/>
      <c r="S451" s="5"/>
      <c r="T451" s="5"/>
      <c r="U451" s="5"/>
      <c r="V451" s="5"/>
      <c r="W451" s="5"/>
    </row>
    <row r="452" spans="1:23" ht="16" x14ac:dyDescent="0.2">
      <c r="A452" s="5"/>
      <c r="B452" s="6"/>
      <c r="C452" s="6"/>
      <c r="D452" s="6"/>
      <c r="E452" s="6"/>
      <c r="F452" s="5"/>
      <c r="G452" s="5"/>
      <c r="H452" s="5"/>
      <c r="I452" s="5"/>
      <c r="J452" s="5"/>
      <c r="K452" s="5"/>
      <c r="L452" s="5"/>
      <c r="M452" s="5"/>
      <c r="N452" s="5"/>
      <c r="O452" s="5"/>
      <c r="P452" s="5"/>
      <c r="Q452" s="5"/>
      <c r="R452" s="5"/>
      <c r="S452" s="5"/>
      <c r="T452" s="5"/>
      <c r="U452" s="5"/>
      <c r="V452" s="5"/>
      <c r="W452" s="5"/>
    </row>
    <row r="453" spans="1:23" ht="16" x14ac:dyDescent="0.2">
      <c r="A453" s="5"/>
      <c r="B453" s="6"/>
      <c r="C453" s="6"/>
      <c r="D453" s="6"/>
      <c r="E453" s="6"/>
      <c r="F453" s="5"/>
      <c r="G453" s="5"/>
      <c r="H453" s="5"/>
      <c r="I453" s="5"/>
      <c r="J453" s="5"/>
      <c r="K453" s="5"/>
      <c r="L453" s="5"/>
      <c r="M453" s="5"/>
      <c r="N453" s="5"/>
      <c r="O453" s="5"/>
      <c r="P453" s="5"/>
      <c r="Q453" s="5"/>
      <c r="R453" s="5"/>
      <c r="S453" s="5"/>
      <c r="T453" s="5"/>
      <c r="U453" s="5"/>
      <c r="V453" s="5"/>
      <c r="W453" s="5"/>
    </row>
    <row r="454" spans="1:23" ht="16" x14ac:dyDescent="0.2">
      <c r="A454" s="5"/>
      <c r="B454" s="6"/>
      <c r="C454" s="6"/>
      <c r="D454" s="6"/>
      <c r="E454" s="6"/>
      <c r="F454" s="5"/>
      <c r="G454" s="5"/>
      <c r="H454" s="5"/>
      <c r="I454" s="5"/>
      <c r="J454" s="5"/>
      <c r="K454" s="5"/>
      <c r="L454" s="5"/>
      <c r="M454" s="5"/>
      <c r="N454" s="5"/>
      <c r="O454" s="5"/>
      <c r="P454" s="5"/>
      <c r="Q454" s="5"/>
      <c r="R454" s="5"/>
      <c r="S454" s="5"/>
      <c r="T454" s="5"/>
      <c r="U454" s="5"/>
      <c r="V454" s="5"/>
      <c r="W454" s="5"/>
    </row>
    <row r="455" spans="1:23" ht="16" x14ac:dyDescent="0.2">
      <c r="A455" s="5"/>
      <c r="B455" s="6"/>
      <c r="C455" s="6"/>
      <c r="D455" s="6"/>
      <c r="E455" s="6"/>
      <c r="F455" s="5"/>
      <c r="G455" s="5"/>
      <c r="H455" s="5"/>
      <c r="I455" s="5"/>
      <c r="J455" s="5"/>
      <c r="K455" s="5"/>
      <c r="L455" s="5"/>
      <c r="M455" s="5"/>
      <c r="N455" s="5"/>
      <c r="O455" s="5"/>
      <c r="P455" s="5"/>
      <c r="Q455" s="5"/>
      <c r="R455" s="5"/>
      <c r="S455" s="5"/>
      <c r="T455" s="5"/>
      <c r="U455" s="5"/>
      <c r="V455" s="5"/>
      <c r="W455" s="5"/>
    </row>
    <row r="456" spans="1:23" ht="16" x14ac:dyDescent="0.2">
      <c r="A456" s="5"/>
      <c r="B456" s="6"/>
      <c r="C456" s="6"/>
      <c r="D456" s="6"/>
      <c r="E456" s="6"/>
      <c r="F456" s="5"/>
      <c r="G456" s="5"/>
      <c r="H456" s="5"/>
      <c r="I456" s="5"/>
      <c r="J456" s="5"/>
      <c r="K456" s="5"/>
      <c r="L456" s="5"/>
      <c r="M456" s="5"/>
      <c r="N456" s="5"/>
      <c r="O456" s="5"/>
      <c r="P456" s="5"/>
      <c r="Q456" s="5"/>
      <c r="R456" s="5"/>
      <c r="S456" s="5"/>
      <c r="T456" s="5"/>
      <c r="U456" s="5"/>
      <c r="V456" s="5"/>
      <c r="W456" s="5"/>
    </row>
    <row r="457" spans="1:23" ht="16" x14ac:dyDescent="0.2">
      <c r="A457" s="5"/>
      <c r="B457" s="6"/>
      <c r="C457" s="6"/>
      <c r="D457" s="6"/>
      <c r="E457" s="6"/>
      <c r="F457" s="5"/>
      <c r="G457" s="5"/>
      <c r="H457" s="5"/>
      <c r="I457" s="5"/>
      <c r="J457" s="5"/>
      <c r="K457" s="5"/>
      <c r="L457" s="5"/>
      <c r="M457" s="5"/>
      <c r="N457" s="5"/>
      <c r="O457" s="5"/>
      <c r="P457" s="5"/>
      <c r="Q457" s="5"/>
      <c r="R457" s="5"/>
      <c r="S457" s="5"/>
      <c r="T457" s="5"/>
      <c r="U457" s="5"/>
      <c r="V457" s="5"/>
      <c r="W457" s="5"/>
    </row>
    <row r="458" spans="1:23" ht="16" x14ac:dyDescent="0.2">
      <c r="A458" s="5"/>
      <c r="B458" s="6"/>
      <c r="C458" s="6"/>
      <c r="D458" s="6"/>
      <c r="E458" s="6"/>
      <c r="F458" s="5"/>
      <c r="G458" s="5"/>
      <c r="H458" s="5"/>
      <c r="I458" s="5"/>
      <c r="J458" s="5"/>
      <c r="K458" s="5"/>
      <c r="L458" s="5"/>
      <c r="M458" s="5"/>
      <c r="N458" s="5"/>
      <c r="O458" s="5"/>
      <c r="P458" s="5"/>
      <c r="Q458" s="5"/>
      <c r="R458" s="5"/>
      <c r="S458" s="5"/>
      <c r="T458" s="5"/>
      <c r="U458" s="5"/>
      <c r="V458" s="5"/>
      <c r="W458" s="5"/>
    </row>
    <row r="459" spans="1:23" ht="16" x14ac:dyDescent="0.2">
      <c r="A459" s="5"/>
      <c r="B459" s="6"/>
      <c r="C459" s="6"/>
      <c r="D459" s="6"/>
      <c r="E459" s="6"/>
      <c r="F459" s="5"/>
      <c r="G459" s="5"/>
      <c r="H459" s="5"/>
      <c r="I459" s="5"/>
      <c r="J459" s="5"/>
      <c r="K459" s="5"/>
      <c r="L459" s="5"/>
      <c r="M459" s="5"/>
      <c r="N459" s="5"/>
      <c r="O459" s="5"/>
      <c r="P459" s="5"/>
      <c r="Q459" s="5"/>
      <c r="R459" s="5"/>
      <c r="S459" s="5"/>
      <c r="T459" s="5"/>
      <c r="U459" s="5"/>
      <c r="V459" s="5"/>
      <c r="W459" s="5"/>
    </row>
    <row r="460" spans="1:23" ht="16" x14ac:dyDescent="0.2">
      <c r="A460" s="5"/>
      <c r="B460" s="6"/>
      <c r="C460" s="6"/>
      <c r="D460" s="6"/>
      <c r="E460" s="6"/>
      <c r="F460" s="5"/>
      <c r="G460" s="5"/>
      <c r="H460" s="5"/>
      <c r="I460" s="5"/>
      <c r="J460" s="5"/>
      <c r="K460" s="5"/>
      <c r="L460" s="5"/>
      <c r="M460" s="5"/>
      <c r="N460" s="5"/>
      <c r="O460" s="5"/>
      <c r="P460" s="5"/>
      <c r="Q460" s="5"/>
      <c r="R460" s="5"/>
      <c r="S460" s="5"/>
      <c r="T460" s="5"/>
      <c r="U460" s="5"/>
      <c r="V460" s="5"/>
      <c r="W460" s="5"/>
    </row>
    <row r="461" spans="1:23" ht="16" x14ac:dyDescent="0.2">
      <c r="A461" s="5"/>
      <c r="B461" s="6"/>
      <c r="C461" s="6"/>
      <c r="D461" s="6"/>
      <c r="E461" s="6"/>
      <c r="F461" s="5"/>
      <c r="G461" s="5"/>
      <c r="H461" s="5"/>
      <c r="I461" s="5"/>
      <c r="J461" s="5"/>
      <c r="K461" s="5"/>
      <c r="L461" s="5"/>
      <c r="M461" s="5"/>
      <c r="N461" s="5"/>
      <c r="O461" s="5"/>
      <c r="P461" s="5"/>
      <c r="Q461" s="5"/>
      <c r="R461" s="5"/>
      <c r="S461" s="5"/>
      <c r="T461" s="5"/>
      <c r="U461" s="5"/>
      <c r="V461" s="5"/>
      <c r="W461" s="5"/>
    </row>
    <row r="462" spans="1:23" ht="16" x14ac:dyDescent="0.2">
      <c r="A462" s="5"/>
      <c r="B462" s="6"/>
      <c r="C462" s="6"/>
      <c r="D462" s="6"/>
      <c r="E462" s="6"/>
      <c r="F462" s="5"/>
      <c r="G462" s="5"/>
      <c r="H462" s="5"/>
      <c r="I462" s="5"/>
      <c r="J462" s="5"/>
      <c r="K462" s="5"/>
      <c r="L462" s="5"/>
      <c r="M462" s="5"/>
      <c r="N462" s="5"/>
      <c r="O462" s="5"/>
      <c r="P462" s="5"/>
      <c r="Q462" s="5"/>
      <c r="R462" s="5"/>
      <c r="S462" s="5"/>
      <c r="T462" s="5"/>
      <c r="U462" s="5"/>
      <c r="V462" s="5"/>
      <c r="W462" s="5"/>
    </row>
    <row r="463" spans="1:23" ht="16" x14ac:dyDescent="0.2">
      <c r="A463" s="5"/>
      <c r="B463" s="6"/>
      <c r="C463" s="6"/>
      <c r="D463" s="6"/>
      <c r="E463" s="6"/>
      <c r="F463" s="5"/>
      <c r="G463" s="5"/>
      <c r="H463" s="5"/>
      <c r="I463" s="5"/>
      <c r="J463" s="5"/>
      <c r="K463" s="5"/>
      <c r="L463" s="5"/>
      <c r="M463" s="5"/>
      <c r="N463" s="5"/>
      <c r="O463" s="5"/>
      <c r="P463" s="5"/>
      <c r="Q463" s="5"/>
      <c r="R463" s="5"/>
      <c r="S463" s="5"/>
      <c r="T463" s="5"/>
      <c r="U463" s="5"/>
      <c r="V463" s="5"/>
      <c r="W463" s="5"/>
    </row>
    <row r="464" spans="1:23" ht="16" x14ac:dyDescent="0.2">
      <c r="A464" s="5"/>
      <c r="B464" s="6"/>
      <c r="C464" s="6"/>
      <c r="D464" s="6"/>
      <c r="E464" s="6"/>
      <c r="F464" s="5"/>
      <c r="G464" s="5"/>
      <c r="H464" s="5"/>
      <c r="I464" s="5"/>
      <c r="J464" s="5"/>
      <c r="K464" s="5"/>
      <c r="L464" s="5"/>
      <c r="M464" s="5"/>
      <c r="N464" s="5"/>
      <c r="O464" s="5"/>
      <c r="P464" s="5"/>
      <c r="Q464" s="5"/>
      <c r="R464" s="5"/>
      <c r="S464" s="5"/>
      <c r="T464" s="5"/>
      <c r="U464" s="5"/>
      <c r="V464" s="5"/>
      <c r="W464" s="5"/>
    </row>
    <row r="465" spans="1:23" ht="16" x14ac:dyDescent="0.2">
      <c r="A465" s="5"/>
      <c r="B465" s="6"/>
      <c r="C465" s="6"/>
      <c r="D465" s="6"/>
      <c r="E465" s="6"/>
      <c r="F465" s="5"/>
      <c r="G465" s="5"/>
      <c r="H465" s="5"/>
      <c r="I465" s="5"/>
      <c r="J465" s="5"/>
      <c r="K465" s="5"/>
      <c r="L465" s="5"/>
      <c r="M465" s="5"/>
      <c r="N465" s="5"/>
      <c r="O465" s="5"/>
      <c r="P465" s="5"/>
      <c r="Q465" s="5"/>
      <c r="R465" s="5"/>
      <c r="S465" s="5"/>
      <c r="T465" s="5"/>
      <c r="U465" s="5"/>
      <c r="V465" s="5"/>
      <c r="W465" s="5"/>
    </row>
    <row r="466" spans="1:23" ht="16" x14ac:dyDescent="0.2">
      <c r="A466" s="5"/>
      <c r="B466" s="6"/>
      <c r="C466" s="6"/>
      <c r="D466" s="6"/>
      <c r="E466" s="6"/>
      <c r="F466" s="5"/>
      <c r="G466" s="5"/>
      <c r="H466" s="5"/>
      <c r="I466" s="5"/>
      <c r="J466" s="5"/>
      <c r="K466" s="5"/>
      <c r="L466" s="5"/>
      <c r="M466" s="5"/>
      <c r="N466" s="5"/>
      <c r="O466" s="5"/>
      <c r="P466" s="5"/>
      <c r="Q466" s="5"/>
      <c r="R466" s="5"/>
      <c r="S466" s="5"/>
      <c r="T466" s="5"/>
      <c r="U466" s="5"/>
      <c r="V466" s="5"/>
      <c r="W466" s="5"/>
    </row>
    <row r="467" spans="1:23" ht="16" x14ac:dyDescent="0.2">
      <c r="A467" s="5"/>
      <c r="B467" s="6"/>
      <c r="C467" s="6"/>
      <c r="D467" s="6"/>
      <c r="E467" s="6"/>
      <c r="F467" s="5"/>
      <c r="G467" s="5"/>
      <c r="H467" s="5"/>
      <c r="I467" s="5"/>
      <c r="J467" s="5"/>
      <c r="K467" s="5"/>
      <c r="L467" s="5"/>
      <c r="M467" s="5"/>
      <c r="N467" s="5"/>
      <c r="O467" s="5"/>
      <c r="P467" s="5"/>
      <c r="Q467" s="5"/>
      <c r="R467" s="5"/>
      <c r="S467" s="5"/>
      <c r="T467" s="5"/>
      <c r="U467" s="5"/>
      <c r="V467" s="5"/>
      <c r="W467" s="5"/>
    </row>
    <row r="468" spans="1:23" ht="16" x14ac:dyDescent="0.2">
      <c r="A468" s="5"/>
      <c r="B468" s="6"/>
      <c r="C468" s="6"/>
      <c r="D468" s="6"/>
      <c r="E468" s="6"/>
      <c r="F468" s="5"/>
      <c r="G468" s="5"/>
      <c r="H468" s="5"/>
      <c r="I468" s="5"/>
      <c r="J468" s="5"/>
      <c r="K468" s="5"/>
      <c r="L468" s="5"/>
      <c r="M468" s="5"/>
      <c r="N468" s="5"/>
      <c r="O468" s="5"/>
      <c r="P468" s="5"/>
      <c r="Q468" s="5"/>
      <c r="R468" s="5"/>
      <c r="S468" s="5"/>
      <c r="T468" s="5"/>
      <c r="U468" s="5"/>
      <c r="V468" s="5"/>
      <c r="W468" s="5"/>
    </row>
    <row r="469" spans="1:23" ht="16" x14ac:dyDescent="0.2">
      <c r="A469" s="5"/>
      <c r="B469" s="6"/>
      <c r="C469" s="6"/>
      <c r="D469" s="6"/>
      <c r="E469" s="6"/>
      <c r="F469" s="5"/>
      <c r="G469" s="5"/>
      <c r="H469" s="5"/>
      <c r="I469" s="5"/>
      <c r="J469" s="5"/>
      <c r="K469" s="5"/>
      <c r="L469" s="5"/>
      <c r="M469" s="5"/>
      <c r="N469" s="5"/>
      <c r="O469" s="5"/>
      <c r="P469" s="5"/>
      <c r="Q469" s="5"/>
      <c r="R469" s="5"/>
      <c r="S469" s="5"/>
      <c r="T469" s="5"/>
      <c r="U469" s="5"/>
      <c r="V469" s="5"/>
      <c r="W469" s="5"/>
    </row>
    <row r="470" spans="1:23" ht="16" x14ac:dyDescent="0.2">
      <c r="A470" s="5"/>
      <c r="B470" s="6"/>
      <c r="C470" s="6"/>
      <c r="D470" s="6"/>
      <c r="E470" s="6"/>
      <c r="F470" s="5"/>
      <c r="G470" s="5"/>
      <c r="H470" s="5"/>
      <c r="I470" s="5"/>
      <c r="J470" s="5"/>
      <c r="K470" s="5"/>
      <c r="L470" s="5"/>
      <c r="M470" s="5"/>
      <c r="N470" s="5"/>
      <c r="O470" s="5"/>
      <c r="P470" s="5"/>
      <c r="Q470" s="5"/>
      <c r="R470" s="5"/>
      <c r="S470" s="5"/>
      <c r="T470" s="5"/>
      <c r="U470" s="5"/>
      <c r="V470" s="5"/>
      <c r="W470" s="5"/>
    </row>
    <row r="471" spans="1:23" ht="16" x14ac:dyDescent="0.2">
      <c r="A471" s="5"/>
      <c r="B471" s="6"/>
      <c r="C471" s="6"/>
      <c r="D471" s="6"/>
      <c r="E471" s="6"/>
      <c r="F471" s="5"/>
      <c r="G471" s="5"/>
      <c r="H471" s="5"/>
      <c r="I471" s="5"/>
      <c r="J471" s="5"/>
      <c r="K471" s="5"/>
      <c r="L471" s="5"/>
      <c r="M471" s="5"/>
      <c r="N471" s="5"/>
      <c r="O471" s="5"/>
      <c r="P471" s="5"/>
      <c r="Q471" s="5"/>
      <c r="R471" s="5"/>
      <c r="S471" s="5"/>
      <c r="T471" s="5"/>
      <c r="U471" s="5"/>
      <c r="V471" s="5"/>
      <c r="W471" s="5"/>
    </row>
    <row r="472" spans="1:23" ht="16" x14ac:dyDescent="0.2">
      <c r="A472" s="5"/>
      <c r="B472" s="6"/>
      <c r="C472" s="6"/>
      <c r="D472" s="6"/>
      <c r="E472" s="6"/>
      <c r="F472" s="5"/>
      <c r="G472" s="5"/>
      <c r="H472" s="5"/>
      <c r="I472" s="5"/>
      <c r="J472" s="5"/>
      <c r="K472" s="5"/>
      <c r="L472" s="5"/>
      <c r="M472" s="5"/>
      <c r="N472" s="5"/>
      <c r="O472" s="5"/>
      <c r="P472" s="5"/>
      <c r="Q472" s="5"/>
      <c r="R472" s="5"/>
      <c r="S472" s="5"/>
      <c r="T472" s="5"/>
      <c r="U472" s="5"/>
      <c r="V472" s="5"/>
      <c r="W472" s="5"/>
    </row>
    <row r="473" spans="1:23" ht="16" x14ac:dyDescent="0.2">
      <c r="A473" s="5"/>
      <c r="B473" s="6"/>
      <c r="C473" s="6"/>
      <c r="D473" s="6"/>
      <c r="E473" s="6"/>
      <c r="F473" s="5"/>
      <c r="G473" s="5"/>
      <c r="H473" s="5"/>
      <c r="I473" s="5"/>
      <c r="J473" s="5"/>
      <c r="K473" s="5"/>
      <c r="L473" s="5"/>
      <c r="M473" s="5"/>
      <c r="N473" s="5"/>
      <c r="O473" s="5"/>
      <c r="P473" s="5"/>
      <c r="Q473" s="5"/>
      <c r="R473" s="5"/>
      <c r="S473" s="5"/>
      <c r="T473" s="5"/>
      <c r="U473" s="5"/>
      <c r="V473" s="5"/>
      <c r="W473" s="5"/>
    </row>
    <row r="474" spans="1:23" ht="16" x14ac:dyDescent="0.2">
      <c r="A474" s="5"/>
      <c r="B474" s="6"/>
      <c r="C474" s="6"/>
      <c r="D474" s="6"/>
      <c r="E474" s="6"/>
      <c r="F474" s="5"/>
      <c r="G474" s="5"/>
      <c r="H474" s="5"/>
      <c r="I474" s="5"/>
      <c r="J474" s="5"/>
      <c r="K474" s="5"/>
      <c r="L474" s="5"/>
      <c r="M474" s="5"/>
      <c r="N474" s="5"/>
      <c r="O474" s="5"/>
      <c r="P474" s="5"/>
      <c r="Q474" s="5"/>
      <c r="R474" s="5"/>
      <c r="S474" s="5"/>
      <c r="T474" s="5"/>
      <c r="U474" s="5"/>
      <c r="V474" s="5"/>
      <c r="W474" s="5"/>
    </row>
    <row r="475" spans="1:23" ht="16" x14ac:dyDescent="0.2">
      <c r="A475" s="5"/>
      <c r="B475" s="6"/>
      <c r="C475" s="6"/>
      <c r="D475" s="6"/>
      <c r="E475" s="6"/>
      <c r="F475" s="5"/>
      <c r="G475" s="5"/>
      <c r="H475" s="5"/>
      <c r="I475" s="5"/>
      <c r="J475" s="5"/>
      <c r="K475" s="5"/>
      <c r="L475" s="5"/>
      <c r="M475" s="5"/>
      <c r="N475" s="5"/>
      <c r="O475" s="5"/>
      <c r="P475" s="5"/>
      <c r="Q475" s="5"/>
      <c r="R475" s="5"/>
      <c r="S475" s="5"/>
      <c r="T475" s="5"/>
      <c r="U475" s="5"/>
      <c r="V475" s="5"/>
      <c r="W475" s="5"/>
    </row>
    <row r="476" spans="1:23" ht="16" x14ac:dyDescent="0.2">
      <c r="A476" s="5"/>
      <c r="B476" s="6"/>
      <c r="C476" s="6"/>
      <c r="D476" s="6"/>
      <c r="E476" s="6"/>
      <c r="F476" s="5"/>
      <c r="G476" s="5"/>
      <c r="H476" s="5"/>
      <c r="I476" s="5"/>
      <c r="J476" s="5"/>
      <c r="K476" s="5"/>
      <c r="L476" s="5"/>
      <c r="M476" s="5"/>
      <c r="N476" s="5"/>
      <c r="O476" s="5"/>
      <c r="P476" s="5"/>
      <c r="Q476" s="5"/>
      <c r="R476" s="5"/>
      <c r="S476" s="5"/>
      <c r="T476" s="5"/>
      <c r="U476" s="5"/>
      <c r="V476" s="5"/>
      <c r="W476" s="5"/>
    </row>
    <row r="477" spans="1:23" ht="16" x14ac:dyDescent="0.2">
      <c r="A477" s="5"/>
      <c r="B477" s="6"/>
      <c r="C477" s="6"/>
      <c r="D477" s="6"/>
      <c r="E477" s="6"/>
      <c r="F477" s="5"/>
      <c r="G477" s="5"/>
      <c r="H477" s="5"/>
      <c r="I477" s="5"/>
      <c r="J477" s="5"/>
      <c r="K477" s="5"/>
      <c r="L477" s="5"/>
      <c r="M477" s="5"/>
      <c r="N477" s="5"/>
      <c r="O477" s="5"/>
      <c r="P477" s="5"/>
      <c r="Q477" s="5"/>
      <c r="R477" s="5"/>
      <c r="S477" s="5"/>
      <c r="T477" s="5"/>
      <c r="U477" s="5"/>
      <c r="V477" s="5"/>
      <c r="W477" s="5"/>
    </row>
    <row r="478" spans="1:23" ht="16" x14ac:dyDescent="0.2">
      <c r="A478" s="5"/>
      <c r="B478" s="6"/>
      <c r="C478" s="6"/>
      <c r="D478" s="6"/>
      <c r="E478" s="6"/>
      <c r="F478" s="5"/>
      <c r="G478" s="5"/>
      <c r="H478" s="5"/>
      <c r="I478" s="5"/>
      <c r="J478" s="5"/>
      <c r="K478" s="5"/>
      <c r="L478" s="5"/>
      <c r="M478" s="5"/>
      <c r="N478" s="5"/>
      <c r="O478" s="5"/>
      <c r="P478" s="5"/>
      <c r="Q478" s="5"/>
      <c r="R478" s="5"/>
      <c r="S478" s="5"/>
      <c r="T478" s="5"/>
      <c r="U478" s="5"/>
      <c r="V478" s="5"/>
      <c r="W478" s="5"/>
    </row>
    <row r="479" spans="1:23" ht="16" x14ac:dyDescent="0.2">
      <c r="A479" s="5"/>
      <c r="B479" s="6"/>
      <c r="C479" s="6"/>
      <c r="D479" s="6"/>
      <c r="E479" s="6"/>
      <c r="F479" s="5"/>
      <c r="G479" s="5"/>
      <c r="H479" s="5"/>
      <c r="I479" s="5"/>
      <c r="J479" s="5"/>
      <c r="K479" s="5"/>
      <c r="L479" s="5"/>
      <c r="M479" s="5"/>
      <c r="N479" s="5"/>
      <c r="O479" s="5"/>
      <c r="P479" s="5"/>
      <c r="Q479" s="5"/>
      <c r="R479" s="5"/>
      <c r="S479" s="5"/>
      <c r="T479" s="5"/>
      <c r="U479" s="5"/>
      <c r="V479" s="5"/>
      <c r="W479" s="5"/>
    </row>
    <row r="480" spans="1:23" ht="16" x14ac:dyDescent="0.2">
      <c r="A480" s="5"/>
      <c r="B480" s="6"/>
      <c r="C480" s="6"/>
      <c r="D480" s="6"/>
      <c r="E480" s="6"/>
      <c r="F480" s="5"/>
      <c r="G480" s="5"/>
      <c r="H480" s="5"/>
      <c r="I480" s="5"/>
      <c r="J480" s="5"/>
      <c r="K480" s="5"/>
      <c r="L480" s="5"/>
      <c r="M480" s="5"/>
      <c r="N480" s="5"/>
      <c r="O480" s="5"/>
      <c r="P480" s="5"/>
      <c r="Q480" s="5"/>
      <c r="R480" s="5"/>
      <c r="S480" s="5"/>
      <c r="T480" s="5"/>
      <c r="U480" s="5"/>
      <c r="V480" s="5"/>
      <c r="W480" s="5"/>
    </row>
    <row r="481" spans="1:23" ht="16" x14ac:dyDescent="0.2">
      <c r="A481" s="5"/>
      <c r="B481" s="6"/>
      <c r="C481" s="6"/>
      <c r="D481" s="6"/>
      <c r="E481" s="6"/>
      <c r="F481" s="5"/>
      <c r="G481" s="5"/>
      <c r="H481" s="5"/>
      <c r="I481" s="5"/>
      <c r="J481" s="5"/>
      <c r="K481" s="5"/>
      <c r="L481" s="5"/>
      <c r="M481" s="5"/>
      <c r="N481" s="5"/>
      <c r="O481" s="5"/>
      <c r="P481" s="5"/>
      <c r="Q481" s="5"/>
      <c r="R481" s="5"/>
      <c r="S481" s="5"/>
      <c r="T481" s="5"/>
      <c r="U481" s="5"/>
      <c r="V481" s="5"/>
      <c r="W481" s="5"/>
    </row>
    <row r="482" spans="1:23" ht="16" x14ac:dyDescent="0.2">
      <c r="A482" s="5"/>
      <c r="B482" s="6"/>
      <c r="C482" s="6"/>
      <c r="D482" s="6"/>
      <c r="E482" s="6"/>
      <c r="F482" s="5"/>
      <c r="G482" s="5"/>
      <c r="H482" s="5"/>
      <c r="I482" s="5"/>
      <c r="J482" s="5"/>
      <c r="K482" s="5"/>
      <c r="L482" s="5"/>
      <c r="M482" s="5"/>
      <c r="N482" s="5"/>
      <c r="O482" s="5"/>
      <c r="P482" s="5"/>
      <c r="Q482" s="5"/>
      <c r="R482" s="5"/>
      <c r="S482" s="5"/>
      <c r="T482" s="5"/>
      <c r="U482" s="5"/>
      <c r="V482" s="5"/>
      <c r="W482" s="5"/>
    </row>
    <row r="483" spans="1:23" ht="16" x14ac:dyDescent="0.2">
      <c r="A483" s="5"/>
      <c r="B483" s="6"/>
      <c r="C483" s="6"/>
      <c r="D483" s="6"/>
      <c r="E483" s="6"/>
      <c r="F483" s="5"/>
      <c r="G483" s="5"/>
      <c r="H483" s="5"/>
      <c r="I483" s="5"/>
      <c r="J483" s="5"/>
      <c r="K483" s="5"/>
      <c r="L483" s="5"/>
      <c r="M483" s="5"/>
      <c r="N483" s="5"/>
      <c r="O483" s="5"/>
      <c r="P483" s="5"/>
      <c r="Q483" s="5"/>
      <c r="R483" s="5"/>
      <c r="S483" s="5"/>
      <c r="T483" s="5"/>
      <c r="U483" s="5"/>
      <c r="V483" s="5"/>
      <c r="W483" s="5"/>
    </row>
    <row r="484" spans="1:23" ht="16" x14ac:dyDescent="0.2">
      <c r="A484" s="5"/>
      <c r="B484" s="6"/>
      <c r="C484" s="6"/>
      <c r="D484" s="6"/>
      <c r="E484" s="6"/>
      <c r="F484" s="5"/>
      <c r="G484" s="5"/>
      <c r="H484" s="5"/>
      <c r="I484" s="5"/>
      <c r="J484" s="5"/>
      <c r="K484" s="5"/>
      <c r="L484" s="5"/>
      <c r="M484" s="5"/>
      <c r="N484" s="5"/>
      <c r="O484" s="5"/>
      <c r="P484" s="5"/>
      <c r="Q484" s="5"/>
      <c r="R484" s="5"/>
      <c r="S484" s="5"/>
      <c r="T484" s="5"/>
      <c r="U484" s="5"/>
      <c r="V484" s="5"/>
      <c r="W484" s="5"/>
    </row>
    <row r="485" spans="1:23" ht="16" x14ac:dyDescent="0.2">
      <c r="A485" s="5"/>
      <c r="B485" s="6"/>
      <c r="C485" s="6"/>
      <c r="D485" s="6"/>
      <c r="E485" s="6"/>
      <c r="F485" s="5"/>
      <c r="G485" s="5"/>
      <c r="H485" s="5"/>
      <c r="I485" s="5"/>
      <c r="J485" s="5"/>
      <c r="K485" s="5"/>
      <c r="L485" s="5"/>
      <c r="M485" s="5"/>
      <c r="N485" s="5"/>
      <c r="O485" s="5"/>
      <c r="P485" s="5"/>
      <c r="Q485" s="5"/>
      <c r="R485" s="5"/>
      <c r="S485" s="5"/>
      <c r="T485" s="5"/>
      <c r="U485" s="5"/>
      <c r="V485" s="5"/>
      <c r="W485" s="5"/>
    </row>
    <row r="486" spans="1:23" ht="16" x14ac:dyDescent="0.2">
      <c r="A486" s="5"/>
      <c r="B486" s="6"/>
      <c r="C486" s="6"/>
      <c r="D486" s="6"/>
      <c r="E486" s="6"/>
      <c r="F486" s="5"/>
      <c r="G486" s="5"/>
      <c r="H486" s="5"/>
      <c r="I486" s="5"/>
      <c r="J486" s="5"/>
      <c r="K486" s="5"/>
      <c r="L486" s="5"/>
      <c r="M486" s="5"/>
      <c r="N486" s="5"/>
      <c r="O486" s="5"/>
      <c r="P486" s="5"/>
      <c r="Q486" s="5"/>
      <c r="R486" s="5"/>
      <c r="S486" s="5"/>
      <c r="T486" s="5"/>
      <c r="U486" s="5"/>
      <c r="V486" s="5"/>
      <c r="W486" s="5"/>
    </row>
    <row r="487" spans="1:23" ht="16" x14ac:dyDescent="0.2">
      <c r="A487" s="5"/>
      <c r="B487" s="6"/>
      <c r="C487" s="6"/>
      <c r="D487" s="6"/>
      <c r="E487" s="6"/>
      <c r="F487" s="5"/>
      <c r="G487" s="5"/>
      <c r="H487" s="5"/>
      <c r="I487" s="5"/>
      <c r="J487" s="5"/>
      <c r="K487" s="5"/>
      <c r="L487" s="5"/>
      <c r="M487" s="5"/>
      <c r="N487" s="5"/>
      <c r="O487" s="5"/>
      <c r="P487" s="5"/>
      <c r="Q487" s="5"/>
      <c r="R487" s="5"/>
      <c r="S487" s="5"/>
      <c r="T487" s="5"/>
      <c r="U487" s="5"/>
      <c r="V487" s="5"/>
      <c r="W487" s="5"/>
    </row>
    <row r="488" spans="1:23" ht="16" x14ac:dyDescent="0.2">
      <c r="A488" s="5"/>
      <c r="B488" s="6"/>
      <c r="C488" s="6"/>
      <c r="D488" s="6"/>
      <c r="E488" s="6"/>
      <c r="F488" s="5"/>
      <c r="G488" s="5"/>
      <c r="H488" s="5"/>
      <c r="I488" s="5"/>
      <c r="J488" s="5"/>
      <c r="K488" s="5"/>
      <c r="L488" s="5"/>
      <c r="M488" s="5"/>
      <c r="N488" s="5"/>
      <c r="O488" s="5"/>
      <c r="P488" s="5"/>
      <c r="Q488" s="5"/>
      <c r="R488" s="5"/>
      <c r="S488" s="5"/>
      <c r="T488" s="5"/>
      <c r="U488" s="5"/>
      <c r="V488" s="5"/>
      <c r="W488" s="5"/>
    </row>
    <row r="489" spans="1:23" ht="16" x14ac:dyDescent="0.2">
      <c r="A489" s="5"/>
      <c r="B489" s="6"/>
      <c r="C489" s="6"/>
      <c r="D489" s="6"/>
      <c r="E489" s="6"/>
      <c r="F489" s="5"/>
      <c r="G489" s="5"/>
      <c r="H489" s="5"/>
      <c r="I489" s="5"/>
      <c r="J489" s="5"/>
      <c r="K489" s="5"/>
      <c r="L489" s="5"/>
      <c r="M489" s="5"/>
      <c r="N489" s="5"/>
      <c r="O489" s="5"/>
      <c r="P489" s="5"/>
      <c r="Q489" s="5"/>
      <c r="R489" s="5"/>
      <c r="S489" s="5"/>
      <c r="T489" s="5"/>
      <c r="U489" s="5"/>
      <c r="V489" s="5"/>
      <c r="W489" s="5"/>
    </row>
    <row r="490" spans="1:23" ht="16" x14ac:dyDescent="0.2">
      <c r="A490" s="5"/>
      <c r="B490" s="6"/>
      <c r="C490" s="6"/>
      <c r="D490" s="6"/>
      <c r="E490" s="6"/>
      <c r="F490" s="5"/>
      <c r="G490" s="5"/>
      <c r="H490" s="5"/>
      <c r="I490" s="5"/>
      <c r="J490" s="5"/>
      <c r="K490" s="5"/>
      <c r="L490" s="5"/>
      <c r="M490" s="5"/>
      <c r="N490" s="5"/>
      <c r="O490" s="5"/>
      <c r="P490" s="5"/>
      <c r="Q490" s="5"/>
      <c r="R490" s="5"/>
      <c r="S490" s="5"/>
      <c r="T490" s="5"/>
      <c r="U490" s="5"/>
      <c r="V490" s="5"/>
      <c r="W490" s="5"/>
    </row>
    <row r="491" spans="1:23" ht="16" x14ac:dyDescent="0.2">
      <c r="A491" s="5"/>
      <c r="B491" s="6"/>
      <c r="C491" s="6"/>
      <c r="D491" s="6"/>
      <c r="E491" s="6"/>
      <c r="F491" s="5"/>
      <c r="G491" s="5"/>
      <c r="H491" s="5"/>
      <c r="I491" s="5"/>
      <c r="J491" s="5"/>
      <c r="K491" s="5"/>
      <c r="L491" s="5"/>
      <c r="M491" s="5"/>
      <c r="N491" s="5"/>
      <c r="O491" s="5"/>
      <c r="P491" s="5"/>
      <c r="Q491" s="5"/>
      <c r="R491" s="5"/>
      <c r="S491" s="5"/>
      <c r="T491" s="5"/>
      <c r="U491" s="5"/>
      <c r="V491" s="5"/>
      <c r="W491" s="5"/>
    </row>
    <row r="492" spans="1:23" ht="16" x14ac:dyDescent="0.2">
      <c r="A492" s="5"/>
      <c r="B492" s="6"/>
      <c r="C492" s="6"/>
      <c r="D492" s="6"/>
      <c r="E492" s="6"/>
      <c r="F492" s="5"/>
      <c r="G492" s="5"/>
      <c r="H492" s="5"/>
      <c r="I492" s="5"/>
      <c r="J492" s="5"/>
      <c r="K492" s="5"/>
      <c r="L492" s="5"/>
      <c r="M492" s="5"/>
      <c r="N492" s="5"/>
      <c r="O492" s="5"/>
      <c r="P492" s="5"/>
      <c r="Q492" s="5"/>
      <c r="R492" s="5"/>
      <c r="S492" s="5"/>
      <c r="T492" s="5"/>
      <c r="U492" s="5"/>
      <c r="V492" s="5"/>
      <c r="W492" s="5"/>
    </row>
    <row r="493" spans="1:23" ht="16" x14ac:dyDescent="0.2">
      <c r="A493" s="5"/>
      <c r="B493" s="6"/>
      <c r="C493" s="6"/>
      <c r="D493" s="6"/>
      <c r="E493" s="6"/>
      <c r="F493" s="5"/>
      <c r="G493" s="5"/>
      <c r="H493" s="5"/>
      <c r="I493" s="5"/>
      <c r="J493" s="5"/>
      <c r="K493" s="5"/>
      <c r="L493" s="5"/>
      <c r="M493" s="5"/>
      <c r="N493" s="5"/>
      <c r="O493" s="5"/>
      <c r="P493" s="5"/>
      <c r="Q493" s="5"/>
      <c r="R493" s="5"/>
      <c r="S493" s="5"/>
      <c r="T493" s="5"/>
      <c r="U493" s="5"/>
      <c r="V493" s="5"/>
      <c r="W493" s="5"/>
    </row>
    <row r="494" spans="1:23" ht="16" x14ac:dyDescent="0.2">
      <c r="A494" s="5"/>
      <c r="B494" s="6"/>
      <c r="C494" s="6"/>
      <c r="D494" s="6"/>
      <c r="E494" s="6"/>
      <c r="F494" s="5"/>
      <c r="G494" s="5"/>
      <c r="H494" s="5"/>
      <c r="I494" s="5"/>
      <c r="J494" s="5"/>
      <c r="K494" s="5"/>
      <c r="L494" s="5"/>
      <c r="M494" s="5"/>
      <c r="N494" s="5"/>
      <c r="O494" s="5"/>
      <c r="P494" s="5"/>
      <c r="Q494" s="5"/>
      <c r="R494" s="5"/>
      <c r="S494" s="5"/>
      <c r="T494" s="5"/>
      <c r="U494" s="5"/>
      <c r="V494" s="5"/>
      <c r="W494" s="5"/>
    </row>
    <row r="495" spans="1:23" ht="16" x14ac:dyDescent="0.2">
      <c r="A495" s="5"/>
      <c r="B495" s="6"/>
      <c r="C495" s="6"/>
      <c r="D495" s="6"/>
      <c r="E495" s="6"/>
      <c r="F495" s="5"/>
      <c r="G495" s="5"/>
      <c r="H495" s="5"/>
      <c r="I495" s="5"/>
      <c r="J495" s="5"/>
      <c r="K495" s="5"/>
      <c r="L495" s="5"/>
      <c r="M495" s="5"/>
      <c r="N495" s="5"/>
      <c r="O495" s="5"/>
      <c r="P495" s="5"/>
      <c r="Q495" s="5"/>
      <c r="R495" s="5"/>
      <c r="S495" s="5"/>
      <c r="T495" s="5"/>
      <c r="U495" s="5"/>
      <c r="V495" s="5"/>
      <c r="W495" s="5"/>
    </row>
    <row r="496" spans="1:23" ht="16" x14ac:dyDescent="0.2">
      <c r="A496" s="5"/>
      <c r="B496" s="6"/>
      <c r="C496" s="6"/>
      <c r="D496" s="6"/>
      <c r="E496" s="6"/>
      <c r="F496" s="5"/>
      <c r="G496" s="5"/>
      <c r="H496" s="5"/>
      <c r="I496" s="5"/>
      <c r="J496" s="5"/>
      <c r="K496" s="5"/>
      <c r="L496" s="5"/>
      <c r="M496" s="5"/>
      <c r="N496" s="5"/>
      <c r="O496" s="5"/>
      <c r="P496" s="5"/>
      <c r="Q496" s="5"/>
      <c r="R496" s="5"/>
      <c r="S496" s="5"/>
      <c r="T496" s="5"/>
      <c r="U496" s="5"/>
      <c r="V496" s="5"/>
      <c r="W496" s="5"/>
    </row>
    <row r="497" spans="1:23" ht="16" x14ac:dyDescent="0.2">
      <c r="A497" s="5"/>
      <c r="B497" s="6"/>
      <c r="C497" s="6"/>
      <c r="D497" s="6"/>
      <c r="E497" s="6"/>
      <c r="F497" s="5"/>
      <c r="G497" s="5"/>
      <c r="H497" s="5"/>
      <c r="I497" s="5"/>
      <c r="J497" s="5"/>
      <c r="K497" s="5"/>
      <c r="L497" s="5"/>
      <c r="M497" s="5"/>
      <c r="N497" s="5"/>
      <c r="O497" s="5"/>
      <c r="P497" s="5"/>
      <c r="Q497" s="5"/>
      <c r="R497" s="5"/>
      <c r="S497" s="5"/>
      <c r="T497" s="5"/>
      <c r="U497" s="5"/>
      <c r="V497" s="5"/>
      <c r="W497" s="5"/>
    </row>
    <row r="498" spans="1:23" ht="16" x14ac:dyDescent="0.2">
      <c r="A498" s="5"/>
      <c r="B498" s="6"/>
      <c r="C498" s="6"/>
      <c r="D498" s="6"/>
      <c r="E498" s="6"/>
      <c r="F498" s="5"/>
      <c r="G498" s="5"/>
      <c r="H498" s="5"/>
      <c r="I498" s="5"/>
      <c r="J498" s="5"/>
      <c r="K498" s="5"/>
      <c r="L498" s="5"/>
      <c r="M498" s="5"/>
      <c r="N498" s="5"/>
      <c r="O498" s="5"/>
      <c r="P498" s="5"/>
      <c r="Q498" s="5"/>
      <c r="R498" s="5"/>
      <c r="S498" s="5"/>
      <c r="T498" s="5"/>
      <c r="U498" s="5"/>
      <c r="V498" s="5"/>
      <c r="W498" s="5"/>
    </row>
    <row r="499" spans="1:23" ht="16" x14ac:dyDescent="0.2">
      <c r="A499" s="5"/>
      <c r="B499" s="6"/>
      <c r="C499" s="6"/>
      <c r="D499" s="6"/>
      <c r="E499" s="6"/>
      <c r="F499" s="5"/>
      <c r="G499" s="5"/>
      <c r="H499" s="5"/>
      <c r="I499" s="5"/>
      <c r="J499" s="5"/>
      <c r="K499" s="5"/>
      <c r="L499" s="5"/>
      <c r="M499" s="5"/>
      <c r="N499" s="5"/>
      <c r="O499" s="5"/>
      <c r="P499" s="5"/>
      <c r="Q499" s="5"/>
      <c r="R499" s="5"/>
      <c r="S499" s="5"/>
      <c r="T499" s="5"/>
      <c r="U499" s="5"/>
      <c r="V499" s="5"/>
      <c r="W499" s="5"/>
    </row>
    <row r="500" spans="1:23" ht="16" x14ac:dyDescent="0.2">
      <c r="A500" s="5"/>
      <c r="B500" s="6"/>
      <c r="C500" s="6"/>
      <c r="D500" s="6"/>
      <c r="E500" s="6"/>
      <c r="F500" s="5"/>
      <c r="G500" s="5"/>
      <c r="H500" s="5"/>
      <c r="I500" s="5"/>
      <c r="J500" s="5"/>
      <c r="K500" s="5"/>
      <c r="L500" s="5"/>
      <c r="M500" s="5"/>
      <c r="N500" s="5"/>
      <c r="O500" s="5"/>
      <c r="P500" s="5"/>
      <c r="Q500" s="5"/>
      <c r="R500" s="5"/>
      <c r="S500" s="5"/>
      <c r="T500" s="5"/>
      <c r="U500" s="5"/>
      <c r="V500" s="5"/>
      <c r="W500" s="5"/>
    </row>
    <row r="501" spans="1:23" ht="16" x14ac:dyDescent="0.2">
      <c r="A501" s="5"/>
      <c r="B501" s="6"/>
      <c r="C501" s="6"/>
      <c r="D501" s="6"/>
      <c r="E501" s="6"/>
      <c r="F501" s="5"/>
      <c r="G501" s="5"/>
      <c r="H501" s="5"/>
      <c r="I501" s="5"/>
      <c r="J501" s="5"/>
      <c r="K501" s="5"/>
      <c r="L501" s="5"/>
      <c r="M501" s="5"/>
      <c r="N501" s="5"/>
      <c r="O501" s="5"/>
      <c r="P501" s="5"/>
      <c r="Q501" s="5"/>
      <c r="R501" s="5"/>
      <c r="S501" s="5"/>
      <c r="T501" s="5"/>
      <c r="U501" s="5"/>
      <c r="V501" s="5"/>
      <c r="W501" s="5"/>
    </row>
    <row r="502" spans="1:23" ht="16" x14ac:dyDescent="0.2">
      <c r="A502" s="5"/>
      <c r="B502" s="6"/>
      <c r="C502" s="6"/>
      <c r="D502" s="6"/>
      <c r="E502" s="6"/>
      <c r="F502" s="5"/>
      <c r="G502" s="5"/>
      <c r="H502" s="5"/>
      <c r="I502" s="5"/>
      <c r="J502" s="5"/>
      <c r="K502" s="5"/>
      <c r="L502" s="5"/>
      <c r="M502" s="5"/>
      <c r="N502" s="5"/>
      <c r="O502" s="5"/>
      <c r="P502" s="5"/>
      <c r="Q502" s="5"/>
      <c r="R502" s="5"/>
      <c r="S502" s="5"/>
      <c r="T502" s="5"/>
      <c r="U502" s="5"/>
      <c r="V502" s="5"/>
      <c r="W502" s="5"/>
    </row>
    <row r="503" spans="1:23" ht="16" x14ac:dyDescent="0.2">
      <c r="A503" s="5"/>
      <c r="B503" s="6"/>
      <c r="C503" s="6"/>
      <c r="D503" s="6"/>
      <c r="E503" s="6"/>
      <c r="F503" s="5"/>
      <c r="G503" s="5"/>
      <c r="H503" s="5"/>
      <c r="I503" s="5"/>
      <c r="J503" s="5"/>
      <c r="K503" s="5"/>
      <c r="L503" s="5"/>
      <c r="M503" s="5"/>
      <c r="N503" s="5"/>
      <c r="O503" s="5"/>
      <c r="P503" s="5"/>
      <c r="Q503" s="5"/>
      <c r="R503" s="5"/>
      <c r="S503" s="5"/>
      <c r="T503" s="5"/>
      <c r="U503" s="5"/>
      <c r="V503" s="5"/>
      <c r="W503" s="5"/>
    </row>
    <row r="504" spans="1:23" ht="16" x14ac:dyDescent="0.2">
      <c r="A504" s="5"/>
      <c r="B504" s="6"/>
      <c r="C504" s="6"/>
      <c r="D504" s="6"/>
      <c r="E504" s="6"/>
      <c r="F504" s="5"/>
      <c r="G504" s="5"/>
      <c r="H504" s="5"/>
      <c r="I504" s="5"/>
      <c r="J504" s="5"/>
      <c r="K504" s="5"/>
      <c r="L504" s="5"/>
      <c r="M504" s="5"/>
      <c r="N504" s="5"/>
      <c r="O504" s="5"/>
      <c r="P504" s="5"/>
      <c r="Q504" s="5"/>
      <c r="R504" s="5"/>
      <c r="S504" s="5"/>
      <c r="T504" s="5"/>
      <c r="U504" s="5"/>
      <c r="V504" s="5"/>
      <c r="W504" s="5"/>
    </row>
    <row r="505" spans="1:23" ht="16" x14ac:dyDescent="0.2">
      <c r="A505" s="5"/>
      <c r="B505" s="6"/>
      <c r="C505" s="6"/>
      <c r="D505" s="6"/>
      <c r="E505" s="6"/>
      <c r="F505" s="5"/>
      <c r="G505" s="5"/>
      <c r="H505" s="5"/>
      <c r="I505" s="5"/>
      <c r="J505" s="5"/>
      <c r="K505" s="5"/>
      <c r="L505" s="5"/>
      <c r="M505" s="5"/>
      <c r="N505" s="5"/>
      <c r="O505" s="5"/>
      <c r="P505" s="5"/>
      <c r="Q505" s="5"/>
      <c r="R505" s="5"/>
      <c r="S505" s="5"/>
      <c r="T505" s="5"/>
      <c r="U505" s="5"/>
      <c r="V505" s="5"/>
      <c r="W505" s="5"/>
    </row>
    <row r="506" spans="1:23" ht="16" x14ac:dyDescent="0.2">
      <c r="A506" s="5"/>
      <c r="B506" s="6"/>
      <c r="C506" s="6"/>
      <c r="D506" s="6"/>
      <c r="E506" s="6"/>
      <c r="F506" s="5"/>
      <c r="G506" s="5"/>
      <c r="H506" s="5"/>
      <c r="I506" s="5"/>
      <c r="J506" s="5"/>
      <c r="K506" s="5"/>
      <c r="L506" s="5"/>
      <c r="M506" s="5"/>
      <c r="N506" s="5"/>
      <c r="O506" s="5"/>
      <c r="P506" s="5"/>
      <c r="Q506" s="5"/>
      <c r="R506" s="5"/>
      <c r="S506" s="5"/>
      <c r="T506" s="5"/>
      <c r="U506" s="5"/>
      <c r="V506" s="5"/>
      <c r="W506" s="5"/>
    </row>
    <row r="507" spans="1:23" ht="16" x14ac:dyDescent="0.2">
      <c r="A507" s="5"/>
      <c r="B507" s="6"/>
      <c r="C507" s="6"/>
      <c r="D507" s="6"/>
      <c r="E507" s="6"/>
      <c r="F507" s="5"/>
      <c r="G507" s="5"/>
      <c r="H507" s="5"/>
      <c r="I507" s="5"/>
      <c r="J507" s="5"/>
      <c r="K507" s="5"/>
      <c r="L507" s="5"/>
      <c r="M507" s="5"/>
      <c r="N507" s="5"/>
      <c r="O507" s="5"/>
      <c r="P507" s="5"/>
      <c r="Q507" s="5"/>
      <c r="R507" s="5"/>
      <c r="S507" s="5"/>
      <c r="T507" s="5"/>
      <c r="U507" s="5"/>
      <c r="V507" s="5"/>
      <c r="W507" s="5"/>
    </row>
    <row r="508" spans="1:23" ht="16" x14ac:dyDescent="0.2">
      <c r="A508" s="5"/>
      <c r="B508" s="6"/>
      <c r="C508" s="6"/>
      <c r="D508" s="6"/>
      <c r="E508" s="6"/>
      <c r="F508" s="5"/>
      <c r="G508" s="5"/>
      <c r="H508" s="5"/>
      <c r="I508" s="5"/>
      <c r="J508" s="5"/>
      <c r="K508" s="5"/>
      <c r="L508" s="5"/>
      <c r="M508" s="5"/>
      <c r="N508" s="5"/>
      <c r="O508" s="5"/>
      <c r="P508" s="5"/>
      <c r="Q508" s="5"/>
      <c r="R508" s="5"/>
      <c r="S508" s="5"/>
      <c r="T508" s="5"/>
      <c r="U508" s="5"/>
      <c r="V508" s="5"/>
      <c r="W508" s="5"/>
    </row>
    <row r="509" spans="1:23" ht="16" x14ac:dyDescent="0.2">
      <c r="A509" s="5"/>
      <c r="B509" s="6"/>
      <c r="C509" s="6"/>
      <c r="D509" s="6"/>
      <c r="E509" s="6"/>
      <c r="F509" s="5"/>
      <c r="G509" s="5"/>
      <c r="H509" s="5"/>
      <c r="I509" s="5"/>
      <c r="J509" s="5"/>
      <c r="K509" s="5"/>
      <c r="L509" s="5"/>
      <c r="M509" s="5"/>
      <c r="N509" s="5"/>
      <c r="O509" s="5"/>
      <c r="P509" s="5"/>
      <c r="Q509" s="5"/>
      <c r="R509" s="5"/>
      <c r="S509" s="5"/>
      <c r="T509" s="5"/>
      <c r="U509" s="5"/>
      <c r="V509" s="5"/>
      <c r="W509" s="5"/>
    </row>
    <row r="510" spans="1:23" ht="16" x14ac:dyDescent="0.2">
      <c r="A510" s="5"/>
      <c r="B510" s="6"/>
      <c r="C510" s="6"/>
      <c r="D510" s="6"/>
      <c r="E510" s="6"/>
      <c r="F510" s="5"/>
      <c r="G510" s="5"/>
      <c r="H510" s="5"/>
      <c r="I510" s="5"/>
      <c r="J510" s="5"/>
      <c r="K510" s="5"/>
      <c r="L510" s="5"/>
      <c r="M510" s="5"/>
      <c r="N510" s="5"/>
      <c r="O510" s="5"/>
      <c r="P510" s="5"/>
      <c r="Q510" s="5"/>
      <c r="R510" s="5"/>
      <c r="S510" s="5"/>
      <c r="T510" s="5"/>
      <c r="U510" s="5"/>
      <c r="V510" s="5"/>
      <c r="W510" s="5"/>
    </row>
    <row r="511" spans="1:23" ht="16" x14ac:dyDescent="0.2">
      <c r="A511" s="5"/>
      <c r="B511" s="6"/>
      <c r="C511" s="6"/>
      <c r="D511" s="6"/>
      <c r="E511" s="6"/>
      <c r="F511" s="5"/>
      <c r="G511" s="5"/>
      <c r="H511" s="5"/>
      <c r="I511" s="5"/>
      <c r="J511" s="5"/>
      <c r="K511" s="5"/>
      <c r="L511" s="5"/>
      <c r="M511" s="5"/>
      <c r="N511" s="5"/>
      <c r="O511" s="5"/>
      <c r="P511" s="5"/>
      <c r="Q511" s="5"/>
      <c r="R511" s="5"/>
      <c r="S511" s="5"/>
      <c r="T511" s="5"/>
      <c r="U511" s="5"/>
      <c r="V511" s="5"/>
      <c r="W511" s="5"/>
    </row>
    <row r="512" spans="1:23" ht="16" x14ac:dyDescent="0.2">
      <c r="A512" s="5"/>
      <c r="B512" s="6"/>
      <c r="C512" s="6"/>
      <c r="D512" s="6"/>
      <c r="E512" s="6"/>
      <c r="F512" s="5"/>
      <c r="G512" s="5"/>
      <c r="H512" s="5"/>
      <c r="I512" s="5"/>
      <c r="J512" s="5"/>
      <c r="K512" s="5"/>
      <c r="L512" s="5"/>
      <c r="M512" s="5"/>
      <c r="N512" s="5"/>
      <c r="O512" s="5"/>
      <c r="P512" s="5"/>
      <c r="Q512" s="5"/>
      <c r="R512" s="5"/>
      <c r="S512" s="5"/>
      <c r="T512" s="5"/>
      <c r="U512" s="5"/>
      <c r="V512" s="5"/>
      <c r="W512" s="5"/>
    </row>
    <row r="513" spans="1:23" ht="16" x14ac:dyDescent="0.2">
      <c r="A513" s="5"/>
      <c r="B513" s="6"/>
      <c r="C513" s="6"/>
      <c r="D513" s="6"/>
      <c r="E513" s="6"/>
      <c r="F513" s="5"/>
      <c r="G513" s="5"/>
      <c r="H513" s="5"/>
      <c r="I513" s="5"/>
      <c r="J513" s="5"/>
      <c r="K513" s="5"/>
      <c r="L513" s="5"/>
      <c r="M513" s="5"/>
      <c r="N513" s="5"/>
      <c r="O513" s="5"/>
      <c r="P513" s="5"/>
      <c r="Q513" s="5"/>
      <c r="R513" s="5"/>
      <c r="S513" s="5"/>
      <c r="T513" s="5"/>
      <c r="U513" s="5"/>
      <c r="V513" s="5"/>
      <c r="W513" s="5"/>
    </row>
    <row r="514" spans="1:23" ht="16" x14ac:dyDescent="0.2">
      <c r="A514" s="5"/>
      <c r="B514" s="6"/>
      <c r="C514" s="6"/>
      <c r="D514" s="6"/>
      <c r="E514" s="6"/>
      <c r="F514" s="5"/>
      <c r="G514" s="5"/>
      <c r="H514" s="5"/>
      <c r="I514" s="5"/>
      <c r="J514" s="5"/>
      <c r="K514" s="5"/>
      <c r="L514" s="5"/>
      <c r="M514" s="5"/>
      <c r="N514" s="5"/>
      <c r="O514" s="5"/>
      <c r="P514" s="5"/>
      <c r="Q514" s="5"/>
      <c r="R514" s="5"/>
      <c r="S514" s="5"/>
      <c r="T514" s="5"/>
      <c r="U514" s="5"/>
      <c r="V514" s="5"/>
      <c r="W514" s="5"/>
    </row>
    <row r="515" spans="1:23" ht="16" x14ac:dyDescent="0.2">
      <c r="A515" s="5"/>
      <c r="B515" s="6"/>
      <c r="C515" s="6"/>
      <c r="D515" s="6"/>
      <c r="E515" s="6"/>
      <c r="F515" s="5"/>
      <c r="G515" s="5"/>
      <c r="H515" s="5"/>
      <c r="I515" s="5"/>
      <c r="J515" s="5"/>
      <c r="K515" s="5"/>
      <c r="L515" s="5"/>
      <c r="M515" s="5"/>
      <c r="N515" s="5"/>
      <c r="O515" s="5"/>
      <c r="P515" s="5"/>
      <c r="Q515" s="5"/>
      <c r="R515" s="5"/>
      <c r="S515" s="5"/>
      <c r="T515" s="5"/>
      <c r="U515" s="5"/>
      <c r="V515" s="5"/>
      <c r="W515" s="5"/>
    </row>
    <row r="516" spans="1:23" ht="16" x14ac:dyDescent="0.2">
      <c r="A516" s="5"/>
      <c r="B516" s="6"/>
      <c r="C516" s="6"/>
      <c r="D516" s="6"/>
      <c r="E516" s="6"/>
      <c r="F516" s="5"/>
      <c r="G516" s="5"/>
      <c r="H516" s="5"/>
      <c r="I516" s="5"/>
      <c r="J516" s="5"/>
      <c r="K516" s="5"/>
      <c r="L516" s="5"/>
      <c r="M516" s="5"/>
      <c r="N516" s="5"/>
      <c r="O516" s="5"/>
      <c r="P516" s="5"/>
      <c r="Q516" s="5"/>
      <c r="R516" s="5"/>
      <c r="S516" s="5"/>
      <c r="T516" s="5"/>
      <c r="U516" s="5"/>
      <c r="V516" s="5"/>
      <c r="W516" s="5"/>
    </row>
    <row r="517" spans="1:23" ht="16" x14ac:dyDescent="0.2">
      <c r="A517" s="5"/>
      <c r="B517" s="6"/>
      <c r="C517" s="6"/>
      <c r="D517" s="6"/>
      <c r="E517" s="6"/>
      <c r="F517" s="5"/>
      <c r="G517" s="5"/>
      <c r="H517" s="5"/>
      <c r="I517" s="5"/>
      <c r="J517" s="5"/>
      <c r="K517" s="5"/>
      <c r="L517" s="5"/>
      <c r="M517" s="5"/>
      <c r="N517" s="5"/>
      <c r="O517" s="5"/>
      <c r="P517" s="5"/>
      <c r="Q517" s="5"/>
      <c r="R517" s="5"/>
      <c r="S517" s="5"/>
      <c r="T517" s="5"/>
      <c r="U517" s="5"/>
      <c r="V517" s="5"/>
      <c r="W517" s="5"/>
    </row>
    <row r="518" spans="1:23" ht="16" x14ac:dyDescent="0.2">
      <c r="A518" s="5"/>
      <c r="B518" s="6"/>
      <c r="C518" s="6"/>
      <c r="D518" s="6"/>
      <c r="E518" s="6"/>
      <c r="F518" s="5"/>
      <c r="G518" s="5"/>
      <c r="H518" s="5"/>
      <c r="I518" s="5"/>
      <c r="J518" s="5"/>
      <c r="K518" s="5"/>
      <c r="L518" s="5"/>
      <c r="M518" s="5"/>
      <c r="N518" s="5"/>
      <c r="O518" s="5"/>
      <c r="P518" s="5"/>
      <c r="Q518" s="5"/>
      <c r="R518" s="5"/>
      <c r="S518" s="5"/>
      <c r="T518" s="5"/>
      <c r="U518" s="5"/>
      <c r="V518" s="5"/>
      <c r="W518" s="5"/>
    </row>
    <row r="519" spans="1:23" ht="16" x14ac:dyDescent="0.2">
      <c r="A519" s="5"/>
      <c r="B519" s="6"/>
      <c r="C519" s="6"/>
      <c r="D519" s="6"/>
      <c r="E519" s="6"/>
      <c r="F519" s="5"/>
      <c r="G519" s="5"/>
      <c r="H519" s="5"/>
      <c r="I519" s="5"/>
      <c r="J519" s="5"/>
      <c r="K519" s="5"/>
      <c r="L519" s="5"/>
      <c r="M519" s="5"/>
      <c r="N519" s="5"/>
      <c r="O519" s="5"/>
      <c r="P519" s="5"/>
      <c r="Q519" s="5"/>
      <c r="R519" s="5"/>
      <c r="S519" s="5"/>
      <c r="T519" s="5"/>
      <c r="U519" s="5"/>
      <c r="V519" s="5"/>
      <c r="W519" s="5"/>
    </row>
    <row r="520" spans="1:23" ht="16" x14ac:dyDescent="0.2">
      <c r="A520" s="5"/>
      <c r="B520" s="6"/>
      <c r="C520" s="6"/>
      <c r="D520" s="6"/>
      <c r="E520" s="6"/>
      <c r="F520" s="5"/>
      <c r="G520" s="5"/>
      <c r="H520" s="5"/>
      <c r="I520" s="5"/>
      <c r="J520" s="5"/>
      <c r="K520" s="5"/>
      <c r="L520" s="5"/>
      <c r="M520" s="5"/>
      <c r="N520" s="5"/>
      <c r="O520" s="5"/>
      <c r="P520" s="5"/>
      <c r="Q520" s="5"/>
      <c r="R520" s="5"/>
      <c r="S520" s="5"/>
      <c r="T520" s="5"/>
      <c r="U520" s="5"/>
      <c r="V520" s="5"/>
      <c r="W520" s="5"/>
    </row>
    <row r="521" spans="1:23" ht="16" x14ac:dyDescent="0.2">
      <c r="A521" s="5"/>
      <c r="B521" s="6"/>
      <c r="C521" s="6"/>
      <c r="D521" s="6"/>
      <c r="E521" s="6"/>
      <c r="F521" s="5"/>
      <c r="G521" s="5"/>
      <c r="H521" s="5"/>
      <c r="I521" s="5"/>
      <c r="J521" s="5"/>
      <c r="K521" s="5"/>
      <c r="L521" s="5"/>
      <c r="M521" s="5"/>
      <c r="N521" s="5"/>
      <c r="O521" s="5"/>
      <c r="P521" s="5"/>
      <c r="Q521" s="5"/>
      <c r="R521" s="5"/>
      <c r="S521" s="5"/>
      <c r="T521" s="5"/>
      <c r="U521" s="5"/>
      <c r="V521" s="5"/>
      <c r="W521" s="5"/>
    </row>
    <row r="522" spans="1:23" ht="16" x14ac:dyDescent="0.2">
      <c r="A522" s="5"/>
      <c r="B522" s="6"/>
      <c r="C522" s="6"/>
      <c r="D522" s="6"/>
      <c r="E522" s="6"/>
      <c r="F522" s="5"/>
      <c r="G522" s="5"/>
      <c r="H522" s="5"/>
      <c r="I522" s="5"/>
      <c r="J522" s="5"/>
      <c r="K522" s="5"/>
      <c r="L522" s="5"/>
      <c r="M522" s="5"/>
      <c r="N522" s="5"/>
      <c r="O522" s="5"/>
      <c r="P522" s="5"/>
      <c r="Q522" s="5"/>
      <c r="R522" s="5"/>
      <c r="S522" s="5"/>
      <c r="T522" s="5"/>
      <c r="U522" s="5"/>
      <c r="V522" s="5"/>
      <c r="W522" s="5"/>
    </row>
    <row r="523" spans="1:23" ht="16" x14ac:dyDescent="0.2">
      <c r="A523" s="5"/>
      <c r="B523" s="6"/>
      <c r="C523" s="6"/>
      <c r="D523" s="6"/>
      <c r="E523" s="6"/>
      <c r="F523" s="5"/>
      <c r="G523" s="5"/>
      <c r="H523" s="5"/>
      <c r="I523" s="5"/>
      <c r="J523" s="5"/>
      <c r="K523" s="5"/>
      <c r="L523" s="5"/>
      <c r="M523" s="5"/>
      <c r="N523" s="5"/>
      <c r="O523" s="5"/>
      <c r="P523" s="5"/>
      <c r="Q523" s="5"/>
      <c r="R523" s="5"/>
      <c r="S523" s="5"/>
      <c r="T523" s="5"/>
      <c r="U523" s="5"/>
      <c r="V523" s="5"/>
      <c r="W523" s="5"/>
    </row>
    <row r="524" spans="1:23" ht="16" x14ac:dyDescent="0.2">
      <c r="A524" s="5"/>
      <c r="B524" s="6"/>
      <c r="C524" s="6"/>
      <c r="D524" s="6"/>
      <c r="E524" s="6"/>
      <c r="F524" s="5"/>
      <c r="G524" s="5"/>
      <c r="H524" s="5"/>
      <c r="I524" s="5"/>
      <c r="J524" s="5"/>
      <c r="K524" s="5"/>
      <c r="L524" s="5"/>
      <c r="M524" s="5"/>
      <c r="N524" s="5"/>
      <c r="O524" s="5"/>
      <c r="P524" s="5"/>
      <c r="Q524" s="5"/>
      <c r="R524" s="5"/>
      <c r="S524" s="5"/>
      <c r="T524" s="5"/>
      <c r="U524" s="5"/>
      <c r="V524" s="5"/>
      <c r="W524" s="5"/>
    </row>
    <row r="525" spans="1:23" ht="16" x14ac:dyDescent="0.2">
      <c r="A525" s="5"/>
      <c r="B525" s="6"/>
      <c r="C525" s="6"/>
      <c r="D525" s="6"/>
      <c r="E525" s="6"/>
      <c r="F525" s="5"/>
      <c r="G525" s="5"/>
      <c r="H525" s="5"/>
      <c r="I525" s="5"/>
      <c r="J525" s="5"/>
      <c r="K525" s="5"/>
      <c r="L525" s="5"/>
      <c r="M525" s="5"/>
      <c r="N525" s="5"/>
      <c r="O525" s="5"/>
      <c r="P525" s="5"/>
      <c r="Q525" s="5"/>
      <c r="R525" s="5"/>
      <c r="S525" s="5"/>
      <c r="T525" s="5"/>
      <c r="U525" s="5"/>
      <c r="V525" s="5"/>
      <c r="W525" s="5"/>
    </row>
    <row r="526" spans="1:23" ht="16" x14ac:dyDescent="0.2">
      <c r="A526" s="5"/>
      <c r="B526" s="6"/>
      <c r="C526" s="6"/>
      <c r="D526" s="6"/>
      <c r="E526" s="6"/>
      <c r="F526" s="5"/>
      <c r="G526" s="5"/>
      <c r="H526" s="5"/>
      <c r="I526" s="5"/>
      <c r="J526" s="5"/>
      <c r="K526" s="5"/>
      <c r="L526" s="5"/>
      <c r="M526" s="5"/>
      <c r="N526" s="5"/>
      <c r="O526" s="5"/>
      <c r="P526" s="5"/>
      <c r="Q526" s="5"/>
      <c r="R526" s="5"/>
      <c r="S526" s="5"/>
      <c r="T526" s="5"/>
      <c r="U526" s="5"/>
      <c r="V526" s="5"/>
      <c r="W526" s="5"/>
    </row>
    <row r="527" spans="1:23" ht="16" x14ac:dyDescent="0.2">
      <c r="A527" s="5"/>
      <c r="B527" s="6"/>
      <c r="C527" s="6"/>
      <c r="D527" s="6"/>
      <c r="E527" s="6"/>
      <c r="F527" s="5"/>
      <c r="G527" s="5"/>
      <c r="H527" s="5"/>
      <c r="I527" s="5"/>
      <c r="J527" s="5"/>
      <c r="K527" s="5"/>
      <c r="L527" s="5"/>
      <c r="M527" s="5"/>
      <c r="N527" s="5"/>
      <c r="O527" s="5"/>
      <c r="P527" s="5"/>
      <c r="Q527" s="5"/>
      <c r="R527" s="5"/>
      <c r="S527" s="5"/>
      <c r="T527" s="5"/>
      <c r="U527" s="5"/>
      <c r="V527" s="5"/>
      <c r="W527" s="5"/>
    </row>
    <row r="528" spans="1:23" ht="16" x14ac:dyDescent="0.2">
      <c r="A528" s="5"/>
      <c r="B528" s="6"/>
      <c r="C528" s="6"/>
      <c r="D528" s="6"/>
      <c r="E528" s="6"/>
      <c r="F528" s="5"/>
      <c r="G528" s="5"/>
      <c r="H528" s="5"/>
      <c r="I528" s="5"/>
      <c r="J528" s="5"/>
      <c r="K528" s="5"/>
      <c r="L528" s="5"/>
      <c r="M528" s="5"/>
      <c r="N528" s="5"/>
      <c r="O528" s="5"/>
      <c r="P528" s="5"/>
      <c r="Q528" s="5"/>
      <c r="R528" s="5"/>
      <c r="S528" s="5"/>
      <c r="T528" s="5"/>
      <c r="U528" s="5"/>
      <c r="V528" s="5"/>
      <c r="W528" s="5"/>
    </row>
    <row r="529" spans="1:23" ht="16" x14ac:dyDescent="0.2">
      <c r="A529" s="5"/>
      <c r="B529" s="6"/>
      <c r="C529" s="6"/>
      <c r="D529" s="6"/>
      <c r="E529" s="6"/>
      <c r="F529" s="5"/>
      <c r="G529" s="5"/>
      <c r="H529" s="5"/>
      <c r="I529" s="5"/>
      <c r="J529" s="5"/>
      <c r="K529" s="5"/>
      <c r="L529" s="5"/>
      <c r="M529" s="5"/>
      <c r="N529" s="5"/>
      <c r="O529" s="5"/>
      <c r="P529" s="5"/>
      <c r="Q529" s="5"/>
      <c r="R529" s="5"/>
      <c r="S529" s="5"/>
      <c r="T529" s="5"/>
      <c r="U529" s="5"/>
      <c r="V529" s="5"/>
      <c r="W529" s="5"/>
    </row>
    <row r="530" spans="1:23" ht="16" x14ac:dyDescent="0.2">
      <c r="A530" s="5"/>
      <c r="B530" s="6"/>
      <c r="C530" s="6"/>
      <c r="D530" s="6"/>
      <c r="E530" s="6"/>
      <c r="F530" s="5"/>
      <c r="G530" s="5"/>
      <c r="H530" s="5"/>
      <c r="I530" s="5"/>
      <c r="J530" s="5"/>
      <c r="K530" s="5"/>
      <c r="L530" s="5"/>
      <c r="M530" s="5"/>
      <c r="N530" s="5"/>
      <c r="O530" s="5"/>
      <c r="P530" s="5"/>
      <c r="Q530" s="5"/>
      <c r="R530" s="5"/>
      <c r="S530" s="5"/>
      <c r="T530" s="5"/>
      <c r="U530" s="5"/>
      <c r="V530" s="5"/>
      <c r="W530" s="5"/>
    </row>
    <row r="531" spans="1:23" ht="16" x14ac:dyDescent="0.2">
      <c r="A531" s="5"/>
      <c r="B531" s="6"/>
      <c r="C531" s="6"/>
      <c r="D531" s="6"/>
      <c r="E531" s="6"/>
      <c r="F531" s="5"/>
      <c r="G531" s="5"/>
      <c r="H531" s="5"/>
      <c r="I531" s="5"/>
      <c r="J531" s="5"/>
      <c r="K531" s="5"/>
      <c r="L531" s="5"/>
      <c r="M531" s="5"/>
      <c r="N531" s="5"/>
      <c r="O531" s="5"/>
      <c r="P531" s="5"/>
      <c r="Q531" s="5"/>
      <c r="R531" s="5"/>
      <c r="S531" s="5"/>
      <c r="T531" s="5"/>
      <c r="U531" s="5"/>
      <c r="V531" s="5"/>
      <c r="W531" s="5"/>
    </row>
    <row r="532" spans="1:23" ht="16" x14ac:dyDescent="0.2">
      <c r="A532" s="5"/>
      <c r="B532" s="6"/>
      <c r="C532" s="6"/>
      <c r="D532" s="6"/>
      <c r="E532" s="6"/>
      <c r="F532" s="5"/>
      <c r="G532" s="5"/>
      <c r="H532" s="5"/>
      <c r="I532" s="5"/>
      <c r="J532" s="5"/>
      <c r="K532" s="5"/>
      <c r="L532" s="5"/>
      <c r="M532" s="5"/>
      <c r="N532" s="5"/>
      <c r="O532" s="5"/>
      <c r="P532" s="5"/>
      <c r="Q532" s="5"/>
      <c r="R532" s="5"/>
      <c r="S532" s="5"/>
      <c r="T532" s="5"/>
      <c r="U532" s="5"/>
      <c r="V532" s="5"/>
      <c r="W532" s="5"/>
    </row>
    <row r="533" spans="1:23" ht="16" x14ac:dyDescent="0.2">
      <c r="A533" s="5"/>
      <c r="B533" s="6"/>
      <c r="C533" s="6"/>
      <c r="D533" s="6"/>
      <c r="E533" s="6"/>
      <c r="F533" s="5"/>
      <c r="G533" s="5"/>
      <c r="H533" s="5"/>
      <c r="I533" s="5"/>
      <c r="J533" s="5"/>
      <c r="K533" s="5"/>
      <c r="L533" s="5"/>
      <c r="M533" s="5"/>
      <c r="N533" s="5"/>
      <c r="O533" s="5"/>
      <c r="P533" s="5"/>
      <c r="Q533" s="5"/>
      <c r="R533" s="5"/>
      <c r="S533" s="5"/>
      <c r="T533" s="5"/>
      <c r="U533" s="5"/>
      <c r="V533" s="5"/>
      <c r="W533" s="5"/>
    </row>
    <row r="534" spans="1:23" ht="16" x14ac:dyDescent="0.2">
      <c r="A534" s="5"/>
      <c r="B534" s="6"/>
      <c r="C534" s="6"/>
      <c r="D534" s="6"/>
      <c r="E534" s="6"/>
      <c r="F534" s="5"/>
      <c r="G534" s="5"/>
      <c r="H534" s="5"/>
      <c r="I534" s="5"/>
      <c r="J534" s="5"/>
      <c r="K534" s="5"/>
      <c r="L534" s="5"/>
      <c r="M534" s="5"/>
      <c r="N534" s="5"/>
      <c r="O534" s="5"/>
      <c r="P534" s="5"/>
      <c r="Q534" s="5"/>
      <c r="R534" s="5"/>
      <c r="S534" s="5"/>
      <c r="T534" s="5"/>
      <c r="U534" s="5"/>
      <c r="V534" s="5"/>
      <c r="W534" s="5"/>
    </row>
    <row r="535" spans="1:23" ht="16" x14ac:dyDescent="0.2">
      <c r="A535" s="5"/>
      <c r="B535" s="6"/>
      <c r="C535" s="6"/>
      <c r="D535" s="6"/>
      <c r="E535" s="6"/>
      <c r="F535" s="5"/>
      <c r="G535" s="5"/>
      <c r="H535" s="5"/>
      <c r="I535" s="5"/>
      <c r="J535" s="5"/>
      <c r="K535" s="5"/>
      <c r="L535" s="5"/>
      <c r="M535" s="5"/>
      <c r="N535" s="5"/>
      <c r="O535" s="5"/>
      <c r="P535" s="5"/>
      <c r="Q535" s="5"/>
      <c r="R535" s="5"/>
      <c r="S535" s="5"/>
      <c r="T535" s="5"/>
      <c r="U535" s="5"/>
      <c r="V535" s="5"/>
      <c r="W535" s="5"/>
    </row>
    <row r="536" spans="1:23" ht="16" x14ac:dyDescent="0.2">
      <c r="A536" s="5"/>
      <c r="B536" s="6"/>
      <c r="C536" s="6"/>
      <c r="D536" s="6"/>
      <c r="E536" s="6"/>
      <c r="F536" s="5"/>
      <c r="G536" s="5"/>
      <c r="H536" s="5"/>
      <c r="I536" s="5"/>
      <c r="J536" s="5"/>
      <c r="K536" s="5"/>
      <c r="L536" s="5"/>
      <c r="M536" s="5"/>
      <c r="N536" s="5"/>
      <c r="O536" s="5"/>
      <c r="P536" s="5"/>
      <c r="Q536" s="5"/>
      <c r="R536" s="5"/>
      <c r="S536" s="5"/>
      <c r="T536" s="5"/>
      <c r="U536" s="5"/>
      <c r="V536" s="5"/>
      <c r="W536" s="5"/>
    </row>
    <row r="537" spans="1:23" ht="16" x14ac:dyDescent="0.2">
      <c r="A537" s="5"/>
      <c r="B537" s="6"/>
      <c r="C537" s="6"/>
      <c r="D537" s="6"/>
      <c r="E537" s="6"/>
      <c r="F537" s="5"/>
      <c r="G537" s="5"/>
      <c r="H537" s="5"/>
      <c r="I537" s="5"/>
      <c r="J537" s="5"/>
      <c r="K537" s="5"/>
      <c r="L537" s="5"/>
      <c r="M537" s="5"/>
      <c r="N537" s="5"/>
      <c r="O537" s="5"/>
      <c r="P537" s="5"/>
      <c r="Q537" s="5"/>
      <c r="R537" s="5"/>
      <c r="S537" s="5"/>
      <c r="T537" s="5"/>
      <c r="U537" s="5"/>
      <c r="V537" s="5"/>
      <c r="W537" s="5"/>
    </row>
    <row r="538" spans="1:23" ht="16" x14ac:dyDescent="0.2">
      <c r="A538" s="5"/>
      <c r="B538" s="6"/>
      <c r="C538" s="6"/>
      <c r="D538" s="6"/>
      <c r="E538" s="6"/>
      <c r="F538" s="5"/>
      <c r="G538" s="5"/>
      <c r="H538" s="5"/>
      <c r="I538" s="5"/>
      <c r="J538" s="5"/>
      <c r="K538" s="5"/>
      <c r="L538" s="5"/>
      <c r="M538" s="5"/>
      <c r="N538" s="5"/>
      <c r="O538" s="5"/>
      <c r="P538" s="5"/>
      <c r="Q538" s="5"/>
      <c r="R538" s="5"/>
      <c r="S538" s="5"/>
      <c r="T538" s="5"/>
      <c r="U538" s="5"/>
      <c r="V538" s="5"/>
      <c r="W538" s="5"/>
    </row>
    <row r="539" spans="1:23" ht="16" x14ac:dyDescent="0.2">
      <c r="A539" s="5"/>
      <c r="B539" s="6"/>
      <c r="C539" s="6"/>
      <c r="D539" s="6"/>
      <c r="E539" s="6"/>
      <c r="F539" s="5"/>
      <c r="G539" s="5"/>
      <c r="H539" s="5"/>
      <c r="I539" s="5"/>
      <c r="J539" s="5"/>
      <c r="K539" s="5"/>
      <c r="L539" s="5"/>
      <c r="M539" s="5"/>
      <c r="N539" s="5"/>
      <c r="O539" s="5"/>
      <c r="P539" s="5"/>
      <c r="Q539" s="5"/>
      <c r="R539" s="5"/>
      <c r="S539" s="5"/>
      <c r="T539" s="5"/>
      <c r="U539" s="5"/>
      <c r="V539" s="5"/>
      <c r="W539" s="5"/>
    </row>
    <row r="540" spans="1:23" ht="16" x14ac:dyDescent="0.2">
      <c r="A540" s="5"/>
      <c r="B540" s="6"/>
      <c r="C540" s="6"/>
      <c r="D540" s="6"/>
      <c r="E540" s="6"/>
      <c r="F540" s="5"/>
      <c r="G540" s="5"/>
      <c r="H540" s="5"/>
      <c r="I540" s="5"/>
      <c r="J540" s="5"/>
      <c r="K540" s="5"/>
      <c r="L540" s="5"/>
      <c r="M540" s="5"/>
      <c r="N540" s="5"/>
      <c r="O540" s="5"/>
      <c r="P540" s="5"/>
      <c r="Q540" s="5"/>
      <c r="R540" s="5"/>
      <c r="S540" s="5"/>
      <c r="T540" s="5"/>
      <c r="U540" s="5"/>
      <c r="V540" s="5"/>
      <c r="W540" s="5"/>
    </row>
    <row r="541" spans="1:23" ht="16" x14ac:dyDescent="0.2">
      <c r="A541" s="5"/>
      <c r="B541" s="6"/>
      <c r="C541" s="6"/>
      <c r="D541" s="6"/>
      <c r="E541" s="6"/>
      <c r="F541" s="5"/>
      <c r="G541" s="5"/>
      <c r="H541" s="5"/>
      <c r="I541" s="5"/>
      <c r="J541" s="5"/>
      <c r="K541" s="5"/>
      <c r="L541" s="5"/>
      <c r="M541" s="5"/>
      <c r="N541" s="5"/>
      <c r="O541" s="5"/>
      <c r="P541" s="5"/>
      <c r="Q541" s="5"/>
      <c r="R541" s="5"/>
      <c r="S541" s="5"/>
      <c r="T541" s="5"/>
      <c r="U541" s="5"/>
      <c r="V541" s="5"/>
      <c r="W541" s="5"/>
    </row>
    <row r="542" spans="1:23" ht="16" x14ac:dyDescent="0.2">
      <c r="A542" s="5"/>
      <c r="B542" s="6"/>
      <c r="C542" s="6"/>
      <c r="D542" s="6"/>
      <c r="E542" s="6"/>
      <c r="F542" s="5"/>
      <c r="G542" s="5"/>
      <c r="H542" s="5"/>
      <c r="I542" s="5"/>
      <c r="J542" s="5"/>
      <c r="K542" s="5"/>
      <c r="L542" s="5"/>
      <c r="M542" s="5"/>
      <c r="N542" s="5"/>
      <c r="O542" s="5"/>
      <c r="P542" s="5"/>
      <c r="Q542" s="5"/>
      <c r="R542" s="5"/>
      <c r="S542" s="5"/>
      <c r="T542" s="5"/>
      <c r="U542" s="5"/>
      <c r="V542" s="5"/>
      <c r="W542" s="5"/>
    </row>
    <row r="543" spans="1:23" ht="16" x14ac:dyDescent="0.2">
      <c r="A543" s="5"/>
      <c r="B543" s="6"/>
      <c r="C543" s="6"/>
      <c r="D543" s="6"/>
      <c r="E543" s="6"/>
      <c r="F543" s="5"/>
      <c r="G543" s="5"/>
      <c r="H543" s="5"/>
      <c r="I543" s="5"/>
      <c r="J543" s="5"/>
      <c r="K543" s="5"/>
      <c r="L543" s="5"/>
      <c r="M543" s="5"/>
      <c r="N543" s="5"/>
      <c r="O543" s="5"/>
      <c r="P543" s="5"/>
      <c r="Q543" s="5"/>
      <c r="R543" s="5"/>
      <c r="S543" s="5"/>
      <c r="T543" s="5"/>
      <c r="U543" s="5"/>
      <c r="V543" s="5"/>
      <c r="W543" s="5"/>
    </row>
    <row r="544" spans="1:23" ht="16" x14ac:dyDescent="0.2">
      <c r="A544" s="5"/>
      <c r="B544" s="6"/>
      <c r="C544" s="6"/>
      <c r="D544" s="6"/>
      <c r="E544" s="6"/>
      <c r="F544" s="5"/>
      <c r="G544" s="5"/>
      <c r="H544" s="5"/>
      <c r="I544" s="5"/>
      <c r="J544" s="5"/>
      <c r="K544" s="5"/>
      <c r="L544" s="5"/>
      <c r="M544" s="5"/>
      <c r="N544" s="5"/>
      <c r="O544" s="5"/>
      <c r="P544" s="5"/>
      <c r="Q544" s="5"/>
      <c r="R544" s="5"/>
      <c r="S544" s="5"/>
      <c r="T544" s="5"/>
      <c r="U544" s="5"/>
      <c r="V544" s="5"/>
      <c r="W544" s="5"/>
    </row>
    <row r="545" spans="1:23" ht="16" x14ac:dyDescent="0.2">
      <c r="A545" s="5"/>
      <c r="B545" s="6"/>
      <c r="C545" s="6"/>
      <c r="D545" s="6"/>
      <c r="E545" s="6"/>
      <c r="F545" s="5"/>
      <c r="G545" s="5"/>
      <c r="H545" s="5"/>
      <c r="I545" s="5"/>
      <c r="J545" s="5"/>
      <c r="K545" s="5"/>
      <c r="L545" s="5"/>
      <c r="M545" s="5"/>
      <c r="N545" s="5"/>
      <c r="O545" s="5"/>
      <c r="P545" s="5"/>
      <c r="Q545" s="5"/>
      <c r="R545" s="5"/>
      <c r="S545" s="5"/>
      <c r="T545" s="5"/>
      <c r="U545" s="5"/>
      <c r="V545" s="5"/>
      <c r="W545" s="5"/>
    </row>
    <row r="546" spans="1:23" ht="16" x14ac:dyDescent="0.2">
      <c r="A546" s="5"/>
      <c r="B546" s="6"/>
      <c r="C546" s="6"/>
      <c r="D546" s="6"/>
      <c r="E546" s="6"/>
      <c r="F546" s="5"/>
      <c r="G546" s="5"/>
      <c r="H546" s="5"/>
      <c r="I546" s="5"/>
      <c r="J546" s="5"/>
      <c r="K546" s="5"/>
      <c r="L546" s="5"/>
      <c r="M546" s="5"/>
      <c r="N546" s="5"/>
      <c r="O546" s="5"/>
      <c r="P546" s="5"/>
      <c r="Q546" s="5"/>
      <c r="R546" s="5"/>
      <c r="S546" s="5"/>
      <c r="T546" s="5"/>
      <c r="U546" s="5"/>
      <c r="V546" s="5"/>
      <c r="W546" s="5"/>
    </row>
    <row r="547" spans="1:23" ht="16" x14ac:dyDescent="0.2">
      <c r="A547" s="5"/>
      <c r="B547" s="6"/>
      <c r="C547" s="6"/>
      <c r="D547" s="6"/>
      <c r="E547" s="6"/>
      <c r="F547" s="5"/>
      <c r="G547" s="5"/>
      <c r="H547" s="5"/>
      <c r="I547" s="5"/>
      <c r="J547" s="5"/>
      <c r="K547" s="5"/>
      <c r="L547" s="5"/>
      <c r="M547" s="5"/>
      <c r="N547" s="5"/>
      <c r="O547" s="5"/>
      <c r="P547" s="5"/>
      <c r="Q547" s="5"/>
      <c r="R547" s="5"/>
      <c r="S547" s="5"/>
      <c r="T547" s="5"/>
      <c r="U547" s="5"/>
      <c r="V547" s="5"/>
      <c r="W547" s="5"/>
    </row>
    <row r="548" spans="1:23" ht="16" x14ac:dyDescent="0.2">
      <c r="A548" s="5"/>
      <c r="B548" s="6"/>
      <c r="C548" s="6"/>
      <c r="D548" s="6"/>
      <c r="E548" s="6"/>
      <c r="F548" s="5"/>
      <c r="G548" s="5"/>
      <c r="H548" s="5"/>
      <c r="I548" s="5"/>
      <c r="J548" s="5"/>
      <c r="K548" s="5"/>
      <c r="L548" s="5"/>
      <c r="M548" s="5"/>
      <c r="N548" s="5"/>
      <c r="O548" s="5"/>
      <c r="P548" s="5"/>
      <c r="Q548" s="5"/>
      <c r="R548" s="5"/>
      <c r="S548" s="5"/>
      <c r="T548" s="5"/>
      <c r="U548" s="5"/>
      <c r="V548" s="5"/>
      <c r="W548" s="5"/>
    </row>
    <row r="549" spans="1:23" ht="16" x14ac:dyDescent="0.2">
      <c r="A549" s="5"/>
      <c r="B549" s="6"/>
      <c r="C549" s="6"/>
      <c r="D549" s="6"/>
      <c r="E549" s="6"/>
      <c r="F549" s="5"/>
      <c r="G549" s="5"/>
      <c r="H549" s="5"/>
      <c r="I549" s="5"/>
      <c r="J549" s="5"/>
      <c r="K549" s="5"/>
      <c r="L549" s="5"/>
      <c r="M549" s="5"/>
      <c r="N549" s="5"/>
      <c r="O549" s="5"/>
      <c r="P549" s="5"/>
      <c r="Q549" s="5"/>
      <c r="R549" s="5"/>
      <c r="S549" s="5"/>
      <c r="T549" s="5"/>
      <c r="U549" s="5"/>
      <c r="V549" s="5"/>
      <c r="W549" s="5"/>
    </row>
    <row r="550" spans="1:23" ht="16" x14ac:dyDescent="0.2">
      <c r="A550" s="5"/>
      <c r="B550" s="6"/>
      <c r="C550" s="6"/>
      <c r="D550" s="6"/>
      <c r="E550" s="6"/>
      <c r="F550" s="5"/>
      <c r="G550" s="5"/>
      <c r="H550" s="5"/>
      <c r="I550" s="5"/>
      <c r="J550" s="5"/>
      <c r="K550" s="5"/>
      <c r="L550" s="5"/>
      <c r="M550" s="5"/>
      <c r="N550" s="5"/>
      <c r="O550" s="5"/>
      <c r="P550" s="5"/>
      <c r="Q550" s="5"/>
      <c r="R550" s="5"/>
      <c r="S550" s="5"/>
      <c r="T550" s="5"/>
      <c r="U550" s="5"/>
      <c r="V550" s="5"/>
      <c r="W550" s="5"/>
    </row>
    <row r="551" spans="1:23" ht="16" x14ac:dyDescent="0.2">
      <c r="A551" s="5"/>
      <c r="B551" s="6"/>
      <c r="C551" s="6"/>
      <c r="D551" s="6"/>
      <c r="E551" s="6"/>
      <c r="F551" s="5"/>
      <c r="G551" s="5"/>
      <c r="H551" s="5"/>
      <c r="I551" s="5"/>
      <c r="J551" s="5"/>
      <c r="K551" s="5"/>
      <c r="L551" s="5"/>
      <c r="M551" s="5"/>
      <c r="N551" s="5"/>
      <c r="O551" s="5"/>
      <c r="P551" s="5"/>
      <c r="Q551" s="5"/>
      <c r="R551" s="5"/>
      <c r="S551" s="5"/>
      <c r="T551" s="5"/>
      <c r="U551" s="5"/>
      <c r="V551" s="5"/>
      <c r="W551" s="5"/>
    </row>
    <row r="552" spans="1:23" ht="16" x14ac:dyDescent="0.2">
      <c r="A552" s="5"/>
      <c r="B552" s="6"/>
      <c r="C552" s="6"/>
      <c r="D552" s="6"/>
      <c r="E552" s="6"/>
      <c r="F552" s="5"/>
      <c r="G552" s="5"/>
      <c r="H552" s="5"/>
      <c r="I552" s="5"/>
      <c r="J552" s="5"/>
      <c r="K552" s="5"/>
      <c r="L552" s="5"/>
      <c r="M552" s="5"/>
      <c r="N552" s="5"/>
      <c r="O552" s="5"/>
      <c r="P552" s="5"/>
      <c r="Q552" s="5"/>
      <c r="R552" s="5"/>
      <c r="S552" s="5"/>
      <c r="T552" s="5"/>
      <c r="U552" s="5"/>
      <c r="V552" s="5"/>
      <c r="W552" s="5"/>
    </row>
    <row r="553" spans="1:23" ht="16" x14ac:dyDescent="0.2">
      <c r="A553" s="5"/>
      <c r="B553" s="6"/>
      <c r="C553" s="6"/>
      <c r="D553" s="6"/>
      <c r="E553" s="6"/>
      <c r="F553" s="5"/>
      <c r="G553" s="5"/>
      <c r="H553" s="5"/>
      <c r="I553" s="5"/>
      <c r="J553" s="5"/>
      <c r="K553" s="5"/>
      <c r="L553" s="5"/>
      <c r="M553" s="5"/>
      <c r="N553" s="5"/>
      <c r="O553" s="5"/>
      <c r="P553" s="5"/>
      <c r="Q553" s="5"/>
      <c r="R553" s="5"/>
      <c r="S553" s="5"/>
      <c r="T553" s="5"/>
      <c r="U553" s="5"/>
      <c r="V553" s="5"/>
      <c r="W553" s="5"/>
    </row>
    <row r="554" spans="1:23" ht="16" x14ac:dyDescent="0.2">
      <c r="A554" s="5"/>
      <c r="B554" s="6"/>
      <c r="C554" s="6"/>
      <c r="D554" s="6"/>
      <c r="E554" s="6"/>
      <c r="F554" s="5"/>
      <c r="G554" s="5"/>
      <c r="H554" s="5"/>
      <c r="I554" s="5"/>
      <c r="J554" s="5"/>
      <c r="K554" s="5"/>
      <c r="L554" s="5"/>
      <c r="M554" s="5"/>
      <c r="N554" s="5"/>
      <c r="O554" s="5"/>
      <c r="P554" s="5"/>
      <c r="Q554" s="5"/>
      <c r="R554" s="5"/>
      <c r="S554" s="5"/>
      <c r="T554" s="5"/>
      <c r="U554" s="5"/>
      <c r="V554" s="5"/>
      <c r="W554" s="5"/>
    </row>
    <row r="555" spans="1:23" ht="16" x14ac:dyDescent="0.2">
      <c r="A555" s="5"/>
      <c r="B555" s="6"/>
      <c r="C555" s="6"/>
      <c r="D555" s="6"/>
      <c r="E555" s="6"/>
      <c r="F555" s="5"/>
      <c r="G555" s="5"/>
      <c r="H555" s="5"/>
      <c r="I555" s="5"/>
      <c r="J555" s="5"/>
      <c r="K555" s="5"/>
      <c r="L555" s="5"/>
      <c r="M555" s="5"/>
      <c r="N555" s="5"/>
      <c r="O555" s="5"/>
      <c r="P555" s="5"/>
      <c r="Q555" s="5"/>
      <c r="R555" s="5"/>
      <c r="S555" s="5"/>
      <c r="T555" s="5"/>
      <c r="U555" s="5"/>
      <c r="V555" s="5"/>
      <c r="W555" s="5"/>
    </row>
    <row r="556" spans="1:23" ht="16" x14ac:dyDescent="0.2">
      <c r="A556" s="5"/>
      <c r="B556" s="6"/>
      <c r="C556" s="6"/>
      <c r="D556" s="6"/>
      <c r="E556" s="6"/>
      <c r="F556" s="5"/>
      <c r="G556" s="5"/>
      <c r="H556" s="5"/>
      <c r="I556" s="5"/>
      <c r="J556" s="5"/>
      <c r="K556" s="5"/>
      <c r="L556" s="5"/>
      <c r="M556" s="5"/>
      <c r="N556" s="5"/>
      <c r="O556" s="5"/>
      <c r="P556" s="5"/>
      <c r="Q556" s="5"/>
      <c r="R556" s="5"/>
      <c r="S556" s="5"/>
      <c r="T556" s="5"/>
      <c r="U556" s="5"/>
      <c r="V556" s="5"/>
      <c r="W556" s="5"/>
    </row>
    <row r="557" spans="1:23" ht="16" x14ac:dyDescent="0.2">
      <c r="A557" s="5"/>
      <c r="B557" s="6"/>
      <c r="C557" s="6"/>
      <c r="D557" s="6"/>
      <c r="E557" s="6"/>
      <c r="F557" s="5"/>
      <c r="G557" s="5"/>
      <c r="H557" s="5"/>
      <c r="I557" s="5"/>
      <c r="J557" s="5"/>
      <c r="K557" s="5"/>
      <c r="L557" s="5"/>
      <c r="M557" s="5"/>
      <c r="N557" s="5"/>
      <c r="O557" s="5"/>
      <c r="P557" s="5"/>
      <c r="Q557" s="5"/>
      <c r="R557" s="5"/>
      <c r="S557" s="5"/>
      <c r="T557" s="5"/>
      <c r="U557" s="5"/>
      <c r="V557" s="5"/>
      <c r="W557" s="5"/>
    </row>
    <row r="558" spans="1:23" ht="16" x14ac:dyDescent="0.2">
      <c r="A558" s="5"/>
      <c r="B558" s="6"/>
      <c r="C558" s="6"/>
      <c r="D558" s="6"/>
      <c r="E558" s="6"/>
      <c r="F558" s="5"/>
      <c r="G558" s="5"/>
      <c r="H558" s="5"/>
      <c r="I558" s="5"/>
      <c r="J558" s="5"/>
      <c r="K558" s="5"/>
      <c r="L558" s="5"/>
      <c r="M558" s="5"/>
      <c r="N558" s="5"/>
      <c r="O558" s="5"/>
      <c r="P558" s="5"/>
      <c r="Q558" s="5"/>
      <c r="R558" s="5"/>
      <c r="S558" s="5"/>
      <c r="T558" s="5"/>
      <c r="U558" s="5"/>
      <c r="V558" s="5"/>
      <c r="W558" s="5"/>
    </row>
    <row r="559" spans="1:23" ht="16" x14ac:dyDescent="0.2">
      <c r="A559" s="5"/>
      <c r="B559" s="6"/>
      <c r="C559" s="6"/>
      <c r="D559" s="6"/>
      <c r="E559" s="6"/>
      <c r="F559" s="5"/>
      <c r="G559" s="5"/>
      <c r="H559" s="5"/>
      <c r="I559" s="5"/>
      <c r="J559" s="5"/>
      <c r="K559" s="5"/>
      <c r="L559" s="5"/>
      <c r="M559" s="5"/>
      <c r="N559" s="5"/>
      <c r="O559" s="5"/>
      <c r="P559" s="5"/>
      <c r="Q559" s="5"/>
      <c r="R559" s="5"/>
      <c r="S559" s="5"/>
      <c r="T559" s="5"/>
      <c r="U559" s="5"/>
      <c r="V559" s="5"/>
      <c r="W559" s="5"/>
    </row>
    <row r="560" spans="1:23" ht="16" x14ac:dyDescent="0.2">
      <c r="A560" s="5"/>
      <c r="B560" s="6"/>
      <c r="C560" s="6"/>
      <c r="D560" s="6"/>
      <c r="E560" s="6"/>
      <c r="F560" s="5"/>
      <c r="G560" s="5"/>
      <c r="H560" s="5"/>
      <c r="I560" s="5"/>
      <c r="J560" s="5"/>
      <c r="K560" s="5"/>
      <c r="L560" s="5"/>
      <c r="M560" s="5"/>
      <c r="N560" s="5"/>
      <c r="O560" s="5"/>
      <c r="P560" s="5"/>
      <c r="Q560" s="5"/>
      <c r="R560" s="5"/>
      <c r="S560" s="5"/>
      <c r="T560" s="5"/>
      <c r="U560" s="5"/>
      <c r="V560" s="5"/>
      <c r="W560" s="5"/>
    </row>
    <row r="561" spans="1:23" ht="16" x14ac:dyDescent="0.2">
      <c r="A561" s="5"/>
      <c r="B561" s="6"/>
      <c r="C561" s="6"/>
      <c r="D561" s="6"/>
      <c r="E561" s="6"/>
      <c r="F561" s="5"/>
      <c r="G561" s="5"/>
      <c r="H561" s="5"/>
      <c r="I561" s="5"/>
      <c r="J561" s="5"/>
      <c r="K561" s="5"/>
      <c r="L561" s="5"/>
      <c r="M561" s="5"/>
      <c r="N561" s="5"/>
      <c r="O561" s="5"/>
      <c r="P561" s="5"/>
      <c r="Q561" s="5"/>
      <c r="R561" s="5"/>
      <c r="S561" s="5"/>
      <c r="T561" s="5"/>
      <c r="U561" s="5"/>
      <c r="V561" s="5"/>
      <c r="W561" s="5"/>
    </row>
    <row r="562" spans="1:23" ht="16" x14ac:dyDescent="0.2">
      <c r="A562" s="5"/>
      <c r="B562" s="6"/>
      <c r="C562" s="6"/>
      <c r="D562" s="6"/>
      <c r="E562" s="6"/>
      <c r="F562" s="5"/>
      <c r="G562" s="5"/>
      <c r="H562" s="5"/>
      <c r="I562" s="5"/>
      <c r="J562" s="5"/>
      <c r="K562" s="5"/>
      <c r="L562" s="5"/>
      <c r="M562" s="5"/>
      <c r="N562" s="5"/>
      <c r="O562" s="5"/>
      <c r="P562" s="5"/>
      <c r="Q562" s="5"/>
      <c r="R562" s="5"/>
      <c r="S562" s="5"/>
      <c r="T562" s="5"/>
      <c r="U562" s="5"/>
      <c r="V562" s="5"/>
      <c r="W562" s="5"/>
    </row>
    <row r="563" spans="1:23" ht="16" x14ac:dyDescent="0.2">
      <c r="A563" s="5"/>
      <c r="B563" s="6"/>
      <c r="C563" s="6"/>
      <c r="D563" s="6"/>
      <c r="E563" s="6"/>
      <c r="F563" s="5"/>
      <c r="G563" s="5"/>
      <c r="H563" s="5"/>
      <c r="I563" s="5"/>
      <c r="J563" s="5"/>
      <c r="K563" s="5"/>
      <c r="L563" s="5"/>
      <c r="M563" s="5"/>
      <c r="N563" s="5"/>
      <c r="O563" s="5"/>
      <c r="P563" s="5"/>
      <c r="Q563" s="5"/>
      <c r="R563" s="5"/>
      <c r="S563" s="5"/>
      <c r="T563" s="5"/>
      <c r="U563" s="5"/>
      <c r="V563" s="5"/>
      <c r="W563" s="5"/>
    </row>
    <row r="564" spans="1:23" ht="16" x14ac:dyDescent="0.2">
      <c r="A564" s="5"/>
      <c r="B564" s="6"/>
      <c r="C564" s="6"/>
      <c r="D564" s="6"/>
      <c r="E564" s="6"/>
      <c r="F564" s="5"/>
      <c r="G564" s="5"/>
      <c r="H564" s="5"/>
      <c r="I564" s="5"/>
      <c r="J564" s="5"/>
      <c r="K564" s="5"/>
      <c r="L564" s="5"/>
      <c r="M564" s="5"/>
      <c r="N564" s="5"/>
      <c r="O564" s="5"/>
      <c r="P564" s="5"/>
      <c r="Q564" s="5"/>
      <c r="R564" s="5"/>
      <c r="S564" s="5"/>
      <c r="T564" s="5"/>
      <c r="U564" s="5"/>
      <c r="V564" s="5"/>
      <c r="W564" s="5"/>
    </row>
    <row r="565" spans="1:23" ht="16" x14ac:dyDescent="0.2">
      <c r="A565" s="5"/>
      <c r="B565" s="6"/>
      <c r="C565" s="6"/>
      <c r="D565" s="6"/>
      <c r="E565" s="6"/>
      <c r="F565" s="5"/>
      <c r="G565" s="5"/>
      <c r="H565" s="5"/>
      <c r="I565" s="5"/>
      <c r="J565" s="5"/>
      <c r="K565" s="5"/>
      <c r="L565" s="5"/>
      <c r="M565" s="5"/>
      <c r="N565" s="5"/>
      <c r="O565" s="5"/>
      <c r="P565" s="5"/>
      <c r="Q565" s="5"/>
      <c r="R565" s="5"/>
      <c r="S565" s="5"/>
      <c r="T565" s="5"/>
      <c r="U565" s="5"/>
      <c r="V565" s="5"/>
      <c r="W565" s="5"/>
    </row>
    <row r="566" spans="1:23" ht="16" x14ac:dyDescent="0.2">
      <c r="A566" s="5"/>
      <c r="B566" s="6"/>
      <c r="C566" s="6"/>
      <c r="D566" s="6"/>
      <c r="E566" s="6"/>
      <c r="F566" s="5"/>
      <c r="G566" s="5"/>
      <c r="H566" s="5"/>
      <c r="I566" s="5"/>
      <c r="J566" s="5"/>
      <c r="K566" s="5"/>
      <c r="L566" s="5"/>
      <c r="M566" s="5"/>
      <c r="N566" s="5"/>
      <c r="O566" s="5"/>
      <c r="P566" s="5"/>
      <c r="Q566" s="5"/>
      <c r="R566" s="5"/>
      <c r="S566" s="5"/>
      <c r="T566" s="5"/>
      <c r="U566" s="5"/>
      <c r="V566" s="5"/>
      <c r="W566" s="5"/>
    </row>
    <row r="567" spans="1:23" ht="16" x14ac:dyDescent="0.2">
      <c r="A567" s="5"/>
      <c r="B567" s="6"/>
      <c r="C567" s="6"/>
      <c r="D567" s="6"/>
      <c r="E567" s="6"/>
      <c r="F567" s="5"/>
      <c r="G567" s="5"/>
      <c r="H567" s="5"/>
      <c r="I567" s="5"/>
      <c r="J567" s="5"/>
      <c r="K567" s="5"/>
      <c r="L567" s="5"/>
      <c r="M567" s="5"/>
      <c r="N567" s="5"/>
      <c r="O567" s="5"/>
      <c r="P567" s="5"/>
      <c r="Q567" s="5"/>
      <c r="R567" s="5"/>
      <c r="S567" s="5"/>
      <c r="T567" s="5"/>
      <c r="U567" s="5"/>
      <c r="V567" s="5"/>
      <c r="W567" s="5"/>
    </row>
    <row r="568" spans="1:23" ht="16" x14ac:dyDescent="0.2">
      <c r="A568" s="5"/>
      <c r="B568" s="6"/>
      <c r="C568" s="6"/>
      <c r="D568" s="6"/>
      <c r="E568" s="6"/>
      <c r="F568" s="5"/>
      <c r="G568" s="5"/>
      <c r="H568" s="5"/>
      <c r="I568" s="5"/>
      <c r="J568" s="5"/>
      <c r="K568" s="5"/>
      <c r="L568" s="5"/>
      <c r="M568" s="5"/>
      <c r="N568" s="5"/>
      <c r="O568" s="5"/>
      <c r="P568" s="5"/>
      <c r="Q568" s="5"/>
      <c r="R568" s="5"/>
      <c r="S568" s="5"/>
      <c r="T568" s="5"/>
      <c r="U568" s="5"/>
      <c r="V568" s="5"/>
      <c r="W568" s="5"/>
    </row>
    <row r="569" spans="1:23" ht="16" x14ac:dyDescent="0.2">
      <c r="A569" s="5"/>
      <c r="B569" s="6"/>
      <c r="C569" s="6"/>
      <c r="D569" s="6"/>
      <c r="E569" s="6"/>
      <c r="F569" s="5"/>
      <c r="G569" s="5"/>
      <c r="H569" s="5"/>
      <c r="I569" s="5"/>
      <c r="J569" s="5"/>
      <c r="K569" s="5"/>
      <c r="L569" s="5"/>
      <c r="M569" s="5"/>
      <c r="N569" s="5"/>
      <c r="O569" s="5"/>
      <c r="P569" s="5"/>
      <c r="Q569" s="5"/>
      <c r="R569" s="5"/>
      <c r="S569" s="5"/>
      <c r="T569" s="5"/>
      <c r="U569" s="5"/>
      <c r="V569" s="5"/>
      <c r="W569" s="5"/>
    </row>
    <row r="570" spans="1:23" ht="16" x14ac:dyDescent="0.2">
      <c r="A570" s="5"/>
      <c r="B570" s="6"/>
      <c r="C570" s="6"/>
      <c r="D570" s="6"/>
      <c r="E570" s="6"/>
      <c r="F570" s="5"/>
      <c r="G570" s="5"/>
      <c r="H570" s="5"/>
      <c r="I570" s="5"/>
      <c r="J570" s="5"/>
      <c r="K570" s="5"/>
      <c r="L570" s="5"/>
      <c r="M570" s="5"/>
      <c r="N570" s="5"/>
      <c r="O570" s="5"/>
      <c r="P570" s="5"/>
      <c r="Q570" s="5"/>
      <c r="R570" s="5"/>
      <c r="S570" s="5"/>
      <c r="T570" s="5"/>
      <c r="U570" s="5"/>
      <c r="V570" s="5"/>
      <c r="W570" s="5"/>
    </row>
    <row r="571" spans="1:23" ht="16" x14ac:dyDescent="0.2">
      <c r="A571" s="5"/>
      <c r="B571" s="6"/>
      <c r="C571" s="6"/>
      <c r="D571" s="6"/>
      <c r="E571" s="6"/>
      <c r="F571" s="5"/>
      <c r="G571" s="5"/>
      <c r="H571" s="5"/>
      <c r="I571" s="5"/>
      <c r="J571" s="5"/>
      <c r="K571" s="5"/>
      <c r="L571" s="5"/>
      <c r="M571" s="5"/>
      <c r="N571" s="5"/>
      <c r="O571" s="5"/>
      <c r="P571" s="5"/>
      <c r="Q571" s="5"/>
      <c r="R571" s="5"/>
      <c r="S571" s="5"/>
      <c r="T571" s="5"/>
      <c r="U571" s="5"/>
      <c r="V571" s="5"/>
      <c r="W571" s="5"/>
    </row>
    <row r="572" spans="1:23" ht="16" x14ac:dyDescent="0.2">
      <c r="A572" s="5"/>
      <c r="B572" s="6"/>
      <c r="C572" s="6"/>
      <c r="D572" s="6"/>
      <c r="E572" s="6"/>
      <c r="F572" s="5"/>
      <c r="G572" s="5"/>
      <c r="H572" s="5"/>
      <c r="I572" s="5"/>
      <c r="J572" s="5"/>
      <c r="K572" s="5"/>
      <c r="L572" s="5"/>
      <c r="M572" s="5"/>
      <c r="N572" s="5"/>
      <c r="O572" s="5"/>
      <c r="P572" s="5"/>
      <c r="Q572" s="5"/>
      <c r="R572" s="5"/>
      <c r="S572" s="5"/>
      <c r="T572" s="5"/>
      <c r="U572" s="5"/>
      <c r="V572" s="5"/>
      <c r="W572" s="5"/>
    </row>
    <row r="573" spans="1:23" ht="16" x14ac:dyDescent="0.2">
      <c r="A573" s="5"/>
      <c r="B573" s="6"/>
      <c r="C573" s="6"/>
      <c r="D573" s="6"/>
      <c r="E573" s="6"/>
      <c r="F573" s="5"/>
      <c r="G573" s="5"/>
      <c r="H573" s="5"/>
      <c r="I573" s="5"/>
      <c r="J573" s="5"/>
      <c r="K573" s="5"/>
      <c r="L573" s="5"/>
      <c r="M573" s="5"/>
      <c r="N573" s="5"/>
      <c r="O573" s="5"/>
      <c r="P573" s="5"/>
      <c r="Q573" s="5"/>
      <c r="R573" s="5"/>
      <c r="S573" s="5"/>
      <c r="T573" s="5"/>
      <c r="U573" s="5"/>
      <c r="V573" s="5"/>
      <c r="W573" s="5"/>
    </row>
    <row r="574" spans="1:23" ht="16" x14ac:dyDescent="0.2">
      <c r="A574" s="5"/>
      <c r="B574" s="6"/>
      <c r="C574" s="6"/>
      <c r="D574" s="6"/>
      <c r="E574" s="6"/>
      <c r="F574" s="5"/>
      <c r="G574" s="5"/>
      <c r="H574" s="5"/>
      <c r="I574" s="5"/>
      <c r="J574" s="5"/>
      <c r="K574" s="5"/>
      <c r="L574" s="5"/>
      <c r="M574" s="5"/>
      <c r="N574" s="5"/>
      <c r="O574" s="5"/>
      <c r="P574" s="5"/>
      <c r="Q574" s="5"/>
      <c r="R574" s="5"/>
      <c r="S574" s="5"/>
      <c r="T574" s="5"/>
      <c r="U574" s="5"/>
      <c r="V574" s="5"/>
      <c r="W574" s="5"/>
    </row>
    <row r="575" spans="1:23" ht="16" x14ac:dyDescent="0.2">
      <c r="A575" s="5"/>
      <c r="B575" s="6"/>
      <c r="C575" s="6"/>
      <c r="D575" s="6"/>
      <c r="E575" s="6"/>
      <c r="F575" s="5"/>
      <c r="G575" s="5"/>
      <c r="H575" s="5"/>
      <c r="I575" s="5"/>
      <c r="J575" s="5"/>
      <c r="K575" s="5"/>
      <c r="L575" s="5"/>
      <c r="M575" s="5"/>
      <c r="N575" s="5"/>
      <c r="O575" s="5"/>
      <c r="P575" s="5"/>
      <c r="Q575" s="5"/>
      <c r="R575" s="5"/>
      <c r="S575" s="5"/>
      <c r="T575" s="5"/>
      <c r="U575" s="5"/>
      <c r="V575" s="5"/>
      <c r="W575" s="5"/>
    </row>
    <row r="576" spans="1:23" ht="16" x14ac:dyDescent="0.2">
      <c r="A576" s="5"/>
      <c r="B576" s="6"/>
      <c r="C576" s="6"/>
      <c r="D576" s="6"/>
      <c r="E576" s="6"/>
      <c r="F576" s="5"/>
      <c r="G576" s="5"/>
      <c r="H576" s="5"/>
      <c r="I576" s="5"/>
      <c r="J576" s="5"/>
      <c r="K576" s="5"/>
      <c r="L576" s="5"/>
      <c r="M576" s="5"/>
      <c r="N576" s="5"/>
      <c r="O576" s="5"/>
      <c r="P576" s="5"/>
      <c r="Q576" s="5"/>
      <c r="R576" s="5"/>
      <c r="S576" s="5"/>
      <c r="T576" s="5"/>
      <c r="U576" s="5"/>
      <c r="V576" s="5"/>
      <c r="W576" s="5"/>
    </row>
    <row r="577" spans="1:23" ht="16" x14ac:dyDescent="0.2">
      <c r="A577" s="5"/>
      <c r="B577" s="6"/>
      <c r="C577" s="6"/>
      <c r="D577" s="6"/>
      <c r="E577" s="6"/>
      <c r="F577" s="5"/>
      <c r="G577" s="5"/>
      <c r="H577" s="5"/>
      <c r="I577" s="5"/>
      <c r="J577" s="5"/>
      <c r="K577" s="5"/>
      <c r="L577" s="5"/>
      <c r="M577" s="5"/>
      <c r="N577" s="5"/>
      <c r="O577" s="5"/>
      <c r="P577" s="5"/>
      <c r="Q577" s="5"/>
      <c r="R577" s="5"/>
      <c r="S577" s="5"/>
      <c r="T577" s="5"/>
      <c r="U577" s="5"/>
      <c r="V577" s="5"/>
      <c r="W577" s="5"/>
    </row>
    <row r="578" spans="1:23" ht="16" x14ac:dyDescent="0.2">
      <c r="A578" s="5"/>
      <c r="B578" s="6"/>
      <c r="C578" s="6"/>
      <c r="D578" s="6"/>
      <c r="E578" s="6"/>
      <c r="F578" s="5"/>
      <c r="G578" s="5"/>
      <c r="H578" s="5"/>
      <c r="I578" s="5"/>
      <c r="J578" s="5"/>
      <c r="K578" s="5"/>
      <c r="L578" s="5"/>
      <c r="M578" s="5"/>
      <c r="N578" s="5"/>
      <c r="O578" s="5"/>
      <c r="P578" s="5"/>
      <c r="Q578" s="5"/>
      <c r="R578" s="5"/>
      <c r="S578" s="5"/>
      <c r="T578" s="5"/>
      <c r="U578" s="5"/>
      <c r="V578" s="5"/>
      <c r="W578" s="5"/>
    </row>
    <row r="579" spans="1:23" ht="16" x14ac:dyDescent="0.2">
      <c r="A579" s="5"/>
      <c r="B579" s="6"/>
      <c r="C579" s="6"/>
      <c r="D579" s="6"/>
      <c r="E579" s="6"/>
      <c r="F579" s="5"/>
      <c r="G579" s="5"/>
      <c r="H579" s="5"/>
      <c r="I579" s="5"/>
      <c r="J579" s="5"/>
      <c r="K579" s="5"/>
      <c r="L579" s="5"/>
      <c r="M579" s="5"/>
      <c r="N579" s="5"/>
      <c r="O579" s="5"/>
      <c r="P579" s="5"/>
      <c r="Q579" s="5"/>
      <c r="R579" s="5"/>
      <c r="S579" s="5"/>
      <c r="T579" s="5"/>
      <c r="U579" s="5"/>
      <c r="V579" s="5"/>
      <c r="W579" s="5"/>
    </row>
    <row r="580" spans="1:23" ht="16" x14ac:dyDescent="0.2">
      <c r="A580" s="5"/>
      <c r="B580" s="6"/>
      <c r="C580" s="6"/>
      <c r="D580" s="6"/>
      <c r="E580" s="6"/>
      <c r="F580" s="5"/>
      <c r="G580" s="5"/>
      <c r="H580" s="5"/>
      <c r="I580" s="5"/>
      <c r="J580" s="5"/>
      <c r="K580" s="5"/>
      <c r="L580" s="5"/>
      <c r="M580" s="5"/>
      <c r="N580" s="5"/>
      <c r="O580" s="5"/>
      <c r="P580" s="5"/>
      <c r="Q580" s="5"/>
      <c r="R580" s="5"/>
      <c r="S580" s="5"/>
      <c r="T580" s="5"/>
      <c r="U580" s="5"/>
      <c r="V580" s="5"/>
      <c r="W580" s="5"/>
    </row>
    <row r="581" spans="1:23" ht="16" x14ac:dyDescent="0.2">
      <c r="A581" s="5"/>
      <c r="B581" s="6"/>
      <c r="C581" s="6"/>
      <c r="D581" s="6"/>
      <c r="E581" s="6"/>
      <c r="F581" s="5"/>
      <c r="G581" s="5"/>
      <c r="H581" s="5"/>
      <c r="I581" s="5"/>
      <c r="J581" s="5"/>
      <c r="K581" s="5"/>
      <c r="L581" s="5"/>
      <c r="M581" s="5"/>
      <c r="N581" s="5"/>
      <c r="O581" s="5"/>
      <c r="P581" s="5"/>
      <c r="Q581" s="5"/>
      <c r="R581" s="5"/>
      <c r="S581" s="5"/>
      <c r="T581" s="5"/>
      <c r="U581" s="5"/>
      <c r="V581" s="5"/>
      <c r="W581" s="5"/>
    </row>
    <row r="582" spans="1:23" ht="16" x14ac:dyDescent="0.2">
      <c r="A582" s="5"/>
      <c r="B582" s="6"/>
      <c r="C582" s="6"/>
      <c r="D582" s="6"/>
      <c r="E582" s="6"/>
      <c r="F582" s="5"/>
      <c r="G582" s="5"/>
      <c r="H582" s="5"/>
      <c r="I582" s="5"/>
      <c r="J582" s="5"/>
      <c r="K582" s="5"/>
      <c r="L582" s="5"/>
      <c r="M582" s="5"/>
      <c r="N582" s="5"/>
      <c r="O582" s="5"/>
      <c r="P582" s="5"/>
      <c r="Q582" s="5"/>
      <c r="R582" s="5"/>
      <c r="S582" s="5"/>
      <c r="T582" s="5"/>
      <c r="U582" s="5"/>
      <c r="V582" s="5"/>
      <c r="W582" s="5"/>
    </row>
    <row r="583" spans="1:23" ht="16" x14ac:dyDescent="0.2">
      <c r="A583" s="5"/>
      <c r="B583" s="6"/>
      <c r="C583" s="6"/>
      <c r="D583" s="6"/>
      <c r="E583" s="6"/>
      <c r="F583" s="5"/>
      <c r="G583" s="5"/>
      <c r="H583" s="5"/>
      <c r="I583" s="5"/>
      <c r="J583" s="5"/>
      <c r="K583" s="5"/>
      <c r="L583" s="5"/>
      <c r="M583" s="5"/>
      <c r="N583" s="5"/>
      <c r="O583" s="5"/>
      <c r="P583" s="5"/>
      <c r="Q583" s="5"/>
      <c r="R583" s="5"/>
      <c r="S583" s="5"/>
      <c r="T583" s="5"/>
      <c r="U583" s="5"/>
      <c r="V583" s="5"/>
      <c r="W583" s="5"/>
    </row>
    <row r="584" spans="1:23" ht="16" x14ac:dyDescent="0.2">
      <c r="A584" s="5"/>
      <c r="B584" s="6"/>
      <c r="C584" s="6"/>
      <c r="D584" s="6"/>
      <c r="E584" s="6"/>
      <c r="F584" s="5"/>
      <c r="G584" s="5"/>
      <c r="H584" s="5"/>
      <c r="I584" s="5"/>
      <c r="J584" s="5"/>
      <c r="K584" s="5"/>
      <c r="L584" s="5"/>
      <c r="M584" s="5"/>
      <c r="N584" s="5"/>
      <c r="O584" s="5"/>
      <c r="P584" s="5"/>
      <c r="Q584" s="5"/>
      <c r="R584" s="5"/>
      <c r="S584" s="5"/>
      <c r="T584" s="5"/>
      <c r="U584" s="5"/>
      <c r="V584" s="5"/>
      <c r="W584" s="5"/>
    </row>
    <row r="585" spans="1:23" ht="16" x14ac:dyDescent="0.2">
      <c r="A585" s="5"/>
      <c r="B585" s="6"/>
      <c r="C585" s="6"/>
      <c r="D585" s="6"/>
      <c r="E585" s="6"/>
      <c r="F585" s="5"/>
      <c r="G585" s="5"/>
      <c r="H585" s="5"/>
      <c r="I585" s="5"/>
      <c r="J585" s="5"/>
      <c r="K585" s="5"/>
      <c r="L585" s="5"/>
      <c r="M585" s="5"/>
      <c r="N585" s="5"/>
      <c r="O585" s="5"/>
      <c r="P585" s="5"/>
      <c r="Q585" s="5"/>
      <c r="R585" s="5"/>
      <c r="S585" s="5"/>
      <c r="T585" s="5"/>
      <c r="U585" s="5"/>
      <c r="V585" s="5"/>
      <c r="W585" s="5"/>
    </row>
    <row r="586" spans="1:23" ht="16" x14ac:dyDescent="0.2">
      <c r="A586" s="5"/>
      <c r="B586" s="6"/>
      <c r="C586" s="6"/>
      <c r="D586" s="6"/>
      <c r="E586" s="6"/>
      <c r="F586" s="5"/>
      <c r="G586" s="5"/>
      <c r="H586" s="5"/>
      <c r="I586" s="5"/>
      <c r="J586" s="5"/>
      <c r="K586" s="5"/>
      <c r="L586" s="5"/>
      <c r="M586" s="5"/>
      <c r="N586" s="5"/>
      <c r="O586" s="5"/>
      <c r="P586" s="5"/>
      <c r="Q586" s="5"/>
      <c r="R586" s="5"/>
      <c r="S586" s="5"/>
      <c r="T586" s="5"/>
      <c r="U586" s="5"/>
      <c r="V586" s="5"/>
      <c r="W586" s="5"/>
    </row>
    <row r="587" spans="1:23" ht="16" x14ac:dyDescent="0.2">
      <c r="A587" s="5"/>
      <c r="B587" s="6"/>
      <c r="C587" s="6"/>
      <c r="D587" s="6"/>
      <c r="E587" s="6"/>
      <c r="F587" s="5"/>
      <c r="G587" s="5"/>
      <c r="H587" s="5"/>
      <c r="I587" s="5"/>
      <c r="J587" s="5"/>
      <c r="K587" s="5"/>
      <c r="L587" s="5"/>
      <c r="M587" s="5"/>
      <c r="N587" s="5"/>
      <c r="O587" s="5"/>
      <c r="P587" s="5"/>
      <c r="Q587" s="5"/>
      <c r="R587" s="5"/>
      <c r="S587" s="5"/>
      <c r="T587" s="5"/>
      <c r="U587" s="5"/>
      <c r="V587" s="5"/>
      <c r="W587" s="5"/>
    </row>
    <row r="588" spans="1:23" ht="16" x14ac:dyDescent="0.2">
      <c r="A588" s="5"/>
      <c r="B588" s="6"/>
      <c r="C588" s="6"/>
      <c r="D588" s="6"/>
      <c r="E588" s="6"/>
      <c r="F588" s="5"/>
      <c r="G588" s="5"/>
      <c r="H588" s="5"/>
      <c r="I588" s="5"/>
      <c r="J588" s="5"/>
      <c r="K588" s="5"/>
      <c r="L588" s="5"/>
      <c r="M588" s="5"/>
      <c r="N588" s="5"/>
      <c r="O588" s="5"/>
      <c r="P588" s="5"/>
      <c r="Q588" s="5"/>
      <c r="R588" s="5"/>
      <c r="S588" s="5"/>
      <c r="T588" s="5"/>
      <c r="U588" s="5"/>
      <c r="V588" s="5"/>
      <c r="W588" s="5"/>
    </row>
    <row r="589" spans="1:23" ht="16" x14ac:dyDescent="0.2">
      <c r="A589" s="5"/>
      <c r="B589" s="6"/>
      <c r="C589" s="6"/>
      <c r="D589" s="6"/>
      <c r="E589" s="6"/>
      <c r="F589" s="5"/>
      <c r="G589" s="5"/>
      <c r="H589" s="5"/>
      <c r="I589" s="5"/>
      <c r="J589" s="5"/>
      <c r="K589" s="5"/>
      <c r="L589" s="5"/>
      <c r="M589" s="5"/>
      <c r="N589" s="5"/>
      <c r="O589" s="5"/>
      <c r="P589" s="5"/>
      <c r="Q589" s="5"/>
      <c r="R589" s="5"/>
      <c r="S589" s="5"/>
      <c r="T589" s="5"/>
      <c r="U589" s="5"/>
      <c r="V589" s="5"/>
      <c r="W589" s="5"/>
    </row>
    <row r="590" spans="1:23" ht="16" x14ac:dyDescent="0.2">
      <c r="A590" s="5"/>
      <c r="B590" s="6"/>
      <c r="C590" s="6"/>
      <c r="D590" s="6"/>
      <c r="E590" s="6"/>
      <c r="F590" s="5"/>
      <c r="G590" s="5"/>
      <c r="H590" s="5"/>
      <c r="I590" s="5"/>
      <c r="J590" s="5"/>
      <c r="K590" s="5"/>
      <c r="L590" s="5"/>
      <c r="M590" s="5"/>
      <c r="N590" s="5"/>
      <c r="O590" s="5"/>
      <c r="P590" s="5"/>
      <c r="Q590" s="5"/>
      <c r="R590" s="5"/>
      <c r="S590" s="5"/>
      <c r="T590" s="5"/>
      <c r="U590" s="5"/>
      <c r="V590" s="5"/>
      <c r="W590" s="5"/>
    </row>
    <row r="591" spans="1:23" ht="16" x14ac:dyDescent="0.2">
      <c r="A591" s="5"/>
      <c r="B591" s="6"/>
      <c r="C591" s="6"/>
      <c r="D591" s="6"/>
      <c r="E591" s="6"/>
      <c r="F591" s="5"/>
      <c r="G591" s="5"/>
      <c r="H591" s="5"/>
      <c r="I591" s="5"/>
      <c r="J591" s="5"/>
      <c r="K591" s="5"/>
      <c r="L591" s="5"/>
      <c r="M591" s="5"/>
      <c r="N591" s="5"/>
      <c r="O591" s="5"/>
      <c r="P591" s="5"/>
      <c r="Q591" s="5"/>
      <c r="R591" s="5"/>
      <c r="S591" s="5"/>
      <c r="T591" s="5"/>
      <c r="U591" s="5"/>
      <c r="V591" s="5"/>
      <c r="W591" s="5"/>
    </row>
    <row r="592" spans="1:23" ht="16" x14ac:dyDescent="0.2">
      <c r="A592" s="5"/>
      <c r="B592" s="6"/>
      <c r="C592" s="6"/>
      <c r="D592" s="6"/>
      <c r="E592" s="6"/>
      <c r="F592" s="5"/>
      <c r="G592" s="5"/>
      <c r="H592" s="5"/>
      <c r="I592" s="5"/>
      <c r="J592" s="5"/>
      <c r="K592" s="5"/>
      <c r="L592" s="5"/>
      <c r="M592" s="5"/>
      <c r="N592" s="5"/>
      <c r="O592" s="5"/>
      <c r="P592" s="5"/>
      <c r="Q592" s="5"/>
      <c r="R592" s="5"/>
      <c r="S592" s="5"/>
      <c r="T592" s="5"/>
      <c r="U592" s="5"/>
      <c r="V592" s="5"/>
      <c r="W592" s="5"/>
    </row>
    <row r="593" spans="1:23" ht="16" x14ac:dyDescent="0.2">
      <c r="A593" s="5"/>
      <c r="B593" s="6"/>
      <c r="C593" s="6"/>
      <c r="D593" s="6"/>
      <c r="E593" s="6"/>
      <c r="F593" s="5"/>
      <c r="G593" s="5"/>
      <c r="H593" s="5"/>
      <c r="I593" s="5"/>
      <c r="J593" s="5"/>
      <c r="K593" s="5"/>
      <c r="L593" s="5"/>
      <c r="M593" s="5"/>
      <c r="N593" s="5"/>
      <c r="O593" s="5"/>
      <c r="P593" s="5"/>
      <c r="Q593" s="5"/>
      <c r="R593" s="5"/>
      <c r="S593" s="5"/>
      <c r="T593" s="5"/>
      <c r="U593" s="5"/>
      <c r="V593" s="5"/>
      <c r="W593" s="5"/>
    </row>
    <row r="594" spans="1:23" ht="16" x14ac:dyDescent="0.2">
      <c r="A594" s="5"/>
      <c r="B594" s="6"/>
      <c r="C594" s="6"/>
      <c r="D594" s="6"/>
      <c r="E594" s="6"/>
      <c r="F594" s="5"/>
      <c r="G594" s="5"/>
      <c r="H594" s="5"/>
      <c r="I594" s="5"/>
      <c r="J594" s="5"/>
      <c r="K594" s="5"/>
      <c r="L594" s="5"/>
      <c r="M594" s="5"/>
      <c r="N594" s="5"/>
      <c r="O594" s="5"/>
      <c r="P594" s="5"/>
      <c r="Q594" s="5"/>
      <c r="R594" s="5"/>
      <c r="S594" s="5"/>
      <c r="T594" s="5"/>
      <c r="U594" s="5"/>
      <c r="V594" s="5"/>
      <c r="W594" s="5"/>
    </row>
    <row r="595" spans="1:23" ht="16" x14ac:dyDescent="0.2">
      <c r="A595" s="5"/>
      <c r="B595" s="6"/>
      <c r="C595" s="6"/>
      <c r="D595" s="6"/>
      <c r="E595" s="6"/>
      <c r="F595" s="5"/>
      <c r="G595" s="5"/>
      <c r="H595" s="5"/>
      <c r="I595" s="5"/>
      <c r="J595" s="5"/>
      <c r="K595" s="5"/>
      <c r="L595" s="5"/>
      <c r="M595" s="5"/>
      <c r="N595" s="5"/>
      <c r="O595" s="5"/>
      <c r="P595" s="5"/>
      <c r="Q595" s="5"/>
      <c r="R595" s="5"/>
      <c r="S595" s="5"/>
      <c r="T595" s="5"/>
      <c r="U595" s="5"/>
      <c r="V595" s="5"/>
      <c r="W595" s="5"/>
    </row>
    <row r="596" spans="1:23" ht="16" x14ac:dyDescent="0.2">
      <c r="A596" s="5"/>
      <c r="B596" s="6"/>
      <c r="C596" s="6"/>
      <c r="D596" s="6"/>
      <c r="E596" s="6"/>
      <c r="F596" s="5"/>
      <c r="G596" s="5"/>
      <c r="H596" s="5"/>
      <c r="I596" s="5"/>
      <c r="J596" s="5"/>
      <c r="K596" s="5"/>
      <c r="L596" s="5"/>
      <c r="M596" s="5"/>
      <c r="N596" s="5"/>
      <c r="O596" s="5"/>
      <c r="P596" s="5"/>
      <c r="Q596" s="5"/>
      <c r="R596" s="5"/>
      <c r="S596" s="5"/>
      <c r="T596" s="5"/>
      <c r="U596" s="5"/>
      <c r="V596" s="5"/>
      <c r="W596" s="5"/>
    </row>
    <row r="597" spans="1:23" ht="16" x14ac:dyDescent="0.2">
      <c r="A597" s="5"/>
      <c r="B597" s="6"/>
      <c r="C597" s="6"/>
      <c r="D597" s="6"/>
      <c r="E597" s="6"/>
      <c r="F597" s="5"/>
      <c r="G597" s="5"/>
      <c r="H597" s="5"/>
      <c r="I597" s="5"/>
      <c r="J597" s="5"/>
      <c r="K597" s="5"/>
      <c r="L597" s="5"/>
      <c r="M597" s="5"/>
      <c r="N597" s="5"/>
      <c r="O597" s="5"/>
      <c r="P597" s="5"/>
      <c r="Q597" s="5"/>
      <c r="R597" s="5"/>
      <c r="S597" s="5"/>
      <c r="T597" s="5"/>
      <c r="U597" s="5"/>
      <c r="V597" s="5"/>
      <c r="W597" s="5"/>
    </row>
    <row r="598" spans="1:23" ht="16" x14ac:dyDescent="0.2">
      <c r="A598" s="5"/>
      <c r="B598" s="6"/>
      <c r="C598" s="6"/>
      <c r="D598" s="6"/>
      <c r="E598" s="6"/>
      <c r="F598" s="5"/>
      <c r="G598" s="5"/>
      <c r="H598" s="5"/>
      <c r="I598" s="5"/>
      <c r="J598" s="5"/>
      <c r="K598" s="5"/>
      <c r="L598" s="5"/>
      <c r="M598" s="5"/>
      <c r="N598" s="5"/>
      <c r="O598" s="5"/>
      <c r="P598" s="5"/>
      <c r="Q598" s="5"/>
      <c r="R598" s="5"/>
      <c r="S598" s="5"/>
      <c r="T598" s="5"/>
      <c r="U598" s="5"/>
      <c r="V598" s="5"/>
      <c r="W598" s="5"/>
    </row>
    <row r="599" spans="1:23" ht="16" x14ac:dyDescent="0.2">
      <c r="A599" s="5"/>
      <c r="B599" s="6"/>
      <c r="C599" s="6"/>
      <c r="D599" s="6"/>
      <c r="E599" s="6"/>
      <c r="F599" s="5"/>
      <c r="G599" s="5"/>
      <c r="H599" s="5"/>
      <c r="I599" s="5"/>
      <c r="J599" s="5"/>
      <c r="K599" s="5"/>
      <c r="L599" s="5"/>
      <c r="M599" s="5"/>
      <c r="N599" s="5"/>
      <c r="O599" s="5"/>
      <c r="P599" s="5"/>
      <c r="Q599" s="5"/>
      <c r="R599" s="5"/>
      <c r="S599" s="5"/>
      <c r="T599" s="5"/>
      <c r="U599" s="5"/>
      <c r="V599" s="5"/>
      <c r="W599" s="5"/>
    </row>
    <row r="600" spans="1:23" ht="16" x14ac:dyDescent="0.2">
      <c r="A600" s="5"/>
      <c r="B600" s="6"/>
      <c r="C600" s="6"/>
      <c r="D600" s="6"/>
      <c r="E600" s="6"/>
      <c r="F600" s="5"/>
      <c r="G600" s="5"/>
      <c r="H600" s="5"/>
      <c r="I600" s="5"/>
      <c r="J600" s="5"/>
      <c r="K600" s="5"/>
      <c r="L600" s="5"/>
      <c r="M600" s="5"/>
      <c r="N600" s="5"/>
      <c r="O600" s="5"/>
      <c r="P600" s="5"/>
      <c r="Q600" s="5"/>
      <c r="R600" s="5"/>
      <c r="S600" s="5"/>
      <c r="T600" s="5"/>
      <c r="U600" s="5"/>
      <c r="V600" s="5"/>
      <c r="W600" s="5"/>
    </row>
    <row r="601" spans="1:23" ht="16" x14ac:dyDescent="0.2">
      <c r="A601" s="5"/>
      <c r="B601" s="6"/>
      <c r="C601" s="6"/>
      <c r="D601" s="6"/>
      <c r="E601" s="6"/>
      <c r="F601" s="5"/>
      <c r="G601" s="5"/>
      <c r="H601" s="5"/>
      <c r="I601" s="5"/>
      <c r="J601" s="5"/>
      <c r="K601" s="5"/>
      <c r="L601" s="5"/>
      <c r="M601" s="5"/>
      <c r="N601" s="5"/>
      <c r="O601" s="5"/>
      <c r="P601" s="5"/>
      <c r="Q601" s="5"/>
      <c r="R601" s="5"/>
      <c r="S601" s="5"/>
      <c r="T601" s="5"/>
      <c r="U601" s="5"/>
      <c r="V601" s="5"/>
      <c r="W601" s="5"/>
    </row>
    <row r="602" spans="1:23" ht="16" x14ac:dyDescent="0.2">
      <c r="A602" s="5"/>
      <c r="B602" s="6"/>
      <c r="C602" s="6"/>
      <c r="D602" s="6"/>
      <c r="E602" s="6"/>
      <c r="F602" s="5"/>
      <c r="G602" s="5"/>
      <c r="H602" s="5"/>
      <c r="I602" s="5"/>
      <c r="J602" s="5"/>
      <c r="K602" s="5"/>
      <c r="L602" s="5"/>
      <c r="M602" s="5"/>
      <c r="N602" s="5"/>
      <c r="O602" s="5"/>
      <c r="P602" s="5"/>
      <c r="Q602" s="5"/>
      <c r="R602" s="5"/>
      <c r="S602" s="5"/>
      <c r="T602" s="5"/>
      <c r="U602" s="5"/>
      <c r="V602" s="5"/>
      <c r="W602" s="5"/>
    </row>
    <row r="603" spans="1:23" ht="16" x14ac:dyDescent="0.2">
      <c r="A603" s="5"/>
      <c r="B603" s="6"/>
      <c r="C603" s="6"/>
      <c r="D603" s="6"/>
      <c r="E603" s="6"/>
      <c r="F603" s="5"/>
      <c r="G603" s="5"/>
      <c r="H603" s="5"/>
      <c r="I603" s="5"/>
      <c r="J603" s="5"/>
      <c r="K603" s="5"/>
      <c r="L603" s="5"/>
      <c r="M603" s="5"/>
      <c r="N603" s="5"/>
      <c r="O603" s="5"/>
      <c r="P603" s="5"/>
      <c r="Q603" s="5"/>
      <c r="R603" s="5"/>
      <c r="S603" s="5"/>
      <c r="T603" s="5"/>
      <c r="U603" s="5"/>
      <c r="V603" s="5"/>
      <c r="W603" s="5"/>
    </row>
    <row r="604" spans="1:23" ht="16" x14ac:dyDescent="0.2">
      <c r="A604" s="5"/>
      <c r="B604" s="6"/>
      <c r="C604" s="6"/>
      <c r="D604" s="6"/>
      <c r="E604" s="6"/>
      <c r="F604" s="5"/>
      <c r="G604" s="5"/>
      <c r="H604" s="5"/>
      <c r="I604" s="5"/>
      <c r="J604" s="5"/>
      <c r="K604" s="5"/>
      <c r="L604" s="5"/>
      <c r="M604" s="5"/>
      <c r="N604" s="5"/>
      <c r="O604" s="5"/>
      <c r="P604" s="5"/>
      <c r="Q604" s="5"/>
      <c r="R604" s="5"/>
      <c r="S604" s="5"/>
      <c r="T604" s="5"/>
      <c r="U604" s="5"/>
      <c r="V604" s="5"/>
      <c r="W604" s="5"/>
    </row>
    <row r="605" spans="1:23" ht="16" x14ac:dyDescent="0.2">
      <c r="A605" s="5"/>
      <c r="B605" s="6"/>
      <c r="C605" s="6"/>
      <c r="D605" s="6"/>
      <c r="E605" s="6"/>
      <c r="F605" s="5"/>
      <c r="G605" s="5"/>
      <c r="H605" s="5"/>
      <c r="I605" s="5"/>
      <c r="J605" s="5"/>
      <c r="K605" s="5"/>
      <c r="L605" s="5"/>
      <c r="M605" s="5"/>
      <c r="N605" s="5"/>
      <c r="O605" s="5"/>
      <c r="P605" s="5"/>
      <c r="Q605" s="5"/>
      <c r="R605" s="5"/>
      <c r="S605" s="5"/>
      <c r="T605" s="5"/>
      <c r="U605" s="5"/>
      <c r="V605" s="5"/>
      <c r="W605" s="5"/>
    </row>
    <row r="606" spans="1:23" ht="16" x14ac:dyDescent="0.2">
      <c r="A606" s="5"/>
      <c r="B606" s="6"/>
      <c r="C606" s="6"/>
      <c r="D606" s="6"/>
      <c r="E606" s="6"/>
      <c r="F606" s="5"/>
      <c r="G606" s="5"/>
      <c r="H606" s="5"/>
      <c r="I606" s="5"/>
      <c r="J606" s="5"/>
      <c r="K606" s="5"/>
      <c r="L606" s="5"/>
      <c r="M606" s="5"/>
      <c r="N606" s="5"/>
      <c r="O606" s="5"/>
      <c r="P606" s="5"/>
      <c r="Q606" s="5"/>
      <c r="R606" s="5"/>
      <c r="S606" s="5"/>
      <c r="T606" s="5"/>
      <c r="U606" s="5"/>
      <c r="V606" s="5"/>
      <c r="W606" s="5"/>
    </row>
    <row r="607" spans="1:23" ht="16" x14ac:dyDescent="0.2">
      <c r="A607" s="5"/>
      <c r="B607" s="6"/>
      <c r="C607" s="6"/>
      <c r="D607" s="6"/>
      <c r="E607" s="6"/>
      <c r="F607" s="5"/>
      <c r="G607" s="5"/>
      <c r="H607" s="5"/>
      <c r="I607" s="5"/>
      <c r="J607" s="5"/>
      <c r="K607" s="5"/>
      <c r="L607" s="5"/>
      <c r="M607" s="5"/>
      <c r="N607" s="5"/>
      <c r="O607" s="5"/>
      <c r="P607" s="5"/>
      <c r="Q607" s="5"/>
      <c r="R607" s="5"/>
      <c r="S607" s="5"/>
      <c r="T607" s="5"/>
      <c r="U607" s="5"/>
      <c r="V607" s="5"/>
      <c r="W607" s="5"/>
    </row>
    <row r="608" spans="1:23" ht="16" x14ac:dyDescent="0.2">
      <c r="A608" s="5"/>
      <c r="B608" s="6"/>
      <c r="C608" s="6"/>
      <c r="D608" s="6"/>
      <c r="E608" s="6"/>
      <c r="F608" s="5"/>
      <c r="G608" s="5"/>
      <c r="H608" s="5"/>
      <c r="I608" s="5"/>
      <c r="J608" s="5"/>
      <c r="K608" s="5"/>
      <c r="L608" s="5"/>
      <c r="M608" s="5"/>
      <c r="N608" s="5"/>
      <c r="O608" s="5"/>
      <c r="P608" s="5"/>
      <c r="Q608" s="5"/>
      <c r="R608" s="5"/>
      <c r="S608" s="5"/>
      <c r="T608" s="5"/>
      <c r="U608" s="5"/>
      <c r="V608" s="5"/>
      <c r="W608" s="5"/>
    </row>
    <row r="609" spans="1:23" ht="16" x14ac:dyDescent="0.2">
      <c r="A609" s="5"/>
      <c r="B609" s="6"/>
      <c r="C609" s="6"/>
      <c r="D609" s="6"/>
      <c r="E609" s="6"/>
      <c r="F609" s="5"/>
      <c r="G609" s="5"/>
      <c r="H609" s="5"/>
      <c r="I609" s="5"/>
      <c r="J609" s="5"/>
      <c r="K609" s="5"/>
      <c r="L609" s="5"/>
      <c r="M609" s="5"/>
      <c r="N609" s="5"/>
      <c r="O609" s="5"/>
      <c r="P609" s="5"/>
      <c r="Q609" s="5"/>
      <c r="R609" s="5"/>
      <c r="S609" s="5"/>
      <c r="T609" s="5"/>
      <c r="U609" s="5"/>
      <c r="V609" s="5"/>
      <c r="W609" s="5"/>
    </row>
    <row r="610" spans="1:23" ht="16" x14ac:dyDescent="0.2">
      <c r="A610" s="5"/>
      <c r="B610" s="6"/>
      <c r="C610" s="6"/>
      <c r="D610" s="6"/>
      <c r="E610" s="6"/>
      <c r="F610" s="5"/>
      <c r="G610" s="5"/>
      <c r="H610" s="5"/>
      <c r="I610" s="5"/>
      <c r="J610" s="5"/>
      <c r="K610" s="5"/>
      <c r="L610" s="5"/>
      <c r="M610" s="5"/>
      <c r="N610" s="5"/>
      <c r="O610" s="5"/>
      <c r="P610" s="5"/>
      <c r="Q610" s="5"/>
      <c r="R610" s="5"/>
      <c r="S610" s="5"/>
      <c r="T610" s="5"/>
      <c r="U610" s="5"/>
      <c r="V610" s="5"/>
      <c r="W610" s="5"/>
    </row>
    <row r="611" spans="1:23" ht="16" x14ac:dyDescent="0.2">
      <c r="A611" s="5"/>
      <c r="B611" s="6"/>
      <c r="C611" s="6"/>
      <c r="D611" s="6"/>
      <c r="E611" s="6"/>
      <c r="F611" s="5"/>
      <c r="G611" s="5"/>
      <c r="H611" s="5"/>
      <c r="I611" s="5"/>
      <c r="J611" s="5"/>
      <c r="K611" s="5"/>
      <c r="L611" s="5"/>
      <c r="M611" s="5"/>
      <c r="N611" s="5"/>
      <c r="O611" s="5"/>
      <c r="P611" s="5"/>
      <c r="Q611" s="5"/>
      <c r="R611" s="5"/>
      <c r="S611" s="5"/>
      <c r="T611" s="5"/>
      <c r="U611" s="5"/>
      <c r="V611" s="5"/>
      <c r="W611" s="5"/>
    </row>
    <row r="612" spans="1:23" ht="16" x14ac:dyDescent="0.2">
      <c r="A612" s="5"/>
      <c r="B612" s="6"/>
      <c r="C612" s="6"/>
      <c r="D612" s="6"/>
      <c r="E612" s="6"/>
      <c r="F612" s="5"/>
      <c r="G612" s="5"/>
      <c r="H612" s="5"/>
      <c r="I612" s="5"/>
      <c r="J612" s="5"/>
      <c r="K612" s="5"/>
      <c r="L612" s="5"/>
      <c r="M612" s="5"/>
      <c r="N612" s="5"/>
      <c r="O612" s="5"/>
      <c r="P612" s="5"/>
      <c r="Q612" s="5"/>
      <c r="R612" s="5"/>
      <c r="S612" s="5"/>
      <c r="T612" s="5"/>
      <c r="U612" s="5"/>
      <c r="V612" s="5"/>
      <c r="W612" s="5"/>
    </row>
    <row r="613" spans="1:23" ht="16" x14ac:dyDescent="0.2">
      <c r="A613" s="5"/>
      <c r="B613" s="6"/>
      <c r="C613" s="6"/>
      <c r="D613" s="6"/>
      <c r="E613" s="6"/>
      <c r="F613" s="5"/>
      <c r="G613" s="5"/>
      <c r="H613" s="5"/>
      <c r="I613" s="5"/>
      <c r="J613" s="5"/>
      <c r="K613" s="5"/>
      <c r="L613" s="5"/>
      <c r="M613" s="5"/>
      <c r="N613" s="5"/>
      <c r="O613" s="5"/>
      <c r="P613" s="5"/>
      <c r="Q613" s="5"/>
      <c r="R613" s="5"/>
      <c r="S613" s="5"/>
      <c r="T613" s="5"/>
      <c r="U613" s="5"/>
      <c r="V613" s="5"/>
      <c r="W613" s="5"/>
    </row>
    <row r="614" spans="1:23" ht="16" x14ac:dyDescent="0.2">
      <c r="A614" s="5"/>
      <c r="B614" s="6"/>
      <c r="C614" s="6"/>
      <c r="D614" s="6"/>
      <c r="E614" s="6"/>
      <c r="F614" s="5"/>
      <c r="G614" s="5"/>
      <c r="H614" s="5"/>
      <c r="I614" s="5"/>
      <c r="J614" s="5"/>
      <c r="K614" s="5"/>
      <c r="L614" s="5"/>
      <c r="M614" s="5"/>
      <c r="N614" s="5"/>
      <c r="O614" s="5"/>
      <c r="P614" s="5"/>
      <c r="Q614" s="5"/>
      <c r="R614" s="5"/>
      <c r="S614" s="5"/>
      <c r="T614" s="5"/>
      <c r="U614" s="5"/>
      <c r="V614" s="5"/>
      <c r="W614" s="5"/>
    </row>
    <row r="615" spans="1:23" ht="16" x14ac:dyDescent="0.2">
      <c r="A615" s="5"/>
      <c r="B615" s="6"/>
      <c r="C615" s="6"/>
      <c r="D615" s="6"/>
      <c r="E615" s="6"/>
      <c r="F615" s="5"/>
      <c r="G615" s="5"/>
      <c r="H615" s="5"/>
      <c r="I615" s="5"/>
      <c r="J615" s="5"/>
      <c r="K615" s="5"/>
      <c r="L615" s="5"/>
      <c r="M615" s="5"/>
      <c r="N615" s="5"/>
      <c r="O615" s="5"/>
      <c r="P615" s="5"/>
      <c r="Q615" s="5"/>
      <c r="R615" s="5"/>
      <c r="S615" s="5"/>
      <c r="T615" s="5"/>
      <c r="U615" s="5"/>
      <c r="V615" s="5"/>
      <c r="W615" s="5"/>
    </row>
    <row r="616" spans="1:23" ht="16" x14ac:dyDescent="0.2">
      <c r="A616" s="5"/>
      <c r="B616" s="6"/>
      <c r="C616" s="6"/>
      <c r="D616" s="6"/>
      <c r="E616" s="6"/>
      <c r="F616" s="5"/>
      <c r="G616" s="5"/>
      <c r="H616" s="5"/>
      <c r="I616" s="5"/>
      <c r="J616" s="5"/>
      <c r="K616" s="5"/>
      <c r="L616" s="5"/>
      <c r="M616" s="5"/>
      <c r="N616" s="5"/>
      <c r="O616" s="5"/>
      <c r="P616" s="5"/>
      <c r="Q616" s="5"/>
      <c r="R616" s="5"/>
      <c r="S616" s="5"/>
      <c r="T616" s="5"/>
      <c r="U616" s="5"/>
      <c r="V616" s="5"/>
      <c r="W616" s="5"/>
    </row>
    <row r="617" spans="1:23" ht="16" x14ac:dyDescent="0.2">
      <c r="A617" s="5"/>
      <c r="B617" s="6"/>
      <c r="C617" s="6"/>
      <c r="D617" s="6"/>
      <c r="E617" s="6"/>
      <c r="F617" s="5"/>
      <c r="G617" s="5"/>
      <c r="H617" s="5"/>
      <c r="I617" s="5"/>
      <c r="J617" s="5"/>
      <c r="K617" s="5"/>
      <c r="L617" s="5"/>
      <c r="M617" s="5"/>
      <c r="N617" s="5"/>
      <c r="O617" s="5"/>
      <c r="P617" s="5"/>
      <c r="Q617" s="5"/>
      <c r="R617" s="5"/>
      <c r="S617" s="5"/>
      <c r="T617" s="5"/>
      <c r="U617" s="5"/>
      <c r="V617" s="5"/>
      <c r="W617" s="5"/>
    </row>
    <row r="618" spans="1:23" ht="16" x14ac:dyDescent="0.2">
      <c r="A618" s="5"/>
      <c r="B618" s="6"/>
      <c r="C618" s="6"/>
      <c r="D618" s="6"/>
      <c r="E618" s="6"/>
      <c r="F618" s="5"/>
      <c r="G618" s="5"/>
      <c r="H618" s="5"/>
      <c r="I618" s="5"/>
      <c r="J618" s="5"/>
      <c r="K618" s="5"/>
      <c r="L618" s="5"/>
      <c r="M618" s="5"/>
      <c r="N618" s="5"/>
      <c r="O618" s="5"/>
      <c r="P618" s="5"/>
      <c r="Q618" s="5"/>
      <c r="R618" s="5"/>
      <c r="S618" s="5"/>
      <c r="T618" s="5"/>
      <c r="U618" s="5"/>
      <c r="V618" s="5"/>
      <c r="W618" s="5"/>
    </row>
    <row r="619" spans="1:23" ht="16" x14ac:dyDescent="0.2">
      <c r="A619" s="5"/>
      <c r="B619" s="6"/>
      <c r="C619" s="6"/>
      <c r="D619" s="6"/>
      <c r="E619" s="6"/>
      <c r="F619" s="5"/>
      <c r="G619" s="5"/>
      <c r="H619" s="5"/>
      <c r="I619" s="5"/>
      <c r="J619" s="5"/>
      <c r="K619" s="5"/>
      <c r="L619" s="5"/>
      <c r="M619" s="5"/>
      <c r="N619" s="5"/>
      <c r="O619" s="5"/>
      <c r="P619" s="5"/>
      <c r="Q619" s="5"/>
      <c r="R619" s="5"/>
      <c r="S619" s="5"/>
      <c r="T619" s="5"/>
      <c r="U619" s="5"/>
      <c r="V619" s="5"/>
      <c r="W619" s="5"/>
    </row>
    <row r="620" spans="1:23" ht="16" x14ac:dyDescent="0.2">
      <c r="A620" s="5"/>
      <c r="B620" s="6"/>
      <c r="C620" s="6"/>
      <c r="D620" s="6"/>
      <c r="E620" s="6"/>
      <c r="F620" s="5"/>
      <c r="G620" s="5"/>
      <c r="H620" s="5"/>
      <c r="I620" s="5"/>
      <c r="J620" s="5"/>
      <c r="K620" s="5"/>
      <c r="L620" s="5"/>
      <c r="M620" s="5"/>
      <c r="N620" s="5"/>
      <c r="O620" s="5"/>
      <c r="P620" s="5"/>
      <c r="Q620" s="5"/>
      <c r="R620" s="5"/>
      <c r="S620" s="5"/>
      <c r="T620" s="5"/>
      <c r="U620" s="5"/>
      <c r="V620" s="5"/>
      <c r="W620" s="5"/>
    </row>
    <row r="621" spans="1:23" ht="16" x14ac:dyDescent="0.2">
      <c r="A621" s="5"/>
      <c r="B621" s="6"/>
      <c r="C621" s="6"/>
      <c r="D621" s="6"/>
      <c r="E621" s="6"/>
      <c r="F621" s="5"/>
      <c r="G621" s="5"/>
      <c r="H621" s="5"/>
      <c r="I621" s="5"/>
      <c r="J621" s="5"/>
      <c r="K621" s="5"/>
      <c r="L621" s="5"/>
      <c r="M621" s="5"/>
      <c r="N621" s="5"/>
      <c r="O621" s="5"/>
      <c r="P621" s="5"/>
      <c r="Q621" s="5"/>
      <c r="R621" s="5"/>
      <c r="S621" s="5"/>
      <c r="T621" s="5"/>
      <c r="U621" s="5"/>
      <c r="V621" s="5"/>
      <c r="W621" s="5"/>
    </row>
    <row r="622" spans="1:23" ht="16" x14ac:dyDescent="0.2">
      <c r="A622" s="5"/>
      <c r="B622" s="6"/>
      <c r="C622" s="6"/>
      <c r="D622" s="6"/>
      <c r="E622" s="6"/>
      <c r="F622" s="5"/>
      <c r="G622" s="5"/>
      <c r="H622" s="5"/>
      <c r="I622" s="5"/>
      <c r="J622" s="5"/>
      <c r="K622" s="5"/>
      <c r="L622" s="5"/>
      <c r="M622" s="5"/>
      <c r="N622" s="5"/>
      <c r="O622" s="5"/>
      <c r="P622" s="5"/>
      <c r="Q622" s="5"/>
      <c r="R622" s="5"/>
      <c r="S622" s="5"/>
      <c r="T622" s="5"/>
      <c r="U622" s="5"/>
      <c r="V622" s="5"/>
      <c r="W622" s="5"/>
    </row>
    <row r="623" spans="1:23" ht="16" x14ac:dyDescent="0.2">
      <c r="A623" s="5"/>
      <c r="B623" s="6"/>
      <c r="C623" s="6"/>
      <c r="D623" s="6"/>
      <c r="E623" s="6"/>
      <c r="F623" s="5"/>
      <c r="G623" s="5"/>
      <c r="H623" s="5"/>
      <c r="I623" s="5"/>
      <c r="J623" s="5"/>
      <c r="K623" s="5"/>
      <c r="L623" s="5"/>
      <c r="M623" s="5"/>
      <c r="N623" s="5"/>
      <c r="O623" s="5"/>
      <c r="P623" s="5"/>
      <c r="Q623" s="5"/>
      <c r="R623" s="5"/>
      <c r="S623" s="5"/>
      <c r="T623" s="5"/>
      <c r="U623" s="5"/>
      <c r="V623" s="5"/>
      <c r="W623" s="5"/>
    </row>
    <row r="624" spans="1:23" ht="16" x14ac:dyDescent="0.2">
      <c r="A624" s="5"/>
      <c r="B624" s="6"/>
      <c r="C624" s="6"/>
      <c r="D624" s="6"/>
      <c r="E624" s="6"/>
      <c r="F624" s="5"/>
      <c r="G624" s="5"/>
      <c r="H624" s="5"/>
      <c r="I624" s="5"/>
      <c r="J624" s="5"/>
      <c r="K624" s="5"/>
      <c r="L624" s="5"/>
      <c r="M624" s="5"/>
      <c r="N624" s="5"/>
      <c r="O624" s="5"/>
      <c r="P624" s="5"/>
      <c r="Q624" s="5"/>
      <c r="R624" s="5"/>
      <c r="S624" s="5"/>
      <c r="T624" s="5"/>
      <c r="U624" s="5"/>
      <c r="V624" s="5"/>
      <c r="W624" s="5"/>
    </row>
    <row r="625" spans="1:23" ht="16" x14ac:dyDescent="0.2">
      <c r="A625" s="5"/>
      <c r="B625" s="6"/>
      <c r="C625" s="6"/>
      <c r="D625" s="6"/>
      <c r="E625" s="6"/>
      <c r="F625" s="5"/>
      <c r="G625" s="5"/>
      <c r="H625" s="5"/>
      <c r="I625" s="5"/>
      <c r="J625" s="5"/>
      <c r="K625" s="5"/>
      <c r="L625" s="5"/>
      <c r="M625" s="5"/>
      <c r="N625" s="5"/>
      <c r="O625" s="5"/>
      <c r="P625" s="5"/>
      <c r="Q625" s="5"/>
      <c r="R625" s="5"/>
      <c r="S625" s="5"/>
      <c r="T625" s="5"/>
      <c r="U625" s="5"/>
      <c r="V625" s="5"/>
      <c r="W625" s="5"/>
    </row>
    <row r="626" spans="1:23" ht="16" x14ac:dyDescent="0.2">
      <c r="A626" s="5"/>
      <c r="B626" s="6"/>
      <c r="C626" s="6"/>
      <c r="D626" s="6"/>
      <c r="E626" s="6"/>
      <c r="F626" s="5"/>
      <c r="G626" s="5"/>
      <c r="H626" s="5"/>
      <c r="I626" s="5"/>
      <c r="J626" s="5"/>
      <c r="K626" s="5"/>
      <c r="L626" s="5"/>
      <c r="M626" s="5"/>
      <c r="N626" s="5"/>
      <c r="O626" s="5"/>
      <c r="P626" s="5"/>
      <c r="Q626" s="5"/>
      <c r="R626" s="5"/>
      <c r="S626" s="5"/>
      <c r="T626" s="5"/>
      <c r="U626" s="5"/>
      <c r="V626" s="5"/>
      <c r="W626" s="5"/>
    </row>
    <row r="627" spans="1:23" ht="16" x14ac:dyDescent="0.2">
      <c r="A627" s="5"/>
      <c r="B627" s="6"/>
      <c r="C627" s="6"/>
      <c r="D627" s="6"/>
      <c r="E627" s="6"/>
      <c r="F627" s="5"/>
      <c r="G627" s="5"/>
      <c r="H627" s="5"/>
      <c r="I627" s="5"/>
      <c r="J627" s="5"/>
      <c r="K627" s="5"/>
      <c r="L627" s="5"/>
      <c r="M627" s="5"/>
      <c r="N627" s="5"/>
      <c r="O627" s="5"/>
      <c r="P627" s="5"/>
      <c r="Q627" s="5"/>
      <c r="R627" s="5"/>
      <c r="S627" s="5"/>
      <c r="T627" s="5"/>
      <c r="U627" s="5"/>
      <c r="V627" s="5"/>
      <c r="W627" s="5"/>
    </row>
    <row r="628" spans="1:23" ht="16" x14ac:dyDescent="0.2">
      <c r="A628" s="5"/>
      <c r="B628" s="6"/>
      <c r="C628" s="6"/>
      <c r="D628" s="6"/>
      <c r="E628" s="6"/>
      <c r="F628" s="5"/>
      <c r="G628" s="5"/>
      <c r="H628" s="5"/>
      <c r="I628" s="5"/>
      <c r="J628" s="5"/>
      <c r="K628" s="5"/>
      <c r="L628" s="5"/>
      <c r="M628" s="5"/>
      <c r="N628" s="5"/>
      <c r="O628" s="5"/>
      <c r="P628" s="5"/>
      <c r="Q628" s="5"/>
      <c r="R628" s="5"/>
      <c r="S628" s="5"/>
      <c r="T628" s="5"/>
      <c r="U628" s="5"/>
      <c r="V628" s="5"/>
      <c r="W628" s="5"/>
    </row>
    <row r="629" spans="1:23" ht="16" x14ac:dyDescent="0.2">
      <c r="A629" s="5"/>
      <c r="B629" s="6"/>
      <c r="C629" s="6"/>
      <c r="D629" s="6"/>
      <c r="E629" s="6"/>
      <c r="F629" s="5"/>
      <c r="G629" s="5"/>
      <c r="H629" s="5"/>
      <c r="I629" s="5"/>
      <c r="J629" s="5"/>
      <c r="K629" s="5"/>
      <c r="L629" s="5"/>
      <c r="M629" s="5"/>
      <c r="N629" s="5"/>
      <c r="O629" s="5"/>
      <c r="P629" s="5"/>
      <c r="Q629" s="5"/>
      <c r="R629" s="5"/>
      <c r="S629" s="5"/>
      <c r="T629" s="5"/>
      <c r="U629" s="5"/>
      <c r="V629" s="5"/>
      <c r="W629" s="5"/>
    </row>
    <row r="630" spans="1:23" ht="16" x14ac:dyDescent="0.2">
      <c r="A630" s="5"/>
      <c r="B630" s="6"/>
      <c r="C630" s="6"/>
      <c r="D630" s="6"/>
      <c r="E630" s="6"/>
      <c r="F630" s="5"/>
      <c r="G630" s="5"/>
      <c r="H630" s="5"/>
      <c r="I630" s="5"/>
      <c r="J630" s="5"/>
      <c r="K630" s="5"/>
      <c r="L630" s="5"/>
      <c r="M630" s="5"/>
      <c r="N630" s="5"/>
      <c r="O630" s="5"/>
      <c r="P630" s="5"/>
      <c r="Q630" s="5"/>
      <c r="R630" s="5"/>
      <c r="S630" s="5"/>
      <c r="T630" s="5"/>
      <c r="U630" s="5"/>
      <c r="V630" s="5"/>
      <c r="W630" s="5"/>
    </row>
    <row r="631" spans="1:23" ht="16" x14ac:dyDescent="0.2">
      <c r="A631" s="5"/>
      <c r="B631" s="6"/>
      <c r="C631" s="6"/>
      <c r="D631" s="6"/>
      <c r="E631" s="6"/>
      <c r="F631" s="5"/>
      <c r="G631" s="5"/>
      <c r="H631" s="5"/>
      <c r="I631" s="5"/>
      <c r="J631" s="5"/>
      <c r="K631" s="5"/>
      <c r="L631" s="5"/>
      <c r="M631" s="5"/>
      <c r="N631" s="5"/>
      <c r="O631" s="5"/>
      <c r="P631" s="5"/>
      <c r="Q631" s="5"/>
      <c r="R631" s="5"/>
      <c r="S631" s="5"/>
      <c r="T631" s="5"/>
      <c r="U631" s="5"/>
      <c r="V631" s="5"/>
      <c r="W631" s="5"/>
    </row>
    <row r="632" spans="1:23" ht="16" x14ac:dyDescent="0.2">
      <c r="A632" s="5"/>
      <c r="B632" s="6"/>
      <c r="C632" s="6"/>
      <c r="D632" s="6"/>
      <c r="E632" s="6"/>
      <c r="F632" s="5"/>
      <c r="G632" s="5"/>
      <c r="H632" s="5"/>
      <c r="I632" s="5"/>
      <c r="J632" s="5"/>
      <c r="K632" s="5"/>
      <c r="L632" s="5"/>
      <c r="M632" s="5"/>
      <c r="N632" s="5"/>
      <c r="O632" s="5"/>
      <c r="P632" s="5"/>
      <c r="Q632" s="5"/>
      <c r="R632" s="5"/>
      <c r="S632" s="5"/>
      <c r="T632" s="5"/>
      <c r="U632" s="5"/>
      <c r="V632" s="5"/>
      <c r="W632" s="5"/>
    </row>
    <row r="633" spans="1:23" ht="16" x14ac:dyDescent="0.2">
      <c r="A633" s="5"/>
      <c r="B633" s="6"/>
      <c r="C633" s="6"/>
      <c r="D633" s="6"/>
      <c r="E633" s="6"/>
      <c r="F633" s="5"/>
      <c r="G633" s="5"/>
      <c r="H633" s="5"/>
      <c r="I633" s="5"/>
      <c r="J633" s="5"/>
      <c r="K633" s="5"/>
      <c r="L633" s="5"/>
      <c r="M633" s="5"/>
      <c r="N633" s="5"/>
      <c r="O633" s="5"/>
      <c r="P633" s="5"/>
      <c r="Q633" s="5"/>
      <c r="R633" s="5"/>
      <c r="S633" s="5"/>
      <c r="T633" s="5"/>
      <c r="U633" s="5"/>
      <c r="V633" s="5"/>
      <c r="W633" s="5"/>
    </row>
    <row r="634" spans="1:23" ht="16" x14ac:dyDescent="0.2">
      <c r="A634" s="5"/>
      <c r="B634" s="6"/>
      <c r="C634" s="6"/>
      <c r="D634" s="6"/>
      <c r="E634" s="6"/>
      <c r="F634" s="5"/>
      <c r="G634" s="5"/>
      <c r="H634" s="5"/>
      <c r="I634" s="5"/>
      <c r="J634" s="5"/>
      <c r="K634" s="5"/>
      <c r="L634" s="5"/>
      <c r="M634" s="5"/>
      <c r="N634" s="5"/>
      <c r="O634" s="5"/>
      <c r="P634" s="5"/>
      <c r="Q634" s="5"/>
      <c r="R634" s="5"/>
      <c r="S634" s="5"/>
      <c r="T634" s="5"/>
      <c r="U634" s="5"/>
      <c r="V634" s="5"/>
      <c r="W634" s="5"/>
    </row>
    <row r="635" spans="1:23" ht="16" x14ac:dyDescent="0.2">
      <c r="A635" s="5"/>
      <c r="B635" s="6"/>
      <c r="C635" s="6"/>
      <c r="D635" s="6"/>
      <c r="E635" s="6"/>
      <c r="F635" s="5"/>
      <c r="G635" s="5"/>
      <c r="H635" s="5"/>
      <c r="I635" s="5"/>
      <c r="J635" s="5"/>
      <c r="K635" s="5"/>
      <c r="L635" s="5"/>
      <c r="M635" s="5"/>
      <c r="N635" s="5"/>
      <c r="O635" s="5"/>
      <c r="P635" s="5"/>
      <c r="Q635" s="5"/>
      <c r="R635" s="5"/>
      <c r="S635" s="5"/>
      <c r="T635" s="5"/>
      <c r="U635" s="5"/>
      <c r="V635" s="5"/>
      <c r="W635" s="5"/>
    </row>
    <row r="636" spans="1:23" ht="16" x14ac:dyDescent="0.2">
      <c r="A636" s="5"/>
      <c r="B636" s="6"/>
      <c r="C636" s="6"/>
      <c r="D636" s="6"/>
      <c r="E636" s="6"/>
      <c r="F636" s="5"/>
      <c r="G636" s="5"/>
      <c r="H636" s="5"/>
      <c r="I636" s="5"/>
      <c r="J636" s="5"/>
      <c r="K636" s="5"/>
      <c r="L636" s="5"/>
      <c r="M636" s="5"/>
      <c r="N636" s="5"/>
      <c r="O636" s="5"/>
      <c r="P636" s="5"/>
      <c r="Q636" s="5"/>
      <c r="R636" s="5"/>
      <c r="S636" s="5"/>
      <c r="T636" s="5"/>
      <c r="U636" s="5"/>
      <c r="V636" s="5"/>
      <c r="W636" s="5"/>
    </row>
    <row r="637" spans="1:23" ht="16" x14ac:dyDescent="0.2">
      <c r="A637" s="5"/>
      <c r="B637" s="6"/>
      <c r="C637" s="6"/>
      <c r="D637" s="6"/>
      <c r="E637" s="6"/>
      <c r="F637" s="5"/>
      <c r="G637" s="5"/>
      <c r="H637" s="5"/>
      <c r="I637" s="5"/>
      <c r="J637" s="5"/>
      <c r="K637" s="5"/>
      <c r="L637" s="5"/>
      <c r="M637" s="5"/>
      <c r="N637" s="5"/>
      <c r="O637" s="5"/>
      <c r="P637" s="5"/>
      <c r="Q637" s="5"/>
      <c r="R637" s="5"/>
      <c r="S637" s="5"/>
      <c r="T637" s="5"/>
      <c r="U637" s="5"/>
      <c r="V637" s="5"/>
      <c r="W637" s="5"/>
    </row>
    <row r="638" spans="1:23" ht="16" x14ac:dyDescent="0.2">
      <c r="A638" s="5"/>
      <c r="B638" s="6"/>
      <c r="C638" s="6"/>
      <c r="D638" s="6"/>
      <c r="E638" s="6"/>
      <c r="F638" s="5"/>
      <c r="G638" s="5"/>
      <c r="H638" s="5"/>
      <c r="I638" s="5"/>
      <c r="J638" s="5"/>
      <c r="K638" s="5"/>
      <c r="L638" s="5"/>
      <c r="M638" s="5"/>
      <c r="N638" s="5"/>
      <c r="O638" s="5"/>
      <c r="P638" s="5"/>
      <c r="Q638" s="5"/>
      <c r="R638" s="5"/>
      <c r="S638" s="5"/>
      <c r="T638" s="5"/>
      <c r="U638" s="5"/>
      <c r="V638" s="5"/>
      <c r="W638" s="5"/>
    </row>
    <row r="639" spans="1:23" ht="16" x14ac:dyDescent="0.2">
      <c r="A639" s="5"/>
      <c r="B639" s="6"/>
      <c r="C639" s="6"/>
      <c r="D639" s="6"/>
      <c r="E639" s="6"/>
      <c r="F639" s="5"/>
      <c r="G639" s="5"/>
      <c r="H639" s="5"/>
      <c r="I639" s="5"/>
      <c r="J639" s="5"/>
      <c r="K639" s="5"/>
      <c r="L639" s="5"/>
      <c r="M639" s="5"/>
      <c r="N639" s="5"/>
      <c r="O639" s="5"/>
      <c r="P639" s="5"/>
      <c r="Q639" s="5"/>
      <c r="R639" s="5"/>
      <c r="S639" s="5"/>
      <c r="T639" s="5"/>
      <c r="U639" s="5"/>
      <c r="V639" s="5"/>
      <c r="W639" s="5"/>
    </row>
    <row r="640" spans="1:23" ht="16" x14ac:dyDescent="0.2">
      <c r="A640" s="5"/>
      <c r="B640" s="6"/>
      <c r="C640" s="6"/>
      <c r="D640" s="6"/>
      <c r="E640" s="6"/>
      <c r="F640" s="5"/>
      <c r="G640" s="5"/>
      <c r="H640" s="5"/>
      <c r="I640" s="5"/>
      <c r="J640" s="5"/>
      <c r="K640" s="5"/>
      <c r="L640" s="5"/>
      <c r="M640" s="5"/>
      <c r="N640" s="5"/>
      <c r="O640" s="5"/>
      <c r="P640" s="5"/>
      <c r="Q640" s="5"/>
      <c r="R640" s="5"/>
      <c r="S640" s="5"/>
      <c r="T640" s="5"/>
      <c r="U640" s="5"/>
      <c r="V640" s="5"/>
      <c r="W640" s="5"/>
    </row>
    <row r="641" spans="1:23" ht="16" x14ac:dyDescent="0.2">
      <c r="A641" s="5"/>
      <c r="B641" s="6"/>
      <c r="C641" s="6"/>
      <c r="D641" s="6"/>
      <c r="E641" s="6"/>
      <c r="F641" s="5"/>
      <c r="G641" s="5"/>
      <c r="H641" s="5"/>
      <c r="I641" s="5"/>
      <c r="J641" s="5"/>
      <c r="K641" s="5"/>
      <c r="L641" s="5"/>
      <c r="M641" s="5"/>
      <c r="N641" s="5"/>
      <c r="O641" s="5"/>
      <c r="P641" s="5"/>
      <c r="Q641" s="5"/>
      <c r="R641" s="5"/>
      <c r="S641" s="5"/>
      <c r="T641" s="5"/>
      <c r="U641" s="5"/>
      <c r="V641" s="5"/>
      <c r="W641" s="5"/>
    </row>
    <row r="642" spans="1:23" ht="16" x14ac:dyDescent="0.2">
      <c r="A642" s="5"/>
      <c r="B642" s="6"/>
      <c r="C642" s="6"/>
      <c r="D642" s="6"/>
      <c r="E642" s="6"/>
      <c r="F642" s="5"/>
      <c r="G642" s="5"/>
      <c r="H642" s="5"/>
      <c r="I642" s="5"/>
      <c r="J642" s="5"/>
      <c r="K642" s="5"/>
      <c r="L642" s="5"/>
      <c r="M642" s="5"/>
      <c r="N642" s="5"/>
      <c r="O642" s="5"/>
      <c r="P642" s="5"/>
      <c r="Q642" s="5"/>
      <c r="R642" s="5"/>
      <c r="S642" s="5"/>
      <c r="T642" s="5"/>
      <c r="U642" s="5"/>
      <c r="V642" s="5"/>
      <c r="W642" s="5"/>
    </row>
    <row r="643" spans="1:23" ht="16" x14ac:dyDescent="0.2">
      <c r="A643" s="5"/>
      <c r="B643" s="6"/>
      <c r="C643" s="6"/>
      <c r="D643" s="6"/>
      <c r="E643" s="6"/>
      <c r="F643" s="5"/>
      <c r="G643" s="5"/>
      <c r="H643" s="5"/>
      <c r="I643" s="5"/>
      <c r="J643" s="5"/>
      <c r="K643" s="5"/>
      <c r="L643" s="5"/>
      <c r="M643" s="5"/>
      <c r="N643" s="5"/>
      <c r="O643" s="5"/>
      <c r="P643" s="5"/>
      <c r="Q643" s="5"/>
      <c r="R643" s="5"/>
      <c r="S643" s="5"/>
      <c r="T643" s="5"/>
      <c r="U643" s="5"/>
      <c r="V643" s="5"/>
      <c r="W643" s="5"/>
    </row>
    <row r="644" spans="1:23" ht="16" x14ac:dyDescent="0.2">
      <c r="A644" s="5"/>
      <c r="B644" s="6"/>
      <c r="C644" s="6"/>
      <c r="D644" s="6"/>
      <c r="E644" s="6"/>
      <c r="F644" s="5"/>
      <c r="G644" s="5"/>
      <c r="H644" s="5"/>
      <c r="I644" s="5"/>
      <c r="J644" s="5"/>
      <c r="K644" s="5"/>
      <c r="L644" s="5"/>
      <c r="M644" s="5"/>
      <c r="N644" s="5"/>
      <c r="O644" s="5"/>
      <c r="P644" s="5"/>
      <c r="Q644" s="5"/>
      <c r="R644" s="5"/>
      <c r="S644" s="5"/>
      <c r="T644" s="5"/>
      <c r="U644" s="5"/>
      <c r="V644" s="5"/>
      <c r="W644" s="5"/>
    </row>
    <row r="645" spans="1:23" ht="16" x14ac:dyDescent="0.2">
      <c r="A645" s="5"/>
      <c r="B645" s="6"/>
      <c r="C645" s="6"/>
      <c r="D645" s="6"/>
      <c r="E645" s="6"/>
      <c r="F645" s="5"/>
      <c r="G645" s="5"/>
      <c r="H645" s="5"/>
      <c r="I645" s="5"/>
      <c r="J645" s="5"/>
      <c r="K645" s="5"/>
      <c r="L645" s="5"/>
      <c r="M645" s="5"/>
      <c r="N645" s="5"/>
      <c r="O645" s="5"/>
      <c r="P645" s="5"/>
      <c r="Q645" s="5"/>
      <c r="R645" s="5"/>
      <c r="S645" s="5"/>
      <c r="T645" s="5"/>
      <c r="U645" s="5"/>
      <c r="V645" s="5"/>
      <c r="W645" s="5"/>
    </row>
    <row r="646" spans="1:23" ht="16" x14ac:dyDescent="0.2">
      <c r="A646" s="5"/>
      <c r="B646" s="6"/>
      <c r="C646" s="6"/>
      <c r="D646" s="6"/>
      <c r="E646" s="6"/>
      <c r="F646" s="5"/>
      <c r="G646" s="5"/>
      <c r="H646" s="5"/>
      <c r="I646" s="5"/>
      <c r="J646" s="5"/>
      <c r="K646" s="5"/>
      <c r="L646" s="5"/>
      <c r="M646" s="5"/>
      <c r="N646" s="5"/>
      <c r="O646" s="5"/>
      <c r="P646" s="5"/>
      <c r="Q646" s="5"/>
      <c r="R646" s="5"/>
      <c r="S646" s="5"/>
      <c r="T646" s="5"/>
      <c r="U646" s="5"/>
      <c r="V646" s="5"/>
      <c r="W646" s="5"/>
    </row>
    <row r="647" spans="1:23" ht="16" x14ac:dyDescent="0.2">
      <c r="A647" s="5"/>
      <c r="B647" s="6"/>
      <c r="C647" s="6"/>
      <c r="D647" s="6"/>
      <c r="E647" s="6"/>
      <c r="F647" s="5"/>
      <c r="G647" s="5"/>
      <c r="H647" s="5"/>
      <c r="I647" s="5"/>
      <c r="J647" s="5"/>
      <c r="K647" s="5"/>
      <c r="L647" s="5"/>
      <c r="M647" s="5"/>
      <c r="N647" s="5"/>
      <c r="O647" s="5"/>
      <c r="P647" s="5"/>
      <c r="Q647" s="5"/>
      <c r="R647" s="5"/>
      <c r="S647" s="5"/>
      <c r="T647" s="5"/>
      <c r="U647" s="5"/>
      <c r="V647" s="5"/>
      <c r="W647" s="5"/>
    </row>
    <row r="648" spans="1:23" ht="16" x14ac:dyDescent="0.2">
      <c r="A648" s="5"/>
      <c r="B648" s="6"/>
      <c r="C648" s="6"/>
      <c r="D648" s="6"/>
      <c r="E648" s="6"/>
      <c r="F648" s="5"/>
      <c r="G648" s="5"/>
      <c r="H648" s="5"/>
      <c r="I648" s="5"/>
      <c r="J648" s="5"/>
      <c r="K648" s="5"/>
      <c r="L648" s="5"/>
      <c r="M648" s="5"/>
      <c r="N648" s="5"/>
      <c r="O648" s="5"/>
      <c r="P648" s="5"/>
      <c r="Q648" s="5"/>
      <c r="R648" s="5"/>
      <c r="S648" s="5"/>
      <c r="T648" s="5"/>
      <c r="U648" s="5"/>
      <c r="V648" s="5"/>
      <c r="W648" s="5"/>
    </row>
    <row r="649" spans="1:23" ht="16" x14ac:dyDescent="0.2">
      <c r="A649" s="5"/>
      <c r="B649" s="6"/>
      <c r="C649" s="6"/>
      <c r="D649" s="6"/>
      <c r="E649" s="6"/>
      <c r="F649" s="5"/>
      <c r="G649" s="5"/>
      <c r="H649" s="5"/>
      <c r="I649" s="5"/>
      <c r="J649" s="5"/>
      <c r="K649" s="5"/>
      <c r="L649" s="5"/>
      <c r="M649" s="5"/>
      <c r="N649" s="5"/>
      <c r="O649" s="5"/>
      <c r="P649" s="5"/>
      <c r="Q649" s="5"/>
      <c r="R649" s="5"/>
      <c r="S649" s="5"/>
      <c r="T649" s="5"/>
      <c r="U649" s="5"/>
      <c r="V649" s="5"/>
      <c r="W649" s="5"/>
    </row>
    <row r="650" spans="1:23" ht="16" x14ac:dyDescent="0.2">
      <c r="A650" s="5"/>
      <c r="B650" s="6"/>
      <c r="C650" s="6"/>
      <c r="D650" s="6"/>
      <c r="E650" s="6"/>
      <c r="F650" s="5"/>
      <c r="G650" s="5"/>
      <c r="H650" s="5"/>
      <c r="I650" s="5"/>
      <c r="J650" s="5"/>
      <c r="K650" s="5"/>
      <c r="L650" s="5"/>
      <c r="M650" s="5"/>
      <c r="N650" s="5"/>
      <c r="O650" s="5"/>
      <c r="P650" s="5"/>
      <c r="Q650" s="5"/>
      <c r="R650" s="5"/>
      <c r="S650" s="5"/>
      <c r="T650" s="5"/>
      <c r="U650" s="5"/>
      <c r="V650" s="5"/>
      <c r="W650" s="5"/>
    </row>
    <row r="651" spans="1:23" ht="16" x14ac:dyDescent="0.2">
      <c r="A651" s="5"/>
      <c r="B651" s="6"/>
      <c r="C651" s="6"/>
      <c r="D651" s="6"/>
      <c r="E651" s="6"/>
      <c r="F651" s="5"/>
      <c r="G651" s="5"/>
      <c r="H651" s="5"/>
      <c r="I651" s="5"/>
      <c r="J651" s="5"/>
      <c r="K651" s="5"/>
      <c r="L651" s="5"/>
      <c r="M651" s="5"/>
      <c r="N651" s="5"/>
      <c r="O651" s="5"/>
      <c r="P651" s="5"/>
      <c r="Q651" s="5"/>
      <c r="R651" s="5"/>
      <c r="S651" s="5"/>
      <c r="T651" s="5"/>
      <c r="U651" s="5"/>
      <c r="V651" s="5"/>
      <c r="W651" s="5"/>
    </row>
    <row r="652" spans="1:23" ht="16" x14ac:dyDescent="0.2">
      <c r="A652" s="5"/>
      <c r="B652" s="6"/>
      <c r="C652" s="6"/>
      <c r="D652" s="6"/>
      <c r="E652" s="6"/>
      <c r="F652" s="5"/>
      <c r="G652" s="5"/>
      <c r="H652" s="5"/>
      <c r="I652" s="5"/>
      <c r="J652" s="5"/>
      <c r="K652" s="5"/>
      <c r="L652" s="5"/>
      <c r="M652" s="5"/>
      <c r="N652" s="5"/>
      <c r="O652" s="5"/>
      <c r="P652" s="5"/>
      <c r="Q652" s="5"/>
      <c r="R652" s="5"/>
      <c r="S652" s="5"/>
      <c r="T652" s="5"/>
      <c r="U652" s="5"/>
      <c r="V652" s="5"/>
      <c r="W652" s="5"/>
    </row>
    <row r="653" spans="1:23" ht="16" x14ac:dyDescent="0.2">
      <c r="A653" s="5"/>
      <c r="B653" s="6"/>
      <c r="C653" s="6"/>
      <c r="D653" s="6"/>
      <c r="E653" s="6"/>
      <c r="F653" s="5"/>
      <c r="G653" s="5"/>
      <c r="H653" s="5"/>
      <c r="I653" s="5"/>
      <c r="J653" s="5"/>
      <c r="K653" s="5"/>
      <c r="L653" s="5"/>
      <c r="M653" s="5"/>
      <c r="N653" s="5"/>
      <c r="O653" s="5"/>
      <c r="P653" s="5"/>
      <c r="Q653" s="5"/>
      <c r="R653" s="5"/>
      <c r="S653" s="5"/>
      <c r="T653" s="5"/>
      <c r="U653" s="5"/>
      <c r="V653" s="5"/>
      <c r="W653" s="5"/>
    </row>
    <row r="654" spans="1:23" ht="16" x14ac:dyDescent="0.2">
      <c r="A654" s="5"/>
      <c r="B654" s="6"/>
      <c r="C654" s="6"/>
      <c r="D654" s="6"/>
      <c r="E654" s="6"/>
      <c r="F654" s="5"/>
      <c r="G654" s="5"/>
      <c r="H654" s="5"/>
      <c r="I654" s="5"/>
      <c r="J654" s="5"/>
      <c r="K654" s="5"/>
      <c r="L654" s="5"/>
      <c r="M654" s="5"/>
      <c r="N654" s="5"/>
      <c r="O654" s="5"/>
      <c r="P654" s="5"/>
      <c r="Q654" s="5"/>
      <c r="R654" s="5"/>
      <c r="S654" s="5"/>
      <c r="T654" s="5"/>
      <c r="U654" s="5"/>
      <c r="V654" s="5"/>
      <c r="W654" s="5"/>
    </row>
    <row r="655" spans="1:23" ht="16" x14ac:dyDescent="0.2">
      <c r="A655" s="5"/>
      <c r="B655" s="6"/>
      <c r="C655" s="6"/>
      <c r="D655" s="6"/>
      <c r="E655" s="6"/>
      <c r="F655" s="5"/>
      <c r="G655" s="5"/>
      <c r="H655" s="5"/>
      <c r="I655" s="5"/>
      <c r="J655" s="5"/>
      <c r="K655" s="5"/>
      <c r="L655" s="5"/>
      <c r="M655" s="5"/>
      <c r="N655" s="5"/>
      <c r="O655" s="5"/>
      <c r="P655" s="5"/>
      <c r="Q655" s="5"/>
      <c r="R655" s="5"/>
      <c r="S655" s="5"/>
      <c r="T655" s="5"/>
      <c r="U655" s="5"/>
      <c r="V655" s="5"/>
      <c r="W655" s="5"/>
    </row>
    <row r="656" spans="1:23" ht="16" x14ac:dyDescent="0.2">
      <c r="A656" s="5"/>
      <c r="B656" s="6"/>
      <c r="C656" s="6"/>
      <c r="D656" s="6"/>
      <c r="E656" s="6"/>
      <c r="F656" s="5"/>
      <c r="G656" s="5"/>
      <c r="H656" s="5"/>
      <c r="I656" s="5"/>
      <c r="J656" s="5"/>
      <c r="K656" s="5"/>
      <c r="L656" s="5"/>
      <c r="M656" s="5"/>
      <c r="N656" s="5"/>
      <c r="O656" s="5"/>
      <c r="P656" s="5"/>
      <c r="Q656" s="5"/>
      <c r="R656" s="5"/>
      <c r="S656" s="5"/>
      <c r="T656" s="5"/>
      <c r="U656" s="5"/>
      <c r="V656" s="5"/>
      <c r="W656" s="5"/>
    </row>
    <row r="657" spans="1:23" ht="16" x14ac:dyDescent="0.2">
      <c r="A657" s="5"/>
      <c r="B657" s="6"/>
      <c r="C657" s="6"/>
      <c r="D657" s="6"/>
      <c r="E657" s="6"/>
      <c r="F657" s="5"/>
      <c r="G657" s="5"/>
      <c r="H657" s="5"/>
      <c r="I657" s="5"/>
      <c r="J657" s="5"/>
      <c r="K657" s="5"/>
      <c r="L657" s="5"/>
      <c r="M657" s="5"/>
      <c r="N657" s="5"/>
      <c r="O657" s="5"/>
      <c r="P657" s="5"/>
      <c r="Q657" s="5"/>
      <c r="R657" s="5"/>
      <c r="S657" s="5"/>
      <c r="T657" s="5"/>
      <c r="U657" s="5"/>
      <c r="V657" s="5"/>
      <c r="W657" s="5"/>
    </row>
    <row r="658" spans="1:23" ht="16" x14ac:dyDescent="0.2">
      <c r="A658" s="5"/>
      <c r="B658" s="6"/>
      <c r="C658" s="6"/>
      <c r="D658" s="6"/>
      <c r="E658" s="6"/>
      <c r="F658" s="5"/>
      <c r="G658" s="5"/>
      <c r="H658" s="5"/>
      <c r="I658" s="5"/>
      <c r="J658" s="5"/>
      <c r="K658" s="5"/>
      <c r="L658" s="5"/>
      <c r="M658" s="5"/>
      <c r="N658" s="5"/>
      <c r="O658" s="5"/>
      <c r="P658" s="5"/>
      <c r="Q658" s="5"/>
      <c r="R658" s="5"/>
      <c r="S658" s="5"/>
      <c r="T658" s="5"/>
      <c r="U658" s="5"/>
      <c r="V658" s="5"/>
      <c r="W658" s="5"/>
    </row>
    <row r="659" spans="1:23" ht="16" x14ac:dyDescent="0.2">
      <c r="A659" s="5"/>
      <c r="B659" s="6"/>
      <c r="C659" s="6"/>
      <c r="D659" s="6"/>
      <c r="E659" s="6"/>
      <c r="F659" s="5"/>
      <c r="G659" s="5"/>
      <c r="H659" s="5"/>
      <c r="I659" s="5"/>
      <c r="J659" s="5"/>
      <c r="K659" s="5"/>
      <c r="L659" s="5"/>
      <c r="M659" s="5"/>
      <c r="N659" s="5"/>
      <c r="O659" s="5"/>
      <c r="P659" s="5"/>
      <c r="Q659" s="5"/>
      <c r="R659" s="5"/>
      <c r="S659" s="5"/>
      <c r="T659" s="5"/>
      <c r="U659" s="5"/>
      <c r="V659" s="5"/>
      <c r="W659" s="5"/>
    </row>
    <row r="660" spans="1:23" ht="16" x14ac:dyDescent="0.2">
      <c r="A660" s="5"/>
      <c r="B660" s="6"/>
      <c r="C660" s="6"/>
      <c r="D660" s="6"/>
      <c r="E660" s="6"/>
      <c r="F660" s="5"/>
      <c r="G660" s="5"/>
      <c r="H660" s="5"/>
      <c r="I660" s="5"/>
      <c r="J660" s="5"/>
      <c r="K660" s="5"/>
      <c r="L660" s="5"/>
      <c r="M660" s="5"/>
      <c r="N660" s="5"/>
      <c r="O660" s="5"/>
      <c r="P660" s="5"/>
      <c r="Q660" s="5"/>
      <c r="R660" s="5"/>
      <c r="S660" s="5"/>
      <c r="T660" s="5"/>
      <c r="U660" s="5"/>
      <c r="V660" s="5"/>
      <c r="W660" s="5"/>
    </row>
    <row r="661" spans="1:23" ht="16" x14ac:dyDescent="0.2">
      <c r="A661" s="5"/>
      <c r="B661" s="6"/>
      <c r="C661" s="6"/>
      <c r="D661" s="6"/>
      <c r="E661" s="6"/>
      <c r="F661" s="5"/>
      <c r="G661" s="5"/>
      <c r="H661" s="5"/>
      <c r="I661" s="5"/>
      <c r="J661" s="5"/>
      <c r="K661" s="5"/>
      <c r="L661" s="5"/>
      <c r="M661" s="5"/>
      <c r="N661" s="5"/>
      <c r="O661" s="5"/>
      <c r="P661" s="5"/>
      <c r="Q661" s="5"/>
      <c r="R661" s="5"/>
      <c r="S661" s="5"/>
      <c r="T661" s="5"/>
      <c r="U661" s="5"/>
      <c r="V661" s="5"/>
      <c r="W661" s="5"/>
    </row>
    <row r="662" spans="1:23" ht="16" x14ac:dyDescent="0.2">
      <c r="A662" s="5"/>
      <c r="B662" s="6"/>
      <c r="C662" s="6"/>
      <c r="D662" s="6"/>
      <c r="E662" s="6"/>
      <c r="F662" s="5"/>
      <c r="G662" s="5"/>
      <c r="H662" s="5"/>
      <c r="I662" s="5"/>
      <c r="J662" s="5"/>
      <c r="K662" s="5"/>
      <c r="L662" s="5"/>
      <c r="M662" s="5"/>
      <c r="N662" s="5"/>
      <c r="O662" s="5"/>
      <c r="P662" s="5"/>
      <c r="Q662" s="5"/>
      <c r="R662" s="5"/>
      <c r="S662" s="5"/>
      <c r="T662" s="5"/>
      <c r="U662" s="5"/>
      <c r="V662" s="5"/>
      <c r="W662" s="5"/>
    </row>
    <row r="663" spans="1:23" ht="16" x14ac:dyDescent="0.2">
      <c r="A663" s="5"/>
      <c r="B663" s="6"/>
      <c r="C663" s="6"/>
      <c r="D663" s="6"/>
      <c r="E663" s="6"/>
      <c r="F663" s="5"/>
      <c r="G663" s="5"/>
      <c r="H663" s="5"/>
      <c r="I663" s="5"/>
      <c r="J663" s="5"/>
      <c r="K663" s="5"/>
      <c r="L663" s="5"/>
      <c r="M663" s="5"/>
      <c r="N663" s="5"/>
      <c r="O663" s="5"/>
      <c r="P663" s="5"/>
      <c r="Q663" s="5"/>
      <c r="R663" s="5"/>
      <c r="S663" s="5"/>
      <c r="T663" s="5"/>
      <c r="U663" s="5"/>
      <c r="V663" s="5"/>
      <c r="W663" s="5"/>
    </row>
    <row r="664" spans="1:23" ht="16" x14ac:dyDescent="0.2">
      <c r="A664" s="5"/>
      <c r="B664" s="6"/>
      <c r="C664" s="6"/>
      <c r="D664" s="6"/>
      <c r="E664" s="6"/>
      <c r="F664" s="5"/>
      <c r="G664" s="5"/>
      <c r="H664" s="5"/>
      <c r="I664" s="5"/>
      <c r="J664" s="5"/>
      <c r="K664" s="5"/>
      <c r="L664" s="5"/>
      <c r="M664" s="5"/>
      <c r="N664" s="5"/>
      <c r="O664" s="5"/>
      <c r="P664" s="5"/>
      <c r="Q664" s="5"/>
      <c r="R664" s="5"/>
      <c r="S664" s="5"/>
      <c r="T664" s="5"/>
      <c r="U664" s="5"/>
      <c r="V664" s="5"/>
      <c r="W664" s="5"/>
    </row>
    <row r="665" spans="1:23" ht="16" x14ac:dyDescent="0.2">
      <c r="A665" s="5"/>
      <c r="B665" s="6"/>
      <c r="C665" s="6"/>
      <c r="D665" s="6"/>
      <c r="E665" s="6"/>
      <c r="F665" s="5"/>
      <c r="G665" s="5"/>
      <c r="H665" s="5"/>
      <c r="I665" s="5"/>
      <c r="J665" s="5"/>
      <c r="K665" s="5"/>
      <c r="L665" s="5"/>
      <c r="M665" s="5"/>
      <c r="N665" s="5"/>
      <c r="O665" s="5"/>
      <c r="P665" s="5"/>
      <c r="Q665" s="5"/>
      <c r="R665" s="5"/>
      <c r="S665" s="5"/>
      <c r="T665" s="5"/>
      <c r="U665" s="5"/>
      <c r="V665" s="5"/>
      <c r="W665" s="5"/>
    </row>
    <row r="666" spans="1:23" ht="16" x14ac:dyDescent="0.2">
      <c r="A666" s="5"/>
      <c r="B666" s="6"/>
      <c r="C666" s="6"/>
      <c r="D666" s="6"/>
      <c r="E666" s="6"/>
      <c r="F666" s="5"/>
      <c r="G666" s="5"/>
      <c r="H666" s="5"/>
      <c r="I666" s="5"/>
      <c r="J666" s="5"/>
      <c r="K666" s="5"/>
      <c r="L666" s="5"/>
      <c r="M666" s="5"/>
      <c r="N666" s="5"/>
      <c r="O666" s="5"/>
      <c r="P666" s="5"/>
      <c r="Q666" s="5"/>
      <c r="R666" s="5"/>
      <c r="S666" s="5"/>
      <c r="T666" s="5"/>
      <c r="U666" s="5"/>
      <c r="V666" s="5"/>
      <c r="W666" s="5"/>
    </row>
    <row r="667" spans="1:23" ht="16" x14ac:dyDescent="0.2">
      <c r="A667" s="5"/>
      <c r="B667" s="6"/>
      <c r="C667" s="6"/>
      <c r="D667" s="6"/>
      <c r="E667" s="6"/>
      <c r="F667" s="5"/>
      <c r="G667" s="5"/>
      <c r="H667" s="5"/>
      <c r="I667" s="5"/>
      <c r="J667" s="5"/>
      <c r="K667" s="5"/>
      <c r="L667" s="5"/>
      <c r="M667" s="5"/>
      <c r="N667" s="5"/>
      <c r="O667" s="5"/>
      <c r="P667" s="5"/>
      <c r="Q667" s="5"/>
      <c r="R667" s="5"/>
      <c r="S667" s="5"/>
      <c r="T667" s="5"/>
      <c r="U667" s="5"/>
      <c r="V667" s="5"/>
      <c r="W667" s="5"/>
    </row>
    <row r="668" spans="1:23" ht="16" x14ac:dyDescent="0.2">
      <c r="A668" s="5"/>
      <c r="B668" s="6"/>
      <c r="C668" s="6"/>
      <c r="D668" s="6"/>
      <c r="E668" s="6"/>
      <c r="F668" s="5"/>
      <c r="G668" s="5"/>
      <c r="H668" s="5"/>
      <c r="I668" s="5"/>
      <c r="J668" s="5"/>
      <c r="K668" s="5"/>
      <c r="L668" s="5"/>
      <c r="M668" s="5"/>
      <c r="N668" s="5"/>
      <c r="O668" s="5"/>
      <c r="P668" s="5"/>
      <c r="Q668" s="5"/>
      <c r="R668" s="5"/>
      <c r="S668" s="5"/>
      <c r="T668" s="5"/>
      <c r="U668" s="5"/>
      <c r="V668" s="5"/>
      <c r="W668" s="5"/>
    </row>
    <row r="669" spans="1:23" ht="16" x14ac:dyDescent="0.2">
      <c r="A669" s="5"/>
      <c r="B669" s="6"/>
      <c r="C669" s="6"/>
      <c r="D669" s="6"/>
      <c r="E669" s="6"/>
      <c r="F669" s="5"/>
      <c r="G669" s="5"/>
      <c r="H669" s="5"/>
      <c r="I669" s="5"/>
      <c r="J669" s="5"/>
      <c r="K669" s="5"/>
      <c r="L669" s="5"/>
      <c r="M669" s="5"/>
      <c r="N669" s="5"/>
      <c r="O669" s="5"/>
      <c r="P669" s="5"/>
      <c r="Q669" s="5"/>
      <c r="R669" s="5"/>
      <c r="S669" s="5"/>
      <c r="T669" s="5"/>
      <c r="U669" s="5"/>
      <c r="V669" s="5"/>
      <c r="W669" s="5"/>
    </row>
    <row r="670" spans="1:23" ht="16" x14ac:dyDescent="0.2">
      <c r="A670" s="5"/>
      <c r="B670" s="6"/>
      <c r="C670" s="6"/>
      <c r="D670" s="6"/>
      <c r="E670" s="6"/>
      <c r="F670" s="5"/>
      <c r="G670" s="5"/>
      <c r="H670" s="5"/>
      <c r="I670" s="5"/>
      <c r="J670" s="5"/>
      <c r="K670" s="5"/>
      <c r="L670" s="5"/>
      <c r="M670" s="5"/>
      <c r="N670" s="5"/>
      <c r="O670" s="5"/>
      <c r="P670" s="5"/>
      <c r="Q670" s="5"/>
      <c r="R670" s="5"/>
      <c r="S670" s="5"/>
      <c r="T670" s="5"/>
      <c r="U670" s="5"/>
      <c r="V670" s="5"/>
      <c r="W670" s="5"/>
    </row>
    <row r="671" spans="1:23" ht="16" x14ac:dyDescent="0.2">
      <c r="A671" s="5"/>
      <c r="B671" s="6"/>
      <c r="C671" s="6"/>
      <c r="D671" s="6"/>
      <c r="E671" s="6"/>
      <c r="F671" s="5"/>
      <c r="G671" s="5"/>
      <c r="H671" s="5"/>
      <c r="I671" s="5"/>
      <c r="J671" s="5"/>
      <c r="K671" s="5"/>
      <c r="L671" s="5"/>
      <c r="M671" s="5"/>
      <c r="N671" s="5"/>
      <c r="O671" s="5"/>
      <c r="P671" s="5"/>
      <c r="Q671" s="5"/>
      <c r="R671" s="5"/>
      <c r="S671" s="5"/>
      <c r="T671" s="5"/>
      <c r="U671" s="5"/>
      <c r="V671" s="5"/>
      <c r="W671" s="5"/>
    </row>
    <row r="672" spans="1:23" ht="16" x14ac:dyDescent="0.2">
      <c r="A672" s="5"/>
      <c r="B672" s="6"/>
      <c r="C672" s="6"/>
      <c r="D672" s="6"/>
      <c r="E672" s="6"/>
      <c r="F672" s="5"/>
      <c r="G672" s="5"/>
      <c r="H672" s="5"/>
      <c r="I672" s="5"/>
      <c r="J672" s="5"/>
      <c r="K672" s="5"/>
      <c r="L672" s="5"/>
      <c r="M672" s="5"/>
      <c r="N672" s="5"/>
      <c r="O672" s="5"/>
      <c r="P672" s="5"/>
      <c r="Q672" s="5"/>
      <c r="R672" s="5"/>
      <c r="S672" s="5"/>
      <c r="T672" s="5"/>
      <c r="U672" s="5"/>
      <c r="V672" s="5"/>
      <c r="W672" s="5"/>
    </row>
    <row r="673" spans="1:23" ht="16" x14ac:dyDescent="0.2">
      <c r="A673" s="5"/>
      <c r="B673" s="6"/>
      <c r="C673" s="6"/>
      <c r="D673" s="6"/>
      <c r="E673" s="6"/>
      <c r="F673" s="5"/>
      <c r="G673" s="5"/>
      <c r="H673" s="5"/>
      <c r="I673" s="5"/>
      <c r="J673" s="5"/>
      <c r="K673" s="5"/>
      <c r="L673" s="5"/>
      <c r="M673" s="5"/>
      <c r="N673" s="5"/>
      <c r="O673" s="5"/>
      <c r="P673" s="5"/>
      <c r="Q673" s="5"/>
      <c r="R673" s="5"/>
      <c r="S673" s="5"/>
      <c r="T673" s="5"/>
      <c r="U673" s="5"/>
      <c r="V673" s="5"/>
      <c r="W673" s="5"/>
    </row>
    <row r="674" spans="1:23" ht="16" x14ac:dyDescent="0.2">
      <c r="A674" s="5"/>
      <c r="B674" s="6"/>
      <c r="C674" s="6"/>
      <c r="D674" s="6"/>
      <c r="E674" s="6"/>
      <c r="F674" s="5"/>
      <c r="G674" s="5"/>
      <c r="H674" s="5"/>
      <c r="I674" s="5"/>
      <c r="J674" s="5"/>
      <c r="K674" s="5"/>
      <c r="L674" s="5"/>
      <c r="M674" s="5"/>
      <c r="N674" s="5"/>
      <c r="O674" s="5"/>
      <c r="P674" s="5"/>
      <c r="Q674" s="5"/>
      <c r="R674" s="5"/>
      <c r="S674" s="5"/>
      <c r="T674" s="5"/>
      <c r="U674" s="5"/>
      <c r="V674" s="5"/>
      <c r="W674" s="5"/>
    </row>
    <row r="675" spans="1:23" ht="16" x14ac:dyDescent="0.2">
      <c r="A675" s="5"/>
      <c r="B675" s="6"/>
      <c r="C675" s="6"/>
      <c r="D675" s="6"/>
      <c r="E675" s="6"/>
      <c r="F675" s="5"/>
      <c r="G675" s="5"/>
      <c r="H675" s="5"/>
      <c r="I675" s="5"/>
      <c r="J675" s="5"/>
      <c r="K675" s="5"/>
      <c r="L675" s="5"/>
      <c r="M675" s="5"/>
      <c r="N675" s="5"/>
      <c r="O675" s="5"/>
      <c r="P675" s="5"/>
      <c r="Q675" s="5"/>
      <c r="R675" s="5"/>
      <c r="S675" s="5"/>
      <c r="T675" s="5"/>
      <c r="U675" s="5"/>
      <c r="V675" s="5"/>
      <c r="W675" s="5"/>
    </row>
    <row r="676" spans="1:23" ht="16" x14ac:dyDescent="0.2">
      <c r="A676" s="5"/>
      <c r="B676" s="6"/>
      <c r="C676" s="6"/>
      <c r="D676" s="6"/>
      <c r="E676" s="6"/>
      <c r="F676" s="5"/>
      <c r="G676" s="5"/>
      <c r="H676" s="5"/>
      <c r="I676" s="5"/>
      <c r="J676" s="5"/>
      <c r="K676" s="5"/>
      <c r="L676" s="5"/>
      <c r="M676" s="5"/>
      <c r="N676" s="5"/>
      <c r="O676" s="5"/>
      <c r="P676" s="5"/>
      <c r="Q676" s="5"/>
      <c r="R676" s="5"/>
      <c r="S676" s="5"/>
      <c r="T676" s="5"/>
      <c r="U676" s="5"/>
      <c r="V676" s="5"/>
      <c r="W676" s="5"/>
    </row>
    <row r="677" spans="1:23" ht="16" x14ac:dyDescent="0.2">
      <c r="A677" s="5"/>
      <c r="B677" s="6"/>
      <c r="C677" s="6"/>
      <c r="D677" s="6"/>
      <c r="E677" s="6"/>
      <c r="F677" s="5"/>
      <c r="G677" s="5"/>
      <c r="H677" s="5"/>
      <c r="I677" s="5"/>
      <c r="J677" s="5"/>
      <c r="K677" s="5"/>
      <c r="L677" s="5"/>
      <c r="M677" s="5"/>
      <c r="N677" s="5"/>
      <c r="O677" s="5"/>
      <c r="P677" s="5"/>
      <c r="Q677" s="5"/>
      <c r="R677" s="5"/>
      <c r="S677" s="5"/>
      <c r="T677" s="5"/>
      <c r="U677" s="5"/>
      <c r="V677" s="5"/>
      <c r="W677" s="5"/>
    </row>
    <row r="678" spans="1:23" ht="16" x14ac:dyDescent="0.2">
      <c r="A678" s="5"/>
      <c r="B678" s="6"/>
      <c r="C678" s="6"/>
      <c r="D678" s="6"/>
      <c r="E678" s="6"/>
      <c r="F678" s="5"/>
      <c r="G678" s="5"/>
      <c r="H678" s="5"/>
      <c r="I678" s="5"/>
      <c r="J678" s="5"/>
      <c r="K678" s="5"/>
      <c r="L678" s="5"/>
      <c r="M678" s="5"/>
      <c r="N678" s="5"/>
      <c r="O678" s="5"/>
      <c r="P678" s="5"/>
      <c r="Q678" s="5"/>
      <c r="R678" s="5"/>
      <c r="S678" s="5"/>
      <c r="T678" s="5"/>
      <c r="U678" s="5"/>
      <c r="V678" s="5"/>
      <c r="W678" s="5"/>
    </row>
    <row r="679" spans="1:23" ht="16" x14ac:dyDescent="0.2">
      <c r="A679" s="5"/>
      <c r="B679" s="6"/>
      <c r="C679" s="6"/>
      <c r="D679" s="6"/>
      <c r="E679" s="6"/>
      <c r="F679" s="5"/>
      <c r="G679" s="5"/>
      <c r="H679" s="5"/>
      <c r="I679" s="5"/>
      <c r="J679" s="5"/>
      <c r="K679" s="5"/>
      <c r="L679" s="5"/>
      <c r="M679" s="5"/>
      <c r="N679" s="5"/>
      <c r="O679" s="5"/>
      <c r="P679" s="5"/>
      <c r="Q679" s="5"/>
      <c r="R679" s="5"/>
      <c r="S679" s="5"/>
      <c r="T679" s="5"/>
      <c r="U679" s="5"/>
      <c r="V679" s="5"/>
      <c r="W679" s="5"/>
    </row>
    <row r="680" spans="1:23" ht="16" x14ac:dyDescent="0.2">
      <c r="A680" s="5"/>
      <c r="B680" s="6"/>
      <c r="C680" s="6"/>
      <c r="D680" s="6"/>
      <c r="E680" s="6"/>
      <c r="F680" s="5"/>
      <c r="G680" s="5"/>
      <c r="H680" s="5"/>
      <c r="I680" s="5"/>
      <c r="J680" s="5"/>
      <c r="K680" s="5"/>
      <c r="L680" s="5"/>
      <c r="M680" s="5"/>
      <c r="N680" s="5"/>
      <c r="O680" s="5"/>
      <c r="P680" s="5"/>
      <c r="Q680" s="5"/>
      <c r="R680" s="5"/>
      <c r="S680" s="5"/>
      <c r="T680" s="5"/>
      <c r="U680" s="5"/>
      <c r="V680" s="5"/>
      <c r="W680" s="5"/>
    </row>
    <row r="681" spans="1:23" ht="16" x14ac:dyDescent="0.2">
      <c r="A681" s="5"/>
      <c r="B681" s="6"/>
      <c r="C681" s="6"/>
      <c r="D681" s="6"/>
      <c r="E681" s="6"/>
      <c r="F681" s="5"/>
      <c r="G681" s="5"/>
      <c r="H681" s="5"/>
      <c r="I681" s="5"/>
      <c r="J681" s="5"/>
      <c r="K681" s="5"/>
      <c r="L681" s="5"/>
      <c r="M681" s="5"/>
      <c r="N681" s="5"/>
      <c r="O681" s="5"/>
      <c r="P681" s="5"/>
      <c r="Q681" s="5"/>
      <c r="R681" s="5"/>
      <c r="S681" s="5"/>
      <c r="T681" s="5"/>
      <c r="U681" s="5"/>
      <c r="V681" s="5"/>
      <c r="W681" s="5"/>
    </row>
    <row r="682" spans="1:23" ht="16" x14ac:dyDescent="0.2">
      <c r="A682" s="5"/>
      <c r="B682" s="6"/>
      <c r="C682" s="6"/>
      <c r="D682" s="6"/>
      <c r="E682" s="6"/>
      <c r="F682" s="5"/>
      <c r="G682" s="5"/>
      <c r="H682" s="5"/>
      <c r="I682" s="5"/>
      <c r="J682" s="5"/>
      <c r="K682" s="5"/>
      <c r="L682" s="5"/>
      <c r="M682" s="5"/>
      <c r="N682" s="5"/>
      <c r="O682" s="5"/>
      <c r="P682" s="5"/>
      <c r="Q682" s="5"/>
      <c r="R682" s="5"/>
      <c r="S682" s="5"/>
      <c r="T682" s="5"/>
      <c r="U682" s="5"/>
      <c r="V682" s="5"/>
      <c r="W682" s="5"/>
    </row>
    <row r="683" spans="1:23" ht="16" x14ac:dyDescent="0.2">
      <c r="A683" s="5"/>
      <c r="B683" s="6"/>
      <c r="C683" s="6"/>
      <c r="D683" s="6"/>
      <c r="E683" s="6"/>
      <c r="F683" s="5"/>
      <c r="G683" s="5"/>
      <c r="H683" s="5"/>
      <c r="I683" s="5"/>
      <c r="J683" s="5"/>
      <c r="K683" s="5"/>
      <c r="L683" s="5"/>
      <c r="M683" s="5"/>
      <c r="N683" s="5"/>
      <c r="O683" s="5"/>
      <c r="P683" s="5"/>
      <c r="Q683" s="5"/>
      <c r="R683" s="5"/>
      <c r="S683" s="5"/>
      <c r="T683" s="5"/>
      <c r="U683" s="5"/>
      <c r="V683" s="5"/>
      <c r="W683" s="5"/>
    </row>
    <row r="684" spans="1:23" ht="16" x14ac:dyDescent="0.2">
      <c r="A684" s="5"/>
      <c r="B684" s="6"/>
      <c r="C684" s="6"/>
      <c r="D684" s="6"/>
      <c r="E684" s="6"/>
      <c r="F684" s="5"/>
      <c r="G684" s="5"/>
      <c r="H684" s="5"/>
      <c r="I684" s="5"/>
      <c r="J684" s="5"/>
      <c r="K684" s="5"/>
      <c r="L684" s="5"/>
      <c r="M684" s="5"/>
      <c r="N684" s="5"/>
      <c r="O684" s="5"/>
      <c r="P684" s="5"/>
      <c r="Q684" s="5"/>
      <c r="R684" s="5"/>
      <c r="S684" s="5"/>
      <c r="T684" s="5"/>
      <c r="U684" s="5"/>
      <c r="V684" s="5"/>
      <c r="W684" s="5"/>
    </row>
    <row r="685" spans="1:23" ht="16" x14ac:dyDescent="0.2">
      <c r="A685" s="5"/>
      <c r="B685" s="6"/>
      <c r="C685" s="6"/>
      <c r="D685" s="6"/>
      <c r="E685" s="6"/>
      <c r="F685" s="5"/>
      <c r="G685" s="5"/>
      <c r="H685" s="5"/>
      <c r="I685" s="5"/>
      <c r="J685" s="5"/>
      <c r="K685" s="5"/>
      <c r="L685" s="5"/>
      <c r="M685" s="5"/>
      <c r="N685" s="5"/>
      <c r="O685" s="5"/>
      <c r="P685" s="5"/>
      <c r="Q685" s="5"/>
      <c r="R685" s="5"/>
      <c r="S685" s="5"/>
      <c r="T685" s="5"/>
      <c r="U685" s="5"/>
      <c r="V685" s="5"/>
      <c r="W685" s="5"/>
    </row>
    <row r="686" spans="1:23" ht="16" x14ac:dyDescent="0.2">
      <c r="A686" s="5"/>
      <c r="B686" s="6"/>
      <c r="C686" s="6"/>
      <c r="D686" s="6"/>
      <c r="E686" s="6"/>
      <c r="F686" s="5"/>
      <c r="G686" s="5"/>
      <c r="H686" s="5"/>
      <c r="I686" s="5"/>
      <c r="J686" s="5"/>
      <c r="K686" s="5"/>
      <c r="L686" s="5"/>
      <c r="M686" s="5"/>
      <c r="N686" s="5"/>
      <c r="O686" s="5"/>
      <c r="P686" s="5"/>
      <c r="Q686" s="5"/>
      <c r="R686" s="5"/>
      <c r="S686" s="5"/>
      <c r="T686" s="5"/>
      <c r="U686" s="5"/>
      <c r="V686" s="5"/>
      <c r="W686" s="5"/>
    </row>
    <row r="687" spans="1:23" ht="16" x14ac:dyDescent="0.2">
      <c r="A687" s="5"/>
      <c r="B687" s="6"/>
      <c r="C687" s="6"/>
      <c r="D687" s="6"/>
      <c r="E687" s="6"/>
      <c r="F687" s="5"/>
      <c r="G687" s="5"/>
      <c r="H687" s="5"/>
      <c r="I687" s="5"/>
      <c r="J687" s="5"/>
      <c r="K687" s="5"/>
      <c r="L687" s="5"/>
      <c r="M687" s="5"/>
      <c r="N687" s="5"/>
      <c r="O687" s="5"/>
      <c r="P687" s="5"/>
      <c r="Q687" s="5"/>
      <c r="R687" s="5"/>
      <c r="S687" s="5"/>
      <c r="T687" s="5"/>
      <c r="U687" s="5"/>
      <c r="V687" s="5"/>
      <c r="W687" s="5"/>
    </row>
    <row r="688" spans="1:23" ht="16" x14ac:dyDescent="0.2">
      <c r="A688" s="5"/>
      <c r="B688" s="6"/>
      <c r="C688" s="6"/>
      <c r="D688" s="6"/>
      <c r="E688" s="6"/>
      <c r="F688" s="5"/>
      <c r="G688" s="5"/>
      <c r="H688" s="5"/>
      <c r="I688" s="5"/>
      <c r="J688" s="5"/>
      <c r="K688" s="5"/>
      <c r="L688" s="5"/>
      <c r="M688" s="5"/>
      <c r="N688" s="5"/>
      <c r="O688" s="5"/>
      <c r="P688" s="5"/>
      <c r="Q688" s="5"/>
      <c r="R688" s="5"/>
      <c r="S688" s="5"/>
      <c r="T688" s="5"/>
      <c r="U688" s="5"/>
      <c r="V688" s="5"/>
      <c r="W688" s="5"/>
    </row>
    <row r="689" spans="1:23" ht="16" x14ac:dyDescent="0.2">
      <c r="A689" s="5"/>
      <c r="B689" s="6"/>
      <c r="C689" s="6"/>
      <c r="D689" s="6"/>
      <c r="E689" s="6"/>
      <c r="F689" s="5"/>
      <c r="G689" s="5"/>
      <c r="H689" s="5"/>
      <c r="I689" s="5"/>
      <c r="J689" s="5"/>
      <c r="K689" s="5"/>
      <c r="L689" s="5"/>
      <c r="M689" s="5"/>
      <c r="N689" s="5"/>
      <c r="O689" s="5"/>
      <c r="P689" s="5"/>
      <c r="Q689" s="5"/>
      <c r="R689" s="5"/>
      <c r="S689" s="5"/>
      <c r="T689" s="5"/>
      <c r="U689" s="5"/>
      <c r="V689" s="5"/>
      <c r="W689" s="5"/>
    </row>
    <row r="690" spans="1:23" ht="16" x14ac:dyDescent="0.2">
      <c r="A690" s="5"/>
      <c r="B690" s="6"/>
      <c r="C690" s="6"/>
      <c r="D690" s="6"/>
      <c r="E690" s="6"/>
      <c r="F690" s="5"/>
      <c r="G690" s="5"/>
      <c r="H690" s="5"/>
      <c r="I690" s="5"/>
      <c r="J690" s="5"/>
      <c r="K690" s="5"/>
      <c r="L690" s="5"/>
      <c r="M690" s="5"/>
      <c r="N690" s="5"/>
      <c r="O690" s="5"/>
      <c r="P690" s="5"/>
      <c r="Q690" s="5"/>
      <c r="R690" s="5"/>
      <c r="S690" s="5"/>
      <c r="T690" s="5"/>
      <c r="U690" s="5"/>
      <c r="V690" s="5"/>
      <c r="W690" s="5"/>
    </row>
    <row r="691" spans="1:23" ht="16" x14ac:dyDescent="0.2">
      <c r="A691" s="5"/>
      <c r="B691" s="6"/>
      <c r="C691" s="6"/>
      <c r="D691" s="6"/>
      <c r="E691" s="6"/>
      <c r="F691" s="5"/>
      <c r="G691" s="5"/>
      <c r="H691" s="5"/>
      <c r="I691" s="5"/>
      <c r="J691" s="5"/>
      <c r="K691" s="5"/>
      <c r="L691" s="5"/>
      <c r="M691" s="5"/>
      <c r="N691" s="5"/>
      <c r="O691" s="5"/>
      <c r="P691" s="5"/>
      <c r="Q691" s="5"/>
      <c r="R691" s="5"/>
      <c r="S691" s="5"/>
      <c r="T691" s="5"/>
      <c r="U691" s="5"/>
      <c r="V691" s="5"/>
      <c r="W691" s="5"/>
    </row>
    <row r="692" spans="1:23" ht="16" x14ac:dyDescent="0.2">
      <c r="A692" s="5"/>
      <c r="B692" s="6"/>
      <c r="C692" s="6"/>
      <c r="D692" s="6"/>
      <c r="E692" s="6"/>
      <c r="F692" s="5"/>
      <c r="G692" s="5"/>
      <c r="H692" s="5"/>
      <c r="I692" s="5"/>
      <c r="J692" s="5"/>
      <c r="K692" s="5"/>
      <c r="L692" s="5"/>
      <c r="M692" s="5"/>
      <c r="N692" s="5"/>
      <c r="O692" s="5"/>
      <c r="P692" s="5"/>
      <c r="Q692" s="5"/>
      <c r="R692" s="5"/>
      <c r="S692" s="5"/>
      <c r="T692" s="5"/>
      <c r="U692" s="5"/>
      <c r="V692" s="5"/>
      <c r="W692" s="5"/>
    </row>
    <row r="693" spans="1:23" ht="16" x14ac:dyDescent="0.2">
      <c r="A693" s="5"/>
      <c r="B693" s="6"/>
      <c r="C693" s="6"/>
      <c r="D693" s="6"/>
      <c r="E693" s="6"/>
      <c r="F693" s="5"/>
      <c r="G693" s="5"/>
      <c r="H693" s="5"/>
      <c r="I693" s="5"/>
      <c r="J693" s="5"/>
      <c r="K693" s="5"/>
      <c r="L693" s="5"/>
      <c r="M693" s="5"/>
      <c r="N693" s="5"/>
      <c r="O693" s="5"/>
      <c r="P693" s="5"/>
      <c r="Q693" s="5"/>
      <c r="R693" s="5"/>
      <c r="S693" s="5"/>
      <c r="T693" s="5"/>
      <c r="U693" s="5"/>
      <c r="V693" s="5"/>
      <c r="W693" s="5"/>
    </row>
    <row r="694" spans="1:23" ht="16" x14ac:dyDescent="0.2">
      <c r="A694" s="5"/>
      <c r="B694" s="6"/>
      <c r="C694" s="6"/>
      <c r="D694" s="6"/>
      <c r="E694" s="6"/>
      <c r="F694" s="5"/>
      <c r="G694" s="5"/>
      <c r="H694" s="5"/>
      <c r="I694" s="5"/>
      <c r="J694" s="5"/>
      <c r="K694" s="5"/>
      <c r="L694" s="5"/>
      <c r="M694" s="5"/>
      <c r="N694" s="5"/>
      <c r="O694" s="5"/>
      <c r="P694" s="5"/>
      <c r="Q694" s="5"/>
      <c r="R694" s="5"/>
      <c r="S694" s="5"/>
      <c r="T694" s="5"/>
      <c r="U694" s="5"/>
      <c r="V694" s="5"/>
      <c r="W694" s="5"/>
    </row>
    <row r="695" spans="1:23" ht="16" x14ac:dyDescent="0.2">
      <c r="A695" s="5"/>
      <c r="B695" s="6"/>
      <c r="C695" s="6"/>
      <c r="D695" s="6"/>
      <c r="E695" s="6"/>
      <c r="F695" s="5"/>
      <c r="G695" s="5"/>
      <c r="H695" s="5"/>
      <c r="I695" s="5"/>
      <c r="J695" s="5"/>
      <c r="K695" s="5"/>
      <c r="L695" s="5"/>
      <c r="M695" s="5"/>
      <c r="N695" s="5"/>
      <c r="O695" s="5"/>
      <c r="P695" s="5"/>
      <c r="Q695" s="5"/>
      <c r="R695" s="5"/>
      <c r="S695" s="5"/>
      <c r="T695" s="5"/>
      <c r="U695" s="5"/>
      <c r="V695" s="5"/>
      <c r="W695" s="5"/>
    </row>
    <row r="696" spans="1:23" ht="16" x14ac:dyDescent="0.2">
      <c r="A696" s="5"/>
      <c r="B696" s="6"/>
      <c r="C696" s="6"/>
      <c r="D696" s="6"/>
      <c r="E696" s="6"/>
      <c r="F696" s="5"/>
      <c r="G696" s="5"/>
      <c r="H696" s="5"/>
      <c r="I696" s="5"/>
      <c r="J696" s="5"/>
      <c r="K696" s="5"/>
      <c r="L696" s="5"/>
      <c r="M696" s="5"/>
      <c r="N696" s="5"/>
      <c r="O696" s="5"/>
      <c r="P696" s="5"/>
      <c r="Q696" s="5"/>
      <c r="R696" s="5"/>
      <c r="S696" s="5"/>
      <c r="T696" s="5"/>
      <c r="U696" s="5"/>
      <c r="V696" s="5"/>
      <c r="W696" s="5"/>
    </row>
    <row r="697" spans="1:23" ht="16" x14ac:dyDescent="0.2">
      <c r="A697" s="5"/>
      <c r="B697" s="6"/>
      <c r="C697" s="6"/>
      <c r="D697" s="6"/>
      <c r="E697" s="6"/>
      <c r="F697" s="5"/>
      <c r="G697" s="5"/>
      <c r="H697" s="5"/>
      <c r="I697" s="5"/>
      <c r="J697" s="5"/>
      <c r="K697" s="5"/>
      <c r="L697" s="5"/>
      <c r="M697" s="5"/>
      <c r="N697" s="5"/>
      <c r="O697" s="5"/>
      <c r="P697" s="5"/>
      <c r="Q697" s="5"/>
      <c r="R697" s="5"/>
      <c r="S697" s="5"/>
      <c r="T697" s="5"/>
      <c r="U697" s="5"/>
      <c r="V697" s="5"/>
      <c r="W697" s="5"/>
    </row>
    <row r="698" spans="1:23" ht="16" x14ac:dyDescent="0.2">
      <c r="A698" s="5"/>
      <c r="B698" s="6"/>
      <c r="C698" s="6"/>
      <c r="D698" s="6"/>
      <c r="E698" s="6"/>
      <c r="F698" s="5"/>
      <c r="G698" s="5"/>
      <c r="H698" s="5"/>
      <c r="I698" s="5"/>
      <c r="J698" s="5"/>
      <c r="K698" s="5"/>
      <c r="L698" s="5"/>
      <c r="M698" s="5"/>
      <c r="N698" s="5"/>
      <c r="O698" s="5"/>
      <c r="P698" s="5"/>
      <c r="Q698" s="5"/>
      <c r="R698" s="5"/>
      <c r="S698" s="5"/>
      <c r="T698" s="5"/>
      <c r="U698" s="5"/>
      <c r="V698" s="5"/>
      <c r="W698" s="5"/>
    </row>
    <row r="699" spans="1:23" ht="16" x14ac:dyDescent="0.2">
      <c r="A699" s="5"/>
      <c r="B699" s="6"/>
      <c r="C699" s="6"/>
      <c r="D699" s="6"/>
      <c r="E699" s="6"/>
      <c r="F699" s="5"/>
      <c r="G699" s="5"/>
      <c r="H699" s="5"/>
      <c r="I699" s="5"/>
      <c r="J699" s="5"/>
      <c r="K699" s="5"/>
      <c r="L699" s="5"/>
      <c r="M699" s="5"/>
      <c r="N699" s="5"/>
      <c r="O699" s="5"/>
      <c r="P699" s="5"/>
      <c r="Q699" s="5"/>
      <c r="R699" s="5"/>
      <c r="S699" s="5"/>
      <c r="T699" s="5"/>
      <c r="U699" s="5"/>
      <c r="V699" s="5"/>
      <c r="W699" s="5"/>
    </row>
    <row r="700" spans="1:23" ht="16" x14ac:dyDescent="0.2">
      <c r="A700" s="5"/>
      <c r="B700" s="6"/>
      <c r="C700" s="6"/>
      <c r="D700" s="6"/>
      <c r="E700" s="6"/>
      <c r="F700" s="5"/>
      <c r="G700" s="5"/>
      <c r="H700" s="5"/>
      <c r="I700" s="5"/>
      <c r="J700" s="5"/>
      <c r="K700" s="5"/>
      <c r="L700" s="5"/>
      <c r="M700" s="5"/>
      <c r="N700" s="5"/>
      <c r="O700" s="5"/>
      <c r="P700" s="5"/>
      <c r="Q700" s="5"/>
      <c r="R700" s="5"/>
      <c r="S700" s="5"/>
      <c r="T700" s="5"/>
      <c r="U700" s="5"/>
      <c r="V700" s="5"/>
      <c r="W700" s="5"/>
    </row>
    <row r="701" spans="1:23" ht="16" x14ac:dyDescent="0.2">
      <c r="A701" s="5"/>
      <c r="B701" s="6"/>
      <c r="C701" s="6"/>
      <c r="D701" s="6"/>
      <c r="E701" s="6"/>
      <c r="F701" s="5"/>
      <c r="G701" s="5"/>
      <c r="H701" s="5"/>
      <c r="I701" s="5"/>
      <c r="J701" s="5"/>
      <c r="K701" s="5"/>
      <c r="L701" s="5"/>
      <c r="M701" s="5"/>
      <c r="N701" s="5"/>
      <c r="O701" s="5"/>
      <c r="P701" s="5"/>
      <c r="Q701" s="5"/>
      <c r="R701" s="5"/>
      <c r="S701" s="5"/>
      <c r="T701" s="5"/>
      <c r="U701" s="5"/>
      <c r="V701" s="5"/>
      <c r="W701" s="5"/>
    </row>
    <row r="702" spans="1:23" ht="16" x14ac:dyDescent="0.2">
      <c r="A702" s="5"/>
      <c r="B702" s="6"/>
      <c r="C702" s="6"/>
      <c r="D702" s="6"/>
      <c r="E702" s="6"/>
      <c r="F702" s="5"/>
      <c r="G702" s="5"/>
      <c r="H702" s="5"/>
      <c r="I702" s="5"/>
      <c r="J702" s="5"/>
      <c r="K702" s="5"/>
      <c r="L702" s="5"/>
      <c r="M702" s="5"/>
      <c r="N702" s="5"/>
      <c r="O702" s="5"/>
      <c r="P702" s="5"/>
      <c r="Q702" s="5"/>
      <c r="R702" s="5"/>
      <c r="S702" s="5"/>
      <c r="T702" s="5"/>
      <c r="U702" s="5"/>
      <c r="V702" s="5"/>
      <c r="W702" s="5"/>
    </row>
    <row r="703" spans="1:23" ht="16" x14ac:dyDescent="0.2">
      <c r="A703" s="5"/>
      <c r="B703" s="6"/>
      <c r="C703" s="6"/>
      <c r="D703" s="6"/>
      <c r="E703" s="6"/>
      <c r="F703" s="5"/>
      <c r="G703" s="5"/>
      <c r="H703" s="5"/>
      <c r="I703" s="5"/>
      <c r="J703" s="5"/>
      <c r="K703" s="5"/>
      <c r="L703" s="5"/>
      <c r="M703" s="5"/>
      <c r="N703" s="5"/>
      <c r="O703" s="5"/>
      <c r="P703" s="5"/>
      <c r="Q703" s="5"/>
      <c r="R703" s="5"/>
      <c r="S703" s="5"/>
      <c r="T703" s="5"/>
      <c r="U703" s="5"/>
      <c r="V703" s="5"/>
      <c r="W703" s="5"/>
    </row>
    <row r="704" spans="1:23" ht="16" x14ac:dyDescent="0.2">
      <c r="A704" s="5"/>
      <c r="B704" s="6"/>
      <c r="C704" s="6"/>
      <c r="D704" s="6"/>
      <c r="E704" s="6"/>
      <c r="F704" s="5"/>
      <c r="G704" s="5"/>
      <c r="H704" s="5"/>
      <c r="I704" s="5"/>
      <c r="J704" s="5"/>
      <c r="K704" s="5"/>
      <c r="L704" s="5"/>
      <c r="M704" s="5"/>
      <c r="N704" s="5"/>
      <c r="O704" s="5"/>
      <c r="P704" s="5"/>
      <c r="Q704" s="5"/>
      <c r="R704" s="5"/>
      <c r="S704" s="5"/>
      <c r="T704" s="5"/>
      <c r="U704" s="5"/>
      <c r="V704" s="5"/>
      <c r="W704" s="5"/>
    </row>
    <row r="705" spans="1:23" ht="16" x14ac:dyDescent="0.2">
      <c r="A705" s="5"/>
      <c r="B705" s="6"/>
      <c r="C705" s="6"/>
      <c r="D705" s="6"/>
      <c r="E705" s="6"/>
      <c r="F705" s="5"/>
      <c r="G705" s="5"/>
      <c r="H705" s="5"/>
      <c r="I705" s="5"/>
      <c r="J705" s="5"/>
      <c r="K705" s="5"/>
      <c r="L705" s="5"/>
      <c r="M705" s="5"/>
      <c r="N705" s="5"/>
      <c r="O705" s="5"/>
      <c r="P705" s="5"/>
      <c r="Q705" s="5"/>
      <c r="R705" s="5"/>
      <c r="S705" s="5"/>
      <c r="T705" s="5"/>
      <c r="U705" s="5"/>
      <c r="V705" s="5"/>
      <c r="W705" s="5"/>
    </row>
    <row r="706" spans="1:23" ht="16" x14ac:dyDescent="0.2">
      <c r="A706" s="5"/>
      <c r="B706" s="6"/>
      <c r="C706" s="6"/>
      <c r="D706" s="6"/>
      <c r="E706" s="6"/>
      <c r="F706" s="5"/>
      <c r="G706" s="5"/>
      <c r="H706" s="5"/>
      <c r="I706" s="5"/>
      <c r="J706" s="5"/>
      <c r="K706" s="5"/>
      <c r="L706" s="5"/>
      <c r="M706" s="5"/>
      <c r="N706" s="5"/>
      <c r="O706" s="5"/>
      <c r="P706" s="5"/>
      <c r="Q706" s="5"/>
      <c r="R706" s="5"/>
      <c r="S706" s="5"/>
      <c r="T706" s="5"/>
      <c r="U706" s="5"/>
      <c r="V706" s="5"/>
      <c r="W706" s="5"/>
    </row>
    <row r="707" spans="1:23" ht="16" x14ac:dyDescent="0.2">
      <c r="A707" s="5"/>
      <c r="B707" s="6"/>
      <c r="C707" s="6"/>
      <c r="D707" s="6"/>
      <c r="E707" s="6"/>
      <c r="F707" s="5"/>
      <c r="G707" s="5"/>
      <c r="H707" s="5"/>
      <c r="I707" s="5"/>
      <c r="J707" s="5"/>
      <c r="K707" s="5"/>
      <c r="L707" s="5"/>
      <c r="M707" s="5"/>
      <c r="N707" s="5"/>
      <c r="O707" s="5"/>
      <c r="P707" s="5"/>
      <c r="Q707" s="5"/>
      <c r="R707" s="5"/>
      <c r="S707" s="5"/>
      <c r="T707" s="5"/>
      <c r="U707" s="5"/>
      <c r="V707" s="5"/>
      <c r="W707" s="5"/>
    </row>
    <row r="708" spans="1:23" ht="16" x14ac:dyDescent="0.2">
      <c r="A708" s="5"/>
      <c r="B708" s="6"/>
      <c r="C708" s="6"/>
      <c r="D708" s="6"/>
      <c r="E708" s="6"/>
      <c r="F708" s="5"/>
      <c r="G708" s="5"/>
      <c r="H708" s="5"/>
      <c r="I708" s="5"/>
      <c r="J708" s="5"/>
      <c r="K708" s="5"/>
      <c r="L708" s="5"/>
      <c r="M708" s="5"/>
      <c r="N708" s="5"/>
      <c r="O708" s="5"/>
      <c r="P708" s="5"/>
      <c r="Q708" s="5"/>
      <c r="R708" s="5"/>
      <c r="S708" s="5"/>
      <c r="T708" s="5"/>
      <c r="U708" s="5"/>
      <c r="V708" s="5"/>
      <c r="W708" s="5"/>
    </row>
    <row r="709" spans="1:23" ht="16" x14ac:dyDescent="0.2">
      <c r="A709" s="5"/>
      <c r="B709" s="6"/>
      <c r="C709" s="6"/>
      <c r="D709" s="6"/>
      <c r="E709" s="6"/>
      <c r="F709" s="5"/>
      <c r="G709" s="5"/>
      <c r="H709" s="5"/>
      <c r="I709" s="5"/>
      <c r="J709" s="5"/>
      <c r="K709" s="5"/>
      <c r="L709" s="5"/>
      <c r="M709" s="5"/>
      <c r="N709" s="5"/>
      <c r="O709" s="5"/>
      <c r="P709" s="5"/>
      <c r="Q709" s="5"/>
      <c r="R709" s="5"/>
      <c r="S709" s="5"/>
      <c r="T709" s="5"/>
      <c r="U709" s="5"/>
      <c r="V709" s="5"/>
      <c r="W709" s="5"/>
    </row>
    <row r="710" spans="1:23" ht="16" x14ac:dyDescent="0.2">
      <c r="A710" s="5"/>
      <c r="B710" s="6"/>
      <c r="C710" s="6"/>
      <c r="D710" s="6"/>
      <c r="E710" s="6"/>
      <c r="F710" s="5"/>
      <c r="G710" s="5"/>
      <c r="H710" s="5"/>
      <c r="I710" s="5"/>
      <c r="J710" s="5"/>
      <c r="K710" s="5"/>
      <c r="L710" s="5"/>
      <c r="M710" s="5"/>
      <c r="N710" s="5"/>
      <c r="O710" s="5"/>
      <c r="P710" s="5"/>
      <c r="Q710" s="5"/>
      <c r="R710" s="5"/>
      <c r="S710" s="5"/>
      <c r="T710" s="5"/>
      <c r="U710" s="5"/>
      <c r="V710" s="5"/>
      <c r="W710" s="5"/>
    </row>
    <row r="711" spans="1:23" ht="16" x14ac:dyDescent="0.2">
      <c r="A711" s="5"/>
      <c r="B711" s="6"/>
      <c r="C711" s="6"/>
      <c r="D711" s="6"/>
      <c r="E711" s="6"/>
      <c r="F711" s="5"/>
      <c r="G711" s="5"/>
      <c r="H711" s="5"/>
      <c r="I711" s="5"/>
      <c r="J711" s="5"/>
      <c r="K711" s="5"/>
      <c r="L711" s="5"/>
      <c r="M711" s="5"/>
      <c r="N711" s="5"/>
      <c r="O711" s="5"/>
      <c r="P711" s="5"/>
      <c r="Q711" s="5"/>
      <c r="R711" s="5"/>
      <c r="S711" s="5"/>
      <c r="T711" s="5"/>
      <c r="U711" s="5"/>
      <c r="V711" s="5"/>
      <c r="W711" s="5"/>
    </row>
    <row r="712" spans="1:23" ht="16" x14ac:dyDescent="0.2">
      <c r="A712" s="5"/>
      <c r="B712" s="6"/>
      <c r="C712" s="6"/>
      <c r="D712" s="6"/>
      <c r="E712" s="6"/>
      <c r="F712" s="5"/>
      <c r="G712" s="5"/>
      <c r="H712" s="5"/>
      <c r="I712" s="5"/>
      <c r="J712" s="5"/>
      <c r="K712" s="5"/>
      <c r="L712" s="5"/>
      <c r="M712" s="5"/>
      <c r="N712" s="5"/>
      <c r="O712" s="5"/>
      <c r="P712" s="5"/>
      <c r="Q712" s="5"/>
      <c r="R712" s="5"/>
      <c r="S712" s="5"/>
      <c r="T712" s="5"/>
      <c r="U712" s="5"/>
      <c r="V712" s="5"/>
      <c r="W712" s="5"/>
    </row>
    <row r="713" spans="1:23" ht="16" x14ac:dyDescent="0.2">
      <c r="A713" s="5"/>
      <c r="B713" s="6"/>
      <c r="C713" s="6"/>
      <c r="D713" s="6"/>
      <c r="E713" s="6"/>
      <c r="F713" s="5"/>
      <c r="G713" s="5"/>
      <c r="H713" s="5"/>
      <c r="I713" s="5"/>
      <c r="J713" s="5"/>
      <c r="K713" s="5"/>
      <c r="L713" s="5"/>
      <c r="M713" s="5"/>
      <c r="N713" s="5"/>
      <c r="O713" s="5"/>
      <c r="P713" s="5"/>
      <c r="Q713" s="5"/>
      <c r="R713" s="5"/>
      <c r="S713" s="5"/>
      <c r="T713" s="5"/>
      <c r="U713" s="5"/>
      <c r="V713" s="5"/>
      <c r="W713" s="5"/>
    </row>
    <row r="714" spans="1:23" ht="16" x14ac:dyDescent="0.2">
      <c r="A714" s="5"/>
      <c r="B714" s="6"/>
      <c r="C714" s="6"/>
      <c r="D714" s="6"/>
      <c r="E714" s="6"/>
      <c r="F714" s="5"/>
      <c r="G714" s="5"/>
      <c r="H714" s="5"/>
      <c r="I714" s="5"/>
      <c r="J714" s="5"/>
      <c r="K714" s="5"/>
      <c r="L714" s="5"/>
      <c r="M714" s="5"/>
      <c r="N714" s="5"/>
      <c r="O714" s="5"/>
      <c r="P714" s="5"/>
      <c r="Q714" s="5"/>
      <c r="R714" s="5"/>
      <c r="S714" s="5"/>
      <c r="T714" s="5"/>
      <c r="U714" s="5"/>
      <c r="V714" s="5"/>
      <c r="W714" s="5"/>
    </row>
    <row r="715" spans="1:23" ht="16" x14ac:dyDescent="0.2">
      <c r="A715" s="5"/>
      <c r="B715" s="6"/>
      <c r="C715" s="6"/>
      <c r="D715" s="6"/>
      <c r="E715" s="6"/>
      <c r="F715" s="5"/>
      <c r="G715" s="5"/>
      <c r="H715" s="5"/>
      <c r="I715" s="5"/>
      <c r="J715" s="5"/>
      <c r="K715" s="5"/>
      <c r="L715" s="5"/>
      <c r="M715" s="5"/>
      <c r="N715" s="5"/>
      <c r="O715" s="5"/>
      <c r="P715" s="5"/>
      <c r="Q715" s="5"/>
      <c r="R715" s="5"/>
      <c r="S715" s="5"/>
      <c r="T715" s="5"/>
      <c r="U715" s="5"/>
      <c r="V715" s="5"/>
      <c r="W715" s="5"/>
    </row>
    <row r="716" spans="1:23" ht="16" x14ac:dyDescent="0.2">
      <c r="A716" s="5"/>
      <c r="B716" s="6"/>
      <c r="C716" s="6"/>
      <c r="D716" s="6"/>
      <c r="E716" s="6"/>
      <c r="F716" s="5"/>
      <c r="G716" s="5"/>
      <c r="H716" s="5"/>
      <c r="I716" s="5"/>
      <c r="J716" s="5"/>
      <c r="K716" s="5"/>
      <c r="L716" s="5"/>
      <c r="M716" s="5"/>
      <c r="N716" s="5"/>
      <c r="O716" s="5"/>
      <c r="P716" s="5"/>
      <c r="Q716" s="5"/>
      <c r="R716" s="5"/>
      <c r="S716" s="5"/>
      <c r="T716" s="5"/>
      <c r="U716" s="5"/>
      <c r="V716" s="5"/>
      <c r="W716" s="5"/>
    </row>
    <row r="717" spans="1:23" ht="16" x14ac:dyDescent="0.2">
      <c r="A717" s="5"/>
      <c r="B717" s="6"/>
      <c r="C717" s="6"/>
      <c r="D717" s="6"/>
      <c r="E717" s="6"/>
      <c r="F717" s="5"/>
      <c r="G717" s="5"/>
      <c r="H717" s="5"/>
      <c r="I717" s="5"/>
      <c r="J717" s="5"/>
      <c r="K717" s="5"/>
      <c r="L717" s="5"/>
      <c r="M717" s="5"/>
      <c r="N717" s="5"/>
      <c r="O717" s="5"/>
      <c r="P717" s="5"/>
      <c r="Q717" s="5"/>
      <c r="R717" s="5"/>
      <c r="S717" s="5"/>
      <c r="T717" s="5"/>
      <c r="U717" s="5"/>
      <c r="V717" s="5"/>
      <c r="W717" s="5"/>
    </row>
    <row r="718" spans="1:23" ht="16" x14ac:dyDescent="0.2">
      <c r="A718" s="5"/>
      <c r="B718" s="6"/>
      <c r="C718" s="6"/>
      <c r="D718" s="6"/>
      <c r="E718" s="6"/>
      <c r="F718" s="5"/>
      <c r="G718" s="5"/>
      <c r="H718" s="5"/>
      <c r="I718" s="5"/>
      <c r="J718" s="5"/>
      <c r="K718" s="5"/>
      <c r="L718" s="5"/>
      <c r="M718" s="5"/>
      <c r="N718" s="5"/>
      <c r="O718" s="5"/>
      <c r="P718" s="5"/>
      <c r="Q718" s="5"/>
      <c r="R718" s="5"/>
      <c r="S718" s="5"/>
      <c r="T718" s="5"/>
      <c r="U718" s="5"/>
      <c r="V718" s="5"/>
      <c r="W718" s="5"/>
    </row>
    <row r="719" spans="1:23" ht="16" x14ac:dyDescent="0.2">
      <c r="A719" s="5"/>
      <c r="B719" s="6"/>
      <c r="C719" s="6"/>
      <c r="D719" s="6"/>
      <c r="E719" s="6"/>
      <c r="F719" s="5"/>
      <c r="G719" s="5"/>
      <c r="H719" s="5"/>
      <c r="I719" s="5"/>
      <c r="J719" s="5"/>
      <c r="K719" s="5"/>
      <c r="L719" s="5"/>
      <c r="M719" s="5"/>
      <c r="N719" s="5"/>
      <c r="O719" s="5"/>
      <c r="P719" s="5"/>
      <c r="Q719" s="5"/>
      <c r="R719" s="5"/>
      <c r="S719" s="5"/>
      <c r="T719" s="5"/>
      <c r="U719" s="5"/>
      <c r="V719" s="5"/>
      <c r="W719" s="5"/>
    </row>
    <row r="720" spans="1:23" ht="16" x14ac:dyDescent="0.2">
      <c r="A720" s="5"/>
      <c r="B720" s="6"/>
      <c r="C720" s="6"/>
      <c r="D720" s="6"/>
      <c r="E720" s="6"/>
      <c r="F720" s="5"/>
      <c r="G720" s="5"/>
      <c r="H720" s="5"/>
      <c r="I720" s="5"/>
      <c r="J720" s="5"/>
      <c r="K720" s="5"/>
      <c r="L720" s="5"/>
      <c r="M720" s="5"/>
      <c r="N720" s="5"/>
      <c r="O720" s="5"/>
      <c r="P720" s="5"/>
      <c r="Q720" s="5"/>
      <c r="R720" s="5"/>
      <c r="S720" s="5"/>
      <c r="T720" s="5"/>
      <c r="U720" s="5"/>
      <c r="V720" s="5"/>
      <c r="W720" s="5"/>
    </row>
    <row r="721" spans="1:23" ht="16" x14ac:dyDescent="0.2">
      <c r="A721" s="5"/>
      <c r="B721" s="6"/>
      <c r="C721" s="6"/>
      <c r="D721" s="6"/>
      <c r="E721" s="6"/>
      <c r="F721" s="5"/>
      <c r="G721" s="5"/>
      <c r="H721" s="5"/>
      <c r="I721" s="5"/>
      <c r="J721" s="5"/>
      <c r="K721" s="5"/>
      <c r="L721" s="5"/>
      <c r="M721" s="5"/>
      <c r="N721" s="5"/>
      <c r="O721" s="5"/>
      <c r="P721" s="5"/>
      <c r="Q721" s="5"/>
      <c r="R721" s="5"/>
      <c r="S721" s="5"/>
      <c r="T721" s="5"/>
      <c r="U721" s="5"/>
      <c r="V721" s="5"/>
      <c r="W721" s="5"/>
    </row>
    <row r="722" spans="1:23" ht="16" x14ac:dyDescent="0.2">
      <c r="A722" s="5"/>
      <c r="B722" s="6"/>
      <c r="C722" s="6"/>
      <c r="D722" s="6"/>
      <c r="E722" s="6"/>
      <c r="F722" s="5"/>
      <c r="G722" s="5"/>
      <c r="H722" s="5"/>
      <c r="I722" s="5"/>
      <c r="J722" s="5"/>
      <c r="K722" s="5"/>
      <c r="L722" s="5"/>
      <c r="M722" s="5"/>
      <c r="N722" s="5"/>
      <c r="O722" s="5"/>
      <c r="P722" s="5"/>
      <c r="Q722" s="5"/>
      <c r="R722" s="5"/>
      <c r="S722" s="5"/>
      <c r="T722" s="5"/>
      <c r="U722" s="5"/>
      <c r="V722" s="5"/>
      <c r="W722" s="5"/>
    </row>
    <row r="723" spans="1:23" ht="16" x14ac:dyDescent="0.2">
      <c r="A723" s="5"/>
      <c r="B723" s="6"/>
      <c r="C723" s="6"/>
      <c r="D723" s="6"/>
      <c r="E723" s="6"/>
      <c r="F723" s="5"/>
      <c r="G723" s="5"/>
      <c r="H723" s="5"/>
      <c r="I723" s="5"/>
      <c r="J723" s="5"/>
      <c r="K723" s="5"/>
      <c r="L723" s="5"/>
      <c r="M723" s="5"/>
      <c r="N723" s="5"/>
      <c r="O723" s="5"/>
      <c r="P723" s="5"/>
      <c r="Q723" s="5"/>
      <c r="R723" s="5"/>
      <c r="S723" s="5"/>
      <c r="T723" s="5"/>
      <c r="U723" s="5"/>
      <c r="V723" s="5"/>
      <c r="W723" s="5"/>
    </row>
    <row r="724" spans="1:23" ht="16" x14ac:dyDescent="0.2">
      <c r="A724" s="5"/>
      <c r="B724" s="6"/>
      <c r="C724" s="6"/>
      <c r="D724" s="6"/>
      <c r="E724" s="6"/>
      <c r="F724" s="5"/>
      <c r="G724" s="5"/>
      <c r="H724" s="5"/>
      <c r="I724" s="5"/>
      <c r="J724" s="5"/>
      <c r="K724" s="5"/>
      <c r="L724" s="5"/>
      <c r="M724" s="5"/>
      <c r="N724" s="5"/>
      <c r="O724" s="5"/>
      <c r="P724" s="5"/>
      <c r="Q724" s="5"/>
      <c r="R724" s="5"/>
      <c r="S724" s="5"/>
      <c r="T724" s="5"/>
      <c r="U724" s="5"/>
      <c r="V724" s="5"/>
      <c r="W724" s="5"/>
    </row>
    <row r="725" spans="1:23" ht="16" x14ac:dyDescent="0.2">
      <c r="A725" s="5"/>
      <c r="B725" s="6"/>
      <c r="C725" s="6"/>
      <c r="D725" s="6"/>
      <c r="E725" s="6"/>
      <c r="F725" s="5"/>
      <c r="G725" s="5"/>
      <c r="H725" s="5"/>
      <c r="I725" s="5"/>
      <c r="J725" s="5"/>
      <c r="K725" s="5"/>
      <c r="L725" s="5"/>
      <c r="M725" s="5"/>
      <c r="N725" s="5"/>
      <c r="O725" s="5"/>
      <c r="P725" s="5"/>
      <c r="Q725" s="5"/>
      <c r="R725" s="5"/>
      <c r="S725" s="5"/>
      <c r="T725" s="5"/>
      <c r="U725" s="5"/>
      <c r="V725" s="5"/>
      <c r="W725" s="5"/>
    </row>
    <row r="726" spans="1:23" ht="16" x14ac:dyDescent="0.2">
      <c r="A726" s="5"/>
      <c r="B726" s="6"/>
      <c r="C726" s="6"/>
      <c r="D726" s="6"/>
      <c r="E726" s="6"/>
      <c r="F726" s="5"/>
      <c r="G726" s="5"/>
      <c r="H726" s="5"/>
      <c r="I726" s="5"/>
      <c r="J726" s="5"/>
      <c r="K726" s="5"/>
      <c r="L726" s="5"/>
      <c r="M726" s="5"/>
      <c r="N726" s="5"/>
      <c r="O726" s="5"/>
      <c r="P726" s="5"/>
      <c r="Q726" s="5"/>
      <c r="R726" s="5"/>
      <c r="S726" s="5"/>
      <c r="T726" s="5"/>
      <c r="U726" s="5"/>
      <c r="V726" s="5"/>
      <c r="W726" s="5"/>
    </row>
    <row r="727" spans="1:23" ht="16" x14ac:dyDescent="0.2">
      <c r="A727" s="5"/>
      <c r="B727" s="6"/>
      <c r="C727" s="6"/>
      <c r="D727" s="6"/>
      <c r="E727" s="6"/>
      <c r="F727" s="5"/>
      <c r="G727" s="5"/>
      <c r="H727" s="5"/>
      <c r="I727" s="5"/>
      <c r="J727" s="5"/>
      <c r="K727" s="5"/>
      <c r="L727" s="5"/>
      <c r="M727" s="5"/>
      <c r="N727" s="5"/>
      <c r="O727" s="5"/>
      <c r="P727" s="5"/>
      <c r="Q727" s="5"/>
      <c r="R727" s="5"/>
      <c r="S727" s="5"/>
      <c r="T727" s="5"/>
      <c r="U727" s="5"/>
      <c r="V727" s="5"/>
      <c r="W727" s="5"/>
    </row>
    <row r="728" spans="1:23" ht="16" x14ac:dyDescent="0.2">
      <c r="A728" s="5"/>
      <c r="B728" s="6"/>
      <c r="C728" s="6"/>
      <c r="D728" s="6"/>
      <c r="E728" s="6"/>
      <c r="F728" s="5"/>
      <c r="G728" s="5"/>
      <c r="H728" s="5"/>
      <c r="I728" s="5"/>
      <c r="J728" s="5"/>
      <c r="K728" s="5"/>
      <c r="L728" s="5"/>
      <c r="M728" s="5"/>
      <c r="N728" s="5"/>
      <c r="O728" s="5"/>
      <c r="P728" s="5"/>
      <c r="Q728" s="5"/>
      <c r="R728" s="5"/>
      <c r="S728" s="5"/>
      <c r="T728" s="5"/>
      <c r="U728" s="5"/>
      <c r="V728" s="5"/>
      <c r="W728" s="5"/>
    </row>
    <row r="729" spans="1:23" ht="16" x14ac:dyDescent="0.2">
      <c r="A729" s="5"/>
      <c r="B729" s="6"/>
      <c r="C729" s="6"/>
      <c r="D729" s="6"/>
      <c r="E729" s="6"/>
      <c r="F729" s="5"/>
      <c r="G729" s="5"/>
      <c r="H729" s="5"/>
      <c r="I729" s="5"/>
      <c r="J729" s="5"/>
      <c r="K729" s="5"/>
      <c r="L729" s="5"/>
      <c r="M729" s="5"/>
      <c r="N729" s="5"/>
      <c r="O729" s="5"/>
      <c r="P729" s="5"/>
      <c r="Q729" s="5"/>
      <c r="R729" s="5"/>
      <c r="S729" s="5"/>
      <c r="T729" s="5"/>
      <c r="U729" s="5"/>
      <c r="V729" s="5"/>
      <c r="W729" s="5"/>
    </row>
    <row r="730" spans="1:23" ht="16" x14ac:dyDescent="0.2">
      <c r="A730" s="5"/>
      <c r="B730" s="6"/>
      <c r="C730" s="6"/>
      <c r="D730" s="6"/>
      <c r="E730" s="6"/>
      <c r="F730" s="5"/>
      <c r="G730" s="5"/>
      <c r="H730" s="5"/>
      <c r="I730" s="5"/>
      <c r="J730" s="5"/>
      <c r="K730" s="5"/>
      <c r="L730" s="5"/>
      <c r="M730" s="5"/>
      <c r="N730" s="5"/>
      <c r="O730" s="5"/>
      <c r="P730" s="5"/>
      <c r="Q730" s="5"/>
      <c r="R730" s="5"/>
      <c r="S730" s="5"/>
      <c r="T730" s="5"/>
      <c r="U730" s="5"/>
      <c r="V730" s="5"/>
      <c r="W730" s="5"/>
    </row>
    <row r="731" spans="1:23" ht="16" x14ac:dyDescent="0.2">
      <c r="A731" s="5"/>
      <c r="B731" s="6"/>
      <c r="C731" s="6"/>
      <c r="D731" s="6"/>
      <c r="E731" s="6"/>
      <c r="F731" s="5"/>
      <c r="G731" s="5"/>
      <c r="H731" s="5"/>
      <c r="I731" s="5"/>
      <c r="J731" s="5"/>
      <c r="K731" s="5"/>
      <c r="L731" s="5"/>
      <c r="M731" s="5"/>
      <c r="N731" s="5"/>
      <c r="O731" s="5"/>
      <c r="P731" s="5"/>
      <c r="Q731" s="5"/>
      <c r="R731" s="5"/>
      <c r="S731" s="5"/>
      <c r="T731" s="5"/>
      <c r="U731" s="5"/>
      <c r="V731" s="5"/>
      <c r="W731" s="5"/>
    </row>
    <row r="732" spans="1:23" ht="16" x14ac:dyDescent="0.2">
      <c r="A732" s="5"/>
      <c r="B732" s="6"/>
      <c r="C732" s="6"/>
      <c r="D732" s="6"/>
      <c r="E732" s="6"/>
      <c r="F732" s="5"/>
      <c r="G732" s="5"/>
      <c r="H732" s="5"/>
      <c r="I732" s="5"/>
      <c r="J732" s="5"/>
      <c r="K732" s="5"/>
      <c r="L732" s="5"/>
      <c r="M732" s="5"/>
      <c r="N732" s="5"/>
      <c r="O732" s="5"/>
      <c r="P732" s="5"/>
      <c r="Q732" s="5"/>
      <c r="R732" s="5"/>
      <c r="S732" s="5"/>
      <c r="T732" s="5"/>
      <c r="U732" s="5"/>
      <c r="V732" s="5"/>
      <c r="W732" s="5"/>
    </row>
    <row r="733" spans="1:23" ht="16" x14ac:dyDescent="0.2">
      <c r="A733" s="5"/>
      <c r="B733" s="6"/>
      <c r="C733" s="6"/>
      <c r="D733" s="6"/>
      <c r="E733" s="6"/>
      <c r="F733" s="5"/>
      <c r="G733" s="5"/>
      <c r="H733" s="5"/>
      <c r="I733" s="5"/>
      <c r="J733" s="5"/>
      <c r="K733" s="5"/>
      <c r="L733" s="5"/>
      <c r="M733" s="5"/>
      <c r="N733" s="5"/>
      <c r="O733" s="5"/>
      <c r="P733" s="5"/>
      <c r="Q733" s="5"/>
      <c r="R733" s="5"/>
      <c r="S733" s="5"/>
      <c r="T733" s="5"/>
      <c r="U733" s="5"/>
      <c r="V733" s="5"/>
      <c r="W733" s="5"/>
    </row>
    <row r="734" spans="1:23" ht="16" x14ac:dyDescent="0.2">
      <c r="A734" s="5"/>
      <c r="B734" s="6"/>
      <c r="C734" s="6"/>
      <c r="D734" s="6"/>
      <c r="E734" s="6"/>
      <c r="F734" s="5"/>
      <c r="G734" s="5"/>
      <c r="H734" s="5"/>
      <c r="I734" s="5"/>
      <c r="J734" s="5"/>
      <c r="K734" s="5"/>
      <c r="L734" s="5"/>
      <c r="M734" s="5"/>
      <c r="N734" s="5"/>
      <c r="O734" s="5"/>
      <c r="P734" s="5"/>
      <c r="Q734" s="5"/>
      <c r="R734" s="5"/>
      <c r="S734" s="5"/>
      <c r="T734" s="5"/>
      <c r="U734" s="5"/>
      <c r="V734" s="5"/>
      <c r="W734" s="5"/>
    </row>
    <row r="735" spans="1:23" ht="16" x14ac:dyDescent="0.2">
      <c r="A735" s="5"/>
      <c r="B735" s="6"/>
      <c r="C735" s="6"/>
      <c r="D735" s="6"/>
      <c r="E735" s="6"/>
      <c r="F735" s="5"/>
      <c r="G735" s="5"/>
      <c r="H735" s="5"/>
      <c r="I735" s="5"/>
      <c r="J735" s="5"/>
      <c r="K735" s="5"/>
      <c r="L735" s="5"/>
      <c r="M735" s="5"/>
      <c r="N735" s="5"/>
      <c r="O735" s="5"/>
      <c r="P735" s="5"/>
      <c r="Q735" s="5"/>
      <c r="R735" s="5"/>
      <c r="S735" s="5"/>
      <c r="T735" s="5"/>
      <c r="U735" s="5"/>
      <c r="V735" s="5"/>
      <c r="W735" s="5"/>
    </row>
    <row r="736" spans="1:23" ht="16" x14ac:dyDescent="0.2">
      <c r="A736" s="5"/>
      <c r="B736" s="6"/>
      <c r="C736" s="6"/>
      <c r="D736" s="6"/>
      <c r="E736" s="6"/>
      <c r="F736" s="5"/>
      <c r="G736" s="5"/>
      <c r="H736" s="5"/>
      <c r="I736" s="5"/>
      <c r="J736" s="5"/>
      <c r="K736" s="5"/>
      <c r="L736" s="5"/>
      <c r="M736" s="5"/>
      <c r="N736" s="5"/>
      <c r="O736" s="5"/>
      <c r="P736" s="5"/>
      <c r="Q736" s="5"/>
      <c r="R736" s="5"/>
      <c r="S736" s="5"/>
      <c r="T736" s="5"/>
      <c r="U736" s="5"/>
      <c r="V736" s="5"/>
      <c r="W736" s="5"/>
    </row>
    <row r="737" spans="1:23" ht="16" x14ac:dyDescent="0.2">
      <c r="A737" s="5"/>
      <c r="B737" s="6"/>
      <c r="C737" s="6"/>
      <c r="D737" s="6"/>
      <c r="E737" s="6"/>
      <c r="F737" s="5"/>
      <c r="G737" s="5"/>
      <c r="H737" s="5"/>
      <c r="I737" s="5"/>
      <c r="J737" s="5"/>
      <c r="K737" s="5"/>
      <c r="L737" s="5"/>
      <c r="M737" s="5"/>
      <c r="N737" s="5"/>
      <c r="O737" s="5"/>
      <c r="P737" s="5"/>
      <c r="Q737" s="5"/>
      <c r="R737" s="5"/>
      <c r="S737" s="5"/>
      <c r="T737" s="5"/>
      <c r="U737" s="5"/>
      <c r="V737" s="5"/>
      <c r="W737" s="5"/>
    </row>
    <row r="738" spans="1:23" ht="16" x14ac:dyDescent="0.2">
      <c r="A738" s="5"/>
      <c r="B738" s="6"/>
      <c r="C738" s="6"/>
      <c r="D738" s="6"/>
      <c r="E738" s="6"/>
      <c r="F738" s="5"/>
      <c r="G738" s="5"/>
      <c r="H738" s="5"/>
      <c r="I738" s="5"/>
      <c r="J738" s="5"/>
      <c r="K738" s="5"/>
      <c r="L738" s="5"/>
      <c r="M738" s="5"/>
      <c r="N738" s="5"/>
      <c r="O738" s="5"/>
      <c r="P738" s="5"/>
      <c r="Q738" s="5"/>
      <c r="R738" s="5"/>
      <c r="S738" s="5"/>
      <c r="T738" s="5"/>
      <c r="U738" s="5"/>
      <c r="V738" s="5"/>
      <c r="W738" s="5"/>
    </row>
    <row r="739" spans="1:23" ht="16" x14ac:dyDescent="0.2">
      <c r="A739" s="5"/>
      <c r="B739" s="6"/>
      <c r="C739" s="6"/>
      <c r="D739" s="6"/>
      <c r="E739" s="6"/>
      <c r="F739" s="5"/>
      <c r="G739" s="5"/>
      <c r="H739" s="5"/>
      <c r="I739" s="5"/>
      <c r="J739" s="5"/>
      <c r="K739" s="5"/>
      <c r="L739" s="5"/>
      <c r="M739" s="5"/>
      <c r="N739" s="5"/>
      <c r="O739" s="5"/>
      <c r="P739" s="5"/>
      <c r="Q739" s="5"/>
      <c r="R739" s="5"/>
      <c r="S739" s="5"/>
      <c r="T739" s="5"/>
      <c r="U739" s="5"/>
      <c r="V739" s="5"/>
      <c r="W739" s="5"/>
    </row>
    <row r="740" spans="1:23" ht="16" x14ac:dyDescent="0.2">
      <c r="A740" s="5"/>
      <c r="B740" s="6"/>
      <c r="C740" s="6"/>
      <c r="D740" s="6"/>
      <c r="E740" s="6"/>
      <c r="F740" s="5"/>
      <c r="G740" s="5"/>
      <c r="H740" s="5"/>
      <c r="I740" s="5"/>
      <c r="J740" s="5"/>
      <c r="K740" s="5"/>
      <c r="L740" s="5"/>
      <c r="M740" s="5"/>
      <c r="N740" s="5"/>
      <c r="O740" s="5"/>
      <c r="P740" s="5"/>
      <c r="Q740" s="5"/>
      <c r="R740" s="5"/>
      <c r="S740" s="5"/>
      <c r="T740" s="5"/>
      <c r="U740" s="5"/>
      <c r="V740" s="5"/>
      <c r="W740" s="5"/>
    </row>
    <row r="741" spans="1:23" ht="16" x14ac:dyDescent="0.2">
      <c r="A741" s="5"/>
      <c r="B741" s="6"/>
      <c r="C741" s="6"/>
      <c r="D741" s="6"/>
      <c r="E741" s="6"/>
      <c r="F741" s="5"/>
      <c r="G741" s="5"/>
      <c r="H741" s="5"/>
      <c r="I741" s="5"/>
      <c r="J741" s="5"/>
      <c r="K741" s="5"/>
      <c r="L741" s="5"/>
      <c r="M741" s="5"/>
      <c r="N741" s="5"/>
      <c r="O741" s="5"/>
      <c r="P741" s="5"/>
      <c r="Q741" s="5"/>
      <c r="R741" s="5"/>
      <c r="S741" s="5"/>
      <c r="T741" s="5"/>
      <c r="U741" s="5"/>
      <c r="V741" s="5"/>
      <c r="W741" s="5"/>
    </row>
    <row r="742" spans="1:23" ht="16" x14ac:dyDescent="0.2">
      <c r="A742" s="5"/>
      <c r="B742" s="6"/>
      <c r="C742" s="6"/>
      <c r="D742" s="6"/>
      <c r="E742" s="6"/>
      <c r="F742" s="5"/>
      <c r="G742" s="5"/>
      <c r="H742" s="5"/>
      <c r="I742" s="5"/>
      <c r="J742" s="5"/>
      <c r="K742" s="5"/>
      <c r="L742" s="5"/>
      <c r="M742" s="5"/>
      <c r="N742" s="5"/>
      <c r="O742" s="5"/>
      <c r="P742" s="5"/>
      <c r="Q742" s="5"/>
      <c r="R742" s="5"/>
      <c r="S742" s="5"/>
      <c r="T742" s="5"/>
      <c r="U742" s="5"/>
      <c r="V742" s="5"/>
      <c r="W742" s="5"/>
    </row>
    <row r="743" spans="1:23" ht="16" x14ac:dyDescent="0.2">
      <c r="A743" s="5"/>
      <c r="B743" s="6"/>
      <c r="C743" s="6"/>
      <c r="D743" s="6"/>
      <c r="E743" s="6"/>
      <c r="F743" s="5"/>
      <c r="G743" s="5"/>
      <c r="H743" s="5"/>
      <c r="I743" s="5"/>
      <c r="J743" s="5"/>
      <c r="K743" s="5"/>
      <c r="L743" s="5"/>
      <c r="M743" s="5"/>
      <c r="N743" s="5"/>
      <c r="O743" s="5"/>
      <c r="P743" s="5"/>
      <c r="Q743" s="5"/>
      <c r="R743" s="5"/>
      <c r="S743" s="5"/>
      <c r="T743" s="5"/>
      <c r="U743" s="5"/>
      <c r="V743" s="5"/>
      <c r="W743" s="5"/>
    </row>
    <row r="744" spans="1:23" ht="16" x14ac:dyDescent="0.2">
      <c r="A744" s="5"/>
      <c r="B744" s="6"/>
      <c r="C744" s="6"/>
      <c r="D744" s="6"/>
      <c r="E744" s="6"/>
      <c r="F744" s="5"/>
      <c r="G744" s="5"/>
      <c r="H744" s="5"/>
      <c r="I744" s="5"/>
      <c r="J744" s="5"/>
      <c r="K744" s="5"/>
      <c r="L744" s="5"/>
      <c r="M744" s="5"/>
      <c r="N744" s="5"/>
      <c r="O744" s="5"/>
      <c r="P744" s="5"/>
      <c r="Q744" s="5"/>
      <c r="R744" s="5"/>
      <c r="S744" s="5"/>
      <c r="T744" s="5"/>
      <c r="U744" s="5"/>
      <c r="V744" s="5"/>
      <c r="W744" s="5"/>
    </row>
    <row r="745" spans="1:23" ht="16" x14ac:dyDescent="0.2">
      <c r="A745" s="5"/>
      <c r="B745" s="6"/>
      <c r="C745" s="6"/>
      <c r="D745" s="6"/>
      <c r="E745" s="6"/>
      <c r="F745" s="5"/>
      <c r="G745" s="5"/>
      <c r="H745" s="5"/>
      <c r="I745" s="5"/>
      <c r="J745" s="5"/>
      <c r="K745" s="5"/>
      <c r="L745" s="5"/>
      <c r="M745" s="5"/>
      <c r="N745" s="5"/>
      <c r="O745" s="5"/>
      <c r="P745" s="5"/>
      <c r="Q745" s="5"/>
      <c r="R745" s="5"/>
      <c r="S745" s="5"/>
      <c r="T745" s="5"/>
      <c r="U745" s="5"/>
      <c r="V745" s="5"/>
      <c r="W745" s="5"/>
    </row>
    <row r="746" spans="1:23" ht="16" x14ac:dyDescent="0.2">
      <c r="A746" s="5"/>
      <c r="B746" s="6"/>
      <c r="C746" s="6"/>
      <c r="D746" s="6"/>
      <c r="E746" s="6"/>
      <c r="F746" s="5"/>
      <c r="G746" s="5"/>
      <c r="H746" s="5"/>
      <c r="I746" s="5"/>
      <c r="J746" s="5"/>
      <c r="K746" s="5"/>
      <c r="L746" s="5"/>
      <c r="M746" s="5"/>
      <c r="N746" s="5"/>
      <c r="O746" s="5"/>
      <c r="P746" s="5"/>
      <c r="Q746" s="5"/>
      <c r="R746" s="5"/>
      <c r="S746" s="5"/>
      <c r="T746" s="5"/>
      <c r="U746" s="5"/>
      <c r="V746" s="5"/>
      <c r="W746" s="5"/>
    </row>
    <row r="747" spans="1:23" ht="16" x14ac:dyDescent="0.2">
      <c r="A747" s="5"/>
      <c r="B747" s="6"/>
      <c r="C747" s="6"/>
      <c r="D747" s="6"/>
      <c r="E747" s="6"/>
      <c r="F747" s="5"/>
      <c r="G747" s="5"/>
      <c r="H747" s="5"/>
      <c r="I747" s="5"/>
      <c r="J747" s="5"/>
      <c r="K747" s="5"/>
      <c r="L747" s="5"/>
      <c r="M747" s="5"/>
      <c r="N747" s="5"/>
      <c r="O747" s="5"/>
      <c r="P747" s="5"/>
      <c r="Q747" s="5"/>
      <c r="R747" s="5"/>
      <c r="S747" s="5"/>
      <c r="T747" s="5"/>
      <c r="U747" s="5"/>
      <c r="V747" s="5"/>
      <c r="W747" s="5"/>
    </row>
    <row r="748" spans="1:23" ht="16" x14ac:dyDescent="0.2">
      <c r="A748" s="5"/>
      <c r="B748" s="6"/>
      <c r="C748" s="6"/>
      <c r="D748" s="6"/>
      <c r="E748" s="6"/>
      <c r="F748" s="5"/>
      <c r="G748" s="5"/>
      <c r="H748" s="5"/>
      <c r="I748" s="5"/>
      <c r="J748" s="5"/>
      <c r="K748" s="5"/>
      <c r="L748" s="5"/>
      <c r="M748" s="5"/>
      <c r="N748" s="5"/>
      <c r="O748" s="5"/>
      <c r="P748" s="5"/>
      <c r="Q748" s="5"/>
      <c r="R748" s="5"/>
      <c r="S748" s="5"/>
      <c r="T748" s="5"/>
      <c r="U748" s="5"/>
      <c r="V748" s="5"/>
      <c r="W748" s="5"/>
    </row>
    <row r="749" spans="1:23" ht="16" x14ac:dyDescent="0.2">
      <c r="A749" s="5"/>
      <c r="B749" s="6"/>
      <c r="C749" s="6"/>
      <c r="D749" s="6"/>
      <c r="E749" s="6"/>
      <c r="F749" s="5"/>
      <c r="G749" s="5"/>
      <c r="H749" s="5"/>
      <c r="I749" s="5"/>
      <c r="J749" s="5"/>
      <c r="K749" s="5"/>
      <c r="L749" s="5"/>
      <c r="M749" s="5"/>
      <c r="N749" s="5"/>
      <c r="O749" s="5"/>
      <c r="P749" s="5"/>
      <c r="Q749" s="5"/>
      <c r="R749" s="5"/>
      <c r="S749" s="5"/>
      <c r="T749" s="5"/>
      <c r="U749" s="5"/>
      <c r="V749" s="5"/>
      <c r="W749" s="5"/>
    </row>
    <row r="750" spans="1:23" ht="16" x14ac:dyDescent="0.2">
      <c r="A750" s="5"/>
      <c r="B750" s="6"/>
      <c r="C750" s="6"/>
      <c r="D750" s="6"/>
      <c r="E750" s="6"/>
      <c r="F750" s="5"/>
      <c r="G750" s="5"/>
      <c r="H750" s="5"/>
      <c r="I750" s="5"/>
      <c r="J750" s="5"/>
      <c r="K750" s="5"/>
      <c r="L750" s="5"/>
      <c r="M750" s="5"/>
      <c r="N750" s="5"/>
      <c r="O750" s="5"/>
      <c r="P750" s="5"/>
      <c r="Q750" s="5"/>
      <c r="R750" s="5"/>
      <c r="S750" s="5"/>
      <c r="T750" s="5"/>
      <c r="U750" s="5"/>
      <c r="V750" s="5"/>
      <c r="W750" s="5"/>
    </row>
    <row r="751" spans="1:23" ht="16" x14ac:dyDescent="0.2">
      <c r="A751" s="5"/>
      <c r="B751" s="6"/>
      <c r="C751" s="6"/>
      <c r="D751" s="6"/>
      <c r="E751" s="6"/>
      <c r="F751" s="5"/>
      <c r="G751" s="5"/>
      <c r="H751" s="5"/>
      <c r="I751" s="5"/>
      <c r="J751" s="5"/>
      <c r="K751" s="5"/>
      <c r="L751" s="5"/>
      <c r="M751" s="5"/>
      <c r="N751" s="5"/>
      <c r="O751" s="5"/>
      <c r="P751" s="5"/>
      <c r="Q751" s="5"/>
      <c r="R751" s="5"/>
      <c r="S751" s="5"/>
      <c r="T751" s="5"/>
      <c r="U751" s="5"/>
      <c r="V751" s="5"/>
      <c r="W751" s="5"/>
    </row>
    <row r="752" spans="1:23" ht="16" x14ac:dyDescent="0.2">
      <c r="A752" s="5"/>
      <c r="B752" s="6"/>
      <c r="C752" s="6"/>
      <c r="D752" s="6"/>
      <c r="E752" s="6"/>
      <c r="F752" s="5"/>
      <c r="G752" s="5"/>
      <c r="H752" s="5"/>
      <c r="I752" s="5"/>
      <c r="J752" s="5"/>
      <c r="K752" s="5"/>
      <c r="L752" s="5"/>
      <c r="M752" s="5"/>
      <c r="N752" s="5"/>
      <c r="O752" s="5"/>
      <c r="P752" s="5"/>
      <c r="Q752" s="5"/>
      <c r="R752" s="5"/>
      <c r="S752" s="5"/>
      <c r="T752" s="5"/>
      <c r="U752" s="5"/>
      <c r="V752" s="5"/>
      <c r="W752" s="5"/>
    </row>
    <row r="753" spans="1:23" ht="16" x14ac:dyDescent="0.2">
      <c r="A753" s="5"/>
      <c r="B753" s="6"/>
      <c r="C753" s="6"/>
      <c r="D753" s="6"/>
      <c r="E753" s="6"/>
      <c r="F753" s="5"/>
      <c r="G753" s="5"/>
      <c r="H753" s="5"/>
      <c r="I753" s="5"/>
      <c r="J753" s="5"/>
      <c r="K753" s="5"/>
      <c r="L753" s="5"/>
      <c r="M753" s="5"/>
      <c r="N753" s="5"/>
      <c r="O753" s="5"/>
      <c r="P753" s="5"/>
      <c r="Q753" s="5"/>
      <c r="R753" s="5"/>
      <c r="S753" s="5"/>
      <c r="T753" s="5"/>
      <c r="U753" s="5"/>
      <c r="V753" s="5"/>
      <c r="W753" s="5"/>
    </row>
    <row r="754" spans="1:23" ht="16" x14ac:dyDescent="0.2">
      <c r="A754" s="5"/>
      <c r="B754" s="6"/>
      <c r="C754" s="6"/>
      <c r="D754" s="6"/>
      <c r="E754" s="6"/>
      <c r="F754" s="5"/>
      <c r="G754" s="5"/>
      <c r="H754" s="5"/>
      <c r="I754" s="5"/>
      <c r="J754" s="5"/>
      <c r="K754" s="5"/>
      <c r="L754" s="5"/>
      <c r="M754" s="5"/>
      <c r="N754" s="5"/>
      <c r="O754" s="5"/>
      <c r="P754" s="5"/>
      <c r="Q754" s="5"/>
      <c r="R754" s="5"/>
      <c r="S754" s="5"/>
      <c r="T754" s="5"/>
      <c r="U754" s="5"/>
      <c r="V754" s="5"/>
      <c r="W754" s="5"/>
    </row>
    <row r="755" spans="1:23" ht="16" x14ac:dyDescent="0.2">
      <c r="A755" s="5"/>
      <c r="B755" s="6"/>
      <c r="C755" s="6"/>
      <c r="D755" s="6"/>
      <c r="E755" s="6"/>
      <c r="F755" s="5"/>
      <c r="G755" s="5"/>
      <c r="H755" s="5"/>
      <c r="I755" s="5"/>
      <c r="J755" s="5"/>
      <c r="K755" s="5"/>
      <c r="L755" s="5"/>
      <c r="M755" s="5"/>
      <c r="N755" s="5"/>
      <c r="O755" s="5"/>
      <c r="P755" s="5"/>
      <c r="Q755" s="5"/>
      <c r="R755" s="5"/>
      <c r="S755" s="5"/>
      <c r="T755" s="5"/>
      <c r="U755" s="5"/>
      <c r="V755" s="5"/>
      <c r="W755" s="5"/>
    </row>
    <row r="756" spans="1:23" ht="16" x14ac:dyDescent="0.2">
      <c r="A756" s="5"/>
      <c r="B756" s="6"/>
      <c r="C756" s="6"/>
      <c r="D756" s="6"/>
      <c r="E756" s="6"/>
      <c r="F756" s="5"/>
      <c r="G756" s="5"/>
      <c r="H756" s="5"/>
      <c r="I756" s="5"/>
      <c r="J756" s="5"/>
      <c r="K756" s="5"/>
      <c r="L756" s="5"/>
      <c r="M756" s="5"/>
      <c r="N756" s="5"/>
      <c r="O756" s="5"/>
      <c r="P756" s="5"/>
      <c r="Q756" s="5"/>
      <c r="R756" s="5"/>
      <c r="S756" s="5"/>
      <c r="T756" s="5"/>
      <c r="U756" s="5"/>
      <c r="V756" s="5"/>
      <c r="W756" s="5"/>
    </row>
    <row r="757" spans="1:23" ht="16" x14ac:dyDescent="0.2">
      <c r="A757" s="5"/>
      <c r="B757" s="6"/>
      <c r="C757" s="6"/>
      <c r="D757" s="6"/>
      <c r="E757" s="6"/>
      <c r="F757" s="5"/>
      <c r="G757" s="5"/>
      <c r="H757" s="5"/>
      <c r="I757" s="5"/>
      <c r="J757" s="5"/>
      <c r="K757" s="5"/>
      <c r="L757" s="5"/>
      <c r="M757" s="5"/>
      <c r="N757" s="5"/>
      <c r="O757" s="5"/>
      <c r="P757" s="5"/>
      <c r="Q757" s="5"/>
      <c r="R757" s="5"/>
      <c r="S757" s="5"/>
      <c r="T757" s="5"/>
      <c r="U757" s="5"/>
      <c r="V757" s="5"/>
      <c r="W757" s="5"/>
    </row>
    <row r="758" spans="1:23" ht="16" x14ac:dyDescent="0.2">
      <c r="A758" s="5"/>
      <c r="B758" s="6"/>
      <c r="C758" s="6"/>
      <c r="D758" s="6"/>
      <c r="E758" s="6"/>
      <c r="F758" s="5"/>
      <c r="G758" s="5"/>
      <c r="H758" s="5"/>
      <c r="I758" s="5"/>
      <c r="J758" s="5"/>
      <c r="K758" s="5"/>
      <c r="L758" s="5"/>
      <c r="M758" s="5"/>
      <c r="N758" s="5"/>
      <c r="O758" s="5"/>
      <c r="P758" s="5"/>
      <c r="Q758" s="5"/>
      <c r="R758" s="5"/>
      <c r="S758" s="5"/>
      <c r="T758" s="5"/>
      <c r="U758" s="5"/>
      <c r="V758" s="5"/>
      <c r="W758" s="5"/>
    </row>
    <row r="759" spans="1:23" ht="16" x14ac:dyDescent="0.2">
      <c r="A759" s="5"/>
      <c r="B759" s="6"/>
      <c r="C759" s="6"/>
      <c r="D759" s="6"/>
      <c r="E759" s="6"/>
      <c r="F759" s="5"/>
      <c r="G759" s="5"/>
      <c r="H759" s="5"/>
      <c r="I759" s="5"/>
      <c r="J759" s="5"/>
      <c r="K759" s="5"/>
      <c r="L759" s="5"/>
      <c r="M759" s="5"/>
      <c r="N759" s="5"/>
      <c r="O759" s="5"/>
      <c r="P759" s="5"/>
      <c r="Q759" s="5"/>
      <c r="R759" s="5"/>
      <c r="S759" s="5"/>
      <c r="T759" s="5"/>
      <c r="U759" s="5"/>
      <c r="V759" s="5"/>
      <c r="W759" s="5"/>
    </row>
    <row r="760" spans="1:23" ht="16" x14ac:dyDescent="0.2">
      <c r="A760" s="5"/>
      <c r="B760" s="6"/>
      <c r="C760" s="6"/>
      <c r="D760" s="6"/>
      <c r="E760" s="6"/>
      <c r="F760" s="5"/>
      <c r="G760" s="5"/>
      <c r="H760" s="5"/>
      <c r="I760" s="5"/>
      <c r="J760" s="5"/>
      <c r="K760" s="5"/>
      <c r="L760" s="5"/>
      <c r="M760" s="5"/>
      <c r="N760" s="5"/>
      <c r="O760" s="5"/>
      <c r="P760" s="5"/>
      <c r="Q760" s="5"/>
      <c r="R760" s="5"/>
      <c r="S760" s="5"/>
      <c r="T760" s="5"/>
      <c r="U760" s="5"/>
      <c r="V760" s="5"/>
      <c r="W760" s="5"/>
    </row>
    <row r="761" spans="1:23" ht="16" x14ac:dyDescent="0.2">
      <c r="A761" s="5"/>
      <c r="B761" s="6"/>
      <c r="C761" s="6"/>
      <c r="D761" s="6"/>
      <c r="E761" s="6"/>
      <c r="F761" s="5"/>
      <c r="G761" s="5"/>
      <c r="H761" s="5"/>
      <c r="I761" s="5"/>
      <c r="J761" s="5"/>
      <c r="K761" s="5"/>
      <c r="L761" s="5"/>
      <c r="M761" s="5"/>
      <c r="N761" s="5"/>
      <c r="O761" s="5"/>
      <c r="P761" s="5"/>
      <c r="Q761" s="5"/>
      <c r="R761" s="5"/>
      <c r="S761" s="5"/>
      <c r="T761" s="5"/>
      <c r="U761" s="5"/>
      <c r="V761" s="5"/>
      <c r="W761" s="5"/>
    </row>
    <row r="762" spans="1:23" ht="16" x14ac:dyDescent="0.2">
      <c r="A762" s="5"/>
      <c r="B762" s="6"/>
      <c r="C762" s="6"/>
      <c r="D762" s="6"/>
      <c r="E762" s="6"/>
      <c r="F762" s="5"/>
      <c r="G762" s="5"/>
      <c r="H762" s="5"/>
      <c r="I762" s="5"/>
      <c r="J762" s="5"/>
      <c r="K762" s="5"/>
      <c r="L762" s="5"/>
      <c r="M762" s="5"/>
      <c r="N762" s="5"/>
      <c r="O762" s="5"/>
      <c r="P762" s="5"/>
      <c r="Q762" s="5"/>
      <c r="R762" s="5"/>
      <c r="S762" s="5"/>
      <c r="T762" s="5"/>
      <c r="U762" s="5"/>
      <c r="V762" s="5"/>
      <c r="W762" s="5"/>
    </row>
    <row r="763" spans="1:23" ht="16" x14ac:dyDescent="0.2">
      <c r="A763" s="5"/>
      <c r="B763" s="6"/>
      <c r="C763" s="6"/>
      <c r="D763" s="6"/>
      <c r="E763" s="6"/>
      <c r="F763" s="5"/>
      <c r="G763" s="5"/>
      <c r="H763" s="5"/>
      <c r="I763" s="5"/>
      <c r="J763" s="5"/>
      <c r="K763" s="5"/>
      <c r="L763" s="5"/>
      <c r="M763" s="5"/>
      <c r="N763" s="5"/>
      <c r="O763" s="5"/>
      <c r="P763" s="5"/>
      <c r="Q763" s="5"/>
      <c r="R763" s="5"/>
      <c r="S763" s="5"/>
      <c r="T763" s="5"/>
      <c r="U763" s="5"/>
      <c r="V763" s="5"/>
      <c r="W763" s="5"/>
    </row>
    <row r="764" spans="1:23" ht="16" x14ac:dyDescent="0.2">
      <c r="A764" s="5"/>
      <c r="B764" s="6"/>
      <c r="C764" s="6"/>
      <c r="D764" s="6"/>
      <c r="E764" s="6"/>
      <c r="F764" s="5"/>
      <c r="G764" s="5"/>
      <c r="H764" s="5"/>
      <c r="I764" s="5"/>
      <c r="J764" s="5"/>
      <c r="K764" s="5"/>
      <c r="L764" s="5"/>
      <c r="M764" s="5"/>
      <c r="N764" s="5"/>
      <c r="O764" s="5"/>
      <c r="P764" s="5"/>
      <c r="Q764" s="5"/>
      <c r="R764" s="5"/>
      <c r="S764" s="5"/>
      <c r="T764" s="5"/>
      <c r="U764" s="5"/>
      <c r="V764" s="5"/>
      <c r="W764" s="5"/>
    </row>
    <row r="765" spans="1:23" ht="16" x14ac:dyDescent="0.2">
      <c r="A765" s="5"/>
      <c r="B765" s="6"/>
      <c r="C765" s="6"/>
      <c r="D765" s="6"/>
      <c r="E765" s="6"/>
      <c r="F765" s="5"/>
      <c r="G765" s="5"/>
      <c r="H765" s="5"/>
      <c r="I765" s="5"/>
      <c r="J765" s="5"/>
      <c r="K765" s="5"/>
      <c r="L765" s="5"/>
      <c r="M765" s="5"/>
      <c r="N765" s="5"/>
      <c r="O765" s="5"/>
      <c r="P765" s="5"/>
      <c r="Q765" s="5"/>
      <c r="R765" s="5"/>
      <c r="S765" s="5"/>
      <c r="T765" s="5"/>
      <c r="U765" s="5"/>
      <c r="V765" s="5"/>
      <c r="W765" s="5"/>
    </row>
    <row r="766" spans="1:23" ht="16" x14ac:dyDescent="0.2">
      <c r="A766" s="5"/>
      <c r="B766" s="6"/>
      <c r="C766" s="6"/>
      <c r="D766" s="6"/>
      <c r="E766" s="6"/>
      <c r="F766" s="5"/>
      <c r="G766" s="5"/>
      <c r="H766" s="5"/>
      <c r="I766" s="5"/>
      <c r="J766" s="5"/>
      <c r="K766" s="5"/>
      <c r="L766" s="5"/>
      <c r="M766" s="5"/>
      <c r="N766" s="5"/>
      <c r="O766" s="5"/>
      <c r="P766" s="5"/>
      <c r="Q766" s="5"/>
      <c r="R766" s="5"/>
      <c r="S766" s="5"/>
      <c r="T766" s="5"/>
      <c r="U766" s="5"/>
      <c r="V766" s="5"/>
      <c r="W766" s="5"/>
    </row>
    <row r="767" spans="1:23" ht="16" x14ac:dyDescent="0.2">
      <c r="A767" s="5"/>
      <c r="B767" s="6"/>
      <c r="C767" s="6"/>
      <c r="D767" s="6"/>
      <c r="E767" s="6"/>
      <c r="F767" s="5"/>
      <c r="G767" s="5"/>
      <c r="H767" s="5"/>
      <c r="I767" s="5"/>
      <c r="J767" s="5"/>
      <c r="K767" s="5"/>
      <c r="L767" s="5"/>
      <c r="M767" s="5"/>
      <c r="N767" s="5"/>
      <c r="O767" s="5"/>
      <c r="P767" s="5"/>
      <c r="Q767" s="5"/>
      <c r="R767" s="5"/>
      <c r="S767" s="5"/>
      <c r="T767" s="5"/>
      <c r="U767" s="5"/>
      <c r="V767" s="5"/>
      <c r="W767" s="5"/>
    </row>
    <row r="768" spans="1:23" ht="16" x14ac:dyDescent="0.2">
      <c r="A768" s="5"/>
      <c r="B768" s="6"/>
      <c r="C768" s="6"/>
      <c r="D768" s="6"/>
      <c r="E768" s="6"/>
      <c r="F768" s="5"/>
      <c r="G768" s="5"/>
      <c r="H768" s="5"/>
      <c r="I768" s="5"/>
      <c r="J768" s="5"/>
      <c r="K768" s="5"/>
      <c r="L768" s="5"/>
      <c r="M768" s="5"/>
      <c r="N768" s="5"/>
      <c r="O768" s="5"/>
      <c r="P768" s="5"/>
      <c r="Q768" s="5"/>
      <c r="R768" s="5"/>
      <c r="S768" s="5"/>
      <c r="T768" s="5"/>
      <c r="U768" s="5"/>
      <c r="V768" s="5"/>
      <c r="W768" s="5"/>
    </row>
    <row r="769" spans="1:23" ht="16" x14ac:dyDescent="0.2">
      <c r="A769" s="5"/>
      <c r="B769" s="6"/>
      <c r="C769" s="6"/>
      <c r="D769" s="6"/>
      <c r="E769" s="6"/>
      <c r="F769" s="5"/>
      <c r="G769" s="5"/>
      <c r="H769" s="5"/>
      <c r="I769" s="5"/>
      <c r="J769" s="5"/>
      <c r="K769" s="5"/>
      <c r="L769" s="5"/>
      <c r="M769" s="5"/>
      <c r="N769" s="5"/>
      <c r="O769" s="5"/>
      <c r="P769" s="5"/>
      <c r="Q769" s="5"/>
      <c r="R769" s="5"/>
      <c r="S769" s="5"/>
      <c r="T769" s="5"/>
      <c r="U769" s="5"/>
      <c r="V769" s="5"/>
      <c r="W769" s="5"/>
    </row>
    <row r="770" spans="1:23" ht="16" x14ac:dyDescent="0.2">
      <c r="A770" s="5"/>
      <c r="B770" s="6"/>
      <c r="C770" s="6"/>
      <c r="D770" s="6"/>
      <c r="E770" s="6"/>
      <c r="F770" s="5"/>
      <c r="G770" s="5"/>
      <c r="H770" s="5"/>
      <c r="I770" s="5"/>
      <c r="J770" s="5"/>
      <c r="K770" s="5"/>
      <c r="L770" s="5"/>
      <c r="M770" s="5"/>
      <c r="N770" s="5"/>
      <c r="O770" s="5"/>
      <c r="P770" s="5"/>
      <c r="Q770" s="5"/>
      <c r="R770" s="5"/>
      <c r="S770" s="5"/>
      <c r="T770" s="5"/>
      <c r="U770" s="5"/>
      <c r="V770" s="5"/>
      <c r="W770" s="5"/>
    </row>
    <row r="771" spans="1:23" ht="16" x14ac:dyDescent="0.2">
      <c r="A771" s="5"/>
      <c r="B771" s="6"/>
      <c r="C771" s="6"/>
      <c r="D771" s="6"/>
      <c r="E771" s="6"/>
      <c r="F771" s="5"/>
      <c r="G771" s="5"/>
      <c r="H771" s="5"/>
      <c r="I771" s="5"/>
      <c r="J771" s="5"/>
      <c r="K771" s="5"/>
      <c r="L771" s="5"/>
      <c r="M771" s="5"/>
      <c r="N771" s="5"/>
      <c r="O771" s="5"/>
      <c r="P771" s="5"/>
      <c r="Q771" s="5"/>
      <c r="R771" s="5"/>
      <c r="S771" s="5"/>
      <c r="T771" s="5"/>
      <c r="U771" s="5"/>
      <c r="V771" s="5"/>
      <c r="W771" s="5"/>
    </row>
    <row r="772" spans="1:23" ht="16" x14ac:dyDescent="0.2">
      <c r="A772" s="5"/>
      <c r="B772" s="6"/>
      <c r="C772" s="6"/>
      <c r="D772" s="6"/>
      <c r="E772" s="6"/>
      <c r="F772" s="5"/>
      <c r="G772" s="5"/>
      <c r="H772" s="5"/>
      <c r="I772" s="5"/>
      <c r="J772" s="5"/>
      <c r="K772" s="5"/>
      <c r="L772" s="5"/>
      <c r="M772" s="5"/>
      <c r="N772" s="5"/>
      <c r="O772" s="5"/>
      <c r="P772" s="5"/>
      <c r="Q772" s="5"/>
      <c r="R772" s="5"/>
      <c r="S772" s="5"/>
      <c r="T772" s="5"/>
      <c r="U772" s="5"/>
      <c r="V772" s="5"/>
      <c r="W772" s="5"/>
    </row>
    <row r="773" spans="1:23" ht="16" x14ac:dyDescent="0.2">
      <c r="A773" s="5"/>
      <c r="B773" s="6"/>
      <c r="C773" s="6"/>
      <c r="D773" s="6"/>
      <c r="E773" s="6"/>
      <c r="F773" s="5"/>
      <c r="G773" s="5"/>
      <c r="H773" s="5"/>
      <c r="I773" s="5"/>
      <c r="J773" s="5"/>
      <c r="K773" s="5"/>
      <c r="L773" s="5"/>
      <c r="M773" s="5"/>
      <c r="N773" s="5"/>
      <c r="O773" s="5"/>
      <c r="P773" s="5"/>
      <c r="Q773" s="5"/>
      <c r="R773" s="5"/>
      <c r="S773" s="5"/>
      <c r="T773" s="5"/>
      <c r="U773" s="5"/>
      <c r="V773" s="5"/>
      <c r="W773" s="5"/>
    </row>
    <row r="774" spans="1:23" ht="16" x14ac:dyDescent="0.2">
      <c r="A774" s="5"/>
      <c r="B774" s="6"/>
      <c r="C774" s="6"/>
      <c r="D774" s="6"/>
      <c r="E774" s="6"/>
      <c r="F774" s="5"/>
      <c r="G774" s="5"/>
      <c r="H774" s="5"/>
      <c r="I774" s="5"/>
      <c r="J774" s="5"/>
      <c r="K774" s="5"/>
      <c r="L774" s="5"/>
      <c r="M774" s="5"/>
      <c r="N774" s="5"/>
      <c r="O774" s="5"/>
      <c r="P774" s="5"/>
      <c r="Q774" s="5"/>
      <c r="R774" s="5"/>
      <c r="S774" s="5"/>
      <c r="T774" s="5"/>
      <c r="U774" s="5"/>
      <c r="V774" s="5"/>
      <c r="W774" s="5"/>
    </row>
    <row r="775" spans="1:23" ht="16" x14ac:dyDescent="0.2">
      <c r="A775" s="5"/>
      <c r="B775" s="6"/>
      <c r="C775" s="6"/>
      <c r="D775" s="6"/>
      <c r="E775" s="6"/>
      <c r="F775" s="5"/>
      <c r="G775" s="5"/>
      <c r="H775" s="5"/>
      <c r="I775" s="5"/>
      <c r="J775" s="5"/>
      <c r="K775" s="5"/>
      <c r="L775" s="5"/>
      <c r="M775" s="5"/>
      <c r="N775" s="5"/>
      <c r="O775" s="5"/>
      <c r="P775" s="5"/>
      <c r="Q775" s="5"/>
      <c r="R775" s="5"/>
      <c r="S775" s="5"/>
      <c r="T775" s="5"/>
      <c r="U775" s="5"/>
      <c r="V775" s="5"/>
      <c r="W775" s="5"/>
    </row>
    <row r="776" spans="1:23" ht="16" x14ac:dyDescent="0.2">
      <c r="A776" s="5"/>
      <c r="B776" s="6"/>
      <c r="C776" s="6"/>
      <c r="D776" s="6"/>
      <c r="E776" s="6"/>
      <c r="F776" s="5"/>
      <c r="G776" s="5"/>
      <c r="H776" s="5"/>
      <c r="I776" s="5"/>
      <c r="J776" s="5"/>
      <c r="K776" s="5"/>
      <c r="L776" s="5"/>
      <c r="M776" s="5"/>
      <c r="N776" s="5"/>
      <c r="O776" s="5"/>
      <c r="P776" s="5"/>
      <c r="Q776" s="5"/>
      <c r="R776" s="5"/>
      <c r="S776" s="5"/>
      <c r="T776" s="5"/>
      <c r="U776" s="5"/>
      <c r="V776" s="5"/>
      <c r="W776" s="5"/>
    </row>
    <row r="777" spans="1:23" ht="16" x14ac:dyDescent="0.2">
      <c r="A777" s="5"/>
      <c r="B777" s="6"/>
      <c r="C777" s="6"/>
      <c r="D777" s="6"/>
      <c r="E777" s="6"/>
      <c r="F777" s="5"/>
      <c r="G777" s="5"/>
      <c r="H777" s="5"/>
      <c r="I777" s="5"/>
      <c r="J777" s="5"/>
      <c r="K777" s="5"/>
      <c r="L777" s="5"/>
      <c r="M777" s="5"/>
      <c r="N777" s="5"/>
      <c r="O777" s="5"/>
      <c r="P777" s="5"/>
      <c r="Q777" s="5"/>
      <c r="R777" s="5"/>
      <c r="S777" s="5"/>
      <c r="T777" s="5"/>
      <c r="U777" s="5"/>
      <c r="V777" s="5"/>
      <c r="W777" s="5"/>
    </row>
    <row r="778" spans="1:23" ht="16" x14ac:dyDescent="0.2">
      <c r="A778" s="5"/>
      <c r="B778" s="6"/>
      <c r="C778" s="6"/>
      <c r="D778" s="6"/>
      <c r="E778" s="6"/>
      <c r="F778" s="5"/>
      <c r="G778" s="5"/>
      <c r="H778" s="5"/>
      <c r="I778" s="5"/>
      <c r="J778" s="5"/>
      <c r="K778" s="5"/>
      <c r="L778" s="5"/>
      <c r="M778" s="5"/>
      <c r="N778" s="5"/>
      <c r="O778" s="5"/>
      <c r="P778" s="5"/>
      <c r="Q778" s="5"/>
      <c r="R778" s="5"/>
      <c r="S778" s="5"/>
      <c r="T778" s="5"/>
      <c r="U778" s="5"/>
      <c r="V778" s="5"/>
      <c r="W778" s="5"/>
    </row>
    <row r="779" spans="1:23" ht="16" x14ac:dyDescent="0.2">
      <c r="A779" s="5"/>
      <c r="B779" s="6"/>
      <c r="C779" s="6"/>
      <c r="D779" s="6"/>
      <c r="E779" s="6"/>
      <c r="F779" s="5"/>
      <c r="G779" s="5"/>
      <c r="H779" s="5"/>
      <c r="I779" s="5"/>
      <c r="J779" s="5"/>
      <c r="K779" s="5"/>
      <c r="L779" s="5"/>
      <c r="M779" s="5"/>
      <c r="N779" s="5"/>
      <c r="O779" s="5"/>
      <c r="P779" s="5"/>
      <c r="Q779" s="5"/>
      <c r="R779" s="5"/>
      <c r="S779" s="5"/>
      <c r="T779" s="5"/>
      <c r="U779" s="5"/>
      <c r="V779" s="5"/>
      <c r="W779" s="5"/>
    </row>
    <row r="780" spans="1:23" ht="16" x14ac:dyDescent="0.2">
      <c r="A780" s="5"/>
      <c r="B780" s="6"/>
      <c r="C780" s="6"/>
      <c r="D780" s="6"/>
      <c r="E780" s="6"/>
      <c r="F780" s="5"/>
      <c r="G780" s="5"/>
      <c r="H780" s="5"/>
      <c r="I780" s="5"/>
      <c r="J780" s="5"/>
      <c r="K780" s="5"/>
      <c r="L780" s="5"/>
      <c r="M780" s="5"/>
      <c r="N780" s="5"/>
      <c r="O780" s="5"/>
      <c r="P780" s="5"/>
      <c r="Q780" s="5"/>
      <c r="R780" s="5"/>
      <c r="S780" s="5"/>
      <c r="T780" s="5"/>
      <c r="U780" s="5"/>
      <c r="V780" s="5"/>
      <c r="W780" s="5"/>
    </row>
    <row r="781" spans="1:23" ht="16" x14ac:dyDescent="0.2">
      <c r="A781" s="5"/>
      <c r="B781" s="6"/>
      <c r="C781" s="6"/>
      <c r="D781" s="6"/>
      <c r="E781" s="6"/>
      <c r="F781" s="5"/>
      <c r="G781" s="5"/>
      <c r="H781" s="5"/>
      <c r="I781" s="5"/>
      <c r="J781" s="5"/>
      <c r="K781" s="5"/>
      <c r="L781" s="5"/>
      <c r="M781" s="5"/>
      <c r="N781" s="5"/>
      <c r="O781" s="5"/>
      <c r="P781" s="5"/>
      <c r="Q781" s="5"/>
      <c r="R781" s="5"/>
      <c r="S781" s="5"/>
      <c r="T781" s="5"/>
      <c r="U781" s="5"/>
      <c r="V781" s="5"/>
      <c r="W781" s="5"/>
    </row>
    <row r="782" spans="1:23" ht="16" x14ac:dyDescent="0.2">
      <c r="A782" s="5"/>
      <c r="B782" s="6"/>
      <c r="C782" s="6"/>
      <c r="D782" s="6"/>
      <c r="E782" s="6"/>
      <c r="F782" s="5"/>
      <c r="G782" s="5"/>
      <c r="H782" s="5"/>
      <c r="I782" s="5"/>
      <c r="J782" s="5"/>
      <c r="K782" s="5"/>
      <c r="L782" s="5"/>
      <c r="M782" s="5"/>
      <c r="N782" s="5"/>
      <c r="O782" s="5"/>
      <c r="P782" s="5"/>
      <c r="Q782" s="5"/>
      <c r="R782" s="5"/>
      <c r="S782" s="5"/>
      <c r="T782" s="5"/>
      <c r="U782" s="5"/>
      <c r="V782" s="5"/>
      <c r="W782" s="5"/>
    </row>
    <row r="783" spans="1:23" ht="16" x14ac:dyDescent="0.2">
      <c r="A783" s="5"/>
      <c r="B783" s="6"/>
      <c r="C783" s="6"/>
      <c r="D783" s="6"/>
      <c r="E783" s="6"/>
      <c r="F783" s="5"/>
      <c r="G783" s="5"/>
      <c r="H783" s="5"/>
      <c r="I783" s="5"/>
      <c r="J783" s="5"/>
      <c r="K783" s="5"/>
      <c r="L783" s="5"/>
      <c r="M783" s="5"/>
      <c r="N783" s="5"/>
      <c r="O783" s="5"/>
      <c r="P783" s="5"/>
      <c r="Q783" s="5"/>
      <c r="R783" s="5"/>
      <c r="S783" s="5"/>
      <c r="T783" s="5"/>
      <c r="U783" s="5"/>
      <c r="V783" s="5"/>
      <c r="W783" s="5"/>
    </row>
    <row r="784" spans="1:23" ht="16" x14ac:dyDescent="0.2">
      <c r="A784" s="5"/>
      <c r="B784" s="6"/>
      <c r="C784" s="6"/>
      <c r="D784" s="6"/>
      <c r="E784" s="6"/>
      <c r="F784" s="5"/>
      <c r="G784" s="5"/>
      <c r="H784" s="5"/>
      <c r="I784" s="5"/>
      <c r="J784" s="5"/>
      <c r="K784" s="5"/>
      <c r="L784" s="5"/>
      <c r="M784" s="5"/>
      <c r="N784" s="5"/>
      <c r="O784" s="5"/>
      <c r="P784" s="5"/>
      <c r="Q784" s="5"/>
      <c r="R784" s="5"/>
      <c r="S784" s="5"/>
      <c r="T784" s="5"/>
      <c r="U784" s="5"/>
      <c r="V784" s="5"/>
      <c r="W784" s="5"/>
    </row>
    <row r="785" spans="1:23" ht="16" x14ac:dyDescent="0.2">
      <c r="A785" s="5"/>
      <c r="B785" s="6"/>
      <c r="C785" s="6"/>
      <c r="D785" s="6"/>
      <c r="E785" s="6"/>
      <c r="F785" s="5"/>
      <c r="G785" s="5"/>
      <c r="H785" s="5"/>
      <c r="I785" s="5"/>
      <c r="J785" s="5"/>
      <c r="K785" s="5"/>
      <c r="L785" s="5"/>
      <c r="M785" s="5"/>
      <c r="N785" s="5"/>
      <c r="O785" s="5"/>
      <c r="P785" s="5"/>
      <c r="Q785" s="5"/>
      <c r="R785" s="5"/>
      <c r="S785" s="5"/>
      <c r="T785" s="5"/>
      <c r="U785" s="5"/>
      <c r="V785" s="5"/>
      <c r="W785" s="5"/>
    </row>
    <row r="786" spans="1:23" ht="16" x14ac:dyDescent="0.2">
      <c r="A786" s="5"/>
      <c r="B786" s="6"/>
      <c r="C786" s="6"/>
      <c r="D786" s="6"/>
      <c r="E786" s="6"/>
      <c r="F786" s="5"/>
      <c r="G786" s="5"/>
      <c r="H786" s="5"/>
      <c r="I786" s="5"/>
      <c r="J786" s="5"/>
      <c r="K786" s="5"/>
      <c r="L786" s="5"/>
      <c r="M786" s="5"/>
      <c r="N786" s="5"/>
      <c r="O786" s="5"/>
      <c r="P786" s="5"/>
      <c r="Q786" s="5"/>
      <c r="R786" s="5"/>
      <c r="S786" s="5"/>
      <c r="T786" s="5"/>
      <c r="U786" s="5"/>
      <c r="V786" s="5"/>
      <c r="W786" s="5"/>
    </row>
    <row r="787" spans="1:23" ht="16" x14ac:dyDescent="0.2">
      <c r="A787" s="5"/>
      <c r="B787" s="6"/>
      <c r="C787" s="6"/>
      <c r="D787" s="6"/>
      <c r="E787" s="6"/>
      <c r="F787" s="5"/>
      <c r="G787" s="5"/>
      <c r="H787" s="5"/>
      <c r="I787" s="5"/>
      <c r="J787" s="5"/>
      <c r="K787" s="5"/>
      <c r="L787" s="5"/>
      <c r="M787" s="5"/>
      <c r="N787" s="5"/>
      <c r="O787" s="5"/>
      <c r="P787" s="5"/>
      <c r="Q787" s="5"/>
      <c r="R787" s="5"/>
      <c r="S787" s="5"/>
      <c r="T787" s="5"/>
      <c r="U787" s="5"/>
      <c r="V787" s="5"/>
      <c r="W787" s="5"/>
    </row>
    <row r="788" spans="1:23" ht="16" x14ac:dyDescent="0.2">
      <c r="A788" s="5"/>
      <c r="B788" s="6"/>
      <c r="C788" s="6"/>
      <c r="D788" s="6"/>
      <c r="E788" s="6"/>
      <c r="F788" s="5"/>
      <c r="G788" s="5"/>
      <c r="H788" s="5"/>
      <c r="I788" s="5"/>
      <c r="J788" s="5"/>
      <c r="K788" s="5"/>
      <c r="L788" s="5"/>
      <c r="M788" s="5"/>
      <c r="N788" s="5"/>
      <c r="O788" s="5"/>
      <c r="P788" s="5"/>
      <c r="Q788" s="5"/>
      <c r="R788" s="5"/>
      <c r="S788" s="5"/>
      <c r="T788" s="5"/>
      <c r="U788" s="5"/>
      <c r="V788" s="5"/>
      <c r="W788" s="5"/>
    </row>
    <row r="789" spans="1:23" ht="16" x14ac:dyDescent="0.2">
      <c r="A789" s="5"/>
      <c r="B789" s="6"/>
      <c r="C789" s="6"/>
      <c r="D789" s="6"/>
      <c r="E789" s="6"/>
      <c r="F789" s="5"/>
      <c r="G789" s="5"/>
      <c r="H789" s="5"/>
      <c r="I789" s="5"/>
      <c r="J789" s="5"/>
      <c r="K789" s="5"/>
      <c r="L789" s="5"/>
      <c r="M789" s="5"/>
      <c r="N789" s="5"/>
      <c r="O789" s="5"/>
      <c r="P789" s="5"/>
      <c r="Q789" s="5"/>
      <c r="R789" s="5"/>
      <c r="S789" s="5"/>
      <c r="T789" s="5"/>
      <c r="U789" s="5"/>
      <c r="V789" s="5"/>
      <c r="W789" s="5"/>
    </row>
    <row r="790" spans="1:23" ht="16" x14ac:dyDescent="0.2">
      <c r="A790" s="5"/>
      <c r="B790" s="6"/>
      <c r="C790" s="6"/>
      <c r="D790" s="6"/>
      <c r="E790" s="6"/>
      <c r="F790" s="5"/>
      <c r="G790" s="5"/>
      <c r="H790" s="5"/>
      <c r="I790" s="5"/>
      <c r="J790" s="5"/>
      <c r="K790" s="5"/>
      <c r="L790" s="5"/>
      <c r="M790" s="5"/>
      <c r="N790" s="5"/>
      <c r="O790" s="5"/>
      <c r="P790" s="5"/>
      <c r="Q790" s="5"/>
      <c r="R790" s="5"/>
      <c r="S790" s="5"/>
      <c r="T790" s="5"/>
      <c r="U790" s="5"/>
      <c r="V790" s="5"/>
      <c r="W790" s="5"/>
    </row>
    <row r="791" spans="1:23" ht="16" x14ac:dyDescent="0.2">
      <c r="A791" s="5"/>
      <c r="B791" s="6"/>
      <c r="C791" s="6"/>
      <c r="D791" s="6"/>
      <c r="E791" s="6"/>
      <c r="F791" s="5"/>
      <c r="G791" s="5"/>
      <c r="H791" s="5"/>
      <c r="I791" s="5"/>
      <c r="J791" s="5"/>
      <c r="K791" s="5"/>
      <c r="L791" s="5"/>
      <c r="M791" s="5"/>
      <c r="N791" s="5"/>
      <c r="O791" s="5"/>
      <c r="P791" s="5"/>
      <c r="Q791" s="5"/>
      <c r="R791" s="5"/>
      <c r="S791" s="5"/>
      <c r="T791" s="5"/>
      <c r="U791" s="5"/>
      <c r="V791" s="5"/>
      <c r="W791" s="5"/>
    </row>
    <row r="792" spans="1:23" ht="16" x14ac:dyDescent="0.2">
      <c r="A792" s="5"/>
      <c r="B792" s="6"/>
      <c r="C792" s="6"/>
      <c r="D792" s="6"/>
      <c r="E792" s="6"/>
      <c r="F792" s="5"/>
      <c r="G792" s="5"/>
      <c r="H792" s="5"/>
      <c r="I792" s="5"/>
      <c r="J792" s="5"/>
      <c r="K792" s="5"/>
      <c r="L792" s="5"/>
      <c r="M792" s="5"/>
      <c r="N792" s="5"/>
      <c r="O792" s="5"/>
      <c r="P792" s="5"/>
      <c r="Q792" s="5"/>
      <c r="R792" s="5"/>
      <c r="S792" s="5"/>
      <c r="T792" s="5"/>
      <c r="U792" s="5"/>
      <c r="V792" s="5"/>
      <c r="W792" s="5"/>
    </row>
    <row r="793" spans="1:23" ht="16" x14ac:dyDescent="0.2">
      <c r="A793" s="5"/>
      <c r="B793" s="6"/>
      <c r="C793" s="6"/>
      <c r="D793" s="6"/>
      <c r="E793" s="6"/>
      <c r="F793" s="5"/>
      <c r="G793" s="5"/>
      <c r="H793" s="5"/>
      <c r="I793" s="5"/>
      <c r="J793" s="5"/>
      <c r="K793" s="5"/>
      <c r="L793" s="5"/>
      <c r="M793" s="5"/>
      <c r="N793" s="5"/>
      <c r="O793" s="5"/>
      <c r="P793" s="5"/>
      <c r="Q793" s="5"/>
      <c r="R793" s="5"/>
      <c r="S793" s="5"/>
      <c r="T793" s="5"/>
      <c r="U793" s="5"/>
      <c r="V793" s="5"/>
      <c r="W793" s="5"/>
    </row>
    <row r="794" spans="1:23" ht="16" x14ac:dyDescent="0.2">
      <c r="A794" s="5"/>
      <c r="B794" s="6"/>
      <c r="C794" s="6"/>
      <c r="D794" s="6"/>
      <c r="E794" s="6"/>
      <c r="F794" s="5"/>
      <c r="G794" s="5"/>
      <c r="H794" s="5"/>
      <c r="I794" s="5"/>
      <c r="J794" s="5"/>
      <c r="K794" s="5"/>
      <c r="L794" s="5"/>
      <c r="M794" s="5"/>
      <c r="N794" s="5"/>
      <c r="O794" s="5"/>
      <c r="P794" s="5"/>
      <c r="Q794" s="5"/>
      <c r="R794" s="5"/>
      <c r="S794" s="5"/>
      <c r="T794" s="5"/>
      <c r="U794" s="5"/>
      <c r="V794" s="5"/>
      <c r="W794" s="5"/>
    </row>
    <row r="795" spans="1:23" ht="16" x14ac:dyDescent="0.2">
      <c r="A795" s="5"/>
      <c r="B795" s="6"/>
      <c r="C795" s="6"/>
      <c r="D795" s="6"/>
      <c r="E795" s="6"/>
      <c r="F795" s="5"/>
      <c r="G795" s="5"/>
      <c r="H795" s="5"/>
      <c r="I795" s="5"/>
      <c r="J795" s="5"/>
      <c r="K795" s="5"/>
      <c r="L795" s="5"/>
      <c r="M795" s="5"/>
      <c r="N795" s="5"/>
      <c r="O795" s="5"/>
      <c r="P795" s="5"/>
      <c r="Q795" s="5"/>
      <c r="R795" s="5"/>
      <c r="S795" s="5"/>
      <c r="T795" s="5"/>
      <c r="U795" s="5"/>
      <c r="V795" s="5"/>
      <c r="W795" s="5"/>
    </row>
    <row r="796" spans="1:23" ht="16" x14ac:dyDescent="0.2">
      <c r="A796" s="5"/>
      <c r="B796" s="6"/>
      <c r="C796" s="6"/>
      <c r="D796" s="6"/>
      <c r="E796" s="6"/>
      <c r="F796" s="5"/>
      <c r="G796" s="5"/>
      <c r="H796" s="5"/>
      <c r="I796" s="5"/>
      <c r="J796" s="5"/>
      <c r="K796" s="5"/>
      <c r="L796" s="5"/>
      <c r="M796" s="5"/>
      <c r="N796" s="5"/>
      <c r="O796" s="5"/>
      <c r="P796" s="5"/>
      <c r="Q796" s="5"/>
      <c r="R796" s="5"/>
      <c r="S796" s="5"/>
      <c r="T796" s="5"/>
      <c r="U796" s="5"/>
      <c r="V796" s="5"/>
      <c r="W796" s="5"/>
    </row>
    <row r="797" spans="1:23" ht="16" x14ac:dyDescent="0.2">
      <c r="A797" s="5"/>
      <c r="B797" s="6"/>
      <c r="C797" s="6"/>
      <c r="D797" s="6"/>
      <c r="E797" s="6"/>
      <c r="F797" s="5"/>
      <c r="G797" s="5"/>
      <c r="H797" s="5"/>
      <c r="I797" s="5"/>
      <c r="J797" s="5"/>
      <c r="K797" s="5"/>
      <c r="L797" s="5"/>
      <c r="M797" s="5"/>
      <c r="N797" s="5"/>
      <c r="O797" s="5"/>
      <c r="P797" s="5"/>
      <c r="Q797" s="5"/>
      <c r="R797" s="5"/>
      <c r="S797" s="5"/>
      <c r="T797" s="5"/>
      <c r="U797" s="5"/>
      <c r="V797" s="5"/>
      <c r="W797" s="5"/>
    </row>
    <row r="798" spans="1:23" ht="16" x14ac:dyDescent="0.2">
      <c r="A798" s="5"/>
      <c r="B798" s="6"/>
      <c r="C798" s="6"/>
      <c r="D798" s="6"/>
      <c r="E798" s="6"/>
      <c r="F798" s="5"/>
      <c r="G798" s="5"/>
      <c r="H798" s="5"/>
      <c r="I798" s="5"/>
      <c r="J798" s="5"/>
      <c r="K798" s="5"/>
      <c r="L798" s="5"/>
      <c r="M798" s="5"/>
      <c r="N798" s="5"/>
      <c r="O798" s="5"/>
      <c r="P798" s="5"/>
      <c r="Q798" s="5"/>
      <c r="R798" s="5"/>
      <c r="S798" s="5"/>
      <c r="T798" s="5"/>
      <c r="U798" s="5"/>
      <c r="V798" s="5"/>
      <c r="W798" s="5"/>
    </row>
    <row r="799" spans="1:23" ht="16" x14ac:dyDescent="0.2">
      <c r="A799" s="5"/>
      <c r="B799" s="6"/>
      <c r="C799" s="6"/>
      <c r="D799" s="6"/>
      <c r="E799" s="6"/>
      <c r="F799" s="5"/>
      <c r="G799" s="5"/>
      <c r="H799" s="5"/>
      <c r="I799" s="5"/>
      <c r="J799" s="5"/>
      <c r="K799" s="5"/>
      <c r="L799" s="5"/>
      <c r="M799" s="5"/>
      <c r="N799" s="5"/>
      <c r="O799" s="5"/>
      <c r="P799" s="5"/>
      <c r="Q799" s="5"/>
      <c r="R799" s="5"/>
      <c r="S799" s="5"/>
      <c r="T799" s="5"/>
      <c r="U799" s="5"/>
      <c r="V799" s="5"/>
      <c r="W799" s="5"/>
    </row>
    <row r="800" spans="1:23" ht="16" x14ac:dyDescent="0.2">
      <c r="A800" s="5"/>
      <c r="B800" s="6"/>
      <c r="C800" s="6"/>
      <c r="D800" s="6"/>
      <c r="E800" s="6"/>
      <c r="F800" s="5"/>
      <c r="G800" s="5"/>
      <c r="H800" s="5"/>
      <c r="I800" s="5"/>
      <c r="J800" s="5"/>
      <c r="K800" s="5"/>
      <c r="L800" s="5"/>
      <c r="M800" s="5"/>
      <c r="N800" s="5"/>
      <c r="O800" s="5"/>
      <c r="P800" s="5"/>
      <c r="Q800" s="5"/>
      <c r="R800" s="5"/>
      <c r="S800" s="5"/>
      <c r="T800" s="5"/>
      <c r="U800" s="5"/>
      <c r="V800" s="5"/>
      <c r="W800" s="5"/>
    </row>
    <row r="801" spans="1:23" ht="16" x14ac:dyDescent="0.2">
      <c r="A801" s="5"/>
      <c r="B801" s="6"/>
      <c r="C801" s="6"/>
      <c r="D801" s="6"/>
      <c r="E801" s="6"/>
      <c r="F801" s="5"/>
      <c r="G801" s="5"/>
      <c r="H801" s="5"/>
      <c r="I801" s="5"/>
      <c r="J801" s="5"/>
      <c r="K801" s="5"/>
      <c r="L801" s="5"/>
      <c r="M801" s="5"/>
      <c r="N801" s="5"/>
      <c r="O801" s="5"/>
      <c r="P801" s="5"/>
      <c r="Q801" s="5"/>
      <c r="R801" s="5"/>
      <c r="S801" s="5"/>
      <c r="T801" s="5"/>
      <c r="U801" s="5"/>
      <c r="V801" s="5"/>
      <c r="W801" s="5"/>
    </row>
    <row r="802" spans="1:23" ht="16" x14ac:dyDescent="0.2">
      <c r="A802" s="5"/>
      <c r="B802" s="6"/>
      <c r="C802" s="6"/>
      <c r="D802" s="6"/>
      <c r="E802" s="6"/>
      <c r="F802" s="5"/>
      <c r="G802" s="5"/>
      <c r="H802" s="5"/>
      <c r="I802" s="5"/>
      <c r="J802" s="5"/>
      <c r="K802" s="5"/>
      <c r="L802" s="5"/>
      <c r="M802" s="5"/>
      <c r="N802" s="5"/>
      <c r="O802" s="5"/>
      <c r="P802" s="5"/>
      <c r="Q802" s="5"/>
      <c r="R802" s="5"/>
      <c r="S802" s="5"/>
      <c r="T802" s="5"/>
      <c r="U802" s="5"/>
      <c r="V802" s="5"/>
      <c r="W802" s="5"/>
    </row>
    <row r="803" spans="1:23" ht="16" x14ac:dyDescent="0.2">
      <c r="A803" s="5"/>
      <c r="B803" s="6"/>
      <c r="C803" s="6"/>
      <c r="D803" s="6"/>
      <c r="E803" s="6"/>
      <c r="F803" s="5"/>
      <c r="G803" s="5"/>
      <c r="H803" s="5"/>
      <c r="I803" s="5"/>
      <c r="J803" s="5"/>
      <c r="K803" s="5"/>
      <c r="L803" s="5"/>
      <c r="M803" s="5"/>
      <c r="N803" s="5"/>
      <c r="O803" s="5"/>
      <c r="P803" s="5"/>
      <c r="Q803" s="5"/>
      <c r="R803" s="5"/>
      <c r="S803" s="5"/>
      <c r="T803" s="5"/>
      <c r="U803" s="5"/>
      <c r="V803" s="5"/>
      <c r="W803" s="5"/>
    </row>
    <row r="804" spans="1:23" ht="16" x14ac:dyDescent="0.2">
      <c r="A804" s="5"/>
      <c r="B804" s="6"/>
      <c r="C804" s="6"/>
      <c r="D804" s="6"/>
      <c r="E804" s="6"/>
      <c r="F804" s="5"/>
      <c r="G804" s="5"/>
      <c r="H804" s="5"/>
      <c r="I804" s="5"/>
      <c r="J804" s="5"/>
      <c r="K804" s="5"/>
      <c r="L804" s="5"/>
      <c r="M804" s="5"/>
      <c r="N804" s="5"/>
      <c r="O804" s="5"/>
      <c r="P804" s="5"/>
      <c r="Q804" s="5"/>
      <c r="R804" s="5"/>
      <c r="S804" s="5"/>
      <c r="T804" s="5"/>
      <c r="U804" s="5"/>
      <c r="V804" s="5"/>
      <c r="W804" s="5"/>
    </row>
    <row r="805" spans="1:23" ht="16" x14ac:dyDescent="0.2">
      <c r="A805" s="5"/>
      <c r="B805" s="6"/>
      <c r="C805" s="6"/>
      <c r="D805" s="6"/>
      <c r="E805" s="6"/>
      <c r="F805" s="5"/>
      <c r="G805" s="5"/>
      <c r="H805" s="5"/>
      <c r="I805" s="5"/>
      <c r="J805" s="5"/>
      <c r="K805" s="5"/>
      <c r="L805" s="5"/>
      <c r="M805" s="5"/>
      <c r="N805" s="5"/>
      <c r="O805" s="5"/>
      <c r="P805" s="5"/>
      <c r="Q805" s="5"/>
      <c r="R805" s="5"/>
      <c r="S805" s="5"/>
      <c r="T805" s="5"/>
      <c r="U805" s="5"/>
      <c r="V805" s="5"/>
      <c r="W805" s="5"/>
    </row>
    <row r="806" spans="1:23" ht="16" x14ac:dyDescent="0.2">
      <c r="A806" s="5"/>
      <c r="B806" s="6"/>
      <c r="C806" s="6"/>
      <c r="D806" s="6"/>
      <c r="E806" s="6"/>
      <c r="F806" s="5"/>
      <c r="G806" s="5"/>
      <c r="H806" s="5"/>
      <c r="I806" s="5"/>
      <c r="J806" s="5"/>
      <c r="K806" s="5"/>
      <c r="L806" s="5"/>
      <c r="M806" s="5"/>
      <c r="N806" s="5"/>
      <c r="O806" s="5"/>
      <c r="P806" s="5"/>
      <c r="Q806" s="5"/>
      <c r="R806" s="5"/>
      <c r="S806" s="5"/>
      <c r="T806" s="5"/>
      <c r="U806" s="5"/>
      <c r="V806" s="5"/>
      <c r="W806" s="5"/>
    </row>
    <row r="807" spans="1:23" ht="16" x14ac:dyDescent="0.2">
      <c r="A807" s="5"/>
      <c r="B807" s="6"/>
      <c r="C807" s="6"/>
      <c r="D807" s="6"/>
      <c r="E807" s="6"/>
      <c r="F807" s="5"/>
      <c r="G807" s="5"/>
      <c r="H807" s="5"/>
      <c r="I807" s="5"/>
      <c r="J807" s="5"/>
      <c r="K807" s="5"/>
      <c r="L807" s="5"/>
      <c r="M807" s="5"/>
      <c r="N807" s="5"/>
      <c r="O807" s="5"/>
      <c r="P807" s="5"/>
      <c r="Q807" s="5"/>
      <c r="R807" s="5"/>
      <c r="S807" s="5"/>
      <c r="T807" s="5"/>
      <c r="U807" s="5"/>
      <c r="V807" s="5"/>
      <c r="W807" s="5"/>
    </row>
    <row r="808" spans="1:23" ht="16" x14ac:dyDescent="0.2">
      <c r="A808" s="5"/>
      <c r="B808" s="6"/>
      <c r="C808" s="6"/>
      <c r="D808" s="6"/>
      <c r="E808" s="6"/>
      <c r="F808" s="5"/>
      <c r="G808" s="5"/>
      <c r="H808" s="5"/>
      <c r="I808" s="5"/>
      <c r="J808" s="5"/>
      <c r="K808" s="5"/>
      <c r="L808" s="5"/>
      <c r="M808" s="5"/>
      <c r="N808" s="5"/>
      <c r="O808" s="5"/>
      <c r="P808" s="5"/>
      <c r="Q808" s="5"/>
      <c r="R808" s="5"/>
      <c r="S808" s="5"/>
      <c r="T808" s="5"/>
      <c r="U808" s="5"/>
      <c r="V808" s="5"/>
      <c r="W808" s="5"/>
    </row>
    <row r="809" spans="1:23" ht="16" x14ac:dyDescent="0.2">
      <c r="A809" s="5"/>
      <c r="B809" s="6"/>
      <c r="C809" s="6"/>
      <c r="D809" s="6"/>
      <c r="E809" s="6"/>
      <c r="F809" s="5"/>
      <c r="G809" s="5"/>
      <c r="H809" s="5"/>
      <c r="I809" s="5"/>
      <c r="J809" s="5"/>
      <c r="K809" s="5"/>
      <c r="L809" s="5"/>
      <c r="M809" s="5"/>
      <c r="N809" s="5"/>
      <c r="O809" s="5"/>
      <c r="P809" s="5"/>
      <c r="Q809" s="5"/>
      <c r="R809" s="5"/>
      <c r="S809" s="5"/>
      <c r="T809" s="5"/>
      <c r="U809" s="5"/>
      <c r="V809" s="5"/>
      <c r="W809" s="5"/>
    </row>
    <row r="810" spans="1:23" ht="16" x14ac:dyDescent="0.2">
      <c r="A810" s="5"/>
      <c r="B810" s="6"/>
      <c r="C810" s="6"/>
      <c r="D810" s="6"/>
      <c r="E810" s="6"/>
      <c r="F810" s="5"/>
      <c r="G810" s="5"/>
      <c r="H810" s="5"/>
      <c r="I810" s="5"/>
      <c r="J810" s="5"/>
      <c r="K810" s="5"/>
      <c r="L810" s="5"/>
      <c r="M810" s="5"/>
      <c r="N810" s="5"/>
      <c r="O810" s="5"/>
      <c r="P810" s="5"/>
      <c r="Q810" s="5"/>
      <c r="R810" s="5"/>
      <c r="S810" s="5"/>
      <c r="T810" s="5"/>
      <c r="U810" s="5"/>
      <c r="V810" s="5"/>
      <c r="W810" s="5"/>
    </row>
    <row r="811" spans="1:23" ht="16" x14ac:dyDescent="0.2">
      <c r="A811" s="5"/>
      <c r="B811" s="6"/>
      <c r="C811" s="6"/>
      <c r="D811" s="6"/>
      <c r="E811" s="6"/>
      <c r="F811" s="5"/>
      <c r="G811" s="5"/>
      <c r="H811" s="5"/>
      <c r="I811" s="5"/>
      <c r="J811" s="5"/>
      <c r="K811" s="5"/>
      <c r="L811" s="5"/>
      <c r="M811" s="5"/>
      <c r="N811" s="5"/>
      <c r="O811" s="5"/>
      <c r="P811" s="5"/>
      <c r="Q811" s="5"/>
      <c r="R811" s="5"/>
      <c r="S811" s="5"/>
      <c r="T811" s="5"/>
      <c r="U811" s="5"/>
      <c r="V811" s="5"/>
      <c r="W811" s="5"/>
    </row>
    <row r="812" spans="1:23" ht="16" x14ac:dyDescent="0.2">
      <c r="A812" s="5"/>
      <c r="B812" s="6"/>
      <c r="C812" s="6"/>
      <c r="D812" s="6"/>
      <c r="E812" s="6"/>
      <c r="F812" s="5"/>
      <c r="G812" s="5"/>
      <c r="H812" s="5"/>
      <c r="I812" s="5"/>
      <c r="J812" s="5"/>
      <c r="K812" s="5"/>
      <c r="L812" s="5"/>
      <c r="M812" s="5"/>
      <c r="N812" s="5"/>
      <c r="O812" s="5"/>
      <c r="P812" s="5"/>
      <c r="Q812" s="5"/>
      <c r="R812" s="5"/>
      <c r="S812" s="5"/>
      <c r="T812" s="5"/>
      <c r="U812" s="5"/>
      <c r="V812" s="5"/>
      <c r="W812" s="5"/>
    </row>
    <row r="813" spans="1:23" ht="16" x14ac:dyDescent="0.2">
      <c r="A813" s="5"/>
      <c r="B813" s="6"/>
      <c r="C813" s="6"/>
      <c r="D813" s="6"/>
      <c r="E813" s="6"/>
      <c r="F813" s="5"/>
      <c r="G813" s="5"/>
      <c r="H813" s="5"/>
      <c r="I813" s="5"/>
      <c r="J813" s="5"/>
      <c r="K813" s="5"/>
      <c r="L813" s="5"/>
      <c r="M813" s="5"/>
      <c r="N813" s="5"/>
      <c r="O813" s="5"/>
      <c r="P813" s="5"/>
      <c r="Q813" s="5"/>
      <c r="R813" s="5"/>
      <c r="S813" s="5"/>
      <c r="T813" s="5"/>
      <c r="U813" s="5"/>
      <c r="V813" s="5"/>
      <c r="W813" s="5"/>
    </row>
    <row r="814" spans="1:23" ht="16" x14ac:dyDescent="0.2">
      <c r="A814" s="5"/>
      <c r="B814" s="6"/>
      <c r="C814" s="6"/>
      <c r="D814" s="6"/>
      <c r="E814" s="6"/>
      <c r="F814" s="5"/>
      <c r="G814" s="5"/>
      <c r="H814" s="5"/>
      <c r="I814" s="5"/>
      <c r="J814" s="5"/>
      <c r="K814" s="5"/>
      <c r="L814" s="5"/>
      <c r="M814" s="5"/>
      <c r="N814" s="5"/>
      <c r="O814" s="5"/>
      <c r="P814" s="5"/>
      <c r="Q814" s="5"/>
      <c r="R814" s="5"/>
      <c r="S814" s="5"/>
      <c r="T814" s="5"/>
      <c r="U814" s="5"/>
      <c r="V814" s="5"/>
      <c r="W814" s="5"/>
    </row>
    <row r="815" spans="1:23" ht="16" x14ac:dyDescent="0.2">
      <c r="A815" s="5"/>
      <c r="B815" s="6"/>
      <c r="C815" s="6"/>
      <c r="D815" s="6"/>
      <c r="E815" s="6"/>
      <c r="F815" s="5"/>
      <c r="G815" s="5"/>
      <c r="H815" s="5"/>
      <c r="I815" s="5"/>
      <c r="J815" s="5"/>
      <c r="K815" s="5"/>
      <c r="L815" s="5"/>
      <c r="M815" s="5"/>
      <c r="N815" s="5"/>
      <c r="O815" s="5"/>
      <c r="P815" s="5"/>
      <c r="Q815" s="5"/>
      <c r="R815" s="5"/>
      <c r="S815" s="5"/>
      <c r="T815" s="5"/>
      <c r="U815" s="5"/>
      <c r="V815" s="5"/>
      <c r="W815" s="5"/>
    </row>
    <row r="816" spans="1:23" ht="16" x14ac:dyDescent="0.2">
      <c r="A816" s="5"/>
      <c r="B816" s="6"/>
      <c r="C816" s="6"/>
      <c r="D816" s="6"/>
      <c r="E816" s="6"/>
      <c r="F816" s="5"/>
      <c r="G816" s="5"/>
      <c r="H816" s="5"/>
      <c r="I816" s="5"/>
      <c r="J816" s="5"/>
      <c r="K816" s="5"/>
      <c r="L816" s="5"/>
      <c r="M816" s="5"/>
      <c r="N816" s="5"/>
      <c r="O816" s="5"/>
      <c r="P816" s="5"/>
      <c r="Q816" s="5"/>
      <c r="R816" s="5"/>
      <c r="S816" s="5"/>
      <c r="T816" s="5"/>
      <c r="U816" s="5"/>
      <c r="V816" s="5"/>
      <c r="W816" s="5"/>
    </row>
    <row r="817" spans="1:23" ht="16" x14ac:dyDescent="0.2">
      <c r="A817" s="5"/>
      <c r="B817" s="6"/>
      <c r="C817" s="6"/>
      <c r="D817" s="6"/>
      <c r="E817" s="6"/>
      <c r="F817" s="5"/>
      <c r="G817" s="5"/>
      <c r="H817" s="5"/>
      <c r="I817" s="5"/>
      <c r="J817" s="5"/>
      <c r="K817" s="5"/>
      <c r="L817" s="5"/>
      <c r="M817" s="5"/>
      <c r="N817" s="5"/>
      <c r="O817" s="5"/>
      <c r="P817" s="5"/>
      <c r="Q817" s="5"/>
      <c r="R817" s="5"/>
      <c r="S817" s="5"/>
      <c r="T817" s="5"/>
      <c r="U817" s="5"/>
      <c r="V817" s="5"/>
      <c r="W817" s="5"/>
    </row>
    <row r="818" spans="1:23" ht="16" x14ac:dyDescent="0.2">
      <c r="A818" s="5"/>
      <c r="B818" s="6"/>
      <c r="C818" s="6"/>
      <c r="D818" s="6"/>
      <c r="E818" s="6"/>
      <c r="F818" s="5"/>
      <c r="G818" s="5"/>
      <c r="H818" s="5"/>
      <c r="I818" s="5"/>
      <c r="J818" s="5"/>
      <c r="K818" s="5"/>
      <c r="L818" s="5"/>
      <c r="M818" s="5"/>
      <c r="N818" s="5"/>
      <c r="O818" s="5"/>
      <c r="P818" s="5"/>
      <c r="Q818" s="5"/>
      <c r="R818" s="5"/>
      <c r="S818" s="5"/>
      <c r="T818" s="5"/>
      <c r="U818" s="5"/>
      <c r="V818" s="5"/>
      <c r="W818" s="5"/>
    </row>
    <row r="819" spans="1:23" ht="16" x14ac:dyDescent="0.2">
      <c r="A819" s="5"/>
      <c r="B819" s="6"/>
      <c r="C819" s="6"/>
      <c r="D819" s="6"/>
      <c r="E819" s="6"/>
      <c r="F819" s="5"/>
      <c r="G819" s="5"/>
      <c r="H819" s="5"/>
      <c r="I819" s="5"/>
      <c r="J819" s="5"/>
      <c r="K819" s="5"/>
      <c r="L819" s="5"/>
      <c r="M819" s="5"/>
      <c r="N819" s="5"/>
      <c r="O819" s="5"/>
      <c r="P819" s="5"/>
      <c r="Q819" s="5"/>
      <c r="R819" s="5"/>
      <c r="S819" s="5"/>
      <c r="T819" s="5"/>
      <c r="U819" s="5"/>
      <c r="V819" s="5"/>
      <c r="W819" s="5"/>
    </row>
    <row r="820" spans="1:23" ht="16" x14ac:dyDescent="0.2">
      <c r="A820" s="5"/>
      <c r="B820" s="6"/>
      <c r="C820" s="6"/>
      <c r="D820" s="6"/>
      <c r="E820" s="6"/>
      <c r="F820" s="5"/>
      <c r="G820" s="5"/>
      <c r="H820" s="5"/>
      <c r="I820" s="5"/>
      <c r="J820" s="5"/>
      <c r="K820" s="5"/>
      <c r="L820" s="5"/>
      <c r="M820" s="5"/>
      <c r="N820" s="5"/>
      <c r="O820" s="5"/>
      <c r="P820" s="5"/>
      <c r="Q820" s="5"/>
      <c r="R820" s="5"/>
      <c r="S820" s="5"/>
      <c r="T820" s="5"/>
      <c r="U820" s="5"/>
      <c r="V820" s="5"/>
      <c r="W820" s="5"/>
    </row>
    <row r="821" spans="1:23" ht="16" x14ac:dyDescent="0.2">
      <c r="A821" s="5"/>
      <c r="B821" s="6"/>
      <c r="C821" s="6"/>
      <c r="D821" s="6"/>
      <c r="E821" s="6"/>
      <c r="F821" s="5"/>
      <c r="G821" s="5"/>
      <c r="H821" s="5"/>
      <c r="I821" s="5"/>
      <c r="J821" s="5"/>
      <c r="K821" s="5"/>
      <c r="L821" s="5"/>
      <c r="M821" s="5"/>
      <c r="N821" s="5"/>
      <c r="O821" s="5"/>
      <c r="P821" s="5"/>
      <c r="Q821" s="5"/>
      <c r="R821" s="5"/>
      <c r="S821" s="5"/>
      <c r="T821" s="5"/>
      <c r="U821" s="5"/>
      <c r="V821" s="5"/>
      <c r="W821" s="5"/>
    </row>
    <row r="822" spans="1:23" ht="16" x14ac:dyDescent="0.2">
      <c r="A822" s="5"/>
      <c r="B822" s="6"/>
      <c r="C822" s="6"/>
      <c r="D822" s="6"/>
      <c r="E822" s="6"/>
      <c r="F822" s="5"/>
      <c r="G822" s="5"/>
      <c r="H822" s="5"/>
      <c r="I822" s="5"/>
      <c r="J822" s="5"/>
      <c r="K822" s="5"/>
      <c r="L822" s="5"/>
      <c r="M822" s="5"/>
      <c r="N822" s="5"/>
      <c r="O822" s="5"/>
      <c r="P822" s="5"/>
      <c r="Q822" s="5"/>
      <c r="R822" s="5"/>
      <c r="S822" s="5"/>
      <c r="T822" s="5"/>
      <c r="U822" s="5"/>
      <c r="V822" s="5"/>
      <c r="W822" s="5"/>
    </row>
    <row r="823" spans="1:23" ht="16" x14ac:dyDescent="0.2">
      <c r="A823" s="5"/>
      <c r="B823" s="6"/>
      <c r="C823" s="6"/>
      <c r="D823" s="6"/>
      <c r="E823" s="6"/>
      <c r="F823" s="5"/>
      <c r="G823" s="5"/>
      <c r="H823" s="5"/>
      <c r="I823" s="5"/>
      <c r="J823" s="5"/>
      <c r="K823" s="5"/>
      <c r="L823" s="5"/>
      <c r="M823" s="5"/>
      <c r="N823" s="5"/>
      <c r="O823" s="5"/>
      <c r="P823" s="5"/>
      <c r="Q823" s="5"/>
      <c r="R823" s="5"/>
      <c r="S823" s="5"/>
      <c r="T823" s="5"/>
      <c r="U823" s="5"/>
      <c r="V823" s="5"/>
      <c r="W823" s="5"/>
    </row>
    <row r="824" spans="1:23" ht="16" x14ac:dyDescent="0.2">
      <c r="A824" s="5"/>
      <c r="B824" s="6"/>
      <c r="C824" s="6"/>
      <c r="D824" s="6"/>
      <c r="E824" s="6"/>
      <c r="F824" s="5"/>
      <c r="G824" s="5"/>
      <c r="H824" s="5"/>
      <c r="I824" s="5"/>
      <c r="J824" s="5"/>
      <c r="K824" s="5"/>
      <c r="L824" s="5"/>
      <c r="M824" s="5"/>
      <c r="N824" s="5"/>
      <c r="O824" s="5"/>
      <c r="P824" s="5"/>
      <c r="Q824" s="5"/>
      <c r="R824" s="5"/>
      <c r="S824" s="5"/>
      <c r="T824" s="5"/>
      <c r="U824" s="5"/>
      <c r="V824" s="5"/>
      <c r="W824" s="5"/>
    </row>
    <row r="825" spans="1:23" ht="16" x14ac:dyDescent="0.2">
      <c r="A825" s="5"/>
      <c r="B825" s="6"/>
      <c r="C825" s="6"/>
      <c r="D825" s="6"/>
      <c r="E825" s="6"/>
      <c r="F825" s="5"/>
      <c r="G825" s="5"/>
      <c r="H825" s="5"/>
      <c r="I825" s="5"/>
      <c r="J825" s="5"/>
      <c r="K825" s="5"/>
      <c r="L825" s="5"/>
      <c r="M825" s="5"/>
      <c r="N825" s="5"/>
      <c r="O825" s="5"/>
      <c r="P825" s="5"/>
      <c r="Q825" s="5"/>
      <c r="R825" s="5"/>
      <c r="S825" s="5"/>
      <c r="T825" s="5"/>
      <c r="U825" s="5"/>
      <c r="V825" s="5"/>
      <c r="W825" s="5"/>
    </row>
    <row r="826" spans="1:23" ht="16" x14ac:dyDescent="0.2">
      <c r="A826" s="5"/>
      <c r="B826" s="6"/>
      <c r="C826" s="6"/>
      <c r="D826" s="6"/>
      <c r="E826" s="6"/>
      <c r="F826" s="5"/>
      <c r="G826" s="5"/>
      <c r="H826" s="5"/>
      <c r="I826" s="5"/>
      <c r="J826" s="5"/>
      <c r="K826" s="5"/>
      <c r="L826" s="5"/>
      <c r="M826" s="5"/>
      <c r="N826" s="5"/>
      <c r="O826" s="5"/>
      <c r="P826" s="5"/>
      <c r="Q826" s="5"/>
      <c r="R826" s="5"/>
      <c r="S826" s="5"/>
      <c r="T826" s="5"/>
      <c r="U826" s="5"/>
      <c r="V826" s="5"/>
      <c r="W826" s="5"/>
    </row>
    <row r="827" spans="1:23" ht="16" x14ac:dyDescent="0.2">
      <c r="A827" s="5"/>
      <c r="B827" s="6"/>
      <c r="C827" s="6"/>
      <c r="D827" s="6"/>
      <c r="E827" s="6"/>
      <c r="F827" s="5"/>
      <c r="G827" s="5"/>
      <c r="H827" s="5"/>
      <c r="I827" s="5"/>
      <c r="J827" s="5"/>
      <c r="K827" s="5"/>
      <c r="L827" s="5"/>
      <c r="M827" s="5"/>
      <c r="N827" s="5"/>
      <c r="O827" s="5"/>
      <c r="P827" s="5"/>
      <c r="Q827" s="5"/>
      <c r="R827" s="5"/>
      <c r="S827" s="5"/>
      <c r="T827" s="5"/>
      <c r="U827" s="5"/>
      <c r="V827" s="5"/>
      <c r="W827" s="5"/>
    </row>
    <row r="828" spans="1:23" ht="16" x14ac:dyDescent="0.2">
      <c r="A828" s="5"/>
      <c r="B828" s="6"/>
      <c r="C828" s="6"/>
      <c r="D828" s="6"/>
      <c r="E828" s="6"/>
      <c r="F828" s="5"/>
      <c r="G828" s="5"/>
      <c r="H828" s="5"/>
      <c r="I828" s="5"/>
      <c r="J828" s="5"/>
      <c r="K828" s="5"/>
      <c r="L828" s="5"/>
      <c r="M828" s="5"/>
      <c r="N828" s="5"/>
      <c r="O828" s="5"/>
      <c r="P828" s="5"/>
      <c r="Q828" s="5"/>
      <c r="R828" s="5"/>
      <c r="S828" s="5"/>
      <c r="T828" s="5"/>
      <c r="U828" s="5"/>
      <c r="V828" s="5"/>
      <c r="W828" s="5"/>
    </row>
    <row r="829" spans="1:23" ht="16" x14ac:dyDescent="0.2">
      <c r="A829" s="5"/>
      <c r="B829" s="6"/>
      <c r="C829" s="6"/>
      <c r="D829" s="6"/>
      <c r="E829" s="6"/>
      <c r="F829" s="5"/>
      <c r="G829" s="5"/>
      <c r="H829" s="5"/>
      <c r="I829" s="5"/>
      <c r="J829" s="5"/>
      <c r="K829" s="5"/>
      <c r="L829" s="5"/>
      <c r="M829" s="5"/>
      <c r="N829" s="5"/>
      <c r="O829" s="5"/>
      <c r="P829" s="5"/>
      <c r="Q829" s="5"/>
      <c r="R829" s="5"/>
      <c r="S829" s="5"/>
      <c r="T829" s="5"/>
      <c r="U829" s="5"/>
      <c r="V829" s="5"/>
      <c r="W829" s="5"/>
    </row>
    <row r="830" spans="1:23" ht="16" x14ac:dyDescent="0.2">
      <c r="A830" s="5"/>
      <c r="B830" s="6"/>
      <c r="C830" s="6"/>
      <c r="D830" s="6"/>
      <c r="E830" s="6"/>
      <c r="F830" s="5"/>
      <c r="G830" s="5"/>
      <c r="H830" s="5"/>
      <c r="I830" s="5"/>
      <c r="J830" s="5"/>
      <c r="K830" s="5"/>
      <c r="L830" s="5"/>
      <c r="M830" s="5"/>
      <c r="N830" s="5"/>
      <c r="O830" s="5"/>
      <c r="P830" s="5"/>
      <c r="Q830" s="5"/>
      <c r="R830" s="5"/>
      <c r="S830" s="5"/>
      <c r="T830" s="5"/>
      <c r="U830" s="5"/>
      <c r="V830" s="5"/>
      <c r="W830" s="5"/>
    </row>
    <row r="831" spans="1:23" ht="16" x14ac:dyDescent="0.2">
      <c r="A831" s="5"/>
      <c r="B831" s="6"/>
      <c r="C831" s="6"/>
      <c r="D831" s="6"/>
      <c r="E831" s="6"/>
      <c r="F831" s="5"/>
      <c r="G831" s="5"/>
      <c r="H831" s="5"/>
      <c r="I831" s="5"/>
      <c r="J831" s="5"/>
      <c r="K831" s="5"/>
      <c r="L831" s="5"/>
      <c r="M831" s="5"/>
      <c r="N831" s="5"/>
      <c r="O831" s="5"/>
      <c r="P831" s="5"/>
      <c r="Q831" s="5"/>
      <c r="R831" s="5"/>
      <c r="S831" s="5"/>
      <c r="T831" s="5"/>
      <c r="U831" s="5"/>
      <c r="V831" s="5"/>
      <c r="W831" s="5"/>
    </row>
    <row r="832" spans="1:23" ht="16" x14ac:dyDescent="0.2">
      <c r="A832" s="5"/>
      <c r="B832" s="6"/>
      <c r="C832" s="6"/>
      <c r="D832" s="6"/>
      <c r="E832" s="6"/>
      <c r="F832" s="5"/>
      <c r="G832" s="5"/>
      <c r="H832" s="5"/>
      <c r="I832" s="5"/>
      <c r="J832" s="5"/>
      <c r="K832" s="5"/>
      <c r="L832" s="5"/>
      <c r="M832" s="5"/>
      <c r="N832" s="5"/>
      <c r="O832" s="5"/>
      <c r="P832" s="5"/>
      <c r="Q832" s="5"/>
      <c r="R832" s="5"/>
      <c r="S832" s="5"/>
      <c r="T832" s="5"/>
      <c r="U832" s="5"/>
      <c r="V832" s="5"/>
      <c r="W832" s="5"/>
    </row>
    <row r="833" spans="1:23" ht="16" x14ac:dyDescent="0.2">
      <c r="A833" s="5"/>
      <c r="B833" s="6"/>
      <c r="C833" s="6"/>
      <c r="D833" s="6"/>
      <c r="E833" s="6"/>
      <c r="F833" s="5"/>
      <c r="G833" s="5"/>
      <c r="H833" s="5"/>
      <c r="I833" s="5"/>
      <c r="J833" s="5"/>
      <c r="K833" s="5"/>
      <c r="L833" s="5"/>
      <c r="M833" s="5"/>
      <c r="N833" s="5"/>
      <c r="O833" s="5"/>
      <c r="P833" s="5"/>
      <c r="Q833" s="5"/>
      <c r="R833" s="5"/>
      <c r="S833" s="5"/>
      <c r="T833" s="5"/>
      <c r="U833" s="5"/>
      <c r="V833" s="5"/>
      <c r="W833" s="5"/>
    </row>
    <row r="834" spans="1:23" ht="16" x14ac:dyDescent="0.2">
      <c r="A834" s="5"/>
      <c r="B834" s="6"/>
      <c r="C834" s="6"/>
      <c r="D834" s="6"/>
      <c r="E834" s="6"/>
      <c r="F834" s="5"/>
      <c r="G834" s="5"/>
      <c r="H834" s="5"/>
      <c r="I834" s="5"/>
      <c r="J834" s="5"/>
      <c r="K834" s="5"/>
      <c r="L834" s="5"/>
      <c r="M834" s="5"/>
      <c r="N834" s="5"/>
      <c r="O834" s="5"/>
      <c r="P834" s="5"/>
      <c r="Q834" s="5"/>
      <c r="R834" s="5"/>
      <c r="S834" s="5"/>
      <c r="T834" s="5"/>
      <c r="U834" s="5"/>
      <c r="V834" s="5"/>
      <c r="W834" s="5"/>
    </row>
    <row r="835" spans="1:23" ht="16" x14ac:dyDescent="0.2">
      <c r="A835" s="5"/>
      <c r="B835" s="6"/>
      <c r="C835" s="6"/>
      <c r="D835" s="6"/>
      <c r="E835" s="6"/>
      <c r="F835" s="5"/>
      <c r="G835" s="5"/>
      <c r="H835" s="5"/>
      <c r="I835" s="5"/>
      <c r="J835" s="5"/>
      <c r="K835" s="5"/>
      <c r="L835" s="5"/>
      <c r="M835" s="5"/>
      <c r="N835" s="5"/>
      <c r="O835" s="5"/>
      <c r="P835" s="5"/>
      <c r="Q835" s="5"/>
      <c r="R835" s="5"/>
      <c r="S835" s="5"/>
      <c r="T835" s="5"/>
      <c r="U835" s="5"/>
      <c r="V835" s="5"/>
      <c r="W835" s="5"/>
    </row>
    <row r="836" spans="1:23" ht="16" x14ac:dyDescent="0.2">
      <c r="A836" s="5"/>
      <c r="B836" s="6"/>
      <c r="C836" s="6"/>
      <c r="D836" s="6"/>
      <c r="E836" s="6"/>
      <c r="F836" s="5"/>
      <c r="G836" s="5"/>
      <c r="H836" s="5"/>
      <c r="I836" s="5"/>
      <c r="J836" s="5"/>
      <c r="K836" s="5"/>
      <c r="L836" s="5"/>
      <c r="M836" s="5"/>
      <c r="N836" s="5"/>
      <c r="O836" s="5"/>
      <c r="P836" s="5"/>
      <c r="Q836" s="5"/>
      <c r="R836" s="5"/>
      <c r="S836" s="5"/>
      <c r="T836" s="5"/>
      <c r="U836" s="5"/>
      <c r="V836" s="5"/>
      <c r="W836" s="5"/>
    </row>
    <row r="837" spans="1:23" ht="16" x14ac:dyDescent="0.2">
      <c r="A837" s="5"/>
      <c r="B837" s="6"/>
      <c r="C837" s="6"/>
      <c r="D837" s="6"/>
      <c r="E837" s="6"/>
      <c r="F837" s="5"/>
      <c r="G837" s="5"/>
      <c r="H837" s="5"/>
      <c r="I837" s="5"/>
      <c r="J837" s="5"/>
      <c r="K837" s="5"/>
      <c r="L837" s="5"/>
      <c r="M837" s="5"/>
      <c r="N837" s="5"/>
      <c r="O837" s="5"/>
      <c r="P837" s="5"/>
      <c r="Q837" s="5"/>
      <c r="R837" s="5"/>
      <c r="S837" s="5"/>
      <c r="T837" s="5"/>
      <c r="U837" s="5"/>
      <c r="V837" s="5"/>
      <c r="W837" s="5"/>
    </row>
    <row r="838" spans="1:23" ht="16" x14ac:dyDescent="0.2">
      <c r="A838" s="5"/>
      <c r="B838" s="6"/>
      <c r="C838" s="6"/>
      <c r="D838" s="6"/>
      <c r="E838" s="6"/>
      <c r="F838" s="5"/>
      <c r="G838" s="5"/>
      <c r="H838" s="5"/>
      <c r="I838" s="5"/>
      <c r="J838" s="5"/>
      <c r="K838" s="5"/>
      <c r="L838" s="5"/>
      <c r="M838" s="5"/>
      <c r="N838" s="5"/>
      <c r="O838" s="5"/>
      <c r="P838" s="5"/>
      <c r="Q838" s="5"/>
      <c r="R838" s="5"/>
      <c r="S838" s="5"/>
      <c r="T838" s="5"/>
      <c r="U838" s="5"/>
      <c r="V838" s="5"/>
      <c r="W838" s="5"/>
    </row>
    <row r="839" spans="1:23" ht="16" x14ac:dyDescent="0.2">
      <c r="A839" s="5"/>
      <c r="B839" s="6"/>
      <c r="C839" s="6"/>
      <c r="D839" s="6"/>
      <c r="E839" s="6"/>
      <c r="F839" s="5"/>
      <c r="G839" s="5"/>
      <c r="H839" s="5"/>
      <c r="I839" s="5"/>
      <c r="J839" s="5"/>
      <c r="K839" s="5"/>
      <c r="L839" s="5"/>
      <c r="M839" s="5"/>
      <c r="N839" s="5"/>
      <c r="O839" s="5"/>
      <c r="P839" s="5"/>
      <c r="Q839" s="5"/>
      <c r="R839" s="5"/>
      <c r="S839" s="5"/>
      <c r="T839" s="5"/>
      <c r="U839" s="5"/>
      <c r="V839" s="5"/>
      <c r="W839" s="5"/>
    </row>
    <row r="840" spans="1:23" ht="16" x14ac:dyDescent="0.2">
      <c r="A840" s="5"/>
      <c r="B840" s="6"/>
      <c r="C840" s="6"/>
      <c r="D840" s="6"/>
      <c r="E840" s="6"/>
      <c r="F840" s="5"/>
      <c r="G840" s="5"/>
      <c r="H840" s="5"/>
      <c r="I840" s="5"/>
      <c r="J840" s="5"/>
      <c r="K840" s="5"/>
      <c r="L840" s="5"/>
      <c r="M840" s="5"/>
      <c r="N840" s="5"/>
      <c r="O840" s="5"/>
      <c r="P840" s="5"/>
      <c r="Q840" s="5"/>
      <c r="R840" s="5"/>
      <c r="S840" s="5"/>
      <c r="T840" s="5"/>
      <c r="U840" s="5"/>
      <c r="V840" s="5"/>
      <c r="W840" s="5"/>
    </row>
    <row r="841" spans="1:23" ht="16" x14ac:dyDescent="0.2">
      <c r="A841" s="5"/>
      <c r="B841" s="6"/>
      <c r="C841" s="6"/>
      <c r="D841" s="6"/>
      <c r="E841" s="6"/>
      <c r="F841" s="5"/>
      <c r="G841" s="5"/>
      <c r="H841" s="5"/>
      <c r="I841" s="5"/>
      <c r="J841" s="5"/>
      <c r="K841" s="5"/>
      <c r="L841" s="5"/>
      <c r="M841" s="5"/>
      <c r="N841" s="5"/>
      <c r="O841" s="5"/>
      <c r="P841" s="5"/>
      <c r="Q841" s="5"/>
      <c r="R841" s="5"/>
      <c r="S841" s="5"/>
      <c r="T841" s="5"/>
      <c r="U841" s="5"/>
      <c r="V841" s="5"/>
      <c r="W841" s="5"/>
    </row>
    <row r="842" spans="1:23" ht="16" x14ac:dyDescent="0.2">
      <c r="A842" s="5"/>
      <c r="B842" s="6"/>
      <c r="C842" s="6"/>
      <c r="D842" s="6"/>
      <c r="E842" s="6"/>
      <c r="F842" s="5"/>
      <c r="G842" s="5"/>
      <c r="H842" s="5"/>
      <c r="I842" s="5"/>
      <c r="J842" s="5"/>
      <c r="K842" s="5"/>
      <c r="L842" s="5"/>
      <c r="M842" s="5"/>
      <c r="N842" s="5"/>
      <c r="O842" s="5"/>
      <c r="P842" s="5"/>
      <c r="Q842" s="5"/>
      <c r="R842" s="5"/>
      <c r="S842" s="5"/>
      <c r="T842" s="5"/>
      <c r="U842" s="5"/>
      <c r="V842" s="5"/>
      <c r="W842" s="5"/>
    </row>
    <row r="843" spans="1:23" ht="16" x14ac:dyDescent="0.2">
      <c r="A843" s="5"/>
      <c r="B843" s="6"/>
      <c r="C843" s="6"/>
      <c r="D843" s="6"/>
      <c r="E843" s="6"/>
      <c r="F843" s="5"/>
      <c r="G843" s="5"/>
      <c r="H843" s="5"/>
      <c r="I843" s="5"/>
      <c r="J843" s="5"/>
      <c r="K843" s="5"/>
      <c r="L843" s="5"/>
      <c r="M843" s="5"/>
      <c r="N843" s="5"/>
      <c r="O843" s="5"/>
      <c r="P843" s="5"/>
      <c r="Q843" s="5"/>
      <c r="R843" s="5"/>
      <c r="S843" s="5"/>
      <c r="T843" s="5"/>
      <c r="U843" s="5"/>
      <c r="V843" s="5"/>
      <c r="W843" s="5"/>
    </row>
    <row r="844" spans="1:23" ht="16" x14ac:dyDescent="0.2">
      <c r="A844" s="5"/>
      <c r="B844" s="6"/>
      <c r="C844" s="6"/>
      <c r="D844" s="6"/>
      <c r="E844" s="6"/>
      <c r="F844" s="5"/>
      <c r="G844" s="5"/>
      <c r="H844" s="5"/>
      <c r="I844" s="5"/>
      <c r="J844" s="5"/>
      <c r="K844" s="5"/>
      <c r="L844" s="5"/>
      <c r="M844" s="5"/>
      <c r="N844" s="5"/>
      <c r="O844" s="5"/>
      <c r="P844" s="5"/>
      <c r="Q844" s="5"/>
      <c r="R844" s="5"/>
      <c r="S844" s="5"/>
      <c r="T844" s="5"/>
      <c r="U844" s="5"/>
      <c r="V844" s="5"/>
      <c r="W844" s="5"/>
    </row>
    <row r="845" spans="1:23" ht="16" x14ac:dyDescent="0.2">
      <c r="A845" s="5"/>
      <c r="B845" s="6"/>
      <c r="C845" s="6"/>
      <c r="D845" s="6"/>
      <c r="E845" s="6"/>
      <c r="F845" s="5"/>
      <c r="G845" s="5"/>
      <c r="H845" s="5"/>
      <c r="I845" s="5"/>
      <c r="J845" s="5"/>
      <c r="K845" s="5"/>
      <c r="L845" s="5"/>
      <c r="M845" s="5"/>
      <c r="N845" s="5"/>
      <c r="O845" s="5"/>
      <c r="P845" s="5"/>
      <c r="Q845" s="5"/>
      <c r="R845" s="5"/>
      <c r="S845" s="5"/>
      <c r="T845" s="5"/>
      <c r="U845" s="5"/>
      <c r="V845" s="5"/>
      <c r="W845" s="5"/>
    </row>
    <row r="846" spans="1:23" ht="16" x14ac:dyDescent="0.2">
      <c r="A846" s="5"/>
      <c r="B846" s="6"/>
      <c r="C846" s="6"/>
      <c r="D846" s="6"/>
      <c r="E846" s="6"/>
      <c r="F846" s="5"/>
      <c r="G846" s="5"/>
      <c r="H846" s="5"/>
      <c r="I846" s="5"/>
      <c r="J846" s="5"/>
      <c r="K846" s="5"/>
      <c r="L846" s="5"/>
      <c r="M846" s="5"/>
      <c r="N846" s="5"/>
      <c r="O846" s="5"/>
      <c r="P846" s="5"/>
      <c r="Q846" s="5"/>
      <c r="R846" s="5"/>
      <c r="S846" s="5"/>
      <c r="T846" s="5"/>
      <c r="U846" s="5"/>
      <c r="V846" s="5"/>
      <c r="W846" s="5"/>
    </row>
    <row r="847" spans="1:23" ht="16" x14ac:dyDescent="0.2">
      <c r="A847" s="5"/>
      <c r="B847" s="6"/>
      <c r="C847" s="6"/>
      <c r="D847" s="6"/>
      <c r="E847" s="6"/>
      <c r="F847" s="5"/>
      <c r="G847" s="5"/>
      <c r="H847" s="5"/>
      <c r="I847" s="5"/>
      <c r="J847" s="5"/>
      <c r="K847" s="5"/>
      <c r="L847" s="5"/>
      <c r="M847" s="5"/>
      <c r="N847" s="5"/>
      <c r="O847" s="5"/>
      <c r="P847" s="5"/>
      <c r="Q847" s="5"/>
      <c r="R847" s="5"/>
      <c r="S847" s="5"/>
      <c r="T847" s="5"/>
      <c r="U847" s="5"/>
      <c r="V847" s="5"/>
      <c r="W847" s="5"/>
    </row>
    <row r="848" spans="1:23" ht="16" x14ac:dyDescent="0.2">
      <c r="A848" s="5"/>
      <c r="B848" s="6"/>
      <c r="C848" s="6"/>
      <c r="D848" s="6"/>
      <c r="E848" s="6"/>
      <c r="F848" s="5"/>
      <c r="G848" s="5"/>
      <c r="H848" s="5"/>
      <c r="I848" s="5"/>
      <c r="J848" s="5"/>
      <c r="K848" s="5"/>
      <c r="L848" s="5"/>
      <c r="M848" s="5"/>
      <c r="N848" s="5"/>
      <c r="O848" s="5"/>
      <c r="P848" s="5"/>
      <c r="Q848" s="5"/>
      <c r="R848" s="5"/>
      <c r="S848" s="5"/>
      <c r="T848" s="5"/>
      <c r="U848" s="5"/>
      <c r="V848" s="5"/>
      <c r="W848" s="5"/>
    </row>
    <row r="849" spans="1:23" ht="16" x14ac:dyDescent="0.2">
      <c r="A849" s="5"/>
      <c r="B849" s="6"/>
      <c r="C849" s="6"/>
      <c r="D849" s="6"/>
      <c r="E849" s="6"/>
      <c r="F849" s="5"/>
      <c r="G849" s="5"/>
      <c r="H849" s="5"/>
      <c r="I849" s="5"/>
      <c r="J849" s="5"/>
      <c r="K849" s="5"/>
      <c r="L849" s="5"/>
      <c r="M849" s="5"/>
      <c r="N849" s="5"/>
      <c r="O849" s="5"/>
      <c r="P849" s="5"/>
      <c r="Q849" s="5"/>
      <c r="R849" s="5"/>
      <c r="S849" s="5"/>
      <c r="T849" s="5"/>
      <c r="U849" s="5"/>
      <c r="V849" s="5"/>
      <c r="W849" s="5"/>
    </row>
    <row r="850" spans="1:23" ht="16" x14ac:dyDescent="0.2">
      <c r="A850" s="5"/>
      <c r="B850" s="6"/>
      <c r="C850" s="6"/>
      <c r="D850" s="6"/>
      <c r="E850" s="6"/>
      <c r="F850" s="5"/>
      <c r="G850" s="5"/>
      <c r="H850" s="5"/>
      <c r="I850" s="5"/>
      <c r="J850" s="5"/>
      <c r="K850" s="5"/>
      <c r="L850" s="5"/>
      <c r="M850" s="5"/>
      <c r="N850" s="5"/>
      <c r="O850" s="5"/>
      <c r="P850" s="5"/>
      <c r="Q850" s="5"/>
      <c r="R850" s="5"/>
      <c r="S850" s="5"/>
      <c r="T850" s="5"/>
      <c r="U850" s="5"/>
      <c r="V850" s="5"/>
      <c r="W850" s="5"/>
    </row>
    <row r="851" spans="1:23" ht="16" x14ac:dyDescent="0.2">
      <c r="A851" s="5"/>
      <c r="B851" s="6"/>
      <c r="C851" s="6"/>
      <c r="D851" s="6"/>
      <c r="E851" s="6"/>
      <c r="F851" s="5"/>
      <c r="G851" s="5"/>
      <c r="H851" s="5"/>
      <c r="I851" s="5"/>
      <c r="J851" s="5"/>
      <c r="K851" s="5"/>
      <c r="L851" s="5"/>
      <c r="M851" s="5"/>
      <c r="N851" s="5"/>
      <c r="O851" s="5"/>
      <c r="P851" s="5"/>
      <c r="Q851" s="5"/>
      <c r="R851" s="5"/>
      <c r="S851" s="5"/>
      <c r="T851" s="5"/>
      <c r="U851" s="5"/>
      <c r="V851" s="5"/>
      <c r="W851" s="5"/>
    </row>
    <row r="852" spans="1:23" ht="16" x14ac:dyDescent="0.2">
      <c r="A852" s="5"/>
      <c r="B852" s="6"/>
      <c r="C852" s="6"/>
      <c r="D852" s="6"/>
      <c r="E852" s="6"/>
      <c r="F852" s="5"/>
      <c r="G852" s="5"/>
      <c r="H852" s="5"/>
      <c r="I852" s="5"/>
      <c r="J852" s="5"/>
      <c r="K852" s="5"/>
      <c r="L852" s="5"/>
      <c r="M852" s="5"/>
      <c r="N852" s="5"/>
      <c r="O852" s="5"/>
      <c r="P852" s="5"/>
      <c r="Q852" s="5"/>
      <c r="R852" s="5"/>
      <c r="S852" s="5"/>
      <c r="T852" s="5"/>
      <c r="U852" s="5"/>
      <c r="V852" s="5"/>
      <c r="W852" s="5"/>
    </row>
    <row r="853" spans="1:23" ht="16" x14ac:dyDescent="0.2">
      <c r="A853" s="5"/>
      <c r="B853" s="6"/>
      <c r="C853" s="6"/>
      <c r="D853" s="6"/>
      <c r="E853" s="6"/>
      <c r="F853" s="5"/>
      <c r="G853" s="5"/>
      <c r="H853" s="5"/>
      <c r="I853" s="5"/>
      <c r="J853" s="5"/>
      <c r="K853" s="5"/>
      <c r="L853" s="5"/>
      <c r="M853" s="5"/>
      <c r="N853" s="5"/>
      <c r="O853" s="5"/>
      <c r="P853" s="5"/>
      <c r="Q853" s="5"/>
      <c r="R853" s="5"/>
      <c r="S853" s="5"/>
      <c r="T853" s="5"/>
      <c r="U853" s="5"/>
      <c r="V853" s="5"/>
      <c r="W853" s="5"/>
    </row>
    <row r="854" spans="1:23" ht="16" x14ac:dyDescent="0.2">
      <c r="A854" s="5"/>
      <c r="B854" s="6"/>
      <c r="C854" s="6"/>
      <c r="D854" s="6"/>
      <c r="E854" s="6"/>
      <c r="F854" s="5"/>
      <c r="G854" s="5"/>
      <c r="H854" s="5"/>
      <c r="I854" s="5"/>
      <c r="J854" s="5"/>
      <c r="K854" s="5"/>
      <c r="L854" s="5"/>
      <c r="M854" s="5"/>
      <c r="N854" s="5"/>
      <c r="O854" s="5"/>
      <c r="P854" s="5"/>
      <c r="Q854" s="5"/>
      <c r="R854" s="5"/>
      <c r="S854" s="5"/>
      <c r="T854" s="5"/>
      <c r="U854" s="5"/>
      <c r="V854" s="5"/>
      <c r="W854" s="5"/>
    </row>
    <row r="855" spans="1:23" ht="16" x14ac:dyDescent="0.2">
      <c r="A855" s="5"/>
      <c r="B855" s="6"/>
      <c r="C855" s="6"/>
      <c r="D855" s="6"/>
      <c r="E855" s="6"/>
      <c r="F855" s="5"/>
      <c r="G855" s="5"/>
      <c r="H855" s="5"/>
      <c r="I855" s="5"/>
      <c r="J855" s="5"/>
      <c r="K855" s="5"/>
      <c r="L855" s="5"/>
      <c r="M855" s="5"/>
      <c r="N855" s="5"/>
      <c r="O855" s="5"/>
      <c r="P855" s="5"/>
      <c r="Q855" s="5"/>
      <c r="R855" s="5"/>
      <c r="S855" s="5"/>
      <c r="T855" s="5"/>
      <c r="U855" s="5"/>
      <c r="V855" s="5"/>
      <c r="W855" s="5"/>
    </row>
    <row r="856" spans="1:23" ht="16" x14ac:dyDescent="0.2">
      <c r="A856" s="5"/>
      <c r="B856" s="6"/>
      <c r="C856" s="6"/>
      <c r="D856" s="6"/>
      <c r="E856" s="6"/>
      <c r="F856" s="5"/>
      <c r="G856" s="5"/>
      <c r="H856" s="5"/>
      <c r="I856" s="5"/>
      <c r="J856" s="5"/>
      <c r="K856" s="5"/>
      <c r="L856" s="5"/>
      <c r="M856" s="5"/>
      <c r="N856" s="5"/>
      <c r="O856" s="5"/>
      <c r="P856" s="5"/>
      <c r="Q856" s="5"/>
      <c r="R856" s="5"/>
      <c r="S856" s="5"/>
      <c r="T856" s="5"/>
      <c r="U856" s="5"/>
      <c r="V856" s="5"/>
      <c r="W856" s="5"/>
    </row>
    <row r="857" spans="1:23" ht="16" x14ac:dyDescent="0.2">
      <c r="A857" s="5"/>
      <c r="B857" s="6"/>
      <c r="C857" s="6"/>
      <c r="D857" s="6"/>
      <c r="E857" s="6"/>
      <c r="F857" s="5"/>
      <c r="G857" s="5"/>
      <c r="H857" s="5"/>
      <c r="I857" s="5"/>
      <c r="J857" s="5"/>
      <c r="K857" s="5"/>
      <c r="L857" s="5"/>
      <c r="M857" s="5"/>
      <c r="N857" s="5"/>
      <c r="O857" s="5"/>
      <c r="P857" s="5"/>
      <c r="Q857" s="5"/>
      <c r="R857" s="5"/>
      <c r="S857" s="5"/>
      <c r="T857" s="5"/>
      <c r="U857" s="5"/>
      <c r="V857" s="5"/>
      <c r="W857" s="5"/>
    </row>
    <row r="858" spans="1:23" ht="16" x14ac:dyDescent="0.2">
      <c r="A858" s="5"/>
      <c r="B858" s="6"/>
      <c r="C858" s="6"/>
      <c r="D858" s="6"/>
      <c r="E858" s="6"/>
      <c r="F858" s="5"/>
      <c r="G858" s="5"/>
      <c r="H858" s="5"/>
      <c r="I858" s="5"/>
      <c r="J858" s="5"/>
      <c r="K858" s="5"/>
      <c r="L858" s="5"/>
      <c r="M858" s="5"/>
      <c r="N858" s="5"/>
      <c r="O858" s="5"/>
      <c r="P858" s="5"/>
      <c r="Q858" s="5"/>
      <c r="R858" s="5"/>
      <c r="S858" s="5"/>
      <c r="T858" s="5"/>
      <c r="U858" s="5"/>
      <c r="V858" s="5"/>
      <c r="W858" s="5"/>
    </row>
    <row r="859" spans="1:23" ht="16" x14ac:dyDescent="0.2">
      <c r="A859" s="5"/>
      <c r="B859" s="6"/>
      <c r="C859" s="6"/>
      <c r="D859" s="6"/>
      <c r="E859" s="6"/>
      <c r="F859" s="5"/>
      <c r="G859" s="5"/>
      <c r="H859" s="5"/>
      <c r="I859" s="5"/>
      <c r="J859" s="5"/>
      <c r="K859" s="5"/>
      <c r="L859" s="5"/>
      <c r="M859" s="5"/>
      <c r="N859" s="5"/>
      <c r="O859" s="5"/>
      <c r="P859" s="5"/>
      <c r="Q859" s="5"/>
      <c r="R859" s="5"/>
      <c r="S859" s="5"/>
      <c r="T859" s="5"/>
      <c r="U859" s="5"/>
      <c r="V859" s="5"/>
      <c r="W859" s="5"/>
    </row>
    <row r="860" spans="1:23" ht="16" x14ac:dyDescent="0.2">
      <c r="A860" s="5"/>
      <c r="B860" s="6"/>
      <c r="C860" s="6"/>
      <c r="D860" s="6"/>
      <c r="E860" s="6"/>
      <c r="F860" s="5"/>
      <c r="G860" s="5"/>
      <c r="H860" s="5"/>
      <c r="I860" s="5"/>
      <c r="J860" s="5"/>
      <c r="K860" s="5"/>
      <c r="L860" s="5"/>
      <c r="M860" s="5"/>
      <c r="N860" s="5"/>
      <c r="O860" s="5"/>
      <c r="P860" s="5"/>
      <c r="Q860" s="5"/>
      <c r="R860" s="5"/>
      <c r="S860" s="5"/>
      <c r="T860" s="5"/>
      <c r="U860" s="5"/>
      <c r="V860" s="5"/>
      <c r="W860" s="5"/>
    </row>
    <row r="861" spans="1:23" ht="16" x14ac:dyDescent="0.2">
      <c r="A861" s="5"/>
      <c r="B861" s="6"/>
      <c r="C861" s="6"/>
      <c r="D861" s="6"/>
      <c r="E861" s="6"/>
      <c r="F861" s="5"/>
      <c r="G861" s="5"/>
      <c r="H861" s="5"/>
      <c r="I861" s="5"/>
      <c r="J861" s="5"/>
      <c r="K861" s="5"/>
      <c r="L861" s="5"/>
      <c r="M861" s="5"/>
      <c r="N861" s="5"/>
      <c r="O861" s="5"/>
      <c r="P861" s="5"/>
      <c r="Q861" s="5"/>
      <c r="R861" s="5"/>
      <c r="S861" s="5"/>
      <c r="T861" s="5"/>
      <c r="U861" s="5"/>
      <c r="V861" s="5"/>
      <c r="W861" s="5"/>
    </row>
    <row r="862" spans="1:23" ht="16" x14ac:dyDescent="0.2">
      <c r="A862" s="5"/>
      <c r="B862" s="6"/>
      <c r="C862" s="6"/>
      <c r="D862" s="6"/>
      <c r="E862" s="6"/>
      <c r="F862" s="5"/>
      <c r="G862" s="5"/>
      <c r="H862" s="5"/>
      <c r="I862" s="5"/>
      <c r="J862" s="5"/>
      <c r="K862" s="5"/>
      <c r="L862" s="5"/>
      <c r="M862" s="5"/>
      <c r="N862" s="5"/>
      <c r="O862" s="5"/>
      <c r="P862" s="5"/>
      <c r="Q862" s="5"/>
      <c r="R862" s="5"/>
      <c r="S862" s="5"/>
      <c r="T862" s="5"/>
      <c r="U862" s="5"/>
      <c r="V862" s="5"/>
      <c r="W862" s="5"/>
    </row>
    <row r="863" spans="1:23" ht="16" x14ac:dyDescent="0.2">
      <c r="A863" s="5"/>
      <c r="B863" s="6"/>
      <c r="C863" s="6"/>
      <c r="D863" s="6"/>
      <c r="E863" s="6"/>
      <c r="F863" s="5"/>
      <c r="G863" s="5"/>
      <c r="H863" s="5"/>
      <c r="I863" s="5"/>
      <c r="J863" s="5"/>
      <c r="K863" s="5"/>
      <c r="L863" s="5"/>
      <c r="M863" s="5"/>
      <c r="N863" s="5"/>
      <c r="O863" s="5"/>
      <c r="P863" s="5"/>
      <c r="Q863" s="5"/>
      <c r="R863" s="5"/>
      <c r="S863" s="5"/>
      <c r="T863" s="5"/>
      <c r="U863" s="5"/>
      <c r="V863" s="5"/>
      <c r="W863" s="5"/>
    </row>
    <row r="864" spans="1:23" ht="16" x14ac:dyDescent="0.2">
      <c r="A864" s="5"/>
      <c r="B864" s="6"/>
      <c r="C864" s="6"/>
      <c r="D864" s="6"/>
      <c r="E864" s="6"/>
      <c r="F864" s="5"/>
      <c r="G864" s="5"/>
      <c r="H864" s="5"/>
      <c r="I864" s="5"/>
      <c r="J864" s="5"/>
      <c r="K864" s="5"/>
      <c r="L864" s="5"/>
      <c r="M864" s="5"/>
      <c r="N864" s="5"/>
      <c r="O864" s="5"/>
      <c r="P864" s="5"/>
      <c r="Q864" s="5"/>
      <c r="R864" s="5"/>
      <c r="S864" s="5"/>
      <c r="T864" s="5"/>
      <c r="U864" s="5"/>
      <c r="V864" s="5"/>
      <c r="W864" s="5"/>
    </row>
    <row r="865" spans="1:23" ht="16" x14ac:dyDescent="0.2">
      <c r="A865" s="5"/>
      <c r="B865" s="6"/>
      <c r="C865" s="6"/>
      <c r="D865" s="6"/>
      <c r="E865" s="6"/>
      <c r="F865" s="5"/>
      <c r="G865" s="5"/>
      <c r="H865" s="5"/>
      <c r="I865" s="5"/>
      <c r="J865" s="5"/>
      <c r="K865" s="5"/>
      <c r="L865" s="5"/>
      <c r="M865" s="5"/>
      <c r="N865" s="5"/>
      <c r="O865" s="5"/>
      <c r="P865" s="5"/>
      <c r="Q865" s="5"/>
      <c r="R865" s="5"/>
      <c r="S865" s="5"/>
      <c r="T865" s="5"/>
      <c r="U865" s="5"/>
      <c r="V865" s="5"/>
      <c r="W865" s="5"/>
    </row>
    <row r="866" spans="1:23" ht="16" x14ac:dyDescent="0.2">
      <c r="A866" s="5"/>
      <c r="B866" s="6"/>
      <c r="C866" s="6"/>
      <c r="D866" s="6"/>
      <c r="E866" s="6"/>
      <c r="F866" s="5"/>
      <c r="G866" s="5"/>
      <c r="H866" s="5"/>
      <c r="I866" s="5"/>
      <c r="J866" s="5"/>
      <c r="K866" s="5"/>
      <c r="L866" s="5"/>
      <c r="M866" s="5"/>
      <c r="N866" s="5"/>
      <c r="O866" s="5"/>
      <c r="P866" s="5"/>
      <c r="Q866" s="5"/>
      <c r="R866" s="5"/>
      <c r="S866" s="5"/>
      <c r="T866" s="5"/>
      <c r="U866" s="5"/>
      <c r="V866" s="5"/>
      <c r="W866" s="5"/>
    </row>
    <row r="867" spans="1:23" ht="16" x14ac:dyDescent="0.2">
      <c r="A867" s="5"/>
      <c r="B867" s="6"/>
      <c r="C867" s="6"/>
      <c r="D867" s="6"/>
      <c r="E867" s="6"/>
      <c r="F867" s="5"/>
      <c r="G867" s="5"/>
      <c r="H867" s="5"/>
      <c r="I867" s="5"/>
      <c r="J867" s="5"/>
      <c r="K867" s="5"/>
      <c r="L867" s="5"/>
      <c r="M867" s="5"/>
      <c r="N867" s="5"/>
      <c r="O867" s="5"/>
      <c r="P867" s="5"/>
      <c r="Q867" s="5"/>
      <c r="R867" s="5"/>
      <c r="S867" s="5"/>
      <c r="T867" s="5"/>
      <c r="U867" s="5"/>
      <c r="V867" s="5"/>
      <c r="W867" s="5"/>
    </row>
    <row r="868" spans="1:23" ht="16" x14ac:dyDescent="0.2">
      <c r="A868" s="5"/>
      <c r="B868" s="6"/>
      <c r="C868" s="6"/>
      <c r="D868" s="6"/>
      <c r="E868" s="6"/>
      <c r="F868" s="5"/>
      <c r="G868" s="5"/>
      <c r="H868" s="5"/>
      <c r="I868" s="5"/>
      <c r="J868" s="5"/>
      <c r="K868" s="5"/>
      <c r="L868" s="5"/>
      <c r="M868" s="5"/>
      <c r="N868" s="5"/>
      <c r="O868" s="5"/>
      <c r="P868" s="5"/>
      <c r="Q868" s="5"/>
      <c r="R868" s="5"/>
      <c r="S868" s="5"/>
      <c r="T868" s="5"/>
      <c r="U868" s="5"/>
      <c r="V868" s="5"/>
      <c r="W868" s="5"/>
    </row>
    <row r="869" spans="1:23" ht="16" x14ac:dyDescent="0.2">
      <c r="A869" s="5"/>
      <c r="B869" s="6"/>
      <c r="C869" s="6"/>
      <c r="D869" s="6"/>
      <c r="E869" s="6"/>
      <c r="F869" s="5"/>
      <c r="G869" s="5"/>
      <c r="H869" s="5"/>
      <c r="I869" s="5"/>
      <c r="J869" s="5"/>
      <c r="K869" s="5"/>
      <c r="L869" s="5"/>
      <c r="M869" s="5"/>
      <c r="N869" s="5"/>
      <c r="O869" s="5"/>
      <c r="P869" s="5"/>
      <c r="Q869" s="5"/>
      <c r="R869" s="5"/>
      <c r="S869" s="5"/>
      <c r="T869" s="5"/>
      <c r="U869" s="5"/>
      <c r="V869" s="5"/>
      <c r="W869" s="5"/>
    </row>
    <row r="870" spans="1:23" ht="16" x14ac:dyDescent="0.2">
      <c r="A870" s="5"/>
      <c r="B870" s="6"/>
      <c r="C870" s="6"/>
      <c r="D870" s="6"/>
      <c r="E870" s="6"/>
      <c r="F870" s="5"/>
      <c r="G870" s="5"/>
      <c r="H870" s="5"/>
      <c r="I870" s="5"/>
      <c r="J870" s="5"/>
      <c r="K870" s="5"/>
      <c r="L870" s="5"/>
      <c r="M870" s="5"/>
      <c r="N870" s="5"/>
      <c r="O870" s="5"/>
      <c r="P870" s="5"/>
      <c r="Q870" s="5"/>
      <c r="R870" s="5"/>
      <c r="S870" s="5"/>
      <c r="T870" s="5"/>
      <c r="U870" s="5"/>
      <c r="V870" s="5"/>
      <c r="W870" s="5"/>
    </row>
    <row r="871" spans="1:23" ht="16" x14ac:dyDescent="0.2">
      <c r="A871" s="5"/>
      <c r="B871" s="6"/>
      <c r="C871" s="6"/>
      <c r="D871" s="6"/>
      <c r="E871" s="6"/>
      <c r="F871" s="5"/>
      <c r="G871" s="5"/>
      <c r="H871" s="5"/>
      <c r="I871" s="5"/>
      <c r="J871" s="5"/>
      <c r="K871" s="5"/>
      <c r="L871" s="5"/>
      <c r="M871" s="5"/>
      <c r="N871" s="5"/>
      <c r="O871" s="5"/>
      <c r="P871" s="5"/>
      <c r="Q871" s="5"/>
      <c r="R871" s="5"/>
      <c r="S871" s="5"/>
      <c r="T871" s="5"/>
      <c r="U871" s="5"/>
      <c r="V871" s="5"/>
      <c r="W871" s="5"/>
    </row>
    <row r="872" spans="1:23" ht="16" x14ac:dyDescent="0.2">
      <c r="A872" s="5"/>
      <c r="B872" s="6"/>
      <c r="C872" s="6"/>
      <c r="D872" s="6"/>
      <c r="E872" s="6"/>
      <c r="F872" s="5"/>
      <c r="G872" s="5"/>
      <c r="H872" s="5"/>
      <c r="I872" s="5"/>
      <c r="J872" s="5"/>
      <c r="K872" s="5"/>
      <c r="L872" s="5"/>
      <c r="M872" s="5"/>
      <c r="N872" s="5"/>
      <c r="O872" s="5"/>
      <c r="P872" s="5"/>
      <c r="Q872" s="5"/>
      <c r="R872" s="5"/>
      <c r="S872" s="5"/>
      <c r="T872" s="5"/>
      <c r="U872" s="5"/>
      <c r="V872" s="5"/>
      <c r="W872" s="5"/>
    </row>
    <row r="873" spans="1:23" ht="16" x14ac:dyDescent="0.2">
      <c r="A873" s="5"/>
      <c r="B873" s="6"/>
      <c r="C873" s="6"/>
      <c r="D873" s="6"/>
      <c r="E873" s="6"/>
      <c r="F873" s="5"/>
      <c r="G873" s="5"/>
      <c r="H873" s="5"/>
      <c r="I873" s="5"/>
      <c r="J873" s="5"/>
      <c r="K873" s="5"/>
      <c r="L873" s="5"/>
      <c r="M873" s="5"/>
      <c r="N873" s="5"/>
      <c r="O873" s="5"/>
      <c r="P873" s="5"/>
      <c r="Q873" s="5"/>
      <c r="R873" s="5"/>
      <c r="S873" s="5"/>
      <c r="T873" s="5"/>
      <c r="U873" s="5"/>
      <c r="V873" s="5"/>
      <c r="W873" s="5"/>
    </row>
    <row r="874" spans="1:23" ht="16" x14ac:dyDescent="0.2">
      <c r="A874" s="5"/>
      <c r="B874" s="6"/>
      <c r="C874" s="6"/>
      <c r="D874" s="6"/>
      <c r="E874" s="6"/>
      <c r="F874" s="5"/>
      <c r="G874" s="5"/>
      <c r="H874" s="5"/>
      <c r="I874" s="5"/>
      <c r="J874" s="5"/>
      <c r="K874" s="5"/>
      <c r="L874" s="5"/>
      <c r="M874" s="5"/>
      <c r="N874" s="5"/>
      <c r="O874" s="5"/>
      <c r="P874" s="5"/>
      <c r="Q874" s="5"/>
      <c r="R874" s="5"/>
      <c r="S874" s="5"/>
      <c r="T874" s="5"/>
      <c r="U874" s="5"/>
      <c r="V874" s="5"/>
      <c r="W874" s="5"/>
    </row>
    <row r="875" spans="1:23" ht="16" x14ac:dyDescent="0.2">
      <c r="A875" s="5"/>
      <c r="B875" s="6"/>
      <c r="C875" s="6"/>
      <c r="D875" s="6"/>
      <c r="E875" s="6"/>
      <c r="F875" s="5"/>
      <c r="G875" s="5"/>
      <c r="H875" s="5"/>
      <c r="I875" s="5"/>
      <c r="J875" s="5"/>
      <c r="K875" s="5"/>
      <c r="L875" s="5"/>
      <c r="M875" s="5"/>
      <c r="N875" s="5"/>
      <c r="O875" s="5"/>
      <c r="P875" s="5"/>
      <c r="Q875" s="5"/>
      <c r="R875" s="5"/>
      <c r="S875" s="5"/>
      <c r="T875" s="5"/>
      <c r="U875" s="5"/>
      <c r="V875" s="5"/>
      <c r="W875" s="5"/>
    </row>
    <row r="876" spans="1:23" ht="16" x14ac:dyDescent="0.2">
      <c r="A876" s="5"/>
      <c r="B876" s="6"/>
      <c r="C876" s="6"/>
      <c r="D876" s="6"/>
      <c r="E876" s="6"/>
      <c r="F876" s="5"/>
      <c r="G876" s="5"/>
      <c r="H876" s="5"/>
      <c r="I876" s="5"/>
      <c r="J876" s="5"/>
      <c r="K876" s="5"/>
      <c r="L876" s="5"/>
      <c r="M876" s="5"/>
      <c r="N876" s="5"/>
      <c r="O876" s="5"/>
      <c r="P876" s="5"/>
      <c r="Q876" s="5"/>
      <c r="R876" s="5"/>
      <c r="S876" s="5"/>
      <c r="T876" s="5"/>
      <c r="U876" s="5"/>
      <c r="V876" s="5"/>
      <c r="W876" s="5"/>
    </row>
    <row r="877" spans="1:23" ht="16" x14ac:dyDescent="0.2">
      <c r="A877" s="5"/>
      <c r="B877" s="6"/>
      <c r="C877" s="6"/>
      <c r="D877" s="6"/>
      <c r="E877" s="6"/>
      <c r="F877" s="5"/>
      <c r="G877" s="5"/>
      <c r="H877" s="5"/>
      <c r="I877" s="5"/>
      <c r="J877" s="5"/>
      <c r="K877" s="5"/>
      <c r="L877" s="5"/>
      <c r="M877" s="5"/>
      <c r="N877" s="5"/>
      <c r="O877" s="5"/>
      <c r="P877" s="5"/>
      <c r="Q877" s="5"/>
      <c r="R877" s="5"/>
      <c r="S877" s="5"/>
      <c r="T877" s="5"/>
      <c r="U877" s="5"/>
      <c r="V877" s="5"/>
      <c r="W877" s="5"/>
    </row>
    <row r="878" spans="1:23" ht="16" x14ac:dyDescent="0.2">
      <c r="A878" s="5"/>
      <c r="B878" s="6"/>
      <c r="C878" s="6"/>
      <c r="D878" s="6"/>
      <c r="E878" s="6"/>
      <c r="F878" s="5"/>
      <c r="G878" s="5"/>
      <c r="H878" s="5"/>
      <c r="I878" s="5"/>
      <c r="J878" s="5"/>
      <c r="K878" s="5"/>
      <c r="L878" s="5"/>
      <c r="M878" s="5"/>
      <c r="N878" s="5"/>
      <c r="O878" s="5"/>
      <c r="P878" s="5"/>
      <c r="Q878" s="5"/>
      <c r="R878" s="5"/>
      <c r="S878" s="5"/>
      <c r="T878" s="5"/>
      <c r="U878" s="5"/>
      <c r="V878" s="5"/>
      <c r="W878" s="5"/>
    </row>
    <row r="879" spans="1:23" ht="16" x14ac:dyDescent="0.2">
      <c r="A879" s="5"/>
      <c r="B879" s="6"/>
      <c r="C879" s="6"/>
      <c r="D879" s="6"/>
      <c r="E879" s="6"/>
      <c r="F879" s="5"/>
      <c r="G879" s="5"/>
      <c r="H879" s="5"/>
      <c r="I879" s="5"/>
      <c r="J879" s="5"/>
      <c r="K879" s="5"/>
      <c r="L879" s="5"/>
      <c r="M879" s="5"/>
      <c r="N879" s="5"/>
      <c r="O879" s="5"/>
      <c r="P879" s="5"/>
      <c r="Q879" s="5"/>
      <c r="R879" s="5"/>
      <c r="S879" s="5"/>
      <c r="T879" s="5"/>
      <c r="U879" s="5"/>
      <c r="V879" s="5"/>
      <c r="W879" s="5"/>
    </row>
    <row r="880" spans="1:23" ht="16" x14ac:dyDescent="0.2">
      <c r="A880" s="5"/>
      <c r="B880" s="6"/>
      <c r="C880" s="6"/>
      <c r="D880" s="6"/>
      <c r="E880" s="6"/>
      <c r="F880" s="5"/>
      <c r="G880" s="5"/>
      <c r="H880" s="5"/>
      <c r="I880" s="5"/>
      <c r="J880" s="5"/>
      <c r="K880" s="5"/>
      <c r="L880" s="5"/>
      <c r="M880" s="5"/>
      <c r="N880" s="5"/>
      <c r="O880" s="5"/>
      <c r="P880" s="5"/>
      <c r="Q880" s="5"/>
      <c r="R880" s="5"/>
      <c r="S880" s="5"/>
      <c r="T880" s="5"/>
      <c r="U880" s="5"/>
      <c r="V880" s="5"/>
      <c r="W880" s="5"/>
    </row>
    <row r="881" spans="1:23" ht="16" x14ac:dyDescent="0.2">
      <c r="A881" s="5"/>
      <c r="B881" s="6"/>
      <c r="C881" s="6"/>
      <c r="D881" s="6"/>
      <c r="E881" s="6"/>
      <c r="F881" s="5"/>
      <c r="G881" s="5"/>
      <c r="H881" s="5"/>
      <c r="I881" s="5"/>
      <c r="J881" s="5"/>
      <c r="K881" s="5"/>
      <c r="L881" s="5"/>
      <c r="M881" s="5"/>
      <c r="N881" s="5"/>
      <c r="O881" s="5"/>
      <c r="P881" s="5"/>
      <c r="Q881" s="5"/>
      <c r="R881" s="5"/>
      <c r="S881" s="5"/>
      <c r="T881" s="5"/>
      <c r="U881" s="5"/>
      <c r="V881" s="5"/>
      <c r="W881" s="5"/>
    </row>
    <row r="882" spans="1:23" ht="16" x14ac:dyDescent="0.2">
      <c r="A882" s="5"/>
      <c r="B882" s="6"/>
      <c r="C882" s="6"/>
      <c r="D882" s="6"/>
      <c r="E882" s="6"/>
      <c r="F882" s="5"/>
      <c r="G882" s="5"/>
      <c r="H882" s="5"/>
      <c r="I882" s="5"/>
      <c r="J882" s="5"/>
      <c r="K882" s="5"/>
      <c r="L882" s="5"/>
      <c r="M882" s="5"/>
      <c r="N882" s="5"/>
      <c r="O882" s="5"/>
      <c r="P882" s="5"/>
      <c r="Q882" s="5"/>
      <c r="R882" s="5"/>
      <c r="S882" s="5"/>
      <c r="T882" s="5"/>
      <c r="U882" s="5"/>
      <c r="V882" s="5"/>
      <c r="W882" s="5"/>
    </row>
    <row r="883" spans="1:23" ht="16" x14ac:dyDescent="0.2">
      <c r="A883" s="5"/>
      <c r="B883" s="6"/>
      <c r="C883" s="6"/>
      <c r="D883" s="6"/>
      <c r="E883" s="6"/>
      <c r="F883" s="5"/>
      <c r="G883" s="5"/>
      <c r="H883" s="5"/>
      <c r="I883" s="5"/>
      <c r="J883" s="5"/>
      <c r="K883" s="5"/>
      <c r="L883" s="5"/>
      <c r="M883" s="5"/>
      <c r="N883" s="5"/>
      <c r="O883" s="5"/>
      <c r="P883" s="5"/>
      <c r="Q883" s="5"/>
      <c r="R883" s="5"/>
      <c r="S883" s="5"/>
      <c r="T883" s="5"/>
      <c r="U883" s="5"/>
      <c r="V883" s="5"/>
      <c r="W883" s="5"/>
    </row>
    <row r="884" spans="1:23" ht="16" x14ac:dyDescent="0.2">
      <c r="A884" s="5"/>
      <c r="B884" s="6"/>
      <c r="C884" s="6"/>
      <c r="D884" s="6"/>
      <c r="E884" s="6"/>
      <c r="F884" s="5"/>
      <c r="G884" s="5"/>
      <c r="H884" s="5"/>
      <c r="I884" s="5"/>
      <c r="J884" s="5"/>
      <c r="K884" s="5"/>
      <c r="L884" s="5"/>
      <c r="M884" s="5"/>
      <c r="N884" s="5"/>
      <c r="O884" s="5"/>
      <c r="P884" s="5"/>
      <c r="Q884" s="5"/>
      <c r="R884" s="5"/>
      <c r="S884" s="5"/>
      <c r="T884" s="5"/>
      <c r="U884" s="5"/>
      <c r="V884" s="5"/>
      <c r="W884" s="5"/>
    </row>
    <row r="885" spans="1:23" ht="16" x14ac:dyDescent="0.2">
      <c r="A885" s="5"/>
      <c r="B885" s="6"/>
      <c r="C885" s="6"/>
      <c r="D885" s="6"/>
      <c r="E885" s="6"/>
      <c r="F885" s="5"/>
      <c r="G885" s="5"/>
      <c r="H885" s="5"/>
      <c r="I885" s="5"/>
      <c r="J885" s="5"/>
      <c r="K885" s="5"/>
      <c r="L885" s="5"/>
      <c r="M885" s="5"/>
      <c r="N885" s="5"/>
      <c r="O885" s="5"/>
      <c r="P885" s="5"/>
      <c r="Q885" s="5"/>
      <c r="R885" s="5"/>
      <c r="S885" s="5"/>
      <c r="T885" s="5"/>
      <c r="U885" s="5"/>
      <c r="V885" s="5"/>
      <c r="W885" s="5"/>
    </row>
    <row r="886" spans="1:23" ht="16" x14ac:dyDescent="0.2">
      <c r="A886" s="5"/>
      <c r="B886" s="6"/>
      <c r="C886" s="6"/>
      <c r="D886" s="6"/>
      <c r="E886" s="6"/>
      <c r="F886" s="5"/>
      <c r="G886" s="5"/>
      <c r="H886" s="5"/>
      <c r="I886" s="5"/>
      <c r="J886" s="5"/>
      <c r="K886" s="5"/>
      <c r="L886" s="5"/>
      <c r="M886" s="5"/>
      <c r="N886" s="5"/>
      <c r="O886" s="5"/>
      <c r="P886" s="5"/>
      <c r="Q886" s="5"/>
      <c r="R886" s="5"/>
      <c r="S886" s="5"/>
      <c r="T886" s="5"/>
      <c r="U886" s="5"/>
      <c r="V886" s="5"/>
      <c r="W886" s="5"/>
    </row>
    <row r="887" spans="1:23" ht="16" x14ac:dyDescent="0.2">
      <c r="A887" s="5"/>
      <c r="B887" s="6"/>
      <c r="C887" s="6"/>
      <c r="D887" s="6"/>
      <c r="E887" s="6"/>
      <c r="F887" s="5"/>
      <c r="G887" s="5"/>
      <c r="H887" s="5"/>
      <c r="I887" s="5"/>
      <c r="J887" s="5"/>
      <c r="K887" s="5"/>
      <c r="L887" s="5"/>
      <c r="M887" s="5"/>
      <c r="N887" s="5"/>
      <c r="O887" s="5"/>
      <c r="P887" s="5"/>
      <c r="Q887" s="5"/>
      <c r="R887" s="5"/>
      <c r="S887" s="5"/>
      <c r="T887" s="5"/>
      <c r="U887" s="5"/>
      <c r="V887" s="5"/>
      <c r="W887" s="5"/>
    </row>
    <row r="888" spans="1:23" ht="16" x14ac:dyDescent="0.2">
      <c r="A888" s="5"/>
      <c r="B888" s="6"/>
      <c r="C888" s="6"/>
      <c r="D888" s="6"/>
      <c r="E888" s="6"/>
      <c r="F888" s="5"/>
      <c r="G888" s="5"/>
      <c r="H888" s="5"/>
      <c r="I888" s="5"/>
      <c r="J888" s="5"/>
      <c r="K888" s="5"/>
      <c r="L888" s="5"/>
      <c r="M888" s="5"/>
      <c r="N888" s="5"/>
      <c r="O888" s="5"/>
      <c r="P888" s="5"/>
      <c r="Q888" s="5"/>
      <c r="R888" s="5"/>
      <c r="S888" s="5"/>
      <c r="T888" s="5"/>
      <c r="U888" s="5"/>
      <c r="V888" s="5"/>
      <c r="W888" s="5"/>
    </row>
    <row r="889" spans="1:23" ht="16" x14ac:dyDescent="0.2">
      <c r="A889" s="5"/>
      <c r="B889" s="6"/>
      <c r="C889" s="6"/>
      <c r="D889" s="6"/>
      <c r="E889" s="6"/>
      <c r="F889" s="5"/>
      <c r="G889" s="5"/>
      <c r="H889" s="5"/>
      <c r="I889" s="5"/>
      <c r="J889" s="5"/>
      <c r="K889" s="5"/>
      <c r="L889" s="5"/>
      <c r="M889" s="5"/>
      <c r="N889" s="5"/>
      <c r="O889" s="5"/>
      <c r="P889" s="5"/>
      <c r="Q889" s="5"/>
      <c r="R889" s="5"/>
      <c r="S889" s="5"/>
      <c r="T889" s="5"/>
      <c r="U889" s="5"/>
      <c r="V889" s="5"/>
      <c r="W889" s="5"/>
    </row>
    <row r="890" spans="1:23" ht="16" x14ac:dyDescent="0.2">
      <c r="A890" s="5"/>
      <c r="B890" s="6"/>
      <c r="C890" s="6"/>
      <c r="D890" s="6"/>
      <c r="E890" s="6"/>
      <c r="F890" s="5"/>
      <c r="G890" s="5"/>
      <c r="H890" s="5"/>
      <c r="I890" s="5"/>
      <c r="J890" s="5"/>
      <c r="K890" s="5"/>
      <c r="L890" s="5"/>
      <c r="M890" s="5"/>
      <c r="N890" s="5"/>
      <c r="O890" s="5"/>
      <c r="P890" s="5"/>
      <c r="Q890" s="5"/>
      <c r="R890" s="5"/>
      <c r="S890" s="5"/>
      <c r="T890" s="5"/>
      <c r="U890" s="5"/>
      <c r="V890" s="5"/>
      <c r="W890" s="5"/>
    </row>
    <row r="891" spans="1:23" ht="16" x14ac:dyDescent="0.2">
      <c r="A891" s="5"/>
      <c r="B891" s="6"/>
      <c r="C891" s="6"/>
      <c r="D891" s="6"/>
      <c r="E891" s="6"/>
      <c r="F891" s="5"/>
      <c r="G891" s="5"/>
      <c r="H891" s="5"/>
      <c r="I891" s="5"/>
      <c r="J891" s="5"/>
      <c r="K891" s="5"/>
      <c r="L891" s="5"/>
      <c r="M891" s="5"/>
      <c r="N891" s="5"/>
      <c r="O891" s="5"/>
      <c r="P891" s="5"/>
      <c r="Q891" s="5"/>
      <c r="R891" s="5"/>
      <c r="S891" s="5"/>
      <c r="T891" s="5"/>
      <c r="U891" s="5"/>
      <c r="V891" s="5"/>
      <c r="W891" s="5"/>
    </row>
    <row r="892" spans="1:23" ht="16" x14ac:dyDescent="0.2">
      <c r="A892" s="5"/>
      <c r="B892" s="6"/>
      <c r="C892" s="6"/>
      <c r="D892" s="6"/>
      <c r="E892" s="6"/>
      <c r="F892" s="5"/>
      <c r="G892" s="5"/>
      <c r="H892" s="5"/>
      <c r="I892" s="5"/>
      <c r="J892" s="5"/>
      <c r="K892" s="5"/>
      <c r="L892" s="5"/>
      <c r="M892" s="5"/>
      <c r="N892" s="5"/>
      <c r="O892" s="5"/>
      <c r="P892" s="5"/>
      <c r="Q892" s="5"/>
      <c r="R892" s="5"/>
      <c r="S892" s="5"/>
      <c r="T892" s="5"/>
      <c r="U892" s="5"/>
      <c r="V892" s="5"/>
      <c r="W892" s="5"/>
    </row>
    <row r="893" spans="1:23" ht="16" x14ac:dyDescent="0.2">
      <c r="A893" s="5"/>
      <c r="B893" s="6"/>
      <c r="C893" s="6"/>
      <c r="D893" s="6"/>
      <c r="E893" s="6"/>
      <c r="F893" s="5"/>
      <c r="G893" s="5"/>
      <c r="H893" s="5"/>
      <c r="I893" s="5"/>
      <c r="J893" s="5"/>
      <c r="K893" s="5"/>
      <c r="L893" s="5"/>
      <c r="M893" s="5"/>
      <c r="N893" s="5"/>
      <c r="O893" s="5"/>
      <c r="P893" s="5"/>
      <c r="Q893" s="5"/>
      <c r="R893" s="5"/>
      <c r="S893" s="5"/>
      <c r="T893" s="5"/>
      <c r="U893" s="5"/>
      <c r="V893" s="5"/>
      <c r="W893" s="5"/>
    </row>
    <row r="894" spans="1:23" ht="16" x14ac:dyDescent="0.2">
      <c r="A894" s="5"/>
      <c r="B894" s="6"/>
      <c r="C894" s="6"/>
      <c r="D894" s="6"/>
      <c r="E894" s="6"/>
      <c r="F894" s="5"/>
      <c r="G894" s="5"/>
      <c r="H894" s="5"/>
      <c r="I894" s="5"/>
      <c r="J894" s="5"/>
      <c r="K894" s="5"/>
      <c r="L894" s="5"/>
      <c r="M894" s="5"/>
      <c r="N894" s="5"/>
      <c r="O894" s="5"/>
      <c r="P894" s="5"/>
      <c r="Q894" s="5"/>
      <c r="R894" s="5"/>
      <c r="S894" s="5"/>
      <c r="T894" s="5"/>
      <c r="U894" s="5"/>
      <c r="V894" s="5"/>
      <c r="W894" s="5"/>
    </row>
    <row r="895" spans="1:23" ht="16" x14ac:dyDescent="0.2">
      <c r="A895" s="5"/>
      <c r="B895" s="6"/>
      <c r="C895" s="6"/>
      <c r="D895" s="6"/>
      <c r="E895" s="6"/>
      <c r="F895" s="5"/>
      <c r="G895" s="5"/>
      <c r="H895" s="5"/>
      <c r="I895" s="5"/>
      <c r="J895" s="5"/>
      <c r="K895" s="5"/>
      <c r="L895" s="5"/>
      <c r="M895" s="5"/>
      <c r="N895" s="5"/>
      <c r="O895" s="5"/>
      <c r="P895" s="5"/>
      <c r="Q895" s="5"/>
      <c r="R895" s="5"/>
      <c r="S895" s="5"/>
      <c r="T895" s="5"/>
      <c r="U895" s="5"/>
      <c r="V895" s="5"/>
      <c r="W895" s="5"/>
    </row>
    <row r="896" spans="1:23" ht="16" x14ac:dyDescent="0.2">
      <c r="A896" s="5"/>
      <c r="B896" s="6"/>
      <c r="C896" s="6"/>
      <c r="D896" s="6"/>
      <c r="E896" s="6"/>
      <c r="F896" s="5"/>
      <c r="G896" s="5"/>
      <c r="H896" s="5"/>
      <c r="I896" s="5"/>
      <c r="J896" s="5"/>
      <c r="K896" s="5"/>
      <c r="L896" s="5"/>
      <c r="M896" s="5"/>
      <c r="N896" s="5"/>
      <c r="O896" s="5"/>
      <c r="P896" s="5"/>
      <c r="Q896" s="5"/>
      <c r="R896" s="5"/>
      <c r="S896" s="5"/>
      <c r="T896" s="5"/>
      <c r="U896" s="5"/>
      <c r="V896" s="5"/>
      <c r="W896" s="5"/>
    </row>
    <row r="897" spans="1:23" ht="16" x14ac:dyDescent="0.2">
      <c r="A897" s="5"/>
      <c r="B897" s="6"/>
      <c r="C897" s="6"/>
      <c r="D897" s="6"/>
      <c r="E897" s="6"/>
      <c r="F897" s="5"/>
      <c r="G897" s="5"/>
      <c r="H897" s="5"/>
      <c r="I897" s="5"/>
      <c r="J897" s="5"/>
      <c r="K897" s="5"/>
      <c r="L897" s="5"/>
      <c r="M897" s="5"/>
      <c r="N897" s="5"/>
      <c r="O897" s="5"/>
      <c r="P897" s="5"/>
      <c r="Q897" s="5"/>
      <c r="R897" s="5"/>
      <c r="S897" s="5"/>
      <c r="T897" s="5"/>
      <c r="U897" s="5"/>
      <c r="V897" s="5"/>
      <c r="W897" s="5"/>
    </row>
    <row r="898" spans="1:23" ht="16" x14ac:dyDescent="0.2">
      <c r="A898" s="5"/>
      <c r="B898" s="6"/>
      <c r="C898" s="6"/>
      <c r="D898" s="6"/>
      <c r="E898" s="6"/>
      <c r="F898" s="5"/>
      <c r="G898" s="5"/>
      <c r="H898" s="5"/>
      <c r="I898" s="5"/>
      <c r="J898" s="5"/>
      <c r="K898" s="5"/>
      <c r="L898" s="5"/>
      <c r="M898" s="5"/>
      <c r="N898" s="5"/>
      <c r="O898" s="5"/>
      <c r="P898" s="5"/>
      <c r="Q898" s="5"/>
      <c r="R898" s="5"/>
      <c r="S898" s="5"/>
      <c r="T898" s="5"/>
      <c r="U898" s="5"/>
      <c r="V898" s="5"/>
      <c r="W898" s="5"/>
    </row>
    <row r="899" spans="1:23" ht="16" x14ac:dyDescent="0.2">
      <c r="A899" s="5"/>
      <c r="B899" s="6"/>
      <c r="C899" s="6"/>
      <c r="D899" s="6"/>
      <c r="E899" s="6"/>
      <c r="F899" s="5"/>
      <c r="G899" s="5"/>
      <c r="H899" s="5"/>
      <c r="I899" s="5"/>
      <c r="J899" s="5"/>
      <c r="K899" s="5"/>
      <c r="L899" s="5"/>
      <c r="M899" s="5"/>
      <c r="N899" s="5"/>
      <c r="O899" s="5"/>
      <c r="P899" s="5"/>
      <c r="Q899" s="5"/>
      <c r="R899" s="5"/>
      <c r="S899" s="5"/>
      <c r="T899" s="5"/>
      <c r="U899" s="5"/>
      <c r="V899" s="5"/>
      <c r="W899" s="5"/>
    </row>
    <row r="900" spans="1:23" ht="16" x14ac:dyDescent="0.2">
      <c r="A900" s="5"/>
      <c r="B900" s="6"/>
      <c r="C900" s="6"/>
      <c r="D900" s="6"/>
      <c r="E900" s="6"/>
      <c r="F900" s="5"/>
      <c r="G900" s="5"/>
      <c r="H900" s="5"/>
      <c r="I900" s="5"/>
      <c r="J900" s="5"/>
      <c r="K900" s="5"/>
      <c r="L900" s="5"/>
      <c r="M900" s="5"/>
      <c r="N900" s="5"/>
      <c r="O900" s="5"/>
      <c r="P900" s="5"/>
      <c r="Q900" s="5"/>
      <c r="R900" s="5"/>
      <c r="S900" s="5"/>
      <c r="T900" s="5"/>
      <c r="U900" s="5"/>
      <c r="V900" s="5"/>
      <c r="W900" s="5"/>
    </row>
    <row r="901" spans="1:23" ht="16" x14ac:dyDescent="0.2">
      <c r="A901" s="5"/>
      <c r="B901" s="6"/>
      <c r="C901" s="6"/>
      <c r="D901" s="6"/>
      <c r="E901" s="6"/>
      <c r="F901" s="5"/>
      <c r="G901" s="5"/>
      <c r="H901" s="5"/>
      <c r="I901" s="5"/>
      <c r="J901" s="5"/>
      <c r="K901" s="5"/>
      <c r="L901" s="5"/>
      <c r="M901" s="5"/>
      <c r="N901" s="5"/>
      <c r="O901" s="5"/>
      <c r="P901" s="5"/>
      <c r="Q901" s="5"/>
      <c r="R901" s="5"/>
      <c r="S901" s="5"/>
      <c r="T901" s="5"/>
      <c r="U901" s="5"/>
      <c r="V901" s="5"/>
      <c r="W901" s="5"/>
    </row>
    <row r="902" spans="1:23" ht="16" x14ac:dyDescent="0.2">
      <c r="A902" s="5"/>
      <c r="B902" s="6"/>
      <c r="C902" s="6"/>
      <c r="D902" s="6"/>
      <c r="E902" s="6"/>
      <c r="F902" s="5"/>
      <c r="G902" s="5"/>
      <c r="H902" s="5"/>
      <c r="I902" s="5"/>
      <c r="J902" s="5"/>
      <c r="K902" s="5"/>
      <c r="L902" s="5"/>
      <c r="M902" s="5"/>
      <c r="N902" s="5"/>
      <c r="O902" s="5"/>
      <c r="P902" s="5"/>
      <c r="Q902" s="5"/>
      <c r="R902" s="5"/>
      <c r="S902" s="5"/>
      <c r="T902" s="5"/>
      <c r="U902" s="5"/>
      <c r="V902" s="5"/>
      <c r="W902" s="5"/>
    </row>
    <row r="903" spans="1:23" ht="16" x14ac:dyDescent="0.2">
      <c r="A903" s="5"/>
      <c r="B903" s="6"/>
      <c r="C903" s="6"/>
      <c r="D903" s="6"/>
      <c r="E903" s="6"/>
      <c r="F903" s="5"/>
      <c r="G903" s="5"/>
      <c r="H903" s="5"/>
      <c r="I903" s="5"/>
      <c r="J903" s="5"/>
      <c r="K903" s="5"/>
      <c r="L903" s="5"/>
      <c r="M903" s="5"/>
      <c r="N903" s="5"/>
      <c r="O903" s="5"/>
      <c r="P903" s="5"/>
      <c r="Q903" s="5"/>
      <c r="R903" s="5"/>
      <c r="S903" s="5"/>
      <c r="T903" s="5"/>
      <c r="U903" s="5"/>
      <c r="V903" s="5"/>
      <c r="W903" s="5"/>
    </row>
    <row r="904" spans="1:23" ht="16" x14ac:dyDescent="0.2">
      <c r="A904" s="5"/>
      <c r="B904" s="6"/>
      <c r="C904" s="6"/>
      <c r="D904" s="6"/>
      <c r="E904" s="6"/>
      <c r="F904" s="5"/>
      <c r="G904" s="5"/>
      <c r="H904" s="5"/>
      <c r="I904" s="5"/>
      <c r="J904" s="5"/>
      <c r="K904" s="5"/>
      <c r="L904" s="5"/>
      <c r="M904" s="5"/>
      <c r="N904" s="5"/>
      <c r="O904" s="5"/>
      <c r="P904" s="5"/>
      <c r="Q904" s="5"/>
      <c r="R904" s="5"/>
      <c r="S904" s="5"/>
      <c r="T904" s="5"/>
      <c r="U904" s="5"/>
      <c r="V904" s="5"/>
      <c r="W904" s="5"/>
    </row>
    <row r="905" spans="1:23" ht="16" x14ac:dyDescent="0.2">
      <c r="A905" s="5"/>
      <c r="B905" s="6"/>
      <c r="C905" s="6"/>
      <c r="D905" s="6"/>
      <c r="E905" s="6"/>
      <c r="F905" s="5"/>
      <c r="G905" s="5"/>
      <c r="H905" s="5"/>
      <c r="I905" s="5"/>
      <c r="J905" s="5"/>
      <c r="K905" s="5"/>
      <c r="L905" s="5"/>
      <c r="M905" s="5"/>
      <c r="N905" s="5"/>
      <c r="O905" s="5"/>
      <c r="P905" s="5"/>
      <c r="Q905" s="5"/>
      <c r="R905" s="5"/>
      <c r="S905" s="5"/>
      <c r="T905" s="5"/>
      <c r="U905" s="5"/>
      <c r="V905" s="5"/>
      <c r="W905" s="5"/>
    </row>
    <row r="906" spans="1:23" ht="16" x14ac:dyDescent="0.2">
      <c r="A906" s="5"/>
      <c r="B906" s="6"/>
      <c r="C906" s="6"/>
      <c r="D906" s="6"/>
      <c r="E906" s="6"/>
      <c r="F906" s="5"/>
      <c r="G906" s="5"/>
      <c r="H906" s="5"/>
      <c r="I906" s="5"/>
      <c r="J906" s="5"/>
      <c r="K906" s="5"/>
      <c r="L906" s="5"/>
      <c r="M906" s="5"/>
      <c r="N906" s="5"/>
      <c r="O906" s="5"/>
      <c r="P906" s="5"/>
      <c r="Q906" s="5"/>
      <c r="R906" s="5"/>
      <c r="S906" s="5"/>
      <c r="T906" s="5"/>
      <c r="U906" s="5"/>
      <c r="V906" s="5"/>
      <c r="W906" s="5"/>
    </row>
    <row r="907" spans="1:23" ht="16" x14ac:dyDescent="0.2">
      <c r="A907" s="5"/>
      <c r="B907" s="6"/>
      <c r="C907" s="6"/>
      <c r="D907" s="6"/>
      <c r="E907" s="6"/>
      <c r="F907" s="5"/>
      <c r="G907" s="5"/>
      <c r="H907" s="5"/>
      <c r="I907" s="5"/>
      <c r="J907" s="5"/>
      <c r="K907" s="5"/>
      <c r="L907" s="5"/>
      <c r="M907" s="5"/>
      <c r="N907" s="5"/>
      <c r="O907" s="5"/>
      <c r="P907" s="5"/>
      <c r="Q907" s="5"/>
      <c r="R907" s="5"/>
      <c r="S907" s="5"/>
      <c r="T907" s="5"/>
      <c r="U907" s="5"/>
      <c r="V907" s="5"/>
      <c r="W907" s="5"/>
    </row>
    <row r="908" spans="1:23" ht="16" x14ac:dyDescent="0.2">
      <c r="A908" s="5"/>
      <c r="B908" s="6"/>
      <c r="C908" s="6"/>
      <c r="D908" s="6"/>
      <c r="E908" s="6"/>
      <c r="F908" s="5"/>
      <c r="G908" s="5"/>
      <c r="H908" s="5"/>
      <c r="I908" s="5"/>
      <c r="J908" s="5"/>
      <c r="K908" s="5"/>
      <c r="L908" s="5"/>
      <c r="M908" s="5"/>
      <c r="N908" s="5"/>
      <c r="O908" s="5"/>
      <c r="P908" s="5"/>
      <c r="Q908" s="5"/>
      <c r="R908" s="5"/>
      <c r="S908" s="5"/>
      <c r="T908" s="5"/>
      <c r="U908" s="5"/>
      <c r="V908" s="5"/>
      <c r="W908" s="5"/>
    </row>
    <row r="909" spans="1:23" ht="16" x14ac:dyDescent="0.2">
      <c r="A909" s="5"/>
      <c r="B909" s="6"/>
      <c r="C909" s="6"/>
      <c r="D909" s="6"/>
      <c r="E909" s="6"/>
      <c r="F909" s="5"/>
      <c r="G909" s="5"/>
      <c r="H909" s="5"/>
      <c r="I909" s="5"/>
      <c r="J909" s="5"/>
      <c r="K909" s="5"/>
      <c r="L909" s="5"/>
      <c r="M909" s="5"/>
      <c r="N909" s="5"/>
      <c r="O909" s="5"/>
      <c r="P909" s="5"/>
      <c r="Q909" s="5"/>
      <c r="R909" s="5"/>
      <c r="S909" s="5"/>
      <c r="T909" s="5"/>
      <c r="U909" s="5"/>
      <c r="V909" s="5"/>
      <c r="W909" s="5"/>
    </row>
    <row r="910" spans="1:23" ht="16" x14ac:dyDescent="0.2">
      <c r="A910" s="5"/>
      <c r="B910" s="6"/>
      <c r="C910" s="6"/>
      <c r="D910" s="6"/>
      <c r="E910" s="6"/>
      <c r="F910" s="5"/>
      <c r="G910" s="5"/>
      <c r="H910" s="5"/>
      <c r="I910" s="5"/>
      <c r="J910" s="5"/>
      <c r="K910" s="5"/>
      <c r="L910" s="5"/>
      <c r="M910" s="5"/>
      <c r="N910" s="5"/>
      <c r="O910" s="5"/>
      <c r="P910" s="5"/>
      <c r="Q910" s="5"/>
      <c r="R910" s="5"/>
      <c r="S910" s="5"/>
      <c r="T910" s="5"/>
      <c r="U910" s="5"/>
      <c r="V910" s="5"/>
      <c r="W910" s="5"/>
    </row>
    <row r="911" spans="1:23" ht="16" x14ac:dyDescent="0.2">
      <c r="A911" s="5"/>
      <c r="B911" s="6"/>
      <c r="C911" s="6"/>
      <c r="D911" s="6"/>
      <c r="E911" s="6"/>
      <c r="F911" s="5"/>
      <c r="G911" s="5"/>
      <c r="H911" s="5"/>
      <c r="I911" s="5"/>
      <c r="J911" s="5"/>
      <c r="K911" s="5"/>
      <c r="L911" s="5"/>
      <c r="M911" s="5"/>
      <c r="N911" s="5"/>
      <c r="O911" s="5"/>
      <c r="P911" s="5"/>
      <c r="Q911" s="5"/>
      <c r="R911" s="5"/>
      <c r="S911" s="5"/>
      <c r="T911" s="5"/>
      <c r="U911" s="5"/>
      <c r="V911" s="5"/>
      <c r="W911" s="5"/>
    </row>
    <row r="912" spans="1:23" ht="16" x14ac:dyDescent="0.2">
      <c r="A912" s="5"/>
      <c r="B912" s="6"/>
      <c r="C912" s="6"/>
      <c r="D912" s="6"/>
      <c r="E912" s="6"/>
      <c r="F912" s="5"/>
      <c r="G912" s="5"/>
      <c r="H912" s="5"/>
      <c r="I912" s="5"/>
      <c r="J912" s="5"/>
      <c r="K912" s="5"/>
      <c r="L912" s="5"/>
      <c r="M912" s="5"/>
      <c r="N912" s="5"/>
      <c r="O912" s="5"/>
      <c r="P912" s="5"/>
      <c r="Q912" s="5"/>
      <c r="R912" s="5"/>
      <c r="S912" s="5"/>
      <c r="T912" s="5"/>
      <c r="U912" s="5"/>
      <c r="V912" s="5"/>
      <c r="W912" s="5"/>
    </row>
    <row r="913" spans="1:23" ht="16" x14ac:dyDescent="0.2">
      <c r="A913" s="5"/>
      <c r="B913" s="6"/>
      <c r="C913" s="6"/>
      <c r="D913" s="6"/>
      <c r="E913" s="6"/>
      <c r="F913" s="5"/>
      <c r="G913" s="5"/>
      <c r="H913" s="5"/>
      <c r="I913" s="5"/>
      <c r="J913" s="5"/>
      <c r="K913" s="5"/>
      <c r="L913" s="5"/>
      <c r="M913" s="5"/>
      <c r="N913" s="5"/>
      <c r="O913" s="5"/>
      <c r="P913" s="5"/>
      <c r="Q913" s="5"/>
      <c r="R913" s="5"/>
      <c r="S913" s="5"/>
      <c r="T913" s="5"/>
      <c r="U913" s="5"/>
      <c r="V913" s="5"/>
      <c r="W913" s="5"/>
    </row>
    <row r="914" spans="1:23" ht="16" x14ac:dyDescent="0.2">
      <c r="A914" s="5"/>
      <c r="B914" s="6"/>
      <c r="C914" s="6"/>
      <c r="D914" s="6"/>
      <c r="E914" s="6"/>
      <c r="F914" s="5"/>
      <c r="G914" s="5"/>
      <c r="H914" s="5"/>
      <c r="I914" s="5"/>
      <c r="J914" s="5"/>
      <c r="K914" s="5"/>
      <c r="L914" s="5"/>
      <c r="M914" s="5"/>
      <c r="N914" s="5"/>
      <c r="O914" s="5"/>
      <c r="P914" s="5"/>
      <c r="Q914" s="5"/>
      <c r="R914" s="5"/>
      <c r="S914" s="5"/>
      <c r="T914" s="5"/>
      <c r="U914" s="5"/>
      <c r="V914" s="5"/>
      <c r="W914" s="5"/>
    </row>
    <row r="915" spans="1:23" ht="16" x14ac:dyDescent="0.2">
      <c r="A915" s="5"/>
      <c r="B915" s="6"/>
      <c r="C915" s="6"/>
      <c r="D915" s="6"/>
      <c r="E915" s="6"/>
      <c r="F915" s="5"/>
      <c r="G915" s="5"/>
      <c r="H915" s="5"/>
      <c r="I915" s="5"/>
      <c r="J915" s="5"/>
      <c r="K915" s="5"/>
      <c r="L915" s="5"/>
      <c r="M915" s="5"/>
      <c r="N915" s="5"/>
      <c r="O915" s="5"/>
      <c r="P915" s="5"/>
      <c r="Q915" s="5"/>
      <c r="R915" s="5"/>
      <c r="S915" s="5"/>
      <c r="T915" s="5"/>
      <c r="U915" s="5"/>
      <c r="V915" s="5"/>
      <c r="W915" s="5"/>
    </row>
    <row r="916" spans="1:23" ht="16" x14ac:dyDescent="0.2">
      <c r="A916" s="5"/>
      <c r="B916" s="6"/>
      <c r="C916" s="6"/>
      <c r="D916" s="6"/>
      <c r="E916" s="6"/>
      <c r="F916" s="5"/>
      <c r="G916" s="5"/>
      <c r="H916" s="5"/>
      <c r="I916" s="5"/>
      <c r="J916" s="5"/>
      <c r="K916" s="5"/>
      <c r="L916" s="5"/>
      <c r="M916" s="5"/>
      <c r="N916" s="5"/>
      <c r="O916" s="5"/>
      <c r="P916" s="5"/>
      <c r="Q916" s="5"/>
      <c r="R916" s="5"/>
      <c r="S916" s="5"/>
      <c r="T916" s="5"/>
      <c r="U916" s="5"/>
      <c r="V916" s="5"/>
      <c r="W916" s="5"/>
    </row>
    <row r="917" spans="1:23" ht="16" x14ac:dyDescent="0.2">
      <c r="A917" s="5"/>
      <c r="B917" s="6"/>
      <c r="C917" s="6"/>
      <c r="D917" s="6"/>
      <c r="E917" s="6"/>
      <c r="F917" s="5"/>
      <c r="G917" s="5"/>
      <c r="H917" s="5"/>
      <c r="I917" s="5"/>
      <c r="J917" s="5"/>
      <c r="K917" s="5"/>
      <c r="L917" s="5"/>
      <c r="M917" s="5"/>
      <c r="N917" s="5"/>
      <c r="O917" s="5"/>
      <c r="P917" s="5"/>
      <c r="Q917" s="5"/>
      <c r="R917" s="5"/>
      <c r="S917" s="5"/>
      <c r="T917" s="5"/>
      <c r="U917" s="5"/>
      <c r="V917" s="5"/>
      <c r="W917" s="5"/>
    </row>
    <row r="918" spans="1:23" ht="16" x14ac:dyDescent="0.2">
      <c r="A918" s="5"/>
      <c r="B918" s="6"/>
      <c r="C918" s="6"/>
      <c r="D918" s="6"/>
      <c r="E918" s="6"/>
      <c r="F918" s="5"/>
      <c r="G918" s="5"/>
      <c r="H918" s="5"/>
      <c r="I918" s="5"/>
      <c r="J918" s="5"/>
      <c r="K918" s="5"/>
      <c r="L918" s="5"/>
      <c r="M918" s="5"/>
      <c r="N918" s="5"/>
      <c r="O918" s="5"/>
      <c r="P918" s="5"/>
      <c r="Q918" s="5"/>
      <c r="R918" s="5"/>
      <c r="S918" s="5"/>
      <c r="T918" s="5"/>
      <c r="U918" s="5"/>
      <c r="V918" s="5"/>
      <c r="W918" s="5"/>
    </row>
    <row r="919" spans="1:23" ht="16" x14ac:dyDescent="0.2">
      <c r="A919" s="5"/>
      <c r="B919" s="6"/>
      <c r="C919" s="6"/>
      <c r="D919" s="6"/>
      <c r="E919" s="6"/>
      <c r="F919" s="5"/>
      <c r="G919" s="5"/>
      <c r="H919" s="5"/>
      <c r="I919" s="5"/>
      <c r="J919" s="5"/>
      <c r="K919" s="5"/>
      <c r="L919" s="5"/>
      <c r="M919" s="5"/>
      <c r="N919" s="5"/>
      <c r="O919" s="5"/>
      <c r="P919" s="5"/>
      <c r="Q919" s="5"/>
      <c r="R919" s="5"/>
      <c r="S919" s="5"/>
      <c r="T919" s="5"/>
      <c r="U919" s="5"/>
      <c r="V919" s="5"/>
      <c r="W919" s="5"/>
    </row>
    <row r="920" spans="1:23" ht="16" x14ac:dyDescent="0.2">
      <c r="A920" s="5"/>
      <c r="B920" s="6"/>
      <c r="C920" s="6"/>
      <c r="D920" s="6"/>
      <c r="E920" s="6"/>
      <c r="F920" s="5"/>
      <c r="G920" s="5"/>
      <c r="H920" s="5"/>
      <c r="I920" s="5"/>
      <c r="J920" s="5"/>
      <c r="K920" s="5"/>
      <c r="L920" s="5"/>
      <c r="M920" s="5"/>
      <c r="N920" s="5"/>
      <c r="O920" s="5"/>
      <c r="P920" s="5"/>
      <c r="Q920" s="5"/>
      <c r="R920" s="5"/>
      <c r="S920" s="5"/>
      <c r="T920" s="5"/>
      <c r="U920" s="5"/>
      <c r="V920" s="5"/>
      <c r="W920" s="5"/>
    </row>
    <row r="921" spans="1:23" ht="16" x14ac:dyDescent="0.2">
      <c r="A921" s="5"/>
      <c r="B921" s="6"/>
      <c r="C921" s="6"/>
      <c r="D921" s="6"/>
      <c r="E921" s="6"/>
      <c r="F921" s="5"/>
      <c r="G921" s="5"/>
      <c r="H921" s="5"/>
      <c r="I921" s="5"/>
      <c r="J921" s="5"/>
      <c r="K921" s="5"/>
      <c r="L921" s="5"/>
      <c r="M921" s="5"/>
      <c r="N921" s="5"/>
      <c r="O921" s="5"/>
      <c r="P921" s="5"/>
      <c r="Q921" s="5"/>
      <c r="R921" s="5"/>
      <c r="S921" s="5"/>
      <c r="T921" s="5"/>
      <c r="U921" s="5"/>
      <c r="V921" s="5"/>
      <c r="W921" s="5"/>
    </row>
    <row r="922" spans="1:23" ht="16" x14ac:dyDescent="0.2">
      <c r="A922" s="5"/>
      <c r="B922" s="6"/>
      <c r="C922" s="6"/>
      <c r="D922" s="6"/>
      <c r="E922" s="6"/>
      <c r="F922" s="5"/>
      <c r="G922" s="5"/>
      <c r="H922" s="5"/>
      <c r="I922" s="5"/>
      <c r="J922" s="5"/>
      <c r="K922" s="5"/>
      <c r="L922" s="5"/>
      <c r="M922" s="5"/>
      <c r="N922" s="5"/>
      <c r="O922" s="5"/>
      <c r="P922" s="5"/>
      <c r="Q922" s="5"/>
      <c r="R922" s="5"/>
      <c r="S922" s="5"/>
      <c r="T922" s="5"/>
      <c r="U922" s="5"/>
      <c r="V922" s="5"/>
      <c r="W922" s="5"/>
    </row>
    <row r="923" spans="1:23" ht="16" x14ac:dyDescent="0.2">
      <c r="A923" s="5"/>
      <c r="B923" s="6"/>
      <c r="C923" s="6"/>
      <c r="D923" s="6"/>
      <c r="E923" s="6"/>
      <c r="F923" s="5"/>
      <c r="G923" s="5"/>
      <c r="H923" s="5"/>
      <c r="I923" s="5"/>
      <c r="J923" s="5"/>
      <c r="K923" s="5"/>
      <c r="L923" s="5"/>
      <c r="M923" s="5"/>
      <c r="N923" s="5"/>
      <c r="O923" s="5"/>
      <c r="P923" s="5"/>
      <c r="Q923" s="5"/>
      <c r="R923" s="5"/>
      <c r="S923" s="5"/>
      <c r="T923" s="5"/>
      <c r="U923" s="5"/>
      <c r="V923" s="5"/>
      <c r="W923" s="5"/>
    </row>
    <row r="924" spans="1:23" ht="16" x14ac:dyDescent="0.2">
      <c r="A924" s="5"/>
      <c r="B924" s="6"/>
      <c r="C924" s="6"/>
      <c r="D924" s="6"/>
      <c r="E924" s="6"/>
      <c r="F924" s="5"/>
      <c r="G924" s="5"/>
      <c r="H924" s="5"/>
      <c r="I924" s="5"/>
      <c r="J924" s="5"/>
      <c r="K924" s="5"/>
      <c r="L924" s="5"/>
      <c r="M924" s="5"/>
      <c r="N924" s="5"/>
      <c r="O924" s="5"/>
      <c r="P924" s="5"/>
      <c r="Q924" s="5"/>
      <c r="R924" s="5"/>
      <c r="S924" s="5"/>
      <c r="T924" s="5"/>
      <c r="U924" s="5"/>
      <c r="V924" s="5"/>
      <c r="W924" s="5"/>
    </row>
    <row r="925" spans="1:23" ht="16" x14ac:dyDescent="0.2">
      <c r="A925" s="5"/>
      <c r="B925" s="6"/>
      <c r="C925" s="6"/>
      <c r="D925" s="6"/>
      <c r="E925" s="6"/>
      <c r="F925" s="5"/>
      <c r="G925" s="5"/>
      <c r="H925" s="5"/>
      <c r="I925" s="5"/>
      <c r="J925" s="5"/>
      <c r="K925" s="5"/>
      <c r="L925" s="5"/>
      <c r="M925" s="5"/>
      <c r="N925" s="5"/>
      <c r="O925" s="5"/>
      <c r="P925" s="5"/>
      <c r="Q925" s="5"/>
      <c r="R925" s="5"/>
      <c r="S925" s="5"/>
      <c r="T925" s="5"/>
      <c r="U925" s="5"/>
      <c r="V925" s="5"/>
      <c r="W925" s="5"/>
    </row>
    <row r="926" spans="1:23" ht="16" x14ac:dyDescent="0.2">
      <c r="A926" s="5"/>
      <c r="B926" s="6"/>
      <c r="C926" s="6"/>
      <c r="D926" s="6"/>
      <c r="E926" s="6"/>
      <c r="F926" s="5"/>
      <c r="G926" s="5"/>
      <c r="H926" s="5"/>
      <c r="I926" s="5"/>
      <c r="J926" s="5"/>
      <c r="K926" s="5"/>
      <c r="L926" s="5"/>
      <c r="M926" s="5"/>
      <c r="N926" s="5"/>
      <c r="O926" s="5"/>
      <c r="P926" s="5"/>
      <c r="Q926" s="5"/>
      <c r="R926" s="5"/>
      <c r="S926" s="5"/>
      <c r="T926" s="5"/>
      <c r="U926" s="5"/>
      <c r="V926" s="5"/>
      <c r="W926" s="5"/>
    </row>
    <row r="927" spans="1:23" ht="16" x14ac:dyDescent="0.2">
      <c r="A927" s="5"/>
      <c r="B927" s="6"/>
      <c r="C927" s="6"/>
      <c r="D927" s="6"/>
      <c r="E927" s="6"/>
      <c r="F927" s="5"/>
      <c r="G927" s="5"/>
      <c r="H927" s="5"/>
      <c r="I927" s="5"/>
      <c r="J927" s="5"/>
      <c r="K927" s="5"/>
      <c r="L927" s="5"/>
      <c r="M927" s="5"/>
      <c r="N927" s="5"/>
      <c r="O927" s="5"/>
      <c r="P927" s="5"/>
      <c r="Q927" s="5"/>
      <c r="R927" s="5"/>
      <c r="S927" s="5"/>
      <c r="T927" s="5"/>
      <c r="U927" s="5"/>
      <c r="V927" s="5"/>
      <c r="W927" s="5"/>
    </row>
    <row r="928" spans="1:23" ht="16" x14ac:dyDescent="0.2">
      <c r="A928" s="5"/>
      <c r="B928" s="6"/>
      <c r="C928" s="6"/>
      <c r="D928" s="6"/>
      <c r="E928" s="6"/>
      <c r="F928" s="5"/>
      <c r="G928" s="5"/>
      <c r="H928" s="5"/>
      <c r="I928" s="5"/>
      <c r="J928" s="5"/>
      <c r="K928" s="5"/>
      <c r="L928" s="5"/>
      <c r="M928" s="5"/>
      <c r="N928" s="5"/>
      <c r="O928" s="5"/>
      <c r="P928" s="5"/>
      <c r="Q928" s="5"/>
      <c r="R928" s="5"/>
      <c r="S928" s="5"/>
      <c r="T928" s="5"/>
      <c r="U928" s="5"/>
      <c r="V928" s="5"/>
      <c r="W928" s="5"/>
    </row>
    <row r="929" spans="1:23" ht="16" x14ac:dyDescent="0.2">
      <c r="A929" s="5"/>
      <c r="B929" s="6"/>
      <c r="C929" s="6"/>
      <c r="D929" s="6"/>
      <c r="E929" s="6"/>
      <c r="F929" s="5"/>
      <c r="G929" s="5"/>
      <c r="H929" s="5"/>
      <c r="I929" s="5"/>
      <c r="J929" s="5"/>
      <c r="K929" s="5"/>
      <c r="L929" s="5"/>
      <c r="M929" s="5"/>
      <c r="N929" s="5"/>
      <c r="O929" s="5"/>
      <c r="P929" s="5"/>
      <c r="Q929" s="5"/>
      <c r="R929" s="5"/>
      <c r="S929" s="5"/>
      <c r="T929" s="5"/>
      <c r="U929" s="5"/>
      <c r="V929" s="5"/>
      <c r="W929" s="5"/>
    </row>
    <row r="930" spans="1:23" ht="16" x14ac:dyDescent="0.2">
      <c r="A930" s="5"/>
      <c r="B930" s="6"/>
      <c r="C930" s="6"/>
      <c r="D930" s="6"/>
      <c r="E930" s="6"/>
      <c r="F930" s="5"/>
      <c r="G930" s="5"/>
      <c r="H930" s="5"/>
      <c r="I930" s="5"/>
      <c r="J930" s="5"/>
      <c r="K930" s="5"/>
      <c r="L930" s="5"/>
      <c r="M930" s="5"/>
      <c r="N930" s="5"/>
      <c r="O930" s="5"/>
      <c r="P930" s="5"/>
      <c r="Q930" s="5"/>
      <c r="R930" s="5"/>
      <c r="S930" s="5"/>
      <c r="T930" s="5"/>
      <c r="U930" s="5"/>
      <c r="V930" s="5"/>
      <c r="W930" s="5"/>
    </row>
    <row r="931" spans="1:23" ht="16" x14ac:dyDescent="0.2">
      <c r="A931" s="5"/>
      <c r="B931" s="6"/>
      <c r="C931" s="6"/>
      <c r="D931" s="6"/>
      <c r="E931" s="6"/>
      <c r="F931" s="5"/>
      <c r="G931" s="5"/>
      <c r="H931" s="5"/>
      <c r="I931" s="5"/>
      <c r="J931" s="5"/>
      <c r="K931" s="5"/>
      <c r="L931" s="5"/>
      <c r="M931" s="5"/>
      <c r="N931" s="5"/>
      <c r="O931" s="5"/>
      <c r="P931" s="5"/>
      <c r="Q931" s="5"/>
      <c r="R931" s="5"/>
      <c r="S931" s="5"/>
      <c r="T931" s="5"/>
      <c r="U931" s="5"/>
      <c r="V931" s="5"/>
      <c r="W931" s="5"/>
    </row>
    <row r="932" spans="1:23" ht="16" x14ac:dyDescent="0.2">
      <c r="A932" s="5"/>
      <c r="B932" s="6"/>
      <c r="C932" s="6"/>
      <c r="D932" s="6"/>
      <c r="E932" s="6"/>
      <c r="F932" s="5"/>
      <c r="G932" s="5"/>
      <c r="H932" s="5"/>
      <c r="I932" s="5"/>
      <c r="J932" s="5"/>
      <c r="K932" s="5"/>
      <c r="L932" s="5"/>
      <c r="M932" s="5"/>
      <c r="N932" s="5"/>
      <c r="O932" s="5"/>
      <c r="P932" s="5"/>
      <c r="Q932" s="5"/>
      <c r="R932" s="5"/>
      <c r="S932" s="5"/>
      <c r="T932" s="5"/>
      <c r="U932" s="5"/>
      <c r="V932" s="5"/>
      <c r="W932" s="5"/>
    </row>
    <row r="933" spans="1:23" ht="16" x14ac:dyDescent="0.2">
      <c r="A933" s="5"/>
      <c r="B933" s="6"/>
      <c r="C933" s="6"/>
      <c r="D933" s="6"/>
      <c r="E933" s="6"/>
      <c r="F933" s="5"/>
      <c r="G933" s="5"/>
      <c r="H933" s="5"/>
      <c r="I933" s="5"/>
      <c r="J933" s="5"/>
      <c r="K933" s="5"/>
      <c r="L933" s="5"/>
      <c r="M933" s="5"/>
      <c r="N933" s="5"/>
      <c r="O933" s="5"/>
      <c r="P933" s="5"/>
      <c r="Q933" s="5"/>
      <c r="R933" s="5"/>
      <c r="S933" s="5"/>
      <c r="T933" s="5"/>
      <c r="U933" s="5"/>
      <c r="V933" s="5"/>
      <c r="W933" s="5"/>
    </row>
    <row r="934" spans="1:23" ht="16" x14ac:dyDescent="0.2">
      <c r="A934" s="5"/>
      <c r="B934" s="6"/>
      <c r="C934" s="6"/>
      <c r="D934" s="6"/>
      <c r="E934" s="6"/>
      <c r="F934" s="5"/>
      <c r="G934" s="5"/>
      <c r="H934" s="5"/>
      <c r="I934" s="5"/>
      <c r="J934" s="5"/>
      <c r="K934" s="5"/>
      <c r="L934" s="5"/>
      <c r="M934" s="5"/>
      <c r="N934" s="5"/>
      <c r="O934" s="5"/>
      <c r="P934" s="5"/>
      <c r="Q934" s="5"/>
      <c r="R934" s="5"/>
      <c r="S934" s="5"/>
      <c r="T934" s="5"/>
      <c r="U934" s="5"/>
      <c r="V934" s="5"/>
      <c r="W934" s="5"/>
    </row>
    <row r="935" spans="1:23" ht="16" x14ac:dyDescent="0.2">
      <c r="A935" s="5"/>
      <c r="B935" s="6"/>
      <c r="C935" s="6"/>
      <c r="D935" s="6"/>
      <c r="E935" s="6"/>
      <c r="F935" s="5"/>
      <c r="G935" s="5"/>
      <c r="H935" s="5"/>
      <c r="I935" s="5"/>
      <c r="J935" s="5"/>
      <c r="K935" s="5"/>
      <c r="L935" s="5"/>
      <c r="M935" s="5"/>
      <c r="N935" s="5"/>
      <c r="O935" s="5"/>
      <c r="P935" s="5"/>
      <c r="Q935" s="5"/>
      <c r="R935" s="5"/>
      <c r="S935" s="5"/>
      <c r="T935" s="5"/>
      <c r="U935" s="5"/>
      <c r="V935" s="5"/>
      <c r="W935" s="5"/>
    </row>
    <row r="936" spans="1:23" ht="16" x14ac:dyDescent="0.2">
      <c r="A936" s="5"/>
      <c r="B936" s="6"/>
      <c r="C936" s="6"/>
      <c r="D936" s="6"/>
      <c r="E936" s="6"/>
      <c r="F936" s="5"/>
      <c r="G936" s="5"/>
      <c r="H936" s="5"/>
      <c r="I936" s="5"/>
      <c r="J936" s="5"/>
      <c r="K936" s="5"/>
      <c r="L936" s="5"/>
      <c r="M936" s="5"/>
      <c r="N936" s="5"/>
      <c r="O936" s="5"/>
      <c r="P936" s="5"/>
      <c r="Q936" s="5"/>
      <c r="R936" s="5"/>
      <c r="S936" s="5"/>
      <c r="T936" s="5"/>
      <c r="U936" s="5"/>
      <c r="V936" s="5"/>
      <c r="W936" s="5"/>
    </row>
    <row r="937" spans="1:23" ht="16" x14ac:dyDescent="0.2">
      <c r="A937" s="5"/>
      <c r="B937" s="6"/>
      <c r="C937" s="6"/>
      <c r="D937" s="6"/>
      <c r="E937" s="6"/>
      <c r="F937" s="5"/>
      <c r="G937" s="5"/>
      <c r="H937" s="5"/>
      <c r="I937" s="5"/>
      <c r="J937" s="5"/>
      <c r="K937" s="5"/>
      <c r="L937" s="5"/>
      <c r="M937" s="5"/>
      <c r="N937" s="5"/>
      <c r="O937" s="5"/>
      <c r="P937" s="5"/>
      <c r="Q937" s="5"/>
      <c r="R937" s="5"/>
      <c r="S937" s="5"/>
      <c r="T937" s="5"/>
      <c r="U937" s="5"/>
      <c r="V937" s="5"/>
      <c r="W937" s="5"/>
    </row>
    <row r="938" spans="1:23" ht="16" x14ac:dyDescent="0.2">
      <c r="A938" s="5"/>
      <c r="B938" s="6"/>
      <c r="C938" s="6"/>
      <c r="D938" s="6"/>
      <c r="E938" s="6"/>
      <c r="F938" s="5"/>
      <c r="G938" s="5"/>
      <c r="H938" s="5"/>
      <c r="I938" s="5"/>
      <c r="J938" s="5"/>
      <c r="K938" s="5"/>
      <c r="L938" s="5"/>
      <c r="M938" s="5"/>
      <c r="N938" s="5"/>
      <c r="O938" s="5"/>
      <c r="P938" s="5"/>
      <c r="Q938" s="5"/>
      <c r="R938" s="5"/>
      <c r="S938" s="5"/>
      <c r="T938" s="5"/>
      <c r="U938" s="5"/>
      <c r="V938" s="5"/>
      <c r="W938" s="5"/>
    </row>
    <row r="939" spans="1:23" ht="16" x14ac:dyDescent="0.2">
      <c r="A939" s="5"/>
      <c r="B939" s="6"/>
      <c r="C939" s="6"/>
      <c r="D939" s="6"/>
      <c r="E939" s="6"/>
      <c r="F939" s="5"/>
      <c r="G939" s="5"/>
      <c r="H939" s="5"/>
      <c r="I939" s="5"/>
      <c r="J939" s="5"/>
      <c r="K939" s="5"/>
      <c r="L939" s="5"/>
      <c r="M939" s="5"/>
      <c r="N939" s="5"/>
      <c r="O939" s="5"/>
      <c r="P939" s="5"/>
      <c r="Q939" s="5"/>
      <c r="R939" s="5"/>
      <c r="S939" s="5"/>
      <c r="T939" s="5"/>
      <c r="U939" s="5"/>
      <c r="V939" s="5"/>
      <c r="W939" s="5"/>
    </row>
    <row r="940" spans="1:23" ht="16" x14ac:dyDescent="0.2">
      <c r="A940" s="5"/>
      <c r="B940" s="6"/>
      <c r="C940" s="6"/>
      <c r="D940" s="6"/>
      <c r="E940" s="6"/>
      <c r="F940" s="5"/>
      <c r="G940" s="5"/>
      <c r="H940" s="5"/>
      <c r="I940" s="5"/>
      <c r="J940" s="5"/>
      <c r="K940" s="5"/>
      <c r="L940" s="5"/>
      <c r="M940" s="5"/>
      <c r="N940" s="5"/>
      <c r="O940" s="5"/>
      <c r="P940" s="5"/>
      <c r="Q940" s="5"/>
      <c r="R940" s="5"/>
      <c r="S940" s="5"/>
      <c r="T940" s="5"/>
      <c r="U940" s="5"/>
      <c r="V940" s="5"/>
      <c r="W940" s="5"/>
    </row>
    <row r="941" spans="1:23" ht="16" x14ac:dyDescent="0.2">
      <c r="A941" s="5"/>
      <c r="B941" s="6"/>
      <c r="C941" s="6"/>
      <c r="D941" s="6"/>
      <c r="E941" s="6"/>
      <c r="F941" s="5"/>
      <c r="G941" s="5"/>
      <c r="H941" s="5"/>
      <c r="I941" s="5"/>
      <c r="J941" s="5"/>
      <c r="K941" s="5"/>
      <c r="L941" s="5"/>
      <c r="M941" s="5"/>
      <c r="N941" s="5"/>
      <c r="O941" s="5"/>
      <c r="P941" s="5"/>
      <c r="Q941" s="5"/>
      <c r="R941" s="5"/>
      <c r="S941" s="5"/>
      <c r="T941" s="5"/>
      <c r="U941" s="5"/>
      <c r="V941" s="5"/>
      <c r="W941" s="5"/>
    </row>
    <row r="942" spans="1:23" ht="16" x14ac:dyDescent="0.2">
      <c r="A942" s="5"/>
      <c r="B942" s="6"/>
      <c r="C942" s="6"/>
      <c r="D942" s="6"/>
      <c r="E942" s="6"/>
      <c r="F942" s="5"/>
      <c r="G942" s="5"/>
      <c r="H942" s="5"/>
      <c r="I942" s="5"/>
      <c r="J942" s="5"/>
      <c r="K942" s="5"/>
      <c r="L942" s="5"/>
      <c r="M942" s="5"/>
      <c r="N942" s="5"/>
      <c r="O942" s="5"/>
      <c r="P942" s="5"/>
      <c r="Q942" s="5"/>
      <c r="R942" s="5"/>
      <c r="S942" s="5"/>
      <c r="T942" s="5"/>
      <c r="U942" s="5"/>
      <c r="V942" s="5"/>
      <c r="W942" s="5"/>
    </row>
    <row r="943" spans="1:23" ht="16" x14ac:dyDescent="0.2">
      <c r="A943" s="5"/>
      <c r="B943" s="6"/>
      <c r="C943" s="6"/>
      <c r="D943" s="6"/>
      <c r="E943" s="6"/>
      <c r="F943" s="5"/>
      <c r="G943" s="5"/>
      <c r="H943" s="5"/>
      <c r="I943" s="5"/>
      <c r="J943" s="5"/>
      <c r="K943" s="5"/>
      <c r="L943" s="5"/>
      <c r="M943" s="5"/>
      <c r="N943" s="5"/>
      <c r="O943" s="5"/>
      <c r="P943" s="5"/>
      <c r="Q943" s="5"/>
      <c r="R943" s="5"/>
      <c r="S943" s="5"/>
      <c r="T943" s="5"/>
      <c r="U943" s="5"/>
      <c r="V943" s="5"/>
      <c r="W943" s="5"/>
    </row>
    <row r="944" spans="1:23" ht="16" x14ac:dyDescent="0.2">
      <c r="A944" s="5"/>
      <c r="B944" s="6"/>
      <c r="C944" s="6"/>
      <c r="D944" s="6"/>
      <c r="E944" s="6"/>
      <c r="F944" s="5"/>
      <c r="G944" s="5"/>
      <c r="H944" s="5"/>
      <c r="I944" s="5"/>
      <c r="J944" s="5"/>
      <c r="K944" s="5"/>
      <c r="L944" s="5"/>
      <c r="M944" s="5"/>
      <c r="N944" s="5"/>
      <c r="O944" s="5"/>
      <c r="P944" s="5"/>
      <c r="Q944" s="5"/>
      <c r="R944" s="5"/>
      <c r="S944" s="5"/>
      <c r="T944" s="5"/>
      <c r="U944" s="5"/>
      <c r="V944" s="5"/>
      <c r="W944" s="5"/>
    </row>
    <row r="945" spans="1:23" ht="16" x14ac:dyDescent="0.2">
      <c r="A945" s="5"/>
      <c r="B945" s="6"/>
      <c r="C945" s="6"/>
      <c r="D945" s="6"/>
      <c r="E945" s="6"/>
      <c r="F945" s="5"/>
      <c r="G945" s="5"/>
      <c r="H945" s="5"/>
      <c r="I945" s="5"/>
      <c r="J945" s="5"/>
      <c r="K945" s="5"/>
      <c r="L945" s="5"/>
      <c r="M945" s="5"/>
      <c r="N945" s="5"/>
      <c r="O945" s="5"/>
      <c r="P945" s="5"/>
      <c r="Q945" s="5"/>
      <c r="R945" s="5"/>
      <c r="S945" s="5"/>
      <c r="T945" s="5"/>
      <c r="U945" s="5"/>
      <c r="V945" s="5"/>
      <c r="W945" s="5"/>
    </row>
    <row r="946" spans="1:23" ht="16" x14ac:dyDescent="0.2">
      <c r="A946" s="5"/>
      <c r="B946" s="6"/>
      <c r="C946" s="6"/>
      <c r="D946" s="6"/>
      <c r="E946" s="6"/>
      <c r="F946" s="5"/>
      <c r="G946" s="5"/>
      <c r="H946" s="5"/>
      <c r="I946" s="5"/>
      <c r="J946" s="5"/>
      <c r="K946" s="5"/>
      <c r="L946" s="5"/>
      <c r="M946" s="5"/>
      <c r="N946" s="5"/>
      <c r="O946" s="5"/>
      <c r="P946" s="5"/>
      <c r="Q946" s="5"/>
      <c r="R946" s="5"/>
      <c r="S946" s="5"/>
      <c r="T946" s="5"/>
      <c r="U946" s="5"/>
      <c r="V946" s="5"/>
      <c r="W946" s="5"/>
    </row>
    <row r="947" spans="1:23" ht="16" x14ac:dyDescent="0.2">
      <c r="A947" s="5"/>
      <c r="B947" s="6"/>
      <c r="C947" s="6"/>
      <c r="D947" s="6"/>
      <c r="E947" s="6"/>
      <c r="F947" s="5"/>
      <c r="G947" s="5"/>
      <c r="H947" s="5"/>
      <c r="I947" s="5"/>
      <c r="J947" s="5"/>
      <c r="K947" s="5"/>
      <c r="L947" s="5"/>
      <c r="M947" s="5"/>
      <c r="N947" s="5"/>
      <c r="O947" s="5"/>
      <c r="P947" s="5"/>
      <c r="Q947" s="5"/>
      <c r="R947" s="5"/>
      <c r="S947" s="5"/>
      <c r="T947" s="5"/>
      <c r="U947" s="5"/>
      <c r="V947" s="5"/>
      <c r="W947" s="5"/>
    </row>
    <row r="948" spans="1:23" ht="16" x14ac:dyDescent="0.2">
      <c r="A948" s="5"/>
      <c r="B948" s="6"/>
      <c r="C948" s="6"/>
      <c r="D948" s="6"/>
      <c r="E948" s="6"/>
      <c r="F948" s="5"/>
      <c r="G948" s="5"/>
      <c r="H948" s="5"/>
      <c r="I948" s="5"/>
      <c r="J948" s="5"/>
      <c r="K948" s="5"/>
      <c r="L948" s="5"/>
      <c r="M948" s="5"/>
      <c r="N948" s="5"/>
      <c r="O948" s="5"/>
      <c r="P948" s="5"/>
      <c r="Q948" s="5"/>
      <c r="R948" s="5"/>
      <c r="S948" s="5"/>
      <c r="T948" s="5"/>
      <c r="U948" s="5"/>
      <c r="V948" s="5"/>
      <c r="W948" s="5"/>
    </row>
    <row r="949" spans="1:23" ht="16" x14ac:dyDescent="0.2">
      <c r="A949" s="5"/>
      <c r="B949" s="6"/>
      <c r="C949" s="6"/>
      <c r="D949" s="6"/>
      <c r="E949" s="6"/>
      <c r="F949" s="5"/>
      <c r="G949" s="5"/>
      <c r="H949" s="5"/>
      <c r="I949" s="5"/>
      <c r="J949" s="5"/>
      <c r="K949" s="5"/>
      <c r="L949" s="5"/>
      <c r="M949" s="5"/>
      <c r="N949" s="5"/>
      <c r="O949" s="5"/>
      <c r="P949" s="5"/>
      <c r="Q949" s="5"/>
      <c r="R949" s="5"/>
      <c r="S949" s="5"/>
      <c r="T949" s="5"/>
      <c r="U949" s="5"/>
      <c r="V949" s="5"/>
      <c r="W949" s="5"/>
    </row>
    <row r="950" spans="1:23" ht="16" x14ac:dyDescent="0.2">
      <c r="A950" s="5"/>
      <c r="B950" s="6"/>
      <c r="C950" s="6"/>
      <c r="D950" s="6"/>
      <c r="E950" s="6"/>
      <c r="F950" s="5"/>
      <c r="G950" s="5"/>
      <c r="H950" s="5"/>
      <c r="I950" s="5"/>
      <c r="J950" s="5"/>
      <c r="K950" s="5"/>
      <c r="L950" s="5"/>
      <c r="M950" s="5"/>
      <c r="N950" s="5"/>
      <c r="O950" s="5"/>
      <c r="P950" s="5"/>
      <c r="Q950" s="5"/>
      <c r="R950" s="5"/>
      <c r="S950" s="5"/>
      <c r="T950" s="5"/>
      <c r="U950" s="5"/>
      <c r="V950" s="5"/>
      <c r="W950" s="5"/>
    </row>
    <row r="951" spans="1:23" ht="16" x14ac:dyDescent="0.2">
      <c r="A951" s="5"/>
      <c r="B951" s="6"/>
      <c r="C951" s="6"/>
      <c r="D951" s="6"/>
      <c r="E951" s="6"/>
      <c r="F951" s="5"/>
      <c r="G951" s="5"/>
      <c r="H951" s="5"/>
      <c r="I951" s="5"/>
      <c r="J951" s="5"/>
      <c r="K951" s="5"/>
      <c r="L951" s="5"/>
      <c r="M951" s="5"/>
      <c r="N951" s="5"/>
      <c r="O951" s="5"/>
      <c r="P951" s="5"/>
      <c r="Q951" s="5"/>
      <c r="R951" s="5"/>
      <c r="S951" s="5"/>
      <c r="T951" s="5"/>
      <c r="U951" s="5"/>
      <c r="V951" s="5"/>
      <c r="W951" s="5"/>
    </row>
    <row r="952" spans="1:23" ht="16" x14ac:dyDescent="0.2">
      <c r="A952" s="5"/>
      <c r="B952" s="6"/>
      <c r="C952" s="6"/>
      <c r="D952" s="6"/>
      <c r="E952" s="6"/>
      <c r="F952" s="5"/>
      <c r="G952" s="5"/>
      <c r="H952" s="5"/>
      <c r="I952" s="5"/>
      <c r="J952" s="5"/>
      <c r="K952" s="5"/>
      <c r="L952" s="5"/>
      <c r="M952" s="5"/>
      <c r="N952" s="5"/>
      <c r="O952" s="5"/>
      <c r="P952" s="5"/>
      <c r="Q952" s="5"/>
      <c r="R952" s="5"/>
      <c r="S952" s="5"/>
      <c r="T952" s="5"/>
      <c r="U952" s="5"/>
      <c r="V952" s="5"/>
      <c r="W952" s="5"/>
    </row>
    <row r="953" spans="1:23" ht="16" x14ac:dyDescent="0.2">
      <c r="A953" s="5"/>
      <c r="B953" s="6"/>
      <c r="C953" s="6"/>
      <c r="D953" s="6"/>
      <c r="E953" s="6"/>
      <c r="F953" s="5"/>
      <c r="G953" s="5"/>
      <c r="H953" s="5"/>
      <c r="I953" s="5"/>
      <c r="J953" s="5"/>
      <c r="K953" s="5"/>
      <c r="L953" s="5"/>
      <c r="M953" s="5"/>
      <c r="N953" s="5"/>
      <c r="O953" s="5"/>
      <c r="P953" s="5"/>
      <c r="Q953" s="5"/>
      <c r="R953" s="5"/>
      <c r="S953" s="5"/>
      <c r="T953" s="5"/>
      <c r="U953" s="5"/>
      <c r="V953" s="5"/>
      <c r="W953" s="5"/>
    </row>
    <row r="954" spans="1:23" ht="16" x14ac:dyDescent="0.2">
      <c r="A954" s="5"/>
      <c r="B954" s="6"/>
      <c r="C954" s="6"/>
      <c r="D954" s="6"/>
      <c r="E954" s="6"/>
      <c r="F954" s="5"/>
      <c r="G954" s="5"/>
      <c r="H954" s="5"/>
      <c r="I954" s="5"/>
      <c r="J954" s="5"/>
      <c r="K954" s="5"/>
      <c r="L954" s="5"/>
      <c r="M954" s="5"/>
      <c r="N954" s="5"/>
      <c r="O954" s="5"/>
      <c r="P954" s="5"/>
      <c r="Q954" s="5"/>
      <c r="R954" s="5"/>
      <c r="S954" s="5"/>
      <c r="T954" s="5"/>
      <c r="U954" s="5"/>
      <c r="V954" s="5"/>
      <c r="W954" s="5"/>
    </row>
    <row r="955" spans="1:23" ht="16" x14ac:dyDescent="0.2">
      <c r="A955" s="5"/>
      <c r="B955" s="6"/>
      <c r="C955" s="6"/>
      <c r="D955" s="6"/>
      <c r="E955" s="6"/>
      <c r="F955" s="5"/>
      <c r="G955" s="5"/>
      <c r="H955" s="5"/>
      <c r="I955" s="5"/>
      <c r="J955" s="5"/>
      <c r="K955" s="5"/>
      <c r="L955" s="5"/>
      <c r="M955" s="5"/>
      <c r="N955" s="5"/>
      <c r="O955" s="5"/>
      <c r="P955" s="5"/>
      <c r="Q955" s="5"/>
      <c r="R955" s="5"/>
      <c r="S955" s="5"/>
      <c r="T955" s="5"/>
      <c r="U955" s="5"/>
      <c r="V955" s="5"/>
      <c r="W955" s="5"/>
    </row>
    <row r="956" spans="1:23" ht="16" x14ac:dyDescent="0.2">
      <c r="A956" s="5"/>
      <c r="B956" s="6"/>
      <c r="C956" s="6"/>
      <c r="D956" s="6"/>
      <c r="E956" s="6"/>
      <c r="F956" s="5"/>
      <c r="G956" s="5"/>
      <c r="H956" s="5"/>
      <c r="I956" s="5"/>
      <c r="J956" s="5"/>
      <c r="K956" s="5"/>
      <c r="L956" s="5"/>
      <c r="M956" s="5"/>
      <c r="N956" s="5"/>
      <c r="O956" s="5"/>
      <c r="P956" s="5"/>
      <c r="Q956" s="5"/>
      <c r="R956" s="5"/>
      <c r="S956" s="5"/>
      <c r="T956" s="5"/>
      <c r="U956" s="5"/>
      <c r="V956" s="5"/>
      <c r="W956" s="5"/>
    </row>
    <row r="957" spans="1:23" ht="16" x14ac:dyDescent="0.2">
      <c r="A957" s="5"/>
      <c r="B957" s="6"/>
      <c r="C957" s="6"/>
      <c r="D957" s="6"/>
      <c r="E957" s="6"/>
      <c r="F957" s="5"/>
      <c r="G957" s="5"/>
      <c r="H957" s="5"/>
      <c r="I957" s="5"/>
      <c r="J957" s="5"/>
      <c r="K957" s="5"/>
      <c r="L957" s="5"/>
      <c r="M957" s="5"/>
      <c r="N957" s="5"/>
      <c r="O957" s="5"/>
      <c r="P957" s="5"/>
      <c r="Q957" s="5"/>
      <c r="R957" s="5"/>
      <c r="S957" s="5"/>
      <c r="T957" s="5"/>
      <c r="U957" s="5"/>
      <c r="V957" s="5"/>
      <c r="W957" s="5"/>
    </row>
    <row r="958" spans="1:23" ht="16" x14ac:dyDescent="0.2">
      <c r="A958" s="5"/>
      <c r="B958" s="6"/>
      <c r="C958" s="6"/>
      <c r="D958" s="6"/>
      <c r="E958" s="6"/>
      <c r="F958" s="5"/>
      <c r="G958" s="5"/>
      <c r="H958" s="5"/>
      <c r="I958" s="5"/>
      <c r="J958" s="5"/>
      <c r="K958" s="5"/>
      <c r="L958" s="5"/>
      <c r="M958" s="5"/>
      <c r="N958" s="5"/>
      <c r="O958" s="5"/>
      <c r="P958" s="5"/>
      <c r="Q958" s="5"/>
      <c r="R958" s="5"/>
      <c r="S958" s="5"/>
      <c r="T958" s="5"/>
      <c r="U958" s="5"/>
      <c r="V958" s="5"/>
      <c r="W958" s="5"/>
    </row>
    <row r="959" spans="1:23" ht="16" x14ac:dyDescent="0.2">
      <c r="A959" s="5"/>
      <c r="B959" s="6"/>
      <c r="C959" s="6"/>
      <c r="D959" s="6"/>
      <c r="E959" s="6"/>
      <c r="F959" s="5"/>
      <c r="G959" s="5"/>
      <c r="H959" s="5"/>
      <c r="I959" s="5"/>
      <c r="J959" s="5"/>
      <c r="K959" s="5"/>
      <c r="L959" s="5"/>
      <c r="M959" s="5"/>
      <c r="N959" s="5"/>
      <c r="O959" s="5"/>
      <c r="P959" s="5"/>
      <c r="Q959" s="5"/>
      <c r="R959" s="5"/>
      <c r="S959" s="5"/>
      <c r="T959" s="5"/>
      <c r="U959" s="5"/>
      <c r="V959" s="5"/>
      <c r="W959" s="5"/>
    </row>
    <row r="960" spans="1:23" ht="16" x14ac:dyDescent="0.2">
      <c r="A960" s="5"/>
      <c r="B960" s="6"/>
      <c r="C960" s="6"/>
      <c r="D960" s="6"/>
      <c r="E960" s="6"/>
      <c r="F960" s="5"/>
      <c r="G960" s="5"/>
      <c r="H960" s="5"/>
      <c r="I960" s="5"/>
      <c r="J960" s="5"/>
      <c r="K960" s="5"/>
      <c r="L960" s="5"/>
      <c r="M960" s="5"/>
      <c r="N960" s="5"/>
      <c r="O960" s="5"/>
      <c r="P960" s="5"/>
      <c r="Q960" s="5"/>
      <c r="R960" s="5"/>
      <c r="S960" s="5"/>
      <c r="T960" s="5"/>
      <c r="U960" s="5"/>
      <c r="V960" s="5"/>
      <c r="W960" s="5"/>
    </row>
    <row r="961" spans="1:23" ht="16" x14ac:dyDescent="0.2">
      <c r="A961" s="5"/>
      <c r="B961" s="6"/>
      <c r="C961" s="6"/>
      <c r="D961" s="6"/>
      <c r="E961" s="6"/>
      <c r="F961" s="5"/>
      <c r="G961" s="5"/>
      <c r="H961" s="5"/>
      <c r="I961" s="5"/>
      <c r="J961" s="5"/>
      <c r="K961" s="5"/>
      <c r="L961" s="5"/>
      <c r="M961" s="5"/>
      <c r="N961" s="5"/>
      <c r="O961" s="5"/>
      <c r="P961" s="5"/>
      <c r="Q961" s="5"/>
      <c r="R961" s="5"/>
      <c r="S961" s="5"/>
      <c r="T961" s="5"/>
      <c r="U961" s="5"/>
      <c r="V961" s="5"/>
      <c r="W961" s="5"/>
    </row>
    <row r="962" spans="1:23" ht="16" x14ac:dyDescent="0.2">
      <c r="A962" s="5"/>
      <c r="B962" s="6"/>
      <c r="C962" s="6"/>
      <c r="D962" s="6"/>
      <c r="E962" s="6"/>
      <c r="F962" s="5"/>
      <c r="G962" s="5"/>
      <c r="H962" s="5"/>
      <c r="I962" s="5"/>
      <c r="J962" s="5"/>
      <c r="K962" s="5"/>
      <c r="L962" s="5"/>
      <c r="M962" s="5"/>
      <c r="N962" s="5"/>
      <c r="O962" s="5"/>
      <c r="P962" s="5"/>
      <c r="Q962" s="5"/>
      <c r="R962" s="5"/>
      <c r="S962" s="5"/>
      <c r="T962" s="5"/>
      <c r="U962" s="5"/>
      <c r="V962" s="5"/>
      <c r="W962" s="5"/>
    </row>
    <row r="963" spans="1:23" ht="16" x14ac:dyDescent="0.2">
      <c r="A963" s="5"/>
      <c r="B963" s="6"/>
      <c r="C963" s="6"/>
      <c r="D963" s="6"/>
      <c r="E963" s="6"/>
      <c r="F963" s="5"/>
      <c r="G963" s="5"/>
      <c r="H963" s="5"/>
      <c r="I963" s="5"/>
      <c r="J963" s="5"/>
      <c r="K963" s="5"/>
      <c r="L963" s="5"/>
      <c r="M963" s="5"/>
      <c r="N963" s="5"/>
      <c r="O963" s="5"/>
      <c r="P963" s="5"/>
      <c r="Q963" s="5"/>
      <c r="R963" s="5"/>
      <c r="S963" s="5"/>
      <c r="T963" s="5"/>
      <c r="U963" s="5"/>
      <c r="V963" s="5"/>
      <c r="W963" s="5"/>
    </row>
    <row r="964" spans="1:23" ht="16" x14ac:dyDescent="0.2">
      <c r="A964" s="5"/>
      <c r="B964" s="6"/>
      <c r="C964" s="6"/>
      <c r="D964" s="6"/>
      <c r="E964" s="6"/>
      <c r="F964" s="5"/>
      <c r="G964" s="5"/>
      <c r="H964" s="5"/>
      <c r="I964" s="5"/>
      <c r="J964" s="5"/>
      <c r="K964" s="5"/>
      <c r="L964" s="5"/>
      <c r="M964" s="5"/>
      <c r="N964" s="5"/>
      <c r="O964" s="5"/>
      <c r="P964" s="5"/>
      <c r="Q964" s="5"/>
      <c r="R964" s="5"/>
      <c r="S964" s="5"/>
      <c r="T964" s="5"/>
      <c r="U964" s="5"/>
      <c r="V964" s="5"/>
      <c r="W964" s="5"/>
    </row>
    <row r="965" spans="1:23" ht="16" x14ac:dyDescent="0.2">
      <c r="A965" s="5"/>
      <c r="B965" s="6"/>
      <c r="C965" s="6"/>
      <c r="D965" s="6"/>
      <c r="E965" s="6"/>
      <c r="F965" s="5"/>
      <c r="G965" s="5"/>
      <c r="H965" s="5"/>
      <c r="I965" s="5"/>
      <c r="J965" s="5"/>
      <c r="K965" s="5"/>
      <c r="L965" s="5"/>
      <c r="M965" s="5"/>
      <c r="N965" s="5"/>
      <c r="O965" s="5"/>
      <c r="P965" s="5"/>
      <c r="Q965" s="5"/>
      <c r="R965" s="5"/>
      <c r="S965" s="5"/>
      <c r="T965" s="5"/>
      <c r="U965" s="5"/>
      <c r="V965" s="5"/>
      <c r="W965" s="5"/>
    </row>
    <row r="966" spans="1:23" ht="16" x14ac:dyDescent="0.2">
      <c r="A966" s="5"/>
      <c r="B966" s="6"/>
      <c r="C966" s="6"/>
      <c r="D966" s="6"/>
      <c r="E966" s="6"/>
      <c r="F966" s="5"/>
      <c r="G966" s="5"/>
      <c r="H966" s="5"/>
      <c r="I966" s="5"/>
      <c r="J966" s="5"/>
      <c r="K966" s="5"/>
      <c r="L966" s="5"/>
      <c r="M966" s="5"/>
      <c r="N966" s="5"/>
      <c r="O966" s="5"/>
      <c r="P966" s="5"/>
      <c r="Q966" s="5"/>
      <c r="R966" s="5"/>
      <c r="S966" s="5"/>
      <c r="T966" s="5"/>
      <c r="U966" s="5"/>
      <c r="V966" s="5"/>
      <c r="W966" s="5"/>
    </row>
    <row r="967" spans="1:23" ht="16" x14ac:dyDescent="0.2">
      <c r="A967" s="5"/>
      <c r="B967" s="6"/>
      <c r="C967" s="6"/>
      <c r="D967" s="6"/>
      <c r="E967" s="6"/>
      <c r="F967" s="5"/>
      <c r="G967" s="5"/>
      <c r="H967" s="5"/>
      <c r="I967" s="5"/>
      <c r="J967" s="5"/>
      <c r="K967" s="5"/>
      <c r="L967" s="5"/>
      <c r="M967" s="5"/>
      <c r="N967" s="5"/>
      <c r="O967" s="5"/>
      <c r="P967" s="5"/>
      <c r="Q967" s="5"/>
      <c r="R967" s="5"/>
      <c r="S967" s="5"/>
      <c r="T967" s="5"/>
      <c r="U967" s="5"/>
      <c r="V967" s="5"/>
      <c r="W967" s="5"/>
    </row>
    <row r="968" spans="1:23" ht="16" x14ac:dyDescent="0.2">
      <c r="A968" s="5"/>
      <c r="B968" s="6"/>
      <c r="C968" s="6"/>
      <c r="D968" s="6"/>
      <c r="E968" s="6"/>
      <c r="F968" s="5"/>
      <c r="G968" s="5"/>
      <c r="H968" s="5"/>
      <c r="I968" s="5"/>
      <c r="J968" s="5"/>
      <c r="K968" s="5"/>
      <c r="L968" s="5"/>
      <c r="M968" s="5"/>
      <c r="N968" s="5"/>
      <c r="O968" s="5"/>
      <c r="P968" s="5"/>
      <c r="Q968" s="5"/>
      <c r="R968" s="5"/>
      <c r="S968" s="5"/>
      <c r="T968" s="5"/>
      <c r="U968" s="5"/>
      <c r="V968" s="5"/>
      <c r="W968" s="5"/>
    </row>
    <row r="969" spans="1:23" ht="16" x14ac:dyDescent="0.2">
      <c r="A969" s="5"/>
      <c r="B969" s="6"/>
      <c r="C969" s="6"/>
      <c r="D969" s="6"/>
      <c r="E969" s="6"/>
      <c r="F969" s="5"/>
      <c r="G969" s="5"/>
      <c r="H969" s="5"/>
      <c r="I969" s="5"/>
      <c r="J969" s="5"/>
      <c r="K969" s="5"/>
      <c r="L969" s="5"/>
      <c r="M969" s="5"/>
      <c r="N969" s="5"/>
      <c r="O969" s="5"/>
      <c r="P969" s="5"/>
      <c r="Q969" s="5"/>
      <c r="R969" s="5"/>
      <c r="S969" s="5"/>
      <c r="T969" s="5"/>
      <c r="U969" s="5"/>
      <c r="V969" s="5"/>
      <c r="W969" s="5"/>
    </row>
    <row r="970" spans="1:23" ht="16" x14ac:dyDescent="0.2">
      <c r="A970" s="5"/>
      <c r="B970" s="6"/>
      <c r="C970" s="6"/>
      <c r="D970" s="6"/>
      <c r="E970" s="6"/>
      <c r="F970" s="5"/>
      <c r="G970" s="5"/>
      <c r="H970" s="5"/>
      <c r="I970" s="5"/>
      <c r="J970" s="5"/>
      <c r="K970" s="5"/>
      <c r="L970" s="5"/>
      <c r="M970" s="5"/>
      <c r="N970" s="5"/>
      <c r="O970" s="5"/>
      <c r="P970" s="5"/>
      <c r="Q970" s="5"/>
      <c r="R970" s="5"/>
      <c r="S970" s="5"/>
      <c r="T970" s="5"/>
      <c r="U970" s="5"/>
      <c r="V970" s="5"/>
      <c r="W970" s="5"/>
    </row>
    <row r="971" spans="1:23" ht="16" x14ac:dyDescent="0.2">
      <c r="A971" s="5"/>
      <c r="B971" s="6"/>
      <c r="C971" s="6"/>
      <c r="D971" s="6"/>
      <c r="E971" s="6"/>
      <c r="F971" s="5"/>
      <c r="G971" s="5"/>
      <c r="H971" s="5"/>
      <c r="I971" s="5"/>
      <c r="J971" s="5"/>
      <c r="K971" s="5"/>
      <c r="L971" s="5"/>
      <c r="M971" s="5"/>
      <c r="N971" s="5"/>
      <c r="O971" s="5"/>
      <c r="P971" s="5"/>
      <c r="Q971" s="5"/>
      <c r="R971" s="5"/>
      <c r="S971" s="5"/>
      <c r="T971" s="5"/>
      <c r="U971" s="5"/>
      <c r="V971" s="5"/>
      <c r="W971" s="5"/>
    </row>
    <row r="972" spans="1:23" ht="16" x14ac:dyDescent="0.2">
      <c r="A972" s="5"/>
      <c r="B972" s="6"/>
      <c r="C972" s="6"/>
      <c r="D972" s="6"/>
      <c r="E972" s="6"/>
      <c r="F972" s="5"/>
      <c r="G972" s="5"/>
      <c r="H972" s="5"/>
      <c r="I972" s="5"/>
      <c r="J972" s="5"/>
      <c r="K972" s="5"/>
      <c r="L972" s="5"/>
      <c r="M972" s="5"/>
      <c r="N972" s="5"/>
      <c r="O972" s="5"/>
      <c r="P972" s="5"/>
      <c r="Q972" s="5"/>
      <c r="R972" s="5"/>
      <c r="S972" s="5"/>
      <c r="T972" s="5"/>
      <c r="U972" s="5"/>
      <c r="V972" s="5"/>
      <c r="W972" s="5"/>
    </row>
    <row r="973" spans="1:23" ht="16" x14ac:dyDescent="0.2">
      <c r="A973" s="5"/>
      <c r="B973" s="6"/>
      <c r="C973" s="6"/>
      <c r="D973" s="6"/>
      <c r="E973" s="6"/>
      <c r="F973" s="5"/>
      <c r="G973" s="5"/>
      <c r="H973" s="5"/>
      <c r="I973" s="5"/>
      <c r="J973" s="5"/>
      <c r="K973" s="5"/>
      <c r="L973" s="5"/>
      <c r="M973" s="5"/>
      <c r="N973" s="5"/>
      <c r="O973" s="5"/>
      <c r="P973" s="5"/>
      <c r="Q973" s="5"/>
      <c r="R973" s="5"/>
      <c r="S973" s="5"/>
      <c r="T973" s="5"/>
      <c r="U973" s="5"/>
      <c r="V973" s="5"/>
      <c r="W973" s="5"/>
    </row>
    <row r="974" spans="1:23" ht="16" x14ac:dyDescent="0.2">
      <c r="A974" s="5"/>
      <c r="B974" s="6"/>
      <c r="C974" s="6"/>
      <c r="D974" s="6"/>
      <c r="E974" s="6"/>
      <c r="F974" s="5"/>
      <c r="G974" s="5"/>
      <c r="H974" s="5"/>
      <c r="I974" s="5"/>
      <c r="J974" s="5"/>
      <c r="K974" s="5"/>
      <c r="L974" s="5"/>
      <c r="M974" s="5"/>
      <c r="N974" s="5"/>
      <c r="O974" s="5"/>
      <c r="P974" s="5"/>
      <c r="Q974" s="5"/>
      <c r="R974" s="5"/>
      <c r="S974" s="5"/>
      <c r="T974" s="5"/>
      <c r="U974" s="5"/>
      <c r="V974" s="5"/>
      <c r="W974" s="5"/>
    </row>
    <row r="975" spans="1:23" ht="16" x14ac:dyDescent="0.2">
      <c r="A975" s="5"/>
      <c r="B975" s="6"/>
      <c r="C975" s="6"/>
      <c r="D975" s="6"/>
      <c r="E975" s="6"/>
      <c r="F975" s="5"/>
      <c r="G975" s="5"/>
      <c r="H975" s="5"/>
      <c r="I975" s="5"/>
      <c r="J975" s="5"/>
      <c r="K975" s="5"/>
      <c r="L975" s="5"/>
      <c r="M975" s="5"/>
      <c r="N975" s="5"/>
      <c r="O975" s="5"/>
      <c r="P975" s="5"/>
      <c r="Q975" s="5"/>
      <c r="R975" s="5"/>
      <c r="S975" s="5"/>
      <c r="T975" s="5"/>
      <c r="U975" s="5"/>
      <c r="V975" s="5"/>
      <c r="W975" s="5"/>
    </row>
    <row r="976" spans="1:23" ht="16" x14ac:dyDescent="0.2">
      <c r="A976" s="5"/>
      <c r="B976" s="6"/>
      <c r="C976" s="6"/>
      <c r="D976" s="6"/>
      <c r="E976" s="6"/>
      <c r="F976" s="5"/>
      <c r="G976" s="5"/>
      <c r="H976" s="5"/>
      <c r="I976" s="5"/>
      <c r="J976" s="5"/>
      <c r="K976" s="5"/>
      <c r="L976" s="5"/>
      <c r="M976" s="5"/>
      <c r="N976" s="5"/>
      <c r="O976" s="5"/>
      <c r="P976" s="5"/>
      <c r="Q976" s="5"/>
      <c r="R976" s="5"/>
      <c r="S976" s="5"/>
      <c r="T976" s="5"/>
      <c r="U976" s="5"/>
      <c r="V976" s="5"/>
      <c r="W976" s="5"/>
    </row>
    <row r="977" spans="1:23" ht="16" x14ac:dyDescent="0.2">
      <c r="A977" s="5"/>
      <c r="B977" s="6"/>
      <c r="C977" s="6"/>
      <c r="D977" s="6"/>
      <c r="E977" s="6"/>
      <c r="F977" s="5"/>
      <c r="G977" s="5"/>
      <c r="H977" s="5"/>
      <c r="I977" s="5"/>
      <c r="J977" s="5"/>
      <c r="K977" s="5"/>
      <c r="L977" s="5"/>
      <c r="M977" s="5"/>
      <c r="N977" s="5"/>
      <c r="O977" s="5"/>
      <c r="P977" s="5"/>
      <c r="Q977" s="5"/>
      <c r="R977" s="5"/>
      <c r="S977" s="5"/>
      <c r="T977" s="5"/>
      <c r="U977" s="5"/>
      <c r="V977" s="5"/>
      <c r="W977" s="5"/>
    </row>
    <row r="978" spans="1:23" ht="16" x14ac:dyDescent="0.2">
      <c r="A978" s="5"/>
      <c r="B978" s="6"/>
      <c r="C978" s="6"/>
      <c r="D978" s="6"/>
      <c r="E978" s="6"/>
      <c r="F978" s="5"/>
      <c r="G978" s="5"/>
      <c r="H978" s="5"/>
      <c r="I978" s="5"/>
      <c r="J978" s="5"/>
      <c r="K978" s="5"/>
      <c r="L978" s="5"/>
      <c r="M978" s="5"/>
      <c r="N978" s="5"/>
      <c r="O978" s="5"/>
      <c r="P978" s="5"/>
      <c r="Q978" s="5"/>
      <c r="R978" s="5"/>
      <c r="S978" s="5"/>
      <c r="T978" s="5"/>
      <c r="U978" s="5"/>
      <c r="V978" s="5"/>
      <c r="W978" s="5"/>
    </row>
    <row r="979" spans="1:23" ht="16" x14ac:dyDescent="0.2">
      <c r="A979" s="5"/>
      <c r="B979" s="6"/>
      <c r="C979" s="6"/>
      <c r="D979" s="6"/>
      <c r="E979" s="6"/>
      <c r="F979" s="5"/>
      <c r="G979" s="5"/>
      <c r="H979" s="5"/>
      <c r="I979" s="5"/>
      <c r="J979" s="5"/>
      <c r="K979" s="5"/>
      <c r="L979" s="5"/>
      <c r="M979" s="5"/>
      <c r="N979" s="5"/>
      <c r="O979" s="5"/>
      <c r="P979" s="5"/>
      <c r="Q979" s="5"/>
      <c r="R979" s="5"/>
      <c r="S979" s="5"/>
      <c r="T979" s="5"/>
      <c r="U979" s="5"/>
      <c r="V979" s="5"/>
      <c r="W979" s="5"/>
    </row>
    <row r="980" spans="1:23" ht="16" x14ac:dyDescent="0.2">
      <c r="A980" s="5"/>
      <c r="B980" s="6"/>
      <c r="C980" s="6"/>
      <c r="D980" s="6"/>
      <c r="E980" s="6"/>
      <c r="F980" s="5"/>
      <c r="G980" s="5"/>
      <c r="H980" s="5"/>
      <c r="I980" s="5"/>
      <c r="J980" s="5"/>
      <c r="K980" s="5"/>
      <c r="L980" s="5"/>
      <c r="M980" s="5"/>
      <c r="N980" s="5"/>
      <c r="O980" s="5"/>
      <c r="P980" s="5"/>
      <c r="Q980" s="5"/>
      <c r="R980" s="5"/>
      <c r="S980" s="5"/>
      <c r="T980" s="5"/>
      <c r="U980" s="5"/>
      <c r="V980" s="5"/>
      <c r="W980" s="5"/>
    </row>
    <row r="981" spans="1:23" ht="16" x14ac:dyDescent="0.2">
      <c r="A981" s="5"/>
      <c r="B981" s="6"/>
      <c r="C981" s="6"/>
      <c r="D981" s="6"/>
      <c r="E981" s="6"/>
      <c r="F981" s="5"/>
      <c r="G981" s="5"/>
      <c r="H981" s="5"/>
      <c r="I981" s="5"/>
      <c r="J981" s="5"/>
      <c r="K981" s="5"/>
      <c r="L981" s="5"/>
      <c r="M981" s="5"/>
      <c r="N981" s="5"/>
      <c r="O981" s="5"/>
      <c r="P981" s="5"/>
      <c r="Q981" s="5"/>
      <c r="R981" s="5"/>
      <c r="S981" s="5"/>
      <c r="T981" s="5"/>
      <c r="U981" s="5"/>
      <c r="V981" s="5"/>
      <c r="W981" s="5"/>
    </row>
    <row r="982" spans="1:23" ht="16" x14ac:dyDescent="0.2">
      <c r="A982" s="5"/>
      <c r="B982" s="6"/>
      <c r="C982" s="6"/>
      <c r="D982" s="6"/>
      <c r="E982" s="6"/>
      <c r="F982" s="5"/>
      <c r="G982" s="5"/>
      <c r="H982" s="5"/>
      <c r="I982" s="5"/>
      <c r="J982" s="5"/>
      <c r="K982" s="5"/>
      <c r="L982" s="5"/>
      <c r="M982" s="5"/>
      <c r="N982" s="5"/>
      <c r="O982" s="5"/>
      <c r="P982" s="5"/>
      <c r="Q982" s="5"/>
      <c r="R982" s="5"/>
      <c r="S982" s="5"/>
      <c r="T982" s="5"/>
      <c r="U982" s="5"/>
      <c r="V982" s="5"/>
      <c r="W982" s="5"/>
    </row>
    <row r="983" spans="1:23" ht="16" x14ac:dyDescent="0.2">
      <c r="A983" s="5"/>
      <c r="B983" s="6"/>
      <c r="C983" s="6"/>
      <c r="D983" s="6"/>
      <c r="E983" s="6"/>
      <c r="F983" s="5"/>
      <c r="G983" s="5"/>
      <c r="H983" s="5"/>
      <c r="I983" s="5"/>
      <c r="J983" s="5"/>
      <c r="K983" s="5"/>
      <c r="L983" s="5"/>
      <c r="M983" s="5"/>
      <c r="N983" s="5"/>
      <c r="O983" s="5"/>
      <c r="P983" s="5"/>
      <c r="Q983" s="5"/>
      <c r="R983" s="5"/>
      <c r="S983" s="5"/>
      <c r="T983" s="5"/>
      <c r="U983" s="5"/>
      <c r="V983" s="5"/>
      <c r="W983" s="5"/>
    </row>
    <row r="984" spans="1:23" ht="16" x14ac:dyDescent="0.2">
      <c r="A984" s="5"/>
      <c r="B984" s="6"/>
      <c r="C984" s="6"/>
      <c r="D984" s="6"/>
      <c r="E984" s="6"/>
      <c r="F984" s="5"/>
      <c r="G984" s="5"/>
      <c r="H984" s="5"/>
      <c r="I984" s="5"/>
      <c r="J984" s="5"/>
      <c r="K984" s="5"/>
      <c r="L984" s="5"/>
      <c r="M984" s="5"/>
      <c r="N984" s="5"/>
      <c r="O984" s="5"/>
      <c r="P984" s="5"/>
      <c r="Q984" s="5"/>
      <c r="R984" s="5"/>
      <c r="S984" s="5"/>
      <c r="T984" s="5"/>
      <c r="U984" s="5"/>
      <c r="V984" s="5"/>
      <c r="W984" s="5"/>
    </row>
    <row r="985" spans="1:23" ht="16" x14ac:dyDescent="0.2">
      <c r="A985" s="5"/>
      <c r="B985" s="6"/>
      <c r="C985" s="6"/>
      <c r="D985" s="6"/>
      <c r="E985" s="6"/>
      <c r="F985" s="5"/>
      <c r="G985" s="5"/>
      <c r="H985" s="5"/>
      <c r="I985" s="5"/>
      <c r="J985" s="5"/>
      <c r="K985" s="5"/>
      <c r="L985" s="5"/>
      <c r="M985" s="5"/>
      <c r="N985" s="5"/>
      <c r="O985" s="5"/>
      <c r="P985" s="5"/>
      <c r="Q985" s="5"/>
      <c r="R985" s="5"/>
      <c r="S985" s="5"/>
      <c r="T985" s="5"/>
      <c r="U985" s="5"/>
      <c r="V985" s="5"/>
      <c r="W985" s="5"/>
    </row>
    <row r="986" spans="1:23" ht="16" x14ac:dyDescent="0.2">
      <c r="A986" s="5"/>
      <c r="B986" s="6"/>
      <c r="C986" s="6"/>
      <c r="D986" s="6"/>
      <c r="E986" s="6"/>
      <c r="F986" s="5"/>
      <c r="G986" s="5"/>
      <c r="H986" s="5"/>
      <c r="I986" s="5"/>
      <c r="J986" s="5"/>
      <c r="K986" s="5"/>
      <c r="L986" s="5"/>
      <c r="M986" s="5"/>
      <c r="N986" s="5"/>
      <c r="O986" s="5"/>
      <c r="P986" s="5"/>
      <c r="Q986" s="5"/>
      <c r="R986" s="5"/>
      <c r="S986" s="5"/>
      <c r="T986" s="5"/>
      <c r="U986" s="5"/>
      <c r="V986" s="5"/>
      <c r="W986" s="5"/>
    </row>
    <row r="987" spans="1:23" ht="16" x14ac:dyDescent="0.2">
      <c r="A987" s="5"/>
      <c r="B987" s="6"/>
      <c r="C987" s="6"/>
      <c r="D987" s="6"/>
      <c r="E987" s="6"/>
      <c r="F987" s="5"/>
      <c r="G987" s="5"/>
      <c r="H987" s="5"/>
      <c r="I987" s="5"/>
      <c r="J987" s="5"/>
      <c r="K987" s="5"/>
      <c r="L987" s="5"/>
      <c r="M987" s="5"/>
      <c r="N987" s="5"/>
      <c r="O987" s="5"/>
      <c r="P987" s="5"/>
      <c r="Q987" s="5"/>
      <c r="R987" s="5"/>
      <c r="S987" s="5"/>
      <c r="T987" s="5"/>
      <c r="U987" s="5"/>
      <c r="V987" s="5"/>
      <c r="W987" s="5"/>
    </row>
    <row r="988" spans="1:23" ht="16" x14ac:dyDescent="0.2">
      <c r="A988" s="5"/>
      <c r="B988" s="6"/>
      <c r="C988" s="6"/>
      <c r="D988" s="6"/>
      <c r="E988" s="6"/>
      <c r="F988" s="5"/>
      <c r="G988" s="5"/>
      <c r="H988" s="5"/>
      <c r="I988" s="5"/>
      <c r="J988" s="5"/>
      <c r="K988" s="5"/>
      <c r="L988" s="5"/>
      <c r="M988" s="5"/>
      <c r="N988" s="5"/>
      <c r="O988" s="5"/>
      <c r="P988" s="5"/>
      <c r="Q988" s="5"/>
      <c r="R988" s="5"/>
      <c r="S988" s="5"/>
      <c r="T988" s="5"/>
      <c r="U988" s="5"/>
      <c r="V988" s="5"/>
      <c r="W988" s="5"/>
    </row>
    <row r="989" spans="1:23" ht="16" x14ac:dyDescent="0.2">
      <c r="A989" s="5"/>
      <c r="B989" s="6"/>
      <c r="C989" s="6"/>
      <c r="D989" s="6"/>
      <c r="E989" s="6"/>
      <c r="F989" s="5"/>
      <c r="G989" s="5"/>
      <c r="H989" s="5"/>
      <c r="I989" s="5"/>
      <c r="J989" s="5"/>
      <c r="K989" s="5"/>
      <c r="L989" s="5"/>
      <c r="M989" s="5"/>
      <c r="N989" s="5"/>
      <c r="O989" s="5"/>
      <c r="P989" s="5"/>
      <c r="Q989" s="5"/>
      <c r="R989" s="5"/>
      <c r="S989" s="5"/>
      <c r="T989" s="5"/>
      <c r="U989" s="5"/>
      <c r="V989" s="5"/>
      <c r="W989" s="5"/>
    </row>
    <row r="990" spans="1:23" ht="16" x14ac:dyDescent="0.2">
      <c r="A990" s="5"/>
      <c r="B990" s="6"/>
      <c r="C990" s="6"/>
      <c r="D990" s="6"/>
      <c r="E990" s="6"/>
      <c r="F990" s="5"/>
      <c r="G990" s="5"/>
      <c r="H990" s="5"/>
      <c r="I990" s="5"/>
      <c r="J990" s="5"/>
      <c r="K990" s="5"/>
      <c r="L990" s="5"/>
      <c r="M990" s="5"/>
      <c r="N990" s="5"/>
      <c r="O990" s="5"/>
      <c r="P990" s="5"/>
      <c r="Q990" s="5"/>
      <c r="R990" s="5"/>
      <c r="S990" s="5"/>
      <c r="T990" s="5"/>
      <c r="U990" s="5"/>
      <c r="V990" s="5"/>
      <c r="W990" s="5"/>
    </row>
    <row r="991" spans="1:23" ht="16" x14ac:dyDescent="0.2">
      <c r="A991" s="5"/>
      <c r="B991" s="6"/>
      <c r="C991" s="6"/>
      <c r="D991" s="6"/>
      <c r="E991" s="6"/>
      <c r="F991" s="5"/>
      <c r="G991" s="5"/>
      <c r="H991" s="5"/>
      <c r="I991" s="5"/>
      <c r="J991" s="5"/>
      <c r="K991" s="5"/>
      <c r="L991" s="5"/>
      <c r="M991" s="5"/>
      <c r="N991" s="5"/>
      <c r="O991" s="5"/>
      <c r="P991" s="5"/>
      <c r="Q991" s="5"/>
      <c r="R991" s="5"/>
      <c r="S991" s="5"/>
      <c r="T991" s="5"/>
      <c r="U991" s="5"/>
      <c r="V991" s="5"/>
      <c r="W991" s="5"/>
    </row>
    <row r="992" spans="1:23" ht="16" x14ac:dyDescent="0.2">
      <c r="A992" s="5"/>
      <c r="B992" s="6"/>
      <c r="C992" s="6"/>
      <c r="D992" s="6"/>
      <c r="E992" s="6"/>
      <c r="F992" s="5"/>
      <c r="G992" s="5"/>
      <c r="H992" s="5"/>
      <c r="I992" s="5"/>
      <c r="J992" s="5"/>
      <c r="K992" s="5"/>
      <c r="L992" s="5"/>
      <c r="M992" s="5"/>
      <c r="N992" s="5"/>
      <c r="O992" s="5"/>
      <c r="P992" s="5"/>
      <c r="Q992" s="5"/>
      <c r="R992" s="5"/>
      <c r="S992" s="5"/>
      <c r="T992" s="5"/>
      <c r="U992" s="5"/>
      <c r="V992" s="5"/>
      <c r="W992" s="5"/>
    </row>
    <row r="993" spans="1:23" ht="16" x14ac:dyDescent="0.2">
      <c r="A993" s="5"/>
      <c r="B993" s="6"/>
      <c r="C993" s="6"/>
      <c r="D993" s="6"/>
      <c r="E993" s="6"/>
      <c r="F993" s="5"/>
      <c r="G993" s="5"/>
      <c r="H993" s="5"/>
      <c r="I993" s="5"/>
      <c r="J993" s="5"/>
      <c r="K993" s="5"/>
      <c r="L993" s="5"/>
      <c r="M993" s="5"/>
      <c r="N993" s="5"/>
      <c r="O993" s="5"/>
      <c r="P993" s="5"/>
      <c r="Q993" s="5"/>
      <c r="R993" s="5"/>
      <c r="S993" s="5"/>
      <c r="T993" s="5"/>
      <c r="U993" s="5"/>
      <c r="V993" s="5"/>
      <c r="W993" s="5"/>
    </row>
    <row r="994" spans="1:23" ht="16" x14ac:dyDescent="0.2">
      <c r="A994" s="5"/>
      <c r="B994" s="6"/>
      <c r="C994" s="6"/>
      <c r="D994" s="6"/>
      <c r="E994" s="6"/>
      <c r="F994" s="5"/>
      <c r="G994" s="5"/>
      <c r="H994" s="5"/>
      <c r="I994" s="5"/>
      <c r="J994" s="5"/>
      <c r="K994" s="5"/>
      <c r="L994" s="5"/>
      <c r="M994" s="5"/>
      <c r="N994" s="5"/>
      <c r="O994" s="5"/>
      <c r="P994" s="5"/>
      <c r="Q994" s="5"/>
      <c r="R994" s="5"/>
      <c r="S994" s="5"/>
      <c r="T994" s="5"/>
      <c r="U994" s="5"/>
      <c r="V994" s="5"/>
      <c r="W994" s="5"/>
    </row>
  </sheetData>
  <mergeCells count="1">
    <mergeCell ref="C11:D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Cohens Kappa - Raters A &amp; 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2025-12-05T18:59:13Z</dcterms:created>
  <dcterms:modified xsi:type="dcterms:W3CDTF">2025-12-05T19:20:01Z</dcterms:modified>
</cp:coreProperties>
</file>