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2/results/"/>
    </mc:Choice>
  </mc:AlternateContent>
  <xr:revisionPtr revIDLastSave="0" documentId="13_ncr:1_{536F73F4-99C1-7D4A-B5B7-B0DFABE57205}"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77"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B22" i="2"/>
  <c r="C21" i="2" l="1"/>
  <c r="C20" i="2"/>
  <c r="C23" i="2" s="1"/>
  <c r="B23" i="2"/>
</calcChain>
</file>

<file path=xl/sharedStrings.xml><?xml version="1.0" encoding="utf-8"?>
<sst xmlns="http://schemas.openxmlformats.org/spreadsheetml/2006/main" count="197" uniqueCount="120">
  <si>
    <t>Query</t>
  </si>
  <si>
    <t>Response</t>
  </si>
  <si>
    <t>['which studies examined the abstract in metadata?']</t>
  </si>
  <si>
    <t>Summary: Two studies examined the abstract in metadata.
DOI: 10.1162/qss_a_00286 -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
DOI: 10.48550/arXiv.2303.17661 - This study investigated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Although the abstract was not explicitly mentioned, the study focused on improving metadata quality, which could potentially include abstract metadata.
My lady, I hope this information is helpful. If you have any further questions or need more details, please let me know.</t>
  </si>
  <si>
    <t>['which studies examined citations?']</t>
  </si>
  <si>
    <t>Summary: Two studies examined citations.
DOI: 10.1108/JD-10-2022-0234 analysed reference elements, i.e. bibliographic references, mentions, quotations and respective in-text reference pointers, from 729 articles published in 147 journals across 27 subject areas. The outcomes of the analysis pointed out that bibliographic errors have been perpetuated for decades and that their possible causes have increased, despite the encouraged use of technological facilities, i.e. the reference managers. The study is the best recent available analysis of errors in referencing and citing practices in the literature since Sweetland (1989).</t>
  </si>
  <si>
    <t>['Tell me about Crossref.']</t>
  </si>
  <si>
    <t>Summary: Crossref is a sustainable source of community-owned scholarly metadata and open bibliographic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realise full openness of bibliographic metadata.
Is there anything else I can help you with, my lady?</t>
  </si>
  <si>
    <t>['Which papers evaluate the linguistic coverage or language-related metadata in scholarly databases?']</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</si>
  <si>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Using a quantitative approach, a random Crossref sample of more than 115,000 records was selected, which was then searched in seven databases. Seven characteristics were analyzed to observe fields that describe this information, the completeness rate of these fields, and the agreement among databases.
My lady, are there any other questions I can help with?</t>
  </si>
  <si>
    <t>['Which papers address funding metadata, its availability, or its analysis in scholarly databases?']</t>
  </si>
  <si>
    <t>Summary: Four papers address funding metadata, its availability, or its analysis in scholarly databases.
DOI: 10.1162/qss_a_00210 - This paper investigates the availability and completeness of open funder metadata, specifically focusing on publications funded by the Dutch Research Council (NWO). It examines 5,004 publications reported as NWO-funded and finds that only 67% contain funding information in Crossref, with varying degrees of acknowledgment of NWO as the funder. The study also compares funding metadata in Crossref with proprietary databases like Web of Science, Scopus, and Dimensions, highlighting differences in coverage and completeness.
DOI: 10.31222/osf.io/smxe5 - This paper explores Crossref as a source of open bibliographic metadata, including funding information. It provides an overview of the availability of six metadata elements in Crossref, showing improvements over time for journal articles. However, it also highlights the need for publishers to make further efforts to achieve full openness of bibliographic metadata.
DOI: 10.1162/qss_a_00212 - This study focuses on funding data for COVID-19 research, analyzing its open availability in Crossref and comparing it with proprietary databases like Scopus and Web of Science. The analysis reveals limited coverage and quality issues in funding data, particularly in Scopus, and offers recommendations for improving open funding data availability in Crossref.
DOI: 10.1162/qss_a_00286 - This research compares the completeness of publication metadata in eight free-access scholarly databases, including Dimensions, Google Scholar, and The Lens. It finds that third-party databases have higher metadata quality and completeness compared to academic search engines, which struggle with retrieving reliable descriptive data. The study highlights the loss of information in third-party databases due to integrating different sources.
My lady, I hope this information is helpful. If you have any further questions or need additional assistance, please let me know.</t>
  </si>
  <si>
    <t>['Which papers discuss the use of Retrieval-Augmented Generation (RAG) when used in applications?']</t>
  </si>
  <si>
    <t>Summary: I found four papers that discuss the use of Retrieval-Augmented Generation (RAG) in applications.
DOI: 10.1016/j.caeai.2025.100417
This paper discusses the use of RAG in education, specifically in interactive learning systems, educational content generation and assessment, and large-scale deployment in educational ecosystems.
DOI: 10.48550/arXiv.2406.13213
This paper introduces a new method called Multi-Meta-RAG, which improves RAG for multi-hop queries using database filtering with LLM-extracted metadata.
DOI: 10.1007/s44427-025-00006-3
This paper evaluates the use of open-source LLMs in RAG systems for academic and structured knowledge tasks, specifically in the context of diploma theses abstracts.
DOI: 10.6109/jkiice.2023.27.12.1489
This paper proposes a Metadata Retrieval-Augmented Generation (M-RAG) method for open-domain question answering, which shows significant performance improvements over conventional RAG methods.
My lady, I hope this information is helpful. If you have any further questions or need more details, please let me know.</t>
  </si>
  <si>
    <t>['What is Crossref’s role in the scholarly research ecosystem?']</t>
  </si>
  <si>
    <t>Summary: Crossref is a sustainable source of community-owned scholarly metadata that is collected and made available to publishers, authors, librarians, funders, and researchers.
DOI: 10.1162/qss_a_00022
Crossref is a sustainable source of community-owned scholarly metadata that is collected and made available to publishers, authors, librarians, funders, and researchers. Containing over 106 million records and expanding at an average rate of 11% a year, Crossref’s metadata has become one of the major sources of scholarly data.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If you have any further questions, please let me know.</t>
  </si>
  <si>
    <t>['What are the key features and limitations of OpenAlex as a bibliometric database?']</t>
  </si>
  <si>
    <t>Summary: OpenAlex is a new bibliographic database that is open and inclusive, with extensive coverage. It is a promising alternative to established proprietary sources such as Web of Science and Scopus. However, there are concerns about the quality and trustworthiness of its metadata, which may hinder its broader adoption.
DOI: 10.48550/arXiv.2404.17663 - OpenAlex is a superset of Scopus and can be a reliable alternative for some analyses, particularly at the country level. However, issues of metadata accuracy and completeness require additional research to fully comprehend and address OpenAlex's limitations.
DOI: 10.48550/arXiv.2508.18620 - OpenAlex's openness and extensive coverage are notable, but concerns about metadata quality may hinder its adoption. This study aims to assess metadata quality in OpenAlex and Web of Science, focusing on document type, publication year, language, and number of authors.
DOI: 10.48550/arXiv.2401.16359 - OpenAlex is a promising open source of scholarly metadata, but its rapid evolution raises questions about data trustworthiness. A large-scale study demonstrates that OpenAlex has comparable average source reference numbers and internal coverage rates to Web of Science and Scopus, but mixed results in other core metadata comparisons.
DOI: 10.48550/arXiv.2406.15154 - OpenAlex is becoming an important free alternative to established proprietary providers for bibliometric analyses. This study compares publication and document types in OpenAlex, Scopus, Web of Science, Semantic Scholar, and PubMed, highlighting differences in typologies and classification methods.
DOI: 10.48550/ARXIV.2205.01833 - OpenAlex is a new, fully-open scientific knowledge graph containing metadata for millions of works, authors, venues, institutions, and concepts. The dataset is fully and freely available, and future work will improve citation information and author/institution parsing.
My lady, I hope this summary meets your requirements. If you have any further questions or need additional information, please let me know.</t>
  </si>
  <si>
    <t>['What are the strengths and weaknesses of Web of Science (WoS) as a bibliometric database?']</t>
  </si>
  <si>
    <t>Summary: Web of Science (WoS) is a traditional bibliometric database that has been the foundation for research in the science of science. However, it has been criticised for systematically underrepresenting certain disciplines and world regions.
DOI: 10.48550/arXiv.2404.17663
I'm sorry, my lady, but I was unable to find any further information on the strengths and weaknesses of WoS. Would you like me to answer a different question?</t>
  </si>
  <si>
    <t>['How is RAG used to improve question answering or information retrieval systems?']</t>
  </si>
  <si>
    <t>Summary: Retrieval-Augmented Generation (RAG) is used to improve question answering and information retrieval systems by retrieving relevant information from external knowledge sources, enabling large language models (LLMs) to answer queries over previously unseen document collections.
DOI: 10.48550/arXiv.2406.13213 - Multi-Meta-RAG is a new method that uses database filtering with LLM-extracted metadata to improve the RAG selection of relevant documents from various sources, relevant to the question.
DOI: 10.6109/jkiice.2023.27.12.1489 - M-RAG is a method that utilizes embeddings with metadata and generative models to generate automated responses, enabling the generative model to understand the order and context of the document through metadata and answer it.
DOI: 10.1145/3637528.3671470 - RAG Meeting LLMs is a survey that comprehensively reviews existing research studies in Retrieval-Augmented Large Language Models (RA-LLMs), covering three primary technical perspectives and discussing current limitations and several promising directions for future research.
DOI: 10.48550/arXiv.2502.15005 - Socratic RAG Approach is a proposed RAG agent that maps natural language queries about research topics to precise, machine-interpretable semantic entities, combining RAG with Socratic dialogue to align a user's intuitive understanding of research topics with established Knowledge Organization Systems (KOSs).
DOI: 10.18653/v1/2024.eacl-demo.16 - RAGAs is a framework for reference-free evaluation of RAG pipelines, introducing a suite of metrics that can evaluate different dimensions of RAG architectures without relying on ground truth human annotations.
My lady, I hope this information is helpful. If you have any further questions or need more details,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</si>
  <si>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</si>
  <si>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journal traditions.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creating a one-size-fits-all metric for comparing scholarly impact across disciplines.
**Additional Context:**  
1. **Publication Culture:** Fields like biomedicine tend to produce more papers and citations per researcher compared to humanities or social sciences, where monographs and book chapters are more common.  
2. **Citation Practices:** Some fields (e.g., mathematics) cite fewer references per paper, while others (e.g., biology) cite extensively, making raw citation counts incomparable.  
3. **Field-Specific Impact Factors:** Journals in high-citation fields (e.g., physics) naturally have higher impact factors, skewing comparisons with low-citation fields (e.g., arts).  
4. **Time Lag:** Breakthroughs in some fields (e.g., computer science) are recognized quickly, while others (e.g., humanities) may take years to accrue citations.  
These challenges necessitate field-normalized metrics like the **Field-Weighted Citation Impact (FWCI)** or **Journal Normalized Citation Score**, which account for disciplinary differences. However, even these approaches have limitations, as they rely on accurate field categorization and citation databases.
If you'd like further details or a different perspective, my lady, please let me know!</t>
  </si>
  <si>
    <t>['What methods are used to detect and correct errors in bibliographic datasets?']</t>
  </si>
  <si>
    <t>Summary: I'm sorry, my lady, I could not find any information about methods used to detect and correct errors in bibliographic datasets.
DOI: 10.1007/s11192-022-04367-w discusses identifying and correcting invalid citations due to DOI errors in Crossref data.
DOI: 10.5281/ZENODO.6188748 discusses classes of errors in DOI names and an evaluation dataset.
Is there anything else I can help you with, my lady?</t>
  </si>
  <si>
    <t>['tell me about how RAG works.']</t>
  </si>
  <si>
    <t>Summary: Retrieval-Augmented Generation (RAG) is a system that enhances language models by incorporating external knowledge sources.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RAG enables retrieval of relevant information from an external knowledge source and allows large language models (LLMs) to answer queries over previously unseen document collections. However, traditional RAG applications perform poorly in answering multi-hop questions.
DOI: 10.1145/3681780.3697252: RAG is used to automate and enhance bibliometric analysis, addressing limitations of traditional methods by leveraging Generative AI models.
DOI: 10.1007/s44427-025-00006-3: RAG systems enhance language models by incorporating external knowledge sources. However, evaluating their effectiveness remains a challenge.
DOI: 10.48550/arXiv.2510.11195: RAG increases the reliability and trustworthiness of the LLM response and reduces hallucination by eliminating the need for model retraining.
My lady, I hope this information is helpful. If you have any further questions, please let me know.</t>
  </si>
  <si>
    <t>['What are the key challenges and advancements in metadata quality assessment?']</t>
  </si>
  <si>
    <t>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the identification of key quality dimensions, and the exploration of metadata quality issues across cultures.
DOI: 10.1177/09610006241239080 - This study emphasizes the importance of metadata quality research and highlights the need to improve the flexibility of metadata quality assessment tools. It identifies completeness, accuracy, consistency, accessibility, conformance, provenance, and timeliness as commonly used dimensions in metadata quality assessment but notes the lack of consensus on their definitions and measurements.
DOI: 10.1145/2964909 - This work aims to develop a generic metadata quality assessment framework for open data portals, addressing concerns about the quality of data sources and corresponding metadata. It defines several quality metrics that can be evaluated automatically and efficiently, contributing to a more complete understanding of metadata quality issues.
DOI: 10.5860/crl.86.1.101 - This study explores metadata quality issues across cultures, identifying 32 unique issues and classifying them into 5 categories. It highlights the impact of metadata quality, consistency, and completeness on individuals and communities, emphasizing the need to consider sociocultural representations and resource constraints in metadata quality assessment.
My lady, I hope this response addresses your question. If you have any further inquiries or would like more details on a specific aspect, please let me know.</t>
  </si>
  <si>
    <t>['What are the key challenges and potential solutions for improving metadata quality?']</t>
  </si>
  <si>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
DOI: 10.1177/09610006241239080 -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
My lady, I hope this answers your question.</t>
  </si>
  <si>
    <t>['What are the key challenges and advancements in Retrieval-Augmented Generation (RAG) systems?']</t>
  </si>
  <si>
    <t>Summary: Retrieval-Augmented Generation (RAG) systems have gained significant attention for their ability to enhance language models by incorporating external knowledge sources. However, evaluating the effectiveness of these systems remains a challenge, as both the retrieval and generation components must be assessed independently and in combination.
DOI: 10.1007/s44427-025-00006-3: This study aims to provide a comprehensive evaluation of open-source large language models (LLMs) within a RAG system, using a dataset derived from diploma theses abstracts. The authors generated a benchmark dataset consisting of 122 questions with reference answers, categorized into reasoning, fact-based, and summary-type questions. Using Elasticsearch as the retriever and several open-source LLMs as generators, they evaluated the system using the Ragas (Retrieval Augmented Generation Assessment) framework, focusing on retrieval effectiveness and answer quality.
DOI: 10.18653/v1/2024.eacl-demo.16: The authors introduce RAGAs (Retrieval Augmented Generation Assessment), a framework for reference-free evaluation of RAG pipelines. They discuss the challenges of evaluating RAG architectures, which include assessing the ability of the retrieval system to identify relevant context passages, the ability of the LLM to exploit such passages faithfully, and the quality of the generation itself.
DOI: 10.48550/arXiv.2406.13213: This paper introduces Multi-Meta-RAG, a new method that uses database filtering with LLM-extracted metadata to improve RAG selection of relevant documents for multi-hop queries. The authors found that Multi-Meta-RAG greatly improves the results on the MultiHop-RAG benchmark.
DOI: 10.6109/jkiice.2023.27.12.1489: The authors propose a Metadata Retrieval-Augmented Generation (M-RAG) method that can effectively search and answer questions with an open-domain Question Answering (ODQA) system. Their method utilizes embeddings with metadata and generative models to generate automated responses, resulting in a performance improvement of up to 46% compared to the same external inference ODQA system.
My lady, I hope this summary of the key challenges and advancements in RAG systems is helpful. If you have any further questions or would like more information on a specific aspect, please don't hesitate to ask.</t>
  </si>
  <si>
    <t>Summary: Two studies examined the abstract in metadata.
DOI: 10.1162/qss_a_00286 - This study compared the amount of metadata and the completeness degree of research publications in new academic databases. Seven characteristics were analyzed, including the abstract.
DOI: 10.5860/crl.86.1.101 - This study sought to understand how metadata quality, consistency, and completeness impact individuals and communities. By reviewing a non-random sample of 427 records, 32 unique issues were identified, including the abstract.
Is there anything else I can help you with, my lady?</t>
  </si>
  <si>
    <t>Summary: This study examined citing and referencing habits across all scholarly disciplines.
DOI: 10.1108/JD-10-2022-0234
The study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My lady, is there anything else I can help you with?</t>
  </si>
  <si>
    <t>Summary: Crossref is a sustainable source of community-owned scholarly metadata and a source of open bibliographic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</si>
  <si>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Can I help you with anything else, my lady?</t>
  </si>
  <si>
    <t>Summary: Three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DOI: 10.31222/osf.io/smxe5 - This paper presents an up-to-date overview of the availability of six metadata elements in Crossref: reference lists, abstracts, ORCIDs, author affiliations, funding information, and license information.
DOI: 10.1162/qss_a_00212 - This paper studies the open availability of funding data in Crossref, focusing on funding data for publications that report research related to COVID-19.
My lady, is there anything else I can help you with?</t>
  </si>
  <si>
    <t>I'm sorry, my lady, I am unable to answer your question.
Is there anything else I can help you with?</t>
  </si>
  <si>
    <t>Summary: Crossref is a sustainable source of community-owned scholarly metadata that is collected and made available for use in the scholarly research ecosystem.
DOI: 10.1162/qss_a_00022 - Crossref has over 106 million records and is expanding at an average rate of 11% a year. It has become a major source of scholarly data for publishers, authors, librarians, funders, and researchers.
DOI: 10.31222/osf.io/smxe5 - Crossref is a source of open bibliographic metadata and several initiatives have been taken to promote the open availability of bibliographic metadata of scholarly publications.
My lady, is there anything else I can help you with?</t>
  </si>
  <si>
    <t>Summary: OpenAlex is a new, open bibliometric database that has gained popularity for its extensive coverage and accessibility. However, concerns about metadata quality and rapid evolution have been raised, requiring further research to fully understand its limitations.
DOI: 10.48550/arXiv.2404.17663 - OpenAlex is a superset of Scopus, offering a reliable alternative for some analyses, particularly at the country level. However, metadata accuracy and completeness issues require additional research to fully comprehend and address its limitations.
DOI: 10.48550/arXiv.2508.18620 - OpenAlex's metadata quality is a concern, particularly regarding document type, publication year, language, and author count discrepancies. Addressing these issues is crucial for its broader adoption in research and evaluation.
DOI: 10.48550/arXiv.2401.16359 - OpenAlex has comparable average source reference numbers and internal coverage rates to Web of Science and Scopus, but its rapid evolution raises questions about data trustworthiness.
DOI: 10.48550/arXiv.2406.15154 - OpenAlex is becoming an important free alternative to established proprietary providers, but publication and document type classifications may vary across databases.
DOI: 10.48550/ARXIV.2205.01833 - OpenAlex is a fully-open scientific knowledge graph containing metadata for 209 million works, with ongoing development to improve citation information accuracy and author/institution parsing.
My lady, I hope this summary provides a comprehensive overview of OpenAlex's key features and limitations as a bibliometric database. If you have any further questions or would like more details on specific aspects, please let me know.</t>
  </si>
  <si>
    <t>Summary: I'm sorry, my lady, I couldn't find any information about the strengths and weaknesses of Web of Science (WoS) as a bibliometric database.
However, I did find information about the suitability of OpenAlex for bibliometric analyses and a comparison of bibliographic data sources, including Web of Science.
DOI: 10.48550/arXiv.2404.17663 discusses the suitability of OpenAlex for bibliometric analyses and compares it with Scopus. The study concludes that OpenAlex is a reliable alternative for some analyses, particularly at the country level. However, it also highlights issues with metadata accuracy and completeness, suggesting that additional research is needed to fully comprehend and address OpenAlex's limitations.
DOI: 10.1162/qss_a_00112 presents a large-scale comparison of five multidisciplinary bibliographic data sources, including Web of Science. The study emphasizes the importance of combining comprehensive coverage of scientific literature with flexible filters for selecting literature. However, it does not specifically discuss the strengths and weaknesses of Web of Science.
My lady, would you like me to assist you with another question?</t>
  </si>
  <si>
    <t>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
DOI: 10.48550/arXiv.2406.13213 - This paper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10.1145/3637528.3671470 - This survey comprehensively reviews existing research studies in Retrieval-Augmented Large Language Models (RA-LLMs), covering three primary technical perspectives and discussing current limitations and several promising directions for future research.
DOI: 10.48550/arXiv.2502.15005 - This paper proposes a RAG agent that maps natural language queries about research topics to precise, machine-interpretable semantic entities by combining RAG with Socratic dialogue.
DOI: 10.18653/v1/2024.eacl-demo.16 - This paper introduces RAGAs, a framework for reference-free evaluation of RAG pipelines, which can evaluate different dimensions of RAG architectures without relying on ground truth human annotations.
My lady, I hope this information is helpful. If you have any further questions, please don't hesitate to ask.</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</si>
  <si>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disciplinary norms on metric interpretation.
**DOI:** 10.1073/pnas.1616297114  
This article, "The Leiden Manifesto for Research Metrics," discusses the importance of considering field-specific differences when applying citation metrics. It highlights that fields vary in their publication rates, citation practices, and the types of journals they use, making direct comparisons between disciplines problematic. The authors argue for a more nuanced approach to research evaluation that takes these differences into account.
**Additional Challenges:**
1. **Publication Practices:** Some fields, like biomedicine, publish more frequently and in larger volumes compared to fields like mathematics or humanities, where publications are fewer but often more impactful.
2. **Citation Rates:** Citation density varies widely across disciplines. For example, physics and mathematics tend to have lower citation rates per paper compared to molecular biology or clinical medicine.
3. **Journal Culture:** The prestige and impact of journals differ across fields, and some disciplines rely more heavily on conference proceedings or books, which are not always captured in citation databases.
4. **Time to Impact:** The time it takes for research to be cited varies by field. Fast-paced fields like computer science may see rapid citation accumulation, whereas humanities research may take years to gain recognition.
These challenges underscore the need for field-normalized metrics, such as those provided by the **Field-Weighted Citation Impact (FWCI)**, which adjusts citation counts based on disciplinary averages.
If you'd like further details or a different perspective, my lady, please let me know!</t>
  </si>
  <si>
    <t>Summary: I'm sorry, my lady, I am unable to answer your question.
DOI: 10.1007/s11192-022-04367-w and 10.5281/ZENODO.6188748 both discuss methods for identifying and correcting errors in bibliographic datasets, but do not specify what these methods are.</t>
  </si>
  <si>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reducing the risk of hallucinations.
DOI: 10.48550/arXiv.2406.13213 - RAG enables retrieval of relevant information from an external knowledge source, allowing large language models (LLMs) to answer queries over previously unseen document collections.
DOI: 10.1145/3681780.3697252 - RAG is used to automate and enhance bibliometric analysis, addressing limitations of traditional methods by leveraging Generative AI models, specifically transformers.
DOI: 10.1007/s44427-025-00006-3 - RAG systems have gained significant attention for their ability to enhance language models, but evaluating their effectiveness remains a challenge.
DOI: 10.48550/arXiv.2510.11195 - RAG increases the reliability and trustworthiness of LLM responses and reduces hallucination by eliminating the need for model retraining.
My lady, I hope this information is helpful. If you have any further questions, please let me know.</t>
  </si>
  <si>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and the application of qualitative and quantitative content analysis techniques to evaluate metadata records.
DOI: 10.1177/09610006241239080 - This study highlights the importance of metadata quality assessment, identifying commonly used dimensions and emphasizing the need for further investigation into less commonly assessed quality dimensions. It also notes the prominence of digital repositories and open government data as research subjects.
DOI: 10.1145/2964909 - This work focuses on developing a generic metadata quality assessment framework for open data portals, addressing concerns about data searchability, discoverability, and usability. It introduces automated quality metrics and reports findings from monitoring a large set of open data portals.
DOI: 10.1109/ADL.1998.670425 - This research discusses the application of qualitative and quantitative content analysis techniques to assess metadata records, concluding that different types of metadata may require different evaluation criteria and procedures.
My lady, I hope this information is helpful. If you have any further questions or need more details,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</si>
  <si>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Methods to automatically detect, correct, and canonicalize scholarly metadata are investigated, using seven key fields of electronic theses and dissertations (ETDs) as a case study. A framework called MetaEnhance is proposed, which utilizes state-of-the-art artificial intelligence methods to improve the quality of these fields. To evaluate MetaEnhance, a metadata quality evaluation benchmark containing 500 ETDs is compiled, and the proposed methods achieve nearly perfect F1-scores in detecting errors and F1-scores in correcting errors ranging from 0.85 to 1.00 for five of seven fields.
DOI: 10.5860/crl.86.1.101 - Metadata serves discovery and access by providing contextual, technical, and administrative information in a standard form. However, metadata is also a site of tension between sociocultural representations, resource constraints, and standardized systems. Formal and informal interventions may be interpreted as quality issues, political acts to assert identity, or strategic choices to maximize visibility. A review of 427 records identifies 32 unique issues and classifies them into 5 categories to better explain how metadata and communities interact to reflect cultural meanings.
DOI: 10.1177/09610006241239080 - Metadata plays a pivotal role in various aspects, including data retrieval and search, data organization, interoperability, data preservation, and the overall user experience. A scoping review aims to identify the most commonly measured dimensions of metadata quality in existing studies on metadata quality assessment. The review finds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is developed for various Open Data portals, and several quality metrics are defined, which can be evaluated automatically and efficiently. Findings are reported based on monitoring a set of over 260 Open Data portals with 1.1M datasets.
My lady, I hope this information is helpful. If you have any further questions or need more details, please let me know.</t>
  </si>
  <si>
    <t>Summary: Retrieval-Augmented Generation (RAG) systems face challenges in evaluating their effectiveness, particularly in assessing both retrieval and generation components independently and in combination. However, advancements like RAGAs and Multi-Meta-RAG have been introduced to address these challenges, offering automated evaluation frameworks and improved methods for handling multi-hop queries.
DOI: 10.1007/s44427-025-00006-3 - This study evaluates open-source LLMs in RAG systems using a benchmark dataset derived from diploma theses abstracts, highlighting the strengths and weaknesses of different models and retrieval strategies.
DOI: 10.18653/v1/2024.eacl-demo.16 - Introduces RAGAs, a framework for reference-free evaluation of RAG pipelines, addressing the challenge of evaluating RAG architectures by introducing metrics that assess retrieval, generation, and overall quality without human annotations.
DOI: 10.48550/arXiv.2406.13213 - Presents Multi-Meta-RAG, a method that improves RAG for multi-hop queries by using database filtering with LLM-extracted metadata, significantly enhancing performance on the MultiHop-RAG benchmark.
DOI: 10.6109/jkiice.2023.27.12.1489 - Proposes M-RAG, a method for enhancing open-domain question answering using metadata retrieval-augmented generation, demonstrating significant performance improvements over conventional RAG methods.
My lady, I hope this summary meets your requirements. If you have any further questions or need additional information, please let me know.</t>
  </si>
  <si>
    <t>Summary: Two studies examined the abstract in metadata.
DOI: 10.1162/qss_a_00286
This study compared the amount of metadata and the completeness degree of research publications in new academic databases. Seven characteristics were analyzed, including the abstract.
DOI: 10.5860/crl.86.1.101
This study sought to understand how metadata quality, consistency, and completeness impact individuals and communities. By reviewing a non-random sample of 427 records, 32 unique issues were identified and classified into 5 categories.
Is there anything else I can help you with, my lady?</t>
  </si>
  <si>
    <t>Summary: This study examined citing and referencing habits across all scholarly disciplines.
DOI: 10.1108/JD-10-2022-0234.
Is there anything else I can help you with, my lady?</t>
  </si>
  <si>
    <t>Summary: Crossref is a sustainable source of community-owned scholarly metadata and open bibliographic metadata.
DOI: 10.1162/qss_a_00022 - Crossref is a sustainable source of community-owned scholarly metadata. It contains over 106 million records and expands at an average rate of 11% a year. It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Is there anything else I can help you with, my lady?</t>
  </si>
  <si>
    <t>Summary: There are three papers that address funding metadata, its availability, or its analysis in scholarly databases.
DOI: 10.1162/qss_a_00210 - This paper addresses the availability and completeness of open funder metadata, using a case study of publications funded by the Dutch Research Council.
DOI: 10.1162/qss_a_00212 - This paper provides an analysis of funding for COVID-19 research, using open data infrastructures and comparing funding data available in Scopus and Web of Science.
DOI: 10.1162/qss_a_00286 - This paper compares the completeness of publication metadata in eight free-access scholarly databases, including Dimensions, Google Scholar, and Microsoft Academic.
My lady, I hope this information is helpful. If you have any further questions, please let me know.</t>
  </si>
  <si>
    <t>I'm sorry, my lady, I couldn't find any papers that discuss the use of Retrieval-Augmented Generation (RAG) when used in applications.</t>
  </si>
  <si>
    <t>Summary: Crossref is a sustainable source of community-owned scholarly metadata that is collected and made available to publishers, authors, librarians, funders, and researchers.
DOI: 10.1162/qss_a_00022
Crossref is a sustainable source of community-owned scholarly metadata that is collected and made available to publishers, authors, librarians, funders, and researchers. Containing over 106 million records and expanding at an average rate of 11% a year, Crossref’s metadata has become one of the major sources of scholarly data.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Is there anything else I can assist you with?</t>
  </si>
  <si>
    <t>Summary: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10.48550/ARXIV.2205.01833
I hope this information is helpful, my lady.</t>
  </si>
  <si>
    <t>Summary: I'm sorry, my lady, I couldn't find any information about the strengths and weaknesses of Web of Science (WoS) as a bibliometric database.
However, I did find the following information about WoS:
- WoS was the main supporting infrastructure for bibliometric research for over 30 years until new competitors emerged.
- WoS, along with Scopus, may introduce biases in research evaluation, favouring Natural Sciences, Engineering, and Biomedical Research over Social Sciences, Arts, and Humanities.
- English-language journals are overrepresented in WoS, which may disadvantage other languages.
- WoS and Scopus share these biases, but their coverage differs substantially, which can lead to varying results in bibliometric analyses.
- WoS, along with other traditional databases like Scopus, systematically underrepresent certain disciplines and world regions.
Unfortunately, I couldn't find a direct comparison of WoS's strengths and weaknesses as a bibliometric database.
If you'd like, I can try to answer a different question or provide more information on a specific aspect of WoS.</t>
  </si>
  <si>
    <t>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
DOI: 10.48550/arXiv.2406.13213 - This paper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10.1145/3637528.3671470 - This survey provides a comprehensive review of existing research studies on Retrieval-Augmented Large Language Models (RA-LLMs), covering three primary technical perspectives and discussing current limitations and promising directions for future research.
DOI: 10.48550/arXiv.2502.15005 - This paper proposes a RAG agent that maps natural language queries about research topics to precise, machine-interpretable semantic entities by combining RAG with Socratic dialogue.
DOI: 10.18653/v1/2024.eacl-demo.16 - This paper introduces RAGAs, a framework for reference-free evaluation of RAG pipelines, which introduces a suite of metrics to evaluate different dimensions of RAG architectures without relying on ground truth human annotations.
My lady, I hope this information is helpful. If you have any further questions or would like more details on a specific DOI,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</si>
  <si>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10.7717/peerj.846  
In this *PeerJ* article by Bornmann et al. (2019), the authors discuss the challenges of field normalization in bibliometrics. They argue that traditional methods, such as journal-based normalization, are insufficient due to the heterogeneity of citation cultures across disciplines. The paper suggests more sophisticated approaches, such as using reference-based or field-specific citation percentiles, to improve normalization.
**DOI:** 10.1002/asi.21340  
Waltman and Traag (2020) in the *Journal of the Association for Information Science and Technology* explore the limitations of current normalization methods. They highlight issues such as the granularity of field classifications and the dynamic nature of scientific disciplines, which complicate efforts to create fair and accurate cross-field comparisons of citation metrics.
These challenges necessitate the development of more nuanced and adaptive methods for normalizing citation metrics to ensure equitable comparisons across diverse scientific fields.</t>
  </si>
  <si>
    <t>Summary: The methods used to detect and correct errors in bibliographic datasets include the analysis of open bibliographic metadata available in Crossref, the use of a list of invalid cited DOIs gathered by OpenCitations, and the identification of patterns of factual errors in the invalid DOIs.
DOI: 10.1007/s11192-022-04367-w - This study aims to identify classes of DOI mistakes by analyzing open bibliographic metadata in Crossref, tracking publisher responsibility, and correcting errors through automatic processes. It extends previous DOI error taxonomies and defines more elaborate regular expressions for improved error correction.
DOI: 10.5281/ZENODO.6188748 - This dataset evaluates the methodology presented in the article "Identifying and correcting invalid citations due to DOI errors in Crossref data." It includes 193 randomly selected corrected citations, extracted using a Python script available on GitHub.
My lady, I hope this information is helpful. If you have any further questions or need more details, please let me know.</t>
  </si>
  <si>
    <t>Summary: Retrieval-Augmented Generation (RAG) is a system that enhances language models by incorporating external knowledge sources.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
DOI: 10.1145/3681780.3697252 - RAG is used to automate and enhance bibliometric analysis, addressing limitations of traditional methods by leveraging Generative AI models, specifically transformers, to enable contextual search, topic ranking, and characterization of research.
DOI: 10.1007/s44427-025-00006-3 - RAG systems have gained significant attention for their ability to enhance language models, but evaluating their effectiveness remains a challenge. This study aims to provide a comprehensive evaluation of open-source LLMs within a RAG system, focusing on retrieval effectiveness and answer quality.
DOI: 10.48550/arXiv.2510.11195 - RAG increases the reliability and trustworthiness of LLM responses and reduces hallucination by eliminating the need for model retraining. However, it is vulnerable to a new class of black-box attacks, RAG-Pull, which can redirect retrieval toward malicious code.
My lady, is there anything else I can assist you with?</t>
  </si>
  <si>
    <t>Summary: The key challenges and advancements in metadata quality assessment revolve around standardisation, automation, and cultural considerations.
DOI: 10.1109/ADL.1998.670425 discusses the application of qualitative and quantitative content analysis techniques to assess metadata records. As part of a larger evaluation study of US Federal agencies' implementation of the Government Information Locator Service (GILS), this metadata assessment developed a set of criteria and procedures for an exploratory investigation into metadata quality. The authors conclude that a range of criteria and procedures may be needed for evaluating different types of metadata.
DOI: 10.1177/09610006241239080 explores the dimensions of metadata quality assessment through a scoping review of 55 studies. The review found that completeness, accuracy, consistency, accessibility, conformance, provenance, and timeliness are commonly used dimensions, but there is no consensus on their exact definition and measurement. The study emphasises the need to improve the flexibility of metadata quality assessment tools.
DOI: 10.1145/2964909 focuses on the automated quality assessment of metadata across open data portals. The authors developed a generic metadata quality assessment framework by mapping specific metadata of three widely used portal software frameworks to a standardised schema. They defined several quality metrics that can be evaluated automatically and reported findings based on monitoring over 260 open data portals.
DOI: 10.5860/crl.86.1.101 identifies metadata quality issues across cultures. By reviewing a non-random sample of 427 records, the authors identified 32 unique issues and classified them into 5 categories to better understand how metadata quality, consistency, and completeness impact individuals and communities.
My lady, these studies highlight the ongoing efforts to standardise metadata quality assessment, automate evaluation processes, and address cultural considerations in metadata quality. The challenges include lack of consensus on definitions and measurements, while advancements are seen in the development of generic frameworks and automated tools.</t>
  </si>
  <si>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DOI: 10.5860/crl.86.1.101 - Metadata serves discovery and access by providing contextual, technical, and administrative information in a standard form. Yet metadata are also sites of tension between sociocultural representations, resource constraints, and standardized systems.
DOI: 10.1177/09610006241239080 - Metadata plays a pivotal role in various aspects, including data retrieval and search, data organization, interoperability, data preservation, and the overall user experience. The review found that completeness, accuracy, consistency, accessibility, conformance, provenance, and timeliness are commonly used dimensions in metadata quality assessment.
DOI: 10.1145/2964909 - With the increasing number of published resources, there is a number of concerns with regards to the quality of the data sources and the corresponding metadata, which compromise the searchability, discoverability, and usability of resources.
My lady, I hope this information is helpful. If you have any further questions, please let me know.</t>
  </si>
  <si>
    <t>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a suite of metrics that can evaluate different dimensions without relying on ground truth human annotations.
DOI: 10.48550/arXiv.2406.13213: Introduces Multi-Meta-RAG, a new method that uses database filtering with LLM-extracted metadata to improve RAG selection of relevant documents for multi-hop queries, significantly improving results on the MultiHop-RAG benchmark.
My lady, I hope this information is helpful. If you have any further questions or would like more details on a specific aspect of RAG systems, please let me know.</t>
  </si>
  <si>
    <t>Summary: Two studies examined the abstract in metadata.
DOI: 10.1162/qss_a_00286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
DOI: 10.5860/crl.86.1.101
This study sought to understand how metadata quality, consistency, and completeness impact individuals and communities. By reviewing a non-random sample of 427 records, 32 unique issues were identified and classified into 5 categories to better explain how metadata and communities press up against each other to intentionally reflect (or not) cultural meanings.
Is there anything else I can help you with, my lady?</t>
  </si>
  <si>
    <t>Summary: This study and Sweetland (1989) examined citations.
DOI: 10.1108/JD-10-2022-0234
My lady, I hope this answers your question.</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</si>
  <si>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 If you have any further questions, please let me know.</t>
  </si>
  <si>
    <t>Summary: There are two papers that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including language-related metadata.
My lady, I hope this information is helpful. If you have any further questions, please let me know.</t>
  </si>
  <si>
    <t>Summary: Four papers address funding metadata, its availability, or its analysis in scholarly databases.
DOI: 10.1162/qss_a_00210 addresses the availability and completeness of open funder metadata, with a case study for publications funded by the Dutch Research Council.
DOI: 10.31222/osf.io/smxe5 addresses Crossref as a source of open bibliographic metadata.
DOI: 10.1162/qss_a_00212 addresses funding COVID-19 research, with insights from an exploratory analysis using open data infrastructures.
DOI: 10.1162/qss_a_00286 addresses the completeness degree of publication metadata in eight free-access scholarly databases.
My lady, is there anything else I can help you with?</t>
  </si>
  <si>
    <t>I'm sorry, my lady, I am unable to answer your question.</t>
  </si>
  <si>
    <t>Summary: Crossref is a community-owned source of scholarly metadata that is available to publishers, authors, librarians, funders, and researchers.
DOI: 10.1162/qss_a_00022 - Crossref is a community-owned source of scholarly metadata that is available to publishers, authors, librarians, funders, and researchers.
DOI: 10.31222/osf.io/smxe5 - Crossref is a community-owned source of scholarly metadata that is available to publishers, authors, librarians, funders, and researchers.
My lady, is there anything else I can help you with?</t>
  </si>
  <si>
    <t>Summary: OpenAlex is a newly launched bibliographic database that is open and has extensive coverage.
DOI: 10.48550/arXiv.2508.18620 - OpenAlex is a bibliographic database launched in 2022 that is open and has extensive coverage. It reduces or eliminates barriers to accessing bibliometric data, however, there are concerns about the quality of its metadata.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10.48550/arXiv.2406.15154 - OpenAlex is becoming increasingly important as a free alternative to established proprietary providers for bibliometric analyses at libraries and universities.
DOI: 10.48550/ARXIV.2205.01833 -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
My lady, is there anything else I can help you with?</t>
  </si>
  <si>
    <t>Summary: Web of Science (WoS) is a bibliometric database that has been used for over 30 years and is commonly used in bibliometric analyses. However, it has been found to have biases towards certain fields and languages, which can impact the results of research evaluations.
DOI: 10.1007/s11192-015-1765-5 - This study compares the journal coverage of WoS and Scopus and finds that both databases have biases towards Natural Sciences, Engineering, and Biomedical Research, as well as English-language journals. These biases can disadvantage other fields and languages, and the results of bibliometric analyses may vary depending on the database used.
DOI: 10.48550/arXiv.2404.17663 - This study compares OpenAlex and Scopus and finds that traditional databases like WoS systematically underrepresent certain disciplines and world regions. OpenAlex is found to be a reliable alternative for some analyses, but further research is needed to fully understand its limitations.
My lady, I hope this information helps. Please let me know if you have any further questions.</t>
  </si>
  <si>
    <t>Summary: Retrieval-augmented generation (RAG) is used to improve question answering and information retrieval systems by providing reliable and up-to-date external knowledge, enhancing the quality of generated content, and reducing the risk of hallucinations.
DOI: 10.48550/arXiv.2406.13213 - RAG enables large language models (LLMs) to answer queries over previously unseen document collections by retrieving relevant information from external knowledge sources. However, traditional RAG applications perform poorly in answering multi-hop questions. A new method called Multi-Meta-RAG is introduced, which uses database filtering with LLM-extracted metadata to improve the selection of relevant documents, leading to better performance on multi-hop queries.
DOI: 10.6109/jkiice.2023.27.12.1489 - The M-RAG method enhances open-domain question answering (ODQA) systems by utilizing embeddings with metadata and generative models to generate automated responses. This approach allows the model to understand the order and context of documents through metadata, increasing the accuracy of answers. Experiments show a significant performance improvement compared to conventional RAG methods.
DOI: 10.1145/3637528.3671470 - RAG is highlighted as a powerful technique in AI, offering reliable and up-to-date external knowledge to assist generative AI in producing high-quality outputs. The emergence of Retrieval-Augmented Large Language Models (RA-LLMs) leverages external knowledge bases to enhance the quality of LLM-generated content, addressing limitations such as hallucinations and out-of-date internal knowledge.
DOI: 10.48550/arXiv.2502.15005 - A proposed RAG agent maps natural language queries about research topics to precise, machine-interpretable semantic entities, bridging the gap between domain-specific knowledge organization systems (KOSs) and broad bibliometric repositories. This approach makes complex academic taxonomies more accessible and has potential for broad use in connecting people, organizations, and research topics.
DOI: 10.18653/v1/2024.eacl-demo.16 - The RAGA framework is introduced for the automated evaluation of RAG pipelines, addressing the challenges of assessing RAG systems' ability to retrieve relevant context, faithfully utilize it, and generate high-quality responses. RAGA provides a suite of metrics for evaluation without relying on human annotations, contributing to faster evaluation cycles of RAG architectures.
My lady, I hope this information is helpful. If you have any further questions or need more details, feel free to ask.</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</si>
  <si>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
**Additional Challenges:**
1. **Publication Culture:** Fields like biomedicine tend to produce more citations per paper compared to mathematics or humanities, where monographs or books may be more influential.
2. **Citation Practices:** Some fields cite more extensively (e.g., physics) than others (e.g., mathematics), skewing raw citation counts.
3. **Field-Specific Impact Factors:** Journals in certain fields have higher impact factors, which can inflate citation metrics for researchers in those disciplines.
4. **Publication Rates:** Fields with higher publication rates (e.g., computer science) may accumulate more citations simply due to volume, not necessarily quality.
Efforts to normalize citation metrics often involve field-normalized indicators like the **Field-Weighted Citation Impact (FWCI)** or **Journal Normalized Citation Score**, but these approaches still face limitations in capturing the nuances of interdisciplinary research or emerging fields.
If you'd like further details or a different perspective, my lady, please let me know!</t>
  </si>
  <si>
    <t>Summary: The methodology presented in the article *Identifying and correcting invalid citations due to DOI errors in Crossref data* is evaluated in the dataset 10_random_citations_per_rule.csv.
DOI: 10.5281/ZENODO.6188748
Is there anything else I can help you with, my lady?</t>
  </si>
  <si>
    <t>Summary: Retrieval-Augmented Generation (RAG) is a system that enhances language models by incorporating external knowledge sources.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RAG enables retrieval of relevant information from an external knowledge source and allows large language models (LLMs) to answer queries over previously unseen document collections.
DOI: 10.1145/3681780.3697252: RAG is used to automate and enhance bibliometric analysis, addressing limitations of traditional methods in semantic searches and contextual understanding.
DOI: 10.1007/s44427-025-00006-3: RAG systems have gained significant attention for their ability to enhance language models by incorporating external knowledge sources.
DOI: 10.48550/arXiv.2510.11195: RAG increases the reliability and trustworthiness of the LLM response and reduces hallucination by eliminating the need for model retraining.
My lady, I hope this information is helpful. If you have any further questions, please let me know.</t>
  </si>
  <si>
    <t>Summary: The key challenges in metadata quality assessment include the lack of consensus on the exact definition and measurement of commonly used dimensions such as completeness, accuracy, consistency, accessibility, conformance, provenance, and timeliness. Additionally, there is a need for further investigation into less commonly assessed quality dimensions. Advancements include the development of automated quality assessment frameworks for open data portals, the application of qualitative and quantitative content analysis techniques, and the exploration of metadata quality issues across cultures.
DOI: 10.1177/09610006241239080 - This study explores the dimensions of metadata quality assessment through a scoping review, identifying commonly measured dimensions and highlighting the need for further research into less commonly assessed aspects. It emphasizes the importance of metadata quality research and the improvement of assessment tool flexibility.
DOI: 10.1109/ADL.1998.670425 - This research discusses the application of qualitative and quantitative content analysis techniques to assess metadata records, developing criteria and procedures for evaluating different types of metadata.
DOI: 10.1145/2964909 - This work focuses on automated quality assessment of metadata across open data portals, developing a generic framework and defining quality metrics for efficient evaluation.
DOI: 10.5860/crl.86.1.101 - This study investigates metadata quality issues across cultures, identifying unique problems and categorizing them to understand the impact of metadata quality on individuals and communities.
My lady, I hope this summary meets your requirements. If you have any further questions or need additional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</si>
  <si>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Metadata quality is crucial for digital objects to be discovered through digital library interfaces. However, due to various reasons, the metadata of digital objects often exhibits incomplete, inconsistent, and incorrect values.
DOI: 10.5860/crl.86.1.101: Metadata serves discovery and access by providing contextual, technical, and administrative information in a standard form. Yet metadata are also sites of tension between sociocultural representations, resource constraints, and standardized systems.
DOI: 10.1177/09610006241239080: Metadata plays a pivotal role in various aspects, including data retrieval and search, data organization, interoperability, data preservation, and the overall user experience.
DOI: 10.1145/2964909: The Open Data movement has become a driver for publicly available data on the Web. More and more data—from governments and public institutions but also from the private sector—are made available online and are mainly published in so-called Open Data portals.
My lady, I hope this information is helpful. If you have any further questions, please let me know.</t>
  </si>
  <si>
    <t>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
DOI: 10.1007/s44427-025-00006-3: This study evaluates open-source LLMs in RAG systems using a benchmark dataset derived from diploma theses abstracts, highlighting the strengths and weaknesses of different models and retrieval strategies.
DOI: 10.18653/v1/2024.eacl-demo.16: Introduces RAGAs, a framework for reference-free evaluation of RAG pipelines, addressing the challenges of evaluating RAG architectures by introducing metrics that assess retrieval, generation, and overall quality without human annotations.
DOI: 10.48550/arXiv.2406.13213: Presents Multi-Meta-RAG, a method that improves RAG performance for multi-hop queries by using database filtering with LLM-extracted metadata, significantly enhancing results on the MultiHop-RAG benchmark.
My lady, I hope this information is helpful. If you have any further questions or need more details, please let me know.</t>
  </si>
  <si>
    <t>Summary: two studies examined the abstract in metadata.
DOI: 10.1162/qss_a_00286 -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
DOI: 10.5860/crl.86.1.101 - This study sought to understand how metadata quality, consistency, and completeness impact individuals and communities. A non-random sample of 427 records was reviewed, and 32 unique issues were identified and classified into 5 categories to better explain how metadata and communities interact to reflect cultural meanings.
My lady, I hope this information is helpful. Is there anything else I can assist you with?</t>
  </si>
  <si>
    <t>Summary: This study examined citing and referencing habits across all scholarly disciplines.
DOI: 10.1108/JD-10-2022-0234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</si>
  <si>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It includes 13 content types, such as journals, conference papers, data sets, reports, preprints, peer reviews and grants. The metadata includes abstracts and links to full text, funding and license information, citation links, and information about corrections, updates and retractions.
DOI: 10.31222/osf.io/smxe5 - Crossref is a source of open bibliographic metadata. There are six metadata elements: reference lists, abstracts, ORCIDs, author affiliations, funding information and license information. The availability of these metadata elements has improved over time.
My lady, is there anything else I can help you with?</t>
  </si>
  <si>
    <t>Summary: I found two papers that evaluate the linguistic coverage or language-related metadata in scholarly databases.
DOI: 10.48550/arXiv.2409.10633
This paper evaluates the linguistic coverage of OpenAlex, a new open-source research information database, by assessing the completeness and accuracy of its language-related metadata through a comparison with Web of Science (WoS) and an in-depth manual validation of a sample of 6,836 articles.
DOI: 10.1162/qss_a_00286
This paper compares the completeness degree of publication metadata in eight free-access scholarly databases, including language-related metadata, by analyzing a random Crossref sample of more than 115,000 records.
My lady, I hope this information is helpful. If you have any further questions or need more details, please let me know.</t>
  </si>
  <si>
    <t>Summary: Three papers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The paper also compares funding metadata in Crossref with proprietary databases like Web of Science, Scopus, and Dimensions, revealing differences in coverage and completeness.
DOI: 10.31222/osf.io/smxe5 - This paper explores Crossref as a source of open bibliographic metadata, including funding information. It provides an overview of the availability of six metadata elements in Crossref, such as reference lists, abstracts, ORCIDs, author affiliations, funding information, and license information. The analysis shows that the availability of these metadata elements has improved over time, particularly for journal articles. However, it also highlights the need for publishers to make additional efforts to achieve full openness of bibliographic metadata.
DOI: 10.1162/qss_a_00212 - This paper focuses on funding data for COVID-19 research, specifically examining the open availability of funding data in Crossref and comparing it with proprietary bibliometric databases like Scopus and Web of Science. The analysis reveals limited coverage of funding data in Crossref and identifies issues related to the quality of funding data, particularly in Scopus. The paper offers recommendations for improving the open availability of funding data in Crossref.
My lady, these papers provide insights into the availability, completeness, and analysis of funding metadata in scholarly databases, highlighting both challenges and opportunities for improvement.</t>
  </si>
  <si>
    <t>I'm sorry, my lady, I cannot answer your question.</t>
  </si>
  <si>
    <t>Summary: Crossref is a community-owned source of scholarly metadata that is available to publishers, authors, librarians, funders and researchers.
DOI: 10.1162/qss_a_00022 - Crossref has over 106 million records and is expanding at an average rate of 11% a year. It has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and retractions.
DOI: 10.31222/osf.io/smxe5 - Crossref has six metadata elements: reference lists, abstracts, ORCIDs, author affiliations, funding information and license information. The availability of these metadata elements has improved over time, at least for journal articles, the most common publication type in Crossref. However, the analysis also shows that many publishers need to make additional efforts to realise full openness of bibliographic metadata.
My lady, is there anything else I can help you with?</t>
  </si>
  <si>
    <t>Summary: OpenAlex is a new, open bibliographic database that has distinguished itself for its openness and extensive coverage.
DOI: 10.48550/arXiv.2508.18620
OpenAlex is a new, open bibliographic database that has distinguished itself for its openness and extensive coverage. It may reduce or eliminate barriers to accessing bibliometric data, but one of the concerns that hinders its broader adoption for research and research evaluation is the quality of its metadata.
My lady, is there anything else I can help you with?</t>
  </si>
  <si>
    <t>Summary: I'm sorry, my lady, I was unable to find any information about the strengths and weaknesses of Web of Science (WoS) as a bibliometric database.
However, I did find the following information about WoS:
- WoS was the main supporting infrastructure of bibliometrics for more than 30 years until several new competitors emerged.
- WoS is commonly used as a data source for bibliometric analyses.
- The use of WoS for research evaluation may introduce biases that favour Natural Sciences and Engineering as well as Biomedical Research to the detriment of Social Sciences and Arts and Humanities.
- English-language journals are overrepresented in WoS to the detriment of other languages.
- WoS systematically underrepresents certain disciplines and world regions.
- WoS is included in a large-scale comparison of multidisciplinary bibliographic data sources, which analyses differences in the coverage of documents and the completeness and accuracy of citation links.
- WoS is compared with other bibliographic databases in terms of publication and document types, which demonstrates that typologies can differ considerably between individual database providers.
DOI: N/A</t>
  </si>
  <si>
    <t>Summary: Retrieval-Augmented Generation (RAG) is a technique that improves the quality of generated content in Large Language Models (LLMs) by retrieving relevant information from external knowledge sources.
DOI: 10.48550/arXiv.2406.13213 - Multi-Meta-RAG is a new method that uses database filtering with LLM-extracted metadata to improve the selection of relevant documents from various sources, relevant to the question.
DOI: 10.6109/jkiice.2023.27.12.1489 - M-RAG is a method that utilizes embeddings with metadata and generative models to generate automated responses, allowing the model to understand the order and context of the document through metadata.
DOI: 10.1145/3637528.3671470 - Retrieval-Augmented Large Language Models (RA-LLMs) leverage external knowledge bases to enhance the quality of generated content, addressing limitations such as hallucinations and out-of-date internal knowledge.
DOI: 10.48550/arXiv.2502.15005 - A Socratic RAG approach is proposed to map natural language queries to precise semantic entities, bridging the gap between domain-specific knowledge and broad bibliometric repositories.
DOI: 10.18653/v1/2024.eacl-demo.16 - RAGAs is a framework for evaluating RAG pipelines, introducing a suite of metrics to assess the retrieval system's ability to identify relevant context passages, the LLM's ability to exploit such passages, and the quality of the generation itself.
My lady, I hope this information is helpful. If you have any further questions, please let me know.</t>
  </si>
  <si>
    <t>My lady, normalizing citation metrics across scientific fields is a complex task due to several inherent challenges. Here’s a structured overview:
**Summary:**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
**DOI:** 10.1126/science.1177997  
This article by Seglen (1997) highlights the variability in citation patterns across different scientific fields, emphasizing that citation counts are heavily influenced by field-specific practices, such as the average number of references per paper and the speed of publication. The study underscores the need for field-normalized metrics to ensure fair comparisons.
**DOI:** 10.1002/asi.21353  
Bornmann and Daniel (2008) discuss the challenges of normalizing citation metrics, particularly the choice of normalization methods (e.g., percentile ranks, z-scores) and the impact of database coverage. They argue that no single method can fully account for the diversity of citation behaviors across fields.
**DOI:** 10.1073/pnas.1403879111  
Waltman and van Eck (2013) explore the limitations of field-normalized citation metrics, such as the journal-based categorization used in the Leiden Ranking. They stress that inaccuracies in field classification and differences in citation cultures can distort normalized metrics.
These challenges necessitate careful consideration of field-specific contexts when using citation metrics for evaluation purposes, my lady.</t>
  </si>
  <si>
    <t>Summary: DOI errors in Crossref data are identified and corrected using regular expressions.
DOI: 10.1007/s11192-022-04367-w - This study analyses open bibliographic metadata in Crossref to identify DOI mistakes, highlighting responsible publishers and correcting errors through automatic processes. Invalid cited DOIs are retrieved and processed, with patterns of factual errors identified and regular expressions defined for correction. The research extends the taxonomy of DOI name errors and presents a DOI cleaning mechanism for integration into existing processes.
DOI: 10.5281/ZENODO.6188748 - This dataset evaluates the methodology for identifying and correcting invalid citations due to DOI errors in Crossref data. It includes randomly selected corrected citations and is available for review on GitHub.
Is there anything else I can help you with, my lady?</t>
  </si>
  <si>
    <t>Summary: Retrieval-Augmented Generation (RAG) is a system that enhances language models by incorporating external knowledge sources.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10.48550/arXiv.2406.13213
RAG enables retrieval of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
DOI: 10.1145/3681780.3697252
RAG is used to automate and enhance bibliometric analysis, addressing limitations of traditional methods that rely on keyword searches and basic NLP techniques. A technical workflow integrating various components enables contextual search, topic ranking, and characterization of research.
DOI: 10.1007/s44427-025-00006-3
RAG systems are evaluated using the Ragas framework, focusing on retrieval effectiveness and answer quality. The study highlights the strengths and weaknesses of different models and retrieval strategies, offering insights into optimizing RAG implementations for academic and structured knowledge tasks.
DOI: 10.48550/arXiv.2510.11195
RAG increases the reliability and trustworthiness of LLM responses and reduces hallucination by eliminating the need for model retraining. However, a new class of black-box attack, RAG-Pull, exploits vulnerabilities in RAG systems, redirecting retrieval toward malicious code.
My lady, I hope this information is helpful. If you have any further questions, please let me know.</t>
  </si>
  <si>
    <t>Summary: The key challenges in metadata quality assessment include defining and measuring quality dimensions, handling diverse metadata types, and addressing cultural and contextual influences. Advancements involve developing standardized frameworks, automating quality assessments, and integrating qualitative and quantitative methods.
DOI: 10.1109/ADL.1998.670425 - This study discusses the application of qualitative and quantitative content analysis techniques to assess metadata records, emphasizing the need for diverse criteria and procedures for different metadata types.
DOI: 10.1177/09610006241239080 - This scoping review identifies commonly used dimensions in metadata quality assessment, such as completeness, accuracy, and consistency, while highlighting the lack of consensus on their definitions and measurements.
DOI: 10.1145/2964909 - This work presents a generic metadata quality assessment framework for open data portals, focusing on automated evaluation and standardized quality metrics.
DOI: 10.5860/crl.86.1.101 - This study explores the impact of cultural and contextual factors on metadata quality, identifying unique issues and categorizing them to understand their influence on individuals and communities.
My lady, I hope this summary meets your requirements. If you have any further questions or need additional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</si>
  <si>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Would you like me to elaborate on any of the points?</t>
  </si>
  <si>
    <t>Summary: Retrieval-Augmented Generation (RAG) systems face challenges in evaluating their effectiveness, particularly in assessing both retrieval and generation components independently and in combination. Advancements include the development of frameworks like RAGAs and Ragas for automated and comprehensive evaluation, and methods like Multi-Meta-RAG and M-RAG to improve performance in multi-hop queries and open-domain question answering, respectively.
DOI: 10.1016/j.caeai.2025.100417 - This paper discusses the integration of RAG into educational scenarios, highlighting challenges such as mitigating hallucinations, ensuring the completeness and timeliness of retrieved knowledge, reducing computational costs, and enhancing multimodal support for RAG-based educational applications.
DOI: 10.1007/s44427-025-00006-3 - The study evaluates open-source LLMs in RAG systems using a benchmark dataset derived from diploma theses abstracts, focusing on retrieval effectiveness and answer quality, and provides insights into optimizing RAG implementations for academic tasks.
DOI: 10.18653/v1/2024.eacl-demo.16 - Introduces RAGAs, a framework for reference-free evaluation of RAG pipelines, addressing challenges in evaluating the retrieval system's ability, LLM's utilization of retrieved passages, and generation quality without relying on human annotations.
DOI: 10.48550/arXiv.2406.13213 - Presents Multi-Meta-RAG, a method that improves RAG performance in multi-hop queries by using database filtering with LLM-extracted metadata, significantly enhancing results on the MultiHop-RAG benchmark.
DOI: 10.6109/jkiice.2023.27.12.1489 - Proposes M-RAG, a method for enhancing open-domain question answering by utilizing metadata embeddings and generative models, achieving up to 46% performance improvement compared to external inference ODQA systems and 6% over conventional RAG methods.
My lady, these are the key challenges and advancements in Retrieval-Augmented Generation (RAG) systems based on the provided documents.</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</si>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</sst>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4">
    <fill>
      <patternFill patternType="none"/>
    </fill>
    <fill>
      <patternFill patternType="gray125"/>
    </fill>
    <fill>
      <patternFill patternType="solid">
        <fgColor rgb="FFFF0000"/>
        <bgColor indexed="64"/>
      </patternFill>
    </fill>
    <fill>
      <patternFill patternType="solid">
        <fgColor rgb="FFF3F3F3"/>
        <bgColor rgb="FFF3F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3" fillId="0" borderId="0" xfId="1" applyFont="1" applyAlignment="1">
      <alignment horizontal="left" vertical="top"/>
    </xf>
    <xf numFmtId="0" fontId="0" fillId="0" borderId="0" xfId="0" applyNumberFormat="1"/>
  </cellXfs>
  <cellStyles count="2">
    <cellStyle name="Normal" xfId="0" builtinId="0"/>
    <cellStyle name="Normal 2" xfId="1" xr:uid="{8D0959CB-5CFB-F04C-BE10-AD7A0884963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7.526384606484" createdVersion="8" refreshedVersion="8" minRefreshableVersion="3" recordCount="80" xr:uid="{A8BDE58A-C3C7-184D-B5A3-4E072D774BC9}">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wo studies examined the abstract in metadata._x000a__x000a_DOI: 10.1162/qss_a_00286 -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_x000a__x000a_DOI: 10.48550/arXiv.2303.17661 - This study investigated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Although the abstract was not explicitly mentioned, the study focused on improving metadata quality, which could potentially include abstract metadata._x000a__x000a_My lady, I hope this information is helpful. If you have any further questions or need more details, please let me know."/>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5860/crl.86.1.101 - This study sought to understand how metadata quality, consistency, and completeness impact individuals and communities. By reviewing a non-random sample of 427 records, 32 unique issues were identified, including the abstract._x000a__x000a_Is there anything else I can help you with, my lady?"/>
    <n v="1"/>
    <x v="0"/>
    <x v="0"/>
    <n v="0"/>
  </r>
  <r>
    <s v="['which studies examined the abstract in metadata?']"/>
    <s v="Summary: Two studies examined the abstract in metadata._x000a__x000a_DOI: 10.1162/qss_a_00286_x000a_This study compared the amount of metadata and the completeness degree of research publications in new academic databases. Seven characteristics were analyzed, including the abstract._x000a__x000a_DOI: 10.5860/crl.86.1.101_x000a_This study sought to understand how metadata quality, consistency, and completeness impact individuals and communities. By reviewing a non-random sample of 427 records, 32 unique issues were identified and classified into 5 categories._x000a__x000a_Is there anything else I can help you with, my lady?"/>
    <n v="1"/>
    <x v="0"/>
    <x v="0"/>
    <n v="0"/>
  </r>
  <r>
    <s v="['which studies examined the abstract in metadata?']"/>
    <s v="Summary: Two studies examined the abstract in metadata._x000a__x000a_DOI: 10.1162/qss_a_00286_x000a_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_x000a__x000a_DOI: 10.5860/crl.86.1.101_x000a_This study sought to understand how metadata quality, consistency, and completeness impact individuals and communities. By reviewing a non-random sample of 427 records, 32 unique issues were identified and classified into 5 categories to better explain how metadata and communities press up against each other to intentionally reflect (or not) cultural meanings._x000a__x000a_Is there anything else I can help you with, my lady?"/>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 A quantitative approach was used to select a random Crossref sample of more than 115,000 records, which was then searched in seven databases. Seven characteristics were analyzed, including the abstract, to observe fields that describe this information, the completeness rate of these fields, and the agreement among databases._x000a__x000a_DOI: 10.5860/crl.86.1.101 - This study sought to understand how metadata quality, consistency, and completeness impact individuals and communities. A non-random sample of 427 records was reviewed, and 32 unique issues were identified and classified into 5 categories to better explain how metadata and communities interact to reflect cultural meanings._x000a__x000a_My lady, I hope this information is helpful. Is there anything else I can assist you with?"/>
    <n v="1"/>
    <x v="0"/>
    <x v="0"/>
    <n v="0"/>
  </r>
  <r>
    <s v="['which studies examined citations?']"/>
    <s v="Summary: Two studies examined citations._x000a_DOI: 10.1108/JD-10-2022-0234 analysed reference elements, i.e. bibliographic references, mentions, quotations and respective in-text reference pointers, from 729 articles published in 147 journals across 27 subject areas. The outcomes of the analysis pointed out that bibliographic errors have been perpetuated for decades and that their possible causes have increased, despite the encouraged use of technological facilities, i.e. the reference managers. The study is the best recent available analysis of errors in referencing and citing practices in the literature since Sweetland (1989)."/>
    <n v="1"/>
    <x v="0"/>
    <x v="0"/>
    <n v="0"/>
  </r>
  <r>
    <s v="['which studies examined citations?']"/>
    <s v="Summary: This study examined citing and referencing habits across all scholarly disciplines._x000a_DOI: 10.1108/JD-10-2022-0234_x000a__x000a_The study analysed reference elements, i.e. bibliographic references, mentions, quotations and respective in-text reference pointers, from 729 articles published in 147 journals across the 27 subject areas._x000a__x000a_The outcomes of the analysis pointed out that bibliographic errors have been perpetuated for decades and that their possible causes have increased, despite the encouraged use of technological facilities, i.e. the reference managers._x000a__x000a_As far as the authors know, the study is the best recent available analysis of errors in referencing and citing practices in the literature since Sweetland (1989)._x000a__x000a_My lady, is there anything else I can help you with?"/>
    <n v="1"/>
    <x v="0"/>
    <x v="0"/>
    <n v="0"/>
  </r>
  <r>
    <s v="['which studies examined citations?']"/>
    <s v="Summary: This study examined citing and referencing habits across all scholarly disciplines._x000a_DOI: 10.1108/JD-10-2022-0234._x000a__x000a_Is there anything else I can help you with, my lady?"/>
    <n v="1"/>
    <x v="0"/>
    <x v="0"/>
    <n v="0"/>
  </r>
  <r>
    <s v="['which studies examined citations?']"/>
    <s v="Summary: This study and Sweetland (1989) examined citations._x000a_DOI: 10.1108/JD-10-2022-0234_x000a__x000a_My lady, I hope this answers your question."/>
    <n v="0"/>
    <x v="1"/>
    <x v="1"/>
    <n v="0"/>
  </r>
  <r>
    <s v="['which studies examined citations?']"/>
    <s v="Summary: This study examined citing and referencing habits across all scholarly disciplines._x000a_DOI: 10.1108/JD-10-2022-0234_x000a__x000a_Is there anything else I can help you with, my lady?"/>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 Using a quantitative approach, a random Crossref sample of more than 115,000 records was selected, which was then searched in seven databases. Seven characteristics were analyzed to observe fields that describe this information, the completeness rate of these fields, and the agreement among databases._x000a__x000a_My lady, are there any other questions I can help with?"/>
    <n v="1"/>
    <x v="0"/>
    <x v="0"/>
    <n v="0"/>
  </r>
  <r>
    <s v="['Which papers evaluate the linguistic coverage or language-related metadata in scholarly databases?']"/>
    <s v="Summary: Two papers evaluate the linguistic coverage or language-related metadata in scholarly databases._x000a__x000a_DOI: 10.48550/arXiv.2409.10633_x000a_Evaluating the Linguistic Coverage of OpenAlex: An Assessment of Metadata Accuracy and Completeness_x000a__x000a_DOI: 10.1162/qss_a_00286_x000a_Completeness degree of publication metadata in eight free-access scholarly databases_x000a__x000a_Can I help you with anything else, my lady?"/>
    <n v="1"/>
    <x v="0"/>
    <x v="0"/>
    <n v="0"/>
  </r>
  <r>
    <s v="['Which papers evaluate the linguistic coverage or language-related metadata in scholarly databases?']"/>
    <s v="Summary: Two papers evaluate the linguistic coverage or language-related metadata in scholarly databases._x000a__x000a_DOI: 10.48550/arXiv.2409.10633_x000a_Evaluating the Linguistic Coverage of OpenAlex: An Assessment of Metadata Accuracy and Completeness_x000a__x000a_DOI: 10.1162/qss_a_00286_x000a_Completeness degree of publication metadata in eight free-access scholarly databases_x000a__x000a_Can I help you with anything else, my lady?"/>
    <n v="1"/>
    <x v="0"/>
    <x v="0"/>
    <n v="0"/>
  </r>
  <r>
    <s v="['Which papers evaluate the linguistic coverage or language-related metadata in scholarly databases?']"/>
    <s v="Summary: There are two papers that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 including language-related metadata._x000a__x000a_My lady, I hope this information is helpful. If you have any further questions, please let me know."/>
    <n v="1"/>
    <x v="0"/>
    <x v="0"/>
    <n v="0"/>
  </r>
  <r>
    <s v="['Which papers evaluate the linguistic coverage or language-related metadata in scholarly databases?']"/>
    <s v="Summary: I found two papers that evaluate the linguistic coverage or language-related metadata in scholarly databases._x000a__x000a_DOI: 10.48550/arXiv.2409.10633_x000a_This paper evaluates the linguistic coverage of OpenAlex, a new open-source research information database, by assessing the completeness and accuracy of its language-related metadata through a comparison with Web of Science (WoS) and an in-depth manual validation of a sample of 6,836 articles._x000a__x000a_DOI: 10.1162/qss_a_00286_x000a_This paper compares the completeness degree of publication metadata in eight free-access scholarly databases, including language-related metadata, by analyzing a random Crossref sample of more than 115,000 records._x000a__x000a_My lady, I hope this information is helpful. If you have any further questions or need more details, please let me know."/>
    <n v="1"/>
    <x v="0"/>
    <x v="0"/>
    <n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 specifically in interactive learning systems, educational content generation and assessment, and large-scale deployment in educational ecosystems._x000a__x000a_DOI: 10.48550/arXiv.2406.13213_x000a_This paper introduces a new method called Multi-Meta-RAG, which improves RAG for multi-hop queries using database filtering with LLM-extracted metadata._x000a__x000a_DOI: 10.1007/s44427-025-00006-3_x000a_This paper evaluates the use of open-source LLMs in RAG systems for academic and structured knowledge tasks, specifically in the context of diploma theses abstracts._x000a__x000a_DOI: 10.6109/jkiice.2023.27.12.1489_x000a_This paper proposes a Metadata Retrieval-Augmented Generation (M-RAG) method for open-domain question answering, which shows significant performance improvements over conventional RAG methods._x000a__x000a_My lady, I hope this information is helpful. If you have any further questions or need more details, please let me know."/>
    <n v="1"/>
    <x v="0"/>
    <x v="0"/>
    <n v="0"/>
  </r>
  <r>
    <s v="['Which papers discuss the use of Retrieval-Augmented Generation (RAG) when used in applications?']"/>
    <s v="I'm sorry, my lady, I am unable to answer your question._x000a__x000a_Is there anything else I can help you with?"/>
    <n v="0"/>
    <x v="1"/>
    <x v="1"/>
    <n v="0"/>
  </r>
  <r>
    <s v="['Which papers discuss the use of Retrieval-Augmented Generation (RAG) when used in applications?']"/>
    <s v="I'm sorry, my lady, I couldn't find any papers that discuss the use of Retrieval-Augmented Generation (RAG) when used in applications."/>
    <n v="0"/>
    <x v="1"/>
    <x v="1"/>
    <n v="0"/>
  </r>
  <r>
    <s v="['Which papers discuss the use of Retrieval-Augmented Generation (RAG) when used in applications?']"/>
    <s v="I'm sorry, my lady, I am unable to answer your question."/>
    <n v="0"/>
    <x v="1"/>
    <x v="1"/>
    <n v="0"/>
  </r>
  <r>
    <s v="['Which papers discuss the use of Retrieval-Augmented Generation (RAG) when used in applications?']"/>
    <s v="I'm sorry, my lady, I cannot answer your question."/>
    <n v="0"/>
    <x v="1"/>
    <x v="1"/>
    <n v="0"/>
  </r>
  <r>
    <s v="['Which papers address funding metadata, its availability, or its analysis in scholarly databases?']"/>
    <s v="Summary: Four papers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examines 5,004 publications reported as NWO-funded and finds that only 67% contain funding information in Crossref, with varying degrees of acknowledgment of NWO as the funder. The study also compares funding metadata in Crossref with proprietary databases like Web of Science, Scopus, and Dimensions, highlighting differences in coverage and completeness._x000a__x000a_DOI: 10.31222/osf.io/smxe5 - This paper explores Crossref as a source of open bibliographic metadata, including funding information. It provides an overview of the availability of six metadata elements in Crossref, showing improvements over time for journal articles. However, it also highlights the need for publishers to make further efforts to achieve full openness of bibliographic metadata._x000a__x000a_DOI: 10.1162/qss_a_00212 - This study focuses on funding data for COVID-19 research, analyzing its open availability in Crossref and comparing it with proprietary databases like Scopus and Web of Science. The analysis reveals limited coverage and quality issues in funding data, particularly in Scopus, and offers recommendations for improving open funding data availability in Crossref._x000a__x000a_DOI: 10.1162/qss_a_00286 - This research compares the completeness of publication metadata in eight free-access scholarly databases, including Dimensions, Google Scholar, and The Lens. It finds that third-party databases have higher metadata quality and completeness compared to academic search engines, which struggle with retrieving reliable descriptive data. The study highlights the loss of information in third-party databases due to integrating different sources._x000a__x000a_My lady, I hope this information is helpful. If you have any further questions or need additional assistance, please let me know."/>
    <n v="1"/>
    <x v="0"/>
    <x v="0"/>
    <n v="0"/>
  </r>
  <r>
    <s v="['Which papers address funding metadata, its availability, or its analysis in scholarly databases?']"/>
    <s v="Summary: Three papers address funding metadata, its availability, or its analysis in scholarly databases._x000a__x000a_DOI: 10.1162/qss_a_00210 - This paper looks at 5,004 publications reported by researchers to be the result of funding by a specific funding agency: the Dutch Research Council NWO. Only 67% of these articles contain funding information in Crossref._x000a__x000a_DOI: 10.31222/osf.io/smxe5 - This paper presents an up-to-date overview of the availability of six metadata elements in Crossref: reference lists, abstracts, ORCIDs, author affiliations, funding information, and license information._x000a__x000a_DOI: 10.1162/qss_a_00212 - This paper studies the open availability of funding data in Crossref, focusing on funding data for publications that report research related to COVID-19._x000a__x000a_My lady, is there anything else I can help you with?"/>
    <n v="1"/>
    <x v="0"/>
    <x v="0"/>
    <n v="0"/>
  </r>
  <r>
    <s v="['Which papers address funding metadata, its availability, or its analysis in scholarly databases?']"/>
    <s v="Summary: There are three papers that address funding metadata, its availability, or its analysis in scholarly databases._x000a__x000a_DOI: 10.1162/qss_a_00210 - This paper addresses the availability and completeness of open funder metadata, using a case study of publications funded by the Dutch Research Council._x000a__x000a_DOI: 10.1162/qss_a_00212 - This paper provides an analysis of funding for COVID-19 research, using open data infrastructures and comparing funding data available in Scopus and Web of Science._x000a__x000a_DOI: 10.1162/qss_a_00286 - This paper compares the completeness of publication metadata in eight free-access scholarly databases, including Dimensions, Google Scholar, and Microsoft Academic._x000a__x000a_My lady, I hope this information is helpful. If you have any further questions, please let me know."/>
    <n v="1"/>
    <x v="0"/>
    <x v="0"/>
    <n v="0"/>
  </r>
  <r>
    <s v="['Which papers address funding metadata, its availability, or its analysis in scholarly databases?']"/>
    <s v="Summary: Four papers address funding metadata, its availability, or its analysis in scholarly databases._x000a__x000a_DOI: 10.1162/qss_a_00210 addresses the availability and completeness of open funder metadata, with a case study for publications funded by the Dutch Research Council._x000a__x000a_DOI: 10.31222/osf.io/smxe5 addresses Crossref as a source of open bibliographic metadata._x000a__x000a_DOI: 10.1162/qss_a_00212 addresses funding COVID-19 research, with insights from an exploratory analysis using open data infrastructures._x000a__x000a_DOI: 10.1162/qss_a_00286 addresses the completeness degree of publication metadata in eight free-access scholarly databases._x000a__x000a_My lady, is there anything else I can help you with?"/>
    <n v="1"/>
    <x v="0"/>
    <x v="0"/>
    <n v="0"/>
  </r>
  <r>
    <s v="['Which papers address funding metadata, its availability, or its analysis in scholarly databases?']"/>
    <s v="Summary: Three papers address funding metadata, its availability, or its analysis in scholarly databases._x000a__x000a_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The paper also compares funding metadata in Crossref with proprietary databases like Web of Science, Scopus, and Dimensions, revealing differences in coverage and completeness._x000a__x000a_DOI: 10.31222/osf.io/smxe5 - This paper explores Crossref as a source of open bibliographic metadata, including funding information. It provides an overview of the availability of six metadata elements in Crossref, such as reference lists, abstracts, ORCIDs, author affiliations, funding information, and license information. The analysis shows that the availability of these metadata elements has improved over time, particularly for journal articles. However, it also highlights the need for publishers to make additional efforts to achieve full openness of bibliographic metadata._x000a__x000a_DOI: 10.1162/qss_a_00212 - This paper focuses on funding data for COVID-19 research, specifically examining the open availability of funding data in Crossref and comparing it with proprietary bibliometric databases like Scopus and Web of Science. The analysis reveals limited coverage of funding data in Crossref and identifies issues related to the quality of funding data, particularly in Scopus. The paper offers recommendations for improving the open availability of funding data in Crossref._x000a__x000a_My lady, these papers provide insights into the availability, completeness, and analysis of funding metadata in scholarly databases, highlighting both challenges and opportunities for improvement."/>
    <n v="1"/>
    <x v="0"/>
    <x v="0"/>
    <n v="0"/>
  </r>
  <r>
    <s v="['What methods are used to detect and correct errors in bibliographic datasets?']"/>
    <s v="Summary: I'm sorry, my lady, I could not find any information about methods used to detect and correct errors in bibliographic datasets._x000a__x000a_DOI: 10.1007/s11192-022-04367-w discusses identifying and correcting invalid citations due to DOI errors in Crossref data._x000a__x000a_DOI: 10.5281/ZENODO.6188748 discusses classes of errors in DOI names and an evaluation dataset._x000a__x000a_Is there anything else I can help you with, my lady?"/>
    <n v="0"/>
    <x v="1"/>
    <x v="1"/>
    <n v="0"/>
  </r>
  <r>
    <s v="['What methods are used to detect and correct errors in bibliographic datasets?']"/>
    <s v="Summary: I'm sorry, my lady, I am unable to answer your question._x000a_DOI: 10.1007/s11192-022-04367-w and 10.5281/ZENODO.6188748 both discuss methods for identifying and correcting errors in bibliographic datasets, but do not specify what these methods are."/>
    <n v="0"/>
    <x v="1"/>
    <x v="1"/>
    <n v="0"/>
  </r>
  <r>
    <s v="['What methods are used to detect and correct errors in bibliographic datasets?']"/>
    <s v="Summary: The methods used to detect and correct errors in bibliographic datasets include the analysis of open bibliographic metadata available in Crossref, the use of a list of invalid cited DOIs gathered by OpenCitations, and the identification of patterns of factual errors in the invalid DOIs._x000a__x000a_DOI: 10.1007/s11192-022-04367-w - This study aims to identify classes of DOI mistakes by analyzing open bibliographic metadata in Crossref, tracking publisher responsibility, and correcting errors through automatic processes. It extends previous DOI error taxonomies and defines more elaborate regular expressions for improved error correction._x000a__x000a_DOI: 10.5281/ZENODO.6188748 - This dataset evaluates the methodology presented in the article &quot;Identifying and correcting invalid citations due to DOI errors in Crossref data.&quot; It includes 193 randomly selected corrected citations, extracted using a Python script available on GitHub._x000a__x000a_My lady, I hope this information is helpful. If you have any further questions or need more details, please let me know."/>
    <n v="1"/>
    <x v="0"/>
    <x v="0"/>
    <n v="0"/>
  </r>
  <r>
    <s v="['What methods are used to detect and correct errors in bibliographic datasets?']"/>
    <s v="Summary: The methodology presented in the article *Identifying and correcting invalid citations due to DOI errors in Crossref data* is evaluated in the dataset 10_random_citations_per_rule.csv._x000a__x000a_DOI: 10.5281/ZENODO.6188748_x000a__x000a_Is there anything else I can help you with, my lady?"/>
    <n v="0"/>
    <x v="1"/>
    <x v="1"/>
    <n v="0"/>
  </r>
  <r>
    <s v="['What methods are used to detect and correct errors in bibliographic datasets?']"/>
    <s v="Summary: DOI errors in Crossref data are identified and corrected using regular expressions._x000a__x000a_DOI: 10.1007/s11192-022-04367-w - This study analyses open bibliographic metadata in Crossref to identify DOI mistakes, highlighting responsible publishers and correcting errors through automatic processes. Invalid cited DOIs are retrieved and processed, with patterns of factual errors identified and regular expressions defined for correction. The research extends the taxonomy of DOI name errors and presents a DOI cleaning mechanism for integration into existing processes._x000a__x000a_DOI: 10.5281/ZENODO.6188748 - This dataset evaluates the methodology for identifying and correcting invalid citations due to DOI errors in Crossref data. It includes randomly selected corrected citations and is available for review on GitHub._x000a__x000a_Is there anything else I can help you with, my lady?"/>
    <n v="1"/>
    <x v="0"/>
    <x v="0"/>
    <n v="0"/>
  </r>
  <r>
    <s v="['What is Crossref’s role in the scholarly research ecosystem?']"/>
    <s v="Summary: Crossref is a sustainable source of community-owned scholarly metadata that is collected and made available to publishers, authors, librarians, funders, and researchers._x000a__x000a_DOI: 10.1162/qss_a_00022_x000a__x000a_Crossref is a sustainable source of community-owned scholarly metadata that is collected and made available to publishers, authors, librarians, funders, and researchers. Containing over 106 million records and expanding at an average rate of 11% a year, Crossref’s metadata has become one of the major sources of scholarly data.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 hope this information is helpful. If you have any further questions, please let me know."/>
    <n v="1"/>
    <x v="0"/>
    <x v="0"/>
    <n v="0"/>
  </r>
  <r>
    <s v="['What is Crossref’s role in the scholarly research ecosystem?']"/>
    <s v="Summary: Crossref is a sustainable source of community-owned scholarly metadata that is collected and made available for use in the scholarly research ecosystem._x000a__x000a_DOI: 10.1162/qss_a_00022 - Crossref has over 106 million records and is expanding at an average rate of 11% a year. It has become a major source of scholarly data for publishers, authors, librarians, funders, and researchers._x000a__x000a_DOI: 10.31222/osf.io/smxe5 - Crossref is a source of open bibliographic metadata and several initiatives have been taken to promote the open availability of bibliographic metadata of scholarly publications._x000a__x000a_My lady, is there anything else I can help you with?"/>
    <n v="1"/>
    <x v="0"/>
    <x v="0"/>
    <n v="0"/>
  </r>
  <r>
    <s v="['What is Crossref’s role in the scholarly research ecosystem?']"/>
    <s v="Summary: Crossref is a sustainable source of community-owned scholarly metadata that is collected and made available to publishers, authors, librarians, funders, and researchers._x000a__x000a_DOI: 10.1162/qss_a_00022_x000a__x000a_Crossref is a sustainable source of community-owned scholarly metadata that is collected and made available to publishers, authors, librarians, funders, and researchers. Containing over 106 million records and expanding at an average rate of 11% a year, Crossref’s metadata has become one of the major sources of scholarly data.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 hope this information is helpful. Is there anything else I can assist you with?"/>
    <n v="1"/>
    <x v="0"/>
    <x v="0"/>
    <n v="0"/>
  </r>
  <r>
    <s v="['What is Crossref’s role in the scholarly research ecosystem?']"/>
    <s v="Summary: Crossref is a community-owned source of scholarly metadata that is available to publishers, authors, librarians, funders, and researchers._x000a__x000a_DOI: 10.1162/qss_a_00022 - Crossref is a community-owned source of scholarly metadata that is available to publishers, authors, librarians, funders, and researchers._x000a__x000a_DOI: 10.31222/osf.io/smxe5 - Crossref is a community-owned source of scholarly metadata that is available to publishers, authors, librarians, funders, and researchers._x000a__x000a_My lady, is there anything else I can help you with?"/>
    <n v="1"/>
    <x v="0"/>
    <x v="0"/>
    <n v="0"/>
  </r>
  <r>
    <s v="['What is Crossref’s role in the scholarly research ecosystem?']"/>
    <s v="Summary: Crossref is a community-owned source of scholarly metadata that is available to publishers, authors, librarians, funders and researchers._x000a__x000a_DOI: 10.1162/qss_a_00022 - Crossref has over 106 million records and is expanding at an average rate of 11% a year. It has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and retractions._x000a__x000a_DOI: 10.31222/osf.io/smxe5 - Crossref has six metadata elements: reference lists, abstracts, ORCIDs, author affiliations, funding information and license information. The availability of these metadata elements has improved over time, at least for journal articles, the most common publication type in Crossref. However, the analysis also shows that many publishers need to make additional efforts to realise full openness of bibliographic metadata._x000a__x000a_My lady, is there anything else I can help you with?"/>
    <n v="1"/>
    <x v="0"/>
    <x v="0"/>
    <n v="0"/>
  </r>
  <r>
    <s v="['What are the strengths and weaknesses of Web of Science (WoS) as a bibliometric database?']"/>
    <s v="Summary: Web of Science (WoS) is a traditional bibliometric database that has been the foundation for research in the science of science. However, it has been criticised for systematically underrepresenting certain disciplines and world regions._x000a__x000a_DOI: 10.48550/arXiv.2404.17663_x000a__x000a_I'm sorry, my lady, but I was unable to find any further information on the strengths and weaknesses of WoS. Would you like me to answer a different question?"/>
    <n v="0"/>
    <x v="1"/>
    <x v="1"/>
    <n v="0"/>
  </r>
  <r>
    <s v="['What are the strengths and weaknesses of Web of Science (WoS) as a bibliometric database?']"/>
    <s v="Summary: I'm sorry, my lady, I couldn't find any information about the strengths and weaknesses of Web of Science (WoS) as a bibliometric database._x000a__x000a_However, I did find information about the suitability of OpenAlex for bibliometric analyses and a comparison of bibliographic data sources, including Web of Science._x000a__x000a_DOI: 10.48550/arXiv.2404.17663 discusses the suitability of OpenAlex for bibliometric analyses and compares it with Scopus. The study concludes that OpenAlex is a reliable alternative for some analyses, particularly at the country level. However, it also highlights issues with metadata accuracy and completeness, suggesting that additional research is needed to fully comprehend and address OpenAlex's limitations._x000a__x000a_DOI: 10.1162/qss_a_00112 presents a large-scale comparison of five multidisciplinary bibliographic data sources, including Web of Science. The study emphasizes the importance of combining comprehensive coverage of scientific literature with flexible filters for selecting literature. However, it does not specifically discuss the strengths and weaknesses of Web of Science._x000a__x000a_My lady, would you like me to assist you with another question?"/>
    <n v="0"/>
    <x v="1"/>
    <x v="1"/>
    <n v="0"/>
  </r>
  <r>
    <s v="['What are the strengths and weaknesses of Web of Science (WoS) as a bibliometric database?']"/>
    <s v="Summary: I'm sorry, my lady, I couldn't find any information about the strengths and weaknesses of Web of Science (WoS) as a bibliometric database._x000a__x000a_However, I did find the following information about WoS:_x000a__x000a_- WoS was the main supporting infrastructure for bibliometric research for over 30 years until new competitors emerged._x000a_- WoS, along with Scopus, may introduce biases in research evaluation, favouring Natural Sciences, Engineering, and Biomedical Research over Social Sciences, Arts, and Humanities._x000a_- English-language journals are overrepresented in WoS, which may disadvantage other languages._x000a_- WoS and Scopus share these biases, but their coverage differs substantially, which can lead to varying results in bibliometric analyses._x000a_- WoS, along with other traditional databases like Scopus, systematically underrepresent certain disciplines and world regions._x000a__x000a_Unfortunately, I couldn't find a direct comparison of WoS's strengths and weaknesses as a bibliometric database._x000a__x000a_If you'd like, I can try to answer a different question or provide more information on a specific aspect of WoS."/>
    <n v="0"/>
    <x v="1"/>
    <x v="1"/>
    <n v="0"/>
  </r>
  <r>
    <s v="['What are the strengths and weaknesses of Web of Science (WoS) as a bibliometric database?']"/>
    <s v="Summary: Web of Science (WoS) is a bibliometric database that has been used for over 30 years and is commonly used in bibliometric analyses. However, it has been found to have biases towards certain fields and languages, which can impact the results of research evaluations._x000a__x000a_DOI: 10.1007/s11192-015-1765-5 - This study compares the journal coverage of WoS and Scopus and finds that both databases have biases towards Natural Sciences, Engineering, and Biomedical Research, as well as English-language journals. These biases can disadvantage other fields and languages, and the results of bibliometric analyses may vary depending on the database used._x000a__x000a_DOI: 10.48550/arXiv.2404.17663 - This study compares OpenAlex and Scopus and finds that traditional databases like WoS systematically underrepresent certain disciplines and world regions. OpenAlex is found to be a reliable alternative for some analyses, but further research is needed to fully understand its limitations._x000a__x000a_My lady, I hope this information helps. Please let me know if you have any further questions."/>
    <n v="1"/>
    <x v="0"/>
    <x v="0"/>
    <n v="0"/>
  </r>
  <r>
    <s v="['What are the strengths and weaknesses of Web of Science (WoS) as a bibliometric database?']"/>
    <s v="Summary: I'm sorry, my lady, I was unable to find any information about the strengths and weaknesses of Web of Science (WoS) as a bibliometric database._x000a__x000a_However, I did find the following information about WoS:_x000a__x000a_- WoS was the main supporting infrastructure of bibliometrics for more than 30 years until several new competitors emerged._x000a_- WoS is commonly used as a data source for bibliometric analyses._x000a_- The use of WoS for research evaluation may introduce biases that favour Natural Sciences and Engineering as well as Biomedical Research to the detriment of Social Sciences and Arts and Humanities._x000a_- English-language journals are overrepresented in WoS to the detriment of other languages._x000a_- WoS systematically underrepresents certain disciplines and world regions._x000a_- WoS is included in a large-scale comparison of multidisciplinary bibliographic data sources, which analyses differences in the coverage of documents and the completeness and accuracy of citation links._x000a_- WoS is compared with other bibliographic databases in terms of publication and document types, which demonstrates that typologies can differ considerably between individual database providers._x000a__x000a_DOI: N/A"/>
    <n v="0"/>
    <x v="1"/>
    <x v="1"/>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journal traditions.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heavily influenced by field-specific practices and traditions. The study underscores the difficulty of creating a one-size-fits-all metric for comparing scholarly impact across disciplines._x000a__x000a_**Additional Context:**  _x000a_1. **Publication Culture:** Fields like biomedicine tend to produce more papers and citations per researcher compared to humanities or social sciences, where monographs and book chapters are more common.  _x000a_2. **Citation Practices:** Some fields (e.g., mathematics) cite fewer references per paper, while others (e.g., biology) cite extensively, making raw citation counts incomparable.  _x000a_3. **Field-Specific Impact Factors:** Journals in high-citation fields (e.g., physics) naturally have higher impact factors, skewing comparisons with low-citation fields (e.g., arts).  _x000a_4. **Time Lag:** Breakthroughs in some fields (e.g., computer science) are recognized quickly, while others (e.g., humanities) may take years to accrue citations.  _x000a__x000a_These challenges necessitate field-normalized metrics like the **Field-Weighted Citation Impact (FWCI)** or **Journal Normalized Citation Score**, which account for disciplinary differences. However, even these approaches have limitations, as they rely on accurate field categorization and citation databases.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ary norms on metric interpretation._x000a__x000a_**DOI:** 10.1073/pnas.1616297114  _x000a_This article, &quot;The Leiden Manifesto for Research Metrics,&quot; discusses the importance of considering field-specific differences when applying citation metrics. It highlights that fields vary in their publication rates, citation practices, and the types of journals they use, making direct comparisons between disciplines problematic. The authors argue for a more nuanced approach to research evaluation that takes these differences into account._x000a__x000a_**Additional Challenges:**_x000a_1. **Publication Practices:** Some fields, like biomedicine, publish more frequently and in larger volumes compared to fields like mathematics or humanities, where publications are fewer but often more impactful._x000a_2. **Citation Rates:** Citation density varies widely across disciplines. For example, physics and mathematics tend to have lower citation rates per paper compared to molecular biology or clinical medicine._x000a_3. **Journal Culture:** The prestige and impact of journals differ across fields, and some disciplines rely more heavily on conference proceedings or books, which are not always captured in citation databases._x000a_4. **Time to Impact:** The time it takes for research to be cited varies by field. Fast-paced fields like computer science may see rapid citation accumulation, whereas humanities research may take years to gain recognition._x000a__x000a_These challenges underscore the need for field-normalized metrics, such as those provided by the **Field-Weighted Citation Impact (FWCI)**, which adjusts citation counts based on disciplinary averages.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_x000a__x000a_**DOI:** 10.1126/science.1175862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846  _x000a_In this *PeerJ* article by Bornmann et al. (2019), the authors discuss the challenges of field normalization in bibliometrics. They argue that traditional methods, such as journal-based normalization, are insufficient due to the heterogeneity of citation cultures across disciplines. The paper suggests more sophisticated approaches, such as using reference-based or field-specific citation percentiles, to improve normalization._x000a__x000a_**DOI:** 10.1002/asi.21340  _x000a_Waltman and Traag (2020) in the *Journal of the Association for Information Science and Technology* explore the limitations of current normalization methods. They highlight issues such as the granularity of field classifications and the dynamic nature of scientific disciplines, which complicate efforts to create fair and accurate cross-field comparisons of citation metrics._x000a__x000a_These challenges necessitate the development of more nuanced and adaptive methods for normalizing citation metrics to ensure equitable comparisons across diverse scientific field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_x000a__x000a_**Additional Challenges:**_x000a_1. **Publication Culture:** Fields like biomedicine tend to produce more citations per paper compared to mathematics or humanities, where monographs or books may be more influential._x000a_2. **Citation Practices:** Some fields cite more extensively (e.g., physics) than others (e.g., mathematics), skewing raw citation counts._x000a_3. **Field-Specific Impact Factors:** Journals in certain fields have higher impact factors, which can inflate citation metrics for researchers in those disciplines._x000a_4. **Publication Rates:** Fields with higher publication rates (e.g., computer science) may accumulate more citations simply due to volume, not necessarily quality._x000a__x000a_Efforts to normalize citation metrics often involve field-normalized indicators like the **Field-Weighted Citation Impact (FWCI)** or **Journal Normalized Citation Score**, but these approaches still face limitations in capturing the nuances of interdisciplinary research or emerging fields.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Here’s a structured overview: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_x000a__x000a_**DOI:** 10.1126/science.1177997  _x000a_This article by Seglen (1997) highlights the variability in citation patterns across different scientific fields, emphasizing that citation counts are heavily influenced by field-specific practices, such as the average number of references per paper and the speed of publication. The study underscores the need for field-normalized metrics to ensure fair comparisons._x000a__x000a_**DOI:** 10.1002/asi.21353  _x000a_Bornmann and Daniel (2008) discuss the challenges of normalizing citation metrics, particularly the choice of normalization methods (e.g., percentile ranks, z-scores) and the impact of database coverage. They argue that no single method can fully account for the diversity of citation behaviors across fields._x000a__x000a_**DOI:** 10.1073/pnas.1403879111  _x000a_Waltman and van Eck (2013) explore the limitations of field-normalized citation metrics, such as the journal-based categorization used in the Leiden Ranking. They stress that inaccuracies in field classification and differences in citation cultures can distort normalized metrics._x000a__x000a_These challenges necessitate careful consideration of field-specific contexts when using citation metrics for evaluation purposes, my lady."/>
    <n v="0"/>
    <x v="1"/>
    <x v="1"/>
    <n v="1"/>
  </r>
  <r>
    <s v="['What are the key features and limitations of OpenAlex as a bibliometric database?']"/>
    <s v="Summary: OpenAlex is a new bibliographic database that is open and inclusive, with extensive coverage. It is a promising alternative to established proprietary sources such as Web of Science and Scopus. However, there are concerns about the quality and trustworthiness of its metadata, which may hinder its broader adoption._x000a__x000a_DOI: 10.48550/arXiv.2404.17663 - OpenAlex is a superset of Scopus and can be a reliable alternative for some analyses, particularly at the country level. However, issues of metadata accuracy and completeness require additional research to fully comprehend and address OpenAlex's limitations._x000a__x000a_DOI: 10.48550/arXiv.2508.18620 - OpenAlex's openness and extensive coverage are notable, but concerns about metadata quality may hinder its adoption. This study aims to assess metadata quality in OpenAlex and Web of Science, focusing on document type, publication year, language, and number of authors._x000a__x000a_DOI: 10.48550/arXiv.2401.16359 - OpenAlex is a promising open source of scholarly metadata, but its rapid evolution raises questions about data trustworthiness. A large-scale study demonstrates that OpenAlex has comparable average source reference numbers and internal coverage rates to Web of Science and Scopus, but mixed results in other core metadata comparisons._x000a__x000a_DOI: 10.48550/arXiv.2406.15154 - OpenAlex is becoming an important free alternative to established proprietary providers for bibliometric analyses. This study compares publication and document types in OpenAlex, Scopus, Web of Science, Semantic Scholar, and PubMed, highlighting differences in typologies and classification methods._x000a__x000a_DOI: 10.48550/ARXIV.2205.01833 - OpenAlex is a new, fully-open scientific knowledge graph containing metadata for millions of works, authors, venues, institutions, and concepts. The dataset is fully and freely available, and future work will improve citation information and author/institution parsing._x000a__x000a_My lady, I hope this summary meets your requirements. If you have any further questions or need additional information, please let me know."/>
    <n v="1"/>
    <x v="0"/>
    <x v="0"/>
    <n v="0"/>
  </r>
  <r>
    <s v="['What are the key features and limitations of OpenAlex as a bibliometric database?']"/>
    <s v="Summary: OpenAlex is a new, open bibliometric database that has gained popularity for its extensive coverage and accessibility. However, concerns about metadata quality and rapid evolution have been raised, requiring further research to fully understand its limitations._x000a__x000a_DOI: 10.48550/arXiv.2404.17663 - OpenAlex is a superset of Scopus, offering a reliable alternative for some analyses, particularly at the country level. However, metadata accuracy and completeness issues require additional research to fully comprehend and address its limitations._x000a__x000a_DOI: 10.48550/arXiv.2508.18620 - OpenAlex's metadata quality is a concern, particularly regarding document type, publication year, language, and author count discrepancies. Addressing these issues is crucial for its broader adoption in research and evaluation._x000a__x000a_DOI: 10.48550/arXiv.2401.16359 - OpenAlex has comparable average source reference numbers and internal coverage rates to Web of Science and Scopus, but its rapid evolution raises questions about data trustworthiness._x000a__x000a_DOI: 10.48550/arXiv.2406.15154 - OpenAlex is becoming an important free alternative to established proprietary providers, but publication and document type classifications may vary across databases._x000a__x000a_DOI: 10.48550/ARXIV.2205.01833 - OpenAlex is a fully-open scientific knowledge graph containing metadata for 209 million works, with ongoing development to improve citation information accuracy and author/institution parsing._x000a__x000a_My lady, I hope this summary provides a comprehensive overview of OpenAlex's key features and limitations as a bibliometric database. If you have any further questions or would like more details on specific aspects, please let me know."/>
    <n v="1"/>
    <x v="0"/>
    <x v="0"/>
    <n v="0"/>
  </r>
  <r>
    <s v="['What are the key features and limitations of OpenAlex as a bibliometric database?']"/>
    <s v="Summary: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DOI: 10.48550/ARXIV.2205.01833_x000a__x000a_I hope this information is helpful, my lady."/>
    <n v="1"/>
    <x v="0"/>
    <x v="0"/>
    <n v="0"/>
  </r>
  <r>
    <s v="['What are the key features and limitations of OpenAlex as a bibliometric database?']"/>
    <s v="Summary: OpenAlex is a newly launched bibliographic database that is open and has extensive coverage._x000a__x000a_DOI: 10.48550/arXiv.2508.18620 - OpenAlex is a bibliographic database launched in 2022 that is open and has extensive coverage. It reduces or eliminates barriers to accessing bibliometric data, however, there are concerns about the quality of its metadata.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6.15154 - OpenAlex is becoming increasingly important as a free alternative to established proprietary providers for bibliometric analyses at libraries and universities._x000a__x000a_DOI: 10.48550/ARXIV.2205.01833 -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My lady, is there anything else I can help you with?"/>
    <n v="1"/>
    <x v="0"/>
    <x v="0"/>
    <n v="0"/>
  </r>
  <r>
    <s v="['What are the key features and limitations of OpenAlex as a bibliometric database?']"/>
    <s v="Summary: OpenAlex is a new, open bibliographic database that has distinguished itself for its openness and extensive coverage._x000a__x000a_DOI: 10.48550/arXiv.2508.18620_x000a__x000a_OpenAlex is a new, open bibliographic database that has distinguished itself for its openness and extensive coverage. It may reduce or eliminate barriers to accessing bibliometric data, but one of the concerns that hinders its broader adoption for research and research evaluation is the quality of its metadata._x000a__x000a_My lady, is there anything else I can help you with?"/>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_x000a__x000a_DOI: 10.1177/09610006241239080 -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_x000a__x000a_My lady, I hope this answers your question."/>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Methods to automatically detect, correct, and canonicalize scholarly metadata are investigated, using seven key fields of electronic theses and dissertations (ETDs) as a case study. A framework called MetaEnhance is proposed, which utilizes state-of-the-art artificial intelligence methods to improve the quality of these fields. To evaluate MetaEnhance, a metadata quality evaluation benchmark containing 500 ETDs is compiled, and the proposed methods achieve nearly perfect F1-scores in detecting errors and F1-scores in correcting errors ranging from 0.85 to 1.00 for five of seven fields._x000a__x000a_DOI: 10.5860/crl.86.1.101 - Metadata serves discovery and access by providing contextual, technical, and administrative information in a standard form. However, metadata is also a site of tension between sociocultural representations, resource constraints, and standardized systems. Formal and informal interventions may be interpreted as quality issues, political acts to assert identity, or strategic choices to maximize visibility. A review of 427 records identifies 32 unique issues and classifies them into 5 categories to better explain how metadata and communities interact to reflect cultural meanings._x000a__x000a_DOI: 10.1177/09610006241239080 - Metadata plays a pivotal role in various aspects, including data retrieval and search, data organization, interoperability, data preservation, and the overall user experience. A scoping review aims to identify the most commonly measured dimensions of metadata quality in existing studies on metadata quality assessment. The review finds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_x000a__x000a_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is developed for various Open Data portals, and several quality metrics are defined, which can be evaluated automatically and efficiently. Findings are reported based on monitoring a set of over 260 Open Data portals with 1.1M datasets._x000a__x000a_My lady, I hope this information is helpful. If you have any further questions or need more detail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_x000a__x000a_DOI: 10.5860/crl.86.1.101 - Metadata serves discovery and access by providing contextual, technical, and administrative information in a standard form. Yet metadata are also sites of tension between sociocultural representations, resource constraints, and standardized systems._x000a__x000a_DOI: 10.1177/09610006241239080 - Metadata plays a pivotal role in various aspects, including data retrieval and search, data organization, interoperability, data preservation, and the overall user experience. The review found that completeness, accuracy, consistency, accessibility, conformance, provenance, and timeliness are commonly used dimensions in metadata quality assessment._x000a__x000a_DOI: 10.1145/2964909 - With the increasing number of published resources, there is a number of concerns with regards to the quality of the data sources and the corresponding metadata, which compromise the searchability, discoverability, and usability of resource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 Metadata quality is crucial for digital objects to be discovered through digital library interfaces. However, due to various reasons, the metadata of digital objects often exhibits incomplete, inconsistent, and incorrect values._x000a__x000a_DOI: 10.5860/crl.86.1.101: Metadata serves discovery and access by providing contextual, technical, and administrative information in a standard form. Yet metadata are also sites of tension between sociocultural representations, resource constraints, and standardized systems._x000a__x000a_DOI: 10.1177/09610006241239080: Metadata plays a pivotal role in various aspects, including data retrieval and search, data organization, interoperability, data preservation, and the overall user experience._x000a__x000a_DOI: 10.1145/2964909: The Open Data movement has become a driver for publicly available data on the Web. More and more data—from governments and public institutions but also from the private sector—are made available online and are mainly published in so-called Open Data portal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some information on metadata quality. Would you like me to elaborate on any of the points?"/>
    <n v="1"/>
    <x v="0"/>
    <x v="0"/>
    <n v="0"/>
  </r>
  <r>
    <s v="['What are the key challenges and advancements in Retrieval-Augmented Generation (RAG) systems?']"/>
    <s v="Summary: Retrieval-Augmented Generation (RAG) systems have gained significant attention for their ability to enhance language models by incorporating external knowledge sources. However, evaluating the effectiveness of these systems remains a challenge, as both the retrieval and generation components must be assessed independently and in combination._x000a__x000a_DOI: 10.1007/s44427-025-00006-3: This study aims to provide a comprehensive evaluation of open-source large language models (LLMs) within a RAG system, using a dataset derived from diploma theses abstracts. The authors generated a benchmark dataset consisting of 122 questions with reference answers, categorized into reasoning, fact-based, and summary-type questions. Using Elasticsearch as the retriever and several open-source LLMs as generators, they evaluated the system using the Ragas (Retrieval Augmented Generation Assessment) framework, focusing on retrieval effectiveness and answer quality._x000a__x000a_DOI: 10.18653/v1/2024.eacl-demo.16: The authors introduce RAGAs (Retrieval Augmented Generation Assessment), a framework for reference-free evaluation of RAG pipelines. They discuss the challenges of evaluating RAG architectures, which include assessing the ability of the retrieval system to identify relevant context passages, the ability of the LLM to exploit such passages faithfully, and the quality of the generation itself._x000a__x000a_DOI: 10.48550/arXiv.2406.13213: This paper introduces Multi-Meta-RAG, a new method that uses database filtering with LLM-extracted metadata to improve RAG selection of relevant documents for multi-hop queries. The authors found that Multi-Meta-RAG greatly improves the results on the MultiHop-RAG benchmark._x000a__x000a_DOI: 10.6109/jkiice.2023.27.12.1489: The authors propose a Metadata Retrieval-Augmented Generation (M-RAG) method that can effectively search and answer questions with an open-domain Question Answering (ODQA) system. Their method utilizes embeddings with metadata and generative models to generate automated responses, resulting in a performance improvement of up to 46% compared to the same external inference ODQA system._x000a__x000a_My lady, I hope this summary of the key challenges and advancements in RAG systems is helpful. If you have any further questions or would like more information on a specific aspect, please don't hesitate to ask."/>
    <n v="1"/>
    <x v="0"/>
    <x v="0"/>
    <n v="0"/>
  </r>
  <r>
    <s v="['What are the key challenges and advancements in Retrieval-Augmented Generation (RAG) systems?']"/>
    <s v="Summary: Retrieval-Augmented Generation (RAG) systems face challenges in evaluating their effectiveness, particularly in assessing both retrieval and generation components independently and in combination. However, advancements like RAGAs and Multi-Meta-RAG have been introduced to address these challenges, offering automated evaluation frameworks and improved methods for handling multi-hop queries._x000a__x000a_DOI: 10.1007/s44427-025-00006-3 - This study evaluates open-source LLMs in RAG systems using a benchmark dataset derived from diploma theses abstracts, highlighting the strengths and weaknesses of different models and retrieval strategies._x000a__x000a_DOI: 10.18653/v1/2024.eacl-demo.16 - Introduces RAGAs, a framework for reference-free evaluation of RAG pipelines, addressing the challenge of evaluating RAG architectures by introducing metrics that assess retrieval, generation, and overall quality without human annotations._x000a__x000a_DOI: 10.48550/arXiv.2406.13213 - Presents Multi-Meta-RAG, a method that improves RAG for multi-hop queries by using database filtering with LLM-extracted metadata, significantly enhancing performance on the MultiHop-RAG benchmark._x000a__x000a_DOI: 10.6109/jkiice.2023.27.12.1489 - Proposes M-RAG, a method for enhancing open-domain question answering using metadata retrieval-augmented generation, demonstrating significant performance improvements over conventional RAG method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_x000a__x000a_DOI: 10.1007/s44427-025-00006-3: This study evaluates open-source LLMs in RAG systems using a benchmark dataset derived from diploma theses abstracts, highlighting the strengths and weaknesses of different models and retrieval strategies._x000a__x000a_DOI: 10.18653/v1/2024.eacl-demo.16: Introduces RAGAs, a framework for reference-free evaluation of RAG pipelines, addressing the challenges of evaluating RAG architectures by introducing a suite of metrics that can evaluate different dimensions without relying on ground truth human annotations._x000a__x000a_DOI: 10.48550/arXiv.2406.13213: Introduces Multi-Meta-RAG, a new method that uses database filtering with LLM-extracted metadata to improve RAG selection of relevant documents for multi-hop queries, significantly improving results on the MultiHop-RAG benchmark._x000a__x000a_My lady, I hope this information is helpful. If you have any further questions or would like more details on a specific aspect of RAG systems, please let me know."/>
    <n v="1"/>
    <x v="0"/>
    <x v="0"/>
    <n v="0"/>
  </r>
  <r>
    <s v="['What are the key challenges and advancements in Retrieval-Augmented Generation (RAG) systems?']"/>
    <s v="Summary: Retrieval-Augmented Generation (RAG) systems face challenges in evaluating their effectiveness due to the need to assess both retrieval and generation components independently and in combination. However, advancements like RAGAs and Multi-Meta-RAG have been introduced to address these challenges, offering automated evaluation frameworks and improved performance for multi-hop queries._x000a__x000a_DOI: 10.1007/s44427-025-00006-3: This study evaluates open-source LLMs in RAG systems using a benchmark dataset derived from diploma theses abstracts, highlighting the strengths and weaknesses of different models and retrieval strategies._x000a__x000a_DOI: 10.18653/v1/2024.eacl-demo.16: Introduces RAGAs, a framework for reference-free evaluation of RAG pipelines, addressing the challenges of evaluating RAG architectures by introducing metrics that assess retrieval, generation, and overall quality without human annotations._x000a__x000a_DOI: 10.48550/arXiv.2406.13213: Presents Multi-Meta-RAG, a method that improves RAG performance for multi-hop queries by using database filtering with LLM-extracted metadata, significantly enhancing results on the MultiHop-RAG benchmark._x000a__x000a_My lady, I hope this information is helpful. If you have any further questions or need more details, please let me know."/>
    <n v="1"/>
    <x v="0"/>
    <x v="0"/>
    <n v="0"/>
  </r>
  <r>
    <s v="['What are the key challenges and advancements in Retrieval-Augmented Generation (RAG) systems?']"/>
    <s v="Summary: Retrieval-Augmented Generation (RAG) systems face challenges in evaluating their effectiveness, particularly in assessing both retrieval and generation components independently and in combination. Advancements include the development of frameworks like RAGAs and Ragas for automated and comprehensive evaluation, and methods like Multi-Meta-RAG and M-RAG to improve performance in multi-hop queries and open-domain question answering, respectively._x000a__x000a_DOI: 10.1016/j.caeai.2025.100417 - This paper discusses the integration of RAG into educational scenarios, highlighting challenges such as mitigating hallucinations, ensuring the completeness and timeliness of retrieved knowledge, reducing computational costs, and enhancing multimodal support for RAG-based educational applications._x000a__x000a_DOI: 10.1007/s44427-025-00006-3 - The study evaluates open-source LLMs in RAG systems using a benchmark dataset derived from diploma theses abstracts, focusing on retrieval effectiveness and answer quality, and provides insights into optimizing RAG implementations for academic tasks._x000a__x000a_DOI: 10.18653/v1/2024.eacl-demo.16 - Introduces RAGAs, a framework for reference-free evaluation of RAG pipelines, addressing challenges in evaluating the retrieval system's ability, LLM's utilization of retrieved passages, and generation quality without relying on human annotations._x000a__x000a_DOI: 10.48550/arXiv.2406.13213 - Presents Multi-Meta-RAG, a method that improves RAG performance in multi-hop queries by using database filtering with LLM-extracted metadata, significantly enhancing results on the MultiHop-RAG benchmark._x000a__x000a_DOI: 10.6109/jkiice.2023.27.12.1489 - Proposes M-RAG, a method for enhancing open-domain question answering by utilizing metadata embeddings and generative models, achieving up to 46% performance improvement compared to external inference ODQA systems and 6% over conventional RAG methods._x000a__x000a_My lady, these are the key challenges and advancements in Retrieval-Augmented Generation (RAG) systems based on the provided documents."/>
    <n v="1"/>
    <x v="0"/>
    <x v="0"/>
    <n v="0"/>
  </r>
  <r>
    <s v="['What are the key challenges and advancements in metadata quality assessment?']"/>
    <s v="Summary: Metadata quality assessment is a critical area of research, with challenges including the lack of consensus on definitions and measurements of quality dimensions, and the need for flexible assessment tools. Advancements include the development of automated quality assessment frameworks, the identification of key quality dimensions, and the exploration of metadata quality issues across cultures._x000a__x000a_DOI: 10.1177/09610006241239080 - This study emphasizes the importance of metadata quality research and highlights the need to improve the flexibility of metadata quality assessment tools. It identifies completeness, accuracy, consistency, accessibility, conformance, provenance, and timeliness as commonly used dimensions in metadata quality assessment but notes the lack of consensus on their definitions and measurements._x000a__x000a_DOI: 10.1145/2964909 - This work aims to develop a generic metadata quality assessment framework for open data portals, addressing concerns about the quality of data sources and corresponding metadata. It defines several quality metrics that can be evaluated automatically and efficiently, contributing to a more complete understanding of metadata quality issues._x000a__x000a_DOI: 10.5860/crl.86.1.101 - This study explores metadata quality issues across cultures, identifying 32 unique issues and classifying them into 5 categories. It highlights the impact of metadata quality, consistency, and completeness on individuals and communities, emphasizing the need to consider sociocultural representations and resource constraints in metadata quality assessment._x000a__x000a_My lady, I hope this response addresses your question. If you have any further inquiries or would like more details on a specific aspect, please let me know."/>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and the application of qualitative and quantitative content analysis techniques to evaluate metadata records._x000a__x000a_DOI: 10.1177/09610006241239080 - This study highlights the importance of metadata quality assessment, identifying commonly used dimensions and emphasizing the need for further investigation into less commonly assessed quality dimensions. It also notes the prominence of digital repositories and open government data as research subjects._x000a__x000a_DOI: 10.1145/2964909 - This work focuses on developing a generic metadata quality assessment framework for open data portals, addressing concerns about data searchability, discoverability, and usability. It introduces automated quality metrics and reports findings from monitoring a large set of open data portals._x000a__x000a_DOI: 10.1109/ADL.1998.670425 - This research discusses the application of qualitative and quantitative content analysis techniques to assess metadata records, concluding that different types of metadata may require different evaluation criteria and procedures._x000a__x000a_My lady, I hope this information is helpful. If you have any further questions or need more details, please let me know."/>
    <n v="1"/>
    <x v="0"/>
    <x v="0"/>
    <n v="0"/>
  </r>
  <r>
    <s v="['What are the key challenges and advancements in metadata quality assessment?']"/>
    <s v="Summary: The key challenges and advancements in metadata quality assessment revolve around standardisation, automation, and cultural considerations._x000a__x000a_DOI: 10.1109/ADL.1998.670425 discusses the application of qualitative and quantitative content analysis techniques to assess metadata records. As part of a larger evaluation study of US Federal agencies' implementation of the Government Information Locator Service (GILS), this metadata assessment developed a set of criteria and procedures for an exploratory investigation into metadata quality. The authors conclude that a range of criteria and procedures may be needed for evaluating different types of metadata._x000a__x000a_DOI: 10.1177/09610006241239080 explores the dimensions of metadata quality assessment through a scoping review of 55 studies. The review found that completeness, accuracy, consistency, accessibility, conformance, provenance, and timeliness are commonly used dimensions, but there is no consensus on their exact definition and measurement. The study emphasises the need to improve the flexibility of metadata quality assessment tools._x000a__x000a_DOI: 10.1145/2964909 focuses on the automated quality assessment of metadata across open data portals. The authors developed a generic metadata quality assessment framework by mapping specific metadata of three widely used portal software frameworks to a standardised schema. They defined several quality metrics that can be evaluated automatically and reported findings based on monitoring over 260 open data portals._x000a__x000a_DOI: 10.5860/crl.86.1.101 identifies metadata quality issues across cultures. By reviewing a non-random sample of 427 records, the authors identified 32 unique issues and classified them into 5 categories to better understand how metadata quality, consistency, and completeness impact individuals and communities._x000a__x000a_My lady, these studies highlight the ongoing efforts to standardise metadata quality assessment, automate evaluation processes, and address cultural considerations in metadata quality. The challenges include lack of consensus on definitions and measurements, while advancements are seen in the development of generic frameworks and automated tools."/>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Additionally, there is a need for further investigation into less commonly assessed quality dimensions. Advancements include the development of automated quality assessment frameworks for open data portals, the application of qualitative and quantitative content analysis techniques, and the exploration of metadata quality issues across cultures._x000a__x000a_DOI: 10.1177/09610006241239080 - This study explores the dimensions of metadata quality assessment through a scoping review, identifying commonly measured dimensions and highlighting the need for further research into less commonly assessed aspects. It emphasizes the importance of metadata quality research and the improvement of assessment tool flexibility._x000a__x000a_DOI: 10.1109/ADL.1998.670425 - This research discusses the application of qualitative and quantitative content analysis techniques to assess metadata records, developing criteria and procedures for evaluating different types of metadata._x000a__x000a_DOI: 10.1145/2964909 - This work focuses on automated quality assessment of metadata across open data portals, developing a generic framework and defining quality metrics for efficient evaluation._x000a__x000a_DOI: 10.5860/crl.86.1.101 - This study investigates metadata quality issues across cultures, identifying unique problems and categorizing them to understand the impact of metadata quality on individuals and communities._x000a__x000a_My lady, I hope this summary meets your requirements. If you have any further questions or need additional information, please let me know."/>
    <n v="1"/>
    <x v="0"/>
    <x v="0"/>
    <n v="0"/>
  </r>
  <r>
    <s v="['What are the key challenges and advancements in metadata quality assessment?']"/>
    <s v="Summary: The key challenges in metadata quality assessment include defining and measuring quality dimensions, handling diverse metadata types, and addressing cultural and contextual influences. Advancements involve developing standardized frameworks, automating quality assessments, and integrating qualitative and quantitative methods._x000a__x000a_DOI: 10.1109/ADL.1998.670425 - This study discusses the application of qualitative and quantitative content analysis techniques to assess metadata records, emphasizing the need for diverse criteria and procedures for different metadata types._x000a__x000a_DOI: 10.1177/09610006241239080 - This scoping review identifies commonly used dimensions in metadata quality assessment, such as completeness, accuracy, and consistency, while highlighting the lack of consensus on their definitions and measurements._x000a__x000a_DOI: 10.1145/2964909 - This work presents a generic metadata quality assessment framework for open data portals, focusing on automated evaluation and standardized quality metrics._x000a__x000a_DOI: 10.5860/crl.86.1.101 - This study explores the impact of cultural and contextual factors on metadata quality, identifying unique issues and categorizing them to understand their influence on individuals and communities._x000a__x000a_My lady, I hope this summary meets your requirements. If you have any further questions or need additional information, please let me know."/>
    <n v="1"/>
    <x v="0"/>
    <x v="0"/>
    <n v="0"/>
  </r>
  <r>
    <s v="['tell me about how RAG works.']"/>
    <s v="Summary: Retrieval-Augmented Generation (RAG) is a system that enhances language models by incorporating external knowledge sources._x000a__x000a_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6.13213: RAG enables retrieval of relevant information from an external knowledge source and allows large language models (LLMs) to answer queries over previously unseen document collections. However, traditional RAG applications perform poorly in answering multi-hop questions._x000a__x000a_DOI: 10.1145/3681780.3697252: RAG is used to automate and enhance bibliometric analysis, addressing limitations of traditional methods by leveraging Generative AI models._x000a__x000a_DOI: 10.1007/s44427-025-00006-3: RAG systems enhance language models by incorporating external knowledge sources. However, evaluating their effectiveness remains a challenge._x000a__x000a_DOI: 10.48550/arXiv.2510.11195: RAG increases the reliability and trustworthiness of the LLM response and reduces hallucination by eliminating the need for model retraining._x000a__x000a_My lady, I hope this information is helpful. If you have any further questions, please let me know."/>
    <n v="1"/>
    <x v="0"/>
    <x v="0"/>
    <n v="0"/>
  </r>
  <r>
    <s v="['tell me about how RAG works.']"/>
    <s v="Summary: Retrieval-Augmented Generation (RAG) is a system that enhances language models by incorporating external knowledge sources._x000a__x000a_DOI: 10.18653/v1/2024.eacl-demo.16 - RAG systems are composed of a retrieval and an LLM-based generation module. They provide LLMs with knowledge from a reference textual database, enabling them to act as a natural language layer between a user and textual databases, reducing the risk of hallucinations._x000a__x000a_DOI: 10.48550/arXiv.2406.13213 - RAG enables retrieval of relevant information from an external knowledge source, allowing large language models (LLMs) to answer queries over previously unseen document collections._x000a__x000a_DOI: 10.1145/3681780.3697252 - RAG is used to automate and enhance bibliometric analysis, addressing limitations of traditional methods by leveraging Generative AI models, specifically transformers._x000a__x000a_DOI: 10.1007/s44427-025-00006-3 - RAG systems have gained significant attention for their ability to enhance language models, but evaluating their effectiveness remains a challenge._x000a__x000a_DOI: 10.48550/arXiv.2510.11195 - RAG increases the reliability and trustworthiness of LLM responses and reduces hallucination by eliminating the need for model retraining._x000a__x000a_My lady, I hope this information is helpful. If you have any further questions, please let me know."/>
    <n v="1"/>
    <x v="0"/>
    <x v="0"/>
    <n v="0"/>
  </r>
  <r>
    <s v="['tell me about how RAG works.']"/>
    <s v="Summary: Retrieval-Augmented Generation (RAG) is a system that enhances language models by incorporating external knowledge source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_x000a__x000a_DOI: 10.1145/3681780.3697252 - RAG is used to automate and enhance bibliometric analysis, addressing limitations of traditional methods by leveraging Generative AI models, specifically transformers, to enable contextual search, topic ranking, and characterization of research._x000a__x000a_DOI: 10.1007/s44427-025-00006-3 - RAG systems have gained significant attention for their ability to enhance language models, but evaluating their effectiveness remains a challenge. This study aims to provide a comprehensive evaluation of open-source LLMs within a RAG system, focusing on retrieval effectiveness and answer quality._x000a__x000a_DOI: 10.48550/arXiv.2510.11195 - RAG increases the reliability and trustworthiness of LLM responses and reduces hallucination by eliminating the need for model retraining. However, it is vulnerable to a new class of black-box attacks, RAG-Pull, which can redirect retrieval toward malicious code._x000a__x000a_My lady, is there anything else I can assist you with?"/>
    <n v="1"/>
    <x v="0"/>
    <x v="0"/>
    <n v="0"/>
  </r>
  <r>
    <s v="['tell me about how RAG works.']"/>
    <s v="Summary: Retrieval-Augmented Generation (RAG) is a system that enhances language models by incorporating external knowledge sources._x000a__x000a_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6.13213: RAG enables retrieval of relevant information from an external knowledge source and allows large language models (LLMs) to answer queries over previously unseen document collections._x000a__x000a_DOI: 10.1145/3681780.3697252: RAG is used to automate and enhance bibliometric analysis, addressing limitations of traditional methods in semantic searches and contextual understanding._x000a__x000a_DOI: 10.1007/s44427-025-00006-3: RAG systems have gained significant attention for their ability to enhance language models by incorporating external knowledge sources._x000a__x000a_DOI: 10.48550/arXiv.2510.11195: RAG increases the reliability and trustworthiness of the LLM response and reduces hallucination by eliminating the need for model retraining._x000a__x000a_My lady, I hope this information is helpful. If you have any further questions, please let me know."/>
    <n v="1"/>
    <x v="0"/>
    <x v="0"/>
    <n v="0"/>
  </r>
  <r>
    <s v="['tell me about how RAG works.']"/>
    <s v="Summary: Retrieval-Augmented Generation (RAG) is a system that enhances language models by incorporating external knowledge sources._x000a__x000a_DOI: 10.18653/v1/2024.eacl-demo.16_x000a_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6.13213_x000a_RAG enables retrieval of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_x000a__x000a_DOI: 10.1145/3681780.3697252_x000a_RAG is used to automate and enhance bibliometric analysis, addressing limitations of traditional methods that rely on keyword searches and basic NLP techniques. A technical workflow integrating various components enables contextual search, topic ranking, and characterization of research._x000a__x000a_DOI: 10.1007/s44427-025-00006-3_x000a_RAG systems are evaluated using the Ragas framework, focusing on retrieval effectiveness and answer quality. The study highlights the strengths and weaknesses of different models and retrieval strategies, offering insights into optimizing RAG implementations for academic and structured knowledge tasks._x000a__x000a_DOI: 10.48550/arXiv.2510.11195_x000a_RAG increases the reliability and trustworthiness of LLM responses and reduces hallucination by eliminating the need for model retraining. However, a new class of black-box attack, RAG-Pull, exploits vulnerabilities in RAG systems, redirecting retrieval toward malicious code._x000a__x000a_My lady, I hope this information is helpful. If you have any further questions, please let me know."/>
    <n v="1"/>
    <x v="0"/>
    <x v="0"/>
    <n v="0"/>
  </r>
  <r>
    <s v="['Tell me about Crossref.']"/>
    <s v="Summary: Crossref is a sustainable source of community-owned scholarly metadata and open bibliographic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se full openness of bibliographic metadata._x000a__x000a_Is there anything else I can help you with, my lady?"/>
    <n v="1"/>
    <x v="0"/>
    <x v="0"/>
    <n v="0"/>
  </r>
  <r>
    <s v="['Tell me about Crossref.']"/>
    <s v="Summary: Crossref is a sustainable source of community-owned scholarly metadata and a source of open bibliographic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Tell me about Crossref.']"/>
    <s v="Summary: Crossref is a sustainable source of community-owned scholarly metadata and open bibliographic metadata._x000a__x000a_DOI: 10.1162/qss_a_00022 - Crossref is a sustainable source of community-owned scholarly metadata. It contains over 106 million records and expands at an average rate of 11% a year. It has become one of the major sources of scholarly data for publishers, authors, librarians, funders, and researchers._x000a__x000a_DOI: 10.31222/osf.io/smxe5 - Crossref is a source of open bibliographic metadata. Several initiatives have been taken to promote the open availability of bibliographic metadata of scholarly publications in Crossref._x000a__x000a_Is there anything else I can help you with, my lady?"/>
    <n v="1"/>
    <x v="0"/>
    <x v="0"/>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Crossref is a source of open bibliographic metadata. Several initiatives have been taken to promote the open availability of bibliographic metadata of scholarly publications in Crossref. An up-to-date overview of the availability of six metadata elements in Crossref is presented: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If you have any further questions, please let me know."/>
    <n v="1"/>
    <x v="0"/>
    <x v="0"/>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It includes 13 content types, such as journals, conference papers, data sets, reports, preprints, peer reviews and grants. The metadata includes abstracts and links to full text, funding and license information, citation links, and information about corrections, updates and retractions._x000a__x000a_DOI: 10.31222/osf.io/smxe5 - Crossref is a source of open bibliographic metadata. There are six metadata elements: reference lists, abstracts, ORCIDs, author affiliations, funding information and license information. The availability of these metadata elements has improved over time._x000a__x000a_My lady, is there anything else I can help you with?"/>
    <n v="1"/>
    <x v="0"/>
    <x v="0"/>
    <n v="0"/>
  </r>
  <r>
    <s v="['How is RAG used to improve question answering or information retrieval systems?']"/>
    <s v="Summary: Retrieval-Augmented Generation (RAG) is used to improve question answering and information retrieval systems by retrieving relevant information from external knowledge sources, enabling large language models (LLMs) to answer queries over previously unseen document collections._x000a__x000a_DOI: 10.48550/arXiv.2406.13213 - Multi-Meta-RAG is a new method that uses database filtering with LLM-extracted metadata to improve the RAG selection of relevant documents from various sources, relevant to the question._x000a__x000a_DOI: 10.6109/jkiice.2023.27.12.1489 - M-RAG is a method that utilizes embeddings with metadata and generative models to generate automated responses, enabling the generative model to understand the order and context of the document through metadata and answer it._x000a__x000a_DOI: 10.1145/3637528.3671470 - RAG Meeting LLMs is a survey that comprehensively reviews existing research studies in Retrieval-Augmented Large Language Models (RA-LLMs), covering three primary technical perspectives and discussing current limitations and several promising directions for future research._x000a__x000a_DOI: 10.48550/arXiv.2502.15005 - Socratic RAG Approach is a proposed RAG agent that maps natural language queries about research topics to precise, machine-interpretable semantic entities, combining RAG with Socratic dialogue to align a user's intuitive understanding of research topics with established Knowledge Organization Systems (KOSs)._x000a__x000a_DOI: 10.18653/v1/2024.eacl-demo.16 - RAGAs is a framework for reference-free evaluation of RAG pipelines, introducing a suite of metrics that can evaluate different dimensions of RAG architectures without relying on ground truth human annotation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_x000a__x000a_DOI: 10.48550/arXiv.2406.13213 - This paper introduces a new method called Multi-Meta-RAG, which uses database filtering with LLM-extracted metadata to improve the RAG selection of relevant documents from various sources, relevant to the question._x000a__x000a_DOI: 10.6109/jkiice.2023.27.12.1489 - This paper proposes a Metadata Retrieval-Augmented Generation (M-RAG) method that can effectively search and answer questions with an open-domain Question Answering (ODQA) system for one or more documents and compare their performance._x000a__x000a_DOI: 10.1145/3637528.3671470 - This survey comprehensively reviews existing research studies in Retrieval-Augmented Large Language Models (RA-LLMs), covering three primary technical perspectives and discussing current limitations and several promising directions for future research._x000a__x000a_DOI: 10.48550/arXiv.2502.15005 - This paper proposes a RAG agent that maps natural language queries about research topics to precise, machine-interpretable semantic entities by combining RAG with Socratic dialogue._x000a__x000a_DOI: 10.18653/v1/2024.eacl-demo.16 - This paper introduces RAGAs, a framework for reference-free evaluation of RAG pipelines, which can evaluate different dimensions of RAG architectures without relying on ground truth human annotations._x000a__x000a_My lady, I hope this information is helpful. If you have any further questions, please don't hesitate to ask."/>
    <n v="1"/>
    <x v="0"/>
    <x v="0"/>
    <n v="0"/>
  </r>
  <r>
    <s v="['How is RAG used to improve question answering or information retrieval systems?']"/>
    <s v="Summary: Retrieval-Augmented Generation (RAG) is a technique that improves the performance of question answering and information retrieval systems by retrieving relevant information from external knowledge sources and enabling large language models (LLMs) to answer queries over previously unseen document collections._x000a__x000a_DOI: 10.48550/arXiv.2406.13213 - This paper introduces a new method called Multi-Meta-RAG, which uses database filtering with LLM-extracted metadata to improve the RAG selection of relevant documents from various sources, relevant to the question._x000a__x000a_DOI: 10.6109/jkiice.2023.27.12.1489 - This paper proposes a Metadata Retrieval-Augmented Generation (M-RAG) method that can effectively search and answer questions with an open-domain Question Answering (ODQA) system for one or more documents and compare their performance._x000a__x000a_DOI: 10.1145/3637528.3671470 - This survey provides a comprehensive review of existing research studies on Retrieval-Augmented Large Language Models (RA-LLMs), covering three primary technical perspectives and discussing current limitations and promising directions for future research._x000a__x000a_DOI: 10.48550/arXiv.2502.15005 - This paper proposes a RAG agent that maps natural language queries about research topics to precise, machine-interpretable semantic entities by combining RAG with Socratic dialogue._x000a__x000a_DOI: 10.18653/v1/2024.eacl-demo.16 - This paper introduces RAGAs, a framework for reference-free evaluation of RAG pipelines, which introduces a suite of metrics to evaluate different dimensions of RAG architectures without relying on ground truth human annotations._x000a__x000a_My lady, I hope this information is helpful. If you have any further questions or would like more details on a specific DOI, please let me know."/>
    <n v="1"/>
    <x v="0"/>
    <x v="0"/>
    <n v="0"/>
  </r>
  <r>
    <s v="['How is RAG used to improve question answering or information retrieval systems?']"/>
    <s v="Summary: Retrieval-augmented generation (RAG) is used to improve question answering and information retrieval systems by providing reliable and up-to-date external knowledge, enhancing the quality of generated content, and reducing the risk of hallucinations._x000a__x000a_DOI: 10.48550/arXiv.2406.13213 - RAG enables large language models (LLMs) to answer queries over previously unseen document collections by retrieving relevant information from external knowledge sources. However, traditional RAG applications perform poorly in answering multi-hop questions. A new method called Multi-Meta-RAG is introduced, which uses database filtering with LLM-extracted metadata to improve the selection of relevant documents, leading to better performance on multi-hop queries._x000a__x000a_DOI: 10.6109/jkiice.2023.27.12.1489 - The M-RAG method enhances open-domain question answering (ODQA) systems by utilizing embeddings with metadata and generative models to generate automated responses. This approach allows the model to understand the order and context of documents through metadata, increasing the accuracy of answers. Experiments show a significant performance improvement compared to conventional RAG methods._x000a__x000a_DOI: 10.1145/3637528.3671470 - RAG is highlighted as a powerful technique in AI, offering reliable and up-to-date external knowledge to assist generative AI in producing high-quality outputs. The emergence of Retrieval-Augmented Large Language Models (RA-LLMs) leverages external knowledge bases to enhance the quality of LLM-generated content, addressing limitations such as hallucinations and out-of-date internal knowledge._x000a__x000a_DOI: 10.48550/arXiv.2502.15005 - A proposed RAG agent maps natural language queries about research topics to precise, machine-interpretable semantic entities, bridging the gap between domain-specific knowledge organization systems (KOSs) and broad bibliometric repositories. This approach makes complex academic taxonomies more accessible and has potential for broad use in connecting people, organizations, and research topics._x000a__x000a_DOI: 10.18653/v1/2024.eacl-demo.16 - The RAGA framework is introduced for the automated evaluation of RAG pipelines, addressing the challenges of assessing RAG systems' ability to retrieve relevant context, faithfully utilize it, and generate high-quality responses. RAGA provides a suite of metrics for evaluation without relying on human annotations, contributing to faster evaluation cycles of RAG architectures._x000a__x000a_My lady, I hope this information is helpful. If you have any further questions or need more details, feel free to ask."/>
    <n v="1"/>
    <x v="0"/>
    <x v="0"/>
    <n v="0"/>
  </r>
  <r>
    <s v="['How is RAG used to improve question answering or information retrieval systems?']"/>
    <s v="Summary: Retrieval-Augmented Generation (RAG) is a technique that improves the quality of generated content in Large Language Models (LLMs) by retrieving relevant information from external knowledge sources._x000a__x000a_DOI: 10.48550/arXiv.2406.13213 - Multi-Meta-RAG is a new method that uses database filtering with LLM-extracted metadata to improve the selection of relevant documents from various sources, relevant to the question._x000a__x000a_DOI: 10.6109/jkiice.2023.27.12.1489 - M-RAG is a method that utilizes embeddings with metadata and generative models to generate automated responses, allowing the model to understand the order and context of the document through metadata._x000a__x000a_DOI: 10.1145/3637528.3671470 - Retrieval-Augmented Large Language Models (RA-LLMs) leverage external knowledge bases to enhance the quality of generated content, addressing limitations such as hallucinations and out-of-date internal knowledge._x000a__x000a_DOI: 10.48550/arXiv.2502.15005 - A Socratic RAG approach is proposed to map natural language queries to precise semantic entities, bridging the gap between domain-specific knowledge and broad bibliometric repositories._x000a__x000a_DOI: 10.18653/v1/2024.eacl-demo.16 - RAGAs is a framework for evaluating RAG pipelines, introducing a suite of metrics to assess the retrieval system's ability to identify relevant context passages, the LLM's ability to exploit such passages, and the quality of the generation itself._x000a__x000a_My lady, I hope this information is helpful. If you have any further questions,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5C139-E4F3-8F43-A7F3-8E01082E598D}" name="PivotTable8"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3"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140" zoomScaleNormal="140" workbookViewId="0"/>
  </sheetViews>
  <sheetFormatPr baseColWidth="10" defaultColWidth="8.83203125" defaultRowHeight="15" x14ac:dyDescent="0.2"/>
  <cols>
    <col min="2" max="2" width="20.6640625" style="3" customWidth="1"/>
    <col min="3" max="3" width="84.33203125" style="3" customWidth="1"/>
  </cols>
  <sheetData>
    <row r="1" spans="1:7" ht="16" x14ac:dyDescent="0.2">
      <c r="B1" s="2" t="s">
        <v>0</v>
      </c>
      <c r="C1" s="2" t="s">
        <v>1</v>
      </c>
      <c r="D1" t="s">
        <v>97</v>
      </c>
      <c r="E1" t="s">
        <v>98</v>
      </c>
      <c r="F1" t="s">
        <v>99</v>
      </c>
      <c r="G1" t="s">
        <v>100</v>
      </c>
    </row>
    <row r="2" spans="1:7" ht="256" x14ac:dyDescent="0.2">
      <c r="A2" s="1">
        <v>0</v>
      </c>
      <c r="B2" s="3" t="s">
        <v>2</v>
      </c>
      <c r="C2" s="3" t="s">
        <v>3</v>
      </c>
      <c r="D2">
        <v>1</v>
      </c>
      <c r="E2">
        <v>1</v>
      </c>
      <c r="F2">
        <v>1</v>
      </c>
      <c r="G2">
        <v>0</v>
      </c>
    </row>
    <row r="3" spans="1:7" ht="176" x14ac:dyDescent="0.2">
      <c r="A3" s="1">
        <v>16</v>
      </c>
      <c r="B3" s="3" t="s">
        <v>2</v>
      </c>
      <c r="C3" s="3" t="s">
        <v>34</v>
      </c>
      <c r="D3">
        <v>1</v>
      </c>
      <c r="E3">
        <v>1</v>
      </c>
      <c r="F3">
        <v>1</v>
      </c>
      <c r="G3">
        <v>0</v>
      </c>
    </row>
    <row r="4" spans="1:7" ht="192" x14ac:dyDescent="0.2">
      <c r="A4" s="1">
        <v>32</v>
      </c>
      <c r="B4" s="3" t="s">
        <v>2</v>
      </c>
      <c r="C4" s="3" t="s">
        <v>50</v>
      </c>
      <c r="D4">
        <v>1</v>
      </c>
      <c r="E4">
        <v>1</v>
      </c>
      <c r="F4">
        <v>1</v>
      </c>
      <c r="G4">
        <v>0</v>
      </c>
    </row>
    <row r="5" spans="1:7" ht="224" x14ac:dyDescent="0.2">
      <c r="A5" s="1">
        <v>48</v>
      </c>
      <c r="B5" s="3" t="s">
        <v>2</v>
      </c>
      <c r="C5" s="3" t="s">
        <v>65</v>
      </c>
      <c r="D5">
        <v>1</v>
      </c>
      <c r="E5">
        <v>1</v>
      </c>
      <c r="F5">
        <v>1</v>
      </c>
      <c r="G5">
        <v>0</v>
      </c>
    </row>
    <row r="6" spans="1:7" ht="224" x14ac:dyDescent="0.2">
      <c r="A6" s="1">
        <v>64</v>
      </c>
      <c r="B6" s="3" t="s">
        <v>2</v>
      </c>
      <c r="C6" s="3" t="s">
        <v>81</v>
      </c>
      <c r="D6">
        <v>1</v>
      </c>
      <c r="E6">
        <v>1</v>
      </c>
      <c r="F6">
        <v>1</v>
      </c>
      <c r="G6">
        <v>0</v>
      </c>
    </row>
    <row r="7" spans="1:7" ht="112" x14ac:dyDescent="0.2">
      <c r="A7" s="1">
        <v>1</v>
      </c>
      <c r="B7" s="3" t="s">
        <v>4</v>
      </c>
      <c r="C7" s="3" t="s">
        <v>5</v>
      </c>
      <c r="D7">
        <v>1</v>
      </c>
      <c r="E7">
        <v>1</v>
      </c>
      <c r="F7">
        <v>1</v>
      </c>
      <c r="G7">
        <v>0</v>
      </c>
    </row>
    <row r="8" spans="1:7" ht="224" x14ac:dyDescent="0.2">
      <c r="A8" s="1">
        <v>17</v>
      </c>
      <c r="B8" s="3" t="s">
        <v>4</v>
      </c>
      <c r="C8" s="3" t="s">
        <v>35</v>
      </c>
      <c r="D8">
        <v>1</v>
      </c>
      <c r="E8">
        <v>1</v>
      </c>
      <c r="F8">
        <v>1</v>
      </c>
      <c r="G8">
        <v>0</v>
      </c>
    </row>
    <row r="9" spans="1:7" ht="64" x14ac:dyDescent="0.2">
      <c r="A9" s="1">
        <v>33</v>
      </c>
      <c r="B9" s="3" t="s">
        <v>4</v>
      </c>
      <c r="C9" s="3" t="s">
        <v>51</v>
      </c>
      <c r="D9">
        <v>1</v>
      </c>
      <c r="E9">
        <v>1</v>
      </c>
      <c r="F9">
        <v>1</v>
      </c>
      <c r="G9">
        <v>0</v>
      </c>
    </row>
    <row r="10" spans="1:7" ht="64" x14ac:dyDescent="0.2">
      <c r="A10" s="1">
        <v>49</v>
      </c>
      <c r="B10" s="3" t="s">
        <v>4</v>
      </c>
      <c r="C10" s="3" t="s">
        <v>66</v>
      </c>
      <c r="D10">
        <v>0</v>
      </c>
      <c r="E10">
        <v>0</v>
      </c>
      <c r="F10">
        <v>0</v>
      </c>
      <c r="G10">
        <v>0</v>
      </c>
    </row>
    <row r="11" spans="1:7" ht="64" x14ac:dyDescent="0.2">
      <c r="A11" s="1">
        <v>65</v>
      </c>
      <c r="B11" s="3" t="s">
        <v>4</v>
      </c>
      <c r="C11" s="3" t="s">
        <v>82</v>
      </c>
      <c r="D11">
        <v>1</v>
      </c>
      <c r="E11">
        <v>1</v>
      </c>
      <c r="F11">
        <v>1</v>
      </c>
      <c r="G11">
        <v>0</v>
      </c>
    </row>
    <row r="12" spans="1:7" ht="208" x14ac:dyDescent="0.2">
      <c r="A12" s="1">
        <v>3</v>
      </c>
      <c r="B12" s="3" t="s">
        <v>8</v>
      </c>
      <c r="C12" s="3" t="s">
        <v>9</v>
      </c>
      <c r="D12">
        <v>1</v>
      </c>
      <c r="E12">
        <v>1</v>
      </c>
      <c r="F12">
        <v>1</v>
      </c>
      <c r="G12">
        <v>0</v>
      </c>
    </row>
    <row r="13" spans="1:7" ht="144" x14ac:dyDescent="0.2">
      <c r="A13" s="1">
        <v>19</v>
      </c>
      <c r="B13" s="3" t="s">
        <v>8</v>
      </c>
      <c r="C13" s="3" t="s">
        <v>37</v>
      </c>
      <c r="D13">
        <v>1</v>
      </c>
      <c r="E13">
        <v>1</v>
      </c>
      <c r="F13">
        <v>1</v>
      </c>
      <c r="G13">
        <v>0</v>
      </c>
    </row>
    <row r="14" spans="1:7" ht="144" x14ac:dyDescent="0.2">
      <c r="A14" s="1">
        <v>35</v>
      </c>
      <c r="B14" s="3" t="s">
        <v>8</v>
      </c>
      <c r="C14" s="3" t="s">
        <v>37</v>
      </c>
      <c r="D14">
        <v>1</v>
      </c>
      <c r="E14">
        <v>1</v>
      </c>
      <c r="F14">
        <v>1</v>
      </c>
      <c r="G14">
        <v>0</v>
      </c>
    </row>
    <row r="15" spans="1:7" ht="176" x14ac:dyDescent="0.2">
      <c r="A15" s="1">
        <v>51</v>
      </c>
      <c r="B15" s="3" t="s">
        <v>8</v>
      </c>
      <c r="C15" s="3" t="s">
        <v>68</v>
      </c>
      <c r="D15">
        <v>1</v>
      </c>
      <c r="E15">
        <v>1</v>
      </c>
      <c r="F15">
        <v>1</v>
      </c>
      <c r="G15">
        <v>0</v>
      </c>
    </row>
    <row r="16" spans="1:7" ht="240" x14ac:dyDescent="0.2">
      <c r="A16" s="1">
        <v>67</v>
      </c>
      <c r="B16" s="3" t="s">
        <v>8</v>
      </c>
      <c r="C16" s="3" t="s">
        <v>84</v>
      </c>
      <c r="D16">
        <v>1</v>
      </c>
      <c r="E16">
        <v>1</v>
      </c>
      <c r="F16">
        <v>1</v>
      </c>
      <c r="G16">
        <v>0</v>
      </c>
    </row>
    <row r="17" spans="1:7" ht="320" x14ac:dyDescent="0.2">
      <c r="A17" s="1">
        <v>5</v>
      </c>
      <c r="B17" s="3" t="s">
        <v>12</v>
      </c>
      <c r="C17" s="3" t="s">
        <v>13</v>
      </c>
      <c r="D17">
        <v>1</v>
      </c>
      <c r="E17">
        <v>1</v>
      </c>
      <c r="F17">
        <v>1</v>
      </c>
      <c r="G17">
        <v>0</v>
      </c>
    </row>
    <row r="18" spans="1:7" ht="80" x14ac:dyDescent="0.2">
      <c r="A18" s="1">
        <v>21</v>
      </c>
      <c r="B18" s="3" t="s">
        <v>12</v>
      </c>
      <c r="C18" s="3" t="s">
        <v>39</v>
      </c>
      <c r="D18">
        <v>0</v>
      </c>
      <c r="E18">
        <v>0</v>
      </c>
      <c r="F18">
        <v>0</v>
      </c>
      <c r="G18">
        <v>0</v>
      </c>
    </row>
    <row r="19" spans="1:7" ht="80" x14ac:dyDescent="0.2">
      <c r="A19" s="1">
        <v>37</v>
      </c>
      <c r="B19" s="3" t="s">
        <v>12</v>
      </c>
      <c r="C19" s="3" t="s">
        <v>54</v>
      </c>
      <c r="D19">
        <v>0</v>
      </c>
      <c r="E19">
        <v>0</v>
      </c>
      <c r="F19">
        <v>0</v>
      </c>
      <c r="G19">
        <v>0</v>
      </c>
    </row>
    <row r="20" spans="1:7" ht="80" x14ac:dyDescent="0.2">
      <c r="A20" s="1">
        <v>53</v>
      </c>
      <c r="B20" s="3" t="s">
        <v>12</v>
      </c>
      <c r="C20" s="3" t="s">
        <v>70</v>
      </c>
      <c r="D20">
        <v>0</v>
      </c>
      <c r="E20">
        <v>0</v>
      </c>
      <c r="F20">
        <v>0</v>
      </c>
      <c r="G20">
        <v>0</v>
      </c>
    </row>
    <row r="21" spans="1:7" ht="80" x14ac:dyDescent="0.2">
      <c r="A21" s="1">
        <v>69</v>
      </c>
      <c r="B21" s="3" t="s">
        <v>12</v>
      </c>
      <c r="C21" s="3" t="s">
        <v>86</v>
      </c>
      <c r="D21">
        <v>0</v>
      </c>
      <c r="E21">
        <v>0</v>
      </c>
      <c r="F21">
        <v>0</v>
      </c>
      <c r="G21">
        <v>0</v>
      </c>
    </row>
    <row r="22" spans="1:7" ht="409.6" x14ac:dyDescent="0.2">
      <c r="A22" s="1">
        <v>4</v>
      </c>
      <c r="B22" s="3" t="s">
        <v>10</v>
      </c>
      <c r="C22" s="3" t="s">
        <v>11</v>
      </c>
      <c r="D22">
        <v>1</v>
      </c>
      <c r="E22">
        <v>1</v>
      </c>
      <c r="F22">
        <v>1</v>
      </c>
      <c r="G22">
        <v>0</v>
      </c>
    </row>
    <row r="23" spans="1:7" ht="224" x14ac:dyDescent="0.2">
      <c r="A23" s="1">
        <v>20</v>
      </c>
      <c r="B23" s="3" t="s">
        <v>10</v>
      </c>
      <c r="C23" s="3" t="s">
        <v>38</v>
      </c>
      <c r="D23">
        <v>1</v>
      </c>
      <c r="E23">
        <v>1</v>
      </c>
      <c r="F23">
        <v>1</v>
      </c>
      <c r="G23">
        <v>0</v>
      </c>
    </row>
    <row r="24" spans="1:7" ht="208" x14ac:dyDescent="0.2">
      <c r="A24" s="1">
        <v>36</v>
      </c>
      <c r="B24" s="3" t="s">
        <v>10</v>
      </c>
      <c r="C24" s="3" t="s">
        <v>53</v>
      </c>
      <c r="D24">
        <v>1</v>
      </c>
      <c r="E24">
        <v>1</v>
      </c>
      <c r="F24">
        <v>1</v>
      </c>
      <c r="G24">
        <v>0</v>
      </c>
    </row>
    <row r="25" spans="1:7" ht="224" x14ac:dyDescent="0.2">
      <c r="A25" s="1">
        <v>52</v>
      </c>
      <c r="B25" s="3" t="s">
        <v>10</v>
      </c>
      <c r="C25" s="3" t="s">
        <v>69</v>
      </c>
      <c r="D25">
        <v>1</v>
      </c>
      <c r="E25">
        <v>1</v>
      </c>
      <c r="F25">
        <v>1</v>
      </c>
      <c r="G25">
        <v>0</v>
      </c>
    </row>
    <row r="26" spans="1:7" ht="395" x14ac:dyDescent="0.2">
      <c r="A26" s="1">
        <v>68</v>
      </c>
      <c r="B26" s="3" t="s">
        <v>10</v>
      </c>
      <c r="C26" s="3" t="s">
        <v>85</v>
      </c>
      <c r="D26">
        <v>1</v>
      </c>
      <c r="E26">
        <v>1</v>
      </c>
      <c r="F26">
        <v>1</v>
      </c>
      <c r="G26">
        <v>0</v>
      </c>
    </row>
    <row r="27" spans="1:7" ht="144" x14ac:dyDescent="0.2">
      <c r="A27" s="1">
        <v>11</v>
      </c>
      <c r="B27" s="3" t="s">
        <v>24</v>
      </c>
      <c r="C27" s="3" t="s">
        <v>25</v>
      </c>
      <c r="D27">
        <v>0</v>
      </c>
      <c r="E27">
        <v>0</v>
      </c>
      <c r="F27">
        <v>0</v>
      </c>
      <c r="G27">
        <v>0</v>
      </c>
    </row>
    <row r="28" spans="1:7" ht="64" x14ac:dyDescent="0.2">
      <c r="A28" s="1">
        <v>27</v>
      </c>
      <c r="B28" s="3" t="s">
        <v>24</v>
      </c>
      <c r="C28" s="3" t="s">
        <v>45</v>
      </c>
      <c r="D28">
        <v>0</v>
      </c>
      <c r="E28">
        <v>0</v>
      </c>
      <c r="F28">
        <v>0</v>
      </c>
      <c r="G28">
        <v>0</v>
      </c>
    </row>
    <row r="29" spans="1:7" ht="240" x14ac:dyDescent="0.2">
      <c r="A29" s="1">
        <v>43</v>
      </c>
      <c r="B29" s="3" t="s">
        <v>24</v>
      </c>
      <c r="C29" s="3" t="s">
        <v>60</v>
      </c>
      <c r="D29">
        <v>1</v>
      </c>
      <c r="E29">
        <v>1</v>
      </c>
      <c r="F29">
        <v>1</v>
      </c>
      <c r="G29">
        <v>0</v>
      </c>
    </row>
    <row r="30" spans="1:7" ht="96" x14ac:dyDescent="0.2">
      <c r="A30" s="1">
        <v>59</v>
      </c>
      <c r="B30" s="3" t="s">
        <v>24</v>
      </c>
      <c r="C30" s="3" t="s">
        <v>76</v>
      </c>
      <c r="D30">
        <v>0</v>
      </c>
      <c r="E30">
        <v>0</v>
      </c>
      <c r="F30">
        <v>0</v>
      </c>
      <c r="G30">
        <v>0</v>
      </c>
    </row>
    <row r="31" spans="1:7" ht="208" x14ac:dyDescent="0.2">
      <c r="A31" s="1">
        <v>75</v>
      </c>
      <c r="B31" s="3" t="s">
        <v>24</v>
      </c>
      <c r="C31" s="3" t="s">
        <v>92</v>
      </c>
      <c r="D31">
        <v>1</v>
      </c>
      <c r="E31">
        <v>1</v>
      </c>
      <c r="F31">
        <v>1</v>
      </c>
      <c r="G31">
        <v>0</v>
      </c>
    </row>
    <row r="32" spans="1:7" ht="272" x14ac:dyDescent="0.2">
      <c r="A32" s="1">
        <v>6</v>
      </c>
      <c r="B32" s="3" t="s">
        <v>14</v>
      </c>
      <c r="C32" s="3" t="s">
        <v>15</v>
      </c>
      <c r="D32">
        <v>1</v>
      </c>
      <c r="E32">
        <v>1</v>
      </c>
      <c r="F32">
        <v>1</v>
      </c>
      <c r="G32">
        <v>0</v>
      </c>
    </row>
    <row r="33" spans="1:7" ht="176" x14ac:dyDescent="0.2">
      <c r="A33" s="1">
        <v>22</v>
      </c>
      <c r="B33" s="3" t="s">
        <v>14</v>
      </c>
      <c r="C33" s="3" t="s">
        <v>40</v>
      </c>
      <c r="D33">
        <v>1</v>
      </c>
      <c r="E33">
        <v>1</v>
      </c>
      <c r="F33">
        <v>1</v>
      </c>
      <c r="G33">
        <v>0</v>
      </c>
    </row>
    <row r="34" spans="1:7" ht="272" x14ac:dyDescent="0.2">
      <c r="A34" s="1">
        <v>38</v>
      </c>
      <c r="B34" s="3" t="s">
        <v>14</v>
      </c>
      <c r="C34" s="3" t="s">
        <v>55</v>
      </c>
      <c r="D34">
        <v>1</v>
      </c>
      <c r="E34">
        <v>1</v>
      </c>
      <c r="F34">
        <v>1</v>
      </c>
      <c r="G34">
        <v>0</v>
      </c>
    </row>
    <row r="35" spans="1:7" ht="160" x14ac:dyDescent="0.2">
      <c r="A35" s="1">
        <v>54</v>
      </c>
      <c r="B35" s="3" t="s">
        <v>14</v>
      </c>
      <c r="C35" s="3" t="s">
        <v>71</v>
      </c>
      <c r="D35">
        <v>1</v>
      </c>
      <c r="E35">
        <v>1</v>
      </c>
      <c r="F35">
        <v>1</v>
      </c>
      <c r="G35">
        <v>0</v>
      </c>
    </row>
    <row r="36" spans="1:7" ht="256" x14ac:dyDescent="0.2">
      <c r="A36" s="1">
        <v>70</v>
      </c>
      <c r="B36" s="3" t="s">
        <v>14</v>
      </c>
      <c r="C36" s="3" t="s">
        <v>87</v>
      </c>
      <c r="D36">
        <v>1</v>
      </c>
      <c r="E36">
        <v>1</v>
      </c>
      <c r="F36">
        <v>1</v>
      </c>
      <c r="G36">
        <v>0</v>
      </c>
    </row>
    <row r="37" spans="1:7" ht="128" x14ac:dyDescent="0.2">
      <c r="A37" s="1">
        <v>8</v>
      </c>
      <c r="B37" s="3" t="s">
        <v>18</v>
      </c>
      <c r="C37" s="3" t="s">
        <v>19</v>
      </c>
      <c r="D37">
        <v>0</v>
      </c>
      <c r="E37">
        <v>0</v>
      </c>
      <c r="F37">
        <v>0</v>
      </c>
      <c r="G37">
        <v>0</v>
      </c>
    </row>
    <row r="38" spans="1:7" ht="288" x14ac:dyDescent="0.2">
      <c r="A38" s="1">
        <v>24</v>
      </c>
      <c r="B38" s="3" t="s">
        <v>18</v>
      </c>
      <c r="C38" s="3" t="s">
        <v>42</v>
      </c>
      <c r="D38">
        <v>0</v>
      </c>
      <c r="E38">
        <v>0</v>
      </c>
      <c r="F38">
        <v>0</v>
      </c>
      <c r="G38">
        <v>0</v>
      </c>
    </row>
    <row r="39" spans="1:7" ht="304" x14ac:dyDescent="0.2">
      <c r="A39" s="1">
        <v>40</v>
      </c>
      <c r="B39" s="3" t="s">
        <v>18</v>
      </c>
      <c r="C39" s="3" t="s">
        <v>57</v>
      </c>
      <c r="D39">
        <v>0</v>
      </c>
      <c r="E39">
        <v>0</v>
      </c>
      <c r="F39">
        <v>0</v>
      </c>
      <c r="G39">
        <v>0</v>
      </c>
    </row>
    <row r="40" spans="1:7" ht="240" x14ac:dyDescent="0.2">
      <c r="A40" s="1">
        <v>56</v>
      </c>
      <c r="B40" s="3" t="s">
        <v>18</v>
      </c>
      <c r="C40" s="3" t="s">
        <v>73</v>
      </c>
      <c r="D40">
        <v>1</v>
      </c>
      <c r="E40">
        <v>1</v>
      </c>
      <c r="F40">
        <v>1</v>
      </c>
      <c r="G40">
        <v>0</v>
      </c>
    </row>
    <row r="41" spans="1:7" ht="288" x14ac:dyDescent="0.2">
      <c r="A41" s="1">
        <v>72</v>
      </c>
      <c r="B41" s="3" t="s">
        <v>18</v>
      </c>
      <c r="C41" s="3" t="s">
        <v>89</v>
      </c>
      <c r="D41">
        <v>0</v>
      </c>
      <c r="E41">
        <v>0</v>
      </c>
      <c r="F41">
        <v>0</v>
      </c>
      <c r="G41">
        <v>0</v>
      </c>
    </row>
    <row r="42" spans="1:7" ht="409.6" x14ac:dyDescent="0.2">
      <c r="A42" s="1">
        <v>10</v>
      </c>
      <c r="B42" s="3" t="s">
        <v>22</v>
      </c>
      <c r="C42" s="4" t="s">
        <v>23</v>
      </c>
      <c r="D42">
        <v>0</v>
      </c>
      <c r="E42">
        <v>0</v>
      </c>
      <c r="F42">
        <v>0</v>
      </c>
      <c r="G42">
        <v>1</v>
      </c>
    </row>
    <row r="43" spans="1:7" ht="409.6" x14ac:dyDescent="0.2">
      <c r="A43" s="1">
        <v>26</v>
      </c>
      <c r="B43" s="3" t="s">
        <v>22</v>
      </c>
      <c r="C43" s="4" t="s">
        <v>44</v>
      </c>
      <c r="D43">
        <v>0</v>
      </c>
      <c r="E43">
        <v>0</v>
      </c>
      <c r="F43">
        <v>0</v>
      </c>
      <c r="G43">
        <v>1</v>
      </c>
    </row>
    <row r="44" spans="1:7" ht="409.6" x14ac:dyDescent="0.2">
      <c r="A44" s="1">
        <v>42</v>
      </c>
      <c r="B44" s="3" t="s">
        <v>22</v>
      </c>
      <c r="C44" s="4" t="s">
        <v>59</v>
      </c>
      <c r="D44">
        <v>0</v>
      </c>
      <c r="E44">
        <v>0</v>
      </c>
      <c r="F44">
        <v>0</v>
      </c>
      <c r="G44">
        <v>1</v>
      </c>
    </row>
    <row r="45" spans="1:7" ht="409.6" x14ac:dyDescent="0.2">
      <c r="A45" s="1">
        <v>58</v>
      </c>
      <c r="B45" s="3" t="s">
        <v>22</v>
      </c>
      <c r="C45" s="4" t="s">
        <v>75</v>
      </c>
      <c r="D45">
        <v>0</v>
      </c>
      <c r="E45">
        <v>0</v>
      </c>
      <c r="F45">
        <v>0</v>
      </c>
      <c r="G45">
        <v>1</v>
      </c>
    </row>
    <row r="46" spans="1:7" ht="409.6" x14ac:dyDescent="0.2">
      <c r="A46" s="1">
        <v>74</v>
      </c>
      <c r="B46" s="3" t="s">
        <v>22</v>
      </c>
      <c r="C46" s="4" t="s">
        <v>91</v>
      </c>
      <c r="D46">
        <v>0</v>
      </c>
      <c r="E46">
        <v>0</v>
      </c>
      <c r="F46">
        <v>0</v>
      </c>
      <c r="G46">
        <v>1</v>
      </c>
    </row>
    <row r="47" spans="1:7" ht="409.6" x14ac:dyDescent="0.2">
      <c r="A47" s="1">
        <v>7</v>
      </c>
      <c r="B47" s="3" t="s">
        <v>16</v>
      </c>
      <c r="C47" s="3" t="s">
        <v>17</v>
      </c>
      <c r="D47">
        <v>1</v>
      </c>
      <c r="E47">
        <v>1</v>
      </c>
      <c r="F47">
        <v>1</v>
      </c>
      <c r="G47">
        <v>0</v>
      </c>
    </row>
    <row r="48" spans="1:7" ht="409.6" x14ac:dyDescent="0.2">
      <c r="A48" s="1">
        <v>23</v>
      </c>
      <c r="B48" s="3" t="s">
        <v>16</v>
      </c>
      <c r="C48" s="3" t="s">
        <v>41</v>
      </c>
      <c r="D48">
        <v>1</v>
      </c>
      <c r="E48">
        <v>1</v>
      </c>
      <c r="F48">
        <v>1</v>
      </c>
      <c r="G48">
        <v>0</v>
      </c>
    </row>
    <row r="49" spans="1:7" ht="176" x14ac:dyDescent="0.2">
      <c r="A49" s="1">
        <v>39</v>
      </c>
      <c r="B49" s="3" t="s">
        <v>16</v>
      </c>
      <c r="C49" s="3" t="s">
        <v>56</v>
      </c>
      <c r="D49">
        <v>1</v>
      </c>
      <c r="E49">
        <v>1</v>
      </c>
      <c r="F49">
        <v>1</v>
      </c>
      <c r="G49">
        <v>0</v>
      </c>
    </row>
    <row r="50" spans="1:7" ht="395" x14ac:dyDescent="0.2">
      <c r="A50" s="1">
        <v>55</v>
      </c>
      <c r="B50" s="3" t="s">
        <v>16</v>
      </c>
      <c r="C50" s="3" t="s">
        <v>72</v>
      </c>
      <c r="D50">
        <v>1</v>
      </c>
      <c r="E50">
        <v>1</v>
      </c>
      <c r="F50">
        <v>1</v>
      </c>
      <c r="G50">
        <v>0</v>
      </c>
    </row>
    <row r="51" spans="1:7" ht="160" x14ac:dyDescent="0.2">
      <c r="A51" s="1">
        <v>71</v>
      </c>
      <c r="B51" s="3" t="s">
        <v>16</v>
      </c>
      <c r="C51" s="3" t="s">
        <v>88</v>
      </c>
      <c r="D51">
        <v>1</v>
      </c>
      <c r="E51">
        <v>1</v>
      </c>
      <c r="F51">
        <v>1</v>
      </c>
      <c r="G51">
        <v>0</v>
      </c>
    </row>
    <row r="52" spans="1:7" ht="409.6" x14ac:dyDescent="0.2">
      <c r="A52" s="1">
        <v>14</v>
      </c>
      <c r="B52" s="3" t="s">
        <v>30</v>
      </c>
      <c r="C52" s="3" t="s">
        <v>31</v>
      </c>
      <c r="D52">
        <v>1</v>
      </c>
      <c r="E52">
        <v>1</v>
      </c>
      <c r="F52">
        <v>1</v>
      </c>
      <c r="G52">
        <v>0</v>
      </c>
    </row>
    <row r="53" spans="1:7" ht="409.6" x14ac:dyDescent="0.2">
      <c r="A53" s="1">
        <v>30</v>
      </c>
      <c r="B53" s="3" t="s">
        <v>30</v>
      </c>
      <c r="C53" s="3" t="s">
        <v>48</v>
      </c>
      <c r="D53">
        <v>1</v>
      </c>
      <c r="E53">
        <v>1</v>
      </c>
      <c r="F53">
        <v>1</v>
      </c>
      <c r="G53">
        <v>0</v>
      </c>
    </row>
    <row r="54" spans="1:7" ht="350" x14ac:dyDescent="0.2">
      <c r="A54" s="1">
        <v>46</v>
      </c>
      <c r="B54" s="3" t="s">
        <v>30</v>
      </c>
      <c r="C54" s="3" t="s">
        <v>63</v>
      </c>
      <c r="D54">
        <v>1</v>
      </c>
      <c r="E54">
        <v>1</v>
      </c>
      <c r="F54">
        <v>1</v>
      </c>
      <c r="G54">
        <v>0</v>
      </c>
    </row>
    <row r="55" spans="1:7" ht="320" x14ac:dyDescent="0.2">
      <c r="A55" s="1">
        <v>62</v>
      </c>
      <c r="B55" s="3" t="s">
        <v>30</v>
      </c>
      <c r="C55" s="3" t="s">
        <v>79</v>
      </c>
      <c r="D55">
        <v>1</v>
      </c>
      <c r="E55">
        <v>1</v>
      </c>
      <c r="F55">
        <v>1</v>
      </c>
      <c r="G55">
        <v>0</v>
      </c>
    </row>
    <row r="56" spans="1:7" ht="128" x14ac:dyDescent="0.2">
      <c r="A56" s="1">
        <v>78</v>
      </c>
      <c r="B56" s="3" t="s">
        <v>30</v>
      </c>
      <c r="C56" s="3" t="s">
        <v>95</v>
      </c>
      <c r="D56">
        <v>1</v>
      </c>
      <c r="E56">
        <v>1</v>
      </c>
      <c r="F56">
        <v>1</v>
      </c>
      <c r="G56">
        <v>0</v>
      </c>
    </row>
    <row r="57" spans="1:7" ht="409.6" x14ac:dyDescent="0.2">
      <c r="A57" s="1">
        <v>15</v>
      </c>
      <c r="B57" s="3" t="s">
        <v>32</v>
      </c>
      <c r="C57" s="3" t="s">
        <v>33</v>
      </c>
      <c r="D57">
        <v>1</v>
      </c>
      <c r="E57">
        <v>1</v>
      </c>
      <c r="F57">
        <v>1</v>
      </c>
      <c r="G57">
        <v>0</v>
      </c>
    </row>
    <row r="58" spans="1:7" ht="365" x14ac:dyDescent="0.2">
      <c r="A58" s="1">
        <v>31</v>
      </c>
      <c r="B58" s="3" t="s">
        <v>32</v>
      </c>
      <c r="C58" s="3" t="s">
        <v>49</v>
      </c>
      <c r="D58">
        <v>1</v>
      </c>
      <c r="E58">
        <v>1</v>
      </c>
      <c r="F58">
        <v>1</v>
      </c>
      <c r="G58">
        <v>0</v>
      </c>
    </row>
    <row r="59" spans="1:7" ht="304" x14ac:dyDescent="0.2">
      <c r="A59" s="1">
        <v>47</v>
      </c>
      <c r="B59" s="3" t="s">
        <v>32</v>
      </c>
      <c r="C59" s="3" t="s">
        <v>64</v>
      </c>
      <c r="D59">
        <v>1</v>
      </c>
      <c r="E59">
        <v>1</v>
      </c>
      <c r="F59">
        <v>1</v>
      </c>
      <c r="G59">
        <v>0</v>
      </c>
    </row>
    <row r="60" spans="1:7" ht="304" x14ac:dyDescent="0.2">
      <c r="A60" s="1">
        <v>63</v>
      </c>
      <c r="B60" s="3" t="s">
        <v>32</v>
      </c>
      <c r="C60" s="3" t="s">
        <v>80</v>
      </c>
      <c r="D60">
        <v>1</v>
      </c>
      <c r="E60">
        <v>1</v>
      </c>
      <c r="F60">
        <v>1</v>
      </c>
      <c r="G60">
        <v>0</v>
      </c>
    </row>
    <row r="61" spans="1:7" ht="409.6" x14ac:dyDescent="0.2">
      <c r="A61" s="1">
        <v>79</v>
      </c>
      <c r="B61" s="3" t="s">
        <v>32</v>
      </c>
      <c r="C61" s="3" t="s">
        <v>96</v>
      </c>
      <c r="D61">
        <v>1</v>
      </c>
      <c r="E61">
        <v>1</v>
      </c>
      <c r="F61">
        <v>1</v>
      </c>
      <c r="G61">
        <v>0</v>
      </c>
    </row>
    <row r="62" spans="1:7" ht="365" x14ac:dyDescent="0.2">
      <c r="A62" s="1">
        <v>13</v>
      </c>
      <c r="B62" s="3" t="s">
        <v>28</v>
      </c>
      <c r="C62" s="3" t="s">
        <v>29</v>
      </c>
      <c r="D62">
        <v>1</v>
      </c>
      <c r="E62">
        <v>1</v>
      </c>
      <c r="F62">
        <v>1</v>
      </c>
      <c r="G62">
        <v>0</v>
      </c>
    </row>
    <row r="63" spans="1:7" ht="335" x14ac:dyDescent="0.2">
      <c r="A63" s="1">
        <v>29</v>
      </c>
      <c r="B63" s="3" t="s">
        <v>28</v>
      </c>
      <c r="C63" s="3" t="s">
        <v>47</v>
      </c>
      <c r="D63">
        <v>1</v>
      </c>
      <c r="E63">
        <v>1</v>
      </c>
      <c r="F63">
        <v>1</v>
      </c>
      <c r="G63">
        <v>0</v>
      </c>
    </row>
    <row r="64" spans="1:7" ht="409.6" x14ac:dyDescent="0.2">
      <c r="A64" s="1">
        <v>45</v>
      </c>
      <c r="B64" s="3" t="s">
        <v>28</v>
      </c>
      <c r="C64" s="3" t="s">
        <v>62</v>
      </c>
      <c r="D64">
        <v>1</v>
      </c>
      <c r="E64">
        <v>1</v>
      </c>
      <c r="F64">
        <v>1</v>
      </c>
      <c r="G64">
        <v>0</v>
      </c>
    </row>
    <row r="65" spans="1:7" ht="395" x14ac:dyDescent="0.2">
      <c r="A65" s="1">
        <v>61</v>
      </c>
      <c r="B65" s="3" t="s">
        <v>28</v>
      </c>
      <c r="C65" s="3" t="s">
        <v>78</v>
      </c>
      <c r="D65">
        <v>1</v>
      </c>
      <c r="E65">
        <v>1</v>
      </c>
      <c r="F65">
        <v>1</v>
      </c>
      <c r="G65">
        <v>0</v>
      </c>
    </row>
    <row r="66" spans="1:7" ht="350" x14ac:dyDescent="0.2">
      <c r="A66" s="1">
        <v>77</v>
      </c>
      <c r="B66" s="3" t="s">
        <v>28</v>
      </c>
      <c r="C66" s="3" t="s">
        <v>94</v>
      </c>
      <c r="D66">
        <v>1</v>
      </c>
      <c r="E66">
        <v>1</v>
      </c>
      <c r="F66">
        <v>1</v>
      </c>
      <c r="G66">
        <v>0</v>
      </c>
    </row>
    <row r="67" spans="1:7" ht="350" x14ac:dyDescent="0.2">
      <c r="A67" s="1">
        <v>12</v>
      </c>
      <c r="B67" s="3" t="s">
        <v>26</v>
      </c>
      <c r="C67" s="3" t="s">
        <v>27</v>
      </c>
      <c r="D67">
        <v>1</v>
      </c>
      <c r="E67">
        <v>1</v>
      </c>
      <c r="F67">
        <v>1</v>
      </c>
      <c r="G67">
        <v>0</v>
      </c>
    </row>
    <row r="68" spans="1:7" ht="335" x14ac:dyDescent="0.2">
      <c r="A68" s="1">
        <v>28</v>
      </c>
      <c r="B68" s="3" t="s">
        <v>26</v>
      </c>
      <c r="C68" s="3" t="s">
        <v>46</v>
      </c>
      <c r="D68">
        <v>1</v>
      </c>
      <c r="E68">
        <v>1</v>
      </c>
      <c r="F68">
        <v>1</v>
      </c>
      <c r="G68">
        <v>0</v>
      </c>
    </row>
    <row r="69" spans="1:7" ht="409.6" x14ac:dyDescent="0.2">
      <c r="A69" s="1">
        <v>44</v>
      </c>
      <c r="B69" s="3" t="s">
        <v>26</v>
      </c>
      <c r="C69" s="3" t="s">
        <v>61</v>
      </c>
      <c r="D69">
        <v>1</v>
      </c>
      <c r="E69">
        <v>1</v>
      </c>
      <c r="F69">
        <v>1</v>
      </c>
      <c r="G69">
        <v>0</v>
      </c>
    </row>
    <row r="70" spans="1:7" ht="335" x14ac:dyDescent="0.2">
      <c r="A70" s="1">
        <v>60</v>
      </c>
      <c r="B70" s="3" t="s">
        <v>26</v>
      </c>
      <c r="C70" s="3" t="s">
        <v>77</v>
      </c>
      <c r="D70">
        <v>1</v>
      </c>
      <c r="E70">
        <v>1</v>
      </c>
      <c r="F70">
        <v>1</v>
      </c>
      <c r="G70">
        <v>0</v>
      </c>
    </row>
    <row r="71" spans="1:7" ht="409.6" x14ac:dyDescent="0.2">
      <c r="A71" s="1">
        <v>76</v>
      </c>
      <c r="B71" s="3" t="s">
        <v>26</v>
      </c>
      <c r="C71" s="3" t="s">
        <v>93</v>
      </c>
      <c r="D71">
        <v>1</v>
      </c>
      <c r="E71">
        <v>1</v>
      </c>
      <c r="F71">
        <v>1</v>
      </c>
      <c r="G71">
        <v>0</v>
      </c>
    </row>
    <row r="72" spans="1:7" ht="335" x14ac:dyDescent="0.2">
      <c r="A72" s="1">
        <v>2</v>
      </c>
      <c r="B72" s="3" t="s">
        <v>6</v>
      </c>
      <c r="C72" s="3" t="s">
        <v>7</v>
      </c>
      <c r="D72">
        <v>1</v>
      </c>
      <c r="E72">
        <v>1</v>
      </c>
      <c r="F72">
        <v>1</v>
      </c>
      <c r="G72">
        <v>0</v>
      </c>
    </row>
    <row r="73" spans="1:7" ht="304" x14ac:dyDescent="0.2">
      <c r="A73" s="1">
        <v>18</v>
      </c>
      <c r="B73" s="3" t="s">
        <v>6</v>
      </c>
      <c r="C73" s="3" t="s">
        <v>36</v>
      </c>
      <c r="D73">
        <v>1</v>
      </c>
      <c r="E73">
        <v>1</v>
      </c>
      <c r="F73">
        <v>1</v>
      </c>
      <c r="G73">
        <v>0</v>
      </c>
    </row>
    <row r="74" spans="1:7" ht="176" x14ac:dyDescent="0.2">
      <c r="A74" s="1">
        <v>34</v>
      </c>
      <c r="B74" s="3" t="s">
        <v>6</v>
      </c>
      <c r="C74" s="3" t="s">
        <v>52</v>
      </c>
      <c r="D74">
        <v>1</v>
      </c>
      <c r="E74">
        <v>1</v>
      </c>
      <c r="F74">
        <v>1</v>
      </c>
      <c r="G74">
        <v>0</v>
      </c>
    </row>
    <row r="75" spans="1:7" ht="335" x14ac:dyDescent="0.2">
      <c r="A75" s="1">
        <v>50</v>
      </c>
      <c r="B75" s="3" t="s">
        <v>6</v>
      </c>
      <c r="C75" s="3" t="s">
        <v>67</v>
      </c>
      <c r="D75">
        <v>1</v>
      </c>
      <c r="E75">
        <v>1</v>
      </c>
      <c r="F75">
        <v>1</v>
      </c>
      <c r="G75">
        <v>0</v>
      </c>
    </row>
    <row r="76" spans="1:7" ht="208" x14ac:dyDescent="0.2">
      <c r="A76" s="1">
        <v>66</v>
      </c>
      <c r="B76" s="3" t="s">
        <v>6</v>
      </c>
      <c r="C76" s="3" t="s">
        <v>83</v>
      </c>
      <c r="D76">
        <v>1</v>
      </c>
      <c r="E76">
        <v>1</v>
      </c>
      <c r="F76">
        <v>1</v>
      </c>
      <c r="G76">
        <v>0</v>
      </c>
    </row>
    <row r="77" spans="1:7" ht="409.6" x14ac:dyDescent="0.2">
      <c r="A77" s="1">
        <v>9</v>
      </c>
      <c r="B77" s="3" t="s">
        <v>20</v>
      </c>
      <c r="C77" s="3" t="s">
        <v>21</v>
      </c>
      <c r="D77">
        <v>1</v>
      </c>
      <c r="E77">
        <v>1</v>
      </c>
      <c r="F77">
        <v>1</v>
      </c>
      <c r="G77">
        <v>0</v>
      </c>
    </row>
    <row r="78" spans="1:7" ht="409.6" x14ac:dyDescent="0.2">
      <c r="A78" s="1">
        <v>25</v>
      </c>
      <c r="B78" s="3" t="s">
        <v>20</v>
      </c>
      <c r="C78" s="3" t="s">
        <v>43</v>
      </c>
      <c r="D78">
        <v>1</v>
      </c>
      <c r="E78">
        <v>1</v>
      </c>
      <c r="F78">
        <v>1</v>
      </c>
      <c r="G78">
        <v>0</v>
      </c>
    </row>
    <row r="79" spans="1:7" ht="409.6" x14ac:dyDescent="0.2">
      <c r="A79" s="1">
        <v>41</v>
      </c>
      <c r="B79" s="3" t="s">
        <v>20</v>
      </c>
      <c r="C79" s="3" t="s">
        <v>58</v>
      </c>
      <c r="D79">
        <v>1</v>
      </c>
      <c r="E79">
        <v>1</v>
      </c>
      <c r="F79">
        <v>1</v>
      </c>
      <c r="G79">
        <v>0</v>
      </c>
    </row>
    <row r="80" spans="1:7" ht="409.6" x14ac:dyDescent="0.2">
      <c r="A80" s="1">
        <v>57</v>
      </c>
      <c r="B80" s="3" t="s">
        <v>20</v>
      </c>
      <c r="C80" s="3" t="s">
        <v>74</v>
      </c>
      <c r="D80">
        <v>1</v>
      </c>
      <c r="E80">
        <v>1</v>
      </c>
      <c r="F80">
        <v>1</v>
      </c>
      <c r="G80">
        <v>0</v>
      </c>
    </row>
    <row r="81" spans="1:7" ht="395" x14ac:dyDescent="0.2">
      <c r="A81" s="1">
        <v>73</v>
      </c>
      <c r="B81" s="3" t="s">
        <v>20</v>
      </c>
      <c r="C81" s="3" t="s">
        <v>90</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B805D-B769-3747-AC36-AA01EB74BD2E}">
  <sheetPr>
    <outlinePr summaryBelow="0" summaryRight="0"/>
  </sheetPr>
  <dimension ref="A1:W994"/>
  <sheetViews>
    <sheetView workbookViewId="0">
      <selection activeCell="E13" sqref="E13:E15"/>
    </sheetView>
  </sheetViews>
  <sheetFormatPr baseColWidth="10" defaultColWidth="12.6640625" defaultRowHeight="15.75" customHeight="1" x14ac:dyDescent="0.2"/>
  <cols>
    <col min="1" max="1" width="15.33203125" style="5" bestFit="1" customWidth="1"/>
    <col min="2" max="2" width="14.83203125" style="5" bestFit="1" customWidth="1"/>
    <col min="3" max="3" width="10.6640625" style="5" bestFit="1" customWidth="1"/>
    <col min="4" max="4" width="10" style="5" bestFit="1" customWidth="1"/>
    <col min="5" max="5" width="17" style="5" customWidth="1"/>
    <col min="6" max="16384" width="12.6640625" style="5"/>
  </cols>
  <sheetData>
    <row r="1" spans="1:23" ht="16" x14ac:dyDescent="0.2">
      <c r="A1" s="11" t="s">
        <v>119</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118</v>
      </c>
      <c r="C3" s="6" t="s">
        <v>116</v>
      </c>
      <c r="E3" s="6" t="s">
        <v>114</v>
      </c>
      <c r="F3" s="6"/>
      <c r="G3" s="6"/>
      <c r="H3" s="6"/>
      <c r="I3" s="6"/>
      <c r="J3" s="6"/>
      <c r="K3" s="6"/>
      <c r="L3" s="6"/>
      <c r="M3" s="6"/>
      <c r="N3" s="6"/>
      <c r="O3" s="6"/>
      <c r="P3" s="6"/>
      <c r="Q3" s="6"/>
      <c r="R3" s="6"/>
      <c r="S3" s="6"/>
      <c r="T3" s="6"/>
      <c r="U3" s="6"/>
      <c r="V3" s="6"/>
      <c r="W3" s="6"/>
    </row>
    <row r="4" spans="1:23" ht="16" x14ac:dyDescent="0.2">
      <c r="B4" t="s">
        <v>102</v>
      </c>
      <c r="C4">
        <v>0</v>
      </c>
      <c r="D4">
        <v>1</v>
      </c>
      <c r="E4" t="s">
        <v>101</v>
      </c>
      <c r="F4" s="6"/>
      <c r="G4" s="6"/>
      <c r="H4" s="6"/>
      <c r="I4" s="6"/>
      <c r="J4" s="6"/>
      <c r="K4" s="6"/>
      <c r="L4" s="6"/>
      <c r="M4" s="6"/>
      <c r="N4" s="6"/>
      <c r="O4" s="6"/>
      <c r="P4" s="6"/>
      <c r="Q4" s="6"/>
      <c r="R4" s="6"/>
      <c r="S4" s="6"/>
      <c r="T4" s="6"/>
      <c r="U4" s="6"/>
      <c r="V4" s="6"/>
      <c r="W4" s="6"/>
    </row>
    <row r="5" spans="1:23" ht="16" x14ac:dyDescent="0.2">
      <c r="A5" s="19" t="s">
        <v>115</v>
      </c>
      <c r="B5">
        <v>0</v>
      </c>
      <c r="C5">
        <v>17</v>
      </c>
      <c r="D5"/>
      <c r="E5">
        <v>17</v>
      </c>
      <c r="F5" s="6"/>
      <c r="G5" s="6"/>
      <c r="H5" s="6"/>
      <c r="I5" s="6"/>
      <c r="J5" s="6"/>
      <c r="K5" s="6"/>
      <c r="L5" s="6"/>
      <c r="M5" s="6"/>
      <c r="N5" s="6"/>
      <c r="O5" s="6"/>
      <c r="P5" s="6"/>
      <c r="Q5" s="6"/>
      <c r="R5" s="6"/>
      <c r="S5" s="6"/>
      <c r="T5" s="6"/>
      <c r="U5" s="6"/>
      <c r="V5" s="6"/>
      <c r="W5" s="6"/>
    </row>
    <row r="6" spans="1:23" ht="16" x14ac:dyDescent="0.2">
      <c r="B6">
        <v>1</v>
      </c>
      <c r="C6"/>
      <c r="D6">
        <v>63</v>
      </c>
      <c r="E6">
        <v>63</v>
      </c>
      <c r="F6" s="6"/>
      <c r="G6" s="6"/>
      <c r="H6" s="6"/>
      <c r="I6" s="6"/>
      <c r="J6" s="6"/>
      <c r="K6" s="6"/>
      <c r="L6" s="6"/>
      <c r="M6" s="6"/>
      <c r="N6" s="6"/>
      <c r="O6" s="6"/>
      <c r="P6" s="6"/>
      <c r="Q6" s="6"/>
      <c r="R6" s="6"/>
      <c r="S6" s="6"/>
      <c r="T6" s="6"/>
      <c r="U6" s="6"/>
      <c r="V6" s="6"/>
      <c r="W6" s="6"/>
    </row>
    <row r="7" spans="1:23" ht="16" x14ac:dyDescent="0.2">
      <c r="A7" s="22"/>
      <c r="B7" t="s">
        <v>101</v>
      </c>
      <c r="C7">
        <v>17</v>
      </c>
      <c r="D7">
        <v>63</v>
      </c>
      <c r="E7">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117</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1" t="s">
        <v>116</v>
      </c>
      <c r="D11" s="20"/>
      <c r="E11" s="6" t="s">
        <v>114</v>
      </c>
      <c r="F11" s="6"/>
      <c r="G11" s="6"/>
      <c r="H11" s="6"/>
      <c r="I11" s="6"/>
      <c r="J11" s="6"/>
      <c r="K11" s="6"/>
      <c r="L11" s="6"/>
      <c r="M11" s="6"/>
      <c r="N11" s="6"/>
      <c r="O11" s="6"/>
      <c r="P11" s="6"/>
      <c r="Q11" s="6"/>
      <c r="R11" s="6"/>
      <c r="S11" s="6"/>
      <c r="T11" s="6"/>
      <c r="U11" s="6"/>
      <c r="V11" s="6"/>
      <c r="W11" s="6"/>
    </row>
    <row r="12" spans="1:23" ht="16" x14ac:dyDescent="0.2">
      <c r="C12" s="5">
        <v>0</v>
      </c>
      <c r="D12" s="5">
        <v>1</v>
      </c>
      <c r="E12" s="7" t="s">
        <v>101</v>
      </c>
      <c r="F12" s="6"/>
      <c r="G12" s="6"/>
      <c r="H12" s="6"/>
      <c r="I12" s="6"/>
      <c r="J12" s="6"/>
      <c r="K12" s="6"/>
      <c r="L12" s="6"/>
      <c r="M12" s="6"/>
      <c r="N12" s="6"/>
      <c r="O12" s="6"/>
      <c r="P12" s="6"/>
      <c r="Q12" s="6"/>
      <c r="R12" s="6"/>
      <c r="S12" s="6"/>
      <c r="T12" s="6"/>
      <c r="U12" s="6"/>
      <c r="V12" s="6"/>
      <c r="W12" s="6"/>
    </row>
    <row r="13" spans="1:23" ht="16" x14ac:dyDescent="0.2">
      <c r="A13" s="19" t="s">
        <v>115</v>
      </c>
      <c r="B13" s="5">
        <v>0</v>
      </c>
      <c r="C13" s="16">
        <f>C$15*$E13/$E$15</f>
        <v>3.6124999999999998</v>
      </c>
      <c r="D13" s="13">
        <f>D$15*$E13/$E$15</f>
        <v>13.387499999999999</v>
      </c>
      <c r="E13">
        <v>17</v>
      </c>
      <c r="F13" s="6"/>
      <c r="G13" s="6"/>
      <c r="H13" s="6"/>
      <c r="I13" s="6"/>
      <c r="J13" s="6"/>
      <c r="K13" s="6"/>
      <c r="L13" s="6"/>
      <c r="M13" s="6"/>
      <c r="N13" s="6"/>
      <c r="O13" s="6"/>
      <c r="P13" s="6"/>
      <c r="Q13" s="6"/>
      <c r="R13" s="6"/>
      <c r="S13" s="6"/>
      <c r="T13" s="6"/>
      <c r="U13" s="6"/>
      <c r="V13" s="6"/>
      <c r="W13" s="6"/>
    </row>
    <row r="14" spans="1:23" ht="16" x14ac:dyDescent="0.2">
      <c r="B14" s="5">
        <v>1</v>
      </c>
      <c r="C14" s="13">
        <f>C$15*$E14/$E$15</f>
        <v>13.387499999999999</v>
      </c>
      <c r="D14" s="16">
        <f>D$15*$E14/$E$15</f>
        <v>49.612499999999997</v>
      </c>
      <c r="E14">
        <v>63</v>
      </c>
      <c r="F14" s="6"/>
      <c r="G14" s="6"/>
      <c r="H14" s="6"/>
      <c r="I14" s="6"/>
      <c r="J14" s="6"/>
      <c r="K14" s="6"/>
      <c r="L14" s="6"/>
      <c r="M14" s="6"/>
      <c r="N14" s="6"/>
      <c r="O14" s="6"/>
      <c r="P14" s="6"/>
      <c r="Q14" s="6"/>
      <c r="R14" s="6"/>
      <c r="S14" s="6"/>
      <c r="T14" s="6"/>
      <c r="U14" s="6"/>
      <c r="V14" s="6"/>
      <c r="W14" s="6"/>
    </row>
    <row r="15" spans="1:23" ht="16" x14ac:dyDescent="0.2">
      <c r="A15" s="18" t="s">
        <v>114</v>
      </c>
      <c r="C15">
        <v>17</v>
      </c>
      <c r="D15">
        <v>63</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113</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112</v>
      </c>
      <c r="C19" s="7" t="s">
        <v>111</v>
      </c>
      <c r="D19" s="7"/>
      <c r="E19" s="7"/>
      <c r="F19" s="6"/>
      <c r="G19" s="6"/>
      <c r="H19" s="6"/>
      <c r="I19" s="6"/>
      <c r="J19" s="6"/>
      <c r="K19" s="6"/>
      <c r="L19" s="6"/>
      <c r="M19" s="6"/>
      <c r="N19" s="6"/>
      <c r="O19" s="6"/>
      <c r="P19" s="6"/>
      <c r="Q19" s="6"/>
      <c r="R19" s="6"/>
      <c r="S19" s="6"/>
      <c r="T19" s="6"/>
      <c r="U19" s="6"/>
      <c r="V19" s="6"/>
      <c r="W19" s="6"/>
    </row>
    <row r="20" spans="1:23" ht="16" x14ac:dyDescent="0.2">
      <c r="A20" s="6" t="s">
        <v>110</v>
      </c>
      <c r="B20" s="7">
        <f>SUM(C5,D6)</f>
        <v>80</v>
      </c>
      <c r="C20" s="17">
        <f>B20/B22</f>
        <v>1</v>
      </c>
      <c r="D20" s="7"/>
      <c r="E20" s="7"/>
      <c r="F20" s="6"/>
      <c r="G20" s="6"/>
      <c r="H20" s="6"/>
      <c r="I20" s="6"/>
      <c r="J20" s="6"/>
      <c r="K20" s="6"/>
      <c r="L20" s="6"/>
      <c r="M20" s="6"/>
      <c r="N20" s="6"/>
      <c r="O20" s="6"/>
      <c r="P20" s="6"/>
      <c r="Q20" s="6"/>
      <c r="R20" s="6"/>
      <c r="S20" s="6"/>
      <c r="T20" s="6"/>
      <c r="U20" s="6"/>
      <c r="V20" s="6"/>
      <c r="W20" s="6"/>
    </row>
    <row r="21" spans="1:23" ht="16" x14ac:dyDescent="0.2">
      <c r="A21" s="6" t="s">
        <v>109</v>
      </c>
      <c r="B21" s="7">
        <f>SUM(C13,D14)</f>
        <v>53.224999999999994</v>
      </c>
      <c r="C21" s="17">
        <f>B21/B22</f>
        <v>0.66531249999999997</v>
      </c>
      <c r="D21" s="7"/>
      <c r="E21" s="7"/>
      <c r="F21" s="6"/>
      <c r="G21" s="6"/>
      <c r="H21" s="6"/>
      <c r="I21" s="6"/>
      <c r="J21" s="6"/>
      <c r="K21" s="6"/>
      <c r="L21" s="6"/>
      <c r="M21" s="6"/>
      <c r="N21" s="6"/>
      <c r="O21" s="6"/>
      <c r="P21" s="6"/>
      <c r="Q21" s="6"/>
      <c r="R21" s="6"/>
      <c r="S21" s="6"/>
      <c r="T21" s="6"/>
      <c r="U21" s="6"/>
      <c r="V21" s="6"/>
      <c r="W21" s="6"/>
    </row>
    <row r="22" spans="1:23" ht="16" x14ac:dyDescent="0.2">
      <c r="A22" s="6" t="s">
        <v>108</v>
      </c>
      <c r="B22" s="7">
        <f>E15</f>
        <v>80</v>
      </c>
      <c r="C22" s="17">
        <v>1</v>
      </c>
      <c r="D22" s="7"/>
      <c r="E22" s="16" t="s">
        <v>107</v>
      </c>
      <c r="F22" s="6"/>
      <c r="G22" s="6"/>
      <c r="H22" s="6"/>
      <c r="I22" s="6"/>
      <c r="J22" s="6"/>
      <c r="K22" s="6"/>
      <c r="L22" s="6"/>
      <c r="M22" s="6"/>
      <c r="N22" s="6"/>
      <c r="O22" s="6"/>
      <c r="P22" s="6"/>
      <c r="Q22" s="6"/>
      <c r="R22" s="6"/>
      <c r="S22" s="6"/>
      <c r="T22" s="6"/>
      <c r="U22" s="6"/>
      <c r="V22" s="6"/>
      <c r="W22" s="6"/>
    </row>
    <row r="23" spans="1:23" ht="16" x14ac:dyDescent="0.2">
      <c r="A23" s="12" t="s">
        <v>106</v>
      </c>
      <c r="B23" s="15">
        <f>(B20-B21)/(B22-B21)</f>
        <v>1</v>
      </c>
      <c r="C23" s="15">
        <f>(C20-C21)/(C22-C21)</f>
        <v>1</v>
      </c>
      <c r="D23" s="14"/>
      <c r="E23" s="13" t="s">
        <v>105</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6"/>
      <c r="B28" s="7"/>
      <c r="C28" s="7"/>
      <c r="D28" s="7"/>
      <c r="E28" s="7"/>
      <c r="F28" s="6"/>
      <c r="G28" s="6"/>
      <c r="H28" s="6"/>
      <c r="I28" s="6"/>
      <c r="J28" s="6"/>
      <c r="K28" s="6"/>
      <c r="L28" s="6"/>
      <c r="M28" s="6"/>
      <c r="N28" s="6"/>
      <c r="O28" s="6"/>
      <c r="P28" s="6"/>
      <c r="Q28" s="6"/>
      <c r="R28" s="6"/>
      <c r="S28" s="6"/>
      <c r="T28" s="6"/>
      <c r="U28" s="6"/>
      <c r="V28" s="6"/>
      <c r="W28" s="6"/>
    </row>
    <row r="29" spans="1:23" ht="16" x14ac:dyDescent="0.2">
      <c r="A29" s="9" t="s">
        <v>104</v>
      </c>
      <c r="B29" s="9" t="s">
        <v>103</v>
      </c>
      <c r="C29"/>
      <c r="D29"/>
      <c r="E29" s="7"/>
      <c r="F29" s="6"/>
      <c r="G29" s="6"/>
      <c r="H29" s="6"/>
      <c r="I29" s="6"/>
      <c r="J29" s="6"/>
      <c r="K29" s="6"/>
      <c r="L29" s="6"/>
      <c r="M29" s="6"/>
      <c r="N29" s="6"/>
      <c r="O29" s="6"/>
      <c r="P29" s="6"/>
      <c r="Q29" s="6"/>
      <c r="R29" s="6"/>
      <c r="S29" s="6"/>
      <c r="T29" s="6"/>
      <c r="U29" s="6"/>
      <c r="V29" s="6"/>
      <c r="W29" s="6"/>
    </row>
    <row r="30" spans="1:23" ht="16" x14ac:dyDescent="0.2">
      <c r="A30" s="9" t="s">
        <v>102</v>
      </c>
      <c r="B30">
        <v>0</v>
      </c>
      <c r="C30">
        <v>1</v>
      </c>
      <c r="D30" t="s">
        <v>101</v>
      </c>
      <c r="E30" s="7"/>
      <c r="F30" s="6"/>
      <c r="G30" s="6"/>
      <c r="H30" s="6"/>
      <c r="I30" s="6"/>
      <c r="J30" s="6"/>
      <c r="K30" s="6"/>
      <c r="L30" s="6"/>
      <c r="M30" s="6"/>
      <c r="N30" s="6"/>
      <c r="O30" s="6"/>
      <c r="P30" s="6"/>
      <c r="Q30" s="6"/>
      <c r="R30" s="6"/>
      <c r="S30" s="6"/>
      <c r="T30" s="6"/>
      <c r="U30" s="6"/>
      <c r="V30" s="6"/>
      <c r="W30" s="6"/>
    </row>
    <row r="31" spans="1:23" ht="16" x14ac:dyDescent="0.2">
      <c r="A31" s="8">
        <v>0</v>
      </c>
      <c r="B31" s="23">
        <v>17</v>
      </c>
      <c r="C31" s="23"/>
      <c r="D31" s="23">
        <v>17</v>
      </c>
      <c r="E31" s="7"/>
      <c r="F31" s="6"/>
      <c r="G31" s="6"/>
      <c r="H31" s="6"/>
      <c r="I31" s="6"/>
      <c r="J31" s="6"/>
      <c r="K31" s="6"/>
      <c r="L31" s="6"/>
      <c r="M31" s="6"/>
      <c r="N31" s="6"/>
      <c r="O31" s="6"/>
      <c r="P31" s="6"/>
      <c r="Q31" s="6"/>
      <c r="R31" s="6"/>
      <c r="S31" s="6"/>
      <c r="T31" s="6"/>
      <c r="U31" s="6"/>
      <c r="V31" s="6"/>
      <c r="W31" s="6"/>
    </row>
    <row r="32" spans="1:23" ht="16" x14ac:dyDescent="0.2">
      <c r="A32" s="8">
        <v>1</v>
      </c>
      <c r="B32" s="23"/>
      <c r="C32" s="23">
        <v>63</v>
      </c>
      <c r="D32" s="23">
        <v>63</v>
      </c>
      <c r="E32" s="7"/>
      <c r="F32" s="6"/>
      <c r="G32" s="6"/>
      <c r="H32" s="6"/>
      <c r="I32" s="6"/>
      <c r="J32" s="6"/>
      <c r="K32" s="6"/>
      <c r="L32" s="6"/>
      <c r="M32" s="6"/>
      <c r="N32" s="6"/>
      <c r="O32" s="6"/>
      <c r="P32" s="6"/>
      <c r="Q32" s="6"/>
      <c r="R32" s="6"/>
      <c r="S32" s="6"/>
      <c r="T32" s="6"/>
      <c r="U32" s="6"/>
      <c r="V32" s="6"/>
      <c r="W32" s="6"/>
    </row>
    <row r="33" spans="1:23" ht="16" x14ac:dyDescent="0.2">
      <c r="A33" s="8" t="s">
        <v>101</v>
      </c>
      <c r="B33" s="23">
        <v>17</v>
      </c>
      <c r="C33" s="23">
        <v>63</v>
      </c>
      <c r="D33" s="23">
        <v>80</v>
      </c>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t="s">
        <v>102</v>
      </c>
      <c r="B35">
        <v>0</v>
      </c>
      <c r="C35">
        <v>1</v>
      </c>
      <c r="D35" t="s">
        <v>101</v>
      </c>
      <c r="E35" s="7"/>
      <c r="F35" s="6"/>
      <c r="G35" s="6"/>
      <c r="H35" s="6"/>
      <c r="I35" s="6"/>
      <c r="J35" s="6"/>
      <c r="K35" s="6"/>
      <c r="L35" s="6"/>
      <c r="M35" s="6"/>
      <c r="N35" s="6"/>
      <c r="O35" s="6"/>
      <c r="P35" s="6"/>
      <c r="Q35" s="6"/>
      <c r="R35" s="6"/>
      <c r="S35" s="6"/>
      <c r="T35" s="6"/>
      <c r="U35" s="6"/>
      <c r="V35" s="6"/>
      <c r="W35" s="6"/>
    </row>
    <row r="36" spans="1:23" ht="16" x14ac:dyDescent="0.2">
      <c r="A36">
        <v>0</v>
      </c>
      <c r="B36">
        <v>17</v>
      </c>
      <c r="C36"/>
      <c r="D36">
        <v>17</v>
      </c>
      <c r="E36" s="7"/>
      <c r="F36" s="6"/>
      <c r="G36" s="6"/>
      <c r="H36" s="6"/>
      <c r="I36" s="6"/>
      <c r="J36" s="6"/>
      <c r="K36" s="6"/>
      <c r="L36" s="6"/>
      <c r="M36" s="6"/>
      <c r="N36" s="6"/>
      <c r="O36" s="6"/>
      <c r="P36" s="6"/>
      <c r="Q36" s="6"/>
      <c r="R36" s="6"/>
      <c r="S36" s="6"/>
      <c r="T36" s="6"/>
      <c r="U36" s="6"/>
      <c r="V36" s="6"/>
      <c r="W36" s="6"/>
    </row>
    <row r="37" spans="1:23" ht="16" x14ac:dyDescent="0.2">
      <c r="A37">
        <v>1</v>
      </c>
      <c r="B37"/>
      <c r="C37">
        <v>63</v>
      </c>
      <c r="D37">
        <v>63</v>
      </c>
      <c r="E37" s="7"/>
      <c r="F37" s="6"/>
      <c r="G37" s="6"/>
      <c r="H37" s="6"/>
      <c r="I37" s="6"/>
      <c r="J37" s="6"/>
      <c r="K37" s="6"/>
      <c r="L37" s="6"/>
      <c r="M37" s="6"/>
      <c r="N37" s="6"/>
      <c r="O37" s="6"/>
      <c r="P37" s="6"/>
      <c r="Q37" s="6"/>
      <c r="R37" s="6"/>
      <c r="S37" s="6"/>
      <c r="T37" s="6"/>
      <c r="U37" s="6"/>
      <c r="V37" s="6"/>
      <c r="W37" s="6"/>
    </row>
    <row r="38" spans="1:23" ht="16" x14ac:dyDescent="0.2">
      <c r="A38" t="s">
        <v>101</v>
      </c>
      <c r="B38">
        <v>17</v>
      </c>
      <c r="C38">
        <v>63</v>
      </c>
      <c r="D38">
        <v>80</v>
      </c>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2025-12-06T15:09:01Z</dcterms:created>
  <dcterms:modified xsi:type="dcterms:W3CDTF">2025-12-06T16:38:36Z</dcterms:modified>
</cp:coreProperties>
</file>