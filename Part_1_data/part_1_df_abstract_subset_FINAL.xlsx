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poppyriddle/Documents/Github/Research_proposal/Part_1_data/"/>
    </mc:Choice>
  </mc:AlternateContent>
  <xr:revisionPtr revIDLastSave="0" documentId="13_ncr:1_{5F837FB5-4B3E-2344-9CF8-BF14FE22FD0C}" xr6:coauthVersionLast="47" xr6:coauthVersionMax="47" xr10:uidLastSave="{00000000-0000-0000-0000-000000000000}"/>
  <bookViews>
    <workbookView xWindow="31040" yWindow="500" windowWidth="35880" windowHeight="18880" activeTab="3" xr2:uid="{00000000-000D-0000-FFFF-FFFF00000000}"/>
  </bookViews>
  <sheets>
    <sheet name="Sheet1" sheetId="1" r:id="rId1"/>
    <sheet name="raw_data" sheetId="4" r:id="rId2"/>
    <sheet name="Cohens Kappa - Raters A &amp; B" sheetId="5" r:id="rId3"/>
    <sheet name="ANALYSIS" sheetId="3" r:id="rId4"/>
  </sheets>
  <definedNames>
    <definedName name="_xlnm._FilterDatabase" localSheetId="1" hidden="1">raw_data!$A$1:$C$301</definedName>
    <definedName name="_xlnm._FilterDatabase" localSheetId="0" hidden="1">Sheet1!$A$1:$O$301</definedName>
  </definedNames>
  <calcPr calcId="191029"/>
  <pivotCaches>
    <pivotCache cacheId="120" r:id="rId5"/>
    <pivotCache cacheId="124"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3" l="1"/>
  <c r="C17" i="3"/>
  <c r="C18" i="3"/>
  <c r="C19" i="3"/>
  <c r="C20" i="3"/>
  <c r="C21" i="3"/>
  <c r="C22" i="3"/>
  <c r="C23" i="3"/>
  <c r="C24" i="3"/>
  <c r="C15" i="3"/>
  <c r="B34" i="5"/>
  <c r="B35" i="5"/>
  <c r="L6" i="5"/>
  <c r="L7" i="5"/>
  <c r="L8" i="5"/>
  <c r="L9" i="5"/>
  <c r="L10" i="5"/>
  <c r="L11" i="5"/>
  <c r="L12" i="5"/>
  <c r="L13" i="5"/>
  <c r="L5" i="5"/>
  <c r="L14" i="5" s="1"/>
  <c r="B36" i="5" s="1"/>
  <c r="E14" i="5"/>
  <c r="F14" i="5"/>
  <c r="G14" i="5"/>
  <c r="H14" i="5"/>
  <c r="I14" i="5"/>
  <c r="J14" i="5"/>
  <c r="K14" i="5"/>
  <c r="D14" i="5"/>
  <c r="C14" i="5"/>
  <c r="J20" i="5"/>
  <c r="K20" i="5"/>
  <c r="J21" i="5"/>
  <c r="K21" i="5"/>
  <c r="J22" i="5"/>
  <c r="K22" i="5"/>
  <c r="J23" i="5"/>
  <c r="K23" i="5"/>
  <c r="J24" i="5"/>
  <c r="K24" i="5"/>
  <c r="J25" i="5"/>
  <c r="K25" i="5"/>
  <c r="J26" i="5"/>
  <c r="K26" i="5"/>
  <c r="J27" i="5"/>
  <c r="K27" i="5"/>
  <c r="J28" i="5"/>
  <c r="K28" i="5"/>
  <c r="I21" i="5"/>
  <c r="I22" i="5"/>
  <c r="I23" i="5"/>
  <c r="I24" i="5"/>
  <c r="I25" i="5"/>
  <c r="I26" i="5"/>
  <c r="I27" i="5"/>
  <c r="I28" i="5"/>
  <c r="H21" i="5"/>
  <c r="H22" i="5"/>
  <c r="H23" i="5"/>
  <c r="H24" i="5"/>
  <c r="H25" i="5"/>
  <c r="H26" i="5"/>
  <c r="H27" i="5"/>
  <c r="H28" i="5"/>
  <c r="G21" i="5"/>
  <c r="G22" i="5"/>
  <c r="G23" i="5"/>
  <c r="G24" i="5"/>
  <c r="G25" i="5"/>
  <c r="G26" i="5"/>
  <c r="G27" i="5"/>
  <c r="G28" i="5"/>
  <c r="F21" i="5"/>
  <c r="F22" i="5"/>
  <c r="F23" i="5"/>
  <c r="F24" i="5"/>
  <c r="F25" i="5"/>
  <c r="F26" i="5"/>
  <c r="F27" i="5"/>
  <c r="F28" i="5"/>
  <c r="E21" i="5"/>
  <c r="E22" i="5"/>
  <c r="E23" i="5"/>
  <c r="E24" i="5"/>
  <c r="E25" i="5"/>
  <c r="E26" i="5"/>
  <c r="E27" i="5"/>
  <c r="E28" i="5"/>
  <c r="D21" i="5"/>
  <c r="D22" i="5"/>
  <c r="D23" i="5"/>
  <c r="D24" i="5"/>
  <c r="D25" i="5"/>
  <c r="D26" i="5"/>
  <c r="D27" i="5"/>
  <c r="D28" i="5"/>
  <c r="C21" i="5"/>
  <c r="C22" i="5"/>
  <c r="C23" i="5"/>
  <c r="C24" i="5"/>
  <c r="C25" i="5"/>
  <c r="C26" i="5"/>
  <c r="C27" i="5"/>
  <c r="C28" i="5"/>
  <c r="C20" i="5"/>
  <c r="D20" i="5"/>
  <c r="E20" i="5"/>
  <c r="F20" i="5"/>
  <c r="G20" i="5"/>
  <c r="H20" i="5"/>
  <c r="I20" i="5"/>
  <c r="C35" i="5" l="1"/>
  <c r="C34" i="5"/>
  <c r="B37" i="5"/>
  <c r="C37" i="5" l="1"/>
</calcChain>
</file>

<file path=xl/sharedStrings.xml><?xml version="1.0" encoding="utf-8"?>
<sst xmlns="http://schemas.openxmlformats.org/spreadsheetml/2006/main" count="4791" uniqueCount="770">
  <si>
    <t>type</t>
  </si>
  <si>
    <t>DOI</t>
  </si>
  <si>
    <t>abstract</t>
  </si>
  <si>
    <t>len_abstract</t>
  </si>
  <si>
    <t>journal-article:None</t>
  </si>
  <si>
    <t>10.1364/ao.426469</t>
  </si>
  <si>
    <t>&lt;jats:p&gt;A spectrally selective solar absorber (SSA) made from alternating tungsten and &lt;jats:inline-formula&gt;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&lt;mml:mn&gt;2&lt;/mml:mn&gt;
	  &lt;/mml:msub&gt;
	&lt;/mml:mrow&gt;
      &lt;/mml:math&gt;
    &lt;/jats:inline-formula&gt; layers is an important component in a
					concentrated solar-thermoelectric generator (CSTEG). However, the
					highly efficient SSA consisting of a high number of tungsten and &lt;jats:inline-formula&gt;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&lt;mml:mn&gt;2&lt;/mml:mn&gt;
	  &lt;/mml:msub&gt;
	&lt;/mml:mrow&gt;
      &lt;/mml:math&gt;
    &lt;/jats:inline-formula&gt; layers may require complicated
					fabrication procedures, thereby raising the overall cost of the CSTEG.
					In this study, we have theoretically optimized SSAs consisting of a
					different number of layers, and the performances of CSTEGs installed
					with different optimized SSAs and thermoelectric materials (&lt;jats:inline-formula&gt;
      &lt;mml:math xmlns:mml="http://www.w3.org/1998/Math/MathML" display="inline"&gt;
	&lt;mml:mrow class="MJX-TeXAtom-ORD"&gt;
	  &lt;mml:msub&gt;
	    &lt;mml:mrow class="MJX-TeXAtom-ORD"&gt;
	      &lt;mml:mrow class="MJX-TeXAtom-ORD"&gt;
		&lt;mml:mi mathvariant="normal"&gt;S&lt;/mml:mi&gt;
		&lt;mml:mi mathvariant="normal"&gt;i&lt;/mml:mi&gt;
	      &lt;/mml:mrow&gt;
	    &lt;/mml:mrow&gt;
	    &lt;mml:mrow class="MJX-TeXAtom-ORD"&gt;
	      &lt;mml:mn&gt;80&lt;/mml:mn&gt;
	    &lt;/mml:mrow&gt;
	  &lt;/mml:msub&gt;
	&lt;/mml:mrow&gt;
	&lt;mml:mrow class="MJX-TeXAtom-ORD"&gt;
	  &lt;mml:msub&gt;
	    &lt;mml:mrow class="MJX-TeXAtom-ORD"&gt;
	      &lt;mml:mrow class="MJX-TeXAtom-ORD"&gt;
		&lt;mml:mi mathvariant="normal"&gt;G&lt;/mml:mi&gt;
		&lt;mml:mi mathvariant="normal"&gt;e&lt;/mml:mi&gt;
	      &lt;/mml:mrow&gt;
	    &lt;/mml:mrow&gt;
	    &lt;mml:mrow class="MJX-TeXAtom-ORD"&gt;
	      &lt;mml:mn&gt;20&lt;/mml:mn&gt;
	    &lt;/mml:mrow&gt;
	  &lt;/mml:msub&gt;
	&lt;/mml:mrow&gt;
      &lt;/mml:math&gt;
    &lt;/jats:inline-formula&gt; alloys, SnSe crystals) are
					theoretically investigated. It is found that two SSAs, one with only
					one layer of &lt;jats:inline-formula&gt;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&lt;mml:mn&gt;2&lt;/mml:mn&gt;
	  &lt;/mml:msub&gt;
	&lt;/mml:mrow&gt;
      &lt;/mml:math&gt;
    &lt;/jats:inline-formula&gt; glass (88 nm) coated on a tungsten
					reflective plane, and the other with three alternating layers of &lt;jats:inline-formula&gt;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&lt;mml:mrow class="MJX-TeXAtom-ORD"&gt;
	      &lt;mml:mn&gt;2&lt;/mml:mn&gt;
	    &lt;/mml:mrow&gt;
	  &lt;/mml:msub&gt;
	&lt;/mml:mrow&gt;
	&lt;mml:mo stretchy="false"&gt;(&lt;/mml:mo&gt;
	&lt;mml:mrow class="MJX-TeXAtom-ORD"&gt;
	  &lt;mml:mrow class="MJX-TeXAtom-ORD"&gt;
	    &lt;mml:mn&gt;92&lt;/mml:mn&gt;
	  &lt;/mml:mrow&gt;
	&lt;/mml:mrow&gt;
	&lt;mml:mspace width="thickmathspace"/&gt;
	&lt;mml:mrow class="MJX-TeXAtom-ORD"&gt;
	  &lt;mml:mrow class="MJX-TeXAtom-ORD"&gt;
	    &lt;mml:mi mathvariant="normal"&gt;n&lt;/mml:mi&gt;
	    &lt;mml:mi mathvariant="normal"&gt;m&lt;/mml:mi&gt;
	  &lt;/mml:mrow&gt;
	&lt;/mml:mrow&gt;
	&lt;mml:mo stretchy="false"&gt;)&lt;/mml:mo&gt;
	&lt;mml:mrow class="MJX-TeXAtom-ORD"&gt;
	  &lt;mml:mrow class="MJX-TeXAtom-ORD"&gt;
	    &lt;mml:mrow class="MJX-TeXAtom-ORD"&gt;
	      &lt;mml:mo&gt;/&lt;/mml:mo&gt;
	    &lt;/mml:mrow&gt;
	    &lt;mml:mi mathvariant="normal"&gt;t&lt;/mml:mi&gt;
	    &lt;mml:mi mathvariant="normal"&gt;u&lt;/mml:mi&gt;
	    &lt;mml:mi mathvariant="normal"&gt;n&lt;/mml:mi&gt;
	    &lt;mml:mi mathvariant="normal"&gt;g&lt;/mml:mi&gt;
	    &lt;mml:mi mathvariant="normal"&gt;s&lt;/mml:mi&gt;
	    &lt;mml:mi mathvariant="normal"&gt;t&lt;/mml:mi&gt;
	    &lt;mml:mi mathvariant="normal"&gt;e&lt;/mml:mi&gt;
	    &lt;mml:mi mathvariant="normal"&gt;n&lt;/mml:mi&gt;
	  &lt;/mml:mrow&gt;
	&lt;/mml:mrow&gt;
	&lt;mml:mspace width="thickmathspace"/&gt;
	&lt;mml:mo stretchy="false"&gt;(&lt;/mml:mo&gt;
	&lt;mml:mrow class="MJX-TeXAtom-ORD"&gt;
	  &lt;mml:mrow class="MJX-TeXAtom-ORD"&gt;
	    &lt;mml:mn&gt;7&lt;/mml:mn&gt;
	  &lt;/mml:mrow&gt;
	&lt;/mml:mrow&gt;
	&lt;mml:mspace width="thickmathspace"/&gt;
	&lt;mml:mrow class="MJX-TeXAtom-ORD"&gt;
	  &lt;mml:mrow class="MJX-TeXAtom-ORD"&gt;
	    &lt;mml:mi mathvariant="normal"&gt;n&lt;/mml:mi&gt;
	    &lt;mml:mi mathvariant="normal"&gt;m&lt;/mml:mi&gt;
	  &lt;/mml:mrow&gt;
	&lt;/mml:mrow&gt;
	&lt;mml:mo stretchy="false"&gt;)&lt;/mml:mo&gt;
	&lt;mml:mrow class="MJX-TeXAtom-ORD"&gt;
	  &lt;mml:mo&gt;/&lt;/mml:mo&gt;
	&lt;/mml:mrow&gt;
	&lt;mml:mrow class="MJX-TeXAtom-ORD"&gt;
	  &lt;mml:msub&gt;
	    &lt;mml:mrow class="MJX-TeXAtom-ORD"&gt;
	      &lt;mml:mrow class="MJX-TeXAtom-ORD"&gt;
		&lt;mml:mi mathvariant="normal"&gt;S&lt;/mml:mi&gt;
		&lt;mml:mi mathvariant="normal"&gt;i&lt;/mml:mi&gt;
		&lt;mml:mi mathvariant="normal"&gt;O&lt;/mml:mi&gt;
	      &lt;/mml:mrow&gt;
	    &lt;/mml:mrow&gt;
	    &lt;mml:mrow class="MJX-TeXAtom-ORD"&gt;
	      &lt;mml:mn&gt;2&lt;/mml:mn&gt;
	    &lt;/mml:mrow&gt;
	  &lt;/mml:msub&gt;
	&lt;/mml:mrow&gt;
	&lt;mml:mo stretchy="false"&gt;(&lt;/mml:mo&gt;
	&lt;mml:mrow class="MJX-TeXAtom-ORD"&gt;
	  &lt;mml:mrow class="MJX-TeXAtom-ORD"&gt;
	    &lt;mml:mn&gt;78&lt;/mml:mn&gt;
	  &lt;/mml:mrow&gt;
	&lt;/mml:mrow&gt;
	&lt;mml:mspace width="thickmathspace"/&gt;
	&lt;mml:mrow class="MJX-TeXAtom-ORD"&gt;
	  &lt;mml:mrow class="MJX-TeXAtom-ORD"&gt;
	    &lt;mml:mi mathvariant="normal"&gt;n&lt;/mml:mi&gt;
	    &lt;mml:mi mathvariant="normal"&gt;m&lt;/mml:mi&gt;
	  &lt;/mml:mrow&gt;
	&lt;/mml:mrow&gt;
	&lt;mml:mo stretchy="false"&gt;)&lt;/mml:mo&gt;
      &lt;/mml:math&gt;
    &lt;/jats:inline-formula&gt; coated on a tungsten reflective
					plane, have the highest average solar absorptance equal to 0.7050 and
					0.9999, respectively. To reach the same steady-state temperature (&lt;jats:inline-formula&gt;
      &lt;mml:math xmlns:mml="http://www.w3.org/1998/Math/MathML" display="inline"&gt;
	&lt;mml:mrow class="MJX-TeXAtom-ORD"&gt;
	  &lt;mml:msub&gt;
	    &lt;mml:mi&gt;T&lt;/mml:mi&gt;
	    &lt;mml:mi&gt;h&lt;/mml:mi&gt;
	  &lt;/mml:msub&gt;
	&lt;/mml:mrow&gt;
      &lt;/mml:math&gt;
    &lt;/jats:inline-formula&gt;), the one-layer SSA requires higher
					optical concentrations (&lt;jats:inline-formula&gt;
      &lt;mml:math xmlns:mml="http://www.w3.org/1998/Math/MathML" display="inline"&gt;
	&lt;mml:mrow class="MJX-TeXAtom-ORD"&gt;
	  &lt;mml:msub&gt;
	    &lt;mml:mi&gt;C&lt;/mml:mi&gt;
	    &lt;mml:mrow class="MJX-TeXAtom-ORD"&gt;
	      &lt;mml:mrow class="MJX-TeXAtom-ORD"&gt;
		&lt;mml:mi mathvariant="normal"&gt;o&lt;/mml:mi&gt;
		&lt;mml:mi mathvariant="normal"&gt;p&lt;/mml:mi&gt;
		&lt;mml:mi mathvariant="normal"&gt;t&lt;/mml:mi&gt;
	      &lt;/mml:mrow&gt;
	    &lt;/mml:mrow&gt;
	  &lt;/mml:msub&gt;
	&lt;/mml:mrow&gt;
      &lt;/mml:math&gt;
    &lt;/jats:inline-formula&gt;) than the three-layer SSA. The CSTEG
					with &lt;jats:inline-formula&gt;
      &lt;mml:math xmlns:mml="http://www.w3.org/1998/Math/MathML" display="inline"&gt;
	&lt;mml:mrow class="MJX-TeXAtom-ORD"&gt;
	  &lt;mml:msub&gt;
	    &lt;mml:mrow class="MJX-TeXAtom-ORD"&gt;
	      &lt;mml:mrow class="MJX-TeXAtom-ORD"&gt;
		&lt;mml:mi mathvariant="normal"&gt;S&lt;/mml:mi&gt;
		&lt;mml:mi mathvariant="normal"&gt;i&lt;/mml:mi&gt;
	      &lt;/mml:mrow&gt;
	    &lt;/mml:mrow&gt;
	    &lt;mml:mrow class="MJX-TeXAtom-ORD"&gt;
	      &lt;mml:mn&gt;80&lt;/mml:mn&gt;
	    &lt;/mml:mrow&gt;
	  &lt;/mml:msub&gt;
	&lt;/mml:mrow&gt;
	&lt;mml:mrow class="MJX-TeXAtom-ORD"&gt;
	  &lt;mml:msub&gt;
	    &lt;mml:mrow class="MJX-TeXAtom-ORD"&gt;
	      &lt;mml:mrow class="MJX-TeXAtom-ORD"&gt;
		&lt;mml:mi mathvariant="normal"&gt;G&lt;/mml:mi&gt;
		&lt;mml:mi mathvariant="normal"&gt;e&lt;/mml:mi&gt;
	      &lt;/mml:mrow&gt;
	    &lt;/mml:mrow&gt;
	    &lt;mml:mrow class="MJX-TeXAtom-ORD"&gt;
	      &lt;mml:mn&gt;20&lt;/mml:mn&gt;
	    &lt;/mml:mrow&gt;
	  &lt;/mml:msub&gt;
	&lt;/mml:mrow&gt;
      &lt;/mml:math&gt;
    &lt;/jats:inline-formula&gt; alloys requires much higher optical &lt;jats:inline-formula&gt;
      &lt;mml:math xmlns:mml="http://www.w3.org/1998/Math/MathML" display="inline"&gt;
	&lt;mml:mrow class="MJX-TeXAtom-ORD"&gt;
	  &lt;mml:msub&gt;
	    &lt;mml:mi&gt;C&lt;/mml:mi&gt;
	    &lt;mml:mrow class="MJX-TeXAtom-ORD"&gt;
	      &lt;mml:mrow class="MJX-TeXAtom-ORD"&gt;
		&lt;mml:mi mathvariant="normal"&gt;o&lt;/mml:mi&gt;
		&lt;mml:mi mathvariant="normal"&gt;p&lt;/mml:mi&gt;
		&lt;mml:mi mathvariant="normal"&gt;t&lt;/mml:mi&gt;
	      &lt;/mml:mrow&gt;
	    &lt;/mml:mrow&gt;
	  &lt;/mml:msub&gt;
	&lt;/mml:mrow&gt;
      &lt;/mml:math&gt;
    &lt;/jats:inline-formula&gt; than the CSTEG with SnSe crystals in
					order to reach the same &lt;jats:inline-formula&gt;
      &lt;mml:math xmlns:mml="http://www.w3.org/1998/Math/MathML" display="inline"&gt;
	&lt;mml:mrow class="MJX-TeXAtom-ORD"&gt;
	  &lt;mml:msub&gt;
	    &lt;mml:mi&gt;T&lt;/mml:mi&gt;
	    &lt;mml:mi&gt;h&lt;/mml:mi&gt;
	  &lt;/mml:msub&gt;
	&lt;/mml:mrow&gt;
      &lt;/mml:math&gt;
    &lt;/jats:inline-formula&gt; because of much a higher rate of heat
					flux. At &lt;jats:inline-formula&gt;
      &lt;mml:math xmlns:mml="http://www.w3.org/1998/Math/MathML" display="inline"&gt;
	&lt;mml:mrow class="MJX-TeXAtom-ORD"&gt;
	  &lt;mml:msub&gt;
	    &lt;mml:mi&gt;T&lt;/mml:mi&gt;
	    &lt;mml:mi&gt;h&lt;/mml:mi&gt;
	  &lt;/mml:msub&gt;
	&lt;/mml:mrow&gt;
	&lt;mml:mo&gt;=&lt;/mml:mo&gt;
	&lt;mml:mrow class="MJX-TeXAtom-ORD"&gt;
	  &lt;mml:mrow class="MJX-TeXAtom-ORD"&gt;
	    &lt;mml:mn&gt;800&lt;/mml:mn&gt;
	  &lt;/mml:mrow&gt;
	&lt;/mml:mrow&gt;
	&lt;mml:mspace width="thickmathspace"/&gt;
	&lt;mml:mi&gt;deg&lt;/mml:mi&gt;
	&lt;mml:mo&gt;⁡&lt;/mml:mo&gt;
	&lt;mml:mrow class="MJX-TeXAtom-ORD"&gt;
	  &lt;mml:mrow class="MJX-TeXAtom-ORD"&gt;
	    &lt;mml:mi mathvariant="normal"&gt;C&lt;/mml:mi&gt;
	  &lt;/mml:mrow&gt;
	&lt;/mml:mrow&gt;
      &lt;/mml:math&gt;
    &lt;/jats:inline-formula&gt;, the CSTEG with &lt;jats:inline-formula&gt;
      &lt;mml:math xmlns:mml="http://www.w3.org/1998/Math/MathML" display="inline"&gt;
	&lt;mml:mrow class="MJX-TeXAtom-ORD"&gt;
	  &lt;mml:msub&gt;
	    &lt;mml:mrow class="MJX-TeXAtom-ORD"&gt;
	      &lt;mml:mrow class="MJX-TeXAtom-ORD"&gt;
		&lt;mml:mi mathvariant="normal"&gt;S&lt;/mml:mi&gt;
		&lt;mml:mi mathvariant="normal"&gt;i&lt;/mml:mi&gt;
	      &lt;/mml:mrow&gt;
	    &lt;/mml:mrow&gt;
	    &lt;mml:mrow class="MJX-TeXAtom-ORD"&gt;
	      &lt;mml:mn&gt;80&lt;/mml:mn&gt;
	    &lt;/mml:mrow&gt;
	  &lt;/mml:msub&gt;
	&lt;/mml:mrow&gt;
	&lt;mml:mrow class="MJX-TeXAtom-ORD"&gt;
	  &lt;mml:msub&gt;
	    &lt;mml:mrow class="MJX-TeXAtom-ORD"&gt;
	      &lt;mml:mrow class="MJX-TeXAtom-ORD"&gt;
		&lt;mml:mi mathvariant="normal"&gt;G&lt;/mml:mi&gt;
		&lt;mml:mi mathvariant="normal"&gt;e&lt;/mml:mi&gt;
	      &lt;/mml:mrow&gt;
	    &lt;/mml:mrow&gt;
	    &lt;mml:mrow class="MJX-TeXAtom-ORD"&gt;
	      &lt;mml:mn&gt;20&lt;/mml:mn&gt;
	    &lt;/mml:mrow&gt;
	  &lt;/mml:msub&gt;
	&lt;/mml:mrow&gt;
      &lt;/mml:math&gt;
    &lt;/jats:inline-formula&gt; alloys have the output electrical
					power per unit cross-sectional area of TEG about 6 times higher than
					that of the CSTEG with SnSe crystals. The net efficiency of CSTEG with
					SnSe crystals could reach 25.6% if the electrical conductivity of its
					p-type thermoelectric leg could be enhanced to be comparable to the
					electrical conductivity of its n-type thermoelectric leg.&lt;/jats:p&gt;</t>
  </si>
  <si>
    <t>10.1182/blood-2021-147907</t>
  </si>
  <si>
    <t>&lt;jats:title&gt;Abstract&lt;/jats:title&gt;
               &lt;jats:p /&gt;
               &lt;jats:p&gt;Introduction: Persistently elevated fetal hemoglobin (HbF) can ameliorate transfusion-dependent beta thalassemia (TDT) (Musallam et al ., 2012). BCL11A is a repressor of γ-globin expression and HbF production in adult erythrocytes. Down-regulation of BCL11A is a therapeutic strategy for induction of HbF in beta hemoglobinopathies. In pre-clinical studies with human hematopoietic stem cells (HSCs), zinc finger nuclease (ZFN)-mediated disruption of the GATA-binding region of the intronic erythroid-specific BCL11A enhancer (BCL11A ESE) decreased BCL11A expression and increased HbF production in erythroid cells without disrupting multi-lineage hematopoiesis. ST-400 is an investigational cell therapy product comprised of autologous CD34+ cells that have undergone high-precision, ZFN-mediated ex vivo editing at the BCL11A gene ESE target. The aim of this study is to induce HbF expression in edited erythroid cells. We hypothesized that infusion of ST-400 after myeloablative conditioning would have a favorable benefit risk profile in TDT.&lt;/jats:p&gt;
               &lt;jats:p&gt;Methods: The Thales trial (NCT03432364) is a Phase 1/2 study of the safety, tolerability and efficacy of ST-400 in adult subjects with TDT, defined as receiving ≥8 annual red blood cell transfusion episodes for at least 2 consecutive years before enrollment. Leukapheresis was performed following mobilization with G-CSF and plerixafor. Autologous collections were enriched for CD34+ cells and then transfected with mRNA encoding ZFNs with binding sites flanking the GATA-binding region of BCL11A ESE. The ST-400 product was infused following myeloablative busulfan conditioning. Six subjects were to be monitored for safety and efficacy for 3 years post-infusion.&lt;/jats:p&gt;
               &lt;jats:p&gt;Results: Five subjects (age 18 to 36 years old, average 28 years) have completed ST-400 manufacturing and have been infused. No additional patients will be infused. Subjects received an average of 7.3 x 10 6 CD 34+ cells/kg (high low 4.5-11.4). The first subject experienced a serious adverse event (SAE) of hypersensitivity soon after the initiation of ST-400 infusion that was considered by the investigator to be related to the ST-400 infusion, most likely to dimethylsulfoxide (DMSO). The event of hypersensitivity was successfully medically managed and the patient received the full study dose after brief interruptions. One other treatment emergent SAE (opioid withdrawal) occurred, assessed by the investigator as unrelated to ST-400. As of 03 May 2021, the majority of the AEs reported following treatment with ST-400 are consistent with myeloablation. No clonal expansion has been observed from monitoring on-target indel clones longitudinally.&lt;/jats:p&gt;
               &lt;jats:p&gt;All five subjects had prompt hematopoietic reconstitution (average ANC recovery day +18 [range 14-24 days]; platelet recovery day +29 [range 19-44 days]), with increasing HbF fraction that contributed to stable total hemoglobin. As of 03 May 2021, with follow-up ranging from 17.6 to 27.3 months, on-target DNA insertions-deletions (indels) at BCL11A ESE were present in peripheral blood mononuclear cells (PBMCs) of all five subjects.&lt;/jats:p&gt;
               &lt;jats:p&gt;Peak HbF levels achieved were 23.5 +- 11.4% (high low 35.9-6.9%) but were not sustained, and thus were not sufficient for transfusion independence. At the time of the latest visit (65-117 weeks), the HbF levels are 7.7 +- 4.1% (high low 13.5-2%). This decline is presumably due to low levels of long-term progenitors in the final drug product.&lt;/jats:p&gt;
               &lt;jats:p&gt;Conclusions: ST-400 is an ex vivo, ZFN-edited autologous HSC product candidate for increased erythroid HbF expression in patients with TDT. All five infused subjects had rapid hematopoietic reconstitution following myeloablative conditioning, on-target indels in PBMCs and elevated HbF levels following HSCGT. After 1 to 2 years, the average HbF levels had declined by 64% from peak to last visit, which necessitated resumption of PRBC transfusions at the same rate as prior to the ST-400 therapy. The data in the 5 patients infused indicate that the procedure was generally well tolerated and was associated with a significant albeit transient increase in HbF after reconstitution.&lt;/jats:p&gt;
               &lt;jats:p&gt;Figure 1 Figure 1.&lt;/jats:p&gt;
               &lt;jats:p /&gt;
               &lt;jats:sec&gt;
                  &lt;jats:title&gt;Disclosures&lt;/jats:title&gt;
                  &lt;jats:p&gt;Walters: Ensoma, Inc.: Consultancy; Vertex pharmaceuticals: Consultancy; AllCells, Inc: Consultancy; BioLabs, Inc: Consultancy. Smith: Astellas Gene Therapies: Current Employment. Schiller: ASH foundation: Other: Chair-unpaid; Pfizer: Current equity holder in publicly-traded company, Research Funding; Sanofi: Honoraria, Research Funding, Speakers Bureau; Ambit: Research Funding; Biomed Valley Discoveries: Research Funding; Kite/Gilead: Honoraria, Research Funding, Speakers Bureau; Kaiser Permanente: Consultancy; MedImmune: Research Funding; Mateon: Research Funding; Cyclacel: Research Funding; PrECOG: Research Funding; Novartis: Consultancy, Research Funding; Onconova: Research Funding; Eli Lilly: Research Funding; Samus: Research Funding; Takeda: Research Funding; Jazz: Consultancy, Honoraria, Research Funding, Speakers Bureau; Stemline Therapeutics, Inc.: Honoraria, Research Funding, Speakers Bureau; Pharma: Consultancy; Johnson &amp;amp; Johnson: Current equity holder in publicly-traded company; Sangamo: Research Funding; Sellas: Research Funding; Ono: Consultancy; Leukemia &amp;amp; Lymphoma Society: Research Funding; AstraZeneca: Consultancy; Ariad: Research Funding; Incyte: Consultancy; Regimmune: Research Funding; Ono-UK: Consultancy, Research Funding; Bio: Research Funding; Elevate: Research Funding; Amgen: Consultancy, Current equity holder in publicly-traded company, Honoraria, Research Funding, Speakers Bureau; Tolero: Research Funding; Agios: Consultancy, Research Funding, Speakers Bureau; Trovagene: Research Funding; Karyopharm: Research Funding; Incyte: Consultancy, Membership on an entity's Board of Directors or advisory committees, Research Funding, Speakers Bureau; Geron: Research Funding; Genentech-Roche: Research Funding; Gamida Cell Ltd.: Research Funding; FujiFilm: Research Funding; Forma: Research Funding; Delta-Fly: Research Funding; Deciphera: Research Funding; Daiichi-Sankyo: Research Funding; Constellation Pharmaceuticals: Research Funding; Celator: Research Funding; BMS/Celgene: Consultancy, Current equity holder in publicly-traded company, Research Funding, Speakers Bureau; Astellas: Honoraria, Research Funding, Speakers Bureau; Arog: Research Funding; Actuate: Research Funding; Actinium Pharmaceuticals, Inc: Research Funding; Abbvie: Research Funding; Bluebird Bio: Research Funding; Boehringer-Ingleheim: Research Funding; Cellerant: Research Funding; CTI Biopharma: Research Funding; Janssen: Research Funding; Kura Oncology: Research Funding; Pharmacyclics: Honoraria, Speakers Bureau; Millennium: Research Funding; National Marrow Donor Program: Research Funding; NIH: Research Funding; Onyx: Research Funding; Pharmamar: Research Funding; UC Davis: Research Funding; UCSD: Research Funding; Evidera: Consultancy; NCI: Consultancy; Novartis: Speakers Bureau. Esrick: bluebird bio: Consultancy. Williams: Beam Therapeutics: Membership on an entity's Board of Directors or advisory committees, Other: Scientific Advisory Board; Emerging Therapy Solutions: Membership on an entity's Board of Directors or advisory committees, Other: Chief Scientific Chair; Geneception: Membership on an entity's Board of Directors or advisory committees, Other: Scientific Advisory Board; BioMarin: Membership on an entity's Board of Directors or advisory committees, Other: Insertion Site Advisory Board; Alerion Biosciences: Other: Co-founder (now licensed to Avro Bio, potential for future milestones/royalties); Novartis: Membership on an entity's Board of Directors or advisory committees, Other: Steering Committee, Novartis ETB115E2201 (eltrombopag in aplastic anemia). Advisory fees donated to NAPAAC.; Orchard Therapeutics: Membership on an entity's Board of Directors or advisory committees, Other: Membership on a safety advisory board (SAB): SAB position ended 05/20/2021. Co-founder , Patents &amp;amp; Royalties: Potential for future royalty/milestone income, X-SCID. Provided GMP vector for clinical trial, Research Funding; bluebird bio: Membership on an entity's Board of Directors or advisory committees, Other: Insertion Site Analysis Advisory Board, Patents &amp;amp; Royalties: BCH licensed certain IP relevant to hemoglobinopathies to bluebird bio. The current license includes the potential for future royalty/milestone income. Bluebird has indicated they will not pursue this as a clinical program and BCH is negotiating return of, Research Funding. Gogoleva: Sangamo Therapeutics: Current Employment, Current equity holder in publicly-traded company. Rouy: Sangamo Therapeutics: Current holder of individual stocks in a privately-held company, Current holder of stock options in a privately-held company, Ended employment in the past 24 months. Cockroft: Sangamo Therapeutics: Current Employment, Current holder of individual stocks in a privately-held company, Current holder of stock options in a privately-held company. Vercellotti: Mitobridge, an Astellas Company: Consultancy, Research Funding; CSL Behring: Research Funding.&lt;/jats:p&gt;
               &lt;/jats:sec&gt;
               &lt;jats:sec&gt;
                  &lt;jats:title&gt;OffLabel Disclosure:&lt;/jats:title&gt;
                  &lt;jats:p&gt;busulfan: used for myeloablation prior to infusing the investigational autologous HSPC product (ST-400) plerixafor: used with G-CSF to enhance mobilization of autologous HSPC for collection via leukapheresis. Autologous HSPC then undergo ex vivo manufacturing to generate the investigational product (ST-400)&lt;/jats:p&gt;
               &lt;/jats:sec&gt;</t>
  </si>
  <si>
    <t>10.5016/ridh.v9i2.93</t>
  </si>
  <si>
    <t>&lt;jats:p&gt;Há uma sensação no ar de que vivemos tempos-limite. 
 A educação liberal, mesmo a de alto padrão científico e tecnológico, não eliminou a exclusão e a barbárie social, pelo contrário, alimentou-a. A voracidade insaciável da economia-política neoliberal corroeu a própria democracia social e mantém-nos presos à ciência moderna baconiana que vê a natureza como fonte de exploração a qualquer custo. Daí, a amplificação dos problemas sociais estruturais – o racismo, o patriarcalismo a pobreza, a fome, a violência – vem apontando, tempos-limite com a crise global sanitária, climática e hídrica.  
 Nesse quadro, impossível não lembrar Eric Hobsbawm em Era dos Extremos: o breve século XX, 1914-1991, lançado em 1994. Lá, o historiador britânico não só sintetizou as catástrofes e crises daquele período, como já visualizava, no final do século, uma porta aberta para um futuro incerto. O futuro continua incerto; porém, hoje temos uma consciência maior das causas históricas dos grandes problemas socioambientais e indícios mais claros que, no tempo presente, vivemos uma crise paradigmática do modelo de civilização estruturado na modernidade ocidental do norte-global e hoje mundialmente hegemônico.
 Aceitar a existência de crise paradigmática hoje é reconhecer a interdependência e a complexidade dos grandes problemas sociais, econômicos, políticos e culturais que ameaçam a humanidade. São de tal magnitude que não se pode resolvê-los separadamente e nem enfrentá-los com modelos culturais e tecnológicos da modernidade que criamos, pois são eles as causas desses grandes problemas.
 Mas nem todos pensam assim. Para os ‘obrigatoriamente’ otimistas, encastelados no poder econômico, supera-se a crise da modernidade com mais modernidade. Ou seja, a modernidade pode resolver os problemas gerados por ela, com mais ciência, tecnologia e desenvolvimento econômico. É preciso apenas um ajuste de rumo civilizatório. Se não puder salvar todos, salvam-se os que tiverem mérito para isso, mas tenta-se evitar o caos do ‘salve-se-quem-puder’.
 Há também os ‘profetas do passado’ que veem a solução da crise da civilização moderna, na negação da própria modernidade em nome de valores pré-modernos sejam epistemológicos, sejam morais. Eles tentam manter, a todo custo, seu status quo, defendendo estruturas sociais já ultrapassadas pela modernidade. Foi assim, por exemplo, a ação do Santo Ofício que, em pleno Renascimento, impunha a visão teocêntrica a ferro-e-fogo, para manter o poder medieval da Igreja, abalado pelos novos tempos.
 A história não para e, muito menos, volta ao passado; mesmo que a curto e médio prazo isso pareça possível. O tempo de crise paradigmática em que vivemos é para ser respeitado e refletido profundamente. É tempo de grandes aprendizagens, pois as mudanças históricas de paradigmas civilizatórios são muito abrangentes do que as ‘revoluções’ que ocorrem dentro de um mesmo paradigma, como apontou Thomas Kuhn em A estrutura das revoluções científicas (1962). Assim foram as transformações científicas no interior da modernidade, com Newton, Darwin e Freud.
 Enfim, nesses tempos-limite, há ainda aqueles ‘realisticamente esperançosos’. Para eles – que acreditamos e lutamos por um outro mundo possível – os desafios são enormes, pois nestes tempos perdem-se muitos referenciais. Não temos mais o GPS do curso da história como tinham Marx e Comte, no século XIX. O século XX abalou todas nossas belas certezas modernas. Sabemos hoje muito mais do que não podemos continuar valorizando, do que do perfil da sociedade que precisamos construir. 
 A transição entre o paradigma medieval e o paradigma moderno demorou pelo menos trezentos anos. Todavia, talvez agora não tenhamos mais tanto o tempo como os modernos tiveram para construir um novo olhar sobre o universo, a natureza e a sociedade em nome de uma nova retórica de poder. Trata-se agora de sobrevivência urgente da humanidade. É isso que crise sanitária, climática e hídrica está gritando em nossos surdos ouvidos. 
 Essa é a luz que brilha no final do túnel de transição paradigmática: a vida e vida digna para todos sem exceção. E mais, a crise do paradigma da modernidade também nos mostra que a vida humana é parte ínfima e profundamente dependente da vida planetária. E depois que ela tiver passado, nada terá acontecido, já disse Nietzsche lá no século XIX.  
 Viver em tempo de transição paradigmática, acreditando na luta por uma outra sociedade, exige colocar, como primeiro valor, o direito humano à vida e essa, em equilíbrio com a vida planetária. A partir dessa certeza pode-se reconfigurar os valores da educação em direitos humanos. Assim, educar as novas gerações, cuja responsabilidade é construir a ponte para uma nova sociedade, exige cultivar certos valores, hoje fundamentais.
 Um deles é a postura diante daquilo que chamamos de ‘verdade’. Aceitar a verdade científica moderna não mais como absoluta, não é negá-la ou falseá-la, mas colocá-la em diálogo com outros saberes para ampliar percepção da diversidade e complexidade da realidade socioambiental. Educar hoje exige a humildade da escuta e do aprender juntos na vivência e na reflexão, em lugar do discurso prepotente de quem crê ter a verdade única e absoluta, seja ela científica, política, ou religiosa. Estar aberto às novas possibilidades e aos novos olhares e nossa atual condição humana.
 Há outras exigências nesses tempos-limite como: – ressignificar os conceitos de desenvolvimento, de consumo do necessário e do bem viver para todos, que na modernidade visavam especialmente o lucro, o supérfluo e o individualismo; –  estimular a cidadania autônoma, ativa, crítica e coletiva; –  desenvolver a sensibilidade e a empatia para a convivência nas diferenças sem os padrões culturais cristalizados; e  – cultivar a indignação e a luta individual e coletiva contra as desigualdades sociais e todo tipo de opressão e autoritarismo.
 Numa palavra, a moralidade humana tem como princípio ético a inclusão e não a seleção natural, que na modernidade ideologicamente chama-se de meritocracia. No novo paradigma a humanidade será para todos ou não será humanidade. 
* * *
Trilhando esse caminho a Revista Interdisciplinar de Direitos Humanos apresenta nesta edição o dossiê Educação em direitos humanos: resistência e transformação. Na seção de ‘artigos diversos’, mantemos o foco editorial de ‘interdisciplinaridade’, trazendo contribuições para pensar os direitos humanos como tema transversal em diferentes áreas do conhecimento acadêmico. 
 Filosofia. O texto de Ana Santana e Antônio Basílio traz “as reflexões político-filosóficas de Hannah Arendt, volvendo o olhar para a sua teia conceitual sobre a educação e os direitos humanos, a fim de detectar os fios constituintes, capazes de fundamentar os pilares universais”.
Direito. No ensaio A escravidão contemporânea no Brasil e a perda da propriedade privada, Pedro Greco e Ricardo Resende debruçam-se “sobre uma discussão do papel da legislação na erradicação da escravidão contemporânea”. O estudo nos mostra o “efeito emancipatório dos direitos hu¬manos na luta antiescravista com o objetivo de melhor vislumbrarmos alguns dos motivos pelo qual pouco prospera a pauta que prevê a perda da pro¬priedade privada em casos de escravidão contemporânea no Brasil”.
 Educação. André Luiz, em Educação em direitos humanos: uma pauta premente na docência e na gestão escolar, relata e analisa uma experiência de formação continuada de docentes e coordenadores pedagógicos, suscitando “novos saberes na prática educativa em direitos humanos”.
 Educomunicação. Educação em direitos humanos e letramento digital e o artigo de Mara Juliane e Matheus. Nele os autores apresentam as ações e análise dos resultados de uma proposta pedagógica desenvolvida “com discentes das três turmas de primeiros anos do ensino técnico integrado ao ensino médio”.
 Comunicação: Nesta área temos duas contribuições. Na primeira, as autoras Fabiana de Melo e Maria Dalvi retomam a polêmica ocorrida nas redes sociais, em 2017, “atinente ao recolhimento, pelo Ministério da Educação do Brasil, em 2017, do livro Enquanto o sono não vem”. No artigo Polêmicas nas redes sociais, censura literária e silenciamentos sobre abuso sexual: um debate sobre direitos das crianças, “[...] a análise centra-se na questão dos direitos da infância, à luz do tensiona¬mento sobre a responsabilidade do Estado e da educação pública”. 
 Na segunda contribuição, João da Cruz apresenta um ensaio criativo e crítico para demonstrar, com detalhes, A pedagogia conservadora do cinema de animação. O filme Os Incríveis (Pixar, 2004) é o objeto do estudo.
 Engenharia. Com A inserção dos direitos humanos nos cursos de engenharia, os autores Marcos Silvério, Gustavo dos Santos e Márcia de Oliveira fecham esta edição da RIDH, comentando, com dados quantitativos, uma experiência positiva de educação em direitos humanos pelas disciplinas ‘Tecnologia Social’ e ‘Eco¬nomia Solidária’ de um curso de Engenharia.
Boa leitura!
Prof. Clodoaldo Meneguello Cardoso
Dezembro de 2021. &lt;/jats:p&gt;</t>
  </si>
  <si>
    <t>10.1200/op.2024.20.10_suppl.130</t>
  </si>
  <si>
    <t>&lt;jats:p&gt;
            &lt;jats:bold&gt;130&lt;/jats:bold&gt;
          &lt;/jats:p&gt;
          &lt;jats:p&gt;
            &lt;jats:bold&gt;Background:&lt;/jats:bold&gt;
            During 2020, the first year of the COVID-19 pandemic, cancer diagnoses decreased, especially early-stage disease, with largest decreases in medically underserved populations. It is unknown whether this pattern continued during 2021, the second year of the COVID-19 pandemic. With newly released cancer surveillance data, this study examined nationwide changes in adult cancer diagnoses and stage distribution from 2019 to 2021 in the US.
            &lt;jats:bold&gt;Methods:&lt;/jats:bold&gt;
            Adults aged ≥18 years who were newly diagnosed with first primary malignant cancers between 2019 and 2021 from 50 US states and the District of Colombia were identified from the National Cancer Database. We calculated monthly cases, stage distribution, and adjusted odds ratios (aOR) of stage I vs. stage II–IV cancer and stage IV vs. stage I–III cancer diagnoses in 2021 compared with 2019, controlling for sociodemographic and clinical factors and stratified by cancer type.
            &lt;jats:bold&gt;Results:&lt;/jats:bold&gt;
            We identified 864,430 individuals diagnosed in 2019, 780,478 diagnosed in 2020, and 819,791 diagnosed in 2021. The proportion of diagnoses at stage I decreased from 39.6% in 2019 to 31.1% in April 2020, and were 39.2% overall in 2021. The decrease in stage I diagnoses was mirrored by an increase in stage IV diagnoses. The pattern was most prominent for female breast, lung, colorectal, and prostate cancers, and melanoma. Overall, compared to 2019, we found a 5.98% decrease in stage I diagnoses and a 4.55% decrease in stage IV diagnoses in 2021 (Table). Lower odds of diagnosis at stage I were most prominent among individuals who were male, aged 18-44, Hispanic, from Mid-Atlantic region, and for the cancers of melanoma, non-Hodgkin lymphoma, prostate, esophagus, and cervical cancer. Higher odds of diagnosis at stage IV in 2021 vs. 2019 were most prominent among individuals who were Hispanic, diagnosed with cancers of prostate, thyroid, liver, esophagus and cervix.
            &lt;jats:bold&gt;Conclusions:&lt;/jats:bold&gt;
            Decreases in cancer diagnoses and proportion of early-stage diagnoses continued in 2021 in the US. The proportion of late-stage diagnoses were lower in 2021 than 2020 but have not returned to pre-pandemic levels.
            &lt;jats:table-wrap orientation="portrait" position="anchor"&gt;
              &lt;jats:caption content-type="mtgabstract-table-title"&gt;
                &lt;jats:p&gt;Changes in stage I distribution among major cancer sites 2021 vs. 2019.&lt;/jats:p&gt;
              &lt;/jats:caption&gt;
              &lt;jats:table content-type="mtgabstract"&gt;
                &lt;jats:thead content-type="mtgabstract"&gt;
                  &lt;jats:tr&gt;
                    &lt;jats:th colspan="1" content-type="border-bottom align-left" rowspan="1"/&gt;
                    &lt;jats:th colspan="1" rowspan="1"&gt;2019&lt;/jats:th&gt;
                    &lt;jats:th colspan="1" rowspan="1"&gt;2021&lt;/jats:th&gt;
                    &lt;jats:th colspan="2" content-type="border-bottom" rowspan="1"&gt;2021 vs. 2019&lt;/jats:th&gt;
                  &lt;/jats:tr&gt;
                  &lt;jats:tr&gt;
                    &lt;jats:th colspan="1" content-type="row-heading" rowspan="1"/&gt;
                    &lt;jats:th colspan="1" rowspan="1"&gt;
                      &lt;jats:bold&gt;Cases&lt;/jats:bold&gt;
                    &lt;/jats:th&gt;
                    &lt;jats:th colspan="1" rowspan="1"&gt;
                      &lt;jats:bold&gt;Cases&lt;/jats:bold&gt;
                    &lt;/jats:th&gt;
                    &lt;jats:th colspan="1" rowspan="1"&gt;
                      &lt;jats:bold&gt;Percent Change&lt;/jats:bold&gt;
                    &lt;/jats:th&gt;
                    &lt;jats:th colspan="1" rowspan="1"&gt;
                      &lt;jats:bold&gt;AdjustedOR* (95%CI)&lt;/jats:bold&gt;
                    &lt;/jats:th&gt;
                  &lt;/jats:tr&gt;
                &lt;/jats:thead&gt;
                &lt;jats:tbody&gt;
                  &lt;jats:tr&gt;
                    &lt;jats:td colspan="1" content-type="row-heading" rowspan="1"&gt;All Cancers&lt;/jats:td&gt;
                    &lt;jats:td colspan="1" rowspan="1"&gt;341971&lt;/jats:td&gt;
                    &lt;jats:td colspan="1" rowspan="1"&gt;321514&lt;/jats:td&gt;
                    &lt;jats:td colspan="1" rowspan="1"&gt;-5.98%&lt;/jats:td&gt;
                    &lt;jats:td colspan="1" rowspan="1"&gt;0.978 (0.972-0.985)&lt;/jats:td&gt;
                  &lt;/jats:tr&gt;
                  &lt;jats:tr&gt;
                    &lt;jats:td colspan="1" content-type="row-heading" rowspan="1"&gt;Female breast&lt;/jats:td&gt;
                    &lt;jats:td colspan="1" rowspan="1"&gt;116828&lt;/jats:td&gt;
                    &lt;jats:td colspan="1" rowspan="1"&gt;116780&lt;/jats:td&gt;
                    &lt;jats:td colspan="1" rowspan="1"&gt;-0.04%&lt;/jats:td&gt;
                    &lt;jats:td colspan="1" rowspan="1"&gt;1.023 (1.007-1.038)&lt;/jats:td&gt;
                  &lt;/jats:tr&gt;
                  &lt;jats:tr&gt;
                    &lt;jats:td colspan="1" content-type="row-heading" rowspan="1"&gt;Prostate&lt;/jats:td&gt;
                    &lt;jats:td colspan="1" rowspan="1"&gt;26323&lt;/jats:td&gt;
                    &lt;jats:td colspan="1" rowspan="1"&gt;21012&lt;/jats:td&gt;
                    &lt;jats:td colspan="1" rowspan="1"&gt;-20.18%&lt;/jats:td&gt;
                    &lt;jats:td colspan="1" rowspan="1"&gt;0.826 (0.809-0.843)&lt;/jats:td&gt;
                  &lt;/jats:tr&gt;
                  &lt;jats:tr&gt;
                    &lt;jats:td colspan="1" content-type="row-heading" rowspan="1"&gt;Lung cancer and bronchus&lt;/jats:td&gt;
                    &lt;jats:td colspan="1" rowspan="1"&gt;28258&lt;/jats:td&gt;
                    &lt;jats:td colspan="1" rowspan="1"&gt;25966&lt;/jats:td&gt;
                    &lt;jats:td colspan="1" rowspan="1"&gt;-8.11%&lt;/jats:td&gt;
                    &lt;jats:td colspan="1" rowspan="1"&gt;1.033 (1.012-1.053)&lt;/jats:td&gt;
                  &lt;/jats:tr&gt;
                  &lt;jats:tr&gt;
                    &lt;jats:td colspan="1" content-type="row-heading" rowspan="1"&gt;Colon and rectum&lt;/jats:td&gt;
                    &lt;jats:td colspan="1" rowspan="1"&gt;14258&lt;/jats:td&gt;
                    &lt;jats:td colspan="1" rowspan="1"&gt;12992&lt;/jats:td&gt;
                    &lt;jats:td colspan="1" rowspan="1"&gt;-8.88%&lt;/jats:td&gt;
                    &lt;jats:td colspan="1" rowspan="1"&gt;0.942 (0.918-0.968)&lt;/jats:td&gt;
                  &lt;/jats:tr&gt;
                  &lt;jats:tr&gt;
                    &lt;jats:td colspan="1" content-type="row-heading" rowspan="1"&gt;Melanoma&lt;/jats:td&gt;
                    &lt;jats:td colspan="1" rowspan="1"&gt;21005&lt;/jats:td&gt;
                    &lt;jats:td colspan="1" rowspan="1"&gt;19542&lt;/jats:td&gt;
                    &lt;jats:td colspan="1" rowspan="1"&gt;-6.97%&lt;/jats:td&gt;
                    &lt;jats:td colspan="1" rowspan="1"&gt;0.936 (0.907-0.966)&lt;/jats:td&gt;
                  &lt;/jats:tr&gt;
                &lt;/jats:tbody&gt;
              &lt;/jats:table&gt;
              &lt;jats:table-wrap-foot&gt;
                &lt;jats:fn&gt;
                  &lt;jats:p content-type="mtgabstract-table-fn"&gt;Data source: National Cancer Database 2019-2021.&lt;/jats:p&gt;
                &lt;/jats:fn&gt;
                &lt;jats:fn&gt;
                  &lt;jats:p content-type="mtgabstract-table-fn"&gt;*Stage I vs. II-IV, models adjusted for age group, sex, race/ethnicity, zip-code level social deprivation index, comorbidity score, state-level COVID-19 age adjusted mortality rate, MSA, state, insurance status.&lt;/jats:p&gt;
                &lt;/jats:fn&gt;
              &lt;/jats:table-wrap-foot&gt;
            &lt;/jats:table-wrap&gt;
          &lt;/jats:p&gt;</t>
  </si>
  <si>
    <t>10.23951/1609-624x-2022-5-7-17</t>
  </si>
  <si>
    <t>&lt;jats:p&gt;Введение. Разница между вузовским образованием и школьным, заключающаяся в ином содержании и условиях организации учебно-воспитательного процесса, в возникновении новых социальных отношений, зачастую становится причиной того, что студент-первокурсник не готов к новым условиям обучения в вузе. Наряду с психофизиологической адаптацией, исследователи выделяют академическую (учебную) адаптацию студентов, которая может стать причиной низкой успеваемости по различным дисциплинам вуза. При этом отметим, что первоначальная (базовая) подготовка студентов практически не принимается во внимание в начале обучения в вузе: вузовская программа не рассчитана на очень слабых студентов. Как следствие, студенты первого курса приспосабливаются к особенностям учебной деятельности (к новому содержанию, методам и средствам), но обучающиеся также влияют на образовательную среду вуза: преподавателю приходится искать новые методические подходы и более совершенные методы обучения. Как следствие, в вузах возникло адаптационное обучение, которое призвано ликвидировать главную причину слабой успеваемости студентов из-за низкой первоначальной подготовки абитуриента. Успешная интеграция в базовую программу обучения и успешное овладение учебной программой вузовской дисциплины в дальнейшем – главный критерий эффективности адаптационного обучения.Цель – выявить и описать природу феномена «адаптационное обучение», устранить двусмысленность в обосновании данного термина, представить его надлежащее научно обоснованное определение.Материал и методы. Применены общенаучные когнитивные инструменты: метод контент-анализа определений, существующих в педагогической и методологической литературе; анализ и сравнение, классификация, формально-логический метод определения понятия.Результаты и обсуждение. Представлено краткое описание развития дидактического подхода к понятию «адаптация». Сделан анализ имеющихся в научной литературе определений адаптационного обучения (адаптационная подготовка, адаптационный практикум, адаптационный курс, адаптационная работа) и понятий смежных, но не тождественных с ним (корректирующее обучение, корректировочный курс, курс выравнивания). Определения классифицированы в сводной таблице. Проведен краткий анализ значимых определений и выделены сущностные характеристики, признаки изучаемого понятия: «успешное освоение учебной программы», «достаточный уровень знаний», «восстановление», «дополнение», «совершенствование знаний и умений». Анализ смежных понятий позволил определить значимость «первоначальной подготовки» и «краткосрочности» исследуемого вида обучения. Проведенный контент-анализ выявил, с одной стороны, разнообразие подходов исследователей к вопросам адаптационной подготовки в вузе, а с другой – подчеркивает неопределенность и несогласованность в исследованиях, посвященных выявлению сущности феномена. Большое количество предлагаемых определений понятия говорит о недостаточной разработанности методологического поля. В связи с этим выявлена потребность в определении, которое будет адекватно отражать сущностные характеристики адаптационного обучения. Сконструированное в результате формально-логического определения выглядит следующим образом: адаптационное обучение – это подготовка специалистов, имеющих первоначально разный уровень сформированности компетенций (от нулевого до низкого) с целью достижения в определенный период времени требуемого базового уровня (минимально необходимого) для дальнейшего обучения.Заключение. Результаты исследования вносят вклад в развитие феномена «адаптационное обучение», в частности в решение проблемы вариативности в номинации данной педагогической области. Выявление дифференцирующих признаков сделало возможным отделить понятие «адаптационное обучение» от сходных в научно-педагогической и методической литературе понятий. Сконструированное определение «адаптационного обучения» может стать основой для определения содержания и разработки программ адаптационных курсов по разным дисциплинам, изучаемых в вузе.&lt;/jats:p&gt;
                                                                                            &lt;jats:p&gt;Introduction. The difference between higher education and school education, which consists in a different content and conditions of the organization of the educational process, in the emergence of new social relations, often becomes the reason that the first-year student is not ready for the new conditions of study at the university. Along with psychological and physiological adaptation, researchers single out the academic (educational) adaptation of students, which can cause poor academic performance in various university disciplines. At the same time, we note that the initial (basic) training of students is practically not taken into account at the beginning of their studies at the university: the university program is not designed for very weak students. As a result, first-year students “adapt” to the peculiarities of educational activities (to new content, methods and means), but students also influence the educational environment of the university: the teacher has to look for new methodological approaches and more advanced teaching methods. As a result, adaptive training has emerged in universities, which is designed to eliminate the main reason for the poor academic performance of students due to the low initial preparation of the applicant. Successful integration into the core curriculum and successful mastery of the curriculum of the university discipline in the future is the main criterion for the effectiveness of adaptive learning.The purpose of the article is to identify and describe the nature of the phenomenon of “adaptation learning”, to eliminate ambiguity of this term, and to present its proper scientifically grounded definition.The materials and methods of the study are the method of content analysis of definitions, analysis and comparison, classification, formal-logical method of concept definition.Results and discussion. A brief description of the development of the didactic approach to the concept of “adaptation” is presented. An analysis of the definitions of adaptation education available in the literature (adaptation training, adaptation workshop, adaptation course, adaptation work) and concepts related, but not identical to it (corrective training, corrective course, alignment course) are made. The conducted content analysis revealed the diversity of researchers’ approaches to the issue and emphasizes the uncertainty and inconsistency. In this regard, the need for a definition that will adequately reflect the essential characteristics of the issue has been identified. The result of formal-logical definition: adaptation learning is the training of specialists having initially different level of competence formation (from zero to low), in order to achieve in a certain period of time the required basic level (minimum necessary) for further training.Thus, basically, it can be concluded that the study contributes to the development of the phenomenon. The identification of differentiating features made it possible to separate the concept of “adaptation learning” from similar concepts. The constructed definition can become the basis for determining the content and developing programs of adaptation courses in different disciplines studied in universities.&lt;/jats:p&gt;</t>
  </si>
  <si>
    <t>10.3897/rio.8.e94931</t>
  </si>
  <si>
    <t>&lt;jats:p&gt;Data's role in a variety of technical and research areas is undeniably growing. This can be seen, for example, in the increased investments in the development of data-intensive analytical methods such as artificial intelligence (Zhang 2022), as well as in the rising rate of data generation which is expected to continue into the near future (Rydning and Shirer 2021). Academic research is one of the areas, where data is the lifeblood of generating hypotheses, creating new knowledge, and reporting results. Unlike proprietary industry data, academic research data is often subjected to stricter requirements regarding transparency, and accessibility. This is in part due to the public funding which many research institutions receive. One way to fulfil these requirements is by observing the FAIR (Findability, Accessibility, Interoperability, Reusability) principles for scientific data (Wilkinson et al. 2016). These introduce a variety of benefits, such as increased research reproducibility, a more transparent use of public funding, and environmental sustainability. A way of implementing the FAIR principles in practice is with the help of FAIR Digital Objects (FDOs) (European Commission: Directorate-General for Research and Innovation 2018). A FDO consists of data, an accompanying Persistent Identifier (PID), and rich metadata which describes the context of the data. Additionally, the data format contained in an FDO should be widely used, and ideally open. Our presentation is focused on the third of FDO's components mentioned previously – metadata. It outlines the concept for a framework which enables the collaborative definition of metadata fields which can be used to annotate FDO-encapsulated data for a given domain of research.&lt;/jats:p&gt;
          &lt;jats:p&gt;The first component of the presented framework is a controlled vocabulary of the domain related to the data which needs to be annotated. A controlled vocabulary is a collective that denotes a controlled list of &lt;jats:italic&gt;terms&lt;/jats:italic&gt;, their &lt;jats:italic&gt;definitions&lt;/jats:italic&gt;, and the &lt;jats:italic&gt;relations&lt;/jats:italic&gt; between them. In the framework presented in this contribution, the &lt;jats:italic&gt;terms&lt;/jats:italic&gt; correspond to the metadata fields used in the data annotation process. Formally, the type of controlled vocabularies used in the framework is a thesaurus (National Information Standards Organization 2010). Thesauri consist not only of the elements mentioned previously, but also allow for the inclusion of synonyms for every defined term. This eliminates the ambiguity which can occur when using terms with similar definitions. Additionally, thesauri specify simple hierarchical relations between the terms in the vocabulary, which can provide an explicit structure to the set of defined metadata fields. The most important feature of our framework, however, is that the controlled vocabularies can be developed in a collaborative fashion by the domain experts of a given research field. Specifically, people are able to propose term definitions and edits, as well as cast votes on the appropriateness of terms which have already been proposed.&lt;/jats:p&gt;
          &lt;jats:p&gt;Despite their advantages, one limit of thesauri is their lacking capability of relating metadata fields to each other in a more semantically rich fashion. This motivated the use of the second component of the framework, namely ontologies. An ontology can be defined as “a specification of a conceptualization” (Gruber 1995). More precisely, it is a data structure which represents entities in a given domain, as well as various relations between them. After a set of metadata fields has been defined within a controlled vocabulary, that vocabulary can be transformed into an ontology which contains additional relations between the fields. These can extend beyond the hierarchical structure of a thesaurus and can contain domain-specific information about the metadata fields. For example, one such relation can denote the data type of the value which a given field must take. Furthermore, ontologies can be used to link not only metadata, but also data, as well as individual FDOs themselves. This can contribute to the Reusability aspect of FAIR Data Objects.  For example, an FDO generated by a research group in a given domain can be linked to an existing domain ontology. Afterwards, the FDO can be reused more easily by researchers from the same scientific field, because the ontology will have already specified the FDO's relation to the subject area. Additionally, cross-domain ontologies can be combined with each other which can increase the reusability of FDOs beyond their domain boundaries.&lt;/jats:p&gt;
          &lt;jats:p&gt;The components described above are being implemented in the form of multiple software tools related to the framework. The first one, a controlled vocabulary editor written as a Python-based web application called VocPopuli, is the entry point for domain experts who want to develop a metadata vocabulary for their field of research or lab. The software, whose first version is already being tested internally, enables the collaborative definition, and editing of metadata terms. Additionally, it annotates each term, as well as the entire vocabulary, with the help of the PROV Data Model (PROV-DM) (Moreau and Missier 2013) - a schema used to describe the provenance of a given object. Finally, it assigns a PID to each term in the vocabulary, as well as the vocabulary itself. It is worth noting that the generated vocabularies themselves can be seen through the prism of FDOs: they contain data (the defined terms) which is annotated with metadata (e.g., the terms' authors) and provided with a PID.&lt;/jats:p&gt;
          &lt;jats:p&gt;The second software solution will facilitate the transformation of the vocabularies developed with the help of VocPopuli into ontologies. It will handle two distinct use cases – the from-scratch conversion of vocabularies into ontologies, and the augmentation of existing ontologies with the terms from a given thesaurus. As is the case with VocPopuli, the second tool is being developed in the Python programming language. The software solutions will be finally tested by two semi-overlapping groups of users from materials science. On the one hand, domain experts will input, edit, and discuss vocabulary terms in their area of interest, and thus create vocabularies. On the other hand, vocabulary and ontology administrators will oversee the vocabulary creation, and ontology transformation processes in a semi-automatic fashion.&lt;/jats:p&gt;
          &lt;jats:p&gt;After development is complete, the tools will be used in the creation of controlled vocabularies for various experimental procedures, as well as their transformation and/or integration into semantically richer ontologies. This will augment our already published work in the area (Garabedian et al. 2022) and will thereby test the integration of the new framework with already existing resources. The new vocabularies will describe processes in multiple domains, such as materials science, tribology, and metalworking. Afterwards, the developed thesauri will be used in the creation of metadata templates which can be used to annotate experimental data generated in the procedures mentioned above.&lt;/jats:p&gt;</t>
  </si>
  <si>
    <t>10.1097/corr.0000000000002578</t>
  </si>
  <si>
    <t>&lt;jats:title&gt;Abstract&lt;/jats:title&gt;
          &lt;jats:sec&gt;
            &lt;jats:title&gt;Background&lt;/jats:title&gt;
            &lt;jats:p&gt;Ensuring the patency of repaired vessels is pivotal in improving the success rate of digit replantation. There is no consensus on how to best approach postoperative treatment for digit replantation. The influence of postoperative treatment on the risk of failure of revascularization or replantation remains unclear.&lt;/jats:p&gt;
          &lt;/jats:sec&gt;
          &lt;jats:sec&gt;
            &lt;jats:title&gt;Questions/purposes&lt;/jats:title&gt;
            &lt;jats:p&gt;(1) Is there an increased risk of postoperative infection with early discontinuation of antibiotic prophylaxis? (2) How are anxiety and depression affected by a treatment protocol consisting of prolonged antibiotic prophylaxis and administration of antithrombotic and antispasmodic drugs and by the failure of a revascularization or replantation procedure? (3) Are there differences in the risk of revascularization or replantation failure based on the number of anastomosed arteries and veins? (4) What factors are associated with failure of revascularization or replantation?&lt;/jats:p&gt;
          &lt;/jats:sec&gt;
          &lt;jats:sec&gt;
            &lt;jats:title&gt;Methods&lt;/jats:title&gt;
            &lt;jats:p&gt;This retrospective study was conducted between July 1, 2018, and March 31, 2022. Initially, 1045 patients were identified. One hundred two patients chose revision of amputation. In all, 556 were excluded because of contraindications. We included all patients in whom the anatomic structures of the amputated part of the digit were well preserved, and those with an ischemia time for the amputated part that did not exceed 6 hours. Patients in good health without any other serious associated injuries or systemic diseases and those without a history of smoking were eligible for inclusion. The patients underwent procedures that were performed or supervised by one of four study surgeons. Patients were treated with antibiotic prophylaxis (1 week); patients treated with antithrombotic and antispasmodic drugs were categorized into the prolonged antibiotic prophylaxis group. The remaining patients treated with antibiotic prophylaxis for less than 48 hours and no antithrombotic and no antispasmodic drugs were categorized into the nonprolonged antibiotic prophylaxis group. Postoperative follow-up was for a minimum of 1 month. Based on the inclusion criteria, 387 participants with 465 digits were selected for an analysis of postoperative infection. Twenty-five participants with a postoperative infection (six digits) and other complications (19 digits) were excluded from the next stage of the study, in which we assessed factors associated with the risk of failure of revascularization or replantation. A total of 362 participants with 440 digits were examined, including the postoperative survival rate, variation in Hospital Anxiety and Depression Scale scores, the association between the survival rate and Hospital Anxiety and Depression Scale scores, and the survival rate based on the number of anastomosed vessels. Postoperative infection was defined as swelling, erythema, pain, purulent discharge, or a positive bacterial culture result. Patients were followed for 1 month. The differences in anxiety and depression scores between the two treatment groups and the differences in anxiety and depression scores based on failure of revascularization or replantation were determined. The difference in the risk of revascularization or replantation failure based on the number of anastomosed arteries and veins was assessed. Except for statistically significant variables (injury type and procedure), we thought that the number of arteries, number of veins, Tamai level, treatment protocol, and surgeons would be important. A multivariable logistic regression analysis was used to perform an adjusted analysis of risk factors such as postoperative protocol, injury type, procedure, number of arteries, number of veins, Tamai level, and surgeon.&lt;/jats:p&gt;
          &lt;/jats:sec&gt;
          &lt;jats:sec&gt;
            &lt;jats:title&gt;Results&lt;/jats:title&gt;
            &lt;jats:p&gt;Postoperative infection did not appear to increase without prolonged use of antibiotic prophylaxis beyond 48 hours (1% [3 of 327] versus 2% [3 of 138]; OR 2.4 [95% confidence interval (CI) 0.5 to 12.0]; p = 0.37). Intervention with antithrombotic and antispasmodic therapy increased the Hospital Anxiety and Depression Scale scores for anxiety (11.2 ± 3.0 versus 6.7 ± 2.9, mean difference 4.5 [95% CI 4.0 to 5.2]; p &amp;lt; 0.01) and depression (7.9 ± 3.2 versus 5.2 ± 2.7, mean difference 2.7 [95% CI 2.1 to 3.4]; p &amp;lt; 0.01). In the analysis based on the failure of revascularization or replantation, the Hospital Anxiety and Depression Scale scores for anxiety (11.4 ± 4.4 versus 9.7 ± 3.5, mean difference 1.7 [95% CI 0.6 to 2.8]; p &amp;lt; 0.01) and depression (8.5 ± 4.6 versus 7.0 ± 3.1, mean difference 1.5 [95% CI 0.5 to 2.5]; p &amp;lt; 0.01) were higher in the failed revascularization or replantation group than in the successful revascularization or replantation group. There was no increase in the artery-related risk of failure (one versus two anastomosed arteries: 91% versus 89%, OR 1.3 [95% CI 0.6 to 2.6]; p = 0.53). For patients with anastomosed veins, a similar outcome was observed for the two vein–related risk of failure (two versus one anastomosed vein: 90% versus 89%, OR 1.0 [95% CI 0.2 to 3.8]; p = 0.95) and three vein–related risk of failure (three versus one vein anastomosed: 96% versus 89%, OR 0.4 [95% CI 0.1 to 2.4]; p = 0.29). Factors associated with failure of revascularization or replantation included the mechanism of injury (crush: OR 4.2 [95% CI 1.6 to 11.2]; p &amp;lt; 0.01, avulsion: OR 10.2 [95% CI 3.4 to 30.7]; p &amp;lt; 0.01). Revascularization had a lower risk of failure than replantation (OR 0.4 [95% CI 0.2 to 1.0]; p = 0.04). Treatment with a protocol of prolonged antibiotics, antithrombotics, and antispasmodics was not associated with a lower risk of failure (OR 1.2 [95% CI 0.6 to 2.3]; p = 0.63).&lt;/jats:p&gt;
          &lt;/jats:sec&gt;
          &lt;jats:sec&gt;
            &lt;jats:title&gt;Conclusion&lt;/jats:title&gt;
            &lt;jats:p&gt;With proper wound debridement and patency of repaired vessels, prolonged use of antibiotic prophylaxis and regular antithrombotic and antispasmodic treatment may not be necessary for successful digit replantation. However, it may be associated with higher Hospital Anxiety and Depression Scale scores. Postoperative mental status is associated with digit survival. Well-repaired vessels, instead of the number of anastomosed vessels, could be critical to survival and decrease the influence of risk factors. Further research on consensus guidelines that compare postoperative treatment and the surgeon’s level of expertise after digit replantation should be conducted at multiple institutions.&lt;/jats:p&gt;
          &lt;/jats:sec&gt;
          &lt;jats:sec&gt;
            &lt;jats:title&gt;Level of Evidence&lt;/jats:title&gt;
            &lt;jats:p&gt;Level III, therapeutic study&lt;/jats:p&gt;
          &lt;/jats:sec&gt;</t>
  </si>
  <si>
    <t>10.1017/jfm.2022.818</t>
  </si>
  <si>
    <t>&lt;jats:p&gt;Shallow mixing layers (SMLs) behind a splitter plate were studied in a tilted rectangular open-channel flume for a range of flow depths and the initial shear parameter &lt;jats:inline-formula&gt;
	      &lt;jats:alternatives&gt;
		&lt;jats:inline-graphic xmlns:xlink="http://www.w3.org/1999/xlink" mime-subtype="png" xlink:href="S0022112022008187_inline1.png" /&gt;
		&lt;jats:tex-math&gt;${\lambda = (U_{2}-U_{1})/(U_{2}+U_{1})}$&lt;/jats:tex-math&gt;
	      &lt;/jats:alternatives&gt;
	    &lt;/jats:inline-formula&gt;, where &lt;jats:inline-formula&gt;
	      &lt;jats:alternatives&gt;
		&lt;jats:inline-graphic xmlns:xlink="http://www.w3.org/1999/xlink" mime-subtype="png" xlink:href="S0022112022008187_inline2.png" /&gt;
		&lt;jats:tex-math&gt;$U_1$&lt;/jats:tex-math&gt;
	      &lt;/jats:alternatives&gt;
	    &lt;/jats:inline-formula&gt; and &lt;jats:inline-formula&gt;
	      &lt;jats:alternatives&gt;
		&lt;jats:inline-graphic xmlns:xlink="http://www.w3.org/1999/xlink" mime-subtype="png" xlink:href="S0022112022008187_inline3.png" /&gt;
		&lt;jats:tex-math&gt;$U_2$&lt;/jats:tex-math&gt;
	      &lt;/jats:alternatives&gt;
	    &lt;/jats:inline-formula&gt; are streamwise velocities of the slow and fast streams, respectively. The main focus of the study is on (i) key parameters controlling the time-averaged SMLs; and (ii) the emergence and spatial development of Kelvin–Helmholtz coherent structures (KHCSs) and large- and very-large-scale motions (LSMs and VLSMs) and associated turbulence statistics. The time-averaged flow features of the SMLs are mostly controlled by bed-friction length scale &lt;jats:inline-formula&gt;
	      &lt;jats:alternatives&gt;
		&lt;jats:inline-graphic xmlns:xlink="http://www.w3.org/1999/xlink" mime-subtype="png" xlink:href="S0022112022008187_inline4.png" /&gt;
		&lt;jats:tex-math&gt;$h/c_f$&lt;/jats:tex-math&gt;
	      &lt;/jats:alternatives&gt;
	    &lt;/jats:inline-formula&gt; and shear parameter &lt;jats:inline-formula&gt;
	      &lt;jats:alternatives&gt;
		&lt;jats:inline-graphic xmlns:xlink="http://www.w3.org/1999/xlink" mime-subtype="png" xlink:href="S0022112022008187_inline5.png" /&gt;
		&lt;jats:tex-math&gt;$\lambda$&lt;/jats:tex-math&gt;
	      &lt;/jats:alternatives&gt;
	    &lt;/jats:inline-formula&gt; as well as by time-averaged spanwise velocities &lt;jats:inline-formula&gt;
	      &lt;jats:alternatives&gt;
		&lt;jats:inline-graphic xmlns:xlink="http://www.w3.org/1999/xlink" mime-subtype="png" xlink:href="S0022112022008187_inline6.png" /&gt;
		&lt;jats:tex-math&gt;$V$&lt;/jats:tex-math&gt;
	      &lt;/jats:alternatives&gt;
	    &lt;/jats:inline-formula&gt; and momentum fluxes &lt;jats:inline-formula&gt;
	      &lt;jats:alternatives&gt;
		&lt;jats:inline-graphic xmlns:xlink="http://www.w3.org/1999/xlink" mime-subtype="png" xlink:href="S0022112022008187_inline7.png" /&gt;
		&lt;jats:tex-math&gt;$UV$&lt;/jats:tex-math&gt;
	      &lt;/jats:alternatives&gt;
	    &lt;/jats:inline-formula&gt;, where &lt;jats:inline-formula&gt;
	      &lt;jats:alternatives&gt;
		&lt;jats:inline-graphic xmlns:xlink="http://www.w3.org/1999/xlink" mime-subtype="png" xlink:href="S0022112022008187_inline8.png" /&gt;
		&lt;jats:tex-math&gt;$h$&lt;/jats:tex-math&gt;
	      &lt;/jats:alternatives&gt;
	    &lt;/jats:inline-formula&gt; and &lt;jats:inline-formula&gt;
	      &lt;jats:alternatives&gt;
		&lt;jats:inline-graphic xmlns:xlink="http://www.w3.org/1999/xlink" mime-subtype="png" xlink:href="S0022112022008187_inline9.png" /&gt;
		&lt;jats:tex-math&gt;$c_f$&lt;/jats:tex-math&gt;
	      &lt;/jats:alternatives&gt;
	    &lt;/jats:inline-formula&gt; are flow depth and bed-friction coefficient, respectively. For all studied cases, the effect of shear layer turbulence on the SML growth is comparatively weak, as the fluxes &lt;jats:inline-formula&gt;
	      &lt;jats:alternatives&gt;
		&lt;jats:inline-graphic xmlns:xlink="http://www.w3.org/1999/xlink" mime-subtype="png" xlink:href="S0022112022008187_inline10.png" /&gt;
		&lt;jats:tex-math&gt;$UV$&lt;/jats:tex-math&gt;
	      &lt;/jats:alternatives&gt;
	    &lt;/jats:inline-formula&gt; dominate over the spanwise turbulent fluxes. Initially, the emergence of KHCSs and their length scales largely depend on &lt;jats:inline-formula&gt;
	      &lt;jats:alternatives&gt;
		&lt;jats:inline-graphic xmlns:xlink="http://www.w3.org/1999/xlink" mime-subtype="png" xlink:href="S0022112022008187_inline11.png" /&gt;
		&lt;jats:tex-math&gt;$\lambda$&lt;/jats:tex-math&gt;
	      &lt;/jats:alternatives&gt;
	    &lt;/jats:inline-formula&gt;. The KHCSs cannot form if &lt;jats:inline-formula&gt;
	      &lt;jats:alternatives&gt;
		&lt;jats:inline-graphic xmlns:xlink="http://www.w3.org/1999/xlink" mime-subtype="png" xlink:href="S0022112022008187_inline12.png" /&gt;
		&lt;jats:tex-math&gt;${\lambda \lessapprox 0.3}$&lt;/jats:tex-math&gt;
	      &lt;/jats:alternatives&gt;
	    &lt;/jats:inline-formula&gt; and the turbulence behind the splitter plate resembles that of free mixing layers. Further downstream, shear layer turbulence becomes dependent on the bed-friction number &lt;jats:inline-formula&gt;
	      &lt;jats:alternatives&gt;
		&lt;jats:inline-graphic xmlns:xlink="http://www.w3.org/1999/xlink" mime-subtype="png" xlink:href="S0022112022008187_inline13.png" /&gt;
		&lt;jats:tex-math&gt;$S = c_f \delta _v /(4 h \lambda )$&lt;/jats:tex-math&gt;
	      &lt;/jats:alternatives&gt;
	    &lt;/jats:inline-formula&gt;, where &lt;jats:inline-formula&gt;
	      &lt;jats:alternatives&gt;
		&lt;jats:inline-graphic xmlns:xlink="http://www.w3.org/1999/xlink" mime-subtype="png" xlink:href="S0022112022008187_inline14.png" /&gt;
		&lt;jats:tex-math&gt;$\delta _v$&lt;/jats:tex-math&gt;
	      &lt;/jats:alternatives&gt;
	    &lt;/jats:inline-formula&gt; is vorticity thickness. When &lt;jats:inline-formula&gt;
	      &lt;jats:alternatives&gt;
		&lt;jats:inline-graphic xmlns:xlink="http://www.w3.org/1999/xlink" mime-subtype="png" xlink:href="S0022112022008187_inline15.png" /&gt;
		&lt;jats:tex-math&gt;$S \gtrapprox 0.01$&lt;/jats:tex-math&gt;
	      &lt;/jats:alternatives&gt;
	    &lt;/jats:inline-formula&gt;, the KHCSs are longitudinally stretched and the scaled transverse turbulent fluxes decrease with increasing &lt;jats:inline-formula&gt;
	      &lt;jats:alternatives&gt;
		&lt;jats:inline-graphic xmlns:xlink="http://www.w3.org/1999/xlink" mime-subtype="png" xlink:href="S0022112022008187_inline16.png" /&gt;
		&lt;jats:tex-math&gt;$S$&lt;/jats:tex-math&gt;
	      &lt;/jats:alternatives&gt;
	    &lt;/jats:inline-formula&gt;. The presence and streamwise development of LSMs/VLSMs away from the splitter plate depends on the &lt;jats:inline-formula&gt;
	      &lt;jats:alternatives&gt;
		&lt;jats:inline-graphic xmlns:xlink="http://www.w3.org/1999/xlink" mime-subtype="png" xlink:href="S0022112022008187_inline17.png" /&gt;
		&lt;jats:tex-math&gt;$\lambda$&lt;/jats:tex-math&gt;
	      &lt;/jats:alternatives&gt;
	    &lt;/jats:inline-formula&gt;-value, particularly when &lt;jats:inline-formula&gt;
	      &lt;jats:alternatives&gt;
		&lt;jats:inline-graphic xmlns:xlink="http://www.w3.org/1999/xlink" mime-subtype="png" xlink:href="S0022112022008187_inline18.png" /&gt;
		&lt;jats:tex-math&gt;$\lambda &amp;gt; 0.3$&lt;/jats:tex-math&gt;
	      &lt;/jats:alternatives&gt;
	    &lt;/jats:inline-formula&gt;, resembling LSMs/VLSMs in conventional open-channel flows when &lt;jats:inline-formula&gt;
	      &lt;jats:alternatives&gt;
		&lt;jats:inline-graphic xmlns:xlink="http://www.w3.org/1999/xlink" mime-subtype="png" xlink:href="S0022112022008187_inline19.png" /&gt;
		&lt;jats:tex-math&gt;$\lambda$&lt;/jats:tex-math&gt;
	      &lt;/jats:alternatives&gt;
	    &lt;/jats:inline-formula&gt; is small.&lt;/jats:p&gt;</t>
  </si>
  <si>
    <t>10.1038/s41534-021-00416-z</t>
  </si>
  <si>
    <t>&lt;jats:title&gt;Abstract&lt;/jats:title&gt;&lt;jats:p&gt;The quantum simulation of quantum chemistry is a promising application of quantum computers. However, for &lt;jats:italic&gt;N&lt;/jats:italic&gt; molecular orbitals, the &lt;jats:inline-formula&gt;&lt;jats:alternatives&gt;&lt;jats:tex-math&gt;$${\mathcal{O}}({N}^{4})$$&lt;/jats:tex-math&gt;&lt;mml:math xmlns:mml="http://www.w3.org/1998/Math/MathML"&gt;
                  &lt;mml:mrow&gt;
                    &lt;mml:mi&gt;O&lt;/mml:mi&gt;
                    &lt;mml:mrow&gt;
                      &lt;mml:mo&gt;(&lt;/mml:mo&gt;
                      &lt;mml:mrow&gt;
                        &lt;mml:msup&gt;
                          &lt;mml:mrow&gt;
                            &lt;mml:mi&gt;N&lt;/mml:mi&gt;
                          &lt;/mml:mrow&gt;
                          &lt;mml:mrow&gt;
                            &lt;mml:mn&gt;4&lt;/mml:mn&gt;
                          &lt;/mml:mrow&gt;
                        &lt;/mml:msup&gt;
                      &lt;/mml:mrow&gt;
                      &lt;mml:mo&gt;)&lt;/mml:mo&gt;
                    &lt;/mml:mrow&gt;
                  &lt;/mml:mrow&gt;
                &lt;/mml:math&gt;&lt;/jats:alternatives&gt;&lt;/jats:inline-formula&gt; gate complexity of performing Hamiltonian and unitary Coupled Cluster Trotter steps makes simulation based on such primitives challenging. We substantially reduce the gate complexity of such primitives through a two-step low-rank factorization of the Hamiltonian and cluster operator, accompanied by truncation of small terms. Using truncations that incur errors below chemical accuracy allow one to perform Trotter steps of the arbitrary basis electronic structure Hamiltonian with &lt;jats:inline-formula&gt;&lt;jats:alternatives&gt;&lt;jats:tex-math&gt;$${\mathcal{O}}({N}^{3})$$&lt;/jats:tex-math&gt;&lt;mml:math xmlns:mml="http://www.w3.org/1998/Math/MathML"&gt;
                  &lt;mml:mrow&gt;
                    &lt;mml:mi&gt;O&lt;/mml:mi&gt;
                    &lt;mml:mrow&gt;
                      &lt;mml:mo&gt;(&lt;/mml:mo&gt;
                      &lt;mml:mrow&gt;
                        &lt;mml:msup&gt;
                          &lt;mml:mrow&gt;
                            &lt;mml:mi&gt;N&lt;/mml:mi&gt;
                          &lt;/mml:mrow&gt;
                          &lt;mml:mrow&gt;
                            &lt;mml:mn&gt;3&lt;/mml:mn&gt;
                          &lt;/mml:mrow&gt;
                        &lt;/mml:msup&gt;
                      &lt;/mml:mrow&gt;
                      &lt;mml:mo&gt;)&lt;/mml:mo&gt;
                    &lt;/mml:mrow&gt;
                  &lt;/mml:mrow&gt;
                &lt;/mml:math&gt;&lt;/jats:alternatives&gt;&lt;/jats:inline-formula&gt; gate complexity in small simulations, which reduces to &lt;jats:inline-formula&gt;&lt;jats:alternatives&gt;&lt;jats:tex-math&gt;$${\mathcal{O}}({N}^{2})$$&lt;/jats:tex-math&gt;&lt;mml:math xmlns:mml="http://www.w3.org/1998/Math/MathML"&gt;
                  &lt;mml:mrow&gt;
                    &lt;mml:mi&gt;O&lt;/mml:mi&gt;
                    &lt;mml:mrow&gt;
                      &lt;mml:mo&gt;(&lt;/mml:mo&gt;
                      &lt;mml:mrow&gt;
                        &lt;mml:msup&gt;
                          &lt;mml:mrow&gt;
                            &lt;mml:mi&gt;N&lt;/mml:mi&gt;
                          &lt;/mml:mrow&gt;
                          &lt;mml:mrow&gt;
                            &lt;mml:mn&gt;2&lt;/mml:mn&gt;
                          &lt;/mml:mrow&gt;
                        &lt;/mml:msup&gt;
                      &lt;/mml:mrow&gt;
                      &lt;mml:mo&gt;)&lt;/mml:mo&gt;
                    &lt;/mml:mrow&gt;
                  &lt;/mml:mrow&gt;
                &lt;/mml:math&gt;&lt;/jats:alternatives&gt;&lt;/jats:inline-formula&gt; gate complexity in the asymptotic regime; and unitary Coupled Cluster Trotter steps with &lt;jats:inline-formula&gt;&lt;jats:alternatives&gt;&lt;jats:tex-math&gt;$${\mathcal{O}}({N}^{3})$$&lt;/jats:tex-math&gt;&lt;mml:math xmlns:mml="http://www.w3.org/1998/Math/MathML"&gt;
                  &lt;mml:mrow&gt;
                    &lt;mml:mi&gt;O&lt;/mml:mi&gt;
                    &lt;mml:mrow&gt;
                      &lt;mml:mo&gt;(&lt;/mml:mo&gt;
                      &lt;mml:mrow&gt;
                        &lt;mml:msup&gt;
                          &lt;mml:mrow&gt;
                            &lt;mml:mi&gt;N&lt;/mml:mi&gt;
                          &lt;/mml:mrow&gt;
                          &lt;mml:mrow&gt;
                            &lt;mml:mn&gt;3&lt;/mml:mn&gt;
                          &lt;/mml:mrow&gt;
                        &lt;/mml:msup&gt;
                      &lt;/mml:mrow&gt;
                      &lt;mml:mo&gt;)&lt;/mml:mo&gt;
                    &lt;/mml:mrow&gt;
                  &lt;/mml:mrow&gt;
                &lt;/mml:math&gt;&lt;/jats:alternatives&gt;&lt;/jats:inline-formula&gt; gate complexity as a function of increasing basis size for a given molecule. In the case of the Hamiltonian Trotter step, these circuits have &lt;jats:inline-formula&gt;&lt;jats:alternatives&gt;&lt;jats:tex-math&gt;$${\mathcal{O}}({N}^{2})$$&lt;/jats:tex-math&gt;&lt;mml:math xmlns:mml="http://www.w3.org/1998/Math/MathML"&gt;
                  &lt;mml:mrow&gt;
                    &lt;mml:mi&gt;O&lt;/mml:mi&gt;
                    &lt;mml:mrow&gt;
                      &lt;mml:mo&gt;(&lt;/mml:mo&gt;
                      &lt;mml:mrow&gt;
                        &lt;mml:msup&gt;
                          &lt;mml:mrow&gt;
                            &lt;mml:mi&gt;N&lt;/mml:mi&gt;
                          &lt;/mml:mrow&gt;
                          &lt;mml:mrow&gt;
                            &lt;mml:mn&gt;2&lt;/mml:mn&gt;
                          &lt;/mml:mrow&gt;
                        &lt;/mml:msup&gt;
                      &lt;/mml:mrow&gt;
                      &lt;mml:mo&gt;)&lt;/mml:mo&gt;
                    &lt;/mml:mrow&gt;
                  &lt;/mml:mrow&gt;
                &lt;/mml:math&gt;&lt;/jats:alternatives&gt;&lt;/jats:inline-formula&gt; depth on a linearly connected array, an improvement over the &lt;jats:inline-formula&gt;&lt;jats:alternatives&gt;&lt;jats:tex-math&gt;$${\mathcal{O}}({N}^{3})$$&lt;/jats:tex-math&gt;&lt;mml:math xmlns:mml="http://www.w3.org/1998/Math/MathML"&gt;
                  &lt;mml:mrow&gt;
                    &lt;mml:mi&gt;O&lt;/mml:mi&gt;
                    &lt;mml:mrow&gt;
                      &lt;mml:mo&gt;(&lt;/mml:mo&gt;
                      &lt;mml:mrow&gt;
                        &lt;mml:msup&gt;
                          &lt;mml:mrow&gt;
                            &lt;mml:mi&gt;N&lt;/mml:mi&gt;
                          &lt;/mml:mrow&gt;
                          &lt;mml:mrow&gt;
                            &lt;mml:mn&gt;3&lt;/mml:mn&gt;
                          &lt;/mml:mrow&gt;
                        &lt;/mml:msup&gt;
                      &lt;/mml:mrow&gt;
                      &lt;mml:mo&gt;)&lt;/mml:mo&gt;
                    &lt;/mml:mrow&gt;
                  &lt;/mml:mrow&gt;
                &lt;/mml:math&gt;&lt;/jats:alternatives&gt;&lt;/jats:inline-formula&gt; scaling assuming no truncation. As a practical example, we show that a chemically accurate Hamiltonian Trotter step for a 50 qubit molecular simulation can be carried out in the molecular orbital basis with as few as 4000 layers of parallel nearest-neighbor two-qubit gates, consisting of fewer than 10&lt;jats:sup&gt;5&lt;/jats:sup&gt; non-Clifford rotations. We also apply our algorithm to iron–sulfur clusters relevant for elucidating the mode of action of metalloenzymes.&lt;/jats:p&gt;</t>
  </si>
  <si>
    <t>10.1182/blood-2021-146871</t>
  </si>
  <si>
    <t>&lt;jats:title&gt;Abstract&lt;/jats:title&gt;
               &lt;jats:p&gt;Diffuse large B cell lymphoma (DLBCL) is the most common lymphoid malignancy in adults. Both biologically and clinically, DLBCL represents a highly heterogeneous disease. DLBCL has been subdivided into germinal center B cell (GCB)-like and activated B cell (ABC)-like DLBCL, on the basis of gene expression profiling, which separates DLBCL according to the presumed cell of origin (COO). This COO-based classifier distinguishes sub-entities displaying distinct biological features, pathogenesis and clinical response to frontline therapy.&lt;/jats:p&gt;
               &lt;jats:p&gt;In addition to this classic transcriptome-based stratifier, recent genomic analyses of human DLBCL samples led to the discovery of partially overlapping genetically-defined DLBCL subsets. A study by Schmitz et al. employed a supervised clustering approach, allowing the classification of ~50% of the cases into four genetically-defined DLBCL subtypes, one of which is being characterized by co-occurring MYD88- and CD79B mutations as well as high expression of BCL2 (termed MCD). In a second approach by Chapuy et al., patient samples were clustered in an unsupervised manner. Also in this study, a cluster with recurrent mutations in MYD88 (specifically p.L265P) and CD79B, as well as gains of 18q (the location of BCL2) was identified (termed C5).&lt;/jats:p&gt;
               &lt;jats:p&gt;We previously reported the formation of B cell lymphoma in mice that were engineered to express Myd88 p.L252P in combination with overexpression of BCL2 (Myd88 p.L252P/wt;R26 LSL.BCL2/wt;Cd19 Cre/wt, abbr. MBC) in a B cell-specific manner. While the developing lesions display many features of human ABC DLBCL, their B220 -/CD138 + immunophenotype reflects plasmablastic characteristics. To refine this mouse model, we incorporated additional C5/MCD lesions by engineering a B cell-specific loss of Prmd1 or Spib overexpression generating Prdm1 fl/fl;Myd88 p.L252P/wt;R26 LSL.BCL2/wt;Cd19 Cre/wt (PPMBC) and Myd88 p.L252P/wt;R26 LSL.BCL2/LSL.Spib;Cd19 Cre/wt (SMBC) compound animals.&lt;/jats:p&gt;
               &lt;jats:p&gt;Both, the B cell-specific loss of Prdm1 and Spib overexpression on the MBC background resulted in a marked reduction of CD138 + cells in the spleens of 10 weeks old animals compared to control (Fig. 1A), accompanied by a decrease in serum immunoglobulins, indicative of a plasma cell differentiation block and in agreement with the reported function of PRMD1 and SPIB as transcription factors regulating plasma cell differentiation.&lt;/jats:p&gt;
               &lt;jats:p&gt;Both PPMBC and SMBC mice developed lymphoma significantly earlier than MBC animals. These tumors largely displayed a B220 +/CD138 - immunophenotype. As transcriptional profiling is the gold standard for differentiation between GCB and ABC DLBCL, we generated germinal center- and activated blood B cell gene sets from healthy donors. We then performed gene set enrichment analyses between SMBC/PPMBC tumors and either MBC or Kmt2d fl/fl;VavP-Bcl2;Cɣ1 Cre/wt (KBC) lymphomas, the latter being reminiscent of human GCB DLBCL. While both PPMBC and SMBC samples were enriched for GCB gene signatures when compared to MBC, they enriched for ABC gene sets in comparison to KBC, potentially suggesting a developmental stage between KBC and MBC lesions (Fig. 1B).&lt;/jats:p&gt;
               &lt;jats:p&gt;We next aimed to employ our PPMBC model of C5 DLBCL as a pre-clinical tool, in order to derive therapeutic approaches for this disease. In this regard, we note BCL2 has emerged as a potential therapeutic target in DLBCL. The BCL2 inhibitor venetoclax produces response rates of ~18% in relapsed/refractory DLBCL (Davids et al., 2017). Similarly, in a phase I/II clinical trial involving 80 patients with relapsed/refractory DLBCL, ibrutinib induced complete or partial remissions in 37% of ABC-DLBCL patients, but in only 5% GCB-DLBCL patients (Wilson et al., 2015). Building on these observations, we asked whether single agent or combined venetoclax and ibrutinib treatment might display pre-clinical activity in the PPMBC setting. Indeed, combination treatment with ibrutinib and venetoclax resulted in a significant survival benefit compared to single compound or untreated animals (Fig. 1C). Given this preclinical activity, we treated 6 relapsed/refractory (r/r) non-GCB DLBCL patients (determined by Hans algorithm) in an off-label setting and observed tumor shrinkage in 5 of 6 patients (Fig. 1D). Thus, our clinical data corroborate our preclinical observations and suggest that combined venetoclax and ibrutinib may display clinical activity in a subset of r/r non-GCB DLBCL.&lt;/jats:p&gt;
               &lt;jats:p&gt;Figure 1 Figure 1.&lt;/jats:p&gt;
               &lt;jats:p /&gt;
               &lt;jats:sec&gt;
                  &lt;jats:title&gt;Disclosures&lt;/jats:title&gt;
                  &lt;jats:p&gt;Hallek: Roche: Honoraria, Speakers Bureau; Gilead: Honoraria, Speakers Bureau; Mundipharma: Honoraria, Speakers Bureau; Janssen: Honoraria, Speakers Bureau; Celgene: Honoraria, Speakers Bureau; Pharmacyclics: Honoraria, Speakers Bureau. Calado: Myricx Pharma: Consultancy, Current holder of individual stocks in a privately-held company, Current holder of stock options in a privately-held company, Patents &amp;amp; Royalties: Cancer Treatments. WO patent WO 2020/128475 A1 (2020). Pasqualucci: Sanofi: Research Funding; Astra Zeneca: Research Funding. von Tresckow: Amgen: Consultancy, Honoraria; AbbVie: Other: congress and travel support; Pentixafarm: Consultancy, Honoraria; Pfizer: Consultancy, Honoraria; BMS-Celgene: Consultancy, Honoraria, Other: congress and travel support; MSD: Consultancy, Honoraria, Other: congress and travel support, Research Funding; Novartis: Consultancy, Honoraria, Other: congress and travel support, Research Funding; AstraZeneca: Honoraria, Other: congress and travel support; Kite-Gilead: Consultancy, Honoraria; Roche: Consultancy, Honoraria; Takeda: Consultancy, Honoraria, Other, Research Funding. Chapuy: Gilead: Honoraria; BMS: Honoraria; Regeneron: Consultancy; Gilead Sciences: Research Funding; Astra Zeneca: Honoraria. Reinhardt: CDL Therapeutics: Current holder of individual stocks in a privately-held company; Gilead: Research Funding; Merck: Consultancy; Vertex: Consultancy; AstraZeneca: Consultancy; Abbvie: Consultancy.&lt;/jats:p&gt;
               &lt;/jats:sec&gt;
               &lt;jats:sec&gt;
                  &lt;jats:title&gt;OffLabel Disclosure:&lt;/jats:title&gt;
                  &lt;jats:p&gt;Treatment of DLBCL patients with ibrutinib and venetoclax.&lt;/jats:p&gt;
               &lt;/jats:sec&gt;</t>
  </si>
  <si>
    <t>10.34689/sh.2018.20.5.011</t>
  </si>
  <si>
    <t>&lt;jats:p&gt;Введение. Воздействие малых доз радиации может быть причиной нарушения общей регуляции физиологических механизмов и снижения эффективности адаптационных процессов, контролируемых нейроэндокринным комплексом и, в особенности, вегетативной нервной системой. Цель: оценка вегетативного статуса жителей Восточно-Казахстанской области, подвергшихся радиационному воздействию в диапазоне малых доз. Методы:проведено обследование населения Абайского района, с. Бородулихинского района ВКО, Курчумского района ВКО. Общий объем выборки составил 700 человек. Для оценки вегетативного статуса лиц, подвергшихся радиационному воздействию в диапазоне малых доз, нами было проведено определение индекса Кердо, пробы Ашнера-Даньини, ортостатической пробыи ВРС-спектрометрии. Критерии включения: возраст 18-50 лет, юридически подтвержденное проживание на территории влияния СИЯП. Критерии исключения: органическое поражение ЦНС, соматические заболевания в стадии декомпенсации. Контроль – жители Курчумского района ВКО. Дизайн исследования – поперечный. Статистическая обработка: IBM SPSS Statistics 20, с определением нормальности распределения изучаемых признаков и оценкой описательных статистик числовых переменных. Качественные переменные представлены в виде абсолютных цифр и их процентов. Оценка различий в группах определена с помощью расчета критерия χ2. Результаты. Установлены нарушения вегетативного баланса в виде вегетативной дифункции парасимпатической направленности, нарушений вегетативного тонуса и вегетативной реактивности, а также нарушений регуляции системы кровообращения парасимпатической направленности у лиц в возрастной группе 18-29 лет, в то время как у лиц старшей возрастной группы наблюдалось повышение влияния симпатотонической направленности. Заключение: Анализ состояния здоровья лиц, подвергшихся радиационному воздействию, проживающих в Абайском и Бородулихинском районах ВКО, демонстрирует признаки нарушений неспецифической резистентности организма, проявляющиеся в виде увеличения числа лиц с нарушениями вегетативной регуляции парасимпатической направленности (р&amp;lt;0,05;0,05), вегетативного тонуса и вегетативной реактивности.&lt;/jats:p&gt;
                                                                                            &lt;jats:p&gt;Introduction. Small doses of radiation can be cause of violation in the general regulation of physiological mechanisms and decrease in the effectiveness of adaptation processes controlled by the neuroendocrine complex and, in particular, the autonomic nervous system. Aim: assessment of the vegetative status in the residents of the East Kazakhstan region, exposed to radiation in the range of small doses. Methods: It was conducted examination of the population of Abay, Borodulikha, Kurchumsky district of ​​the East Kazakhstan Area. The total sample size was 700 people. To assess the vegetative status of people exposed to radiation in the low-dose range, we examined the Kerdo index, the Ashner-Dagnini test, the orthostatic test, and BPC spectrometry. Inclusion criteria: age 18-50 years, legally confirmed residence in the territory of the influence of the Test Site. Exclusion criteria: organic lesion of the central nervous system, somatic diseases in the stage of decompensation. Control - residents of the Kurchum district. The design is cross-sectional study. Statistical processing: IBM SPSS Statistics 20, with the definition of the normality of the distribution of the studied characteristics and the evaluation of descriptive statistics of numerical variables. Qualitative variables are represented in the form of absolute figures and their percentages. Evaluation of differences in groups is determined by calculating the χ2 criterion. Results. It was found violations of the vegetative balance in the form of vegetative parasympathetic dysfunction, autonomic dysfunction and vegetative reactivity, as well as violations of the parasympathetic regulation of the circulatory system in persons aged 18-29 years, while in the older age group, an increase of sympathotonic orientation. Conclusion: analysis of the health status of the persons exposed to radiation exposure living in the Abai and Borodulikha regions of the East Kazakhstan region shows signs of disturbances in the nonspecific resistance of the organism, manifested in the form of an increase in the number of persons with autonomic regulation of the parasympathetic orientation, vegetative tonus and vegetative reactivity.&lt;/jats:p&gt;
                                                    &lt;jats:p&gt;Кіріспе: Сәулеленудің аздаған дозасы нейроэндокринді кешенмен әсіресе вегатативті жүйке жүйесімен бақыланатын физиологиялық механизмдердің жалпы реттелуінің бұзылысын және бейімделу процесснің тиімділігінің төмендеуін шақыруы мүмкін. Мақсат: Аздаған доза диапазонында сәулелік  әсерге ұшыраған Шығыс Қазақстан тұрғындарының вегетативті статусын бағалау. Әдістері: ШҚО Абай ауданының, ШҚО Бородулиха ауданының, ШҚО Күрішім ауданының тұрғындарына зерттеу жүргізілді. Іріктеменің жалпы көлемі 700 адамды құрады. Аздаған доза диапазонында сәулелік әсерге ұшыраған тұлғалардың вегетативті статусын бағалау үшін бізбен Кердо индексін анықтау, Ашнер-Даньинии сынамасы, ортостатикалық сынама алынып ВРС-спектометриясы жүргізілді. Қосылу критерилері: жас мөлшері 18-50 жас, ССЯПтың әсер ету аумағында тұрып жатқандығының заңды түрде расталуы. Алынып тасталу критериі: ОЖЖ-нің органикалық зақымдануы, декомпенсация сатысындағы соматикалық сырқат. Бақылау тобы - ШҚО Күрішім ауданының тұрғындары. Зерттеу дизайны – көлденең. Статистикалық өңделу: IBM SPSS Statistics 20.0 зерттелетін белгілердің қалыпты топтастырылуын және сипаттамалы статистикалық сандық ауыспалыларды бағалаумен бірге алғанда. Сапалы ауыспалылар абсолюттік сандар арқылы және олардың пайыздарымен берілген. Топтардағы айырмашылықтар бағасы    критериімен анықталған. Нәтижелер. Вегетативті баланстың парасимпатикалық бағыттағы вегетативті дисфункция түріндегі бұзылыстары, вегетативті тонустың, вегетативті реактивтіліктің, сонымен қатар 18-29 жастық топтарының тұлғаларында парасимпатикалық бағыттағы қан айналым жүйесінің регуляциясының бұзылысы анықталды, сол кезекте егде топ өкілдерінде симпатотоникалық бағыт әсерінің жоғарлауы байқалды. Қорытынды: ШҚО Абай, Бородулиха ауданының сәулелік әсерге ұшыраған тұрғындарының денсаулық жағдайының анализі парасимпатикалық бағыттағы вегетативті регуляцияның бұзылысы бар тұлғалардың көбейуімен байқалатын (р&amp;lt;0.05; 0,05) организмнің спецификалық емес резистенттілігінің бұзылысының белгілерін көрсетті.&lt;/jats:p&gt;</t>
  </si>
  <si>
    <t>10.1093/humrep/dead165</t>
  </si>
  <si>
    <t>&lt;jats:title&gt;Abstract&lt;/jats:title&gt;
               &lt;jats:sec&gt;
                  &lt;jats:title&gt;STUDY QUESTION&lt;/jats:title&gt;
                  &lt;jats:p&gt;Can two prediction models developed using data from 1999 to 2009 accurately predict the cumulative probability of live birth per woman over multiple complete cycles of IVF in an updated UK cohort?&lt;/jats:p&gt;
               &lt;/jats:sec&gt;
               &lt;jats:sec&gt;
                  &lt;jats:title&gt;SUMMARY ANSWER&lt;/jats:title&gt;
                  &lt;jats:p&gt;After being updated, the models were able to estimate individualized chances of cumulative live birth over multiple complete cycles of IVF with greater accuracy.&lt;/jats:p&gt;
               &lt;/jats:sec&gt;
               &lt;jats:sec&gt;
                  &lt;jats:title&gt;WHAT IS KNOWN ALREADY&lt;/jats:title&gt;
                  &lt;jats:p&gt;The McLernon models were the first to predict cumulative live birth over multiple complete cycles of IVF. They were converted into an online calculator called OPIS (Outcome Prediction In Subfertility) which has 3000 users per month on average. A previous study externally validated the McLernon models using a Dutch prospective cohort containing data from 2011 to 2014. With changes in IVF practice over time, it is important that the McLernon models are externally validated on a more recent cohort of patients to ensure that predictions remain accurate.&lt;/jats:p&gt;
               &lt;/jats:sec&gt;
               &lt;jats:sec&gt;
                  &lt;jats:title&gt;STUDY DESIGN, SIZE, DURATION&lt;/jats:title&gt;
                  &lt;jats:p&gt;A population-based cohort of 91 035 women undergoing IVF in the UK between January 2010 and December 2016 was used for external validation. Data on frozen embryo transfers associated with these complete IVF cycles conducted from 1 January 2017 to 31 December 2017 were also collected.&lt;/jats:p&gt;
               &lt;/jats:sec&gt;
               &lt;jats:sec&gt;
                  &lt;jats:title&gt;PARTICIPANTS/MATERIALS, SETTING, METHODS&lt;/jats:title&gt;
                  &lt;jats:p&gt;Data on IVF treatments were obtained from the Human Fertilisation and Embryology Authority (HFEA). The predictive performances of the McLernon models were evaluated in terms of discrimination and calibration. Discrimination was assessed using the c-statistic and calibration was assessed using calibration-in-the-large, calibration slope, and calibration plots. Where any model demonstrated poor calibration in the validation cohort, the models were updated using intercept recalibration, logistic recalibration, or model revision to improve model performance.&lt;/jats:p&gt;
               &lt;/jats:sec&gt;
               &lt;jats:sec&gt;
                  &lt;jats:title&gt;MAIN RESULTS AND THE ROLE OF CHANCE&lt;/jats:title&gt;
                  &lt;jats:p&gt;Following exclusions, 91 035 women who underwent 144 734 complete cycles were included. The validation cohort had a similar distribution age profile to women in the development cohort. Live birth rates over all complete cycles of IVF per woman were higher in the validation cohort. After calibration assessment, both models required updating. The coefficients of the pre-treatment model were revised, and the updated model showed reasonable discrimination (c-statistic: 0.67, 95% CI: 0.66 to 0.68). After logistic recalibration, the post-treatment model showed good discrimination (c-statistic: 0.75, 95% CI: 0.74 to 0.76). As an example, in the updated pre-treatment model, a 30-year-old woman with 2 years of primary infertility has a 41% chance of having a live birth in the first complete ICSI cycle and a 75% chance over three complete cycles. In a couple with 2 years of primary male factor infertility where a 30-year-old woman has 15 oocytes collected in the first cycle, a single fresh blastocyst embryo transferred in the first cycle and spare embryos cryopreserved, the estimated chance of live birth provided by the post-treatment model is 40% in the first complete ICSI cycle and 75% over three complete cycles.&lt;/jats:p&gt;
               &lt;/jats:sec&gt;
               &lt;jats:sec&gt;
                  &lt;jats:title&gt;LIMITATIONS, REASONS FOR CAUTION&lt;/jats:title&gt;
                  &lt;jats:p&gt;Two predictors from the original models, duration of infertility and previous pregnancy, which were not available in the recent HFEA dataset, were imputed using data from the older cohort used to develop the models. The HFEA dataset does not contain some other potentially important predictors, e.g. BMI, ethnicity, race, smoking and alcohol intake in women, as well as measures of ovarian reserve such as antral follicle count.&lt;/jats:p&gt;
               &lt;/jats:sec&gt;
               &lt;jats:sec&gt;
                  &lt;jats:title&gt;WIDER IMPLICATIONS OF THE FINDINGS&lt;/jats:title&gt;
                  &lt;jats:p&gt;Both updated models show improved predictive ability and provide estimates which are more reflective of current practice and patient case mix. The updated OPIS tool can be used by clinicians to help shape couples’ expectations by informing them of their individualized chances of live birth over a sequence of multiple complete cycles of IVF.&lt;/jats:p&gt;
               &lt;/jats:sec&gt;
               &lt;jats:sec&gt;
                  &lt;jats:title&gt;STUDY FUNDING/COMPETING INTEREST(S)&lt;/jats:title&gt;
                  &lt;jats:p&gt;This study was supported by an Elphinstone scholarship scheme at the University of Aberdeen and Aberdeen Fertility Centre, University of Aberdeen. S.B. has a commitment of research funding from Merck. D.J.M. and M.B.R. declare support for the present manuscript from Elphinstone scholarship scheme at the University of Aberdeen and Assisted Reproduction Unit at Aberdeen Fertility Centre, University of Aberdeen. D.J.M. declares grants received by University of Aberdeen from NHS Grampian, The Meikle Foundation, and Chief Scientist Office in the past 3 years. D.J.M. declares receiving an honorarium for lectures from Merck. D.J.M. is Associate Editor of Human Reproduction Open and Statistical Advisor for Reproductive BioMed Online. S.B. declares royalties from Cambridge University Press for a book. S.B. declares receiving an honorarium for lectures from Merck, Organon, Ferring, Obstetric and Gynaecological Society of Singapore, and Taiwanese Society for Reproductive Medicine. S.B. has received support from Merck, ESHRE, and Ferring for attending meetings as speaker and is on the METAFOR and CAPRE Trials Data Monitoring Committee.&lt;/jats:p&gt;
               &lt;/jats:sec&gt;
               &lt;jats:sec&gt;
                  &lt;jats:title&gt;TRIAL REGISTRATION NUMBER&lt;/jats:title&gt;
                  &lt;jats:p&gt;N/A.&lt;/jats:p&gt;
               &lt;/jats:sec&gt;</t>
  </si>
  <si>
    <t>10.54890/1694-6405_2023_2_73</t>
  </si>
  <si>
    <t>&lt;jats:p&gt;Туберкулез женских половых органов (ТЖПО) вызывается бациллами Mycobacteria tuberculosis и обычно является вторичным по отношению к туберкулезу легких. Распространенность туберкулеза женских половых органов не точная, так как в большинстве случаев вовремя не диагностируется. В разных странах заболеваемость ТЖПО варьируется от 1% до 30%. Во время первичного инфицирования M. tuberculosis, распространение происходит гематогенным и/или лимфогенным путями и оседают в различных органах в виде латентных форм. У 5-15% инфицированных пациентов латентные формы микобактерий, под воздействием различных факторов реактивируются, вызывая вторичное заболевание. Туберкулез женских половых органов, особенно в слаборазвитых странах, продолжает оставаться основной причиной нарушения менструального цикла и бесплодия. Наиболее распространенным проявлением ТЖПО является бесплодие из-за поврежденных фаллопиевых труб, очень низкой восприимчивости эндометрия или повреждения яичников с низким овариальным резервом и объемом. Диагноз ТЖПО требует подтверждения комбинацией тестов. Гинекологи могут начать с получения информации через историю болезни пациента, общий физический осмотр, осмотр брюшной полости и гинекологический осмотр. Рентгенография грудной клетки может показать активные легочные или старые зажившие поражения перенесенного туберкулеза, что приводит к подозрениям на поражение гениталий. Обычные методы диагностики ТЖПО включают различные методы визуализации, бактериологические, молекулярные и патологические методы, которые дают положительный результат только у небольшого процента пациентов, в результате чего во многих случаях состояние остается не выявленным. Как и при туберкулезе легких, лечение ТЖПО длится в общей сложности шесть месяцев. Хирургическое вмешательство не рекомендуется при ТЖПО из-за многочисленных рисков, и рекомендуется пероральная противотуберкулезная терапия. Большое значение имеет информирование больных туберкулезом легких о необходимости соблюдения мер инфекционного, а также о соблюдении режима рекомендованной терапии.&lt;/jats:p&gt;
                                                                                            &lt;jats:p&gt;Аялдардын жыныс органдарынын кургак учугу, кургак учук микобактериясынын таякчасынан келип чыгат жана көбүнчө өпкө кургак учугунун экинчи түрү болуп саналат. Аялдардын жыныс органдарынын кургак учуктун таралышы так эмес, анткени көпчүлүк учурда ал өз убагында аныкталбайт. Ар кайсы өлкөлөрдө аялдардын жыныс органдарынын кургак учук оорусу 1% дан 30% ке чейин өзгөрөт. M. tuberculosis менен биринчи жолу жуккан учурда таралуу кан жана/же лимфа жолу менен жүрөт жана ар кандай органдарда жашыруун формада сакталат. Инфекцияланган оорулуулардын 5-15 % микобактериялардын жашыруун формалары ар кандай факторлордун таасири астында кайра активдешип, экинчилик ооруну пайда кылат. Айрыкча өнүкпөгөн өлкөлөрдө аялдардын жыныс органдарынын кургак учугу этек киринин бузулушунун жана тукумсуздуктун негизги себеби болуп калууда. Аялдардын жыныс органдарынын кургак учугунун эң кеңири таралган көрүнүшү – жатын түтүктөрүнүн бузулушунан улам тукумсуздук, эндометриянын өтө төмөн кабыл алуу жөндөмдүүлүгү же энелик бездин запасы жана көлөмү төмөн болгон энелик бездин бузулушу. Аялдардын жыныс органдарынын кургак учугунун диагнозу тесттердин айкалышы менен ырастоону талап кылат. Гинекологдор оорулуунун тарыхын, жалпы физикалык текшерүү, абдоминалдык текшерүү жана гинекологиялык текшерүү аркылуу маалымат алуу менен башташы мүмкүн. Көкүрөк рентгени, өпкөнүн активдүү же мурунку кургак учуктун эски айыккан жараларын көрсөтүшү мүмкүн, бул жыныстык органдардын катышуусуна шектенүүгө алып келет. Аялдардын жыныс органдарынын кургак учугунун диагностикасынын салттуу ыкмаларына ар кандай сүрөттөө, бактериологиялык, молекулярдык жана патологиялык методдор кирет, алар пациенттердин аз гана пайызында оң болуп, көп учурларда абалды билинбей калтырышат. Өпкө кургак учугундагыдай эле, аялдардын жыныс органдарынын кургак учугу үчүн дарылоо жалпысынан алты айга созулат. Көптөгөн тобокелдиктерден улам аялдардын жыныс органдарынын кургак учугунда хирургия сунушталбайт жана кургак учукка каршы оозеки терапия сунушталат. Өпкө кургак учугу менен ооругандарга инфекциялык чараларды сактоо, ошондой эле сунушталган терапия режимин сактоо зарылчылыгы жөнүндө маалымат берүү чоң мааниге ээ.&lt;/jats:p&gt;
                                                    &lt;jats:p&gt;Tuberculosis of the female genital organs (FGTB) is caused by the bacillus Mycobacteria tuberculosis and is usually secondary to pulmonary tuberculosis. The prevalence of tuberculosis of the female genital organs is not accurate, since in most cases it is not diagnosed in time. In different countries, the incidence of FGTB varies from 1% to 30%. During the primary infection with M. tuberculosis, spread occurs by hematogenous and/or lymphogenous routes and is deposited in various organs in the form of latent forms. In 5-15% of infected patients, latent forms of mycobacteria are reactivated under the influence of various factors, causing a secondary disease. Tuberculosis of the female genital organs, especially in underdeveloped countries, continues to be the main cause of menstrual irregularities and infertility. The most common manifestation of FGTB is infertility due to damaged fallopian tubes, very low endometrial receptivity, or ovarian damage with low ovarian reserve and volume. The diagnosis of FGTB requires confirmation by a combination of tests. Gynecologists may start by obtaining information through the patient's medical history, general physical examination, abdominal examination, and gynecological examination. Chest x-ray may show active pulmonary or old healed lesions of previous tuberculosis, leading to suspicion of genital involvement. Conventional methods for diagnosing FGTB include various imaging, bacteriological, molecular, and pathological methods, which are positive in only a small percentage of patients, leaving the condition undetected in many cases. As with pulmonary tuberculosis, treatment for FBM lasts a total of six months. Surgery is not recommended in SVT due to multiple risks, and oral anti-tuberculosis therapy is recommended. Of great importance is informing patients with pulmonary tuberculosis about the need to comply with infectious measures, as well as compliance with the recommended therapy regimen.&lt;/jats:p&gt;</t>
  </si>
  <si>
    <t>10.1093/humrep/dead093.146</t>
  </si>
  <si>
    <t>&lt;jats:title&gt;Abstract&lt;/jats:title&gt;
               &lt;jats:sec&gt;
                  &lt;jats:title&gt;Study question&lt;/jats:title&gt;
                  &lt;jats:p&gt;What are the prevalence and implications of cytoplasmic strings (Cyt-S) in preimplantation development after blastulation?&lt;/jats:p&gt;
               &lt;/jats:sec&gt;
               &lt;jats:sec&gt;
                  &lt;jats:title&gt;Summary answer&lt;/jats:title&gt;
                  &lt;jats:p&gt;Cyt-S are common in human embryos and are associated with faster blastocyst development, larger expansion, and better morphological quality.&lt;/jats:p&gt;
               &lt;/jats:sec&gt;
               &lt;jats:sec&gt;
                  &lt;jats:title&gt;What is known already&lt;/jats:title&gt;
                  &lt;jats:p&gt;Cyt-S are dynamic cellular projections connecting inner-cell-mass (ICM) and trophectoderm during blastocyst expansion. Their prevalence in human embryos in vitro has been estimated 44-93%. Currently, their role is unknown. Studies in animal models suggested they might be involved in ICM-to-trophectoderm communication or cell fate-related events. Nevertheless, comprehensive descriptions and clear definitions, evidence-based hypotheses about their function, and data about their clinical implications are lacking, limited or controversial. Here we leveraged time-lapse microscopy, artificial intelligence, and chromosomal testing to comprehensively portray these common features of blastulation and expansion processes.&lt;/jats:p&gt;
               &lt;/jats:sec&gt;
               &lt;jats:sec&gt;
                  &lt;jats:title&gt;Study design, size, duration&lt;/jats:title&gt;
                  &lt;jats:p&gt;Observational study involving 124 PGT-A cycles in EmbryoScope (Vitrolife) with ≥1 blastocyst (N = 315) between May-2013 and November-2014. Timings from tSB to biopsy (t-biopsy, i.e., blastocyst full-expansion) in hours-post-insemination (hpi) and embryo area (including zona-pellucida in µm2) were automatically annotated through an AI-based software (CHLOE™, Fairtility). One senior embryologist annotated Cyt-S presence, number, timings, and type (thick cell-to-cell connections and/or threads), and blastocyst collapses (i.e., reduction of embryo area preventing the discrimination of ICM from trophectoderm).&lt;/jats:p&gt;
               &lt;/jats:sec&gt;
               &lt;jats:sec&gt;
                  &lt;jats:title&gt;Participants/materials, setting, methods&lt;/jats:title&gt;
                  &lt;jats:p&gt;ICSI, continuous blastocyst culture (day 5-7) in time-lapse incubators, trophectoderm biopsy without zona-pellucida drilling on fully-expanded blastocysts, and qPCR to assess non-mosaic full-chromosome aneuploidies were all conducted. Blastocyst morphological quality was defined according to Gardner’s schemes as excellent (AA), good (AB,BA), average (BB,AC,CA) and poor (CC,BC,CB). Only vitrified-warmed euploid single-embryo-transfers were performed. Along with developmental timings, extent of expansion and morphological quality, we also assessed euploidy and live-birth rates in blastocysts with and without Cyt-S.&lt;/jats:p&gt;
               &lt;/jats:sec&gt;
               &lt;jats:sec&gt;
                  &lt;jats:title&gt;Main results and the role of chance&lt;/jats:title&gt;
                  &lt;jats:p&gt;94.4% of the patients (N = 117/124) had ≥1 embryo with Cyt-S (mean:2.2±1.6, range:0-9). 86% of all blastocysts analyzed (N = 271/315) had ≥1 Cyt-S (3.5±2.1, 1-13; duration of the longest Cyt-S: 5.8±3.4 hours, 0.5-20.9). Overall, we analyzed 937 Cyt-S detected at 117.3±11.8 hpi (85.7-160.5) and lasting 3.8±2.7 hours (0.2-20.9). The first Cyt-S of each embryo lasted longer (4.4±3.2 hours) compared to the following (≈3 hours or less). Cyt-S were mostly threads (N = 133/271, 54.2%) or thick cell-to-cell connections becoming threads (N = 382/937, 40.8%) than connections of constant diameter (N = 47/937, 5%). Of the 271 embryos with ≥1 Cyt-S, 71.9% showed these projections only during early expansion processes after tSB (N = 195; 3.0±1.6, 1-10), 7.7% only after collapses (N = 21; 2.6±1.5, 1-6), and 20.3% both in early expansion and after collapses (N = 55; 2.3±1.3 and 3.2±2.4, 1-11 respectively). Poor- versus excellent-quality blastocysts (N = 54/75, 72% versus N = 120/129, 93%, multivariate-OR=0.32, 95%CI 0.11-0.92, adjusted-p=0.03), t-biopsy (multivariate-OR=0.97, 95%CI 0.95-0.99, p = 0.05) and blastocyst area at t-biopsy (multivariate-OR=1.1, 95%CI 1.01-1.18, p = 0.02) were all associated with the prevalence of embryos with Cyt-S. Lastly, while euploidy rates were comparable between blastocysts with and without Cyt-S, an association instead was shown with live-birth-rates per vitrified-warmed euploid transfers (N = 34/77, 44.2% versus N = 0/10, 0%; p &amp;amp;lt; 0.01), although these data are very preliminary.&lt;/jats:p&gt;
               &lt;/jats:sec&gt;
               &lt;jats:sec&gt;
                  &lt;jats:title&gt;Limitations, reasons for caution&lt;/jats:title&gt;
                  &lt;jats:p&gt;Some Cyt-S after collapses might correspond to connections already present before these events. Larger datasets are required to confirm putative associations between Cyt-S and clinical outcomes. Only associations could be reported here, but not causations/consequences. Specific basic research studies are required to this end&lt;/jats:p&gt;
               &lt;/jats:sec&gt;
               &lt;jats:sec&gt;
                  &lt;jats:title&gt;Wider implications of the findings&lt;/jats:title&gt;
                  &lt;jats:p&gt;Embryos with ≥1 Cyt-S were faster in reaching all blastocyst timings (tSB to t-biopsy) and to expand, achieved a larger area at t-biopsy and had a better morphology. These dynamic features of blastocyst expansion might be physiological and represent biomarkers of embryo quality. Nevertheless, their function is yet unknown&lt;/jats:p&gt;
               &lt;/jats:sec&gt;
               &lt;jats:sec&gt;
                  &lt;jats:title&gt;Trial registration number&lt;/jats:title&gt;
                  &lt;jats:p&gt;not applicable&lt;/jats:p&gt;
               &lt;/jats:sec&gt;</t>
  </si>
  <si>
    <t>10.1103/physrevd.110.092002</t>
  </si>
  <si>
    <t>&lt;jats:p&gt;The first observation of the concurrent production of two &lt;a:math xmlns:a="http://www.w3.org/1998/Math/MathML" display="inline"&gt;&lt;a:mrow&gt;&lt;a:mi&gt;J&lt;/a:mi&gt;&lt;a:mo&gt;/&lt;/a:mo&gt;&lt;a:mi&gt;ψ&lt;/a:mi&gt;&lt;/a:mrow&gt;&lt;/a:math&gt; mesons in proton-nucleus collisions is presented. The analysis is based on a proton-lead (&lt;c:math xmlns:c="http://www.w3.org/1998/Math/MathML" display="inline"&gt;&lt;c:mi&gt;p&lt;/c:mi&gt;&lt;c:mi&gt;Pb&lt;/c:mi&gt;&lt;/c:math&gt;) data sample recorded at a nucleon-nucleon center-of-mass energy of 8.16 TeV by the CMS experiment at the CERN LHC and corresponding to an integrated luminosity of &lt;e:math xmlns:e="http://www.w3.org/1998/Math/MathML" display="inline"&gt;&lt;e:mn&gt;174.6&lt;/e:mn&gt;&lt;e:mtext&gt; &lt;/e:mtext&gt;&lt;e:mtext&gt; &lt;/e:mtext&gt;&lt;e:msup&gt;&lt;e:mi&gt;nb&lt;/e:mi&gt;&lt;e:mrow&gt;&lt;e:mo&gt;−&lt;/e:mo&gt;&lt;e:mn&gt;1&lt;/e:mn&gt;&lt;/e:mrow&gt;&lt;/e:msup&gt;&lt;/e:math&gt;. The two &lt;g:math xmlns:g="http://www.w3.org/1998/Math/MathML" display="inline"&gt;&lt;g:mi&gt;J&lt;/g:mi&gt;&lt;g:mo&gt;/&lt;/g:mo&gt;&lt;g:mi&gt;ψ&lt;/g:mi&gt;&lt;/g:math&gt; mesons are reconstructed in their &lt;i:math xmlns:i="http://www.w3.org/1998/Math/MathML" display="inline"&gt;&lt;i:mrow&gt;&lt;i:msup&gt;&lt;i:mrow&gt;&lt;i:mi&gt;μ&lt;/i:mi&gt;&lt;/i:mrow&gt;&lt;i:mrow&gt;&lt;i:mo&gt;+&lt;/i:mo&gt;&lt;/i:mrow&gt;&lt;/i:msup&gt;&lt;i:msup&gt;&lt;i:mrow&gt;&lt;i:mi&gt;μ&lt;/i:mi&gt;&lt;/i:mrow&gt;&lt;i:mrow&gt;&lt;i:mo&gt;−&lt;/i:mo&gt;&lt;/i:mrow&gt;&lt;/i:msup&gt;&lt;/i:mrow&gt;&lt;/i:math&gt; decay channels with transverse momenta &lt;k:math xmlns:k="http://www.w3.org/1998/Math/MathML" display="inline"&gt;&lt;k:msub&gt;&lt;k:mi&gt;p&lt;/k:mi&gt;&lt;k:mi mathvariant="normal"&gt;T&lt;/k:mi&gt;&lt;/k:msub&gt;&lt;k:mo&gt;&amp;gt;&lt;/k:mo&gt;&lt;k:mn&gt;6.5&lt;/k:mn&gt;&lt;k:mtext&gt; &lt;/k:mtext&gt;&lt;k:mtext&gt; &lt;/k:mtext&gt;&lt;k:mi&gt;GeV&lt;/k:mi&gt;&lt;/k:math&gt; and rapidity &lt;n:math xmlns:n="http://www.w3.org/1998/Math/MathML" display="inline"&gt;&lt;n:mrow&gt;&lt;n:mo stretchy="false"&gt;|&lt;/n:mo&gt;&lt;n:mi&gt;y&lt;/n:mi&gt;&lt;n:mo stretchy="false"&gt;|&lt;/n:mo&gt;&lt;/n:mrow&gt;&lt;n:mo&gt;&amp;lt;&lt;/n:mo&gt;&lt;n:mn&gt;2.4&lt;/n:mn&gt;&lt;/n:math&gt;. Events where one of the &lt;r:math xmlns:r="http://www.w3.org/1998/Math/MathML" display="inline"&gt;&lt;r:mi&gt;J&lt;/r:mi&gt;&lt;r:mo&gt;/&lt;/r:mo&gt;&lt;r:mi&gt;ψ&lt;/r:mi&gt;&lt;/r:math&gt; mesons is reconstructed in the dielectron channel are also considered in the search. The &lt;t:math xmlns:t="http://www.w3.org/1998/Math/MathML" display="inline"&gt;&lt;t:mi&gt;p&lt;/t:mi&gt;&lt;t:mi&gt;Pb&lt;/t:mi&gt;&lt;t:mo stretchy="false"&gt;→&lt;/t:mo&gt;&lt;t:mrow&gt;&lt;t:mrow&gt;&lt;t:mi&gt;J&lt;/t:mi&gt;&lt;t:mo&gt;/&lt;/t:mo&gt;&lt;t:mi&gt;ψ&lt;/t:mi&gt;&lt;/t:mrow&gt;&lt;t:mrow&gt;&lt;t:mi&gt;J&lt;/t:mi&gt;&lt;t:mo&gt;/&lt;/t:mo&gt;&lt;t:mi&gt;ψ&lt;/t:mi&gt;&lt;/t:mrow&gt;&lt;t:mo&gt;+&lt;/t:mo&gt;&lt;t:mrow&gt;&lt;t:mi&gt;X&lt;/t:mi&gt;&lt;/t:mrow&gt;&lt;/t:mrow&gt;&lt;/t:math&gt; process is observed with a significance of 5.3 standard deviations. The measured inclusive fiducial cross section, using the four-muon channel alone, is &lt;w:math xmlns:w="http://www.w3.org/1998/Math/MathML" display="inline"&gt;&lt;w:mi&gt;σ&lt;/w:mi&gt;&lt;w:mo stretchy="false"&gt;(&lt;/w:mo&gt;&lt;w:mi&gt;p&lt;/w:mi&gt;&lt;w:mi&gt;Pb&lt;/w:mi&gt;&lt;w:mo stretchy="false"&gt;→&lt;/w:mo&gt;&lt;w:mrow&gt;&lt;w:mi&gt;J&lt;/w:mi&gt;&lt;w:mo&gt;/&lt;/w:mo&gt;&lt;w:mi&gt;ψ&lt;/w:mi&gt;&lt;/w:mrow&gt;&lt;w:mrow&gt;&lt;w:mi&gt;J&lt;/w:mi&gt;&lt;w:mo&gt;/&lt;/w:mo&gt;&lt;w:mi&gt;ψ&lt;/w:mi&gt;&lt;/w:mrow&gt;&lt;w:mo&gt;+&lt;/w:mo&gt;&lt;w:mrow&gt;&lt;w:mi&gt;X&lt;/w:mi&gt;&lt;/w:mrow&gt;&lt;w:mo stretchy="false"&gt;)&lt;/w:mo&gt;&lt;w:mo&gt;=&lt;/w:mo&gt;&lt;w:mspace linebreak="goodbreak"/&gt;&lt;w:mn&gt;22.0&lt;/w:mn&gt;&lt;w:mo&gt;±&lt;/w:mo&gt;&lt;w:mn&gt;8.9&lt;/w:mn&gt;&lt;w:mo stretchy="false"&gt;(&lt;/w:mo&gt;&lt;w:mi&gt;stat&lt;/w:mi&gt;&lt;w:mo stretchy="false"&gt;)&lt;/w:mo&gt;&lt;w:mo&gt;±&lt;/w:mo&gt;&lt;w:mn&gt;1.5&lt;/w:mn&gt;&lt;w:mo stretchy="false"&gt;(&lt;/w:mo&gt;&lt;w:mi&gt;syst&lt;/w:mi&gt;&lt;w:mo stretchy="false"&gt;)&lt;/w:mo&gt;&lt;w:mtext&gt; &lt;/w:mtext&gt;&lt;w:mtext&gt; &lt;/w:mtext&gt;&lt;w:mi&gt;nb&lt;/w:mi&gt;&lt;/w:math&gt;. A fit of the data to the expected rapidity separation for pairs of &lt;gb:math xmlns:gb="http://www.w3.org/1998/Math/MathML" display="inline"&gt;&lt;gb:mi&gt;J&lt;/gb:mi&gt;&lt;gb:mo&gt;/&lt;/gb:mo&gt;&lt;gb:mi&gt;ψ&lt;/gb:mi&gt;&lt;/gb:math&gt; mesons produced in single (SPS) and double (DPS) parton scatterings yields &lt;ib:math xmlns:ib="http://www.w3.org/1998/Math/MathML" display="inline"&gt;&lt;ib:mrow&gt;&lt;ib:msubsup&gt;&lt;ib:mrow&gt;&lt;ib:mi&gt;σ&lt;/ib:mi&gt;&lt;/ib:mrow&gt;&lt;ib:mrow&gt;&lt;ib:mi&gt;SPS&lt;/ib:mi&gt;&lt;/ib:mrow&gt;&lt;ib:mrow&gt;&lt;ib:mi&gt;p&lt;/ib:mi&gt;&lt;ib:mi&gt;Pb&lt;/ib:mi&gt;&lt;ib:mo stretchy="false"&gt;→&lt;/ib:mo&gt;&lt;ib:mrow&gt;&lt;ib:mi&gt;J&lt;/ib:mi&gt;&lt;ib:mo&gt;/&lt;/ib:mo&gt;&lt;ib:mi&gt;ψ&lt;/ib:mi&gt;&lt;/ib:mrow&gt;&lt;ib:mrow&gt;&lt;ib:mi&gt;J&lt;/ib:mi&gt;&lt;ib:mo&gt;/&lt;/ib:mo&gt;&lt;ib:mi&gt;ψ&lt;/ib:mi&gt;&lt;/ib:mrow&gt;&lt;ib:mo&gt;+&lt;/ib:mo&gt;&lt;ib:mrow&gt;&lt;ib:mi&gt;X&lt;/ib:mi&gt;&lt;/ib:mrow&gt;&lt;/ib:mrow&gt;&lt;/ib:msubsup&gt;&lt;ib:mo&gt;=&lt;/ib:mo&gt;&lt;ib:mn&gt;16.5&lt;/ib:mn&gt;&lt;ib:mo&gt;±&lt;/ib:mo&gt;&lt;ib:mn&gt;10.8&lt;/ib:mn&gt;&lt;ib:mo stretchy="false"&gt;(&lt;/ib:mo&gt;&lt;ib:mi&gt;stat&lt;/ib:mi&gt;&lt;ib:mo stretchy="false"&gt;)&lt;/ib:mo&gt;&lt;ib:mo&gt;±&lt;/ib:mo&gt;&lt;ib:mn&gt;0.1&lt;/ib:mn&gt;&lt;ib:mo stretchy="false"&gt;(&lt;/ib:mo&gt;&lt;ib:mi&gt;syst&lt;/ib:mi&gt;&lt;ib:mo stretchy="false"&gt;)&lt;/ib:mo&gt;&lt;ib:mtext&gt; &lt;/ib:mtext&gt;&lt;ib:mtext&gt; &lt;/ib:mtext&gt;&lt;ib:mi&gt;nb&lt;/ib:mi&gt;&lt;/ib:mrow&gt;&lt;/ib:math&gt; and &lt;pb:math xmlns:pb="http://www.w3.org/1998/Math/MathML" display="inline"&gt;&lt;pb:msubsup&gt;&lt;pb:mi&gt;σ&lt;/pb:mi&gt;&lt;pb:mi&gt;DPS&lt;/pb:mi&gt;&lt;pb:mrow&gt;&lt;pb:mi&gt;p&lt;/pb:mi&gt;&lt;pb:mi&gt;Pb&lt;/pb:mi&gt;&lt;pb:mo stretchy="false"&gt;→&lt;/pb:mo&gt;&lt;pb:mrow&gt;&lt;pb:mi&gt;J&lt;/pb:mi&gt;&lt;pb:mo&gt;/&lt;/pb:mo&gt;&lt;pb:mi&gt;ψ&lt;/pb:mi&gt;&lt;/pb:mrow&gt;&lt;pb:mrow&gt;&lt;pb:mi&gt;J&lt;/pb:mi&gt;&lt;pb:mo&gt;/&lt;/pb:mo&gt;&lt;pb:mi&gt;ψ&lt;/pb:mi&gt;&lt;/pb:mrow&gt;&lt;pb:mo&gt;+&lt;/pb:mo&gt;&lt;pb:mrow&gt;&lt;pb:mi&gt;X&lt;/pb:mi&gt;&lt;/pb:mrow&gt;&lt;/pb:mrow&gt;&lt;/pb:msubsup&gt;&lt;pb:mo&gt;=&lt;/pb:mo&gt;&lt;pb:mn&gt;5.4&lt;/pb:mn&gt;&lt;pb:mo&gt;±&lt;/pb:mo&gt;&lt;pb:mn&gt;6.2&lt;/pb:mn&gt;&lt;pb:mo stretchy="false"&gt;(&lt;/pb:mo&gt;&lt;pb:mi&gt;stat&lt;/pb:mi&gt;&lt;pb:mo stretchy="false"&gt;)&lt;/pb:mo&gt;&lt;pb:mo&gt;±&lt;/pb:mo&gt;&lt;pb:mn&gt;0.4&lt;/pb:mn&gt;&lt;pb:mo stretchy="false"&gt;(&lt;/pb:mo&gt;&lt;pb:mi&gt;syst&lt;/pb:mi&gt;&lt;pb:mo stretchy="false"&gt;)&lt;/pb:mo&gt;&lt;pb:mtext&gt; &lt;/pb:mtext&gt;&lt;pb:mtext&gt; &lt;/pb:mtext&gt;&lt;pb:mi&gt;nb&lt;/pb:mi&gt;&lt;/pb:math&gt;, respectively. This latter result can be transformed into a lower bound on the effective DPS cross section, closely related to the squared average interparton transverse separation in the collision, of &lt;wb:math xmlns:wb="http://www.w3.org/1998/Math/MathML" display="inline"&gt;&lt;wb:msub&gt;&lt;wb:mi&gt;σ&lt;/wb:mi&gt;&lt;wb:mi&gt;eff&lt;/wb:mi&gt;&lt;/wb:msub&gt;&lt;wb:mo&gt;&amp;gt;&lt;/wb:mo&gt;&lt;wb:mn&gt;1.0&lt;/wb:mn&gt;&lt;wb:mtext&gt; &lt;/wb:mtext&gt;&lt;wb:mtext&gt; &lt;/wb:mtext&gt;&lt;wb:mi&gt;mb&lt;/wb:mi&gt;&lt;/wb:math&gt; at 95% confidence level.&lt;/jats:p&gt;
          &lt;jats:sec&gt;
            &lt;jats:title/&gt;
            &lt;jats:supplementary-material&gt;
              &lt;jats:permissions&gt;
                &lt;jats:copyright-statement&gt;© 2024 CERN, for the CMS Collaboration&lt;/jats:copyright-statement&gt;
                &lt;jats:copyright-year&gt;2024&lt;/jats:copyright-year&gt;
                &lt;jats:copyright-holder&gt;CERN&lt;/jats:copyright-holder&gt;
              &lt;/jats:permissions&gt;
            &lt;/jats:supplementary-material&gt;
          &lt;/jats:sec&gt;</t>
  </si>
  <si>
    <t>10.37551/s3020-45420021</t>
  </si>
  <si>
    <t>&lt;jats:p&gt;INTRODUCCIÓNLos pacientes con enfermedad renal crónica en programas de hemodiálisis (HD) precisan ser evaluados periódicamente mediante controles clínicos y analíticos que garanticen el adecuado control y seguimiento, de su evolución y tratamiento. Los datos obtenidos de estos controles aportan información relevante sobre el estado general del paciente, dosis de diálisis, funcionamiento del acceso vascular (AV), y se utilizan para ajustar el tratamiento y la pauta de diálisis según la evolución del paciente.
OBJETIVOS❱ Obtener las muestras de sangre de manera adecuada y fiable para la determinación de parámetros hematológicos y bioquímicos solicitados (analítica general).❱ Asegurar que la muestra obtenida se corresponde con la analítica solicitada y programada.
COMPETENCIAS ESPECÍFICAS❱ Conocer la programación de los controles analíticos previstos en el centro.❱ Preparar el material y los tubos de laboratorio necesarios en función de las pruebas analíticas solicitadas.❱ Determinar el momento de la sesión y las condiciones en que debe realizarse la extracción en función de las pruebas analíticas solicitadas.❱ Conocer el modo de conservación y el procesamiento de las muestras obtenidas para su envío a laboratorio.
PERSONAL IMPLICADO❱ Enfermera/o y Técnico en Cuidados Auxiliares de Enfermería.
MATERIAL NECESARIO❱ Petición analítica.❱ Etiquetas identificativas según la logística de cada centro.❱ Tubos específicos para recogida de las muestras solicitadas.❱ Jeringas, agujas IV o dispositivo para extracción con sistema de vacío.
DESCRIPCIÓN DEL PROCEDIMIENTO1. Realice un correcto lavado de manos antes y después de cada intervención con el paciente y/o su entorno (monitor, cama o sillón, carpetas).2. Compruebe la identidad del paciente.3. Verifique las peticiones analíticas solicitadas o programadas a realizar.4. Informe al paciente de la prueba que se le va a realizar.5. Prepare los tubos y el material necesario, identificando los tubos según el código y procedimiento de identificación propio del centro.6. Si el paciente se dializa a través de fístula arteriovenosa, realice la punción de la misma, sin cebar al menos una de las agujas ni su cánula de extensión. 7. Extraiga las muestras sanguíneas antes de la conexión al circuito de HD directamente de una aguja sin cebar.8. En caso de que la diálisis se realice a través de un catéter de alto flujo, asegúrese de haber retirado el anticoagulante de sellado del mismo (deseche el valor que indique la rama del catéter), posteriormente extraiga 10 ml de sangre y no la deseche, extraiga las muestras solicitadas y devuelva los 10 ml de sangre anteriores con medidas de asepsia estrictas (como en todo el proceso de conexión).9. Introduzca la sangre en los tubos previamente preparados.10. Compruebe que el material utilizado queda desechado en los contenedores dispuestos a tal fin.11. Registre la actividad realizada, hora y profesional que la ha llevado a cabo, así como las recomendaciones que considere necesarias.12. Confirme que las muestras y sus correspondientes peticiones siguen el circuito previsto para su recepción en laboratorio.
SEGURIDAD DEL PACIENTE❱ Habitualmente las peticiones y los tubos necesarios para las distintas pruebas se preparan e identifican con antelación para todos los pacientes que van a recibir tratamiento sustitutivo en un determinado turno. El resultado de estas pruebas es determinante en el ajuste de la dosis de diálisis y de modificaciones del tratamiento farmacológico. Por ello, antes de realizar la extracción, es obligatorio chequear de nuevo que, tanto la petición analítica como los tubos preparados son correctos y coinciden con las pruebas solicitadas y con la identidad del paciente.❱ La realización de una técnica extracorpórea y la necesidad de pruebas analíticas con asiduidad aumentan el riesgo de pérdidas sanguíneas del paciente y son factores anemizantes. Para minimizar en lo posible este efecto indeseado y evitar muestras sesgadas, a aquellos pacientes que se dializan a través de catéter se les extrae 10 ml extra (algunos autores sugieren 20 ml), no se desecha y se devuelve posteriormente. Evitar riesgos de bacteriemia implica la realización de esta maniobra con medidas de asepsia estrictas. Una alternativa, sugerida por algunos autores, propone obtener la muestra de sangre de la línea arterial del circuito entre 1’ y 2’ después de que comience a circular a un flujo de bomba de 150 ml/min, y previo a la conexión de la línea venosa al paciente y a la heparinización del circuito.
OBSERVACIONES/PRECAUCIONES❱ La analítica general se suele realizar pre-diálisis el día intermedio de la semana en función del turno del paciente.❱ La planificación de las analíticas a realizar durante el año en curso se suele establecer anualmente con el laboratorio de referencia.❱ Para minimizar las pérdidas hemáticas es importante ampliar la analítica rutinaria según las necesidades del paciente (solicitudes de otros especialistas, ampliación de estudios en casos concretos). El fin es evitar a los pacientes visitas innecesarias al hospital y optimizar el número de extracciones de sangre evitando duplicar pruebas ya solicitadas.❱ El orden de uso de los tubos es importante para prevenir la contaminación de las muestras por anticoagulantes no deseados. Si se solicitan, los hemocultivos deben ser los primeros ya que la extracción siempre debe ser estéril. A continuación, los tubos sin aditivo o con gelosa (bioquímica), seguidamente los tubos con aditivos líquidos (coagulación) y por último tubos con aditivos sólidos, EDTA (tubo de hemograma).&lt;/jats:p&gt;</t>
  </si>
  <si>
    <t>10.1515/conop-2020-0004</t>
  </si>
  <si>
    <t>&lt;jats:title&gt;Abstract&lt;/jats:title&gt;
               &lt;jats:p&gt;We study the compactness and the hypercyclicity of Toeplitz operators &lt;jats:inline-formula&gt;
                     &lt;jats:alternatives&gt;
                        &lt;jats:inline-graphic xmlns:xlink="http://www.w3.org/1999/xlink" xlink:href="graphic/j_conop-2020-0004_eq_001.png" /&gt;
                        &lt;m:math xmlns:m="http://www.w3.org/1998/Math/MathML"&gt;
                           &lt;m:mrow&gt;
                              &lt;m:msub&gt;
                                 &lt;m:mrow&gt;
                                    &lt;m:mi&gt;T&lt;/m:mi&gt;
                                 &lt;/m:mrow&gt;
                                 &lt;m:mrow&gt;
                                    &lt;m:mover&gt;
                                       &lt;m:mi&gt;ϕ&lt;/m:mi&gt;
                                       &lt;m:mo&gt;¯&lt;/m:mo&gt;
                                    &lt;/m:mover&gt;
                                    &lt;m:mo&gt;,&lt;/m:mo&gt;
                                    &lt;m:mi&gt;b&lt;/m:mi&gt;
                                 &lt;/m:mrow&gt;
                              &lt;/m:msub&gt;
                           &lt;/m:mrow&gt;
                        &lt;/m:math&gt;
                        &lt;jats:tex-math&gt;{T_{\bar \varphi ,b}}&lt;/jats:tex-math&gt;
                     &lt;/jats:alternatives&gt;
                  &lt;/jats:inline-formula&gt; with co-analytic and bounded symbols on de Branges-Rovnyak spaces ℋ(&lt;jats:italic&gt;b&lt;/jats:italic&gt;). For the compactness of &lt;jats:inline-formula&gt;
                     &lt;jats:alternatives&gt;
                        &lt;jats:inline-graphic xmlns:xlink="http://www.w3.org/1999/xlink" xlink:href="graphic/j_conop-2020-0004_eq_002.png" /&gt;
                        &lt;m:math xmlns:m="http://www.w3.org/1998/Math/MathML"&gt;
                           &lt;m:mrow&gt;
                              &lt;m:msub&gt;
                                 &lt;m:mrow&gt;
                                    &lt;m:mi&gt;T&lt;/m:mi&gt;
                                 &lt;/m:mrow&gt;
                                 &lt;m:mrow&gt;
                                    &lt;m:mover&gt;
                                       &lt;m:mi&gt;ϕ&lt;/m:mi&gt;
                                       &lt;m:mo&gt;¯&lt;/m:mo&gt;
                                    &lt;/m:mover&gt;
                                    &lt;m:mo&gt;,&lt;/m:mo&gt;
                                    &lt;m:mi&gt;b&lt;/m:mi&gt;
                                 &lt;/m:mrow&gt;
                              &lt;/m:msub&gt;
                           &lt;/m:mrow&gt;
                        &lt;/m:math&gt;
                        &lt;jats:tex-math&gt;{T_{\bar \varphi ,b}}&lt;/jats:tex-math&gt;
                     &lt;/jats:alternatives&gt;
                  &lt;/jats:inline-formula&gt;, we will see that the result depends on the boundary spectrum of &lt;jats:italic&gt;b&lt;/jats:italic&gt;. We will prove that there are non trivial compact operators of the form &lt;jats:inline-formula&gt;
                     &lt;jats:alternatives&gt;
                        &lt;jats:inline-graphic xmlns:xlink="http://www.w3.org/1999/xlink" xlink:href="graphic/j_conop-2020-0004_eq_003.png" /&gt;
                        &lt;m:math xmlns:m="http://www.w3.org/1998/Math/MathML"&gt;
                           &lt;m:mrow&gt;
                              &lt;m:msub&gt;
                                 &lt;m:mrow&gt;
                                    &lt;m:mi&gt;T&lt;/m:mi&gt;
                                 &lt;/m:mrow&gt;
                                 &lt;m:mrow&gt;
                                    &lt;m:mover&gt;
                                       &lt;m:mi&gt;ϕ&lt;/m:mi&gt;
                                       &lt;m:mo&gt;¯&lt;/m:mo&gt;
                                    &lt;/m:mover&gt;
                                    &lt;m:mo&gt;,&lt;/m:mo&gt;
                                    &lt;m:mi&gt;b&lt;/m:mi&gt;
                                 &lt;/m:mrow&gt;
                              &lt;/m:msub&gt;
                           &lt;/m:mrow&gt;
                        &lt;/m:math&gt;
                        &lt;jats:tex-math&gt;{T_{\bar \varphi ,b}}&lt;/jats:tex-math&gt;
                     &lt;/jats:alternatives&gt;
                  &lt;/jats:inline-formula&gt;, with &lt;jats:italic&gt;ϕ&lt;/jats:italic&gt; ∈ &lt;jats:italic&gt;H&lt;/jats:italic&gt;
                  &lt;jats:italic&gt;
                     &lt;jats:sup&gt;∞&lt;/jats:sup&gt;
                  &lt;/jats:italic&gt; ∩ &lt;jats:italic&gt;C&lt;/jats:italic&gt;(𝕋), if and only if &lt;jats:italic&gt;m&lt;/jats:italic&gt;(σ(&lt;jats:italic&gt;b&lt;/jats:italic&gt;) ∩ 𝕋) = 0. We will also show that, when &lt;jats:italic&gt;b&lt;/jats:italic&gt; is non-extreme, then &lt;jats:inline-formula&gt;
                     &lt;jats:alternatives&gt;
                        &lt;jats:inline-graphic xmlns:xlink="http://www.w3.org/1999/xlink" xlink:href="graphic/j_conop-2020-0004_eq_004.png" /&gt;
                        &lt;m:math xmlns:m="http://www.w3.org/1998/Math/MathML"&gt;
                           &lt;m:mrow&gt;
                              &lt;m:msub&gt;
                                 &lt;m:mrow&gt;
                                    &lt;m:mi&gt;T&lt;/m:mi&gt;
                                 &lt;/m:mrow&gt;
                                 &lt;m:mrow&gt;
                                    &lt;m:mover&gt;
                                       &lt;m:mi&gt;ϕ&lt;/m:mi&gt;
                                       &lt;m:mo&gt;¯&lt;/m:mo&gt;
                                    &lt;/m:mover&gt;
                                    &lt;m:mo&gt;,&lt;/m:mo&gt;
                                    &lt;m:mi&gt;b&lt;/m:mi&gt;
                                 &lt;/m:mrow&gt;
                              &lt;/m:msub&gt;
                           &lt;/m:mrow&gt;
                        &lt;/m:math&gt;
                        &lt;jats:tex-math&gt;{T_{\bar \varphi ,b}}&lt;/jats:tex-math&gt;
                     &lt;/jats:alternatives&gt;
                  &lt;/jats:inline-formula&gt; is hypercyclic if and only if &lt;jats:italic&gt;ϕ&lt;/jats:italic&gt; is non-constant and &lt;jats:italic&gt;ϕ&lt;/jats:italic&gt;(𝔻) ∩ 𝕋 ≠ ∅.&lt;/jats:p&gt;</t>
  </si>
  <si>
    <t>10.25630/pav.2020.73.48.004</t>
  </si>
  <si>
    <t>&lt;jats:p&gt;Пахотные угодья Республики Коми в основном представлены дерново-подзолистыми почвами с низким естественным плодородием, которые без применения удобрений быстро подвергаются деградационным процессам, что резко снижает их продуктивность. Цель исследований: оценка эффективности долговременного применения органических и минеральных удобрений при выращивании картофеля в кормовом севообороте в условиях Республики Коми. Методической основой выполнения работ были комплексные исследования дерново-подзолистых почв, клубней картофеля на участках многолетнего полевого эксперимента, заложенного на землях Института агробиотехнологий ФИЦ Коми НЦ УрО РАН в соответствии с «Методическими указаниями географической сети опытов с удобрениями». Длительный период исследований (более 40 лет) характеризовался различными климатическими условиями, которые отразились на количестве урожая и качестве клубней картофеля. Было проведено 7 ротаций (14 лет) с выращиванием картофеля. Вносили органические удобрения – торфонавозный компост (ТНК) в дозах 40 и 80 т/га (1 и 2 фон, соответственно) под картофель и минеральные удобрения – NPК в дозах 1/3; 1/2 и 1 для восполнения выноса растениями элементов питания. Установлено положительное влияние комплексного применения органических и минеральных удобрений на урожайность и качество картофеля, а также на плодородие дерново-подзолистой легкосуглинистой среднеокультуренной почвы в кормовом севообороте в почвенно-климатических условиях Республики Коми. В результате применения шестипольного севооборота и комплексного внесения удобрений с 1978 года к 2019 году в почвах снизилась обменная и гидролитическая кислотность; повысилось содержание гумуса на 0,5% (в контроле); на 0,2–0,5% (с тремя дозами минеральных удобрений); на 0,3–1,1% (с ТНК); на 0,2–1,6% (при совместном применении органических и минеральных удобрений). Наибольшие урожаи картофеля получены при совместном применении органических (80 т/га) и минеральных удобрений (1 NPК) и составили 37,1 т/га клубней (8,5 тыс/га кормовых единиц). При таком соотношении удобрений показано высокое качество клубней картофеля: содержание крахмала 15,5%, витамина С – 19,4 мг%, сырого протеина – 14,1%. Количество нитратного азота не превышало ПДК (ПДК 250 мг.с.м.). Экономические расчеты показали, что при внесении ТНК 40 т/га + 1 NPК в дерново-подзолистые почвы с.-х. использования в среднетаежной зоне Республики Коми при выращивании картофеля, условный чистый доход составит 68,4 тыс. р. с 1 га, себестоимость 1 т картофеля – 2,8 тыс. р., рентабельность 188,7%.&lt;/jats:p&gt;
                                                                                            &lt;jats:p&gt;The arable land of the Republic of Komi is mainly represented by dern-sub-ground soils with low natural fertility, which without the use of fertilizers are quickly subjected to degradation processes, which dramatically reduces their productivity. The aim of the research is to evaluate the efficiency of long-term use of organic and mineral fertilizers in the growing of potatoes in feed crop rotation in the conditions of the Komi Republic. The methodological basis for carrying out the works was comprehensive studies of dern-subhead soils, potato tubers on the sites of a multi-year field experiment laid on the lands of the Institute of Agrobiotechnology of the FRC Komi SC UB RAS in accordance with the «Methodological Instructions of the Geographical Network of Experiments with Fertilizers». A long period of research (more than 40 years) was characterized by different climatic conditions, which affected the number of crops and the quality of potato tubers. There were 7 rotations (14 years) with potato cultivation. Organic fertilizers – peat-avous compost (TNK) in doses of 40 and 80 t/ha (1 and 2 background, respectively) for potatoes and mineral fertilizers – NPK in doses of 1/3; 1/2 and 1 to replenish the carry-out of food elements by plants. The positive effect of the integrated use of organic and mineral fertilizers on the yield and quality of potatoes, as well as on the fertility of soddy-podzolic light loamy medium cultivated soil in fodder crop rotation in the soil and climatic conditions of the Komi Republic, has been established. As a result of the use of six-bed crop rotation and the integrated application of fertilizers, metabolic and hydrolytic acidity decreased in soils from 1978 to 2019; humus content increased by 0.5% (in control); 0.2–0.5% (with three doses of mineral fertilizers); 0.3–1.1% (with TNCs); 0.2–1.6% (with combined use of organic and mineral fertilizers). The largest potato yields were obtained from the combined use of organic (80 t/ha) and mineral fertilizers (1 NPK) and amounted to 37.1 t/ha tubers (8.5 thousand/ha feed units). The largest potato harvests were obtained with the combined use of organic (80 t/ha) and mineral fertilizers (1 NPK) and amounted to 37.1 t/ha of tubers (8.5 thousand/ha of feed units). With this ratio of fertilizers, the high quality of potato tubers was also determined: the starch content was 15.5%, vitamin C – 19.4 mg%, crude protein – 14.1%. The amount of nitrate nitrogen did not exceed the MPC (MPC 250 mg.s.m.). Economic calculations showed that if TNK is added 40 t/ha 1 NPK to the dern-sub-ground soils of agricultural use in the medium-sized zone of the Komi Republic when growing potatoes, the conditional net income will be 68.4 thousand rubles from 1 ha, the cost of 1 t of potatoes – 2.8 thousand rubles, profitability 188.7%.&lt;/jats:p&gt;</t>
  </si>
  <si>
    <t>10.1088/1741-4326/abca56</t>
  </si>
  <si>
    <t>&lt;jats:title&gt;Abstract&lt;/jats:title&gt;
               &lt;jats:p&gt;The physics and transport consequences of the nonlinear trapping of the wave–particle interactions on the transit and bounce time scale are investigated by solving drift kinetic equation including collisions. The nonlinear particle dynamics is governed by a new set of coupled evolution equations for the phase of the wave, the toroidal component of the canonical momentum (radial motion), and the particle energy. The resonant particles are trapped nonlinearly in the phase space in a pendulum-like motion to resolve the linear resonance. The trapping mechanism is similar to that of the superbananas in the neoclassical theory. The nonlinear particle dynamics is employed to facilitate the solution of the drift kinetic equation. It is shown analytically that the particle distribution in the nonlinearly trapped region is flattened when a term of the order of &lt;jats:inline-formula&gt;
                     &lt;jats:tex-math/&gt;
                     &lt;mml:math xmlns:mml="http://www.w3.org/1998/Math/MathML" display="inline" overflow="scroll"&gt;
                        &lt;mml:msqrt&gt;
                           &lt;mml:mrow&gt;
                              &lt;mml:mi&gt;δ&lt;/mml:mi&gt;
                              &lt;mml:mi&gt;A&lt;/mml:mi&gt;
                           &lt;/mml:mrow&gt;
                        &lt;/mml:msqrt&gt;
                     &lt;/mml:math&gt;
                     &lt;jats:inline-graphic xmlns:xlink="http://www.w3.org/1999/xlink" xlink:href="nfabca56ieqn1.gif" xlink:type="simple"/&gt;
                  &lt;/jats:inline-formula&gt; is neglected. Here, &lt;jats:italic&gt;δA&lt;/jats:italic&gt; is the typical magnitude of the normalized perturbed wave field. The trapped and barely circulating particles diffuse collisionally in the phase space. Transport fluxes, wave–particle energy transfer rate and nonlinear damping rate are calculated. The transport coefficients have a new analytic scaling &lt;jats:inline-formula&gt;
                     &lt;jats:tex-math/&gt;
                     &lt;mml:math xmlns:mml="http://www.w3.org/1998/Math/MathML" display="inline" overflow="scroll"&gt;
                        &lt;mml:mi&gt;ν&lt;/mml:mi&gt;
                        &lt;mml:msup&gt;
                           &lt;mml:mrow&gt;
                              &lt;mml:mi&gt;r&lt;/mml:mi&gt;
                           &lt;/mml:mrow&gt;
                           &lt;mml:mrow&gt;
                              &lt;mml:mn&gt;2&lt;/mml:mn&gt;
                           &lt;/mml:mrow&gt;
                        &lt;/mml:msup&gt;
                        &lt;mml:msqrt&gt;
                           &lt;mml:mrow&gt;
                              &lt;mml:mi&gt;δ&lt;/mml:mi&gt;
                              &lt;mml:mi&gt;A&lt;/mml:mi&gt;
                           &lt;/mml:mrow&gt;
                        &lt;/mml:msqrt&gt;
                     &lt;/mml:math&gt;
                     &lt;jats:inline-graphic xmlns:xlink="http://www.w3.org/1999/xlink" xlink:href="nfabca56ieqn2.gif" xlink:type="simple"/&gt;
                  &lt;/jats:inline-formula&gt; 
                  &lt;jats:italic&gt;U&lt;/jats:italic&gt; in the context of the wave–particle interaction, and can be significant even for a small amplitude wave in tokamaks. Here, &lt;jats:italic&gt;ν&lt;/jats:italic&gt; is the collision frequency, &lt;jats:italic&gt;r&lt;/jats:italic&gt; is the minor radius, and &lt;jats:italic&gt;U&lt;/jats:italic&gt; is a function of the wave frequency, aspect ratio, magnetic shear, and mode numbers. It is estimated that when &lt;jats:italic&gt;δA&lt;/jats:italic&gt; ∼ 10&lt;jats:sup&gt;−4&lt;/jats:sup&gt; for the magnetic perturbation, alpha particle energy loss rate is comparable to that of the neoclassical theory. The energy transfer rate is proportional to part of the particle flux, a new relation, and scales as &lt;jats:italic&gt;ν&lt;/jats:italic&gt;
                  &lt;jats:inline-formula&gt;
                     &lt;jats:tex-math/&gt;
                     &lt;mml:math xmlns:mml="http://www.w3.org/1998/Math/MathML" display="inline" overflow="scroll"&gt;
                        &lt;mml:msqrt&gt;
                           &lt;mml:mrow&gt;
                              &lt;mml:mi&gt;δ&lt;/mml:mi&gt;
                              &lt;mml:mi&gt;A&lt;/mml:mi&gt;
                           &lt;/mml:mrow&gt;
                        &lt;/mml:msqrt&gt;
                     &lt;/mml:math&gt;
                     &lt;jats:inline-graphic xmlns:xlink="http://www.w3.org/1999/xlink" xlink:href="nfabca56ieqn3.gif" xlink:type="simple"/&gt;
                  &lt;/jats:inline-formula&gt;; the nonlinear damping or growth rate &lt;jats:italic&gt;ν&lt;/jats:italic&gt;
                  &lt;jats:inline-formula&gt;
                     &lt;jats:tex-math/&gt;
                     &lt;mml:math xmlns:mml="http://www.w3.org/1998/Math/MathML" display="inline" overflow="scroll"&gt;
                        &lt;mml:msup&gt;
                           &lt;mml:mrow&gt;
                              &lt;mml:mfenced close=")" open="("&gt;
                                 &lt;mml:mrow&gt;
                                    &lt;mml:mi&gt;δ&lt;/mml:mi&gt;
                                    &lt;mml:mi&gt;A&lt;/mml:mi&gt;
                                 &lt;/mml:mrow&gt;
                              &lt;/mml:mfenced&gt;
                           &lt;/mml:mrow&gt;
                           &lt;mml:mrow&gt;
                              &lt;mml:mo&gt;−&lt;/mml:mo&gt;
                              &lt;mml:mn&gt;3&lt;/mml:mn&gt;
                              &lt;mml:mo&gt;/&lt;/mml:mo&gt;
                              &lt;mml:mn&gt;2&lt;/mml:mn&gt;
                           &lt;/mml:mrow&gt;
                        &lt;/mml:msup&gt;
                     &lt;/mml:math&gt;
                     &lt;jats:inline-graphic xmlns:xlink="http://www.w3.org/1999/xlink" xlink:href="nfabca56ieqn4.gif" xlink:type="simple"/&gt;
                  &lt;/jats:inline-formula&gt;.&lt;/jats:p&gt;</t>
  </si>
  <si>
    <t>10.54890/1694-6405_2023_5_100</t>
  </si>
  <si>
    <t>&lt;jats:p&gt;Гнойно-септические заболевания у детей до настоящего времени являются актуальной проблемой до настоящего времени. Для детских хирургов, травматологов-ортопедов и реаниматологов глубокое поражение костной ткани, или остеомиелит является предметом общего интереса ввиду частого развития осложнений и хронизации процесса. В статье проведен анализ и систематизация опубликованных в базах данных PubMed, ScienceDirect, eLibrary результатов научных исследований по улучшению практики антимикробных препаратов в хирургической урологии. Несмотря на широкое внедрение современых методов диагностики, до настоящего времени остается дискутабельым вопрос о четких показаниях к различным методам обследования, сроках проведения и последовательности выполнения вышеуказанных мероприятий. Основным краеугольным камнем является применение антимикробных препаратов при лечении острого гематогенного остеомиелита у детей, а также разработка мероприятий по сдерживанию роста антибиотикорезистености. Неоднозначен до настоящего времени остается также вопрос выбора тактики хирургического лечения и определение четких показаний их выполения и определение сроков проведения оперативных вмешательств. Совершенствование мероприятий по повышению качества диагностики и определение тактики ведения пациентов с острым гематогенным стеомиелитом способствует повышению эффективности ранних и поздних результатов лечения, улучению качества жизни и снижению риска инвалидизации детей. Проведение углубленных исследований, направленных на совершенствование лечебно-диагностических мероприятий у детей с острым гематогенным остеомиелитом является актуальными и востребованными мероприятиями, направленными на обеспечение качественной и безопасной медицинской помощи для детей и государства в целом.&lt;/jats:p&gt;
                                                                                            &lt;jats:p&gt;Балдардагы ириңдүү септикалык оорулар бүгүнкү күнгө чейин актуалдуу көйгөй болуп саналат. Педиатриялык хирургдар, травматолог-ортопеддер жана реаниматологдор үчүн сөөк ткандарынын терең жабыркашы, же остеомиелит процесстин тез-тез өнүгүшүнө жана хронизациясына байланыштуу жалпы кызыкчылыктын предмети болуп саналат. Макалада хирургиялык Урологиядагы антимикробдук препараттардын практикасын жакшыртуу боюнча илимий изилдөөлөрдүн жыйынтыктарынын ЖРТ, КК, маалымат базаларында жарыяланган анализ жана системалаштыруу жүргүзүлдү. Заманбап диагностикалык методдордун кеңири колдонулушуна карабастан, ар кандай текшерүү методдорунун так көрсөткүчтөрү, жогоруда көрсөтүлгөн иш-чараларды өткөрүү мөөнөттөрү жана ырааттуулугу жөнүндө маселе бүгүнкү күнгө чейин талаштуу бойдон калууда. Негизги негиз болуп балдардын курч гематогендик остеомиелитин дарылоодо микробго каршы препараттарды колдонуу, ошондой эле антибиотикке туруктуулуктун өсүшүн токтотуу боюнча чараларды иштеп чыгуу саналат. Азырынча бир жактуу эмес, хирургиялык дарылоонун тактикасын тандоо жана алардын аткарылышынын так көрсөткүчтөрүн аныктоо жана оперативдүү кийлигишүүлөрдүн мөөнөтүн аныктоо маселеси да калууда. Диагностиканын сапатын жогорулатуу боюнча иш-чараларды өркүндөтүү жана курч гематогендик стеомиелит менен ооруган бейтаптарды башкаруу тактикасын аныктоо дарылоонун эрте жана кеч натыйжаларынын натыйжалуулугун жогорулатууга, жашоо сапатын жогорулатууга жана балдардын майып болуу коркунучун азайтууга өбөлгө түзөт. Курч гематогендик остеомиелит менен ооруган балдардын дарылоо-диагностикалык иш-чараларын өркүндөтүүгө багытталган терең изилдөөлөрдү жүргүзүү балдарга жана бүтүндөй мамлекетке сапаттуу жана коопсуз медициналык жардамды камсыз кылууга багытталган актуалдуу жана талап кылынган иш-чаралар болуп саналат.&lt;/jats:p&gt;
                                                    &lt;jats:p&gt;Purulent septic diseases in children are still an urgent problem to date. For pediatric surgeons, orthopedic traumatologists and intensive care specialists, deep bone damage, or osteomyelitis, is a matter of general interest due to the frequent development of complications and chronization of the process. The article analyzes and systematizes the results of scientific research published in the databases PubMed, ScienceDirect, eLibrary to improve the practice of antimicrobial drugs in surgical urology. Despite the widespread introduction of modern diagnostic methods, the issue of clear indications for various examination methods, the timing and sequence of the above measures remains debatable to date. The main cornerstone is the use of antimicrobial drugs in the treatment of acute hematogenous osteomyelitis in children, as well as the development of measures to curb the growth of antibiotic resistance. To date, the issue of choosing surgical treatment tactics and determining clear indications for their implementation and determining the timing of surgical interventions remains ambiguous. Improving measures to improve the quality of diagnosis and determining the tactics of managing patients with acute hematogenous steomyelitis contributes to improving the effectiveness of early and late treatment results, improving the quality of life and reducing the risk of disability in children. Conducting in-depth research aimed at improving therapeutic and diagnostic measures in children with acute hematogenous osteomyelitis is an urgent and in-demand measure aimed at providing high-quality and safe medical care for children and the state as a whole.&lt;/jats:p&gt;</t>
  </si>
  <si>
    <t>10.1093/humrep/deae245</t>
  </si>
  <si>
    <t>&lt;jats:title&gt;Abstract&lt;/jats:title&gt;
               &lt;jats:sec&gt;
                  &lt;jats:title&gt;STUDY QUESTION&lt;/jats:title&gt;
                  &lt;jats:p&gt;Are there significant differences in fertility outcomes between transferring two cleavage-stage embryos in a single fresh cycle and transferring one cleavage-stage embryo in a fresh cycle and one blastocyst-stage embryo in the subsequent frozen-thawed cycle?&lt;/jats:p&gt;
               &lt;/jats:sec&gt;
               &lt;jats:sec&gt;
                  &lt;jats:title&gt;SUMMARY ANSWER&lt;/jats:title&gt;
                  &lt;jats:p&gt;In women aged &amp;amp;lt;38 years with two embryos available, transferring one cleavage-stage embryo in a fresh cycle and one blastocyst-stage embryo in the subsequent frozen-thawed cycle increased live birth rates and decreased multiple live birth rates compared to transferring two cleavage-stage embryos in a single fresh cycle.&lt;/jats:p&gt;
               &lt;/jats:sec&gt;
               &lt;jats:sec&gt;
                  &lt;jats:title&gt;WHAT IS KNOWN ALREADY&lt;/jats:title&gt;
                  &lt;jats:p&gt;The strategy of repeated single embryo transfer (SET) has emerged as a solution to address the reduced live birth rates associated with SET per cycle. There is substantial evidence indicating that the cumulative live birth rate after repeated SET is comparable to that of double embryo transfer (DET), while significantly reducing the incidence of multiple pregnancies. Evidence regarding the outcomes of transferring two cleavage-stage embryos in a single fresh cycle versus transferring one cleavage-stage embryo in one fresh cycle and one blastocyst-stage embryo in the subsequent frozen-thawed cycle is scarce.&lt;/jats:p&gt;
               &lt;/jats:sec&gt;
               &lt;jats:sec&gt;
                  &lt;jats:title&gt;STUDY DESIGN, SIZE, DURATION&lt;/jats:title&gt;
                  &lt;jats:p&gt;This study is a retrospective matched cohort study, where data were gathered from the clinical database of women who underwent IVF treatment at the Reproductive Center of Peking University Third Hospital between January 2011 and December 2019, with follow-up extending until December 2021.&lt;/jats:p&gt;
               &lt;/jats:sec&gt;
               &lt;jats:sec&gt;
                  &lt;jats:title&gt;PARTICIPANTS/MATERIALS, SETTING, METHODS&lt;/jats:title&gt;
                  &lt;jats:p&gt;The study group included cycles with a fresh cleavage-stage SET and a subsequent frozen-thawed blastocyst-stage SET (2xSET, N = 976). Fresh cleavage-stage DET was the control group (DET, N = 976). Included cycles were divided into subgroups based on age (≥38 years vs &amp;amp;lt;38 years) and total number of utilizable (transferred or cryopreserved) embryos (=2 vs &amp;amp;gt;2).&lt;/jats:p&gt;
               &lt;/jats:sec&gt;
               &lt;jats:sec&gt;
                  &lt;jats:title&gt;MAIN RESULTS AND THE ROLE OF CHANCE&lt;/jats:title&gt;
                  &lt;jats:p&gt;The duration of infertility, prevalence of unexplained infertility, and controlled ovarian stimulation regimes differed significantly between the two groups and were adjusted for in the further analysis. We observed a significant increase in clinical pregnancies (55.5% vs 42%, adjusted odds ratio (OR) 1.87 [1.55–2.26]) and live births (44.8% vs 34.5%, adjusted OR 1.63 [1.35–1.97]) in favor of the 2xSET group. The preterm birth rate was lower in the study group (adjusted OR 0.64 [0.42–0.96]). Neonatal birth weight of singletons was similar between the two groups (adjusted B 4.94 g [−84.5 to 94.4]). The beneficial effect on the live birth rate disappeared in cases where aged 38 years and older or when only two embryos were utilizable.&lt;/jats:p&gt;
               &lt;/jats:sec&gt;
               &lt;jats:sec&gt;
                  &lt;jats:title&gt;LIMITATIONS, REASONS FOR CAUTION&lt;/jats:title&gt;
                  &lt;jats:p&gt;This study is limited by differences in baseline characteristics of the two groups. Analyzing two consecutive SETs at the cleavage stage was not feasible. Additionally, the homogeneous population limits generalizability to other ethnic groups, which should be considered when interpreting the results broadly.&lt;/jats:p&gt;
               &lt;/jats:sec&gt;
               &lt;jats:sec&gt;
                  &lt;jats:title&gt;WIDER IMPLICATIONS OF THE FINDINGS&lt;/jats:title&gt;
                  &lt;jats:p&gt;We recommend a combination strategy for women under 38 years old and with more than two embryos available: transfer one cleavage-stage embryo in the fresh cycle, followed by one blastocyst-stage embryo in the subsequent frozen-thawed cycle. This strategy reduces the risk of blastocyst culture failure while maintaining a high success rate. It offers hope to families seeking additional children and avoids unnecessary embryo disposal.&lt;/jats:p&gt;
               &lt;/jats:sec&gt;
               &lt;jats:sec&gt;
                  &lt;jats:title&gt;STUDY FUNDING/COMPETING INTEREST(S)&lt;/jats:title&gt;
                  &lt;jats:p&gt;B.W.M. had received grants from NHMRC, Ferring, Merck, and Guerbet, consulting fees and stock options from ObsEva, is on the advisory board of ObsEva, and reports consultancy for Guerbet, none of which are in relation to the present manuscript. All other authors have no conflict of interest to declare.&lt;/jats:p&gt;
               &lt;/jats:sec&gt;
               &lt;jats:sec&gt;
                  &lt;jats:title&gt;TRIAL REGISTRATION NUMBER&lt;/jats:title&gt;
                  &lt;jats:p&gt;N/A.&lt;/jats:p&gt;
               &lt;/jats:sec&gt;</t>
  </si>
  <si>
    <t>10.1038/s41598-022-22677-0</t>
  </si>
  <si>
    <t>&lt;jats:title&gt;Abstract&lt;/jats:title&gt;&lt;jats:p&gt;The main objective of radiotherapy is to exploit the curative potential of ionizing radiation while inflicting minimal radiation-induced damage to healthy tissue and sensitive organs. Proton beam therapy has been developed to irradiate the tumor with higher precision and dose conformity compared to conventional X-ray irradiation. The dose conformity of this treatment modality may be further improved if narrower proton beams are used. Still, this is limited by multiple Coulomb scattering of protons through tissue. The primary aim of this work was to develop techniques to produce narrow proton beams and investigate the resulting dose profiles. We introduced and assessed three different proton beam shaping techniques: (1) metal collimators (100/150 MeV), (2) focusing of conventional- (100/150 MeV), and (3) focusing of high-energy (350 MeV, shoot-through) proton beams. Focusing was governed by the initial value of the Twiss parameter&lt;jats:inline-formula&gt;&lt;jats:alternatives&gt;&lt;jats:tex-math&gt;$$\alpha$$&lt;/jats:tex-math&gt;&lt;mml:math xmlns:mml="http://www.w3.org/1998/Math/MathML"&gt;&lt;mml:mi&gt;α&lt;/mml:mi&gt;&lt;/mml:math&gt;&lt;/jats:alternatives&gt;&lt;/jats:inline-formula&gt; (&lt;jats:inline-formula&gt;&lt;jats:alternatives&gt;&lt;jats:tex-math&gt;$$\alpha _0$$&lt;/jats:tex-math&gt;&lt;mml:math xmlns:mml="http://www.w3.org/1998/Math/MathML"&gt;&lt;mml:msub&gt;&lt;mml:mi&gt;α&lt;/mml:mi&gt;&lt;mml:mn&gt;0&lt;/mml:mn&gt;&lt;/mml:msub&gt;&lt;/mml:math&gt;&lt;/jats:alternatives&gt;&lt;/jats:inline-formula&gt;), and can be implemented with magnetic particle accelerator optics. The dose distributions in water were calculated by Monte Carlo simulations using Geant4, and evaluated by target to surface dose ratio (TSDR) in addition to the transverse beam size (&lt;jats:inline-formula&gt;&lt;jats:alternatives&gt;&lt;jats:tex-math&gt;$$\sigma _T$$&lt;/jats:tex-math&gt;&lt;mml:math xmlns:mml="http://www.w3.org/1998/Math/MathML"&gt;&lt;mml:msub&gt;&lt;mml:mi&gt;σ&lt;/mml:mi&gt;&lt;mml:mi&gt;T&lt;/mml:mi&gt;&lt;/mml:msub&gt;&lt;/mml:math&gt;&lt;/jats:alternatives&gt;&lt;/jats:inline-formula&gt;) at the target. The target was defined as the location of the Bragg peak or the focal point. The different techniques showed greatly differing dose profiles, where focusing gave pronouncedly higher relative target dose and efficient use of primary protons. Metal collimators with radii&lt;jats:inline-formula&gt;&lt;jats:alternatives&gt;&lt;jats:tex-math&gt;$$&amp;lt;\,2~\mathrm{mm}$$&lt;/jats:tex-math&gt;&lt;mml:math xmlns:mml="http://www.w3.org/1998/Math/MathML"&gt;&lt;mml:mrow&gt;&lt;mml:mo&gt;&amp;lt;&lt;/mml:mo&gt;&lt;mml:mspace/&gt;&lt;mml:mn&gt;2&lt;/mml:mn&gt;&lt;mml:mspace/&gt;&lt;mml:mi&gt;mm&lt;/mml:mi&gt;&lt;/mml:mrow&gt;&lt;/mml:math&gt;&lt;/jats:alternatives&gt;&lt;/jats:inline-formula&gt;gave low TSDRs (&lt;jats:inline-formula&gt;&lt;jats:alternatives&gt;&lt;jats:tex-math&gt;$$&amp;lt;~0.7$$&lt;/jats:tex-math&gt;&lt;mml:math xmlns:mml="http://www.w3.org/1998/Math/MathML"&gt;&lt;mml:mrow&gt;&lt;mml:mo&gt;&amp;lt;&lt;/mml:mo&gt;&lt;mml:mspace/&gt;&lt;mml:mn&gt;0.7&lt;/mml:mn&gt;&lt;/mml:mrow&gt;&lt;/mml:math&gt;&lt;/jats:alternatives&gt;&lt;/jats:inline-formula&gt;) and large&lt;jats:inline-formula&gt;&lt;jats:alternatives&gt;&lt;jats:tex-math&gt;$$\sigma _T$$&lt;/jats:tex-math&gt;&lt;mml:math xmlns:mml="http://www.w3.org/1998/Math/MathML"&gt;&lt;mml:msub&gt;&lt;mml:mi&gt;σ&lt;/mml:mi&gt;&lt;mml:mi&gt;T&lt;/mml:mi&gt;&lt;/mml:msub&gt;&lt;/mml:math&gt;&lt;/jats:alternatives&gt;&lt;/jats:inline-formula&gt;(&lt;jats:inline-formula&gt;&lt;jats:alternatives&gt;&lt;jats:tex-math&gt;$$&amp;gt;~3.6~\hbox {mm}$$&lt;/jats:tex-math&gt;&lt;mml:math xmlns:mml="http://www.w3.org/1998/Math/MathML"&gt;&lt;mml:mrow&gt;&lt;mml:mo&gt;&amp;gt;&lt;/mml:mo&gt;&lt;mml:mspace/&gt;&lt;mml:mn&gt;3.6&lt;/mml:mn&gt;&lt;mml:mspace/&gt;&lt;mml:mtext&gt;mm&lt;/mml:mtext&gt;&lt;/mml:mrow&gt;&lt;/mml:math&gt;&lt;/jats:alternatives&gt;&lt;/jats:inline-formula&gt;). In contrast, a focused beam of conventional (&lt;jats:inline-formula&gt;&lt;jats:alternatives&gt;&lt;jats:tex-math&gt;$$150~\hbox {MeV}$$&lt;/jats:tex-math&gt;&lt;mml:math xmlns:mml="http://www.w3.org/1998/Math/MathML"&gt;&lt;mml:mrow&gt;&lt;mml:mn&gt;150&lt;/mml:mn&gt;&lt;mml:mspace/&gt;&lt;mml:mtext&gt;MeV&lt;/mml:mtext&gt;&lt;/mml:mrow&gt;&lt;/mml:math&gt;&lt;/jats:alternatives&gt;&lt;/jats:inline-formula&gt;) energy produced a very high TSDR (&lt;jats:inline-formula&gt;&lt;jats:alternatives&gt;&lt;jats:tex-math&gt;$$&amp;gt;~80$$&lt;/jats:tex-math&gt;&lt;mml:math xmlns:mml="http://www.w3.org/1998/Math/MathML"&gt;&lt;mml:mrow&gt;&lt;mml:mo&gt;&amp;gt;&lt;/mml:mo&gt;&lt;mml:mspace/&gt;&lt;mml:mn&gt;80&lt;/mml:mn&gt;&lt;/mml:mrow&gt;&lt;/mml:math&gt;&lt;/jats:alternatives&gt;&lt;/jats:inline-formula&gt;) with similar&lt;jats:inline-formula&gt;&lt;jats:alternatives&gt;&lt;jats:tex-math&gt;$$\sigma _T$$&lt;/jats:tex-math&gt;&lt;mml:math xmlns:mml="http://www.w3.org/1998/Math/MathML"&gt;&lt;mml:msub&gt;&lt;mml:mi&gt;σ&lt;/mml:mi&gt;&lt;mml:mi&gt;T&lt;/mml:mi&gt;&lt;/mml:msub&gt;&lt;/mml:math&gt;&lt;/jats:alternatives&gt;&lt;/jats:inline-formula&gt;as a collimated beam. High-energy focused beams were able to produce TSDRs&lt;jats:inline-formula&gt;&lt;jats:alternatives&gt;&lt;jats:tex-math&gt;$$&amp;gt;~100$$&lt;/jats:tex-math&gt;&lt;mml:math xmlns:mml="http://www.w3.org/1998/Math/MathML"&gt;&lt;mml:mrow&gt;&lt;mml:mo&gt;&amp;gt;&lt;/mml:mo&gt;&lt;mml:mspace/&gt;&lt;mml:mn&gt;100&lt;/mml:mn&gt;&lt;/mml:mrow&gt;&lt;/mml:math&gt;&lt;/jats:alternatives&gt;&lt;/jats:inline-formula&gt;and&lt;jats:inline-formula&gt;&lt;jats:alternatives&gt;&lt;jats:tex-math&gt;$$\sigma _T$$&lt;/jats:tex-math&gt;&lt;mml:math xmlns:mml="http://www.w3.org/1998/Math/MathML"&gt;&lt;mml:msub&gt;&lt;mml:mi&gt;σ&lt;/mml:mi&gt;&lt;mml:mi&gt;T&lt;/mml:mi&gt;&lt;/mml:msub&gt;&lt;/mml:math&gt;&lt;/jats:alternatives&gt;&lt;/jats:inline-formula&gt;around 1.5 mm. From this study, it appears very attractive to implement magnetically focused proton beams in radiotherapy of small lesions or tumors in close vicinity to healthy organs at risk. This can also lead to a paradigm change in spatially fractionated radiotherapy. Magnetic focusing would facilitate FLASH irradiation due to low losses of primary protons.&lt;/jats:p&gt;</t>
  </si>
  <si>
    <t>10.1103/physrevd.110.036015</t>
  </si>
  <si>
    <t>&lt;jats:p&gt;In this paper, we study the quasi-two-body decays &lt;a:math xmlns:a="http://www.w3.org/1998/Math/MathML" display="inline"&gt;&lt;a:mi&gt;B&lt;/a:mi&gt;&lt;a:mo stretchy="false"&gt;→&lt;/a:mo&gt;&lt;a:mi&gt;P&lt;/a:mi&gt;&lt;a:msub&gt;&lt;a:mi&gt;f&lt;/a:mi&gt;&lt;a:mn&gt;0&lt;/a:mn&gt;&lt;/a:msub&gt;&lt;a:mo stretchy="false"&gt;(&lt;/a:mo&gt;&lt;a:mn&gt;500&lt;/a:mn&gt;&lt;a:mo stretchy="false"&gt;)&lt;/a:mo&gt;&lt;a:mo stretchy="false"&gt;→&lt;/a:mo&gt;&lt;a:mi&gt;P&lt;/a:mi&gt;&lt;a:msup&gt;&lt;a:mi&gt;π&lt;/a:mi&gt;&lt;a:mo&gt;+&lt;/a:mo&gt;&lt;/a:msup&gt;&lt;a:msup&gt;&lt;a:mi&gt;π&lt;/a:mi&gt;&lt;a:mo&gt;−&lt;/a:mo&gt;&lt;/a:msup&gt;&lt;/a:math&gt; [with &lt;g:math xmlns:g="http://www.w3.org/1998/Math/MathML" display="inline"&gt;&lt;g:mi&gt;P&lt;/g:mi&gt;&lt;g:mo&gt;=&lt;/g:mo&gt;&lt;g:mo stretchy="false"&gt;(&lt;/g:mo&gt;&lt;g:mi&gt;π&lt;/g:mi&gt;&lt;g:mo&gt;,&lt;/g:mo&gt;&lt;g:mi&gt;K&lt;/g:mi&gt;&lt;g:mo&gt;,&lt;/g:mo&gt;&lt;g:mi&gt;η&lt;/g:mi&gt;&lt;g:mo&gt;,&lt;/g:mo&gt;&lt;g:msup&gt;&lt;g:mi&gt;η&lt;/g:mi&gt;&lt;g:mo&gt;′&lt;/g:mo&gt;&lt;/g:msup&gt;&lt;g:mo stretchy="false"&gt;)&lt;/g:mo&gt;&lt;/g:math&gt;] within framework of perturbative QCD (PQCD) factorization approach. With the help of &lt;k:math xmlns:k="http://www.w3.org/1998/Math/MathML" display="inline"&gt;&lt;k:mi&gt;π&lt;/k:mi&gt;&lt;k:mo&gt;−&lt;/k:mo&gt;&lt;k:mi&gt;π&lt;/k:mi&gt;&lt;/k:math&gt; distribution amplitude and scalar form factor &lt;m:math xmlns:m="http://www.w3.org/1998/Math/MathML" display="inline"&gt;&lt;m:msub&gt;&lt;m:mi&gt;F&lt;/m:mi&gt;&lt;m:mrow&gt;&lt;m:mi&gt;π&lt;/m:mi&gt;&lt;m:mi&gt;π&lt;/m:mi&gt;&lt;/m:mrow&gt;&lt;/m:msub&gt;&lt;m:mo stretchy="false"&gt;(&lt;/m:mo&gt;&lt;m:msup&gt;&lt;m:mi&gt;ω&lt;/m:mi&gt;&lt;m:mn&gt;2&lt;/m:mn&gt;&lt;/m:msup&gt;&lt;m:mo stretchy="false"&gt;)&lt;/m:mo&gt;&lt;/m:math&gt;, we calculate the &lt;q:math xmlns:q="http://www.w3.org/1998/Math/MathML" display="inline"&gt;&lt;q:mi&gt;C&lt;/q:mi&gt;&lt;q:mi&gt;P&lt;/q:mi&gt;&lt;/q:math&gt; averaged branching fraction and the &lt;s:math xmlns:s="http://www.w3.org/1998/Math/MathML" display="inline"&gt;&lt;s:mi&gt;C&lt;/s:mi&gt;&lt;s:mi&gt;P&lt;/s:mi&gt;&lt;/s:math&gt; asymmetry for the quasi-two-body decays &lt;u:math xmlns:u="http://www.w3.org/1998/Math/MathML" display="inline"&gt;&lt;u:mi&gt;B&lt;/u:mi&gt;&lt;u:mo stretchy="false"&gt;→&lt;/u:mo&gt;&lt;u:mi&gt;P&lt;/u:mi&gt;&lt;u:msub&gt;&lt;u:mi&gt;f&lt;/u:mi&gt;&lt;u:mn&gt;0&lt;/u:mn&gt;&lt;/u:msub&gt;&lt;u:mo stretchy="false"&gt;(&lt;/u:mo&gt;&lt;u:mn&gt;500&lt;/u:mn&gt;&lt;u:mo stretchy="false"&gt;)&lt;/u:mo&gt;&lt;u:mo stretchy="false"&gt;→&lt;/u:mo&gt;&lt;u:mi&gt;P&lt;/u:mi&gt;&lt;u:msup&gt;&lt;u:mi&gt;π&lt;/u:mi&gt;&lt;u:mo&gt;+&lt;/u:mo&gt;&lt;/u:msup&gt;&lt;u:msup&gt;&lt;u:mi&gt;π&lt;/u:mi&gt;&lt;u:mo&gt;−&lt;/u:mo&gt;&lt;/u:msup&gt;&lt;/u:math&gt;. Taking the quasi-two-body decay &lt;ab:math xmlns:ab="http://www.w3.org/1998/Math/MathML" display="inline"&gt;&lt;ab:msup&gt;&lt;ab:mi&gt;B&lt;/ab:mi&gt;&lt;ab:mo&gt;+&lt;/ab:mo&gt;&lt;/ab:msup&gt;&lt;ab:mo stretchy="false"&gt;→&lt;/ab:mo&gt;&lt;ab:msup&gt;&lt;ab:mi&gt;π&lt;/ab:mi&gt;&lt;ab:mo&gt;+&lt;/ab:mo&gt;&lt;/ab:msup&gt;&lt;ab:msub&gt;&lt;ab:mi&gt;f&lt;/ab:mi&gt;&lt;ab:mn&gt;0&lt;/ab:mn&gt;&lt;/ab:msub&gt;&lt;ab:mo stretchy="false"&gt;(&lt;/ab:mo&gt;&lt;ab:mn&gt;500&lt;/ab:mn&gt;&lt;ab:mo stretchy="false"&gt;)&lt;/ab:mo&gt;&lt;ab:mo stretchy="false"&gt;→&lt;/ab:mo&gt;&lt;ab:msup&gt;&lt;ab:mi&gt;π&lt;/ab:mi&gt;&lt;ab:mo&gt;+&lt;/ab:mo&gt;&lt;/ab:msup&gt;&lt;ab:msup&gt;&lt;ab:mi&gt;π&lt;/ab:mi&gt;&lt;ab:mo&gt;+&lt;/ab:mo&gt;&lt;/ab:msup&gt;&lt;ab:msup&gt;&lt;ab:mi&gt;π&lt;/ab:mi&gt;&lt;ab:mo&gt;−&lt;/ab:mo&gt;&lt;/ab:msup&gt;&lt;/ab:math&gt; as an explicit example, we present the behavior of differential branching fraction and direct &lt;gb:math xmlns:gb="http://www.w3.org/1998/Math/MathML" display="inline"&gt;&lt;gb:mi&gt;C&lt;/gb:mi&gt;&lt;gb:mi&gt;P&lt;/gb:mi&gt;&lt;/gb:math&gt; violation versus the &lt;ib:math xmlns:ib="http://www.w3.org/1998/Math/MathML" display="inline"&gt;&lt;ib:mrow&gt;&lt;ib:mi&gt;π&lt;/ib:mi&gt;&lt;ib:mtext&gt;−&lt;/ib:mtext&gt;&lt;ib:mi&gt;π&lt;/ib:mi&gt;&lt;/ib:mrow&gt;&lt;/ib:math&gt; invariant mass. The total branching fraction and direct &lt;kb:math xmlns:kb="http://www.w3.org/1998/Math/MathML" display="inline"&gt;&lt;kb:mi&gt;C&lt;/kb:mi&gt;&lt;kb:mi&gt;P&lt;/kb:mi&gt;&lt;/kb:math&gt; violation are &lt;mb:math xmlns:mb="http://www.w3.org/1998/Math/MathML" display="inline"&gt;&lt;mb:mi mathvariant="script"&gt;B&lt;/mb:mi&gt;&lt;mb:mo stretchy="false"&gt;(&lt;/mb:mo&gt;&lt;mb:msup&gt;&lt;mb:mi&gt;B&lt;/mb:mi&gt;&lt;mb:mo&gt;+&lt;/mb:mo&gt;&lt;/mb:msup&gt;&lt;mb:mo stretchy="false"&gt;→&lt;/mb:mo&gt;&lt;mb:msup&gt;&lt;mb:mi&gt;π&lt;/mb:mi&gt;&lt;mb:mo&gt;+&lt;/mb:mo&gt;&lt;/mb:msup&gt;&lt;mb:mo stretchy="false"&gt;[&lt;/mb:mo&gt;&lt;mb:mi&gt;σ&lt;/mb:mi&gt;&lt;mb:mo stretchy="false"&gt;→&lt;/mb:mo&gt;&lt;mb:mo stretchy="false"&gt;]&lt;/mb:mo&gt;&lt;mb:msup&gt;&lt;mb:mi&gt;π&lt;/mb:mi&gt;&lt;mb:mo&gt;+&lt;/mb:mo&gt;&lt;/mb:msup&gt;&lt;mb:msup&gt;&lt;mb:mi&gt;π&lt;/mb:mi&gt;&lt;mb:mo&gt;−&lt;/mb:mo&gt;&lt;/mb:msup&gt;&lt;mb:mo stretchy="false"&gt;)&lt;/mb:mo&gt;&lt;mb:mo&gt;=&lt;/mb:mo&gt;&lt;mb:mo stretchy="false"&gt;(&lt;/mb:mo&gt;&lt;mb:mn&gt;1.78&lt;/mb:mn&gt;&lt;mb:mo&gt;±&lt;/mb:mo&gt;&lt;mb:mn&gt;0.41&lt;/mb:mn&gt;&lt;mb:mo&gt;±&lt;/mb:mo&gt;&lt;mb:mn&gt;0.51&lt;/mb:mn&gt;&lt;mb:mo stretchy="false"&gt;)&lt;/mb:mo&gt;&lt;mb:mo&gt;×&lt;/mb:mo&gt;&lt;mb:msup&gt;&lt;mb:mn&gt;10&lt;/mb:mn&gt;&lt;mb:mrow&gt;&lt;mb:mo&gt;−&lt;/mb:mo&gt;&lt;mb:mn&gt;6&lt;/mb:mn&gt;&lt;/mb:mrow&gt;&lt;/mb:msup&gt;&lt;/mb:math&gt; and &lt;xb:math xmlns:xb="http://www.w3.org/1998/Math/MathML" display="inline"&gt;&lt;xb:msub&gt;&lt;xb:mi mathvariant="script"&gt;A&lt;/xb:mi&gt;&lt;xb:mrow&gt;&lt;xb:mi&gt;C&lt;/xb:mi&gt;&lt;xb:mi&gt;P&lt;/xb:mi&gt;&lt;/xb:mrow&gt;&lt;/xb:msub&gt;&lt;xb:mo stretchy="false"&gt;(&lt;/xb:mo&gt;&lt;xb:msup&gt;&lt;xb:mi&gt;B&lt;/xb:mi&gt;&lt;xb:mo&gt;+&lt;/xb:mo&gt;&lt;/xb:msup&gt;&lt;xb:mo stretchy="false"&gt;→&lt;/xb:mo&gt;&lt;xb:msup&gt;&lt;xb:mi&gt;π&lt;/xb:mi&gt;&lt;xb:mo&gt;+&lt;/xb:mo&gt;&lt;/xb:msup&gt;&lt;xb:mo stretchy="false"&gt;[&lt;/xb:mo&gt;&lt;xb:mi&gt;σ&lt;/xb:mi&gt;&lt;xb:mo stretchy="false"&gt;→&lt;/xb:mo&gt;&lt;xb:mo stretchy="false"&gt;]&lt;/xb:mo&gt;&lt;xb:msup&gt;&lt;xb:mi&gt;π&lt;/xb:mi&gt;&lt;xb:mo&gt;+&lt;/xb:mo&gt;&lt;/xb:msup&gt;&lt;xb:msup&gt;&lt;xb:mi&gt;π&lt;/xb:mi&gt;&lt;xb:mo&gt;−&lt;/xb:mo&gt;&lt;/xb:msup&gt;&lt;xb:mo stretchy="false"&gt;)&lt;/xb:mo&gt;&lt;xb:mo&gt;=&lt;/xb:mo&gt;&lt;xb:mo stretchy="false"&gt;(&lt;/xb:mo&gt;&lt;xb:mn&gt;29.8&lt;/xb:mn&gt;&lt;xb:mo&gt;±&lt;/xb:mo&gt;&lt;xb:mn&gt;11.1&lt;/xb:mn&gt;&lt;xb:mo&gt;±&lt;/xb:mo&gt;&lt;xb:mn&gt;13.0&lt;/xb:mn&gt;&lt;xb:mo stretchy="false"&gt;)&lt;/xb:mo&gt;&lt;xb:mo&gt;%&lt;/xb:mo&gt;&lt;/xb:math&gt; respectively. Our results could be tested by further experiments.&lt;/jats:p&gt;
          &lt;jats:sec&gt;
            &lt;jats:title/&gt;
            &lt;jats:supplementary-material&gt;
              &lt;jats:permissions&gt;
                &lt;jats:copyright-statement&gt;Published by the American Physical Society&lt;/jats:copyright-statement&gt;
                &lt;jats:copyright-year&gt;2024&lt;/jats:copyright-year&gt;
              &lt;/jats:permissions&gt;
            &lt;/jats:supplementary-material&gt;
          &lt;/jats:sec&gt;</t>
  </si>
  <si>
    <t>10.33425/2692-7918.1054</t>
  </si>
  <si>
    <t>&lt;jats:p&gt;The conceptual framework of cognitive networks, or cognits, represents a system of working memory, especially long-term memory arrays that are intrinsically designed to attain certain behavioral ends and that are activated by a neural structure. Despite the fact that cognitions can be used in a plethora of systems, current technologies allow manipulations of the central nervous system (CNS) to execute certain sensory and motor functions. Sensation and tactual perception by the skin are an innate mechanism for human survival and represent our adaptive somatosensorial ability to apprehend information via haptics—the active touch for object recognition and perception by higher centers of the brain. The somatosensation, which is identified by a set of channels and receptors sensitive to a variety of stimuli (thermal, tactile, and mechanical), is critical to survival, balance control, cognition, and pain modulation. Cognits are cutting-edge tools and modalities that provide a landscape of theoretical assets, evidencebased experimental protocols, computational intelligence schemes, and direct empirical modalities that facilitate the understanding of the complex functionalities of the human brain. By evaluating neuroimaging data after somatosensory stimulation and collected via electroencephalogram (EEG), cognition response and change can be obtained that allows researchers to gain a better understanding of emerging scientific approaches aimed at understanding human behavioral outcomes. An emerging technology, haptic vibrotactile trigger technology (VTT), incorporates somatosensory patterns in compression sleeves. eSmartr Smart Compression Sleeves (Srysty Holdings Inc., Mississauga, ON, Canada) with VTT and its Cognitive Boost Technology (CBT) pattern is designed to optimize neural communications for improved mindful wellness. This technology has also been incorporated into patches, braces, apparel (socks), wrist bands, and other routes of delivery. Mindful wellness is considered an outcome of somatosensory intervention that modulates the behavioral responses associated with cognitive networks. Currently, there is limited research exploring these modalities, exposing the need to study new technologies and their influence on somatosensory pathways and cognitive networks. The purpose of this IRB-approved study was to explore the effects of forearm VTT stimulation patterns on cognitive networks by comparing a baseline EEG to an EEG after placing a sleeve incorporating VTT on the right or left forearm of adult healthy individuals. Materials and methods: A baseline EEG was recorded over 5 minutes from 19 scalp locations on 20 subjects ranging in age from 17.6 years to 41.9 years (n=7 females, 13 males). The subject’s dominant arm was then fitted with the eSmartr Smart Compression Sleeve for 20 minutes and another 5-minute EEG was recorded. Both the LORETA (Low Resolution Electromagnetic Tomography Analysis) inverse solution and a power spectral analysis of the surface EEG were calculated. Additionally, for 10 distinct networks, the current sources from 88 Brodmann areas were computed. The variables were absolute power and absolute current density in 1 Hz increments in 10 frequency bands (delta, theta, alpha-1, alpha-2, beta-1, beta-2, beta-3, and hi-beta). Paired t-tests were computed for each individual for all EEG parameters, as well as group paired t-tests, between the baseline EEG and followup EEG. Results: The results showed statistically significant t-test differences (P &amp;lt; 0.01) in both the surface EEG and the LORETA current sources between the baseline measurement and the follow-up ‘sleeve-on’ measurement. The largest differences were detected with a prominent downregulation of alpha and beta frequency powers at both the surface EEG and the LORETA current sources with the “sleeve-on,” as compared to baseline. In addition, the maximal effects of the “sleeve-on” condition were in the left frontal and left temporal surface EEGs and on the medial bank of the somatosensory cortex in the range of the alpha frequency. Changes in the default network and attention network were also prominent. Conclusions: Study results indicate that these non-pharmacologic, non-invasive, haptic vibrotactile trigger technology (VTT) patterned compression sleeves elicited a response in multiple cognitive networks. These networks play a key role in executive function, memory, attention, mood, and information flow. There was a prominent effect of the haptic vibrotactile trigger technology with the CBT- patterned sleeves on the EEG that was primarily located in alpha and beta frequency bands. The substantial impacts on the homuncular projection of the arm to the medial somatosensory cortex as well as the default network demonstrated activity influenced by the patterned sleeve. The mechanisms of action of the VTT sleeve on the brain, neuropathways, and the EEG spectrum are still being investigated. If results are confirmed with further research, this novel VTT technology could be a promising addition as a non-invasive and non-drug treatment approach for a variety of conditions and therapeutic applications.&lt;/jats:p&gt;</t>
  </si>
  <si>
    <t>10.1155/2021/6678085</t>
  </si>
  <si>
    <t>&lt;jats:p&gt;The effect of Ni on microstructure, elemental partition behavior, &lt;jats:inline-formula&gt;
                     &lt;a:math xmlns:a="http://www.w3.org/1998/Math/MathML" id="M1"&gt;
                        &lt;a:msup&gt;
                           &lt;a:mrow&gt;
                              &lt;a:mi&gt;γ&lt;/a:mi&gt;
                           &lt;/a:mrow&gt;
                           &lt;a:mrow&gt;
                              &lt;a:mo&gt;′&lt;/a:mo&gt;
                           &lt;/a:mrow&gt;
                        &lt;/a:msup&gt;
                     &lt;/a:math&gt;
                  &lt;/jats:inline-formula&gt; phase solvus temperature, lattice misfit between &lt;jats:inline-formula&gt;
                     &lt;c:math xmlns:c="http://www.w3.org/1998/Math/MathML" id="M2"&gt;
                        &lt;c:mi&gt;γ&lt;/c:mi&gt;
                     &lt;/c:math&gt;
                  &lt;/jats:inline-formula&gt; and &lt;jats:inline-formula&gt;
                     &lt;e:math xmlns:e="http://www.w3.org/1998/Math/MathML" id="M3"&gt;
                        &lt;e:msup&gt;
                           &lt;e:mrow&gt;
                              &lt;e:mi&gt;γ&lt;/e:mi&gt;
                           &lt;/e:mrow&gt;
                           &lt;e:mrow&gt;
                              &lt;e:mo&gt;′&lt;/e:mo&gt;
                           &lt;/e:mrow&gt;
                        &lt;/e:msup&gt;
                     &lt;/e:math&gt;
                  &lt;/jats:inline-formula&gt; phases, and mechanical properties of the Co-8Ti-11V-xNi alloys was investigated. The result shows that the lattice misfit in the alloys decreases from 0.74% to 0.61% as the Ni content increases from 0 to 10%, and the average sizes of the cuboidal &lt;jats:inline-formula&gt;
                     &lt;g:math xmlns:g="http://www.w3.org/1998/Math/MathML" id="M4"&gt;
                        &lt;g:msup&gt;
                           &lt;g:mrow&gt;
                              &lt;g:mi&gt;γ&lt;/g:mi&gt;
                           &lt;/g:mrow&gt;
                           &lt;g:mrow&gt;
                              &lt;g:mo&gt;′&lt;/g:mo&gt;
                           &lt;/g:mrow&gt;
                        &lt;/g:msup&gt;
                     &lt;/g:math&gt;
                  &lt;/jats:inline-formula&gt; phase were measured to be 312.10 nm, 112.86 nm, and 141.84 nm for the Co-8Ti-11V, Co-8Ti-11V-5Ni, and Co-8Ti-11V-10Ni, respectively. Ti, V, and Ni exhibit a slight tendency to partition into the &lt;jats:inline-formula&gt;
                     &lt;i:math xmlns:i="http://www.w3.org/1998/Math/MathML" id="M5"&gt;
                        &lt;i:msup&gt;
                           &lt;i:mrow&gt;
                              &lt;i:mi&gt;γ&lt;/i:mi&gt;
                           &lt;/i:mrow&gt;
                           &lt;i:mrow&gt;
                              &lt;i:mo&gt;′&lt;/i:mo&gt;
                           &lt;/i:mrow&gt;
                        &lt;/i:msup&gt;
                     &lt;/i:math&gt;
                  &lt;/jats:inline-formula&gt; phase, while Co shows a slight tendency to partition into the &lt;jats:inline-formula&gt;
                     &lt;k:math xmlns:k="http://www.w3.org/1998/Math/MathML" id="M6"&gt;
                        &lt;k:mi&gt;γ&lt;/k:mi&gt;
                     &lt;/k:math&gt;
                  &lt;/jats:inline-formula&gt; phase. The solvus temperatures of the &lt;jats:inline-formula&gt;
                     &lt;m:math xmlns:m="http://www.w3.org/1998/Math/MathML" id="M7"&gt;
                        &lt;m:msup&gt;
                           &lt;m:mrow&gt;
                              &lt;m:mi&gt;γ&lt;/m:mi&gt;
                           &lt;/m:mrow&gt;
                           &lt;m:mrow&gt;
                              &lt;m:mo&gt;′&lt;/m:mo&gt;
                           &lt;/m:mrow&gt;
                        &lt;/m:msup&gt;
                     &lt;/m:math&gt;
                  &lt;/jats:inline-formula&gt; phase were measured to be 1167°C, 1114°C, and 1108°C for the Co-8Ti-11V, Co-8Ti-11V-5Ni, and Co-8Ti-11V-10Ni alloys, respectively, by using differential scanning calorimetry (DSC). Moreover, the yield strength and ultimate strength of the Co-8Ti-11V, Co-8Ti-11V-5Ni, and Co-8Ti-11V-10Ni alloys were investigated, and the yield strength and ultimate strength of the 10Ni alloy were highest, at 219 MPa and 240 MPa. After compression at 1000°C, the dislocations cannot effectively shear the &lt;jats:inline-formula&gt;
                     &lt;o:math xmlns:o="http://www.w3.org/1998/Math/MathML" id="M8"&gt;
                        &lt;o:msup&gt;
                           &lt;o:mrow&gt;
                              &lt;o:mi&gt;γ&lt;/o:mi&gt;
                           &lt;/o:mrow&gt;
                           &lt;o:mrow&gt;
                              &lt;o:mo&gt;′&lt;/o:mo&gt;
                           &lt;/o:mrow&gt;
                        &lt;/o:msup&gt;
                     &lt;/o:math&gt;
                  &lt;/jats:inline-formula&gt; phase in the 0Ni and 10Ni alloys, resulting in a relatively high compressive strength of the 0Ni and 10Ni alloys. However, the &lt;jats:inline-formula&gt;
                     &lt;q:math xmlns:q="http://www.w3.org/1998/Math/MathML" id="M9"&gt;
                        &lt;q:msup&gt;
                           &lt;q:mrow&gt;
                              &lt;q:mi&gt;γ&lt;/q:mi&gt;
                           &lt;/q:mrow&gt;
                           &lt;q:mrow&gt;
                              &lt;q:mo&gt;′&lt;/q:mo&gt;
                           &lt;/q:mrow&gt;
                        &lt;/q:msup&gt;
                     &lt;/q:math&gt;
                  &lt;/jats:inline-formula&gt; phase of the 5Ni alloy is no longer visible, and its strength is the lowest.&lt;/jats:p&gt;</t>
  </si>
  <si>
    <t>10.1002/cam4.70771</t>
  </si>
  <si>
    <t>&lt;jats:title&gt;ABSTRACT&lt;/jats:title&gt;&lt;jats:sec&gt;&lt;jats:title&gt;Background&lt;/jats:title&gt;&lt;jats:p&gt;&lt;jats:styled-content style="fixed-case"&gt;m&lt;jats:sup&gt;6&lt;/jats:sup&gt;A&lt;/jats:styled-content&gt; represents a prevalent epigenetic modification of mammalian &lt;jats:styled-content style="fixed-case"&gt;mRNAs&lt;/jats:styled-content&gt;. Studies have demonstrated that &lt;jats:styled-content style="fixed-case"&gt;m&lt;jats:sup&gt;6&lt;/jats:sup&gt;A RNA&lt;/jats:styled-content&gt; methylation‐modifying enzymes play crucial roles in the onset and progression of &lt;jats:styled-content style="fixed-case"&gt;AML&lt;/jats:styled-content&gt;. However, their clinical relevance remains undefined, and the mechanisms underlying their modulation of &lt;jats:styled-content style="fixed-case"&gt;AML&lt;/jats:styled-content&gt; have yet to be elucidated.&lt;/jats:p&gt;&lt;/jats:sec&gt;&lt;jats:sec&gt;&lt;jats:title&gt;Results&lt;/jats:title&gt;&lt;jats:p&gt;The expression levels of the &lt;jats:styled-content style="fixed-case"&gt;m&lt;jats:sup&gt;6&lt;/jats:sup&gt;A RNA&lt;/jats:styled-content&gt;‐modifying enzymes &lt;jats:styled-content style="fixed-case"&gt;METTL3&lt;/jats:styled-content&gt;, &lt;jats:styled-content style="fixed-case"&gt;METTL14&lt;/jats:styled-content&gt;, &lt;jats:styled-content style="fixed-case"&gt;WTAP&lt;/jats:styled-content&gt;, &lt;jats:styled-content style="fixed-case"&gt;FTO&lt;/jats:styled-content&gt; and &lt;jats:styled-content style="fixed-case"&gt;ALKBH5&lt;/jats:styled-content&gt; were elevated in &lt;jats:styled-content style="fixed-case"&gt;AML&lt;/jats:styled-content&gt; patients. &lt;jats:styled-content style="fixed-case"&gt;METTL3&lt;/jats:styled-content&gt;‐positive &lt;jats:styled-content style="fixed-case"&gt;AML&lt;/jats:styled-content&gt; is often accompanied by &lt;jats:styled-content style="fixed-case"&gt;DNMT3A&lt;/jats:styled-content&gt; mutations and is also an independent poor prognostic factor for &lt;jats:styled-content style="fixed-case"&gt;AML&lt;/jats:styled-content&gt; patients. Following &lt;jats:styled-content style="fixed-case"&gt;METTL3&lt;/jats:styled-content&gt; knockdown, we observed a decrease in the &lt;jats:styled-content style="fixed-case"&gt;m&lt;jats:sup&gt;6&lt;/jats:sup&gt;A&lt;/jats:styled-content&gt; level of the mitochondrial oxidative stress gene &lt;jats:styled-content style="fixed-case"&gt;PGC&lt;/jats:styled-content&gt;‐1α in &lt;jats:styled-content style="fixed-case"&gt;K562&lt;/jats:styled-content&gt; and &lt;jats:styled-content style="fixed-case"&gt;MV4&lt;/jats:styled-content&gt;‐11 cells. We analyzed the expression levels of &lt;jats:styled-content style="fixed-case"&gt;PGC&lt;/jats:styled-content&gt;‐1α and &lt;jats:styled-content style="fixed-case"&gt;METTL3 mRNA&lt;/jats:styled-content&gt; in 105 patients with primary &lt;jats:styled-content style="fixed-case"&gt;AML&lt;/jats:styled-content&gt;. The expression levels of &lt;jats:styled-content style="fixed-case"&gt;PGC&lt;/jats:styled-content&gt;‐1α and &lt;jats:styled-content style="fixed-case"&gt;METTL3 mRNA&lt;/jats:styled-content&gt; were positively correlated. Similar to &lt;jats:styled-content style="fixed-case"&gt;METTL3&lt;/jats:styled-content&gt; knockdown, &lt;jats:styled-content style="fixed-case"&gt;PGC&lt;/jats:styled-content&gt;‐1α gene knockdown resulted in increased phosphorylation of the key signaling molecules &lt;jats:styled-content style="fixed-case"&gt;P38&lt;/jats:styled-content&gt;, c‐Jun and &lt;jats:styled-content style="fixed-case"&gt;ERK1&lt;/jats:styled-content&gt;/2 in the &lt;jats:styled-content style="fixed-case"&gt;MAPK&lt;/jats:styled-content&gt; signaling pathway, and decreased &lt;jats:styled-content style="fixed-case"&gt;mRNA&lt;/jats:styled-content&gt; levels of &lt;jats:styled-content style="fixed-case"&gt;SOD1&lt;/jats:styled-content&gt;, &lt;jats:styled-content style="fixed-case"&gt;GPX1&lt;/jats:styled-content&gt;, catalase and &lt;jats:styled-content style="fixed-case"&gt;UCP2&lt;/jats:styled-content&gt; in the antioxidant system of &lt;jats:styled-content style="fixed-case"&gt;K562&lt;/jats:styled-content&gt; cells. Analysis of the &lt;jats:styled-content style="fixed-case"&gt;TCGA&lt;/jats:styled-content&gt; and &lt;jats:styled-content style="fixed-case"&gt;GSE13159&lt;/jats:styled-content&gt; datasets, along with samples from West China Hospital, revealed that patients exhibiting high &lt;jats:styled-content style="fixed-case"&gt;PGC&lt;/jats:styled-content&gt;‐1α expression had a poor prognosis.&lt;/jats:p&gt;&lt;/jats:sec&gt;&lt;jats:sec&gt;&lt;jats:title&gt;Conclusion&lt;/jats:title&gt;&lt;jats:p&gt;The &lt;jats:styled-content style="fixed-case"&gt;m&lt;jats:sup&gt;6&lt;/jats:sup&gt;A&lt;/jats:styled-content&gt; methylation‐modifying enzyme &lt;jats:styled-content style="fixed-case"&gt;METTL3&lt;/jats:styled-content&gt; is an independent prognostic factor for poor prognosis in &lt;jats:styled-content style="fixed-case"&gt;AML&lt;/jats:styled-content&gt; patients. &lt;jats:styled-content style="fixed-case"&gt;PGC&lt;/jats:styled-content&gt;‐1α is a downstream signaling molecule of &lt;jats:styled-content style="fixed-case"&gt;METTL3&lt;/jats:styled-content&gt;, and &lt;jats:styled-content style="fixed-case"&gt;METTL3&lt;/jats:styled-content&gt; affects its expression by regulating the &lt;jats:styled-content style="fixed-case"&gt;m&lt;jats:sup&gt;6&lt;/jats:sup&gt;A&lt;/jats:styled-content&gt; level of &lt;jats:styled-content style="fixed-case"&gt;PGC&lt;/jats:styled-content&gt;‐1α. &lt;jats:styled-content style="fixed-case"&gt;PGC&lt;/jats:styled-content&gt;‐1α acts as an oncogene in &lt;jats:styled-content style="fixed-case"&gt;AML&lt;/jats:styled-content&gt; by affecting the &lt;jats:styled-content style="fixed-case"&gt;MAPK&lt;/jats:styled-content&gt; pathway and antioxidant system.&lt;/jats:p&gt;&lt;/jats:sec&gt;</t>
  </si>
  <si>
    <t>10.1093/ijpp/riad074.001</t>
  </si>
  <si>
    <t>&lt;jats:title&gt;Abstract&lt;/jats:title&gt;
               &lt;jats:sec&gt;
                  &lt;jats:title&gt;Introduction&lt;/jats:title&gt;
                  &lt;jats:p&gt;The study highlights the urgency of combating rising multi-drug-resistant infections, projecting 10 million deaths annually by 2050. With over 1.2 million deaths in 2019, Antimicrobial Resistance (AMR) has become a significant public health issue. Antimicrobial Stewardship (AMS) promotes judicious antibiotic use1. 'The Five Rights of Antibiotic Safety' ensure appropriate usage. It encompasses the right patient, drug, dose, time, and duration2. The COVID-19 pandemic, causing around 6 million deaths by 2023, has intensified AMR challenges. The Royal Pharmaceutical Society's AMS policy advocates for maximising the use of pharmacists' expertise to promote prudent antibiotic use, strengthen stewardship, and reduce AMR3.&lt;/jats:p&gt;
               &lt;/jats:sec&gt;
               &lt;jats:sec&gt;
                  &lt;jats:title&gt;Aim&lt;/jats:title&gt;
                  &lt;jats:p&gt;This study aimed to evaluate AMS and adherence to the 'Five Rights of Antibiotic Safety' in antibiotic prescribing at an NHS Foundation Trust during 2019 and 2020 amidst the COVID-19 pandemic.&lt;/jats:p&gt;
               &lt;/jats:sec&gt;
               &lt;jats:sec&gt;
                  &lt;jats:title&gt;Methods&lt;/jats:title&gt;
                  &lt;jats:p&gt;This research study was conducted using a cross-sectional retrospective design and undertook an in-depth analysis of 640 patient records in 2019 and 2020. The study included adult patients aged 25 and above, immunocompromised and pregnant individuals, and those prescribed antibiotics for respiratory tract infections or pneumonia during 2019 and 2020. A validated data extraction tool facilitated data collection. This study was registered under ISRCTN number 14825813, receiving ethical approval from the University of Hertfordshire Ethics and Health Research Authority (HRA) (REC Reference number 22/EM/0161). The Citizens Senate reviewed the study protocol, ensuring public and patient involvement.&lt;/jats:p&gt;
               &lt;/jats:sec&gt;
               &lt;jats:sec&gt;
                  &lt;jats:title&gt;Results&lt;/jats:title&gt;
                  &lt;jats:p&gt;The study evaluated inappropriate antibiotic prescribing, identifying a rise in inappropriate antibiotic prescribing with no indication from 16% in 2019 to 20% in 2020. Inappropriate routes of administration also increased from 33% to 36%. While inappropriate drug choice remained steady around 63-64%, inappropriate dosing rose from 13% to 18%. Interestingly, inappropriate duration reduced slightly from 70% to 66%. The study assessed AMS champions, pharmacists' participation increased from 19% to 21%, and doctors decreased from 19% to 12%. However, combined collaboration jumped from 58% to 71%.&lt;/jats:p&gt;
               &lt;/jats:sec&gt;
               &lt;jats:sec&gt;
                  &lt;jats:title&gt;Discussion/Conclusion&lt;/jats:title&gt;
                  &lt;jats:p&gt;This study highlights the surge in incorrect antibiotic prescribing during the 2020 COVID-19 pandemic, stressing the necessity of the 'Five Rights of Antibiotic Safety.' Strict guideline adherence and increased professional education are pivotal. Progress in reducing improper duration was seen, indicating the significance of refining prescribing practices. This research highlights the critical role of pharmacists and doctors as AMS champions. It demonstrates that their collaborative efforts during the pandemic positively impacted patient outcomes, thus reaffirming the Royal Pharmaceutical Society's AMS policy on the importance of a multidisciplinary team in ensuring appropriate antibiotic use.&lt;/jats:p&gt;
                  &lt;jats:p&gt;This study reveals a worrying increase in incorrect antibiotic use during 2020, calling for stricter compliance with the five safety rules and enhancing professional education. Reduced inappropriate duration of use suggests improvements in prescribing practices. The critical role of pharmacists and doctors in AMS, with heightened collaboration yielding prudent antibiotic use and better patient outcomes. Despite these insights, limitations like potential reporting bias, not exploring the causes of inappropriate prescribing in-depth, and a limited focus on doctors and pharmacists in AMS need future research.&lt;/jats:p&gt;
               &lt;/jats:sec&gt;
               &lt;jats:sec&gt;
                  &lt;jats:title&gt;References&lt;/jats:title&gt;
                  &lt;jats:p&gt;1. Murray CJ. Global Burden of Bacterial Antimicrobial Resistance in 2019: a Systematic Analysis. The Lancet. 2022 Jan 19;399(10325):629–55.&lt;/jats:p&gt;
                  &lt;jats:p&gt;2. Federico F. The Five Rights of Medication Administration | IHI - Institute for Healthcare Improvement [Internet]. www.ihi.org. 2007. Available from: https://www.ihi.org/resources/Pages/ImprovementStories/FiveRightsofMedicationAdministration.aspx&lt;/jats:p&gt;
                  &lt;jats:p&gt;3. The pharmacy contribution to antimicrobial stewardship [Internet]. Available from: https://www.rpharms.com/Portals/0/RPS%20document%20library/Open%20access/Policy/AMS%20policy.pdf.&lt;/jats:p&gt;
               &lt;/jats:sec&gt;</t>
  </si>
  <si>
    <t>10.1099/ijsem.0.004935</t>
  </si>
  <si>
    <t>&lt;jats:p&gt;A Gram-negative bacterium, designated S1-65&lt;jats:sup&gt;T&lt;/jats:sup&gt;, was isolated from soil samples collected from a cotton field located in the Xinjiang region of PR China. Results of 16S rRNA gene sequence analysis revealed that strain S1-65&lt;jats:sup&gt;T&lt;/jats:sup&gt; was affiliated to the genus &lt;jats:italic&gt;
                     &lt;jats:named-content content-type="genus"&gt;
                        &lt;jats:ext-link xmlns:xlink="http://www.w3.org/1999/xlink" ext-link-type="uri" xlink:href="http://doi.org/10.1601/nm.13157" xlink:type="simple"&gt;Steroidobacter&lt;/jats:ext-link&gt;
                     &lt;/jats:named-content&gt;
                  &lt;/jats:italic&gt; with its closest phylogenetic relatives being ‘&lt;jats:italic&gt;Steroidobacter cummioxidans&lt;/jats:italic&gt;’ 35Y (98.4 %), ‘&lt;jats:italic&gt;
                     &lt;jats:named-content content-type="species"&gt;
                        &lt;jats:ext-link xmlns:xlink="http://www.w3.org/1999/xlink" ext-link-type="uri" xlink:href="http://doi.org/10.1601/nm.40116" xlink:type="simple"&gt;Steroidobacter agaridevorans&lt;/jats:ext-link&gt;
                     &lt;/jats:named-content&gt;
                  &lt;/jats:italic&gt;’ SA29-B (98.3 %) and &lt;jats:italic&gt;
                     &lt;jats:named-content content-type="species"&gt;
                        &lt;jats:ext-link xmlns:xlink="http://www.w3.org/1999/xlink" ext-link-type="uri" xlink:href="http://doi.org/10.1601/nm.25368" xlink:type="simple"&gt;Steroidobacter agariperforans&lt;/jats:ext-link&gt;
                     &lt;/jats:named-content&gt;
                  &lt;/jats:italic&gt; KA5-B&lt;jats:sup&gt;T&lt;/jats:sup&gt; (98.3 %). 16S rRNA-directed phylogenetic analysis showed that strain S1-65&lt;jats:sup&gt;T&lt;/jats:sup&gt; formed a unique phylogenetic subclade next to ‘&lt;jats:italic&gt;
                     &lt;jats:named-content content-type="species"&gt;
                        &lt;jats:ext-link xmlns:xlink="http://www.w3.org/1999/xlink" ext-link-type="uri" xlink:href="http://doi.org/10.1601/nm.40116" xlink:type="simple"&gt;S. agaridevorans&lt;/jats:ext-link&gt;
                     &lt;/jats:named-content&gt;
                  &lt;/jats:italic&gt;’ SA29-B and &lt;jats:italic&gt;
                     &lt;jats:named-content content-type="species"&gt;
                        &lt;jats:ext-link xmlns:xlink="http://www.w3.org/1999/xlink" ext-link-type="uri" xlink:href="http://doi.org/10.1601/nm.25368" xlink:type="simple"&gt;S. agariperforans&lt;/jats:ext-link&gt;
                     &lt;/jats:named-content&gt;
                  &lt;/jats:italic&gt; KA5-B&lt;jats:sup&gt;T&lt;/jats:sup&gt;, suggesting that strain S1-65&lt;jats:sup&gt;T&lt;/jats:sup&gt; should be identified as a member of the genus &lt;jats:italic&gt;
                     &lt;jats:named-content content-type="genus"&gt;
                        &lt;jats:ext-link xmlns:xlink="http://www.w3.org/1999/xlink" ext-link-type="uri" xlink:href="http://doi.org/10.1601/nm.13157" xlink:type="simple"&gt;Steroidobacter&lt;/jats:ext-link&gt;
                     &lt;/jats:named-content&gt;
                  &lt;/jats:italic&gt;. Further, substantial differences between the genotypic properties of strain S1-65&lt;jats:sup&gt;T&lt;/jats:sup&gt; and the members of the genus &lt;jats:italic&gt;
                     &lt;jats:named-content content-type="genus"&gt;
                        &lt;jats:ext-link xmlns:xlink="http://www.w3.org/1999/xlink" ext-link-type="uri" xlink:href="http://doi.org/10.1601/nm.13157" xlink:type="simple"&gt;Steroidobacter&lt;/jats:ext-link&gt;
                     &lt;/jats:named-content&gt;
                  &lt;/jats:italic&gt;, including average nucleotide identity and digital DNA–DNA hybridization, resolved the taxonomic position of strain S1-65&lt;jats:sup&gt;T&lt;/jats:sup&gt; and suggested its positioning as representing a novel species of the genus &lt;jats:italic&gt;
                     &lt;jats:named-content content-type="genus"&gt;
                        &lt;jats:ext-link xmlns:xlink="http://www.w3.org/1999/xlink" ext-link-type="uri" xlink:href="http://doi.org/10.1601/nm.13157" xlink:type="simple"&gt;Steroidobacter&lt;/jats:ext-link&gt;
                     &lt;/jats:named-content&gt;
                  &lt;/jats:italic&gt;. The DNA G+C content of strain S1-65&lt;jats:sup&gt;T&lt;/jats:sup&gt; was 62.5 mol%, based on its draft genome sequence. The predominant respiratory quinone was ubiquinone-8. The main fatty acids were identified as summed feature 3 (C&lt;jats:sub&gt;16:1&lt;/jats:sub&gt;ω6&lt;jats:italic&gt;c&lt;/jats:italic&gt;/C&lt;jats:sub&gt;16:1&lt;/jats:sub&gt;ω7&lt;jats:italic&gt;c&lt;/jats:italic&gt;), C&lt;jats:sub&gt;16 : 0&lt;/jats:sub&gt; and iso-C&lt;jats:sub&gt;15 : 0&lt;/jats:sub&gt;. In addition, its polar lipid profile was composed of aminophospholipid, diphosphatidylglycerol, phosphatidylethanolamine and phosphatidylglycerol. Here, we propose a novel species of the genus &lt;jats:italic&gt;
                     &lt;jats:named-content content-type="genus"&gt;
                        &lt;jats:ext-link xmlns:xlink="http://www.w3.org/1999/xlink" ext-link-type="uri" xlink:href="http://doi.org/10.1601/nm.13157" xlink:type="simple"&gt;Steroidobacter&lt;/jats:ext-link&gt;
                     &lt;/jats:named-content&gt;
                  &lt;/jats:italic&gt;: &lt;jats:italic&gt;Steroidobacter gossypii&lt;/jats:italic&gt; sp. nov. with the type strain S1-65&lt;jats:sup&gt;T&lt;/jats:sup&gt; (=JCM 34287&lt;jats:sup&gt;T&lt;/jats:sup&gt;=CGMCC 1.18736&lt;jats:sup&gt;T&lt;/jats:sup&gt;).&lt;/jats:p&gt;</t>
  </si>
  <si>
    <t>10.1149/ma2023-0154174mtgabs</t>
  </si>
  <si>
    <t>&lt;jats:p&gt;  	Currently, one of the main problems in commercial SOFC systems fueled directly with hydrocarbon compounds, such as biogas, is the high risk of blocking the active phase on the anode side (&lt;jats:italic&gt;e.g. Ni-YSZ&lt;/jats:italic&gt;) due to carbon formation/deposition during the conversion of fuel into power energy. This issue causes a lowering in the overall performance and durability of the cell. Therefore, to overcome this deactivation mechanism, it was successfully demonstrated that an additional anodic active layer in commercial SOFC using materials based on exsoluted perovskites could be an interesting and viable alternative. This asseveration is based on the fact that using this kind of material is possible to get heterogeneous surface systems with highly stable and electrocatalytically active embedded nanoparticles uniformly distributed on the surface with a high carbon coking tolerance in a hydrocarbon fuel atmosphere.&lt;/jats:p&gt;
               &lt;jats:p&gt;This study aimed to evaluate and compare the electrocatalytic behaviour of two new catalytic materials with Ni exsolution for direct dry biogas-fueled SOFC. The starting materials were Ruddlesden-Popper-type based on a nickel manganite (La&lt;jats:sub&gt;1.5&lt;/jats:sub&gt;Sr&lt;jats:sub&gt;1.5&lt;/jats:sub&gt;Mn&lt;jats:sub&gt;1.5&lt;/jats:sub&gt;Ni&lt;jats:sub&gt;0.5&lt;/jats:sub&gt;O&lt;jats:sub&gt;7±δ&lt;/jats:sub&gt; or &lt;jats:italic&gt;LSMN&lt;/jats:italic&gt;) and nickel cobaltite (La&lt;jats:sub&gt;1.5&lt;/jats:sub&gt;Sr&lt;jats:sub&gt;1.5&lt;/jats:sub&gt;Co&lt;jats:sub&gt;1.5&lt;/jats:sub&gt;Ni&lt;jats:sub&gt;0.5&lt;/jats:sub&gt;O&lt;jats:sub&gt;7±δ&lt;/jats:sub&gt; or &lt;jats:italic&gt;LSCN&lt;/jats:italic&gt;). Both materials have been synthesized by the Pechini method using stoichiometric amounts of precursors as nitrates. Once the respective gels have been formed, they were treated in the air at two dwell temperatures, 300°C for 2 h and 500°C for 3 h, to ensure the total elimination of the organic compounds. Finally, the resulting powders were treated in air at 1300°C for 12h and then, physicochemically characterized. For the electrochemical characterization, the as-treated powders were mixed individually with Gd&lt;jats:sub&gt;0.1&lt;/jats:sub&gt;Ce&lt;jats:sub&gt;0.9&lt;/jats:sub&gt;O&lt;jats:sub&gt;2&lt;/jats:sub&gt; (&lt;jats:italic&gt;CGO&lt;/jats:italic&gt;) in a weight ratio of 70:30 using a ball milling for 6h. Finally, to get the slurry for the coating layer, each mixture (&lt;jats:italic&gt;LSMN+CGO&lt;/jats:italic&gt; and &lt;jats:italic&gt;LSCN+CGO&lt;/jats:italic&gt;) was ground for an additional 2h in the presence of 8 wt % of triethanolamine, 2 wt % polyvinyl butyral resin (BUTVAR B-98) and 2-propanol. Commercial button SOFC cells by InDEC® (anode-supported cell Ni-YSZ/YSZ/LSM) were painted on the anode side getting an active area of 2 cm&lt;jats:sup&gt;2&lt;/jats:sup&gt;. The experiments were carried out at 800°C with pre-conditioning using diluted H&lt;jats:sub&gt;2&lt;/jats:sub&gt; and then, with simulated dry biogas. A Biologic tool was used as a device for the electrochemical measurements.&lt;/jats:p&gt;
               &lt;jats:p&gt;The purpose of this communication is to present the results of experiments with two button cells derived from the same large area commercial cell (anode supporting cell) coated with the two electrocatalysts developed in this work. The electrochemical test carried out for more than 200 h demonstrated that this external functional layer on the anode side contributes to getting a stable potential within the whole working time at the selected galvanostatic conditions (500 mA cm&lt;jats:sup&gt;−2&lt;/jats:sup&gt;). By comparing the results of these two tests, the exsolved LSCN layer showed better perfomances, because of the the B-site doped with Co instead of Mn which is responsible for an enhanced O&lt;jats:sup&gt;2-&lt;/jats:sup&gt; transport within the crystal structures. Finally, post-reaction characterization revealed minimum/null carbonous species in both cases which suggests that the classical risks caused by the direct use of hydrocarbon fuels in commercial SOFC can be suppressed with this kind of approach which would lead us to think about the use of this type of materials in a next level or further electrochemical applications.&lt;/jats:p&gt;
               &lt;jats:p&gt;
                  &lt;jats:italic&gt;
                     &lt;jats:bold&gt;Acknowledgements&lt;/jats:bold&gt;
                  &lt;/jats:italic&gt;
               &lt;/jats:p&gt;
               &lt;jats:p&gt;The authors acknowledge the project entitled "Direct utilisation of bio-fuels in solid oxide fuel cells for sustainable and decentralised electric power production and heat (DIRECTBIOPOWER)" Grant Agreement number: 2017FCFYHK.&lt;/jats:p&gt;
               &lt;jats:p&gt;The authors acknowledge the Ministry of Ecological Transition of Italy (MiTE) for funding this research through the AdP "Piano Operativo di Ricerca (POR) sull'idrogeno verde&lt;/jats:p&gt;
               &lt;jats:p&gt;
                  &lt;jats:inline-formula&gt;
                     &lt;jats:inline-graphic xmlns:xlink="http://www.w3.org/1999/xlink" xlink:href="174fig1.jpg" xlink:type="simple"/&gt;
                  &lt;/jats:inline-formula&gt;
               &lt;/jats:p&gt;
               &lt;jats:p&gt;Figure 1&lt;/jats:p&gt;
               &lt;jats:p/&gt;</t>
  </si>
  <si>
    <t>10.1182/blood-2023-173905</t>
  </si>
  <si>
    <t>&lt;jats:title/&gt;
               &lt;jats:p&gt;Introduction&lt;/jats:p&gt;
               &lt;jats:p&gt;Follicular lymphoma (FL) is the second most common non-Hodgkin lymphoma. Leukemic-phase FL (LP-FL) is a rare entity comprising 1-3% of FL patients (pts). Controversy exists about prognosis of LP-FL with some studies suggesting worse outcome. No clear cut-point of circulating cells has been used to define LP-FL; however, a level &amp;amp;gt; 5x103^3 cells/uL is defined in GELF criteria for high burden disease. No unified treatment recommendation is present for these pts with some opting to treat as indolent FL and some choosing a more aggressive approach. Furthermore, limited case series (n=7 to 37) on LP-FL are available, hence we aimed to better understand prognosis and treatment strategies associated with better outcome in LP-FL.&lt;/jats:p&gt;
               &lt;jats:p&gt;Methods&lt;/jats:p&gt;
               &lt;jats:p&gt;Pts with a pathology proven diagnosis of FL in lymph node and/or bone marrow and a positive flow cytometry in peripheral blood for clonal B cells (CBs), at diagnosis or at relapse, were included in the study. Data was collected from 5 academic institution in the US. We report time-to-event outcomes including median progression-free survival (mPFS) and overall survival (mOS) estimated by Kaplan-Meier method (only pts who received therapy included) . Uni and multivariable analyses were performed using Cox regression. CBs were divided into 4 groups: (&amp;amp;lt;1, 1-4.99, 5-9.99, &amp;amp;gt;10) 10^3/uL. Pts treatment was grouped in 4 categories: anti-CD20 monoclonal antibody (CD20mAb), CD20mAb+Bendamustine, CD20mAb+ CHOP, and other. Pts with CD10 negative clones on flow cytometry were excluded as they might represent different lymphoma type.&lt;/jats:p&gt;
               &lt;jats:p&gt;Results&lt;/jats:p&gt;
               &lt;jats:p&gt;Sixty-one pts (period 1998 to 2022) were identified in participating institutions with LP-FL, 10 of which had CD10- flow cytometry and excluded from study. Of 51 remaining pts, median age was 56 years (y). Nine (17.6%) pts were Hispanic and 44 (86.2%) pts were white. Most pts (37%) presented asymptomatic lymphadenopathy, 22% with B symptoms, 14% with incidental elevated WBC, 12% with organ compromise and 12% due to other reasons. Overall, B symptoms were present in 20 (39%) pts. Hepato/splenomegaly was present in 22 (43%) pts, high tumor burden (GELF criteria) in 12 (23%) pts, and most pts (n=42; 82%) presented ECOG PS 0-1. We less frequently observed anemia (Hg &amp;amp;lt;12g/dL, n= 10; 20%) and elevated LDH (n=17; 33%). High risk FLIPI score (≥3) was present in 28 (55%) pts. Median count of CBs of 1.62 x 10^3/uL. CBs were &amp;amp;lt;5 10^3/uL in 35 (69%) pts, CBs=5-10 10^3/uL in 6 (12%) pts and CBs &amp;amp;gt;10 10^3/uL in 10 (20%) pts. Median absolute lymphocyte count was 3.0 x10^3/uL. Cytogenetic data was available in tissue biopsies in 13 (25%) pts and all carried t(14;18). Treatment was as follows: 24 (47%) pts with bendamustine + CD20mAb , 15 (29%) pts with CD20mAb + CHOP, 7 (14%) pts were treated with CD20mAb, 3 (6%) pts underwent active surveillance, and 2 (4%) with other treatments. Overall response rate (ORR) was 87%. Of those 31 (65%) pts had complete response (CR) and 11 (23%) pts had partial response (PR).&lt;/jats:p&gt;
               &lt;jats:p&gt;With a median follow up of 5.5 y the mPFS was 3.6 y and mOS was 9.6 y (Figure 1). Relapse/ progression of disease occurred in 26 (54%) pts and CBc was detect in 12/13 pts in which flow cytometry was done. Transformation on relapse occurred in 7 pts. In pts experiencing disease relapse/progression, CAR T-cell was given to 6 pts with an ORR of 83.3% (CR: in 4 and PR in 1 pts); one pt died due to CAR-T grade 5 neurotoxicity. Death occurred in 13 pts with 6 (46% of all deaths) being lymphoma-related.&lt;/jats:p&gt;
               &lt;jats:p&gt;Age≥60 and male sex were associated with worse PFS in univariable analysis (Table 1), with age only remaining significant in a multivariable analysis that also included sex and frontline therapy (HR 3.19, p=0.01 ). Notably, FLIPI score, CBs count category, and type of frontline therapy did not predict PFS. Progression of disease within 24 months (POD24) predicted OS in univariable analysis (HR= 3.93; p=0.029). Multivariable analysis for OS was not performed due to small number of deaths.&lt;/jats:p&gt;
               &lt;jats:p&gt;Conclusion&lt;/jats:p&gt;
               &lt;jats:p&gt;To our knowledge, this is the largest study of LP-FL. Median OS was around 10 years, a comparable outcome to historical nodal FL survival. Treatment type also did not predict PFS or OS. Circulating monoclonal cell levels did not impact survival . This is notable as the current GELF criteria includes circulating malignant cells ≥5 x10^3/uL as an indication for treatment while our date shows that no set cut-point may be needed. In addition, CAR T-cell appears to be an effective therapy with similar results as in nodal FL.&lt;/jats:p&gt;</t>
  </si>
  <si>
    <t>10.18505/cuid.701358</t>
  </si>
  <si>
    <t>&lt;jats:p xml:lang="tr"&gt;İslam’ın ikinci kaynağı olan sünnetin taşıyıcısı olan rivayetler, raviler tarafından farklı düzeylerde aktarılmıştır. Rivayetlerin aktarılma düzeyi arasındaki farklılığın sebepleri başta Muʿtezilî âlimler olmak üzere kelam ve usûlcüler tarafından araştırma ve tartışma konusu olmuştur. Bu konulardan biri de rivayetin/haberin aktarılmasına etki eden faktörler ile aktarılmasına engel olan husuların ne olduğudur. Bu konuya farklı bir boyut kazandıran âlimlerin başında Kādî Abdülcebbâr (öl. 415/1025) gelmektedir. O, mensubu bulunduğu akılcı/rasyonalist mezhebin yaklaşımı doğrultusunda hareket ederek haberin rivayeti konusunda felsefi bir bakış açısı geliştirmiştir. Buna göre bir rivayetin aktarılma sıklığı; haberin dini bir niteliğe sahip olup olmaması, muhatap üzerindeki etkisi, sıradanlaşması, kendisine duyulan ihtiyaç gibi konular çerçevesinde ele alınmalıdır. Dolayısıyla bu çalışmada, Kādî Abdülcebbâr’ın görüşleri doğrultusunda haberin nakli etkileyen unsurlar üzerinde durulmuştur. Diğer bir ifadeyle bir haberin / rivayetin, toplumun bireyleri tarafından dillendirilmesini ve tekrar edilmesini sağlayan etkenler ile bir sözün naklledilmesine engel olan sebeplerin ne olduğu veya ne olabileceği hususları üzerinde durulmuştur. Kādî Abdülcebbâr rivayetlerin/haberlerin naklini veya tekrarını etkileyen unsurları; insanın toplumsal, psikolojik ve inanç yönüyle ilintili olarak ele almış ve örneklendirmeye çalışmıştır. Bu etkenler iki yönlü bir etkiye sahiptir. Kimisi haberin nakledilmesini gerektirirken kimisi de haberin yayılmasını ve nakledilmesini engellemekte veya zayıflatmaktadır. Bu etkenler kaynak itibariyle insanın psikolojk yönüyle alakalı olsa da eylem sürecinden farklılaşmaktadır. Bunlardan birincisi haberin naklini gerektiren etkenler olup Kādî tarafındanالداعي  şeklinde  isimlendirmiştir. İkincisi de haberin naklini engelleyen etkenler olup الصوارف  diye isimlendirilmiştir. Kādî Abdülcebbâr’dan önce bu kavramları sözlük anlamıyla kullananlar olduğu gibi bunları haberin nakliyle bağlantılı bir şekilde kullananlar da olmuştur. Örneğin Ebu’l-Hasan el-Eş’arî (öl. 324/935) ve el-Kelâbâzî (öl. 380/990) bu kavramları sözlük anlamıyla kullanırken Cessâs (öl. 370/981) ise bunları haberin nakliyle irtibatlandırmıştır. Kādî’nın çağdaşı Bâkıllânî (öl. 403/1013) de bu kavramları Kādî’yla yakın bir anlamda kullanmıştır. Kādî Abdülcebbâr ile birlikte bu kavramalar daha sık kullanılmış ve terimsel bir anlam kazanmıştır. Ondan sonra yazılan kelam ve usûl eserlerinde bu kavramlar daha sistematik bir şekilde kullanılmıştır. Kādî’nın öğrencilerinden el-Basrî (öl. 436/1045), Şerîf el-Murtazâ (öl. 436/1045) ayrıca Hârûnî (öl. 424/1032), İbn Hazm (öl. 456/1064), Ebû Yâ’lâ (öl. 458/1066), Şîrâzî (öl. 476/1084) ve Cüveynî (öl. 478/1086) de bu kavramları haberlerin nakliyle bağlantılı bir şekilde kullanmıştır. Bir eylemin yapılmasına veya yapılmamasına yönelik dâʿîler, birden fazla olabildiği gibi kuvvet açısından da birbirinden farklı olabilmektedir. Kişinin haberin nakline yönelik eylemi, dâʿîlerin gücü/kuvvetiyle doğru orantılıdır. Bir eyleme yönelik güçlü dâʿîler, kişiyi onu gerçekleştirmeye daha çok motive ederken, etki açısından daha zayıf olan dâʿîler ise daha az oranda kişiyi eylemi gerçekleştirmeye yönlendirmektedir. Dolayısıyla aynı dâʿîlere sahip iki haberin aynı oranda nakledilmesi gerekir. Çünkü bunların naklini sağlayan asıl unsur yani dâʿî aynı kuvvete sahiptir. Bu doğrultuda aynı durumu paylaşan ve aynı zaman diliminde bulunan iki haberden birinin nakledilip diğerinin nakledilmemesi doğru değildir. Yani bir şeyin nakli, âdet/العادة  yasası çerçevesinde devâî/الدواعي  ve ihtiyacın kuvveti doğrultusundadır. Haberlerin nakil durumu, onu nakletmeye yönelik eğilimlere veya nakletmekten alıkoyan hususlara bağlıdır. Bu etkenlerin içerisinde haberin naklini sağlayan ve bu konuda insanları güdüleyen hususlar dâʿî, insanları bunu aktarmaktan alıkoyan husus ve unsurlar da sârif kavramıyla ifade edilmiştir. Bunlar da haberi nakleden kişinin psikolojik durumu, haberin sıradanlaşması, habere duyulan ihtiyaç, haberin söyleniş zamanına olan uzaklığı, haberin dini bir niteliğe sahip olması ve aktaranları ilgilendiren bir korku durumunun bulunup bulunmadığıyla yakından alakalıdır. Buna göre habere dair dâʿî veya devâî varsa nakledilir, yoksa veya bu hususta sârif veya savârif varsa nakledilmez veyahut daha az nakledilir. Haberlerin sahip olduğu dâʿîler ve sârifler de aynı kuvvete sahip değillerdir. Bu doğrultuda haberlerin zarûrî bilgi ifade etmesi de haberde bulunan dâʿîlere bağlıdır. Haberin söylendiği ortam, ortamda bulunan yani olaya tanıklık edenlerin sayısı, haberin muhatabın dikkatleri üzerindeki etkisi, sonraki zamanlarda söylenen habere müracaat etme ihtiyacı, haberin işlevselliği, konusu, yayılmasını engelleyebilecek faktörler, söylendiği zamana olan uzaklığı gibi hususlar dikkate alınmalıdır.&lt;/jats:p&gt;</t>
  </si>
  <si>
    <t>10.32999/ksu2413-1865/2021-94-10</t>
  </si>
  <si>
    <t>&lt;jats:p&gt;The article considers the problem of monitoring the professional teacher’s readiness to work in an inclusive education environment. A review of scientific research was conducted and the methods of the professional teacher’s  readiness  to  work  in  the  inclusive  education  environment  were  developed,  because  the  system of  continuous  teacher’s  training  to  work  in  the  inclusive  education  environment  needs  development and implementation of monitoring the professional teacher’s readiness to work in the inclusive education environment. It is proposed to interpret monitoring as a system of continuous, scientifically and methodologically approved observation of the dynamic of professional and postgraduate primary school teacher’s training to work in the conditions of inclusion and correlation the quality of this training with the predefined criteria, indicators and stages with the further prolonged development of mechanisms and procedures of reaching this criteria. It is indicated that that development of the program, methodology and algorithm of monitoring the professional teacher’s readiness to work in inclusive education conditions foresees taking into account the components and criteria of teacher’s readiness, the conditions, components and functions of the postgraduate education of  teacher.  Monitoring  of  the  professional  teacher’s  readiness  to  work  in  inclusive  education  conditions foreseed the goal, task, the principles, stages, diagnostic’s toolkit, stages and forms; it was carried out in the form of the survey, test, interview and self-diagnosis. It was marked that the methods offered by us foreseed the implementation of the stages of teacher’s professional readiness, on the basis of monitoring’s data. With the help of the developed diagnostic toolkit we made monitoring in the experimental educational institutions where  462  students  (257  bachelors  and  205  masters)  and  162  teachers  took  part. We  made  a  resume  in the absolute and relative measurements according to the bachelors masters and postgraduate stages. According to the monitoring’s results we made a conclusion and defined the main differences between the target groups of the respondents of the research and marked the need to provide the scientifically proved and empirically verified the measures of scientifically methodological accompaniment.Key words: monitoring, stages of the professional readiness, continuous training, professional training, inclusive education.  У статті розглядається проблема здійснення моніторингу професійної готовності вчителів до роботи в умовах інклюзивного навчання. Проведено огляд наукових досліджень та розроблено методику моніторингу професійної готовності вчителів до роботи в умовах інклюзивного навчання, оскільки система неперервної професійної підготовки педагога до роботи в умовах інклюзивного середовища навчання потребує розроблення й упровадження моніторингу професійної готовності учителів до роботи в умовах інклюзивного навчання. Запропоновано трактування моніторингу як системи неперервного, науково і методично обґрунтованого спостереження динаміки фахової та післядипломної підготовки вчителя початкової школи до роботи в умовах інклюзії та співвіднесення якості цієї підготовки із заздалегідь визначеними критеріями, показниками і рівнями з подальшою пролонгованою побудовою механізмів і процедур їх досягнення. Вказано, що розробка програми, методики, алгоритму моніторингу професійної готовності вчителів до роботи в умовах інклюзивного навчання передбачала врахування компонен-тів і критеріїв готовності педагога, умов, складників і функцій післядипломної освіти педагогів. Моні-торинг професійної готовності вчителів до роботи в умовах інклюзивного навчання передбачав мету, завдання, принципи, етапи, інструментарій діагностики, рівні, форми; здійснювався у формі анкетування, тестування, інтерв’ювання, самодіагностики. Зазначено, що пропоновані нами методики передбачали встановлення на основі даних моніторингу рівнів професійної готовності вчителів до роботи в умовах  інклюзивного  навчання.  За  розробленим  діагностичним  інструментарієм  проведено  моніторинг в експериментальних закладах освіти. Респондентами дослідження стали 462 студенти (257 бакалаврів, 205 магістрів) та 162 вчителі. Узагальнено дані моніторингу в абсолютних і відносних вимірах за бакалаврським, магістерським і післядипломним рівнями. Відповідно до результатів моніторингу зроблено висновки, визначено основні відмінності між цільовими групами респондентів дослідження та вказано на необхідність упровадження в процес підготовки та підвищення кваліфікації вчителів початкової школи науково обґрунтованих і емпірично перевірених заходів науково-методичного супроводу.Ключові слова:  моніторинг,  рівні  професійної  готовності,  неперервна  підготовка,  професійна підготовка, інклюзивна освіта.&lt;/jats:p&gt;</t>
  </si>
  <si>
    <t>10.1182/blood-2020-139780</t>
  </si>
  <si>
    <t>&lt;jats:p&gt;Background: Multiple myeloma (MM) is the second most common hematological malignancy in the United States. Fluorescence in-situ hybridization (FISH) is a popular tool to detect cytogenetic alterations which in turn, can contribute to the risk stratification of patients with MM. Gain or amplification of CKS1B gene at chromosome 1q21 region (gain 1q) is detected in 35-40% of newly diagnosed MM cases, and has been reported to be associated with inferior prognostic outcomes. It also frequently occurs with the deletion of CDKN2C at chromosome 1p32.3 (del 1p). There is a distinct lack of data on patients harboring this cytogenetic alteration in the era of novel agents. We sought to look at outcomes of this patient population at a single institution over the last 5 years.&lt;/jats:p&gt;
               &lt;jats:p&gt;Methods: This retrospective study included all patients with MM as defined by the International Myeloma Working Group (IMWG) with available FISH studies identifying gain 1q between 01/01/2015 to 04/30/2020 at Tufts Medical Center. The study was approved by the Institutional Review Board. Baseline demography, disease characteristics, and treatment history were extracted from the electronic medical records. With death as primary event, overall survival (OS) was defined as the survival time from the discovery of gain 1q to death. Progression free survival (PFS) was defined as the time from discovery of gain 1q to first progression/relapse or death, whichever occurred first. Kaplan-Meier method was used to estimate survival data. Differences in survival between two groups were analyzed by log-rank tests. Multivariable cox regression adjusting for baseline characteristics and significant concurrent cytogenetic alterations were performed to explore the impact of treatment regimens on survival.&lt;/jats:p&gt;
               &lt;jats:p&gt;Results: Of the forty-nine subjects included in this study, the age range was 39 to 85 years; 31 patients (63.3%) were over the age of 65 years, and 28 (57.1%) were male. Twenty-eight (57.1%) subjects with gain 1q were newly diagnosed while the remaining 21 (42.9%) were identified at relapse. Gain 1q was present in more than 20% of clonal cells in 73.5% of subjects and 29.6% had del 1p as well. Patients with gain 1q were more likely to have deletion 13q (65.3%) and hyperdiploidy (61.2%). Regarding treatment, 75.7% of patients received bortezomib, 70.3% received lenalidomide, 38.9% underwent autologous stem cell transplant (ASCT) and 64.9% received daratumumab. At the time of analysis, 41 patients were still alive. For the entire cohort, the estimated median OS was not reached (NR) (95% confidence interval [CI], 24.1-NR), and the estimated median PFS was 15.27 months (95% CI, 4.77-NR). In log-rank tests, presence of extra medullary disease was associated with shorter PFS (4.8 vs 24.1 months, P=0.003), while IGH abnormalities including complex IGH rearrangements or losses were associated with longer PFS (NR vs 8.2 months, P=0.046). Lenalidomide-based treatment was associated with prolonged OS (NR vs 17.2 months, P=0.048). Bortezomib-based therapy and upfront ASCT were associated with improved PFS (15.3 vs 4.7 months, P=0.036; NR vs 4.8 months, P =0.019 respectively). Further multivariate analyses adjusting for age, number of CKS1B copies, International Staging System stage, baseline creatinine, clone size, del 1p, lactate dehydrogenase, extra medullary disease, and IGH abnormalities revealed that administration of daratumumab after the discovery of gain 1q was associated with superior OS (Hazard Ratio [HR]=0.023x10^-2, 95% CI [0.002x10^-4, 0.299], P =0.022) compared with those not receiving this agent; both the use of bortezomib (HR=0.210, 95% CI [0.064, 0.687], P =0.010) and daratumumab (HR=0.126, 95% CI [0.015, 1.036], P =0.054) were associated with prolonged PFS. The use of lenalidomide or upfront ASCT lost prognostic benefit after adjusting for additional variables in multivariate models.&lt;/jats:p&gt;
               &lt;jats:p&gt;Conclusions: The outcomes of MM patients with gain 1q were evaluated according to clinical characteristics, concurrent chromosomal alterations and treatment regimens. In our small cohort, daratumumab and daratumumab-bortezomib combination regimens were found to have a favorable impact on survival. Future prospective clinical trials with larger sample sizes are warranted to confirm the results and further improve the outcomes of MM patients with this cytogenetic alteration.&lt;/jats:p&gt;
               &lt;jats:sec&gt;
                  &lt;jats:title&gt;Disclosures&lt;/jats:title&gt;
                  &lt;jats:p&gt;Comenzo: Amgen: Consultancy; Takeda: Consultancy, Research Funding; Sanofi: Consultancy; Unum: Consultancy; Caleum: Consultancy; Prothena: Consultancy, Research Funding; Janssen: Consultancy, Research Funding; Karyopharm: Consultancy, Research Funding.&lt;/jats:p&gt;
               &lt;/jats:sec&gt;</t>
  </si>
  <si>
    <t>10.47629/2074-9201_2023_2_37_45</t>
  </si>
  <si>
    <t>&lt;jats:p&gt;С учетом отсутствия концептуальных представлений о суде присяжных заседателей, как формы отправления правосудия и степени его влияния на общую систему отправления правосудия, целью статьи выступает научный анализ в рамках методологии научного исследования характерных черт моделей судопроизводства с участием присяжных в зарубежных странах в различные исторические периоды времени. Именно присутствие архаичных концептуальных представлений правовой природы моделей суда присяжных заседателей, не позволяет эффективно реализовать данный процессуальный институт. Предметом исследования выступает анализ характерных черт суда присяжных заседателей на различных этапах судебного разбирательства, присущих для разных моделей, сформировавшихся в исторические периоды времени в различных странах. Для чего используется системный метод, основанный на восприятии всего производства в суде присяжных заседателей при одновременном анализе его моделей, с целью выявления отличительных черт и их взаимосвязи в рамках обеспечения их интеграционного единства. Историко-правовой метод исследования применялся для анализа генезиса и эволюции развития правовой природы формирования и развития различных моделей участия граждан в отправлении правосудия. Автором делается вывод, что существуют правовые модели, построенные на англосаксонской и континентальной системах права, образуя гибридные модели, характерные для каждой страны или группы стран в отдельности с учетом политических, социально-экономических условий, национальных традиций и интересов и одновременно с учетом опыта других стран. Основные отличительные черты таких моделей состоят либо в консолидированном подходе к разрешению присяжными заседателями и судьями вопросов права и факта, либо они разрешают их по отдельности, где присяжными заседателями исследованию подлежат фактические обстоятельства дела, а председательствующий судья разрешает правовые вопросы, связанные с назначением наказания. Также отличительные черты моделей участия граждан в отправлении правосудия проявляются и в определении численного состава коллегии присяжных заседателей. Необходимо отметить, что черты современной российской модели участия граждан в отправлении правосудия отличаются гибритизацией, заимствуя черты англосаксонской и континентальной правовых систем.&lt;/jats:p&gt;
                                                                                            &lt;jats:p&gt;Taking into account the lack of conceptual ideas about the jury trial as a form of administration of justice and the degree of its influence on the general system of administration of justice, the purpose of the article is a scientific analysis within the framework of the methodology of scientific research of the characteristic features of models of judicial proceedings involving juries in foreign countries in various historical periods of time. It is the presence of archaic conceptual representations of the legal nature of jury trial models that does not allow the effective implementation of this procedural institution. The subject of the study is the analysis of the characteristic features of the jury trial at various stages of the trial, inherent in different models formed in historical periods of time in different countries. For this purpose, a systematic method is used based on the perception of the entire proceedings in a jury trial while simultaneously analyzing its models in order to identify distinctive features and their interrelationships within the framework of ensuring their integration unity. The historical and legal research method was used to analyze the genesis and evolution of the development of the legal nature of the formation and development of various models of citizen participation in the administration of justice. The author concludes that there are legal models based on the Anglo-Saxon and continental systems of law, forming hybrid models characteristic of each country or group of countries separately, taking into account political, socio-economic conditions, national traditions and interests, and at the same time taking into account the experience of other countries. The main distinguishing features of such models consist either in a consolidated approach to the resolution of questions of law and fact by jurors and judges, or they resolve them separately, where the actual circumstances of the case are examined by jurors, and the presiding judge resolves legal issues related to the imposition of punishment. Also, the distinctive features of the models of citizens’ participation in the administration of justice are manifested in determining the numerical composition of the jury. It should be noted that the features of the modern Russian model of citizen participation in the administration of justice are characterized by hybritization, borrowing features of the Anglo-Saxon and continental legal systems.&lt;/jats:p&gt;</t>
  </si>
  <si>
    <t>10.25730/vsu.2070.20.002</t>
  </si>
  <si>
    <t>&lt;jats:p&gt;Актуальность статьи обусловлена радикально противоположными оценками политической деятельности А. В. Колчака в исторической и публицистической литературе. Научный подход предполагает исследование фактов его политической биографии в рамки определенной системы знаний (теории). Традиционно данная проблема освещалась с классовых позиций. Однако в современных условиях такой подход вряд ли приемлем, поскольку «марксистско-ленинская теория» по принципиальным позициям отличается от марксистского понимания процессов развития общества и человека, и она в большей степени является идеологией, выражающей интересы определенных социальных групп. Наиболее объективно политическую деятельность в современных условиях можно оценить, опираясь на геополитический подход. В статье формулируется содержание историко-геополитического подхода, на основе которого исследуется политическая биография А. В. Колчака, то есть факты его биографии рассматриваются через призму геополитической системы знаний. Ключевыми событиями в его политической биографии являлись пребывание в плену после Русско-японской войны, участие в разработке и лоббировании программы строительства военно-морского флота, его реакция на государственный переворот в феврале 1917 г., поездка в Англию и США с целью передачи секретной информации, переход на военную службу Великобритании и деятельность в качестве «Верховного правителя России». Анализ этих фактов позволяет сделать вывод, что политическая деятельность А. В. Колчака объективно выражала интересы тех государств, которые не были заинтересованы в укреплении Российской империи, стремились к ее ослаблению и расчленению. Независимо от того, действовал Колчак в силу своих убеждений или его деятельность объясняется «политической наивностью», с точки зрения геополитического подхода оснований для реабилитации подобных государственных деятелей не имеется. Историко-геополитическая интерпретация с позиций интересов национальной безопасности, защиты территориального, культурного, политического пространства позволяет более объективно сформулировать оценочные суждения в отношении политических деятелей, подобных А. В. Колчаку. Одновременно исследование фактора внешнего влияния на внутриполитические события расширяет исследовательское поле и позволяет вписывать события отечественной истории в контекст мировых политических процессов.&lt;/jats:p&gt;
                                                                                            &lt;jats:p&gt;The relevance of the article is due to the radically opposite assessments of A. V. Kolchak's political activity in historical and journalistic literature. The scientific approach involves the study of the facts of his political biography in the framework of a certain system of knowledge (theory). Traditionally, this problem has been covered from a class perspective. However, in modern conditions, this approach is hardly acceptable, since the "Marxist-Leninist theory" differs in principle from the Marxist understanding of the processes of development of society and man, and it is more an ideology that expresses the interests of certain social groups. The most objective assessment of political activity in modern conditions can be based on a geopolitical approach. The article formulates the content of the historical and geopolitical approach, based on which the political biography of A. V. Kolchak, that is, the facts of his biography, are viewed through the prism of a geopolitical knowledge system. Key events in his political biography were his time in captivity after the Russian-Japanese war, his participation in the development and lobbying of the Navy construction program, his reaction to the state coup in February 1917, his trip to England and the United States to transmit secret information, his transfer to the British military service, and his activities as the "Supreme ruler of Russia". Analysis of these facts allows us to conclude that the political activity of A. V. Kolchaka objectively expressed the interests of those states that were not interested in strengthening the Russian Empire, sought to weaken and dismember it. Regardless of whether Kolchak acted because of his beliefs or his activities are explained by "political naivety", from the point of view of the geopolitical approach, there are no grounds for the rehabilitation of such statesmen. Historical and geopolitical interpretation from the perspective of national security interests, the protection of territorial, cultural, and political space allows us to formulate more objective value judgments in relation to political figures like A. V. Kolchak. At the same time, the study of the factor of external influence on domestic political events expands the research field and allows us to fit the events of national history into the context of world political processes.&lt;/jats:p&gt;</t>
  </si>
  <si>
    <t>10.54220/1959.2024.94.18.009</t>
  </si>
  <si>
    <t>&lt;jats:p&gt;Введение. В стремительно развивающейся информационной системе публичной отчетности финансовая отчетность компаний по праву занимает первое место. Данный формат обязателен для всех экономических субъектов, формируется на основе общепринятых профессиональных стандартов, представляет пользователям информацию в финансовом измерении и имеет независимое подтверждение ее достоверности. В условиях реализации принципов информационной прозрачности, экосистемности, связанности и технологичности отчетной информации к финансовой отчетности предъявляются повышенные требования в отношении состава, границ и формата раскрываемых данных, гармонизации и связанности показателей с другими формами отчетности. Материалы и методы. Обсуждение назревшей потребности в качественной трансформации модели финансовой отчетности, определение ключевых направлений ее дальнейшего развития и разработка современного инструментария сегодня выходят на новый этап. Определяющим в данном направлении становится обеспечение полноценной реализации ценностно-риск-ориентированного и стратегического характера раскрываемых показателей в концепции интегрированной системы учета. Результаты исследования. В статье на основе системного анализа взглядов научного общества выявлены ключевые проблемы и направления развития финансовой отчетности. Определена роль финансовой и нефинансовой информации в информационной экосистеме бизнеса и ее значение для финансовой отчетности. Предложен системный подход к определению и типизации ESG-факторов, капиталов, рисков и возможностей, обеспечивающий целостное представление и «сквозной учет» в рамках интегрированной информационной системы корпоративной отчетности. Обоснована необходимость введения дополнительных форм финансовой отчетности с целью качественного расширения финансовых раскрытий в фокусе ценностно и риск-ориентированного характера данных. Обсуждение и заключения. Финансовую отчетность в современных реалиях следует рассматривать в парадигме интегрированной информационной системы бизнеса как часть единой корпоративной отчетности, обеспечивающей прозрачное представление о деятельности экономического субъекта. Раскрытия в финансовой отчетности должны быть логично связаны, синхронизированы и гармонизированы с данными других видов отчетности, дополняя и подтверждая их.&lt;/jats:p&gt;
                                                                                            &lt;jats:p&gt;Introduction. In a rapidly developing information system of public reporting, financial reporting of companies rightfully takes first place. This reporting format, which is mandatory for all economic entities, is formed on the basis of generally accepted professional standards, provides users with information in a financial dimension and has independent confirmation of its accuracy. In the context of the implementation of the principles of information transparency, ecosystem, connectedness and manufacturability of reporting information, increased requirements are imposed on financial reporting in relation to the composition, boundaries and format of disclosed data, harmonization and connectivity of indicators with other forms of reporting. Materials and methods. The discussion of an urgent need for a qualitative transformation of the financial reporting model, the identification of key directions for its further development and the development of modern tools are all now entering a new stage. The determining factor in this direction is ensuring the full implementation of the value-risk-oriented and strategic nature of the disclosed indicators in the concept of an integrated accounting system. Results. Based on a systematic analysis of the views of the scientific community, the article identifies key problems and directions for the development of financial reporting. The role of financial and non-financial information in the business information ecosystem and its importance for financial reporting are determined. A systematic approach is proposed in terms of identifying and typing ESG factors, capital, risks and opportunities, providing a holistic view and «end-to-end accounting» within the framework of an integrated corporate reporting information system. The need to introduce additional forms of financial reporting is substantiated in order to qualitatively expand financial disclosures in the focus of the value- and risk-oriented nature of the data. Discussion and conclusions. Financial reporting in modern realities should be considered in the paradigm of an integrated business information system, as part of a unified corporate reporting that provides a transparent view of the activities of an economic entity. Disclosures in financial statements must be logically linked, synchronized and harmonized with data in other types of statements, complementing and confirming them.&lt;/jats:p&gt;</t>
  </si>
  <si>
    <t>10.1182/blood-2024-210804</t>
  </si>
  <si>
    <t>&lt;jats:sec&gt;
                  &lt;jats:title/&gt;
                  &lt;jats:p&gt;Background Over the past 15 years, the field of myelofibrosis (MF) has seen remarkable improvements in terms of risk stratification, with the development of clinical, clinico-genomic, as well as treatment-specific models.&lt;/jats:p&gt;
                  &lt;jats:p&gt;JAK inhibitors revolutionized the treatment of MF, while allogeneic hematopoietic cell transplantation (HCT) is the only potentially curative treatment for patients with MF. Several issues must be considered when evaluating the benefits and risks of treatments for patients with MF, with the timing of HCT being a crucial question.&lt;/jats:p&gt;
                  &lt;jats:p&gt;Here, we aimed to develop a uniform decision model to define the optimal timing of treatment in MF patients based on clinical and genomic information in the modern era of JAK inhibition.&lt;/jats:p&gt;
                  &lt;jats:p&gt;Patients and Methods We studied a retrospective, international cohort of 1913 patients with primary (PMF, 58%) or secondary MF (SMF, 42%), of whom 1010 patients underwent HCT. All patients who did not undergo HCT were treated with ruxolitinib.&lt;/jats:p&gt;
                  &lt;jats:p&gt;First, we developed a multi-state model to estimate transition hazards between different disease-specific categories, using the DIPSS and MIPSS70 (for PMF), and MYSEC-PM (for SMF). Next, we simulated a randomized clinical trial, using Bayesian-guided artificial intelligence algorithms, where subjects are selected to receive HCT at different time points, stratified according to transplant-specific risk (using MTSS) and response to ruxolitinib (using the RR6 model). Results were used to estimate the average survival time over a 6-year time horizon.&lt;/jats:p&gt;
                  &lt;jats:p&gt;Results When considering patient life expectancy for patients who received an HCT in traditional modelling, earlier transplantation was associated with better outcome for higher risk disease, irrespective of PMF or SMF. However, considering treatment-specific risk significantly influenced decision modelling towards earlier or delayed transplantation (P&amp;amp;lt;0.001).&lt;/jats:p&gt;
                  &lt;jats:p&gt;Considering the scenario of PMF, a low/intermediate MTSS was associated with better outcomes for early transplantation in all DIPSS categories as well as MIPSS70 intermediate/high risk. Ideal timing of HCT for achieving prolonged life expectancy of patients was suggested within first 3 years from diagnosis for DIPSS low/intermediate-1, 2 years for MIPSS70 intermediate, and within 1 year from diagnosis for both DIPSS intermediate-2/high and MIPSS70 high. In contrast, considering a scenario of MTSS high/very high risk, prolonged life expectancy for transplantation was only found for MIPSS70 intermediate/high and DIPSS intermediate-2/high, suggesting delay HCT by an average of 0.5 years.&lt;/jats:p&gt;
                  &lt;jats:p&gt;Considering SMF, a scenario of low/intermediate MTSS was associated with better outcomes for transplantation only for a MYSEC-PM intermediate-2/high risk constellation. Ideal timing of HCT for achieving prolonged life expectancy of patients was suggested within first 1.5 years from diagnosis.&lt;/jats:p&gt;
                  &lt;jats:p&gt;In a next step considering response to ruxolitinib using the RR6 model in combination with the MTSS significantly affected timing of transplantation (P&amp;amp;lt;0.001), suggesting earlier transplantation by an average of 0.5 years for RR6 high risk, while RR6 low risk suggested delayed transplantation by an average of 1 year. Importantly, high risk RR6 suggested earlier HCT for patients with intermediate DIPSS and MYSEC-PM, traditionally populations of unmet need for optimal decision making.&lt;/jats:p&gt;
                  &lt;jats:p&gt;Furthermore, additional genomic constellations significantly affected decision modelling (P&amp;amp;lt;0.001). First, present ASXL1 drove the decision towards delayed transplantation for patients with MYSEC-PM low/intermediate-1 and MTSS low/intermediate risk. Second, patients with TP53 mutation (irrespective of disease type and risk) benefitted from early transplantation within 1 year of diagnosis.&lt;/jats:p&gt;
                  &lt;jats:p&gt;Last, we developed an online tool (with an extension for mobile application) as a uniform platform incorporating all revelant information, helping clinicians and patients alike navigate through the decision-making process for both PMF and SMF, with respect to onset and treatment-specific prognosis.&lt;/jats:p&gt;
                  &lt;jats:p&gt;Conclusion We provided evidence for the relevance of combining all clinico-genomic and treatment-specific features into the treatment decision making process, specifically regarding the optimal timing of HCT, allowing personalized decision-making in MF.&lt;/jats:p&gt;
               &lt;/jats:sec&gt;</t>
  </si>
  <si>
    <t>10.1111/1460-6984.12610</t>
  </si>
  <si>
    <t>&lt;jats:title&gt;Abstract&lt;/jats:title&gt;&lt;jats:sec&gt;&lt;jats:title&gt;Background&lt;/jats:title&gt;&lt;jats:p&gt;Accurate and detailed records of children's speech are a critical component of competent service delivery in speech–language pathology/speech and language therapy (SLP/SLT). Previous research has shown that during speech‐sound acquisition, children gradually learn to produce sounds in adult‐like manners. Continuous rating scales are a way to track this gradual learning.&lt;/jats:p&gt;&lt;/jats:sec&gt;&lt;jats:sec&gt;&lt;jats:title&gt;Aims&lt;/jats:title&gt;&lt;jats:p&gt;To examine whether clinical experience affects the ability and willingness to rate children's speech production using continuous rating scales.&lt;/jats:p&gt;&lt;/jats:sec&gt;&lt;jats:sec&gt;&lt;jats:title&gt;Methods &amp;amp; Procedures&lt;/jats:title&gt;&lt;jats:p&gt;An online survey was administered to 81 US‐based SLPs/SLTs, binned into more‐ and less‐experienced groups, and 20 non‐SLPs/SLTs. The survey included a speech‐sound rating task in which participants rated the production of place of articulation in children's productions of word‐initial /θ/, /s/, /ʃ/, /d/, /ɡ/, /t/ and /k/ on a nine‐point equally appearing interval scale. We examined the extent to which these were accurate (i.e., the extent to which they matched laboratory measures of production characteristics) and the extent to which the ratings were gradual (i.e., they used the entire rating scales, rather than just the endpoints).&lt;/jats:p&gt;&lt;/jats:sec&gt;&lt;jats:sec&gt;&lt;jats:title&gt;Main Contribution&lt;/jats:title&gt;&lt;jats:p&gt;There were no consistent differences between non‐SLPs/SLTs, less‐experienced SLPs/SLTs and more‐experienced SLPs/SLTs in a measure of the accuracy of responses. More consistent differences were found in the extent to which listeners used the endpoints of the scale: greater experience was associated with greater use of the endpoint values.&lt;/jats:p&gt;&lt;/jats:sec&gt;&lt;jats:sec&gt;&lt;jats:title&gt;Conclusions &amp;amp; Implications&lt;/jats:title&gt;&lt;jats:p&gt;More‐experienced SLPs/SLTs are less likely to use the entire range of continuous rating scales to rate children's speech accuracy than less‐experienced SLPs/SLTs or clinically untrained listeners. Implications for service delivery are discussed.&lt;/jats:p&gt;&lt;/jats:sec&gt;&lt;jats:sec&gt;&lt;jats:label /&gt;&lt;jats:p&gt;&lt;jats:boxed-text content-type="box" position="anchor"&gt;&lt;jats:caption&gt;&lt;jats:title&gt;What this paper adds&lt;/jats:title&gt;&lt;/jats:caption&gt;&lt;jats:sec&gt;&lt;jats:title&gt;What is already known on the subject&lt;/jats:title&gt;&lt;jats:p&gt;&lt;jats:list list-type="bullet"&gt;
&lt;jats:list-item&gt;
&lt;jats:p&gt;Children's productions of individual sounds, like /k/, become gradually more adult‐like over the course of development. For a child who has a [t] for /k/ error, this gradual development means that children's productions become progressively less like /t/ and more like /k/ over development. Phonetic transcription does not capture this gradual development. In contrast, studies have shown that continuous ratings of children's speech (such as rating productions on a scale anchored by the text “the ‘t’ sound” at one end and “the ‘k’ sound” at the other end) can capture this gradual development.&lt;/jats:p&gt;
&lt;/jats:list-item&gt;
&lt;/jats:list&gt;&lt;/jats:p&gt;&lt;/jats:sec&gt;&lt;jats:sec&gt;&lt;jats:title&gt;What this paper adds to existing knowledge&lt;/jats:title&gt;&lt;jats:p&gt;&lt;jats:list list-type="bullet"&gt;
&lt;jats:list-item&gt;
&lt;jats:p&gt;To determine continuous ratings are clinically feasible, we must first determine whether clinical experience affects people's use of continuous rating scales to rate children's speech. We conducted an on‐line speech perception experiment in which 81 speech‐language pathologists/speech and language therapists (SLPs/SLTs) and 20 non‐SLPs/SLTs rated 60 productions by children on continuous rating scales. The 60 stimuli included many sounds that had been independently verified to be intermediate productions (i.e., a target /k/ that was neither completely /k/‐like nor completely /t/‐like). Non‐SLPs/SLTs and less‐experienced SLPs/SLTs rated those intermediate sounds with intermediate ratings (i.e., somewhere on the midpoint of a continuous scale). In contrast, more‐experienced SLPs/SLTs were more likely to rate those sounds as instances of endpoints (i.e., as either /k/ or /t/).&lt;/jats:p&gt;
&lt;/jats:list-item&gt;
&lt;/jats:list&gt;&lt;/jats:p&gt;&lt;/jats:sec&gt;&lt;jats:sec&gt;&lt;jats:title&gt;What are the potential or actual clinical implications of this work?&lt;/jats:title&gt;&lt;jats:p&gt;&lt;jats:list list-type="bullet"&gt;
&lt;jats:list-item&gt;
&lt;jats:p&gt;This finding suggests that clinical experience is paradoxically associated with a reduced tendency to use the entire range of responses on continuous rating scales. This finding suggests that we must better understand the cause of this reduced tendency, so that clinicians at all levels can use continuous rating scales equally effectively.&lt;/jats:p&gt;
&lt;/jats:list-item&gt;
&lt;/jats:list&gt;&lt;/jats:p&gt;&lt;/jats:sec&gt;&lt;/jats:boxed-text&gt;&lt;/jats:p&gt;&lt;/jats:sec&gt;</t>
  </si>
  <si>
    <t>10.1182/blood-2021-153076</t>
  </si>
  <si>
    <t>&lt;jats:title&gt;Abstract&lt;/jats:title&gt;
               &lt;jats:p /&gt;
               &lt;jats:p&gt;Cryptic inv(16)(p13.3q24.3) leading to the CBFA2T3-GLIS2 (CBF/GLIS) oncogenic fusion is exclusively seen in infants with AML and is associated with adverse outcome. Infants with this fusion are uniformly refractory to conventional therapies and despite intensive and myeloablative therapies, virtually all patients relapse with survival less than 15% (Smith et. al. 2020). In the effort to discover actionable targets for this highly refractory leukemia, we interrogated the genome and transcriptome of nearly 3,000 AML cases, including 45 cases of CBF/GLIS AML, and contrasted this to the transcriptome in normal hematopoietic tissues.&lt;/jats:p&gt;
               &lt;jats:p&gt;Initial computational effort to identify CBF/GLIS-specific targets focused on genes that are overexpressed in CBF/GLIS AML and silent in normal hematopoietic tissues providing us with 194 candidate genes. Filtering this library of genes based on cell surface expression and prevalence in target population narrowed the target gene list to six cell surface encoding genes (FOLR1, FRAS1, HPSE2, KLRF2, MEGF10 and PCDH19). FOLR1 encodes folate receptor alpha and given available therapeutic options with FOLR1-targeting agents, this gene was selected for further studies and therapeutic assessment of available targeted therapies. Based on RNA-seq data, FOLR1 is uniquely expressed in CBF/GLIS AML as it is absent in other AML and in normal hematopoietic cells (Figure 1A) providing an opportunity to specifically target leukemia cells while sparing normal hematopoiesis. Cell surface expression of FOLR1 on AML blasts was confirmed by flow cytometry, which further shows AML-restricted expression of FOLR1 on AML cells but not in normal hematopoietic subsets in individual CBF/GLIS patient samples (Figure 1B, C). We previously showed that forced expression of CBF/GLIS fusion transcript in cord blood hematopoietic stem/ progenitor cells (CB HSPCs) induces malignant transformation that fully recapitulates primary CBF/GLIS AML (Hylkema et. al. 2019 ASH). We also demonstrated that CBF/GLIS-transduced CB HSPCs upregulate FOLR1 expression indicating that FOLR1 expression is causally associated with CBF/GLIS expression (Figure 1D).&lt;/jats:p&gt;
               &lt;jats:p&gt;Given cell surface expression of FOLR1 on CBF/GLIS AML cells, we next investigated the preclinical efficacy of targeting FOLR1 using FOLR1-directed site-specific antibody-drug conjugate (STRO-002, Sutro Biopharma). In vitro efficacy of STRO-002 was tested against MV4;11 AML cell line engineered to express FOLR1 (MV4;11 FOLR1+, Figure 1D) and CBF/GLIS-transduced CB HPSCs. STRO-002 exhibited high cytotoxicity against MV4;11 FOLR1+ and CBF/GLIS-transduced CB HPSCs with IC50s of 0.1nM and 4.2nM, respectively (Figure 1E). In vivo efficacy of STRO-002 was evaluated in MV4;11 FOLR1+ NSG xenograft models, which showed potent activity that led to complete leukemia clearance after 3 weekly doses of STRO-002 at 2.5 and 5 mg/kg (Figure 1F). The anti-leukemia effects of STRO-002 resulted in significant increase in survival (p=0.002, Figure 1G). STRO-002 showed similar in vivo efficacy in the xenograft mice bearing CBF/GLIS-transduced CB HSPCs (Figure 1H) suggesting highly potent activity of STRO-002 against FOLR1+ AML cells.&lt;/jats:p&gt;
               &lt;jats:p&gt;In this study, we utilize a computational approach to discover AML-restricted targets (high expression in AML, silent in normal) that are previously elusive to identify actionable targets for high-risk CBF/GLIS AML. From this discovery pipeline, we demonstrate FOLR1 to be highly and uniquely expressed in CBF/GLIS AML but not in normal counterparts, providing a strategy to target leukemia cells without impacting normal hematopoiesis. Finally, we demonstrate that targeting FOLR1 with STRO-002 antibody drug conjugate effectively eliminates CBF/GLIS-positive AML in vitro and in vivo, providing a promising approach to eradicate leukemia and improve outcomes in this high-risk AML subtype.&lt;/jats:p&gt;
               &lt;jats:p&gt;Figure 1 Figure 1.&lt;/jats:p&gt;
               &lt;jats:p /&gt;
               &lt;jats:sec&gt;
                  &lt;jats:title&gt;Disclosures&lt;/jats:title&gt;
                  &lt;jats:p&gt;Hylkema: Quest Diagnostics Inc: Current equity holder in publicly-traded company; Moderna: Current equity holder in publicly-traded company. Pardo: Hematologics, Inc.: Current Employment. Abrahams: Sutro Biopharma: Current Employment. Bedard: Sutro Biopharma: Current Employment. Molina: Sutro Biopharma: Current Employment. Eidenschink Brodersen: Hematologics, Inc.: Current Employment, Other: equity ownership. Loken: Hematologics, Inc.: Current Employment, Other: current equity holder in a privately owned company.&lt;/jats:p&gt;
               &lt;/jats:sec&gt;</t>
  </si>
  <si>
    <t>10.23925/2178-2911.2023v27espp433-450</t>
  </si>
  <si>
    <t>&lt;jats:p&gt;Resumo 
O progresso científico permitiu uma melhoria indiscutível na qualidade de vida humana e de outros animais. Todavia, este sucesso é frequentemente apresentado sem menção dos custos a ele associados. Tendo como referência o período da ciência moderna, iniciado e consolidado nos séculos XVI e XVII, o aumento de grande parte do conhecimento científico fez-se com recurso à experimentação em humanos e animais. Num claro exemplo de permeabilidade da ciência aos valores hierárquicos vigentes na sociedade, escravos e prisioneiros foram utilizados em experiências diversas, assim como os mais pobres e vulneráveis (por exemplo, pessoas com doenças mentais). Igualmente comum foi a prática de testagem em pacientes antes de estar garantida a segurança das substâncias inoculadas. A prática de vivissecção e dissecação de animais era também generalizada, sendo usados com frequência cães, ratos, coelhos, gatos, cavalos e veados, generalizando-se o uso de primatas no século XX. Cientistas como o português Amato Lusitano (1511-1568), o inglês William Harvey (1578-1657), os franceses Claude Bernard (1813-1878), Louis Pasteur (1822-1895) ou o alemão Paul Ehrlich (1854-1915) são apenas alguns exemplos do uso da experimentação animal nas suas descobertas. Mas, se mobilizar princípios éticos fundamentais dos dias de hoje em práticas ocorridas no passado parece não fazer sentido, importa evidenciar que as práticas cientificas descritas foram um dos fatores que conduziram ao surgimento de percursores dos direitos humanos e dos animais e à criação no século XIX de associações como a Royal Society for the Prevention of Cruelty to Animals (RSPCA) e da Société Protectrice des Animaux (SPA) que iniciaram a luta organizada contra a crueldade sobre os animais. Estes e outros movimentos conduziram à situação atual em que o uso de animais em investigação científica continua a ser um tema controverso, e em que os princípios da substituição, redução e refinamento têm vindo a ser adotados. 
Neste texto pretende-se  apresentar ocontributos de alguns cientistas para a história da experimentação animal nos últimos 5 séculos. Recorre-se à análise documental de algumas obras de autores de referência, a saber: Bory (2013), Newton (2013) e Guerreni (2022), embora outros autores sejam igualmente mobilizados.
Palavras-chave: Experimentação Animal, Vivissecção, Ética, Bem-estar animal 
Abstract 
Scientific progress has allowed an indisputable improvement in the quality of life for humans and other animals. However, this success is often presented without mentioning the costs associated with it. Taking the period of modern science as reference, which began and consolidated in the 16th and 17th centuries, the increase of part of scientific knowledge was achieved through experimentation on humans and animals. In a clear example of the permeability of science to the hierarchical values prevailing in society, slaves and prisoners were used in different experiments, as well as the poorest and most vulnerable (for example, people with mental illnesses). Equally common was the practice of testing patients before the safety of the inoculated substances was guaranteed. The practice of vivisection and dissection on animals was also generalized, being dogs, rats, rabbits, cats, horses and deer frequently used, and primates generalized only in the 20th century. Scientists such as the Portuguese Amato Lusitano (1511-1568), the English William Harvey (1578-1657), the French Claude Bernard (1813-1878) and Louis Pasteur (1822-1895) or the German Paul Ehrlich (1854-1915) are just a few examples of the use of animal experimentation in their discoveries. But, if mobilizing fundamental ethical principles of today in practices that occurred in the past does not seem to make sense, it is important to highlight that the scientific practices described were one of the factors that led to the emergence of precursors of human and animal rights and to the creation in the 19th century of associations such as the Royal Society for the Prevention of Cruelty to Animals (RSPCA) and the Société Protectrice des Animaux (SPA) which initiated the organized fight against cruelty to animals. These and other movements have led to the current situation in which the use of animals in scientific research continues to be a controversial topic, and in which the principles of substitution, reduction and refinement have been adopted.
This text aims to present the contributions of some scientists to the history of animal experimentation in the last 5 centuries. Documentary analysis of some works by reference authors, namely: Bory (2013), Newton (2013) and Guerreni (2022) was privileged, although other texts are also referenced.
Keywords: Animal Experiments, Vivisection, Ethics, Animal Welfare&lt;/jats:p&gt;</t>
  </si>
  <si>
    <t>10.51889/2959-5657.2024.87.1.009</t>
  </si>
  <si>
    <t>&lt;jats:p&gt;In the modern world, the training system is constantly under development, due to the daily appear-ance of new, more effective teaching methods that allow achieving results many times faster. The meth-odology of teaching a foreign language requires the use of authentic materials so that students can apply their knowledge in practice. Media materials allow students to immerse themselves in the natural envi-ronment of using a foreign language, which means it allows them to communicate at a more natural lev-el, discuss issues of global importance and conduct small talk with representatives of foreign culture and native speakers. The purpose of this research is to study the effectiveness of the use of media materials for the development of communication skills among students of more advanced levels of English lan-guage proficiency (B2, C1). This article describes the results of a pedagogical experiment with students of the 2nd year of the Faculty of Philology in the direction "Foreign language: 2 foreign languages". The results of the conducted pedagogical research have valuable practical significance, because they can be used  in  further  scientific  works  on  a  given  topic.  As  a  result  of  the  preparation  of  this  article,  it  was found that the use of media materials has a positive effect on the development of students' communica-tion skills, because their fluency of speech, and the ability to maintain a conversation on a given topic increases, fewer grammatical and lexical errors in English speech are made.&lt;/jats:p&gt;
                                                                                            &lt;jats:p&gt;Қазіргі әлемде оқыту жүйесі бірнеше есе жылдам нәтижеге қол жеткізуге мүмкіндік беретін жаңа, тиімдірек оқыту әдістерінің күнделікті пайда болуына байланысты үнемі даму сатысында тұр. Шет тілін оқыту әдістемесі студенттердің алған білімдерін іс жүзінде қолдана алуы үшін шынайы (түп нұсқа) материалдарды қолдануды талап етеді. БАҚ материалдары студенттерге шет тілін қолданудың табиғи ортасына енуге мүмкіндік береді, яғни бұл оларға табиғи деңгейде қарым-қатынас жасауға, әлемдік маңызы бар мәселелерді талқылауға және шет тілі мәдениетінің ӛкілдерімен және ана тілінде сӛйлейтіндермен шағын әңгімелер жүргізуге мүмкіндік береді. Бұл ғылыми  зерттеудің  мақсаты  ағылшын  тілін  жетік  меңгерген  студенттердің  қарым  қатынас дағдыларын  дамыту  үшін  БАҚ  материалдарын  пайдаланудың  тиімділігін  зерттеу  болып ВЕСТНИК КазНПУ им. Абая, серия «Филологические науки», No1(87), 2024г.73табылады (B2, C1). Бұл мақалада филология факультетінің 2 курс студенттерімен "Шет тілі: екішет тілі"бағыты бойынша педагогикалық эксперименттің нәтижелері сипатталған. Жүргізілген педагогикалық зерттеудің нәтижелері құнды практикалық маңыздылыққа ие, ӛйткені оларды берілген тақырып бойынша одан әрі ғылыми жұмыстарда қолдануға болады. Осы мақаланы дайындау нәтижесінде бұқаралық ақпарат құралдарының материалдарын қолдану студенттердің коммуникативті дағдыларының дамуына оң әсер ететіндігі анықталды, ӛйткені олардың еркін сӛйлеуі мен  берілген тақырыпта сӛйлей білу қабілеті артады, ағылшын тіліндегі грамматикалық және лексикалық қателіктеріазаяды.&lt;/jats:p&gt;
                                                    &lt;jats:p&gt;В современном мире система обучения постоянно находится в стадии развития, в связи с ежедневным появлением новых, более эффективных методов обучения, позволяющих добиться результата в разы быстрее. Методика обучения иностранному языку требует применения аутен-тичных материалов, чтобы студенты могли применять полученные знания на практике. Мате-риалы СМИ позволяют студентам погружаться в естественную среду использованияиностран-ного языка, а значит это позволяет им коммуницировать на более естественном уровне, обсуж-дать вопросы мирового значения и вести светские беседы с представителями иноязычной куль-туры и носителями языка. Целью данного научного исследования является изучение эффектив-ности использования материалов СМИ для развития навыков коммуникации у студентов более продвинутых уровней владения английским языком (B2, C1). В данной статье описываются ре-зультаты  педагогического  эксперимента  с  учащимися  2-го  курса  факультета  филологии  по направлению «Иностранный язык: 2 иностранных языка». Результаты проведенного педагогиче-ского исследования имеют ценную практическую значимость, потому как могут быть использо-ваны в дальнейших научных работах по заданной теме. В результате подготовки данной статьи было установлено, что использование материалов СМИ положительным образом влияет на раз-витие коммуникативных навыков студентов, потому что повышается их беглость речи, умение поддержать разговор на заданную тему, меньшее количество грамматических и лексических ошибок в английской речи.&lt;/jats:p&gt;</t>
  </si>
  <si>
    <t>10.1182/blood-2023-190271</t>
  </si>
  <si>
    <t>&lt;jats:title&gt;CONCLUSIONS&lt;/jats:title&gt;
               &lt;jats:p&gt;In low- and middle-income countries (LMIC) like Mexico, the treatment of patients with refractory or relapsed acute lymphoblastic leukemia (r/r ALL) represents a significant challenge due to limited access to immunotherapy and hematopoietic stem cell transplantation (HSCT). As a result, the one-year survival rate is reported to be less than 20%. The use of intensive chemotherapy has not improved survival in this group due to its high toxicity.&lt;/jats:p&gt;
               &lt;jats:p&gt;Blinatumomab uses the patient's own cytotoxic T-cells to induce lysis of the leukemia cells expressing CD19 and has been established as a bridge therapy for transplant in patients with r/r B-ALL. The usual pattern of administration is a dose scaled up to complete a total of 28 days of infusion.&lt;/jats:p&gt;
               &lt;jats:p&gt;According to various studies, it is considered appropriate to use repeated cycles of this antibody to achieve the desired response. However, there are also reports of patients achieving complete responses within the first 15 days of the cycle. The high costs of Blinatumomab's administration present a significant barrier to its use in LMIC. As a consequence, the application of prolonged or multiple cycles of the drug becomes unaffordable for a substantial portion of the global population.&lt;/jats:p&gt;
               &lt;jats:p&gt;Demonstrate the safety and efficacy of utilizing short cycles of Blinatumomab (21 days) as a bridge therapy to HSCT in pediatric patients with r/r ALL to explore the potential cost-reduction benefits and increased access to this therapy in resource-limited settings.&lt;/jats:p&gt;
               &lt;jats:p&gt;A pilot clinical trial was conducted. Pediatric patients (&amp;amp;lt;16 y) diagnosed with r/r B- ALL between the years 2020-2022 were included. The usual Blinatumomab dosing regimen was adopted, but the total duration of the cycle was reduced. Continuous infusion was initiated at a dose of 5 mcg/m2/day for the first 7 days, followed by an increase to 15 mcg/m2/day for 14 days (21-day total treatment duration). To mitigate cytokine release syndrome (CRS) a single dose of dexamethasone was administered at the start of the infusion and after the dose escalation. The entire regimen was administered on an outpatient basis, with an infusion pump at home. Caregivers were instructed on the operation of the pump and detection of any signs of toxicity, with 24/7 contact with the medical team and the option to hospitalize if necessary.&lt;/jats:p&gt;
               &lt;jats:p&gt;A total of 7 patients were included, and all of them received Blinatumomab in a single 21-day cycle. The median age was 5 years (15 mo- 13 y). The majority of patients were stratified as high-risk at the time of diagnosis (85.7%). Among the patients, 4 had relapsed ALL, while 3 had refractory disease. The median time from the initial diagnosis to the use of Blinatumomab was 16 months (ranging 7-29 mo), and the median number of treatment lines before Blinatumomab administration was 3 (ranging 2-4).&lt;/jats:p&gt;
               &lt;jats:p&gt;The highest level of minimal residual disease (MRD) detected before the Blinatumomab treatment was 4.2% (by flow cytometry).&lt;/jats:p&gt;
               &lt;jats:p&gt;Remarkably, all patients (100%, n=7) achieved a complete response, with MRD being negative for flow cytometry after the 21-day cycle of Blinatumomab. In 5 out of 7 patients, the administration of the drug was completely ambulatory.&lt;/jats:p&gt;
               &lt;jats:p&gt;Only 2 patients experienced grade I CRS which was successfully managed with steroids. No adverse effects greater than grade 2 were reported, and no patient required support with transfusion therapy during or after the infusion. There were no reports of profound neutropenia, and no treatment-related deaths occurred.&lt;/jats:p&gt;
               &lt;jats:p&gt;HSCT was conducted in all patients to consolidate the response, with 6 patients undergoing haploidentical and 1 patient undergoing identical allogeneic HSCT. At present, 5 out of 7 patients are alive and in complete remission. One patient died on day +51 post-HSCT due to pulmonary thromboembolism, and the second patient experienced relapse on day +395 post-HSCT and subsequently died on day +640 due to disease progression.&lt;/jats:p&gt;
               &lt;jats:p&gt;The median overall survival at 3 years was 66.7%, with a median follow-up period of 21 months (4 -30mo).&lt;/jats:p&gt;
               &lt;jats:p&gt;An alternative outpatient, low-toxicity and cost-effective treatment approach was implemented. The findings from this study could shed light on a promising strategy to improve the outcomes for patients with ALL patients with limited therapeutic options, particularly in the context of resource-constrained settings.&lt;/jats:p&gt;</t>
  </si>
  <si>
    <t>10.1107/s2053229624004534</t>
  </si>
  <si>
    <t>&lt;jats:p&gt;The well-known copper carboxylate dimer, with four carboxylate ligands extending outwards towards the corners of a square, has been employed to generate a series of crystalline compounds. In particular, this work centres on the use of the 4-hydroxybenzoate anion (Hhba&lt;jats:sup&gt;−&lt;/jats:sup&gt;) and its deprotonated phenolate form 4-oxidobenzoate (hba&lt;jats:sup&gt;2−&lt;/jats:sup&gt;) to obtain complexes with the general formula [Cu&lt;jats:sub&gt;2&lt;/jats:sub&gt;(Hhba)&lt;jats:sub&gt;4–&lt;jats:italic&gt;x&lt;/jats:italic&gt;
                  &lt;/jats:sub&gt;(hba)&lt;jats:italic&gt;
                     &lt;jats:sub&gt;x&lt;/jats:sub&gt;L&lt;/jats:italic&gt;
                  &lt;jats:sub&gt;2–&lt;jats:italic&gt;y&lt;/jats:italic&gt;
                  &lt;/jats:sub&gt;]&lt;jats:sup&gt;
                     &lt;jats:italic&gt;x&lt;/jats:italic&gt;−&lt;/jats:sup&gt;, where &lt;jats:italic&gt;L&lt;/jats:italic&gt; is an axial coligand (including solvent molecules), &lt;jats:italic&gt;x&lt;/jats:italic&gt; = 0, 1 or 2, and &lt;jats:italic&gt;y&lt;/jats:italic&gt; = 0 or 1. In some cases, short hydrogen bonds result in complexes which may be represented as [Cu&lt;jats:sub&gt;2&lt;/jats:sub&gt;(Hhba)&lt;jats:sub&gt;2&lt;/jats:sub&gt;(H&lt;jats:sub&gt;0.5&lt;/jats:sub&gt;hba)&lt;jats:sub&gt;2&lt;/jats:sub&gt;
                  &lt;jats:italic&gt;L&lt;/jats:italic&gt;
                  &lt;jats:sub&gt;2&lt;/jats:sub&gt;]&lt;jats:sup&gt;−&lt;/jats:sup&gt;. The main focus of the investigation is on the formation of a variety of extended networks through hydrogen bonding and, in some crystals, coordinate bonds when bridging coligands (&lt;jats:italic&gt;L&lt;/jats:italic&gt;) are employed. Crystals of [Cu&lt;jats:sub&gt;2&lt;/jats:sub&gt;(Hhba)&lt;jats:sub&gt;4&lt;/jats:sub&gt;(dioxane)&lt;jats:sub&gt;2&lt;/jats:sub&gt;]·4(dioxane) consist of the expected Cu dimer with the Hhba&lt;jats:sup&gt;−&lt;/jats:sup&gt; anions forming hydrogen bonds to 1,4-dioxane molecules which block network formation. In the case of crystals of composition [Et&lt;jats:sub&gt;4&lt;/jats:sub&gt;N][Cu&lt;jats:sub&gt;2&lt;/jats:sub&gt;(Hhba)&lt;jats:sub&gt;2&lt;/jats:sub&gt;(H&lt;jats:sub&gt;0.5&lt;/jats:sub&gt;hba)&lt;jats:sub&gt;2&lt;/jats:sub&gt;(CH&lt;jats:sub&gt;3&lt;/jats:sub&gt;OH)(H&lt;jats:sub&gt;2&lt;/jats:sub&gt;O)]·2(dioxane), Li[Cu&lt;jats:sub&gt;2&lt;/jats:sub&gt;(Hhba)&lt;jats:sub&gt;2&lt;/jats:sub&gt;(H&lt;jats:sub&gt;0.5&lt;/jats:sub&gt;hba)&lt;jats:sub&gt;2&lt;/jats:sub&gt;(H&lt;jats:sub&gt;2&lt;/jats:sub&gt;O)&lt;jats:sub&gt;2&lt;/jats:sub&gt;]·3(dioxane)·4H&lt;jats:sub&gt;2&lt;/jats:sub&gt;O and [Cu&lt;jats:sub&gt;2&lt;/jats:sub&gt;(Hhba)&lt;jats:sub&gt;2&lt;/jats:sub&gt;(H&lt;jats:sub&gt;0.5&lt;/jats:sub&gt;hba)&lt;jats:sub&gt;2&lt;/jats:sub&gt;(H&lt;jats:sub&gt;0.5&lt;/jats:sub&gt;DABCO)&lt;jats:sub&gt;2&lt;/jats:sub&gt;]·3CH&lt;jats:sub&gt;3&lt;/jats:sub&gt;OH (DABCO is 1,4-diazabicyclo[2.2.2]octane), square-grid hydrogen-bonded networks are generated in which the complex serves as one type of 4-connecting node, whilst a second 4-connecting node is a hydrogen-bonding motif assembled from four phenol/phenolate groups. Another two-dimensional (2D) network based upon a related square-grid structure is formed in the case of [Et&lt;jats:sub&gt;4&lt;/jats:sub&gt;N]&lt;jats:sub&gt;2&lt;/jats:sub&gt;[Cu&lt;jats:sub&gt;2&lt;/jats:sub&gt;(Hhba)&lt;jats:sub&gt;2&lt;/jats:sub&gt;(hba)&lt;jats:sub&gt;2&lt;/jats:sub&gt;(dioxane)&lt;jats:sub&gt;2&lt;/jats:sub&gt;][Cu&lt;jats:sub&gt;2&lt;/jats:sub&gt;(Hhba)&lt;jats:sub&gt;4&lt;/jats:sub&gt;(dioxane)(H&lt;jats:sub&gt;2&lt;/jats:sub&gt;O)]·CH&lt;jats:sub&gt;3&lt;/jats:sub&gt;OH. In [Cu&lt;jats:sub&gt;2&lt;/jats:sub&gt;(Hhba)&lt;jats:sub&gt;4&lt;/jats:sub&gt;(H&lt;jats:sub&gt;2&lt;/jats:sub&gt;O)&lt;jats:sub&gt;2&lt;/jats:sub&gt;]·2(Et&lt;jats:sub&gt;4&lt;/jats:sub&gt;NNO&lt;jats:sub&gt;3&lt;/jats:sub&gt;), a square-grid structure is again apparent, but, in this case, a pair of nitrate anions, along with four phenolic groups and a pair of water molecules, combine to form a second type of 4-connecting node. When 1,8-bis(dimethylamino)naphthalene (bdn, `proton sponge') is used as a base, another square-grid network is generated, &lt;jats:italic&gt;i.e.&lt;/jats:italic&gt; [Hbdn]&lt;jats:sub&gt;2&lt;/jats:sub&gt;[Cu&lt;jats:sub&gt;2&lt;/jats:sub&gt;(Hhba)&lt;jats:sub&gt;2&lt;/jats:sub&gt;(hba)&lt;jats:sub&gt;2&lt;/jats:sub&gt;(H&lt;jats:sub&gt;2&lt;/jats:sub&gt;O)&lt;jats:sub&gt;2&lt;/jats:sub&gt;]·3(dioxane)·H&lt;jats:sub&gt;2&lt;/jats:sub&gt;O, but with only the copper dimer complex serving as a 4-connecting node. Complex three-dimensional networks are formed in [Cu&lt;jats:sub&gt;2&lt;/jats:sub&gt;(Hhba)&lt;jats:sub&gt;4&lt;/jats:sub&gt;(O-bipy)]·H&lt;jats:sub&gt;2&lt;/jats:sub&gt;O and [Cu&lt;jats:sub&gt;2&lt;/jats:sub&gt;(Hhba)&lt;jats:sub&gt;4&lt;/jats:sub&gt;(O-bipy)&lt;jats:sub&gt;2&lt;/jats:sub&gt;]·2(dioxane), where the potentially bridging 4,4′-bipyridine &lt;jats:italic&gt;N&lt;/jats:italic&gt;,&lt;jats:italic&gt;N&lt;/jats:italic&gt;′-dioxide (O-bipy) ligand is employed. Rare cases of mixed carboxylate copper dimer complexes were obtained in the cases of [Cu&lt;jats:sub&gt;2&lt;/jats:sub&gt;(Hhba)&lt;jats:sub&gt;3&lt;/jats:sub&gt;(OAc)(dioxane)]·3.5(dioxane) and [Cu&lt;jats:sub&gt;2&lt;/jats:sub&gt;(Hhba)&lt;jats:sub&gt;2&lt;/jats:sub&gt;(OAc)&lt;jats:sub&gt;2&lt;/jats:sub&gt;(DABCO)&lt;jats:sub&gt;2&lt;/jats:sub&gt;]·10(dioxane), with each structure possessing a 2D network structure. The final compound reported is a simple hydrogen-bonded chain of composition (H&lt;jats:sub&gt;0.5&lt;/jats:sub&gt;DABCO)(H&lt;jats:sub&gt;1.5&lt;/jats:sub&gt;hba), formed from the reaction of H&lt;jats:sub&gt;2&lt;/jats:sub&gt;hba and DABCO.&lt;/jats:p&gt;</t>
  </si>
  <si>
    <t>10.34883/pi.2022.14.5.002</t>
  </si>
  <si>
    <t>&lt;jats:p&gt;Цель. Оценить функциональную активность тромбоцитов и частоту встречаемости высокой остаточной реактивности тромбоцитов (ВОРТ) у пациентов с Q-инфарктом миокарда (Q-ИМ) после первичного чрескожного коронарного вмешательства (ЧКВ) в зависимости от возраста и времени от начала развития ИМ.  Материалы и методы. В исследование включено 198 пациентов с острым Q-ИМ (162 мужчины, 36 женщин), поделенных на подгруппы (ПГ) в зависимости от возраста: ПГ1 (31–44 года) – 17 человек (8,6%), ПГ2 (45–59 лет) – 98 человек (49,5%), ПГ3 (60–74 года) – 83 человека (41,9%). Все пациенты подвергались процедуре первичного ЧКВ. Оценку агрегации тромбоцитов проводили на импедансном агрегометре Multiplate (Германия) с несколькими индукторами агрегации при поступлении в стационар, через 12–14 дней и через 28–30 дней от начала развития ИМ. Результаты. У пациентов общей группы выявлены следующие показатели агрегатограммы: 1ASPI-test 19,0 [12,0; 30,5] U, 2ASPI-test 27,0 [20,0; 42,0] U, 3ASPI-test 23,0 [17,5;  32,5] U (критерий Фридмана 22,9; p=0,00001); 1ADP-test 32,0 [21,0; 51,0] U, 2ADP-test 37,0 [27,0; 53,0] U, 3ADP-test 31,0 [22,0; 44,5] U (критерий Фридмана 14,6; р=0,00067); 1TRAP-test 77,0 [58,0; 95,0] U, 2TRAP-test 97,0 [79,5; 116,0] U, 3TRAP-test 91,0 [69,0; 107,0] U (критерий Фридмана 60,3; р&amp;lt;0,00001). ВОРТ, свидетельствующая о наличии недостаточного ответа на антитромбоцитарную терапию, выявлена исходно у 49 пациентов (24,7%) по ASPI-test, у 51 пациента (25,8%) по ADP-test, у 21 пациента (10,6%) по ASPI-test + ADP-test, при повторном исследовании – у 84 пациентов (42,4%) по ASPI-test (p&amp;lt;0,01), у 59 пациентов (29,8%) по ADP-test, у 42 пациентов (21,2%) по ASPI-test + ADP-test (p&amp;lt;0,05), при третьем – у 58 пациентов (29,3%) по ASPI-test (p&amp;lt;0,05), у 32 пациентов (16,1%) по ADP-test (p&amp;lt;0,05), у 20 пациентов (10,1%) по ASPI-test + ADP-test. Динамика изменений агрегатограммы и ВОРТ в возрастных подгруппах носила подобный характер.  Заключение. Выявлена высокая частота встречаемости ВОРТ среди пациентов с Q-ИМ в разные сроки ИМ (39,9% исходно, 51,0% через 12–14 дней и 35,4% (p&amp;lt;0,01) через 28–30 дней от начала ИМ). Не выявлено различий показателей агрегатограммы и частоты встречаемости ВОРТ в зависимости от возраста пациентов.&lt;/jats:p&gt;
                                                                                            &lt;jats:p&gt;Purpose. To evaluate functional activity and incidence of high residual platelet reactivity (HRPR) in patients with Q-myocardial infarction (Q-MI) after primary percutaneous coronary intervention (PCI) depending on age and time from the onset of MI.  Materials and methods. A total of 198 patients with acute Q-MI (162 men, 36 women) were included in the study, divided into subgroups (SG) depending on age: SG1 (31–44 years) – 17 persons (8.6%), SG2 (45–59 years) – 98 (49.5%), SG3 (60–74 years) – 83 (41.9%). All patients underwent primary PCI. Platelet aggregation was assessed using a Multiplate impedance aggregometer (Germany) with several aggregation inducers upon admission to the hospital, after 12–14 days and after 28–30 days from the onset of MI.  Results. In patients of the general group, the following indicators of the aggregogram were revealed: 1ASPI-test 19.0 [12.0; 30.5] U, 2ASPI-test 27.0 [20.0; 42.0] U, 3ASPI-test 23.0 [17.5; 32.5] U (Friedman’s test 22.9; p=0.00001); 1ADP-test 32.0 [21.0; 51.0] U, 2ADP-test 37.0 [27.0; 53.0] U, 3ADP-test 31.0 [22.0; 44.5] U (Friedman’s test 14.6; p=0.00067); 1TRAP-test 77.0 [58.0; 95.0] U, 2TRAP-test 97.0 [79.5; 116.0] U, 3TRAP-test 91.0 [69.0; 107.0] U (Friedman’s test 60.3; p&amp;lt;0.00001). Elevated aggregogram values, indicating the presence of HRPR (insufficient response to antiplatelet therapy) were detected at baseline in 49 patients (24,7%) according to ASPI-test, in 51 patients (25.8%) according to ADP-test, in 21 patients (10.6%) according to ASPI-test + ADP-test, upon repeated examination – in 84 patients (42.4%) according to ASPI-test (p&amp;lt;0.01), in 59 patients (29.8%) according to ADP-test, in 42 patients (21.2%) according to ASPI-test + ADP-test (p&amp;lt;0.05), in the third – in 58 patients (29.3%) according to ASPI-test (p&amp;lt;0.05), in 32 patients (16.1%) according to ADP-test (p&amp;lt;0.05), in 20 patients (10.1%) by ASPI-test + ADP-test. Dynamics of changes in the aggregogram and HRPR in the age subgroups had a similar pattern.  Conclusion. A high HRPR incidence was found among patients with Q-MI at different times from the onset of MI (39.9% at baseline, 51.0% after 12–14 days and 35.4% (p&amp;lt;0.01) after 28–30 days from the onset of MI). There were no differences in aggregogram parameters and in HRPR incidence depending on the age of the patients.&lt;/jats:p&gt;</t>
  </si>
  <si>
    <t>10.1158/1538-7445.sabcs19-p5-11-13</t>
  </si>
  <si>
    <t>&lt;jats:title&gt;Abstract&lt;/jats:title&gt;
               &lt;jats:p&gt;Background: After the CONFIRM trial, fulvestrant 500 mg (F500) became a standard treatment for patients with estrogen receptor positive (ER+) advanced/metastatic breast cancer (AMBC). The JBCRG-C06 Safari study (UMIN 000015168) showed that earlier F500 use, a longer time from diagnosis to F500 use, and no prior chemotherapy were associated with significantly longer time to treatment failure (TTF) among Japanese patients with ER+ and HER2-negative AMBC (Kawaguchi H, et al. Breast Cancer Res Treat, 2017; Kawaguchi H, et al. Curr Med Res Opin, 2018). We had carried out subgroup analyses on real world data from the Safari study focusing on ER+ and HER2+ AMBC with the objective to examine further on potential interactions between TTF and the following: F500 single treatment or F500 with anti-HER2 therapy; presence or absence of visceral metastasis; progesterone receptor (PgR) status; and prior chemotherapy for AMBC.&lt;/jats:p&gt;
               &lt;jats:p&gt;Material &amp;amp; methods: The Safari study was a retrospective, multicenter cohort study, conducted in 1072 patients at 16 sites in Japan for ER+ AMBC. Patients starting treatment with F500 between Nov 2011 and Dec 2014 were registered. After the data cleaning through the central review, 94 patients (9.6%) has been included in this sub-analysis among the 978 patients in which HER2 status was confirmed by the documentation.&lt;/jats:p&gt;
               &lt;jats:p&gt;The relationship between baseline clinical/pathological factors, treatment line, and TTF (time from start to cessation of F500 treatment for any reason, including toxicity and death) were analyzed using Kaplan-Meier methods. Univariate analysis of TTF data was performed by Cox hazards model using: age, histological type, histological/nuclear grade, visceral-metastases, stage, PgR, period from AMBC diagnosis to F500 use, treatment line of F500, prior chemotherapy.&lt;/jats:p&gt;
               &lt;jats:p&gt;Results: Median age at diagnosis of AMBC was 57.5yrs (33-85); 59(33-85) and 56.5(39-75) for F500 with/ without anti-HER2 therapy. Median age of fulvestrant start was 61yrs (35-96). 21.3% had de novo metastatic disease; 78.7% recurrent disease; 37.2% visceral metastases. All patients’ ER status was positive, and PgR status was positive in 65.9%, negative 25.5% respectively. HER2 IHC 3+ patients accounted for 44.7%, IHC 2+/1+ for 38.3%. In the case of IHC 2+/1+, HER2-positivity was confirmed by FISH. F500 alone was administered in 52 patients, while F500 with anti-HER2 therapy in 42 patients.&lt;/jats:p&gt;
               &lt;jats:p&gt;At median follow up of 3.9 years, median TTF was 4.4m (95% CI: 3.3-5.7); 3.7m (95% CI: 2.9-5.9), 5.1m(95% CI: 3.6-6.4) for the F500 alone group, F500 with anti-HER2 therapy group respectively (p = 0.5973). F500 with/ without anti-HER2 therapy was administered in 1stor 2nd-line in 20 (21.3%), and ≥3rd-line in 74(78.7%) patients. Median TTF was 6.6m (95% CI: 4.6-8.5) and 3.7m (95% CI: 2.8-5.2) in the 1stor 2nd-line and ≥3rd-line respectively (p value:0.0145). Although no statistically significant difference was found, TTF tended to be shorter in the group receiving chemotherapy prior to F500 (median TTF: 3.7m vs 5.5m).&lt;/jats:p&gt;
               &lt;jats:p&gt;No other clinical parameters including age, PgR status, metastatic sites were associated with the effectiveness. The median OS was 7.8-years (95% CI: 5.9-9.5), which had not been influenced by with/ without anti-HER2 therapy. The toxicity profile we observed was similar to that in the registration trial.&lt;/jats:p&gt;
               &lt;jats:p&gt;Conclusions: Our findings suggest that F500 with/without anti-HER2 therapy appears to be effective also in the ER+ and HER2-positive ABMC setting which is consistent with the limited results previously published. Earlier line use of F500 use may be useful in HER2-positive patients as well as HER2-negative patients.&lt;/jats:p&gt;
               &lt;jats:p&gt;Citation Format: Misato Hagi, Hidetoshi Kawaguchi, Norikazu Masuda, Shigehira Saji, Yutaka Yamamoto, Takahiro Nakayama, Kenjiro Aogi, Keisei Anan, Yoshinori Ito, Shoichiro Ohtani, Nobuaki Sato, Toshimi Takano, Eriko Tokunaga, Seigo Nakamura, Yoshie Hasegawa, Masaya Hattori, Tomomi Fujisawa, Miki Yamaguchi, Hiroko Yamashita, Toshinari Yamashita, Daisuke Yotsumoto, Satoshi Morita, Masakazu Toi, Shinji Ohno. Outcomes of fulvestrant therapy among Japanese women with ER-positive HER2-positive advanced or metastatic breast cancer: A subgroup analysis of the JBCRG-C06 safari study [abstract]. In: Proceedings of the 2019 San Antonio Breast Cancer Symposium; 2019 Dec 10-14; San Antonio, TX. Philadelphia (PA): AACR; Cancer Res 2020;80(4 Suppl):Abstract nr P5-11-13.&lt;/jats:p&gt;</t>
  </si>
  <si>
    <t>10.1182/blood-2024-203903</t>
  </si>
  <si>
    <t>&lt;jats:sec&gt;
                  &lt;jats:title/&gt;
                  &lt;jats:p&gt;Introduction&lt;/jats:p&gt;
                  &lt;jats:p&gt;Outcomes are poor for TP53 mutant myelodysplastic syndrome (MDS) and acute myeloid leukemia (AML) patients who undergo allogeneic hematopoietic stem cell transplantation (allo-HSCT; ~20% long term survival, 30% 1-year relapse free survival (RFS)). Notably, minimal data exist on the impact of TP53 MRD monitoring post allo-HSCT. We have previously reported our multicenter, open-label phase 2 trial results of the p53 reactivator eprenetapopt (APR-246) + azacitidine maintenance post allo-HSCT with encouraging results (median OS 20.6 months, 62% 1-year RFS; Mishra A et al., JCO 2022). We have now completed duplex TP53 MRD sequencing for all patients on study with at least 2 sequential samples.&lt;/jats:p&gt;
                  &lt;jats:p&gt;Methods&lt;/jats:p&gt;
                  &lt;jats:p&gt;Bone marrow (BM) aspirates were obtained prior to allo-HSCT, prior to the start of investigational therapy (day +30 to day +100) and then every 3 cycles while on combination (maximum 12 cycles including assessment upon completion of maintenance). To assess low allele frequency mutations in TP53, a custom-targeted sequencing panel was used with the TwinStrand Biosciences DuplexSeq technology. Library preparation with the enzymatic fragmentation option was performed starting with 4.5µg of DNA from BM mononuclear cells at all timepoints. Following library quantitation using the Kapa Library Quantification Kit, sequencing was performed in a paired-end 150-base configuration on the Illumina NovaSeq 6000 sequencer to generate 200M read-pairs per sample targeting 30,000-70,000X duplex coverage to detect variants at a frequency as low as .005%. Data analysis including alignment, variant calling, and annotation was performed using the TwinStrand Biosciences DuplexSeq Customer Portal hosted in DNANexus. GraphPad Prism was used for survival analyses and RFS/EFS/OS were calculated from date of allo-HSCT. EFS was defined as either relapse or death. For all analyses, TP53 MRD negativity cutoff was 0.01%.&lt;/jats:p&gt;
                  &lt;jats:p&gt;Results&lt;/jats:p&gt;
                  &lt;jats:p&gt;Fourteen patients had serial samples evaluated by duplex sequencing MRD for TP53 mutations post-allo-HSCT prior and during maintenance therapy. All study patients had significant TP53 positivity immediately prior to allo-HSCT (median variant allele frequency (VAF) 17%, range 5-75%). Pre-transplant VAF (&amp;amp;gt; vs &amp;amp;lt; than median VAF) had no effect on RFS, event free survival (EFS) or overall survival (OS). Of the cohort, 57% of patients (n=8) had positive MRD at the initial assessment post-HSCT prior to the start of maintenance therapy (median VAF 0.14%) although this was not predictive of RFS, EFS or OS. Of the entire cohort (n=14), achievement of TP53 MRD negativity at any timepoint post-HSCT was predictive of RFS (median 30 vs 8.9 months; P=.02) and EFS (median 30.6 vs 8.9 months, P=.005) although was not predictive of OS (33.3 vs 21.3 months; P=.33). Of all time points, MRD evaluation after end of maintenance (12 cycles) was the strongest predictor of outcomes. Specifically, MRD negativity after cycle 12 strongly predicted OS (33.9 vs 20.4 months; P=.005) and EFS (33.9 vs 10.1 months; P=.004) with a trend for RFS (32.6 vs 13.5 months; P=.06). Of the six patients who were MRD negative at the post-maintenance evaluation, 3 of 6 patients relapsed with 2 patients having late relapses (32 and 30 months respectively post-HSCT, one extramedullary only). The only early relapse in a post-maintenance MRD negative patient occurred in a patient with a detectable TP53 clone at .003% (relapsed 6 months after completion of 12 cycles of maintenance therapy). The only patient who did not relapse with +TP53 MRD at the post 12-cycle evaluation was transitioned to continuous maintenance hypomethylating agent therapy off-protocol although died of infection 4 months after completing investigational therapy. Individual clinical TP53 VAF trajectories of all patients sequenced on study will be shown at the meeting (e.g. emergence/regression of very rare TP53 variants).&lt;/jats:p&gt;
                  &lt;jats:p&gt;Conclusions&lt;/jats:p&gt;
                  &lt;jats:p&gt;Many patients with TP53 mutant MDS/AML are MRD positive both before and after allo-HSCT, supporting the need for novel pre- and/or post-HSCT strategies to decrease relapse. Following completion of maintenance therapy with eprenetapopt and azacitidine, TP53 MRD was strongly predictive of outcomes, supporting incorporation of this assay in future novel strategies.&lt;/jats:p&gt;
               &lt;/jats:sec&gt;</t>
  </si>
  <si>
    <t>10.1182/blood-2023-190375</t>
  </si>
  <si>
    <t>&lt;jats:title/&gt;
               &lt;jats:p&gt;Multiple Myeloma (MM) progresses from monoclonal gammopathy of undetermined significance (MGUS) and/or smoldering MM (SMM). Despite similar primary genetic events as MM, MGUS and SMM PCs are non- or low-proliferative. Since oncogene activation and DNA damage drive senescence growth arrest to promote immune clearance of potentially malignant cells, we hypothesized that MGUS and SMM pre-malignant PCs exhibit senescence features.&lt;/jats:p&gt;
               &lt;jats:p&gt;To test this, we performed gene set enrichment analysis (GSEA) of a published human PC gene array dataset (GSE5900) comparing normal, MGUS, and SMM PCs for custom senescence phenotyping gene sets (Senescence Up, SenUp; Senescent Cell Anti-Apoptosis Pathways, SCAPs; Senescence Growth Arrest, SenGA; Inflammatory Senescence Associated Secretory Phenotype, iSASP; Interferon SASP, IFN-SASP) versus biological aging gene sets (SenMayo; CellAge). MGUS and SMM PCs exhibited significant enrichment (NES&amp;amp;gt;1.5, q&amp;amp;lt;0.05) for senescence gene sets SenUp, SenGA, and SCAPs compared to normal PCs, with no enrichment for aging gene sets. MGUS PCs were also enriched for iSASP (NES=1.4, q=0.11), whereas SMM PCs were enriched for IFN-SASP (NES=2.3, q&amp;amp;lt;0.05), characteristic of late-senescence. Thus, both MGUS and SMM PCs show enrichment of senescence gene sets compared to normal PCs with differential SASP profiles.&lt;/jats:p&gt;
               &lt;jats:p&gt;Next, we evaluated MGUS, SMM, and MM patient PCs isolated by magnetic sorting for histological senescence features. PCs were immunostained for LMNB1 and HMGB1, and fluorescent in situ hybridized for α-satellite. Cellular senescence was defined as loss of ≥50% nuclear membrane LMNB1, loss of HMGB1, and ≥2 senescence-associated distensions of satellite (SADS) per nuclei. PCs from MGUS patients (N=12) exhibited increased percentage of senescent PCs (26.9±4.1%, Mean±SEM, p&amp;amp;lt;0.0001) compared to SMM (11.0±1.9%, N=19, p&amp;amp;lt;0.0001) and MM (11.6±1.5%, N=11, p&amp;amp;lt;0.001). A subset analysis of SMM patients for which disease stability was known (≥2 years, N=6-8) showed no differences. These results demonstrate that the percentage of senescent PCs is increased in MGUS but not SMM PCs compared to proliferative disease.&lt;/jats:p&gt;
               &lt;jats:p&gt;To assess PC senescence in the native bone marrow microenvironment (BMME), we evaluated trephine bone biopsies from MGUS and SMM patients that progressed or not to MM ≤10 years, as well as newly diagnosed MM. Biopsies were immunostained for CD138, LMNB1, and HMGB1. Whole biopsy images were analyzed using the artificial intelligence-based software HALO. Cells were classified as senescent if they were double negative and non-senescent if they were double positive for LMNB1 and HMGB1. The percentage of non-senescent PCs increased with progression to MM and positively correlated with total PC burden (R=0.52, p&amp;amp;lt;0.0001), reflective of proliferative disease. Senescent PCs correlated with total senescent BMME (R=0.87, p&amp;amp;lt;0.0001), consistent with a role for senescent cells to drive paracrine senescence. We performed proximity analysis to evaluate the cellular composition within 25um of senescent and non-senescent PCs. As expected, non-senescent PCs exhibited a significantly greater percentage of proximate non-senescent BMME in all groups (p&amp;amp;lt;0.0001). In contrast, senescent PCs in stable MGUS (N=16) and SMM (N=14) were equally surrounded by senescent and non-senescent BMME. In progressing MGUS (N=21) and SMM (N=20), as well as MM (N=18), senescent PCs exhibited significantly reduced senescent BMME in their proximate environment (p&amp;amp;lt;0.05). This suggests that senescent PCs in progressive disease, in contrast to stable disease, fail to drive local paracrine senescence responses.&lt;/jats:p&gt;
               &lt;jats:p&gt;These data demonstrate that PCs from stable MGUS and SMM patients exhibit senescence features, with isolated PCs from stable MGUS showing increased senescence gene expression and histologic features. While stable SMM also exhibits senescence gene expression, they lose morphological features of senescence and show a preferential IFN SASP. Within the bone compartment, senescent PCs in stable MGUS and SMM exhibit the expected proximity to senescent BMME. In contrast, progressing MGUS and SMM, as well as NDMM, show a loss of proximate senescent BMME. Given the role of senescence to drive inflammation to clear potentially tumorigenic cells, these data support that failure to drive paracrine senescence may be key to the immune escape of pre-malignant cells in MGUS and SMM.&lt;/jats:p&gt;</t>
  </si>
  <si>
    <t>10.1182/blood-2023-178331</t>
  </si>
  <si>
    <t>&lt;jats:title/&gt;
               &lt;jats:p&gt;Background:Twitter has proven to be a powerful tool in medical education by providing a conduit for disseminating research, educating medical trainees, and facilitating discourse between physicians. With training programs transitioning to virtual interviews since the COVID-19 pandemic, programs' social media accounts have also become useful for interaction between applicants and programs and have been shown to influence applicant perceptions of programs (Kapsetaki et al., Interact J Med Res 2023; Schweitzer et al., J AM Osteopath Assoc. 2012). Given Twitter's importance and potential for hematology/oncology fellowship programs, we aimed to analyze its utilization among programs and characterize what attributes increase follower count, an important marker of a profile's influence (Bakshy et al., Association for Computing Machinery 2011).&lt;/jats:p&gt;
               &lt;jats:p&gt;Methods: All data was collected between July 1st and July 19th, 2023. We identified adult hematology/oncology fellowship programs in the United States using the Electronic Residency Application Service and searched for Twitter profiles for each program. We then analyzed each profile for number of educational, departmental, academic, and social posts. Program demographics, including program size and community or academic status, were obtained from FREIDA. NCI, NCCN, and US News Ranking status were obtained from the respective websites. Analysis included Spearman correlation, ANOVA, and Chi-Square testing.&lt;/jats:p&gt;
               &lt;jats:p&gt;Results: Of the 180 hematology/oncology fellowship programs identified, 44 (24%) had Twitter accounts. Of these programs, 27 (61.4%) were university-based, 2 (4.5%) were community-based, 1 (2.3%) was community/university based, while 14 (31.8%) were categorized as “other”. NCCN status (p&amp;amp;lt;0.05) was associated with larger Twitter following. Of the Twitter accounts, 39 (88.6%) were deemed to be active, defined as having tweeted since July 1 st, 2022. More Twitter posts (R 2 = 0.49, p&amp;amp;lt;0.001) was associated with higher number of total followers. Amongst post type, more departmental (R 2 = 0.41, p&amp;amp;lt;0.001), academic (R 2 = 0.46, p&amp;amp;lt;0.001), and “Other” (R 2 = 0.35, p&amp;amp;lt;0.001) posts not meeting criteria of the other subsets, were correlated with increased Twitter followers. Increased number of profiles followed by the fellowship program's account (R 2 = 0.2, p&amp;amp;lt;0.05) and increased social posts (R 2 = 0.1, p&amp;amp;lt;0.05) had weak positive associations with Twitter following. Number of fellows per program did not have an association with number of Twitter followers.&lt;/jats:p&gt;
               &lt;jats:p&gt;Conclusions: In our study, NCCN status and larger tweet volume, specifically about academic and departmental topics, were more strongly associated with increased Twitter following. Higher tweet number offers more opportunity for retweets and commenting from followers, thereby increasing visibility. From a follower's perspective, more frequent posting likely increases the value of the Twitter page as one that is truly providing real time program updates. Highlighting academic accomplishments and achievements of the department's faculty and house staff could be attracting applicants and medical professionals by offering insight into the quality of academic output, staff, and training at the program. Programs with NCCN status could be drawing followers through associated prestige but also tend to be larger programs that are more likely to have the resources to update and develop accounts.&lt;/jats:p&gt;
               &lt;jats:p&gt;A similar study conducted in pulmonary/critical care fellowships (Gandotra et al., ATS 2021) also showed higher follower count with larger post volume. They noted that social and clinical tweets attracted more followers, but the study utilized differing post classification definitions from our study. An investigation in psychiatry residencies using the same definitions for classifying posts, but instead evaluating Instagram (Bernstein et al., Academic Psychiatry 2021) yielded similar results to ours.&lt;/jats:p&gt;
               &lt;jats:p&gt;Our data also shows that most hematology/oncology fellowships do not have Twitter profiles. With the growing importance of social media, this offers a clear opportunity for furthering engagement with the medical community and potential fellows. Posting regularly, and about academic and departmental topics, could help maximize the Twitter profile's influence, while also providing fellowship applicants with useful information in the virtual era.&lt;/jats:p&gt;</t>
  </si>
  <si>
    <t>10.1182/blood-2023-174351</t>
  </si>
  <si>
    <t>&lt;jats:title/&gt;
               &lt;jats:p&gt;Introduction : Blood transfusion is a major developmental challenge in sub-Saharan Africa due to chronic inadequacy and shortage of major blood products. In Ghana, deferral of potential blood donors has been identified as a significant challenge. Anemia, accounts for nearly half of ineligible blood donors. The estimated prevalence of anemia is 42.4% in women of reproductive age and 18.8% among peri-urban men ( Spring and Ghana Health service 2016). Thus, a high prevalence of anemia accounting for nearly half of voluntary blood donor deferrals, may contribute to the country's poor availability of safe blood for transfusion. No prior investigation had been carried out in Ghana on whether potential blood donors, deferred due to anemia, would consider donating blood after receiving counselling and appropriate treatment. This study tested the hypothesis that low-dose iron supplementation will increase hemoglobin levels sufficiently among anemic individuals to make them eligible to donate blood. Data from this trial informed the design of a larger randomized control type 1 pragmatic effectiveness implementation hybrid trial.&lt;/jats:p&gt;
               &lt;jats:p&gt;Methods:This was a longitudinal two-arm parallel-group trial (participants aged 18 - 60 years). We compared the hemoglobin levels among those with anemia, iron deficiency (ID) or iron deficiency anemia (IDA) who received iron supplementation to donors without ID or IDA (Control group) in a non-inferiority design(NCT04949165). Anemia, IDA and ID were defined and determined using World Health Organization cut-off values (WHO, 2011). Potential blood donors with hemoglobin values less than 10 g/dl were excluded from the study. Participants in the iron supplementation arm were given low-dose iron (65 mg elemental iron) three times weekly for four months while the control arm received the standard nutritional counselling practice. In-person visits occurred at two, four and six months and included blood draws for full blood count, peripheral blood film smear, malaria rapid test and serum ferritin. The primary outcome was hemoglobin level after four months. A structured questionnaire assessed adherence, nutritional counselling and adverse events every two weeks via phone.&lt;/jats:p&gt;
               &lt;jats:p&gt;Results: Two hundred and twenty-three first-time voluntary blood donors consented and passed pre-screening donation requirements (105 in iron supplementation arm vs. 118 in the control arm). The mean ages were similar between the iron supplementation and control groups (19.7±2.5 vs. 20.1±3.1 years). In both groups, there were more females than males (iron: 75.2%; control: 51.7%). At screening, 43.9% (98/223) had anemia while 3.1% (7/223) had ID. Of those who had anemia, 84.7% (83/98) had ferritin at least 15 g/l while 15.3% (15/98) had IDA. Among controls who donated blood at screening with an interim 1 visit, 42.6% (20/47) of females and 20.9% (9/43) of males were anemic. Only 23.4% (11/47) of females but no male was ID after one blood donation. Among participants assigned to iron supplementation who were anemic at screening, 31.7% (20/63) of females and 28.6% (6/21) of males were no longer anemic at interim visit 1. Among iron participants who were ID at screening 53.3% (8/15) of females and no male (0/2) were iron replete at interim visit 1. Only half of the participants receiving iron supplementation self-reported perfect adherence at the first and second interim visits (end of iron supplementation). A small proportion of participants reported side effects of dark stools and abdominal pain. We did not observe bacterial infections or increased malaria incidence. The mean hemoglobin values decreased over time from baseline to month four in the control group (screening: N=118, 13.4±1.3 g/dl; interim visit 2: N=74, 12.3±1.5 g/dl) and increased in the iron supplementation group (screening: N=105, 11.3±0.9 g/dl; interim visit 2: N=56, 11.4±1.3 g/dl). However, the primary comparison, mean hemoglobin difference between the iron supplementation and control arm at four months, did not meet the threshold to reject the inferiority hypothesis.&lt;/jats:p&gt;
               &lt;jats:p&gt;Conclusion: The prevalence of ID and IDA among voluntary first-time blood donors was lower than previously published estimates. Adherence to low-dose iron supplementation three times a week was poor. Hemoglobin levels in the iron supplementation arm were not close enough to those in the control group after four months of iron supplementation to declare non-inferiority.&lt;/jats:p&gt;</t>
  </si>
  <si>
    <t>10.1093/ofid/ofae631.1049</t>
  </si>
  <si>
    <t>&lt;jats:title&gt;Abstract&lt;/jats:title&gt;
               &lt;jats:sec&gt;
                  &lt;jats:title&gt;Background&lt;/jats:title&gt;
                  &lt;jats:p&gt;Previously considered a rare opportunistic pathogen, Serratia is now an emerging cause of bacteremia. However, the demographics and outcomes of patients with Serratia bacteremia remain poorly understood. We thus compared the risk factors and outcomes of patients with Serratia bacteremia relative to other Enterobacterales species in a prospectively ascertained cohort of hospitalized patients.&lt;/jats:p&gt;
                  &lt;jats:p&gt;Rates of device infection in patients with medical devices.&lt;/jats:p&gt;
                  &lt;jats:p&gt;Rates of device infection in patients with medical devices stratified by device type. P values ≤0.05 are considered statistically significant and indicated (*).&lt;/jats:p&gt;
               &lt;/jats:sec&gt;
               &lt;jats:sec&gt;
                  &lt;jats:title&gt;Methods&lt;/jats:title&gt;
                  &lt;jats:p&gt;Patients with gram-negative bacteremia (GNB) were prospectively enrolled from 2002-2021 at Duke University. Clinical characteristics and outcomes were compared among patients with bacteremia due to Serratia and other Enterobacterales. Multivariable logistic regression models were used to determine features independently associated with outcomes.&lt;/jats:p&gt;
                  &lt;jats:p&gt;Risk factors associated with device-associated infection.&lt;/jats:p&gt;
                  &lt;jats:p&gt;Risk factors associated with device-associated infection. The multivariable models of factors associated with underlying device infection in patients with any medical device (A) and only cardiac devices (B) and gram-negative bacteremia are shown. P values ≤0.05 are considered statistically significant and indicated (*).&lt;/jats:p&gt;
               &lt;/jats:sec&gt;
               &lt;jats:sec&gt;
                  &lt;jats:title&gt;Results&lt;/jats:title&gt;
                  &lt;jats:p&gt;Among 2676 patients with GNB, 173 (6.5%) had Serratia bacteremia. Patients with Serratia bacteremia, relative to GNB caused by other Enterobacterales, were more likely to have a medical device (59% vs 35.6%; P&amp;amp;lt; 0.001), device-associated infection (42.2% vs. 21.3%, P&amp;amp;lt; 0.001), and persistent bacteremia (23.2% vs. 12.9%; P&amp;amp;lt; 0.001). Among all patients with a medical device (n = 993; 37.1%), Serratia was associated with an increased risk of any device infection in an adjusted model (odds ratio (OR) 2.031; 95% confidence interval (CI), 1.234-3.343). The risk for device infection was highest among patients with cardiac devices (OR 3.947, 95% CI 1.449-10.751).&lt;/jats:p&gt;
               &lt;/jats:sec&gt;
               &lt;jats:sec&gt;
                  &lt;jats:title&gt;Conclusion&lt;/jats:title&gt;
                  &lt;jats:p&gt;Compared to patients with GNB due to other Enterobacterales, patients with Serratia bacteremia were more likely to have a device infection in general, a cardiac device-associated infection in particular, and persistent bacteremia.&lt;/jats:p&gt;
               &lt;/jats:sec&gt;
               &lt;jats:sec&gt;
                  &lt;jats:title&gt;Disclosures&lt;/jats:title&gt;
                  &lt;jats:p&gt;Antonella Castagna, MD, Bristol-Myers Squibb: Advisor/Consultant|Gilead Sciences, Inc.: Advisor/Consultant|Gilead Sciences, Inc.: Grant/Research Support|Gilead Sciences, Inc.: Honoraria|Janssen: Advisor/Consultant|Janssen: Grant/Research Support|Janssen: Honoraria|Merck Sharp &amp;amp; Dohme: Advisor/Consultant|Merck Sharp &amp;amp; Dohme: Grant/Research Support|Merck Sharp &amp;amp; Dohme: Honoraria|ViiV Healthcare: Advisor/Consultant|ViiV Healthcare: Grant/Research Support|ViiV Healthcare: Honoraria Vance G. Fowler, MD, MHS, Affinergy: Advisor/Consultant|ArcBio: Stocks/Bonds (Private Company)|Armata: Advisor/Consultant|Astra Zeneca: Advisor/Consultant|Astra Zeneca: Grant/Research Support|Basilea: Advisor/Consultant|Basilea: Grant/Research Support|ContraFect: Advisor/Consultant|ContraFect: Grant/Research Support|Debiopharm: Advisor/Consultant|Destiny: Advisor/Consultant|EDE: Grant/Research Support|Genentech: Advisor/Consultant|Genentech: Grant/Research Support|GSK: Advisor/Consultant|Janssen: Advisor/Consultant|Karius: Grant/Research Support|MedImmune: Grant/Research Support|Merck: Grant/Research Support|sepsis diagnostics: Patent pending|UptoDate: Royalties|Valanbuio: Stocks/Bonds (Private Company)|Valanbuio: Stocks/Bonds (Private Company) Joshua T. Thaden, MD, PhD, National Institutes of Health K08 AI171183 (Thaden): Grant/Research Support Stacey Maskarinec, MD, PHD, National Institutes of Health K23 HL159275 (Maskarinec): Grant/Research Support&lt;/jats:p&gt;
               &lt;/jats:sec&gt;</t>
  </si>
  <si>
    <t>10.1182/blood-2021-151349</t>
  </si>
  <si>
    <t>&lt;jats:title&gt;Abstract&lt;/jats:title&gt;
               &lt;jats:p&gt;BACKGROUND : Autophagy plays an important role in multiple cell processes including elimination of misfolded proteins and damaged organelles, clearance of intracellular microbes and regulation of innate immunity. Autophagic activity is significantly up regulated in diseases characterized by proteins aggregation such as Alzheimer's, Huntington's, and Parkinson's diseases. Sickle cell anemia (SCA) is associated with E6V mutation in beta-globin gene that induces hemoglobin (Hb) polymerization under low oxygen or acidic conditions. SCA is characterized by chronic presence of low-level plasma Hb (3-10 µM). Hb is cleared from circulation by macrophage's endocytosis, resulting in degradation of Hb in lysosomes. Acidic lysosome environment may induce Hb polymerization, lysosome dysregulation and autophagy activation.&lt;/jats:p&gt;
               &lt;jats:p&gt;HYPOTHESIS: We hypothesize that endocytosis of HbS induces autophagy in human macrophages.&lt;/jats:p&gt;
               &lt;jats:p&gt;METHODS: The study was approved by Howard University review board (IRB) and all subjects provided written inform consent prior the sample collection. Whole blood samples were obtained from three SCA patients and healthy individuals. Human THP-1 promonocytic cells were differentiated into macrophages with 25 nM PMA for 72 hrs and treated with either purified HbS or HbA (5 µM, Sigma-Aldrich). Total RNA was depleted of cytoplasmic and mitochondrial ribosomal RNA, and strand-specific libraries were constructed using the Illumina ® TruSeq Stranded Total RNA Gold kit. Libraries were sequenced on an Illumina ® NextSeq 500 using 75 bp paired-end sequencing on two v2.5 150 cycle High-Output kits, generating 40-50 million paired-end reads per sample. The sequencing data were mapped to human reference genome using Dragen RNA v.3.8.4 software (Illumina). Comparisons were conducted using Dragen differential expression software v. 3.6.3 software (Illumina). Transmission electron microscopy (TEM) imaging was performed at Talos 200X transmission electron microscope (Thermo Fisher Scientific). CYTO-ID Autophagy detection kit (Enzo Life Science) was used for detection of autophagy in live cells by fluorescence microscopy, and fluorescent microplate assay.&lt;/jats:p&gt;
               &lt;jats:p&gt;RESULTS: In THP-1-derived macrophages treated with HbS compared to HbA, 28362 genes were detected including 322 differentially expressed genes (1.1%, 1.5-fold difference, 187 down and 135 up) at 5% FDR. In THP-1-differentiated macrophages treated with SCD RBC lysate compared to control RBC lysate, 30840 genes were detected including 256 differentially expressed genes (0.83%, 1.5-fold difference, 117 down and 139 up) at 5% FDR.&lt;/jats:p&gt;
               &lt;jats:p&gt;We focused our analysis on 33 autophagy-related genes. Among these 33 genes, 30 genes were up-regulated (1.2-1.7-fold) and only 3 genes were down-regulated in macrophages treated with HbS compared to HbA (Fig.1). These changes were statistically significant for 20 genes (p&amp;amp;lt;0.01). No significant differences were found in expression of autophagy-related genes in macrophages treated either with HbS or SCD RBC lysate.&lt;/jats:p&gt;
               &lt;jats:p&gt;Autophagy activation was validated by CYTO-ID Autophagy detection kit, demonstrating significant autophagy activation in HbS treated macrophages compared to HbA treatment (1.2-fold, p=0.0019). Transmission electron microscopy demonstrated accumulation of autophagosomes in the cells treated with HbS compared to non-treated cells and cells treated with HbA.&lt;/jats:p&gt;
               &lt;jats:p&gt;CONCLUSION: Treatment of macrophages with sickle cell hemoglobin or lysate of red blood cells collected from SCD patients up-regulates expression of autophagy-related genes and increased autophagosome formation.&lt;/jats:p&gt;
               &lt;jats:p&gt;ACKNOWLEDGMENTS: We thank Drs. Castle Raley and Keith Crandall, George Washington University SPH Genomics Core, for sequencing and guidance in data analysis; Dr. Christine Brantner, GW Nanofabrication and Imaging Center, for TEM imaging; and students Kavita Pandya, Gretchen Whitney High School, Cerritos, CA, and Tharindi Jayatilake, Montgomery Blair High School, Silver Spring, MD, for help in analysis of autophagy-related gene expression.&lt;/jats:p&gt;
               &lt;jats:p&gt;Figure 1 Figure 1.&lt;/jats:p&gt;
               &lt;jats:p /&gt;
               &lt;jats:sec&gt;
                  &lt;jats:title&gt;Disclosures&lt;/jats:title&gt;
                  &lt;jats:p&gt;No relevant conflicts of interest to declare.&lt;/jats:p&gt;
               &lt;/jats:sec&gt;</t>
  </si>
  <si>
    <t>10.1182/blood-2021-148485</t>
  </si>
  <si>
    <t>&lt;jats:title&gt;Abstract&lt;/jats:title&gt;
               &lt;jats:p&gt;Despite recent therapeutic advances in the management of non-Hodgkin lymphoma (NHL), up to 50% of patients with diffuse large B-cell lymphoma (DLBCL) relapse after first line therapy, and for DLBCL patients who relapse within 12 months after subsequent stem cell transplant (SCT), the median overall survival (OS) is 6.3 months. Recently, chimeric antigen receptor (CAR) T-cell therapy has shown remarkable activity in relapsed DLBCL with complete response (CR) rate of 40% and 54% for the two of the FDA-approved CAR T-cell products, tisagenlecleucel and axicabtagene ciloleucel, respectively. However, at a median follow-up of 18 months, only 36% of patients treated with tisagenlecleucel remained in CR; with longer follow-up for axicabtagene ciloleucel the median progression free survival (PFS) was 5.9 months. Immune escape and immune evasion are primary mechanisms of CAR-T resistance; clearly improvements are needed to increase response rate and cure.&lt;/jats:p&gt;
               &lt;jats:p&gt;While CRISPR-based loss-of-function screens have shown promise for high-throughput identification of genes that modulate T-cell response, these methods have been limited thus far to negative regulators of T-cell functions, and raise safety concerns due to the permanent nature of genome modification. Here we identify positive T-cell regulators via overexpression of ~12,000 barcoded human open reading frames (ORFs). Using this genome-scale ORF screen, we found modulator genes which increased primary human CD4+ and CD8+ T-cell proliferation, including activation markers like CD25 and CD40L, and secretion of key cytokines like interleukin-2 and interferon-gamma. In addition, we developed a single-cell genomics method (OverCITE-seq) for high-throughput quantification of the transcriptome and surface proteome in ORF-engineered T-cells.&lt;/jats:p&gt;
               &lt;jats:p&gt;The top-ranked ORF, lymphotoxin beta receptor (LTBR), is typically expressed in a subset of myeloid cells but absent in lymphocytes. When expressed in T-cells, LTBR induces a profound transcriptional remodelling, resulting in increased resistance to exhaustion and activation-induced apoptosis, as well as upregulation of a plethora of proinflammatory cytokines, co-stimulatory molecules and antigen presentation machinery. In order to investigate the mechanism of action of LTBR, we developed an epistasis assay which allows for simultaneous gene knockout and LTBR overexpression in primary T cells. Thus, LTBR appears to induce both canonical and non-canonical NFkB pathways - but the phenotype observed in T cells is dependent only on the former.&lt;/jats:p&gt;
               &lt;jats:p&gt;Finally, we co-expressed several top-ranked genes, including LTBR, with FDA approved CD19-targeting CARs utilizing either 4-1BB or CD28 co-stimulatory domains. In line with previous results, co-expression of top-ranked ORFs increased proinflammatory cytokine secretion and cytotoxicity against CD19+ positive cancer cell lines. This functional improvement was also observed when top-ranked ORFs and CARs were delivered to T cells isolated from DLBCL patients as shown in Figure 1. Our results provide several strategies for improving next generation CAR T-cell therapies via induction of new synthetic cell programs which may optimize immune activation and enhance the efficacy of these important therapies, a high priority for patients with relapsed and refractory DLBCL and other lymphomas.&lt;/jats:p&gt;
               &lt;jats:p&gt;Figure 1 Figure 1.&lt;/jats:p&gt;
               &lt;jats:p /&gt;
               &lt;jats:sec&gt;
                  &lt;jats:title&gt;Disclosures&lt;/jats:title&gt;
                  &lt;jats:p&gt;Mimitou: Immunai: Current Employment. Smibert: Immunai: Current Employment. Diefenbach: Bristol-Myers Squibb: Consultancy, Honoraria, Research Funding; IMab: Research Funding; Gilead: Current equity holder in publicly-traded company; Celgene: Research Funding; AbbVie: Research Funding; Janssen: Consultancy, Honoraria, Research Funding; Merck Sharp &amp;amp; Dohme: Consultancy, Honoraria, Research Funding; IGM Biosciences: Research Funding; Morphosys: Consultancy, Honoraria, Research Funding; MEI: Consultancy, Research Funding; Perlmutter Cancer Center at NYU Langone Health: Current Employment; Incyte: Research Funding; Trillium: Research Funding; Seattle Genetics: Consultancy, Honoraria, Research Funding; Genentech, Inc./ F. Hoffmann-La Roche Ltd: Consultancy, Honoraria, Research Funding. Sanjana: Qiagen: Consultancy; Vertex: Consultancy.&lt;/jats:p&gt;
               &lt;/jats:sec&gt;</t>
  </si>
  <si>
    <t>10.1182/blood-2021-145886</t>
  </si>
  <si>
    <t>&lt;jats:title&gt;Abstract&lt;/jats:title&gt;
               &lt;jats:p&gt;Introduction&lt;/jats:p&gt;
               &lt;jats:p&gt;In patients with hematological cancers, the high risk of bleeding raises serious concerns when anticoagulant therapy is initiated for treatment of acute venous thromboembolism (VTE). In the CATCH trial, we showed that tinzaparin is associated with a significantly lower risk of clinically relevant bleeding (CRB) and clinically relevant non-major bleeding (CRNMB) compared with warfarin therapy in patients with a solid tumor or hematological cancer. Hence, we performed a post-hoc analysis to assess the risk of recurrent VTE (rVTE) and bleeding in the hematological cancer patient subgroup. Risk factors associated with rVTE and bleeding were also explored.&lt;/jats:p&gt;
               &lt;jats:p&gt;Methods&lt;/jats:p&gt;
               &lt;jats:p&gt;CATCH (ClinicalTrials.govNCT01130025; Lee A et al. JAMA 2015) was a Phase III, multinational, randomized, active-controlled, open-label trial. Patients with solid tumors or hematological malignancies were randomized to receive therapeutic dosing of tinzaparin (175 IU/kg OD) vs warfarin (INR target 2.0 - 3.0) for treatment of acute VTE. Treatment was given for up to 6 months but was withheld during periods of severe thrombocytopenia (platelet count &amp;amp;lt; 50 x 10 9/L). The primary efficacy outcome was the composite of symptomatic deep vein thrombosis (DVT), symptomatic nonfatal pulmonary embolism (PE), fatal PE, incidental proximal DVT and incidental proximal PE. All thrombosis and bleeding outcomes, including rPE, rDVT, major bleeding (MB), CRB, and CRNMB were objectively documented and centrally adjudicated in a treatment-blinded fashion. Patients with myeloma, lymphoma or leukemia were included in this sub-group analysis. Treatment effect was assessed by means of a cox-regression with time to first event as outcome and deaths not due to fatal PE as a competing risk factor. The cumulative incidence functions and the corresponding 95% CIs were estimated.&lt;/jats:p&gt;
               &lt;jats:p&gt;Results&lt;/jats:p&gt;
               &lt;jats:p&gt;94 of 900 subjects (10.4%) in CATCH had a hematological cancer. Of these patients, 44 and 50 received tinzaparin and warfarin, respectively. The most common hematological cancer was lymphoma (59.6%), followed by myeloma (30.9%), chronic leukemia (5.3%) and acute leukemia (4.3%). rVTE occurred in fewer patients assigned to tinzaparin versus warfarin (2.4% vs 6.4%) but this difference was not statistically significant (HR 0.36; 95%CI 0.04-3.14). All recurrent thrombotic events were PE; no rDVT occurred. Also, trends for less bleeding with tinzaparin were noted for MB (tinzaparin 0.0% versus warfarin 5.0%), CRB (tinzaparin 10.4% vs warfarin 23.5%; HR 0.53; 95%CI 0.15-1.83) and CRNMB (tinzaparin 10.4% vs warfarin 19.5%; HR 0.69; 95%CI 0.19-2.51). 3 patients in each treatment arm had a fatal bleeding event and there was no difference in overall mortality (tinzaparin 22.7% vs warfarin 22.0%). There were no risk factors associated with rVTE identified. Factors associated with CRB in patients with hematological cancer included the use of antiplatelet agents (HR 7.63; 95%CI 1.17-49.6; p=0.033) and renal insufficiency (HR 12.4; 95%CI 2.15-72.0; p=0.005).&lt;/jats:p&gt;
               &lt;jats:p&gt;Conclusion&lt;/jats:p&gt;
               &lt;jats:p&gt;In this post-hoc subgroup analysis of patients with hematological cancers who received anticoagulation for acute VTE, tinzaparin may be a more effective and safer alternative to warfarin. Randomized controlled trials are warranted to test this hypothesis in this challenging population with a high risk of bleeding.&lt;/jats:p&gt;
               &lt;jats:p&gt;Figure 1 Figure 1.&lt;/jats:p&gt;
               &lt;jats:p /&gt;
               &lt;jats:sec&gt;
                  &lt;jats:title&gt;Disclosures&lt;/jats:title&gt;
                  &lt;jats:p&gt;Lee: Leo Pharma: Consultancy, Honoraria; Bayer: Consultancy, Honoraria; BMS: Consultancy, Honoraria, Research Funding; Pfizer: Consultancy, Honoraria; Servier: Consultancy, Honoraria. Bauersachs: Bayer: Honoraria, Speakers Bureau; BMS: Honoraria, Speakers Bureau; LEO Pharma: Honoraria, Speakers Bureau; Pfizer: Honoraria, Speakers Bureau. Janus: LEO Pharma: Current Employment. Leeder: LEO Pharma: Current Employment. Thoning: LEO Pharma: Current Employment. Khorana: Anthos: Consultancy, Honoraria; Halozyme: Consultancy, Honoraria; Sanofi: Consultancy, Honoraria; Bayer: Consultancy, Honoraria; Janssen: Consultancy, Honoraria; Pfizer: Consultancy, Honoraria; Bristol Myers Squibb: Consultancy, Honoraria.&lt;/jats:p&gt;
               &lt;/jats:sec&gt;</t>
  </si>
  <si>
    <t>10.1186/s13031-023-00536-7</t>
  </si>
  <si>
    <t>&lt;jats:title&gt;Abstract&lt;/jats:title&gt;&lt;jats:sec&gt;
                &lt;jats:title&gt;Introduction&lt;/jats:title&gt;
                &lt;jats:p&gt;There has been little documentation of the large networks of community health workers that contributed to Ebola Virus Disease (EVD) surveillance during the 2018–2020 Democratic Republic of Congo (DRC) epidemic in the form of community-based surveillance (CBS). These networks, comprised entirely of local community members, were a critical and mostly unrecognized factor in ending the epidemic. Challenges with collection, compilation, and analysis of CBS data have made their contribution difficult to quantify. From November 2019 to March 2020, the DRC Ministry of Health (MoH), the World Health Organization (WHO), and Médecins Sans Frontières (MSF) worked with communities to strengthen existing EVD CBS in two key health areas in Ituri Province, DRC. We describe CBS strengthening activities, detail collaboration with communities and present results of these efforts. We also provide lessons learned to inform future outbreak responses.&lt;/jats:p&gt;
              &lt;/jats:sec&gt;&lt;jats:sec&gt;
                &lt;jats:title&gt;Methods&lt;/jats:title&gt;
                &lt;jats:p&gt;As the foundation of CBS, community health workers (CHW) completed training to identify and report patients who met the EVD alert definitions. Alerts were investigated and if validated, the patient was sent for isolation and EVD testing. Community members provided early and ongoing input to the CBS system. We established a predefined ratio of community- elected CHW, allocated by population, to assure equal and adequate coverage across areas. Strong performing CHW or local leaders managed the CHWs, providing a robust supervision structure. We made additional efforts to integrate rural villages, revised tools to lighten the reporting burden and focused analysis on key indicators. Phased roll-out of activities ensured time for community discussion and approval. An integrated treatment center (ITC) combined EVD testing and isolation with free primary health care (PHC), referral services, and an ambulance network.&lt;/jats:p&gt;
              &lt;/jats:sec&gt;&lt;jats:sec&gt;
                &lt;jats:title&gt;Results&lt;/jats:title&gt;
                &lt;jats:p&gt;A total of 247 CHW and supervisors completed training. CBS had a retention rate of 94.3% (n = 233) with an average daily reporting rate of 97.4% (range 75.0-100.0%). Local chiefs and community leaders participated in activities from the early stages. Community feedback, including recommendations to add additional CHW, run separate meetings in rural villages, and strengthen PHC services, improved system coverage and performance. Of 6,711 community referrals made, 98.1% (n = 6,583) were classified as alerts. Of the alerts, 97.4% (n = 6,410) were investigated and 3.0% (n = 190) were validated. Of the community referrals, 73.1% (n = 4,905) arrived for care at the ITC. The contribution of CBS to total alerts in the surveillance system increased from an average of 47.3% in the four weeks prior to system strengthening to 69.0% after. In one of the two health areas, insufficient reporting in rural villages suggested inadequate coverage, with 8.3% of the total population contributing 6.1% of alerts.&lt;/jats:p&gt;
              &lt;/jats:sec&gt;&lt;jats:sec&gt;
                &lt;jats:title&gt;Discussion&lt;/jats:title&gt;
                &lt;jats:p&gt;CBS demonstrated the capacity of community networks to improve early disease detection and expand access to healthcare. Early and consistent community involvement proved vital to CBS, as measured by system performance, local acceptance of EVD activities, and health service provision. The CBS system had high reporting rates, number of alerts signaled, proportion of alerts investigated, and proportion of community referrals that arrived for care. The change in contribution of CBS to total alerts may have been due in part to system strengthening, but also to the expansion in the EVD suspect case definition. Provision of PHC, referral services, and an ambulance network linked EVD response activities to the existing health system and facilitated CBS performance. More importantly, these activities provided a continuum of care that addressed community prioritized health needs. The involvement of local health promotion teams was vital to the CBS and other EVD and PHC activities. Lessons learned include the importance of early and consistent community involvement in surveillance activities and the recommendation to assure local representation in leadership positions.&lt;/jats:p&gt;
              &lt;/jats:sec&gt;</t>
  </si>
  <si>
    <t>10.1093/humrep/deae108.1004</t>
  </si>
  <si>
    <t>&lt;jats:title&gt;Abstract&lt;/jats:title&gt;
               &lt;jats:sec&gt;
                  &lt;jats:title&gt;Study question&lt;/jats:title&gt;
                  &lt;jats:p&gt;Can an early oocyte collection (OC) avoid cycle cancellation due to spontaneous ovulation in poor responders undergoing natural/ natural modified (N/NM) cycle-IVF?&lt;/jats:p&gt;
               &lt;/jats:sec&gt;
               &lt;jats:sec&gt;
                  &lt;jats:title&gt;Summary answer&lt;/jats:title&gt;
                  &lt;jats:p&gt;Rescue OC may prevent premature ovulation following spontaneous LH surge in N/NM-IVF cycles allowing retrieval of mature oocytes, high-grade embryos that may result in livebirths.&lt;/jats:p&gt;
               &lt;/jats:sec&gt;
               &lt;jats:sec&gt;
                  &lt;jats:title&gt;What is known already&lt;/jats:title&gt;
                  &lt;jats:p&gt;Natural IVF cycles carry an inherent higher risk of spontaneous LH surge and ovulation before OC. The introduction of gonadotropin releasing hormone antagonist with low-dose gonadotropin add-back has reduced these risks.Timing of ovulation trigger and trigger to OC interval are important to balance the risks of spontaneous ovulation with the chance of retrieving mature oocyte(s). In the absence of LH surge, the trigger to OC interval is normally 35 hours. However, it is challenging to schedule OC once LH surge has occurred.The effectiveness of rescue OC following LH surge has not been well explored.&lt;/jats:p&gt;
               &lt;/jats:sec&gt;
               &lt;jats:sec&gt;
                  &lt;jats:title&gt;Study design, size, duration&lt;/jats:title&gt;
                  &lt;jats:p&gt;This is a retrospective analysis of all NC/NM-IVF/ICSI cycles in poor responders who had spontaneous urinary LH surge from over a period of 3 years, across five Fertility Centres under one company sharing the same treatment protocol.&lt;/jats:p&gt;
               &lt;/jats:sec&gt;
               &lt;jats:sec&gt;
                  &lt;jats:title&gt;Participants/materials, setting, methods&lt;/jats:title&gt;
                  &lt;jats:p&gt;All women fulfilling the Bologna criteria for poor ovarian response underwent IVF/ICSI cycles with NC/ NM protocol. The study population included those who had a positive urinary LH surge without or despite the use of antagonist. A rescue OC scheduled 18 to 24 hours after a spontaneous urinary LH surge. Choriogonadotropin alfa (Ovitrelle) 250 micg was administered as soon as the surge was detected. Patients were also given indomethacin 8 hourly until OC.&lt;/jats:p&gt;
               &lt;/jats:sec&gt;
               &lt;jats:sec&gt;
                  &lt;jats:title&gt;Main results and the role of chance&lt;/jats:title&gt;
                  &lt;jats:p&gt;Amongst 735 NC/NM-IVF/ ICSI cycles in poor responder women during the study period, 54 cycles (7.3%) had spontaneous urinary LH surge. Twenty-eight cycles were with NC-IVF and 26 NM-IVF protocol.&lt;/jats:p&gt;
                  &lt;jats:p&gt;Only 8 (14.8%) cycles did not progress to OC due to spontaneous ovulation. In 46 (85.2%) of cycles, at least one oocyte was successfully retrieved, with a total of59 retrieved oocytes. ICSI cycles identified at least one mature oocyte in 82% of the cycles. Fertilisation rate with IVF and ICSI cycles combined was 49.1% and at least one cleavage-stage embryo was created from 24 (44.4%) of all cycles (52.2% of retrieved cycles). High-grade embryo(s) was obtained in 42.5% of all cycles. Clinical pregnancy rate (CPR) and live birth rate (LBR) per embryo transfer were 18.7% and12.5%, respectively.&lt;/jats:p&gt;
               &lt;/jats:sec&gt;
               &lt;jats:sec&gt;
                  &lt;jats:title&gt;Limitations, reasons for caution&lt;/jats:title&gt;
                  &lt;jats:p&gt;This study was retrospective in nature, without a comparator group. Combination of both NC-IVF and NM-IVF might not have implications in practical terms. Use ofindomethacin also could have delayed ovulation. Although population size was as expected for a rare event, it may not be adequate for a precise LBR.&lt;/jats:p&gt;
               &lt;/jats:sec&gt;
               &lt;jats:sec&gt;
                  &lt;jats:title&gt;Wider implications of the findings&lt;/jats:title&gt;
                  &lt;jats:p&gt;An early scheduling of OC in the event of LH surge is an effective way to reduce cycle cancellation rate which is a risk in NC/NM-IVF cycles. It also can potentially result in livebirths. This approach may encourage clinicians practising NC/NM-IVF to test and validate our findings.&lt;/jats:p&gt;
               &lt;/jats:sec&gt;
               &lt;jats:sec&gt;
                  &lt;jats:title&gt;Trial registration number&lt;/jats:title&gt;
                  &lt;jats:p&gt;not applicable&lt;/jats:p&gt;
               &lt;/jats:sec&gt;</t>
  </si>
  <si>
    <t>10.26310/2071-3010.2020.263.9.010</t>
  </si>
  <si>
    <t>&lt;jats:p&gt;Несмотря на сохранение передовых позиций России по ряду наукоемких областей, существует отставание от мировых лидеров по уровню инновационного развития. Неотъемлемой частью развития любого государства, чей путь направлен в сторону инноваций, является трансфер технологий. При этом эффективность инновационной деятельности зависит от качества прохождения всех стадий трансфера технологий - от фундаментальных исследований до внедрения результатов. Ввиду особенностей административно-территориального устройства Российской Федерации существует высокая дифференциация регионов, входящих в ее состав, по уровню социально-экономического развития, что существенно затрудняет процесс инновационного развития страны. Целью данного исследования является комплексный анализ субъектов Российской Федерации в разрезе всех стадий трансфера технологий, результаты которого позволят выявить узкие места в процессе трансфера технологий на уровне регионов, а также выявить сильные стороны регионов-лидеров. Для реализации данной цели был изучен зарубежный опыт, определена методика оценки уровня развития трансфера технологий, а также набор показателей, характеризующих каждую из стадий трансфера технологий, проведены все необходимые расчеты, осуществлена их интерпретация, и подготовлены рекомендации по итогам проведенного анализа. Для оценки уровня развития трансфера технологий был рассчитан интегральный индекс инновационного развития регионов, включающий 6 стадий механизма трансфера. По результатам анализа выявлены существенные различия между регионами по уровню развития трансфера технологий, обусловленные различными факторами (исторический фактор, географическое положение, нормативно-правовое обеспечение инновационной сферы и т. д.). Для решения выявленных проблем необходимо использовать зарубежный опыт трансфера технологий в условиях рыночной экономики, обеспечить целостность всей цепочки процесса трансфера технологий, проводить мониторинг на всех стадиях данного процесса для выявления точек роста и узких мест, особое внимание необходимо уделять нормативно-правовому обеспечению процесса трансфера технологий&lt;/jats:p&gt;
                                                                                            &lt;jats:p&gt;Despite the preservation of Russia's leading positions in a number of science-intensive areas, there is a lag behind the world leaders in terms of innovative development. An integral part of the development of any state whose path is directed towards innovation is technology transfer. At the same time, the effectiveness of innovation depends on the quality of passing through all stages of technology transfer - from fundamental research to implementation of the results. Due to the peculiarities of the administrative-territorial structure of the Russian Federation, there is a high differentiation of the regions that make up it, according to the level of socio-economic development, which significantly complicates the process of innovative development of the country. The purpose of this study is a comprehensive analysis of the constituent entities of the Russian Federation in the context of all stages of technology transfer, the results of which will reveal bottlenecks in the process of technology transfer at the regional level, as well as identify the strengths of the leading regions. To achieve this goal, foreign experience was studied, a methodology for assessing the level of development of technology transfer was determined, as well as a set of indicators characterizing each of the stages of technology transfer, all the necessary calculations were carried out, their interpretation was carried out and recommendations were prepared based on the results of the analysis. To assess the level of development of technology transfer, an integral index of innovative development of regions was calculated, which includes 6 stages of the transfer mechanism. The analysis revealed significant differences between the regions in terms of the level of technology transfer development, due to various factors (historical factor, geographic location, regulatory support of the innovation sphere, etc.). To solve the identified problems, it is necessary to use foreign experience in technology transfer in a market economy, to ensure the integrity of the entire chain of the technology transfer process, to conduct monitoring at all stages of this process to identify growth points and bottlenecks, special attention should be paid to the regulatory framework of the technology transfer process&lt;/jats:p&gt;</t>
  </si>
  <si>
    <t>10.1001/jamasurg.2023.7866</t>
  </si>
  <si>
    <t>&lt;jats:sec id="ab-soi230113-4"&gt;&lt;jats:title&gt;Introduction&lt;/jats:title&gt;&lt;jats:p&gt;Efforts have been made to increase the number of women and physicians who are underrepresented in medicine (UIM). However, surgery has been slow to diversify, and there are limited data surrounding the impact of intersectionality.&lt;/jats:p&gt;&lt;/jats:sec&gt;&lt;jats:sec id="ab-soi230113-5"&gt;&lt;jats:title&gt;Objective&lt;/jats:title&gt;&lt;jats:p&gt;To assess the combined association of race and ethnicity and sex with rates of promotion and attrition among US academic medical department of surgery faculty.&lt;/jats:p&gt;&lt;/jats:sec&gt;&lt;jats:sec id="ab-soi230113-6"&gt;&lt;jats:title&gt;Design, Setting, and Participants&lt;/jats:title&gt;&lt;jats:p&gt;This was a retrospective cohort study using faculty roster data from the Association of American Medical Colleges. All full-time academic department of surgery faculty with an appointment any time from January 1, 2005, to December 31, 2020, were included. Study data were analyzed from September 2022 to February 2023.&lt;/jats:p&gt;&lt;/jats:sec&gt;&lt;jats:sec id="ab-soi230113-7"&gt;&lt;jats:title&gt;Exposures&lt;/jats:title&gt;&lt;jats:p&gt;Full-time academic faculty in a department of surgery with a documented self-reported race, ethnicity, and sex within the designated categories of the faculty roster of Association of American Medical Colleges.&lt;/jats:p&gt;&lt;/jats:sec&gt;&lt;jats:sec id="ab-soi230113-8"&gt;&lt;jats:title&gt;Main Outcomes and Measures&lt;/jats:title&gt;&lt;jats:p&gt;Trends in race and ethnicity and sex, rates of promotion, and rates attrition from 2010 to 2020 were assessed with Kaplan-Meier and Cox time-to-event analyses.&lt;/jats:p&gt;&lt;/jats:sec&gt;&lt;jats:sec id="ab-soi230113-9"&gt;&lt;jats:title&gt;Results&lt;/jats:title&gt;&lt;jats:p&gt;A total of 31 045 faculty members (23 092 male [74%]; 7953 female [26%]) from 138 institutions were included. The mean (SD) program percentage of UIM male faculty increased from 8.4% (5.5%) in 2010 to 8.5% (6.2%) in 2020 (&lt;jats:italic&gt;P&lt;/jats:italic&gt; &amp;amp;amp;lt; .001), whereas UIM female faculty members increased from 2.3% (2.6%) to 3.3% (2.5%) over the 10-year period (&lt;jats:italic&gt;P&lt;/jats:italic&gt; &amp;amp;amp;lt; .001). The mean program percentage of non-UIM females increased at every rank (percentage point increase per year from 2010 to 2020 in instructor: 1.1; 95% CI, 0.73-1.5; assistant professor: 1.1; 95% CI, 0.93-1.3; associate professor: 0.55; 95% CI, 0.49-0.61; professor: 0.50; 95% CI, 0.41-0.60; all &lt;jats:italic&gt;P&lt;/jats:italic&gt; &amp;amp;amp;lt; .001). There was no change in the mean program percentage of UIM female instructors or full professors. The mean (SD) percentage of UIM female assistant and associate professors increased from 3.0% (4.1%) to 5.0% (4.0%) and 1.6% (3.2%) to 2.2% (3.4%), respectively (&lt;jats:italic&gt;P&lt;/jats:italic&gt; =.002). There was no change in the mean program percentage of UIM male instructors, associate, or full professors. Compared with non-Hispanic White males, Hispanic females were 32% less likely to be promoted within 10 years (hazard ratio [HR], 0.68; 95% CI, 0.54-0.86; &lt;jats:italic&gt;P&lt;/jats:italic&gt; &amp;amp;amp;lt;.001), non-Hispanic White females were 25% less likely (HR, 0.75; 95% CI, 0.71-0.78; &lt;jats:italic&gt;P&lt;/jats:italic&gt; &amp;amp;amp;lt;.001), Hispanic males were 15% less likely (HR, 0.85; 95% CI, 0.76-0.96; &lt;jats:italic&gt;P&lt;/jats:italic&gt; =.007), and Asian females were 12% less likely (HR, 0.88; 95% CI, 0.80-0.96; &lt;jats:italic&gt;P&lt;/jats:italic&gt; =.03). Non-UIM males had the shortest median (IQR) time to promotion, whereas non-UIM females had the longest (6.9 [6.8-7.0] years vs 7.2 [7.0-7.6] years, respectively; &lt;jats:italic&gt;P&lt;/jats:italic&gt; &amp;amp;amp;lt; .001). After 10 years, 79% of non-UIM males (13 202 of 16 299), 71% of non-UIM females (3784 of 5330), 68% of UIM males (1738 of 2538), and 63% of UIM females (625 of 999) remained on the faculty. UIM females had a higher risk of attrition compared with non-UIM females (HR, 1.3; 95% CI, 1.1-1.5; &lt;jats:italic&gt;P&lt;/jats:italic&gt; = .001) and UIM males (HR, 1.2; 95% CI, 1.0-1.4; &lt;jats:italic&gt;P&lt;/jats:italic&gt; = .05). The mean (SE) time to attrition was shortest for UIM females and longest for non-UIM males (8.2 [0.14] years vs 9.0 [0.02] years, respectively; &lt;jats:italic&gt;P&lt;/jats:italic&gt; &amp;amp;amp;lt; .001).&lt;/jats:p&gt;&lt;/jats:sec&gt;&lt;jats:sec id="ab-soi230113-10"&gt;&lt;jats:title&gt;Conclusion and Relevance&lt;/jats:title&gt;&lt;jats:p&gt;Results of this cohort study suggest that intersectionality was associated with promotion and attrition, with UIM females least likely to be promoted and at highest risk for attrition. Further efforts to understand these vulnerabilities are essential.&lt;/jats:p&gt;&lt;/jats:sec&gt;</t>
  </si>
  <si>
    <t>10.37382/nrn.octubre.2019.549</t>
  </si>
  <si>
    <t>&lt;jats:p&gt;
Gracias a las novedosas técnicas de neuroimagen, podemos conocer más en profundidad cómo se representa el “dolor” en nuestro cerebro, visualizando qué áreas se activan ante diferentes estímulos percibidos. 
La fibromialgia (FM) es una patología cuya incidencia está estimada entre el 1 y el 4% de la población general mundial. Los síntomas de los pacientes que la padecen afectan significativamente a su calidad de vida, conllevando asimismo a un incremento del uso de los sistemas sanitarios de salud.
La fibromialgia se define como una condición dolorosa generalizada y crónica, acompañada de fatiga, sensibilidad, alteración del sueño, disminución de la función física y alteraciones en la función fisiológica, como pérdida de memoria, alteraciones del estado de ánimo y falta de bienestar. La causa de esta condición es aún desconocida (Williams &amp;amp; Gracely, 2007), barajándose diferentes hipótesis.
En la imagen, se comparan las actividades cerebrales de dos sujetos, uno de ellos (parte superior de la imagen) sano, y el otro un paciente de fibromialgia (parte inferior de la imagen). Las diferencias entre las dos imágenes radican en la extensión y magnitud de la activación cerebral, siendo esta mayor en el caso del sujeto con fibromialgia, ante un mismo estímulo de presión mecánica de 4kg/cm2proporcionado a ambos.
“ Gracias a las novedosas técnicas de neuroimagen, podemos conocer más en profundidad cómo se representa el “dolor” en nuestro cerebro, visualizando qué áreas se activan ante diferentes estímulos percibidos "
Como sabemos gracias a estudios recientes de neuroimagen, se han diferenciado anatómicamente varias dimensiones relacionadas con el dolor localizadas en diferentes regiones del cerebro. Estas son la dimensión sensorial, la dimensión emocional y la dimensión cognitiva, las cuales, de manera conjunta, conforman la denominada “matriz neural” del dolor. De la misma manera, se sabe que el componente emocional, por sí sólo, puede influir en el umbral de la intensidad con la que un estímulo se interpreta como doloroso. En relación a esto, se ha visto que pacientes que presentan un dolor crónico, como es el caso de la fibromialgia, presentan este umbral más disminuido con respecto a sujetos sanos, de manera que generan una respuesta y una activación cerebral anormal con respecto al dolor. 
Esto puede deberse, como postulan algunos autores, a que la dimensión emocional-afectiva en sujetos que presentan cronicidad de sus síntomas, podría estar afectando al procesamiento normal del dolor, así como a la actividad cerebral, pudiendo de esta manera explicar la modificación de la experiencia dolorosa que presentan estos pacientes.
 Además, también sabemos gracias a estudios realizados por Gracely y cols (2004), que el grado de percepción catastrófica padecida por esta población con fibromialgia, puede afectar a su activación cerebral con respecto al dolor. El catastrofismo surge como una respuesta al dolor caracterizada por el fenómeno de rumiación, sentimiento de que el dolor es algo horrible, así como pensamientos negativos sobre la severidad del mismo, la discapacidad funcional y la depresión (Burgmer et al., 2011).
“En pacientes con Fibromialgia, prevalece la activación de regiones cerebrales relacionadas con un componente emocional/afectivo ante estímulos que resultan ser inocuos de manera natural”
En el estudio realizado por Joan Deus, al cual pertenecen las imágenes, analizaban la duración temporal del estímulo en relación con la intensidad percibida. Vieron que, se activaba las mismas áreas cerebrales durante el mismo tiempo en el que se aplicaba el estímulo nociceptivo, tanto en personas sanas como en pacientes con FM. Estas áreas cerebrales son consideradas las pertenecientes a la dimensión sensorial. Por otro lado, se activaron otras áreas, únicamente en el grupo de los pacientes con FM, con una duración superior a la aplicación del estímulo, las cuales se ha visto que concuerdan con el componente afectivo-emocional del dolor. También se ha comprobado que la depresión parece no influir en la dimensión sensorial del dolor en pacientes con FM.
Como conclusión, la actividad cerebral de base en pacientes con fibromialgia difiere de la de pacientes sanos. Además, perciben sensaciones desagradables ante estímulos de intensidades bajas en comparación con sanos. Por otro lado, las actitudes y creencias, tales como el catastrofismo, parecen influir en el procesamiento de los aspectos sensoriales del dolor en este tipo de pacientes.
&lt;/jats:p&gt;</t>
  </si>
  <si>
    <t>10.3390/w16010138</t>
  </si>
  <si>
    <t>&lt;jats:p&gt;Groundwater is an important source of freshwater. At the same time, anthropogenic activities, in particular, industrialization, urbanization, population growth, and excessive application of fertilizers, are some of the major reasons for groundwater quality deterioration. Therefore, the present study is conducted to evaluate groundwater quality by using integrated water quality indices and a geospatial approach to identify the different water quality zones and propose management strategies for the improvement of groundwater quality. Groundwater quality was evaluated through the physicochemical parameters (pH, chloride (Cl−), fluoride(F−), iron (Fe−2), nitrate (NO3−1), nitrite (NO2), arsenic (As), total hardness, bicarbonate (HCO3−), calcium (Ca+2), magnesium (Mg+2), color, taste, turbidity, total dissolved solids (TDS)) and microbiological parameters including total coliforms, fecal coliforms, and Escherichia coli of samples collected from the water and sanitation agency (WASA) and urban units. Irrigation parameters crucial to the assessment, including (electrical conductivity (EC), residual sodium carbonates (RSC), and sodium adsorption ratio (SAR)), were also collected at more than 1100 sites within the study area of upper and central Punjab. After collecting the data of physicochemical parameters, the analysis of data was initiated to compute the water quality index for groundwater quality, a four-step protocol in which the Analytical Hierarchy Process (AHP) was used to determine the weights of selected parameters by generating a pairwise matrix, on the relative importance of parameters using the Satty scale. The index was then classified into five classes for quality assessment of drinking water (excellent, good, medium, bad, and very bad) and four classes for irrigation water quality assessment (excellent, good, permissible, and unsuitable). After computing the index values for drinking as well as irrigation purposes, the values were interpolated, and various maps were developed to identify the status of groundwater quality in different zones of the study area. Mitigation strategies for water pollution involve source control, such as monitoring industrial discharge points and managing waste properly. Additionally, treating wastewater through primary, secondary, or tertiary stages significantly improves water quality, reducing contaminants like heavy metals, microbiological agents, and chemical ions, safeguarding water resources. The findings highlight significant regional variations in water quality issues, with heavy metal concerns concentrated notably in Lahore and widespread emerging microbiological contamination across all studied divisions. This suggests a systemic problem linked to untreated industrial effluents and poorly managed sewerage systems. The computed indices for the Lahore, Sargodha, and Rawalpindi divisions indicate water quality ranging from marginal to unfit, underscoring the urgency for remediation. Conversely, other divisions fall within a medium class, potentially suitable for drinking purposes. Notably, microbiological contamination at 27% poses a major challenge for water supply agencies, emphasizing the critical need for pre-disposal primary, secondary, and tertiary treatments. These treatments could potentially rehabilitate 9%, 35%, and 41% of the study area, respectively, pointing toward tangible, scalable solutions critical for safeguarding broader water resources and public health. With the current pace of water quality deterioration, access to drinking water is a major problem for the public. The government should prioritize implementing strict monitoring mechanisms for industrial effluent discharge, emphasizing proper waste management to curb groundwater contamination. Establishing comprehensive pre-disposal treatments, especially primary, secondary, and tertiary stages, is imperative to address the prevalent heavy metal and microbiological issues, potentially rehabilitating up to 41% of affected areas. Additionally, creating proactive policies and allocating resources for sustainable groundwater management are crucial steps for ensuring broader water resource security and public health in the face of deteriorating water quality. Therefore, urgent regional action is needed to address escalating anthropogenic threats to groundwater, emphasizing the crucial need for proactive measures to safeguard public health and ensure sustainable water resources.&lt;/jats:p&gt;</t>
  </si>
  <si>
    <t>10.1099/ijsem.0.006074</t>
  </si>
  <si>
    <t>&lt;jats:p&gt;A Gram-stain-negative, aerobic, short rod-shaped and motile bacterial strain, designated MAH-33&lt;jats:sup&gt;T&lt;/jats:sup&gt;, was isolated from rhizospheric soil of eggplant. The colonies were observed to be yellow-coloured, smooth, spherical and 0.1–0.3 mm in diameter when grown on TSA agar medium for 2 days. Strain MAH-33&lt;jats:sup&gt;T&lt;/jats:sup&gt; was found to be able to grow at 10–40 °C, at pH 5.0–10.0 and at 0–3.0 % NaCl (w/v). The strain was found to be positive for both oxidase and catalase tests. The strain was positive for hydrolysis of tyrosine and aesculin. According to the 16S rRNA gene sequence comparisons, the isolate was identified as a member of the genus &lt;jats:italic&gt;
                     &lt;jats:named-content content-type="genus"&gt;
                        &lt;jats:ext-link xmlns:xlink="http://www.w3.org/1999/xlink" ext-link-type="uri" xlink:href="http://doi.org/10.1601/nm.1234" xlink:type="simple"&gt;Sphingobium&lt;/jats:ext-link&gt;
                     &lt;/jats:named-content&gt;
                  &lt;/jats:italic&gt; and to be closely related to &lt;jats:italic&gt;
                     &lt;jats:named-content content-type="species"&gt;
                        &lt;jats:ext-link xmlns:xlink="http://www.w3.org/1999/xlink" ext-link-type="uri" xlink:href="http://doi.org/10.1601/nm.16877" xlink:type="simple"&gt;Sphingobium quisquiliarum&lt;/jats:ext-link&gt;
                     &lt;/jats:named-content&gt;
                  &lt;/jats:italic&gt; P25&lt;jats:sup&gt;T&lt;/jats:sup&gt; (98.4 % similarity), &lt;jats:italic&gt;
                     &lt;jats:named-content content-type="species"&gt;
                        &lt;jats:ext-link xmlns:xlink="http://www.w3.org/1999/xlink" ext-link-type="uri" xlink:href="http://doi.org/10.1601/nm.25329" xlink:type="simple"&gt;Sphingobium mellinum&lt;/jats:ext-link&gt;
                     &lt;/jats:named-content&gt;
                  &lt;/jats:italic&gt; WI4&lt;jats:sup&gt;T&lt;/jats:sup&gt; (97.8 %), &lt;jats:italic&gt;
                     &lt;jats:named-content content-type="species"&gt;
                        &lt;jats:ext-link xmlns:xlink="http://www.w3.org/1999/xlink" ext-link-type="uri" xlink:href="http://doi.org/10.1601/nm.10301" xlink:type="simple"&gt;Sphingobium fuliginis&lt;/jats:ext-link&gt;
                     &lt;/jats:named-content&gt;
                  &lt;/jats:italic&gt; TKP&lt;jats:sup&gt;T&lt;/jats:sup&gt; (97.3 %) and &lt;jats:italic&gt;
                     &lt;jats:named-content content-type="species"&gt;
                        &lt;jats:ext-link xmlns:xlink="http://www.w3.org/1999/xlink" ext-link-type="uri" xlink:href="http://doi.org/10.1601/nm.1237" xlink:type="simple"&gt;Sphingobium herbicidovorans&lt;/jats:ext-link&gt;
                     &lt;/jats:named-content&gt;
                  &lt;/jats:italic&gt; NBRC 16415&lt;jats:sup&gt;T&lt;/jats:sup&gt; (96.9 %). The novel strain MAH-33&lt;jats:sup&gt;T&lt;/jats:sup&gt; has a draft genome size of 3 908 768 bp (28 contigs), annotated with 3689 protein-coding genes, 45 tRNA and three rRNA genes. The average nucleotide identity and digital DNA–DNA hybridization values between strain MAH-33&lt;jats:sup&gt;T&lt;/jats:sup&gt; and closely related type strains were in the range of 79.8–81.6 % and 23.2–24.5 %, respectively. The genomic DNA G+C content was determined to be 62.2 %. The predominant isoprenoid quinone was ubiquinone 10. The major fatty acids were identified as C&lt;jats:sub&gt;16 : 0&lt;/jats:sub&gt; and summed feature 8 (C&lt;jats:sub&gt;18 : 1&lt;/jats:sub&gt;
                  &lt;jats:italic&gt; ω7&lt;/jats:italic&gt;c and/or C&lt;jats:sub&gt;18 : 1&lt;/jats:sub&gt;
                  &lt;jats:italic&gt; ω6&lt;/jats:italic&gt;c). The polar lipids identified in strain MAH-33&lt;jats:sup&gt;T&lt;/jats:sup&gt; were phosphatidylethanolamine, diphosphatidylglycerol, phosphatidylglycerol, sphingoglycolipid, phosphatidylcholine; one unknown phospholipid and one unknown lipid. On the basis of digital DNA–DNA hybridization, ANI value, genotypic analysis, chemotaxonomic and physiological data, strain MAH-33&lt;jats:sup&gt;T&lt;/jats:sup&gt; represents a novel species within the genus &lt;jats:italic&gt;
                     &lt;jats:named-content content-type="genus"&gt;
                        &lt;jats:ext-link xmlns:xlink="http://www.w3.org/1999/xlink" ext-link-type="uri" xlink:href="http://doi.org/10.1601/nm.1234" xlink:type="simple"&gt;Sphingobium&lt;/jats:ext-link&gt;
                     &lt;/jats:named-content&gt;
                  &lt;/jats:italic&gt;, for which the name &lt;jats:italic&gt;Sphingobium agri&lt;/jats:italic&gt; sp. nov. is proposed, with MAH-33&lt;jats:sup&gt;T&lt;/jats:sup&gt; (=KACC 19973&lt;jats:sup&gt;T&lt;/jats:sup&gt; = CGMCC 1.16609&lt;jats:sup&gt;T&lt;/jats:sup&gt;) as the type strain.&lt;/jats:p&gt;</t>
  </si>
  <si>
    <t>10.1093/ndt/gfab080.002</t>
  </si>
  <si>
    <t>&lt;jats:title&gt;Abstract&lt;/jats:title&gt;
               &lt;jats:sec&gt;
                  &lt;jats:title&gt;Background and Aims&lt;/jats:title&gt;
                  &lt;jats:p&gt;The zebrafish (Danio rerio) is a powerful animal model to study glomerular morphology and the function of the permselectivity of the glomerular filtration barrier.&lt;/jats:p&gt;
                  &lt;jats:p&gt;Since zebrafish larvae develop quickly and can be bred to become transparent, in vivo observation of these animals is possible. At 48 hours post fertilization, zebrafish larvae develop a single glomerulus which is attached to a pair of tubules. Like in mammals, the glomerular filtration barrier consists of a fenestrated endothelium, the glomerular basement membrane and interdigitating podocyte foot processes bridged by a slit diaphragm. By using genetically modified zebrafish strains with fluorescently labeled podocytes, it is possible to study alterations of the glomerulus during the development of renal disease like focal segmental glomerulosclerosis (FSGS) directly in vivo. FSGS is characterized by podocyte loss, the effacement of their foot processes as well as scarring of the glomerulus. To study FSGS in zebrafish larvae, we induced podocyte detachment by the use of a zebrafish strain expressing the enzyme nitroreductase converting metronidazole into a toxic substance specifically in podocytes. The aim of our study was to collect glomeruli for the identification of mRNAs as well as miRNAs by RNA_Seq that are up- and down-regulated in the glomeruli of this FSGS-like disease model.&lt;/jats:p&gt;
               &lt;/jats:sec&gt;
               &lt;jats:sec&gt;
                  &lt;jats:title&gt;Method&lt;/jats:title&gt;
                  &lt;jats:p&gt;The transgenic zebrafish strain Cherry (Tg(nphs2:GAL4); Tg(UAS:Eco.nfsB-mCherry); mitfaw2/w2; mpv17a9/a9) which expresses the prokaryotic enzyme nitroreductase (NTR) fused to mCherry, a red fluorescent protein, under the control of the podocyte-specific podocin (nphs2) promoter in a transparent zebrafish strain, was utilized. After addition of metronidazole (MTZ) into the tank water, MTZ is converted into a cytotoxin by NTR leading to dose-dependent apoptosis exclusively in podocytes. Cherry larvae were treated at 4 days post fertilization (dpf) for 48 h with 80 µM MTZ. MTZ-treated and control larvae were homogenized at 6 dpf. The cell suspension was diluted, and red-fluorescent glomeruli were collected using a micropipette and a microscope. Total RNA was isolated, and integrity was checked by a Bioanalyzer. Libraries were generated with a MACE kit and True Quant small RNA seq kit by GenXPro. Constructs were amplified by PCR and sequenced on an Illumina Hiseq 2000. Normalization and statistical analysis for differential gene expression were done using DESeq2.&lt;/jats:p&gt;
               &lt;/jats:sec&gt;
               &lt;jats:sec&gt;
                  &lt;jats:title&gt;Results&lt;/jats:title&gt;
                  &lt;jats:p&gt;Zebrafish larvae showed severe whole-body edema, proteinuria, loss of podocytes and an increased mortality rate after MTZ-treatment. The glomerular histology resembled mammalian FSGS. We found that only the RNA of manually collected glomeruli had an excellent quality. Using RNA_Seq, we identified a total of 16941 genes. DESeq2 analysis showed 494 up-regulated and 473 down-regulated genes. Gene ontology (GO) enrichment analysis of up-regulated genes revealed a total of 167 that are significantly enriched in GO terms (e.g. metabolic processes, immune response and ion transport). Down-regulated genes were enriched in 14 GO terms and most of them are linked to normal glomerular function and the slit diaphragm. DESeq2 analysis identified 200 miRNAs of 777 small RNAs. Some of these miRNA are already described to be regulated in different glomerular diseases like FSGS, lupus nephritis, IgA nephropathy and diabetic nephropathy.&lt;/jats:p&gt;
               &lt;/jats:sec&gt;
               &lt;jats:sec&gt;
                  &lt;jats:title&gt;Conclusion&lt;/jats:title&gt;
                  &lt;jats:p&gt;We analyzed isolated glomeruli from transgenic zebrafish larvae that developed a FSGS-like disease. By sequencing, we have found mRNAs and miRNAs that were significantly regulated after the onset of disease. Detailed knowledge of these mRNAs and miRNA-based gene regulation will help to uncover the pathomechanism as well as to develop therapeutics for the treatment of FSGS.&lt;/jats:p&gt;
               &lt;/jats:sec&gt;</t>
  </si>
  <si>
    <t>10.1108/jes-07-2019-0311</t>
  </si>
  <si>
    <t>&lt;jats:sec&gt;&lt;jats:title content-type="abstract-subheading"&gt;Purpose&lt;/jats:title&gt;&lt;jats:p&gt;The paper explores the precarious balance between modernizing monetary systems by means of digital currencies (either issued by the central bank itself or independently) and safeguarding financial stability as also ensured by tangible payment (and saving) instruments like paper money.&lt;/jats:p&gt;&lt;/jats:sec&gt;&lt;jats:sec&gt;&lt;jats:title content-type="abstract-subheading"&gt;Design/methodology/approach&lt;/jats:title&gt;&lt;jats:p&gt;Which aspects of modern payment systems could contribute to improve the way of functioning of today's globalized economy? And, which might even threaten the above-mentioned instable equilibrium? This survey paper aims, precisely, at giving some preliminary answers to a complex – therefore, ongoing – debate at scientific as well as banking and political levels.&lt;/jats:p&gt;&lt;/jats:sec&gt;&lt;jats:sec&gt;&lt;jats:title content-type="abstract-subheading"&gt;Findings&lt;/jats:title&gt;&lt;jats:p&gt;The coexistence of State's money (i.e. “legal tender”) and cryptocurrencies can have a disciplining effect on central banks. Nevertheless, there are still high risks connected to the introduction of central bank digital currency, which should be by far not considered to be a perfect substitute of current cash. At the same time, cryptocurrencies issued by central banks might be exposed to the drawbacks of cryptocurrencies without benefiting from correspondingly strong advantages. A well-governed two-tier system to be achieved through innovation in payment infrastructures might be, in turn, more preferable. Regulated competition by new players combined with “traditional” deposits and central bank elements remains essential, although central banks should embrace the technologies underlying cryptocurrencies, because risk payment service providers could move to other currency areas considered to be more appealing for buyers and sellers.&lt;/jats:p&gt;&lt;/jats:sec&gt;&lt;jats:sec&gt;&lt;jats:title content-type="abstract-subheading"&gt;Research limitations/implications&lt;/jats:title&gt;&lt;jats:p&gt;We do not see specific limitations besides the fact that the following is for sure a broad field of scientific research to be covered, which is at the same time at the origin of ongoing developments and findings. Originality and implications of the paper are, instead, not only represented by its conclusions (which highlight the role of traditional payment instruments and stress why the concept of “money” still has to have specific features) but also by its approach of recent literature's review combined with equally strong logical-analytical insights.&lt;/jats:p&gt;&lt;/jats:sec&gt;&lt;jats:sec&gt;&lt;jats:title content-type="abstract-subheading"&gt;Practical implications&lt;/jats:title&gt;&lt;jats:p&gt;In the light of these considerations, even the role of traditional payment systems like paper money is by far not outdated or cannot be – at this point, at least – replaced by central bank digital currencies (whose features based on dematerialization despite being issued and guaranteed by a public authority are very different).&lt;/jats:p&gt;&lt;/jats:sec&gt;&lt;jats:sec&gt;&lt;jats:title content-type="abstract-subheading"&gt;Social implications&lt;/jats:title&gt;&lt;jats:p&gt;No matter which form it might assume is what differentiates economic from barter transactions. This conclusion is by far not tautological or self-evident since the notion of money has historically been a great object of scientific discussion. In the light of increasingly modern payment instruments, there is no question that money and the effectiveness of related monetary policies have to be also explored from a social perspective according to different monetary scenarios, ranging from central bank digital currencies to private currencies and cash restrictions/abolition.&lt;/jats:p&gt;&lt;/jats:sec&gt;&lt;jats:sec&gt;&lt;jats:title content-type="abstract-subheading"&gt;Originality/value&lt;/jats:title&gt;&lt;jats:p&gt;The originality/value of the following article is represented by the fact that it (1) refers to some of the most relevant and recent contributions to this research field, (2) moves from payment systems in general to their newest trends like cryptocurrencies, cash restrictions (or, even, abolition proposals) and monetary policy while (3) combining all elements to reach a common picture. The paper aims at being a comprehensive contribution dealing with "money" in its broadest but also newest sense.&lt;/jats:p&gt;&lt;/jats:sec&gt;</t>
  </si>
  <si>
    <t>10.56397/crms.2023.03.15</t>
  </si>
  <si>
    <t>&lt;jats:p&gt;Background: Type 2 diabetes mellitus (T2DM) refers to a metabolic disorder characterized by persistent hyperglycemia. Uncontrolled blood glucose levels over time may lead to serious complications, possibly even death. As an adjunctive treatment for T2DM, increasing numbers of clinical studies have demonstrated that Baduanjin (the Eight Section Brocades)—one of Traditional Asian exercise may effectively control fasting plasma glucose (FPG), glycosylated hemoglobin (HbA1c), and 2h postprandial plasma glucose (P2hPG) as well as blood lipid levels of diabetic patients. However, the primary evidence demonstrating the clinical benefit of Baduanjin exercise in diabetic patients remains insufficient, especially the intervention effect on glucose and lipid metabolism is not fully understood. Objectives: The purpose of this study is to examine the effects of Baduanjin exercise on glucose and lipid metabolism in individuals with type 2 diabetes in randomized controlled trials (RCTs). Methods: Nine electronic databases were searched from the database’s inception until January 31th, 2023, without regard to language constraints (PubMed, Web of Science, Embase, the Cochrane Central Register of Controlled Trials (CENTRAL), Scopus, China National Knowledge Infrastructure (CNKI), Wanfang Data Knowledge Service Platform (WAN FANG), VIP information resource integration service platform (CQVIP) and China Biology Medicine (CBM)). Furthermore, information concerning unpublished or continuing clinical trials was searched within the National Institutes of Health clinical registry Clinical Trials, the International Clinical Trials Registry Platform, and the Chinese Clinical Trials Registry. RCTs that examined the effect of Baduanjin exercise on glucose and lipid metabolism were identified. The primary outcomes of this study were fasting plasma glucose (FPG), 2h postprandial plasma glucose (P2hPG) and glycosylated hemoglobin (HbA1c). The literature was chosen based on inclusion and exclusion criteria, with the Baduanjin exercise serving as the primary method for the experimental group. Selection, data collection and extraction of studies were conducted separately by at least two reviewers, with disagreements resolved through discussion. The mean difference (MD) with a 95% confidence interval (CI) was employed for continuous outcomes. Analysis of data and subgroups, as well as sensitivity analysis, were performed utilizing Review Manager V.5.4.1 (RevMan V.5.4.1) and Stata/MP 17.0. Results: This meta-analysis comprised twenty-six original studies with 1,779 individuals. Glucose metabolism: As a result of the pooled analysis, it demonstrated that combination treatment resulted in a reduction in the HbA1c (MD: -0.73, 95% CI: -0.91 to -0.55, P&amp;lt;0.00001), FPG (MD −1.14, 95% CI −1.38 to −0.90, P&amp;lt;0.00001), P2hPG (MD: -1.22, 95% CI: -1.66 to -0.78, P&amp;lt;0.00001), Homeostasis Model Assessment of Insulin Resistance (HOMA-IR) (MD: -0.59, 95% CI: -1.07 to -0.11, P＝0.02), and Fasting Insulin (FINS) (MD: -2.63, 95% CI: -3.81 to -1.45, P&amp;lt;0.0001). Lipid metabolism: The results revealed that Baduanjin exercise could help T2DM patients improving the level of lipid metabolism, which reduced the level of Total cholesterol (TC) (MD: -0.36, 95% CI: -0.52 to -0.21, P&amp;lt;0.00001), Triglycerides (TG) (MD: -0.56, 95% CI: -0.82 to -0.30, P&amp;lt;0.0001), Low density lipoprotein (LDL-C) (MD: -0.19, 95% CI: -0.29 to -0.10, P＝0.0001) and increased the level of High-density lipoprotein (HDL-C) (MD: 0.11, 95% CI: 0.06 to 0.16, P&amp;lt;0.0001). Simultaneously, the combined findings also demonstrated that the interventions were efficacious in decreasing Body Mass Index (BMI) (MD: -1.14, 95% CI: -1.90 to -0.37, P＝0.004) and Waist-Hip Ratio (WHR) (MD: -0.07, 95% CI: -0.13 to -0.01, P＝0.02). Sensitivity analyses indicated that these results were robust. Conclusions: Current low-quality evidence demonstrated that T2DM patients through Baduanjin exercise could significantly improve the level of glucose and lipid metabolism. The evidence available was insufficient to establish the effects of Baduanjin exercise on T2DM patients. Further high-quality studies are needed to explore its effects of Baduanjin exercise on T2DM patients. Systematic review registration: https://www.crd.york.ac.uk/PROSPERO/display_record.php?Record ID=325538.&lt;/jats:p&gt;</t>
  </si>
  <si>
    <t>10.1098/rspa.2023.0284</t>
  </si>
  <si>
    <t>&lt;jats:p&gt;Ecosystems represent archetypal complex dynamical systems, often modelled by coupled differential equations of the form&lt;jats:disp-formula&gt;&lt;mml:math xmlns:mml="http://www.w3.org/1998/Math/MathML" display="block"&gt;&lt;mml:mfrac&gt;&lt;mml:mrow&gt;&lt;mml:mrow&gt;&lt;mml:mi mathvariant="normal"&gt;d&lt;/mml:mi&gt;&lt;/mml:mrow&gt;&lt;mml:msub&gt;&lt;mml:mi&gt;x&lt;/mml:mi&gt;&lt;mml:mi&gt;i&lt;/mml:mi&gt;&lt;/mml:msub&gt;&lt;/mml:mrow&gt;&lt;mml:mrow&gt;&lt;mml:mrow&gt;&lt;mml:mi mathvariant="normal"&gt;d&lt;/mml:mi&gt;&lt;/mml:mrow&gt;&lt;mml:mi&gt;t&lt;/mml:mi&gt;&lt;/mml:mrow&gt;&lt;/mml:mfrac&gt;&lt;mml:mo&gt;=&lt;/mml:mo&gt;&lt;mml:msub&gt;&lt;mml:mi&gt;x&lt;/mml:mi&gt;&lt;mml:mi&gt;i&lt;/mml:mi&gt;&lt;/mml:msub&gt;&lt;mml:msub&gt;&lt;mml:mi&gt;ϕ&lt;/mml:mi&gt;&lt;mml:mi&gt;i&lt;/mml:mi&gt;&lt;/mml:msub&gt;&lt;mml:mo stretchy="false"&gt;(&lt;/mml:mo&gt;&lt;mml:msub&gt;&lt;mml:mi&gt;x&lt;/mml:mi&gt;&lt;mml:mn&gt;1&lt;/mml:mn&gt;&lt;/mml:msub&gt;&lt;mml:mo&gt;,&lt;/mml:mo&gt;&lt;mml:mo&gt;…&lt;/mml:mo&gt;&lt;mml:mo&gt;,&lt;/mml:mo&gt;&lt;mml:msub&gt;&lt;mml:mi&gt;x&lt;/mml:mi&gt;&lt;mml:mi&gt;N&lt;/mml:mi&gt;&lt;/mml:msub&gt;&lt;mml:mo stretchy="false"&gt;)&lt;/mml:mo&gt;&lt;mml:mo&gt;,&lt;/mml:mo&gt;&lt;/mml:math&gt;&lt;/jats:disp-formula&gt;where&lt;jats:inline-formula&gt;&lt;mml:math xmlns:mml="http://www.w3.org/1998/Math/MathML"&gt;&lt;mml:mi&gt;N&lt;/mml:mi&gt;&lt;/mml:math&gt;&lt;/jats:inline-formula&gt;represents the number of species and&lt;jats:inline-formula&gt;&lt;mml:math xmlns:mml="http://www.w3.org/1998/Math/MathML"&gt;&lt;mml:msub&gt;&lt;mml:mi&gt;x&lt;/mml:mi&gt;&lt;mml:mi&gt;i&lt;/mml:mi&gt;&lt;/mml:msub&gt;&lt;/mml:math&gt;&lt;/jats:inline-formula&gt;, the abundance of species&lt;jats:inline-formula&gt;&lt;mml:math xmlns:mml="http://www.w3.org/1998/Math/MathML"&gt;&lt;mml:mi&gt;i&lt;/mml:mi&gt;&lt;/mml:math&gt;&lt;/jats:inline-formula&gt;. Among these families of coupled differential equations, Lotka–Volterra (LV) equations, corresponding to&lt;jats:disp-formula&gt;&lt;mml:math xmlns:mml="http://www.w3.org/1998/Math/MathML" display="block"&gt;&lt;mml:msub&gt;&lt;mml:mi&gt;ϕ&lt;/mml:mi&gt;&lt;mml:mi&gt;i&lt;/mml:mi&gt;&lt;/mml:msub&gt;&lt;mml:mo stretchy="false"&gt;(&lt;/mml:mo&gt;&lt;mml:msub&gt;&lt;mml:mi&gt;x&lt;/mml:mi&gt;&lt;mml:mn&gt;1&lt;/mml:mn&gt;&lt;/mml:msub&gt;&lt;mml:mo&gt;,&lt;/mml:mo&gt;&lt;mml:mo&gt;…&lt;/mml:mo&gt;&lt;mml:mo&gt;,&lt;/mml:mo&gt;&lt;mml:msub&gt;&lt;mml:mi&gt;x&lt;/mml:mi&gt;&lt;mml:mi&gt;N&lt;/mml:mi&gt;&lt;/mml:msub&gt;&lt;mml:mo stretchy="false"&gt;)&lt;/mml:mo&gt;&lt;mml:mo&gt;=&lt;/mml:mo&gt;&lt;mml:msub&gt;&lt;mml:mi&gt;r&lt;/mml:mi&gt;&lt;mml:mi&gt;i&lt;/mml:mi&gt;&lt;/mml:msub&gt;&lt;mml:mo&gt;−&lt;/mml:mo&gt;&lt;mml:msub&gt;&lt;mml:mi&gt;x&lt;/mml:mi&gt;&lt;mml:mi&gt;i&lt;/mml:mi&gt;&lt;/mml:msub&gt;&lt;mml:mo&gt;+&lt;/mml:mo&gt;&lt;mml:msub&gt;&lt;mml:mrow&gt;&lt;mml:mo stretchy="false"&gt;(&lt;/mml:mo&gt;&lt;mml:mi&gt;Γ&lt;/mml:mi&gt;&lt;mml:mrow&gt;&lt;mml:mtext mathvariant="bold"&gt;x&lt;/mml:mtext&gt;&lt;/mml:mrow&gt;&lt;mml:mo stretchy="false"&gt;)&lt;/mml:mo&gt;&lt;/mml:mrow&gt;&lt;mml:mi&gt;i&lt;/mml:mi&gt;&lt;/mml:msub&gt;&lt;mml:mo&gt;,&lt;/mml:mo&gt;&lt;/mml:math&gt;&lt;/jats:disp-formula&gt;play a privileged role, as the LV model represents an acceptable trade-off between complexity and tractability. Here,&lt;jats:inline-formula&gt;&lt;mml:math xmlns:mml="http://www.w3.org/1998/Math/MathML"&gt;&lt;mml:msub&gt;&lt;mml:mi&gt;r&lt;/mml:mi&gt;&lt;mml:mi&gt;i&lt;/mml:mi&gt;&lt;/mml:msub&gt;&lt;/mml:math&gt;&lt;/jats:inline-formula&gt;is the intrinsic growth of species&lt;jats:inline-formula&gt;&lt;mml:math xmlns:mml="http://www.w3.org/1998/Math/MathML"&gt;&lt;mml:mi&gt;i&lt;/mml:mi&gt;&lt;/mml:math&gt;&lt;/jats:inline-formula&gt;and&lt;jats:inline-formula&gt;&lt;mml:math xmlns:mml="http://www.w3.org/1998/Math/MathML"&gt;&lt;mml:mi&gt;Γ&lt;/mml:mi&gt;&lt;/mml:math&gt;&lt;/jats:inline-formula&gt;stands for the interaction matrix:&lt;jats:inline-formula&gt;&lt;mml:math xmlns:mml="http://www.w3.org/1998/Math/MathML"&gt;&lt;mml:msub&gt;&lt;mml:mi&gt;Γ&lt;/mml:mi&gt;&lt;mml:mrow&gt;&lt;mml:mi&gt;i&lt;/mml:mi&gt;&lt;mml:mi&gt;j&lt;/mml:mi&gt;&lt;/mml:mrow&gt;&lt;/mml:msub&gt;&lt;/mml:math&gt;&lt;/jats:inline-formula&gt;represents the effect of species&lt;jats:inline-formula&gt;&lt;mml:math xmlns:mml="http://www.w3.org/1998/Math/MathML"&gt;&lt;mml:mi&gt;j&lt;/mml:mi&gt;&lt;/mml:math&gt;&lt;/jats:inline-formula&gt;over species&lt;jats:inline-formula&gt;&lt;mml:math xmlns:mml="http://www.w3.org/1998/Math/MathML"&gt;&lt;mml:mi&gt;i&lt;/mml:mi&gt;&lt;/mml:math&gt;&lt;/jats:inline-formula&gt;. For large&lt;jats:inline-formula&gt;&lt;mml:math xmlns:mml="http://www.w3.org/1998/Math/MathML"&gt;&lt;mml:mi&gt;N&lt;/mml:mi&gt;&lt;/mml:math&gt;&lt;/jats:inline-formula&gt;, estimating matrix&lt;jats:inline-formula&gt;&lt;mml:math xmlns:mml="http://www.w3.org/1998/Math/MathML"&gt;&lt;mml:mi&gt;Γ&lt;/mml:mi&gt;&lt;/mml:math&gt;&lt;/jats:inline-formula&gt;is often an overwhelming task and an alternative is to draw&lt;jats:inline-formula&gt;&lt;mml:math xmlns:mml="http://www.w3.org/1998/Math/MathML"&gt;&lt;mml:mi&gt;Γ&lt;/mml:mi&gt;&lt;/mml:math&gt;&lt;/jats:inline-formula&gt;at random, parameterizing its statistical distribution by a limited number of model features. Dealing with large random matrices, we naturally rely on random matrix theory (RMT). The aim of this review article is to present an overview of the work at the junction of theoretical ecology and large RMT. It is intended to an interdisciplinary audience spanning theoretical ecology, complex systems, statistical physics and mathematical biology.&lt;/jats:p&gt;</t>
  </si>
  <si>
    <t>10.1088/1755-1315/1293/1/011002</t>
  </si>
  <si>
    <t>&lt;jats:p&gt;
                  &lt;jats:bold&gt;Type of peer review: Single-blind&lt;/jats:bold&gt;
               &lt;/jats:p&gt;
               &lt;jats:p&gt;Single-anonymous: authors' identities are known to the reviewers. Reviewers' identities are hidden from authors&lt;/jats:p&gt;
               &lt;jats:p&gt;
                  &lt;jats:bold&gt;Criteria used by Reviewers when accepting/declining papers.&lt;/jats:bold&gt;
               &lt;/jats:p&gt;
               &lt;jats:p&gt;(i) &lt;jats:bold&gt;Technical criteria:&lt;/jats:bold&gt; In this criterion the scientific merit; notably scientific rigour, accuracy and correctness considered. Clarity of expression; communication of ideas, readability and discussion of research scope and suitable referencing.&lt;/jats:p&gt;
               &lt;jats:p&gt;(ii) &lt;jats:bold&gt;Scientific criteria:&lt;/jats:bold&gt; Originality and motivation; all papers should clearly demonstrate the scientific interest of the results. The significant parts of the manuscript should not have been published or being with any sort of plagiarism.&lt;/jats:p&gt;
               &lt;jats:p&gt;(iii) &lt;jats:bold&gt;Presentation criteria:&lt;/jats:bold&gt; The tittle should be adequate and appropriate for the scope of the article. Same applies the abstract must contain the essential information of the article and complete with a brief elaboration of background, problem scope, results, discussion and conclusion. Moreover, diagrams, figures, tables and captions should be essential and clear. Text and mathematics: Should be briefly and clear.&lt;/jats:p&gt;
               &lt;jats:p&gt;There are opportunities for authors to resubmit articles after revisions&lt;/jats:p&gt;
               &lt;jats:p&gt;
                  &lt;jats:bold&gt;Conference submission management system:&lt;/jats:bold&gt; Submission management system used emails exchanged between authors and Conference Technical Committees. First, Call for Abstracts were announced, and then papers are collected and reviewed. Authors whose abstracts/papers are accepted are prepared for publication and presentation.&lt;/jats:p&gt;
               &lt;jats:p&gt;◦ &lt;jats:bold&gt;Number of submissions received:&lt;/jats:bold&gt; 90&lt;/jats:p&gt;
               &lt;jats:p&gt;◦ &lt;jats:bold&gt;Number of submissions sent for review:&lt;/jats:bold&gt; 90&lt;/jats:p&gt;
               &lt;jats:p&gt;◦ &lt;jats:bold&gt;Number of submissions accepted:&lt;/jats:bold&gt; 34&lt;/jats:p&gt;
               &lt;jats:p&gt;◦ &lt;jats:bold&gt;Acceptance Rate (Number of Submissions Accepted / Number of Submissions Received X 100):&lt;/jats:bold&gt; 37.7&lt;/jats:p&gt;
               &lt;jats:p&gt;◦ &lt;jats:bold&gt;Average number of reviews per paper:&lt;/jats:bold&gt; 2&lt;/jats:p&gt;
               &lt;jats:p&gt;◦ &lt;jats:bold&gt;Total number of reviewers involved:&lt;/jats:bold&gt; 36&lt;/jats:p&gt;
               &lt;jats:p&gt;Later, another selection process for existing received and accepted papers were carried out again to be published at IOP Proceeding Online. Paper review process were conducted once again in order to refine the selected paper quality to be published online. This further review process was conducted via Morressier paper management system in order to track the reviewing process and to ensure transparency.&lt;/jats:p&gt;
               &lt;jats:p&gt;
                  &lt;jats:bold&gt;Additional information on review process and plagiarism check system:&lt;/jats:bold&gt;
               &lt;/jats:p&gt;
               &lt;jats:p&gt;◦ Papers were checked and assessed by academic and/or professional reviewer, each with wealth experiences on their own subject field&lt;/jats:p&gt;
               &lt;jats:p&gt;◦ Authors signed document stating the originality of work in their paper&lt;/jats:p&gt;
               &lt;jats:p&gt;◦ Conference Technical Committee performed basic checks using tools and guidance from:&lt;/jats:p&gt;
               &lt;jats:p&gt;▪ Turnitin.com&lt;/jats:p&gt;
               &lt;jats:p&gt;
                  &lt;jats:bold&gt;Contact person for queries (after event):&lt;/jats:bold&gt;
               &lt;/jats:p&gt;
               &lt;jats:p&gt;
                  &lt;jats:bold&gt;Suryantini, Dr. Eng.&lt;/jats:bold&gt;
               &lt;/jats:p&gt;
               &lt;jats:p&gt;Chairperson 12&lt;jats:sup&gt;th&lt;/jats:sup&gt; IIGW 2023&lt;/jats:p&gt;
               &lt;jats:p&gt;Geothermal Geologist&lt;/jats:p&gt;
               &lt;jats:p&gt;Geology Study Program FITB and Geothermal Graduate Study Program FTTM&lt;/jats:p&gt;
               &lt;jats:p&gt;Institut Teknologi Bandung (ITB)&lt;/jats:p&gt;
               &lt;jats:p&gt;Email: ninik_suryantini@yahoo.com; suryantini@itb.ac.id&lt;/jats:p&gt;
               &lt;jats:p&gt;Phone: +62 813 9230 1388&lt;/jats:p&gt;</t>
  </si>
  <si>
    <t>10.1093/ehjci/ehaa946.0750</t>
  </si>
  <si>
    <t>&lt;jats:title&gt;Abstract&lt;/jats:title&gt;
               &lt;jats:sec&gt;
                  &lt;jats:title&gt;Background&lt;/jats:title&gt;
                  &lt;jats:p&gt;Mexiletine has been proven effective in shortening the duration of ventricular repolarization and reducing the arrhythmic events in type 3 Long QT Syndrome (LQT3). Initial reports indicate that mexiletine might also be effective in patients with type 2 Long QT Syndrome (LQT2, caused by loss-of-functions variants on KCNH2 gene, coding for HERG potassium channel), but this issue has not been investigated in detail.&lt;/jats:p&gt;
               &lt;/jats:sec&gt;
               &lt;jats:sec&gt;
                  &lt;jats:title&gt;Purpose&lt;/jats:title&gt;
                  &lt;jats:p&gt;We quantified the electrocardiographic (ECG) effects of mexiletine in a cohort of LQT2 patients.&lt;/jats:p&gt;
               &lt;/jats:sec&gt;
               &lt;jats:sec&gt;
                  &lt;jats:title&gt;Methods&lt;/jats:title&gt;
                  &lt;jats:p&gt;Twelve-lead ECGs were collected before and after the administration of mexiletine to evaluate the drug's effect on the heart rate-corrected QT interval (QTc). QTc intervals were classified as being (1) at “high-risk” if &amp;amp;gt;500 ms or (2) “normal” if &amp;amp;lt;460 ms, before and after the administration of the drug. KCNH2 variants were defined as (1) trafficking-deficient or (2) non-trafficking-deficient, based on functional studies.&lt;/jats:p&gt;
               &lt;/jats:sec&gt;
               &lt;jats:sec&gt;
                  &lt;jats:title&gt;Results&lt;/jats:title&gt;
                  &lt;jats:p&gt;We tested the maximum tolerated dose of mexiletine in 20 patients (11 males, 55%), who were 17±16 years old at diagnosis, affected by genetically established LQT2. The mean age at the beginning of mexiletine administration was 23±15 years and the mean daily dose administered was 9±2 mg/kg/day.&lt;/jats:p&gt;
                  &lt;jats:p&gt;Before mexiletine, the mean QTc interval was 527±53 ms and 10/20 (50%) patients had high-risk QTc values (i.e. QTc &amp;amp;gt;500 ms).&lt;/jats:p&gt;
                  &lt;jats:p&gt;After mexiletine, the mean QTc interval shortened to 484±47 ms in the overall population (p=0.001). In the majority of patients (18/20, 90%; Figure 1) QTc interval shortened, with a mean shortening of 42±28 ms, and a high-interindividual variability (range of shortening from 86 ms to 8 ms). Just 2 (10%) patients did not show any reduction of the QTc, despite receiving the highest adult dosages of mexiletine in our cohort (up to 10 mg/kg/day).&lt;/jats:p&gt;
                  &lt;jats:p&gt;As compared to baseline conditions, after mexiletine the proportion of patients with high risk QTc values (&amp;amp;gt;500 ms) decreased non-significantly from 50% to 35% (p=0.52). Furthermore, in only 6/20 (30%) patients the QTc normalized (i.e. QTc &amp;amp;lt;460 ms) after the initiation of treatment.&lt;/jats:p&gt;
                  &lt;jats:p&gt;The effect of mexiletine was not influenced by gender (p=0.89) or by the functional effect of the KCNH2 mutation (trafficking-deficient vs. non-trafficking-deficient variants, p=0.41).&lt;/jats:p&gt;
                  &lt;jats:p&gt;The effect of mexiletine in LQT2 patients was inferior to the one previously observed in a cohort of 34 LQT3 patients, who had similar QTc values at baseline and received similar dosages of mexiletine, but showed a significantly higher reduction of the average QTc interval (63±37 ms in LQT3 vs. 42±28 ms in LQT2, p=0.02).&lt;/jats:p&gt;
               &lt;/jats:sec&gt;
               &lt;jats:sec&gt;
                  &lt;jats:title&gt;Conclusions&lt;/jats:title&gt;
                  &lt;jats:p&gt;Mexiletine induces a reduction of the QTc interval in most LQT2 patients, but many patients remain with high-risk QTc values after receiving the drug. The demonstration that an average QTc shortening of 42 ms is enough to reduce arrhythmic events is necessary, before the introduction of mexiletine in clinical practice for LQT2.&lt;/jats:p&gt;
                  &lt;jats:p&gt;Figure 1&lt;/jats:p&gt;
               &lt;/jats:sec&gt;
               &lt;jats:sec&gt;
                  &lt;jats:title&gt;Funding Acknowledgement&lt;/jats:title&gt;
                  &lt;jats:p&gt;Type of funding source: Public grant(s) – National budget only. Main funding source(s): Italian Ministry of Research and University Dipartimenti di Eccellenza 2018–2022 grant to the Molecular Medicine Department (University of Pavia)&lt;/jats:p&gt;
               &lt;/jats:sec&gt;</t>
  </si>
  <si>
    <t>10.33024/mnj.v4i7.6985</t>
  </si>
  <si>
    <t>&lt;jats:p&gt;ABSTRACT Labor pain is a real thing for pregnant women and will be a very important focus of attention in people's lives. In the labor process, there is a combination of physical processes and emotional experiences for a woman, while one of the psychological factors that influence labor is anxiety and fear of childbirth. 90% of pregnant women who will give birth experience pain during the delivery process. There are two methods used to relieve pain during labor, namely Pharmacological (drugs) and non-pharmacological/natural methods, namely endorphin massage therapy with a combination of Bitrhing ball. The purpose of this study was to determine the effect of endorphin massage therapy with a birthing ball combination on the intensity of labor pain in the first stage of the active phase at BPM Fransina Lae-Laem, Manokwari Regency. This study analyzed the intensity of labor pain after being given ednorphine massage therapy with a birthing ball combination. The type of research is true experimental and randomized pretest-posttest technique with control group design. The sample in this study were mothers who gave birth at BPM Fransina Lae-laem as many as 30 respondents who were divided into 2 groups, namely the intervention group of 15 respondents and the control group of 15 respondents with an analysis of labor pain intensity in women giving birth before and after being given an endorphin massage therapy intervention. birthing ball combination during the first stage of active phase with a duration of therapy of 5-8 minutes. The instrument used is the Visual Analogy Scale (VAS). The data taken are primary data and data analysis using parametric and non-parametric test analysis. The results showed that there were differences in the intensity of labor pain before and after treatment in the intervention group and the control group with p value &amp;lt; value (0.05). so significant in the control group compared to the intervention group. Keywords: Maternal Maternity, Pain Intensity, Endorphin Massage, Birthing                 Ball ABSTRAK Nyeri persalinan merupakan hal yang nyata bagi ibu hamil dan akan menjadi focus perhatian yang sangat penting dalam kehidupan masyarakat. Pada proses persalinan terjadi sebuah kombinasi antara proses fisik dan pegalaman emosisonal bagi seorang perempuan adapun salah satu factor psikis yang mempengaruhi persalinan yaitu rasa cemas dan takut menghadapi persalinan. 90 % ibu hamil yang akan bersalin mengalami rasa nyeri pada saat proses persalinan, Ada dua metode yang dilakukan untuk meringankan rasa nyeri pada saat proses persalinan yaitu metode Farmakologi (obat-obatan) dan non farmakologi/alamiah yaitu dengan terapi endorphine massage kombinasi Bitrhing ball.tujuan penelitian ini yaitu untuk mengetahui Pengaruh terapi endorphine massage kombinasi birthing ball terhadap intensitas nyeri persalinan kala I Fase aktif di BPM Fransina Lae-Laem Kabupaten Manokwari. Penelitian ini melakukan analisis intensitas nyeri persalinan setelah diberikan terapi ednorphine massage kombinasi birthing ball. Jenis penelitian adalah true ekperimental dan teknik randomized pretest-postest with contol group desain. Sampel dalam penelitian ini adalah ibu bersalin yang ada di BPM Fransina Lae-laem sebanyak 30 responden yang dibagi menajdi 2 kelompok yaitu kelompok intervensi sebanyak 15 responden dan kelompok kontrol 15 responden dengan analisis intensitas nyeri persalinan pada ibu bersalin sebelum dan setelah diberikan intervensi terapi endorphine massage kombinasi birthing ball selama kala I Fase aktif dengan durasi terapi 5-8 menit. Intrumen yang digunakan yaitu menggunakan Visual Analogi Scale (VAS). Data yang diambil merupakan data primer dan analisa data menggunakan analisa uji parametric dan non parametric test. Hasil penelitian menunjukan bahwa ada perbedaan intensitas nyeri persalinan sebelum dan sesudah perlakuan pada kelompok intervensi dan kelompok kontrol dengan p value &amp;lt; nilai α (0,05).kesimpulan yaitu terdapat perbedaan intensitas nyeri persalinan baik kelompok intervensi maupun kelompok kontrol dengan perubahan intesitas nyeri yang tidak begitu signifikan pada kelompok kontrol dibandingkan kelompok intervensi. Kata Kunci: Ibu Bersalin, Intensitas Nyeri, Endorphine Massage, Birthing Ball&lt;/jats:p&gt;</t>
  </si>
  <si>
    <t>10.1158/1538-7445.am2025-2367</t>
  </si>
  <si>
    <t>&lt;jats:title&gt;Abstract&lt;/jats:title&gt;
               &lt;jats:sec&gt;
                  &lt;jats:title&gt;Background:&lt;/jats:title&gt;
                  &lt;jats:p&gt;Image-based features of the normal breast such as mammographic density and background parenchymal enhancement (BPE) on contrast-enhanced breast magnetic resonance imaging (MRI) are independent breast cancer risk factors. Both are associated with estrogen signaling and respond to endocrine therapy. Yet, molecular and cellular mechanisms underlying these risk factors remain unclear. We aimed to investigate such mechanisms with the goal of identifying novel approaches for cancer risk stratification and personalized prevention.&lt;/jats:p&gt;
               &lt;/jats:sec&gt;
               &lt;jats:sec&gt;
                  &lt;jats:title&gt;Methods:&lt;/jats:title&gt;
                  &lt;jats:p&gt;Single-nucleus RNA sequencing on a 10x Chromium platform was performed on normal human breast tissues from 28 women undergoing prophylactic mastectomies (n = 11), lumpectomies (n = 10), or mastectomies for breast cancer (n = 7) who consented to our biobanking protocol. Differences in cell composition and signaling pathways between individuals with different breast densities and BPE levels were determined. Additionally we assessed estrogen responsiveness in patient-derived organoid (PDOs) from women with different levels of BPE using qRT-PCR. Evaluation of immune infiltration as potential mediator of BPE is underway using immunofluorescence and spatial transcriptomics.&lt;/jats:p&gt;
               &lt;/jats:sec&gt;
               &lt;jats:sec&gt;
                  &lt;jats:title&gt;Results:&lt;/jats:title&gt;
                  &lt;jats:p&gt;12, 377 nuclei from 28 women were analyzed, including 16 with low (minimal or mild) and 12 with high (moderate or marked) BPE levels on MRI, and 5 cases with not dense and 23 with dense breasts on mammography. All main breast epithelial and stromal cell types were represented in our data. We observed great heterogeneity in cell composition between patients. Samples from BPE-high patients contained luminal secretory cells with reduced expression of differentiation markers and luminal hormone sensing cells with higher expression of estrogen response genes like PGR and GREB1. In agreement with this, we observed increased response to estrogen signaling in PDOs from high (n = 5) versus low BPE cases (n = 5). Moreover, luminal cells from BPE-high samples expressed significantly higher levels of CD74 which has been correlated with immune infiltration in cancer. Supporting this, interactions between luminal cells with macrophages via CD74 and APP/COPA were predicted in BPE-high but not in low samples. Comparing samples with distinct mammographic densities, we observed a higher proportion of luminal secretory cells, basal cells, and fibroblasts in patients with high mammographic densities suggesting that distinct mechanisms mediate BPE levels and breast density.&lt;/jats:p&gt;
               &lt;/jats:sec&gt;
               &lt;jats:sec&gt;
                  &lt;jats:title&gt;Conclusions:&lt;/jats:title&gt;
                  &lt;jats:p&gt;Our findings indicate that BPE is influenced by two distinct mechanisms: estrogen-mediated changes in cellular composition and chronic inflammation, both potentially increasing breast cancer susceptibility. Understanding the basis of modifiable breast cancer risk factors will enable risk stratification and personalized treatment, ultimately reducing breast cancer incidence in high-risk populations.&lt;/jats:p&gt;
               &lt;/jats:sec&gt;
               &lt;jats:sec&gt;
                  &lt;jats:title&gt;Citation Format:&lt;/jats:title&gt;
                  &lt;jats:p&gt;Nadine Goldhammer, Marin Bont, Michael Choi, Shruti Warhadpande, Heather Greenwood, Soumi Gottipati, Tam Binh Bui, Michael Bruck, Shoko Emily Abe, Michael Alvarado, Cheryl Ewing, Karen Goodwin, Rita Mukhtar, Jasmine Wong, Laura van't Veer, Nola Hylton, Laura J. Esserman, Jennifer M. Rosenbluth. Changes in breast hormone signaling and inflammation underlie radiologic features of cancer risk [abstract]. In: Proceedings of the American Association for Cancer Research Annual Meeting 2025; Part 1 (Regular Abstracts); 2025 Apr 25-30; Chicago, IL. Philadelphia (PA): AACR; Cancer Res 2025;85(8_Suppl_1):Abstract nr 2367.&lt;/jats:p&gt;
               &lt;/jats:sec&gt;</t>
  </si>
  <si>
    <t>10.1515/jom-2024-0079</t>
  </si>
  <si>
    <t>&lt;jats:title&gt;Abstract&lt;/jats:title&gt;
               &lt;jats:sec id="j_jom-2024-0079_abs_102"&gt;
                  &lt;jats:title&gt;Context&lt;/jats:title&gt;
                  &lt;jats:p&gt;Urinary incontinence (UI) in the powerlifting community has been a hot topic due to its noticeability during competition and the burden it places on female athletes who experience it. UI is even experienced in those we least expect: young, high-performing, females with no history of pregnancy. Current studies have utilized primarily survey methodology, thus there is a lack of clinical information on this topic. Furthermore, the top athletes are underrepresentedbecause previous surveys were open to anyone reporting themselves as a powerlifter, regardless of competition level.&lt;/jats:p&gt;
               &lt;/jats:sec&gt;
               &lt;jats:sec id="j_jom-2024-0079_abs_002"&gt;
                  &lt;jats:title&gt;Objectives&lt;/jats:title&gt;
                  &lt;jats:p&gt;The objectives of this study were to determine whether UI in elite female powerlifters is correlated with any musculoskeletal diagnoses and to further evaluate potentially contributing factors for UI within this group.&lt;/jats:p&gt;
               &lt;/jats:sec&gt;
               &lt;jats:sec id="j_jom-2024-0079_abs_003"&gt;
                  &lt;jats:title&gt;Methods&lt;/jats:title&gt;
                  &lt;jats:p&gt;Subjects underwent an osteopathic structural examination and then completed two surveys: the Incontinence Severity Index (ISI/Sandvik Test for Urinary Incontinence) and the Study Questionnaire.&lt;/jats:p&gt;
               &lt;/jats:sec&gt;
               &lt;jats:sec id="j_jom-2024-0079_abs_004"&gt;
                  &lt;jats:title&gt;Results&lt;/jats:title&gt;
                  &lt;jats:p&gt;In total, there were 31 female participants, all of whom were in the top 2 % of powerlifters in the world between the ages of 20 and 30  years old (as of May 21, 2023) and reside in the United States. The survey results displayed a moderately positive relationship between age (rho=0.449, where rho refers to Spearman’s rho), history of pelvic floor examination (rho=0.413), and self-care practice with ISI (rho=0.340). Other survey information such as weight class, height, best total in competition, number of years training, average duration of training day, confidence in ability to contract pelvic floor muscles, history of abdominal or pelvic surgery, history of urinary tract infection (UTI), and sexual activity status all had rho values less than 0.300. With atlantoaxial (AA) rotation to the right, there was an increase in ISI score (p=0.009). Similarly, with AA rotation to the left, there was a decrease in ISI score (p=0.030). All patients with severe ISI had nonphysiologic sacral dysfunctions (p=0.051). Severe ISI-scored participants were more likely to yield a dysfunctional clavicle upon screening (p=0.027). There was a strong correlation between increasing severity of UI and findings of a restricted right clavicle and/or AA rotation to the right (p=0.010). In addition, there were only two individuals with both a restricted right clavicle and AA rotation to the right, and these two individuals both scored severe on the ISI (p=0.012). A pelvic diaphragm dysfunction was present in 74.2 % of the participants. Extension diagnoses of the lumbar spine were found in those with mild UI over those with severe UI (p=0.012). Most other diagnoses were largely unremarkable due to a wide distribution across all ISI scores.&lt;/jats:p&gt;
               &lt;/jats:sec&gt;
               &lt;jats:sec id="j_jom-2024-0079_abs_005"&gt;
                  &lt;jats:title&gt;Conclusions&lt;/jats:title&gt;
                  &lt;jats:p&gt;Our study revealed a relationship between UI and somatic dysfunctions in this population. These findings may help providers, especially in the fields of primary care, sports medicine, and urogynecology, to expand treatment options for UI in this group in the future. Survey results yielded a positive relationship of moderate strength between age, history of pelvic floor exination, and engaging in leakage prevention practices with ISI. No survey category was found to have a relationship of high strength with ISI. These findings contribute to our knowledge on factors that do (or do not) contribute to incontinence severity.&lt;/jats:p&gt;
               &lt;/jats:sec&gt;</t>
  </si>
  <si>
    <t>10.33145/2304-8336-2022-27-353-362</t>
  </si>
  <si>
    <t>&lt;jats:p&gt;Radiation therapy (RT) is the main type of antitumor treatment in inoperable patients. Low awareness and fear of the development of radiation reactions contributes to the destabilization of psycho-emotional state of patients, which can result in withdrawal from treatment and deterioration of their quality of life (QOL). Despite a steady increase in cancer rates in Ukraine, there are currently no studies to develop measures to improve psychological condition of patients undergoing treatment in radiation therapy departments. Objective: to assess the dynamics of psycho-emotional status and QOL of cancer patients at the stage of radiation therapy. Materials and methods. The study involved psychodiagnostic examination of 66 cancer patients who underwent radiation treatment in the clinic of the State Organization «Grigoriev Institute for Medical Radiology and Oncology of the NAMS of Ukraine», of whom Group 1 included 44 patients with head and neck cancer, Group 2 comprised 22 patients with colorectal cancer. Comparison group comprised 30 conditionally «healthy» respondents without cancer. All patients had stage III–IV cancer. The study implied the employment of «Distress Thermometer», Hospital Anxiety and Depression Scale (HADS), and the SF-36 Questionnaire (Short Form). The examination was performed before and following the course of radiation therapy. Group 1 patients underwent only psychodiagnostic examination, Group 2 patients apart from psychodiagnostic were accompanied by a psychologist before undergoing radiation procedures. In the comparison group, the survey was conducted once. Results and discussion. Assessment of the data showed that before the start of RT most subjects (72.73 % in Group 1 and 77.3 % in Group 2) had a high level of distress, they were worried and nervous before the first radiation procedure, had fears about the consequences and side effects. The level of anxiety in Group 1 at the pathological and subclinical level was recorded in 54.55 % of patients, the rate of depression at the subclinical level was diagnosed in 18.20 %, and in 9.10 % of patients at the clinical one. In Group 2, the level of anxiety that exceeded the norm was recorded significantly less often (27.25 % vs. 54.55 %, pt ≤ 0.05), and the rate of depression at the subclinical level was diagnosed significantly more often than in Group 1 (54.50 % vs. 18.20 %, pt ≤ 0.05), and in 18.2 % of patients at the clinical level. After radiation, 81.81 % of Group 1 patients showed an increase in distress and anxiety, and depressive symptoms tended to worsen. The level of distress in Group 2 after consulting a psychologist in preparation for RT and undergoing radiation procedures decreased almost twice, the level of anxiety decreased to normal, the indicators of depressive symptoms remained unchanged. According to QOL assessments on the scales of physical and role functioning (PF and RP), general health (GH) and mental health (MH), patients in both groups had significantly lower scores before the RT than in the comparison groups. After the procedures, there was a significant deterioration in the RP scale in Group 1 (18.75 vs. 40.00, pt ≤ 0.05), and an improvement of almost 2 times in Group 2 (35.73 vs. 68.33, pt ≤ 0.06). The indicator of general health (GH) at the end of RT in Group 1 did not change, and in Group 2 it tended to improve (20.93 vs. 47.26, pt ≤ 0.06). Life expectancy (LE) in Group 1 tended to decrease further after treatment, having increased 1.7 times in Group 2.0 Conclusions. The study showed that cancer patients before the onset of RT experienced a rather strong distress and level of anxiety. Psychological correction of the emotional state at the beginning of treatment allowed for a significant improvement in the QOL of patients on the scales of role physical functioning (RF) and vitality (VT). An important area of work of a clinical psychologist at this stage of treatment involved correction of cognitive sphere, support of role functioning and formation of behavior aimed at further treatment. Key words: oncology, radiation therapy, quality of life, psychological stress, distress, patients with colorectal cancer, patients with head and neck cancer.&lt;/jats:p&gt;</t>
  </si>
  <si>
    <t>10.25683/volbi.2020.53.475</t>
  </si>
  <si>
    <t>&lt;jats:p&gt;Статья посвящена вопросам совершенствования профессионального мастерства педагогов среднего профессионального образования. В рамках статьи рассматриваются пути совершенствования профессиональной подготовленности преподавателей с использованием элементов информационно насыщенной образовательной среды. Целью исследования является определение влияния информационно насыщенной образовательной среды на профессиональное мастерство педагога среднего профессионального образования. В основу исследования легло изучение трудов российских и зарубежных ученых. В статье мы говорим о целенаправленном внедрении в процесс работы с педагогами среднего профессионального образования в рамках развития их профессионального мастерства элементов неформального и информального образования на основе применения Интернет-ресурсов. В контексте исследуемой проблемы утверждаем, что механизмом совершенствования профессионального мастерства педагогов среднего профессионального образования в информационно насыщенной образовательной среде является выстраивание каждым педагогом персонального развивающего пространства, учитывающего как потребности государства, цели образовательной организации СПО, ресурсы информационно насыщенной образовательной среды организации, так и индивидуальные задачи и потребности личности. В связи с этим мы определяем в исследовании персональную развивающую среду педагога СПО как комплекс ценностных установок и целеполагания самого педагога; ресурсов, инструментов и услуг, технологически, информационно, коммуникативно и т. п. востребованных, организованных и обеспечиваемых субъектами образовательного процесса в целях непрерывного профессионального совершенствования мастерства педагогов. Применительно к исследуемой проблеме мы можем утверждать, что информационно насыщенная образовательная среда является не только условием, но и механизмом реализации персональной траектории профессионального и личностного роста педагога. Этот вывод основан на данных эксперимента, в ходе которого была подтверждена динамика сформированности компонентов профессионального мастерства.&lt;/jats:p&gt;
                                                                                                            &lt;jats:p&gt;The article concentrates on the questions of vocational training teacher’s professional skills development. In the frame of our article we examined the ways of teachers’ professional preparedness development by using the elements of informationally rich educational environment. The goal of our research is to define the influence of informationally rich educational environment on the vocational training teacher’s skills. Our research is based on the works of many Russian and foreign scientists. The theme of our article is the purposeful introduction of the elements of non-formal and informal education on the basis of using the Internet resources in the process of professional education teachers’ skills development. In the frame of the problem being researched we maintain that every professional education teacher’s forming of personal developing area is the device of their professional skills development in the informationally rich educational environment. This personal developing area considers the needs of our state, the purposes of the secondary vocational education establishment, the resources of the informationally rich educational environment of the establishment, and the personal needs and tasks. In connection with this we define the vocational training teacher’s personal developing area as the combination of teacher’s values and goal definition, resources, instruments and services that are technologically, informationally, communicatively demanded, organized and provided by the subjects of educational process for the purposes of the continuous professional teachers’ skills development. In the frame of the problem being researched we can say that informationally rich educational environment is not only the condition but the device of realization in the process of teacher’s way of professional and personal growth choosing. This conclusion was based on the data of the experiment which had proved the dynamics of the professional skills components’ formation.&lt;/jats:p&gt;</t>
  </si>
  <si>
    <t>10.25557/0031-2991.2021.01.52-59</t>
  </si>
  <si>
    <t>&lt;jats:p&gt;Введение. Препараты разной структуры - углеводной, пептидной, белковой оказывают значительный противосвертывающий эффект в кровотоке с одновременным улучшением углеводного обмена. Цель - изучение в сравнительном аспекте влияния препаратов разной структуры (пептида, производного диоксикумарина и ацетилсалициловой кислоты -АСК) на свертывание крови, изменение углеводного обмена при интрагастральном способе их введении крысам. Методика. Использовались стандартные коагулологические методы и способы определения уровня глюкозы крови крыс. Каждый из препаратов (пептид Lys-Arg-Arg-Lys-Pro-Gly-Pro, варфарин и АСК) вводили лабораторным крысам Wistar интрагастрально в эффективной дозе (100 мкг/кг - пептид и варфарин и 1 мг/кг - АСК) в течение 7 сут на фоне развития метаболического синдрома, индуцируемого высококалорийной диетой (ВКД). Определения производили через 20 и 168 ч после последнего введения препаратов при продолжающемся постоянном кормлении крыс ВКД. Результаты. Установлено, что как через 20 ч, так и через 168 ч после последнего введения пептида и АСК агрегация тромбоцитов имела тенденцию к снижению и составляла 72-76% (через 20 ч) и 81-66,7% (через 168 ч); фибринолиз статистически значимо повышался при действии пептида на 61-180%, АСК - на 15-41%, варфарина - на 14-34%; активированное частичное тромбопластиновое время значимо удлинялось под влиянием пептида и варфарина на 24-52 и 31-52% соответственно; свертывание крови по тесту протромбинового времени снижалось только под влиянием варфарина (на 12.3%); уровень глюкозы крови нормализовался под влиянием всех использованых препаратов и составлял 4,9-6,5 ммоль/л против 8.1-8.8 ммоль/л при метаболическом синдроме. Заключение. При сравнении действия пептида, варфарина и АСК установлены гипокоагуляционные и гипогликемические эффекты в разной степени. Максимальным антикоагулянтным и фибринолитическим действием обладал пептид; варфарин проявлял антикоагулянтное действие только по тесту протромбиновое время, ацетилсалициловая кислота обладала антитромбоцитарным и фибриндеполимеризационным действием.&lt;/jats:p&gt;
                                                                                            &lt;jats:p&gt;Drugs with different structure, carbohydrates, peptides, and proteins, can produce a significant anticoagulation effect and simultaneously improve carbohydrate metabolism. The aim of this study was to compare effects of drugs with different structure, a peptide, a dioxicoumarin derivative, and acetylsalicylic acid (ASA), on coagulation and changes of carbohydrate metabolism in intragastric administration to rats. Methods. Standard methods for studying coagulation and measuring blood glucose in rats were used. Each of the study drugs (Lys-Arg-Arg-Lys-Pro-Gly-Pro peptide, warfarin, and ASA) was administered to Wistar rats intragastrically at an effective dose (100 mcg/kg for the peptide and warfarin and 1 mg/kg for ASA) for 7 days during the development of metabolic syndrome (MS) induced by a high-calorie diet (HCD). Measurements were performed at 20 and 168 h after the last administration of the drugs with continuing HCD. Results. Both at 20 and 168 h after the last administration of the peptide and ASA, platelet aggregation showed a tendency to a decrease and was 72-76% (at 20 h) and 81-66.7% (at 168 h); fibrinolysis significantly increased under the action of the peptide, ASA, and warfarin by 61-180%, 15-41%, and 14-34%, respectively. Activated partial thromboplastin time significantly increased under the action of the peptide and warfarin by 24-52% and 31-52%, respectively; blood clotting as estimated in the prothrombin time test decreased only under the action of warfarin by 12.3%; blood glucose returned to a normal level under the action of each of the three study drugs and was 4.9-6.5 mmol/l vs. 8.1-8.8 mmol/l in MS. Conclusion. The peptide, warfarin, and ASA produced different degrees of the anticoagulation and hypoglycemic effects. The peptide had the strongest anticoagulation and fibrinolytic effects, warfarin produced an anticoagulant effect only according to the prothrombin time test, and acetylsalicylic acid exerted both antiplatelet and fibrin-depolymerizing effects.&lt;/jats:p&gt;</t>
  </si>
  <si>
    <t>10.1158/1538-7445.sabcs21-p5-13-26</t>
  </si>
  <si>
    <t>&lt;jats:title&gt;Abstract&lt;/jats:title&gt;
               &lt;jats:p&gt;Importance. Neoadjuvant therapy with dual HER2 blockade improved pathological complete response (pCR) rate. Nevertheless, it would be desirable to identify patients exquisitely responsive to single agent trastuzumab to minimize or avoid overtreatment. Objective. To evaluate the predictive and prognostic value of basal primary tumor miRNA expression profile within the trastuzumab arm of the NeoALTTO study.Design, Setting and Participants. RNA samples from baseline biopsies were randomized into training (n =45) and testing (n =47) sets. After normalization, miRNAs associated with Event-free survival (EFS) and pCR were identified by univariate analysis. Multivariate models were implemented to generate specific signatures which were first confirmed, and then analyzed according to other clinical and pathological variables.Main outcomes and measures. Association between miRNA expression and pCR and/or EFS.Results. We identified a prognostic signature including hsa-miR-153-3p (HR 1.831, 95%CI: 1.34-2.50) and hsa-miR-219a-5p (HR 0.629, 95%CI: 0.50 - 0.78). For two additional miRNAs (miR-215-5p and miR-30c-2-3p), we found a statistically significant interaction term with pCR (p.interaction: 0.017 and 0.038, respectively). Besides, a two-miRNA signature was predictive of pCR (hsa-miR-31-3p, OR 0.70, 95%CI: 0.53 - 0.92, and hsa-miR-382-3p, OR: 1.39, 95%CI: 1.01 -1.91). Notably, the performance of this predictive miRNA signature resembled that of the genomic classifiers PAM50 and TRAR, and did not improve when the extended models were fitted.Conclusions and relevance. Analysis of primary tumor tissue miRNAs holds the potential of a parsimonious tool to identify patients with differential clinical outcomes after trastuzumab based neoadjuvant therapy. Trial registration. ClinicalTrials.gov Identifier: NCT00553358.&lt;/jats:p&gt;
               &lt;jats:p&gt;Table 1.MiRNAs associated with EFS. Results of the univariate Cox regression model- training set.miRNAsHR95% CIhsa-miR-12000.671(0.512; 0.879)ahsa-miR-1238-3p0.669(0.543; 0.826)ahsa-miR-12650.839(0.705; 0.997)ahsa-miR-129-5p0.785(0.628; 0.980)ahsa-miR-153-3p1.412(1.026; 1.943)ahsa-miR-15390.826(0.697; 0.979)ahsa-miR-1908-5p0.796(0.648; 0.978)ahsa-miR-205-5p0.737(0.553; 0.982)hsa-miR-219a-5p0.787(0.627; 0.989)ahsa-miR-25-5p0.566(0.391; 0.819)ahsa-miR-3000.581(0.399; 0.845)ahsa-miR-382-3p0.791(0.636; 0.985)ahsa-miR-4920.774(0.635; 0.944)ahsa-miR-519a-3p0.834(0.696; 0.998)ahsa-miR-551b-5p0.666(0.452; 0.981)ahsa-miR-5830.727(0.549; 0.963)ahsa-miR-6001.373(1.03; 1.829)ahsa-miR-6260.819(0.673; 0.998)ahsa-miR-651-5p0.611(0.382; 0.977)hsa-miR-7610.845(0.721; 0.991)ahsa-miR-891b0.658(0.479; 0.904)ahsa-miR-92a-2-5p0.787(0.637; 0.971)ahsa-miR-937-3p0.748(0.578; 0.967)aHR, Hazard Ratio; CI, Confidence Intervala microRNAs retained its statistically significance (at 10%) also when normalized for the overall mean.&lt;/jats:p&gt;
               &lt;jats:p&gt;Table 2.MiRNAs associated with pCR. Results of the univariate logistic model - training set.miRNAsOR95% CIhsa-miR-132-3p0.410(0.169; 0.991)ahsa-miR-23b-5p0.520(0.316; 0.856)ahsa-miR-31-3p0.566(0.351; 0.912)ahsa-miR-31-5p0.508(0.291; 0.887)ahsa-miR-330-3p0.501(0.251; 0.999)hsa-miR-34b-3p0.673(0.474; 0.956)ahsa-miR-382-3p1.392(1.006; 1.925)ahsa-miR-548j-5p1.702(1.090; 2.658)aOR, Odds Ratio; CI, Confidence Interval. a microRNAs retained its statistically significance (at 10%) also when normalized for the overall mean. 2&lt;/jats:p&gt;
               &lt;jats:p&gt;Citation Format: Marilena Valeria Iorio, Sara Pizzamiglio, Giulia Cosentino, Chiara M Ciniselli, Loris De Cecco, Alessandra Cataldo, Ilaria Plantamura, Tiziana Triulzi, Sarra El-abed, Yingbo Wang, Mohammed Bajji, Paolo Nuciforo, Jens Huober, Susan Ellard, David Rimm, Andrea Gombos, Mariagrazia Daidone, Paolo Verderio, Elda Tagliabue, Serena Di Cosimo. The future of HER2-positive breast cancer patients might be written in miRNAs: An exploratory analysis from the NeoALTTO study [abstract]. In: Proceedings of the 2021 San Antonio Breast Cancer Symposium; 2021 Dec 7-10; San Antonio, TX. Philadelphia (PA): AACR; Cancer Res 2022;82(4 Suppl):Abstract nr P5-13-26.&lt;/jats:p&gt;</t>
  </si>
  <si>
    <t>10.23939/semi2023.01.073</t>
  </si>
  <si>
    <t>&lt;jats:p&gt;Objective. The purpose of this work is to present the results of the study of the Ukrainian honey market, to analyze the factors of formation of the production and marketing potential of the honey market in Ukraine during the period of disturbances, to systematize the characteristics of bee breeds in the context of biodiversity analysis in the context of environmental genocide and to develop directions for the conservation and restoration of biodiversity in order to preserve the production and marketing potential of the honey market in Ukraine.  Design/methodology/approach. The research on honey market conditions included various methods such as synthesis and analysis, comparison, and scientific generalization. Statistical methods were also utilized to evaluate the structure and dynamics of the market, and data from different sources such as the State Fiscal Service of Ukraine, the Food and Agriculture Organization of the United Nations FAOSTAT, and the State Statistics Service of Ukraine were collected and analyzed.  Conclusions. The impact of the disturbances has significantly affected the production and sales potential of the honey market and has exacerbated the need to address a number of pressing sectoral and macro-level issues. The main factors influencing the production and demand for beekeeping products at the industry level are the following: a 9.2 % increase in the number of bee colonies in 2016–2019, favorable weather conditions, the use of branding to promote the demand for a wide range of honey and its derivatives, the development of logistics and e-commerce (which have a positive trend). The main factors of macro-influence are the impact of disturbances, such as the spread of the pandemic, which stimulated a sharp increase in consumption in the domestic and foreign honey markets, as well as the signing of the EU-Ukraine Association Agreement in terms of increasing honey export quotas (with a 0 % duty rate on honey (which contributes to the development of the industry). The war in Ukraine in 2022 will have a negative impact on the beekeeping sector, given the concentration of a large share of producers in the combat zone, losses of apiaries and bee colonies, threats to biodiversity due to the environmental crisis in the temporarily occupied territories, theft of products in distribution centers and retail chains.   Practical implications. The results of the study are of interest to both honey market participants, such as organized apiaries and private beekeepers, and related industries: farms and agroholdings for growing honey crops and other producers of honey crops who are interested in implementing regional logistics systems in the beekeeping sector based on clustering, cooperation and other forms of cooperation; cooperation of honey producers, retail chains and intermediary organizations in the field of honey marketing who are interested in developing the honey market on the basis of marketing. The proposals for the development of the production and marketing potential of enterprises in the honey market are also of interest to the NGO “Association of Beekeepers of Ukraine” and the NGO “Union of Beekeepers of Ukraine”, which are proposed to register beekeepers in accordance with the Map of Breeding Apiaries of Ukraine, and to regulate the use of the honey base, maintaining an accounting system, forming a marketing system, controlling the import-export of honey, planning the development strategy of the industry, registering clusters of beekeeping communities, providing incentives for the introduction of modern technologies and innovations in honey production, and promoting job creation in the field of beekeeping.  Originality/value. The results of the analysis and the contribution of biodiversity in the beekeeping sector to the preservation of the production and marketing potential of the honey market in Ukraine are presented. The state and development trends of the Ukrainian honey market are analyzed, the factors influencing its development in the face of disturbances are identified. The SWOT-analysis of the Ukrainian honey market in the conditions of disturbances is carried out.&lt;/jats:p&gt;</t>
  </si>
  <si>
    <t>10.1017/s0004972724000819</t>
  </si>
  <si>
    <t>&lt;jats:title&gt;Abstract&lt;/jats:title&gt;&lt;jats:p&gt;Let&lt;jats:italic&gt;p&lt;/jats:italic&gt;be a prime number. Let&lt;jats:inline-formula&gt;&lt;jats:alternatives&gt;&lt;jats:inline-graphic xmlns:xlink="http://www.w3.org/1999/xlink" mime-subtype="png" xlink:href="S0004972724000819_inline1.png"/&gt;&lt;jats:tex-math&gt;$n\geq 2$&lt;/jats:tex-math&gt;&lt;/jats:alternatives&gt;&lt;/jats:inline-formula&gt;be an integer given by&lt;jats:inline-formula&gt;&lt;jats:alternatives&gt;&lt;jats:inline-graphic xmlns:xlink="http://www.w3.org/1999/xlink" mime-subtype="png" xlink:href="S0004972724000819_inline2.png"/&gt;&lt;jats:tex-math&gt;$n = p^{m_1} + p^{m_2} + \cdots + p^{m_r}$&lt;/jats:tex-math&gt;&lt;/jats:alternatives&gt;&lt;/jats:inline-formula&gt;, where&lt;jats:inline-formula&gt;&lt;jats:alternatives&gt;&lt;jats:inline-graphic xmlns:xlink="http://www.w3.org/1999/xlink" mime-subtype="png" xlink:href="S0004972724000819_inline3.png"/&gt;&lt;jats:tex-math&gt;$0\leq m_1 &amp;lt; m_2 &amp;lt; \cdots &amp;lt; m_r$&lt;/jats:tex-math&gt;&lt;/jats:alternatives&gt;&lt;/jats:inline-formula&gt;are integers. Let&lt;jats:inline-formula&gt;&lt;jats:alternatives&gt;&lt;jats:inline-graphic xmlns:xlink="http://www.w3.org/1999/xlink" mime-subtype="png" xlink:href="S0004972724000819_inline4.png"/&gt;&lt;jats:tex-math&gt;$a_0, a_1, \ldots , a_{n-1}$&lt;/jats:tex-math&gt;&lt;/jats:alternatives&gt;&lt;/jats:inline-formula&gt;be integers not divisible by&lt;jats:italic&gt;p&lt;/jats:italic&gt;. Let&lt;jats:inline-formula&gt;&lt;jats:alternatives&gt;&lt;jats:inline-graphic xmlns:xlink="http://www.w3.org/1999/xlink" mime-subtype="png" xlink:href="S0004972724000819_inline5.png"/&gt;&lt;jats:tex-math&gt;$K = \mathbb Q(\theta )$&lt;/jats:tex-math&gt;&lt;/jats:alternatives&gt;&lt;/jats:inline-formula&gt;be an algebraic number field with&lt;jats:inline-formula&gt;&lt;jats:alternatives&gt;&lt;jats:inline-graphic xmlns:xlink="http://www.w3.org/1999/xlink" mime-subtype="png" xlink:href="S0004972724000819_inline6.png"/&gt;&lt;jats:tex-math&gt;$\theta \in {\mathbb C}$&lt;/jats:tex-math&gt;&lt;/jats:alternatives&gt;&lt;/jats:inline-formula&gt;a root of an irreducible polynomial&lt;jats:inline-formula&gt;&lt;jats:alternatives&gt;&lt;jats:inline-graphic xmlns:xlink="http://www.w3.org/1999/xlink" mime-subtype="png" xlink:href="S0004972724000819_inline7.png"/&gt;&lt;jats:tex-math&gt;$f(x) = \sum _{i=0}^{n-1}a_i{x^i}/{i!} + {x^n}/{n!}$&lt;/jats:tex-math&gt;&lt;/jats:alternatives&gt;&lt;/jats:inline-formula&gt;over the field&lt;jats:inline-formula&gt;&lt;jats:alternatives&gt;&lt;jats:inline-graphic xmlns:xlink="http://www.w3.org/1999/xlink" mime-subtype="png" xlink:href="S0004972724000819_inline8.png"/&gt;&lt;jats:tex-math&gt;$\mathbb Q$&lt;/jats:tex-math&gt;&lt;/jats:alternatives&gt;&lt;/jats:inline-formula&gt;of rationals. We prove that&lt;jats:italic&gt;p&lt;/jats:italic&gt;divides the common index divisor of&lt;jats:italic&gt;K&lt;/jats:italic&gt;if and only if&lt;jats:inline-formula&gt;&lt;jats:alternatives&gt;&lt;jats:inline-graphic xmlns:xlink="http://www.w3.org/1999/xlink" mime-subtype="png" xlink:href="S0004972724000819_inline9.png"/&gt;&lt;jats:tex-math&gt;$r&amp;gt;p$&lt;/jats:tex-math&gt;&lt;/jats:alternatives&gt;&lt;/jats:inline-formula&gt;. In particular, if&lt;jats:inline-formula&gt;&lt;jats:alternatives&gt;&lt;jats:inline-graphic xmlns:xlink="http://www.w3.org/1999/xlink" mime-subtype="png" xlink:href="S0004972724000819_inline10.png"/&gt;&lt;jats:tex-math&gt;$r&amp;gt;p$&lt;/jats:tex-math&gt;&lt;/jats:alternatives&gt;&lt;/jats:inline-formula&gt;, then&lt;jats:italic&gt;K&lt;/jats:italic&gt;is always nonmonogenic. As an application, we show that if&lt;jats:inline-formula&gt;&lt;jats:alternatives&gt;&lt;jats:inline-graphic xmlns:xlink="http://www.w3.org/1999/xlink" mime-subtype="png" xlink:href="S0004972724000819_inline11.png"/&gt;&lt;jats:tex-math&gt;$n \geq 3$&lt;/jats:tex-math&gt;&lt;/jats:alternatives&gt;&lt;/jats:inline-formula&gt;is an odd integer such that&lt;jats:inline-formula&gt;&lt;jats:alternatives&gt;&lt;jats:inline-graphic xmlns:xlink="http://www.w3.org/1999/xlink" mime-subtype="png" xlink:href="S0004972724000819_inline12.png"/&gt;&lt;jats:tex-math&gt;$n-1\neq 2^s$&lt;/jats:tex-math&gt;&lt;/jats:alternatives&gt;&lt;/jats:inline-formula&gt;for&lt;jats:inline-formula&gt;&lt;jats:alternatives&gt;&lt;jats:inline-graphic xmlns:xlink="http://www.w3.org/1999/xlink" mime-subtype="png" xlink:href="S0004972724000819_inline13.png"/&gt;&lt;jats:tex-math&gt;$s\in {\mathbb Z}$&lt;/jats:tex-math&gt;&lt;/jats:alternatives&gt;&lt;/jats:inline-formula&gt;and&lt;jats:italic&gt;K&lt;/jats:italic&gt;is a number field generated by a root of a truncated exponential Taylor polynomial of degree&lt;jats:italic&gt;n&lt;/jats:italic&gt;, then&lt;jats:italic&gt;K&lt;/jats:italic&gt;is always nonmonogenic.&lt;/jats:p&gt;</t>
  </si>
  <si>
    <t>10.1108/eemcs-04-2022-0108</t>
  </si>
  <si>
    <t>&lt;jats:sec&gt;&lt;jats:title content-type="abstract-subheading"&gt;Learning outcomes&lt;/jats:title&gt;
&lt;jats:p&gt;The learning outcomes of this study are as follows: ■ understand organizational turnaround and its sustainability;■ applying the understanding of turnarounds to distinguish between operational and strategic levers of a turnaround strategy; ■ analyze and evaluate past and present turnarounds from a sustainability perspective; and ■ formulate managerial actions to make turnaround sustainable.&lt;/jats:p&gt;
&lt;/jats:sec&gt;
&lt;jats:sec&gt;&lt;jats:title content-type="abstract-subheading"&gt;Case overview/synopsis&lt;/jats:title&gt;
&lt;jats:p&gt;Braithwaite Company Ltd. (Braithwaite) was a specialized engineering firm headquartered in Kolkatta, India. It primarily undertook structural steel fabrication to make railway wagons and bridge structures. It was incorporated as a private enterprise almost a century back. However, since its nationalization five decades ago, it has been operating as a public sector undertaking (PSU) under the aegis of Indian Railways, a department of the Government of India. The case documents the past three decades of the firm’s journey, during which it experienced three episodic turnarounds. Details of the first two turnarounds are presented as the background, in light of which sustainability of the third turnaround is to be examined. The case explores the sustainability of organizational turnarounds from the perspective of the current Chairman and Managing Director (CMD), the case protagonist. Braithwaite underwent financial and operational distress in 1992, 2005 and 2015 and negotiated them under different leaders. These leaders from diverse backgrounds used distinct tactics and strategies to bring about organizational turnarounds. The case provides data and information to assess the sustainability of the third turnaround. Hence, it allows a class to explore the paradoxical observation that while “turnaround” inherently implies sustenance of good performance over time, turnaround sustainability is not spontaneous in the real world. The case deals with the performance issues of PSUs, which make significant contributions to the national economy in the case of emerging economies (for example, 5%–8% of the Indian National gross domestic product is contributed by PSUs; &lt;jats:ext-link xmlns:xlink="http://www.w3.org/1999/xlink" ext-link-type="uri" xlink:href="https://swarajyamag.com/ideas/psus-are-crucial-for-indias-growth-but-only-if-they-play-a-strategic-role"&gt;https://swarajyamag.com/ideas/psus-are-crucial-for-indias-growth-but-only-if-they-play-a-strategic-role&lt;/jats:ext-link&gt;). Under government ownership and management, the poor performance of PSUs is often attributed to bad decision-making by its top management. In contrast, Braithwaite’s top management’s sound contextual decision-making resulted in a jump in its performance during each turnaround phase, but unsound fundamentals resulted in the unsustainability of the turnarounds. Hence, the case enables an exploration of the unique challenges faced by PSU that emanate from legacy roles, monopolistic markets and dual purpose – the concurrent pursuit of profits and social welfare. Consequently, the case allows an examination of the reasons for the distress of PSUs and the viability of turnaround strategies in the context of the broader Business–Government–Society landscape in emerging economies.&lt;/jats:p&gt;
&lt;/jats:sec&gt;
&lt;jats:sec&gt;&lt;jats:title content-type="abstract-subheading"&gt;Complexity academic level&lt;/jats:title&gt;
&lt;jats:p&gt;The case is written for use in the MBA elective course covering “Strategic Revival and Turnaround Strategies.” It can be used at the beginning of the course to identify reasons for organizational failure/distress or in the later part of the course to discuss the implementation of operational and strategic turnaround strategies.&lt;/jats:p&gt;
&lt;/jats:sec&gt;
&lt;jats:sec&gt;&lt;jats:title content-type="abstract-subheading"&gt;Supplementary materials&lt;/jats:title&gt;
&lt;jats:p&gt;Teaching notes are available for educators only.&lt;/jats:p&gt;
&lt;/jats:sec&gt;
&lt;jats:sec&gt;&lt;jats:title content-type="abstract-subheading"&gt;Subject code&lt;/jats:title&gt;
&lt;jats:p&gt;CSS 10: Public Sector Management.&lt;/jats:p&gt;
&lt;/jats:sec&gt;</t>
  </si>
  <si>
    <t>10.26848/rbgf.v16.4.p1861-1877</t>
  </si>
  <si>
    <t>&lt;jats:p&gt;Fatores antropogênicos como material particulado estressam as plantas em todos os níveis funcionais do indivíduo. Portanto, organismos que reagem de forma quantificável por meio de alterações estruturais podem ser usados como bioindicadores para a avaliação da qualidade ambiental em centros urbanos. Sugere-se que a emissão de material particulado na atmosfera é precursora de mudanças estruturais na vegetação que se desenvolve nas imediações das fontes emissoras. Este estudo objetivou diagnosticar alterações morfoanatômicas e fisiológicas em populações de Handroanthus chrysotrichus (Bignoniaceae) por meio do biomonitoramento passivo em quatro pontos amostrais: Zona Industrial I, Zona Industrial II, Zona Rural em Expansão e Área Controle. O material particulado foi removido mecanicamente da superfície foliar para análise química por meio de difração de raio x associado ao microscópio eletrônico de varredura. Análise de componentes principiais em ambiente R comparou as médias dos atributos foliares entres os pontos amostrais. Observou-se que as Zonas Industriais I e II apresentaram folhas com elevadas massas fresca e seca, conteúdo de água e área foliar. A Zona Rural em Expansão e a Área Controle mostraram maior área específica foliar e maiores teores de clorofila a, b e total. A deposição de material particulado sobre as folhas impõe uma barreira mecânica limitando as trocas gasosas e atenuando a incidência luminosa. As trocas gasosas dependem de luz que estimula a abertura estomática promovendo a excitação eletrônica nos fotossistemas desencadeando a fotossíntese, enquanto a menor produção fotossintética reflete a baixa capacidade de alocação de recursos pelo vegetal reduzindo seu crescimento. Os resultados sugerem que H. chrysotrichus é uma espécie com potencial monitor da qualidade ambiental e, por conseguinte, sinalizou a produção de injúrias decorrentes da poluição atmosférica que, em extensão, deflagram a interferência antropogênica sobre a qualidade do ar atmosférico em centros urbanos industrializados. Palavras-chave: biomonitoramento, material particulado, poluição atmosférica Evaluation of the effect of atmospheric pollution on urban populations of Handroanthus chrysotrichus (Bignoniaceae) in Joinville, SC A B S T R A C TAnthropogenic factors such as particulate material stress plants at all functional levels of the individual. Therefore, organisms that react in a quantifiable way through structural changes can be used as bioindicators for the assessment of atmospheric quality. It is suggested that the emission of particulate matter in the atmosphere of Joinville is a precursor to structural changes in the vegetation in the vicinity of the emitting sources. This study aims to diagnose morphological and physiological changes in leaves of Handroanthus chrysotrichus through biomonitoring. Five individuals were chosen from four sample points: Industrial Zone I, Industrial Zone II, Rural Expansion Zone and Control Area. The particulate material was removed from the leaf surface for analysis and constitution through scanning electron microscope. Principal component analysis in R environment compared the averages of leaf attributes between the sampling points. It was observed that Industrial Zones I and II presented leaves with high fresh and dry mass, water content and leaf area. The Expansion Rural Area and the Control Area showed a higher specific leaf area and higher levels of chlorophyll a, b and total. The deposition of particulate material on the leaves imposes a mechanical barrier limiting gas exchange and attenuating the light incidence. Gas exchanges depend on light that stimulates stomatal opening promoting electronic excitation in photosystems, triggering photosynthesis, while the lower photosynthetic production reflects the low capacity of resource allocation by the plant, reducing its growth. The results suggest that individuals from Industrial Areas I and II invest in maintaining the plant body, as photosynthetic tissues are the first to suffer injuries, while individuals in other areas invest in growth.Keywords: biomonitoring, particulate matter, air pollution&lt;/jats:p&gt;</t>
  </si>
  <si>
    <t>10.1158/1538-7445.sabcs20-ps10-22</t>
  </si>
  <si>
    <t>&lt;jats:title&gt;Abstract&lt;/jats:title&gt;
               &lt;jats:p&gt;BACKGROUND: Women with breast cancer are living longer, including those with risk factors such as having HER2+ tumors or diagnosed at later stages, but a dearth of information exists on patients’ outcomes beyond clinical trials. Thus, we aimed to describe breast-cancer specific mortality risk for women with HER2+ disease in a large community health plan.&lt;/jats:p&gt;
               &lt;jats:p&gt;METHODS: We assembled a cohort of 3777 adult women (&amp;amp;gt;18 years) with HER2+ breast cancer (AJCC TNM Stages I-IV) from a large California health plan, Kaiser Permanente Southern California, from 2009-2017 and followed them through December 2018. Subjects were identified from the health plan’s NCI-SEER affiliated tumor registry. All data elements were captured from the tumor registry and the electronic health records. ER, PR, and HER2 status were assessed by immunohistochemical or FISH techniques. Dates and causes of death were extracted from the inpatient records and state and national death databases. We computed breast cancer-specific mortality rates by exposure to trastuzumab, and by ER, PR, and tumor size. We followed women from the index date up to the date of death or end of study at December 31, 2018, whichever occurred first. Multivariable Cox proportional hazards regression was used to estimated adjusted hazard ratios (HR) and corresponding 95% confidence intervals.&lt;/jats:p&gt;
               &lt;jats:p&gt;RESULTS: Of the 3777 women, the median age at diagnosis was 57 years (range: 22-99 years). The cohort was diverse and included 47% Whites; 12% African American/Blacks; 16% Asian/Pacific Islanders; 24% Hispanics; and 1% of other/mixed backgrounds. Roughly 67% (N=2464) were ER+ and/or PR+. A total of 3170 women (84%) received trastuzumab; N=112 (3%) other chemotherapy only; and N=495 (13%) neither (the majority [85%] had early stage I-II disease). The risk of breast cancer-specific death was 9.3% (351/3777) during a median follow-up of 4.4 years (maximum 10 years).&lt;/jats:p&gt;
               &lt;jats:p&gt;Breast cancer mortality rate was markedly lower in those with trastuzumab (18.32/1,000 PY) therapy than those who did not receive trastuzumab (27.66/1,000 PY), corresponding to a 44% reduced risk (adj HR=0.56, 95% CI: 0.40-0.76) among those who received trastuzumab. Breast cancer mortality rates were higher in women with greater stage; ER-; PR-; tumors &amp;amp;gt;2 cm and with positive lymph nodes. Compared to women diagnosed at Stage I, those with Stage II-III disease were 2.77 times (adj HR=2.77, 95% CI: 1.87-4.10) more likely to die of breast cancer, and this risk was even higher in those diagnosed at Stage IV (adj HR=11.11, 95% CI: 7.02-17.60), after accounting for trastuzumab use; diagnosis age and year; race/ethnicity; geocoded income; ER and PR status; surgery type; other adjuvant therapy (endocrine, radiation, chemotherapy); lymph node status; histology, BMI, Charlson Comorbidity Index. The adjusted breast cancer mortality risk was 37% greater (adj HR=1.37, 95% CI: 0.99-1.90) in those with ER- disease versus ER+, but the result was of borderline statistical significance. In those with tumors&amp;amp;gt;2cm, breast cancer mortality risk was almost 90% greater (adj HR=0.67, 95% CI: 0.49-0.91) versus those with smaller tumors&amp;amp;lt;2cm.&lt;/jats:p&gt;
               &lt;jats:p&gt;CONCLUSION: This population-based study of patients with HER2+ invasive breast cancer confirms that receiving trastuzumab was significantly associated with a 44% reduced risk of breast-cancer mortality. Further, breast cancer mortality risk was greater in those with higher stages, with large tumors (&amp;amp;gt;2 cm) and positive lymph nodes, even after accounting for trastuzumab use.&lt;/jats:p&gt;
               &lt;jats:p&gt;Citation Format: Reina Haque, LieHong Chen, Karen W. Kwan, Nina Oestreicher, Deepa Lalla. Breast cancer mortality in women with Her2+ disease treated in a large integrated healthcare system [abstract]. In: Proceedings of the 2020 San Antonio Breast Cancer Virtual Symposium; 2020 Dec 8-11; San Antonio, TX. Philadelphia (PA): AACR; Cancer Res 2021;81(4 Suppl):Abstract nr PS10-22.&lt;/jats:p&gt;</t>
  </si>
  <si>
    <t>10.1140/epja/s10050-024-01341-3</t>
  </si>
  <si>
    <t>&lt;jats:title&gt;Abstract&lt;/jats:title&gt;&lt;jats:p&gt;Giant resonances (GRs) are a striking manifestation of collective motions in atomic nuclei. The present paper is the second in a series of four dedicated to the use of the projected generator coordinate method (PGCM) for the &lt;jats:italic&gt;ab initio&lt;/jats:italic&gt; determination of the isoscalar giant monopole resonance (GMR) in closed- and open-shell mid-mass nuclei. While the first paper was dedicated to quantifying various uncertainty sources, the present paper focuses on the first applications to three doubly-open shell nuclei, namely &lt;jats:inline-formula&gt;&lt;jats:alternatives&gt;&lt;jats:tex-math&gt;$$^{46}\hbox {Ti}$$&lt;/jats:tex-math&gt;&lt;mml:math xmlns:mml="http://www.w3.org/1998/Math/MathML"&gt;
                  &lt;mml:mrow&gt;
                    &lt;mml:mmultiscripts&gt;
                      &lt;mml:mrow/&gt;
                      &lt;mml:mrow/&gt;
                      &lt;mml:mn&gt;46&lt;/mml:mn&gt;
                    &lt;/mml:mmultiscripts&gt;
                    &lt;mml:mtext&gt;Ti&lt;/mml:mtext&gt;
                  &lt;/mml:mrow&gt;
                &lt;/mml:math&gt;&lt;/jats:alternatives&gt;&lt;/jats:inline-formula&gt;, &lt;jats:inline-formula&gt;&lt;jats:alternatives&gt;&lt;jats:tex-math&gt;$$^{28}\hbox {Si}$$&lt;/jats:tex-math&gt;&lt;mml:math xmlns:mml="http://www.w3.org/1998/Math/MathML"&gt;
                  &lt;mml:mrow&gt;
                    &lt;mml:mmultiscripts&gt;
                      &lt;mml:mrow/&gt;
                      &lt;mml:mrow/&gt;
                      &lt;mml:mn&gt;28&lt;/mml:mn&gt;
                    &lt;/mml:mmultiscripts&gt;
                    &lt;mml:mtext&gt;Si&lt;/mml:mtext&gt;
                  &lt;/mml:mrow&gt;
                &lt;/mml:math&gt;&lt;/jats:alternatives&gt;&lt;/jats:inline-formula&gt; and &lt;jats:inline-formula&gt;&lt;jats:alternatives&gt;&lt;jats:tex-math&gt;$$^{24}\hbox {Mg}$$&lt;/jats:tex-math&gt;&lt;mml:math xmlns:mml="http://www.w3.org/1998/Math/MathML"&gt;
                  &lt;mml:mrow&gt;
                    &lt;mml:mmultiscripts&gt;
                      &lt;mml:mrow/&gt;
                      &lt;mml:mrow/&gt;
                      &lt;mml:mn&gt;24&lt;/mml:mn&gt;
                    &lt;/mml:mmultiscripts&gt;
                    &lt;mml:mtext&gt;Mg&lt;/mml:mtext&gt;
                  &lt;/mml:mrow&gt;
                &lt;/mml:math&gt;&lt;/jats:alternatives&gt;&lt;/jats:inline-formula&gt;. In particular, the goal is to investigate, starting from chiral effective field theory nuclear interactions, (i) the coupling of the GMR with the giant quadrupole resonance (GQR) in intrinsically-deformed nuclei, (ii) the possible impact of shape coexistence and shape mixing on the GMR, (iii) the GMR based on shape isomers and (iv) the impact of anharmonic effects on the monopole response. The latter is studied by comparing PGCM results to those obtained via the quasi-particle random phase approximation (QRPA), the traditional many-body approach to giant resonances, performed in a consistent setting. Eventually, PGCM results for sd-shell nuclei are in good agreement with experimental data, which is attributed to the capacity of the PGCM to capture the important fragmentation of the monopole response in light, intrinsically-deformed systems. Still, the comparison to data in &lt;jats:inline-formula&gt;&lt;jats:alternatives&gt;&lt;jats:tex-math&gt;$$^{28}\hbox {Si}$$&lt;/jats:tex-math&gt;&lt;mml:math xmlns:mml="http://www.w3.org/1998/Math/MathML"&gt;
                  &lt;mml:mrow&gt;
                    &lt;mml:mmultiscripts&gt;
                      &lt;mml:mrow/&gt;
                      &lt;mml:mrow/&gt;
                      &lt;mml:mn&gt;28&lt;/mml:mn&gt;
                    &lt;/mml:mmultiscripts&gt;
                    &lt;mml:mtext&gt;Si&lt;/mml:mtext&gt;
                  &lt;/mml:mrow&gt;
                &lt;/mml:math&gt;&lt;/jats:alternatives&gt;&lt;/jats:inline-formula&gt; and &lt;jats:inline-formula&gt;&lt;jats:alternatives&gt;&lt;jats:tex-math&gt;$$^{24}\hbox {Mg}$$&lt;/jats:tex-math&gt;&lt;mml:math xmlns:mml="http://www.w3.org/1998/Math/MathML"&gt;
                  &lt;mml:mrow&gt;
                    &lt;mml:mmultiscripts&gt;
                      &lt;mml:mrow/&gt;
                      &lt;mml:mrow/&gt;
                      &lt;mml:mn&gt;24&lt;/mml:mn&gt;
                    &lt;/mml:mmultiscripts&gt;
                    &lt;mml:mtext&gt;Mg&lt;/mml:mtext&gt;
                  &lt;/mml:mrow&gt;
                &lt;/mml:math&gt;&lt;/jats:alternatives&gt;&lt;/jats:inline-formula&gt; illustrates the challenge (and the potential benefit) of extracting unambiguous experimental information.&lt;/jats:p&gt;</t>
  </si>
  <si>
    <t>10.1161/circulationaha.120.053365</t>
  </si>
  <si>
    <t>&lt;jats:sec&gt;
            &lt;jats:title&gt;Background:&lt;/jats:title&gt;
            &lt;jats:p&gt;Inflammation contributes to the pathogenesis of heart failure, but there is limited understanding of inflammation’s potential benefits. Inflammatory cells secrete MYDGF (myeloid-derived growth factor) to promote tissue repair after acute myocardial infarction. We hypothesized that MYDGF has a role in cardiac adaptation to persistent pressure overload.&lt;/jats:p&gt;
          &lt;/jats:sec&gt;
          &lt;jats:sec&gt;
            &lt;jats:title&gt;Methods:&lt;/jats:title&gt;
            &lt;jats:p&gt;
              We defined the cellular sources and function of MYDGF in wild-type (WT),
              &lt;jats:italic&gt;Mydgf&lt;/jats:italic&gt;
              -deficient (
              &lt;jats:italic&gt;Mydgf&lt;/jats:italic&gt;
              &lt;jats:sup&gt;−/−&lt;/jats:sup&gt;
              ), and
              &lt;jats:italic&gt;Mydgf&lt;/jats:italic&gt;
              bone marrow–chimeric or bone marrow–conditional transgenic mice with pressure overload–induced heart failure after transverse aortic constriction surgery. We measured MYDGF plasma concentrations by targeted liquid chromatography–mass spectrometry. We identified MYDGF signaling targets by phosphoproteomics and substrate-based kinase activity inference. We recorded Ca
              &lt;jats:sup&gt;2+&lt;/jats:sup&gt;
              transients and sarcomere contractions in isolated cardiomyocytes. Additionally, we explored the therapeutic potential of recombinant MYDGF.
            &lt;/jats:p&gt;
          &lt;/jats:sec&gt;
          &lt;jats:sec&gt;
            &lt;jats:title&gt;Results:&lt;/jats:title&gt;
            &lt;jats:p&gt;
              MYDGF protein abundance increased in the left ventricular myocardium and in blood plasma of pressure-overloaded mice. Patients with severe aortic stenosis also had elevated MYDGF plasma concentrations, which declined after transcatheter aortic valve implantation. Monocytes and macrophages emerged as the main MYDGF sources in the pressure-overloaded murine heart. While
              &lt;jats:italic&gt;Mydgf&lt;/jats:italic&gt;
              &lt;jats:sup&gt;−/−&lt;/jats:sup&gt;
              mice had no apparent phenotype at baseline, they developed more severe left ventricular hypertrophy and contractile dysfunction during pressure overload than WT mice. Conversely, conditional transgenic overexpression of MYDGF in bone marrow–derived inflammatory cells attenuated pressure overload–induced hypertrophy and dysfunction. Mechanistically, MYDGF inhibited G protein–coupled receptor agonist–induced hypertrophy and augmented SERCA2a (sarco/endoplasmic reticulum Ca
              &lt;jats:sup&gt;2+&lt;/jats:sup&gt;
              -ATPase 2a) expression in cultured neonatal rat ventricular cardiomyocytes by enhancing PIM1 (Pim-1 proto-oncogene, serine/threonine kinase) expression and activity. Along this line, cardiomyocytes from pressure-overloaded
              &lt;jats:italic&gt;Mydgf&lt;/jats:italic&gt;
              &lt;jats:sup&gt;−/−&lt;/jats:sup&gt;
              mice displayed reduced PIM1 and SERCA2a expression, greater hypertrophy, and impaired Ca
              &lt;jats:sup&gt;2+&lt;/jats:sup&gt;
              cycling and sarcomere function compared with cardiomyocytes from pressure-overloaded WT mice. Transplanting
              &lt;jats:italic&gt;Mydgf&lt;/jats:italic&gt;
              &lt;jats:sup&gt;−/−&lt;/jats:sup&gt;
              mice with WT bone marrow cells augmented cardiac PIM1 and SERCA2a levels and ameliorated pressure overload–induced hypertrophy and dysfunction. Pressure-overloaded
              &lt;jats:italic&gt;Mydgf&lt;/jats:italic&gt;
              &lt;jats:sup&gt;−/−&lt;/jats:sup&gt;
              mice were similarly rescued by adenoviral
              &lt;jats:italic&gt;Serca2a&lt;/jats:italic&gt;
              gene transfer. Treating pressure-overloaded WT mice subcutaneously with recombinant MYDGF enhanced SERCA2a expression, attenuated left ventricular hypertrophy and dysfunction, and improved survival.
            &lt;/jats:p&gt;
          &lt;/jats:sec&gt;
          &lt;jats:sec&gt;
            &lt;jats:title&gt;Conclusions:&lt;/jats:title&gt;
            &lt;jats:p&gt;These findings establish a MYDGF-based adaptive crosstalk between inflammatory cells and cardiomyocytes that protects against pressure overload–induced heart failure.&lt;/jats:p&gt;
          &lt;/jats:sec&gt;</t>
  </si>
  <si>
    <t>10.1093/ndt/gfab092.0031</t>
  </si>
  <si>
    <t>&lt;jats:title&gt;Abstract&lt;/jats:title&gt;
               &lt;jats:sec&gt;
                  &lt;jats:title&gt;Background and Aims&lt;/jats:title&gt;
                  &lt;jats:p&gt;The optimal use of immune and target therapies, the optimal use of standard chemotherapy (CT) is of paramount importance, especially for patients affected by chronic kidney disease (CKD) who require dose adjustment according to the glomerular filtration rate (GFR) to avoid acute kidney injury (AKI) establishment. Immune checkpoint inhibitors (ICIs) and platinum-based chemotherapy (CT) are options for the palliative treatment of metastatic non-small cell lung cancer (NSCLC). Recently, CT in combination with immune-checkpoint inhibitors has become the treatment of choice for this setting of patients. Therefore, it is fundamental to investigate the potential nephrotoxic effects of both treatments and their potential additive effects on renal function.&lt;/jats:p&gt;
                  &lt;jats:p&gt;Aim of our study was to compare the nephrotoxic effect of both ICIs and CT (cisplatin and carboplatin-based) in a consecutive cohort of patients affected by metastatic NSCLC.&lt;/jats:p&gt;
               &lt;/jats:sec&gt;
               &lt;jats:sec&gt;
                  &lt;jats:title&gt;Method&lt;/jats:title&gt;
                  &lt;jats:p&gt;A consecutive cohort of 126 patients treated in first-line for NSLCL was enrolled in a single tertiary Hospital between 2018 and 2020. Inclusion criteria were: age (&amp;amp;gt; 18 years old), eGFR (&amp;amp;gt; 15 ml/min/1.73), histological diagnosis of metastatic NSCLC. Each patient underwent immunotherapy or CT according to clinical conditions, comorbidities and programmed death ligand 1 (PD-L1) expression status. eGFR (using CKD-EPI formula 2009) was detected at baseline and after each cycle of immunotherapy or CT (using cisplatin or carboplatin) in order to determine the correct renal status using the K-DIGO 2012 guidelines for AKI stages and CKD classes. Pts were subdivided into CKD categories G according to their eGFR values before and after the treatment. AKI onset was evaluated by rise in creatine levels according to K-DIGO criteria. Clinical stage according to cTNM (AJCC TNM system-2019) was collected at baseline before the first treatment. Comorbidities (e.g., diabetes, blood hypertension, overweight and obesity) were also included. Comparison between numerical variables was performed using linear regressions; between groups using Kruskal-Wallis rank sum test for numerical variables and Pearson’s Chi square test for categorical variables. Log rank test was used to test differences between groups in terms of AKI onset during the therapy.&lt;/jats:p&gt;
               &lt;/jats:sec&gt;
               &lt;jats:sec&gt;
                  &lt;jats:title&gt;Results&lt;/jats:title&gt;
                  &lt;jats:p&gt;Clinical and pathological characteristics are reported in table 1. From the analysis, no significative differences were detected between Immunotherapy and CT group for age, gender, basal serum creatinine, basal eGFR, basal BMI, diagnosis of diabetes, hypertension, basal CKD G group or overall AKI onset. Treatment cycles were significantly different between the two groups (p&amp;amp;lt;0.001) with a short median number of cycles for the CT group. No significative difference in terms of decay of eGFR calculated as final-basal values was detected (p=0.8). AKI onset over cycles was significantly different between the two groups (p=0.02), observing a higher risk of developing earlier AKI for CT group (cisplatin or carboplatin) (13,9%) with respect to immunotherapy (7,4%) (figure 1 and 2).&lt;/jats:p&gt;
               &lt;/jats:sec&gt;
               &lt;jats:sec&gt;
                  &lt;jats:title&gt;Conclusion&lt;/jats:title&gt;
                  &lt;jats:p&gt;Our study highlights that both cisplatin and carboplatin-based CT displays an augmented incidence of AKI development after a lower number of therapy cycles in respect of immunotherapy. The nephrotoxic effects of combined therapy for NSLCL should be always evaluated by nephrologist during the treatment of NSLCL patients to avoid an augmented risk of AKI derived from the combination of immunotherapy and CT in first line.&lt;/jats:p&gt;
               &lt;/jats:sec&gt;</t>
  </si>
  <si>
    <t>10.1111/1460-6984.12696</t>
  </si>
  <si>
    <t>&lt;jats:title&gt;Abstract&lt;/jats:title&gt;&lt;jats:sec&gt;&lt;jats:title&gt;Background&lt;/jats:title&gt;&lt;jats:p&gt;Intervention studies aimed to improve the written production of single words by persons with aphasia have yielded promising results and there is growing interest in interventions targeting text writing. The development of technical writing aids offers opportunities for persons with aphasia, and studies have shown that using them can have a positive impact on written output.&lt;/jats:p&gt;&lt;/jats:sec&gt;&lt;jats:sec&gt;&lt;jats:title&gt;Aims&lt;/jats:title&gt;&lt;jats:p&gt;The aim was to investigate what impact training to use a computerised spell checker had on text writing in persons with aphasia.&lt;/jats:p&gt;&lt;/jats:sec&gt;&lt;jats:sec&gt;&lt;jats:title&gt;Methods &amp;amp; Procedures&lt;/jats:title&gt;&lt;jats:p&gt;The study had a multiple‐baseline single‐case experimental design replicated across six male Swedish participants with mild‐to‐moderate post‐stroke aphasia. The participants received training twice a week during 8 weeks, learning how to use the spell checker. At baseline and before every session, the participants wrote two texts which were logged in a keystroke‐logging tool. Dependent variables were continuously measured in the texts, and the participants performed tests of language function and answered questionnaires on reading and writing habits and health‐related quality of life before and after the intervention. The participants were also interviewed about how they had experienced the training. The results were evaluated on individual and group level.&lt;/jats:p&gt;&lt;/jats:sec&gt;&lt;jats:sec&gt;&lt;jats:title&gt;Results&lt;/jats:title&gt;&lt;jats:p&gt;The study showed that systematic individual training involving a spell checker was experienced as positive by the participants and that they all described their writing ability in more positive terms after the intervention. Evaluation showed statistically significant improvements on group level for the dependent variables of spelling accuracy, rated syntax, writing speed and proportion of unedited text during text writing when using the spell checker. The intervention also had a generalising effect on writing speed and editing during text writing without the spell checker and on spelling accuracy in a dictation test. The participants who had the greatest spelling problems were the ones who showed the most progress, but participants with only minor writing difficulties at baseline also improved.&lt;/jats:p&gt;&lt;/jats:sec&gt;&lt;jats:sec&gt;&lt;jats:title&gt;Conclusions &amp;amp; Implications&lt;/jats:title&gt;&lt;jats:p&gt;The study shows that a digital spelling aid constitutes effective support for people with aphasia and may also affect levels other than spelling. The training had a generalising positive effect on text writing and spelling in a test. Although writing difficulties is a persisting symptom in aphasia, it can be supported and improved through use of digital spelling aids. Hence, treatment of writing ability should always be included in the rehabilitation of people with aphasia.&lt;/jats:p&gt;&lt;/jats:sec&gt;&lt;jats:sec&gt;&lt;jats:title&gt;WHAT THIS PAPER ADDS&lt;/jats:title&gt;&lt;jats:sec&gt;&lt;jats:title&gt;What is already known on this subject&lt;/jats:title&gt;&lt;jats:p&gt;Use of a technical writing aid can have a positive impact on the written output of persons with aphasia. Using a digital spell checker may improve spelling as well as other levels of writing, but it has not been investigated using a keystroke‐logging tool in combination with language‐test scores and results from questionnaires.&lt;/jats:p&gt;&lt;/jats:sec&gt;&lt;jats:sec&gt;&lt;jats:title&gt;What this paper adds to existing knowledge&lt;/jats:title&gt;&lt;jats:p&gt;Through analyses on both individual and group level, this study shows that a digital spelling aid constitutes effective support for people with aphasia and also affects levels other than spelling. The training had a generalising positive effect on text writing and spelling in a test.&lt;/jats:p&gt;&lt;/jats:sec&gt;&lt;jats:sec&gt;&lt;jats:title&gt;What are the potential or actual clinical implications of this work?&lt;/jats:title&gt;&lt;jats:p&gt;Digital spelling support, which is a relatively simple and inexpensive technology, can support and improve text writing in persons with post‐stroke aphasia.&lt;/jats:p&gt;&lt;/jats:sec&gt;&lt;/jats:sec&gt;</t>
  </si>
  <si>
    <t>10.1093/eurheartj/ehab724.2082</t>
  </si>
  <si>
    <t>&lt;jats:title&gt;Abstract&lt;/jats:title&gt;
               &lt;jats:sec&gt;
                  &lt;jats:title&gt;Background&lt;/jats:title&gt;
                  &lt;jats:p&gt;The prevalence of coronary artery disease (CAD) is high among patients with severe aortic stenosis who undergo transcatheter aortic valve replacement (TAVR).&lt;/jats:p&gt;
                  &lt;jats:p&gt;Indications for TAVR are now expanding to younger and lower risk patients. During their lifetime, these patients will be at risk of developing CAD and it is expected an increase in coronary angiography and percutaneous coronary intervention (PCI). Aortic prosthesis, particularly if in supra-annular position, may pose important technical difficulties in coronary re-engagement after TAVR.&lt;/jats:p&gt;
               &lt;/jats:sec&gt;
               &lt;jats:sec&gt;
                  &lt;jats:title&gt;Purpose&lt;/jats:title&gt;
                  &lt;jats:p&gt;To evaluate the feasibility to reengage the coronary ostia after TAVR, describe complications and compare technical differences between coronary procedures performed before and after TAVR.&lt;/jats:p&gt;
               &lt;/jats:sec&gt;
               &lt;jats:sec&gt;
                  &lt;jats:title&gt;Methods&lt;/jats:title&gt;
                  &lt;jats:p&gt;Retrospective analysis of 714 patients submitted to TAVR from August 2007 to December 2019. Patients who needed coronary angiography after TAVR were selected.&lt;/jats:p&gt;
                  &lt;jats:p&gt;The primary endpoint was the rate of successful coronary ostia cannulation after TAVR, defined by the possibility to selectively cannulate and inject both coronary ostia.&lt;/jats:p&gt;
                  &lt;jats:p&gt;Secondary endpoint was complications associated with coronary catheterization after TAVR.&lt;/jats:p&gt;
               &lt;/jats:sec&gt;
               &lt;jats:sec&gt;
                  &lt;jats:title&gt;Results&lt;/jats:title&gt;
                  &lt;jats:p&gt;Among 714 patients, 25 (3.5%) patients were submitted to a total of 28 coronary angiography after TAVR. 14 patients were male (56%), mean age 78.2±6.2 years and 9 (36%) had history of previous coronary revascularization.&lt;/jats:p&gt;
                  &lt;jats:p&gt;From the 28 coronary angiographies (balloon-expandable Edwards-Sapien n=11, 44%; self-expandable CoreValve n=10, 40%; Portico n=2, 8%; Symetis n=2, 8%), 25 (89%) met the primary endpoint. Only three was semiselective (Symetis, CoreValve Evolut R and CoreValve TAVR in TAVR), with impossibility to cannulate both coronary arteries, right coronary artery and left coronary artery, respectively. 13 (46%) patients had also indication for PCI and all were successfully performed (Edwards-Sapien n=4, 31%; CoreValve n=6, 46%; Portico n=2, 15%; Symetis n=1, 8%). The main indications for coronary angiography was chronic coronary syndrome (n=12, 43%) and acute coronary syndrome without ST segment elevation (n=7, 25%). Circumflex artery was the most frequently treated vessel (n=6), followed by left anterior descending artery (n=4), right coronary artery (n=3) and left main (n=2).&lt;/jats:p&gt;
                  &lt;jats:p&gt;There were no complications reported during or post-procedure. Comparing coronary angiographies before and after TAVR, there were no significant differences regarding arterial access site, catheter diameter, fluoroscopy time and quantity of contrast used in coronary angiography.&lt;/jats:p&gt;
               &lt;/jats:sec&gt;
               &lt;jats:sec&gt;
                  &lt;jats:title&gt;Conclusion&lt;/jats:title&gt;
                  &lt;jats:p&gt;Although the need for coronary angiography was rare in patients after TAVR, selective diagnostic coronary angiographies were possible in 89% (25/28) and PCI was feasible in all patients in whom it was indicated, without any reported complications.&lt;/jats:p&gt;
                  &lt;jats:p&gt;Further prospective studies are needed to confirm the great feasibility of performing coronary angiography after TAVR.&lt;/jats:p&gt;
               &lt;/jats:sec&gt;
               &lt;jats:sec&gt;
                  &lt;jats:title&gt;Funding Acknowledgement&lt;/jats:title&gt;
                  &lt;jats:p&gt;Type of funding sources: Public hospital(s). Main funding source(s): Centro Hospitalar Vila Nova de Gaia / Espinho&lt;/jats:p&gt;
               &lt;/jats:sec&gt;</t>
  </si>
  <si>
    <t>10.1158/1538-7445.am2025-ct041</t>
  </si>
  <si>
    <t>&lt;jats:title&gt;Abstract&lt;/jats:title&gt;
               &lt;jats:sec&gt;
                  &lt;jats:title&gt;Background:&lt;/jats:title&gt;
                  &lt;jats:p&gt;VISTA is an immune checkpoint highly expressed on myeloid cells that suppresses T cell activation. Its expression is associated with poor prognosis in cancer patients and may contribute to resistance to anti-CTLA-4 and anti-PD(L)1 therapies. KVA12123 binds to VISTA at neutral and acidic pHs and blocks VISTA interactions with its different potential ligands. This fully human IgG1 monoclonal antibody has a unique epitope and was engineered to improve its pharmacokinetic and to reduce the risk of CRS observed with prior anti-VISTA antibodies.&lt;/jats:p&gt;
               &lt;/jats:sec&gt;
               &lt;jats:sec&gt;
                  &lt;jats:title&gt;Methods:&lt;/jats:title&gt;
                  &lt;jats:p&gt;VISTA-101 (NCT05708950) is a Phase 1/2 dose escalation and expansion clinical trial of KVA12123 as monotherapy and in combination with pembrolizumab, in adult patients with advanced solid tumors. The primary objectives evaluate safety and tolerability to define a maximum tolerated dose and a recommended phase 2 dose (RP2D). The secondary objectives address the pharmacokinetic (PK) and receptor occupancy (RO), as well as patient tumor response using iRECIST. VISTA-101 is also assessing predictive biomarkers of response. Phase 1 is an accelerated BOIN design consisting of two arms: Part A) KVA12123 monotherapy dose escalation from 3 mg to 1000 mg (Q2W) including 6 cohorts and, Part B) KVA12123 dose escalation from 30 mg to 1000 mg (Q2W) in combination with 400 mg of pembrolizumab (Q6W) including 4 cohorts.&lt;/jats:p&gt;
               &lt;/jats:sec&gt;
               &lt;jats:sec&gt;
                  &lt;jats:title&gt;Results:&lt;/jats:title&gt;
                  &lt;jats:p&gt;In January 9th 2025, 36 patients were dosed including 24 patients in Part A and 12 in Part B. Enrollment in all monotherapy cohorts (3 to 1000mg) has been completed as well as 3 of the 4 combination cohorts (30 to 300mg KVA + Pembro 400mg). Treatments have been well tolerated and no dose limiting toxicities observed. The most common adverse events are grade 1 and 2 chills, fatigue and infusion related reactions with no evidence of CRS. In the monotherapy arm, the best overall response (BOR) is stable disease (SD) in 13 of 19 patients who received at least one follow-up scan. One NSCLC patient with prior CPI-exposure experienced SD lasting 62 weeks. In the combination arm, BOR to date is 1 of 9 with a sustained confirmed partial response with 54% tumor reduction of mucoepidermoid carcinoma histology. This patient has been on-study for 60 weeks. Additionally, there is SD in 3 of 9 evaluable patients, with one RCC previously exposed to CPI with a 24% tumor reduction. PK in part A showed an extended profile with saturation at 1000 mg dose associated with RO demonstrating full target engagement at higher concentrations. These data will define our RP2D. We also observed a dose-dependent induction of pro-inflammatory cytokines and increases of activated immune cell populations. Enrollment in the last combination cohort (1000mg KVA + 400mg Pembro) is ongoing. Final safety, tolerability, PK and clinical response in the mono and combination arms will be presented, as well as PK and biomarker data.&lt;/jats:p&gt;
               &lt;/jats:sec&gt;
               &lt;jats:sec&gt;
                  &lt;jats:title&gt;Citation Format:&lt;/jats:title&gt;
                  &lt;jats:p&gt;Jason T. Henry, Manish R. Patel, Paul Swiecicki, Ida Micaily, Benjamin Garmezy, Kalyan Banda, Marya Chaney, Julia Cohen, Vinny Hayreh, Evan Y. Yu, Shawn P. Iadonato, Thierry Guillaudeux, Lee Rosen. Initial results from a first in human phase 1 study of KVA12123, an anti-VISTA antibody, alone and in combination with pembrolizumab in patients with advanced solid tumors [abstract]. In: Proceedings of the American Association for Cancer Research Annual Meeting 2025; Part 2 (Late-Breaking, Clinical Trial, and Invited Abstracts); 2025 Apr 25-30; Chicago, IL. Philadelphia (PA): AACR; Cancer Res 2025;85(8_Suppl_2):Abstract nr CT041.&lt;/jats:p&gt;
               &lt;/jats:sec&gt;</t>
  </si>
  <si>
    <t>10.1155/2023/1451394</t>
  </si>
  <si>
    <t>&lt;jats:p&gt;This study is aimed at exploring the effects of Bacillus coagulans NRS 609 on the growth performance, intestinal health, antioxidant activity, and immune response in common carp (Cyprinus carpio L.) by colonizing the intestinal tract with the beneficial strain. Gavage B. coagulans with GFP-tag at 109 CFU/mL into common carp for 7 days. Results indicated that B. coagulans were maintained in the intestine for at least 14 days. Four groups fed B. coagulans at different levels of inclusion, including 0 (CK), &lt;jats:inline-formula&gt;
                     &lt;a:math xmlns:a="http://www.w3.org/1998/Math/MathML" id="M1"&gt;
                        &lt;a:mn&gt;1&lt;/a:mn&gt;
                        &lt;a:mo&gt;×&lt;/a:mo&gt;
                        &lt;a:msup&gt;
                           &lt;a:mrow&gt;
                              &lt;a:mn&gt;10&lt;/a:mn&gt;
                           &lt;/a:mrow&gt;
                           &lt;a:mrow&gt;
                              &lt;a:mn&gt;7&lt;/a:mn&gt;
                           &lt;/a:mrow&gt;
                        &lt;/a:msup&gt;
                     &lt;/a:math&gt;
                  &lt;/jats:inline-formula&gt; (A), &lt;jats:inline-formula&gt;
                     &lt;c:math xmlns:c="http://www.w3.org/1998/Math/MathML" id="M2"&gt;
                        &lt;c:mn&gt;1&lt;/c:mn&gt;
                        &lt;c:mo&gt;×&lt;/c:mo&gt;
                        &lt;c:msup&gt;
                           &lt;c:mrow&gt;
                              &lt;c:mn&gt;10&lt;/c:mn&gt;
                           &lt;/c:mrow&gt;
                           &lt;c:mrow&gt;
                              &lt;c:mn&gt;8&lt;/c:mn&gt;
                           &lt;/c:mrow&gt;
                        &lt;/c:msup&gt;
                     &lt;/c:math&gt;
                  &lt;/jats:inline-formula&gt; (B), and &lt;jats:inline-formula&gt;
                     &lt;e:math xmlns:e="http://www.w3.org/1998/Math/MathML" id="M3"&gt;
                        &lt;e:mn&gt;1&lt;/e:mn&gt;
                        &lt;e:mo&gt;×&lt;/e:mo&gt;
                        &lt;e:msup&gt;
                           &lt;e:mrow&gt;
                              &lt;e:mn&gt;10&lt;/e:mn&gt;
                           &lt;/e:mrow&gt;
                           &lt;e:mrow&gt;
                              &lt;e:mn&gt;9&lt;/e:mn&gt;
                           &lt;/e:mrow&gt;
                        &lt;/e:msup&gt;
                     &lt;/e:math&gt;
                  &lt;/jats:inline-formula&gt; (C) CFU/g of feed for 8 weeks. Experimental groups showed significantly better growth performance than the control (&lt;jats:inline-formula&gt;
                     &lt;g:math xmlns:g="http://www.w3.org/1998/Math/MathML" id="M4"&gt;
                        &lt;g:mi&gt;P&lt;/g:mi&gt;
                        &lt;g:mo&gt;&amp;lt;&lt;/g:mo&gt;
                        &lt;g:mn&gt;0.05&lt;/g:mn&gt;
                     &lt;/g:math&gt;
                  &lt;/jats:inline-formula&gt;). The treatment groups had higher digestive enzyme activity, villus height, and muscle thickness than the control (&lt;jats:inline-formula&gt;
                     &lt;i:math xmlns:i="http://www.w3.org/1998/Math/MathML" id="M5"&gt;
                        &lt;i:mi&gt;P&lt;/i:mi&gt;
                        &lt;i:mo&gt;&amp;lt;&lt;/i:mo&gt;
                        &lt;i:mn&gt;0.05&lt;/i:mn&gt;
                     &lt;/i:math&gt;
                  &lt;/jats:inline-formula&gt;). Supplementation with B. coagulans also altered the composition of the intestinal flora. In addition, an enhancement of the antioxidant enzyme and a reduction of malondialdehyde in the liver were observed with the addition of B. coagulans (&lt;jats:inline-formula&gt;
                     &lt;k:math xmlns:k="http://www.w3.org/1998/Math/MathML" id="M6"&gt;
                        &lt;k:mi&gt;P&lt;/k:mi&gt;
                        &lt;k:mo&gt;&amp;lt;&lt;/k:mo&gt;
                        &lt;k:mn&gt;0.05&lt;/k:mn&gt;
                     &lt;/k:math&gt;
                  &lt;/jats:inline-formula&gt;). Moreover, the cytokines of IL-1β and IL-12, IL-10, and TGF-β, significant upregulation in experimental groups (&lt;jats:inline-formula&gt;
                     &lt;m:math xmlns:m="http://www.w3.org/1998/Math/MathML" id="M7"&gt;
                        &lt;m:mi&gt;P&lt;/m:mi&gt;
                        &lt;m:mo&gt;&amp;lt;&lt;/m:mo&gt;
                        &lt;m:mn&gt;0.05&lt;/m:mn&gt;
                     &lt;/m:math&gt;
                  &lt;/jats:inline-formula&gt;). Based on the results, the optimal level of B. coagulans was 107 CFU/g in diets for common carp.&lt;/jats:p&gt;</t>
  </si>
  <si>
    <t>10.25264/2415-7384-2023-16-73-83</t>
  </si>
  <si>
    <t>&lt;jats:p&gt;The article presents results of the study of the ‘sub-sense’ concept in the logotherapy of grief and torment of conscience.  To overcome the frustration of the grief of loss (death) and torment of conscience caused by the irretrievably lost opportunity to manifest sincere love for the deceased, the subject can accept the ‘sub-sense’ – faith in God, which gives hope of the existence of the possibility of meeting the dear deceased ‘there’. This applies to both agnostics and atheists. Faith itself protects sincere believers from such frustration. If an agnostic, overwhelmed by such frustration, mistrusts priests, then a psychotherapist can and must draw him to the Super-Meaning, just like an atheist. He should offer such a person rationally balanced arguments regarding the quite possible existence of the Supernatural World, whose personified subjects (God, angels, saints) ‘patronize’ our earthly world from the positions of love for it and care for it, which gives a high meaning to the existence of humanity and of every person, and thus gives optimistic hope for a happy end to earthly suffering, including a meeting ‘there’ with the dead. These arguments are based on those facts, the latest scientific discoveries, which testify in favour of the possibility of the existence of such a supernatural world. The frustration of the grief of loss and torment of conscience are conducive to the subject’s acceptance of such arguments because they correspond to his urgent need to relieve his oppressive burden. Frustration of torment of conscience, similar to frustration of grief of loss, is due to irreversible loss – there is no hope of nullifying the evil for which the subject is tormented by his conscience, because it was committed in the past, and the past cannot be returned or changed. However, sincere remorse, which is the main content and meaning of these torments, psychologically separates the subject from their cause – the evil he committed – through his authentic personal identification with high spiritual and moral values (goodness) in the process of correlating them with the evil caused, which at the same time is the development of his morality. Reborn in this way, the subject’s soul seeks to effectively atone for the evil he committed – to create the good. Therefore, a psychotherapist should help a person who is tormented by conscience to choose not self-punishment by self-destruction, but sincere atonement for the evil he caused by charity, first and foremost, directly or indirectly, in relation to those persons who suffered from this evil. The key event in the psychological dynamics of such a choice is the repulsion of altruistic love and care, and thus, the filling of the subject’s soul with the bright energy of affection with the power of responsibility, care, and sacrifice. If this happens at the same time as a sincere agreement with a rational argumentation of the possibility of the existence of the Transcendent, in which meetings with deceased dear people are possible, the frustration of the grief of loss and torment of conscience are significantly weakened. That is, the motivational-dynamic complex of faith-hope-love, based on an authentically personal acceptance of ‘sub-sense’, causes a tangible and permanent psychotherapeutic effect here and now. Belief in ‘sub-sense’ is extremely valuable in terms of psycho-hygiene, psycho-correction, psychotherapy, because it sets up optimistic hope and true love that heals the human psyche. And this is a guarantee of the effectiveness of its application in logotherapy of all manifestations of ‘existential despair’. Faith in God acquires enormous spiritual power if its subject has experienced the grace of conversion, the superpowerful peak of which is religious ecstasy. Unfortunately, it is impossible to acquire such a grace by mental and wilful efforts. But even the so-called rational, ‘only by reason’ belief in God can be a reliable basis for subjective self-defence against the frustrations of hopelessness, hopelessness, grief at losses, torment of conscience, etc.&lt;/jats:p&gt;</t>
  </si>
  <si>
    <t>10.1186/s13244-024-01813-6</t>
  </si>
  <si>
    <t>&lt;jats:title&gt;Abstract&lt;/jats:title&gt;&lt;jats:sec&gt;
                &lt;jats:title&gt;Objectives&lt;/jats:title&gt;
                &lt;jats:p&gt;Despite the absence of ionizing radiation, magnetic resonance (MR) has inherent risks in clinical practice that can have serious health consequences if overlooked. At an international level, there are MR safety guidelines that help define the organization of a radiology department to minimize the risks for patients and personnel. However, competing guidelines exist and not every country and institution adheres to the same standards. In this work, we aim to understand the current situation regarding MR safety practices across Europe, and to identify the points where harmonization, coordination, or further education is needed.&lt;/jats:p&gt;
              &lt;/jats:sec&gt;&lt;jats:sec&gt;
                &lt;jats:title&gt;Methods&lt;/jats:title&gt;
                &lt;jats:p&gt;An anonymous survey questionnaire was distributed between April and June 2023 through ESR member societies to healthcare professionals, aimed to assess personnel training, local policies, scanning practices, and accidents.&lt;/jats:p&gt;
              &lt;/jats:sec&gt;&lt;jats:sec&gt;
                &lt;jats:title&gt;Results&lt;/jats:title&gt;
                &lt;jats:p&gt;Seven hundred and ninety-three responses were obtained from 44 different countries. The majority of respondents from five countries reported that MR safety is mandated by law, but we could only confirm two (Italy and Austria). While 77% of the responses said that their institution had a clear MR safety guideline, 52% said that nobody in their institution had received specific MR safety training. MR-conditional cardiac devices are mostly scanned in university hospitals (reported by 75% of respondents from this type of institution) but in only 42% of outpatient facilities. MR-unsafe cardiac devices are only scanned off-label in 27% of university hospitals, and in an even smaller share of other institutions. Approximately 12% of the respondents reported MR-related accidents resulting in patient or personnel injury. Overall, there is the sentiment that MR safety education and regulation are needed.&lt;/jats:p&gt;
              &lt;/jats:sec&gt;&lt;jats:sec&gt;
                &lt;jats:title&gt;Conclusions&lt;/jats:title&gt;
                &lt;jats:p&gt;The European landscape in terms of MR safety is very heterogeneous, with different regulations across countries, and different procedures for MR safety training and their application in clinical routine. The European Society of Radiology is optimally positioned to play an active role in the harmonization of MR safety education and practices across Europe, and we are proposing a four-tiered framework for the development of a teaching curriculum for MR safety training.&lt;/jats:p&gt;
              &lt;/jats:sec&gt;&lt;jats:sec&gt;
                &lt;jats:title&gt;Critical relevance statement&lt;/jats:title&gt;
                &lt;jats:p&gt;There is room for raising awareness of MR safety issues to ensure patient safety, reduce accidents, and benefit more patients. We advocate for radiologist-led standardization and improvement of MR safety training as a way to address this problem.&lt;/jats:p&gt;
              &lt;/jats:sec&gt;&lt;jats:sec&gt;
                &lt;jats:title&gt;Key Points&lt;/jats:title&gt;
                &lt;jats:p&gt;&lt;jats:list list-type="bullet"&gt;
                  &lt;jats:list-item&gt;
                    &lt;jats:p&gt;Our survey of MR safety practices across Europe revealed significant heterogeneity in regulations, training, and scanning practices.&lt;/jats:p&gt;
                  &lt;/jats:list-item&gt;
                  &lt;jats:list-item&gt;
                    &lt;jats:p&gt;There is a widespread lack of awareness and implementation of MR safety guidelines and diffuse uncertainty, under-scanning of eligible patients, and preventable accidents.&lt;/jats:p&gt;
                  &lt;/jats:list-item&gt;
                  &lt;jats:list-item&gt;
                    &lt;jats:p&gt;The ESR proposes a harmonized, four-tiered MR safety training curriculum to standardize, and improve safety practices across Europe.&lt;/jats:p&gt;
                  &lt;/jats:list-item&gt;
                &lt;/jats:list&gt;&lt;/jats:p&gt;
              &lt;/jats:sec&gt;</t>
  </si>
  <si>
    <t>10.37697/eskiyeni.838001</t>
  </si>
  <si>
    <t>&lt;jats:p xml:lang="tr"&gt;İbnü’s-Salâh eş-Şehrezûrî (öl. 643/1245) kaleme aldığı eserler ve yetiştirdiği öğrencileri ile hadîs tarihinde önemli bir yere sahip olmuştur. Bu makalede, ona nispet edilen Müsne-dü’l-hâfız Osmân b. es-Salâh el-Eserî fîmâ verede mine’l-ehâdîs fî fadli’l-İskenderiyye ve ʿAskalân isimli eser incelenip değerlendirilmeye çalışılmıştır. Bu eser, Berlin Devlet Kütüphanesin-de bulunmaktadır. Kitap yirmi varaktır ve her bir varak on beş satırdan oluşmaktadır. Kesin olmamakla birlikte, İbnü’s-Salâh’a ait olma durumu söz konusudur. Zira kapak dışında İbnü’s-Salâh’ın ismine eserin herhangi bir yerinde değinilmemiş ve bir tarih kaydı da düşülmemiştir. İçerdiği rivâyetler, kitâbet yolu ona iletilmiştir. İbnü’s-Salâh’ın bu rivâyetleri başka birine verdiği, okuttuğu veya icazet verdiğine dair bir malumata da ulaşılamamıştır. Bu eserde İskenderiye ve Askalân’ın fazileti ile ilgili rivâyetlerin yanı sıra Allah yolunda ribâtta bulunmanın değerleri ile ilgili hadîsler de nakledilmiştir. İskenderi-ye, Akdeniz kıyısında bulunmakta olup Mısır’ın ikinci büyük şehridir. Askalân ise Filistin’in önde gelen şehirlerinden biri olup bugün İsrail’in işgali altında bulunmaktadır. Gazze’nin kuzeyinde bir Akdeniz şehridir. Askerî, dinî, ilmî, ticarî ve sosyal faaliyetlerin önemli merkezlerinden olan bu iki şehir, tarihi süreç içerisinde çok sayıda kültür ve medeniyete ev sahipliği etmiştir. Ribât ise düşman saldırılarına karşı sınır boylarında nöbet tutmak, cihad için hazırlık yapmak, İslâm topraklarını muhafaza etmeye çalışmak gibi anlamlara gelmektedir.Bu eserde altmış altı rivâyet nakledilmiştir. Rivâyetlerin yarısı, kaynağı açısından merfûdur. Geriye kalan rivâyetler ise mevkûf ve maktûdur. Muhteva açısından rivâyetle-rin büyük çoğunluğu ribâtta bulunmanın sevabı ve İskenderiye’nin fazileti ile ilgilidir. Allah yolunda ribâtta bulunmanın kıymeti ile ilgili rivâyetlerin, temel hadîs kaynaklarında nakledildiği görülmüştür. İskenderiye ve şehirlerin fazileti ile ilgili olanların ise kaynağı tespit edilememiştir.Merfu olmayan rivâyetlerin de içeriği ağırlıklı olarak ribât ve İsken-deriye’nin faziletine dairdir. İskenderiye ile ilgili rivâyetlerde dahî ribâta vurgu yapılmış ve bununla bağlantılı olarak bu şehirde ribâtta bulunmanın çok daha makbul olduğu belir-tilmiştir.Senedlerde bulunan râvî sayısı iki ile on iki arasında değişmektedir. İlk ve son râvisi açısından bakıldığında bu rivâyetlerin ağırlıklı olarak birkaç râvî tarafından nakledildiğini söylemek mümkündür. Bunun yanı sıra her ne kadar ilk ve son râvî olmasa da Hânî b. Müvekkil gibi bazı râvilerin birçok rivâyetin senedinde bulunduğu görülmektedir. Bu kişilerin İskenderiye ile ilgili bâtıl rivâyetler naklettikleri bilgisi, söz konusu eserde yer alan hadîslerin sahih olmadığı hatta uydurulduğu sonucuna ulaştırmaktadır. Ribât ile ilgili genel manadaki rivâyetlerin, sırf şehrin elde tutulması ve korunması amacıyla İskenderi-ye ile ilişkilendirildiği izlenimi verdiği söylenebilir. Zira ilk dönemlerde kaynaklarında bulunmayan böyle rivâyetlerin sonradan ortaya çıktığı ve nispeten geç dönem eserlerin-de yer aldığı görülmektedir.İbnü’s-Salah gibi usûlde uzman olan birinin -mevcut verilere göre- uydurma özelliğine sahip rivâyetlere eserinde yer vermesi, hadîslerin sıhhati ile ilgili hiçbir açıklama ve değerlendirmede de bulunmaması bir eksiklik olarak görülebilir. Ancak buradan İbnü’s-Salâh’ın uydurma hadîsler konusunda özensiz veya mütesahil davrandığını söylemek de zorlama bir yorum ve niyet okuma olur. Zira o, bu eserde nakledilen rivâyetleri kitâbet ve icâzet yoluyla tahammül etmiştir. Ayrıca kendisinden sonra bu rivâyetleri talebeleri ara-cılığı ile nakledildiğine dair bir bilgi de bulunmamaktadır. Yani rivâyet silsilesi tespit edi-lebildiği kadarıyla İbnü’s-Salâh ile son bulmuştur. Dolayısıyla onun uydurma hadîslerin yaygınlaşmasına imkân verdiği ve bu konuda titiz davranmadığını söylemek mümkün değildir. Bu çalışma vesilesiyle İbnü’s-Salâh’a nispet edilen bir eser, farklı boyutlarıyla tetkik edilerek ilim dünyasının istifadesine sunulmuştur. &lt;/jats:p&gt;</t>
  </si>
  <si>
    <t>10.52259/historijskipogledi.2022.5.7.270</t>
  </si>
  <si>
    <t>&lt;jats:p&gt;The Second World War, along with great human sacrifices and material destruction, also brought radical changes in the socio-political system in the new (AVNOJ) Yugoslavia. Immediately after the end of the Second World War, the state's attitude towards religious communities was highly suspicious. However, in addition to the need to renovate private and social infrastructure, religious communities have also launched initiatives to rehabilitate and rebuild war-torn and/or damaged religious buildings. Until the 1960s, the requests of religious communities for the renovation of their buildings were treated with suspicion by the competent state authorities, and were generally resolved unfavorably. The Communist Party, which authoritarianly controlled and directed all social flows, did not look favorably on such and similar activities of religious communities. Procedures for the restoration of religious buildings were complex and strictly controlled. In each municipality there were Religious Affairs Commissions that closely monitored the behavior of individuals, believers and clergy, as well as religious bodies and institutions in their area. For more complex issues, the municipal commissions were supervised by the district commissions for religious affairs, to whom they very often turned for their opinion and/or consent. On rare occasions, when even the district commissions did not have a secure position on an issue, they turned to the republic commissions. Therefore, it is not surprising that the procedures were often lengthy, which means that they waited for several months to resolve the submitted requests, and sometimes even a year or more. Not only the Islamic community, but also Bosniaks as a nation faced great organizational and even existential difficulties. While their positive role and nationality was recognized in the war, immediately after the end of World War II and the establishment of AVNOJ Yugoslavia, Muslims/Bosniaks were both de facto and de jure challenged as a people. There was no place for them in the official state coat of arms, which had five, instead of six torches, which symbolized the peoples of the Federal People's Republic of Yugoslavia. It was not until 1963 that the Communist Party began to revise its manipulative attitudes towards Muslims/Bosniaks, thus beginning the process of recognizing them as a separate people. Since then, they have begun to declare themselves as Muslims, with a capital letter "M". Although this act did not fully satisfy the constitutional rights of Muslims/Bosniaks, this was a big step towards their national affirmation. The central focus of this paper is the monitoring and analysis of procedures for the rehabilitation and restoration of religious buildings of the Islamic (religious) community in the municipality of Kalesija in the mid-1960s. The paper includes three requests for the construction and renovation of religious buildings. In chronological terms, the request for the renovation of the existing mosque in the village of Kalesija, which was dilapidated and unconditional for use, was first analyzed. The next request refers to the construction of a mosque in the village of Gojčin instead of the demolished old mosque with a wooden minaret. The third request to the Commission for Religious Affairs of the Municipal Assembly of Kalesija was sent by the residents of the village of Mahmutovići.  The paper primarily relies on thirteen original documents deposited in the Archives of Tuzla Canton that thematize the rehabilitation, restoration and construction of religious buildings and at the same time authentically depict the current socio-political situation and citizens' rights to religion and practical application of these rights. In addition to the original documents, the paper uses relevant literature on social processes in Yugoslav society from the end of World War II to the late 1960s, with special emphasis on the position of Muslims/Bosniaks at the time of imposing collective lobotomy and denying Bosniak names and identities.&lt;/jats:p&gt;</t>
  </si>
  <si>
    <t>10.1093/ofid/ofad500.2412</t>
  </si>
  <si>
    <t>&lt;jats:title&gt;Abstract&lt;/jats:title&gt;
               &lt;jats:sec&gt;
                  &lt;jats:title&gt;Background&lt;/jats:title&gt;
                  &lt;jats:p&gt;In March 2023, the Clinical and Laboratory Standards Institute (CLSI) lowered the Enterobacterales susceptible (S)/resistant breakpoints for amikacin from ≤16/≥64 mg/L to ≤4/≥16 mg/L and gentamicin and tobramycin from ≤4/≥16 mg/L to ≤2/≥8 mg/L. As aminoglycosides are frequently used to treat infections caused by multidrug-resistant (MDR) and carbapenem-resistant Enterobacterales (CRE), we evaluated the activity of plazomicin and the impact of CLSI breakpoint changes on the susceptibility rates of Enterobacterales collected from US medical centers.&lt;/jats:p&gt;
               &lt;/jats:sec&gt;
               &lt;jats:sec&gt;
                  &lt;jats:title&gt;Methods&lt;/jats:title&gt;
                  &lt;jats:p&gt;5,725 Enterobacterales isolates were consecutively collected (1/patient) from 36 US medical centers in 2020–2022 and susceptibility tested by broth microdilution against amikacin, gentamicin, tobramycin, and plazomicin. Susceptibility rates were calculated using both current CLSI/USFDA breakpoints and the recently revised CLSI breakpoints. Aminoglycoside-nonsusceptible isolates were screened for genes encoding aminoglycoside-modifying enzymes (AMEs) and 16S rRNA methyltransferases (16RMT).&lt;/jats:p&gt;
               &lt;/jats:sec&gt;
               &lt;jats:sec&gt;
                  &lt;jats:title&gt;Results&lt;/jats:title&gt;
                  &lt;jats:p&gt;Plazomicin was active against 96.3% of isolates and retained potent activity against MDR (93.1%S) and CRE (92.1%S) isolates. The highest variations in susceptibility rates due to breakpoint changes were observed with amikacin, especially among MDR (95.1%S to 69.9%S; Table) and CRE (77.8%S to 61.9%S). Against all Enterobacterales, amikacin susceptibility rates decreased from 99.6%S to 95.0%S; susceptibility to gentamicin and tobramycin decreased 0.8% and 2.6%, respectively. Gentamicin and tobramycin showed limited activity against MDR and CRE with both 2022 and 2023 breakpoints. AME-encoding genes were observed in 474 (8.3% of isolates) and 16RMT was found in 7 isolates (0.1%). Plazomicin was active against 97.3% of AME producers.&lt;/jats:p&gt;
               &lt;/jats:sec&gt;
               &lt;jats:sec&gt;
                  &lt;jats:title&gt;Conclusion&lt;/jats:title&gt;
                  &lt;jats:p&gt;Amikacin’s spectrum of activity against CRE and MDR Enterobacterales was drastically reduced when interpretative criteria based on PK/PD parameters currently used to establish breakpoints to other antimicrobials were applied. Plazomicin is markedly more active than amikacin, gentamicin, or tobramycin against CRE and MDR Enterobacterales causing infections in US medical centers.&lt;/jats:p&gt;
               &lt;/jats:sec&gt;
               &lt;jats:sec&gt;
                  &lt;jats:title&gt;Disclosures&lt;/jats:title&gt;
                  &lt;jats:p&gt;Helio S. Sader, MD, PhD, FIDSA, AbbVie: Grant/Research Support|Basilea: Grant/Research Support|Cipla: Grant/Research Support|Paratek: Grant/Research Support|Pfizer: Grant/Research Support|Shionogi: Grant/Research Support Rodrigo E. Mendes, PhD, AbbVie: Grant/Research Support|Basilea: Grant/Research Support|Cipla: Grant/Research Support|Entasis: Grant/Research Support|GSK: Grant/Research Support|Paratek: Grant/Research Support|Pfizer: Grant/Research Support|Shionogi: Grant/Research Support S J Ryan Arends, PhD, Cipla: Grant/Research Support|GSK: Grant/Research Support Cecilia G. Carvalhaes, MD, PhD, AbbVie: Grant/Research Support|bioMerieux: Grant/Research Support|Cipla: Grant/Research Support|CorMedix: Grant/Research Support|Melinta: Grant/Research Support|Pfizer: Grant/Research Support Mariana Castanheira, PhD, AbbVie: Grant/Research Support|Basilea: Grant/Research Support|bioMerieux: Grant/Research Support|Cipla: Grant/Research Support|CorMedix: Grant/Research Support|Entasis: Grant/Research Support|Melinta: Grant/Research Support|Paratek: Grant/Research Support|Pfizer: Grant/Research Support|Shionogi: Grant/Research Support&lt;/jats:p&gt;
               &lt;/jats:sec&gt;</t>
  </si>
  <si>
    <t>10.1186/s12903-023-03068-x</t>
  </si>
  <si>
    <t>&lt;jats:title&gt;Abstract&lt;/jats:title&gt;&lt;jats:sec&gt;
                &lt;jats:title&gt;Background&lt;/jats:title&gt;
                &lt;jats:p&gt;Sublingual varices (SV) and their predictive potential for other clinical parameters is a much studied topic in oral medicine. SVs have been well studied as predictive markers for many common diseases such as arterial hypertension, cardiovascular disease, smoking, type 2 diabetes mellitus and age. Despite many prevalence studies, it is still unclear how the reliability of SV inspection affects its predictive power. The aim of this study was to quantify the inspection reliability of SV.&lt;/jats:p&gt;
              &lt;/jats:sec&gt;&lt;jats:sec&gt;
                &lt;jats:title&gt;Methods&lt;/jats:title&gt;
                &lt;jats:p&gt;In a diagnostic study, the clinical inspection of 78 patients by 23 clinicians was examined for the diagnosis of SV. Digital images of the underside of the tongue were taken from each patient. The physicians were then asked to rate them for the presence of sublingual varices (0/1) in an online inspection experiment. Statistical analysis for inter-item and inter-rater reliability was performed in a τ-equivalent measurement model with Cronbach's &lt;jats:inline-formula&gt;&lt;jats:alternatives&gt;&lt;jats:tex-math&gt;$$\alpha$$&lt;/jats:tex-math&gt;&lt;mml:math xmlns:mml="http://www.w3.org/1998/Math/MathML"&gt;
                    &lt;mml:mi&gt;α&lt;/mml:mi&gt;
                  &lt;/mml:math&gt;&lt;/jats:alternatives&gt;&lt;/jats:inline-formula&gt; and Fleiss κ.&lt;/jats:p&gt;
              &lt;/jats:sec&gt;&lt;jats:sec&gt;
                &lt;jats:title&gt;Results&lt;/jats:title&gt;
                &lt;jats:p&gt;The interrater reliability for sublingual varices was relatively low with κ = 0.397. The internal consistency of image findings for SV was relatively high with α≈ 0.937. This shows that although SV inspection is possible in principle, it has a low reliability R. This means that the inspection finding (0/1) of individual images often cannot be reproduced stably. Therefore, SV inspection is a difficult task of clinical investigation. The reliability R of SV inspection also limits the maximum linear correlation &lt;jats:inline-formula&gt;&lt;jats:alternatives&gt;&lt;jats:tex-math&gt;$${r}_{max}$$&lt;/jats:tex-math&gt;&lt;mml:math xmlns:mml="http://www.w3.org/1998/Math/MathML"&gt;
                    &lt;mml:msub&gt;
                      &lt;mml:mi&gt;r&lt;/mml:mi&gt;
                      &lt;mml:mrow&gt;
                        &lt;mml:mi&gt;max&lt;/mml:mi&gt;
                      &lt;/mml:mrow&gt;
                    &lt;/mml:msub&gt;
                  &lt;/mml:math&gt;&lt;/jats:alternatives&gt;&lt;/jats:inline-formula&gt; of SV with an arbitrary other parameter Y. The reliability of SV inspection &lt;jats:italic&gt;R&lt;/jats:italic&gt; = 0.847 limits the maximum correlation to &lt;jats:inline-formula&gt;&lt;jats:alternatives&gt;&lt;jats:tex-math&gt;$${r}_{max}$$&lt;/jats:tex-math&gt;&lt;mml:math xmlns:mml="http://www.w3.org/1998/Math/MathML"&gt;
                    &lt;mml:msub&gt;
                      &lt;mml:mi&gt;r&lt;/mml:mi&gt;
                      &lt;mml:mrow&gt;
                        &lt;mml:mi&gt;max&lt;/mml:mi&gt;
                      &lt;/mml:mrow&gt;
                    &lt;/mml:msub&gt;
                  &lt;/mml:math&gt;&lt;/jats:alternatives&gt;&lt;/jats:inline-formula&gt; (SV, Y) = 0,920—a 100% correlation was a priori not achievable in our sample. To overcome the problem of low reliability in SV inspection, we propose the RA (relative area) score as a continuous classification system for SV, which normalises the area of visible sublingual veins to the square of the length of the tongue, providing a dimensionless measure of SV.&lt;/jats:p&gt;
              &lt;/jats:sec&gt;&lt;jats:sec&gt;
                &lt;jats:title&gt;Conclusions&lt;/jats:title&gt;
                &lt;jats:p&gt;The reliability of the SV inspection is relatively low. This limits the maximum possible correlation of SV with other (clinical) parameters. SV inspection reliability is an important indicator for the quality of SV as a predictive marker. This should be taken into account when interpreting previous studies on SV and has implications for future studies. The RA score could help to objectify the SV examination and thus increase its reliability.&lt;/jats:p&gt;
              &lt;/jats:sec&gt;</t>
  </si>
  <si>
    <t>10.1093/humrep/dead093.554</t>
  </si>
  <si>
    <t>&lt;jats:title&gt;Abstract&lt;/jats:title&gt;
               &lt;jats:sec&gt;
                  &lt;jats:title&gt;Study question&lt;/jats:title&gt;
                  &lt;jats:p&gt;Can the annotationfree embryo scoring system (iDAScore) predict the likelihood of euploidy in embryos?&lt;/jats:p&gt;
               &lt;/jats:sec&gt;
               &lt;jats:sec&gt;
                  &lt;jats:title&gt;Summary answer&lt;/jats:title&gt;
                  &lt;jats:p&gt;Our results have shown that there is a significant positive correlation between iDAScore and blastocyst euploidy.&lt;/jats:p&gt;
               &lt;/jats:sec&gt;
               &lt;jats:sec&gt;
                  &lt;jats:title&gt;What is known already&lt;/jats:title&gt;
                  &lt;jats:p&gt;iDAScore (Vitrolife, Sweden) is an embryo ranking model that was developed by using artificial intelligence (AI) and deep learning. It does not require any user-dependent annotation which largely eliminates the subjectivity of manual annotation by embryologists. It has also been reported to be a robust predictor in likelihood of embryo implantation. However, the correlation between iDAScore and euploidy has not been extensively studied. Therefore, this study is to determine if iDAScore can be utilized as a predictor for embryo euploidy.&lt;/jats:p&gt;
               &lt;/jats:sec&gt;
               &lt;jats:sec&gt;
                  &lt;jats:title&gt;Study design, size, duration&lt;/jats:title&gt;
                  &lt;jats:p&gt;A total of 860 blastocysts (mean age: 30.0; age range: 19.0-35.0) were assessed with iDAScore on day-5 and/or day-6 of embryo development from January 2022 to October 2022 at Alpha IVF &amp;amp; Women’s Specialists. The euploidy rates were analyzed based on the stratified iDAScores (Group A:0.0-4.9; Group B: 5.0-7.4; Group C:7.5-8.9; Group D:9.0-10.0).&lt;/jats:p&gt;
               &lt;/jats:sec&gt;
               &lt;jats:sec&gt;
                  &lt;jats:title&gt;Participants/materials, setting, methods&lt;/jats:title&gt;
                  &lt;jats:p&gt;Scores were computed by the iDAScore software at the Vitrolife Technology Hub (Vitrolife, Gothenburg, Sweden) prior to trophectoderm biopsy for Preimplantation Genetic Testing for Aneuploidies (PGT-A) (Ion Torrent, USA). The ploidy status (euploid or aneuploid) based on PGT-A results were recorded and assessed with the corresponding iDAScore.&lt;/jats:p&gt;
               &lt;/jats:sec&gt;
               &lt;jats:sec&gt;
                  &lt;jats:title&gt;Main results and the role of chance&lt;/jats:title&gt;
                  &lt;jats:p&gt;The euploidy rates of Group A, B, C and D were 56.7% (17/30), 60.0% (105/175), 65.9% (178/270) and 74.8% (288/385) respectively. Group D shows significantly higher euploidy rate compared to Group B and Group C (p = 0.0005, p = 0.0143). A weak significance was observed between Group D and Group A (p = 0.0505). This is probably due to smaller sample size in Group A. No significant differences were displayed among Group A, Group B and Group C (p = &amp;amp;gt; 0.005). Our results demonstrated an increasing trend between iDAScore and the proportion of euploid embryos.&lt;/jats:p&gt;
               &lt;/jats:sec&gt;
               &lt;jats:sec&gt;
                  &lt;jats:title&gt;Limitations, reasons for caution&lt;/jats:title&gt;
                  &lt;jats:p&gt;Few of the blastocysts in Group A could be selected for biopsy so the sample size was only a fraction of the other groups. Further studies and larger sample sizes would allow the findings to be stated more confidently.&lt;/jats:p&gt;
               &lt;/jats:sec&gt;
               &lt;jats:sec&gt;
                  &lt;jats:title&gt;Wider implications of the findings&lt;/jats:title&gt;
                  &lt;jats:p&gt;Although the iDAScore algorithm scores the chance of embryo implantation, we have demonstrated its potential to assist in predicting the embryo ploidy status in a non-invasive manner. This may be used to inform the decision of which and how many blastocysts to biopsy and transfer, thus reducing treatment costs.&lt;/jats:p&gt;
               &lt;/jats:sec&gt;
               &lt;jats:sec&gt;
                  &lt;jats:title&gt;Trial registration number&lt;/jats:title&gt;
                  &lt;jats:p&gt;not applicable&lt;/jats:p&gt;
               &lt;/jats:sec&gt;</t>
  </si>
  <si>
    <t>10.4103/ijdr.ijdr_822_21</t>
  </si>
  <si>
    <t>&lt;jats:sec&gt;
            &lt;jats:title&gt;Aim:&lt;/jats:title&gt;
            &lt;jats:p&gt;The aim of this study was to compare audio-visual and verbal education on oral health related quality of life, dental anxiety and dental neglect, on diabetes mellitus patients attending Teerthanker Mahaveer Hospital, Moradabad.&lt;/jats:p&gt;
          &lt;/jats:sec&gt;
          &lt;jats:sec&gt;
            &lt;jats:title&gt;Materials and Method:&lt;/jats:title&gt;
            &lt;jats:p&gt;The current longitudinal interventional study was conducted to check the efficiency of audio-visual and verbal education on OHRQoL, Dental anxiety and dental neglect, on diabetes mellitus patients attending Teerthanker Mahaveer Hospital, Moradabad, U.P., India. A 14-item questionnaire, OHIP-14, with emphasis on seven proportions of impact was used to collect information on OHRQoL. Corah Dental Anxiety Scale (DAS) will be used to collect data on Dental Anxiety. A prevalidated revised proforma of Dental Neglect Scale (DNS) was used to gather information on Dental Neglect. The questionnaire was a six-question instrument related to dental problems. After collecting the initial baseline data, the sample was divided into two groups: verbal education group (&lt;jats:italic toggle="yes"&gt;n&lt;/jats:italic&gt; = 1030) and audio-visual education group (&lt;jats:italic toggle="yes"&gt;n&lt;/jats:italic&gt; = 1030). Then oral health education (OHE) was provided verbally to Group I patients and OHE with audio-visual aids was given to Group II patients visiting Teerthanker Mahaveer Hospital. OHE was repeated every 2 months. At every 6, 12 and 18 months, questionnaire was repeated to evaluate the effectiveness of OHE. Inspection will be conducted under natural daylight in hospital premises. To avoid the disruption while conducting the examination, adequate supply of instruments was taken. Instruments were sterilized by autoclaving in the college.&lt;/jats:p&gt;
          &lt;/jats:sec&gt;
          &lt;jats:sec&gt;
            &lt;jats:title&gt;Results:&lt;/jats:title&gt;
            &lt;jats:p&gt;A total of 1926 patients attended all the follow-up and review examinations. Subject dropout for Group I was 2% with 1009 at 6&lt;jats:sup&gt;th&lt;/jats:sup&gt; month; 3% with 978 at 12&lt;jats:sup&gt;th&lt;/jats:sup&gt; month and 1% with 967 at 18&lt;jats:sup&gt;th&lt;/jats:sup&gt; month. Subject dropout rate for Group II was 3% with 999 at 6&lt;jats:sup&gt;th&lt;/jats:sup&gt; month; 0% with 999 at 12&lt;jats:sup&gt;th&lt;/jats:sup&gt; month and 4% with 959 at 18&lt;jats:sup&gt;th&lt;/jats:sup&gt; month. The difference of subject dropout among the groups was not statistically significant (&lt;jats:italic toggle="yes"&gt;P&lt;/jats:italic&gt; = 0.23). Group mean total OHIP-14 score after 18 months was recorded as 15.36 ± 8.61, whereas in Audio-visual education group mean total OHIP-14 score after 18 months was recorded as 14.42 ± 7.59. At the end of study mean DAS score for DAS ≥15 (severe anxiety) was found to be 1.95 ± 2.18 in verbal education group, whereas in audio-visual education group mean DAS score for DAS ≥15 (severe anxiety) was found to be 2.24 ± 1.98. At the end of the study mean DN score for DNS ≥15 (severe Dental Neglect) was found to be 3.54 ± 2.63 in verbal education group, whereas audiovisual education group mean DN score for DNS ≥15 (severe Dental Neglect) was found to be 2.59 ± 2.75.&lt;/jats:p&gt;
          &lt;/jats:sec&gt;
          &lt;jats:sec&gt;
            &lt;jats:title&gt;Conclusion:&lt;/jats:title&gt;
            &lt;jats:p&gt;The quality of life is a factor that can be considerably affected by oral health, which in turn reflects the general health of an individual. The main part of oral disease prevention is done by use of personal oral hygiene measures and maintaining oral hygiene. It is the duty of dental professionals to motivate, show and instruct patients to maintain appropriate oral health and oral hygiene. The study concludes that the program of this kind may be beneficial in improving many dimensions of dental health of an individual that includes physical health, emotional well-being, OHRQoL, inter-personal relationship and the fear related to dental treatment.&lt;/jats:p&gt;
          &lt;/jats:sec&gt;</t>
  </si>
  <si>
    <t>10.1182/blood-2023-185432</t>
  </si>
  <si>
    <t>&lt;jats:title/&gt;
               &lt;jats:p&gt;CD33 is widely expressed by myeloid cells and is a validated drug target in acute myeloid leukemia (AML), as shown by the benefit of some patients from the CD33 antibody-drug conjugate gemtuzumab ozogamicin (GO). However, GO is often ineffective and toxic, prompting interest in more potent CD33-directed therapies. Success of T cell-engaging bispecific antibodies in lymphoid malignancies has raised enthusiasm for similar agents targeting CD33, but toxicities from activated T cells cause significant challenges for their use and provide a strong rationale to explore drugs engaging natural killer (NK) cells. Here, we investigated BMS-986357, a TriNKET ® that activates NK cells via CD16 and NKG2D receptors while targeting CD33. This format was chosen because simultaneous engagement of multiple activating NK cell receptors yields greater cytotoxic activity against neoplastic cells than engagement via a single activating receptor. Surface plasmon resonance analyses showed BMS-986357 simultaneously binds CD33, NKG2D, and CD16a, and co-engagement of NKG2D and CD16a increases the avidity. In the presence of primary human NK cells from healthy donors or a human NK cell line, the TriNKET ® demonstrated broad cytolytic anti-leukemia activity in a strictly CD33-dependent manner using a panel of CD33-expressing or CD33-deficient/deleted acute leukemia cells. Consistent with this, removing the CD33 binding domain rendered BMS-986357 ineffective against CD33+ AML cells. Drug-induced cytotoxicity was greater with BMS-986357 than with monoclonal CD33 antibodies, including lintuzumab and an afucosylated antibody with enhanced NK function, demonstrating the benefit of the TriNKET ® format. Compared to BMS-986357, substantially less cytotoxicity was observed with an Fc-mutant variant of BMS-986357 that abrogates binding to CD16a or an NKG2D dead-arm TriNKET ®, and cytolytic effects were reduced with a CD16-deficient NK cell line vs. a CD16-expressing subline, indicating maximal efficacy of BMS-986357 required co-engagement of CD16a and NKG2D. Using sublines of OCI-AML3 and KG-1 cells (both cell lines with low endogenous CD33 expression) to overexpress wild-type CD33 at increasing levels, we found low abundance of CD33 curtailed BMS-986357-induced cytotoxicity. Flow cytometric binding studies identified BMS-986357 to recognize the membrane-distal V-set domain of CD33. Unlike GO, BMS-986357-mediated cytolysis was not affected by over-expression of ABC transporter proteins by AML cells. The potency but not maximal activity of BMS-986357 was reduced by super-physiologic concentrations of soluble CD33; in contrast, the soluble form of the NKG2D ligand MICA did not impact TriNKET ® activity. In the presence of CD33+ AML cells, BMS-986357 activated NK cells but not T cells from healthy donor peripheral blood mononuclear cells and produced similar levels of maximum cytolysis as a CD33/CD3 bispecific antibody. Despite this, BMS-986357 elicited 10 to &amp;amp;gt;100-fold lower soluble cytokine levels including IFN-γ, TNF, IL-6, and GM-CSF than a CD33/CD3 bispecific antibody, suggesting BMS-986357 has the potential for CD33/CD3 bispecific-like efficacy without the associated risk of cytokine release syndrome. Finally, in bone marrow specimens from patients with AML, BMS-986357 killed AML cells but not normal monocytes, suggesting selectivity of drug-induced cytotoxicity toward neoplastic cells, consistent with the notion NK cells are capable to differentiate between healthy and leukemic CD33+ cells. This selectivity suggests BMS-986357 may produce less myelosuppressive toxicity than what has been observed with CD33 targeting antibody-drug conjugates. In summary, our findings demonstrate that BMS-986357 TriNKET ® has potent CD33-dependent cytolytic activity in vitro against human AML cells, supporting the drug's exploration in early phase clinical trials. One such trial (NCT04789655) has opened accrual for adults with relapsed/refractory AML.&lt;/jats:p&gt;</t>
  </si>
  <si>
    <t>10.18799/24131830/2020/5/2638</t>
  </si>
  <si>
    <t>&lt;jats:p&gt;Актуальность исследования. На всех этапах технологической цепи добычи, транспортировки и последующего использования геологических ресурсов применяется широкий спектр высоковольтного оборудования, существенную часть которого составляют высоковольтные трансформаторы различных типов, назначений и классов напряжения. Поэтому общая энергетическая эффективность и надежность производства геологических ресурсов существенно зависит от состояния высоковольтного трансформаторного оборудования. Дефектное состояние одной трансформаторной единицы часто является причиной внезапной аварийной остановки всей технологической цепи комплексного производственного процесса. Результатом подобного инцидента является пожар, сопровождаемый взрывом высоковольтного ввода, разлив масла, загрязнение окружающей среды и материальный ущерб, исчисляемый многомиллионными суммами. К возникновению дефектного и, как следствие, аварийного состояния приводит ряд электрофизических и эксплуатационных факторов, воздействующих на изоляцию и активную часть трансформаторов. В свою очередь наиболее проблемным элементом активной части трансформатора оказываются обмотки как высокого, так и низкого напряжения, в которых появляются механические смещения как результат воздействия пондеромоторных сил токов короткого замыкания. Подобные дефекты могут развиваться длительное время, и трансформатор может находиться в работе в номинальном режиме. На некотором этапе развития дефект становится критическим, повреждения изоляции обмотки при очередном коротком замыкании ведут к возгоранию с последующей аварией. Для предупреждения подобных ситуаций необходима эффективная технология контроля состояния обмоток. Стандартные методы являются малоэффективными для выявления дефектов обмотки на ранних стадиях развития. Среди новых и рекомендованных международными экспертными институтами МЭК и СИГРЭ являются модификации импульсного метода, прежде всего метод частотного анализа. Однако, не смотря на признание как наиболее достоверного и перспективного, указанный метод далеко не всегда позволяет обнаружить дефекты обмоток, особенно на ранних этапах развития. Кроме того, обязательным условием применения технологии метода частотного анализа является полное снятие напряжения, расшиновка трансформатора и использование специальной аппаратуры контроля. При этом для получения достоверных результатов диагностики необходимо наличие специальных эталонных сигналов – нормограмм, которые отсутствуют практически для всего парка трансформаторов, используемых в технологических процессах добычи и переработки геологических ресурсов. Эти факторы снижают общую эффективность технологии метода частотного анализа. Поэтому в настоящее время вопрос по исследованию и разработке технологии контроля состояния обмоток под рабочим напряжением является в полной мере актуальным. Цель: экспериментальное исследование принципиальной возможности контроля состояния обмоток трансформатора на основе процессов коммутации в высоковольтной сети. Методы: метод моделирования на реальном физическом объекте. В трансформаторе НТМИ-6 на одной фазе созданы дефекты механического смещения обмоток. Две другие фазы имеют исправное состояние. При помощи специальной схемы трансформатор включался в сеть. С помощью электронного осциллографа Tektronix типа TDS-2012 осуществлялась регистрация напряжения на первичной обмотке и сигнала отклика с одноименной фазы вторичной обмотки. Измерения повторялись для двух других фаз по такой же схеме. Результаты. На реальном трансформаторе типа НТМИ-6 экспериментально исследована и установлена принципиальная возможность осуществления контроля механического состояния его обмоток при использовании отклика напряжения на вторичной обмотке трансформатора при включении трансформатора в сеть. Таким образом, показано, что при включении трансформатора в сеть подключаемое напряжение может служить диагностическим импульсом, пригодным для зондирования механического состояния обмоток трансформатора по методу низковольтных импульсов.&lt;/jats:p&gt;</t>
  </si>
  <si>
    <t>10.1093/rheumatology/keae163.190</t>
  </si>
  <si>
    <t>&lt;jats:title&gt;Abstract&lt;/jats:title&gt;
               &lt;jats:sec&gt;
                  &lt;jats:title&gt;Background/Aims&lt;/jats:title&gt;
                  &lt;jats:p&gt;Nailfold capillaroscopy (NFC) has been suggested as a potential biomarker of disease severity in systemic sclerosis (SSc). Several studies report the association between capillary loss and disease severity however, the association of NFC abnormalities with novel severe organ involvement/progression and mortality in SSc has not been evaluated. We aim to evaluate the association of nailfold capillaroscopy (NFC) abnormalities with novel major organ involvement/progression and mortality in SSc.&lt;/jats:p&gt;
               &lt;/jats:sec&gt;
               &lt;jats:sec&gt;
                  &lt;jats:title&gt;Methods&lt;/jats:title&gt;
                  &lt;jats:p&gt;Follow-up data from patients with SSc registered between 2000 and 2022 were analyzed. Patients underwent NFC at baseline. Baseline demographic data, antibody status, baseline pulmonary function, novel severe organ involvement/progression and mortality were registered. Novel organ involvement/progression was defined as new or progressive involvement of peripheral vasculature, lungs, heart, skin, gastrointestinal, kidney, musculoskeletal at 12 and 24 months of follow-up. The following NFC parameters were evaluated: capillary density, hemorrhages, enlarged and giant capillaries, avascular areas, organization of capillary architecture and scleroderma pattern (early/active/late). Logistic regression modelling was run to assess associations between NFC and clinical parameters, the occurrence of novel severe organ involvement and/or progression and mortality.&lt;/jats:p&gt;
               &lt;/jats:sec&gt;
               &lt;jats:sec&gt;
                  &lt;jats:title&gt;Results&lt;/jats:title&gt;
                  &lt;jats:p&gt;113 patients were included: 28 (25%) were male, 86 (76%) lcSSc and 27 (23%) dcSSc. 70 patients (61%) developed novel overall severe organ involvement/progression and 40 patients died (36%) during follow-up. Table 1 and table 2 summarizes the associations between NFC and novel severe organ involvement/progression and mortality during follow-up. Loss of capillary density was associated with overall severe organ involvement (p = 0.002), peripheral vascular involvement (p = 0.03), new ILD (p = 0.04) and skin progression (p = 0.01); avascular areas were associated with overall severe organ involvement (p = 0.03), new ILD (p = 0.03) and progression of ILD (p = 0.02) and scleroderma pattern was associated with overall severe organinvolvement (p = 0.03), peripheral vascular involvement (OR p = 0.04), new ILD (p = 0.004), progression of ILD (p = 0.03) and skin progression (p = 0.04). Mortality was associated with ILD (OR 2.56 CI 95% 1.5-7.2, p 0.04), DLCO &amp;amp;lt;70% (2.34 CI 93% 1.42-6.23, p 0.03), a late pattern in NFC (3.42 95% CI 1.42-7.25, p 0.002), presence of hemorrhages (OR 1.77 95% CI 1.24-8.23, p0.034) and avascular zones (OR 6.22 95% CI 2.54-10.3, p 0.021). Survival rates from diagnosis at 10 years were lower in patients with NFC with active a late pattern (40% and 20%) compared with those with normal, unspecific and early pattern (100%, 90% and 70%) (p = 0.008 by log rank test) (figure 1).&lt;/jats:p&gt;
               &lt;/jats:sec&gt;
               &lt;jats:sec&gt;
                  &lt;jats:title&gt;Conclusion&lt;/jats:title&gt;
                  &lt;jats:p&gt;NFC may be a potential biomarker in SSc for predicting novel severe organ involvement and/or progression and mortality. Abnormal capillary density, avascular areas and scleroderma pattern are predictors of overall severe organ involvement, peripheral vascular involvement, novel and progression of ILD and skin progression.&lt;/jats:p&gt;
                  &lt;jats:p/&gt;
               &lt;/jats:sec&gt;
               &lt;jats:sec&gt;
                  &lt;jats:title&gt;Disclosure&lt;/jats:title&gt;
                  &lt;jats:p&gt;C. Sieiro Santos: None. P. Pérez García: None. J. Ordas Martínez: None. C. Álvarez Castro: None. E. Díez Álvarez: None.&lt;/jats:p&gt;
               &lt;/jats:sec&gt;</t>
  </si>
  <si>
    <t>10.33024/hjk.v15i1.3791</t>
  </si>
  <si>
    <t>&lt;jats:p&gt;Social support and motivation to quit  on drugs abuse  among psychosocial rehabilitation clients at National Narcotics Agency (NNA) Background: The problem of illicit and drugs abuse in Indonesia is currently a disadvantage in developing the quality of human resources, especially the younger generation. Its condition has now reached an alarming level. In 2017, the prevalence of the number of drug abusers in Lampang Province reached 1.9%, ranking 3rd out of 10 Provinces in Sumatra and 8th out of 34 Provinces in Indonesia. The biggest factor influencing to users to quit of drugs abuse such as social and family support.Purpose:  To determine the relationship between social support and motivation to quit on drugs abuse among psychosocial rehabilitation clients at National Narcotics AgencyMethods: A quantitative research with cross-sectional approach. The data collection method uses a social support scale consisting of 29 items and the motivation scale of 22 items. Analyzed using the Spearman Rank product moment. The sample was the client of outpatient rehabilitation at National Narcotics Agency and taken by purposive sampling technique and obtained a sample of 200 respondents.Results: Finding of r value of 0.058 with P = 0.408, it means that there is a very significant positive relationship between social support and motivation to quit on drugs abuse among outpatient rehabilitation clients. The most respondents had of 62% of social support and of 55.5% had a motivation to quit on drugs abuse.Conclusion: The social support and motivation to quit on drugs abuse among outpatient rehabilitation clients at National Narcotics Agency Lampang Province was a quite high.Keywords: Social support; Motivation to quit; Drugs abuse; Psychosocial; Rehabilitation; Clients; National Narcotics AgencyPendahuluan : Masalah peredaran gelap dan penyalahgunaan narkoba di Indonesia saat ini sudah menjadi hambatan dalam proses pembangunan kualitas sumber daya manusia khususnya generasi muda. Perkembangannya saat ini sudah mencapai tingkat yang mengkhawatirkan serta meresahkan khususnya para orang tua dan masyarakat pada umumnya. Tahun 2017 prevalensi jumlah penyalahguna Narkoba di Provinsi Lampung mencapai angka 1,9 % menempati urutan ke-3 dari 10 Provinsi di Sumatera dan   urutan   ke-8   dari   34   Provinsi   di   Indonesia. Faktor   terbesar   yang mempengaruhi keberhasilan pengguna narkoba untuk berhenti menggunakan narkoba adalah  keluarga  berbentuk  dukungan  sosial,  dukungan  sosial  dalam  hal  ini  adalah dukungan dari orangtua dan keluarga. Dukungan ini akan membantu pengguna narkoba untuk benar-benar dapat berhenti menggunakan narkoba dan meninggalkan pergaulan lamanya.Tujuan : Diketahui hubungan antara dukungan  sosial  dengan motivasi  berhenti  menggunakan  narkoba  klien  rehab  rawat  jalan  di  BNN  Provinsi Lampung.Metode : Penelitian kuantitatif dengan pendekatan cross-sectional. Metode pengumpulan data menggunakan skala dukungan sosial yang terdiri dari 29 item dan skala motivasi 22 item. Dianalisa menggunakan product moment Spearman Rank. Sampelnya klien rawat jalan Badan Narkotika Nasional dan diambil dengan teknik purposive sampling dan diperoleh sampel sebanyak 200 responden.Hasil : Diperoleh hasil nilai r sebesar 0,058 dengan p = 0,408 dimana artinya ada hubungan positif yang sangat signifikan antara dukungan sosial dengan motivasi berhenti menggunakan narkoba pada klien rehab rawat jalan BNN Provinsi Lampung. Berdasarkan kategorisasi tingkat dukungan sosial mayoritas tinggi dan sangat tinggi dengan total jumlah dari kedua kategori tersebut sebanyak 124 (62%).  Untuk tingkat motivasi berhenti menggunakan narkoba mayoritas berada pada kategori  sedang dan tinggi dengan jumlah sebanyak 111 responden dengan persentase 55.5%.Simpulan: Dukungan dan motivasi sosial untuk berhenti dari penyalahgunaan NAPZA pada klien rehabilitasi rawat jalan di Badan Narkotika Nasional Provinsi Lampang cukup tinggi.&lt;/jats:p&gt;</t>
  </si>
  <si>
    <t>10.1093/eurjpc/zwac056.166</t>
  </si>
  <si>
    <t>&lt;jats:title&gt;Abstract&lt;/jats:title&gt;
               &lt;jats:sec&gt;
                  &lt;jats:title&gt;Funding Acknowledgements&lt;/jats:title&gt;
                  &lt;jats:p&gt;Type of funding sources: Public grant(s) – National budget only. Main funding source(s): Dutch Heart Foundation and ZonMw&lt;/jats:p&gt;
                  &lt;jats:p&gt;Goal setting within cardiac care: the effect of linking life goals to health goals on intention to change lifestyle in patients.&lt;/jats:p&gt;
               &lt;/jats:sec&gt;
               &lt;jats:sec&gt;
                  &lt;jats:title&gt;Background&lt;/jats:title&gt;
                  &lt;jats:p&gt;Initiating and maintaining a healthy lifestyle is difficult and often needs several attempts. Reaching health goals may become easier if linked to life goals (see Fig.1). Life goals, also described as abstract, long-term goals, reflect objectives that matter to people personally. Guidelines recommend goal setting to realise behaviour change in patients with cardiovascular disease (CVD). However, research is inconclusive about whether positive effects of lifestyle interventions can be attributed to linking life goals to health goals or to other intervention elements.&lt;/jats:p&gt;
               &lt;/jats:sec&gt;
               &lt;jats:sec&gt;
                  &lt;jats:title&gt;Purpose&lt;/jats:title&gt;
                  &lt;jats:p&gt;This experimental study examines the effect of linking a life goal to a health goal on intention to change lifestyle in patients with CVD.&lt;/jats:p&gt;
               &lt;/jats:sec&gt;
               &lt;jats:sec&gt;
                  &lt;jats:title&gt;Methods&lt;/jats:title&gt;
                  &lt;jats:p&gt;Research panel members of a CVD patient association were recruited for the online study via advertisement on the association’s website. Patients were randomised and controlled into two groups: setting a health goal (HG) and setting a health goal linked to a life goal (+LG). Based on the Theory of Planned Behavior (see Fig.2) and previous research, main outcome measure ‘intention to change lifestyle’ was assessed using a visual analogue scale ranging 0-10 (low to high). Effect of group (HG vs +LG) on intention to change lifestyle (high vs low) was analysed using logistic regression. Gender, age, education level, and type of CVD were entered as possible effect modifiers.&lt;/jats:p&gt;
               &lt;/jats:sec&gt;
               &lt;jats:sec&gt;
                  &lt;jats:title&gt;Results&lt;/jats:title&gt;
                  &lt;jats:p&gt;Patients (N=628) were mostly male (61%), with a mean age of 69±35 years, and medium (33%) or high (47%) education level. In both groups, HG and +LG, 47% of the patients expressed high intention to change lifestyle. Logistic regression showed no effect of group (HG vs +LG) on intention, OR:0.98 (95%CI: 0.72–1.35, p=0.92). Only education level appeared to be an effect modifier, X²(2):8.2, p=0.02; showing that linking a life goal to a health goal was effective in patients with a high education level. Contrary to this, setting a life goal negatively affected intention in patients with a low education level. Among patients with a high education level, percentage of 'high intention' was higher in the +LG group (57%) than in the HG group (45%). In contrast, among patients with a low education level, percentage of 'high intention' was higher in the HG group (48%) than in the +LG group (36%).&lt;/jats:p&gt;
               &lt;/jats:sec&gt;
               &lt;jats:sec&gt;
                  &lt;jats:title&gt;Conclusions&lt;/jats:title&gt;
                  &lt;jats:p&gt;This study showed no main effect of linking a life goal to a health goal on patients’ intention to change lifestyle. Education level was found to be a significant effect modifier. Patients with a high education level significantly benefitted from linking a life goal to a health goal. Patients with lower education levels benefitted most from setting only a health goal. In conclusion, within practice, health care providers may personalise their approach towards goal setting based on patients’ education level.&lt;/jats:p&gt;
               &lt;/jats:sec&gt;</t>
  </si>
  <si>
    <t>10.1136/bmj-2023-078242</t>
  </si>
  <si>
    <t>&lt;jats:title&gt;Abstract&lt;/jats:title&gt;
          &lt;jats:sec&gt;
            &lt;jats:title&gt;Objective&lt;/jats:title&gt;
            &lt;jats:p&gt;To determine whether the combined use of glucagon-like peptide-1 (GLP-1) receptor agonists and sodium-glucose cotransporter-2 (SGLT-2) inhibitors is associated with a decreased risk of major adverse cardiovascular events and serious renal events compared with either drug class alone among patients with type 2 diabetes, and to assess the effect of the combination on the individual components of major adverse cardiovascular events, heart failure, and all cause mortality.&lt;/jats:p&gt;
          &lt;/jats:sec&gt;
          &lt;jats:sec&gt;
            &lt;jats:title&gt;Design&lt;/jats:title&gt;
            &lt;jats:p&gt;Population based cohort study using a prevalent new-user design, emulating a trial.&lt;/jats:p&gt;
          &lt;/jats:sec&gt;
          &lt;jats:sec&gt;
            &lt;jats:title&gt;Setting&lt;/jats:title&gt;
            &lt;jats:p&gt;UK Clinical Practice Research Datalink linked to Hospital Episode Statistics Admitted Patient Care and Office for National Statistics databases.&lt;/jats:p&gt;
          &lt;/jats:sec&gt;
          &lt;jats:sec&gt;
            &lt;jats:title&gt;Participants&lt;/jats:title&gt;
            &lt;jats:p&gt;Two prevalent new-user cohorts were assembled between January 2013 and December 2020, with follow-up until the end of March 2021. The first cohort included 6696 patients who started GLP-1 receptor agonists and added on SGLT-2 inhibitors, and the second included 8942 patients who started SGLT-2 inhibitors and added on GLP-1 receptor agonists. Combination users were matched, in a 1:1 ratio, to patients prescribed the same background drug, duration of background drug, and time conditional propensity score.&lt;/jats:p&gt;
          &lt;/jats:sec&gt;
          &lt;jats:sec&gt;
            &lt;jats:title&gt;Main outcome measures&lt;/jats:title&gt;
            &lt;jats:p&gt;Cox proportional hazards models were fitted to estimate the hazard ratios and 95% confidence intervals of major adverse cardiovascular events and serious renal events, separately, comparing the GLP-1 receptor agonist-SGLT-2 inhibitor combination with the background drug, either GLP-1 receptor agonists or SGLT-2 inhibitors, depending on the cohort. Secondary outcomes included associations with the individual components of major adverse cardiovascular events (myocardial infarction, ischaemic stroke, cardiovascular mortality), heart failure, and all cause mortality.&lt;/jats:p&gt;
          &lt;/jats:sec&gt;
          &lt;jats:sec&gt;
            &lt;jats:title&gt;Results&lt;/jats:title&gt;
            &lt;jats:p&gt;
              Compared with GLP-1 receptor agonists, the SGLT-2 inhibitor-GLP-1 receptor agonist combination was associated with a 30% lower risk of major adverse cardiovascular events (7.0
              &lt;jats:italic&gt;v&lt;/jats:italic&gt;
              10.3 events per 1000 person years; hazard ratio 0.70, 95% confidence interval 0.49 to 0.99) and a 57% lower risk of serious renal events (2.0
              &lt;jats:italic&gt;v&lt;/jats:italic&gt;
              4.6 events per 1000 person years; hazard ratio 0.43, 0.23 to 0.80). Compared with SGLT-2 inhibitors, the GLP-1 receptor agonist-SGLT-2 inhibitor combination was associated with a 29% lower risk of major adverse cardiovascular events (7.6
              &lt;jats:italic&gt;v&lt;/jats:italic&gt;
              10.7 events per 1000 person years; hazard ratio 0.71, 0.52 to 0.98), whereas serious renal events generated a wide confidence interval (1.4
              &lt;jats:italic&gt;v&lt;/jats:italic&gt;
              2.0 events per 1000 person years; hazard ratio 0.67, 0.32 to 1.41). Secondary outcomes generated similar results but with wider confidence intervals.
            &lt;/jats:p&gt;
          &lt;/jats:sec&gt;
          &lt;jats:sec&gt;
            &lt;jats:title&gt;Conclusions&lt;/jats:title&gt;
            &lt;jats:p&gt;In this cohort study, the GLP-1 receptor agonist-SGLT-2 inhibitor combination was associated with a lower risk of major adverse cardiovascular events and serious renal events compared with either drug class alone.&lt;/jats:p&gt;
          &lt;/jats:sec&gt;</t>
  </si>
  <si>
    <t>10.26456/vtphilos/2022.3.126</t>
  </si>
  <si>
    <t>&lt;jats:p&gt;Целью статьи является анализ философских учений стоиков, основные установки которых сегодня плодотворно используются в методиках когнитивно-поведенческой терапии. Основной метод исследования - анализ практически ориентированной философии стоиков, учение которых обладает терапевтической ценностью, являясь средством воздействия не столько на диагностику психологических нарушений, сколько на тех, кто хочет научиться управлять своими умственными представлениями, целенаправленно изменяя своё поведение в течение всей жизни. Результатами исследования являются сравнительный анализ основных положений учения стоиков и методов современной когнитивно-сравнительной терапии. Заслуга автора статьи состоит в доказательстве, что когнитивно-поведенческая терапия фокусируется на кратковременных целях, которые определяются диагнозом и ограничены во времени, в то время как жизненная философия стоицизма способна вносить глубины и безвременные изменения в образ жизни и мировоззрение человека. Теоретическая и практическая значимость статьи заключается в доказательстве, что философия стоиков, которую сегодня рассматривают в качестве западной разновидности буддизма и альтернативы современной академической философии, это философия, которая направлена на практическое применение мудрости этического идеала в жизни каждого человека; способность сформировать личную жизненную установку справиться с любой жизненной ситуацией средствами своего разума и управления эмоциями. Автору удалось углубить предложенную проблематику, что может быть использовано для дальнейшего теоретического анализа и применено для практической работы.&lt;/jats:p&gt;
                                                                                            &lt;jats:p&gt;The purpose of the article is to analyze the philosophical teachings of the Stoics, the main principles of which are now fruitfully used in the methods of cognitive-behavioral therapy. The main method of research is the analysis of the practically oriented philosophy of the Stoics, whose teaching has therapeutic value, being a means of influencing not so much the diagnosis of psychologicaldisorders, but those who constantly want to learn how to control their mental representations, purposefully changing their behavior throughout their lives. The results of the study are a comparative analysis of the main provisions of the teachings of the Stoics and the methods of modern cognitive-comparative therapy. The merit of the authors of the article lies in proving that cognitive behavioral therapy focuses on short-term goals that are determined by the diagnosis and limited in time, while the philosophy of life of stoicism is able to make profound and timeless changes in the way of life, decision and worldview. sight of an aged person. The theoretical and practical significance of which the articles wrote lies in Seneca's proof, each of which philosophy appeals to the Stoics, therefore which third philosophers today consider each as a free western version of its own kind of therapy of Buddhism ways and alternatives within the limits of modern to leave the academic life of philosophy, - this is the Stoic philosophy, which can be directed to the state of practical opinion, the application of the solution of wisdom, the therapy of ethical people, the ideal, the fruits in the life of the philosophy of each, to see a person's difficulties, the ability to change, to form a guiltily personal age, the life of the third attitude, the conviction to cope with any theory requires life, therefore, the situation is called means schools of their own when the mind means and control the opinion of emotions. Therefore, the authors succeeded in the intention to deepen the problems proposed by each, today that the concept can be used by the spiritual for the therapy of further personal theoretical development of the analysis lies and is applied to the age for diseases of the practical situation of work.&lt;/jats:p&gt;</t>
  </si>
  <si>
    <t>10.16980/jitc.20.4.202408.159</t>
  </si>
  <si>
    <t>&lt;jats:p/&gt;</t>
  </si>
  <si>
    <t>10.5840/questions20232328</t>
  </si>
  <si>
    <t>10.56640/mbr.2023.27.737</t>
  </si>
  <si>
    <t>10.62989/jes2024.1.5.20</t>
  </si>
  <si>
    <t>10.5840/maritain2023391</t>
  </si>
  <si>
    <t>10.5840/jsce202343117</t>
  </si>
  <si>
    <t>10.5840/tpm2023999</t>
  </si>
  <si>
    <t>10.21802/artm.2022.4.24.187</t>
  </si>
  <si>
    <t>10.53106/279069732713</t>
  </si>
  <si>
    <t>10.5840/fichte2020482</t>
  </si>
  <si>
    <t>10.21802/artm.2023.3.27.36</t>
  </si>
  <si>
    <t>10.5840/fichte20204829</t>
  </si>
  <si>
    <t>10.51769/bmgn-lchr.19838</t>
  </si>
  <si>
    <t>10.53106/241553062024110097010</t>
  </si>
  <si>
    <t>10.35611/jkt.2024.28.8.91</t>
  </si>
  <si>
    <t>10.2196/31275</t>
  </si>
  <si>
    <t>&lt;jats:p /&gt;</t>
  </si>
  <si>
    <t>10.15388/litera.2023.65.3.1</t>
  </si>
  <si>
    <t>10.2196/35850</t>
  </si>
  <si>
    <t>10.31973/aj.v16i16.2121</t>
  </si>
  <si>
    <t>&lt;jats:p&gt;.&lt;/jats:p&gt;</t>
  </si>
  <si>
    <t>10.21682/2311-1267-2023-10-4-69-71</t>
  </si>
  <si>
    <t>10.1558/jsa.23699</t>
  </si>
  <si>
    <t>10.58923/diskutime.v7i23.569</t>
  </si>
  <si>
    <t>10.24833/0869-0049-2000-4-186-193</t>
  </si>
  <si>
    <t>10.26452/fjphs.v1i3.218</t>
  </si>
  <si>
    <t>&lt;jats:p&gt;1&lt;/jats:p&gt;</t>
  </si>
  <si>
    <t>10.26457/lrf.v143i143.4348</t>
  </si>
  <si>
    <t>10.31743/abmk.8560</t>
  </si>
  <si>
    <t>&lt;jats:p&gt;-&lt;/jats:p&gt;</t>
  </si>
  <si>
    <t>10.31743/abmk.6973</t>
  </si>
  <si>
    <t>10.17843/rpmesp.2020.374.6205</t>
  </si>
  <si>
    <t>10.33683/didit.21.01.12</t>
  </si>
  <si>
    <t>10.24833/0869-0049-2007-4-50-62</t>
  </si>
  <si>
    <t>10.31743/abmk.12491</t>
  </si>
  <si>
    <t>10.4038/sljid.v13i5.8642</t>
  </si>
  <si>
    <t>&lt;jats:p&gt;NA&lt;/jats:p&gt;</t>
  </si>
  <si>
    <t>10.53386/nilq.v52i1.647</t>
  </si>
  <si>
    <t>&lt;jats:p&gt;N/A&lt;/jats:p&gt;</t>
  </si>
  <si>
    <t>10.5195/jlc.2020.189</t>
  </si>
  <si>
    <t>&lt;jats:p&gt;n/a&lt;/jats:p&gt;</t>
  </si>
  <si>
    <t>10.32719/26312514.2025.11.12</t>
  </si>
  <si>
    <t>10.53386/nilq.v53i2.688</t>
  </si>
  <si>
    <t>10.37667/pk.2021.1182</t>
  </si>
  <si>
    <t>10.5811/westjem.2022.12.57735</t>
  </si>
  <si>
    <t>10.31070/rm2025cas01</t>
  </si>
  <si>
    <t>&lt;jats:p&gt;None&lt;/jats:p&gt;</t>
  </si>
  <si>
    <t>10.5944/signa.vol32.2023.33615</t>
  </si>
  <si>
    <t>&lt;jats:p&gt;Reseña&lt;/jats:p&gt;</t>
  </si>
  <si>
    <t>10.55422/bbmp.966</t>
  </si>
  <si>
    <t>10.12681/grsr.40220</t>
  </si>
  <si>
    <t>&lt;jats:p&gt;N/A_x000D_
 &lt;/jats:p&gt;</t>
  </si>
  <si>
    <t>10.36322/jksc.v2i62.899</t>
  </si>
  <si>
    <t>&lt;jats:p&gt;لا يوجد&lt;/jats:p&gt;</t>
  </si>
  <si>
    <t>10.31857/s086956870017297-7</t>
  </si>
  <si>
    <t>&lt;jats:p&gt;        &lt;/jats:p&gt;</t>
  </si>
  <si>
    <t>10.46583/adc_2024.15.1144</t>
  </si>
  <si>
    <t>&lt;jats:p&gt;Recensión&lt;/jats:p&gt;</t>
  </si>
  <si>
    <t>10.15210/sah.v7i2.18922</t>
  </si>
  <si>
    <t>&lt;jats:p&gt;Editorial&lt;/jats:p&gt;</t>
  </si>
  <si>
    <t>10.15581/004.39.39780</t>
  </si>
  <si>
    <t>&lt;jats:p&gt; &amp;#x0D;
 &lt;/jats:p&gt;</t>
  </si>
  <si>
    <t>10.15581/008.39.1.5-11</t>
  </si>
  <si>
    <t>10.15581/008.36.40115</t>
  </si>
  <si>
    <t>10.18542/cepec.v11i2.15148</t>
  </si>
  <si>
    <t>&lt;jats:p&gt;Apresentação&lt;/jats:p&gt;</t>
  </si>
  <si>
    <t>10.70493/cod31.v2i2.10190</t>
  </si>
  <si>
    <t>&lt;jats:p&gt;Não se aplica&lt;/jats:p&gt;</t>
  </si>
  <si>
    <t>10.32739/uha.id.44499</t>
  </si>
  <si>
    <t>&lt;jats:p&gt;Acil psikiyatri&lt;/jats:p&gt;</t>
  </si>
  <si>
    <t>10.5194/isprs-annals-x-4-2024-1-2024</t>
  </si>
  <si>
    <t>&lt;jats:p&gt;
                    &lt;/jats:p&gt;</t>
  </si>
  <si>
    <t>10.4102/sajid.v37i2.376</t>
  </si>
  <si>
    <t>&lt;jats:p&gt;No abstract avaialble.&lt;/jats:p&gt;</t>
  </si>
  <si>
    <t>10.11606/issn.2525-8133.opiniaes.2020.172908</t>
  </si>
  <si>
    <t>&lt;jats:p&gt;Texto de criação literária.&lt;/jats:p&gt;</t>
  </si>
  <si>
    <t>10.1039/d2fo02382b</t>
  </si>
  <si>
    <t>&lt;jats:p&gt;The work flow of the study.&lt;/jats:p&gt;</t>
  </si>
  <si>
    <t>10.21248/hgbll.2020.228</t>
  </si>
  <si>
    <t>&lt;jats:p&gt;Vollständiger Rezensionsteil&lt;/jats:p&gt;</t>
  </si>
  <si>
    <t>10.2174/157341101808220922100306</t>
  </si>
  <si>
    <t>&lt;jats:sec&gt;
&lt;jats:title /&gt;
&lt;jats:p /&gt;
&lt;/jats:sec&gt;</t>
  </si>
  <si>
    <t>10.2174/092986733031230419122610</t>
  </si>
  <si>
    <t>10.12681/psy_hps.24002</t>
  </si>
  <si>
    <t>&lt;jats:p&gt;ABSTRACT IS AVAILABLE IN THE PDF&lt;/jats:p&gt;</t>
  </si>
  <si>
    <t>10.36677/lacolmena.v0i110.16645</t>
  </si>
  <si>
    <t>&lt;jats:p&gt;Selección de obra de arte visual.&lt;/jats:p&gt;</t>
  </si>
  <si>
    <t>10.3390/diagnostics15030391</t>
  </si>
  <si>
    <t>&lt;jats:p&gt;In the original publication [...]&lt;/jats:p&gt;</t>
  </si>
  <si>
    <t>10.15448/1984-6746.2020.3.39772</t>
  </si>
  <si>
    <t>&lt;jats:p&gt;Apresentação do v. 65, n. 3, 2020.&lt;/jats:p&gt;</t>
  </si>
  <si>
    <t>10.14712/25337637.2023.15</t>
  </si>
  <si>
    <t>&lt;jats:p&gt;Text translated by Jakub Sirovátka.&lt;/jats:p&gt;</t>
  </si>
  <si>
    <t>10.17851/1982-0739.25.1.291-296</t>
  </si>
  <si>
    <t>&lt;jats:p&gt;Entrevista com Jacyntho Lins Brandão &lt;/jats:p&gt;</t>
  </si>
  <si>
    <t>10.17816/jowd117-8849-850</t>
  </si>
  <si>
    <t>&lt;jats:p&gt;(Medical Review 1897 February p. 203).&lt;/jats:p&gt;</t>
  </si>
  <si>
    <t>10.1038/ndigest.2021.211013</t>
  </si>
  <si>
    <t>&lt;jats:p&gt;雄と雌のラットをつなぎ合わせる実験の価値に、研究者たちは疑問を投げ掛けている。&lt;/jats:p&gt;</t>
  </si>
  <si>
    <t>10.5771/0030-3690-2022-5-054</t>
  </si>
  <si>
    <t>&lt;p&gt;Puccini: Il trittico
BRÜSSEL | THÉÂTRE LA MONNAIE&lt;/p&gt;</t>
  </si>
  <si>
    <t>10.1002/citp.202070406</t>
  </si>
  <si>
    <t>&lt;jats:p&gt;Nachrichten aus wirtschaft und Produktion&lt;/jats:p&gt;</t>
  </si>
  <si>
    <t>10.32739/uha.id.60110</t>
  </si>
  <si>
    <t>&lt;jats:p&gt;The Communication Path from Me to 'We'...&lt;/jats:p&gt;</t>
  </si>
  <si>
    <t>10.2340/actadv.v103.9405</t>
  </si>
  <si>
    <t>&lt;jats:p&gt;Abstract is missing (Short communication)&lt;/jats:p&gt;</t>
  </si>
  <si>
    <t>10.1002/for.2701</t>
  </si>
  <si>
    <t>&lt;jats:p&gt;No abstract is available for this article.&lt;/jats:p&gt;</t>
  </si>
  <si>
    <t>10.1111/rec3.12328</t>
  </si>
  <si>
    <t>10.1002/jrs.6396</t>
  </si>
  <si>
    <t>10.1111/ffe.14338</t>
  </si>
  <si>
    <t>10.1111/medu.15433</t>
  </si>
  <si>
    <t>10.22201/iifs.18704913e.2021.86.1589</t>
  </si>
  <si>
    <t>&lt;jats:p&gt;Las reseñas bibliográficas no cuentan con resumen&lt;/jats:p&gt;</t>
  </si>
  <si>
    <t>10.30827/dreh.23.2025.32587</t>
  </si>
  <si>
    <t>&lt;jats:p&gt;Informaciones sobre la historia y el funcionamiento&lt;/jats:p&gt;</t>
  </si>
  <si>
    <t>10.1097/hs9.0000000000000364</t>
  </si>
  <si>
    <t>&lt;jats:p&gt;Supplemental Digital Content is available in the text&lt;/jats:p&gt;</t>
  </si>
  <si>
    <t>10.3390/nu12030875</t>
  </si>
  <si>
    <t>&lt;jats:p&gt;We read with interest the manuscript by Vidot et al [...]&lt;/jats:p&gt;</t>
  </si>
  <si>
    <t>10.1039/d0ra09819a</t>
  </si>
  <si>
    <t>&lt;p&gt;Monoterpenoid indole alkaloids from &lt;italic&gt;Melodinus henryi&lt;/italic&gt;&lt;/p&gt;</t>
  </si>
  <si>
    <t>10.53126/meb44046</t>
  </si>
  <si>
    <t>&lt;jats:p&gt;Qualità della relazione genitori figli ed esiti in età adulta&lt;/jats:p&gt;</t>
  </si>
  <si>
    <t>10.12968/gasn.2024.22.sup1.s4</t>
  </si>
  <si>
    <t>&lt;jats:p&gt; A brief overview of recently published articles on hepatology &lt;/jats:p&gt;</t>
  </si>
  <si>
    <t>10.1177/15365042231192503</t>
  </si>
  <si>
    <t>&lt;jats:p&gt; Stefan Vogler and Valerie Jenness on community views toward cops. &lt;/jats:p&gt;</t>
  </si>
  <si>
    <t>10.1039/d0fo02848g</t>
  </si>
  <si>
    <t>&lt;p&gt;Puerarin alleviates the symptoms of irritable bowel syndrome-diarrhea in rats.&lt;/p&gt;</t>
  </si>
  <si>
    <t>10.3390/nanoenergyadv3010002</t>
  </si>
  <si>
    <t>&lt;jats:p&gt;High-quality academic publishing is built on rigorous peer review [...]&lt;/jats:p&gt;</t>
  </si>
  <si>
    <t>10.15741/revbio.08suppl.e1102</t>
  </si>
  <si>
    <t>&lt;jats:p&gt;Memorias del 3er Coloquio de Nutrigenómica y Biotecnología Acuícola 2020&lt;/jats:p&gt;</t>
  </si>
  <si>
    <t>10.1038/ndigest.2022.220134</t>
  </si>
  <si>
    <t>&lt;jats:p&gt;前回は、研究課題を明確に確立するために、新規性と関連性を検討し、練り上げました。今回は、確立した研究課題に付随する「目的」を練り上げていきましょう。&lt;/jats:p&gt;</t>
  </si>
  <si>
    <t>10.15353/cfs-rcea.v7i1.411</t>
  </si>
  <si>
    <t>&lt;jats:p&gt;Book review of Indigenous Food Systems: Concepts, Cases and Conversations.&lt;/jats:p&gt;</t>
  </si>
  <si>
    <t>10.18502/ijph.v49i10.4715</t>
  </si>
  <si>
    <t>&lt;jats:p&gt;_x000D_
_x000D_
_x000D_
_x000D_
_x000D_
_x000D_
_x000D_
The article's abstract is not available._x000D_
_x000D_
_x000D_
_x000D_
_x000D_
_x000D_
_x000D_
_x000D_
_x000D_
 _x000D_
&lt;/jats:p&gt;</t>
  </si>
  <si>
    <t>10.1002/ppp.2236</t>
  </si>
  <si>
    <t>&lt;jats:sec&gt;&lt;jats:label/&gt;&lt;jats:p&gt;No abstract is available for this article.&lt;/jats:p&gt;&lt;/jats:sec&gt;</t>
  </si>
  <si>
    <t>10.3390/jdb10010008</t>
  </si>
  <si>
    <t>&lt;jats:p&gt;Rigorous peer-reviews are the basis of high-quality academic publishing [...]&lt;/jats:p&gt;</t>
  </si>
  <si>
    <t>10.1039/d2tb02817d</t>
  </si>
  <si>
    <t>&lt;jats:p&gt;Nanotechnology is an effective way to stimulate the yield potential of crops.&lt;/jats:p&gt;</t>
  </si>
  <si>
    <t>10.1126/science.adp4370</t>
  </si>
  <si>
    <t>&lt;jats:p&gt;DNA particles are programmed to assemble with precision into complex lattices&lt;/jats:p&gt;</t>
  </si>
  <si>
    <t>10.30712/guara.v2i14-a.42947</t>
  </si>
  <si>
    <t>&lt;jats:p&gt;Centro de Artes: Anais da X Jornada de Integrada de Extensão e Cultura da UFES&lt;/jats:p&gt;</t>
  </si>
  <si>
    <t>10.1039/d4nj03085k</t>
  </si>
  <si>
    <t>&lt;jats:p&gt;A schematic illustration of the octopus-like shaped PGH@AgNPs capturing bacteria.&lt;/jats:p&gt;</t>
  </si>
  <si>
    <t>10.1126/science.373.6556.723</t>
  </si>
  <si>
    <t>&lt;jats:p&gt;IPCC science analysis concludes human role ‘unequivocal’ and impact ‘unprecedented’&lt;/jats:p&gt;</t>
  </si>
  <si>
    <t>10.12968/s0013-7758(22)90421-0</t>
  </si>
  <si>
    <t>&lt;jats:p&gt; The UK’s efforts to cut carbon emissions could come at a price for natural habitats &lt;/jats:p&gt;</t>
  </si>
  <si>
    <t>10.3390/coatings14040447</t>
  </si>
  <si>
    <t>&lt;jats:p&gt;Since 2021, I have been working on a very exciting research project leaded by Prof [...]&lt;/jats:p&gt;</t>
  </si>
  <si>
    <t>10.1039/d0me00038h</t>
  </si>
  <si>
    <t>&lt;p&gt;Design and considerations for all organic, redox-active, deep eutectic solvents for energy storage.&lt;/p&gt;</t>
  </si>
  <si>
    <t>book-chapter:None</t>
  </si>
  <si>
    <t>10.22201/ch.9786073075022e.2023.ca</t>
  </si>
  <si>
    <t>&lt;jats:p&gt;Ecología, medio ambiente y sustentabilidad es una obra estructurada por doce capítulos entrelazados argumentativamente, que aborda un fenómeno complejo e interdisciplinario desde aproximaciones metodológicas y teóricas diversas, pero interrelacionadas en los tres ejes que dan subtítulo al libro. La visión científica y experiencia de sus coordinadores se refleja en los estándares de investigación que dan coherencia metodológica al libro, guiando los contenidos con un nivel de calidad que contribuye a la comprensión formal de un fenómeno que impactó de manera ubicua en las sociedades contemporáneas. Entre los trabajos académicos que inundaron los medios editoriales digitales desde marzo de 2020, algunos se caracterizaron por su apresurado análisis, otros por la incorporación de datos no relacionados y predicciones sin soporte científico, y también observamos trabajos científicos disciplinares que contribuían a entender los alcances plausibles de la pandemia. Ecología, medio ambiente y sustentabilidad es un proyecto en español que tiene las características mencionadas: es un trabajo científico sofisticado e interdisciplinario, que ofrece la confiabilidad de la información, incorpora trabajos que recurren a uso de plataformas geoespaciales, propone el análisis del fenómeno desde metodologías de modelación epidemiológica y ejemplifica el trabajo cooperativo entre especialistas en ecología, medio ambiente y sustentabilidad. “La pandemia de COVID-19 en el Antropoceno” es el título que da inicio al libro y al capítulo uno, y retoma un concepto clave que guía los diversos capítulos de la obra, el Antropoceno. El capítulo dos se enfoca en las “Reflexiones de la pandemia de COVID-19 desde la ecología y Una Salud”. “Estado global de la degradación de los ecosistemas en la década de la pandemia de COVID-19” es el título del capítulo tres que ubica la crisis pandémica en un horizonte más amplio proporcionando herramientas teórico-metodológicas para estudiar la relación entre dos grandes crisis. El cuarto capítulo “La evolución zoonótica: la compleja interacción entre los virus, el ser humano y su ambiente” presenta diversas tesis y resultados de investigación para entender cómo la salud ambiental y la salud humana están íntimamente conectadas. “Paisajes antropogénicos de México y zoonosis: hacia la construcción de paisajes sostenibles y saludables” es el título del quinto capítulo que expone en una intrincada y bien estructurada relación antropogénica a las enfermedades infecciosas. El capítulo seis “Zoonosis de importancia en salud pública en México: un enfoque integral” permite entender con mayor amplitud el entramado del capítulo cinco. El capítulo siete presenta “Nuestros aliados alados: origen y diversidad de los murciélagos y los servicios ecosistémicos que nos proporcionan”, como una de las aproximaciones científicas para reconocer el lugar e importancia de los murciélagos. “Responsabilidad de México como agente activo en el comercio de animales silvestres para mascotas” es otro de los temas relevantes del libro y se presenta en el capítulo ocho, tomando como horizonte conceptual la iniciativa Una Sola Salud, Un solo planeta. “Modelos epidemiológicos y COVID-19” es el título del capítulo nueve que argumenta la importancia del modelado matemático en los procesos de investigación científica de epidemias, a su vez, utilizado para guiar las estrategias de enfrentamiento de esta enfermedad. El capítulo diez presenta “El papel de las plataformas geoespaciales de monitoreo epidemiológico en la mitigación de las pandemias”. “Efectos de la pandemia por COVID-19 en la contaminación ambiental”, es parte del capítulo once. En un capítulo final “Ecología, medio ambiente y sustentabilidad. Conclusiones y perspectivas”, los coordinadores ofrecen las principales conclusiones que se derivan de los capítulos previos. Este libro sin duda contribuye como un texto de referencia para entender las bases científicas de un fenómeno como la pandemia por COVID-19 y, al mismo tiempo, nos invita a integrar aproximaciones desde otras experiencias interdisciplinarias que disuelvan el impacto negativo de la desinformación. &lt;/jats:p&gt;</t>
  </si>
  <si>
    <t>10.22201/ch.9786073075022e.2023.c1</t>
  </si>
  <si>
    <t>&lt;jats:p&gt;La pandemia de COVID-19 ha ocasionado el fallecimiento de cerca de siete millones de personas. Un problema inicial de salud pública se convirtió en una crisis mundial con impactos muy importantes en el ámbito social, económico y político (Dobson et al., 2020; Maire et al., 2022). La cooperación internacional se vio claramente superada por la falta de acciones coordinadas para atender problemas que van desde la falta de información sobre la situación de la pandemia hasta la implementación de medidas adecuadas para enfrentar y disminuir sus impactos a nivel global. Se ha puesto en evidencia la desigualdad no sólo en términos de los sistemas de salud públicos y privados, sino en las grandes desigualdades sociales y económicas entre países. La Comisión Lancet COVID-19, en un reporte reciente, hace un análisis muy detallado sobre lo ocurrido en los años de pandemia y propone una serie de medidas para construir: “una nueva era de cooperación multilateral sólida basada en las instituciones de las Naciones Unidas que reduzca los peligros del COVID-19, enfrente la siguiente pandemia, y alcance las metas acordadas por los miembros de la Naciones Unidas sobre el desarrollo sustentable, los  derechos humanos y la paz” (Sachs et al., 2022: 1224). La rápida respuesta y el desarrollo de múltiples vacunas es una muestra de que la cooperación entre científicos, gobiernos y empresas, así como el financiamiento oportuno, puede lograr avances sustanciales para la solución de un problema común. Sin embargo, la falta de una coordinación multilateral internacional ha puesto en evidencia problemas de propiedad intelectual, transferencia biotecnológica, financiamiento a la investigación científica, distribución de las vacunas y su aplicación. La mayoría de los países, incluyendo México, no cuentan con la infraestructura ni el financiamiento o las políticas institucionales que se requieren para atender una crisis sanitaria de la magnitud de la pandemia actual, lo que muestra las profundas desigualdades institucionales existentes. Un aspecto fundamental para entender integralmente la pandemia del COVID-19 y, en general, es analizar los procesos ecológicos y evolutivos involucrados para diferenciar los factores inmediatos o proximales (el papel de la interacción genes-función-ambiente) de los evolutivos (la aparición y persistencia de nuevas variantes virales) (Stearns y Koella, 2008). En un momento en donde se valora y cuestiona el papel de los humanos en la transformación del planeta Tierra, es central entender cómo esta transformación ha catalizado la emergencia de nuevas pandemias como las que hemos padecido en los últimos años. Lamentablemente, al igual que otras eras geológicas caracterizadas por la extinción de especies, el Antropoceno está también definido por la llamada Sexta Extinción Masiva de la Biodiversidad, la cual es la más intensa registrada en la historia de la vida sobre la Tierra (Ricketts et al., 2005; Pimm et al., 2014; Ceballos et al., 2015). El planeta Tierra vive una crisis ambiental sin precedentes, con un alto riesgo de que muchos de sus procesos naturales alterados negativamente se vuelvan irreversibles. La destrucción de los ecosistemas naturales y la alteración del clima por las actividades humanas han llegado a tal punto que tardarán décadas en recuperarse. Los Objetivos del Desarrollo Sostenible enunciados por acuerdo de los países miembro de las Naciones Unidas, en la famosa Agenda 2030, reflejan la gran preocupación por trazar nuevas rutas para reconstruir un mundo mejor para el sostén de la vida de ésta y la de las futuras generaciones. Sin embargo, la pandemia de COVID-19 vino a evidenciar las limitaciones y los alcances reales de cada uno de los países para alcanzar estos objetivos y en muchos casos obligó a los gobiernos a reasignar los recursos disponibles hacia la contención de la pandemia y desviar las políticas encaminadas al cumplimiento de estos objetivos.&lt;/jats:p&gt;</t>
  </si>
  <si>
    <t>10.4018/979-8-3693-2346-5.ch019</t>
  </si>
  <si>
    <t>&lt;jats:p&gt;A contemporary product of technology is digitalization. The process of digitalization is rapidly gaining momentum; in fact, it can be attributed to the Industrial Revolution 4.0. Though the concept of financial inclusion was initially presented by the RBI in 2005, it was popularized by the Indian Prime Minister in 2014. The objective was to render financial services accessible to all strata of society, particularly the underprivileged and the economically weaker sections. Digital financial inclusion refers to the availability of various financial services in the digital mode, providing access to receive or make payments, transfer, and store value in the electronic mode with any financial institution. India predominantly remains an agrarian economy; hence, the objective is to examine how digital financial services/schemes would empower farmers. Financial institutions play a major role in financial inclusion. The prime focus of financial inclusion is to educate farmers to open bank accounts, and this is apparent in one of the financial inclusion schemes Jhan Dhan Yojana. Digital financial and technology schemes will help the farmers to improve their agricultural productivity through the use of higher yielding varieties of seeds, reduce water wastage, and improve sustainability. The present study attempts to identify and analyze the impact of digital financial schemes that would benefit the farmers in earning better remuneration and in improving agricultural productivity. The study is conceptual in nature and is based on secondary data. The India Digital Ecosystem of Agriculture (IDEA) framework has been introduced by the Indian Government, whereby the farmers' database will be provided to avail benefits and link them with digitalized land records. There are other schemes namely National e-Governance Plan in Agriculture (NeGP-A), National Agriculture Market (e-NAM), and Agriculture Infrastructure Fund (AIF) which relate to digital connectivity. The theoretical framework applicable to the study is the ‘Public Good Theory of Financial Inclusion' which states that there ought to be an unhindered access to finance for all. Furthermore, finance must be considered as a common good which is meant to benefit everyone. Another theory is the ‘Loanable Funds Theory', which relates to the demand for and supply of loanable funds that can be made available to farmers in the form of micro credit. This can be done by setting up micro-finance institutions. One of the expected benefits of digital agriculture is that it improves the socio-economic status of farmers, increased agricultural productivity, low cost of production, efficient use of soil and water resources. Furthermore, farmers can purchase modern agricultural equipment and machines through the provision of subsidies by the government.&lt;/jats:p&gt;</t>
  </si>
  <si>
    <t>10.1007/978-981-19-4029-3_3</t>
  </si>
  <si>
    <t>&lt;jats:title&gt;Abstract&lt;/jats:title&gt;&lt;jats:p&gt;This chapter identifies the overall trends in Japan’s official development assistance (ODA) policies for the health sector in developing countries from 1990 to 2020 and its future post-COVID-19 prospects. Since the end of the Cold War, watershed events have repeatedly changed the landscape of international cooperation in the health sector. Like other international aid donors, Japan has devised priorities and strategies for ODA based on a set of international and domestic factors in a constantly changing world. Numerous studies on Japan’s ODA have examined international and domestic factors that impact the formulation of the country’s aid policy. This chapter aims to add to those studies by combining recent debates on international cooperation and foreign aid, the right to health, and world health system reforms to explore and analyze Japan’s ODA for health in developing countries. The guiding research questions were as follows: What were the major trends in Japan’s ODA policies in the health sector from 1990 to 2020? Which international health debates and international cooperation factors exerted influence on those trends? What are the prospects of Japan’s ODA given the COVID-19 pandemic and its impacts? The research relied on primary sources, specifically Japan’s ODA official documents and the Organization for Economic Cooperation and Development’s (OECD) ODA quantitative databases, as well as secondary sources, such as academic literature on international cooperation and foreign aid for health. Our preliminary findings revealed that Japan’s ODA in the health sector from 1990 to 2020 centered on two main axes: infectious diseases and maternal and child health, both of which are oriented toward strengthening the healthcare system. Given this goal, it seems relevant to consider that Japan’s health system is based on the assumption of the need to provide universal health coverage, a concept currently supported by the World Health Organization (WHO), in contrast to the universal health system, and that the implications of this choice on Japan’s ODA and developing countries’ health policies are yet to be fully understood. The COVID-19 pandemic has put substantial pressure on health systems globally and international cooperation for health; thus, it has the potential to affect and even change Japan’s ODA for the health sector in developing countries.&lt;/jats:p&gt;</t>
  </si>
  <si>
    <t>10.5772/intechopen.100267</t>
  </si>
  <si>
    <t>&lt;jats:p&gt;The intraovarian gestation, occurring in teleosts, makes this type of reproduction a such complex and unique condition among vertebrates. This type of gestation of teleosts is expressed in special morphological and physiological characteristic where occurs the viviparity and it is an essential component in the analysis of the evolutionary process of viviparity in vertebrates. In viviparous teleosts, during embryogenesis, there are not development of Müllerian ducts, which form the oviducts in the rest of vertebrates, as a result, exclusively in teleosts, there are not oviducts and the caudal region of the ovary, the gonoduct, connects the ovary to the exterior. The lack of oviducts defines that the embryos develop into the ovary, as intraovarian gestation. The ovary forms the oocytes which may develop different type of oogenesis, according with the storage of diverse amount of yolk, variation observed corresponding to the species. The viviparous gestation is characterized by the possible intimate contact between maternal and embryonic tissues, process that permits their metabolic interchanges. So, the nutrients obtained by the embryos could be deposited in the oocyte before fertilization, contained in the yolk (lecithotrophy), and may be completed during gestation by additional provisioning from maternal tissues to the embryo (matrotrophy). Then, essential requirements for viviparity in poeciliids and goodeids are characterized by: a) the diversification of oogenesis, with the deposition of different amount of yolk in the oocyte; b) the insemination, by the transfer of sperm to the female gonoduct and their transportation from the gonoduct to the germinal region of the ovary where the follicles develop; c) the intrafollicular fertilization; d) the intraovarian gestation with the development of embryos in intrafollicular gestation (as in poeciliids), or intraluminal gestation (as in goodeids); and, e) the origin of embryonic nutrition may be by lecithotrophy and matrotrophy. The focus of this revision compares the general and specific structural characteristics of the viviparity occurring into the intraovarian gestation in teleosts, defining this reproductive strategy, illustrated in this review with histological material in a poeciliid, of the species Poecilia latipinna (Lesueur, 1821) (Poeciliidae), and in a goodeid, of the species Xenotoca eiseni (Rutter, 1896) (Goodeidae).&lt;/jats:p&gt;</t>
  </si>
  <si>
    <t>10.12797/9788383681320.03</t>
  </si>
  <si>
    <t>&lt;jats:p&gt;This article aims to analyse the legend of Jane Grey, which began to be shaped shortly after her execution in 1554. In the years following her death, the image of the “nineday queen” in historiographical and literary works changed depending on the political situation in England. The religious beliefs of the authors of each work were also not insignificant, as Catholics and Protestants described quite differently the events that took place in England after the death of Edward VI. Jane Grey, the granddaughter of Mary Tudor, Henry VIII’s youngest sister, belonged to the aristocratic elite of the time. It should also be noted that she was included in the succession acts issued by the monarch, although after Edward’s childless death, she would have been fourth in the line to the throne. However, towards the end of his life, Edward VI decided to change the succession law and appoint Jane Grey as heir to the throne. This decision brought England to the brink of civil war and led to the tragic death of Jane Grey, and consequently to the forming of her legend, portraying her as an innocent Protestant martyr and victim of the Catholic Queen Mary. The article presents the results of analysing chronicles, state papers, biographies and ballads from the 16th century that describe the life and reign of Jane Grey. The primary sources used include i.a., the chronicles of John Stow, Charles Wriothesley and Raphael Holinshed, the accounts of Michelangelo Florio and John Aylmer, the biographical work of John Foxe, as well as literary works created after the Queen’s death. The analysed works present Jane Gray primarily as a victim of her father-in-law’s and father’s ambitions or as a Protestant martyr. Very few sources shed any light on what kind of person Lady Jane Gray was. An image of a talented, educated and very religious woman emerges from the accounts of her contemporaries. The legend of Jane as a victim of her family’s ambition and the archetypal English martyr carried on in the following centuries, possibly expanding to include descriptions of the love that was supposed to connect her with her husband, Guildford Dudley, but which never really transpired.&lt;/jats:p&gt;</t>
  </si>
  <si>
    <t>10.58532/v3bgpn12p5ch4</t>
  </si>
  <si>
    <t>&lt;jats:p&gt;Radiopharmaceutical science is a multidisciplinary field that plays a pivotal role in nuclear medicine, utilizing radiopharmaceutical agents for diagnostic imaging, therapeutic applications, and molecular target-specific therapy. This abstract provides an overview of the key aspects and advancements in radiopharmaceutical science. In the realm of diagnostic imaging, radiopharmaceuticals are employed to visualize and assess physiological and pathological processes at the molecular level. Techniques such as Single-Photon Emission Computed Tomography (SPECT) and Positron Emission Tomography (PET) have revolutionized medical imaging by enabling the non-invasive evaluation of organ function and the early detection of diseases like cancer, cardiovascular disorders, and neurological conditions. On the therapeutic front, radiopharmaceuticals are utilized for targeted radiation therapy, known as Radionuclide Therapy or Molecular Radiotherapy. This approach involves administering radiopharmaceuticals that selectively accumulate in specific disease sites, delivering precise and localized radiation to cancerous cells or diseased tissues. The development of innovative alpha and beta-emitting radionuclides has significantly expanded the therapeutic potential, allowing for personalized treatment strategies and improved patient outcomes. Furthermore, the synthesis, production, and quality control of radiopharmaceuticals poses unique challenges. Advanced radiochemistry techniques and automated systems have streamlined the production process, enhancing the availability and accessibility of these vital agents. Ensuring strict adherence to regulatory guidelines and radiopharmaceutical-specific safety protocols is crucial to guaranteeing the highest standard of patient care. The integration of artificial intelligence, machine learning, and image processing algorithms has propelled radiopharmaceutical science into the era of precision medicine. These cutting-edge technologies enable more accurate image analysis, patient-specific dosimetry, and treatment planning, optimizing therapeutic efficacy while minimizing potential side effects.&lt;/jats:p&gt;</t>
  </si>
  <si>
    <t>10.5382/sp.23.33</t>
  </si>
  <si>
    <t>&lt;jats:title&gt;Abstract&lt;/jats:title&gt;
               &lt;jats:p&gt;Neoarchean greenstone-hosted gold deposits in the Eastern Goldfields Superterrane of the Yilgarn craton of Western Australia are diverse in style, timing with respect to magmatic activity, structural environment, host rocks, and geochemical character. Geologic constraints for the range of gold deposits indicate deposit formation synchronous with volcanism, synchronous with syn- and postvolcanic intrusion, synchronous with postvolcanic deformation in faults and shear zones, or some combination of superposed events over time. The gold deposits are distributed as clusters along linear belt-parallel fault zones internal to greenstone belts but show no association with major terrane boundary faults. World-class gold districts are associated with the thickest, internal parts of the greenstone belts identified by stratigraphic preservation and low metamorphic grades. Ore-proximal faults in those regions are more commonly associated with syn- and postvolcanic structures related to greenstone construction and deformation rather than major terrane amalgamation. Using the Kalgoorlie district as a template, the gold deposits show a predictable regional association with thicker greenstone rocks overlain unconformably by coarse clastic rock sequences in the uppermost units of the greenstone stratigraphy. At a camp scale, major gold deposits show a spatial association with unconformable epiclastic and volcaniclastic rocks located above an unconformity internal to the Black Flag Group. Distinct episodes of gold deposition in coincident locations suggest fundamental crustal structural controls provided by the fault architecture. Late penetrative deformation and metamorphism overprinted the greenstone rocks and the older components of many gold deposits and were accompanied by major gold deposition in late quartz-carbonate veins localized in crustal shear zones or their higher order fault splays.&lt;/jats:p&gt;</t>
  </si>
  <si>
    <t>10.30525/978-9934-26-494-8-12</t>
  </si>
  <si>
    <t>&lt;jats:p&gt;The need to ensure rapid and effective post-war recovery and reconstruction of Ukraine's economy requires a systematic scientific justification of the key mechanisms, methods, and instruments of state and market management used in the rebuilding process and the formation of a new innovative model for Ukraine's economic development. Based on the analysis of scientific literature and regulatory sources, the preconditions and objectives of the processes of post-war recovery and reconstruction of the economy are characterized. The structure of the corresponding state strategy and the plan for its implementation are substantiated. The primary directions of institutional transformations in the process of forming a new model for post-war economic development have been identified. Drawing on global experience, a system of measures has been developed and proposed for practical application to simplify legal and organizational procedures in the process of attracting foreign aid from donor countries, credits, and funds from foreign investors. The first-priority measures that should promote the activation of domestic financial sector institutions and capital markets, with the goal of expanding internal sources of financing, are substantiated. The main directions for stimulating investment activity among domestic business entities are characterized. Potential challenges and risks that may arise in the process of economic recovery and reconstruction are identified and characterized. The proposed approaches can be used by government authorities in the formation of relevant economic policies, strategies, and financial-economic mechanisms. Their implementation will contribute to improving the organization and management of post-war recovery and reconstruction processes in Ukraine, with the aim of enhancing international competitiveness, accelerating socio-economic development, and improving the welfare of its citizens.&lt;/jats:p&gt;</t>
  </si>
  <si>
    <t>10.1007/978-3-031-37189-9_4</t>
  </si>
  <si>
    <t>&lt;jats:title&gt;Abstract&lt;/jats:title&gt;&lt;jats:p&gt;Transforming sketches into digital 3D models has been an enduring practice in the design process since the first digital turn in architecture. However, 3D modeling is time-consuming, and 3D modeling software usually has a cumbersome interface. Aiming to bridge the gap between sketch and 3D model, we propose a framework that can turn a hand-drawn 2D sketch into a 3D mesh. The user can draw a sketch on the canvas through a web-based interface, and the corresponding 3D model will automatically be generated and shown aside. The 3D model can be downloaded or synchronized into the Rhino directly through Grasshopper.&lt;/jats:p&gt;&lt;jats:p&gt;The proposed framework uses a machine learning-based approach to generate a 3D mesh from a single hand-drawn sketch by deforming a template shape. Since the generated models have an uneven surface, we apply an optimization step to refine the form, creating a more usable architectural 3D model with planar faces and sharper edges. We create the Simple House Dataset, which consists of 5000 single-volume houses, to train the neural network. We defined five categories of house typologies - distinguished by roof shape and other geometric properties - and generated 1000 models for each class with parameters chosen randomly. Each model includes a 3D mesh and 20 perspective line drawings from different angles.&lt;/jats:p&gt;&lt;jats:p&gt;Although the limitation of the generalization ability makes it unlikely to replace the conventional 3D modeling software today, the fast sketch to 3D transformation allows architects to explore the possibility of various architectural forms and may speed up the design process in the early stage. The code of this project and the Simple House dataset has been published on Github [29].&lt;/jats:p&gt;</t>
  </si>
  <si>
    <t>10.3233/aiad220029</t>
  </si>
  <si>
    <t>&lt;jats:p&gt;Background: Excessive salt intake is considered as an important risk factor for cognitive impairment, which might be the consequence of imbalanced intestinal homeostasis. Objective: To investigate the effects of dietary salt on the gut microbiota and cognitive performance and the underlying mechanisms. Methods: Adult female C57BL/6 mice were maintained on either normal chow (control group, CON) or sodium-rich chow containing 8% NaCl (high-salt diet, HSD) for 8 weeks. Spatial learning and memory ability, short-chain fatty acids (SCFAs) concentrations, gut bacterial flora composition, blood-brain barrier permeability, and proinflammatory cytokine levels and apoptosis in the brain were evaluated. Results: The mice fed a HSD for 8 weeks displayed impaired learning and memory abilities. HSD significantly reduced the proportions of Bacteroidetes (S24-7 and Alloprevotella) and Proteobacteria and increased that of Firmicutes (Lachnospiraceae and Ruminococcaceae). SCFA concentrations decreased in the absolute concentrations of acetate, propionate, and butyrate in the fecal samples from the HSD-fed mice. The HSD induced both BBB dysfunction and microglial activation in the mouse brain, and increased the IL-1β, IL-6, and TNF-α expression levels in the cortex. More importantly, the degree of apoptosis was higher in the cortex and hippocampus region of mice fed the HSD, and this effect was accompanied by significantly higher expression of cleaved caspase-3, caspase-3, and caspase-1. Conclusion: The HSD directly causes cognitive dysfunction in mice by eliciting an inflammatory environment and triggering apoptosis in the brain, and these effects are accompanied by gut dysbiosis, particularly reduced SCFA production.&lt;/jats:p&gt;</t>
  </si>
  <si>
    <t>10.3233/shti210050</t>
  </si>
  <si>
    <t>&lt;jats:p&gt;The diagnosis of patients with rare diseases is often delayed. A Clinical Decision Support System using similarity analysis of patient-based data may have the potential to support the diagnosis of patients with rare diseases. This qualitative study has the objective to investigate how the result of a patient similarity analysis should be presented to a physician to enable diagnosis support. We conducted a focus group with physicians practicing in rare diseases as well as medical informatics researchers. To prepare the focus group, a literature search was performed to check the current state of research regarding visualization of similar patients. We then created software-mockups for the presentation of these visualization methods for the discussion within the focus group. Two persons took independently field notes for data collection of the focus group. A questionnaire was distributed to the participants to rate the visualization methods. The results show that four visualization methods are promising for the visualization of similar patients: “Patient on demand table”, “Criteria selection”, “Time-Series chart” and “Patient timeline. “Patient on demand table” shows a direct comparison of patient characteristics, whereas “Criteria selection” allows the selection of different patient criteria to get deeper insights into the data. The “Time-Series chart” shows the time course of clinical parameters (e.g. blood pressure) whereas a “Patient timeline” indicates which time events exist for a patient (e.g. several symptoms on different dates). In the future, we will develop a software-prototype of the Clinical Decision Support System to include the visualization methods and evaluate the clinical usage.&lt;/jats:p&gt;</t>
  </si>
  <si>
    <t>10.1007/978-981-33-6761-6_11</t>
  </si>
  <si>
    <t>&lt;jats:title&gt;Abstract&lt;/jats:title&gt;&lt;jats:p&gt;Transformation, transition, and paradigm shift are increasingly applied concepts in literature on climate resiliency to describe changes in society and the environment. Here, we considered mangroves to be dynamic socio-ecological systems, subject to increasing anthropogenic pressures that present complex challenges for the design of effective coastal governance. Analysing these systems through a participatory approach, we consulted a community who lives in close relationship with mangroves, the Alitas farmers of Infanta, Quezon Province, Philippines. This community has improved decision-making processes for the development of adaptation strategies to climate change. In turn, a sustainably managed and conserved mangrove forest promotes human well-being and resilience, particularly for those households whose livelihoods are dependent on the resources that mangroves provide. This paper examined the importance of mangrove land management that addresses climate change hazards. We synthesised various perspectives on the importance of mangrove conservation for enhancing climate resiliency by: (1) describing the climate-related hazards that affect local communities and mangroves; (2) describing socio-institutional structures influencing effective mangrove conservation and local resilience; and (3) identifying climate change adaptation strategies that promote local development and mangrove conservation. This paper establishes a collaborative management framework for future risk-resilience management that operates alongside coastal communities within the Philippines and across the global stage.&lt;/jats:p&gt;</t>
  </si>
  <si>
    <t>10.37885/230513067</t>
  </si>
  <si>
    <t>&lt;jats:p&gt;A estria é uma afecção tegumentar adquirida que ocorre na segunda camada da pele, nos elementos dérmicos, devido a uma distensão deste tecido, ocorrendo em diversas fases da vida em que se caracteriza por um crescimento brusco. Apesar do estiramento mecânico deste tecido ser o principal fator causador desta afecção, sabe-se que a etiologia das estrias ainda precisa ser mais estudada e compreendida, pois ela é multifatorial e este estiramento do tecido pode estar relacionado com fatores genéticos e alterações endócrinas. O estiramento brusco do tecido dérmico ocasiona uma dilaceração das fibras colágenas e elásticas, provocando um desequilíbrio elástico localizado, formando as estrias. As estrias costumam ser avermelhadas ou arroxeadas, logo que surgem, podendo ser deprimidas ou discretamente elevadas. Quando elas se tornam esbranquiçadas, com leve enrugamento devido a atrofia epidérmica, a estria já se tornou mais antiga, dificultando o tratamento. Dar ênfase no tratamento para redução da espessura e densidade da pele, estimulando a produção de fibras elásticas e colágenas e prevenindo a flacidez, reduzindo e amenizando a aparência das estrias. Esse trabalho tem como finalidade desenvolver um protocolo que realmente amenize a aparência das estrias utilizando de três técnicas de aparelhos da eletroterapia associados com ativos. Resultando na redução de irregularidades da pele, promovendo vitalidade e recuperando a aparência jovial do tecido através do aumento dos níveis de colágeno e elastina, e assim desmistificar esta disfunção inestética que acarreta sérios problemas emocionais.&lt;/jats:p&gt;</t>
  </si>
  <si>
    <t>10.46943/ix.conedu.2023.gt03.004</t>
  </si>
  <si>
    <t>&lt;jats:p&gt;O texto em apreço tem como proposta apresentar uma análise preliminar acerca dos saberes escolares veiculados na Escola de Aprendizes Artífices de Alagoas/EAA-AL, destinada à formação profissional de meninos pobres. O marco temporal está compreendido entre os finais dos anos de 1910 a 1920. O interesse reside em compreender o perfil do programa de ensino que passou a ser implementado na EAA-AL por ocasião da promulgação do Decreto nº 13.064, de 12 de junho de 1918. O referido decreto pode ser apreendido como a materialização do marco inicial de reformulações que aconteceriam no interior da instituição, uma vez que em alguns aspectos a sua estrutura administrativo e pedagógica sofreu modificações, em especial, no que tange aos saberes escolares. Posto isto, a análise se desenvolve no sentido de entender quais eram as possíveis intencionalidades que havia por detrás da introdução de novos saberes, bem como a permanência de outros no programa de ensino da instituição. Como referência teórica me servi das obras de Cunha (2005) e Fonseca (1961), que discutem o ensino profissional brasileiro numa perspectiva histórica. E no tratamento metodológico da legislação examinada as reflexões de Ananias (2007). Os resultados da análise acusaram que os saberes escolares foram concebidos pelo Governo Federal como elementos estratégicos na difusão de valores, ideias e práticas. Tais aspectos dialogavam diretamente com o ideário republicano da época e que perpassava princípios como os de: ordem, moral e disciplina e que teriam de ser inculcados nos corpos dos meninos aprendizes.&lt;/jats:p&gt;</t>
  </si>
  <si>
    <t>10.4018/978-1-5225-9869-5.ch037</t>
  </si>
  <si>
    <t>&lt;jats:p&gt;Community media remains the only key tool that can facilitate grassroot citizens' participation in nurturing and sustaining true democracy through creating and using information content that is driven by the needs of the communities for themselves and by themselves. By so doing, the citizens partake in determining their future through developing the community and educating their people in a manner and language that they can understand. Moreover, community media enables people from different socio-cultural backgrounds within a community, to share information and exchange ideas in a positive and productive manner. This dialogue among communities can be enriched by understanding how development issues affect them; discovering what others think in other communities; and seeing what other communities have achieved. In this light, participatory radio serves as a means of developing the grassroots emancipation that will enable them to articulate their needs in alignment with the cultural and social impulses of the communities they represent through means of technology, that is, community radio. The role of community radio is heightened by the realization that traditional or orthodox practice of the commercial/mainstream media has failed in achieving some of its basic and expected functions to the society such as serving as a true watchdog of the society, especially in a fledgling democratic system. Thus, this paper undertakes a case for sustainability of community radio in a developing society with a focus on both sides of the equation (production and distribution). &lt;/jats:p&gt;</t>
  </si>
  <si>
    <t>10.1007/978-3-031-60622-9_2</t>
  </si>
  <si>
    <t>&lt;jats:title&gt;Abstract&lt;/jats:title&gt;&lt;jats:p&gt;This chapter goes into more detail about the term “quality TV drama” and the related field of research, dealing with the connection between television and quality. In addition to discussing the well-known quality TV criteria according to Robert J. Thompson (1996), to which a number of analyses link, this chapter identifies gaps in quality TV research as well as other contexts, which have mostly arisen through the single-minded attention on US series. German and public-service television fiction represent different contexts through which these gaps can be addressed. The chapter then explains that the aesthetic evaluations that discussions on quality TV and its storytelling and screenwriting inevitably lead to take place in specific contexts. This then opens up into an explanation of the book’s approach of considering quality TV drama as both a construction and an evaluation discourse by the television industry. Quality judgements, as becomes clear, shape different phases of television production, especially the screenwriting process, and consistently take place in project networks and screen idea work groups. The third and final part of this chapter explains what the analysed television professionals understood “quality TV” to mean and what textual aspects they attributed to it. With reference to well-known TV series, especially from the US and also Denmark, the practitioners particularly emphasised storylines across several episodes and the associated character development as (desirable) attributes of quality drama.&lt;/jats:p&gt;</t>
  </si>
  <si>
    <t>10.4018/979-8-3693-8659-0.ch012</t>
  </si>
  <si>
    <t>&lt;jats:p&gt;The integration of depth-sensing technologies is revolutionizing a multitude of AI applications, from robotics to healthcare. This study delves into the intricacies of decision maps derived from depth data, with a particular emphasis on enhancing explainability. Our findings, corroborated with real-world applications, underscore the vast potential of depth sensing in offering a dual advantage: enhanced AI performance coupled with improved explainability, ensuring stakeholders can trust and understand AI outputs. Depth sensing technologies have ushered in a new era of possibilities in AI applications. This research explores the use of depth data to create decision maps that enhance the explainability of AI systems. Decision maps provide valuable insights into why AI models make specific decisions, which is crucial for trust, accountability, and regulatory compliance. Our study showcases the practical advantages of utilizing depth sensing for explainability. We demonstrate how these technologies can be applied in fields such as robotics, medical imaging, and autonomous vehicles. By improving our understanding of AI decision-making, we can unlock the full potential of these applications while ensuring their safety and reliability. This research highlights the transformative impact of depth sensing in AI applications. By focusing on the nuances of decision maps, we not only enhance AI performance but also provide stakeholders with the transparency and understanding necessary to trust and embrace AI technologies fully.&lt;/jats:p&gt;</t>
  </si>
  <si>
    <t>10.1093/oxfordhb/9780198847793.013.17</t>
  </si>
  <si>
    <t>&lt;jats:title&gt;Abstract&lt;/jats:title&gt;
               &lt;jats:p&gt;Tensions in civil society based on religion are nothing new. The world is home to many religions and religious traditions that differ in culture and rituals, beliefs, and commands but that promote peace, harmony, and coexistence, yet religion often becomes a deep and delicate source of conflict. Religious liberty also is a location of tension with the rights to non-discrimination and equality. For example, religion was used to justify (and to oppose) the inhuman and inhumane institution of slavery and to justify sex discrimination. In the twenty-first century, the tension between religious freedom and LGBT equality has become a major battleground. This chapter addresses whether tensions between LGBT equality and religious liberty are intractable or whether there can be reconciliation that allows all sides to live their lives without being subjected to discrimination in the public, employment, and commercial services spheres. To explore this question this chapter provides the legal context in which these conflicts develop, including international, regional, and national law. The chapter concludes that the appropriate way to resolve the conflict is by adopting an awakened balancing approach that recognizes that both religious freedom and non-discrimination are high-value fundamental rights in the international, regional, and national spheres. Such a model allows for a reasoned solution to the legal and emotional tensions that arise from this clash of rights.&lt;/jats:p&gt;</t>
  </si>
  <si>
    <t>10.1093/oso/9780190061289.003.0011</t>
  </si>
  <si>
    <t>&lt;jats:title&gt;Abstract&lt;/jats:title&gt;
               &lt;jats:p&gt;This chapter argues that art education in the United States has blossomed in the 21st century with new approaches that are major positive steps forward. These approaches build on progressive art education practices but take them much further in the following six ways, each of which brings students closer to working like mature artists: (1) Artworks are driven by ideas, not formal principles; (2) art making is a form of inquiry and research (shades of Reggio); (3) students make art about social justice issues that concern them—and often this involves a challenge to the dominant culture; (4) art making is interdisciplinary, with students doing STEM research (science, technology, engineering, and mathematics) to inform their work (shades of Reggio)—this includes digital art making; (5) artworks are more student- than teacher-driven; and (6) students become involved in peer-to-peer critiques that bypass the teacher. American art education has come a long way from the mind-numbing drawing lessons of the 19th century to the mind-expanding approaches featured in this chapter. The 21st-century approaches have much in common because they are all based in the practices of contemporary art worlds. Meaning has become more important than beauty. Art has become socially conscious. Art making has become a form of interdisciplinary research. Students are given wide latitude to make their own discoveries. And art is both made and shown by using the new digital media.&lt;/jats:p&gt;</t>
  </si>
  <si>
    <t>10.31391/vxkd1832.6</t>
  </si>
  <si>
    <t>&lt;jats:p&gt;Un concepto central de las ciencias sociales y políticas contemporáneas es el de rendición de cuentas (Schultz, 1998; Przeworski, Stokes &amp;amp; Manin, 1999; O’Donnell, 2003; Mulgan, 2000; Borowiak, 2011; Olsen, 2015; Fox, 2022). La presuposición de que la soberanía popular requiere que los gobernantes sean responsables ante el pueblo es un principio universal de la teoría democrática (March &amp;amp; Olsen, 1995, p.162). Hay menos acuerdo, sin embargo, sobre cómo generar rendición de cuentas gubernamental. A medida que se desarrollaban los procesos de consolidación democrática en las democracias de la tercera ola ganó terreno un modelo liberal de rendición de cuentas organizado alrededor del principio de gobierno limitado, ya que desde muy temprano muchos analistas llamaron la atención sobre los déficits de estado de derecho que exhibían muchas de las nuevas democracias y que condicionaba el ejercicio de los derechos ciudadanos así como el funcionamiento del sistema de pesos y contrapesos gubernamentales. El diagnóstico predominante era que, para subsanar esos déficits, era necesario fortalecer las agencias y los mecanismos de control intergubernamental o lo que O’Donnell denominó como accountability horizontal (O’Donnell, 1993; Schedler, Diamond &amp;amp; Plattner, 1999; Schmitter, 2009; Magyar, 2016). En consecuencia, la bibliografía sobre democratización puso particular énfasis en analizar el desempeño de las agencias horizontales de rendición de cuentas y diferentes propuestas para su mejoramiento.&lt;/jats:p&gt;</t>
  </si>
  <si>
    <t>10.54195/fmvv7173_ch08</t>
  </si>
  <si>
    <t>&lt;jats:p&gt;Takashi Takashima discusses how advancements in technology not only require arbitrators to have a deeper understanding of technical intricacies but also to raise concerns regarding the efficiency and fairness of dispute resolution processes. This has prompted the United Nations Commission on International Trade Law (UNCITRAL) to undertake initiatives aimed at addressing the challenges posed by digitalization in dispute resolution. Specifically and first of all, Takashi explores two ongoing projects within UNCITRAL: the legislative work conducted by Working Group II on technology-related dispute resolution and adjudication, and the project focused on assessing developments in dispute resolution within the digital economy (DRDE project). Through an analysis of these initiatives, Takashi provides valuable insights into how UNCITRAL is poised to balance the utilization of digital technologies in dispute resolution,
ensuring that traditional norms are upheld as necessary safeguards while embracing technological advancements to foster a more efficient and equitable international trade law landscape. How this should be done has recently been the subject of intense debate, and opinions are divided. For example, should the New York Convention be amended to address the requirements for the recognition and enforcement of electronic awards? Takashi notes that this is under discussion and that WGII is working towards creating greater legal certainty on this matter, thereby supporting digitalization.&lt;/jats:p&gt;</t>
  </si>
  <si>
    <t>10.1093/9780191875434.003.0002</t>
  </si>
  <si>
    <t>&lt;jats:title&gt;Abstract&lt;/jats:title&gt;
               &lt;jats:p&gt;This chapter analyses the scientific, ethical, and legal debates surrounding the psychiatric construct of personality disorder. It sets the scene for the examination in subsequent chapters of attempts in England and Wales to address the legal and policy problems posed by ‘dangerous’ offenders and ‘difficult’ patients or prisoners. It shows that personality disorder should be regarded as a risk factor for offending rather than a cause, and that current risk assessment technologies cannot yet accurately identify which individuals in a high-risk group will go on to offend. As a result, policies of preventive detention may be expected to result in the over-use of detention. While there is a growing consensus that personality disorder is not necessarily untreatable, there is a continuing lack of robust evidence for the effectiveness of current treatments for antisocial personality disorder and psychopathy. This casts doubt on the idea that access to rehabilitative interventions will limit the use of preventive detention powers. While some jurisdictions have confined the use of mental health law powers to patients with treatable mental illnesses, the UK Government continues to resist calls to introduce stronger safeguards against the long-term detention of people who are unlikely to benefit from treatment. This approach is questionable in light of the principles governing mental health law developed by the European Court of Human Rights.&lt;/jats:p&gt;</t>
  </si>
  <si>
    <t>10.1093/oso/9780197566145.003.0004</t>
  </si>
  <si>
    <t>&lt;jats:title&gt;Abstract&lt;/jats:title&gt;
               &lt;jats:p&gt;This chapter examines how the movie musicals Carmen Jones (dir. Otto Preminger, 1954) and Carmen: A Hip Hopera (dir. Robert Townsend, 2001) functioned as pivotal moments in the careers of Dorothy Dandridge and Beyoncé Knowles-Carter. Their respective star turns positioned the two actors to transition from intraracial fame to mainstream, or postracial, stardom, but only Beyoncé ultimately achieved that goal. Although Dandridge came close, appearing on the cover of Life magazine and becoming the first African American woman nominated for the Academy Award for Best Actress in a Leading Role, she found herself constrained by persistent racism within 1950s Hollywood and a lack of control in guiding her career. Carmen Jones was the role that both catapulted Dandridge to stardom and confined her to portrayals of the stereotypically alluring, exotic woman of color. In the more progressive context of the early 2000s, in contrast, Beyoncé pivoted from both her depiction of Carmen and beginnings in an R&amp;amp;B girl group to become a consummate entertainer who transcends artistic genres and racial categories. Whereas the “hip hopera” draws primarily from Preminger’s film as its model, it is Mérimée’s literary Carmen—a shrewd polyglot who embraces her Romani identity and serves as de facto leader of her associates—who seems a more fitting point of comparison for Beyoncé’s thriving, carefully crafted post-MTV career.&lt;/jats:p&gt;</t>
  </si>
  <si>
    <t>10.1075/tilar.27.01mat</t>
  </si>
  <si>
    <t>&lt;jats:title&gt;Abstract&lt;/jats:title&gt;
&lt;jats:p&gt;Just like other baby apes, human infants make it their business to stay in safe contact with their caregivers. The difference is that humans do this not just by holding on for dear life, but by ensuring their caregivers are in psychological contact with them. To this end, many of the most important communicative developments take place within the first two years of life. In this chapter we will review how physical mutual responsiveness gives way to the back-and-forth of proto-conversation, where caregivers respond to hiccups, coos and sneezes as if they were speech. Infants discover that they can make sounds and gestures in order to engage others and take turns. They become able to make demands of people, bring things to their attention and ask questions of them. Once they have mastered doing so non-verbally, they soon learn that they can use words for the same purposes (even though they don’t understand words as intersubjectively agreed symbols until sometime later). These communicative developments far outstrip those of any other animal on the planet. And yet it seems that it is precisely the relatively slow development of human infants that affords our species unique mode of communication. Newborns, equipped with a desire to be with others and some basic attentional preferences, are set up to learn from their social environment and thereby guarantee their entry into human culture.&lt;/jats:p&gt;</t>
  </si>
  <si>
    <t>10.2174/9789815223552124010001</t>
  </si>
  <si>
    <t>10.5772/intechopen.109937</t>
  </si>
  <si>
    <t>10.30681/978-85-7911-286-7.4</t>
  </si>
  <si>
    <t>10.1093/law/9780192897923.003.0042</t>
  </si>
  <si>
    <t>&lt;jats:title&gt;Abstract&lt;/jats:title&gt;
               &lt;jats:p&gt;This section presents the CHR Chile, Egypt, France, Philippines and United States proposal, 2 June 1949.&lt;/jats:p&gt;</t>
  </si>
  <si>
    <t>10.1093/oso/9780190091187.003.0035</t>
  </si>
  <si>
    <t>&lt;p&gt;This chapter discusses H.M Barnes’ Blue Ridge Ramblers, “Who Broke the Lock on the Hen-House Door?”, “She’ll Be Comin’ Round the Mountain When She Comes”, stringband, vaudeville, representations of “hillbillies”&lt;/p&gt;</t>
  </si>
  <si>
    <t>10.12987/yale/9780300270877.003.0019</t>
  </si>
  <si>
    <t>&lt;p&gt;This chapter explores the creation of several revolutionary public history sites and projects in the late 1940s and 1950s in response to the Cold War, including the Freedom Train, Independence National Historical Park, and the Boston Freedom Trail.&lt;/p&gt;</t>
  </si>
  <si>
    <t>10.1093/oso/9780198861492.003.0022</t>
  </si>
  <si>
    <t>&lt;jats:title&gt;Abstract&lt;/jats:title&gt;&lt;jats:p&gt;Free states for electrons, positron and photons are studied. The notions developed in the previous chapter are then applied to this more intricate situation. The ensuing computations yield propagators for the involved particles.&lt;/jats:p&gt;</t>
  </si>
  <si>
    <t>10.1093/oso/9780197657560.003.0038</t>
  </si>
  <si>
    <t>&lt;jats:title&gt;Abstract&lt;/jats:title&gt;
               &lt;jats:p&gt;This lecture expands further on the importance of reasoning and deliberating. The Maharaja is advised to consider proposals exhaustively, and not to make unnecessary alterations to them merely for reasons of vanity.&lt;/jats:p&gt;</t>
  </si>
  <si>
    <t>10.1093/oso/9780190675530.003.0021</t>
  </si>
  <si>
    <t>&lt;jats:title&gt;Abstract&lt;/jats:title&gt;
               &lt;jats:p&gt;In the passage by Meryl Streep, the first comma prevents ambiguity. If there were no comma after “You know,” she would seem to be telling the audience that they all know there are days when she thinks that she’s overrated&lt;/jats:p&gt;</t>
  </si>
  <si>
    <t>10.3828/liverpool/9781800348363.003.0007</t>
  </si>
  <si>
    <t>&lt;p&gt;This chapter analyses the roles played by the various character actors that took part in the film, among which we find such names as James Remar, Joe Spinell, Powers Boothe, and Paul Sorvino. This essay is also an analysis of the function of each character and their symbolic value.&lt;/p&gt;</t>
  </si>
  <si>
    <t>10.5772/intechopen.86868</t>
  </si>
  <si>
    <t>&lt;jats:p&gt;Provide an overviewof Crohn’s disease and its cost assessment options, establish the need for implementing Croatian national Crohn’s Disease Registry to precisely quantify the costs and the outcomes, and establish model to evaluate values of treatment options for Crohn’s disease.&lt;/jats:p&gt;</t>
  </si>
  <si>
    <t>10.1093/9780191782855.003.0009</t>
  </si>
  <si>
    <t>&lt;jats:title&gt;Abstract&lt;/jats:title&gt;
               &lt;jats:p&gt;This concluding Chapter summarizes the purpose and the contents of the book, discusses the limitations on the models used and the physical results obtained, and outlines perspectives of further studies in the covered special field.&lt;/jats:p&gt;</t>
  </si>
  <si>
    <t>10.5871/bacad/9780197267387.003.0003</t>
  </si>
  <si>
    <t>&lt;jats:title&gt;Abstract&lt;/jats:title&gt;
               &lt;jats:p&gt;Introduction to, analysis of and text of Jaime's short account of the Sunjata epic, recorded at Kulikoro in 1889 or 1890 and first published in 1892. The specific circumstances of Kulikoro and French presence at the settlement are explored.&lt;/jats:p&gt;</t>
  </si>
  <si>
    <t>10.5772/intechopen.111655</t>
  </si>
  <si>
    <t>&lt;jats:p&gt;The ankle and foot complex plays on important role in gait and weight bearing of the body weight. The deformity of the ankle and foot affects and alters the biomechanics of the body and normal gait pattern, and this consequently affects the other parts and joints of the lower limb and also trunk.&lt;/jats:p&gt;</t>
  </si>
  <si>
    <t>10.1093/hebz/9780198943372.003.0050</t>
  </si>
  <si>
    <t>&lt;p&gt;
                  &lt;italic&gt;Cases in Marketing&lt;/italic&gt; provides a bridge between course textbooks and key real-world examples. The &lt;italic&gt;Sintex Is the Name&lt;/italic&gt; case study summarizes and examines the scenario and includes supporting commentary from Paul Baines, Chris Fill, Sara Rosengren, and Paolo Antonetti.&lt;/p&gt;</t>
  </si>
  <si>
    <t>10.56271/978.65.87679.69.3-16</t>
  </si>
  <si>
    <t>&lt;jats:p&gt;Tumores raros, que podem ser subconjuntos moleculares de grupos mais incidentes de uma forma geral, têm desafios adicionais. Como acontece com qualquer doença rara definida molecularmente, o diagnóstico depende da realização de um teste. É nessa conjuntura que a Oncologia de Precisão e seus desdobramentos se inserem no contexto dos tumores raros.&lt;/jats:p&gt;</t>
  </si>
  <si>
    <t>10.58532/v2bs16ch20</t>
  </si>
  <si>
    <t>&lt;jats:p&gt;Global Positioning System provides three dimensional positioning, navigation, timing services, velocity and altitude to users on a continuous worldwide coverage basis and it is independent of weather, day and night. GPS applications are wide in all fields. This chapter provides the basic knowledge about GPS technology and their application in agriculture&lt;/jats:p&gt;</t>
  </si>
  <si>
    <t>10.4018/978-1-6684-5068-0.ch006</t>
  </si>
  <si>
    <t>&lt;jats:p&gt;The UN Convention on the Rights of the Child establishes that play is a human right. What happens when a child is in hospital? Hospitals and healthcare services may not be considered as settings of cultural and artistic life, but they are pivotal for the child's health. And for this reason, Article 31 should be enriched by including them in its definition.&lt;/jats:p&gt;</t>
  </si>
  <si>
    <t>10.1093/he/9780198860372.003.0008</t>
  </si>
  <si>
    <t>&lt;p&gt;This chapter begins with a discussion of pre-completion procedures, covering pre-completion when acting for the seller; pre-completion when acting for the buyer; pre-completion searches; and completion statements. It then focuses on completion, covering date, time, and place for completion; when the client is both selling and buying; and the mechanics of completion.&lt;/p&gt;</t>
  </si>
  <si>
    <t>10.12804/tj9789587844702.02</t>
  </si>
  <si>
    <t>&lt;jats:p&gt;Este capítulo tiene por objetivo describir las barreras para el cumplimiento de la normatividad ambiental en Colombia, para ello, se identifican las problemáticas ambientales en las zonas de mayor importancia ecológica y se analizan procesos de cumplimiento o incumplimiento de la normatividad ambiental, finalmente se proponen estrategias que permitan superar las barreras.&lt;/jats:p&gt;</t>
  </si>
  <si>
    <t>10.1093/med/9780197755877.003.0008</t>
  </si>
  <si>
    <t>&lt;jats:title&gt;Abstract&lt;/jats:title&gt;
               &lt;jats:p&gt;Patients with serotonin syndrome present with the triad of mental status changes, neuromuscular abnormalities, and autonomic dysfunction after exposure to a serotonergic drug. A high degree of awareness is required for an accurate diagnosis. Prompt discontinuation of the drug and symptom management are the mainstays of therapy.&lt;/jats:p&gt;</t>
  </si>
  <si>
    <t>10.1093/oso/9780197657560.003.0015</t>
  </si>
  <si>
    <t>&lt;jats:title&gt;Abstract&lt;/jats:title&gt;
               &lt;jats:p&gt;This lecture lays out the principles that should control the public service. To ensure that the public service operates efficiently, the Maharaja should refrain from violating the norms and procedures established by department heads. He should be careful not to abuse his power of patronage by granting appointments to unworthy persons.&lt;/jats:p&gt;</t>
  </si>
  <si>
    <t>10.5117/9789463729352_epilo</t>
  </si>
  <si>
    <t>&lt;jats:p&gt;The epilogue gives an update on several filmmakers’ recent work and situations, assessing the implications of digital technologies as well as the challenges brought by the Covid-19 pandemic and neo-Cold War cultural politics. A new tide of global Sinophone women’s cinema is emerging in Asia, North America and elsewhere, bringing hope for the future in a time of great uncertainty in the world.&lt;/jats:p&gt;</t>
  </si>
  <si>
    <t>10.36906/ksp-2023/46</t>
  </si>
  <si>
    <t>&lt;jats:p&gt;The article discusses the possibilities of GIS for environmental education and research. Systems help to analyze the relationship between environmental factors. The relevance of GIS is increasing in the modern educational process, they are useful for studying geography, ecology. Systems are also used for modeling objects and analyzing processes. The use of GIS develops spatial thinking and helps to work with large amounts of data.&lt;/jats:p&gt;</t>
  </si>
  <si>
    <t>10.31399/asm.tb.edfatr.t56090083</t>
  </si>
  <si>
    <t>&lt;jats:title&gt;Abstract&lt;/jats:title&gt;
               &lt;jats:p&gt;This chapter assesses the benefits of using a solid immersion lens (SIL) to detect faults in ICs via optical imaging and laser-stimulation techniques. It discusses the advantages and limitations of different types of SILs and their effect on spatial resolution, spot size, focus depth, and collection efficiency. It also provides a brief overview of technical challenges at the die level.&lt;/jats:p&gt;</t>
  </si>
  <si>
    <t>proceedings-article:None</t>
  </si>
  <si>
    <t>10.29118/ipa22-e-151</t>
  </si>
  <si>
    <t>&lt;jats:p&gt;Gas – Condensate reservoir system would be more complicated regarding fluid effects. To understand the fluid effects of Gas – Condensate reservoir system, several studies have been carried out, but there is no type curve matching method especially for Gas-Condensate reservoir system. In general, we use a composite model in Pressure Transient Analysis to analyze Gas-Condensate system, but we are still unable to map the condensate banking boundary in the reservoir. In this paper, we will use a numerical model approach to understand Gas-Condensate reservoir system based on Pressure Build Up analysis. We use a simulator for modelling the near well bore condition by using local grid refinement, then perform history matching with Pressure Build Up analysis result. This method will give us a clearer reservoir description and path of the condensate forming as a condensate banking. We will focus on the well MTD-02 to get a better understanding of our reservoir. The results of our method show that our Gas-Condensate reservoir system is a lean gas system, with several behaviors as we can see from PVT data, PBU Analysis result, and from the Simulation Model. This method gives us the path of condensate banking, so we can prepare strategy to overcome this situation. Gas fields have characteristics that are affected by the gas components itself, namely dry gas, wet gas and gas condensate. Sometime we call dry gas and wet gas as conventional gas reservoir. There are obvious physical environmental differences between gas condensate reservoirs and other conventional gas reservoirs (Qianhua et al, 2020). Ahbijit (2015) has stated that the term of wet gas is sometimes used as more or less equivalent to gas condensates.The methods and development of the operations of each gas field type has its own uniqueness, especially gas condensate type that has characteristic of liquid phase (condensate) which will form when the reservoir pressure reaches below its dew point pressure along with the depletion of reservoir pressure due to production. One of the effects of liquid phase (condensate) in the reservoir is that it will reduce gas mobility near wellbore area and there will be slightly change of relative gas permeability, so that gas production will not be optimal. The effect can reduce the well potential between 0% to 50% (Giamminonni et al, 2010)  Matindok Field is gas field producer located in Banggai Districts, Central Sulawesi, Indonesia. The production zone comes from Minahaki Formation, which is limestone. Since the beginning of production, condensate has been produced with average Condensate Gas Ratio (CGR) of around 13.5 STB/MMSCF and Gas Liquid Ratio (GLR) of around 73000 scf/STB with 48-50 API of condensate. Currently, Matindok Field’s average gas production is around 40 MMSCF/D. Moreover, with these parameters, Matindok Field is included as a gas condensate reservoir.  To keep gas production stable, we conducted well surveillance campaign each year to do pressure build-Up (PBU) test. We analyze the PBU data to obtain reservoir model data, reservoir parameters, reservoir boundary and so on. The PBU data states that reservoir model at Matindok Field is radial composite which shows that the permeability at near wellbore area is smaller than the outer zone that has more gas saturation. This is caused by reservoir pressure depletion at near wellbore area is greater than the outer zone. Thus, the pressure reaches below its dew point and condensate formed around wellbore area. In addition, from the PBU we can estimate the distance of condensate banking from the wellbore.  Beidokhti, et al, 2021 [1] suggest a three-region system in gas condensate reservoir: •	Region (1): this is the farthest region around the well with pressure over the dew point. The system contains a single gas-phase including the initial liquid saturation.  •	Region (2): this region is near the first region toward the well. It is generated with pressure reduction below the dew point, and where the liquid saturation increases rapidly. It should be noted that, in this region, the liquid phase is immobile (SL &amp;lt; SLC).  •	Region (3): this region is the nearest region around the well. The liquid saturation is higher than the critical saturation of condensate, so, gas and oil phases are mobile.  To simplify and to do reservoir monitoring, we did reservoir simulation case at MTD-02 well. This well is located at top structure of Minahaki Formation and has a fairly good production potential, which AOFP of 82 MMSCF/D and CGR of 13 STB/MMSCF. The MTD-02 well has complete data set to be analyzed such as PVT (CCE, CVD, Compositional analysis) and core data (RCAL, SCAL). To do an analysis that represents to the actual fluid behavior in the reservoir, the reservoir model used is a compositional analysis model. The result of the simulation model can describe the conditions of condensate in the reservoir and validate the result of condensate banking model from pressure transient analysis (PTA). So in the end, we can get the optimal gas rate with the influence of condensate in the reservoir.&lt;/jats:p&gt;</t>
  </si>
  <si>
    <t>10.25686/foreco.2023.10.66.007</t>
  </si>
  <si>
    <t>&lt;jats:p&gt;В статье изложены результаты исследования строения сосновых фитоценозов в условиях изменения климата. Изучение строения сосновых сообществ имеет важное значение для понимания различных эколого-биологических аспектов их формирования. При решении задач многоцелевого использования лесных экосистем необходима тщательная оценка строения древостоев. В условиях климатической трансформации актуальным становится изучение строения древостоев, так как оно характеризует жизненное состояние насаждений и по нему можно выявить протекающие сукцессии в фитоценозе. Целью исследования стало изучение закономерностей строения сосновых древостоев для определения тенденций развития экосистем под влиянием климатических трансформаций. Объектом исследования послужили 28 постоянных пробных площадей в сосновых лесах разного класса возраста, расположенных на территории г. Москвы и Московской области. Рассчитанные коэффициенты вариации находятся в диапазоне от 15,5 до 31,4 %, что характеризует изменчивость диаметров деревьев как среднюю. На исследуемых пробных площадях под действием факторов внешней среды происходит изменение рядов распределения в сторону асимметричных и эксцессивных кривых. На примере отдельных пробных площадей рассмотрено распределение деревьев по ступеням толщины. Строение сосновых древостоев носит ярко выраженное многовершинное распределение, которое обусловлено наличием различных пород разного возраста, составляющих древостой. Отмечена тенденция по закономерному изреживанию сосны с увеличением её возраста. По результатам исследования обоснован вывод, что сосновые насаждения в условиях Московского региона отличаются достаточно высокой долговечностью. Сосновые фитоценозы в данных условиях способны сохранять устойчивость в возрасте более 180 лет.&lt;/jats:p&gt;
                                                                            &lt;jats:p&gt;The article presents the results of a study of the structure of pine phytocenoses in the conditions of climate change. The study of the structure of the pine stands is important for understanding various ecological and biological aspects of their formation. When solving the problems of multi-purpose use of forest ecosystems, a thorough assessment of the structure of stands is necessary. In the conditions of climatic impact, the study of the structure of stands becomes relevant, since it characterizes the vital state of stands and it is possible to identify the ongoing successions in the phytocenosis. The purpose of the study was to study the regularities of the structure of pine stands to determine the trends of ecosystem development under the influence of climatic transformation. The object of the study was 28 permanent observation plots in pine forests of different age classes located on the territory of Moscow and the Moscow region. The calculated coefficients of variation range from 15.5% to 31.4%, which characterizes the variability of tree diameters as average. On the permanent observation plots under study, under the influence of environmental factors, the distribution series change towards asymmetric and excessive curves. The distribution of trees by thickness steps is considered on the example of individual permanent observation plots. The structure of pine stands has a pronounced multi-vertex distribution, which is due to the presence of different breeds of different ages that make up the stand. There is a tendency for the natural thinning of pine with an increase in its age. According to the results of the study, it is noted that pine stands are quite durable in the conditions of the Moscow region. Pine phytocenoses in these conditions are able to maintain stability at the age of more than 180 years.&lt;/jats:p&gt;</t>
  </si>
  <si>
    <t>10.54941/ahfe1002576</t>
  </si>
  <si>
    <t>&lt;jats:p&gt;There was a hope that digital transformation, in improving public service provision and delivery, and in promoting inclusion – with due regard to the needs of vulnerable populations – is instrumental in mitigating the effects of exclusion and improving people’s livelihoods (UN e-Government Survey 2012). Also, the rise of social media with their more inclusive tendencies and lower technical skill requirements was expected to open new horizons for the inclusion of vulnerable groups. Whereas these hopes have partly become true, we are also witnessing that vulnerable groups are facing new type of risks such as digital harassment, hate speech, disinformation/misinformation attacks and other risks which hinder those groups from fully benefitting from digital transformation.While traditional digital divide reasons (lack of access and skills) remain important, motivational reasons have increased in importance over time. Effective interventions aimed at tacklingdigital exclusion need to take into consideration national contexts, individual experience etc. What worked a decade ago in a particular country might not work currently in a different or even the same country (Helsper, E.J. and Reisdorf, B.C. 2016). The aim of research paper is to shed a light on the digital vulnerability, and to understand (a) which are the groups and activities where digital transformation (increase of digital awareness, skills, resources) could bring about the biggest change in the quality of life, and empowerment? (b) What are the main actors in this field? (c) What are the practical implications to rise their capacity and empower them?Our research collects and analyses data from Ukraine and Georgia. The democratic development of these two countries has been relatively similar. Both countries have also placed emphasis on digital development. However, the state of democracy is fragile in both countries, there are many inequalities and a great threat to security, especially in Ukraine.  This makes the vulnerable groups even more vulnerable digitally and the risks mentioned above might have real dramatic consequences.Even though we are looking more closely at these two countries, there is a threat to democracy and societies everywhere, so this focus is universal.The research will make use of primary as well as of secondary data. The primary data will be collected using semi-structured interviews with different stakeholders. The secondary data will be collected from public sources (strategy and policy documents etc.)In our study the digitally vulnerable groups (DVG) are those whose digital engagement in political decision-making and e-services is hindered by their lack of awareness of digital issues, access to technological benefits, and / or digital literacy and skills. Irrespective of the causes (e.g. demographic, socioeconomic and/or health status, living conditions or social position, etc.), these barriers prevent the people from reaping the benefits of digital transformation and as such, have a negative impact on their rights, interests, and everyday life. The primary research shows that the priority target groups are similar in both countries – these are (a) children and young people; and (b) elderly people.  Evidently those both groups have completely different needs, barriers, and enablers for benefitting from digital agenda.  The research is part of a project DRIVE, the results will be used for preparing recommendations for action, train civil society organisations and public authorities to work on these recommendations and turn two of the recommendations into a pilot project to be implemented during the project.&lt;/jats:p&gt;</t>
  </si>
  <si>
    <t>10.54941/ahfe1004623</t>
  </si>
  <si>
    <t>&lt;jats:p&gt;Efficient engagement with ubiquitous digital content and interfaces presupposes a profound level of reading comprehension, a potential impediment for users within the deaf and hard-of-hearing community. Existing literature demonstrates a correlation between diminished reading comprehension and deafness [1, 3], accentuating the formidable barriers faced by this demographic in accessing and understanding digital content and navigating an increasingly digital world. Despite decades of efforts to enhance digital accessibility for all users, limited research has focused on the specific challenges confronting deaf and hard-of-hearing individuals, particularly those not adept with technology [2].This study aims to address this gap by investigating the daily interaction challenges faced by deaf and hard-of-hearing users with digital content and interfaces. Conducting a focus group with four deaf participants, we chose this method to facilitate rich, in-depth discussions in American Sign Language (ASL), a mode of communication familiar to the participants. We selected participants with educational levels from high school to those who had attained an Associate's degree seeking to get a range of possible challenges and investigating if their level of education might impact the challenges they face.Qualitative analysis of the focus group's dialogue unveiled insights into the technological struggles experienced by participants, coupled with their expressed needs for technological support. Three salient themes emerged: 1. Difficulties comprehending textual information across various tasks (email, online search, reading news, text messages, etc.), as unanimously reported by all participants; 2. Challenges associated with writing text and text entry, universally confirmed by all participants; and 3. Challenges in content and interface comprehension, influencing the installation, navigation, and utilization of various technologies, universally acknowledged by all participants.In this paper, we discuss the implications of these findings for researchers, technology developers, and digital content providers alike. We further explore avenues for future research along with potential technological enhancements aimed at mitigating the challenges confronting the deaf and hard-of-hearing population. The insights derived from this study are positioned to guide digital content developers, policymakers, and educators in effecting essential changes to amplify the accessibility of digital content and interfaces for deaf and hard-of-hearing users, both within the United States and on a global scale. References[1]M. Marschark and P. C. Hauser, Deaf cognition: foundations and outcomes. Oxford ; New York: Oxford University Press, 2008.[2]M. Maiorana-Basas and C. M. Pagliaro, “Technology Use Among Adults Who Are Deaf and Hard of Hearing: A National Survey,” Journal of Deaf Studies and Deaf Education, vol. 19, no. 3, pp. 400–410, Mar. 2014, doi: https://doi.org/10.1093/deafed/enu005.[3]E. Toofaninejad, E. Zaraii Zavaraki, S. Dawson, O. Poquet, and P. Sharifi Daramadi, “Social media use for deaf and hard of hearing students in educational settings: a systematic review of literature,” Deafness &amp;amp; Education International, vol. 19, no. 3–4, pp. 144–161, Oct. 2017, doi: https://doi.org/10.1080/14643154.2017.1411874.&lt;/jats:p&gt;</t>
  </si>
  <si>
    <t>10.2523/iptc-21334-ms</t>
  </si>
  <si>
    <t>&lt;jats:title&gt;Abstract&lt;/jats:title&gt;
               &lt;jats:p&gt;Tight oil reservoir is commonly recognized to be difficult to supply the formation energy. Tight oil reservoir in Ordos basin is characterized to be continental sedimentation, strong heterogeneity, normal pressure (0.9), low reserve abundance, imperative to supply the displacing energy. CO2 have good injection and high displacing efficiency for extra-low permeability reservoir, which provides the reference for exploring the effective development mode in tight reservoir. Influencing by complex fracture and hydraulic fracturing, as CO2 flooding is conducted in tight oil reservoir, gas channeling phenomenon is very serious, displacing energy is difficult to be utilized. To enlarge CO2 sweep efficiency, how we can effectively control CO2 channeling becomes the first important issue in energy supplying development of normal pressure tight reservoir.&lt;/jats:p&gt;
               &lt;jats:p&gt;In the paper, a case of Honghe Chang 8 tight oil reservoir was carried out. Medium-large and medium-small scale fractures were artificial fabricated in natural crop cores according to G&amp;amp;G understanding. In different fracture openings models, two-stage blocking experiments with CO2 flooding were operated with high-strength starch gel and weak-strength ethylenediamine. Slug combination, volume and sequence were evaluated and by numerical simulation, blocking strength were defined to reflect the plugging effect in the experiment. Then build up well group numerical simulation model, characterizing the complex fracture network. Blocking sites and volume of plugging agents were analyzed and optimized. Two-stage blocking technique was determined in the fracture developed tight reservoir during CO2 flooding.&lt;/jats:p&gt;
               &lt;jats:p&gt;Research results indicate it is priority to control the gas channeling of medium-large scale fractures with sufficient volume of the starch gel. As CO2 flooding is performed, gas starts to break through, followed by small volume ethylenediamine to mitigate gas channeling. Numerical simulation shows that firstly fully controlling gas channeling from medium-large scale fracture along with principal stress, then injecting plugging agent from the injection well, being located in 1/3~1/2 of well space to treat medium-small scale fractures with the best production stimulation. Starch gel volume is determined by medium-large scale fractures pore volume(PV), while low concentration starch gel and ethylenediamine volume is optimized to be half of the medium-small scale fracture PV, in which PV of fracture permeability lower than 200×10-3μm2 determine ethylenediamine volume. Generally, plugging agent would be more than 1500m3 for a pair of I-P wells.&lt;/jats:p&gt;
               &lt;jats:p&gt;With low cost CO2 source, CO2 flooding is expected to be one of the important development modes for normal pressure tight oil reservoir. During CO2 immiscible flooding, gas channel controlling technique plays decisive roles in ensuring successful development. Research results are not only advisable for the Ordos normal pressure tight reservoir development, but also for the similar tight reservoir in the world.&lt;/jats:p&gt;</t>
  </si>
  <si>
    <t>10.5327/jbg-0368-1416-20211311190</t>
  </si>
  <si>
    <t>&lt;jats:p&gt;Introdução: Placenta acreta é uma condição patológica de placentação associada a alto risco de hemorragia maciça durante o parto. A placenta prévia (PP) é definida quando seu desenvolvimento ocorre no segmento uterino inferior e é classificada conforme sua relação com o colo uterino. Gestantes com PP têm risco progressivo de acretismo placentário (AP), conforme o crescente número de cesarianas realizadas. Mulheres com associação de AP com PP costumam ter internação eletiva precoce (entre 32 e 34 semanas) para proximidade com o centro cirúrgico caso precisem de abordagem de urgência. Relato de caso: V.L.A., 36 anos, parda, residente do Rio de Janeiro, com diagnóstico de vírus da imunodeficiência humana (HIV), com carga viral indetectável, G7P2(PC)A4, com idade gestacional de 29 semanas e 1 dia. Foi admitida na Unidade Materno Feral do Hospital Federal dos Servidores do Estado (UMF-HFSE) com queixa de dor abdominal leve e sangramento vaginal intermitente de pequeno volume. A ultrassonografia (USG) realizada na unidade apresentou diagnóstico de PP total, colo uterino medindo 12 mm com afunilamento e aumento da vascularização cervical. Paciente estável hemodinamicamente, tônus uterino normal, ausência de metrossístoles, colo fechado, de coloração arroxeada e ausência de sangramento vaginal ativo. Durante a internação, realizou-se o diagnóstico de diabetes gestacional e foi iniciada a insulinoterapia. Prescreveu-se progesterona vaginal 200 mg/dia desde a internação e repouso relativo. A ressonância magnética confirmou o diagnóstico de AP. Pelos riscos da gestação e a condição social da paciente, optou-se pela manutenção da internação até o parto. Planejou-se o parto para 36 semanas com equipe multidisciplinar, realização de visita pré-anestésica, reserva de hemocomponentes, corticoterapia para maturação pulmonar fetal, programação da passagem de cateter duplo J com equipe da urologia e reserva de vaga em unidade de terapia intensiva (UTI). O parto foi realizado sob anestesia geral, cesariana com histerectomia total e rafia vesical, com choque hipovolêmico durante ato cirúrgico. A paciente foi mantida em UTI após o parto e retornou à enfermaria dois dias depois com realização de mais dois choques hipovolêmicos, recebendo alta hospitalar em bom estado geral. Conclusão: Pacientes com PP têm 11% de risco de AP após a segunda cesariana, como é o caso da paciente em questão, e 90% dos casos de AP ocorrem em gestantes com PP e cesárea anterior. Mulheres com cesárea prévia que apresentam PP complicada por AP de gravidez em curso são o grupo obstétrico com maior chance de complicação no parto. Há significativo aumento da morbimortalidade materna, proporcional à quantidade de cesarianas, sendo o AP e a necessidade de histerectomia intraparto as consequências mais impactantes. Serviços com equipe cirúrgica multidisciplinar, setor de hemoterapia e UTI estão associados à redução da morbidade materna em cinco vezes, ao menor índice de transfusão sanguínea e à necessidade de reabordagem em sete dias. Dessa forma, uma vez que o diagnóstico de AP é suspeitado, o plano de cuidado com uma equipe multidisciplinar é indispensável.&lt;/jats:p&gt;</t>
  </si>
  <si>
    <t>10.2118/203450-ms</t>
  </si>
  <si>
    <t>&lt;jats:title&gt;Abstract&lt;/jats:title&gt;
               &lt;jats:p&gt;Polymer gel technologies have been widely employed in conformance-control applications to improve sweep and recovery from high permeability reservoirs. Modeling of polymer gel propagation, gelation time, and adsorption in the porous media requires a complex full-order computation of diffusivity equations, heat transfer and chemical reactions for components partitioning in oleic and aqueous phases. This paper presents a soft-computing alternative and data-driven approach to using machine learning to model deep polymer gel treatments in fractured reservoirs.&lt;/jats:p&gt;
               &lt;jats:p&gt;Reference simulation models of various dual-permeability systems were used to generate the dataset for the machine learning model, an artificial neural network. A second-order reaction scheme for gel formulation was used to describe the chemical reaction between the polymer, polyacrylamide, and the cross-linker component, chromium acetate. Viscosities, adsorption properties and residual resistance factors of the polymer and produced gel were populated based on experimental data. Various conformance design factors and reservoir properties were parameterized for inclusion in the neural network, including: temperature, injection rate, gel concentration, bottom-hole pressure, drainage radius, porosity, fracture spacing and permeability.&lt;/jats:p&gt;
               &lt;jats:p&gt;Feature analysis of the input variables indicated that ten parameters are sufficient to train the model and predict the performance of the conformance treatment with indicators including the oil and water rate profiles improvement after applying the polymer gel treatment. The dataset was randomly divided into 80% training, 10% validation and 10% testing sets. Early stopping and monitoring of the validation and testing set's errors were used to generalize the solution and enhance the performance of the neural network. Hyperparameter tuning showed that using a deep multi-hidden layers neural network was more effective than increasing the neurons in a single hidden layer. The weights and biases of the model were adjusted using a mean squared error loss function and a gradient descent optimizer. A correlation of 90% was achieved for the test samples with a mean absolute deviation of less than 10% for all modeled variables. The developed neural network model was able to reduce the complexity of the full-order simulation model by accurately predicting the performance of polymer gel treatments in fractured reservoirs at 200 times faster speed than commercial simulators with only ten input variables of polymer gel design and reservoir properties.&lt;/jats:p&gt;
               &lt;jats:p&gt;This work presents a unique surrogate modeling approach based on machine learning to describe complex polymer gel kinetics and flow dynamics in deep conformance applications. The presented neural network model can be used to robustly predict the oil recovery performance of polymer gel treatments in fractured reservoirs outperforming commercial simulators in terms of computational complexity and processing speed.&lt;/jats:p&gt;</t>
  </si>
  <si>
    <t>10.2523/iptc-21880-ms</t>
  </si>
  <si>
    <t>&lt;jats:title&gt;Abstract&lt;/jats:title&gt;
               &lt;jats:p&gt;The Jurassic Najmah-Sargelu formations in Kahlula field of West Kuwait is a tight carbonate fractured reservoir. In such tight environment, the fractures are the most contributing to oil production. Therefore, fracture characterization is required to optimize reservoir production. However, because of the difficult drilling environment, the acquisition of open-hole logging data is not guaranteed. Moreover, as the conventional imaging tools (resistivity or ultrasonic) can only be operated in open-hole, any fracture evaluation would be a significant challenge after the well is cased. This paper presents a method how to characterize geological features such as natural fractures, faults and beddings in cased-hole, in the absence of conventional open-hole image logs.&lt;/jats:p&gt;
               &lt;jats:p&gt;The Deep Shear Wave Imaging (DSWI) is the method used to characterize fractures network in this case study. The method consists of using through casing borehole acoustic measurements to map fractures, or any other geological features such as faults and beddings. Standard wireline acoustic and cement bond log services were logged in a cased well covering Najmah-Sargelu formations. The acquired acoustic data are monopole, in-line dipole and cross-line dipole waves. The dipole waves were used to map the fractures, and the other geological features, crossing the wellbore and none-crossing the wellbore when they are in the area of investigation. The cement bond log data were acquired to evaluate cement bond quality behind casing for well integrity purpose, and also for well completion purpose. The fracture mapping technique is basically the analysis of the very weak wave signals reflected back from the formation when the transmitted waves hit a reflector with an acoustic impedance contrast. This reflector can be a fracture, a bedding plane, or a fault. The low attenuation property of the flexural waves allowed us to see fractures up to 100 feet away from the wellbore. The analysis allowed locating the fractures along the wellbore, their extension in the formation, their dip angle, and their location relative to the wellbore.&lt;/jats:p&gt;
               &lt;jats:p&gt;Well-X sidetrack in Kahlula field was selected to evaluate DSWI technique. If the result is promising then it will be implemented widely across West Kuwait fields. The benefit of using Well-X is that it already had open-hole image logs in the main bore to validate DSWI results. The result illustrated that fractures picked from DSWI matched well with what has been observed from the main bore of Well-X. Consequently, the DSWI result were used to select the most fractured intervals for testing and completion design in Well-X sidetrack. The tested interval showed commercial oil production with minor water cut. The successful application of DSWI enabled the deployment of this technique in West Kuwait fields to replace open-hole image logs in case the acquisition of openhole logging data cannot be conducted due to harsh well conditions.&lt;/jats:p&gt;</t>
  </si>
  <si>
    <t>10.54941/ahfe1004471</t>
  </si>
  <si>
    <t>&lt;jats:p&gt;The authors expect that short breaks during work to promote refreshment will suppress the decline in intellectual concentration. In addition, we have been studying the effect of micro refresh (MR), which is a refreshment stimulated by very short breaks and stimuli during work. In this study, we focused on visual changes caused by VR as a method to promote MR appropriately. For example, in a VR space, it is possible to change the environment in a way that is not possible in reality, such as instantly moving from a space where work is performed to a space where nature spreads out. We believe that such a brief distraction from the content of work is an effective way to refresh oneself during work. The purpose of this study is to create a system that encourages brief refreshments during work by changing the environment using VR and to confirm the effect of the system on suppressing the decline in concentration. To evaluate the effect of suppressing the decline in concentration, we calculated and used the concentration time ratio (CTR), which is an indicator of the degree of intellectual concentration, from the response time data of the comparison questions. In addition, several questionnaires were administered to evaluate subjective changes in fatigue and other symptoms. Participants in the experiment were asked to wear a VR head-mounted display and answer the comparison questions. In this research system, the background changes to a natural landscape after a certain amount of time elapses during the work, prompting the participants to take a break. In this experiment, the background changed for 40 seconds every 7 minutes and 30 seconds. When the background changes, the cognitive task is still displayed, and the participant can continue to answer the task. 3 types of backgrounds were created for the MR prompt, and the participant can select one of the backgrounds of their choice. Twelve participants took part in this experiment, and four sets of 25-minute comparison questions were conducted for four hours each. One of the sets 3 and 4 were conducted with MR, and the other set was conducted without MR. When asked why they chose the landscapes, they focused on brightness, color, and motion (especially water currents). Regarding brightness, only one respondent chose the brightest landscape. As for color, green grass and trees tended to be preferred over blueish colors such as the sky and the sea. The CTR results were high for five participants with the MR condition and low for seven participants without the MR condition. The results of the subjective questionnaire showed that eight participants did not change between conditions in the questionnaire asking whether they refreshed during the task, and one participant's value was lower in the condition with MR. The reason for this may be that the visual stimuli were weak. The CTR results with the MR condition were not good because the participants continued to perform the task without paying attention to the background, even though they noticed changes in the background.&lt;/jats:p&gt;</t>
  </si>
  <si>
    <t>10.56952/arma-2023-0737</t>
  </si>
  <si>
    <t>&lt;jats:sec&gt;
                  &lt;jats:title&gt;ABSTRACT&lt;/jats:title&gt;
                  &lt;jats:p&gt;We present a pore-scale numerical modeling study of coupled fluid flow, solute transport, and mineral dissolution/precipitation in 3D fractured carbonate rocks. The injected fluid can dissolve the carbonate and release carbonate ions into the solutions, which react with Ba2+ resulting in barium carbonates (BaCO3) precipitation. Both a simplified fracture and a complex fracture geometry extracted from real shale images are considered. Simulations with a wide range of Pe and Da numbers are carried out to systematically study their effects on dissolution/precipitation patterns and on evolution of fracture geometry, porosity, and permeability. The results show that the coupled physicochemical process is strongly dependent on the Pe and Da. While similar trend of the permeability-porosity variations is obtained for the two fractures at the same Pe and Da numbers, the evolution of fracture morphology is different due to the difference in initial structure heterogeneity and wall roughness. This work reveals the interplay of advection, diffusion, and reaction in determining the fracture evolution and improves our understanding of fluid-mineral interactions in fractures.&lt;/jats:p&gt;
               &lt;/jats:sec&gt;
               &lt;jats:sec&gt;
                  &lt;jats:title&gt;INTRODUCTION&lt;/jats:title&gt;
                  &lt;jats:p&gt;Fractures play an important role in providing preferred flow pathways in low-permeability formations and significantly enhance their permeability. They can improve gas production for shale reservoirs but can also increase the risks for leaking of CO2 from geological storage sites.&lt;/jats:p&gt;
                  &lt;jats:p&gt;The fluid-mineral reactions, including dissolution or precipitation, can cause the alteration of porous medium matrix or fracture wall. Particularly, mineral dissolution (precipitation) can increase (decrease) the pore/aperture size and hence the permeability of porous or fractured media. While there have been a lot of studies on mineral dissolution in porous or fractured media considering resultant pore-structure change (Chen, Kang, Viswanathan, et al., 2014; Kang et al., 2014; Kang et al., 2002; Liu &amp;amp; Mostaghimi, 2017; Rasoulzadeh et al., 2020; Starchenko et al., 2016; Verberg &amp;amp; Ladd, 2002; Verhaeghe et al., 2005, 2006), studies on mineral precipitation are much less (Deng et al., 2021; Kang et al., 2005; Kang et al., 2003; Menefee et al., 2020), and studies on coupled dissolution and precipitation are scarce (Chen, Kang, Carey, et al., 2014; Kang et al., 2010). Particularly, there is no high-resolution pore-scale modeling study on coupled dissolution and precipitation in three-dimensional (3D) fractures with evolving fracture geometry to our best knowledge. Consequently, the complex coupled processes including fluid flow, solute transport, dissolution/precipitation, and evolution of pore structure are not well understood.&lt;/jats:p&gt;
               &lt;/jats:sec&gt;</t>
  </si>
  <si>
    <t>10.56952/igs-2024-0194</t>
  </si>
  <si>
    <t>&lt;jats:sec&gt;
                  &lt;jats:title&gt;ABSTRACT:&lt;/jats:title&gt;
                  &lt;jats:p&gt;Based on the results of the 3D/4D geomechanical modeling, the influence of the static mud weight on the degree of shear failures of the borehole was shown. Recommendations were made to increase the mud weight to avoid clay shear failures, but at the same time control the equivalent circulation density (ECD) during drilling to avoid fault reactivation. Also the reservoirs layers have experienced a decrease in pore pressure associated with development. As a result, the minimum total horizontal stresses in the far field are reduced due to the "stress-path" effect. Design safe mud weight windows for wells of different orientations for different cases were obtained. Based on the completed 3D/4D geomechanical modeling, several design horizontal wells were successfully drilled. This geomechanical model used in the construction of wells takes into account work with problematic wells of previous years. Thanks to this model, well drilling happened faster and was accompanied by much fewer emergency situations. The predrill model agreed with the postdrill one. The seafloor subsidence and the degree of reservoir compaction are predicted. With the remaining 70% of the total depletion expected over the next 25-30 years, the final subsidence, according to the baseline case, could reach 0.55–0.65 m.&lt;/jats:p&gt;
               &lt;/jats:sec&gt;
               &lt;jats:sec&gt;
                  &lt;jats:title&gt;1. INTRODUCTION&lt;/jats:title&gt;
                  &lt;jats:p&gt;At the studied offshore field, geomechanical drilling support is an important support for trouble-free oil and gas production. It is used to solve various problems in the process of field development and operation. The objective of this work is to apply the geomechanical model to prevent risks during the construction of inclined and horizontal wells. The main problems is borehole instability of well walls, manifested in the presence of overpulls, tightening, collapsing cuttings on vibrating screens and sticking, were observed in clay intervals with a drilling mud density of 1.18 to 1.33 g/cc (Fig. 1).&lt;/jats:p&gt;
                  &lt;jats:p&gt;Most successful wells were drilled in 340 mm and 244 mm sections with a higher drilling mud density exceeding 1.33-1.37 g/cc. In the 178 mm section, elevated gas readings (up to 50%), tightening and landings were mainly observed at a density of 1.13–1.18 g/cc. The number of caverns is smaller than in the upper parts of the section, since the 178 mm section usually exposes sandstones, which are more stable than siltstones and mudstones. To display all drilling events that accompanied the construction of the well, a "stick chart" diagram is used, shown in Fig. 2.&lt;/jats:p&gt;
               &lt;/jats:sec&gt;</t>
  </si>
  <si>
    <t>10.51161/rems/1503</t>
  </si>
  <si>
    <t>&lt;jats:p&gt;Introdução: Biofilmes são comunidades microbianas complexas associada à superfícies bióticas ou abióticas, circundada por uma matriz extracelular polimérica autoproduzida pelos microrganismos ali presente. A formação de biofilme protege os microrganismos de condições ambientais desafiadoras, tornando a antibioticoterapia e mecanismos de defesa imunológica do hospedeiro ineficazes contra bactérias associadas ao biofilme. Objetivo: Este estudo buscou analisar o papel do biofilme como mecanismo que contribui para virulência bacteriana. Material e métodos: Consistiu-se em uma revisão de literatura, a partir de uma abordagem qualitativa, na base de dados Pubmed, utilizando como termo de busca booleano ((biofilm[Title/Abstract]) AND (virulence mechanism[Title/Abstract])) AND (bacteria*[Title/Abstract]). Foram encontrados 19 artigos, compreendendo o período de 2003 a 2021. Resultados: Por muito tempo acreditava-se que as bactérias viviam isoladas no ambiente, hoje é notório que o fenótipo de biofilme ocorre de forma ubíqua e é a principal forma de vida bacteriana. A formação de biofilme por patógenos oportunistas em implantes biomédicos, é considerado sério problema de saúde pública. Implantes biomédicos colonizados por essas bactérias, são mais resistentes a antibioticoterapia, tempo de internação e gerar maior custo ao sistema. A formação de biofilmes em hospedeiros pode ocorrer também com microrganismos aderindo diretamente a órgãos. Pacientes com fibrose cística, infectados de forma crônica por Pseudomonas aeruginosa com capacidade de formação de biofilme nos pulmões do hospedeiro, são a principal causa de mortalidade em pacientes com esta doença. O desenvolvimento de biofilmes também é um fator relacionado à infecções alimentares. Listeria monocytogenes pode causar gastroenterite, listeriose, septicemia, encefalite, endocardite, meningite e abortos, principalmente quando associado a formação de biofilme. A formação de biofilmes também pode contribuir para a transmissão de genes de resistência a antibióticos em sistemas de distribuição de água potável. Estudos detectaram um aumento da presença de bactérias resistentes à antibióticos em tubulações industriais com presença de biofilmes. Conclusão: Biofilmes compreendem o principal estilo de vida bacteriano. A melhor compreensão do estabelecimento desse fenótipo como um mecanismo de virulência e a sua relevância biológica são essenciais para criar soluções para problemas causados por biofilmes, bem como para aplicar a biossíntese de biofilmes sem situações benéficas.&lt;/jats:p&gt;</t>
  </si>
  <si>
    <t>10.29289/259453942022v32s2096</t>
  </si>
  <si>
    <t>&lt;jats:p&gt;A 39-year-old woman presented to our mastology session with complaints of a right breast lump in 2014, which had grown very slowly and changed in color over the past year (purple). On physical examination, the breast was found in a 12-1 o’clock position, bruise-like, and soft-to-firm in consistency. On mammography, the lump presented diffuse-dense and ultrasonography showed an ill-defined mass and poor-delimited hyperechogenic infiltration in the upper inner portion of the right breast that measured about 7 cm in size. A core biopsy was performed on the suspicious lesion. The pathological result was necrotic breast tissue. A second core biopsy was performed with the diagnosis of malignant neoplasia, poorly differentiated. The immunohistochemistry was diagnosed with moderate-differentiated angiosarcoma. A modified mastectomy was performed and the initial diagnosis was confirmed. After that, she received adjuvant chemotherapy, but the treatment was interrupted due to epístaxis, hematemesis, and body paresthesia. After this, the progression of the disease was observed with metastasis in the lungs, stomach, mouth, gum, and brain. She was subjected to palliative treatment and died in November 2015. Discussion: Primary angiosarcoma of the breast is a very rare disease and corresponds to less than 1% of breast malignancies. Mammary angiosarcoma should be differentially diagnosed from benign hemangiomas, phyllodes sarcomas, stromal sarcomas, metaplastic carcinomas, fibrosarcomas, liposarcomas, squamous cell carcinomas with sarcomatoid features, myoepitheliomas, fibromatoses, and reactive spindle cell proliferative lesions. CD31 is a sensitive marker for this class of cancers, and CD34 positively ranges from 40% to 100%. These markers could help with the accurate diagnosis of angiosarcoma. Pathologically, these tumors are divided into three groups according to the classification proposed. Well-differentiated (grade I) tumors consist of anastomosing vascular channels that invade the surrounding breast tissue. Moderately differentiated (grade II) tumors have more solid neoplastic vascular growth and an increased mitotic rate. Poorly differentiated (grade III) lesions have obvious sarcomatous areas and areas of necrosis, hemorrhage, and infarction. In conclusion, primary mammary angiosarcoma is a rare neoplasm of the breast that affects a younger female population, compared to breast carcinomas, and has aggressive clinical behavior. Difficult differential diagnoses, due to atypical characteristics, can delay management.&lt;/jats:p&gt;</t>
  </si>
  <si>
    <t>10.1115/gt2020-16014</t>
  </si>
  <si>
    <t>&lt;jats:title&gt;Abstract&lt;/jats:title&gt;
               &lt;jats:p&gt;This paper proposed an alternating elliptical U-shaped internal cooling channel and investigated the flow and heat transfer characteristics, based on the optimal flow field structure deduced from the Field Synergy Principle. The channel consisted of the straight sections and the transition sections. In the straight sections, the cross section of the channel is ellipse, and in the transition sections, the long axis gradually shortened into the short axis, and the short axis gradually expanded to the long axis. However, the cross-section area of the channel remained unchanged.&lt;/jats:p&gt;
               &lt;jats:p&gt;Numerical simulations were performed to solve 3D steady Reynolds-averaged Navier-Stokes equations (RANS) with the standard k-ε turbulence model. The influence of alternating of the cross section on heat transfer and pressure drop of the channel was studied by comparing with the smooth elliptical U-shaped channel, and all the cases were conducted with the Re numbers from 10,000 to 40,000. On this basis, the investigation on alternating elliptical U-shaped internal cooling channel performance was made mainly into two parts. One was the effect of aspect ratio which was set as from 1.1 to 2.0, while the other was the effect of alternating angle θ which was set as from 10° to 90°.&lt;/jats:p&gt;
               &lt;jats:p&gt;The results showed that for the flow field, there was no vortex in the first pass of the smooth elliptical U-shaped channel. On the contrary, in the first pass of the alternating elliptical U-shaped channel, after the transition section, for different Re numbers, four or eight longitudinal vortices were generated. In the second pass, the flow separation in smooth elliptical U-shaped channel was serious because of the centrifugal force at the elbow, while the alternating elliptical channel restrained the flow separation to a certain extent and formed a double-vortex structure just like the vortex cooling. The average Nusselt number of the alternating elliptical U-shaped channel was significantly higher than that of the straight channel, but the pressure loss increased slightly. In addition, with the increase of aspect ratio, the thermal performance of the channel increased in the study range, and when the alternating angle is between 40° to 90°, the thermal performance nearly kept constant and the best.&lt;/jats:p&gt;</t>
  </si>
  <si>
    <t>10.1115/gtindia2023-118324</t>
  </si>
  <si>
    <t>&lt;jats:title&gt;Abstract&lt;/jats:title&gt;
               &lt;jats:p&gt;Hydrogen is a clean-burning fuel that produces only water vapor when combusted, making it a highly attractive option for reducing greenhouse gas emissions and combating climate change. Hydrogen can be produced from a variety of domestic sources with potentially near-zero greenhouse gas emissions. However, combustion associated with hydrogen for industrial heating applications poses some serious challenges in terms of flame stability and high flashback propensity due to its highly reactive nature. At the same time the burner hardware is also expected to be fuel flexible (with varying LHV), i.e., to be able to operate with different blends of LPG/NG and H2. This demands a bit complex geometry to mix the fuel and air in an efficient way (fuel nozzle sizing) and at the same time to mitigate the flash back risk and introduce complex cooling schemes. Towards this, advanced additive manufacturing techniques (3D printing) open the doors to manufacture highly complex systems and facilitate the scaling of complex systems. 3D printing is an additive process, where material is only used where it is needed. Thus, it leads to reduced material wastage and more sustainable manufacturing practices.&lt;/jats:p&gt;
               &lt;jats:p&gt;This experimental study aims to determine the operating margins of a fuel flexible 3D printed burner, that is designed to burn different fuel blends up to 100% hydrogen. Following thorough Computational Fluid Dynamics (CFD) analyses, the burner was designed for and produced through additive manufacturing technology (3D printing). As a first validation and demonstration, tests were carried at atmospheric pressure test conditions, using natural gas (NG) and hydrogen (H2) up to 250 (kW) of thermal power and air preheating up to 500°C.&lt;/jats:p&gt;
               &lt;jats:p&gt;The results demonstrated the burner capabilities in terms of low emissions (below 3 ppm) low pressure drop (below 2.5%) in a broad operating window (flame temperatures up to 1850K), relevant for gas turbine and other industrial heating system applications. The first tests with the 3D printed burner, with integrated fuel injection and cooling concept system showed encouraging results in terms of flash back resistance and at the same time meeting low pressure drop system compared to the conventional swirl stabilized flames.&lt;/jats:p&gt;</t>
  </si>
  <si>
    <t>10.54941/ahfe1003022</t>
  </si>
  <si>
    <t>&lt;jats:p&gt;Many studies have so far revealed that the visual field biases influence visual tasks. These biases should be taken into consideration to arrange an Excel worksheet, draw a CAD (computer-aided design) blueprint and other digital graphics effectively. In this study, we investigated visual field biases in identifying different and same color lines shown on a computer display. Twelve male and two female college students (21-22yrs.; mean age 21.2yrs.) were recruited to participate in the experiment. All were physically and mentally healthy and had visual acuity (including corrected visual acuity) that does not interfere with the task performance and vision that allows color perception. All participants were right-handed. Visual stimuli were displayed on a 17-inch CRT monitor. White circle on a quadrant (1000 ms) was followed by Test1 image (1500 ms), checker pattern image as a distractor (4100 ms) and Test 2 image (4000 ms). White circle showed the quadrant to which a participant must pay attention in order to discriminate different and same colored lines shown in Test 1 image and Test 2 image. Immediately after a participant press a correct response key, a correct answer was fed-back to a participant. The participants were instructed to detect different and same colored lines in the visual field and press a correct response key as quickly as possible. The results demonstrated that the participants could detect different colored lines faster than match of color in both upper- and lower-right visual fields have advantages (F (1,13) =28.814, p&amp;lt;0.000; F (1,13) =8.120, p&amp;lt;0.014, respectively). However, there was no change in identifying different and same colored line in both upper- and lower-left visual fields (F (1,13) =13.000, ns.; F (1,13) =13.000, ns., respectively). Rates of correct responses to different and same colored lines were almost same in these visual fields (upper-right, lower-right, upper- left, lower-left visual fields) (F (1,13) = 0.027, ns.; F (3,39) =0.073, ns, F (1,13) = 0.071, ns; F (1,13) =1.779, ns, respectively). These results showed the advantage in identifying difference in colored lines in right visual field compared with left. This finding implies that right side is appropriate to arrange a manuscript for proofreading, a calculating worksheet, a CAD blueprint and other digital graphics for modification.&lt;/jats:p&gt;</t>
  </si>
  <si>
    <t>10.54941/ahfe1002037</t>
  </si>
  <si>
    <t>&lt;jats:p&gt;Since the dawn of the Internet, abundance of content and information is constantly being created and shared at the speed of light across different media. Media technologies have given us almost unlimited access to choose and interact with vast amount of content and information. We seem to be in active control in choosing what information we want to see and interact with on the internet. Ironically, with all this interactive freedom, most of us still prefer to watch their favorite TV programs or films passively on interactive media platforms. New technologies such as streaming TV have provided many new platforms to present passive content but to what extent how these new technologies have affected the form and shape of content remains a question. Simply by looking at the ratio of programs for traditional passive viewing vs. programs with interactive content, the audience has spoken by choosing to watch conventional content passively. Interacting with content is more than just choosing what pre-made content to watch, for that we always have our remote control. Interacting with content is about having our own say or control about the outcome or direction of a story [1, 2]. Unlike what many media theories have predicted many years ago, interactive narrative has not become mainstream and would never replace conventional form of storytelling. Nevertheless, as more content is being delivered on mobile or personal computer in addition to the big screen, more interactive content will be made available in the foreseeable future. Many popular 4As video games have already mixed conventional storytelling elements with some interactive gaming functions in recent years [3]. This paper focuses on the concepts of choice and decision-making in storytelling and how interactive functions could be blended in with the narrative. Decision-making has always been an important part of storytelling, in which it’s the storyteller who make decisions for the characters and for the audience. A good story may still be best uninterrupted and told by the storytellers who know about the crafts of storytelling [4, 5]. Typical audience still enjoy watching adventure chosen for them rather than to choose their own adventure. This paper discusses the role of interactivity and the concept of choice-making in interactive storytelling.&lt;/jats:p&gt;</t>
  </si>
  <si>
    <t>10.4271/2023-01-1016</t>
  </si>
  <si>
    <t>&lt;jats:p&gt;&amp;lt;div class="section abstract"&amp;gt;&amp;lt;div class="htmlview paragraph"&amp;gt;The making of a quilt is an interesting process. Historically, a quilt is a
                    canvas of work made from old pieces of cloth cut into squares or whatever shape
                    that make a nice connected pattern and then stitched together. The quilt could
                    be random pieces that is not related to each other. In most recent years and
                    more common cases, a quilt is made of different pieces of patches that are
                    connected and laid out in a special way to tell a story. Not only does it
                    portray a story that is put together in a certain sequence, but it also stiches
                    the pieces of the quilt into a nice and complete narrative. A story that one can
                    understand just by looking at the quilt spread and unfolded. Much like the
                    making of a quilt that has a story to tell, a Product Digital Quilt will tell
                    the story of a product.&amp;lt;/div&amp;gt;&amp;lt;div class="htmlview paragraph"&amp;gt;The Digital Product Quilt replaces the conventional way of telling a product
                    story. The traditional product story is a method that is serially connecting
                    multiple product life cycle silos together. This process is usually error prone,
                    difficult to understand and hard to maintain.&amp;lt;/div&amp;gt;&amp;lt;div class="htmlview paragraph"&amp;gt;The Digital Product Quilt is made up of multiple pieces of the puzzle that makes
                    a product story and the source of truth. At the center of the Product Digital
                    Quilt is the Digital Model which represent the source of truth for the product.
                    The first core band of the Product Digital Quilt, surrounding the Digital Model,
                    are Requirements, Engineering, Analysis, Manufacturing, Integration and Fielding
                    the product to the end user which includes Sustainability and Maintenance. The
                    different pieces of the Product Digital Quilt are stitched with many different
                    digital threads such as the System, Software, hardware and quality threads.&amp;lt;/div&amp;gt;&amp;lt;/div&amp;gt;&lt;/jats:p&gt;</t>
  </si>
  <si>
    <t>10.21748/whcd7145</t>
  </si>
  <si>
    <t>&lt;jats:p&gt;The oxidative chemical degradation produced by reactive species (free radicals,
            oxygen, etc.) is responsible for the deterioration of most of the formulated products.
            One of the main properties of an antioxidant lies in its capacity to limit the chemical
            propagation of oxidation by reducing free radicals. Another strategy to prevent
            oxidation is binding transition metals, since they are ubiquitous and deeply involved in
            the initiation and propagation of lipids oxidation. Naturally occurring phospholipids,
            polyphenols, proteins, or peptides that can bind metal ions could be more valued than
            synthetic molecules, for human wellbeing, but also to align with consumer preferences.
            Yet, EDTA salts and sodium citrate remain the most common metal chelators in foods. In
            this study, we went to investigate a strategy to develop naturally produced antioxidants
            peptides from edible plant biomass, such as rapeseed. Several enzymatic hydrolyses of
            total rapeseed protein isolate with various proteases have been performed, and the
            produced peptides were screened for their antioxidant capacity. Peptides generated with
            ProlyveÂ® allowed for particularly high Fe2+ chelation capacity (EC50 = 247 Â± 27 Âµg).
            Accordingly, the enzymatic processing step with ProlyveÂ® was modeled and optimized to
            minimize reaction costs and maximize peptide recovery. Then, lipid oxidation was studied
            in the presence or in the absence of chelating peptides, in micellar, bulk, and
            oil-in-water emulsion systems, and compared with EDTA salts and sodium citrate. Results
            clearly emphasized a very interesting potential from the peptides sample to prevent
            lipid oxidation by chelation of transition metals in emulsified models.This result is
            particularly important to develop the potential of applications of rapeseed meal in
            various food formulations. In addition, this study emphasized an approach aiming at
            developing food chelator peptides from plant proteins, having multifunctional
            properties, and through sustainable processing.&lt;/jats:p&gt;</t>
  </si>
  <si>
    <t>10.51189/rema/1799</t>
  </si>
  <si>
    <t>&lt;jats:p&gt;Introdução: Um dos grandes desafios de hoje sobre a educação, é dar atenção às diferenças individuais e traçar estratégias de ensino, a fim de proporcionar o desenvolvimento de todos de acordo com as diversidades e sem práticas de exclusão. Esse aprendizado e desenvolvimento se estabelecem tanto dentro dos muros escolares como também fora deles, pois em ambos momentos, o docente precisa dominar ferramentas que o permita ensinar alunos com níveis diferenciados de conhecimentos prévios. Objetivos: Este trabalho visa apresentar um relato da prática pedagógica proporcionada as pessoas que visitaram a feira de bio-inclusão,a partir da criação de um protótipo de tartaruga marinha, com o objetivo da não exclusão do entendimento ao processo de reabilitação de animais marinhos, desde a anatomia até os problemas de origem antopogenica causam aos mesmo. Material e métodos: Para a confecção, além do uso da espuma expansiva de PU (poliuretano), que foi a base do protótipo, dando forma a carcaça da tartaruga, também foram utilizados o feltro de diferentes cores, agulha, linha e velcro. Os tamanhos e formas foram baseados na espécie alvo Tartaruga-verde (Chelonia mydas) tanto externamente, como internamente, para que a pessoa possa ter percepção mais próxima ao real possível, ajudando a construir mentalmente o conhecimento. Resultados: Os dados foram recolhidos através da observação, registos fotográficos e falas interpretativas dos visitantes da feira de bio-inclusão, que em sua maioria eram cegos; com baixa visão; surdos e alunos da APAE de Santos. A devolutiva do dia da feira foi, de maneira geral positiva, sobretudo com os alunos de baixa visão e cegos, onde a atividade teve melhor aproveitamento. Dessa análise emergiu uma discussão em que identificaram ações para reduzir resíduos sólidos que vem impactando os animais marinhos. Conclusão: Portanto, fica evidente como o uso desse recurso pode trazer real significado tanto para a educação inclusiva quanto para a educação como um todo, possibilitando o aprendizado não somente de pessoas que tenham algum tipo de deficiência, seja de visão, audição ou outros, mas também os não deficientes, já que ilustra e torna mais didáticos, temas muitas vezes considerados complicados.&lt;/jats:p&gt;</t>
  </si>
  <si>
    <t>10.2118/213451-ms</t>
  </si>
  <si>
    <t>&lt;jats:title&gt;Abstract&lt;/jats:title&gt;
               &lt;jats:p&gt;In this paper will describe the integrated workflow between two well-known reservoir engineering approaches PTA and 3D dynamic simulation. This workflow provides significant help to understanding the channel sand reservoir properties, predict possible well interference and provide consistent well's production prediction forecast. The available geological background, seismic data to map the combined channels, and even well by well Petrophysical correlation showed limited capabilities to characterize the channel heterogeneity due to the reservoir continuity change consistently, and for most of the cases the channels features are unpredicted. Giving these limitations, it is necessary to consider using other engineering approach; e.g. Pressure Transient Analysis (PTA), Rate Transient Analysis (RTA), Dynamic Simulation models to narrow down the uncertainties for better understanding of the reservoir quality.&lt;/jats:p&gt;
               &lt;jats:p&gt;This customized workflow was completed and used in this study to cover all uncertainty parameters during the calibration and prediction of the wells’ performance. It consists to calibrate the geological model using Pressure transient Analysis (PTA) and dynamic simulation model output to enhance the geological model calibration assessment under uncertainty. As results; multiple geological realizations were obtained to cover the possible uncertainty ranges for each parameter. Furthermore, the Well prediction scenarios were performed to evaluate the range of wells’ production prediction forecast under multiple geological realization uncertainty to be more confident in predicting the wells performance under different well constrains and come up with minimum and maximum values. The main challenge associated with the development of channel tight gas sand reservoirs is how to predict the channel attributes and location; e.g. channel width, height, and how to quantify their effect on the well's long-term performance. This workflow will help to quantify the channel properties, interference between wells, and it will guide you on how to select the new well locations for better business planning.&lt;/jats:p&gt;</t>
  </si>
  <si>
    <t>10.54941/ahfe1004932</t>
  </si>
  <si>
    <t>&lt;jats:p&gt;In a world where progress is driven by people and experience, having the right workforce with a strong HR and Talent strategy is key to business growth and business agility.   Building and retaining this talent requires the enterprise to cater to the changing talent landscape with a comprehensive talent agenda to attract, develop and retain the right resources for their workforce.  In order to achieve these objectives, it is important for the enterprise to develop and scale new digital and data savvy skills while balancing user-centricity with an industry solution orientation that starts with talent acquisition and continues on through the employee lifecycle.  This transformational journey to enhance the employee experience and improve productivity includes elements such as talent acquisition (attraction, recruiting and interviewing, onboarding…), personalized career development, personalized retention practices (motivation, feedback, recognition, opportunities…) and predicting critical events (new technology burst such as Gen AI…) while maintaining a solution that addresses all required regulations.  This includes creating tools that assist in evaluating and assessing new legislative texts, identifying overlap with existing regulations, locating any red flags (e.g. executive liability) and preparing recommended output.In this paper we will explain how the use of Large Language Models and Gen AI can create the capabilities in talent transformation utilizing the enterprises base infrastructure to support enhancements in employee experience and productivity throughout the different stages of the employee lifecycle.   Implementing this technology in conjunction with human expertise will ensure that these initiatives align with the organization's specific goals and values, ethical considerations, transparency, and accountability that are crucial when deploying AI in HR and talent management.We will share our architectural patterns that we have used as a foundation for building a holistic talent transformation framework, that any enterprise can adapt and combine to suit their specific needs and goals in managing and optimizing their workforce in the 21st century.&lt;/jats:p&gt;</t>
  </si>
  <si>
    <t>10.4995/heritage2022.2022.15618</t>
  </si>
  <si>
    <t>&lt;jats:p&gt;The construction of the new Gibellina is the starting point to reflect on the importance of memory and the rites of passage between the past and the future of a people. The construction of the city resulted from the destruction of the Belice earthquake of 1968 which wiped out the old town and forced the inhabitants to look for a new, safer place. What remains of the old city destroyed by the earthquake, with its painful heritage of ruins and rubble, has been transformed from a pour of concrete into a work of art: the "Cretto" by Alberto Burri. The new site arose from the design of Marcello Fabbri was the result of experimentation for the city of the future, designed for a significant increase in housing flows which later proved to be overestimated, creating a sense of alienation and out of scale. In the following years, the emotional and social clamor about the community was dramatic, due to the loss of the historical memory of the territory. The citizens of Gibellina had lost their place of origin, their "sacred pole". The contribution aims to highlight the links between past and future in the history of a place that pass through the relationships between the urban and social fabric in the transmission of the memories and identity of a people. After several decades, it is possible to evaluate the emotional effects of the choices made and reflect on the strategies that can be applied to heal the obvious gap between design and actual use of a place. The comparison between the settlement rituals of the nomadic tribe of the Omaha people based on the continuity of a symbolic object, the sacred pole, and the loss of the “genius loci” of Gibellina caused by the occultation of the macere, allows to identify an interesting and unprecedented parallelism in the re-foundation symbolic of the settlement principle which is at the basis of the rebirth of a community. As Torsello and Boscarino suggests, the memory of a people passes through its monuments. Etymologically it can be traced back to the Latin verb “monere” that is to remember, emphasizing the act of admonishing, warning, remembering the history imprinted in the voluntary action of building for the community.&lt;/jats:p&gt;</t>
  </si>
  <si>
    <t>10.53040/abap6.2022.73</t>
  </si>
  <si>
    <t>&lt;jats:p&gt;Bacterium Pseudomonas syringae van Hall and its pathovars was placed on the top of the ten most important plant pathogens list due to the huge importance for the science and economics [Mansﬁeld et al, 2012]. At present it is known about 60 pathovars of the bacterium Pseudomonas syringae van Hall. The causative agent of bacterial canker disease, bacterium Ps. syringae pv. syringae, is one of the most economically signiﬁcant Ps. syringae pathovars which aﬀects about 180 plant species. The bacterial pathogen can substantially reduce the yield of economically important cultures such as pear, apple and quince. Relatively low temperatures and high humidity are favorable for bacteria Ps. syringae pv. syringae growth [Pinheiro et al., 2019]. That is why, the phytopathogen may cause the most serious damage in spring during budding stage of plant vegetation. For to combat bacterial canker agrotechnical, chemical and biological control measures are used. Fungi of the genus Trichoderma as well as bacteria Bacillus subtilis are used as biolo-gical control agents for the bacterial canker disease. The preparation “Pentafag”, elaborated in the Republic of Belarus on the basis of ﬁve bacterial viruses strains, bacteriophages, has shown high eﬃcacy in the disease suppressing. Bacteriophages are widely spread and can be detected in the targeted bacteria natural environment. Furthermore, bacteriophages can regulate themselves in the sites of infection, depending of the bacterial population density. Being highly specialized bacterial parasites bac-teriophages, can be applied against antibiotic resistant pathogenic bacteria or when chemical control measures are forbidden, for example, during plants bloom stage. For the moment it is known that bacteriophages from the families, Podoviridae, Myoviridae и Siphoviridae infect Ps. syringae pv. syringae bacteria [Pinheiro et al. 2019, Rabiey et al. 2020]. The aim of the study was to investigate the ability of Ps. syringae pv. syringae bacterio-phage isolate, which we detected in the quince tissues aﬀected with bacterial canker, to inhibit bacteria Ps. syringae pv. syringae growth in the cut quince shoots.&lt;/jats:p&gt;</t>
  </si>
  <si>
    <t>10.4271/2025-28-0142</t>
  </si>
  <si>
    <t>&lt;jats:p&gt;&amp;lt;div class="section abstract"&amp;gt;&amp;lt;div class="htmlview paragraph"&amp;gt;Fused Deposition Modeling (FDM) is a widely recognized additive manufacturing method that is highly regarded for its ability to create complex structures using thermoplastic materials. Thermoplastic Polyurethane (TPU) is a highly versatile material known for its flexibility and durability. TPU has several applications, including automobile instrument panels, caster wheels, power tools, sports goods, medical equipment, drive belts, footwear, inflatable rafts, fire hoses, buffer weight tips, and a wide range of extruded film, sheet, and profile applications.. The primary objective of this study is to enhance the FDM parameters for TPU material and construct regression models that can accurately forecast printing performance. The study involved conducting experimental trials to examine the impact of key FDM parameters, such as layer thickness, infill density, printing speed, and nozzle temperature, on critical responses, including dimensional accuracy, surface quality, and mechanical properties. The utilization of design of experiments (DOE) methodology enabled a methodical exploration of parameters. Statistical techniques were employed to develop regression models that establish relationships between process parameters and performance indicators. These models offer a prognostic instrument for optimizing FDM parameters and attaining desired printing results. The results demonstrated the effectiveness of the regression models in accurately forecasting the printing performance for TPU material. The models provide valuable insights into the optimal parameter configurations for maximizing printing efficiency, quality, and mechanical robustness. This study enhances the comprehension of Fused Deposition Modeling (FDM) for Thermoplastic Polyurethane (TPU) material and provides useful techniques for optimizing the manufacturing process. Manufacturers can improve printing productivity and quality by utilizing regression models, thereby promoting the wider use of FDM technology in industries that need flexible and durable components.&amp;lt;/div&amp;gt;&amp;lt;/div&amp;gt;&lt;/jats:p&gt;</t>
  </si>
  <si>
    <t>10.1364/laop.2022.tu4a.47</t>
  </si>
  <si>
    <t>&lt;jats:p&gt;We demonstrate two highly efficient Nd:YLiF4 lasers, achieving the highest efficiencies for Nd:YLF side-pumped at 800 nm.&lt;/jats:p&gt;</t>
  </si>
  <si>
    <t>10.1364/np.2022.npth2g.5</t>
  </si>
  <si>
    <t>&lt;jats:p&gt;A completely analytical approach is presented that provides deep insight into the pulse formation processes in a hollow fiber compressor by disentangling spatial soliton dynamics.&lt;/jats:p&gt;</t>
  </si>
  <si>
    <t>10.1364/3d.2021.3th7e.2</t>
  </si>
  <si>
    <t>&lt;jats:p&gt;We propose an automatic registration method for the data obtained by a commercial 3D-tracking sensor and the 3D image reproduced by a light-field display for an aerial 3D-touch interface.&lt;/jats:p&gt;</t>
  </si>
  <si>
    <t>10.29327/1318190.2-2</t>
  </si>
  <si>
    <t>&lt;jats:p&gt;Introdução: Este projeto interdisciplinar utiliza a linguagem visual para abordar temáticas voltadas para cidadania, convívio social, direitos e deveres. Baseia-se na nossa Carta Magna, a Constituição&lt;/jats:p&gt;</t>
  </si>
  <si>
    <t>10.29327/1377146.1-1</t>
  </si>
  <si>
    <t>&lt;jats:p&gt;A Agricultura urbana envolve as práticas produtivas destinadas ao autoconsumo e/ou ao comércio de sua produção utilizando o excedente para venda no mercado local. Os quintais produtivos representam gr&lt;/jats:p&gt;</t>
  </si>
  <si>
    <t>10.1364/fio.2020.jtu7c.4</t>
  </si>
  <si>
    <t>&lt;jats:p&gt;The study of contact lenses fitting of different designs through the impact on the tear through infrared images of the eye has been carried out. Multifocal lens design behaves as well as traditional ones.&lt;/jats:p&gt;</t>
  </si>
  <si>
    <t>10.33186/978-5-85638-223-4-2020-150-153</t>
  </si>
  <si>
    <t>&lt;jats:p&gt;The experience of mutually beneficial cooperation of the German Reading Room and volunteers is discussed. Various forms of club and project activities are analyzed to be addressed when managing volunteering.&lt;/jats:p&gt;</t>
  </si>
  <si>
    <t>10.1364/quantum.2023.qtu3a.33</t>
  </si>
  <si>
    <t>&lt;jats:p&gt;We propose a fully chip-based decoder for polarization-encoding quantum key distribution. The chip realizes a polarization state analyzer and compensates for the BB84 protocol without requiring additional hardware.&lt;/jats:p&gt;</t>
  </si>
  <si>
    <t>10.1364/assl.2023.jtu5a.11</t>
  </si>
  <si>
    <t>&lt;jats:p&gt;Modeling of high power Er-doped fluoride fiber lasers operating around 2.8 microns has been an unsolved challenge for many years, so we propose a new theoretical energy transfer equation to accurately simulate five lasers.&lt;/jats:p&gt;</t>
  </si>
  <si>
    <t>10.1364/translational.2020.jtu3a.12</t>
  </si>
  <si>
    <t>&lt;jats:p&gt;A 2D modelling study is presented on the transmission enhancement by iterative optical phase conjugation through diffusive random media. Factors affecting coherent control for enhancing the total transmission is discussed.&lt;/jats:p&gt;</t>
  </si>
  <si>
    <t>10.1364/ofc.2021.w1f.1</t>
  </si>
  <si>
    <t>&lt;jats:p&gt;A potential fault cause identification scheme is proposed by using attention mechanism with actual datasets, which finds out the potential fault causes for two types of optical equipment by calculating the attention weight.&lt;/jats:p&gt;</t>
  </si>
  <si>
    <t>10.1364/cleo_si.2020.stu4n.2</t>
  </si>
  <si>
    <t>&lt;jats:p&gt;We perform heterodyne spectroscopy at 1.56 μm with a tunable laser and thermal radiation from the Sun. The laser tuning is calibrated with a frequency comb, providing a simple spectrometer with resolving power of 2,000,000.&lt;/jats:p&gt;</t>
  </si>
  <si>
    <t>10.1364/cleo_qels.2022.fw1a.7</t>
  </si>
  <si>
    <t>&lt;jats:p&gt;We demonstrate a squeezed optical microresonator-based frequency comb (microcomb) in a silica microresonator on a silicon chip. 22 two-mode squeezed qumodepairs (44 qumodes) and a maximum raw squeezing of 2.1 dB are measured.&lt;/jats:p&gt;</t>
  </si>
  <si>
    <t>10.1364/fio.2020.fm1a.7</t>
  </si>
  <si>
    <t>&lt;jats:p&gt;Conventional interferometric transmission spheres are limited by f-number and design source wavelength. We discuss a broadband variable transmission sphere system based on relative lateral translation of freeform surface pairs.&lt;/jats:p&gt;</t>
  </si>
  <si>
    <t>10.1364/dh.2021.dm6c.7</t>
  </si>
  <si>
    <t>&lt;jats:p&gt;In this work we present compact single lens wide angle holographic display with LED illumination, which is capable of reconstructions of large size images. Obtained optical results illustrate high quality images at large depth.&lt;/jats:p&gt;</t>
  </si>
  <si>
    <t>10.1364/3d.2022.3th3a.2</t>
  </si>
  <si>
    <t>&lt;jats:p&gt;New techniques of 3D image acquisition using coded aperture correlation holography (COACH) with unique imaging properties are presented. Among other things, COACH is applied for incoherent 3D imaging with an extended depth of field.&lt;/jats:p&gt;</t>
  </si>
  <si>
    <t>10.1364/acpc.2020.m4d.9</t>
  </si>
  <si>
    <t>&lt;jats:p&gt;We bring the physics of topological corner states to the nanoscale. We study experimentally topology-driven nonlinear effects generated by subwavelength edge and corner topological states in optical valley-Hall dielectric metasurfaces.&lt;/jats:p&gt;</t>
  </si>
  <si>
    <t>10.1364/ofc.2020.w2a.52</t>
  </si>
  <si>
    <t>&lt;jats:p&gt;We separate various nonlinear impairments caused by pump laser RIN in Raman amplified system. Experiment shows that nonlinear polarization scattering has more impact than phase noise does, and the gain fluctuation has the least impact.&lt;/jats:p&gt;</t>
  </si>
  <si>
    <t>10.1364/aio.2022.t1a.3</t>
  </si>
  <si>
    <t>&lt;jats:p&gt;We present a novel approach to NIR spectral sensing using a handheld module based on a miniaturized integrated detector array. Applicability of the sensor is demonstrated in monitoring moisture in grains and classification of plastics.&lt;/jats:p&gt;</t>
  </si>
  <si>
    <t>10.1364/fio.2020.ftu2e.3</t>
  </si>
  <si>
    <t>&lt;jats:p&gt;Two HCG designs are used as the top mirror for a resonant-cavity detector. A broadband reflector can result in significantly improved manufacturing tolerance, whereas a resonator reflector results in a novel surface normal optical switch.&lt;/jats:p&gt;</t>
  </si>
  <si>
    <t>10.1364/fio.2020.fm4c.1</t>
  </si>
  <si>
    <t>&lt;jats:p&gt;We report the generation of phase-matched long-wavelength radiation at a transmission band-edge of an anti-resonant hollow-core fiber filled with gas. This is achieved with the aid of the resonance-induced dispersion change at the band edge.&lt;/jats:p&gt;</t>
  </si>
  <si>
    <t>10.1364/fio.2021.jw7a.66</t>
  </si>
  <si>
    <t>&lt;jats:p&gt;We numerically demonstrate that using the dispersion engineered side-slotted silicon waveguide contributes much to coherent mid-infrared dispersive wave generation in terms of a higher peak power, wider bandwidth and better coherence property.&lt;/jats:p&gt;</t>
  </si>
  <si>
    <t>10.1364/ofs.2023.w4.23</t>
  </si>
  <si>
    <t>&lt;jats:p&gt;Double second-order sideband with suppressed carrier modulation technology is developed for OFDR system. With an equivalent frequency sweeping range of 80GHz, spatial resolution of 1.083mm over 2km fiber is realized without any optical filters.&lt;/jats:p&gt;</t>
  </si>
  <si>
    <t>10.1364/ofc.2020.th3d.3</t>
  </si>
  <si>
    <t>&lt;jats:p&gt;We propose a methodology for accurate and fast optical performance estimation exploiting cognitive awareness. It is composed by low and high precision estimators and a calibration engine, allowing to control open vs. proprietary implementations.&lt;/jats:p&gt;</t>
  </si>
  <si>
    <t>10.1364/up.2022.m4a.6</t>
  </si>
  <si>
    <t>&lt;jats:p&gt;We demonstrate a polarization scheme, &amp;lt;0°,0°,θ°,-θ°&amp;gt;, that eliminates diagonal peaks and isolates cross peaks. We use the scheme with transient absorption spectroscopy to measure the cross peaks that are often only resolved by 2D spectroscopy.&lt;/jats:p&gt;</t>
  </si>
  <si>
    <t>facemarkup</t>
  </si>
  <si>
    <t>language_metadata</t>
  </si>
  <si>
    <t>matches_landing_page</t>
  </si>
  <si>
    <t>matches_PDF</t>
  </si>
  <si>
    <t>problem</t>
  </si>
  <si>
    <t>all_caps</t>
  </si>
  <si>
    <t>notes</t>
  </si>
  <si>
    <t>Yes</t>
  </si>
  <si>
    <t>No</t>
  </si>
  <si>
    <t>includes table</t>
  </si>
  <si>
    <t>table is wrapped in jats tags</t>
  </si>
  <si>
    <t>lovely structured abstract</t>
  </si>
  <si>
    <t>includes links and script from the landing page that have been cut and paste into the abstract</t>
  </si>
  <si>
    <t>has U+2008 General Punctuation non-Latin char; has journal level lang</t>
  </si>
  <si>
    <t>has U+2009 Thin Space General Punc char; lovely structured abstract</t>
  </si>
  <si>
    <t>includes "ru", "key", "en" languages in metadata in that order, but no attributes; article in "ky" with "en" abstract, journal level is listed as "ru"</t>
  </si>
  <si>
    <t>contains cyrillic char set; "ru","kz", "en",  languages in metadata in that order; should have had 3 abstracts each with their own language attribute</t>
  </si>
  <si>
    <t>Not available</t>
  </si>
  <si>
    <t>contains U+00A0 No Break Space</t>
  </si>
  <si>
    <t>includes U+2771 Dingbat char</t>
  </si>
  <si>
    <t>includes links to png files but they are within the jats tags</t>
  </si>
  <si>
    <t>article has "ru" and"en" versions</t>
  </si>
  <si>
    <t>abstract does not render as full text for "ky" language; includes "ru", "ky","en" in that order</t>
  </si>
  <si>
    <t>contains Latin-1 Supplement no break char</t>
  </si>
  <si>
    <t>MathML; includes copyright statement</t>
  </si>
  <si>
    <t>has &lt;jats: supplementary-material&gt; content</t>
  </si>
  <si>
    <t>includes references</t>
  </si>
  <si>
    <t>includes U+200A Hair spaces, General Punctuation, includes hyperlinks</t>
  </si>
  <si>
    <t>includes hyperlinks</t>
  </si>
  <si>
    <t xml:space="preserve">includes hyperlinks; includes funding acknowledgement; includes figures; </t>
  </si>
  <si>
    <t>lovely structured abstract; poster abstract</t>
  </si>
  <si>
    <t>XML_and_REST_agreement</t>
  </si>
  <si>
    <t xml:space="preserve">includes arabic, and latin char sets; Perfectly done with separate abstracts for each language and language attributes; the REST abstract only include "tr" while the XML response includes both "tr" and "en" versions. </t>
  </si>
  <si>
    <t>"uk" and "en" included in the same abstract metadata element; latin and cyrillinc; language attribute was only "en"</t>
  </si>
  <si>
    <t>"en"</t>
  </si>
  <si>
    <t>"tr","en"</t>
  </si>
  <si>
    <t>includes disclosures</t>
  </si>
  <si>
    <t>"ru" and "en" included in the same abstract metadata element; latin and cyrillinc;</t>
  </si>
  <si>
    <t>includes jats tagged bulleted list</t>
  </si>
  <si>
    <t>U+2008 punctuation space from general punc</t>
  </si>
  <si>
    <t>all in same element; includes U+200A Hair spaces; includes keywords</t>
  </si>
  <si>
    <t>"en", "kz", "ru" in article and same metadata element; Latin and Cyrillic char sets</t>
  </si>
  <si>
    <t>medical abstract</t>
  </si>
  <si>
    <t>poster abstract</t>
  </si>
  <si>
    <t>includes figure, acknowledgements</t>
  </si>
  <si>
    <t>U+2009 thin space from general punc; lovely structured abstract</t>
  </si>
  <si>
    <t>U+2008 punctuation space from general punc; lovely structured abstract</t>
  </si>
  <si>
    <t>U+2009 thin space from general punc; whole medical abstract</t>
  </si>
  <si>
    <t>No problems</t>
  </si>
  <si>
    <t>no problems, marked correctly as retracted in metadata</t>
  </si>
  <si>
    <t>marked as retracted</t>
  </si>
  <si>
    <t>U+200a hair space and U+2009 thin space</t>
  </si>
  <si>
    <t>front matter</t>
  </si>
  <si>
    <t>includes funding acknowledgement</t>
  </si>
  <si>
    <t>two lang in the same &lt;jats:p&gt; element</t>
  </si>
  <si>
    <t>U+202F Zero break space from general punc</t>
  </si>
  <si>
    <t>"uk" and "en" in article, but only "en" in metadata</t>
  </si>
  <si>
    <t>"ru"  and "en" in separate &lt;jats:p&gt; elements; latin and cyrillic</t>
  </si>
  <si>
    <t>includes tex-math, not MathML</t>
  </si>
  <si>
    <t>Crossref specifies MathML, but the tex-math is wrapped in jats tags</t>
  </si>
  <si>
    <t>U+25A0, black geometric shape from geometric shapes</t>
  </si>
  <si>
    <t>"pt" and "en" in article, both in the same metadata element</t>
  </si>
  <si>
    <t xml:space="preserve">U+2009 thin space from general punc; </t>
  </si>
  <si>
    <t>Article includes "uk" and "en", but the landing page includes ukrainian, polish, and english translations</t>
  </si>
  <si>
    <t>REST API only has "tr"</t>
  </si>
  <si>
    <t>"bs" and "en" in article, but only "en" in metadata</t>
  </si>
  <si>
    <t>"en" and "id" in abstract metadata in one &lt;jats:p&gt; element</t>
  </si>
  <si>
    <t xml:space="preserve">bad url </t>
  </si>
  <si>
    <t>landing page in "en" and "ko"</t>
  </si>
  <si>
    <t>artwork</t>
  </si>
  <si>
    <t>article in "en"; no abstract on article</t>
  </si>
  <si>
    <t>"de","en","fr","pl","uk"</t>
  </si>
  <si>
    <t>of the language attributes given in separate abstract elements, both "en" and "uk" were in English; the others were empty</t>
  </si>
  <si>
    <t>"zh"</t>
  </si>
  <si>
    <t>landing page in "zh"; can't verify</t>
  </si>
  <si>
    <t>two language abstracts, both in separate containers, but there are still empty elements</t>
  </si>
  <si>
    <t>first element is empty, but others have abstract</t>
  </si>
  <si>
    <t>article is in "fr"</t>
  </si>
  <si>
    <t>"en","nl"</t>
  </si>
  <si>
    <t>bad url</t>
  </si>
  <si>
    <t xml:space="preserve">"ko" landing page, but has "en" abstract available. </t>
  </si>
  <si>
    <t>"de","en","fr","it","lt","ru"</t>
  </si>
  <si>
    <t>two languages have abstracts in separate containers; article has "en" and "lt" versions of abstract</t>
  </si>
  <si>
    <t>"ar","en"</t>
  </si>
  <si>
    <t>article has "ru" version of abstract</t>
  </si>
  <si>
    <t>test doi</t>
  </si>
  <si>
    <t>test doi as stated in &lt;title&gt; element; points to real article</t>
  </si>
  <si>
    <t>"es"</t>
  </si>
  <si>
    <t>introduction</t>
  </si>
  <si>
    <t>letters to the editor</t>
  </si>
  <si>
    <t>book-chapter</t>
  </si>
  <si>
    <t>proceedings abstract</t>
  </si>
  <si>
    <t>Notes</t>
  </si>
  <si>
    <t>Editorial</t>
  </si>
  <si>
    <t>Surrogatendpunkte</t>
  </si>
  <si>
    <t>"pt"</t>
  </si>
  <si>
    <t>article has both "pt" and "en" abstracts</t>
  </si>
  <si>
    <t>"ar"</t>
  </si>
  <si>
    <t>bibliography</t>
  </si>
  <si>
    <t>editorial</t>
  </si>
  <si>
    <t>the article is an abstract</t>
  </si>
  <si>
    <t>proceedings preface</t>
  </si>
  <si>
    <t>op-ed</t>
  </si>
  <si>
    <t>abstract is in article</t>
  </si>
  <si>
    <t>"de","en"</t>
  </si>
  <si>
    <t>full review</t>
  </si>
  <si>
    <t>the most egregious example of neglegence</t>
  </si>
  <si>
    <t>Landing page has abstract, but article does not.</t>
  </si>
  <si>
    <t>correction</t>
  </si>
  <si>
    <t>Introduction</t>
  </si>
  <si>
    <t>abstract in "ru" on landing page and in article</t>
  </si>
  <si>
    <t>hiragana, katakana, CJK Ideograph, latin</t>
  </si>
  <si>
    <t>"de"</t>
  </si>
  <si>
    <t>"en" attribute but in "de"</t>
  </si>
  <si>
    <t>no abstract in article</t>
  </si>
  <si>
    <t>"tr"</t>
  </si>
  <si>
    <t>article title used as abstract</t>
  </si>
  <si>
    <t>section title used as abstract</t>
  </si>
  <si>
    <t>"tr" attribute but editorial in "en"</t>
  </si>
  <si>
    <t>letters to the editor; publisher supplied note for abstract text</t>
  </si>
  <si>
    <t>first sentence of article truncated</t>
  </si>
  <si>
    <t>only part of the title was used in &lt;abstract&gt;; two abstract elements</t>
  </si>
  <si>
    <t>can't verify</t>
  </si>
  <si>
    <t>paywalled</t>
  </si>
  <si>
    <t>news summaries</t>
  </si>
  <si>
    <t>just a very short abstract</t>
  </si>
  <si>
    <t>article includes abstract</t>
  </si>
  <si>
    <t>publisher entered one sentence summary instead of full abstract in article; two abstract elements used</t>
  </si>
  <si>
    <t>two abstracts in article in "es" and "en"</t>
  </si>
  <si>
    <t>book review</t>
  </si>
  <si>
    <t>extra \n char render in REST API, but not downloaded data</t>
  </si>
  <si>
    <t>does not show up in the XML api, but they can be seen in plain text editor!</t>
  </si>
  <si>
    <t>only first sentence used; two abstract elements</t>
  </si>
  <si>
    <t>two abstract elements</t>
  </si>
  <si>
    <t>news article</t>
  </si>
  <si>
    <t xml:space="preserve">two abstract elements used with the first one containing a summarizing sentence and the second the actual abstract from the paper. </t>
  </si>
  <si>
    <t>abstract is summary of chapter</t>
  </si>
  <si>
    <t>abstract not included in PDF</t>
  </si>
  <si>
    <t>author translated abstract in PDF, article is in "uk"</t>
  </si>
  <si>
    <t>"pl" on landing page and PDF, "en" in metadata; publisher provided translated abstract, not in PDF</t>
  </si>
  <si>
    <t>no abstract on landing page;</t>
  </si>
  <si>
    <t>to discuss; who owns the copyright for this if its not from the authors?</t>
  </si>
  <si>
    <t>Publisher has created abstract?</t>
  </si>
  <si>
    <t>book introduction</t>
  </si>
  <si>
    <t>Landing page has abstract</t>
  </si>
  <si>
    <t>abstract is summary of chapter, but not included in PDF</t>
  </si>
  <si>
    <t>only "en" used in &lt;abstract&gt; but "ru" and "en" in article</t>
  </si>
  <si>
    <t>abstract is different than the PDf with addition of references</t>
  </si>
  <si>
    <t>abstract attribute is "en" but is in "pt"</t>
  </si>
  <si>
    <t>abstract is longer in the metadata</t>
  </si>
  <si>
    <t>abstract is longer in the metadata; XML shows update after initial deposit</t>
  </si>
  <si>
    <t>includes HTML</t>
  </si>
  <si>
    <t>likely from cut and paste from webpage</t>
  </si>
  <si>
    <t>"ru" and "en" in PDF</t>
  </si>
  <si>
    <t>abstract is longer on the landing page</t>
  </si>
  <si>
    <t>article version includes two languages</t>
  </si>
  <si>
    <t>includes both "ru" and "en" versions;  "ru" assigned to journal level but missing in abstract</t>
  </si>
  <si>
    <t>non_latin_char</t>
  </si>
  <si>
    <t>includes multiple languages</t>
  </si>
  <si>
    <t>includes disclosures; includes figure</t>
  </si>
  <si>
    <t>MathML</t>
  </si>
  <si>
    <t>includes full citation format in the metadata</t>
  </si>
  <si>
    <t>includes tables; includes full citation format in the metadata</t>
  </si>
  <si>
    <t>tex-math</t>
  </si>
  <si>
    <t>includes U+2009 Thin Space General Punc char</t>
  </si>
  <si>
    <t>HTML</t>
  </si>
  <si>
    <t>category</t>
  </si>
  <si>
    <t>datatype noise</t>
  </si>
  <si>
    <t>semantic noise</t>
  </si>
  <si>
    <t>inconsistent value representation</t>
  </si>
  <si>
    <t>no error or noise</t>
  </si>
  <si>
    <t>truncated</t>
  </si>
  <si>
    <t>information loss</t>
  </si>
  <si>
    <t>heavy use of JATS tags</t>
  </si>
  <si>
    <t>incorrect element</t>
  </si>
  <si>
    <t>missing information</t>
  </si>
  <si>
    <t>incorrect value</t>
  </si>
  <si>
    <t>information gain</t>
  </si>
  <si>
    <t>id</t>
  </si>
  <si>
    <t>RATER A</t>
  </si>
  <si>
    <t>RATER B</t>
  </si>
  <si>
    <t>Grand Total</t>
  </si>
  <si>
    <t>Row Labels</t>
  </si>
  <si>
    <t>Column Labels</t>
  </si>
  <si>
    <t>(Red = inconsistent)</t>
  </si>
  <si>
    <t>Cohen's Kappa</t>
  </si>
  <si>
    <t>(Green = consistent)</t>
  </si>
  <si>
    <t>Ratings Given</t>
  </si>
  <si>
    <t>Consistent Ratings Expected</t>
  </si>
  <si>
    <t>Consistent Ratings Observed</t>
  </si>
  <si>
    <t>Proportion</t>
  </si>
  <si>
    <t>Frequency</t>
  </si>
  <si>
    <t>3. Summary Statistics &amp; Cohen's Kappa</t>
  </si>
  <si>
    <t>Total</t>
  </si>
  <si>
    <t>Rater A</t>
  </si>
  <si>
    <t>Rater B</t>
  </si>
  <si>
    <t>2. Expected Frequencies under Null Hypothesis of Zero Agreement Between 2 Raters</t>
  </si>
  <si>
    <t>these are just values</t>
  </si>
  <si>
    <t>1. Observed Frequencies</t>
  </si>
  <si>
    <t>Count of id</t>
  </si>
  <si>
    <t>Count of DOI</t>
  </si>
  <si>
    <t>Categories</t>
  </si>
  <si>
    <t>Counts</t>
  </si>
  <si>
    <t>Percentage of subset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</si>
</sst>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0" x14ac:knownFonts="1">
    <font>
      <sz val="11"/>
      <color theme="1"/>
      <name val="Calibri"/>
      <family val="2"/>
      <scheme val="minor"/>
    </font>
    <font>
      <b/>
      <sz val="11"/>
      <name val="Calibri"/>
      <family val="2"/>
    </font>
    <font>
      <sz val="11"/>
      <color theme="1"/>
      <name val="Calibri"/>
      <family val="2"/>
      <scheme val="minor"/>
    </font>
    <font>
      <sz val="10"/>
      <color rgb="FF000000"/>
      <name val="Calibri"/>
      <family val="2"/>
      <scheme val="minor"/>
    </font>
    <font>
      <sz val="12"/>
      <color rgb="FF000000"/>
      <name val="Arial"/>
      <family val="2"/>
    </font>
    <font>
      <b/>
      <sz val="12"/>
      <color rgb="FF000000"/>
      <name val="Arial"/>
      <family val="2"/>
    </font>
    <font>
      <b/>
      <sz val="12"/>
      <color rgb="FFFF0000"/>
      <name val="Arial"/>
      <family val="2"/>
    </font>
    <font>
      <b/>
      <sz val="12"/>
      <color rgb="FF00FF00"/>
      <name val="Arial"/>
      <family val="2"/>
    </font>
    <font>
      <b/>
      <sz val="11"/>
      <color theme="1"/>
      <name val="Calibri"/>
      <family val="2"/>
      <scheme val="minor"/>
    </font>
    <font>
      <b/>
      <sz val="12"/>
      <color rgb="FF92D050"/>
      <name val="Arial"/>
      <family val="2"/>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3F3F3"/>
        <bgColor rgb="FFF3F3F3"/>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9" fontId="2" fillId="0" borderId="0" applyFont="0" applyFill="0" applyBorder="0" applyAlignment="0" applyProtection="0"/>
    <xf numFmtId="0" fontId="3" fillId="0" borderId="0"/>
  </cellStyleXfs>
  <cellXfs count="43">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2" borderId="1" xfId="0" applyFont="1" applyFill="1" applyBorder="1" applyAlignment="1">
      <alignment horizontal="center" vertical="top"/>
    </xf>
    <xf numFmtId="0" fontId="0" fillId="2" borderId="0" xfId="0" applyFill="1"/>
    <xf numFmtId="0" fontId="0" fillId="3" borderId="0" xfId="0" applyFill="1"/>
    <xf numFmtId="0" fontId="1" fillId="3" borderId="1" xfId="0" applyFont="1" applyFill="1" applyBorder="1" applyAlignment="1">
      <alignment horizontal="center" vertical="top"/>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2" xfId="0" applyFont="1" applyFill="1" applyBorder="1" applyAlignment="1">
      <alignment horizontal="center" vertical="top" wrapText="1"/>
    </xf>
    <xf numFmtId="0" fontId="3" fillId="0" borderId="0" xfId="2"/>
    <xf numFmtId="0" fontId="4" fillId="0" borderId="0" xfId="2" applyFont="1"/>
    <xf numFmtId="0" fontId="4" fillId="0" borderId="0" xfId="2" applyFont="1" applyAlignment="1">
      <alignment horizontal="right"/>
    </xf>
    <xf numFmtId="0" fontId="4" fillId="4" borderId="0" xfId="2" applyFont="1" applyFill="1" applyAlignment="1">
      <alignment horizontal="right"/>
    </xf>
    <xf numFmtId="0" fontId="5" fillId="4" borderId="0" xfId="2" applyFont="1" applyFill="1"/>
    <xf numFmtId="0" fontId="5" fillId="0" borderId="0" xfId="2" applyFont="1"/>
    <xf numFmtId="0" fontId="6" fillId="0" borderId="0" xfId="2" applyFont="1" applyAlignment="1">
      <alignment horizontal="right"/>
    </xf>
    <xf numFmtId="0" fontId="5" fillId="0" borderId="0" xfId="2" applyFont="1" applyAlignment="1">
      <alignment horizontal="right"/>
    </xf>
    <xf numFmtId="0" fontId="7" fillId="0" borderId="0" xfId="2" applyFont="1" applyAlignment="1">
      <alignment horizontal="right"/>
    </xf>
    <xf numFmtId="164" fontId="4" fillId="0" borderId="0" xfId="2" applyNumberFormat="1" applyFont="1" applyAlignment="1">
      <alignment horizontal="right"/>
    </xf>
    <xf numFmtId="0" fontId="4" fillId="0" borderId="0" xfId="2" applyFont="1" applyAlignment="1">
      <alignment vertical="top"/>
    </xf>
    <xf numFmtId="0" fontId="3" fillId="0" borderId="0" xfId="2"/>
    <xf numFmtId="0" fontId="4" fillId="0" borderId="0" xfId="2" applyFont="1" applyAlignment="1">
      <alignment horizontal="left" vertical="center"/>
    </xf>
    <xf numFmtId="0" fontId="4" fillId="0" borderId="0" xfId="2" applyFont="1" applyAlignment="1">
      <alignment horizontal="center"/>
    </xf>
    <xf numFmtId="0" fontId="4" fillId="0" borderId="0" xfId="2" applyFont="1" applyAlignment="1">
      <alignment horizontal="left" vertical="top"/>
    </xf>
    <xf numFmtId="0" fontId="0" fillId="0" borderId="0" xfId="0" pivotButton="1"/>
    <xf numFmtId="0" fontId="0" fillId="0" borderId="0" xfId="0" applyAlignment="1">
      <alignment horizontal="left"/>
    </xf>
    <xf numFmtId="0" fontId="0" fillId="0" borderId="0" xfId="0" applyNumberFormat="1"/>
    <xf numFmtId="0" fontId="0" fillId="0" borderId="0" xfId="0" applyFill="1"/>
    <xf numFmtId="0" fontId="8" fillId="0" borderId="3" xfId="0" applyFont="1" applyFill="1" applyBorder="1"/>
    <xf numFmtId="0" fontId="0" fillId="0" borderId="0" xfId="0" applyNumberFormat="1" applyFill="1"/>
    <xf numFmtId="0" fontId="0" fillId="0" borderId="0" xfId="0" applyFill="1" applyAlignment="1">
      <alignment horizontal="left"/>
    </xf>
    <xf numFmtId="0" fontId="8" fillId="0" borderId="4" xfId="0" applyFont="1" applyFill="1" applyBorder="1" applyAlignment="1">
      <alignment horizontal="left"/>
    </xf>
    <xf numFmtId="0" fontId="8" fillId="0" borderId="4" xfId="0" applyNumberFormat="1" applyFont="1" applyFill="1" applyBorder="1"/>
    <xf numFmtId="0" fontId="4" fillId="0" borderId="0" xfId="2" applyFont="1" applyFill="1"/>
    <xf numFmtId="0" fontId="4" fillId="0" borderId="0" xfId="2" applyFont="1" applyFill="1" applyAlignment="1">
      <alignment horizontal="right"/>
    </xf>
    <xf numFmtId="0" fontId="9" fillId="0" borderId="0" xfId="2" applyFont="1" applyAlignment="1">
      <alignment horizontal="right"/>
    </xf>
    <xf numFmtId="0" fontId="5" fillId="2" borderId="0" xfId="2" applyFont="1" applyFill="1"/>
    <xf numFmtId="164" fontId="5" fillId="2" borderId="0" xfId="2" applyNumberFormat="1" applyFont="1" applyFill="1" applyAlignment="1">
      <alignment horizontal="right"/>
    </xf>
    <xf numFmtId="0" fontId="4" fillId="3" borderId="0" xfId="2" applyFont="1" applyFill="1"/>
    <xf numFmtId="0" fontId="4" fillId="3" borderId="0" xfId="2" applyFont="1" applyFill="1" applyAlignment="1">
      <alignment horizontal="right"/>
    </xf>
    <xf numFmtId="165" fontId="0" fillId="0" borderId="0" xfId="1" applyNumberFormat="1" applyFont="1"/>
    <xf numFmtId="0" fontId="8" fillId="0" borderId="0" xfId="0" applyFont="1" applyAlignment="1">
      <alignment wrapText="1"/>
    </xf>
  </cellXfs>
  <cellStyles count="3">
    <cellStyle name="Normal" xfId="0" builtinId="0"/>
    <cellStyle name="Normal 2" xfId="2" xr:uid="{DE881EB0-A351-5D4D-AEB3-060B34695935}"/>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2.660843055557" createdVersion="8" refreshedVersion="8" minRefreshableVersion="3" recordCount="300" xr:uid="{1A60918B-783C-7A46-8F8D-7BC59BA95B4E}">
  <cacheSource type="worksheet">
    <worksheetSource ref="A1:C301" sheet="raw_data"/>
  </cacheSource>
  <cacheFields count="3">
    <cacheField name="id" numFmtId="0">
      <sharedItems/>
    </cacheField>
    <cacheField name="RATER A" numFmtId="0">
      <sharedItems count="9">
        <s v="datatype noise"/>
        <s v="semantic noise"/>
        <s v="inconsistent value representation"/>
        <s v="no error or noise"/>
        <s v="information loss"/>
        <s v="incorrect element"/>
        <s v="incorrect value"/>
        <s v="missing information"/>
        <s v="information gain"/>
      </sharedItems>
    </cacheField>
    <cacheField name="RATER B" numFmtId="0">
      <sharedItems count="9">
        <s v="datatype noise"/>
        <s v="semantic noise"/>
        <s v="inconsistent value representation"/>
        <s v="no error or noise"/>
        <s v="information loss"/>
        <s v="incorrect element"/>
        <s v="incorrect value"/>
        <s v="missing information"/>
        <s v="information gai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2.667509953702" createdVersion="8" refreshedVersion="8" minRefreshableVersion="3" recordCount="300" xr:uid="{7E27D712-DB21-AE4A-8B84-74814DF4C8EB}">
  <cacheSource type="worksheet">
    <worksheetSource ref="B1:O301" sheet="Sheet1"/>
  </cacheSource>
  <cacheFields count="14">
    <cacheField name="type" numFmtId="0">
      <sharedItems/>
    </cacheField>
    <cacheField name="DOI" numFmtId="0">
      <sharedItems/>
    </cacheField>
    <cacheField name="abstract" numFmtId="0">
      <sharedItems longText="1"/>
    </cacheField>
    <cacheField name="len_abstract" numFmtId="0">
      <sharedItems containsSemiMixedTypes="0" containsString="0" containsNumber="1" containsInteger="1" minValue="9" maxValue="10871"/>
    </cacheField>
    <cacheField name="facemarkup" numFmtId="0">
      <sharedItems/>
    </cacheField>
    <cacheField name="language_metadata" numFmtId="0">
      <sharedItems/>
    </cacheField>
    <cacheField name="matches_landing_page" numFmtId="0">
      <sharedItems/>
    </cacheField>
    <cacheField name="matches_PDF" numFmtId="0">
      <sharedItems/>
    </cacheField>
    <cacheField name="all_caps" numFmtId="0">
      <sharedItems/>
    </cacheField>
    <cacheField name="XML_and_REST_agreement" numFmtId="0">
      <sharedItems/>
    </cacheField>
    <cacheField name="non_latin_char" numFmtId="0">
      <sharedItems/>
    </cacheField>
    <cacheField name="problem" numFmtId="0">
      <sharedItems/>
    </cacheField>
    <cacheField name="notes" numFmtId="0">
      <sharedItems containsBlank="1"/>
    </cacheField>
    <cacheField name="category" numFmtId="0">
      <sharedItems count="9">
        <s v="datatype noise"/>
        <s v="semantic noise"/>
        <s v="inconsistent value representation"/>
        <s v="no error or noise"/>
        <s v="information loss"/>
        <s v="incorrect element"/>
        <s v="incorrect value"/>
        <s v="missing information"/>
        <s v="information gai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10.1364/ao.426469"/>
    <x v="0"/>
    <x v="0"/>
  </r>
  <r>
    <s v="10.1182/blood-2021-147907"/>
    <x v="1"/>
    <x v="1"/>
  </r>
  <r>
    <s v="10.5016/ridh.v9i2.93"/>
    <x v="1"/>
    <x v="1"/>
  </r>
  <r>
    <s v="10.1200/op.2024.20.10_suppl.130"/>
    <x v="1"/>
    <x v="1"/>
  </r>
  <r>
    <s v="10.23951/1609-624x-2022-5-7-17"/>
    <x v="2"/>
    <x v="2"/>
  </r>
  <r>
    <s v="10.3897/rio.8.e94931"/>
    <x v="3"/>
    <x v="3"/>
  </r>
  <r>
    <s v="10.1097/corr.0000000000002578"/>
    <x v="3"/>
    <x v="3"/>
  </r>
  <r>
    <s v="10.1017/jfm.2022.818"/>
    <x v="1"/>
    <x v="1"/>
  </r>
  <r>
    <s v="10.1038/s41534-021-00416-z"/>
    <x v="0"/>
    <x v="0"/>
  </r>
  <r>
    <s v="10.1182/blood-2021-146871"/>
    <x v="0"/>
    <x v="1"/>
  </r>
  <r>
    <s v="10.34689/sh.2018.20.5.011"/>
    <x v="2"/>
    <x v="2"/>
  </r>
  <r>
    <s v="10.1093/humrep/dead165"/>
    <x v="0"/>
    <x v="0"/>
  </r>
  <r>
    <s v="10.54890/1694-6405_2023_2_73"/>
    <x v="2"/>
    <x v="2"/>
  </r>
  <r>
    <s v="10.1093/humrep/dead093.146"/>
    <x v="4"/>
    <x v="4"/>
  </r>
  <r>
    <s v="10.1103/physrevd.110.092002"/>
    <x v="0"/>
    <x v="0"/>
  </r>
  <r>
    <s v="10.37551/s3020-45420021"/>
    <x v="0"/>
    <x v="0"/>
  </r>
  <r>
    <s v="10.1515/conop-2020-0004"/>
    <x v="1"/>
    <x v="1"/>
  </r>
  <r>
    <s v="10.25630/pav.2020.73.48.004"/>
    <x v="2"/>
    <x v="2"/>
  </r>
  <r>
    <s v="10.1088/1741-4326/abca56"/>
    <x v="0"/>
    <x v="0"/>
  </r>
  <r>
    <s v="10.54890/1694-6405_2023_5_100"/>
    <x v="2"/>
    <x v="2"/>
  </r>
  <r>
    <s v="10.1093/humrep/deae245"/>
    <x v="0"/>
    <x v="0"/>
  </r>
  <r>
    <s v="10.1038/s41598-022-22677-0"/>
    <x v="0"/>
    <x v="0"/>
  </r>
  <r>
    <s v="10.1103/physrevd.110.036015"/>
    <x v="1"/>
    <x v="1"/>
  </r>
  <r>
    <s v="10.33425/2692-7918.1054"/>
    <x v="3"/>
    <x v="3"/>
  </r>
  <r>
    <s v="10.1155/2021/6678085"/>
    <x v="0"/>
    <x v="0"/>
  </r>
  <r>
    <s v="10.1002/cam4.70771"/>
    <x v="3"/>
    <x v="3"/>
  </r>
  <r>
    <s v="10.1093/ijpp/riad074.001"/>
    <x v="1"/>
    <x v="1"/>
  </r>
  <r>
    <s v="10.1099/ijsem.0.004935"/>
    <x v="0"/>
    <x v="0"/>
  </r>
  <r>
    <s v="10.1149/ma2023-0154174mtgabs"/>
    <x v="1"/>
    <x v="1"/>
  </r>
  <r>
    <s v="10.1182/blood-2023-173905"/>
    <x v="3"/>
    <x v="3"/>
  </r>
  <r>
    <s v="10.18505/cuid.701358"/>
    <x v="3"/>
    <x v="3"/>
  </r>
  <r>
    <s v="10.32999/ksu2413-1865/2021-94-10"/>
    <x v="2"/>
    <x v="2"/>
  </r>
  <r>
    <s v="10.1182/blood-2020-139780"/>
    <x v="1"/>
    <x v="1"/>
  </r>
  <r>
    <s v="10.47629/2074-9201_2023_2_37_45"/>
    <x v="2"/>
    <x v="2"/>
  </r>
  <r>
    <s v="10.25730/vsu.2070.20.002"/>
    <x v="2"/>
    <x v="2"/>
  </r>
  <r>
    <s v="10.54220/1959.2024.94.18.009"/>
    <x v="2"/>
    <x v="2"/>
  </r>
  <r>
    <s v="10.1182/blood-2024-210804"/>
    <x v="3"/>
    <x v="3"/>
  </r>
  <r>
    <s v="10.1111/1460-6984.12610"/>
    <x v="3"/>
    <x v="3"/>
  </r>
  <r>
    <s v="10.1182/blood-2021-153076"/>
    <x v="0"/>
    <x v="0"/>
  </r>
  <r>
    <s v="10.23925/2178-2911.2023v27espp433-450"/>
    <x v="0"/>
    <x v="0"/>
  </r>
  <r>
    <s v="10.51889/2959-5657.2024.87.1.009"/>
    <x v="2"/>
    <x v="2"/>
  </r>
  <r>
    <s v="10.1182/blood-2023-190271"/>
    <x v="3"/>
    <x v="3"/>
  </r>
  <r>
    <s v="10.1107/s2053229624004534"/>
    <x v="3"/>
    <x v="3"/>
  </r>
  <r>
    <s v="10.34883/pi.2022.14.5.002"/>
    <x v="2"/>
    <x v="2"/>
  </r>
  <r>
    <s v="10.1158/1538-7445.sabcs19-p5-11-13"/>
    <x v="1"/>
    <x v="1"/>
  </r>
  <r>
    <s v="10.1182/blood-2024-203903"/>
    <x v="3"/>
    <x v="3"/>
  </r>
  <r>
    <s v="10.1182/blood-2023-190375"/>
    <x v="3"/>
    <x v="3"/>
  </r>
  <r>
    <s v="10.1182/blood-2023-178331"/>
    <x v="3"/>
    <x v="3"/>
  </r>
  <r>
    <s v="10.1182/blood-2023-174351"/>
    <x v="3"/>
    <x v="3"/>
  </r>
  <r>
    <s v="10.1093/ofid/ofae631.1049"/>
    <x v="1"/>
    <x v="1"/>
  </r>
  <r>
    <s v="10.1182/blood-2021-151349"/>
    <x v="1"/>
    <x v="1"/>
  </r>
  <r>
    <s v="10.1182/blood-2021-148485"/>
    <x v="1"/>
    <x v="1"/>
  </r>
  <r>
    <s v="10.1182/blood-2021-145886"/>
    <x v="1"/>
    <x v="1"/>
  </r>
  <r>
    <s v="10.1186/s13031-023-00536-7"/>
    <x v="0"/>
    <x v="0"/>
  </r>
  <r>
    <s v="10.1093/humrep/deae108.1004"/>
    <x v="0"/>
    <x v="0"/>
  </r>
  <r>
    <s v="10.26310/2071-3010.2020.263.9.010"/>
    <x v="2"/>
    <x v="2"/>
  </r>
  <r>
    <s v="10.1001/jamasurg.2023.7866"/>
    <x v="3"/>
    <x v="3"/>
  </r>
  <r>
    <s v="10.37382/nrn.octubre.2019.549"/>
    <x v="3"/>
    <x v="3"/>
  </r>
  <r>
    <s v="10.3390/w16010138"/>
    <x v="3"/>
    <x v="3"/>
  </r>
  <r>
    <s v="10.1099/ijsem.0.006074"/>
    <x v="0"/>
    <x v="0"/>
  </r>
  <r>
    <s v="10.1093/ndt/gfab080.002"/>
    <x v="3"/>
    <x v="3"/>
  </r>
  <r>
    <s v="10.1108/jes-07-2019-0311"/>
    <x v="3"/>
    <x v="3"/>
  </r>
  <r>
    <s v="10.56397/crms.2023.03.15"/>
    <x v="0"/>
    <x v="0"/>
  </r>
  <r>
    <s v="10.1098/rspa.2023.0284"/>
    <x v="0"/>
    <x v="0"/>
  </r>
  <r>
    <s v="10.1088/1755-1315/1293/1/011002"/>
    <x v="1"/>
    <x v="1"/>
  </r>
  <r>
    <s v="10.1093/ehjci/ehaa946.0750"/>
    <x v="5"/>
    <x v="5"/>
  </r>
  <r>
    <s v="10.33024/mnj.v4i7.6985"/>
    <x v="2"/>
    <x v="2"/>
  </r>
  <r>
    <s v="10.1158/1538-7445.am2025-2367"/>
    <x v="1"/>
    <x v="1"/>
  </r>
  <r>
    <s v="10.1515/jom-2024-0079"/>
    <x v="0"/>
    <x v="0"/>
  </r>
  <r>
    <s v="10.33145/2304-8336-2022-27-353-362"/>
    <x v="4"/>
    <x v="4"/>
  </r>
  <r>
    <s v="10.25683/volbi.2020.53.475"/>
    <x v="2"/>
    <x v="2"/>
  </r>
  <r>
    <s v="10.25557/0031-2991.2021.01.52-59"/>
    <x v="2"/>
    <x v="2"/>
  </r>
  <r>
    <s v="10.1158/1538-7445.sabcs21-p5-13-26"/>
    <x v="1"/>
    <x v="1"/>
  </r>
  <r>
    <s v="10.23939/semi2023.01.073"/>
    <x v="4"/>
    <x v="4"/>
  </r>
  <r>
    <s v="10.1017/s0004972724000819"/>
    <x v="0"/>
    <x v="0"/>
  </r>
  <r>
    <s v="10.1108/eemcs-04-2022-0108"/>
    <x v="0"/>
    <x v="0"/>
  </r>
  <r>
    <s v="10.26848/rbgf.v16.4.p1861-1877"/>
    <x v="2"/>
    <x v="2"/>
  </r>
  <r>
    <s v="10.1158/1538-7445.sabcs20-ps10-22"/>
    <x v="1"/>
    <x v="1"/>
  </r>
  <r>
    <s v="10.1140/epja/s10050-024-01341-3"/>
    <x v="0"/>
    <x v="0"/>
  </r>
  <r>
    <s v="10.1161/circulationaha.120.053365"/>
    <x v="3"/>
    <x v="3"/>
  </r>
  <r>
    <s v="10.1093/ndt/gfab092.0031"/>
    <x v="3"/>
    <x v="3"/>
  </r>
  <r>
    <s v="10.1111/1460-6984.12696"/>
    <x v="3"/>
    <x v="3"/>
  </r>
  <r>
    <s v="10.1093/eurheartj/ehab724.2082"/>
    <x v="5"/>
    <x v="5"/>
  </r>
  <r>
    <s v="10.1158/1538-7445.am2025-ct041"/>
    <x v="1"/>
    <x v="1"/>
  </r>
  <r>
    <s v="10.1155/2023/1451394"/>
    <x v="0"/>
    <x v="0"/>
  </r>
  <r>
    <s v="10.25264/2415-7384-2023-16-73-83"/>
    <x v="4"/>
    <x v="4"/>
  </r>
  <r>
    <s v="10.1186/s13244-024-01813-6"/>
    <x v="3"/>
    <x v="3"/>
  </r>
  <r>
    <s v="10.37697/eskiyeni.838001"/>
    <x v="3"/>
    <x v="3"/>
  </r>
  <r>
    <s v="10.52259/historijskipogledi.2022.5.7.270"/>
    <x v="4"/>
    <x v="4"/>
  </r>
  <r>
    <s v="10.1093/ofid/ofad500.2412"/>
    <x v="1"/>
    <x v="1"/>
  </r>
  <r>
    <s v="10.1186/s12903-023-03068-x"/>
    <x v="0"/>
    <x v="0"/>
  </r>
  <r>
    <s v="10.1093/humrep/dead093.554"/>
    <x v="0"/>
    <x v="0"/>
  </r>
  <r>
    <s v="10.4103/ijdr.ijdr_822_21"/>
    <x v="3"/>
    <x v="3"/>
  </r>
  <r>
    <s v="10.1182/blood-2023-185432"/>
    <x v="3"/>
    <x v="3"/>
  </r>
  <r>
    <s v="10.18799/24131830/2020/5/2638"/>
    <x v="3"/>
    <x v="3"/>
  </r>
  <r>
    <s v="10.1093/rheumatology/keae163.190"/>
    <x v="0"/>
    <x v="0"/>
  </r>
  <r>
    <s v="10.33024/hjk.v15i1.3791"/>
    <x v="2"/>
    <x v="2"/>
  </r>
  <r>
    <s v="10.1093/eurjpc/zwac056.166"/>
    <x v="3"/>
    <x v="3"/>
  </r>
  <r>
    <s v="10.1136/bmj-2023-078242"/>
    <x v="3"/>
    <x v="3"/>
  </r>
  <r>
    <s v="10.26456/vtphilos/2022.3.126"/>
    <x v="2"/>
    <x v="2"/>
  </r>
  <r>
    <s v="10.16980/jitc.20.4.202408.159"/>
    <x v="6"/>
    <x v="6"/>
  </r>
  <r>
    <s v="10.5840/questions20232328"/>
    <x v="6"/>
    <x v="6"/>
  </r>
  <r>
    <s v="10.56640/mbr.2023.27.737"/>
    <x v="6"/>
    <x v="6"/>
  </r>
  <r>
    <s v="10.62989/jes2024.1.5.20"/>
    <x v="6"/>
    <x v="6"/>
  </r>
  <r>
    <s v="10.5840/maritain2023391"/>
    <x v="6"/>
    <x v="6"/>
  </r>
  <r>
    <s v="10.5840/jsce202343117"/>
    <x v="6"/>
    <x v="6"/>
  </r>
  <r>
    <s v="10.5840/tpm2023999"/>
    <x v="6"/>
    <x v="6"/>
  </r>
  <r>
    <s v="10.21802/artm.2022.4.24.187"/>
    <x v="6"/>
    <x v="6"/>
  </r>
  <r>
    <s v="10.53106/279069732713"/>
    <x v="6"/>
    <x v="6"/>
  </r>
  <r>
    <s v="10.5840/fichte2020482"/>
    <x v="6"/>
    <x v="6"/>
  </r>
  <r>
    <s v="10.21802/artm.2023.3.27.36"/>
    <x v="6"/>
    <x v="6"/>
  </r>
  <r>
    <s v="10.5840/fichte20204829"/>
    <x v="6"/>
    <x v="6"/>
  </r>
  <r>
    <s v="10.51769/bmgn-lchr.19838"/>
    <x v="6"/>
    <x v="6"/>
  </r>
  <r>
    <s v="10.53106/241553062024110097010"/>
    <x v="6"/>
    <x v="6"/>
  </r>
  <r>
    <s v="10.35611/jkt.2024.28.8.91"/>
    <x v="6"/>
    <x v="6"/>
  </r>
  <r>
    <s v="10.2196/31275"/>
    <x v="6"/>
    <x v="6"/>
  </r>
  <r>
    <s v="10.15388/litera.2023.65.3.1"/>
    <x v="6"/>
    <x v="6"/>
  </r>
  <r>
    <s v="10.2196/35850"/>
    <x v="6"/>
    <x v="6"/>
  </r>
  <r>
    <s v="10.31973/aj.v16i16.2121"/>
    <x v="6"/>
    <x v="6"/>
  </r>
  <r>
    <s v="10.21682/2311-1267-2023-10-4-69-71"/>
    <x v="6"/>
    <x v="6"/>
  </r>
  <r>
    <s v="10.1558/jsa.23699"/>
    <x v="6"/>
    <x v="6"/>
  </r>
  <r>
    <s v="10.58923/diskutime.v7i23.569"/>
    <x v="6"/>
    <x v="6"/>
  </r>
  <r>
    <s v="10.24833/0869-0049-2000-4-186-193"/>
    <x v="6"/>
    <x v="6"/>
  </r>
  <r>
    <s v="10.26452/fjphs.v1i3.218"/>
    <x v="6"/>
    <x v="6"/>
  </r>
  <r>
    <s v="10.26457/lrf.v143i143.4348"/>
    <x v="6"/>
    <x v="6"/>
  </r>
  <r>
    <s v="10.31743/abmk.8560"/>
    <x v="6"/>
    <x v="6"/>
  </r>
  <r>
    <s v="10.31743/abmk.6973"/>
    <x v="6"/>
    <x v="6"/>
  </r>
  <r>
    <s v="10.17843/rpmesp.2020.374.6205"/>
    <x v="6"/>
    <x v="6"/>
  </r>
  <r>
    <s v="10.33683/didit.21.01.12"/>
    <x v="6"/>
    <x v="6"/>
  </r>
  <r>
    <s v="10.24833/0869-0049-2007-4-50-62"/>
    <x v="6"/>
    <x v="6"/>
  </r>
  <r>
    <s v="10.31743/abmk.12491"/>
    <x v="6"/>
    <x v="6"/>
  </r>
  <r>
    <s v="10.4038/sljid.v13i5.8642"/>
    <x v="6"/>
    <x v="6"/>
  </r>
  <r>
    <s v="10.53386/nilq.v52i1.647"/>
    <x v="6"/>
    <x v="6"/>
  </r>
  <r>
    <s v="10.5195/jlc.2020.189"/>
    <x v="6"/>
    <x v="6"/>
  </r>
  <r>
    <s v="10.32719/26312514.2025.11.12"/>
    <x v="6"/>
    <x v="6"/>
  </r>
  <r>
    <s v="10.53386/nilq.v53i2.688"/>
    <x v="6"/>
    <x v="6"/>
  </r>
  <r>
    <s v="10.37667/pk.2021.1182"/>
    <x v="6"/>
    <x v="6"/>
  </r>
  <r>
    <s v="10.5811/westjem.2022.12.57735"/>
    <x v="6"/>
    <x v="6"/>
  </r>
  <r>
    <s v="10.31070/rm2025cas01"/>
    <x v="4"/>
    <x v="4"/>
  </r>
  <r>
    <s v="10.5944/signa.vol32.2023.33615"/>
    <x v="6"/>
    <x v="6"/>
  </r>
  <r>
    <s v="10.55422/bbmp.966"/>
    <x v="6"/>
    <x v="6"/>
  </r>
  <r>
    <s v="10.12681/grsr.40220"/>
    <x v="6"/>
    <x v="6"/>
  </r>
  <r>
    <s v="10.36322/jksc.v2i62.899"/>
    <x v="6"/>
    <x v="6"/>
  </r>
  <r>
    <s v="10.31857/s086956870017297-7"/>
    <x v="6"/>
    <x v="6"/>
  </r>
  <r>
    <s v="10.46583/adc_2024.15.1144"/>
    <x v="6"/>
    <x v="6"/>
  </r>
  <r>
    <s v="10.15210/sah.v7i2.18922"/>
    <x v="6"/>
    <x v="6"/>
  </r>
  <r>
    <s v="10.15581/004.39.39780"/>
    <x v="6"/>
    <x v="6"/>
  </r>
  <r>
    <s v="10.15581/008.39.1.5-11"/>
    <x v="6"/>
    <x v="6"/>
  </r>
  <r>
    <s v="10.15581/008.36.40115"/>
    <x v="6"/>
    <x v="6"/>
  </r>
  <r>
    <s v="10.18542/cepec.v11i2.15148"/>
    <x v="6"/>
    <x v="6"/>
  </r>
  <r>
    <s v="10.70493/cod31.v2i2.10190"/>
    <x v="6"/>
    <x v="6"/>
  </r>
  <r>
    <s v="10.32739/uha.id.44499"/>
    <x v="6"/>
    <x v="6"/>
  </r>
  <r>
    <s v="10.5194/isprs-annals-x-4-2024-1-2024"/>
    <x v="6"/>
    <x v="6"/>
  </r>
  <r>
    <s v="10.4102/sajid.v37i2.376"/>
    <x v="6"/>
    <x v="6"/>
  </r>
  <r>
    <s v="10.11606/issn.2525-8133.opiniaes.2020.172908"/>
    <x v="6"/>
    <x v="6"/>
  </r>
  <r>
    <s v="10.1039/d2fo02382b"/>
    <x v="4"/>
    <x v="4"/>
  </r>
  <r>
    <s v="10.21248/hgbll.2020.228"/>
    <x v="6"/>
    <x v="6"/>
  </r>
  <r>
    <s v="10.2174/157341101808220922100306"/>
    <x v="6"/>
    <x v="6"/>
  </r>
  <r>
    <s v="10.2174/092986733031230419122610"/>
    <x v="6"/>
    <x v="6"/>
  </r>
  <r>
    <s v="10.12681/psy_hps.24002"/>
    <x v="4"/>
    <x v="4"/>
  </r>
  <r>
    <s v="10.36677/lacolmena.v0i110.16645"/>
    <x v="4"/>
    <x v="4"/>
  </r>
  <r>
    <s v="10.3390/diagnostics15030391"/>
    <x v="4"/>
    <x v="4"/>
  </r>
  <r>
    <s v="10.15448/1984-6746.2020.3.39772"/>
    <x v="6"/>
    <x v="6"/>
  </r>
  <r>
    <s v="10.14712/25337637.2023.15"/>
    <x v="6"/>
    <x v="6"/>
  </r>
  <r>
    <s v="10.17851/1982-0739.25.1.291-296"/>
    <x v="7"/>
    <x v="7"/>
  </r>
  <r>
    <s v="10.17816/jowd117-8849-850"/>
    <x v="4"/>
    <x v="4"/>
  </r>
  <r>
    <s v="10.1038/ndigest.2021.211013"/>
    <x v="7"/>
    <x v="7"/>
  </r>
  <r>
    <s v="10.5771/0030-3690-2022-5-054"/>
    <x v="3"/>
    <x v="3"/>
  </r>
  <r>
    <s v="10.1002/citp.202070406"/>
    <x v="6"/>
    <x v="6"/>
  </r>
  <r>
    <s v="10.32739/uha.id.60110"/>
    <x v="6"/>
    <x v="6"/>
  </r>
  <r>
    <s v="10.2340/actadv.v103.9405"/>
    <x v="6"/>
    <x v="6"/>
  </r>
  <r>
    <s v="10.1002/for.2701"/>
    <x v="6"/>
    <x v="6"/>
  </r>
  <r>
    <s v="10.1111/rec3.12328"/>
    <x v="6"/>
    <x v="6"/>
  </r>
  <r>
    <s v="10.1002/jrs.6396"/>
    <x v="6"/>
    <x v="6"/>
  </r>
  <r>
    <s v="10.1111/ffe.14338"/>
    <x v="6"/>
    <x v="6"/>
  </r>
  <r>
    <s v="10.1111/medu.15433"/>
    <x v="6"/>
    <x v="6"/>
  </r>
  <r>
    <s v="10.22201/iifs.18704913e.2021.86.1589"/>
    <x v="6"/>
    <x v="6"/>
  </r>
  <r>
    <s v="10.30827/dreh.23.2025.32587"/>
    <x v="6"/>
    <x v="6"/>
  </r>
  <r>
    <s v="10.1097/hs9.0000000000000364"/>
    <x v="6"/>
    <x v="6"/>
  </r>
  <r>
    <s v="10.3390/nu12030875"/>
    <x v="6"/>
    <x v="6"/>
  </r>
  <r>
    <s v="10.1039/d0ra09819a"/>
    <x v="6"/>
    <x v="6"/>
  </r>
  <r>
    <s v="10.53126/meb44046"/>
    <x v="7"/>
    <x v="7"/>
  </r>
  <r>
    <s v="10.12968/gasn.2024.22.sup1.s4"/>
    <x v="4"/>
    <x v="4"/>
  </r>
  <r>
    <s v="10.1177/15365042231192503"/>
    <x v="3"/>
    <x v="3"/>
  </r>
  <r>
    <s v="10.1039/d0fo02848g"/>
    <x v="4"/>
    <x v="4"/>
  </r>
  <r>
    <s v="10.3390/nanoenergyadv3010002"/>
    <x v="6"/>
    <x v="6"/>
  </r>
  <r>
    <s v="10.15741/revbio.08suppl.e1102"/>
    <x v="2"/>
    <x v="2"/>
  </r>
  <r>
    <s v="10.1038/ndigest.2022.220134"/>
    <x v="6"/>
    <x v="6"/>
  </r>
  <r>
    <s v="10.15353/cfs-rcea.v7i1.411"/>
    <x v="6"/>
    <x v="6"/>
  </r>
  <r>
    <s v="10.18502/ijph.v49i10.4715"/>
    <x v="0"/>
    <x v="0"/>
  </r>
  <r>
    <s v="10.1002/ppp.2236"/>
    <x v="6"/>
    <x v="6"/>
  </r>
  <r>
    <s v="10.3390/jdb10010008"/>
    <x v="6"/>
    <x v="6"/>
  </r>
  <r>
    <s v="10.1039/d2tb02817d"/>
    <x v="4"/>
    <x v="4"/>
  </r>
  <r>
    <s v="10.1126/science.adp4370"/>
    <x v="4"/>
    <x v="4"/>
  </r>
  <r>
    <s v="10.30712/guara.v2i14-a.42947"/>
    <x v="6"/>
    <x v="6"/>
  </r>
  <r>
    <s v="10.1039/d4nj03085k"/>
    <x v="3"/>
    <x v="3"/>
  </r>
  <r>
    <s v="10.1126/science.373.6556.723"/>
    <x v="6"/>
    <x v="6"/>
  </r>
  <r>
    <s v="10.12968/s0013-7758(22)90421-0"/>
    <x v="7"/>
    <x v="7"/>
  </r>
  <r>
    <s v="10.3390/coatings14040447"/>
    <x v="6"/>
    <x v="6"/>
  </r>
  <r>
    <s v="10.1039/d0me00038h"/>
    <x v="3"/>
    <x v="3"/>
  </r>
  <r>
    <s v="10.22201/ch.9786073075022e.2023.ca"/>
    <x v="3"/>
    <x v="3"/>
  </r>
  <r>
    <s v="10.22201/ch.9786073075022e.2023.c1"/>
    <x v="3"/>
    <x v="3"/>
  </r>
  <r>
    <s v="10.4018/979-8-3693-2346-5.ch019"/>
    <x v="3"/>
    <x v="3"/>
  </r>
  <r>
    <s v="10.1007/978-981-19-4029-3_3"/>
    <x v="6"/>
    <x v="6"/>
  </r>
  <r>
    <s v="10.5772/intechopen.100267"/>
    <x v="3"/>
    <x v="3"/>
  </r>
  <r>
    <s v="10.12797/9788383681320.03"/>
    <x v="3"/>
    <x v="3"/>
  </r>
  <r>
    <s v="10.58532/v3bgpn12p5ch4"/>
    <x v="3"/>
    <x v="3"/>
  </r>
  <r>
    <s v="10.5382/sp.23.33"/>
    <x v="3"/>
    <x v="3"/>
  </r>
  <r>
    <s v="10.30525/978-9934-26-494-8-12"/>
    <x v="3"/>
    <x v="3"/>
  </r>
  <r>
    <s v="10.1007/978-3-031-37189-9_4"/>
    <x v="3"/>
    <x v="3"/>
  </r>
  <r>
    <s v="10.3233/aiad220029"/>
    <x v="3"/>
    <x v="3"/>
  </r>
  <r>
    <s v="10.3233/shti210050"/>
    <x v="3"/>
    <x v="3"/>
  </r>
  <r>
    <s v="10.1007/978-981-33-6761-6_11"/>
    <x v="3"/>
    <x v="3"/>
  </r>
  <r>
    <s v="10.37885/230513067"/>
    <x v="3"/>
    <x v="3"/>
  </r>
  <r>
    <s v="10.46943/ix.conedu.2023.gt03.004"/>
    <x v="3"/>
    <x v="3"/>
  </r>
  <r>
    <s v="10.4018/978-1-5225-9869-5.ch037"/>
    <x v="3"/>
    <x v="3"/>
  </r>
  <r>
    <s v="10.1007/978-3-031-60622-9_2"/>
    <x v="6"/>
    <x v="6"/>
  </r>
  <r>
    <s v="10.4018/979-8-3693-8659-0.ch012"/>
    <x v="3"/>
    <x v="3"/>
  </r>
  <r>
    <s v="10.1093/oxfordhb/9780198847793.013.17"/>
    <x v="3"/>
    <x v="3"/>
  </r>
  <r>
    <s v="10.1093/oso/9780190061289.003.0011"/>
    <x v="3"/>
    <x v="3"/>
  </r>
  <r>
    <s v="10.31391/vxkd1832.6"/>
    <x v="3"/>
    <x v="3"/>
  </r>
  <r>
    <s v="10.54195/fmvv7173_ch08"/>
    <x v="3"/>
    <x v="3"/>
  </r>
  <r>
    <s v="10.1093/9780191875434.003.0002"/>
    <x v="3"/>
    <x v="3"/>
  </r>
  <r>
    <s v="10.1093/oso/9780197566145.003.0004"/>
    <x v="3"/>
    <x v="3"/>
  </r>
  <r>
    <s v="10.1075/tilar.27.01mat"/>
    <x v="3"/>
    <x v="3"/>
  </r>
  <r>
    <s v="10.2174/9789815223552124010001"/>
    <x v="6"/>
    <x v="6"/>
  </r>
  <r>
    <s v="10.5772/intechopen.109937"/>
    <x v="6"/>
    <x v="6"/>
  </r>
  <r>
    <s v="10.30681/978-85-7911-286-7.4"/>
    <x v="6"/>
    <x v="6"/>
  </r>
  <r>
    <s v="10.1093/law/9780192897923.003.0042"/>
    <x v="3"/>
    <x v="3"/>
  </r>
  <r>
    <s v="10.1093/oso/9780190091187.003.0035"/>
    <x v="3"/>
    <x v="3"/>
  </r>
  <r>
    <s v="10.12987/yale/9780300270877.003.0019"/>
    <x v="3"/>
    <x v="3"/>
  </r>
  <r>
    <s v="10.1093/oso/9780198861492.003.0022"/>
    <x v="3"/>
    <x v="3"/>
  </r>
  <r>
    <s v="10.1093/oso/9780197657560.003.0038"/>
    <x v="3"/>
    <x v="3"/>
  </r>
  <r>
    <s v="10.1093/oso/9780190675530.003.0021"/>
    <x v="3"/>
    <x v="3"/>
  </r>
  <r>
    <s v="10.3828/liverpool/9781800348363.003.0007"/>
    <x v="3"/>
    <x v="3"/>
  </r>
  <r>
    <s v="10.5772/intechopen.86868"/>
    <x v="3"/>
    <x v="3"/>
  </r>
  <r>
    <s v="10.1093/9780191782855.003.0009"/>
    <x v="3"/>
    <x v="3"/>
  </r>
  <r>
    <s v="10.5871/bacad/9780197267387.003.0003"/>
    <x v="3"/>
    <x v="3"/>
  </r>
  <r>
    <s v="10.5772/intechopen.111655"/>
    <x v="3"/>
    <x v="3"/>
  </r>
  <r>
    <s v="10.1093/hebz/9780198943372.003.0050"/>
    <x v="4"/>
    <x v="4"/>
  </r>
  <r>
    <s v="10.56271/978.65.87679.69.3-16"/>
    <x v="6"/>
    <x v="6"/>
  </r>
  <r>
    <s v="10.58532/v2bs16ch20"/>
    <x v="7"/>
    <x v="7"/>
  </r>
  <r>
    <s v="10.4018/978-1-6684-5068-0.ch006"/>
    <x v="7"/>
    <x v="7"/>
  </r>
  <r>
    <s v="10.1093/he/9780198860372.003.0008"/>
    <x v="7"/>
    <x v="7"/>
  </r>
  <r>
    <s v="10.12804/tj9789587844702.02"/>
    <x v="7"/>
    <x v="7"/>
  </r>
  <r>
    <s v="10.1093/med/9780197755877.003.0008"/>
    <x v="3"/>
    <x v="3"/>
  </r>
  <r>
    <s v="10.1093/oso/9780197657560.003.0015"/>
    <x v="3"/>
    <x v="3"/>
  </r>
  <r>
    <s v="10.5117/9789463729352_epilo"/>
    <x v="3"/>
    <x v="3"/>
  </r>
  <r>
    <s v="10.36906/ksp-2023/46"/>
    <x v="4"/>
    <x v="4"/>
  </r>
  <r>
    <s v="10.31399/asm.tb.edfatr.t56090083"/>
    <x v="3"/>
    <x v="3"/>
  </r>
  <r>
    <s v="10.29118/ipa22-e-151"/>
    <x v="3"/>
    <x v="3"/>
  </r>
  <r>
    <s v="10.25686/foreco.2023.10.66.007"/>
    <x v="2"/>
    <x v="2"/>
  </r>
  <r>
    <s v="10.54941/ahfe1002576"/>
    <x v="3"/>
    <x v="3"/>
  </r>
  <r>
    <s v="10.54941/ahfe1004623"/>
    <x v="0"/>
    <x v="0"/>
  </r>
  <r>
    <s v="10.2523/iptc-21334-ms"/>
    <x v="3"/>
    <x v="3"/>
  </r>
  <r>
    <s v="10.5327/jbg-0368-1416-20211311190"/>
    <x v="3"/>
    <x v="3"/>
  </r>
  <r>
    <s v="10.2118/203450-ms"/>
    <x v="3"/>
    <x v="3"/>
  </r>
  <r>
    <s v="10.2523/iptc-21880-ms"/>
    <x v="3"/>
    <x v="3"/>
  </r>
  <r>
    <s v="10.54941/ahfe1004471"/>
    <x v="8"/>
    <x v="8"/>
  </r>
  <r>
    <s v="10.56952/arma-2023-0737"/>
    <x v="3"/>
    <x v="3"/>
  </r>
  <r>
    <s v="10.56952/igs-2024-0194"/>
    <x v="3"/>
    <x v="3"/>
  </r>
  <r>
    <s v="10.51161/rems/1503"/>
    <x v="3"/>
    <x v="3"/>
  </r>
  <r>
    <s v="10.29289/259453942022v32s2096"/>
    <x v="3"/>
    <x v="3"/>
  </r>
  <r>
    <s v="10.1115/gt2020-16014"/>
    <x v="3"/>
    <x v="3"/>
  </r>
  <r>
    <s v="10.1115/gtindia2023-118324"/>
    <x v="3"/>
    <x v="3"/>
  </r>
  <r>
    <s v="10.54941/ahfe1003022"/>
    <x v="3"/>
    <x v="3"/>
  </r>
  <r>
    <s v="10.54941/ahfe1002037"/>
    <x v="3"/>
    <x v="3"/>
  </r>
  <r>
    <s v="10.4271/2023-01-1016"/>
    <x v="0"/>
    <x v="0"/>
  </r>
  <r>
    <s v="10.21748/whcd7145"/>
    <x v="7"/>
    <x v="7"/>
  </r>
  <r>
    <s v="10.51189/rema/1799"/>
    <x v="3"/>
    <x v="3"/>
  </r>
  <r>
    <s v="10.2118/213451-ms"/>
    <x v="3"/>
    <x v="3"/>
  </r>
  <r>
    <s v="10.54941/ahfe1004932"/>
    <x v="3"/>
    <x v="3"/>
  </r>
  <r>
    <s v="10.4995/heritage2022.2022.15618"/>
    <x v="3"/>
    <x v="3"/>
  </r>
  <r>
    <s v="10.53040/abap6.2022.73"/>
    <x v="3"/>
    <x v="3"/>
  </r>
  <r>
    <s v="10.4271/2025-28-0142"/>
    <x v="0"/>
    <x v="0"/>
  </r>
  <r>
    <s v="10.1364/laop.2022.tu4a.47"/>
    <x v="3"/>
    <x v="3"/>
  </r>
  <r>
    <s v="10.1364/np.2022.npth2g.5"/>
    <x v="3"/>
    <x v="3"/>
  </r>
  <r>
    <s v="10.1364/3d.2021.3th7e.2"/>
    <x v="3"/>
    <x v="3"/>
  </r>
  <r>
    <s v="10.29327/1318190.2-2"/>
    <x v="4"/>
    <x v="4"/>
  </r>
  <r>
    <s v="10.29327/1377146.1-1"/>
    <x v="4"/>
    <x v="4"/>
  </r>
  <r>
    <s v="10.1364/fio.2020.jtu7c.4"/>
    <x v="3"/>
    <x v="3"/>
  </r>
  <r>
    <s v="10.33186/978-5-85638-223-4-2020-150-153"/>
    <x v="4"/>
    <x v="4"/>
  </r>
  <r>
    <s v="10.1364/quantum.2023.qtu3a.33"/>
    <x v="3"/>
    <x v="3"/>
  </r>
  <r>
    <s v="10.1364/assl.2023.jtu5a.11"/>
    <x v="3"/>
    <x v="3"/>
  </r>
  <r>
    <s v="10.1364/translational.2020.jtu3a.12"/>
    <x v="3"/>
    <x v="3"/>
  </r>
  <r>
    <s v="10.1364/ofc.2021.w1f.1"/>
    <x v="3"/>
    <x v="3"/>
  </r>
  <r>
    <s v="10.1364/cleo_si.2020.stu4n.2"/>
    <x v="3"/>
    <x v="3"/>
  </r>
  <r>
    <s v="10.1364/cleo_qels.2022.fw1a.7"/>
    <x v="3"/>
    <x v="3"/>
  </r>
  <r>
    <s v="10.1364/fio.2020.fm1a.7"/>
    <x v="3"/>
    <x v="3"/>
  </r>
  <r>
    <s v="10.1364/dh.2021.dm6c.7"/>
    <x v="3"/>
    <x v="3"/>
  </r>
  <r>
    <s v="10.1364/3d.2022.3th3a.2"/>
    <x v="3"/>
    <x v="3"/>
  </r>
  <r>
    <s v="10.1364/acpc.2020.m4d.9"/>
    <x v="3"/>
    <x v="3"/>
  </r>
  <r>
    <s v="10.1364/ofc.2020.w2a.52"/>
    <x v="3"/>
    <x v="3"/>
  </r>
  <r>
    <s v="10.1364/aio.2022.t1a.3"/>
    <x v="3"/>
    <x v="3"/>
  </r>
  <r>
    <s v="10.1364/fio.2020.ftu2e.3"/>
    <x v="3"/>
    <x v="3"/>
  </r>
  <r>
    <s v="10.1364/fio.2020.fm4c.1"/>
    <x v="3"/>
    <x v="3"/>
  </r>
  <r>
    <s v="10.1364/fio.2021.jw7a.66"/>
    <x v="3"/>
    <x v="3"/>
  </r>
  <r>
    <s v="10.1364/ofs.2023.w4.23"/>
    <x v="3"/>
    <x v="3"/>
  </r>
  <r>
    <s v="10.1364/ofc.2020.th3d.3"/>
    <x v="3"/>
    <x v="3"/>
  </r>
  <r>
    <s v="10.1364/up.2022.m4a.6"/>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journal-article:None"/>
    <s v="10.1364/ao.426469"/>
    <s v="&lt;jats:p&gt;A spectrally selective solar absorber (SSA) made from alternating tungsten and &lt;jats:inline-formula&gt;_x000a_      &lt;mml:math xmlns:mml=&quot;http://www.w3.org/1998/Math/MathML&quot; display=&quot;inline&quot;&gt;_x000a__x0009_&lt;mml:mrow class=&quot;MJX-TeXAtom-ORD&quot;&gt;_x000a__x0009_  &lt;mml:msub&gt;_x000a__x0009_    &lt;mml:mrow class=&quot;MJX-TeXAtom-ORD&quot;&gt;_x000a__x0009_      &lt;mml:mrow class=&quot;MJX-TeXAtom-ORD&quot;&gt;_x000a__x0009__x0009_&lt;mml:mi mathvariant=&quot;normal&quot;&gt;S&lt;/mml:mi&gt;_x000a__x0009__x0009_&lt;mml:mi mathvariant=&quot;normal&quot;&gt;i&lt;/mml:mi&gt;_x000a__x0009__x0009_&lt;mml:mi mathvariant=&quot;normal&quot;&gt;O&lt;/mml:mi&gt;_x000a__x0009_      &lt;/mml:mrow&gt;_x000a__x0009_    &lt;/mml:mrow&gt;_x000a__x0009_    &lt;mml:mn&gt;2&lt;/mml:mn&gt;_x000a__x0009_  &lt;/mml:msub&gt;_x000a__x0009_&lt;/mml:mrow&gt;_x000a_      &lt;/mml:math&gt;_x000a_    &lt;/jats:inline-formula&gt; layers is an important component in a_x000a__x0009__x0009__x0009__x0009__x0009_concentrated solar-thermoelectric generator (CSTEG). However, the_x000a__x0009__x0009__x0009__x0009__x0009_highly efficient SSA consisting of a high number of tungsten and &lt;jats:inline-formula&gt;_x000a_      &lt;mml:math xmlns:mml=&quot;http://www.w3.org/1998/Math/MathML&quot; display=&quot;inline&quot;&gt;_x000a__x0009_&lt;mml:mrow class=&quot;MJX-TeXAtom-ORD&quot;&gt;_x000a__x0009_  &lt;mml:msub&gt;_x000a__x0009_    &lt;mml:mrow class=&quot;MJX-TeXAtom-ORD&quot;&gt;_x000a__x0009_      &lt;mml:mrow class=&quot;MJX-TeXAtom-ORD&quot;&gt;_x000a__x0009__x0009_&lt;mml:mi mathvariant=&quot;normal&quot;&gt;S&lt;/mml:mi&gt;_x000a__x0009__x0009_&lt;mml:mi mathvariant=&quot;normal&quot;&gt;i&lt;/mml:mi&gt;_x000a__x0009__x0009_&lt;mml:mi mathvariant=&quot;normal&quot;&gt;O&lt;/mml:mi&gt;_x000a__x0009_      &lt;/mml:mrow&gt;_x000a__x0009_    &lt;/mml:mrow&gt;_x000a__x0009_    &lt;mml:mn&gt;2&lt;/mml:mn&gt;_x000a__x0009_  &lt;/mml:msub&gt;_x000a__x0009_&lt;/mml:mrow&gt;_x000a_      &lt;/mml:math&gt;_x000a_    &lt;/jats:inline-formula&gt; layers may require complicated_x000a__x0009__x0009__x0009__x0009__x0009_fabrication procedures, thereby raising the overall cost of the CSTEG._x000a__x0009__x0009__x0009__x0009__x0009_In this study, we have theoretically optimized SSAs consisting of a_x000a__x0009__x0009__x0009__x0009__x0009_different number of layers, and the performances of CSTEGs installed_x000a__x0009__x0009__x0009__x0009__x0009_with different optimized SSAs and thermoelectric materials (&lt;jats:inline-formula&gt;_x000a_      &lt;mml:math xmlns:mml=&quot;http://www.w3.org/1998/Math/MathML&quot; display=&quot;inline&quot;&gt;_x000a__x0009_&lt;mml:mrow class=&quot;MJX-TeXAtom-ORD&quot;&gt;_x000a__x0009_  &lt;mml:msub&gt;_x000a__x0009_    &lt;mml:mrow class=&quot;MJX-TeXAtom-ORD&quot;&gt;_x000a__x0009_      &lt;mml:mrow class=&quot;MJX-TeXAtom-ORD&quot;&gt;_x000a__x0009__x0009_&lt;mml:mi mathvariant=&quot;normal&quot;&gt;S&lt;/mml:mi&gt;_x000a__x0009__x0009_&lt;mml:mi mathvariant=&quot;normal&quot;&gt;i&lt;/mml:mi&gt;_x000a__x0009_      &lt;/mml:mrow&gt;_x000a__x0009_    &lt;/mml:mrow&gt;_x000a__x0009_    &lt;mml:mrow class=&quot;MJX-TeXAtom-ORD&quot;&gt;_x000a__x0009_      &lt;mml:mn&gt;80&lt;/mml:mn&gt;_x000a__x0009_    &lt;/mml:mrow&gt;_x000a__x0009_  &lt;/mml:msub&gt;_x000a__x0009_&lt;/mml:mrow&gt;_x000a__x0009_&lt;mml:mrow class=&quot;MJX-TeXAtom-ORD&quot;&gt;_x000a__x0009_  &lt;mml:msub&gt;_x000a__x0009_    &lt;mml:mrow class=&quot;MJX-TeXAtom-ORD&quot;&gt;_x000a__x0009_      &lt;mml:mrow class=&quot;MJX-TeXAtom-ORD&quot;&gt;_x000a__x0009__x0009_&lt;mml:mi mathvariant=&quot;normal&quot;&gt;G&lt;/mml:mi&gt;_x000a__x0009__x0009_&lt;mml:mi mathvariant=&quot;normal&quot;&gt;e&lt;/mml:mi&gt;_x000a__x0009_      &lt;/mml:mrow&gt;_x000a__x0009_    &lt;/mml:mrow&gt;_x000a__x0009_    &lt;mml:mrow class=&quot;MJX-TeXAtom-ORD&quot;&gt;_x000a__x0009_      &lt;mml:mn&gt;20&lt;/mml:mn&gt;_x000a__x0009_    &lt;/mml:mrow&gt;_x000a__x0009_  &lt;/mml:msub&gt;_x000a__x0009_&lt;/mml:mrow&gt;_x000a_      &lt;/mml:math&gt;_x000a_    &lt;/jats:inline-formula&gt; alloys, SnSe crystals) are_x000a__x0009__x0009__x0009__x0009__x0009_theoretically investigated. It is found that two SSAs, one with only_x000a__x0009__x0009__x0009__x0009__x0009_one layer of &lt;jats:inline-formula&gt;_x000a_      &lt;mml:math xmlns:mml=&quot;http://www.w3.org/1998/Math/MathML&quot; display=&quot;inline&quot;&gt;_x000a__x0009_&lt;mml:mrow class=&quot;MJX-TeXAtom-ORD&quot;&gt;_x000a__x0009_  &lt;mml:msub&gt;_x000a__x0009_    &lt;mml:mrow class=&quot;MJX-TeXAtom-ORD&quot;&gt;_x000a__x0009_      &lt;mml:mrow class=&quot;MJX-TeXAtom-ORD&quot;&gt;_x000a__x0009__x0009_&lt;mml:mi mathvariant=&quot;normal&quot;&gt;S&lt;/mml:mi&gt;_x000a__x0009__x0009_&lt;mml:mi mathvariant=&quot;normal&quot;&gt;i&lt;/mml:mi&gt;_x000a__x0009__x0009_&lt;mml:mi mathvariant=&quot;normal&quot;&gt;O&lt;/mml:mi&gt;_x000a__x0009_      &lt;/mml:mrow&gt;_x000a__x0009_    &lt;/mml:mrow&gt;_x000a__x0009_    &lt;mml:mn&gt;2&lt;/mml:mn&gt;_x000a__x0009_  &lt;/mml:msub&gt;_x000a__x0009_&lt;/mml:mrow&gt;_x000a_      &lt;/mml:math&gt;_x000a_    &lt;/jats:inline-formula&gt; glass (88 nm) coated on a tungsten_x000a__x0009__x0009__x0009__x0009__x0009_reflective plane, and the other with three alternating layers of &lt;jats:inline-formula&gt;_x000a_      &lt;mml:math xmlns:mml=&quot;http://www.w3.org/1998/Math/MathML&quot; display=&quot;inline&quot;&gt;_x000a__x0009_&lt;mml:mrow class=&quot;MJX-TeXAtom-ORD&quot;&gt;_x000a__x0009_  &lt;mml:msub&gt;_x000a__x0009_    &lt;mml:mrow class=&quot;MJX-TeXAtom-ORD&quot;&gt;_x000a__x0009_      &lt;mml:mrow class=&quot;MJX-TeXAtom-ORD&quot;&gt;_x000a__x0009__x0009_&lt;mml:mi mathvariant=&quot;normal&quot;&gt;S&lt;/mml:mi&gt;_x000a__x0009__x0009_&lt;mml:mi mathvariant=&quot;normal&quot;&gt;i&lt;/mml:mi&gt;_x000a__x0009__x0009_&lt;mml:mi mathvariant=&quot;normal&quot;&gt;O&lt;/mml:mi&gt;_x000a__x0009_      &lt;/mml:mrow&gt;_x000a__x0009_    &lt;/mml:mrow&gt;_x000a__x0009_    &lt;mml:mrow class=&quot;MJX-TeXAtom-ORD&quot;&gt;_x000a__x0009_      &lt;mml:mn&gt;2&lt;/mml:mn&gt;_x000a__x0009_    &lt;/mml:mrow&gt;_x000a__x0009_  &lt;/mml:msub&gt;_x000a__x0009_&lt;/mml:mrow&gt;_x000a__x0009_&lt;mml:mo stretchy=&quot;false&quot;&gt;(&lt;/mml:mo&gt;_x000a__x0009_&lt;mml:mrow class=&quot;MJX-TeXAtom-ORD&quot;&gt;_x000a__x0009_  &lt;mml:mrow class=&quot;MJX-TeXAtom-ORD&quot;&gt;_x000a__x0009_    &lt;mml:mn&gt;92&lt;/mml:mn&gt;_x000a__x0009_  &lt;/mml:mrow&gt;_x000a__x0009_&lt;/mml:mrow&gt;_x000a__x0009_&lt;mml:mspace width=&quot;thickmathspace&quot;/&gt;_x000a__x0009_&lt;mml:mrow class=&quot;MJX-TeXAtom-ORD&quot;&gt;_x000a__x0009_  &lt;mml:mrow class=&quot;MJX-TeXAtom-ORD&quot;&gt;_x000a__x0009_    &lt;mml:mi mathvariant=&quot;normal&quot;&gt;n&lt;/mml:mi&gt;_x000a__x0009_    &lt;mml:mi mathvariant=&quot;normal&quot;&gt;m&lt;/mml:mi&gt;_x000a__x0009_  &lt;/mml:mrow&gt;_x000a__x0009_&lt;/mml:mrow&gt;_x000a__x0009_&lt;mml:mo stretchy=&quot;false&quot;&gt;)&lt;/mml:mo&gt;_x000a__x0009_&lt;mml:mrow class=&quot;MJX-TeXAtom-ORD&quot;&gt;_x000a__x0009_  &lt;mml:mrow class=&quot;MJX-TeXAtom-ORD&quot;&gt;_x000a__x0009_    &lt;mml:mrow class=&quot;MJX-TeXAtom-ORD&quot;&gt;_x000a__x0009_      &lt;mml:mo&gt;/&lt;/mml:mo&gt;_x000a__x0009_    &lt;/mml:mrow&gt;_x000a__x0009_    &lt;mml:mi mathvariant=&quot;normal&quot;&gt;t&lt;/mml:mi&gt;_x000a__x0009_    &lt;mml:mi mathvariant=&quot;normal&quot;&gt;u&lt;/mml:mi&gt;_x000a__x0009_    &lt;mml:mi mathvariant=&quot;normal&quot;&gt;n&lt;/mml:mi&gt;_x000a__x0009_    &lt;mml:mi mathvariant=&quot;normal&quot;&gt;g&lt;/mml:mi&gt;_x000a__x0009_    &lt;mml:mi mathvariant=&quot;normal&quot;&gt;s&lt;/mml:mi&gt;_x000a__x0009_    &lt;mml:mi mathvariant=&quot;normal&quot;&gt;t&lt;/mml:mi&gt;_x000a__x0009_    &lt;mml:mi mathvariant=&quot;normal&quot;&gt;e&lt;/mml:mi&gt;_x000a__x0009_    &lt;mml:mi mathvariant=&quot;normal&quot;&gt;n&lt;/mml:mi&gt;_x000a__x0009_  &lt;/mml:mrow&gt;_x000a__x0009_&lt;/mml:mrow&gt;_x000a__x0009_&lt;mml:mspace width=&quot;thickmathspace&quot;/&gt;_x000a__x0009_&lt;mml:mo stretchy=&quot;false&quot;&gt;(&lt;/mml:mo&gt;_x000a__x0009_&lt;mml:mrow class=&quot;MJX-TeXAtom-ORD&quot;&gt;_x000a__x0009_  &lt;mml:mrow class=&quot;MJX-TeXAtom-ORD&quot;&gt;_x000a__x0009_    &lt;mml:mn&gt;7&lt;/mml:mn&gt;_x000a__x0009_  &lt;/mml:mrow&gt;_x000a__x0009_&lt;/mml:mrow&gt;_x000a__x0009_&lt;mml:mspace width=&quot;thickmathspace&quot;/&gt;_x000a__x0009_&lt;mml:mrow class=&quot;MJX-TeXAtom-ORD&quot;&gt;_x000a__x0009_  &lt;mml:mrow class=&quot;MJX-TeXAtom-ORD&quot;&gt;_x000a__x0009_    &lt;mml:mi mathvariant=&quot;normal&quot;&gt;n&lt;/mml:mi&gt;_x000a__x0009_    &lt;mml:mi mathvariant=&quot;normal&quot;&gt;m&lt;/mml:mi&gt;_x000a__x0009_  &lt;/mml:mrow&gt;_x000a__x0009_&lt;/mml:mrow&gt;_x000a__x0009_&lt;mml:mo stretchy=&quot;false&quot;&gt;)&lt;/mml:mo&gt;_x000a__x0009_&lt;mml:mrow class=&quot;MJX-TeXAtom-ORD&quot;&gt;_x000a__x0009_  &lt;mml:mo&gt;/&lt;/mml:mo&gt;_x000a__x0009_&lt;/mml:mrow&gt;_x000a__x0009_&lt;mml:mrow class=&quot;MJX-TeXAtom-ORD&quot;&gt;_x000a__x0009_  &lt;mml:msub&gt;_x000a__x0009_    &lt;mml:mrow class=&quot;MJX-TeXAtom-ORD&quot;&gt;_x000a__x0009_      &lt;mml:mrow class=&quot;MJX-TeXAtom-ORD&quot;&gt;_x000a__x0009__x0009_&lt;mml:mi mathvariant=&quot;normal&quot;&gt;S&lt;/mml:mi&gt;_x000a__x0009__x0009_&lt;mml:mi mathvariant=&quot;normal&quot;&gt;i&lt;/mml:mi&gt;_x000a__x0009__x0009_&lt;mml:mi mathvariant=&quot;normal&quot;&gt;O&lt;/mml:mi&gt;_x000a__x0009_      &lt;/mml:mrow&gt;_x000a__x0009_    &lt;/mml:mrow&gt;_x000a__x0009_    &lt;mml:mrow class=&quot;MJX-TeXAtom-ORD&quot;&gt;_x000a__x0009_      &lt;mml:mn&gt;2&lt;/mml:mn&gt;_x000a__x0009_    &lt;/mml:mrow&gt;_x000a__x0009_  &lt;/mml:msub&gt;_x000a__x0009_&lt;/mml:mrow&gt;_x000a__x0009_&lt;mml:mo stretchy=&quot;false&quot;&gt;(&lt;/mml:mo&gt;_x000a__x0009_&lt;mml:mrow class=&quot;MJX-TeXAtom-ORD&quot;&gt;_x000a__x0009_  &lt;mml:mrow class=&quot;MJX-TeXAtom-ORD&quot;&gt;_x000a__x0009_    &lt;mml:mn&gt;78&lt;/mml:mn&gt;_x000a__x0009_  &lt;/mml:mrow&gt;_x000a__x0009_&lt;/mml:mrow&gt;_x000a__x0009_&lt;mml:mspace width=&quot;thickmathspace&quot;/&gt;_x000a__x0009_&lt;mml:mrow class=&quot;MJX-TeXAtom-ORD&quot;&gt;_x000a__x0009_  &lt;mml:mrow class=&quot;MJX-TeXAtom-ORD&quot;&gt;_x000a__x0009_    &lt;mml:mi mathvariant=&quot;normal&quot;&gt;n&lt;/mml:mi&gt;_x000a__x0009_    &lt;mml:mi mathvariant=&quot;normal&quot;&gt;m&lt;/mml:mi&gt;_x000a__x0009_  &lt;/mml:mrow&gt;_x000a__x0009_&lt;/mml:mrow&gt;_x000a__x0009_&lt;mml:mo stretchy=&quot;false&quot;&gt;)&lt;/mml:mo&gt;_x000a_      &lt;/mml:math&gt;_x000a_    &lt;/jats:inline-formula&gt; coated on a tungsten reflective_x000a__x0009__x0009__x0009__x0009__x0009_plane, have the highest average solar absorptance equal to 0.7050 and_x000a__x0009__x0009__x0009__x0009__x0009_0.9999, respectively. To reach the same steady-state temperature (&lt;jats:inline-formula&gt;_x000a_      &lt;mml:math xmlns:mml=&quot;http://www.w3.org/1998/Math/MathML&quot; display=&quot;inline&quot;&gt;_x000a__x0009_&lt;mml:mrow class=&quot;MJX-TeXAtom-ORD&quot;&gt;_x000a__x0009_  &lt;mml:msub&gt;_x000a__x0009_    &lt;mml:mi&gt;T&lt;/mml:mi&gt;_x000a__x0009_    &lt;mml:mi&gt;h&lt;/mml:mi&gt;_x000a__x0009_  &lt;/mml:msub&gt;_x000a__x0009_&lt;/mml:mrow&gt;_x000a_      &lt;/mml:math&gt;_x000a_    &lt;/jats:inline-formula&gt;), the one-layer SSA requires higher_x000a__x0009__x0009__x0009__x0009__x0009_optical concentrations (&lt;jats:inline-formula&gt;_x000a_      &lt;mml:math xmlns:mml=&quot;http://www.w3.org/1998/Math/MathML&quot; display=&quot;inline&quot;&gt;_x000a__x0009_&lt;mml:mrow class=&quot;MJX-TeXAtom-ORD&quot;&gt;_x000a__x0009_  &lt;mml:msub&gt;_x000a__x0009_    &lt;mml:mi&gt;C&lt;/mml:mi&gt;_x000a__x0009_    &lt;mml:mrow class=&quot;MJX-TeXAtom-ORD&quot;&gt;_x000a__x0009_      &lt;mml:mrow class=&quot;MJX-TeXAtom-ORD&quot;&gt;_x000a__x0009__x0009_&lt;mml:mi mathvariant=&quot;normal&quot;&gt;o&lt;/mml:mi&gt;_x000a__x0009__x0009_&lt;mml:mi mathvariant=&quot;normal&quot;&gt;p&lt;/mml:mi&gt;_x000a__x0009__x0009_&lt;mml:mi mathvariant=&quot;normal&quot;&gt;t&lt;/mml:mi&gt;_x000a__x0009_      &lt;/mml:mrow&gt;_x000a__x0009_    &lt;/mml:mrow&gt;_x000a__x0009_  &lt;/mml:msub&gt;_x000a__x0009_&lt;/mml:mrow&gt;_x000a_      &lt;/mml:math&gt;_x000a_    &lt;/jats:inline-formula&gt;) than the three-layer SSA. The CSTEG_x000a__x0009__x0009__x0009__x0009__x0009_with &lt;jats:inline-formula&gt;_x000a_      &lt;mml:math xmlns:mml=&quot;http://www.w3.org/1998/Math/MathML&quot; display=&quot;inline&quot;&gt;_x000a__x0009_&lt;mml:mrow class=&quot;MJX-TeXAtom-ORD&quot;&gt;_x000a__x0009_  &lt;mml:msub&gt;_x000a__x0009_    &lt;mml:mrow class=&quot;MJX-TeXAtom-ORD&quot;&gt;_x000a__x0009_      &lt;mml:mrow class=&quot;MJX-TeXAtom-ORD&quot;&gt;_x000a__x0009__x0009_&lt;mml:mi mathvariant=&quot;normal&quot;&gt;S&lt;/mml:mi&gt;_x000a__x0009__x0009_&lt;mml:mi mathvariant=&quot;normal&quot;&gt;i&lt;/mml:mi&gt;_x000a__x0009_      &lt;/mml:mrow&gt;_x000a__x0009_    &lt;/mml:mrow&gt;_x000a__x0009_    &lt;mml:mrow class=&quot;MJX-TeXAtom-ORD&quot;&gt;_x000a__x0009_      &lt;mml:mn&gt;80&lt;/mml:mn&gt;_x000a__x0009_    &lt;/mml:mrow&gt;_x000a__x0009_  &lt;/mml:msub&gt;_x000a__x0009_&lt;/mml:mrow&gt;_x000a__x0009_&lt;mml:mrow class=&quot;MJX-TeXAtom-ORD&quot;&gt;_x000a__x0009_  &lt;mml:msub&gt;_x000a__x0009_    &lt;mml:mrow class=&quot;MJX-TeXAtom-ORD&quot;&gt;_x000a__x0009_      &lt;mml:mrow class=&quot;MJX-TeXAtom-ORD&quot;&gt;_x000a__x0009__x0009_&lt;mml:mi mathvariant=&quot;normal&quot;&gt;G&lt;/mml:mi&gt;_x000a__x0009__x0009_&lt;mml:mi mathvariant=&quot;normal&quot;&gt;e&lt;/mml:mi&gt;_x000a__x0009_      &lt;/mml:mrow&gt;_x000a__x0009_    &lt;/mml:mrow&gt;_x000a__x0009_    &lt;mml:mrow class=&quot;MJX-TeXAtom-ORD&quot;&gt;_x000a__x0009_      &lt;mml:mn&gt;20&lt;/mml:mn&gt;_x000a__x0009_    &lt;/mml:mrow&gt;_x000a__x0009_  &lt;/mml:msub&gt;_x000a__x0009_&lt;/mml:mrow&gt;_x000a_      &lt;/mml:math&gt;_x000a_    &lt;/jats:inline-formula&gt; alloys requires much higher optical &lt;jats:inline-formula&gt;_x000a_      &lt;mml:math xmlns:mml=&quot;http://www.w3.org/1998/Math/MathML&quot; display=&quot;inline&quot;&gt;_x000a__x0009_&lt;mml:mrow class=&quot;MJX-TeXAtom-ORD&quot;&gt;_x000a__x0009_  &lt;mml:msub&gt;_x000a__x0009_    &lt;mml:mi&gt;C&lt;/mml:mi&gt;_x000a__x0009_    &lt;mml:mrow class=&quot;MJX-TeXAtom-ORD&quot;&gt;_x000a__x0009_      &lt;mml:mrow class=&quot;MJX-TeXAtom-ORD&quot;&gt;_x000a__x0009__x0009_&lt;mml:mi mathvariant=&quot;normal&quot;&gt;o&lt;/mml:mi&gt;_x000a__x0009__x0009_&lt;mml:mi mathvariant=&quot;normal&quot;&gt;p&lt;/mml:mi&gt;_x000a__x0009__x0009_&lt;mml:mi mathvariant=&quot;normal&quot;&gt;t&lt;/mml:mi&gt;_x000a__x0009_      &lt;/mml:mrow&gt;_x000a__x0009_    &lt;/mml:mrow&gt;_x000a__x0009_  &lt;/mml:msub&gt;_x000a__x0009_&lt;/mml:mrow&gt;_x000a_      &lt;/mml:math&gt;_x000a_    &lt;/jats:inline-formula&gt; than the CSTEG with SnSe crystals in_x000a__x0009__x0009__x0009__x0009__x0009_order to reach the same &lt;jats:inline-formula&gt;_x000a_      &lt;mml:math xmlns:mml=&quot;http://www.w3.org/1998/Math/MathML&quot; display=&quot;inline&quot;&gt;_x000a__x0009_&lt;mml:mrow class=&quot;MJX-TeXAtom-ORD&quot;&gt;_x000a__x0009_  &lt;mml:msub&gt;_x000a__x0009_    &lt;mml:mi&gt;T&lt;/mml:mi&gt;_x000a__x0009_    &lt;mml:mi&gt;h&lt;/mml:mi&gt;_x000a__x0009_  &lt;/mml:msub&gt;_x000a__x0009_&lt;/mml:mrow&gt;_x000a_      &lt;/mml:math&gt;_x000a_    &lt;/jats:inline-formula&gt; because of much a higher rate of heat_x000a__x0009__x0009__x0009__x0009__x0009_flux. At &lt;jats:inline-formula&gt;_x000a_      &lt;mml:math xmlns:mml=&quot;http://www.w3.org/1998/Math/MathML&quot; display=&quot;inline&quot;&gt;_x000a__x0009_&lt;mml:mrow class=&quot;MJX-TeXAtom-ORD&quot;&gt;_x000a__x0009_  &lt;mml:msub&gt;_x000a__x0009_    &lt;mml:mi&gt;T&lt;/mml:mi&gt;_x000a__x0009_    &lt;mml:mi&gt;h&lt;/mml:mi&gt;_x000a__x0009_  &lt;/mml:msub&gt;_x000a__x0009_&lt;/mml:mrow&gt;_x000a__x0009_&lt;mml:mo&gt;=&lt;/mml:mo&gt;_x000a__x0009_&lt;mml:mrow class=&quot;MJX-TeXAtom-ORD&quot;&gt;_x000a__x0009_  &lt;mml:mrow class=&quot;MJX-TeXAtom-ORD&quot;&gt;_x000a__x0009_    &lt;mml:mn&gt;800&lt;/mml:mn&gt;_x000a__x0009_  &lt;/mml:mrow&gt;_x000a__x0009_&lt;/mml:mrow&gt;_x000a__x0009_&lt;mml:mspace width=&quot;thickmathspace&quot;/&gt;_x000a__x0009_&lt;mml:mi&gt;deg&lt;/mml:mi&gt;_x000a__x0009_&lt;mml:mo&gt;⁡&lt;/mml:mo&gt;_x000a__x0009_&lt;mml:mrow class=&quot;MJX-TeXAtom-ORD&quot;&gt;_x000a__x0009_  &lt;mml:mrow class=&quot;MJX-TeXAtom-ORD&quot;&gt;_x000a__x0009_    &lt;mml:mi mathvariant=&quot;normal&quot;&gt;C&lt;/mml:mi&gt;_x000a__x0009_  &lt;/mml:mrow&gt;_x000a__x0009_&lt;/mml:mrow&gt;_x000a_      &lt;/mml:math&gt;_x000a_    &lt;/jats:inline-formula&gt;, the CSTEG with &lt;jats:inline-formula&gt;_x000a_      &lt;mml:math xmlns:mml=&quot;http://www.w3.org/1998/Math/MathML&quot; display=&quot;inline&quot;&gt;_x000a__x0009_&lt;mml:mrow class=&quot;MJX-TeXAtom-ORD&quot;&gt;_x000a__x0009_  &lt;mml:msub&gt;_x000a__x0009_    &lt;mml:mrow class=&quot;MJX-TeXAtom-ORD&quot;&gt;_x000a__x0009_      &lt;mml:mrow class=&quot;MJX-TeXAtom-ORD&quot;&gt;_x000a__x0009__x0009_&lt;mml:mi mathvariant=&quot;normal&quot;&gt;S&lt;/mml:mi&gt;_x000a__x0009__x0009_&lt;mml:mi mathvariant=&quot;normal&quot;&gt;i&lt;/mml:mi&gt;_x000a__x0009_      &lt;/mml:mrow&gt;_x000a__x0009_    &lt;/mml:mrow&gt;_x000a__x0009_    &lt;mml:mrow class=&quot;MJX-TeXAtom-ORD&quot;&gt;_x000a__x0009_      &lt;mml:mn&gt;80&lt;/mml:mn&gt;_x000a__x0009_    &lt;/mml:mrow&gt;_x000a__x0009_  &lt;/mml:msub&gt;_x000a__x0009_&lt;/mml:mrow&gt;_x000a__x0009_&lt;mml:mrow class=&quot;MJX-TeXAtom-ORD&quot;&gt;_x000a__x0009_  &lt;mml:msub&gt;_x000a__x0009_    &lt;mml:mrow class=&quot;MJX-TeXAtom-ORD&quot;&gt;_x000a__x0009_      &lt;mml:mrow class=&quot;MJX-TeXAtom-ORD&quot;&gt;_x000a__x0009__x0009_&lt;mml:mi mathvariant=&quot;normal&quot;&gt;G&lt;/mml:mi&gt;_x000a__x0009__x0009_&lt;mml:mi mathvariant=&quot;normal&quot;&gt;e&lt;/mml:mi&gt;_x000a__x0009_      &lt;/mml:mrow&gt;_x000a__x0009_    &lt;/mml:mrow&gt;_x000a__x0009_    &lt;mml:mrow class=&quot;MJX-TeXAtom-ORD&quot;&gt;_x000a__x0009_      &lt;mml:mn&gt;20&lt;/mml:mn&gt;_x000a__x0009_    &lt;/mml:mrow&gt;_x000a__x0009_  &lt;/mml:msub&gt;_x000a__x0009_&lt;/mml:mrow&gt;_x000a_      &lt;/mml:math&gt;_x000a_    &lt;/jats:inline-formula&gt; alloys have the output electrical_x000a__x0009__x0009__x0009__x0009__x0009_power per unit cross-sectional area of TEG about 6 times higher than_x000a__x0009__x0009__x0009__x0009__x0009_that of the CSTEG with SnSe crystals. The net efficiency of CSTEG with_x000a__x0009__x0009__x0009__x0009__x0009_SnSe crystals could reach 25.6% if the electrical conductivity of its_x000a__x0009__x0009__x0009__x0009__x0009_p-type thermoelectric leg could be enhanced to be comparable to the_x000a__x0009__x0009__x0009__x0009__x0009_electrical conductivity of its n-type thermoelectric leg.&lt;/jats:p&gt;"/>
    <n v="10871"/>
    <s v="MathML"/>
    <s v="No"/>
    <s v="Yes"/>
    <s v="Yes"/>
    <s v="No"/>
    <s v="Yes"/>
    <s v="No"/>
    <s v="MathML"/>
    <m/>
    <x v="0"/>
  </r>
  <r>
    <s v="journal-article:None"/>
    <s v="10.1182/blood-2021-147907"/>
    <s v="&lt;jats:title&gt;Abstract&lt;/jats:title&gt;_x000a_               &lt;jats:p /&gt;_x000a_               &lt;jats:p&gt;Introduction: Persistently elevated fetal hemoglobin (HbF) can ameliorate transfusion-dependent beta thalassemia (TDT) (Musallam et al ., 2012). BCL11A is a repressor of γ-globin expression and HbF production in adult erythrocytes. Down-regulation of BCL11A is a therapeutic strategy for induction of HbF in beta hemoglobinopathies. In pre-clinical studies with human hematopoietic stem cells (HSCs), zinc finger nuclease (ZFN)-mediated disruption of the GATA-binding region of the intronic erythroid-specific BCL11A enhancer (BCL11A ESE) decreased BCL11A expression and increased HbF production in erythroid cells without disrupting multi-lineage hematopoiesis. ST-400 is an investigational cell therapy product comprised of autologous CD34+ cells that have undergone high-precision, ZFN-mediated ex vivo editing at the BCL11A gene ESE target. The aim of this study is to induce HbF expression in edited erythroid cells. We hypothesized that infusion of ST-400 after myeloablative conditioning would have a favorable benefit risk profile in TDT.&lt;/jats:p&gt;_x000a_               &lt;jats:p&gt;Methods: The Thales trial (NCT03432364) is a Phase 1/2 study of the safety, tolerability and efficacy of ST-400 in adult subjects with TDT, defined as receiving ≥8 annual red blood cell transfusion episodes for at least 2 consecutive years before enrollment. Leukapheresis was performed following mobilization with G-CSF and plerixafor. Autologous collections were enriched for CD34+ cells and then transfected with mRNA encoding ZFNs with binding sites flanking the GATA-binding region of BCL11A ESE. The ST-400 product was infused following myeloablative busulfan conditioning. Six subjects were to be monitored for safety and efficacy for 3 years post-infusion.&lt;/jats:p&gt;_x000a_               &lt;jats:p&gt;Results: Five subjects (age 18 to 36 years old, average 28 years) have completed ST-400 manufacturing and have been infused. No additional patients will be infused. Subjects received an average of 7.3 x 10 6 CD 34+ cells/kg (high low 4.5-11.4). The first subject experienced a serious adverse event (SAE) of hypersensitivity soon after the initiation of ST-400 infusion that was considered by the investigator to be related to the ST-400 infusion, most likely to dimethylsulfoxide (DMSO). The event of hypersensitivity was successfully medically managed and the patient received the full study dose after brief interruptions. One other treatment emergent SAE (opioid withdrawal) occurred, assessed by the investigator as unrelated to ST-400. As of 03 May 2021, the majority of the AEs reported following treatment with ST-400 are consistent with myeloablation. No clonal expansion has been observed from monitoring on-target indel clones longitudinally.&lt;/jats:p&gt;_x000a_               &lt;jats:p&gt;All five subjects had prompt hematopoietic reconstitution (average ANC recovery day +18 [range 14-24 days]; platelet recovery day +29 [range 19-44 days]), with increasing HbF fraction that contributed to stable total hemoglobin. As of 03 May 2021, with follow-up ranging from 17.6 to 27.3 months, on-target DNA insertions-deletions (indels) at BCL11A ESE were present in peripheral blood mononuclear cells (PBMCs) of all five subjects.&lt;/jats:p&gt;_x000a_               &lt;jats:p&gt;Peak HbF levels achieved were 23.5 +- 11.4% (high low 35.9-6.9%) but were not sustained, and thus were not sufficient for transfusion independence. At the time of the latest visit (65-117 weeks), the HbF levels are 7.7 +- 4.1% (high low 13.5-2%). This decline is presumably due to low levels of long-term progenitors in the final drug product.&lt;/jats:p&gt;_x000a_               &lt;jats:p&gt;Conclusions: ST-400 is an ex vivo, ZFN-edited autologous HSC product candidate for increased erythroid HbF expression in patients with TDT. All five infused subjects had rapid hematopoietic reconstitution following myeloablative conditioning, on-target indels in PBMCs and elevated HbF levels following HSCGT. After 1 to 2 years, the average HbF levels had declined by 64% from peak to last visit, which necessitated resumption of PRBC transfusions at the same rate as prior to the ST-400 therapy. The data in the 5 patients infused indicate that the procedure was generally well tolerated and was associated with a significant albeit transient increase in HbF after reconstitution.&lt;/jats:p&gt;_x000a_               &lt;jats:p&gt;Figure 1 Figure 1.&lt;/jats:p&gt;_x000a_               &lt;jats:p /&gt;_x000a_               &lt;jats:sec&gt;_x000a_                  &lt;jats:title&gt;Disclosures&lt;/jats:title&gt;_x000a_                  &lt;jats:p&gt;Walters: Ensoma, Inc.: Consultancy; Vertex pharmaceuticals: Consultancy; AllCells, Inc: Consultancy; BioLabs, Inc: Consultancy. Smith: Astellas Gene Therapies: Current Employment. Schiller: ASH foundation: Other: Chair-unpaid; Pfizer: Current equity holder in publicly-traded company, Research Funding; Sanofi: Honoraria, Research Funding, Speakers Bureau; Ambit: Research Funding; Biomed Valley Discoveries: Research Funding; Kite/Gilead: Honoraria, Research Funding, Speakers Bureau; Kaiser Permanente: Consultancy; MedImmune: Research Funding; Mateon: Research Funding; Cyclacel: Research Funding; PrECOG: Research Funding; Novartis: Consultancy, Research Funding; Onconova: Research Funding; Eli Lilly: Research Funding; Samus: Research Funding; Takeda: Research Funding; Jazz: Consultancy, Honoraria, Research Funding, Speakers Bureau; Stemline Therapeutics, Inc.: Honoraria, Research Funding, Speakers Bureau; Pharma: Consultancy; Johnson &amp;amp; Johnson: Current equity holder in publicly-traded company; Sangamo: Research Funding; Sellas: Research Funding; Ono: Consultancy; Leukemia &amp;amp; Lymphoma Society: Research Funding; AstraZeneca: Consultancy; Ariad: Research Funding; Incyte: Consultancy; Regimmune: Research Funding; Ono-UK: Consultancy, Research Funding; Bio: Research Funding; Elevate: Research Funding; Amgen: Consultancy, Current equity holder in publicly-traded company, Honoraria, Research Funding, Speakers Bureau; Tolero: Research Funding; Agios: Consultancy, Research Funding, Speakers Bureau; Trovagene: Research Funding; Karyopharm: Research Funding; Incyte: Consultancy, Membership on an entity's Board of Directors or advisory committees, Research Funding, Speakers Bureau; Geron: Research Funding; Genentech-Roche: Research Funding; Gamida Cell Ltd.: Research Funding; FujiFilm: Research Funding; Forma: Research Funding; Delta-Fly: Research Funding; Deciphera: Research Funding; Daiichi-Sankyo: Research Funding; Constellation Pharmaceuticals: Research Funding; Celator: Research Funding; BMS/Celgene: Consultancy, Current equity holder in publicly-traded company, Research Funding, Speakers Bureau; Astellas: Honoraria, Research Funding, Speakers Bureau; Arog: Research Funding; Actuate: Research Funding; Actinium Pharmaceuticals, Inc: Research Funding; Abbvie: Research Funding; Bluebird Bio: Research Funding; Boehringer-Ingleheim: Research Funding; Cellerant: Research Funding; CTI Biopharma: Research Funding; Janssen: Research Funding; Kura Oncology: Research Funding; Pharmacyclics: Honoraria, Speakers Bureau; Millennium: Research Funding; National Marrow Donor Program: Research Funding; NIH: Research Funding; Onyx: Research Funding; Pharmamar: Research Funding; UC Davis: Research Funding; UCSD: Research Funding; Evidera: Consultancy; NCI: Consultancy; Novartis: Speakers Bureau. Esrick: bluebird bio: Consultancy. Williams: Beam Therapeutics: Membership on an entity's Board of Directors or advisory committees, Other: Scientific Advisory Board; Emerging Therapy Solutions: Membership on an entity's Board of Directors or advisory committees, Other: Chief Scientific Chair; Geneception: Membership on an entity's Board of Directors or advisory committees, Other: Scientific Advisory Board; BioMarin: Membership on an entity's Board of Directors or advisory committees, Other: Insertion Site Advisory Board; Alerion Biosciences: Other: Co-founder (now licensed to Avro Bio, potential for future milestones/royalties); Novartis: Membership on an entity's Board of Directors or advisory committees, Other: Steering Committee, Novartis ETB115E2201 (eltrombopag in aplastic anemia). Advisory fees donated to NAPAAC.; Orchard Therapeutics: Membership on an entity's Board of Directors or advisory committees, Other: Membership on a safety advisory board (SAB): SAB position ended 05/20/2021. Co-founder , Patents &amp;amp; Royalties: Potential for future royalty/milestone income, X-SCID. Provided GMP vector for clinical trial, Research Funding; bluebird bio: Membership on an entity's Board of Directors or advisory committees, Other: Insertion Site Analysis Advisory Board, Patents &amp;amp; Royalties: BCH licensed certain IP relevant to hemoglobinopathies to bluebird bio. The current license includes the potential for future royalty/milestone income. Bluebird has indicated they will not pursue this as a clinical program and BCH is negotiating return of, Research Funding. Gogoleva: Sangamo Therapeutics: Current Employment, Current equity holder in publicly-traded company. Rouy: Sangamo Therapeutics: Current holder of individual stocks in a privately-held company, Current holder of stock options in a privately-held company, Ended employment in the past 24 months. Cockroft: Sangamo Therapeutics: Current Employment, Current holder of individual stocks in a privately-held company, Current holder of stock options in a privately-held company. Vercellotti: Mitobridge, an Astellas Company: Consultancy, Research Funding; CSL Behring: Research Funding.&lt;/jats:p&gt;_x000a_               &lt;/jats:sec&gt;_x000a_               &lt;jats:sec&gt;_x000a_                  &lt;jats:title&gt;OffLabel Disclosure:&lt;/jats:title&gt;_x000a_                  &lt;jats:p&gt;busulfan: used for myeloablation prior to infusing the investigational autologous HSPC product (ST-400) plerixafor: used with G-CSF to enhance mobilization of autologous HSPC for collection via leukapheresis. Autologous HSPC then undergo ex vivo manufacturing to generate the investigational product (ST-400)&lt;/jats:p&gt;_x000a_               &lt;/jats:sec&gt;"/>
    <n v="10055"/>
    <s v="No"/>
    <s v="No"/>
    <s v="Yes"/>
    <s v="Yes"/>
    <s v="No"/>
    <s v="Yes"/>
    <s v="No"/>
    <s v="includes disclosures; includes figure"/>
    <m/>
    <x v="1"/>
  </r>
  <r>
    <s v="journal-article:None"/>
    <s v="10.5016/ridh.v9i2.93"/>
    <s v="&lt;jats:p&gt;Há uma sensação no ar de que vivemos tempos-limite. _x000a_ A educação liberal, mesmo a de alto padrão científico e tecnológico, não eliminou a exclusão e a barbárie social, pelo contrário, alimentou-a. A voracidade insaciável da economia-política neoliberal corroeu a própria democracia social e mantém-nos presos à ciência moderna baconiana que vê a natureza como fonte de exploração a qualquer custo. Daí, a amplificação dos problemas sociais estruturais – o racismo, o patriarcalismo a pobreza, a fome, a violência – vem apontando, tempos-limite com a crise global sanitária, climática e hídrica.  _x000a_ Nesse quadro, impossível não lembrar Eric Hobsbawm em Era dos Extremos: o breve século XX, 1914-1991, lançado em 1994. Lá, o historiador britânico não só sintetizou as catástrofes e crises daquele período, como já visualizava, no final do século, uma porta aberta para um futuro incerto. O futuro continua incerto; porém, hoje temos uma consciência maior das causas históricas dos grandes problemas socioambientais e indícios mais claros que, no tempo presente, vivemos uma crise paradigmática do modelo de civilização estruturado na modernidade ocidental do norte-global e hoje mundialmente hegemônico._x000a_ Aceitar a existência de crise paradigmática hoje é reconhecer a interdependência e a complexidade dos grandes problemas sociais, econômicos, políticos e culturais que ameaçam a humanidade. São de tal magnitude que não se pode resolvê-los separadamente e nem enfrentá-los com modelos culturais e tecnológicos da modernidade que criamos, pois são eles as causas desses grandes problemas._x000a_ Mas nem todos pensam assim. Para os ‘obrigatoriamente’ otimistas, encastelados no poder econômico, supera-se a crise da modernidade com mais modernidade. Ou seja, a modernidade pode resolver os problemas gerados por ela, com mais ciência, tecnologia e desenvolvimento econômico. É preciso apenas um ajuste de rumo civilizatório. Se não puder salvar todos, salvam-se os que tiverem mérito para isso, mas tenta-se evitar o caos do ‘salve-se-quem-puder’._x000a_ Há também os ‘profetas do passado’ que veem a solução da crise da civilização moderna, na negação da própria modernidade em nome de valores pré-modernos sejam epistemológicos, sejam morais. Eles tentam manter, a todo custo, seu status quo, defendendo estruturas sociais já ultrapassadas pela modernidade. Foi assim, por exemplo, a ação do Santo Ofício que, em pleno Renascimento, impunha a visão teocêntrica a ferro-e-fogo, para manter o poder medieval da Igreja, abalado pelos novos tempos._x000a_ A história não para e, muito menos, volta ao passado; mesmo que a curto e médio prazo isso pareça possível. O tempo de crise paradigmática em que vivemos é para ser respeitado e refletido profundamente. É tempo de grandes aprendizagens, pois as mudanças históricas de paradigmas civilizatórios são muito abrangentes do que as ‘revoluções’ que ocorrem dentro de um mesmo paradigma, como apontou Thomas Kuhn em A estrutura das revoluções científicas (1962). Assim foram as transformações científicas no interior da modernidade, com Newton, Darwin e Freud._x000a_ Enfim, nesses tempos-limite, há ainda aqueles ‘realisticamente esperançosos’. Para eles – que acreditamos e lutamos por um outro mundo possível – os desafios são enormes, pois nestes tempos perdem-se muitos referenciais. Não temos mais o GPS do curso da história como tinham Marx e Comte, no século XIX. O século XX abalou todas nossas belas certezas modernas. Sabemos hoje muito mais do que não podemos continuar valorizando, do que do perfil da sociedade que precisamos construir. _x000a_ A transição entre o paradigma medieval e o paradigma moderno demorou pelo menos trezentos anos. Todavia, talvez agora não tenhamos mais tanto o tempo como os modernos tiveram para construir um novo olhar sobre o universo, a natureza e a sociedade em nome de uma nova retórica de poder. Trata-se agora de sobrevivência urgente da humanidade. É isso que crise sanitária, climática e hídrica está gritando em nossos surdos ouvidos. _x000a_ Essa é a luz que brilha no final do túnel de transição paradigmática: a vida e vida digna para todos sem exceção. E mais, a crise do paradigma da modernidade também nos mostra que a vida humana é parte ínfima e profundamente dependente da vida planetária. E depois que ela tiver passado, nada terá acontecido, já disse Nietzsche lá no século XIX.  _x000a_ Viver em tempo de transição paradigmática, acreditando na luta por uma outra sociedade, exige colocar, como primeiro valor, o direito humano à vida e essa, em equilíbrio com a vida planetária. A partir dessa certeza pode-se reconfigurar os valores da educação em direitos humanos. Assim, educar as novas gerações, cuja responsabilidade é construir a ponte para uma nova sociedade, exige cultivar certos valores, hoje fundamentais._x000a_ Um deles é a postura diante daquilo que chamamos de ‘verdade’. Aceitar a verdade científica moderna não mais como absoluta, não é negá-la ou falseá-la, mas colocá-la em diálogo com outros saberes para ampliar percepção da diversidade e complexidade da realidade socioambiental. Educar hoje exige a humildade da escuta e do aprender juntos na vivência e na reflexão, em lugar do discurso prepotente de quem crê ter a verdade única e absoluta, seja ela científica, política, ou religiosa. Estar aberto às novas possibilidades e aos novos olhares e nossa atual condição humana._x000a_ Há outras exigências nesses tempos-limite como: – ressignificar os conceitos de desenvolvimento, de consumo do necessário e do bem viver para todos, que na modernidade visavam especialmente o lucro, o supérfluo e o individualismo; –  estimular a cidadania autônoma, ativa, crítica e coletiva; –  desenvolver a sensibilidade e a empatia para a convivência nas diferenças sem os padrões culturais cristalizados; e  – cultivar a indignação e a luta individual e coletiva contra as desigualdades sociais e todo tipo de opressão e autoritarismo._x000a_ Numa palavra, a moralidade humana tem como princípio ético a inclusão e não a seleção natural, que na modernidade ideologicamente chama-se de meritocracia. No novo paradigma a humanidade será para todos ou não será humanidade. _x000a_ _x000a_* * *_x000a_ _x000a_Trilhando esse caminho a Revista Interdisciplinar de Direitos Humanos apresenta nesta edição o dossiê Educação em direitos humanos: resistência e transformação. Na seção de ‘artigos diversos’, mantemos o foco editorial de ‘interdisciplinaridade’, trazendo contribuições para pensar os direitos humanos como tema transversal em diferentes áreas do conhecimento acadêmico. _x000a_ Filosofia. O texto de Ana Santana e Antônio Basílio traz “as reflexões político-filosóficas de Hannah Arendt, volvendo o olhar para a sua teia conceitual sobre a educação e os direitos humanos, a fim de detectar os fios constituintes, capazes de fundamentar os pilares universais”._x000a_Direito. No ensaio A escravidão contemporânea no Brasil e a perda da propriedade privada, Pedro Greco e Ricardo Resende debruçam-se “sobre uma discussão do papel da legislação na erradicação da escravidão contemporânea”. O estudo nos mostra o “efeito emancipatório dos direitos hu¬manos na luta antiescravista com o objetivo de melhor vislumbrarmos alguns dos motivos pelo qual pouco prospera a pauta que prevê a perda da pro¬priedade privada em casos de escravidão contemporânea no Brasil”._x000a_ Educação. André Luiz, em Educação em direitos humanos: uma pauta premente na docência e na gestão escolar, relata e analisa uma experiência de formação continuada de docentes e coordenadores pedagógicos, suscitando “novos saberes na prática educativa em direitos humanos”._x000a_ Educomunicação. Educação em direitos humanos e letramento digital e o artigo de Mara Juliane e Matheus. Nele os autores apresentam as ações e análise dos resultados de uma proposta pedagógica desenvolvida “com discentes das três turmas de primeiros anos do ensino técnico integrado ao ensino médio”._x000a_ Comunicação: Nesta área temos duas contribuições. Na primeira, as autoras Fabiana de Melo e Maria Dalvi retomam a polêmica ocorrida nas redes sociais, em 2017, “atinente ao recolhimento, pelo Ministério da Educação do Brasil, em 2017, do livro Enquanto o sono não vem”. No artigo Polêmicas nas redes sociais, censura literária e silenciamentos sobre abuso sexual: um debate sobre direitos das crianças, “[...] a análise centra-se na questão dos direitos da infância, à luz do tensiona¬mento sobre a responsabilidade do Estado e da educação pública”. _x000a_ Na segunda contribuição, João da Cruz apresenta um ensaio criativo e crítico para demonstrar, com detalhes, A pedagogia conservadora do cinema de animação. O filme Os Incríveis (Pixar, 2004) é o objeto do estudo._x000a_ Engenharia. Com A inserção dos direitos humanos nos cursos de engenharia, os autores Marcos Silvério, Gustavo dos Santos e Márcia de Oliveira fecham esta edição da RIDH, comentando, com dados quantitativos, uma experiência positiva de educação em direitos humanos pelas disciplinas ‘Tecnologia Social’ e ‘Eco¬nomia Solidária’ de um curso de Engenharia._x000a_ _x000a_Boa leitura!_x000a_ _x000a_Prof. Clodoaldo Meneguello Cardoso_x000a_Dezembro de 2021. &lt;/jats:p&gt;"/>
    <n v="9074"/>
    <s v="No"/>
    <s v="No"/>
    <s v="Yes"/>
    <s v="Yes"/>
    <s v="No"/>
    <s v="Yes"/>
    <s v="No"/>
    <s v="No problems"/>
    <m/>
    <x v="1"/>
  </r>
  <r>
    <s v="journal-article:None"/>
    <s v="10.1200/op.2024.20.10_suppl.130"/>
    <s v="&lt;jats:p&gt;_x000a_            &lt;jats:bold&gt;130&lt;/jats:bold&gt;_x000a_          &lt;/jats:p&gt;_x000a_          &lt;jats:p&gt;_x000a_            &lt;jats:bold&gt;Background:&lt;/jats:bold&gt;_x000a_            During 2020, the first year of the COVID-19 pandemic, cancer diagnoses decreased, especially early-stage disease, with largest decreases in medically underserved populations. It is unknown whether this pattern continued during 2021, the second year of the COVID-19 pandemic. With newly released cancer surveillance data, this study examined nationwide changes in adult cancer diagnoses and stage distribution from 2019 to 2021 in the US._x000a_            &lt;jats:bold&gt;Methods:&lt;/jats:bold&gt;_x000a_            Adults aged ≥18 years who were newly diagnosed with first primary malignant cancers between 2019 and 2021 from 50 US states and the District of Colombia were identified from the National Cancer Database. We calculated monthly cases, stage distribution, and adjusted odds ratios (aOR) of stage I vs. stage II–IV cancer and stage IV vs. stage I–III cancer diagnoses in 2021 compared with 2019, controlling for sociodemographic and clinical factors and stratified by cancer type._x000a_            &lt;jats:bold&gt;Results:&lt;/jats:bold&gt;_x000a_            We identified 864,430 individuals diagnosed in 2019, 780,478 diagnosed in 2020, and 819,791 diagnosed in 2021. The proportion of diagnoses at stage I decreased from 39.6% in 2019 to 31.1% in April 2020, and were 39.2% overall in 2021. The decrease in stage I diagnoses was mirrored by an increase in stage IV diagnoses. The pattern was most prominent for female breast, lung, colorectal, and prostate cancers, and melanoma. Overall, compared to 2019, we found a 5.98% decrease in stage I diagnoses and a 4.55% decrease in stage IV diagnoses in 2021 (Table). Lower odds of diagnosis at stage I were most prominent among individuals who were male, aged 18-44, Hispanic, from Mid-Atlantic region, and for the cancers of melanoma, non-Hodgkin lymphoma, prostate, esophagus, and cervical cancer. Higher odds of diagnosis at stage IV in 2021 vs. 2019 were most prominent among individuals who were Hispanic, diagnosed with cancers of prostate, thyroid, liver, esophagus and cervix._x000a_            &lt;jats:bold&gt;Conclusions:&lt;/jats:bold&gt;_x000a_            Decreases in cancer diagnoses and proportion of early-stage diagnoses continued in 2021 in the US. The proportion of late-stage diagnoses were lower in 2021 than 2020 but have not returned to pre-pandemic levels._x000a_            &lt;jats:table-wrap orientation=&quot;portrait&quot; position=&quot;anchor&quot;&gt;_x000a_              &lt;jats:caption content-type=&quot;mtgabstract-table-title&quot;&gt;_x000a_                &lt;jats:p&gt;Changes in stage I distribution among major cancer sites 2021 vs. 2019.&lt;/jats:p&gt;_x000a_              &lt;/jats:caption&gt;_x000a_              &lt;jats:table content-type=&quot;mtgabstract&quot;&gt;_x000a_                &lt;jats:thead content-type=&quot;mtgabstract&quot;&gt;_x000a_                  &lt;jats:tr&gt;_x000a_                    &lt;jats:th colspan=&quot;1&quot; content-type=&quot;border-bottom align-left&quot; rowspan=&quot;1&quot;/&gt;_x000a_                    &lt;jats:th colspan=&quot;1&quot; rowspan=&quot;1&quot;&gt;2019&lt;/jats:th&gt;_x000a_                    &lt;jats:th colspan=&quot;1&quot; rowspan=&quot;1&quot;&gt;2021&lt;/jats:th&gt;_x000a_                    &lt;jats:th colspan=&quot;2&quot; content-type=&quot;border-bottom&quot; rowspan=&quot;1&quot;&gt;2021 vs. 2019&lt;/jats:th&gt;_x000a_                  &lt;/jats:tr&gt;_x000a_                  &lt;jats:tr&gt;_x000a_                    &lt;jats:th colspan=&quot;1&quot; content-type=&quot;row-heading&quot; rowspan=&quot;1&quot;/&gt;_x000a_                    &lt;jats:th colspan=&quot;1&quot; rowspan=&quot;1&quot;&gt;_x000a_                      &lt;jats:bold&gt;Cases&lt;/jats:bold&gt;_x000a_                    &lt;/jats:th&gt;_x000a_                    &lt;jats:th colspan=&quot;1&quot; rowspan=&quot;1&quot;&gt;_x000a_                      &lt;jats:bold&gt;Cases&lt;/jats:bold&gt;_x000a_                    &lt;/jats:th&gt;_x000a_                    &lt;jats:th colspan=&quot;1&quot; rowspan=&quot;1&quot;&gt;_x000a_                      &lt;jats:bold&gt;Percent Change&lt;/jats:bold&gt;_x000a_                    &lt;/jats:th&gt;_x000a_                    &lt;jats:th colspan=&quot;1&quot; rowspan=&quot;1&quot;&gt;_x000a_                      &lt;jats:bold&gt;AdjustedOR* (95%CI)&lt;/jats:bold&gt;_x000a_                    &lt;/jats:th&gt;_x000a_                  &lt;/jats:tr&gt;_x000a_                &lt;/jats:thead&gt;_x000a_                &lt;jats:tbody&gt;_x000a_                  &lt;jats:tr&gt;_x000a_                    &lt;jats:td colspan=&quot;1&quot; content-type=&quot;row-heading&quot; rowspan=&quot;1&quot;&gt;All Cancers&lt;/jats:td&gt;_x000a_                    &lt;jats:td colspan=&quot;1&quot; rowspan=&quot;1&quot;&gt;341971&lt;/jats:td&gt;_x000a_                    &lt;jats:td colspan=&quot;1&quot; rowspan=&quot;1&quot;&gt;321514&lt;/jats:td&gt;_x000a_                    &lt;jats:td colspan=&quot;1&quot; rowspan=&quot;1&quot;&gt;-5.98%&lt;/jats:td&gt;_x000a_                    &lt;jats:td colspan=&quot;1&quot; rowspan=&quot;1&quot;&gt;0.978 (0.972-0.985)&lt;/jats:td&gt;_x000a_                  &lt;/jats:tr&gt;_x000a_                  &lt;jats:tr&gt;_x000a_                    &lt;jats:td colspan=&quot;1&quot; content-type=&quot;row-heading&quot; rowspan=&quot;1&quot;&gt;Female breast&lt;/jats:td&gt;_x000a_                    &lt;jats:td colspan=&quot;1&quot; rowspan=&quot;1&quot;&gt;116828&lt;/jats:td&gt;_x000a_                    &lt;jats:td colspan=&quot;1&quot; rowspan=&quot;1&quot;&gt;116780&lt;/jats:td&gt;_x000a_                    &lt;jats:td colspan=&quot;1&quot; rowspan=&quot;1&quot;&gt;-0.04%&lt;/jats:td&gt;_x000a_                    &lt;jats:td colspan=&quot;1&quot; rowspan=&quot;1&quot;&gt;1.023 (1.007-1.038)&lt;/jats:td&gt;_x000a_                  &lt;/jats:tr&gt;_x000a_                  &lt;jats:tr&gt;_x000a_                    &lt;jats:td colspan=&quot;1&quot; content-type=&quot;row-heading&quot; rowspan=&quot;1&quot;&gt;Prostate&lt;/jats:td&gt;_x000a_                    &lt;jats:td colspan=&quot;1&quot; rowspan=&quot;1&quot;&gt;26323&lt;/jats:td&gt;_x000a_                    &lt;jats:td colspan=&quot;1&quot; rowspan=&quot;1&quot;&gt;21012&lt;/jats:td&gt;_x000a_                    &lt;jats:td colspan=&quot;1&quot; rowspan=&quot;1&quot;&gt;-20.18%&lt;/jats:td&gt;_x000a_                    &lt;jats:td colspan=&quot;1&quot; rowspan=&quot;1&quot;&gt;0.826 (0.809-0.843)&lt;/jats:td&gt;_x000a_                  &lt;/jats:tr&gt;_x000a_                  &lt;jats:tr&gt;_x000a_                    &lt;jats:td colspan=&quot;1&quot; content-type=&quot;row-heading&quot; rowspan=&quot;1&quot;&gt;Lung cancer and bronchus&lt;/jats:td&gt;_x000a_                    &lt;jats:td colspan=&quot;1&quot; rowspan=&quot;1&quot;&gt;28258&lt;/jats:td&gt;_x000a_                    &lt;jats:td colspan=&quot;1&quot; rowspan=&quot;1&quot;&gt;25966&lt;/jats:td&gt;_x000a_                    &lt;jats:td colspan=&quot;1&quot; rowspan=&quot;1&quot;&gt;-8.11%&lt;/jats:td&gt;_x000a_                    &lt;jats:td colspan=&quot;1&quot; rowspan=&quot;1&quot;&gt;1.033 (1.012-1.053)&lt;/jats:td&gt;_x000a_                  &lt;/jats:tr&gt;_x000a_                  &lt;jats:tr&gt;_x000a_                    &lt;jats:td colspan=&quot;1&quot; content-type=&quot;row-heading&quot; rowspan=&quot;1&quot;&gt;Colon and rectum&lt;/jats:td&gt;_x000a_                    &lt;jats:td colspan=&quot;1&quot; rowspan=&quot;1&quot;&gt;14258&lt;/jats:td&gt;_x000a_                    &lt;jats:td colspan=&quot;1&quot; rowspan=&quot;1&quot;&gt;12992&lt;/jats:td&gt;_x000a_                    &lt;jats:td colspan=&quot;1&quot; rowspan=&quot;1&quot;&gt;-8.88%&lt;/jats:td&gt;_x000a_                    &lt;jats:td colspan=&quot;1&quot; rowspan=&quot;1&quot;&gt;0.942 (0.918-0.968)&lt;/jats:td&gt;_x000a_                  &lt;/jats:tr&gt;_x000a_                  &lt;jats:tr&gt;_x000a_                    &lt;jats:td colspan=&quot;1&quot; content-type=&quot;row-heading&quot; rowspan=&quot;1&quot;&gt;Melanoma&lt;/jats:td&gt;_x000a_                    &lt;jats:td colspan=&quot;1&quot; rowspan=&quot;1&quot;&gt;21005&lt;/jats:td&gt;_x000a_                    &lt;jats:td colspan=&quot;1&quot; rowspan=&quot;1&quot;&gt;19542&lt;/jats:td&gt;_x000a_                    &lt;jats:td colspan=&quot;1&quot; rowspan=&quot;1&quot;&gt;-6.97%&lt;/jats:td&gt;_x000a_                    &lt;jats:td colspan=&quot;1&quot; rowspan=&quot;1&quot;&gt;0.936 (0.907-0.966)&lt;/jats:td&gt;_x000a_                  &lt;/jats:tr&gt;_x000a_                &lt;/jats:tbody&gt;_x000a_              &lt;/jats:table&gt;_x000a_              &lt;jats:table-wrap-foot&gt;_x000a_                &lt;jats:fn&gt;_x000a_                  &lt;jats:p content-type=&quot;mtgabstract-table-fn&quot;&gt;Data source: National Cancer Database 2019-2021.&lt;/jats:p&gt;_x000a_                &lt;/jats:fn&gt;_x000a_                &lt;jats:fn&gt;_x000a_                  &lt;jats:p content-type=&quot;mtgabstract-table-fn&quot;&gt;*Stage I vs. II-IV, models adjusted for age group, sex, race/ethnicity, zip-code level social deprivation index, comorbidity score, state-level COVID-19 age adjusted mortality rate, MSA, state, insurance status.&lt;/jats:p&gt;_x000a_                &lt;/jats:fn&gt;_x000a_              &lt;/jats:table-wrap-foot&gt;_x000a_            &lt;/jats:table-wrap&gt;_x000a_          &lt;/jats:p&gt;"/>
    <n v="7376"/>
    <s v="No"/>
    <s v="No"/>
    <s v="Yes"/>
    <s v="Yes"/>
    <s v="No"/>
    <s v="Yes"/>
    <s v="No"/>
    <s v="includes table"/>
    <s v="table is wrapped in jats tags"/>
    <x v="1"/>
  </r>
  <r>
    <s v="journal-article:None"/>
    <s v="10.23951/1609-624x-2022-5-7-17"/>
    <s v="&lt;jats:p&gt;Введение. Разница между вузовским образованием и школьным, заключающаяся в ином содержании и условиях организации учебно-воспитательного процесса, в возникновении новых социальных отношений, зачастую становится причиной того, что студент-первокурсник не готов к новым условиям обучения в вузе. Наряду с психофизиологической адаптацией, исследователи выделяют академическую (учебную) адаптацию студентов, которая может стать причиной низкой успеваемости по различным дисциплинам вуза. При этом отметим, что первоначальная (базовая) подготовка студентов практически не принимается во внимание в начале обучения в вузе: вузовская программа не рассчитана на очень слабых студентов. Как следствие, студенты первого курса приспосабливаются к особенностям учебной деятельности (к новому содержанию, методам и средствам), но обучающиеся также влияют на образовательную среду вуза: преподавателю приходится искать новые методические подходы и более совершенные методы обучения. Как следствие, в вузах возникло адаптационное обучение, которое призвано ликвидировать главную причину слабой успеваемости студентов из-за низкой первоначальной подготовки абитуриента. Успешная интеграция в базовую программу обучения и успешное овладение учебной программой вузовской дисциплины в дальнейшем – главный критерий эффективности адаптационного обучения.Цель – выявить и описать природу феномена «адаптационное обучение», устранить двусмысленность в обосновании данного термина, представить его надлежащее научно обоснованное определение.Материал и методы. Применены общенаучные когнитивные инструменты: метод контент-анализа определений, существующих в педагогической и методологической литературе; анализ и сравнение, классификация, формально-логический метод определения понятия.Результаты и обсуждение. Представлено краткое описание развития дидактического подхода к понятию «адаптация». Сделан анализ имеющихся в научной литературе определений адаптационного обучения (адаптационная подготовка, адаптационный практикум, адаптационный курс, адаптационная работа) и понятий смежных, но не тождественных с ним (корректирующее обучение, корректировочный курс, курс выравнивания). Определения классифицированы в сводной таблице. Проведен краткий анализ значимых определений и выделены сущностные характеристики, признаки изучаемого понятия: «успешное освоение учебной программы», «достаточный уровень знаний», «восстановление», «дополнение», «совершенствование знаний и умений». Анализ смежных понятий позволил определить значимость «первоначальной подготовки» и «краткосрочности» исследуемого вида обучения. Проведенный контент-анализ выявил, с одной стороны, разнообразие подходов исследователей к вопросам адаптационной подготовки в вузе, а с другой – подчеркивает неопределенность и несогласованность в исследованиях, посвященных выявлению сущности феномена. Большое количество предлагаемых определений понятия говорит о недостаточной разработанности методологического поля. В связи с этим выявлена потребность в определении, которое будет адекватно отражать сущностные характеристики адаптационного обучения. Сконструированное в результате формально-логического определения выглядит следующим образом: адаптационное обучение – это подготовка специалистов, имеющих первоначально разный уровень сформированности компетенций (от нулевого до низкого) с целью достижения в определенный период времени требуемого базового уровня (минимально необходимого) для дальнейшего обучения.Заключение. Результаты исследования вносят вклад в развитие феномена «адаптационное обучение», в частности в решение проблемы вариативности в номинации данной педагогической области. Выявление дифференцирующих признаков сделало возможным отделить понятие «адаптационное обучение» от сходных в научно-педагогической и методической литературе понятий. Сконструированное определение «адаптационного обучения» может стать основой для определения содержания и разработки программ адаптационных курсов по разным дисциплинам, изучаемых в вузе.&lt;/jats:p&gt;_x000a_                                                                                            &lt;jats:p&gt;Introduction. The difference between higher education and school education, which consists in a different content and conditions of the organization of the educational process, in the emergence of new social relations, often becomes the reason that the first-year student is not ready for the new conditions of study at the university. Along with psychological and physiological adaptation, researchers single out the academic (educational) adaptation of students, which can cause poor academic performance in various university disciplines. At the same time, we note that the initial (basic) training of students is practically not taken into account at the beginning of their studies at the university: the university program is not designed for very weak students. As a result, first-year students “adapt” to the peculiarities of educational activities (to new content, methods and means), but students also influence the educational environment of the university: the teacher has to look for new methodological approaches and more advanced teaching methods. As a result, adaptive training has emerged in universities, which is designed to eliminate the main reason for the poor academic performance of students due to the low initial preparation of the applicant. Successful integration into the core curriculum and successful mastery of the curriculum of the university discipline in the future is the main criterion for the effectiveness of adaptive learning.The purpose of the article is to identify and describe the nature of the phenomenon of “adaptation learning”, to eliminate ambiguity of this term, and to present its proper scientifically grounded definition.The materials and methods of the study are the method of content analysis of definitions, analysis and comparison, classification, formal-logical method of concept definition.Results and discussion. A brief description of the development of the didactic approach to the concept of “adaptation” is presented. An analysis of the definitions of adaptation education available in the literature (adaptation training, adaptation workshop, adaptation course, adaptation work) and concepts related, but not identical to it (corrective training, corrective course, alignment course) are made. The conducted content analysis revealed the diversity of researchers’ approaches to the issue and emphasizes the uncertainty and inconsistency. In this regard, the need for a definition that will adequately reflect the essential characteristics of the issue has been identified. The result of formal-logical definition: adaptation learning is the training of specialists having initially different level of competence formation (from zero to low), in order to achieve in a certain period of time the required basic level (minimum necessary) for further training.Thus, basically, it can be concluded that the study contributes to the development of the phenomenon. The identification of differentiating features made it possible to separate the concept of “adaptation learning” from similar concepts. The constructed definition can become the basis for determining the content and developing programs of adaptation courses in different disciplines studied in universities.&lt;/jats:p&gt;"/>
    <n v="7351"/>
    <s v="No"/>
    <s v="No"/>
    <s v="Yes"/>
    <s v="Yes"/>
    <s v="No"/>
    <s v="Yes"/>
    <s v="No"/>
    <s v="includes multiple languages"/>
    <s v="includes both &quot;ru&quot; and &quot;en&quot; versions;  &quot;ru&quot; assigned to journal level but missing in abstract"/>
    <x v="2"/>
  </r>
  <r>
    <s v="journal-article:None"/>
    <s v="10.3897/rio.8.e94931"/>
    <s v="&lt;jats:p&gt;Data's role in a variety of technical and research areas is undeniably growing. This can be seen, for example, in the increased investments in the development of data-intensive analytical methods such as artificial intelligence (Zhang 2022), as well as in the rising rate of data generation which is expected to continue into the near future (Rydning and Shirer 2021). Academic research is one of the areas, where data is the lifeblood of generating hypotheses, creating new knowledge, and reporting results. Unlike proprietary industry data, academic research data is often subjected to stricter requirements regarding transparency, and accessibility. This is in part due to the public funding which many research institutions receive. One way to fulfil these requirements is by observing the FAIR (Findability, Accessibility, Interoperability, Reusability) principles for scientific data (Wilkinson et al. 2016). These introduce a variety of benefits, such as increased research reproducibility, a more transparent use of public funding, and environmental sustainability. A way of implementing the FAIR principles in practice is with the help of FAIR Digital Objects (FDOs) (European Commission: Directorate-General for Research and Innovation 2018). A FDO consists of data, an accompanying Persistent Identifier (PID), and rich metadata which describes the context of the data. Additionally, the data format contained in an FDO should be widely used, and ideally open. Our presentation is focused on the third of FDO's components mentioned previously – metadata. It outlines the concept for a framework which enables the collaborative definition of metadata fields which can be used to annotate FDO-encapsulated data for a given domain of research.&lt;/jats:p&gt;_x000a_          &lt;jats:p&gt;The first component of the presented framework is a controlled vocabulary of the domain related to the data which needs to be annotated. A controlled vocabulary is a collective that denotes a controlled list of &lt;jats:italic&gt;terms&lt;/jats:italic&gt;, their &lt;jats:italic&gt;definitions&lt;/jats:italic&gt;, and the &lt;jats:italic&gt;relations&lt;/jats:italic&gt; between them. In the framework presented in this contribution, the &lt;jats:italic&gt;terms&lt;/jats:italic&gt; correspond to the metadata fields used in the data annotation process. Formally, the type of controlled vocabularies used in the framework is a thesaurus (National Information Standards Organization 2010). Thesauri consist not only of the elements mentioned previously, but also allow for the inclusion of synonyms for every defined term. This eliminates the ambiguity which can occur when using terms with similar definitions. Additionally, thesauri specify simple hierarchical relations between the terms in the vocabulary, which can provide an explicit structure to the set of defined metadata fields. The most important feature of our framework, however, is that the controlled vocabularies can be developed in a collaborative fashion by the domain experts of a given research field. Specifically, people are able to propose term definitions and edits, as well as cast votes on the appropriateness of terms which have already been proposed.&lt;/jats:p&gt;_x000a_          &lt;jats:p&gt;Despite their advantages, one limit of thesauri is their lacking capability of relating metadata fields to each other in a more semantically rich fashion. This motivated the use of the second component of the framework, namely ontologies. An ontology can be defined as “a specification of a conceptualization” (Gruber 1995). More precisely, it is a data structure which represents entities in a given domain, as well as various relations between them. After a set of metadata fields has been defined within a controlled vocabulary, that vocabulary can be transformed into an ontology which contains additional relations between the fields. These can extend beyond the hierarchical structure of a thesaurus and can contain domain-specific information about the metadata fields. For example, one such relation can denote the data type of the value which a given field must take. Furthermore, ontologies can be used to link not only metadata, but also data, as well as individual FDOs themselves. This can contribute to the Reusability aspect of FAIR Data Objects.  For example, an FDO generated by a research group in a given domain can be linked to an existing domain ontology. Afterwards, the FDO can be reused more easily by researchers from the same scientific field, because the ontology will have already specified the FDO's relation to the subject area. Additionally, cross-domain ontologies can be combined with each other which can increase the reusability of FDOs beyond their domain boundaries.&lt;/jats:p&gt;_x000a_          &lt;jats:p&gt;The components described above are being implemented in the form of multiple software tools related to the framework. The first one, a controlled vocabulary editor written as a Python-based web application called VocPopuli, is the entry point for domain experts who want to develop a metadata vocabulary for their field of research or lab. The software, whose first version is already being tested internally, enables the collaborative definition, and editing of metadata terms. Additionally, it annotates each term, as well as the entire vocabulary, with the help of the PROV Data Model (PROV-DM) (Moreau and Missier 2013) - a schema used to describe the provenance of a given object. Finally, it assigns a PID to each term in the vocabulary, as well as the vocabulary itself. It is worth noting that the generated vocabularies themselves can be seen through the prism of FDOs: they contain data (the defined terms) which is annotated with metadata (e.g., the terms' authors) and provided with a PID.&lt;/jats:p&gt;_x000a_          &lt;jats:p&gt;The second software solution will facilitate the transformation of the vocabularies developed with the help of VocPopuli into ontologies. It will handle two distinct use cases – the from-scratch conversion of vocabularies into ontologies, and the augmentation of existing ontologies with the terms from a given thesaurus. As is the case with VocPopuli, the second tool is being developed in the Python programming language. The software solutions will be finally tested by two semi-overlapping groups of users from materials science. On the one hand, domain experts will input, edit, and discuss vocabulary terms in their area of interest, and thus create vocabularies. On the other hand, vocabulary and ontology administrators will oversee the vocabulary creation, and ontology transformation processes in a semi-automatic fashion.&lt;/jats:p&gt;_x000a_          &lt;jats:p&gt;After development is complete, the tools will be used in the creation of controlled vocabularies for various experimental procedures, as well as their transformation and/or integration into semantically richer ontologies. This will augment our already published work in the area (Garabedian et al. 2022) and will thereby test the integration of the new framework with already existing resources. The new vocabularies will describe processes in multiple domains, such as materials science, tribology, and metalworking. Afterwards, the developed thesauri will be used in the creation of metadata templates which can be used to annotate experimental data generated in the procedures mentioned above.&lt;/jats:p&gt;"/>
    <n v="7320"/>
    <s v="No"/>
    <s v="No"/>
    <s v="Yes"/>
    <s v="Yes"/>
    <s v="No"/>
    <s v="Yes"/>
    <s v="No"/>
    <s v="No problems"/>
    <m/>
    <x v="3"/>
  </r>
  <r>
    <s v="journal-article:None"/>
    <s v="10.1097/corr.0000000000002578"/>
    <s v="&lt;jats:title&gt;Abstract&lt;/jats:title&gt;_x000a_          &lt;jats:sec&gt;_x000a_            &lt;jats:title&gt;Background&lt;/jats:title&gt;_x000a_            &lt;jats:p&gt;Ensuring the patency of repaired vessels is pivotal in improving the success rate of digit replantation. There is no consensus on how to best approach postoperative treatment for digit replantation. The influence of postoperative treatment on the risk of failure of revascularization or replantation remains unclear.&lt;/jats:p&gt;_x000a_          &lt;/jats:sec&gt;_x000a_          &lt;jats:sec&gt;_x000a_            &lt;jats:title&gt;Questions/purposes&lt;/jats:title&gt;_x000a_            &lt;jats:p&gt;(1) Is there an increased risk of postoperative infection with early discontinuation of antibiotic prophylaxis? (2) How are anxiety and depression affected by a treatment protocol consisting of prolonged antibiotic prophylaxis and administration of antithrombotic and antispasmodic drugs and by the failure of a revascularization or replantation procedure? (3) Are there differences in the risk of revascularization or replantation failure based on the number of anastomosed arteries and veins? (4) What factors are associated with failure of revascularization or replantation?&lt;/jats:p&gt;_x000a_          &lt;/jats:sec&gt;_x000a_          &lt;jats:sec&gt;_x000a_            &lt;jats:title&gt;Methods&lt;/jats:title&gt;_x000a_            &lt;jats:p&gt;This retrospective study was conducted between July 1, 2018, and March 31, 2022. Initially, 1045 patients were identified. One hundred two patients chose revision of amputation. In all, 556 were excluded because of contraindications. We included all patients in whom the anatomic structures of the amputated part of the digit were well preserved, and those with an ischemia time for the amputated part that did not exceed 6 hours. Patients in good health without any other serious associated injuries or systemic diseases and those without a history of smoking were eligible for inclusion. The patients underwent procedures that were performed or supervised by one of four study surgeons. Patients were treated with antibiotic prophylaxis (1 week); patients treated with antithrombotic and antispasmodic drugs were categorized into the prolonged antibiotic prophylaxis group. The remaining patients treated with antibiotic prophylaxis for less than 48 hours and no antithrombotic and no antispasmodic drugs were categorized into the nonprolonged antibiotic prophylaxis group. Postoperative follow-up was for a minimum of 1 month. Based on the inclusion criteria, 387 participants with 465 digits were selected for an analysis of postoperative infection. Twenty-five participants with a postoperative infection (six digits) and other complications (19 digits) were excluded from the next stage of the study, in which we assessed factors associated with the risk of failure of revascularization or replantation. A total of 362 participants with 440 digits were examined, including the postoperative survival rate, variation in Hospital Anxiety and Depression Scale scores, the association between the survival rate and Hospital Anxiety and Depression Scale scores, and the survival rate based on the number of anastomosed vessels. Postoperative infection was defined as swelling, erythema, pain, purulent discharge, or a positive bacterial culture result. Patients were followed for 1 month. The differences in anxiety and depression scores between the two treatment groups and the differences in anxiety and depression scores based on failure of revascularization or replantation were determined. The difference in the risk of revascularization or replantation failure based on the number of anastomosed arteries and veins was assessed. Except for statistically significant variables (injury type and procedure), we thought that the number of arteries, number of veins, Tamai level, treatment protocol, and surgeons would be important. A multivariable logistic regression analysis was used to perform an adjusted analysis of risk factors such as postoperative protocol, injury type, procedure, number of arteries, number of veins, Tamai level, and surgeon.&lt;/jats:p&gt;_x000a_          &lt;/jats:sec&gt;_x000a_          &lt;jats:sec&gt;_x000a_            &lt;jats:title&gt;Results&lt;/jats:title&gt;_x000a_            &lt;jats:p&gt;Postoperative infection did not appear to increase without prolonged use of antibiotic prophylaxis beyond 48 hours (1% [3 of 327] versus 2% [3 of 138]; OR 2.4 [95% confidence interval (CI) 0.5 to 12.0]; p = 0.37). Intervention with antithrombotic and antispasmodic therapy increased the Hospital Anxiety and Depression Scale scores for anxiety (11.2 ± 3.0 versus 6.7 ± 2.9, mean difference 4.5 [95% CI 4.0 to 5.2]; p &amp;lt; 0.01) and depression (7.9 ± 3.2 versus 5.2 ± 2.7, mean difference 2.7 [95% CI 2.1 to 3.4]; p &amp;lt; 0.01). In the analysis based on the failure of revascularization or replantation, the Hospital Anxiety and Depression Scale scores for anxiety (11.4 ± 4.4 versus 9.7 ± 3.5, mean difference 1.7 [95% CI 0.6 to 2.8]; p &amp;lt; 0.01) and depression (8.5 ± 4.6 versus 7.0 ± 3.1, mean difference 1.5 [95% CI 0.5 to 2.5]; p &amp;lt; 0.01) were higher in the failed revascularization or replantation group than in the successful revascularization or replantation group. There was no increase in the artery-related risk of failure (one versus two anastomosed arteries: 91% versus 89%, OR 1.3 [95% CI 0.6 to 2.6]; p = 0.53). For patients with anastomosed veins, a similar outcome was observed for the two vein–related risk of failure (two versus one anastomosed vein: 90% versus 89%, OR 1.0 [95% CI 0.2 to 3.8]; p = 0.95) and three vein–related risk of failure (three versus one vein anastomosed: 96% versus 89%, OR 0.4 [95% CI 0.1 to 2.4]; p = 0.29). Factors associated with failure of revascularization or replantation included the mechanism of injury (crush: OR 4.2 [95% CI 1.6 to 11.2]; p &amp;lt; 0.01, avulsion: OR 10.2 [95% CI 3.4 to 30.7]; p &amp;lt; 0.01). Revascularization had a lower risk of failure than replantation (OR 0.4 [95% CI 0.2 to 1.0]; p = 0.04). Treatment with a protocol of prolonged antibiotics, antithrombotics, and antispasmodics was not associated with a lower risk of failure (OR 1.2 [95% CI 0.6 to 2.3]; p = 0.63).&lt;/jats:p&gt;_x000a_          &lt;/jats:sec&gt;_x000a_          &lt;jats:sec&gt;_x000a_            &lt;jats:title&gt;Conclusion&lt;/jats:title&gt;_x000a_            &lt;jats:p&gt;With proper wound debridement and patency of repaired vessels, prolonged use of antibiotic prophylaxis and regular antithrombotic and antispasmodic treatment may not be necessary for successful digit replantation. However, it may be associated with higher Hospital Anxiety and Depression Scale scores. Postoperative mental status is associated with digit survival. Well-repaired vessels, instead of the number of anastomosed vessels, could be critical to survival and decrease the influence of risk factors. Further research on consensus guidelines that compare postoperative treatment and the surgeon’s level of expertise after digit replantation should be conducted at multiple institutions.&lt;/jats:p&gt;_x000a_          &lt;/jats:sec&gt;_x000a_          &lt;jats:sec&gt;_x000a_            &lt;jats:title&gt;Level of Evidence&lt;/jats:title&gt;_x000a_            &lt;jats:p&gt;Level III, therapeutic study&lt;/jats:p&gt;_x000a_          &lt;/jats:sec&gt;"/>
    <n v="7077"/>
    <s v="No"/>
    <s v="No"/>
    <s v="Yes"/>
    <s v="Yes"/>
    <s v="No"/>
    <s v="Yes"/>
    <s v="No"/>
    <s v="No problems"/>
    <s v="lovely structured abstract"/>
    <x v="3"/>
  </r>
  <r>
    <s v="journal-article:None"/>
    <s v="10.1017/jfm.2022.818"/>
    <s v="&lt;jats:p&gt;Shallow mixing layers (SMLs) behind a splitter plate were studied in a tilted rectangular open-channel flume for a range of flow depths and the initial shear parameter &lt;jats:inline-formula&gt;_x000a__x0009_      &lt;jats:alternatives&gt;_x000a__x0009__x0009_&lt;jats:inline-graphic xmlns:xlink=&quot;http://www.w3.org/1999/xlink&quot; mime-subtype=&quot;png&quot; xlink:href=&quot;S0022112022008187_inline1.png&quot; /&gt;_x000a__x0009__x0009_&lt;jats:tex-math&gt;${\lambda = (U_{2}-U_{1})/(U_{2}+U_{1})}$&lt;/jats:tex-math&gt;_x000a__x0009_      &lt;/jats:alternatives&gt;_x000a__x0009_    &lt;/jats:inline-formula&gt;, where &lt;jats:inline-formula&gt;_x000a__x0009_      &lt;jats:alternatives&gt;_x000a__x0009__x0009_&lt;jats:inline-graphic xmlns:xlink=&quot;http://www.w3.org/1999/xlink&quot; mime-subtype=&quot;png&quot; xlink:href=&quot;S0022112022008187_inline2.png&quot; /&gt;_x000a__x0009__x0009_&lt;jats:tex-math&gt;$U_1$&lt;/jats:tex-math&gt;_x000a__x0009_      &lt;/jats:alternatives&gt;_x000a__x0009_    &lt;/jats:inline-formula&gt; and &lt;jats:inline-formula&gt;_x000a__x0009_      &lt;jats:alternatives&gt;_x000a__x0009__x0009_&lt;jats:inline-graphic xmlns:xlink=&quot;http://www.w3.org/1999/xlink&quot; mime-subtype=&quot;png&quot; xlink:href=&quot;S0022112022008187_inline3.png&quot; /&gt;_x000a__x0009__x0009_&lt;jats:tex-math&gt;$U_2$&lt;/jats:tex-math&gt;_x000a__x0009_      &lt;/jats:alternatives&gt;_x000a__x0009_    &lt;/jats:inline-formula&gt; are streamwise velocities of the slow and fast streams, respectively. The main focus of the study is on (i) key parameters controlling the time-averaged SMLs; and (ii) the emergence and spatial development of Kelvin–Helmholtz coherent structures (KHCSs) and large- and very-large-scale motions (LSMs and VLSMs) and associated turbulence statistics. The time-averaged flow features of the SMLs are mostly controlled by bed-friction length scale &lt;jats:inline-formula&gt;_x000a__x0009_      &lt;jats:alternatives&gt;_x000a__x0009__x0009_&lt;jats:inline-graphic xmlns:xlink=&quot;http://www.w3.org/1999/xlink&quot; mime-subtype=&quot;png&quot; xlink:href=&quot;S0022112022008187_inline4.png&quot; /&gt;_x000a__x0009__x0009_&lt;jats:tex-math&gt;$h/c_f$&lt;/jats:tex-math&gt;_x000a__x0009_      &lt;/jats:alternatives&gt;_x000a__x0009_    &lt;/jats:inline-formula&gt; and shear parameter &lt;jats:inline-formula&gt;_x000a__x0009_      &lt;jats:alternatives&gt;_x000a__x0009__x0009_&lt;jats:inline-graphic xmlns:xlink=&quot;http://www.w3.org/1999/xlink&quot; mime-subtype=&quot;png&quot; xlink:href=&quot;S0022112022008187_inline5.png&quot; /&gt;_x000a__x0009__x0009_&lt;jats:tex-math&gt;$\lambda$&lt;/jats:tex-math&gt;_x000a__x0009_      &lt;/jats:alternatives&gt;_x000a__x0009_    &lt;/jats:inline-formula&gt; as well as by time-averaged spanwise velocities &lt;jats:inline-formula&gt;_x000a__x0009_      &lt;jats:alternatives&gt;_x000a__x0009__x0009_&lt;jats:inline-graphic xmlns:xlink=&quot;http://www.w3.org/1999/xlink&quot; mime-subtype=&quot;png&quot; xlink:href=&quot;S0022112022008187_inline6.png&quot; /&gt;_x000a__x0009__x0009_&lt;jats:tex-math&gt;$V$&lt;/jats:tex-math&gt;_x000a__x0009_      &lt;/jats:alternatives&gt;_x000a__x0009_    &lt;/jats:inline-formula&gt; and momentum fluxes &lt;jats:inline-formula&gt;_x000a__x0009_      &lt;jats:alternatives&gt;_x000a__x0009__x0009_&lt;jats:inline-graphic xmlns:xlink=&quot;http://www.w3.org/1999/xlink&quot; mime-subtype=&quot;png&quot; xlink:href=&quot;S0022112022008187_inline7.png&quot; /&gt;_x000a__x0009__x0009_&lt;jats:tex-math&gt;$UV$&lt;/jats:tex-math&gt;_x000a__x0009_      &lt;/jats:alternatives&gt;_x000a__x0009_    &lt;/jats:inline-formula&gt;, where &lt;jats:inline-formula&gt;_x000a__x0009_      &lt;jats:alternatives&gt;_x000a__x0009__x0009_&lt;jats:inline-graphic xmlns:xlink=&quot;http://www.w3.org/1999/xlink&quot; mime-subtype=&quot;png&quot; xlink:href=&quot;S0022112022008187_inline8.png&quot; /&gt;_x000a__x0009__x0009_&lt;jats:tex-math&gt;$h$&lt;/jats:tex-math&gt;_x000a__x0009_      &lt;/jats:alternatives&gt;_x000a__x0009_    &lt;/jats:inline-formula&gt; and &lt;jats:inline-formula&gt;_x000a__x0009_      &lt;jats:alternatives&gt;_x000a__x0009__x0009_&lt;jats:inline-graphic xmlns:xlink=&quot;http://www.w3.org/1999/xlink&quot; mime-subtype=&quot;png&quot; xlink:href=&quot;S0022112022008187_inline9.png&quot; /&gt;_x000a__x0009__x0009_&lt;jats:tex-math&gt;$c_f$&lt;/jats:tex-math&gt;_x000a__x0009_      &lt;/jats:alternatives&gt;_x000a__x0009_    &lt;/jats:inline-formula&gt; are flow depth and bed-friction coefficient, respectively. For all studied cases, the effect of shear layer turbulence on the SML growth is comparatively weak, as the fluxes &lt;jats:inline-formula&gt;_x000a__x0009_      &lt;jats:alternatives&gt;_x000a__x0009__x0009_&lt;jats:inline-graphic xmlns:xlink=&quot;http://www.w3.org/1999/xlink&quot; mime-subtype=&quot;png&quot; xlink:href=&quot;S0022112022008187_inline10.png&quot; /&gt;_x000a__x0009__x0009_&lt;jats:tex-math&gt;$UV$&lt;/jats:tex-math&gt;_x000a__x0009_      &lt;/jats:alternatives&gt;_x000a__x0009_    &lt;/jats:inline-formula&gt; dominate over the spanwise turbulent fluxes. Initially, the emergence of KHCSs and their length scales largely depend on &lt;jats:inline-formula&gt;_x000a__x0009_      &lt;jats:alternatives&gt;_x000a__x0009__x0009_&lt;jats:inline-graphic xmlns:xlink=&quot;http://www.w3.org/1999/xlink&quot; mime-subtype=&quot;png&quot; xlink:href=&quot;S0022112022008187_inline11.png&quot; /&gt;_x000a__x0009__x0009_&lt;jats:tex-math&gt;$\lambda$&lt;/jats:tex-math&gt;_x000a__x0009_      &lt;/jats:alternatives&gt;_x000a__x0009_    &lt;/jats:inline-formula&gt;. The KHCSs cannot form if &lt;jats:inline-formula&gt;_x000a__x0009_      &lt;jats:alternatives&gt;_x000a__x0009__x0009_&lt;jats:inline-graphic xmlns:xlink=&quot;http://www.w3.org/1999/xlink&quot; mime-subtype=&quot;png&quot; xlink:href=&quot;S0022112022008187_inline12.png&quot; /&gt;_x000a__x0009__x0009_&lt;jats:tex-math&gt;${\lambda \lessapprox 0.3}$&lt;/jats:tex-math&gt;_x000a__x0009_      &lt;/jats:alternatives&gt;_x000a__x0009_    &lt;/jats:inline-formula&gt; and the turbulence behind the splitter plate resembles that of free mixing layers. Further downstream, shear layer turbulence becomes dependent on the bed-friction number &lt;jats:inline-formula&gt;_x000a__x0009_      &lt;jats:alternatives&gt;_x000a__x0009__x0009_&lt;jats:inline-graphic xmlns:xlink=&quot;http://www.w3.org/1999/xlink&quot; mime-subtype=&quot;png&quot; xlink:href=&quot;S0022112022008187_inline13.png&quot; /&gt;_x000a__x0009__x0009_&lt;jats:tex-math&gt;$S = c_f \delta _v /(4 h \lambda )$&lt;/jats:tex-math&gt;_x000a__x0009_      &lt;/jats:alternatives&gt;_x000a__x0009_    &lt;/jats:inline-formula&gt;, where &lt;jats:inline-formula&gt;_x000a__x0009_      &lt;jats:alternatives&gt;_x000a__x0009__x0009_&lt;jats:inline-graphic xmlns:xlink=&quot;http://www.w3.org/1999/xlink&quot; mime-subtype=&quot;png&quot; xlink:href=&quot;S0022112022008187_inline14.png&quot; /&gt;_x000a__x0009__x0009_&lt;jats:tex-math&gt;$\delta _v$&lt;/jats:tex-math&gt;_x000a__x0009_      &lt;/jats:alternatives&gt;_x000a__x0009_    &lt;/jats:inline-formula&gt; is vorticity thickness. When &lt;jats:inline-formula&gt;_x000a__x0009_      &lt;jats:alternatives&gt;_x000a__x0009__x0009_&lt;jats:inline-graphic xmlns:xlink=&quot;http://www.w3.org/1999/xlink&quot; mime-subtype=&quot;png&quot; xlink:href=&quot;S0022112022008187_inline15.png&quot; /&gt;_x000a__x0009__x0009_&lt;jats:tex-math&gt;$S \gtrapprox 0.01$&lt;/jats:tex-math&gt;_x000a__x0009_      &lt;/jats:alternatives&gt;_x000a__x0009_    &lt;/jats:inline-formula&gt;, the KHCSs are longitudinally stretched and the scaled transverse turbulent fluxes decrease with increasing &lt;jats:inline-formula&gt;_x000a__x0009_      &lt;jats:alternatives&gt;_x000a__x0009__x0009_&lt;jats:inline-graphic xmlns:xlink=&quot;http://www.w3.org/1999/xlink&quot; mime-subtype=&quot;png&quot; xlink:href=&quot;S0022112022008187_inline16.png&quot; /&gt;_x000a__x0009__x0009_&lt;jats:tex-math&gt;$S$&lt;/jats:tex-math&gt;_x000a__x0009_      &lt;/jats:alternatives&gt;_x000a__x0009_    &lt;/jats:inline-formula&gt;. The presence and streamwise development of LSMs/VLSMs away from the splitter plate depends on the &lt;jats:inline-formula&gt;_x000a__x0009_      &lt;jats:alternatives&gt;_x000a__x0009__x0009_&lt;jats:inline-graphic xmlns:xlink=&quot;http://www.w3.org/1999/xlink&quot; mime-subtype=&quot;png&quot; xlink:href=&quot;S0022112022008187_inline17.png&quot; /&gt;_x000a__x0009__x0009_&lt;jats:tex-math&gt;$\lambda$&lt;/jats:tex-math&gt;_x000a__x0009_      &lt;/jats:alternatives&gt;_x000a__x0009_    &lt;/jats:inline-formula&gt;-value, particularly when &lt;jats:inline-formula&gt;_x000a__x0009_      &lt;jats:alternatives&gt;_x000a__x0009__x0009_&lt;jats:inline-graphic xmlns:xlink=&quot;http://www.w3.org/1999/xlink&quot; mime-subtype=&quot;png&quot; xlink:href=&quot;S0022112022008187_inline18.png&quot; /&gt;_x000a__x0009__x0009_&lt;jats:tex-math&gt;$\lambda &amp;gt; 0.3$&lt;/jats:tex-math&gt;_x000a__x0009_      &lt;/jats:alternatives&gt;_x000a__x0009_    &lt;/jats:inline-formula&gt;, resembling LSMs/VLSMs in conventional open-channel flows when &lt;jats:inline-formula&gt;_x000a__x0009_      &lt;jats:alternatives&gt;_x000a__x0009__x0009_&lt;jats:inline-graphic xmlns:xlink=&quot;http://www.w3.org/1999/xlink&quot; mime-subtype=&quot;png&quot; xlink:href=&quot;S0022112022008187_inline19.png&quot; /&gt;_x000a__x0009__x0009_&lt;jats:tex-math&gt;$\lambda$&lt;/jats:tex-math&gt;_x000a__x0009_      &lt;/jats:alternatives&gt;_x000a__x0009_    &lt;/jats:inline-formula&gt; is small.&lt;/jats:p&gt;"/>
    <n v="6937"/>
    <s v="tex-math"/>
    <s v="No"/>
    <s v="No"/>
    <s v="No"/>
    <s v="No"/>
    <s v="Yes"/>
    <s v="No"/>
    <s v="includes HTML"/>
    <s v="includes links and script from the landing page that have been cut and paste into the abstract"/>
    <x v="1"/>
  </r>
  <r>
    <s v="journal-article:None"/>
    <s v="10.1038/s41534-021-00416-z"/>
    <s v="&lt;jats:title&gt;Abstract&lt;/jats:title&gt;&lt;jats:p&gt;The quantum simulation of quantum chemistry is a promising application of quantum computers. However, for &lt;jats:italic&gt;N&lt;/jats:italic&gt; molecular orbitals, the &lt;jats:inline-formula&gt;&lt;jats:alternatives&gt;&lt;jats:tex-math&gt;$${\mathcal{O}}({N}^{4})$$&lt;/jats:tex-math&gt;&lt;mml:math xmlns:mml=&quot;http://www.w3.org/1998/Math/MathML&quot;&gt;_x000a_                  &lt;mml:mrow&gt;_x000a_                    &lt;mml:mi&gt;O&lt;/mml:mi&gt;_x000a_                    &lt;mml:mrow&gt;_x000a_                      &lt;mml:mo&gt;(&lt;/mml:mo&gt;_x000a_                      &lt;mml:mrow&gt;_x000a_                        &lt;mml:msup&gt;_x000a_                          &lt;mml:mrow&gt;_x000a_                            &lt;mml:mi&gt;N&lt;/mml:mi&gt;_x000a_                          &lt;/mml:mrow&gt;_x000a_                          &lt;mml:mrow&gt;_x000a_                            &lt;mml:mn&gt;4&lt;/mml:mn&gt;_x000a_                          &lt;/mml:mrow&gt;_x000a_                        &lt;/mml:msup&gt;_x000a_                      &lt;/mml:mrow&gt;_x000a_                      &lt;mml:mo&gt;)&lt;/mml:mo&gt;_x000a_                    &lt;/mml:mrow&gt;_x000a_                  &lt;/mml:mrow&gt;_x000a_                &lt;/mml:math&gt;&lt;/jats:alternatives&gt;&lt;/jats:inline-formula&gt; gate complexity of performing Hamiltonian and unitary Coupled Cluster Trotter steps makes simulation based on such primitives challenging. We substantially reduce the gate complexity of such primitives through a two-step low-rank factorization of the Hamiltonian and cluster operator, accompanied by truncation of small terms. Using truncations that incur errors below chemical accuracy allow one to perform Trotter steps of the arbitrary basis electronic structure Hamiltonian with &lt;jats:inline-formula&gt;&lt;jats:alternatives&gt;&lt;jats:tex-math&gt;$${\mathcal{O}}({N}^{3})$$&lt;/jats:tex-math&gt;&lt;mml:math xmlns:mml=&quot;http://www.w3.org/1998/Math/MathML&quot;&gt;_x000a_                  &lt;mml:mrow&gt;_x000a_                    &lt;mml:mi&gt;O&lt;/mml:mi&gt;_x000a_                    &lt;mml:mrow&gt;_x000a_                      &lt;mml:mo&gt;(&lt;/mml:mo&gt;_x000a_                      &lt;mml:mrow&gt;_x000a_                        &lt;mml:msup&gt;_x000a_                          &lt;mml:mrow&gt;_x000a_                            &lt;mml:mi&gt;N&lt;/mml:mi&gt;_x000a_                          &lt;/mml:mrow&gt;_x000a_                          &lt;mml:mrow&gt;_x000a_                            &lt;mml:mn&gt;3&lt;/mml:mn&gt;_x000a_                          &lt;/mml:mrow&gt;_x000a_                        &lt;/mml:msup&gt;_x000a_                      &lt;/mml:mrow&gt;_x000a_                      &lt;mml:mo&gt;)&lt;/mml:mo&gt;_x000a_                    &lt;/mml:mrow&gt;_x000a_                  &lt;/mml:mrow&gt;_x000a_                &lt;/mml:math&gt;&lt;/jats:alternatives&gt;&lt;/jats:inline-formula&gt; gate complexity in small simulations, which reduces to &lt;jats:inline-formula&gt;&lt;jats:alternatives&gt;&lt;jats:tex-math&gt;$${\mathcal{O}}({N}^{2})$$&lt;/jats:tex-math&gt;&lt;mml:math xmlns:mml=&quot;http://www.w3.org/1998/Math/MathML&quot;&gt;_x000a_                  &lt;mml:mrow&gt;_x000a_                    &lt;mml:mi&gt;O&lt;/mml:mi&gt;_x000a_                    &lt;mml:mrow&gt;_x000a_                      &lt;mml:mo&gt;(&lt;/mml:mo&gt;_x000a_                      &lt;mml:mrow&gt;_x000a_                        &lt;mml:msup&gt;_x000a_                          &lt;mml:mrow&gt;_x000a_                            &lt;mml:mi&gt;N&lt;/mml:mi&gt;_x000a_                          &lt;/mml:mrow&gt;_x000a_                          &lt;mml:mrow&gt;_x000a_                            &lt;mml:mn&gt;2&lt;/mml:mn&gt;_x000a_                          &lt;/mml:mrow&gt;_x000a_                        &lt;/mml:msup&gt;_x000a_                      &lt;/mml:mrow&gt;_x000a_                      &lt;mml:mo&gt;)&lt;/mml:mo&gt;_x000a_                    &lt;/mml:mrow&gt;_x000a_                  &lt;/mml:mrow&gt;_x000a_                &lt;/mml:math&gt;&lt;/jats:alternatives&gt;&lt;/jats:inline-formula&gt; gate complexity in the asymptotic regime; and unitary Coupled Cluster Trotter steps with &lt;jats:inline-formula&gt;&lt;jats:alternatives&gt;&lt;jats:tex-math&gt;$${\mathcal{O}}({N}^{3})$$&lt;/jats:tex-math&gt;&lt;mml:math xmlns:mml=&quot;http://www.w3.org/1998/Math/MathML&quot;&gt;_x000a_                  &lt;mml:mrow&gt;_x000a_                    &lt;mml:mi&gt;O&lt;/mml:mi&gt;_x000a_                    &lt;mml:mrow&gt;_x000a_                      &lt;mml:mo&gt;(&lt;/mml:mo&gt;_x000a_                      &lt;mml:mrow&gt;_x000a_                        &lt;mml:msup&gt;_x000a_                          &lt;mml:mrow&gt;_x000a_                            &lt;mml:mi&gt;N&lt;/mml:mi&gt;_x000a_                          &lt;/mml:mrow&gt;_x000a_                          &lt;mml:mrow&gt;_x000a_                            &lt;mml:mn&gt;3&lt;/mml:mn&gt;_x000a_                          &lt;/mml:mrow&gt;_x000a_                        &lt;/mml:msup&gt;_x000a_                      &lt;/mml:mrow&gt;_x000a_                      &lt;mml:mo&gt;)&lt;/mml:mo&gt;_x000a_                    &lt;/mml:mrow&gt;_x000a_                  &lt;/mml:mrow&gt;_x000a_                &lt;/mml:math&gt;&lt;/jats:alternatives&gt;&lt;/jats:inline-formula&gt; gate complexity as a function of increasing basis size for a given molecule. In the case of the Hamiltonian Trotter step, these circuits have &lt;jats:inline-formula&gt;&lt;jats:alternatives&gt;&lt;jats:tex-math&gt;$${\mathcal{O}}({N}^{2})$$&lt;/jats:tex-math&gt;&lt;mml:math xmlns:mml=&quot;http://www.w3.org/1998/Math/MathML&quot;&gt;_x000a_                  &lt;mml:mrow&gt;_x000a_                    &lt;mml:mi&gt;O&lt;/mml:mi&gt;_x000a_                    &lt;mml:mrow&gt;_x000a_                      &lt;mml:mo&gt;(&lt;/mml:mo&gt;_x000a_                      &lt;mml:mrow&gt;_x000a_                        &lt;mml:msup&gt;_x000a_                          &lt;mml:mrow&gt;_x000a_                            &lt;mml:mi&gt;N&lt;/mml:mi&gt;_x000a_                          &lt;/mml:mrow&gt;_x000a_                          &lt;mml:mrow&gt;_x000a_                            &lt;mml:mn&gt;2&lt;/mml:mn&gt;_x000a_                          &lt;/mml:mrow&gt;_x000a_                        &lt;/mml:msup&gt;_x000a_                      &lt;/mml:mrow&gt;_x000a_                      &lt;mml:mo&gt;)&lt;/mml:mo&gt;_x000a_                    &lt;/mml:mrow&gt;_x000a_                  &lt;/mml:mrow&gt;_x000a_                &lt;/mml:math&gt;&lt;/jats:alternatives&gt;&lt;/jats:inline-formula&gt; depth on a linearly connected array, an improvement over the &lt;jats:inline-formula&gt;&lt;jats:alternatives&gt;&lt;jats:tex-math&gt;$${\mathcal{O}}({N}^{3})$$&lt;/jats:tex-math&gt;&lt;mml:math xmlns:mml=&quot;http://www.w3.org/1998/Math/MathML&quot;&gt;_x000a_                  &lt;mml:mrow&gt;_x000a_                    &lt;mml:mi&gt;O&lt;/mml:mi&gt;_x000a_                    &lt;mml:mrow&gt;_x000a_                      &lt;mml:mo&gt;(&lt;/mml:mo&gt;_x000a_                      &lt;mml:mrow&gt;_x000a_                        &lt;mml:msup&gt;_x000a_                          &lt;mml:mrow&gt;_x000a_                            &lt;mml:mi&gt;N&lt;/mml:mi&gt;_x000a_                          &lt;/mml:mrow&gt;_x000a_                          &lt;mml:mrow&gt;_x000a_                            &lt;mml:mn&gt;3&lt;/mml:mn&gt;_x000a_                          &lt;/mml:mrow&gt;_x000a_                        &lt;/mml:msup&gt;_x000a_                      &lt;/mml:mrow&gt;_x000a_                      &lt;mml:mo&gt;)&lt;/mml:mo&gt;_x000a_                    &lt;/mml:mrow&gt;_x000a_                  &lt;/mml:mrow&gt;_x000a_                &lt;/mml:math&gt;&lt;/jats:alternatives&gt;&lt;/jats:inline-formula&gt; scaling assuming no truncation. As a practical example, we show that a chemically accurate Hamiltonian Trotter step for a 50 qubit molecular simulation can be carried out in the molecular orbital basis with as few as 4000 layers of parallel nearest-neighbor two-qubit gates, consisting of fewer than 10&lt;jats:sup&gt;5&lt;/jats:sup&gt; non-Clifford rotations. We also apply our algorithm to iron–sulfur clusters relevant for elucidating the mode of action of metalloenzymes.&lt;/jats:p&gt;"/>
    <n v="6602"/>
    <s v="MathML"/>
    <s v="&quot;en&quot;"/>
    <s v="Yes"/>
    <s v="Yes"/>
    <s v="No"/>
    <s v="Yes"/>
    <s v="No"/>
    <s v="MathML"/>
    <m/>
    <x v="0"/>
  </r>
  <r>
    <s v="journal-article:None"/>
    <s v="10.1182/blood-2021-146871"/>
    <s v="&lt;jats:title&gt;Abstract&lt;/jats:title&gt;_x000a_               &lt;jats:p&gt;Diffuse large B cell lymphoma (DLBCL) is the most common lymphoid malignancy in adults. Both biologically and clinically, DLBCL represents a highly heterogeneous disease. DLBCL has been subdivided into germinal center B cell (GCB)-like and activated B cell (ABC)-like DLBCL, on the basis of gene expression profiling, which separates DLBCL according to the presumed cell of origin (COO). This COO-based classifier distinguishes sub-entities displaying distinct biological features, pathogenesis and clinical response to frontline therapy.&lt;/jats:p&gt;_x000a_               &lt;jats:p&gt;In addition to this classic transcriptome-based stratifier, recent genomic analyses of human DLBCL samples led to the discovery of partially overlapping genetically-defined DLBCL subsets. A study by Schmitz et al. employed a supervised clustering approach, allowing the classification of ~50% of the cases into four genetically-defined DLBCL subtypes, one of which is being characterized by co-occurring MYD88- and CD79B mutations as well as high expression of BCL2 (termed MCD). In a second approach by Chapuy et al., patient samples were clustered in an unsupervised manner. Also in this study, a cluster with recurrent mutations in MYD88 (specifically p.L265P) and CD79B, as well as gains of 18q (the location of BCL2) was identified (termed C5).&lt;/jats:p&gt;_x000a_               &lt;jats:p&gt;We previously reported the formation of B cell lymphoma in mice that were engineered to express Myd88 p.L252P in combination with overexpression of BCL2 (Myd88 p.L252P/wt;R26 LSL.BCL2/wt;Cd19 Cre/wt, abbr. MBC) in a B cell-specific manner. While the developing lesions display many features of human ABC DLBCL, their B220 -/CD138 + immunophenotype reflects plasmablastic characteristics. To refine this mouse model, we incorporated additional C5/MCD lesions by engineering a B cell-specific loss of Prmd1 or Spib overexpression generating Prdm1 fl/fl;Myd88 p.L252P/wt;R26 LSL.BCL2/wt;Cd19 Cre/wt (PPMBC) and Myd88 p.L252P/wt;R26 LSL.BCL2/LSL.Spib;Cd19 Cre/wt (SMBC) compound animals.&lt;/jats:p&gt;_x000a_               &lt;jats:p&gt;Both, the B cell-specific loss of Prdm1 and Spib overexpression on the MBC background resulted in a marked reduction of CD138 + cells in the spleens of 10 weeks old animals compared to control (Fig. 1A), accompanied by a decrease in serum immunoglobulins, indicative of a plasma cell differentiation block and in agreement with the reported function of PRMD1 and SPIB as transcription factors regulating plasma cell differentiation.&lt;/jats:p&gt;_x000a_               &lt;jats:p&gt;Both PPMBC and SMBC mice developed lymphoma significantly earlier than MBC animals. These tumors largely displayed a B220 +/CD138 - immunophenotype. As transcriptional profiling is the gold standard for differentiation between GCB and ABC DLBCL, we generated germinal center- and activated blood B cell gene sets from healthy donors. We then performed gene set enrichment analyses between SMBC/PPMBC tumors and either MBC or Kmt2d fl/fl;VavP-Bcl2;Cɣ1 Cre/wt (KBC) lymphomas, the latter being reminiscent of human GCB DLBCL. While both PPMBC and SMBC samples were enriched for GCB gene signatures when compared to MBC, they enriched for ABC gene sets in comparison to KBC, potentially suggesting a developmental stage between KBC and MBC lesions (Fig. 1B).&lt;/jats:p&gt;_x000a_               &lt;jats:p&gt;We next aimed to employ our PPMBC model of C5 DLBCL as a pre-clinical tool, in order to derive therapeutic approaches for this disease. In this regard, we note BCL2 has emerged as a potential therapeutic target in DLBCL. The BCL2 inhibitor venetoclax produces response rates of ~18% in relapsed/refractory DLBCL (Davids et al., 2017). Similarly, in a phase I/II clinical trial involving 80 patients with relapsed/refractory DLBCL, ibrutinib induced complete or partial remissions in 37% of ABC-DLBCL patients, but in only 5% GCB-DLBCL patients (Wilson et al., 2015). Building on these observations, we asked whether single agent or combined venetoclax and ibrutinib treatment might display pre-clinical activity in the PPMBC setting. Indeed, combination treatment with ibrutinib and venetoclax resulted in a significant survival benefit compared to single compound or untreated animals (Fig. 1C). Given this preclinical activity, we treated 6 relapsed/refractory (r/r) non-GCB DLBCL patients (determined by Hans algorithm) in an off-label setting and observed tumor shrinkage in 5 of 6 patients (Fig. 1D). Thus, our clinical data corroborate our preclinical observations and suggest that combined venetoclax and ibrutinib may display clinical activity in a subset of r/r non-GCB DLBCL.&lt;/jats:p&gt;_x000a_               &lt;jats:p&gt;Figure 1 Figure 1.&lt;/jats:p&gt;_x000a_               &lt;jats:p /&gt;_x000a_               &lt;jats:sec&gt;_x000a_                  &lt;jats:title&gt;Disclosures&lt;/jats:title&gt;_x000a_                  &lt;jats:p&gt;Hallek: Roche: Honoraria, Speakers Bureau; Gilead: Honoraria, Speakers Bureau; Mundipharma: Honoraria, Speakers Bureau; Janssen: Honoraria, Speakers Bureau; Celgene: Honoraria, Speakers Bureau; Pharmacyclics: Honoraria, Speakers Bureau. Calado: Myricx Pharma: Consultancy, Current holder of individual stocks in a privately-held company, Current holder of stock options in a privately-held company, Patents &amp;amp; Royalties: Cancer Treatments. WO patent WO 2020/128475 A1 (2020). Pasqualucci: Sanofi: Research Funding; Astra Zeneca: Research Funding. von Tresckow: Amgen: Consultancy, Honoraria; AbbVie: Other: congress and travel support; Pentixafarm: Consultancy, Honoraria; Pfizer: Consultancy, Honoraria; BMS-Celgene: Consultancy, Honoraria, Other: congress and travel support; MSD: Consultancy, Honoraria, Other: congress and travel support, Research Funding; Novartis: Consultancy, Honoraria, Other: congress and travel support, Research Funding; AstraZeneca: Honoraria, Other: congress and travel support; Kite-Gilead: Consultancy, Honoraria; Roche: Consultancy, Honoraria; Takeda: Consultancy, Honoraria, Other, Research Funding. Chapuy: Gilead: Honoraria; BMS: Honoraria; Regeneron: Consultancy; Gilead Sciences: Research Funding; Astra Zeneca: Honoraria. Reinhardt: CDL Therapeutics: Current holder of individual stocks in a privately-held company; Gilead: Research Funding; Merck: Consultancy; Vertex: Consultancy; AstraZeneca: Consultancy; Abbvie: Consultancy.&lt;/jats:p&gt;_x000a_               &lt;/jats:sec&gt;_x000a_               &lt;jats:sec&gt;_x000a_                  &lt;jats:title&gt;OffLabel Disclosure:&lt;/jats:title&gt;_x000a_                  &lt;jats:p&gt;Treatment of DLBCL patients with ibrutinib and venetoclax.&lt;/jats:p&gt;_x000a_               &lt;/jats:sec&gt;"/>
    <n v="6576"/>
    <s v="MathML"/>
    <s v="No"/>
    <s v="Yes"/>
    <s v="Yes"/>
    <s v="No"/>
    <s v="Yes"/>
    <s v="Yes"/>
    <s v="includes disclosures; includes figure"/>
    <s v="has U+2008 General Punctuation non-Latin char; has journal level lang"/>
    <x v="1"/>
  </r>
  <r>
    <s v="journal-article:None"/>
    <s v="10.34689/sh.2018.20.5.011"/>
    <s v="&lt;jats:p&gt;Введение. Воздействие малых доз радиации может быть причиной нарушения общей регуляции физиологических механизмов и снижения эффективности адаптационных процессов, контролируемых нейроэндокринным комплексом и, в особенности, вегетативной нервной системой. Цель: оценка вегетативного статуса жителей Восточно-Казахстанской области, подвергшихся радиационному воздействию в диапазоне малых доз. Методы:проведено обследование населения Абайского района, с. Бородулихинского района ВКО, Курчумского района ВКО. Общий объем выборки составил 700 человек. Для оценки вегетативного статуса лиц, подвергшихся радиационному воздействию в диапазоне малых доз, нами было проведено определение индекса Кердо, пробы Ашнера-Даньини, ортостатической пробыи ВРС-спектрометрии. Критерии включения: возраст 18-50 лет, юридически подтвержденное проживание на территории влияния СИЯП. Критерии исключения: органическое поражение ЦНС, соматические заболевания в стадии декомпенсации. Контроль – жители Курчумского района ВКО. Дизайн исследования – поперечный. Статистическая обработка: IBM SPSS Statistics 20, с определением нормальности распределения изучаемых признаков и оценкой описательных статистик числовых переменных. Качественные переменные представлены в виде абсолютных цифр и их процентов. Оценка различий в группах определена с помощью расчета критерия χ2. Результаты. Установлены нарушения вегетативного баланса в виде вегетативной дифункции парасимпатической направленности, нарушений вегетативного тонуса и вегетативной реактивности, а также нарушений регуляции системы кровообращения парасимпатической направленности у лиц в возрастной группе 18-29 лет, в то время как у лиц старшей возрастной группы наблюдалось повышение влияния симпатотонической направленности. Заключение: Анализ состояния здоровья лиц, подвергшихся радиационному воздействию, проживающих в Абайском и Бородулихинском районах ВКО, демонстрирует признаки нарушений неспецифической резистентности организма, проявляющиеся в виде увеличения числа лиц с нарушениями вегетативной регуляции парасимпатической направленности (р&amp;lt;0,05;0,05), вегетативного тонуса и вегетативной реактивности.&lt;/jats:p&gt;_x000a_                                                                                            &lt;jats:p&gt;Introduction. Small doses of radiation can be cause of violation in the general regulation of physiological mechanisms and decrease in the effectiveness of adaptation processes controlled by the neuroendocrine complex and, in particular, the autonomic nervous system. Aim: assessment of the vegetative status in the residents of the East Kazakhstan region, exposed to radiation in the range of small doses. Methods: It was conducted examination of the population of Abay, Borodulikha, Kurchumsky district of ​​the East Kazakhstan Area. The total sample size was 700 people. To assess the vegetative status of people exposed to radiation in the low-dose range, we examined the Kerdo index, the Ashner-Dagnini test, the orthostatic test, and BPC spectrometry. Inclusion criteria: age 18-50 years, legally confirmed residence in the territory of the influence of the Test Site. Exclusion criteria: organic lesion of the central nervous system, somatic diseases in the stage of decompensation. Control - residents of the Kurchum district. The design is cross-sectional study. Statistical processing: IBM SPSS Statistics 20, with the definition of the normality of the distribution of the studied characteristics and the evaluation of descriptive statistics of numerical variables. Qualitative variables are represented in the form of absolute figures and their percentages. Evaluation of differences in groups is determined by calculating the χ2 criterion. Results. It was found violations of the vegetative balance in the form of vegetative parasympathetic dysfunction, autonomic dysfunction and vegetative reactivity, as well as violations of the parasympathetic regulation of the circulatory system in persons aged 18-29 years, while in the older age group, an increase of sympathotonic orientation. Conclusion: analysis of the health status of the persons exposed to radiation exposure living in the Abai and Borodulikha regions of the East Kazakhstan region shows signs of disturbances in the nonspecific resistance of the organism, manifested in the form of an increase in the number of persons with autonomic regulation of the parasympathetic orientation, vegetative tonus and vegetative reactivity.&lt;/jats:p&gt;_x000a_                                                    &lt;jats:p&gt;Кіріспе: Сәулеленудің аздаған дозасы нейроэндокринді кешенмен әсіресе вегатативті жүйке жүйесімен бақыланатын физиологиялық механизмдердің жалпы реттелуінің бұзылысын және бейімделу процесснің тиімділігінің төмендеуін шақыруы мүмкін. Мақсат: Аздаған доза диапазонында сәулелік  әсерге ұшыраған Шығыс Қазақстан тұрғындарының вегетативті статусын бағалау. Әдістері: ШҚО Абай ауданының, ШҚО Бородулиха ауданының, ШҚО Күрішім ауданының тұрғындарына зерттеу жүргізілді. Іріктеменің жалпы көлемі 700 адамды құрады. Аздаған доза диапазонында сәулелік әсерге ұшыраған тұлғалардың вегетативті статусын бағалау үшін бізбен Кердо индексін анықтау, Ашнер-Даньинии сынамасы, ортостатикалық сынама алынып ВРС-спектометриясы жүргізілді. Қосылу критерилері: жас мөлшері 18-50 жас, ССЯПтың әсер ету аумағында тұрып жатқандығының заңды түрде расталуы. Алынып тасталу критериі: ОЖЖ-нің органикалық зақымдануы, декомпенсация сатысындағы соматикалық сырқат. Бақылау тобы - ШҚО Күрішім ауданының тұрғындары. Зерттеу дизайны – көлденең. Статистикалық өңделу: IBM SPSS Statistics 20.0 зерттелетін белгілердің қалыпты топтастырылуын және сипаттамалы статистикалық сандық ауыспалыларды бағалаумен бірге алғанда. Сапалы ауыспалылар абсолюттік сандар арқылы және олардың пайыздарымен берілген. Топтардағы айырмашылықтар бағасы    критериімен анықталған. Нәтижелер. Вегетативті баланстың парасимпатикалық бағыттағы вегетативті дисфункция түріндегі бұзылыстары, вегетативті тонустың, вегетативті реактивтіліктің, сонымен қатар 18-29 жастық топтарының тұлғаларында парасимпатикалық бағыттағы қан айналым жүйесінің регуляциясының бұзылысы анықталды, сол кезекте егде топ өкілдерінде симпатотоникалық бағыт әсерінің жоғарлауы байқалды. Қорытынды: ШҚО Абай, Бородулиха ауданының сәулелік әсерге ұшыраған тұрғындарының денсаулық жағдайының анализі парасимпатикалық бағыттағы вегетативті регуляцияның бұзылысы бар тұлғалардың көбейуімен байқалатын (р&amp;lt;0.05; 0,05) организмнің спецификалық емес резистенттілігінің бұзылысының белгілерін көрсетті.&lt;/jats:p&gt;"/>
    <n v="6561"/>
    <s v="No"/>
    <s v="No"/>
    <s v="Yes"/>
    <s v="Yes"/>
    <s v="No"/>
    <s v="Yes"/>
    <s v="Yes"/>
    <s v="includes multiple languages"/>
    <s v="contains cyrillic char set; &quot;ru&quot;,&quot;kz&quot;, &quot;en&quot;,  languages in metadata in that order; should have had 3 abstracts each with their own language attribute"/>
    <x v="2"/>
  </r>
  <r>
    <s v="journal-article:None"/>
    <s v="10.1093/humrep/dead165"/>
    <s v="&lt;jats:title&gt;Abstract&lt;/jats:title&gt;_x000a_               &lt;jats:sec&gt;_x000a_                  &lt;jats:title&gt;STUDY QUESTION&lt;/jats:title&gt;_x000a_                  &lt;jats:p&gt;Can two prediction models developed using data from 1999 to 2009 accurately predict the cumulative probability of live birth per woman over multiple complete cycles of IVF in an updated UK cohort?&lt;/jats:p&gt;_x000a_               &lt;/jats:sec&gt;_x000a_               &lt;jats:sec&gt;_x000a_                  &lt;jats:title&gt;SUMMARY ANSWER&lt;/jats:title&gt;_x000a_                  &lt;jats:p&gt;After being updated, the models were able to estimate individualized chances of cumulative live birth over multiple complete cycles of IVF with greater accuracy.&lt;/jats:p&gt;_x000a_               &lt;/jats:sec&gt;_x000a_               &lt;jats:sec&gt;_x000a_                  &lt;jats:title&gt;WHAT IS KNOWN ALREADY&lt;/jats:title&gt;_x000a_                  &lt;jats:p&gt;The McLernon models were the first to predict cumulative live birth over multiple complete cycles of IVF. They were converted into an online calculator called OPIS (Outcome Prediction In Subfertility) which has 3000 users per month on average. A previous study externally validated the McLernon models using a Dutch prospective cohort containing data from 2011 to 2014. With changes in IVF practice over time, it is important that the McLernon models are externally validated on a more recent cohort of patients to ensure that predictions remain accurate.&lt;/jats:p&gt;_x000a_               &lt;/jats:sec&gt;_x000a_               &lt;jats:sec&gt;_x000a_                  &lt;jats:title&gt;STUDY DESIGN, SIZE, DURATION&lt;/jats:title&gt;_x000a_                  &lt;jats:p&gt;A population-based cohort of 91 035 women undergoing IVF in the UK between January 2010 and December 2016 was used for external validation. Data on frozen embryo transfers associated with these complete IVF cycles conducted from 1 January 2017 to 31 December 2017 were also collected.&lt;/jats:p&gt;_x000a_               &lt;/jats:sec&gt;_x000a_               &lt;jats:sec&gt;_x000a_                  &lt;jats:title&gt;PARTICIPANTS/MATERIALS, SETTING, METHODS&lt;/jats:title&gt;_x000a_                  &lt;jats:p&gt;Data on IVF treatments were obtained from the Human Fertilisation and Embryology Authority (HFEA). The predictive performances of the McLernon models were evaluated in terms of discrimination and calibration. Discrimination was assessed using the c-statistic and calibration was assessed using calibration-in-the-large, calibration slope, and calibration plots. Where any model demonstrated poor calibration in the validation cohort, the models were updated using intercept recalibration, logistic recalibration, or model revision to improve model performance.&lt;/jats:p&gt;_x000a_               &lt;/jats:sec&gt;_x000a_               &lt;jats:sec&gt;_x000a_                  &lt;jats:title&gt;MAIN RESULTS AND THE ROLE OF CHANCE&lt;/jats:title&gt;_x000a_                  &lt;jats:p&gt;Following exclusions, 91 035 women who underwent 144 734 complete cycles were included. The validation cohort had a similar distribution age profile to women in the development cohort. Live birth rates over all complete cycles of IVF per woman were higher in the validation cohort. After calibration assessment, both models required updating. The coefficients of the pre-treatment model were revised, and the updated model showed reasonable discrimination (c-statistic: 0.67, 95% CI: 0.66 to 0.68). After logistic recalibration, the post-treatment model showed good discrimination (c-statistic: 0.75, 95% CI: 0.74 to 0.76). As an example, in the updated pre-treatment model, a 30-year-old woman with 2 years of primary infertility has a 41% chance of having a live birth in the first complete ICSI cycle and a 75% chance over three complete cycles. In a couple with 2 years of primary male factor infertility where a 30-year-old woman has 15 oocytes collected in the first cycle, a single fresh blastocyst embryo transferred in the first cycle and spare embryos cryopreserved, the estimated chance of live birth provided by the post-treatment model is 40% in the first complete ICSI cycle and 75% over three complete cycles.&lt;/jats:p&gt;_x000a_               &lt;/jats:sec&gt;_x000a_               &lt;jats:sec&gt;_x000a_                  &lt;jats:title&gt;LIMITATIONS, REASONS FOR CAUTION&lt;/jats:title&gt;_x000a_                  &lt;jats:p&gt;Two predictors from the original models, duration of infertility and previous pregnancy, which were not available in the recent HFEA dataset, were imputed using data from the older cohort used to develop the models. The HFEA dataset does not contain some other potentially important predictors, e.g. BMI, ethnicity, race, smoking and alcohol intake in women, as well as measures of ovarian reserve such as antral follicle count.&lt;/jats:p&gt;_x000a_               &lt;/jats:sec&gt;_x000a_               &lt;jats:sec&gt;_x000a_                  &lt;jats:title&gt;WIDER IMPLICATIONS OF THE FINDINGS&lt;/jats:title&gt;_x000a_                  &lt;jats:p&gt;Both updated models show improved predictive ability and provide estimates which are more reflective of current practice and patient case mix. The updated OPIS tool can be used by clinicians to help shape couples’ expectations by informing them of their individualized chances of live birth over a sequence of multiple complete cycles of IVF.&lt;/jats:p&gt;_x000a_               &lt;/jats:sec&gt;_x000a_               &lt;jats:sec&gt;_x000a_                  &lt;jats:title&gt;STUDY FUNDING/COMPETING INTEREST(S)&lt;/jats:title&gt;_x000a_                  &lt;jats:p&gt;This study was supported by an Elphinstone scholarship scheme at the University of Aberdeen and Aberdeen Fertility Centre, University of Aberdeen. S.B. has a commitment of research funding from Merck. D.J.M. and M.B.R. declare support for the present manuscript from Elphinstone scholarship scheme at the University of Aberdeen and Assisted Reproduction Unit at Aberdeen Fertility Centre, University of Aberdeen. D.J.M. declares grants received by University of Aberdeen from NHS Grampian, The Meikle Foundation, and Chief Scientist Office in the past 3 years. D.J.M. declares receiving an honorarium for lectures from Merck. D.J.M. is Associate Editor of Human Reproduction Open and Statistical Advisor for Reproductive BioMed Online. S.B. declares royalties from Cambridge University Press for a book. S.B. declares receiving an honorarium for lectures from Merck, Organon, Ferring, Obstetric and Gynaecological Society of Singapore, and Taiwanese Society for Reproductive Medicine. S.B. has received support from Merck, ESHRE, and Ferring for attending meetings as speaker and is on the METAFOR and CAPRE Trials Data Monitoring Committee.&lt;/jats:p&gt;_x000a_               &lt;/jats:sec&gt;_x000a_               &lt;jats:sec&gt;_x000a_                  &lt;jats:title&gt;TRIAL REGISTRATION NUMBER&lt;/jats:title&gt;_x000a_                  &lt;jats:p&gt;N/A.&lt;/jats:p&gt;_x000a_               &lt;/jats:sec&gt;"/>
    <n v="6536"/>
    <s v="No"/>
    <s v="No"/>
    <s v="Yes"/>
    <s v="Yes"/>
    <s v="No"/>
    <s v="Yes"/>
    <s v="Yes"/>
    <s v="includes disclosures"/>
    <s v="has U+2009 Thin Space General Punc char; lovely structured abstract"/>
    <x v="0"/>
  </r>
  <r>
    <s v="journal-article:None"/>
    <s v="10.54890/1694-6405_2023_2_73"/>
    <s v="&lt;jats:p&gt;Туберкулез женских половых органов (ТЖПО) вызывается бациллами Mycobacteria tuberculosis и обычно является вторичным по отношению к туберкулезу легких. Распространенность туберкулеза женских половых органов не точная, так как в большинстве случаев вовремя не диагностируется. В разных странах заболеваемость ТЖПО варьируется от 1% до 30%. Во время первичного инфицирования M. tuberculosis, распространение происходит гематогенным и/или лимфогенным путями и оседают в различных органах в виде латентных форм. У 5-15% инфицированных пациентов латентные формы микобактерий, под воздействием различных факторов реактивируются, вызывая вторичное заболевание. Туберкулез женских половых органов, особенно в слаборазвитых странах, продолжает оставаться основной причиной нарушения менструального цикла и бесплодия. Наиболее распространенным проявлением ТЖПО является бесплодие из-за поврежденных фаллопиевых труб, очень низкой восприимчивости эндометрия или повреждения яичников с низким овариальным резервом и объемом. Диагноз ТЖПО требует подтверждения комбинацией тестов. Гинекологи могут начать с получения информации через историю болезни пациента, общий физический осмотр, осмотр брюшной полости и гинекологический осмотр. Рентгенография грудной клетки может показать активные легочные или старые зажившие поражения перенесенного туберкулеза, что приводит к подозрениям на поражение гениталий. Обычные методы диагностики ТЖПО включают различные методы визуализации, бактериологические, молекулярные и патологические методы, которые дают положительный результат только у небольшого процента пациентов, в результате чего во многих случаях состояние остается не выявленным. Как и при туберкулезе легких, лечение ТЖПО длится в общей сложности шесть месяцев. Хирургическое вмешательство не рекомендуется при ТЖПО из-за многочисленных рисков, и рекомендуется пероральная противотуберкулезная терапия. Большое значение имеет информирование больных туберкулезом легких о необходимости соблюдения мер инфекционного, а также о соблюдении режима рекомендованной терапии.&lt;/jats:p&gt;_x000a_                                                                                            &lt;jats:p&gt;Аялдардын жыныс органдарынын кургак учугу, кургак учук микобактериясынын таякчасынан келип чыгат жана көбүнчө өпкө кургак учугунун экинчи түрү болуп саналат. Аялдардын жыныс органдарынын кургак учуктун таралышы так эмес, анткени көпчүлүк учурда ал өз убагында аныкталбайт. Ар кайсы өлкөлөрдө аялдардын жыныс органдарынын кургак учук оорусу 1% дан 30% ке чейин өзгөрөт. M. tuberculosis менен биринчи жолу жуккан учурда таралуу кан жана/же лимфа жолу менен жүрөт жана ар кандай органдарда жашыруун формада сакталат. Инфекцияланган оорулуулардын 5-15 % микобактериялардын жашыруун формалары ар кандай факторлордун таасири астында кайра активдешип, экинчилик ооруну пайда кылат. Айрыкча өнүкпөгөн өлкөлөрдө аялдардын жыныс органдарынын кургак учугу этек киринин бузулушунун жана тукумсуздуктун негизги себеби болуп калууда. Аялдардын жыныс органдарынын кургак учугунун эң кеңири таралган көрүнүшү – жатын түтүктөрүнүн бузулушунан улам тукумсуздук, эндометриянын өтө төмөн кабыл алуу жөндөмдүүлүгү же энелик бездин запасы жана көлөмү төмөн болгон энелик бездин бузулушу. Аялдардын жыныс органдарынын кургак учугунун диагнозу тесттердин айкалышы менен ырастоону талап кылат. Гинекологдор оорулуунун тарыхын, жалпы физикалык текшерүү, абдоминалдык текшерүү жана гинекологиялык текшерүү аркылуу маалымат алуу менен башташы мүмкүн. Көкүрөк рентгени, өпкөнүн активдүү же мурунку кургак учуктун эски айыккан жараларын көрсөтүшү мүмкүн, бул жыныстык органдардын катышуусуна шектенүүгө алып келет. Аялдардын жыныс органдарынын кургак учугунун диагностикасынын салттуу ыкмаларына ар кандай сүрөттөө, бактериологиялык, молекулярдык жана патологиялык методдор кирет, алар пациенттердин аз гана пайызында оң болуп, көп учурларда абалды билинбей калтырышат. Өпкө кургак учугундагыдай эле, аялдардын жыныс органдарынын кургак учугу үчүн дарылоо жалпысынан алты айга созулат. Көптөгөн тобокелдиктерден улам аялдардын жыныс органдарынын кургак учугунда хирургия сунушталбайт жана кургак учукка каршы оозеки терапия сунушталат. Өпкө кургак учугу менен ооругандарга инфекциялык чараларды сактоо, ошондой эле сунушталган терапия режимин сактоо зарылчылыгы жөнүндө маалымат берүү чоң мааниге ээ.&lt;/jats:p&gt;_x000a_                                                    &lt;jats:p&gt;Tuberculosis of the female genital organs (FGTB) is caused by the bacillus Mycobacteria tuberculosis and is usually secondary to pulmonary tuberculosis. The prevalence of tuberculosis of the female genital organs is not accurate, since in most cases it is not diagnosed in time. In different countries, the incidence of FGTB varies from 1% to 30%. During the primary infection with M. tuberculosis, spread occurs by hematogenous and/or lymphogenous routes and is deposited in various organs in the form of latent forms. In 5-15% of infected patients, latent forms of mycobacteria are reactivated under the influence of various factors, causing a secondary disease. Tuberculosis of the female genital organs, especially in underdeveloped countries, continues to be the main cause of menstrual irregularities and infertility. The most common manifestation of FGTB is infertility due to damaged fallopian tubes, very low endometrial receptivity, or ovarian damage with low ovarian reserve and volume. The diagnosis of FGTB requires confirmation by a combination of tests. Gynecologists may start by obtaining information through the patient's medical history, general physical examination, abdominal examination, and gynecological examination. Chest x-ray may show active pulmonary or old healed lesions of previous tuberculosis, leading to suspicion of genital involvement. Conventional methods for diagnosing FGTB include various imaging, bacteriological, molecular, and pathological methods, which are positive in only a small percentage of patients, leaving the condition undetected in many cases. As with pulmonary tuberculosis, treatment for FBM lasts a total of six months. Surgery is not recommended in SVT due to multiple risks, and oral anti-tuberculosis therapy is recommended. Of great importance is informing patients with pulmonary tuberculosis about the need to comply with infectious measures, as well as compliance with the recommended therapy regimen.&lt;/jats:p&gt;"/>
    <n v="6391"/>
    <s v="No"/>
    <s v="No"/>
    <s v="Not available"/>
    <s v="No"/>
    <s v="No"/>
    <s v="Yes"/>
    <s v="Yes"/>
    <s v="includes multiple languages"/>
    <s v="includes &quot;ru&quot;, &quot;key&quot;, &quot;en&quot; languages in metadata in that order, but no attributes; article in &quot;ky&quot; with &quot;en&quot; abstract, journal level is listed as &quot;ru&quot;"/>
    <x v="2"/>
  </r>
  <r>
    <s v="journal-article:None"/>
    <s v="10.1093/humrep/dead093.146"/>
    <s v="&lt;jats:title&gt;Abstract&lt;/jats:title&gt;_x000a_               &lt;jats:sec&gt;_x000a_                  &lt;jats:title&gt;Study question&lt;/jats:title&gt;_x000a_                  &lt;jats:p&gt;What are the prevalence and implications of cytoplasmic strings (Cyt-S) in preimplantation development after blastulation?&lt;/jats:p&gt;_x000a_               &lt;/jats:sec&gt;_x000a_               &lt;jats:sec&gt;_x000a_                  &lt;jats:title&gt;Summary answer&lt;/jats:title&gt;_x000a_                  &lt;jats:p&gt;Cyt-S are common in human embryos and are associated with faster blastocyst development, larger expansion, and better morphological quality.&lt;/jats:p&gt;_x000a_               &lt;/jats:sec&gt;_x000a_               &lt;jats:sec&gt;_x000a_                  &lt;jats:title&gt;What is known already&lt;/jats:title&gt;_x000a_                  &lt;jats:p&gt;Cyt-S are dynamic cellular projections connecting inner-cell-mass (ICM) and trophectoderm during blastocyst expansion. Their prevalence in human embryos in vitro has been estimated 44-93%. Currently, their role is unknown. Studies in animal models suggested they might be involved in ICM-to-trophectoderm communication or cell fate-related events. Nevertheless, comprehensive descriptions and clear definitions, evidence-based hypotheses about their function, and data about their clinical implications are lacking, limited or controversial. Here we leveraged time-lapse microscopy, artificial intelligence, and chromosomal testing to comprehensively portray these common features of blastulation and expansion processes.&lt;/jats:p&gt;_x000a_               &lt;/jats:sec&gt;_x000a_               &lt;jats:sec&gt;_x000a_                  &lt;jats:title&gt;Study design, size, duration&lt;/jats:title&gt;_x000a_                  &lt;jats:p&gt;Observational study involving 124 PGT-A cycles in EmbryoScope (Vitrolife) with ≥1 blastocyst (N = 315) between May-2013 and November-2014. Timings from tSB to biopsy (t-biopsy, i.e., blastocyst full-expansion) in hours-post-insemination (hpi) and embryo area (including zona-pellucida in µm2) were automatically annotated through an AI-based software (CHLOE™, Fairtility). One senior embryologist annotated Cyt-S presence, number, timings, and type (thick cell-to-cell connections and/or threads), and blastocyst collapses (i.e., reduction of embryo area preventing the discrimination of ICM from trophectoderm).&lt;/jats:p&gt;_x000a_               &lt;/jats:sec&gt;_x000a_               &lt;jats:sec&gt;_x000a_                  &lt;jats:title&gt;Participants/materials, setting, methods&lt;/jats:title&gt;_x000a_                  &lt;jats:p&gt;ICSI, continuous blastocyst culture (day 5-7) in time-lapse incubators, trophectoderm biopsy without zona-pellucida drilling on fully-expanded blastocysts, and qPCR to assess non-mosaic full-chromosome aneuploidies were all conducted. Blastocyst morphological quality was defined according to Gardner’s schemes as excellent (AA), good (AB,BA), average (BB,AC,CA) and poor (CC,BC,CB). Only vitrified-warmed euploid single-embryo-transfers were performed. Along with developmental timings, extent of expansion and morphological quality, we also assessed euploidy and live-birth rates in blastocysts with and without Cyt-S.&lt;/jats:p&gt;_x000a_               &lt;/jats:sec&gt;_x000a_               &lt;jats:sec&gt;_x000a_                  &lt;jats:title&gt;Main results and the role of chance&lt;/jats:title&gt;_x000a_                  &lt;jats:p&gt;94.4% of the patients (N = 117/124) had ≥1 embryo with Cyt-S (mean:2.2±1.6, range:0-9). 86% of all blastocysts analyzed (N = 271/315) had ≥1 Cyt-S (3.5±2.1, 1-13; duration of the longest Cyt-S: 5.8±3.4 hours, 0.5-20.9). Overall, we analyzed 937 Cyt-S detected at 117.3±11.8 hpi (85.7-160.5) and lasting 3.8±2.7 hours (0.2-20.9). The first Cyt-S of each embryo lasted longer (4.4±3.2 hours) compared to the following (≈3 hours or less). Cyt-S were mostly threads (N = 133/271, 54.2%) or thick cell-to-cell connections becoming threads (N = 382/937, 40.8%) than connections of constant diameter (N = 47/937, 5%). Of the 271 embryos with ≥1 Cyt-S, 71.9% showed these projections only during early expansion processes after tSB (N = 195; 3.0±1.6, 1-10), 7.7% only after collapses (N = 21; 2.6±1.5, 1-6), and 20.3% both in early expansion and after collapses (N = 55; 2.3±1.3 and 3.2±2.4, 1-11 respectively). Poor- versus excellent-quality blastocysts (N = 54/75, 72% versus N = 120/129, 93%, multivariate-OR=0.32, 95%CI 0.11-0.92, adjusted-p=0.03), t-biopsy (multivariate-OR=0.97, 95%CI 0.95-0.99, p = 0.05) and blastocyst area at t-biopsy (multivariate-OR=1.1, 95%CI 1.01-1.18, p = 0.02) were all associated with the prevalence of embryos with Cyt-S. Lastly, while euploidy rates were comparable between blastocysts with and without Cyt-S, an association instead was shown with live-birth-rates per vitrified-warmed euploid transfers (N = 34/77, 44.2% versus N = 0/10, 0%; p &amp;amp;lt; 0.01), although these data are very preliminary.&lt;/jats:p&gt;_x000a_               &lt;/jats:sec&gt;_x000a_               &lt;jats:sec&gt;_x000a_                  &lt;jats:title&gt;Limitations, reasons for caution&lt;/jats:title&gt;_x000a_                  &lt;jats:p&gt;Some Cyt-S after collapses might correspond to connections already present before these events. Larger datasets are required to confirm putative associations between Cyt-S and clinical outcomes. Only associations could be reported here, but not causations/consequences. Specific basic research studies are required to this end&lt;/jats:p&gt;_x000a_               &lt;/jats:sec&gt;_x000a_               &lt;jats:sec&gt;_x000a_                  &lt;jats:title&gt;Wider implications of the findings&lt;/jats:title&gt;_x000a_                  &lt;jats:p&gt;Embryos with ≥1 Cyt-S were faster in reaching all blastocyst timings (tSB to t-biopsy) and to expand, achieved a larger area at t-biopsy and had a better morphology. These dynamic features of blastocyst expansion might be physiological and represent biomarkers of embryo quality. Nevertheless, their function is yet unknown&lt;/jats:p&gt;_x000a_               &lt;/jats:sec&gt;_x000a_               &lt;jats:sec&gt;_x000a_                  &lt;jats:title&gt;Trial registration number&lt;/jats:title&gt;_x000a_                  &lt;jats:p&gt;not applicable&lt;/jats:p&gt;_x000a_               &lt;/jats:sec&gt;"/>
    <n v="5880"/>
    <s v="No"/>
    <s v="No"/>
    <s v="Yes"/>
    <s v="Yes"/>
    <s v="No"/>
    <s v="Yes"/>
    <s v="No"/>
    <s v="No problems"/>
    <s v="truncated"/>
    <x v="4"/>
  </r>
  <r>
    <s v="journal-article:None"/>
    <s v="10.1103/physrevd.110.092002"/>
    <s v="&lt;jats:p&gt;The first observation of the concurrent production of two &lt;a:math xmlns:a=&quot;http://www.w3.org/1998/Math/MathML&quot; display=&quot;inline&quot;&gt;&lt;a:mrow&gt;&lt;a:mi&gt;J&lt;/a:mi&gt;&lt;a:mo&gt;/&lt;/a:mo&gt;&lt;a:mi&gt;ψ&lt;/a:mi&gt;&lt;/a:mrow&gt;&lt;/a:math&gt; mesons in proton-nucleus collisions is presented. The analysis is based on a proton-lead (&lt;c:math xmlns:c=&quot;http://www.w3.org/1998/Math/MathML&quot; display=&quot;inline&quot;&gt;&lt;c:mi&gt;p&lt;/c:mi&gt;&lt;c:mi&gt;Pb&lt;/c:mi&gt;&lt;/c:math&gt;) data sample recorded at a nucleon-nucleon center-of-mass energy of 8.16 TeV by the CMS experiment at the CERN LHC and corresponding to an integrated luminosity of &lt;e:math xmlns:e=&quot;http://www.w3.org/1998/Math/MathML&quot; display=&quot;inline&quot;&gt;&lt;e:mn&gt;174.6&lt;/e:mn&gt;&lt;e:mtext&gt; &lt;/e:mtext&gt;&lt;e:mtext&gt; &lt;/e:mtext&gt;&lt;e:msup&gt;&lt;e:mi&gt;nb&lt;/e:mi&gt;&lt;e:mrow&gt;&lt;e:mo&gt;−&lt;/e:mo&gt;&lt;e:mn&gt;1&lt;/e:mn&gt;&lt;/e:mrow&gt;&lt;/e:msup&gt;&lt;/e:math&gt;. The two &lt;g:math xmlns:g=&quot;http://www.w3.org/1998/Math/MathML&quot; display=&quot;inline&quot;&gt;&lt;g:mi&gt;J&lt;/g:mi&gt;&lt;g:mo&gt;/&lt;/g:mo&gt;&lt;g:mi&gt;ψ&lt;/g:mi&gt;&lt;/g:math&gt; mesons are reconstructed in their &lt;i:math xmlns:i=&quot;http://www.w3.org/1998/Math/MathML&quot; display=&quot;inline&quot;&gt;&lt;i:mrow&gt;&lt;i:msup&gt;&lt;i:mrow&gt;&lt;i:mi&gt;μ&lt;/i:mi&gt;&lt;/i:mrow&gt;&lt;i:mrow&gt;&lt;i:mo&gt;+&lt;/i:mo&gt;&lt;/i:mrow&gt;&lt;/i:msup&gt;&lt;i:msup&gt;&lt;i:mrow&gt;&lt;i:mi&gt;μ&lt;/i:mi&gt;&lt;/i:mrow&gt;&lt;i:mrow&gt;&lt;i:mo&gt;−&lt;/i:mo&gt;&lt;/i:mrow&gt;&lt;/i:msup&gt;&lt;/i:mrow&gt;&lt;/i:math&gt; decay channels with transverse momenta &lt;k:math xmlns:k=&quot;http://www.w3.org/1998/Math/MathML&quot; display=&quot;inline&quot;&gt;&lt;k:msub&gt;&lt;k:mi&gt;p&lt;/k:mi&gt;&lt;k:mi mathvariant=&quot;normal&quot;&gt;T&lt;/k:mi&gt;&lt;/k:msub&gt;&lt;k:mo&gt;&amp;gt;&lt;/k:mo&gt;&lt;k:mn&gt;6.5&lt;/k:mn&gt;&lt;k:mtext&gt; &lt;/k:mtext&gt;&lt;k:mtext&gt; &lt;/k:mtext&gt;&lt;k:mi&gt;GeV&lt;/k:mi&gt;&lt;/k:math&gt; and rapidity &lt;n:math xmlns:n=&quot;http://www.w3.org/1998/Math/MathML&quot; display=&quot;inline&quot;&gt;&lt;n:mrow&gt;&lt;n:mo stretchy=&quot;false&quot;&gt;|&lt;/n:mo&gt;&lt;n:mi&gt;y&lt;/n:mi&gt;&lt;n:mo stretchy=&quot;false&quot;&gt;|&lt;/n:mo&gt;&lt;/n:mrow&gt;&lt;n:mo&gt;&amp;lt;&lt;/n:mo&gt;&lt;n:mn&gt;2.4&lt;/n:mn&gt;&lt;/n:math&gt;. Events where one of the &lt;r:math xmlns:r=&quot;http://www.w3.org/1998/Math/MathML&quot; display=&quot;inline&quot;&gt;&lt;r:mi&gt;J&lt;/r:mi&gt;&lt;r:mo&gt;/&lt;/r:mo&gt;&lt;r:mi&gt;ψ&lt;/r:mi&gt;&lt;/r:math&gt; mesons is reconstructed in the dielectron channel are also considered in the search. The &lt;t:math xmlns:t=&quot;http://www.w3.org/1998/Math/MathML&quot; display=&quot;inline&quot;&gt;&lt;t:mi&gt;p&lt;/t:mi&gt;&lt;t:mi&gt;Pb&lt;/t:mi&gt;&lt;t:mo stretchy=&quot;false&quot;&gt;→&lt;/t:mo&gt;&lt;t:mrow&gt;&lt;t:mrow&gt;&lt;t:mi&gt;J&lt;/t:mi&gt;&lt;t:mo&gt;/&lt;/t:mo&gt;&lt;t:mi&gt;ψ&lt;/t:mi&gt;&lt;/t:mrow&gt;&lt;t:mrow&gt;&lt;t:mi&gt;J&lt;/t:mi&gt;&lt;t:mo&gt;/&lt;/t:mo&gt;&lt;t:mi&gt;ψ&lt;/t:mi&gt;&lt;/t:mrow&gt;&lt;t:mo&gt;+&lt;/t:mo&gt;&lt;t:mrow&gt;&lt;t:mi&gt;X&lt;/t:mi&gt;&lt;/t:mrow&gt;&lt;/t:mrow&gt;&lt;/t:math&gt; process is observed with a significance of 5.3 standard deviations. The measured inclusive fiducial cross section, using the four-muon channel alone, is &lt;w:math xmlns:w=&quot;http://www.w3.org/1998/Math/MathML&quot; display=&quot;inline&quot;&gt;&lt;w:mi&gt;σ&lt;/w:mi&gt;&lt;w:mo stretchy=&quot;false&quot;&gt;(&lt;/w:mo&gt;&lt;w:mi&gt;p&lt;/w:mi&gt;&lt;w:mi&gt;Pb&lt;/w:mi&gt;&lt;w:mo stretchy=&quot;false&quot;&gt;→&lt;/w:mo&gt;&lt;w:mrow&gt;&lt;w:mi&gt;J&lt;/w:mi&gt;&lt;w:mo&gt;/&lt;/w:mo&gt;&lt;w:mi&gt;ψ&lt;/w:mi&gt;&lt;/w:mrow&gt;&lt;w:mrow&gt;&lt;w:mi&gt;J&lt;/w:mi&gt;&lt;w:mo&gt;/&lt;/w:mo&gt;&lt;w:mi&gt;ψ&lt;/w:mi&gt;&lt;/w:mrow&gt;&lt;w:mo&gt;+&lt;/w:mo&gt;&lt;w:mrow&gt;&lt;w:mi&gt;X&lt;/w:mi&gt;&lt;/w:mrow&gt;&lt;w:mo stretchy=&quot;false&quot;&gt;)&lt;/w:mo&gt;&lt;w:mo&gt;=&lt;/w:mo&gt;&lt;w:mspace linebreak=&quot;goodbreak&quot;/&gt;&lt;w:mn&gt;22.0&lt;/w:mn&gt;&lt;w:mo&gt;±&lt;/w:mo&gt;&lt;w:mn&gt;8.9&lt;/w:mn&gt;&lt;w:mo stretchy=&quot;false&quot;&gt;(&lt;/w:mo&gt;&lt;w:mi&gt;stat&lt;/w:mi&gt;&lt;w:mo stretchy=&quot;false&quot;&gt;)&lt;/w:mo&gt;&lt;w:mo&gt;±&lt;/w:mo&gt;&lt;w:mn&gt;1.5&lt;/w:mn&gt;&lt;w:mo stretchy=&quot;false&quot;&gt;(&lt;/w:mo&gt;&lt;w:mi&gt;syst&lt;/w:mi&gt;&lt;w:mo stretchy=&quot;false&quot;&gt;)&lt;/w:mo&gt;&lt;w:mtext&gt; &lt;/w:mtext&gt;&lt;w:mtext&gt; &lt;/w:mtext&gt;&lt;w:mi&gt;nb&lt;/w:mi&gt;&lt;/w:math&gt;. A fit of the data to the expected rapidity separation for pairs of &lt;gb:math xmlns:gb=&quot;http://www.w3.org/1998/Math/MathML&quot; display=&quot;inline&quot;&gt;&lt;gb:mi&gt;J&lt;/gb:mi&gt;&lt;gb:mo&gt;/&lt;/gb:mo&gt;&lt;gb:mi&gt;ψ&lt;/gb:mi&gt;&lt;/gb:math&gt; mesons produced in single (SPS) and double (DPS) parton scatterings yields &lt;ib:math xmlns:ib=&quot;http://www.w3.org/1998/Math/MathML&quot; display=&quot;inline&quot;&gt;&lt;ib:mrow&gt;&lt;ib:msubsup&gt;&lt;ib:mrow&gt;&lt;ib:mi&gt;σ&lt;/ib:mi&gt;&lt;/ib:mrow&gt;&lt;ib:mrow&gt;&lt;ib:mi&gt;SPS&lt;/ib:mi&gt;&lt;/ib:mrow&gt;&lt;ib:mrow&gt;&lt;ib:mi&gt;p&lt;/ib:mi&gt;&lt;ib:mi&gt;Pb&lt;/ib:mi&gt;&lt;ib:mo stretchy=&quot;false&quot;&gt;→&lt;/ib:mo&gt;&lt;ib:mrow&gt;&lt;ib:mi&gt;J&lt;/ib:mi&gt;&lt;ib:mo&gt;/&lt;/ib:mo&gt;&lt;ib:mi&gt;ψ&lt;/ib:mi&gt;&lt;/ib:mrow&gt;&lt;ib:mrow&gt;&lt;ib:mi&gt;J&lt;/ib:mi&gt;&lt;ib:mo&gt;/&lt;/ib:mo&gt;&lt;ib:mi&gt;ψ&lt;/ib:mi&gt;&lt;/ib:mrow&gt;&lt;ib:mo&gt;+&lt;/ib:mo&gt;&lt;ib:mrow&gt;&lt;ib:mi&gt;X&lt;/ib:mi&gt;&lt;/ib:mrow&gt;&lt;/ib:mrow&gt;&lt;/ib:msubsup&gt;&lt;ib:mo&gt;=&lt;/ib:mo&gt;&lt;ib:mn&gt;16.5&lt;/ib:mn&gt;&lt;ib:mo&gt;±&lt;/ib:mo&gt;&lt;ib:mn&gt;10.8&lt;/ib:mn&gt;&lt;ib:mo stretchy=&quot;false&quot;&gt;(&lt;/ib:mo&gt;&lt;ib:mi&gt;stat&lt;/ib:mi&gt;&lt;ib:mo stretchy=&quot;false&quot;&gt;)&lt;/ib:mo&gt;&lt;ib:mo&gt;±&lt;/ib:mo&gt;&lt;ib:mn&gt;0.1&lt;/ib:mn&gt;&lt;ib:mo stretchy=&quot;false&quot;&gt;(&lt;/ib:mo&gt;&lt;ib:mi&gt;syst&lt;/ib:mi&gt;&lt;ib:mo stretchy=&quot;false&quot;&gt;)&lt;/ib:mo&gt;&lt;ib:mtext&gt; &lt;/ib:mtext&gt;&lt;ib:mtext&gt; &lt;/ib:mtext&gt;&lt;ib:mi&gt;nb&lt;/ib:mi&gt;&lt;/ib:mrow&gt;&lt;/ib:math&gt; and &lt;pb:math xmlns:pb=&quot;http://www.w3.org/1998/Math/MathML&quot; display=&quot;inline&quot;&gt;&lt;pb:msubsup&gt;&lt;pb:mi&gt;σ&lt;/pb:mi&gt;&lt;pb:mi&gt;DPS&lt;/pb:mi&gt;&lt;pb:mrow&gt;&lt;pb:mi&gt;p&lt;/pb:mi&gt;&lt;pb:mi&gt;Pb&lt;/pb:mi&gt;&lt;pb:mo stretchy=&quot;false&quot;&gt;→&lt;/pb:mo&gt;&lt;pb:mrow&gt;&lt;pb:mi&gt;J&lt;/pb:mi&gt;&lt;pb:mo&gt;/&lt;/pb:mo&gt;&lt;pb:mi&gt;ψ&lt;/pb:mi&gt;&lt;/pb:mrow&gt;&lt;pb:mrow&gt;&lt;pb:mi&gt;J&lt;/pb:mi&gt;&lt;pb:mo&gt;/&lt;/pb:mo&gt;&lt;pb:mi&gt;ψ&lt;/pb:mi&gt;&lt;/pb:mrow&gt;&lt;pb:mo&gt;+&lt;/pb:mo&gt;&lt;pb:mrow&gt;&lt;pb:mi&gt;X&lt;/pb:mi&gt;&lt;/pb:mrow&gt;&lt;/pb:mrow&gt;&lt;/pb:msubsup&gt;&lt;pb:mo&gt;=&lt;/pb:mo&gt;&lt;pb:mn&gt;5.4&lt;/pb:mn&gt;&lt;pb:mo&gt;±&lt;/pb:mo&gt;&lt;pb:mn&gt;6.2&lt;/pb:mn&gt;&lt;pb:mo stretchy=&quot;false&quot;&gt;(&lt;/pb:mo&gt;&lt;pb:mi&gt;stat&lt;/pb:mi&gt;&lt;pb:mo stretchy=&quot;false&quot;&gt;)&lt;/pb:mo&gt;&lt;pb:mo&gt;±&lt;/pb:mo&gt;&lt;pb:mn&gt;0.4&lt;/pb:mn&gt;&lt;pb:mo stretchy=&quot;false&quot;&gt;(&lt;/pb:mo&gt;&lt;pb:mi&gt;syst&lt;/pb:mi&gt;&lt;pb:mo stretchy=&quot;false&quot;&gt;)&lt;/pb:mo&gt;&lt;pb:mtext&gt; &lt;/pb:mtext&gt;&lt;pb:mtext&gt; &lt;/pb:mtext&gt;&lt;pb:mi&gt;nb&lt;/pb:mi&gt;&lt;/pb:math&gt;, respectively. This latter result can be transformed into a lower bound on the effective DPS cross section, closely related to the squared average interparton transverse separation in the collision, of &lt;wb:math xmlns:wb=&quot;http://www.w3.org/1998/Math/MathML&quot; display=&quot;inline&quot;&gt;&lt;wb:msub&gt;&lt;wb:mi&gt;σ&lt;/wb:mi&gt;&lt;wb:mi&gt;eff&lt;/wb:mi&gt;&lt;/wb:msub&gt;&lt;wb:mo&gt;&amp;gt;&lt;/wb:mo&gt;&lt;wb:mn&gt;1.0&lt;/wb:mn&gt;&lt;wb:mtext&gt; &lt;/wb:mtext&gt;&lt;wb:mtext&gt; &lt;/wb:mtext&gt;&lt;wb:mi&gt;mb&lt;/wb:mi&gt;&lt;/wb:math&gt; at 95% confidence level.&lt;/jats:p&gt;_x000a_          &lt;jats:sec&gt;_x000a_            &lt;jats:title/&gt;_x000a_            &lt;jats:supplementary-material&gt;_x000a_              &lt;jats:permissions&gt;_x000a_                &lt;jats:copyright-statement&gt;© 2024 CERN, for the CMS Collaboration&lt;/jats:copyright-statement&gt;_x000a_                &lt;jats:copyright-year&gt;2024&lt;/jats:copyright-year&gt;_x000a_                &lt;jats:copyright-holder&gt;CERN&lt;/jats:copyright-holder&gt;_x000a_              &lt;/jats:permissions&gt;_x000a_            &lt;/jats:supplementary-material&gt;_x000a_          &lt;/jats:sec&gt;"/>
    <n v="5878"/>
    <s v="MathML"/>
    <s v="No"/>
    <s v="Yes"/>
    <s v="Yes"/>
    <s v="No"/>
    <s v="Yes"/>
    <s v="Yes"/>
    <s v="MathML"/>
    <s v="contains U+00A0 No Break Space"/>
    <x v="0"/>
  </r>
  <r>
    <s v="journal-article:None"/>
    <s v="10.37551/s3020-45420021"/>
    <s v="&lt;jats:p&gt;INTRODUCCIÓNLos pacientes con enfermedad renal crónica en programas de hemodiálisis (HD) precisan ser evaluados periódicamente mediante controles clínicos y analíticos que garanticen el adecuado control y seguimiento, de su evolución y tratamiento. Los datos obtenidos de estos controles aportan información relevante sobre el estado general del paciente, dosis de diálisis, funcionamiento del acceso vascular (AV), y se utilizan para ajustar el tratamiento y la pauta de diálisis según la evolución del paciente._x000a_OBJETIVOS❱ Obtener las muestras de sangre de manera adecuada y fiable para la determinación de parámetros hematológicos y bioquímicos solicitados (analítica general).❱ Asegurar que la muestra obtenida se corresponde con la analítica solicitada y programada._x000a_COMPETENCIAS ESPECÍFICAS❱ Conocer la programación de los controles analíticos previstos en el centro.❱ Preparar el material y los tubos de laboratorio necesarios en función de las pruebas analíticas solicitadas.❱ Determinar el momento de la sesión y las condiciones en que debe realizarse la extracción en función de las pruebas analíticas solicitadas.❱ Conocer el modo de conservación y el procesamiento de las muestras obtenidas para su envío a laboratorio._x000a_PERSONAL IMPLICADO❱ Enfermera/o y Técnico en Cuidados Auxiliares de Enfermería._x000a_MATERIAL NECESARIO❱ Petición analítica.❱ Etiquetas identificativas según la logística de cada centro.❱ Tubos específicos para recogida de las muestras solicitadas.❱ Jeringas, agujas IV o dispositivo para extracción con sistema de vacío._x000a_DESCRIPCIÓN DEL PROCEDIMIENTO1. Realice un correcto lavado de manos antes y después de cada intervención con el paciente y/o su entorno (monitor, cama o sillón, carpetas).2. Compruebe la identidad del paciente.3. Verifique las peticiones analíticas solicitadas o programadas a realizar.4. Informe al paciente de la prueba que se le va a realizar.5. Prepare los tubos y el material necesario, identificando los tubos según el código y procedimiento de identificación propio del centro.6. Si el paciente se dializa a través de fístula arteriovenosa, realice la punción de la misma, sin cebar al menos una de las agujas ni su cánula de extensión. 7. Extraiga las muestras sanguíneas antes de la conexión al circuito de HD directamente de una aguja sin cebar.8. En caso de que la diálisis se realice a través de un catéter de alto flujo, asegúrese de haber retirado el anticoagulante de sellado del mismo (deseche el valor que indique la rama del catéter), posteriormente extraiga 10 ml de sangre y no la deseche, extraiga las muestras solicitadas y devuelva los 10 ml de sangre anteriores con medidas de asepsia estrictas (como en todo el proceso de conexión).9. Introduzca la sangre en los tubos previamente preparados.10. Compruebe que el material utilizado queda desechado en los contenedores dispuestos a tal fin.11. Registre la actividad realizada, hora y profesional que la ha llevado a cabo, así como las recomendaciones que considere necesarias.12. Confirme que las muestras y sus correspondientes peticiones siguen el circuito previsto para su recepción en laboratorio._x000a_SEGURIDAD DEL PACIENTE❱ Habitualmente las peticiones y los tubos necesarios para las distintas pruebas se preparan e identifican con antelación para todos los pacientes que van a recibir tratamiento sustitutivo en un determinado turno. El resultado de estas pruebas es determinante en el ajuste de la dosis de diálisis y de modificaciones del tratamiento farmacológico. Por ello, antes de realizar la extracción, es obligatorio chequear de nuevo que, tanto la petición analítica como los tubos preparados son correctos y coinciden con las pruebas solicitadas y con la identidad del paciente.❱ La realización de una técnica extracorpórea y la necesidad de pruebas analíticas con asiduidad aumentan el riesgo de pérdidas sanguíneas del paciente y son factores anemizantes. Para minimizar en lo posible este efecto indeseado y evitar muestras sesgadas, a aquellos pacientes que se dializan a través de catéter se les extrae 10 ml extra (algunos autores sugieren 20 ml), no se desecha y se devuelve posteriormente. Evitar riesgos de bacteriemia implica la realización de esta maniobra con medidas de asepsia estrictas. Una alternativa, sugerida por algunos autores, propone obtener la muestra de sangre de la línea arterial del circuito entre 1’ y 2’ después de que comience a circular a un flujo de bomba de 150 ml/min, y previo a la conexión de la línea venosa al paciente y a la heparinización del circuito._x000a_OBSERVACIONES/PRECAUCIONES❱ La analítica general se suele realizar pre-diálisis el día intermedio de la semana en función del turno del paciente.❱ La planificación de las analíticas a realizar durante el año en curso se suele establecer anualmente con el laboratorio de referencia.❱ Para minimizar las pérdidas hemáticas es importante ampliar la analítica rutinaria según las necesidades del paciente (solicitudes de otros especialistas, ampliación de estudios en casos concretos). El fin es evitar a los pacientes visitas innecesarias al hospital y optimizar el número de extracciones de sangre evitando duplicar pruebas ya solicitadas.❱ El orden de uso de los tubos es importante para prevenir la contaminación de las muestras por anticoagulantes no deseados. Si se solicitan, los hemocultivos deben ser los primeros ya que la extracción siempre debe ser estéril. A continuación, los tubos sin aditivo o con gelosa (bioquímica), seguidamente los tubos con aditivos líquidos (coagulación) y por último tubos con aditivos sólidos, EDTA (tubo de hemograma).&lt;/jats:p&gt;"/>
    <n v="5605"/>
    <s v="No"/>
    <s v="No"/>
    <s v="Yes"/>
    <s v="Yes"/>
    <s v="Yes"/>
    <s v="Yes"/>
    <s v="Yes"/>
    <s v="includes U+2771 Dingbat char"/>
    <s v="includes U+2771 Dingbat char"/>
    <x v="0"/>
  </r>
  <r>
    <s v="journal-article:None"/>
    <s v="10.1515/conop-2020-0004"/>
    <s v="&lt;jats:title&gt;Abstract&lt;/jats:title&gt;_x000a_               &lt;jats:p&gt;We study the compactness and the hypercyclicity of Toeplitz operators &lt;jats:inline-formula&gt;_x000a_                     &lt;jats:alternatives&gt;_x000a_                        &lt;jats:inline-graphic xmlns:xlink=&quot;http://www.w3.org/1999/xlink&quot; xlink:href=&quot;graphic/j_conop-2020-0004_eq_001.png&quot; /&gt;_x000a_                        &lt;m:math xmlns:m=&quot;http://www.w3.org/1998/Math/MathML&quot;&gt;_x000a_                           &lt;m:mrow&gt;_x000a_                              &lt;m:msub&gt;_x000a_                                 &lt;m:mrow&gt;_x000a_                                    &lt;m:mi&gt;T&lt;/m:mi&gt;_x000a_                                 &lt;/m:mrow&gt;_x000a_                                 &lt;m:mrow&gt;_x000a_                                    &lt;m:mover&gt;_x000a_                                       &lt;m:mi&gt;ϕ&lt;/m:mi&gt;_x000a_                                       &lt;m:mo&gt;¯&lt;/m:mo&gt;_x000a_                                    &lt;/m:mover&gt;_x000a_                                    &lt;m:mo&gt;,&lt;/m:mo&gt;_x000a_                                    &lt;m:mi&gt;b&lt;/m:mi&gt;_x000a_                                 &lt;/m:mrow&gt;_x000a_                              &lt;/m:msub&gt;_x000a_                           &lt;/m:mrow&gt;_x000a_                        &lt;/m:math&gt;_x000a_                        &lt;jats:tex-math&gt;{T_{\bar \varphi ,b}}&lt;/jats:tex-math&gt;_x000a_                     &lt;/jats:alternatives&gt;_x000a_                  &lt;/jats:inline-formula&gt; with co-analytic and bounded symbols on de Branges-Rovnyak spaces ℋ(&lt;jats:italic&gt;b&lt;/jats:italic&gt;). For the compactness of &lt;jats:inline-formula&gt;_x000a_                     &lt;jats:alternatives&gt;_x000a_                        &lt;jats:inline-graphic xmlns:xlink=&quot;http://www.w3.org/1999/xlink&quot; xlink:href=&quot;graphic/j_conop-2020-0004_eq_002.png&quot; /&gt;_x000a_                        &lt;m:math xmlns:m=&quot;http://www.w3.org/1998/Math/MathML&quot;&gt;_x000a_                           &lt;m:mrow&gt;_x000a_                              &lt;m:msub&gt;_x000a_                                 &lt;m:mrow&gt;_x000a_                                    &lt;m:mi&gt;T&lt;/m:mi&gt;_x000a_                                 &lt;/m:mrow&gt;_x000a_                                 &lt;m:mrow&gt;_x000a_                                    &lt;m:mover&gt;_x000a_                                       &lt;m:mi&gt;ϕ&lt;/m:mi&gt;_x000a_                                       &lt;m:mo&gt;¯&lt;/m:mo&gt;_x000a_                                    &lt;/m:mover&gt;_x000a_                                    &lt;m:mo&gt;,&lt;/m:mo&gt;_x000a_                                    &lt;m:mi&gt;b&lt;/m:mi&gt;_x000a_                                 &lt;/m:mrow&gt;_x000a_                              &lt;/m:msub&gt;_x000a_                           &lt;/m:mrow&gt;_x000a_                        &lt;/m:math&gt;_x000a_                        &lt;jats:tex-math&gt;{T_{\bar \varphi ,b}}&lt;/jats:tex-math&gt;_x000a_                     &lt;/jats:alternatives&gt;_x000a_                  &lt;/jats:inline-formula&gt;, we will see that the result depends on the boundary spectrum of &lt;jats:italic&gt;b&lt;/jats:italic&gt;. We will prove that there are non trivial compact operators of the form &lt;jats:inline-formula&gt;_x000a_                     &lt;jats:alternatives&gt;_x000a_                        &lt;jats:inline-graphic xmlns:xlink=&quot;http://www.w3.org/1999/xlink&quot; xlink:href=&quot;graphic/j_conop-2020-0004_eq_003.png&quot; /&gt;_x000a_                        &lt;m:math xmlns:m=&quot;http://www.w3.org/1998/Math/MathML&quot;&gt;_x000a_                           &lt;m:mrow&gt;_x000a_                              &lt;m:msub&gt;_x000a_                                 &lt;m:mrow&gt;_x000a_                                    &lt;m:mi&gt;T&lt;/m:mi&gt;_x000a_                                 &lt;/m:mrow&gt;_x000a_                                 &lt;m:mrow&gt;_x000a_                                    &lt;m:mover&gt;_x000a_                                       &lt;m:mi&gt;ϕ&lt;/m:mi&gt;_x000a_                                       &lt;m:mo&gt;¯&lt;/m:mo&gt;_x000a_                                    &lt;/m:mover&gt;_x000a_                                    &lt;m:mo&gt;,&lt;/m:mo&gt;_x000a_                                    &lt;m:mi&gt;b&lt;/m:mi&gt;_x000a_                                 &lt;/m:mrow&gt;_x000a_                              &lt;/m:msub&gt;_x000a_                           &lt;/m:mrow&gt;_x000a_                        &lt;/m:math&gt;_x000a_                        &lt;jats:tex-math&gt;{T_{\bar \varphi ,b}}&lt;/jats:tex-math&gt;_x000a_                     &lt;/jats:alternatives&gt;_x000a_                  &lt;/jats:inline-formula&gt;, with &lt;jats:italic&gt;ϕ&lt;/jats:italic&gt; ∈ &lt;jats:italic&gt;H&lt;/jats:italic&gt;_x000a_                  &lt;jats:italic&gt;_x000a_                     &lt;jats:sup&gt;∞&lt;/jats:sup&gt;_x000a_                  &lt;/jats:italic&gt; ∩ &lt;jats:italic&gt;C&lt;/jats:italic&gt;(𝕋), if and only if &lt;jats:italic&gt;m&lt;/jats:italic&gt;(σ(&lt;jats:italic&gt;b&lt;/jats:italic&gt;) ∩ 𝕋) = 0. We will also show that, when &lt;jats:italic&gt;b&lt;/jats:italic&gt; is non-extreme, then &lt;jats:inline-formula&gt;_x000a_                     &lt;jats:alternatives&gt;_x000a_                        &lt;jats:inline-graphic xmlns:xlink=&quot;http://www.w3.org/1999/xlink&quot; xlink:href=&quot;graphic/j_conop-2020-0004_eq_004.png&quot; /&gt;_x000a_                        &lt;m:math xmlns:m=&quot;http://www.w3.org/1998/Math/MathML&quot;&gt;_x000a_                           &lt;m:mrow&gt;_x000a_                              &lt;m:msub&gt;_x000a_                                 &lt;m:mrow&gt;_x000a_                                    &lt;m:mi&gt;T&lt;/m:mi&gt;_x000a_                                 &lt;/m:mrow&gt;_x000a_                                 &lt;m:mrow&gt;_x000a_                                    &lt;m:mover&gt;_x000a_                                       &lt;m:mi&gt;ϕ&lt;/m:mi&gt;_x000a_                                       &lt;m:mo&gt;¯&lt;/m:mo&gt;_x000a_                                    &lt;/m:mover&gt;_x000a_                                    &lt;m:mo&gt;,&lt;/m:mo&gt;_x000a_                                    &lt;m:mi&gt;b&lt;/m:mi&gt;_x000a_                                 &lt;/m:mrow&gt;_x000a_                              &lt;/m:msub&gt;_x000a_                           &lt;/m:mrow&gt;_x000a_                        &lt;/m:math&gt;_x000a_                        &lt;jats:tex-math&gt;{T_{\bar \varphi ,b}}&lt;/jats:tex-math&gt;_x000a_                     &lt;/jats:alternatives&gt;_x000a_                  &lt;/jats:inline-formula&gt; is hypercyclic if and only if &lt;jats:italic&gt;ϕ&lt;/jats:italic&gt; is non-constant and &lt;jats:italic&gt;ϕ&lt;/jats:italic&gt;(𝔻) ∩ 𝕋 ≠ ∅.&lt;/jats:p&gt;"/>
    <n v="5526"/>
    <s v="MathML"/>
    <s v="No"/>
    <s v="Yes"/>
    <s v="Yes"/>
    <s v="No"/>
    <s v="Yes"/>
    <s v="No"/>
    <s v="includes hyperlinks"/>
    <s v="includes links to png files but they are within the jats tags"/>
    <x v="1"/>
  </r>
  <r>
    <s v="journal-article:None"/>
    <s v="10.25630/pav.2020.73.48.004"/>
    <s v="&lt;jats:p&gt;Пахотные угодья Республики Коми в основном представлены дерново-подзолистыми почвами с низким естественным плодородием, которые без применения удобрений быстро подвергаются деградационным процессам, что резко снижает их продуктивность. Цель исследований: оценка эффективности долговременного применения органических и минеральных удобрений при выращивании картофеля в кормовом севообороте в условиях Республики Коми. Методической основой выполнения работ были комплексные исследования дерново-подзолистых почв, клубней картофеля на участках многолетнего полевого эксперимента, заложенного на землях Института агробиотехнологий ФИЦ Коми НЦ УрО РАН в соответствии с «Методическими указаниями географической сети опытов с удобрениями». Длительный период исследований (более 40 лет) характеризовался различными климатическими условиями, которые отразились на количестве урожая и качестве клубней картофеля. Было проведено 7 ротаций (14 лет) с выращиванием картофеля. Вносили органические удобрения – торфонавозный компост (ТНК) в дозах 40 и 80 т/га (1 и 2 фон, соответственно) под картофель и минеральные удобрения – NPК в дозах 1/3; 1/2 и 1 для восполнения выноса растениями элементов питания. Установлено положительное влияние комплексного применения органических и минеральных удобрений на урожайность и качество картофеля, а также на плодородие дерново-подзолистой легкосуглинистой среднеокультуренной почвы в кормовом севообороте в почвенно-климатических условиях Республики Коми. В результате применения шестипольного севооборота и комплексного внесения удобрений с 1978 года к 2019 году в почвах снизилась обменная и гидролитическая кислотность; повысилось содержание гумуса на 0,5% (в контроле); на 0,2–0,5% (с тремя дозами минеральных удобрений); на 0,3–1,1% (с ТНК); на 0,2–1,6% (при совместном применении органических и минеральных удобрений). Наибольшие урожаи картофеля получены при совместном применении органических (80 т/га) и минеральных удобрений (1 NPК) и составили 37,1 т/га клубней (8,5 тыс/га кормовых единиц). При таком соотношении удобрений показано высокое качество клубней картофеля: содержание крахмала 15,5%, витамина С – 19,4 мг%, сырого протеина – 14,1%. Количество нитратного азота не превышало ПДК (ПДК 250 мг.с.м.). Экономические расчеты показали, что при внесении ТНК 40 т/га + 1 NPК в дерново-подзолистые почвы с.-х. использования в среднетаежной зоне Республики Коми при выращивании картофеля, условный чистый доход составит 68,4 тыс. р. с 1 га, себестоимость 1 т картофеля – 2,8 тыс. р., рентабельность 188,7%.&lt;/jats:p&gt;_x000a_                                                                                            &lt;jats:p&gt;The arable land of the Republic of Komi is mainly represented by dern-sub-ground soils with low natural fertility, which without the use of fertilizers are quickly subjected to degradation processes, which dramatically reduces their productivity. The aim of the research is to evaluate the efficiency of long-term use of organic and mineral fertilizers in the growing of potatoes in feed crop rotation in the conditions of the Komi Republic. The methodological basis for carrying out the works was comprehensive studies of dern-subhead soils, potato tubers on the sites of a multi-year field experiment laid on the lands of the Institute of Agrobiotechnology of the FRC Komi SC UB RAS in accordance with the «Methodological Instructions of the Geographical Network of Experiments with Fertilizers». A long period of research (more than 40 years) was characterized by different climatic conditions, which affected the number of crops and the quality of potato tubers. There were 7 rotations (14 years) with potato cultivation. Organic fertilizers – peat-avous compost (TNK) in doses of 40 and 80 t/ha (1 and 2 background, respectively) for potatoes and mineral fertilizers – NPK in doses of 1/3; 1/2 and 1 to replenish the carry-out of food elements by plants. The positive effect of the integrated use of organic and mineral fertilizers on the yield and quality of potatoes, as well as on the fertility of soddy-podzolic light loamy medium cultivated soil in fodder crop rotation in the soil and climatic conditions of the Komi Republic, has been established. As a result of the use of six-bed crop rotation and the integrated application of fertilizers, metabolic and hydrolytic acidity decreased in soils from 1978 to 2019; humus content increased by 0.5% (in control); 0.2–0.5% (with three doses of mineral fertilizers); 0.3–1.1% (with TNCs); 0.2–1.6% (with combined use of organic and mineral fertilizers). The largest potato yields were obtained from the combined use of organic (80 t/ha) and mineral fertilizers (1 NPK) and amounted to 37.1 t/ha tubers (8.5 thousand/ha feed units). The largest potato harvests were obtained with the combined use of organic (80 t/ha) and mineral fertilizers (1 NPK) and amounted to 37.1 t/ha of tubers (8.5 thousand/ha of feed units). With this ratio of fertilizers, the high quality of potato tubers was also determined: the starch content was 15.5%, vitamin C – 19.4 mg%, crude protein – 14.1%. The amount of nitrate nitrogen did not exceed the MPC (MPC 250 mg.s.m.). Economic calculations showed that if TNK is added 40 t/ha 1 NPK to the dern-sub-ground soils of agricultural use in the medium-sized zone of the Komi Republic when growing potatoes, the conditional net income will be 68.4 thousand rubles from 1 ha, the cost of 1 t of potatoes – 2.8 thousand rubles, profitability 188.7%.&lt;/jats:p&gt;"/>
    <n v="5501"/>
    <s v="No"/>
    <s v="No"/>
    <s v="No"/>
    <s v="Yes"/>
    <s v="No"/>
    <s v="Yes"/>
    <s v="No"/>
    <s v="includes multiple languages"/>
    <s v="article has &quot;ru&quot; and&quot;en&quot; versions"/>
    <x v="2"/>
  </r>
  <r>
    <s v="journal-article:None"/>
    <s v="10.1088/1741-4326/abca56"/>
    <s v="&lt;jats:title&gt;Abstract&lt;/jats:title&gt;_x000a_               &lt;jats:p&gt;The physics and transport consequences of the nonlinear trapping of the wave–particle interactions on the transit and bounce time scale are investigated by solving drift kinetic equation including collisions. The nonlinear particle dynamics is governed by a new set of coupled evolution equations for the phase of the wave, the toroidal component of the canonical momentum (radial motion), and the particle energy. The resonant particles are trapped nonlinearly in the phase space in a pendulum-like motion to resolve the linear resonance. The trapping mechanism is similar to that of the superbananas in the neoclassical theory. The nonlinear particle dynamics is employed to facilitate the solution of the drift kinetic equation. It is shown analytically that the particle distribution in the nonlinearly trapped region is flattened when a term of the order of &lt;jats:inline-formula&gt;_x000a_                     &lt;jats:tex-math/&gt;_x000a_                     &lt;mml:math xmlns:mml=&quot;http://www.w3.org/1998/Math/MathML&quot; display=&quot;inline&quot; overflow=&quot;scroll&quot;&gt;_x000a_                        &lt;mml:msqrt&gt;_x000a_                           &lt;mml:mrow&gt;_x000a_                              &lt;mml:mi&gt;δ&lt;/mml:mi&gt;_x000a_                              &lt;mml:mi&gt;A&lt;/mml:mi&gt;_x000a_                           &lt;/mml:mrow&gt;_x000a_                        &lt;/mml:msqrt&gt;_x000a_                     &lt;/mml:math&gt;_x000a_                     &lt;jats:inline-graphic xmlns:xlink=&quot;http://www.w3.org/1999/xlink&quot; xlink:href=&quot;nfabca56ieqn1.gif&quot; xlink:type=&quot;simple&quot;/&gt;_x000a_                  &lt;/jats:inline-formula&gt; is neglected. Here, &lt;jats:italic&gt;δA&lt;/jats:italic&gt; is the typical magnitude of the normalized perturbed wave field. The trapped and barely circulating particles diffuse collisionally in the phase space. Transport fluxes, wave–particle energy transfer rate and nonlinear damping rate are calculated. The transport coefficients have a new analytic scaling &lt;jats:inline-formula&gt;_x000a_                     &lt;jats:tex-math/&gt;_x000a_                     &lt;mml:math xmlns:mml=&quot;http://www.w3.org/1998/Math/MathML&quot; display=&quot;inline&quot; overflow=&quot;scroll&quot;&gt;_x000a_                        &lt;mml:mi&gt;ν&lt;/mml:mi&gt;_x000a_                        &lt;mml:msup&gt;_x000a_                           &lt;mml:mrow&gt;_x000a_                              &lt;mml:mi&gt;r&lt;/mml:mi&gt;_x000a_                           &lt;/mml:mrow&gt;_x000a_                           &lt;mml:mrow&gt;_x000a_                              &lt;mml:mn&gt;2&lt;/mml:mn&gt;_x000a_                           &lt;/mml:mrow&gt;_x000a_                        &lt;/mml:msup&gt;_x000a_                        &lt;mml:msqrt&gt;_x000a_                           &lt;mml:mrow&gt;_x000a_                              &lt;mml:mi&gt;δ&lt;/mml:mi&gt;_x000a_                              &lt;mml:mi&gt;A&lt;/mml:mi&gt;_x000a_                           &lt;/mml:mrow&gt;_x000a_                        &lt;/mml:msqrt&gt;_x000a_                     &lt;/mml:math&gt;_x000a_                     &lt;jats:inline-graphic xmlns:xlink=&quot;http://www.w3.org/1999/xlink&quot; xlink:href=&quot;nfabca56ieqn2.gif&quot; xlink:type=&quot;simple&quot;/&gt;_x000a_                  &lt;/jats:inline-formula&gt; _x000a_                  &lt;jats:italic&gt;U&lt;/jats:italic&gt; in the context of the wave–particle interaction, and can be significant even for a small amplitude wave in tokamaks. Here, &lt;jats:italic&gt;ν&lt;/jats:italic&gt; is the collision frequency, &lt;jats:italic&gt;r&lt;/jats:italic&gt; is the minor radius, and &lt;jats:italic&gt;U&lt;/jats:italic&gt; is a function of the wave frequency, aspect ratio, magnetic shear, and mode numbers. It is estimated that when &lt;jats:italic&gt;δA&lt;/jats:italic&gt; ∼ 10&lt;jats:sup&gt;−4&lt;/jats:sup&gt; for the magnetic perturbation, alpha particle energy loss rate is comparable to that of the neoclassical theory. The energy transfer rate is proportional to part of the particle flux, a new relation, and scales as &lt;jats:italic&gt;ν&lt;/jats:italic&gt;_x000a_                  &lt;jats:inline-formula&gt;_x000a_                     &lt;jats:tex-math/&gt;_x000a_                     &lt;mml:math xmlns:mml=&quot;http://www.w3.org/1998/Math/MathML&quot; display=&quot;inline&quot; overflow=&quot;scroll&quot;&gt;_x000a_                        &lt;mml:msqrt&gt;_x000a_                           &lt;mml:mrow&gt;_x000a_                              &lt;mml:mi&gt;δ&lt;/mml:mi&gt;_x000a_                              &lt;mml:mi&gt;A&lt;/mml:mi&gt;_x000a_                           &lt;/mml:mrow&gt;_x000a_                        &lt;/mml:msqrt&gt;_x000a_                     &lt;/mml:math&gt;_x000a_                     &lt;jats:inline-graphic xmlns:xlink=&quot;http://www.w3.org/1999/xlink&quot; xlink:href=&quot;nfabca56ieqn3.gif&quot; xlink:type=&quot;simple&quot;/&gt;_x000a_                  &lt;/jats:inline-formula&gt;; the nonlinear damping or growth rate &lt;jats:italic&gt;ν&lt;/jats:italic&gt;_x000a_                  &lt;jats:inline-formula&gt;_x000a_                     &lt;jats:tex-math/&gt;_x000a_                     &lt;mml:math xmlns:mml=&quot;http://www.w3.org/1998/Math/MathML&quot; display=&quot;inline&quot; overflow=&quot;scroll&quot;&gt;_x000a_                        &lt;mml:msup&gt;_x000a_                           &lt;mml:mrow&gt;_x000a_                              &lt;mml:mfenced close=&quot;)&quot; open=&quot;(&quot;&gt;_x000a_                                 &lt;mml:mrow&gt;_x000a_                                    &lt;mml:mi&gt;δ&lt;/mml:mi&gt;_x000a_                                    &lt;mml:mi&gt;A&lt;/mml:mi&gt;_x000a_                                 &lt;/mml:mrow&gt;_x000a_                              &lt;/mml:mfenced&gt;_x000a_                           &lt;/mml:mrow&gt;_x000a_                           &lt;mml:mrow&gt;_x000a_                              &lt;mml:mo&gt;−&lt;/mml:mo&gt;_x000a_                              &lt;mml:mn&gt;3&lt;/mml:mn&gt;_x000a_                              &lt;mml:mo&gt;/&lt;/mml:mo&gt;_x000a_                              &lt;mml:mn&gt;2&lt;/mml:mn&gt;_x000a_                           &lt;/mml:mrow&gt;_x000a_                        &lt;/mml:msup&gt;_x000a_                     &lt;/mml:math&gt;_x000a_                     &lt;jats:inline-graphic xmlns:xlink=&quot;http://www.w3.org/1999/xlink&quot; xlink:href=&quot;nfabca56ieqn4.gif&quot; xlink:type=&quot;simple&quot;/&gt;_x000a_                  &lt;/jats:inline-formula&gt;.&lt;/jats:p&gt;"/>
    <n v="5490"/>
    <s v="MathML"/>
    <s v="No"/>
    <s v="Yes"/>
    <s v="Yes"/>
    <s v="No"/>
    <s v="Yes"/>
    <s v="No"/>
    <s v="MathML"/>
    <m/>
    <x v="0"/>
  </r>
  <r>
    <s v="journal-article:None"/>
    <s v="10.54890/1694-6405_2023_5_100"/>
    <s v="&lt;jats:p&gt;Гнойно-септические заболевания у детей до настоящего времени являются актуальной проблемой до настоящего времени. Для детских хирургов, травматологов-ортопедов и реаниматологов глубокое поражение костной ткани, или остеомиелит является предметом общего интереса ввиду частого развития осложнений и хронизации процесса. В статье проведен анализ и систематизация опубликованных в базах данных PubMed, ScienceDirect, eLibrary результатов научных исследований по улучшению практики антимикробных препаратов в хирургической урологии. Несмотря на широкое внедрение современых методов диагностики, до настоящего времени остается дискутабельым вопрос о четких показаниях к различным методам обследования, сроках проведения и последовательности выполнения вышеуказанных мероприятий. Основным краеугольным камнем является применение антимикробных препаратов при лечении острого гематогенного остеомиелита у детей, а также разработка мероприятий по сдерживанию роста антибиотикорезистености. Неоднозначен до настоящего времени остается также вопрос выбора тактики хирургического лечения и определение четких показаний их выполения и определение сроков проведения оперативных вмешательств. Совершенствование мероприятий по повышению качества диагностики и определение тактики ведения пациентов с острым гематогенным стеомиелитом способствует повышению эффективности ранних и поздних результатов лечения, улучению качества жизни и снижению риска инвалидизации детей. Проведение углубленных исследований, направленных на совершенствование лечебно-диагностических мероприятий у детей с острым гематогенным остеомиелитом является актуальными и востребованными мероприятиями, направленными на обеспечение качественной и безопасной медицинской помощи для детей и государства в целом.&lt;/jats:p&gt;_x000a_                                                                                            &lt;jats:p&gt;Балдардагы ириңдүү септикалык оорулар бүгүнкү күнгө чейин актуалдуу көйгөй болуп саналат. Педиатриялык хирургдар, травматолог-ортопеддер жана реаниматологдор үчүн сөөк ткандарынын терең жабыркашы, же остеомиелит процесстин тез-тез өнүгүшүнө жана хронизациясына байланыштуу жалпы кызыкчылыктын предмети болуп саналат. Макалада хирургиялык Урологиядагы антимикробдук препараттардын практикасын жакшыртуу боюнча илимий изилдөөлөрдүн жыйынтыктарынын ЖРТ, КК, маалымат базаларында жарыяланган анализ жана системалаштыруу жүргүзүлдү. Заманбап диагностикалык методдордун кеңири колдонулушуна карабастан, ар кандай текшерүү методдорунун так көрсөткүчтөрү, жогоруда көрсөтүлгөн иш-чараларды өткөрүү мөөнөттөрү жана ырааттуулугу жөнүндө маселе бүгүнкү күнгө чейин талаштуу бойдон калууда. Негизги негиз болуп балдардын курч гематогендик остеомиелитин дарылоодо микробго каршы препараттарды колдонуу, ошондой эле антибиотикке туруктуулуктун өсүшүн токтотуу боюнча чараларды иштеп чыгуу саналат. Азырынча бир жактуу эмес, хирургиялык дарылоонун тактикасын тандоо жана алардын аткарылышынын так көрсөткүчтөрүн аныктоо жана оперативдүү кийлигишүүлөрдүн мөөнөтүн аныктоо маселеси да калууда. Диагностиканын сапатын жогорулатуу боюнча иш-чараларды өркүндөтүү жана курч гематогендик стеомиелит менен ооруган бейтаптарды башкаруу тактикасын аныктоо дарылоонун эрте жана кеч натыйжаларынын натыйжалуулугун жогорулатууга, жашоо сапатын жогорулатууга жана балдардын майып болуу коркунучун азайтууга өбөлгө түзөт. Курч гематогендик остеомиелит менен ооруган балдардын дарылоо-диагностикалык иш-чараларын өркүндөтүүгө багытталган терең изилдөөлөрдү жүргүзүү балдарга жана бүтүндөй мамлекетке сапаттуу жана коопсуз медициналык жардамды камсыз кылууга багытталган актуалдуу жана талап кылынган иш-чаралар болуп саналат.&lt;/jats:p&gt;_x000a_                                                    &lt;jats:p&gt;Purulent septic diseases in children are still an urgent problem to date. For pediatric surgeons, orthopedic traumatologists and intensive care specialists, deep bone damage, or osteomyelitis, is a matter of general interest due to the frequent development of complications and chronization of the process. The article analyzes and systematizes the results of scientific research published in the databases PubMed, ScienceDirect, eLibrary to improve the practice of antimicrobial drugs in surgical urology. Despite the widespread introduction of modern diagnostic methods, the issue of clear indications for various examination methods, the timing and sequence of the above measures remains debatable to date. The main cornerstone is the use of antimicrobial drugs in the treatment of acute hematogenous osteomyelitis in children, as well as the development of measures to curb the growth of antibiotic resistance. To date, the issue of choosing surgical treatment tactics and determining clear indications for their implementation and determining the timing of surgical interventions remains ambiguous. Improving measures to improve the quality of diagnosis and determining the tactics of managing patients with acute hematogenous steomyelitis contributes to improving the effectiveness of early and late treatment results, improving the quality of life and reducing the risk of disability in children. Conducting in-depth research aimed at improving therapeutic and diagnostic measures in children with acute hematogenous osteomyelitis is an urgent and in-demand measure aimed at providing high-quality and safe medical care for children and the state as a whole.&lt;/jats:p&gt;"/>
    <n v="5421"/>
    <s v="No"/>
    <s v="No"/>
    <s v="Not available"/>
    <s v="Yes"/>
    <s v="No"/>
    <s v="Yes"/>
    <s v="Yes"/>
    <s v="includes multiple languages"/>
    <s v="abstract does not render as full text for &quot;ky&quot; language; includes &quot;ru&quot;, &quot;ky&quot;,&quot;en&quot; in that order"/>
    <x v="2"/>
  </r>
  <r>
    <s v="journal-article:None"/>
    <s v="10.1093/humrep/deae245"/>
    <s v="&lt;jats:title&gt;Abstract&lt;/jats:title&gt;_x000a_               &lt;jats:sec&gt;_x000a_                  &lt;jats:title&gt;STUDY QUESTION&lt;/jats:title&gt;_x000a_                  &lt;jats:p&gt;Are there significant differences in fertility outcomes between transferring two cleavage-stage embryos in a single fresh cycle and transferring one cleavage-stage embryo in a fresh cycle and one blastocyst-stage embryo in the subsequent frozen-thawed cycle?&lt;/jats:p&gt;_x000a_               &lt;/jats:sec&gt;_x000a_               &lt;jats:sec&gt;_x000a_                  &lt;jats:title&gt;SUMMARY ANSWER&lt;/jats:title&gt;_x000a_                  &lt;jats:p&gt;In women aged &amp;amp;lt;38 years with two embryos available, transferring one cleavage-stage embryo in a fresh cycle and one blastocyst-stage embryo in the subsequent frozen-thawed cycle increased live birth rates and decreased multiple live birth rates compared to transferring two cleavage-stage embryos in a single fresh cycle.&lt;/jats:p&gt;_x000a_               &lt;/jats:sec&gt;_x000a_               &lt;jats:sec&gt;_x000a_                  &lt;jats:title&gt;WHAT IS KNOWN ALREADY&lt;/jats:title&gt;_x000a_                  &lt;jats:p&gt;The strategy of repeated single embryo transfer (SET) has emerged as a solution to address the reduced live birth rates associated with SET per cycle. There is substantial evidence indicating that the cumulative live birth rate after repeated SET is comparable to that of double embryo transfer (DET), while significantly reducing the incidence of multiple pregnancies. Evidence regarding the outcomes of transferring two cleavage-stage embryos in a single fresh cycle versus transferring one cleavage-stage embryo in one fresh cycle and one blastocyst-stage embryo in the subsequent frozen-thawed cycle is scarce.&lt;/jats:p&gt;_x000a_               &lt;/jats:sec&gt;_x000a_               &lt;jats:sec&gt;_x000a_                  &lt;jats:title&gt;STUDY DESIGN, SIZE, DURATION&lt;/jats:title&gt;_x000a_                  &lt;jats:p&gt;This study is a retrospective matched cohort study, where data were gathered from the clinical database of women who underwent IVF treatment at the Reproductive Center of Peking University Third Hospital between January 2011 and December 2019, with follow-up extending until December 2021.&lt;/jats:p&gt;_x000a_               &lt;/jats:sec&gt;_x000a_               &lt;jats:sec&gt;_x000a_                  &lt;jats:title&gt;PARTICIPANTS/MATERIALS, SETTING, METHODS&lt;/jats:title&gt;_x000a_                  &lt;jats:p&gt;The study group included cycles with a fresh cleavage-stage SET and a subsequent frozen-thawed blastocyst-stage SET (2xSET, N = 976). Fresh cleavage-stage DET was the control group (DET, N = 976). Included cycles were divided into subgroups based on age (≥38 years vs &amp;amp;lt;38 years) and total number of utilizable (transferred or cryopreserved) embryos (=2 vs &amp;amp;gt;2).&lt;/jats:p&gt;_x000a_               &lt;/jats:sec&gt;_x000a_               &lt;jats:sec&gt;_x000a_                  &lt;jats:title&gt;MAIN RESULTS AND THE ROLE OF CHANCE&lt;/jats:title&gt;_x000a_                  &lt;jats:p&gt;The duration of infertility, prevalence of unexplained infertility, and controlled ovarian stimulation regimes differed significantly between the two groups and were adjusted for in the further analysis. We observed a significant increase in clinical pregnancies (55.5% vs 42%, adjusted odds ratio (OR) 1.87 [1.55–2.26]) and live births (44.8% vs 34.5%, adjusted OR 1.63 [1.35–1.97]) in favor of the 2xSET group. The preterm birth rate was lower in the study group (adjusted OR 0.64 [0.42–0.96]). Neonatal birth weight of singletons was similar between the two groups (adjusted B 4.94 g [−84.5 to 94.4]). The beneficial effect on the live birth rate disappeared in cases where aged 38 years and older or when only two embryos were utilizable.&lt;/jats:p&gt;_x000a_               &lt;/jats:sec&gt;_x000a_               &lt;jats:sec&gt;_x000a_                  &lt;jats:title&gt;LIMITATIONS, REASONS FOR CAUTION&lt;/jats:title&gt;_x000a_                  &lt;jats:p&gt;This study is limited by differences in baseline characteristics of the two groups. Analyzing two consecutive SETs at the cleavage stage was not feasible. Additionally, the homogeneous population limits generalizability to other ethnic groups, which should be considered when interpreting the results broadly.&lt;/jats:p&gt;_x000a_               &lt;/jats:sec&gt;_x000a_               &lt;jats:sec&gt;_x000a_                  &lt;jats:title&gt;WIDER IMPLICATIONS OF THE FINDINGS&lt;/jats:title&gt;_x000a_                  &lt;jats:p&gt;We recommend a combination strategy for women under 38 years old and with more than two embryos available: transfer one cleavage-stage embryo in the fresh cycle, followed by one blastocyst-stage embryo in the subsequent frozen-thawed cycle. This strategy reduces the risk of blastocyst culture failure while maintaining a high success rate. It offers hope to families seeking additional children and avoids unnecessary embryo disposal.&lt;/jats:p&gt;_x000a_               &lt;/jats:sec&gt;_x000a_               &lt;jats:sec&gt;_x000a_                  &lt;jats:title&gt;STUDY FUNDING/COMPETING INTEREST(S)&lt;/jats:title&gt;_x000a_                  &lt;jats:p&gt;B.W.M. had received grants from NHMRC, Ferring, Merck, and Guerbet, consulting fees and stock options from ObsEva, is on the advisory board of ObsEva, and reports consultancy for Guerbet, none of which are in relation to the present manuscript. All other authors have no conflict of interest to declare.&lt;/jats:p&gt;_x000a_               &lt;/jats:sec&gt;_x000a_               &lt;jats:sec&gt;_x000a_                  &lt;jats:title&gt;TRIAL REGISTRATION NUMBER&lt;/jats:title&gt;_x000a_                  &lt;jats:p&gt;N/A.&lt;/jats:p&gt;_x000a_               &lt;/jats:sec&gt;"/>
    <n v="5297"/>
    <s v="No"/>
    <s v="No"/>
    <s v="Yes"/>
    <s v="Yes"/>
    <s v="No"/>
    <s v="Yes"/>
    <s v="Yes"/>
    <s v="includes U+2009 Thin Space General Punc char"/>
    <s v="has U+2009 Thin Space General Punc char; lovely structured abstract"/>
    <x v="0"/>
  </r>
  <r>
    <s v="journal-article:None"/>
    <s v="10.1038/s41598-022-22677-0"/>
    <s v="&lt;jats:title&gt;Abstract&lt;/jats:title&gt;&lt;jats:p&gt;The main objective of radiotherapy is to exploit the curative potential of ionizing radiation while inflicting minimal radiation-induced damage to healthy tissue and sensitive organs. Proton beam therapy has been developed to irradiate the tumor with higher precision and dose conformity compared to conventional X-ray irradiation. The dose conformity of this treatment modality may be further improved if narrower proton beams are used. Still, this is limited by multiple Coulomb scattering of protons through tissue. The primary aim of this work was to develop techniques to produce narrow proton beams and investigate the resulting dose profiles. We introduced and assessed three different proton beam shaping techniques: (1) metal collimators (100/150 MeV), (2) focusing of conventional- (100/150 MeV), and (3) focusing of high-energy (350 MeV, shoot-through) proton beams. Focusing was governed by the initial value of the Twiss parameter&lt;jats:inline-formula&gt;&lt;jats:alternatives&gt;&lt;jats:tex-math&gt;$$\alpha$$&lt;/jats:tex-math&gt;&lt;mml:math xmlns:mml=&quot;http://www.w3.org/1998/Math/MathML&quot;&gt;&lt;mml:mi&gt;α&lt;/mml:mi&gt;&lt;/mml:math&gt;&lt;/jats:alternatives&gt;&lt;/jats:inline-formula&gt; (&lt;jats:inline-formula&gt;&lt;jats:alternatives&gt;&lt;jats:tex-math&gt;$$\alpha _0$$&lt;/jats:tex-math&gt;&lt;mml:math xmlns:mml=&quot;http://www.w3.org/1998/Math/MathML&quot;&gt;&lt;mml:msub&gt;&lt;mml:mi&gt;α&lt;/mml:mi&gt;&lt;mml:mn&gt;0&lt;/mml:mn&gt;&lt;/mml:msub&gt;&lt;/mml:math&gt;&lt;/jats:alternatives&gt;&lt;/jats:inline-formula&gt;), and can be implemented with magnetic particle accelerator optics. The dose distributions in water were calculated by Monte Carlo simulations using Geant4, and evaluated by target to surface dose ratio (TSDR) in addition to the transverse beam size (&lt;jats:inline-formula&gt;&lt;jats:alternatives&gt;&lt;jats:tex-math&gt;$$\sigma _T$$&lt;/jats:tex-math&gt;&lt;mml:math xmlns:mml=&quot;http://www.w3.org/1998/Math/MathML&quot;&gt;&lt;mml:msub&gt;&lt;mml:mi&gt;σ&lt;/mml:mi&gt;&lt;mml:mi&gt;T&lt;/mml:mi&gt;&lt;/mml:msub&gt;&lt;/mml:math&gt;&lt;/jats:alternatives&gt;&lt;/jats:inline-formula&gt;) at the target. The target was defined as the location of the Bragg peak or the focal point. The different techniques showed greatly differing dose profiles, where focusing gave pronouncedly higher relative target dose and efficient use of primary protons. Metal collimators with radii&lt;jats:inline-formula&gt;&lt;jats:alternatives&gt;&lt;jats:tex-math&gt;$$&amp;lt;\,2~\mathrm{mm}$$&lt;/jats:tex-math&gt;&lt;mml:math xmlns:mml=&quot;http://www.w3.org/1998/Math/MathML&quot;&gt;&lt;mml:mrow&gt;&lt;mml:mo&gt;&amp;lt;&lt;/mml:mo&gt;&lt;mml:mspace/&gt;&lt;mml:mn&gt;2&lt;/mml:mn&gt;&lt;mml:mspace/&gt;&lt;mml:mi&gt;mm&lt;/mml:mi&gt;&lt;/mml:mrow&gt;&lt;/mml:math&gt;&lt;/jats:alternatives&gt;&lt;/jats:inline-formula&gt;gave low TSDRs (&lt;jats:inline-formula&gt;&lt;jats:alternatives&gt;&lt;jats:tex-math&gt;$$&amp;lt;~0.7$$&lt;/jats:tex-math&gt;&lt;mml:math xmlns:mml=&quot;http://www.w3.org/1998/Math/MathML&quot;&gt;&lt;mml:mrow&gt;&lt;mml:mo&gt;&amp;lt;&lt;/mml:mo&gt;&lt;mml:mspace/&gt;&lt;mml:mn&gt;0.7&lt;/mml:mn&gt;&lt;/mml:mrow&gt;&lt;/mml:math&gt;&lt;/jats:alternatives&gt;&lt;/jats:inline-formula&gt;) and large&lt;jats:inline-formula&gt;&lt;jats:alternatives&gt;&lt;jats:tex-math&gt;$$\sigma _T$$&lt;/jats:tex-math&gt;&lt;mml:math xmlns:mml=&quot;http://www.w3.org/1998/Math/MathML&quot;&gt;&lt;mml:msub&gt;&lt;mml:mi&gt;σ&lt;/mml:mi&gt;&lt;mml:mi&gt;T&lt;/mml:mi&gt;&lt;/mml:msub&gt;&lt;/mml:math&gt;&lt;/jats:alternatives&gt;&lt;/jats:inline-formula&gt;(&lt;jats:inline-formula&gt;&lt;jats:alternatives&gt;&lt;jats:tex-math&gt;$$&amp;gt;~3.6~\hbox {mm}$$&lt;/jats:tex-math&gt;&lt;mml:math xmlns:mml=&quot;http://www.w3.org/1998/Math/MathML&quot;&gt;&lt;mml:mrow&gt;&lt;mml:mo&gt;&amp;gt;&lt;/mml:mo&gt;&lt;mml:mspace/&gt;&lt;mml:mn&gt;3.6&lt;/mml:mn&gt;&lt;mml:mspace/&gt;&lt;mml:mtext&gt;mm&lt;/mml:mtext&gt;&lt;/mml:mrow&gt;&lt;/mml:math&gt;&lt;/jats:alternatives&gt;&lt;/jats:inline-formula&gt;). In contrast, a focused beam of conventional (&lt;jats:inline-formula&gt;&lt;jats:alternatives&gt;&lt;jats:tex-math&gt;$$150~\hbox {MeV}$$&lt;/jats:tex-math&gt;&lt;mml:math xmlns:mml=&quot;http://www.w3.org/1998/Math/MathML&quot;&gt;&lt;mml:mrow&gt;&lt;mml:mn&gt;150&lt;/mml:mn&gt;&lt;mml:mspace/&gt;&lt;mml:mtext&gt;MeV&lt;/mml:mtext&gt;&lt;/mml:mrow&gt;&lt;/mml:math&gt;&lt;/jats:alternatives&gt;&lt;/jats:inline-formula&gt;) energy produced a very high TSDR (&lt;jats:inline-formula&gt;&lt;jats:alternatives&gt;&lt;jats:tex-math&gt;$$&amp;gt;~80$$&lt;/jats:tex-math&gt;&lt;mml:math xmlns:mml=&quot;http://www.w3.org/1998/Math/MathML&quot;&gt;&lt;mml:mrow&gt;&lt;mml:mo&gt;&amp;gt;&lt;/mml:mo&gt;&lt;mml:mspace/&gt;&lt;mml:mn&gt;80&lt;/mml:mn&gt;&lt;/mml:mrow&gt;&lt;/mml:math&gt;&lt;/jats:alternatives&gt;&lt;/jats:inline-formula&gt;) with similar&lt;jats:inline-formula&gt;&lt;jats:alternatives&gt;&lt;jats:tex-math&gt;$$\sigma _T$$&lt;/jats:tex-math&gt;&lt;mml:math xmlns:mml=&quot;http://www.w3.org/1998/Math/MathML&quot;&gt;&lt;mml:msub&gt;&lt;mml:mi&gt;σ&lt;/mml:mi&gt;&lt;mml:mi&gt;T&lt;/mml:mi&gt;&lt;/mml:msub&gt;&lt;/mml:math&gt;&lt;/jats:alternatives&gt;&lt;/jats:inline-formula&gt;as a collimated beam. High-energy focused beams were able to produce TSDRs&lt;jats:inline-formula&gt;&lt;jats:alternatives&gt;&lt;jats:tex-math&gt;$$&amp;gt;~100$$&lt;/jats:tex-math&gt;&lt;mml:math xmlns:mml=&quot;http://www.w3.org/1998/Math/MathML&quot;&gt;&lt;mml:mrow&gt;&lt;mml:mo&gt;&amp;gt;&lt;/mml:mo&gt;&lt;mml:mspace/&gt;&lt;mml:mn&gt;100&lt;/mml:mn&gt;&lt;/mml:mrow&gt;&lt;/mml:math&gt;&lt;/jats:alternatives&gt;&lt;/jats:inline-formula&gt;and&lt;jats:inline-formula&gt;&lt;jats:alternatives&gt;&lt;jats:tex-math&gt;$$\sigma _T$$&lt;/jats:tex-math&gt;&lt;mml:math xmlns:mml=&quot;http://www.w3.org/1998/Math/MathML&quot;&gt;&lt;mml:msub&gt;&lt;mml:mi&gt;σ&lt;/mml:mi&gt;&lt;mml:mi&gt;T&lt;/mml:mi&gt;&lt;/mml:msub&gt;&lt;/mml:math&gt;&lt;/jats:alternatives&gt;&lt;/jats:inline-formula&gt;around 1.5 mm. From this study, it appears very attractive to implement magnetically focused proton beams in radiotherapy of small lesions or tumors in close vicinity to healthy organs at risk. This can also lead to a paradigm change in spatially fractionated radiotherapy. Magnetic focusing would facilitate FLASH irradiation due to low losses of primary protons.&lt;/jats:p&gt;"/>
    <n v="5272"/>
    <s v="MathML"/>
    <s v="No"/>
    <s v="Yes"/>
    <s v="Yes"/>
    <s v="No"/>
    <s v="Yes"/>
    <s v="No"/>
    <s v="MathML"/>
    <s v="contains Latin-1 Supplement no break char"/>
    <x v="0"/>
  </r>
  <r>
    <s v="journal-article:None"/>
    <s v="10.1103/physrevd.110.036015"/>
    <s v="&lt;jats:p&gt;In this paper, we study the quasi-two-body decays &lt;a:math xmlns:a=&quot;http://www.w3.org/1998/Math/MathML&quot; display=&quot;inline&quot;&gt;&lt;a:mi&gt;B&lt;/a:mi&gt;&lt;a:mo stretchy=&quot;false&quot;&gt;→&lt;/a:mo&gt;&lt;a:mi&gt;P&lt;/a:mi&gt;&lt;a:msub&gt;&lt;a:mi&gt;f&lt;/a:mi&gt;&lt;a:mn&gt;0&lt;/a:mn&gt;&lt;/a:msub&gt;&lt;a:mo stretchy=&quot;false&quot;&gt;(&lt;/a:mo&gt;&lt;a:mn&gt;500&lt;/a:mn&gt;&lt;a:mo stretchy=&quot;false&quot;&gt;)&lt;/a:mo&gt;&lt;a:mo stretchy=&quot;false&quot;&gt;→&lt;/a:mo&gt;&lt;a:mi&gt;P&lt;/a:mi&gt;&lt;a:msup&gt;&lt;a:mi&gt;π&lt;/a:mi&gt;&lt;a:mo&gt;+&lt;/a:mo&gt;&lt;/a:msup&gt;&lt;a:msup&gt;&lt;a:mi&gt;π&lt;/a:mi&gt;&lt;a:mo&gt;−&lt;/a:mo&gt;&lt;/a:msup&gt;&lt;/a:math&gt; [with &lt;g:math xmlns:g=&quot;http://www.w3.org/1998/Math/MathML&quot; display=&quot;inline&quot;&gt;&lt;g:mi&gt;P&lt;/g:mi&gt;&lt;g:mo&gt;=&lt;/g:mo&gt;&lt;g:mo stretchy=&quot;false&quot;&gt;(&lt;/g:mo&gt;&lt;g:mi&gt;π&lt;/g:mi&gt;&lt;g:mo&gt;,&lt;/g:mo&gt;&lt;g:mi&gt;K&lt;/g:mi&gt;&lt;g:mo&gt;,&lt;/g:mo&gt;&lt;g:mi&gt;η&lt;/g:mi&gt;&lt;g:mo&gt;,&lt;/g:mo&gt;&lt;g:msup&gt;&lt;g:mi&gt;η&lt;/g:mi&gt;&lt;g:mo&gt;′&lt;/g:mo&gt;&lt;/g:msup&gt;&lt;g:mo stretchy=&quot;false&quot;&gt;)&lt;/g:mo&gt;&lt;/g:math&gt;] within framework of perturbative QCD (PQCD) factorization approach. With the help of &lt;k:math xmlns:k=&quot;http://www.w3.org/1998/Math/MathML&quot; display=&quot;inline&quot;&gt;&lt;k:mi&gt;π&lt;/k:mi&gt;&lt;k:mo&gt;−&lt;/k:mo&gt;&lt;k:mi&gt;π&lt;/k:mi&gt;&lt;/k:math&gt; distribution amplitude and scalar form factor &lt;m:math xmlns:m=&quot;http://www.w3.org/1998/Math/MathML&quot; display=&quot;inline&quot;&gt;&lt;m:msub&gt;&lt;m:mi&gt;F&lt;/m:mi&gt;&lt;m:mrow&gt;&lt;m:mi&gt;π&lt;/m:mi&gt;&lt;m:mi&gt;π&lt;/m:mi&gt;&lt;/m:mrow&gt;&lt;/m:msub&gt;&lt;m:mo stretchy=&quot;false&quot;&gt;(&lt;/m:mo&gt;&lt;m:msup&gt;&lt;m:mi&gt;ω&lt;/m:mi&gt;&lt;m:mn&gt;2&lt;/m:mn&gt;&lt;/m:msup&gt;&lt;m:mo stretchy=&quot;false&quot;&gt;)&lt;/m:mo&gt;&lt;/m:math&gt;, we calculate the &lt;q:math xmlns:q=&quot;http://www.w3.org/1998/Math/MathML&quot; display=&quot;inline&quot;&gt;&lt;q:mi&gt;C&lt;/q:mi&gt;&lt;q:mi&gt;P&lt;/q:mi&gt;&lt;/q:math&gt; averaged branching fraction and the &lt;s:math xmlns:s=&quot;http://www.w3.org/1998/Math/MathML&quot; display=&quot;inline&quot;&gt;&lt;s:mi&gt;C&lt;/s:mi&gt;&lt;s:mi&gt;P&lt;/s:mi&gt;&lt;/s:math&gt; asymmetry for the quasi-two-body decays &lt;u:math xmlns:u=&quot;http://www.w3.org/1998/Math/MathML&quot; display=&quot;inline&quot;&gt;&lt;u:mi&gt;B&lt;/u:mi&gt;&lt;u:mo stretchy=&quot;false&quot;&gt;→&lt;/u:mo&gt;&lt;u:mi&gt;P&lt;/u:mi&gt;&lt;u:msub&gt;&lt;u:mi&gt;f&lt;/u:mi&gt;&lt;u:mn&gt;0&lt;/u:mn&gt;&lt;/u:msub&gt;&lt;u:mo stretchy=&quot;false&quot;&gt;(&lt;/u:mo&gt;&lt;u:mn&gt;500&lt;/u:mn&gt;&lt;u:mo stretchy=&quot;false&quot;&gt;)&lt;/u:mo&gt;&lt;u:mo stretchy=&quot;false&quot;&gt;→&lt;/u:mo&gt;&lt;u:mi&gt;P&lt;/u:mi&gt;&lt;u:msup&gt;&lt;u:mi&gt;π&lt;/u:mi&gt;&lt;u:mo&gt;+&lt;/u:mo&gt;&lt;/u:msup&gt;&lt;u:msup&gt;&lt;u:mi&gt;π&lt;/u:mi&gt;&lt;u:mo&gt;−&lt;/u:mo&gt;&lt;/u:msup&gt;&lt;/u:math&gt;. Taking the quasi-two-body decay &lt;ab:math xmlns:ab=&quot;http://www.w3.org/1998/Math/MathML&quot; display=&quot;inline&quot;&gt;&lt;ab:msup&gt;&lt;ab:mi&gt;B&lt;/ab:mi&gt;&lt;ab:mo&gt;+&lt;/ab:mo&gt;&lt;/ab:msup&gt;&lt;ab:mo stretchy=&quot;false&quot;&gt;→&lt;/ab:mo&gt;&lt;ab:msup&gt;&lt;ab:mi&gt;π&lt;/ab:mi&gt;&lt;ab:mo&gt;+&lt;/ab:mo&gt;&lt;/ab:msup&gt;&lt;ab:msub&gt;&lt;ab:mi&gt;f&lt;/ab:mi&gt;&lt;ab:mn&gt;0&lt;/ab:mn&gt;&lt;/ab:msub&gt;&lt;ab:mo stretchy=&quot;false&quot;&gt;(&lt;/ab:mo&gt;&lt;ab:mn&gt;500&lt;/ab:mn&gt;&lt;ab:mo stretchy=&quot;false&quot;&gt;)&lt;/ab:mo&gt;&lt;ab:mo stretchy=&quot;false&quot;&gt;→&lt;/ab:mo&gt;&lt;ab:msup&gt;&lt;ab:mi&gt;π&lt;/ab:mi&gt;&lt;ab:mo&gt;+&lt;/ab:mo&gt;&lt;/ab:msup&gt;&lt;ab:msup&gt;&lt;ab:mi&gt;π&lt;/ab:mi&gt;&lt;ab:mo&gt;+&lt;/ab:mo&gt;&lt;/ab:msup&gt;&lt;ab:msup&gt;&lt;ab:mi&gt;π&lt;/ab:mi&gt;&lt;ab:mo&gt;−&lt;/ab:mo&gt;&lt;/ab:msup&gt;&lt;/ab:math&gt; as an explicit example, we present the behavior of differential branching fraction and direct &lt;gb:math xmlns:gb=&quot;http://www.w3.org/1998/Math/MathML&quot; display=&quot;inline&quot;&gt;&lt;gb:mi&gt;C&lt;/gb:mi&gt;&lt;gb:mi&gt;P&lt;/gb:mi&gt;&lt;/gb:math&gt; violation versus the &lt;ib:math xmlns:ib=&quot;http://www.w3.org/1998/Math/MathML&quot; display=&quot;inline&quot;&gt;&lt;ib:mrow&gt;&lt;ib:mi&gt;π&lt;/ib:mi&gt;&lt;ib:mtext&gt;−&lt;/ib:mtext&gt;&lt;ib:mi&gt;π&lt;/ib:mi&gt;&lt;/ib:mrow&gt;&lt;/ib:math&gt; invariant mass. The total branching fraction and direct &lt;kb:math xmlns:kb=&quot;http://www.w3.org/1998/Math/MathML&quot; display=&quot;inline&quot;&gt;&lt;kb:mi&gt;C&lt;/kb:mi&gt;&lt;kb:mi&gt;P&lt;/kb:mi&gt;&lt;/kb:math&gt; violation are &lt;mb:math xmlns:mb=&quot;http://www.w3.org/1998/Math/MathML&quot; display=&quot;inline&quot;&gt;&lt;mb:mi mathvariant=&quot;script&quot;&gt;B&lt;/mb:mi&gt;&lt;mb:mo stretchy=&quot;false&quot;&gt;(&lt;/mb:mo&gt;&lt;mb:msup&gt;&lt;mb:mi&gt;B&lt;/mb:mi&gt;&lt;mb:mo&gt;+&lt;/mb:mo&gt;&lt;/mb:msup&gt;&lt;mb:mo stretchy=&quot;false&quot;&gt;→&lt;/mb:mo&gt;&lt;mb:msup&gt;&lt;mb:mi&gt;π&lt;/mb:mi&gt;&lt;mb:mo&gt;+&lt;/mb:mo&gt;&lt;/mb:msup&gt;&lt;mb:mo stretchy=&quot;false&quot;&gt;[&lt;/mb:mo&gt;&lt;mb:mi&gt;σ&lt;/mb:mi&gt;&lt;mb:mo stretchy=&quot;false&quot;&gt;→&lt;/mb:mo&gt;&lt;mb:mo stretchy=&quot;false&quot;&gt;]&lt;/mb:mo&gt;&lt;mb:msup&gt;&lt;mb:mi&gt;π&lt;/mb:mi&gt;&lt;mb:mo&gt;+&lt;/mb:mo&gt;&lt;/mb:msup&gt;&lt;mb:msup&gt;&lt;mb:mi&gt;π&lt;/mb:mi&gt;&lt;mb:mo&gt;−&lt;/mb:mo&gt;&lt;/mb:msup&gt;&lt;mb:mo stretchy=&quot;false&quot;&gt;)&lt;/mb:mo&gt;&lt;mb:mo&gt;=&lt;/mb:mo&gt;&lt;mb:mo stretchy=&quot;false&quot;&gt;(&lt;/mb:mo&gt;&lt;mb:mn&gt;1.78&lt;/mb:mn&gt;&lt;mb:mo&gt;±&lt;/mb:mo&gt;&lt;mb:mn&gt;0.41&lt;/mb:mn&gt;&lt;mb:mo&gt;±&lt;/mb:mo&gt;&lt;mb:mn&gt;0.51&lt;/mb:mn&gt;&lt;mb:mo stretchy=&quot;false&quot;&gt;)&lt;/mb:mo&gt;&lt;mb:mo&gt;×&lt;/mb:mo&gt;&lt;mb:msup&gt;&lt;mb:mn&gt;10&lt;/mb:mn&gt;&lt;mb:mrow&gt;&lt;mb:mo&gt;−&lt;/mb:mo&gt;&lt;mb:mn&gt;6&lt;/mb:mn&gt;&lt;/mb:mrow&gt;&lt;/mb:msup&gt;&lt;/mb:math&gt; and &lt;xb:math xmlns:xb=&quot;http://www.w3.org/1998/Math/MathML&quot; display=&quot;inline&quot;&gt;&lt;xb:msub&gt;&lt;xb:mi mathvariant=&quot;script&quot;&gt;A&lt;/xb:mi&gt;&lt;xb:mrow&gt;&lt;xb:mi&gt;C&lt;/xb:mi&gt;&lt;xb:mi&gt;P&lt;/xb:mi&gt;&lt;/xb:mrow&gt;&lt;/xb:msub&gt;&lt;xb:mo stretchy=&quot;false&quot;&gt;(&lt;/xb:mo&gt;&lt;xb:msup&gt;&lt;xb:mi&gt;B&lt;/xb:mi&gt;&lt;xb:mo&gt;+&lt;/xb:mo&gt;&lt;/xb:msup&gt;&lt;xb:mo stretchy=&quot;false&quot;&gt;→&lt;/xb:mo&gt;&lt;xb:msup&gt;&lt;xb:mi&gt;π&lt;/xb:mi&gt;&lt;xb:mo&gt;+&lt;/xb:mo&gt;&lt;/xb:msup&gt;&lt;xb:mo stretchy=&quot;false&quot;&gt;[&lt;/xb:mo&gt;&lt;xb:mi&gt;σ&lt;/xb:mi&gt;&lt;xb:mo stretchy=&quot;false&quot;&gt;→&lt;/xb:mo&gt;&lt;xb:mo stretchy=&quot;false&quot;&gt;]&lt;/xb:mo&gt;&lt;xb:msup&gt;&lt;xb:mi&gt;π&lt;/xb:mi&gt;&lt;xb:mo&gt;+&lt;/xb:mo&gt;&lt;/xb:msup&gt;&lt;xb:msup&gt;&lt;xb:mi&gt;π&lt;/xb:mi&gt;&lt;xb:mo&gt;−&lt;/xb:mo&gt;&lt;/xb:msup&gt;&lt;xb:mo stretchy=&quot;false&quot;&gt;)&lt;/xb:mo&gt;&lt;xb:mo&gt;=&lt;/xb:mo&gt;&lt;xb:mo stretchy=&quot;false&quot;&gt;(&lt;/xb:mo&gt;&lt;xb:mn&gt;29.8&lt;/xb:mn&gt;&lt;xb:mo&gt;±&lt;/xb:mo&gt;&lt;xb:mn&gt;11.1&lt;/xb:mn&gt;&lt;xb:mo&gt;±&lt;/xb:mo&gt;&lt;xb:mn&gt;13.0&lt;/xb:mn&gt;&lt;xb:mo stretchy=&quot;false&quot;&gt;)&lt;/xb:mo&gt;&lt;xb:mo&gt;%&lt;/xb:mo&gt;&lt;/xb:math&gt; respectively. Our results could be tested by further experiments.&lt;/jats:p&gt;_x000a_          &lt;jats:sec&gt;_x000a_            &lt;jats:title/&gt;_x000a_            &lt;jats:supplementary-material&gt;_x000a_              &lt;jats:permissions&gt;_x000a_                &lt;jats:copyright-statement&gt;Published by the American Physical Society&lt;/jats:copyright-statement&gt;_x000a_                &lt;jats:copyright-year&gt;2024&lt;/jats:copyright-year&gt;_x000a_              &lt;/jats:permissions&gt;_x000a_            &lt;/jats:supplementary-material&gt;_x000a_          &lt;/jats:sec&gt;"/>
    <n v="5209"/>
    <s v="MathML"/>
    <s v="No"/>
    <s v="Yes"/>
    <s v="Yes"/>
    <s v="No"/>
    <s v="Yes"/>
    <s v="No"/>
    <s v="MathML; includes copyright statement"/>
    <s v="has &lt;jats: supplementary-material&gt; content"/>
    <x v="1"/>
  </r>
  <r>
    <s v="journal-article:None"/>
    <s v="10.33425/2692-7918.1054"/>
    <s v="&lt;jats:p&gt;The conceptual framework of cognitive networks, or cognits, represents a system of working memory, especially long-term memory arrays that are intrinsically designed to attain certain behavioral ends and that are activated by a neural structure. Despite the fact that cognitions can be used in a plethora of systems, current technologies allow manipulations of the central nervous system (CNS) to execute certain sensory and motor functions. Sensation and tactual perception by the skin are an innate mechanism for human survival and represent our adaptive somatosensorial ability to apprehend information via haptics—the active touch for object recognition and perception by higher centers of the brain. The somatosensation, which is identified by a set of channels and receptors sensitive to a variety of stimuli (thermal, tactile, and mechanical), is critical to survival, balance control, cognition, and pain modulation. Cognits are cutting-edge tools and modalities that provide a landscape of theoretical assets, evidencebased experimental protocols, computational intelligence schemes, and direct empirical modalities that facilitate the understanding of the complex functionalities of the human brain. By evaluating neuroimaging data after somatosensory stimulation and collected via electroencephalogram (EEG), cognition response and change can be obtained that allows researchers to gain a better understanding of emerging scientific approaches aimed at understanding human behavioral outcomes. An emerging technology, haptic vibrotactile trigger technology (VTT), incorporates somatosensory patterns in compression sleeves. eSmartr Smart Compression Sleeves (Srysty Holdings Inc., Mississauga, ON, Canada) with VTT and its Cognitive Boost Technology (CBT) pattern is designed to optimize neural communications for improved mindful wellness. This technology has also been incorporated into patches, braces, apparel (socks), wrist bands, and other routes of delivery. Mindful wellness is considered an outcome of somatosensory intervention that modulates the behavioral responses associated with cognitive networks. Currently, there is limited research exploring these modalities, exposing the need to study new technologies and their influence on somatosensory pathways and cognitive networks. The purpose of this IRB-approved study was to explore the effects of forearm VTT stimulation patterns on cognitive networks by comparing a baseline EEG to an EEG after placing a sleeve incorporating VTT on the right or left forearm of adult healthy individuals. Materials and methods: A baseline EEG was recorded over 5 minutes from 19 scalp locations on 20 subjects ranging in age from 17.6 years to 41.9 years (n=7 females, 13 males). The subject’s dominant arm was then fitted with the eSmartr Smart Compression Sleeve for 20 minutes and another 5-minute EEG was recorded. Both the LORETA (Low Resolution Electromagnetic Tomography Analysis) inverse solution and a power spectral analysis of the surface EEG were calculated. Additionally, for 10 distinct networks, the current sources from 88 Brodmann areas were computed. The variables were absolute power and absolute current density in 1 Hz increments in 10 frequency bands (delta, theta, alpha-1, alpha-2, beta-1, beta-2, beta-3, and hi-beta). Paired t-tests were computed for each individual for all EEG parameters, as well as group paired t-tests, between the baseline EEG and followup EEG. Results: The results showed statistically significant t-test differences (P &amp;lt; 0.01) in both the surface EEG and the LORETA current sources between the baseline measurement and the follow-up ‘sleeve-on’ measurement. The largest differences were detected with a prominent downregulation of alpha and beta frequency powers at both the surface EEG and the LORETA current sources with the “sleeve-on,” as compared to baseline. In addition, the maximal effects of the “sleeve-on” condition were in the left frontal and left temporal surface EEGs and on the medial bank of the somatosensory cortex in the range of the alpha frequency. Changes in the default network and attention network were also prominent. Conclusions: Study results indicate that these non-pharmacologic, non-invasive, haptic vibrotactile trigger technology (VTT) patterned compression sleeves elicited a response in multiple cognitive networks. These networks play a key role in executive function, memory, attention, mood, and information flow. There was a prominent effect of the haptic vibrotactile trigger technology with the CBT- patterned sleeves on the EEG that was primarily located in alpha and beta frequency bands. The substantial impacts on the homuncular projection of the arm to the medial somatosensory cortex as well as the default network demonstrated activity influenced by the patterned sleeve. The mechanisms of action of the VTT sleeve on the brain, neuropathways, and the EEG spectrum are still being investigated. If results are confirmed with further research, this novel VTT technology could be a promising addition as a non-invasive and non-drug treatment approach for a variety of conditions and therapeutic applications.&lt;/jats:p&gt;"/>
    <n v="5186"/>
    <s v="No"/>
    <s v="&quot;en&quot;"/>
    <s v="Yes"/>
    <s v="Yes"/>
    <s v="No"/>
    <s v="Yes"/>
    <s v="No"/>
    <s v="No problems"/>
    <s v="lovely structured abstract"/>
    <x v="3"/>
  </r>
  <r>
    <s v="journal-article:None"/>
    <s v="10.1155/2021/6678085"/>
    <s v="&lt;jats:p&gt;The effect of Ni on microstructure, elemental partition behavior, &lt;jats:inline-formula&gt;_x000a_                     &lt;a:math xmlns:a=&quot;http://www.w3.org/1998/Math/MathML&quot; id=&quot;M1&quot;&gt;_x000a_                        &lt;a:msup&gt;_x000a_                           &lt;a:mrow&gt;_x000a_                              &lt;a:mi&gt;γ&lt;/a:mi&gt;_x000a_                           &lt;/a:mrow&gt;_x000a_                           &lt;a:mrow&gt;_x000a_                              &lt;a:mo&gt;′&lt;/a:mo&gt;_x000a_                           &lt;/a:mrow&gt;_x000a_                        &lt;/a:msup&gt;_x000a_                     &lt;/a:math&gt;_x000a_                  &lt;/jats:inline-formula&gt; phase solvus temperature, lattice misfit between &lt;jats:inline-formula&gt;_x000a_                     &lt;c:math xmlns:c=&quot;http://www.w3.org/1998/Math/MathML&quot; id=&quot;M2&quot;&gt;_x000a_                        &lt;c:mi&gt;γ&lt;/c:mi&gt;_x000a_                     &lt;/c:math&gt;_x000a_                  &lt;/jats:inline-formula&gt; and &lt;jats:inline-formula&gt;_x000a_                     &lt;e:math xmlns:e=&quot;http://www.w3.org/1998/Math/MathML&quot; id=&quot;M3&quot;&gt;_x000a_                        &lt;e:msup&gt;_x000a_                           &lt;e:mrow&gt;_x000a_                              &lt;e:mi&gt;γ&lt;/e:mi&gt;_x000a_                           &lt;/e:mrow&gt;_x000a_                           &lt;e:mrow&gt;_x000a_                              &lt;e:mo&gt;′&lt;/e:mo&gt;_x000a_                           &lt;/e:mrow&gt;_x000a_                        &lt;/e:msup&gt;_x000a_                     &lt;/e:math&gt;_x000a_                  &lt;/jats:inline-formula&gt; phases, and mechanical properties of the Co-8Ti-11V-xNi alloys was investigated. The result shows that the lattice misfit in the alloys decreases from 0.74% to 0.61% as the Ni content increases from 0 to 10%, and the average sizes of the cuboidal &lt;jats:inline-formula&gt;_x000a_                     &lt;g:math xmlns:g=&quot;http://www.w3.org/1998/Math/MathML&quot; id=&quot;M4&quot;&gt;_x000a_                        &lt;g:msup&gt;_x000a_                           &lt;g:mrow&gt;_x000a_                              &lt;g:mi&gt;γ&lt;/g:mi&gt;_x000a_                           &lt;/g:mrow&gt;_x000a_                           &lt;g:mrow&gt;_x000a_                              &lt;g:mo&gt;′&lt;/g:mo&gt;_x000a_                           &lt;/g:mrow&gt;_x000a_                        &lt;/g:msup&gt;_x000a_                     &lt;/g:math&gt;_x000a_                  &lt;/jats:inline-formula&gt; phase were measured to be 312.10 nm, 112.86 nm, and 141.84 nm for the Co-8Ti-11V, Co-8Ti-11V-5Ni, and Co-8Ti-11V-10Ni, respectively. Ti, V, and Ni exhibit a slight tendency to partition into the &lt;jats:inline-formula&gt;_x000a_                     &lt;i:math xmlns:i=&quot;http://www.w3.org/1998/Math/MathML&quot; id=&quot;M5&quot;&gt;_x000a_                        &lt;i:msup&gt;_x000a_                           &lt;i:mrow&gt;_x000a_                              &lt;i:mi&gt;γ&lt;/i:mi&gt;_x000a_                           &lt;/i:mrow&gt;_x000a_                           &lt;i:mrow&gt;_x000a_                              &lt;i:mo&gt;′&lt;/i:mo&gt;_x000a_                           &lt;/i:mrow&gt;_x000a_                        &lt;/i:msup&gt;_x000a_                     &lt;/i:math&gt;_x000a_                  &lt;/jats:inline-formula&gt; phase, while Co shows a slight tendency to partition into the &lt;jats:inline-formula&gt;_x000a_                     &lt;k:math xmlns:k=&quot;http://www.w3.org/1998/Math/MathML&quot; id=&quot;M6&quot;&gt;_x000a_                        &lt;k:mi&gt;γ&lt;/k:mi&gt;_x000a_                     &lt;/k:math&gt;_x000a_                  &lt;/jats:inline-formula&gt; phase. The solvus temperatures of the &lt;jats:inline-formula&gt;_x000a_                     &lt;m:math xmlns:m=&quot;http://www.w3.org/1998/Math/MathML&quot; id=&quot;M7&quot;&gt;_x000a_                        &lt;m:msup&gt;_x000a_                           &lt;m:mrow&gt;_x000a_                              &lt;m:mi&gt;γ&lt;/m:mi&gt;_x000a_                           &lt;/m:mrow&gt;_x000a_                           &lt;m:mrow&gt;_x000a_                              &lt;m:mo&gt;′&lt;/m:mo&gt;_x000a_                           &lt;/m:mrow&gt;_x000a_                        &lt;/m:msup&gt;_x000a_                     &lt;/m:math&gt;_x000a_                  &lt;/jats:inline-formula&gt; phase were measured to be 1167°C, 1114°C, and 1108°C for the Co-8Ti-11V, Co-8Ti-11V-5Ni, and Co-8Ti-11V-10Ni alloys, respectively, by using differential scanning calorimetry (DSC). Moreover, the yield strength and ultimate strength of the Co-8Ti-11V, Co-8Ti-11V-5Ni, and Co-8Ti-11V-10Ni alloys were investigated, and the yield strength and ultimate strength of the 10Ni alloy were highest, at 219 MPa and 240 MPa. After compression at 1000°C, the dislocations cannot effectively shear the &lt;jats:inline-formula&gt;_x000a_                     &lt;o:math xmlns:o=&quot;http://www.w3.org/1998/Math/MathML&quot; id=&quot;M8&quot;&gt;_x000a_                        &lt;o:msup&gt;_x000a_                           &lt;o:mrow&gt;_x000a_                              &lt;o:mi&gt;γ&lt;/o:mi&gt;_x000a_                           &lt;/o:mrow&gt;_x000a_                           &lt;o:mrow&gt;_x000a_                              &lt;o:mo&gt;′&lt;/o:mo&gt;_x000a_                           &lt;/o:mrow&gt;_x000a_                        &lt;/o:msup&gt;_x000a_                     &lt;/o:math&gt;_x000a_                  &lt;/jats:inline-formula&gt; phase in the 0Ni and 10Ni alloys, resulting in a relatively high compressive strength of the 0Ni and 10Ni alloys. However, the &lt;jats:inline-formula&gt;_x000a_                     &lt;q:math xmlns:q=&quot;http://www.w3.org/1998/Math/MathML&quot; id=&quot;M9&quot;&gt;_x000a_                        &lt;q:msup&gt;_x000a_                           &lt;q:mrow&gt;_x000a_                              &lt;q:mi&gt;γ&lt;/q:mi&gt;_x000a_                           &lt;/q:mrow&gt;_x000a_                           &lt;q:mrow&gt;_x000a_                              &lt;q:mo&gt;′&lt;/q:mo&gt;_x000a_                           &lt;/q:mrow&gt;_x000a_                        &lt;/q:msup&gt;_x000a_                     &lt;/q:math&gt;_x000a_                  &lt;/jats:inline-formula&gt; phase of the 5Ni alloy is no longer visible, and its strength is the lowest.&lt;/jats:p&gt;"/>
    <n v="5162"/>
    <s v="MathML"/>
    <s v="No"/>
    <s v="Yes"/>
    <s v="Yes"/>
    <s v="No"/>
    <s v="Yes"/>
    <s v="Yes"/>
    <s v="MathML"/>
    <s v="has U+2009 Thin Space General Punc char; lovely structured abstract"/>
    <x v="0"/>
  </r>
  <r>
    <s v="journal-article:None"/>
    <s v="10.1002/cam4.70771"/>
    <s v="&lt;jats:title&gt;ABSTRACT&lt;/jats:title&gt;&lt;jats:sec&gt;&lt;jats:title&gt;Background&lt;/jats:title&gt;&lt;jats:p&gt;&lt;jats:styled-content style=&quot;fixed-case&quot;&gt;m&lt;jats:sup&gt;6&lt;/jats:sup&gt;A&lt;/jats:styled-content&gt; represents a prevalent epigenetic modification of mammalian &lt;jats:styled-content style=&quot;fixed-case&quot;&gt;mRNAs&lt;/jats:styled-content&gt;. Studies have demonstrated that &lt;jats:styled-content style=&quot;fixed-case&quot;&gt;m&lt;jats:sup&gt;6&lt;/jats:sup&gt;A RNA&lt;/jats:styled-content&gt; methylation‐modifying enzymes play crucial roles in the onset and progression of &lt;jats:styled-content style=&quot;fixed-case&quot;&gt;AML&lt;/jats:styled-content&gt;. However, their clinical relevance remains undefined, and the mechanisms underlying their modulation of &lt;jats:styled-content style=&quot;fixed-case&quot;&gt;AML&lt;/jats:styled-content&gt; have yet to be elucidated.&lt;/jats:p&gt;&lt;/jats:sec&gt;&lt;jats:sec&gt;&lt;jats:title&gt;Results&lt;/jats:title&gt;&lt;jats:p&gt;The expression levels of the &lt;jats:styled-content style=&quot;fixed-case&quot;&gt;m&lt;jats:sup&gt;6&lt;/jats:sup&gt;A RNA&lt;/jats:styled-content&gt;‐modifying enzymes &lt;jats:styled-content style=&quot;fixed-case&quot;&gt;METTL3&lt;/jats:styled-content&gt;, &lt;jats:styled-content style=&quot;fixed-case&quot;&gt;METTL14&lt;/jats:styled-content&gt;, &lt;jats:styled-content style=&quot;fixed-case&quot;&gt;WTAP&lt;/jats:styled-content&gt;, &lt;jats:styled-content style=&quot;fixed-case&quot;&gt;FTO&lt;/jats:styled-content&gt; and &lt;jats:styled-content style=&quot;fixed-case&quot;&gt;ALKBH5&lt;/jats:styled-content&gt; were elevated in &lt;jats:styled-content style=&quot;fixed-case&quot;&gt;AML&lt;/jats:styled-content&gt; patients. &lt;jats:styled-content style=&quot;fixed-case&quot;&gt;METTL3&lt;/jats:styled-content&gt;‐positive &lt;jats:styled-content style=&quot;fixed-case&quot;&gt;AML&lt;/jats:styled-content&gt; is often accompanied by &lt;jats:styled-content style=&quot;fixed-case&quot;&gt;DNMT3A&lt;/jats:styled-content&gt; mutations and is also an independent poor prognostic factor for &lt;jats:styled-content style=&quot;fixed-case&quot;&gt;AML&lt;/jats:styled-content&gt; patients. Following &lt;jats:styled-content style=&quot;fixed-case&quot;&gt;METTL3&lt;/jats:styled-content&gt; knockdown, we observed a decrease in the &lt;jats:styled-content style=&quot;fixed-case&quot;&gt;m&lt;jats:sup&gt;6&lt;/jats:sup&gt;A&lt;/jats:styled-content&gt; level of the mitochondrial oxidative stress gene &lt;jats:styled-content style=&quot;fixed-case&quot;&gt;PGC&lt;/jats:styled-content&gt;‐1α in &lt;jats:styled-content style=&quot;fixed-case&quot;&gt;K562&lt;/jats:styled-content&gt; and &lt;jats:styled-content style=&quot;fixed-case&quot;&gt;MV4&lt;/jats:styled-content&gt;‐11 cells. We analyzed the expression levels of &lt;jats:styled-content style=&quot;fixed-case&quot;&gt;PGC&lt;/jats:styled-content&gt;‐1α and &lt;jats:styled-content style=&quot;fixed-case&quot;&gt;METTL3 mRNA&lt;/jats:styled-content&gt; in 105 patients with primary &lt;jats:styled-content style=&quot;fixed-case&quot;&gt;AML&lt;/jats:styled-content&gt;. The expression levels of &lt;jats:styled-content style=&quot;fixed-case&quot;&gt;PGC&lt;/jats:styled-content&gt;‐1α and &lt;jats:styled-content style=&quot;fixed-case&quot;&gt;METTL3 mRNA&lt;/jats:styled-content&gt; were positively correlated. Similar to &lt;jats:styled-content style=&quot;fixed-case&quot;&gt;METTL3&lt;/jats:styled-content&gt; knockdown, &lt;jats:styled-content style=&quot;fixed-case&quot;&gt;PGC&lt;/jats:styled-content&gt;‐1α gene knockdown resulted in increased phosphorylation of the key signaling molecules &lt;jats:styled-content style=&quot;fixed-case&quot;&gt;P38&lt;/jats:styled-content&gt;, c‐Jun and &lt;jats:styled-content style=&quot;fixed-case&quot;&gt;ERK1&lt;/jats:styled-content&gt;/2 in the &lt;jats:styled-content style=&quot;fixed-case&quot;&gt;MAPK&lt;/jats:styled-content&gt; signaling pathway, and decreased &lt;jats:styled-content style=&quot;fixed-case&quot;&gt;mRNA&lt;/jats:styled-content&gt; levels of &lt;jats:styled-content style=&quot;fixed-case&quot;&gt;SOD1&lt;/jats:styled-content&gt;, &lt;jats:styled-content style=&quot;fixed-case&quot;&gt;GPX1&lt;/jats:styled-content&gt;, catalase and &lt;jats:styled-content style=&quot;fixed-case&quot;&gt;UCP2&lt;/jats:styled-content&gt; in the antioxidant system of &lt;jats:styled-content style=&quot;fixed-case&quot;&gt;K562&lt;/jats:styled-content&gt; cells. Analysis of the &lt;jats:styled-content style=&quot;fixed-case&quot;&gt;TCGA&lt;/jats:styled-content&gt; and &lt;jats:styled-content style=&quot;fixed-case&quot;&gt;GSE13159&lt;/jats:styled-content&gt; datasets, along with samples from West China Hospital, revealed that patients exhibiting high &lt;jats:styled-content style=&quot;fixed-case&quot;&gt;PGC&lt;/jats:styled-content&gt;‐1α expression had a poor prognosis.&lt;/jats:p&gt;&lt;/jats:sec&gt;&lt;jats:sec&gt;&lt;jats:title&gt;Conclusion&lt;/jats:title&gt;&lt;jats:p&gt;The &lt;jats:styled-content style=&quot;fixed-case&quot;&gt;m&lt;jats:sup&gt;6&lt;/jats:sup&gt;A&lt;/jats:styled-content&gt; methylation‐modifying enzyme &lt;jats:styled-content style=&quot;fixed-case&quot;&gt;METTL3&lt;/jats:styled-content&gt; is an independent prognostic factor for poor prognosis in &lt;jats:styled-content style=&quot;fixed-case&quot;&gt;AML&lt;/jats:styled-content&gt; patients. &lt;jats:styled-content style=&quot;fixed-case&quot;&gt;PGC&lt;/jats:styled-content&gt;‐1α is a downstream signaling molecule of &lt;jats:styled-content style=&quot;fixed-case&quot;&gt;METTL3&lt;/jats:styled-content&gt;, and &lt;jats:styled-content style=&quot;fixed-case&quot;&gt;METTL3&lt;/jats:styled-content&gt; affects its expression by regulating the &lt;jats:styled-content style=&quot;fixed-case&quot;&gt;m&lt;jats:sup&gt;6&lt;/jats:sup&gt;A&lt;/jats:styled-content&gt; level of &lt;jats:styled-content style=&quot;fixed-case&quot;&gt;PGC&lt;/jats:styled-content&gt;‐1α. &lt;jats:styled-content style=&quot;fixed-case&quot;&gt;PGC&lt;/jats:styled-content&gt;‐1α acts as an oncogene in &lt;jats:styled-content style=&quot;fixed-case&quot;&gt;AML&lt;/jats:styled-content&gt; by affecting the &lt;jats:styled-content style=&quot;fixed-case&quot;&gt;MAPK&lt;/jats:styled-content&gt; pathway and antioxidant system.&lt;/jats:p&gt;&lt;/jats:sec&gt;"/>
    <n v="5140"/>
    <s v="No"/>
    <s v="&quot;en&quot;"/>
    <s v="Yes"/>
    <s v="Yes"/>
    <s v="No"/>
    <s v="Yes"/>
    <s v="No"/>
    <s v="No problems"/>
    <s v="heavy use of JATS tags"/>
    <x v="3"/>
  </r>
  <r>
    <s v="journal-article:None"/>
    <s v="10.1093/ijpp/riad074.001"/>
    <s v="&lt;jats:title&gt;Abstract&lt;/jats:title&gt;_x000a_               &lt;jats:sec&gt;_x000a_                  &lt;jats:title&gt;Introduction&lt;/jats:title&gt;_x000a_                  &lt;jats:p&gt;The study highlights the urgency of combating rising multi-drug-resistant infections, projecting 10 million deaths annually by 2050. With over 1.2 million deaths in 2019, Antimicrobial Resistance (AMR) has become a significant public health issue. Antimicrobial Stewardship (AMS) promotes judicious antibiotic use1. 'The Five Rights of Antibiotic Safety' ensure appropriate usage. It encompasses the right patient, drug, dose, time, and duration2. The COVID-19 pandemic, causing around 6 million deaths by 2023, has intensified AMR challenges. The Royal Pharmaceutical Society's AMS policy advocates for maximising the use of pharmacists' expertise to promote prudent antibiotic use, strengthen stewardship, and reduce AMR3.&lt;/jats:p&gt;_x000a_               &lt;/jats:sec&gt;_x000a_               &lt;jats:sec&gt;_x000a_                  &lt;jats:title&gt;Aim&lt;/jats:title&gt;_x000a_                  &lt;jats:p&gt;This study aimed to evaluate AMS and adherence to the 'Five Rights of Antibiotic Safety' in antibiotic prescribing at an NHS Foundation Trust during 2019 and 2020 amidst the COVID-19 pandemic.&lt;/jats:p&gt;_x000a_               &lt;/jats:sec&gt;_x000a_               &lt;jats:sec&gt;_x000a_                  &lt;jats:title&gt;Methods&lt;/jats:title&gt;_x000a_                  &lt;jats:p&gt;This research study was conducted using a cross-sectional retrospective design and undertook an in-depth analysis of 640 patient records in 2019 and 2020. The study included adult patients aged 25 and above, immunocompromised and pregnant individuals, and those prescribed antibiotics for respiratory tract infections or pneumonia during 2019 and 2020. A validated data extraction tool facilitated data collection. This study was registered under ISRCTN number 14825813, receiving ethical approval from the University of Hertfordshire Ethics and Health Research Authority (HRA) (REC Reference number 22/EM/0161). The Citizens Senate reviewed the study protocol, ensuring public and patient involvement.&lt;/jats:p&gt;_x000a_               &lt;/jats:sec&gt;_x000a_               &lt;jats:sec&gt;_x000a_                  &lt;jats:title&gt;Results&lt;/jats:title&gt;_x000a_                  &lt;jats:p&gt;The study evaluated inappropriate antibiotic prescribing, identifying a rise in inappropriate antibiotic prescribing with no indication from 16% in 2019 to 20% in 2020. Inappropriate routes of administration also increased from 33% to 36%. While inappropriate drug choice remained steady around 63-64%, inappropriate dosing rose from 13% to 18%. Interestingly, inappropriate duration reduced slightly from 70% to 66%. The study assessed AMS champions, pharmacists' participation increased from 19% to 21%, and doctors decreased from 19% to 12%. However, combined collaboration jumped from 58% to 71%.&lt;/jats:p&gt;_x000a_               &lt;/jats:sec&gt;_x000a_               &lt;jats:sec&gt;_x000a_                  &lt;jats:title&gt;Discussion/Conclusion&lt;/jats:title&gt;_x000a_                  &lt;jats:p&gt;This study highlights the surge in incorrect antibiotic prescribing during the 2020 COVID-19 pandemic, stressing the necessity of the 'Five Rights of Antibiotic Safety.' Strict guideline adherence and increased professional education are pivotal. Progress in reducing improper duration was seen, indicating the significance of refining prescribing practices. This research highlights the critical role of pharmacists and doctors as AMS champions. It demonstrates that their collaborative efforts during the pandemic positively impacted patient outcomes, thus reaffirming the Royal Pharmaceutical Society's AMS policy on the importance of a multidisciplinary team in ensuring appropriate antibiotic use.&lt;/jats:p&gt;_x000a_                  &lt;jats:p&gt;This study reveals a worrying increase in incorrect antibiotic use during 2020, calling for stricter compliance with the five safety rules and enhancing professional education. Reduced inappropriate duration of use suggests improvements in prescribing practices. The critical role of pharmacists and doctors in AMS, with heightened collaboration yielding prudent antibiotic use and better patient outcomes. Despite these insights, limitations like potential reporting bias, not exploring the causes of inappropriate prescribing in-depth, and a limited focus on doctors and pharmacists in AMS need future research.&lt;/jats:p&gt;_x000a_               &lt;/jats:sec&gt;_x000a_               &lt;jats:sec&gt;_x000a_                  &lt;jats:title&gt;References&lt;/jats:title&gt;_x000a_                  &lt;jats:p&gt;1. Murray CJ. Global Burden of Bacterial Antimicrobial Resistance in 2019: a Systematic Analysis. The Lancet. 2022 Jan 19;399(10325):629–55.&lt;/jats:p&gt;_x000a_                  &lt;jats:p&gt;2. Federico F. The Five Rights of Medication Administration | IHI - Institute for Healthcare Improvement [Internet]. www.ihi.org. 2007. Available from: https://www.ihi.org/resources/Pages/ImprovementStories/FiveRightsofMedicationAdministration.aspx&lt;/jats:p&gt;_x000a_                  &lt;jats:p&gt;3. The pharmacy contribution to antimicrobial stewardship [Internet]. Available from: https://www.rpharms.com/Portals/0/RPS%20document%20library/Open%20access/Policy/AMS%20policy.pdf.&lt;/jats:p&gt;_x000a_               &lt;/jats:sec&gt;"/>
    <n v="5103"/>
    <s v="No"/>
    <s v="No"/>
    <s v="Yes"/>
    <s v="Yes"/>
    <s v="No"/>
    <s v="Yes"/>
    <s v="No"/>
    <s v="includes references"/>
    <s v="includes references"/>
    <x v="1"/>
  </r>
  <r>
    <s v="journal-article:None"/>
    <s v="10.1099/ijsem.0.004935"/>
    <s v="&lt;jats:p&gt;A Gram-negative bacterium, designated S1-65&lt;jats:sup&gt;T&lt;/jats:sup&gt;, was isolated from soil samples collected from a cotton field located in the Xinjiang region of PR China. Results of 16S rRNA gene sequence analysis revealed that strain S1-65&lt;jats:sup&gt;T&lt;/jats:sup&gt; was affiliated to the genus &lt;jats:italic&gt;_x000a_                     &lt;jats:named-content content-type=&quot;genus&quot;&gt;_x000a_                        &lt;jats:ext-link xmlns:xlink=&quot;http://www.w3.org/1999/xlink&quot; ext-link-type=&quot;uri&quot; xlink:href=&quot;http://doi.org/10.1601/nm.13157&quot; xlink:type=&quot;simple&quot;&gt;Steroidobacter&lt;/jats:ext-link&gt;_x000a_                     &lt;/jats:named-content&gt;_x000a_                  &lt;/jats:italic&gt; with its closest phylogenetic relatives being ‘&lt;jats:italic&gt;Steroidobacter cummioxidans&lt;/jats:italic&gt;’ 35Y (98.4 %), ‘&lt;jats:italic&gt;_x000a_                     &lt;jats:named-content content-type=&quot;species&quot;&gt;_x000a_                        &lt;jats:ext-link xmlns:xlink=&quot;http://www.w3.org/1999/xlink&quot; ext-link-type=&quot;uri&quot; xlink:href=&quot;http://doi.org/10.1601/nm.40116&quot; xlink:type=&quot;simple&quot;&gt;Steroidobacter agaridevorans&lt;/jats:ext-link&gt;_x000a_                     &lt;/jats:named-content&gt;_x000a_                  &lt;/jats:italic&gt;’ SA29-B (98.3 %) and &lt;jats:italic&gt;_x000a_                     &lt;jats:named-content content-type=&quot;species&quot;&gt;_x000a_                        &lt;jats:ext-link xmlns:xlink=&quot;http://www.w3.org/1999/xlink&quot; ext-link-type=&quot;uri&quot; xlink:href=&quot;http://doi.org/10.1601/nm.25368&quot; xlink:type=&quot;simple&quot;&gt;Steroidobacter agariperforans&lt;/jats:ext-link&gt;_x000a_                     &lt;/jats:named-content&gt;_x000a_                  &lt;/jats:italic&gt; KA5-B&lt;jats:sup&gt;T&lt;/jats:sup&gt; (98.3 %). 16S rRNA-directed phylogenetic analysis showed that strain S1-65&lt;jats:sup&gt;T&lt;/jats:sup&gt; formed a unique phylogenetic subclade next to ‘&lt;jats:italic&gt;_x000a_                     &lt;jats:named-content content-type=&quot;species&quot;&gt;_x000a_                        &lt;jats:ext-link xmlns:xlink=&quot;http://www.w3.org/1999/xlink&quot; ext-link-type=&quot;uri&quot; xlink:href=&quot;http://doi.org/10.1601/nm.40116&quot; xlink:type=&quot;simple&quot;&gt;S. agaridevorans&lt;/jats:ext-link&gt;_x000a_                     &lt;/jats:named-content&gt;_x000a_                  &lt;/jats:italic&gt;’ SA29-B and &lt;jats:italic&gt;_x000a_                     &lt;jats:named-content content-type=&quot;species&quot;&gt;_x000a_                        &lt;jats:ext-link xmlns:xlink=&quot;http://www.w3.org/1999/xlink&quot; ext-link-type=&quot;uri&quot; xlink:href=&quot;http://doi.org/10.1601/nm.25368&quot; xlink:type=&quot;simple&quot;&gt;S. agariperforans&lt;/jats:ext-link&gt;_x000a_                     &lt;/jats:named-content&gt;_x000a_                  &lt;/jats:italic&gt; KA5-B&lt;jats:sup&gt;T&lt;/jats:sup&gt;, suggesting that strain S1-65&lt;jats:sup&gt;T&lt;/jats:sup&gt; should be identified as a member of the genus &lt;jats:italic&gt;_x000a_                     &lt;jats:named-content content-type=&quot;genus&quot;&gt;_x000a_                        &lt;jats:ext-link xmlns:xlink=&quot;http://www.w3.org/1999/xlink&quot; ext-link-type=&quot;uri&quot; xlink:href=&quot;http://doi.org/10.1601/nm.13157&quot; xlink:type=&quot;simple&quot;&gt;Steroidobacter&lt;/jats:ext-link&gt;_x000a_                     &lt;/jats:named-content&gt;_x000a_                  &lt;/jats:italic&gt;. Further, substantial differences between the genotypic properties of strain S1-65&lt;jats:sup&gt;T&lt;/jats:sup&gt; and the members of the genus &lt;jats:italic&gt;_x000a_                     &lt;jats:named-content content-type=&quot;genus&quot;&gt;_x000a_                        &lt;jats:ext-link xmlns:xlink=&quot;http://www.w3.org/1999/xlink&quot; ext-link-type=&quot;uri&quot; xlink:href=&quot;http://doi.org/10.1601/nm.13157&quot; xlink:type=&quot;simple&quot;&gt;Steroidobacter&lt;/jats:ext-link&gt;_x000a_                     &lt;/jats:named-content&gt;_x000a_                  &lt;/jats:italic&gt;, including average nucleotide identity and digital DNA–DNA hybridization, resolved the taxonomic position of strain S1-65&lt;jats:sup&gt;T&lt;/jats:sup&gt; and suggested its positioning as representing a novel species of the genus &lt;jats:italic&gt;_x000a_                     &lt;jats:named-content content-type=&quot;genus&quot;&gt;_x000a_                        &lt;jats:ext-link xmlns:xlink=&quot;http://www.w3.org/1999/xlink&quot; ext-link-type=&quot;uri&quot; xlink:href=&quot;http://doi.org/10.1601/nm.13157&quot; xlink:type=&quot;simple&quot;&gt;Steroidobacter&lt;/jats:ext-link&gt;_x000a_                     &lt;/jats:named-content&gt;_x000a_                  &lt;/jats:italic&gt;. The DNA G+C content of strain S1-65&lt;jats:sup&gt;T&lt;/jats:sup&gt; was 62.5 mol%, based on its draft genome sequence. The predominant respiratory quinone was ubiquinone-8. The main fatty acids were identified as summed feature 3 (C&lt;jats:sub&gt;16:1&lt;/jats:sub&gt;ω6&lt;jats:italic&gt;c&lt;/jats:italic&gt;/C&lt;jats:sub&gt;16:1&lt;/jats:sub&gt;ω7&lt;jats:italic&gt;c&lt;/jats:italic&gt;), C&lt;jats:sub&gt;16 : 0&lt;/jats:sub&gt; and iso-C&lt;jats:sub&gt;15 : 0&lt;/jats:sub&gt;. In addition, its polar lipid profile was composed of aminophospholipid, diphosphatidylglycerol, phosphatidylethanolamine and phosphatidylglycerol. Here, we propose a novel species of the genus &lt;jats:italic&gt;_x000a_                     &lt;jats:named-content content-type=&quot;genus&quot;&gt;_x000a_                        &lt;jats:ext-link xmlns:xlink=&quot;http://www.w3.org/1999/xlink&quot; ext-link-type=&quot;uri&quot; xlink:href=&quot;http://doi.org/10.1601/nm.13157&quot; xlink:type=&quot;simple&quot;&gt;Steroidobacter&lt;/jats:ext-link&gt;_x000a_                     &lt;/jats:named-content&gt;_x000a_                  &lt;/jats:italic&gt;: &lt;jats:italic&gt;Steroidobacter gossypii&lt;/jats:italic&gt; sp. nov. with the type strain S1-65&lt;jats:sup&gt;T&lt;/jats:sup&gt; (=JCM 34287&lt;jats:sup&gt;T&lt;/jats:sup&gt;=CGMCC 1.18736&lt;jats:sup&gt;T&lt;/jats:sup&gt;).&lt;/jats:p&gt;"/>
    <n v="5091"/>
    <s v="No"/>
    <s v="No"/>
    <s v="Yes"/>
    <s v="Yes"/>
    <s v="No"/>
    <s v="Yes"/>
    <s v="Yes"/>
    <s v="includes hyperlinks"/>
    <s v="includes U+200A Hair spaces, General Punctuation, includes hyperlinks"/>
    <x v="0"/>
  </r>
  <r>
    <s v="journal-article:None"/>
    <s v="10.1149/ma2023-0154174mtgabs"/>
    <s v="&lt;jats:p&gt;  _x0009_Currently, one of the main problems in commercial SOFC systems fueled directly with hydrocarbon compounds, such as biogas, is the high risk of blocking the active phase on the anode side (&lt;jats:italic&gt;e.g. Ni-YSZ&lt;/jats:italic&gt;) due to carbon formation/deposition during the conversion of fuel into power energy. This issue causes a lowering in the overall performance and durability of the cell. Therefore, to overcome this deactivation mechanism, it was successfully demonstrated that an additional anodic active layer in commercial SOFC using materials based on exsoluted perovskites could be an interesting and viable alternative. This asseveration is based on the fact that using this kind of material is possible to get heterogeneous surface systems with highly stable and electrocatalytically active embedded nanoparticles uniformly distributed on the surface with a high carbon coking tolerance in a hydrocarbon fuel atmosphere.&lt;/jats:p&gt;_x000a_               &lt;jats:p&gt;This study aimed to evaluate and compare the electrocatalytic behaviour of two new catalytic materials with Ni exsolution for direct dry biogas-fueled SOFC. The starting materials were Ruddlesden-Popper-type based on a nickel manganite (La&lt;jats:sub&gt;1.5&lt;/jats:sub&gt;Sr&lt;jats:sub&gt;1.5&lt;/jats:sub&gt;Mn&lt;jats:sub&gt;1.5&lt;/jats:sub&gt;Ni&lt;jats:sub&gt;0.5&lt;/jats:sub&gt;O&lt;jats:sub&gt;7±δ&lt;/jats:sub&gt; or &lt;jats:italic&gt;LSMN&lt;/jats:italic&gt;) and nickel cobaltite (La&lt;jats:sub&gt;1.5&lt;/jats:sub&gt;Sr&lt;jats:sub&gt;1.5&lt;/jats:sub&gt;Co&lt;jats:sub&gt;1.5&lt;/jats:sub&gt;Ni&lt;jats:sub&gt;0.5&lt;/jats:sub&gt;O&lt;jats:sub&gt;7±δ&lt;/jats:sub&gt; or &lt;jats:italic&gt;LSCN&lt;/jats:italic&gt;). Both materials have been synthesized by the Pechini method using stoichiometric amounts of precursors as nitrates. Once the respective gels have been formed, they were treated in the air at two dwell temperatures, 300°C for 2 h and 500°C for 3 h, to ensure the total elimination of the organic compounds. Finally, the resulting powders were treated in air at 1300°C for 12h and then, physicochemically characterized. For the electrochemical characterization, the as-treated powders were mixed individually with Gd&lt;jats:sub&gt;0.1&lt;/jats:sub&gt;Ce&lt;jats:sub&gt;0.9&lt;/jats:sub&gt;O&lt;jats:sub&gt;2&lt;/jats:sub&gt; (&lt;jats:italic&gt;CGO&lt;/jats:italic&gt;) in a weight ratio of 70:30 using a ball milling for 6h. Finally, to get the slurry for the coating layer, each mixture (&lt;jats:italic&gt;LSMN+CGO&lt;/jats:italic&gt; and &lt;jats:italic&gt;LSCN+CGO&lt;/jats:italic&gt;) was ground for an additional 2h in the presence of 8 wt % of triethanolamine, 2 wt % polyvinyl butyral resin (BUTVAR B-98) and 2-propanol. Commercial button SOFC cells by InDEC® (anode-supported cell Ni-YSZ/YSZ/LSM) were painted on the anode side getting an active area of 2 cm&lt;jats:sup&gt;2&lt;/jats:sup&gt;. The experiments were carried out at 800°C with pre-conditioning using diluted H&lt;jats:sub&gt;2&lt;/jats:sub&gt; and then, with simulated dry biogas. A Biologic tool was used as a device for the electrochemical measurements.&lt;/jats:p&gt;_x000a_               &lt;jats:p&gt;The purpose of this communication is to present the results of experiments with two button cells derived from the same large area commercial cell (anode supporting cell) coated with the two electrocatalysts developed in this work. The electrochemical test carried out for more than 200 h demonstrated that this external functional layer on the anode side contributes to getting a stable potential within the whole working time at the selected galvanostatic conditions (500 mA cm&lt;jats:sup&gt;−2&lt;/jats:sup&gt;). By comparing the results of these two tests, the exsolved LSCN layer showed better perfomances, because of the the B-site doped with Co instead of Mn which is responsible for an enhanced O&lt;jats:sup&gt;2-&lt;/jats:sup&gt; transport within the crystal structures. Finally, post-reaction characterization revealed minimum/null carbonous species in both cases which suggests that the classical risks caused by the direct use of hydrocarbon fuels in commercial SOFC can be suppressed with this kind of approach which would lead us to think about the use of this type of materials in a next level or further electrochemical applications.&lt;/jats:p&gt;_x000a_               &lt;jats:p&gt;_x000a_                  &lt;jats:italic&gt;_x000a_                     &lt;jats:bold&gt;Acknowledgements&lt;/jats:bold&gt;_x000a_                  &lt;/jats:italic&gt;_x000a_               &lt;/jats:p&gt;_x000a_               &lt;jats:p&gt;The authors acknowledge the project entitled &quot;Direct utilisation of bio-fuels in solid oxide fuel cells for sustainable and decentralised electric power production and heat (DIRECTBIOPOWER)&quot; Grant Agreement number: 2017FCFYHK.&lt;/jats:p&gt;_x000a_               &lt;jats:p&gt;The authors acknowledge the Ministry of Ecological Transition of Italy (MiTE) for funding this research through the AdP &quot;Piano Operativo di Ricerca (POR) sull'idrogeno verde&lt;/jats:p&gt;_x000a_               &lt;jats:p&gt;_x000a_                  &lt;jats:inline-formula&gt;_x000a_                     &lt;jats:inline-graphic xmlns:xlink=&quot;http://www.w3.org/1999/xlink&quot; xlink:href=&quot;174fig1.jpg&quot; xlink:type=&quot;simple&quot;/&gt;_x000a_                  &lt;/jats:inline-formula&gt;_x000a_               &lt;/jats:p&gt;_x000a_               &lt;jats:p&gt;Figure 1&lt;/jats:p&gt;_x000a_               &lt;jats:p/&gt;"/>
    <n v="5038"/>
    <s v="No"/>
    <s v="No"/>
    <s v="Yes"/>
    <s v="Not available"/>
    <s v="No"/>
    <s v="Yes"/>
    <s v="No"/>
    <s v="includes hyperlinks; includes funding acknowledgement; includes figures; "/>
    <m/>
    <x v="1"/>
  </r>
  <r>
    <s v="journal-article:None"/>
    <s v="10.1182/blood-2023-173905"/>
    <s v="&lt;jats:title/&gt;_x000a_               &lt;jats:p&gt;Introduction&lt;/jats:p&gt;_x000a_               &lt;jats:p&gt;Follicular lymphoma (FL) is the second most common non-Hodgkin lymphoma. Leukemic-phase FL (LP-FL) is a rare entity comprising 1-3% of FL patients (pts). Controversy exists about prognosis of LP-FL with some studies suggesting worse outcome. No clear cut-point of circulating cells has been used to define LP-FL; however, a level &amp;amp;gt; 5x103^3 cells/uL is defined in GELF criteria for high burden disease. No unified treatment recommendation is present for these pts with some opting to treat as indolent FL and some choosing a more aggressive approach. Furthermore, limited case series (n=7 to 37) on LP-FL are available, hence we aimed to better understand prognosis and treatment strategies associated with better outcome in LP-FL.&lt;/jats:p&gt;_x000a_               &lt;jats:p&gt;Methods&lt;/jats:p&gt;_x000a_               &lt;jats:p&gt;Pts with a pathology proven diagnosis of FL in lymph node and/or bone marrow and a positive flow cytometry in peripheral blood for clonal B cells (CBs), at diagnosis or at relapse, were included in the study. Data was collected from 5 academic institution in the US. We report time-to-event outcomes including median progression-free survival (mPFS) and overall survival (mOS) estimated by Kaplan-Meier method (only pts who received therapy included) . Uni and multivariable analyses were performed using Cox regression. CBs were divided into 4 groups: (&amp;amp;lt;1, 1-4.99, 5-9.99, &amp;amp;gt;10) 10^3/uL. Pts treatment was grouped in 4 categories: anti-CD20 monoclonal antibody (CD20mAb), CD20mAb+Bendamustine, CD20mAb+ CHOP, and other. Pts with CD10 negative clones on flow cytometry were excluded as they might represent different lymphoma type.&lt;/jats:p&gt;_x000a_               &lt;jats:p&gt;Results&lt;/jats:p&gt;_x000a_               &lt;jats:p&gt;Sixty-one pts (period 1998 to 2022) were identified in participating institutions with LP-FL, 10 of which had CD10- flow cytometry and excluded from study. Of 51 remaining pts, median age was 56 years (y). Nine (17.6%) pts were Hispanic and 44 (86.2%) pts were white. Most pts (37%) presented asymptomatic lymphadenopathy, 22% with B symptoms, 14% with incidental elevated WBC, 12% with organ compromise and 12% due to other reasons. Overall, B symptoms were present in 20 (39%) pts. Hepato/splenomegaly was present in 22 (43%) pts, high tumor burden (GELF criteria) in 12 (23%) pts, and most pts (n=42; 82%) presented ECOG PS 0-1. We less frequently observed anemia (Hg &amp;amp;lt;12g/dL, n= 10; 20%) and elevated LDH (n=17; 33%). High risk FLIPI score (≥3) was present in 28 (55%) pts. Median count of CBs of 1.62 x 10^3/uL. CBs were &amp;amp;lt;5 10^3/uL in 35 (69%) pts, CBs=5-10 10^3/uL in 6 (12%) pts and CBs &amp;amp;gt;10 10^3/uL in 10 (20%) pts. Median absolute lymphocyte count was 3.0 x10^3/uL. Cytogenetic data was available in tissue biopsies in 13 (25%) pts and all carried t(14;18). Treatment was as follows: 24 (47%) pts with bendamustine + CD20mAb , 15 (29%) pts with CD20mAb + CHOP, 7 (14%) pts were treated with CD20mAb, 3 (6%) pts underwent active surveillance, and 2 (4%) with other treatments. Overall response rate (ORR) was 87%. Of those 31 (65%) pts had complete response (CR) and 11 (23%) pts had partial response (PR).&lt;/jats:p&gt;_x000a_               &lt;jats:p&gt;With a median follow up of 5.5 y the mPFS was 3.6 y and mOS was 9.6 y (Figure 1). Relapse/ progression of disease occurred in 26 (54%) pts and CBc was detect in 12/13 pts in which flow cytometry was done. Transformation on relapse occurred in 7 pts. In pts experiencing disease relapse/progression, CAR T-cell was given to 6 pts with an ORR of 83.3% (CR: in 4 and PR in 1 pts); one pt died due to CAR-T grade 5 neurotoxicity. Death occurred in 13 pts with 6 (46% of all deaths) being lymphoma-related.&lt;/jats:p&gt;_x000a_               &lt;jats:p&gt;Age≥60 and male sex were associated with worse PFS in univariable analysis (Table 1), with age only remaining significant in a multivariable analysis that also included sex and frontline therapy (HR 3.19, p=0.01 ). Notably, FLIPI score, CBs count category, and type of frontline therapy did not predict PFS. Progression of disease within 24 months (POD24) predicted OS in univariable analysis (HR= 3.93; p=0.029). Multivariable analysis for OS was not performed due to small number of deaths.&lt;/jats:p&gt;_x000a_               &lt;jats:p&gt;Conclusion&lt;/jats:p&gt;_x000a_               &lt;jats:p&gt;To our knowledge, this is the largest study of LP-FL. Median OS was around 10 years, a comparable outcome to historical nodal FL survival. Treatment type also did not predict PFS or OS. Circulating monoclonal cell levels did not impact survival . This is notable as the current GELF criteria includes circulating malignant cells ≥5 x10^3/uL as an indication for treatment while our date shows that no set cut-point may be needed. In addition, CAR T-cell appears to be an effective therapy with similar results as in nodal FL.&lt;/jats:p&gt;"/>
    <n v="4912"/>
    <s v="No"/>
    <s v="No"/>
    <s v="Yes"/>
    <s v="Yes"/>
    <s v="No"/>
    <s v="Yes"/>
    <s v="No"/>
    <s v="No problems"/>
    <s v="lovely structured abstract; poster abstract"/>
    <x v="3"/>
  </r>
  <r>
    <s v="journal-article:None"/>
    <s v="10.18505/cuid.701358"/>
    <s v="&lt;jats:p xml:lang=&quot;tr&quot;&gt;İslam’ın ikinci kaynağı olan sünnetin taşıyıcısı olan rivayetler, raviler tarafından farklı düzeylerde aktarılmıştır. Rivayetlerin aktarılma düzeyi arasındaki farklılığın sebepleri başta Muʿtezilî âlimler olmak üzere kelam ve usûlcüler tarafından araştırma ve tartışma konusu olmuştur. Bu konulardan biri de rivayetin/haberin aktarılmasına etki eden faktörler ile aktarılmasına engel olan husuların ne olduğudur. Bu konuya farklı bir boyut kazandıran âlimlerin başında Kādî Abdülcebbâr (öl. 415/1025) gelmektedir. O, mensubu bulunduğu akılcı/rasyonalist mezhebin yaklaşımı doğrultusunda hareket ederek haberin rivayeti konusunda felsefi bir bakış açısı geliştirmiştir. Buna göre bir rivayetin aktarılma sıklığı; haberin dini bir niteliğe sahip olup olmaması, muhatap üzerindeki etkisi, sıradanlaşması, kendisine duyulan ihtiyaç gibi konular çerçevesinde ele alınmalıdır. Dolayısıyla bu çalışmada, Kādî Abdülcebbâr’ın görüşleri doğrultusunda haberin nakli etkileyen unsurlar üzerinde durulmuştur. Diğer bir ifadeyle bir haberin / rivayetin, toplumun bireyleri tarafından dillendirilmesini ve tekrar edilmesini sağlayan etkenler ile bir sözün naklledilmesine engel olan sebeplerin ne olduğu veya ne olabileceği hususları üzerinde durulmuştur. Kādî Abdülcebbâr rivayetlerin/haberlerin naklini veya tekrarını etkileyen unsurları; insanın toplumsal, psikolojik ve inanç yönüyle ilintili olarak ele almış ve örneklendirmeye çalışmıştır. Bu etkenler iki yönlü bir etkiye sahiptir. Kimisi haberin nakledilmesini gerektirirken kimisi de haberin yayılmasını ve nakledilmesini engellemekte veya zayıflatmaktadır. Bu etkenler kaynak itibariyle insanın psikolojk yönüyle alakalı olsa da eylem sürecinden farklılaşmaktadır. Bunlardan birincisi haberin naklini gerektiren etkenler olup Kādî tarafındanالداعي  şeklinde  isimlendirmiştir. İkincisi de haberin naklini engelleyen etkenler olup الصوارف  diye isimlendirilmiştir. Kādî Abdülcebbâr’dan önce bu kavramları sözlük anlamıyla kullananlar olduğu gibi bunları haberin nakliyle bağlantılı bir şekilde kullananlar da olmuştur. Örneğin Ebu’l-Hasan el-Eş’arî (öl. 324/935) ve el-Kelâbâzî (öl. 380/990) bu kavramları sözlük anlamıyla kullanırken Cessâs (öl. 370/981) ise bunları haberin nakliyle irtibatlandırmıştır. Kādî’nın çağdaşı Bâkıllânî (öl. 403/1013) de bu kavramları Kādî’yla yakın bir anlamda kullanmıştır. Kādî Abdülcebbâr ile birlikte bu kavramalar daha sık kullanılmış ve terimsel bir anlam kazanmıştır. Ondan sonra yazılan kelam ve usûl eserlerinde bu kavramlar daha sistematik bir şekilde kullanılmıştır. Kādî’nın öğrencilerinden el-Basrî (öl. 436/1045), Şerîf el-Murtazâ (öl. 436/1045) ayrıca Hârûnî (öl. 424/1032), İbn Hazm (öl. 456/1064), Ebû Yâ’lâ (öl. 458/1066), Şîrâzî (öl. 476/1084) ve Cüveynî (öl. 478/1086) de bu kavramları haberlerin nakliyle bağlantılı bir şekilde kullanmıştır. Bir eylemin yapılmasına veya yapılmamasına yönelik dâʿîler, birden fazla olabildiği gibi kuvvet açısından da birbirinden farklı olabilmektedir. Kişinin haberin nakline yönelik eylemi, dâʿîlerin gücü/kuvvetiyle doğru orantılıdır. Bir eyleme yönelik güçlü dâʿîler, kişiyi onu gerçekleştirmeye daha çok motive ederken, etki açısından daha zayıf olan dâʿîler ise daha az oranda kişiyi eylemi gerçekleştirmeye yönlendirmektedir. Dolayısıyla aynı dâʿîlere sahip iki haberin aynı oranda nakledilmesi gerekir. Çünkü bunların naklini sağlayan asıl unsur yani dâʿî aynı kuvvete sahiptir. Bu doğrultuda aynı durumu paylaşan ve aynı zaman diliminde bulunan iki haberden birinin nakledilip diğerinin nakledilmemesi doğru değildir. Yani bir şeyin nakli, âdet/العادة  yasası çerçevesinde devâî/الدواعي  ve ihtiyacın kuvveti doğrultusundadır. Haberlerin nakil durumu, onu nakletmeye yönelik eğilimlere veya nakletmekten alıkoyan hususlara bağlıdır. Bu etkenlerin içerisinde haberin naklini sağlayan ve bu konuda insanları güdüleyen hususlar dâʿî, insanları bunu aktarmaktan alıkoyan husus ve unsurlar da sârif kavramıyla ifade edilmiştir. Bunlar da haberi nakleden kişinin psikolojik durumu, haberin sıradanlaşması, habere duyulan ihtiyaç, haberin söyleniş zamanına olan uzaklığı, haberin dini bir niteliğe sahip olması ve aktaranları ilgilendiren bir korku durumunun bulunup bulunmadığıyla yakından alakalıdır. Buna göre habere dair dâʿî veya devâî varsa nakledilir, yoksa veya bu hususta sârif veya savârif varsa nakledilmez veyahut daha az nakledilir. Haberlerin sahip olduğu dâʿîler ve sârifler de aynı kuvvete sahip değillerdir. Bu doğrultuda haberlerin zarûrî bilgi ifade etmesi de haberde bulunan dâʿîlere bağlıdır. Haberin söylendiği ortam, ortamda bulunan yani olaya tanıklık edenlerin sayısı, haberin muhatabın dikkatleri üzerindeki etkisi, sonraki zamanlarda söylenen habere müracaat etme ihtiyacı, haberin işlevselliği, konusu, yayılmasını engelleyebilecek faktörler, söylendiği zamana olan uzaklığı gibi hususlar dikkate alınmalıdır.&lt;/jats:p&gt;"/>
    <n v="4899"/>
    <s v="No"/>
    <s v="&quot;tr&quot;,&quot;en&quot;"/>
    <s v="Yes"/>
    <s v="Yes"/>
    <s v="No"/>
    <s v="No"/>
    <s v="No"/>
    <s v="No problems"/>
    <s v="includes arabic, and latin char sets; Perfectly done with separate abstracts for each language and language attributes; the REST abstract only include &quot;tr&quot; while the XML response includes both &quot;tr&quot; and &quot;en&quot; versions. "/>
    <x v="3"/>
  </r>
  <r>
    <s v="journal-article:None"/>
    <s v="10.32999/ksu2413-1865/2021-94-10"/>
    <s v="&lt;jats:p&gt;The article considers the problem of monitoring the professional teacher’s readiness to work in an inclusive education environment. A review of scientific research was conducted and the methods of the professional teacher’s  readiness  to  work  in  the  inclusive  education  environment  were  developed,  because  the  system of  continuous  teacher’s  training  to  work  in  the  inclusive  education  environment  needs  development and implementation of monitoring the professional teacher’s readiness to work in the inclusive education environment. It is proposed to interpret monitoring as a system of continuous, scientifically and methodologically approved observation of the dynamic of professional and postgraduate primary school teacher’s training to work in the conditions of inclusion and correlation the quality of this training with the predefined criteria, indicators and stages with the further prolonged development of mechanisms and procedures of reaching this criteria. It is indicated that that development of the program, methodology and algorithm of monitoring the professional teacher’s readiness to work in inclusive education conditions foresees taking into account the components and criteria of teacher’s readiness, the conditions, components and functions of the postgraduate education of  teacher.  Monitoring  of  the  professional  teacher’s  readiness  to  work  in  inclusive  education  conditions foreseed the goal, task, the principles, stages, diagnostic’s toolkit, stages and forms; it was carried out in the form of the survey, test, interview and self-diagnosis. It was marked that the methods offered by us foreseed the implementation of the stages of teacher’s professional readiness, on the basis of monitoring’s data. With the help of the developed diagnostic toolkit we made monitoring in the experimental educational institutions where  462  students  (257  bachelors  and  205  masters)  and  162  teachers  took  part. We  made  a  resume  in the absolute and relative measurements according to the bachelors masters and postgraduate stages. According to the monitoring’s results we made a conclusion and defined the main differences between the target groups of the respondents of the research and marked the need to provide the scientifically proved and empirically verified the measures of scientifically methodological accompaniment.Key words: monitoring, stages of the professional readiness, continuous training, professional training, inclusive education.  У статті розглядається проблема здійснення моніторингу професійної готовності вчителів до роботи в умовах інклюзивного навчання. Проведено огляд наукових досліджень та розроблено методику моніторингу професійної готовності вчителів до роботи в умовах інклюзивного навчання, оскільки система неперервної професійної підготовки педагога до роботи в умовах інклюзивного середовища навчання потребує розроблення й упровадження моніторингу професійної готовності учителів до роботи в умовах інклюзивного навчання. Запропоновано трактування моніторингу як системи неперервного, науково і методично обґрунтованого спостереження динаміки фахової та післядипломної підготовки вчителя початкової школи до роботи в умовах інклюзії та співвіднесення якості цієї підготовки із заздалегідь визначеними критеріями, показниками і рівнями з подальшою пролонгованою побудовою механізмів і процедур їх досягнення. Вказано, що розробка програми, методики, алгоритму моніторингу професійної готовності вчителів до роботи в умовах інклюзивного навчання передбачала врахування компонен-тів і критеріїв готовності педагога, умов, складників і функцій післядипломної освіти педагогів. Моні-торинг професійної готовності вчителів до роботи в умовах інклюзивного навчання передбачав мету, завдання, принципи, етапи, інструментарій діагностики, рівні, форми; здійснювався у формі анкетування, тестування, інтерв’ювання, самодіагностики. Зазначено, що пропоновані нами методики передбачали встановлення на основі даних моніторингу рівнів професійної готовності вчителів до роботи в умовах  інклюзивного  навчання.  За  розробленим  діагностичним  інструментарієм  проведено  моніторинг в експериментальних закладах освіти. Респондентами дослідження стали 462 студенти (257 бакалаврів, 205 магістрів) та 162 вчителі. Узагальнено дані моніторингу в абсолютних і відносних вимірах за бакалаврським, магістерським і післядипломним рівнями. Відповідно до результатів моніторингу зроблено висновки, визначено основні відмінності між цільовими групами респондентів дослідження та вказано на необхідність упровадження в процес підготовки та підвищення кваліфікації вчителів початкової школи науково обґрунтованих і емпірично перевірених заходів науково-методичного супроводу.Ключові слова:  моніторинг,  рівні  професійної  готовності,  неперервна  підготовка,  професійна підготовка, інклюзивна освіта.&lt;/jats:p&gt;"/>
    <n v="4899"/>
    <s v="No"/>
    <s v="&quot;en&quot;"/>
    <s v="No"/>
    <s v="Yes"/>
    <s v="No"/>
    <s v="Yes"/>
    <s v="Yes"/>
    <s v="includes multiple languages"/>
    <s v="&quot;uk&quot; and &quot;en&quot; included in the same abstract metadata element; latin and cyrillinc; language attribute was only &quot;en&quot;"/>
    <x v="2"/>
  </r>
  <r>
    <s v="journal-article:None"/>
    <s v="10.1182/blood-2020-139780"/>
    <s v="&lt;jats:p&gt;Background: Multiple myeloma (MM) is the second most common hematological malignancy in the United States. Fluorescence in-situ hybridization (FISH) is a popular tool to detect cytogenetic alterations which in turn, can contribute to the risk stratification of patients with MM. Gain or amplification of CKS1B gene at chromosome 1q21 region (gain 1q) is detected in 35-40% of newly diagnosed MM cases, and has been reported to be associated with inferior prognostic outcomes. It also frequently occurs with the deletion of CDKN2C at chromosome 1p32.3 (del 1p). There is a distinct lack of data on patients harboring this cytogenetic alteration in the era of novel agents. We sought to look at outcomes of this patient population at a single institution over the last 5 years.&lt;/jats:p&gt;_x000a_               &lt;jats:p&gt;Methods: This retrospective study included all patients with MM as defined by the International Myeloma Working Group (IMWG) with available FISH studies identifying gain 1q between 01/01/2015 to 04/30/2020 at Tufts Medical Center. The study was approved by the Institutional Review Board. Baseline demography, disease characteristics, and treatment history were extracted from the electronic medical records. With death as primary event, overall survival (OS) was defined as the survival time from the discovery of gain 1q to death. Progression free survival (PFS) was defined as the time from discovery of gain 1q to first progression/relapse or death, whichever occurred first. Kaplan-Meier method was used to estimate survival data. Differences in survival between two groups were analyzed by log-rank tests. Multivariable cox regression adjusting for baseline characteristics and significant concurrent cytogenetic alterations were performed to explore the impact of treatment regimens on survival.&lt;/jats:p&gt;_x000a_               &lt;jats:p&gt;Results: Of the forty-nine subjects included in this study, the age range was 39 to 85 years; 31 patients (63.3%) were over the age of 65 years, and 28 (57.1%) were male. Twenty-eight (57.1%) subjects with gain 1q were newly diagnosed while the remaining 21 (42.9%) were identified at relapse. Gain 1q was present in more than 20% of clonal cells in 73.5% of subjects and 29.6% had del 1p as well. Patients with gain 1q were more likely to have deletion 13q (65.3%) and hyperdiploidy (61.2%). Regarding treatment, 75.7% of patients received bortezomib, 70.3% received lenalidomide, 38.9% underwent autologous stem cell transplant (ASCT) and 64.9% received daratumumab. At the time of analysis, 41 patients were still alive. For the entire cohort, the estimated median OS was not reached (NR) (95% confidence interval [CI], 24.1-NR), and the estimated median PFS was 15.27 months (95% CI, 4.77-NR). In log-rank tests, presence of extra medullary disease was associated with shorter PFS (4.8 vs 24.1 months, P=0.003), while IGH abnormalities including complex IGH rearrangements or losses were associated with longer PFS (NR vs 8.2 months, P=0.046). Lenalidomide-based treatment was associated with prolonged OS (NR vs 17.2 months, P=0.048). Bortezomib-based therapy and upfront ASCT were associated with improved PFS (15.3 vs 4.7 months, P=0.036; NR vs 4.8 months, P =0.019 respectively). Further multivariate analyses adjusting for age, number of CKS1B copies, International Staging System stage, baseline creatinine, clone size, del 1p, lactate dehydrogenase, extra medullary disease, and IGH abnormalities revealed that administration of daratumumab after the discovery of gain 1q was associated with superior OS (Hazard Ratio [HR]=0.023x10^-2, 95% CI [0.002x10^-4, 0.299], P =0.022) compared with those not receiving this agent; both the use of bortezomib (HR=0.210, 95% CI [0.064, 0.687], P =0.010) and daratumumab (HR=0.126, 95% CI [0.015, 1.036], P =0.054) were associated with prolonged PFS. The use of lenalidomide or upfront ASCT lost prognostic benefit after adjusting for additional variables in multivariate models.&lt;/jats:p&gt;_x000a_               &lt;jats:p&gt;Conclusions: The outcomes of MM patients with gain 1q were evaluated according to clinical characteristics, concurrent chromosomal alterations and treatment regimens. In our small cohort, daratumumab and daratumumab-bortezomib combination regimens were found to have a favorable impact on survival. Future prospective clinical trials with larger sample sizes are warranted to confirm the results and further improve the outcomes of MM patients with this cytogenetic alteration.&lt;/jats:p&gt;_x000a_               &lt;jats:sec&gt;_x000a_                  &lt;jats:title&gt;Disclosures&lt;/jats:title&gt;_x000a_                  &lt;jats:p&gt;Comenzo: Amgen: Consultancy; Takeda: Consultancy, Research Funding; Sanofi: Consultancy; Unum: Consultancy; Caleum: Consultancy; Prothena: Consultancy, Research Funding; Janssen: Consultancy, Research Funding; Karyopharm: Consultancy, Research Funding.&lt;/jats:p&gt;_x000a_               &lt;/jats:sec&gt;"/>
    <n v="4893"/>
    <s v="No"/>
    <s v="No"/>
    <s v="Yes"/>
    <s v="Not available"/>
    <s v="No"/>
    <s v="Yes"/>
    <s v="No"/>
    <s v="includes disclosures"/>
    <m/>
    <x v="1"/>
  </r>
  <r>
    <s v="journal-article:None"/>
    <s v="10.47629/2074-9201_2023_2_37_45"/>
    <s v="&lt;jats:p&gt;С учетом отсутствия концептуальных представлений о суде присяжных заседателей, как формы отправления правосудия и степени его влияния на общую систему отправления правосудия, целью статьи выступает научный анализ в рамках методологии научного исследования характерных черт моделей судопроизводства с участием присяжных в зарубежных странах в различные исторические периоды времени. Именно присутствие архаичных концептуальных представлений правовой природы моделей суда присяжных заседателей, не позволяет эффективно реализовать данный процессуальный институт. Предметом исследования выступает анализ характерных черт суда присяжных заседателей на различных этапах судебного разбирательства, присущих для разных моделей, сформировавшихся в исторические периоды времени в различных странах. Для чего используется системный метод, основанный на восприятии всего производства в суде присяжных заседателей при одновременном анализе его моделей, с целью выявления отличительных черт и их взаимосвязи в рамках обеспечения их интеграционного единства. Историко-правовой метод исследования применялся для анализа генезиса и эволюции развития правовой природы формирования и развития различных моделей участия граждан в отправлении правосудия. Автором делается вывод, что существуют правовые модели, построенные на англосаксонской и континентальной системах права, образуя гибридные модели, характерные для каждой страны или группы стран в отдельности с учетом политических, социально-экономических условий, национальных традиций и интересов и одновременно с учетом опыта других стран. Основные отличительные черты таких моделей состоят либо в консолидированном подходе к разрешению присяжными заседателями и судьями вопросов права и факта, либо они разрешают их по отдельности, где присяжными заседателями исследованию подлежат фактические обстоятельства дела, а председательствующий судья разрешает правовые вопросы, связанные с назначением наказания. Также отличительные черты моделей участия граждан в отправлении правосудия проявляются и в определении численного состава коллегии присяжных заседателей. Необходимо отметить, что черты современной российской модели участия граждан в отправлении правосудия отличаются гибритизацией, заимствуя черты англосаксонской и континентальной правовых систем.&lt;/jats:p&gt;_x000a_                                                                                            &lt;jats:p&gt;Taking into account the lack of conceptual ideas about the jury trial as a form of administration of justice and the degree of its influence on the general system of administration of justice, the purpose of the article is a scientific analysis within the framework of the methodology of scientific research of the characteristic features of models of judicial proceedings involving juries in foreign countries in various historical periods of time. It is the presence of archaic conceptual representations of the legal nature of jury trial models that does not allow the effective implementation of this procedural institution. The subject of the study is the analysis of the characteristic features of the jury trial at various stages of the trial, inherent in different models formed in historical periods of time in different countries. For this purpose, a systematic method is used based on the perception of the entire proceedings in a jury trial while simultaneously analyzing its models in order to identify distinctive features and their interrelationships within the framework of ensuring their integration unity. The historical and legal research method was used to analyze the genesis and evolution of the development of the legal nature of the formation and development of various models of citizen participation in the administration of justice. The author concludes that there are legal models based on the Anglo-Saxon and continental systems of law, forming hybrid models characteristic of each country or group of countries separately, taking into account political, socio-economic conditions, national traditions and interests, and at the same time taking into account the experience of other countries. The main distinguishing features of such models consist either in a consolidated approach to the resolution of questions of law and fact by jurors and judges, or they resolve them separately, where the actual circumstances of the case are examined by jurors, and the presiding judge resolves legal issues related to the imposition of punishment. Also, the distinctive features of the models of citizens’ participation in the administration of justice are manifested in determining the numerical composition of the jury. It should be noted that the features of the modern Russian model of citizen participation in the administration of justice are characterized by hybritization, borrowing features of the Anglo-Saxon and continental legal systems.&lt;/jats:p&gt;"/>
    <n v="4889"/>
    <s v="No"/>
    <s v="No"/>
    <s v="Yes"/>
    <s v="Not available"/>
    <s v="No"/>
    <s v="Yes"/>
    <s v="Yes"/>
    <s v="includes multiple languages"/>
    <s v="&quot;ru&quot; and &quot;en&quot; included in the same abstract metadata element; latin and cyrillinc;"/>
    <x v="2"/>
  </r>
  <r>
    <s v="journal-article:None"/>
    <s v="10.25730/vsu.2070.20.002"/>
    <s v="&lt;jats:p&gt;Актуальность статьи обусловлена радикально противоположными оценками политической деятельности А. В. Колчака в исторической и публицистической литературе. Научный подход предполагает исследование фактов его политической биографии в рамки определенной системы знаний (теории). Традиционно данная проблема освещалась с классовых позиций. Однако в современных условиях такой подход вряд ли приемлем, поскольку «марксистско-ленинская теория» по принципиальным позициям отличается от марксистского понимания процессов развития общества и человека, и она в большей степени является идеологией, выражающей интересы определенных социальных групп. Наиболее объективно политическую деятельность в современных условиях можно оценить, опираясь на геополитический подход. В статье формулируется содержание историко-геополитического подхода, на основе которого исследуется политическая биография А. В. Колчака, то есть факты его биографии рассматриваются через призму геополитической системы знаний. Ключевыми событиями в его политической биографии являлись пребывание в плену после Русско-японской войны, участие в разработке и лоббировании программы строительства военно-морского флота, его реакция на государственный переворот в феврале 1917 г., поездка в Англию и США с целью передачи секретной информации, переход на военную службу Великобритании и деятельность в качестве «Верховного правителя России». Анализ этих фактов позволяет сделать вывод, что политическая деятельность А. В. Колчака объективно выражала интересы тех государств, которые не были заинтересованы в укреплении Российской империи, стремились к ее ослаблению и расчленению. Независимо от того, действовал Колчак в силу своих убеждений или его деятельность объясняется «политической наивностью», с точки зрения геополитического подхода оснований для реабилитации подобных государственных деятелей не имеется. Историко-геополитическая интерпретация с позиций интересов национальной безопасности, защиты территориального, культурного, политического пространства позволяет более объективно сформулировать оценочные суждения в отношении политических деятелей, подобных А. В. Колчаку. Одновременно исследование фактора внешнего влияния на внутриполитические события расширяет исследовательское поле и позволяет вписывать события отечественной истории в контекст мировых политических процессов.&lt;/jats:p&gt;_x000a_                                                                                            &lt;jats:p&gt;The relevance of the article is due to the radically opposite assessments of A. V. Kolchak's political activity in historical and journalistic literature. The scientific approach involves the study of the facts of his political biography in the framework of a certain system of knowledge (theory). Traditionally, this problem has been covered from a class perspective. However, in modern conditions, this approach is hardly acceptable, since the &quot;Marxist-Leninist theory&quot; differs in principle from the Marxist understanding of the processes of development of society and man, and it is more an ideology that expresses the interests of certain social groups. The most objective assessment of political activity in modern conditions can be based on a geopolitical approach. The article formulates the content of the historical and geopolitical approach, based on which the political biography of A. V. Kolchak, that is, the facts of his biography, are viewed through the prism of a geopolitical knowledge system. Key events in his political biography were his time in captivity after the Russian-Japanese war, his participation in the development and lobbying of the Navy construction program, his reaction to the state coup in February 1917, his trip to England and the United States to transmit secret information, his transfer to the British military service, and his activities as the &quot;Supreme ruler of Russia&quot;. Analysis of these facts allows us to conclude that the political activity of A. V. Kolchaka objectively expressed the interests of those states that were not interested in strengthening the Russian Empire, sought to weaken and dismember it. Regardless of whether Kolchak acted because of his beliefs or his activities are explained by &quot;political naivety&quot;, from the point of view of the geopolitical approach, there are no grounds for the rehabilitation of such statesmen. Historical and geopolitical interpretation from the perspective of national security interests, the protection of territorial, cultural, and political space allows us to formulate more objective value judgments in relation to political figures like A. V. Kolchak. At the same time, the study of the factor of external influence on domestic political events expands the research field and allows us to fit the events of national history into the context of world political processes.&lt;/jats:p&gt;"/>
    <n v="4842"/>
    <s v="No"/>
    <s v="No"/>
    <s v="Not available"/>
    <s v="Yes"/>
    <s v="No"/>
    <s v="Yes"/>
    <s v="Yes"/>
    <s v="includes multiple languages"/>
    <s v="&quot;ru&quot; and &quot;en&quot; included in the same abstract metadata element; latin and cyrillinc;"/>
    <x v="2"/>
  </r>
  <r>
    <s v="journal-article:None"/>
    <s v="10.54220/1959.2024.94.18.009"/>
    <s v="&lt;jats:p&gt;Введение. В стремительно развивающейся информационной системе публичной отчетности финансовая отчетность компаний по праву занимает первое место. Данный формат обязателен для всех экономических субъектов, формируется на основе общепринятых профессиональных стандартов, представляет пользователям информацию в финансовом измерении и имеет независимое подтверждение ее достоверности. В условиях реализации принципов информационной прозрачности, экосистемности, связанности и технологичности отчетной информации к финансовой отчетности предъявляются повышенные требования в отношении состава, границ и формата раскрываемых данных, гармонизации и связанности показателей с другими формами отчетности. Материалы и методы. Обсуждение назревшей потребности в качественной трансформации модели финансовой отчетности, определение ключевых направлений ее дальнейшего развития и разработка современного инструментария сегодня выходят на новый этап. Определяющим в данном направлении становится обеспечение полноценной реализации ценностно-риск-ориентированного и стратегического характера раскрываемых показателей в концепции интегрированной системы учета. Результаты исследования. В статье на основе системного анализа взглядов научного общества выявлены ключевые проблемы и направления развития финансовой отчетности. Определена роль финансовой и нефинансовой информации в информационной экосистеме бизнеса и ее значение для финансовой отчетности. Предложен системный подход к определению и типизации ESG-факторов, капиталов, рисков и возможностей, обеспечивающий целостное представление и «сквозной учет» в рамках интегрированной информационной системы корпоративной отчетности. Обоснована необходимость введения дополнительных форм финансовой отчетности с целью качественного расширения финансовых раскрытий в фокусе ценностно и риск-ориентированного характера данных. Обсуждение и заключения. Финансовую отчетность в современных реалиях следует рассматривать в парадигме интегрированной информационной системы бизнеса как часть единой корпоративной отчетности, обеспечивающей прозрачное представление о деятельности экономического субъекта. Раскрытия в финансовой отчетности должны быть логично связаны, синхронизированы и гармонизированы с данными других видов отчетности, дополняя и подтверждая их.&lt;/jats:p&gt;_x000a_                                                                                            &lt;jats:p&gt;Introduction. In a rapidly developing information system of public reporting, financial reporting of companies rightfully takes first place. This reporting format, which is mandatory for all economic entities, is formed on the basis of generally accepted professional standards, provides users with information in a financial dimension and has independent confirmation of its accuracy. In the context of the implementation of the principles of information transparency, ecosystem, connectedness and manufacturability of reporting information, increased requirements are imposed on financial reporting in relation to the composition, boundaries and format of disclosed data, harmonization and connectivity of indicators with other forms of reporting. Materials and methods. The discussion of an urgent need for a qualitative transformation of the financial reporting model, the identification of key directions for its further development and the development of modern tools are all now entering a new stage. The determining factor in this direction is ensuring the full implementation of the value-risk-oriented and strategic nature of the disclosed indicators in the concept of an integrated accounting system. Results. Based on a systematic analysis of the views of the scientific community, the article identifies key problems and directions for the development of financial reporting. The role of financial and non-financial information in the business information ecosystem and its importance for financial reporting are determined. A systematic approach is proposed in terms of identifying and typing ESG factors, capital, risks and opportunities, providing a holistic view and «end-to-end accounting» within the framework of an integrated corporate reporting information system. The need to introduce additional forms of financial reporting is substantiated in order to qualitatively expand financial disclosures in the focus of the value- and risk-oriented nature of the data. Discussion and conclusions. Financial reporting in modern realities should be considered in the paradigm of an integrated business information system, as part of a unified corporate reporting that provides a transparent view of the activities of an economic entity. Disclosures in financial statements must be logically linked, synchronized and harmonized with data in other types of statements, complementing and confirming them.&lt;/jats:p&gt;"/>
    <n v="4836"/>
    <s v="No"/>
    <s v="No"/>
    <s v="Not available"/>
    <s v="Yes"/>
    <s v="No"/>
    <s v="Yes"/>
    <s v="Yes"/>
    <s v="includes multiple languages"/>
    <s v="&quot;ru&quot; and &quot;en&quot; included in the same abstract metadata element; latin and cyrillinc;"/>
    <x v="2"/>
  </r>
  <r>
    <s v="journal-article:None"/>
    <s v="10.1182/blood-2024-210804"/>
    <s v="&lt;jats:sec&gt;_x000a_                  &lt;jats:title/&gt;_x000a_                  &lt;jats:p&gt;Background Over the past 15 years, the field of myelofibrosis (MF) has seen remarkable improvements in terms of risk stratification, with the development of clinical, clinico-genomic, as well as treatment-specific models.&lt;/jats:p&gt;_x000a_                  &lt;jats:p&gt;JAK inhibitors revolutionized the treatment of MF, while allogeneic hematopoietic cell transplantation (HCT) is the only potentially curative treatment for patients with MF. Several issues must be considered when evaluating the benefits and risks of treatments for patients with MF, with the timing of HCT being a crucial question.&lt;/jats:p&gt;_x000a_                  &lt;jats:p&gt;Here, we aimed to develop a uniform decision model to define the optimal timing of treatment in MF patients based on clinical and genomic information in the modern era of JAK inhibition.&lt;/jats:p&gt;_x000a_                  &lt;jats:p&gt;Patients and Methods We studied a retrospective, international cohort of 1913 patients with primary (PMF, 58%) or secondary MF (SMF, 42%), of whom 1010 patients underwent HCT. All patients who did not undergo HCT were treated with ruxolitinib.&lt;/jats:p&gt;_x000a_                  &lt;jats:p&gt;First, we developed a multi-state model to estimate transition hazards between different disease-specific categories, using the DIPSS and MIPSS70 (for PMF), and MYSEC-PM (for SMF). Next, we simulated a randomized clinical trial, using Bayesian-guided artificial intelligence algorithms, where subjects are selected to receive HCT at different time points, stratified according to transplant-specific risk (using MTSS) and response to ruxolitinib (using the RR6 model). Results were used to estimate the average survival time over a 6-year time horizon.&lt;/jats:p&gt;_x000a_                  &lt;jats:p&gt;Results When considering patient life expectancy for patients who received an HCT in traditional modelling, earlier transplantation was associated with better outcome for higher risk disease, irrespective of PMF or SMF. However, considering treatment-specific risk significantly influenced decision modelling towards earlier or delayed transplantation (P&amp;amp;lt;0.001).&lt;/jats:p&gt;_x000a_                  &lt;jats:p&gt;Considering the scenario of PMF, a low/intermediate MTSS was associated with better outcomes for early transplantation in all DIPSS categories as well as MIPSS70 intermediate/high risk. Ideal timing of HCT for achieving prolonged life expectancy of patients was suggested within first 3 years from diagnosis for DIPSS low/intermediate-1, 2 years for MIPSS70 intermediate, and within 1 year from diagnosis for both DIPSS intermediate-2/high and MIPSS70 high. In contrast, considering a scenario of MTSS high/very high risk, prolonged life expectancy for transplantation was only found for MIPSS70 intermediate/high and DIPSS intermediate-2/high, suggesting delay HCT by an average of 0.5 years.&lt;/jats:p&gt;_x000a_                  &lt;jats:p&gt;Considering SMF, a scenario of low/intermediate MTSS was associated with better outcomes for transplantation only for a MYSEC-PM intermediate-2/high risk constellation. Ideal timing of HCT for achieving prolonged life expectancy of patients was suggested within first 1.5 years from diagnosis.&lt;/jats:p&gt;_x000a_                  &lt;jats:p&gt;In a next step considering response to ruxolitinib using the RR6 model in combination with the MTSS significantly affected timing of transplantation (P&amp;amp;lt;0.001), suggesting earlier transplantation by an average of 0.5 years for RR6 high risk, while RR6 low risk suggested delayed transplantation by an average of 1 year. Importantly, high risk RR6 suggested earlier HCT for patients with intermediate DIPSS and MYSEC-PM, traditionally populations of unmet need for optimal decision making.&lt;/jats:p&gt;_x000a_                  &lt;jats:p&gt;Furthermore, additional genomic constellations significantly affected decision modelling (P&amp;amp;lt;0.001). First, present ASXL1 drove the decision towards delayed transplantation for patients with MYSEC-PM low/intermediate-1 and MTSS low/intermediate risk. Second, patients with TP53 mutation (irrespective of disease type and risk) benefitted from early transplantation within 1 year of diagnosis.&lt;/jats:p&gt;_x000a_                  &lt;jats:p&gt;Last, we developed an online tool (with an extension for mobile application) as a uniform platform incorporating all revelant information, helping clinicians and patients alike navigate through the decision-making process for both PMF and SMF, with respect to onset and treatment-specific prognosis.&lt;/jats:p&gt;_x000a_                  &lt;jats:p&gt;Conclusion We provided evidence for the relevance of combining all clinico-genomic and treatment-specific features into the treatment decision making process, specifically regarding the optimal timing of HCT, allowing personalized decision-making in MF.&lt;/jats:p&gt;_x000a_               &lt;/jats:sec&gt;"/>
    <n v="4833"/>
    <s v="No"/>
    <s v="No"/>
    <s v="Yes"/>
    <s v="Yes"/>
    <s v="No"/>
    <s v="Yes"/>
    <s v="No"/>
    <s v="No problems"/>
    <m/>
    <x v="3"/>
  </r>
  <r>
    <s v="journal-article:None"/>
    <s v="10.1111/1460-6984.12610"/>
    <s v="&lt;jats:title&gt;Abstract&lt;/jats:title&gt;&lt;jats:sec&gt;&lt;jats:title&gt;Background&lt;/jats:title&gt;&lt;jats:p&gt;Accurate and detailed records of children's speech are a critical component of competent service delivery in speech–language pathology/speech and language therapy (SLP/SLT). Previous research has shown that during speech‐sound acquisition, children gradually learn to produce sounds in adult‐like manners. Continuous rating scales are a way to track this gradual learning.&lt;/jats:p&gt;&lt;/jats:sec&gt;&lt;jats:sec&gt;&lt;jats:title&gt;Aims&lt;/jats:title&gt;&lt;jats:p&gt;To examine whether clinical experience affects the ability and willingness to rate children's speech production using continuous rating scales.&lt;/jats:p&gt;&lt;/jats:sec&gt;&lt;jats:sec&gt;&lt;jats:title&gt;Methods &amp;amp; Procedures&lt;/jats:title&gt;&lt;jats:p&gt;An online survey was administered to 81 US‐based SLPs/SLTs, binned into more‐ and less‐experienced groups, and 20 non‐SLPs/SLTs. The survey included a speech‐sound rating task in which participants rated the production of place of articulation in children's productions of word‐initial /θ/, /s/, /ʃ/, /d/, /ɡ/, /t/ and /k/ on a nine‐point equally appearing interval scale. We examined the extent to which these were accurate (i.e., the extent to which they matched laboratory measures of production characteristics) and the extent to which the ratings were gradual (i.e., they used the entire rating scales, rather than just the endpoints).&lt;/jats:p&gt;&lt;/jats:sec&gt;&lt;jats:sec&gt;&lt;jats:title&gt;Main Contribution&lt;/jats:title&gt;&lt;jats:p&gt;There were no consistent differences between non‐SLPs/SLTs, less‐experienced SLPs/SLTs and more‐experienced SLPs/SLTs in a measure of the accuracy of responses. More consistent differences were found in the extent to which listeners used the endpoints of the scale: greater experience was associated with greater use of the endpoint values.&lt;/jats:p&gt;&lt;/jats:sec&gt;&lt;jats:sec&gt;&lt;jats:title&gt;Conclusions &amp;amp; Implications&lt;/jats:title&gt;&lt;jats:p&gt;More‐experienced SLPs/SLTs are less likely to use the entire range of continuous rating scales to rate children's speech accuracy than less‐experienced SLPs/SLTs or clinically untrained listeners. Implications for service delivery are discussed.&lt;/jats:p&gt;&lt;/jats:sec&gt;&lt;jats:sec&gt;&lt;jats:label /&gt;&lt;jats:p&gt;&lt;jats:boxed-text content-type=&quot;box&quot; position=&quot;anchor&quot;&gt;&lt;jats:caption&gt;&lt;jats:title&gt;What this paper adds&lt;/jats:title&gt;&lt;/jats:caption&gt;&lt;jats:sec&gt;&lt;jats:title&gt;What is already known on the subject&lt;/jats:title&gt;&lt;jats:p&gt;&lt;jats:list list-type=&quot;bullet&quot;&gt;_x000a_&lt;jats:list-item&gt;_x000a_&lt;jats:p&gt;Children's productions of individual sounds, like /k/, become gradually more adult‐like over the course of development. For a child who has a [t] for /k/ error, this gradual development means that children's productions become progressively less like /t/ and more like /k/ over development. Phonetic transcription does not capture this gradual development. In contrast, studies have shown that continuous ratings of children's speech (such as rating productions on a scale anchored by the text “the ‘t’ sound” at one end and “the ‘k’ sound” at the other end) can capture this gradual development.&lt;/jats:p&gt;_x000a_&lt;/jats:list-item&gt;_x000a_&lt;/jats:list&gt;&lt;/jats:p&gt;&lt;/jats:sec&gt;&lt;jats:sec&gt;&lt;jats:title&gt;What this paper adds to existing knowledge&lt;/jats:title&gt;&lt;jats:p&gt;&lt;jats:list list-type=&quot;bullet&quot;&gt;_x000a_&lt;jats:list-item&gt;_x000a_&lt;jats:p&gt;To determine continuous ratings are clinically feasible, we must first determine whether clinical experience affects people's use of continuous rating scales to rate children's speech. We conducted an on‐line speech perception experiment in which 81 speech‐language pathologists/speech and language therapists (SLPs/SLTs) and 20 non‐SLPs/SLTs rated 60 productions by children on continuous rating scales. The 60 stimuli included many sounds that had been independently verified to be intermediate productions (i.e., a target /k/ that was neither completely /k/‐like nor completely /t/‐like). Non‐SLPs/SLTs and less‐experienced SLPs/SLTs rated those intermediate sounds with intermediate ratings (i.e., somewhere on the midpoint of a continuous scale). In contrast, more‐experienced SLPs/SLTs were more likely to rate those sounds as instances of endpoints (i.e., as either /k/ or /t/).&lt;/jats:p&gt;_x000a_&lt;/jats:list-item&gt;_x000a_&lt;/jats:list&gt;&lt;/jats:p&gt;&lt;/jats:sec&gt;&lt;jats:sec&gt;&lt;jats:title&gt;What are the potential or actual clinical implications of this work?&lt;/jats:title&gt;&lt;jats:p&gt;&lt;jats:list list-type=&quot;bullet&quot;&gt;_x000a_&lt;jats:list-item&gt;_x000a_&lt;jats:p&gt;This finding suggests that clinical experience is paradoxically associated with a reduced tendency to use the entire range of responses on continuous rating scales. This finding suggests that we must better understand the cause of this reduced tendency, so that clinicians at all levels can use continuous rating scales equally effectively.&lt;/jats:p&gt;_x000a_&lt;/jats:list-item&gt;_x000a_&lt;/jats:list&gt;&lt;/jats:p&gt;&lt;/jats:sec&gt;&lt;/jats:boxed-text&gt;&lt;/jats:p&gt;&lt;/jats:sec&gt;"/>
    <n v="4815"/>
    <s v="No"/>
    <s v="&quot;en&quot;"/>
    <s v="Yes"/>
    <s v="Yes"/>
    <s v="No"/>
    <s v="Yes"/>
    <s v="No"/>
    <s v="No problems"/>
    <s v="includes jats tagged bulleted list"/>
    <x v="3"/>
  </r>
  <r>
    <s v="journal-article:None"/>
    <s v="10.1182/blood-2021-153076"/>
    <s v="&lt;jats:title&gt;Abstract&lt;/jats:title&gt;_x000a_               &lt;jats:p /&gt;_x000a_               &lt;jats:p&gt;Cryptic inv(16)(p13.3q24.3) leading to the CBFA2T3-GLIS2 (CBF/GLIS) oncogenic fusion is exclusively seen in infants with AML and is associated with adverse outcome. Infants with this fusion are uniformly refractory to conventional therapies and despite intensive and myeloablative therapies, virtually all patients relapse with survival less than 15% (Smith et. al. 2020). In the effort to discover actionable targets for this highly refractory leukemia, we interrogated the genome and transcriptome of nearly 3,000 AML cases, including 45 cases of CBF/GLIS AML, and contrasted this to the transcriptome in normal hematopoietic tissues.&lt;/jats:p&gt;_x000a_               &lt;jats:p&gt;Initial computational effort to identify CBF/GLIS-specific targets focused on genes that are overexpressed in CBF/GLIS AML and silent in normal hematopoietic tissues providing us with 194 candidate genes. Filtering this library of genes based on cell surface expression and prevalence in target population narrowed the target gene list to six cell surface encoding genes (FOLR1, FRAS1, HPSE2, KLRF2, MEGF10 and PCDH19). FOLR1 encodes folate receptor alpha and given available therapeutic options with FOLR1-targeting agents, this gene was selected for further studies and therapeutic assessment of available targeted therapies. Based on RNA-seq data, FOLR1 is uniquely expressed in CBF/GLIS AML as it is absent in other AML and in normal hematopoietic cells (Figure 1A) providing an opportunity to specifically target leukemia cells while sparing normal hematopoiesis. Cell surface expression of FOLR1 on AML blasts was confirmed by flow cytometry, which further shows AML-restricted expression of FOLR1 on AML cells but not in normal hematopoietic subsets in individual CBF/GLIS patient samples (Figure 1B, C). We previously showed that forced expression of CBF/GLIS fusion transcript in cord blood hematopoietic stem/ progenitor cells (CB HSPCs) induces malignant transformation that fully recapitulates primary CBF/GLIS AML (Hylkema et. al. 2019 ASH). We also demonstrated that CBF/GLIS-transduced CB HSPCs upregulate FOLR1 expression indicating that FOLR1 expression is causally associated with CBF/GLIS expression (Figure 1D).&lt;/jats:p&gt;_x000a_               &lt;jats:p&gt;Given cell surface expression of FOLR1 on CBF/GLIS AML cells, we next investigated the preclinical efficacy of targeting FOLR1 using FOLR1-directed site-specific antibody-drug conjugate (STRO-002, Sutro Biopharma). In vitro efficacy of STRO-002 was tested against MV4;11 AML cell line engineered to express FOLR1 (MV4;11 FOLR1+, Figure 1D) and CBF/GLIS-transduced CB HPSCs. STRO-002 exhibited high cytotoxicity against MV4;11 FOLR1+ and CBF/GLIS-transduced CB HPSCs with IC50s of 0.1nM and 4.2nM, respectively (Figure 1E). In vivo efficacy of STRO-002 was evaluated in MV4;11 FOLR1+ NSG xenograft models, which showed potent activity that led to complete leukemia clearance after 3 weekly doses of STRO-002 at 2.5 and 5 mg/kg (Figure 1F). The anti-leukemia effects of STRO-002 resulted in significant increase in survival (p=0.002, Figure 1G). STRO-002 showed similar in vivo efficacy in the xenograft mice bearing CBF/GLIS-transduced CB HSPCs (Figure 1H) suggesting highly potent activity of STRO-002 against FOLR1+ AML cells.&lt;/jats:p&gt;_x000a_               &lt;jats:p&gt;In this study, we utilize a computational approach to discover AML-restricted targets (high expression in AML, silent in normal) that are previously elusive to identify actionable targets for high-risk CBF/GLIS AML. From this discovery pipeline, we demonstrate FOLR1 to be highly and uniquely expressed in CBF/GLIS AML but not in normal counterparts, providing a strategy to target leukemia cells without impacting normal hematopoiesis. Finally, we demonstrate that targeting FOLR1 with STRO-002 antibody drug conjugate effectively eliminates CBF/GLIS-positive AML in vitro and in vivo, providing a promising approach to eradicate leukemia and improve outcomes in this high-risk AML subtype.&lt;/jats:p&gt;_x000a_               &lt;jats:p&gt;Figure 1 Figure 1.&lt;/jats:p&gt;_x000a_               &lt;jats:p /&gt;_x000a_               &lt;jats:sec&gt;_x000a_                  &lt;jats:title&gt;Disclosures&lt;/jats:title&gt;_x000a_                  &lt;jats:p&gt;Hylkema: Quest Diagnostics Inc: Current equity holder in publicly-traded company; Moderna: Current equity holder in publicly-traded company. Pardo: Hematologics, Inc.: Current Employment. Abrahams: Sutro Biopharma: Current Employment. Bedard: Sutro Biopharma: Current Employment. Molina: Sutro Biopharma: Current Employment. Eidenschink Brodersen: Hematologics, Inc.: Current Employment, Other: equity ownership. Loken: Hematologics, Inc.: Current Employment, Other: current equity holder in a privately owned company.&lt;/jats:p&gt;_x000a_               &lt;/jats:sec&gt;"/>
    <n v="4815"/>
    <s v="No"/>
    <s v="No"/>
    <s v="Yes"/>
    <s v="Not available"/>
    <s v="No"/>
    <s v="Yes"/>
    <s v="Yes"/>
    <s v="includes disclosures; includes figure"/>
    <s v="U+2008 punctuation space from general punc"/>
    <x v="0"/>
  </r>
  <r>
    <s v="journal-article:None"/>
    <s v="10.23925/2178-2911.2023v27espp433-450"/>
    <s v="&lt;jats:p&gt;Resumo _x000a_O progresso científico permitiu uma melhoria indiscutível na qualidade de vida humana e de outros animais. Todavia, este sucesso é frequentemente apresentado sem menção dos custos a ele associados. Tendo como referência o período da ciência moderna, iniciado e consolidado nos séculos XVI e XVII, o aumento de grande parte do conhecimento científico fez-se com recurso à experimentação em humanos e animais. Num claro exemplo de permeabilidade da ciência aos valores hierárquicos vigentes na sociedade, escravos e prisioneiros foram utilizados em experiências diversas, assim como os mais pobres e vulneráveis (por exemplo, pessoas com doenças mentais). Igualmente comum foi a prática de testagem em pacientes antes de estar garantida a segurança das substâncias inoculadas. A prática de vivissecção e dissecação de animais era também generalizada, sendo usados com frequência cães, ratos, coelhos, gatos, cavalos e veados, generalizando-se o uso de primatas no século XX. Cientistas como o português Amato Lusitano (1511-1568), o inglês William Harvey (1578-1657), os franceses Claude Bernard (1813-1878), Louis Pasteur (1822-1895) ou o alemão Paul Ehrlich (1854-1915) são apenas alguns exemplos do uso da experimentação animal nas suas descobertas. Mas, se mobilizar princípios éticos fundamentais dos dias de hoje em práticas ocorridas no passado parece não fazer sentido, importa evidenciar que as práticas cientificas descritas foram um dos fatores que conduziram ao surgimento de percursores dos direitos humanos e dos animais e à criação no século XIX de associações como a Royal Society for the Prevention of Cruelty to Animals (RSPCA) e da Société Protectrice des Animaux (SPA) que iniciaram a luta organizada contra a crueldade sobre os animais. Estes e outros movimentos conduziram à situação atual em que o uso de animais em investigação científica continua a ser um tema controverso, e em que os princípios da substituição, redução e refinamento têm vindo a ser adotados. _x000a_Neste texto pretende-se  apresentar ocontributos de alguns cientistas para a história da experimentação animal nos últimos 5 séculos. Recorre-se à análise documental de algumas obras de autores de referência, a saber: Bory (2013), Newton (2013) e Guerreni (2022), embora outros autores sejam igualmente mobilizados._x000a_Palavras-chave: Experimentação Animal, Vivissecção, Ética, Bem-estar animal _x000a_Abstract _x000a_Scientific progress has allowed an indisputable improvement in the quality of life for humans and other animals. However, this success is often presented without mentioning the costs associated with it. Taking the period of modern science as reference, which began and consolidated in the 16th and 17th centuries, the increase of part of scientific knowledge was achieved through experimentation on humans and animals. In a clear example of the permeability of science to the hierarchical values prevailing in society, slaves and prisoners were used in different experiments, as well as the poorest and most vulnerable (for example, people with mental illnesses). Equally common was the practice of testing patients before the safety of the inoculated substances was guaranteed. The practice of vivisection and dissection on animals was also generalized, being dogs, rats, rabbits, cats, horses and deer frequently used, and primates generalized only in the 20th century. Scientists such as the Portuguese Amato Lusitano (1511-1568), the English William Harvey (1578-1657), the French Claude Bernard (1813-1878) and Louis Pasteur (1822-1895) or the German Paul Ehrlich (1854-1915) are just a few examples of the use of animal experimentation in their discoveries. But, if mobilizing fundamental ethical principles of today in practices that occurred in the past does not seem to make sense, it is important to highlight that the scientific practices described were one of the factors that led to the emergence of precursors of human and animal rights and to the creation in the 19th century of associations such as the Royal Society for the Prevention of Cruelty to Animals (RSPCA) and the Société Protectrice des Animaux (SPA) which initiated the organized fight against cruelty to animals. These and other movements have led to the current situation in which the use of animals in scientific research continues to be a controversial topic, and in which the principles of substitution, reduction and refinement have been adopted._x000a_This text aims to present the contributions of some scientists to the history of animal experimentation in the last 5 centuries. Documentary analysis of some works by reference authors, namely: Bory (2013), Newton (2013) and Guerreni (2022) was privileged, although other texts are also referenced._x000a_Keywords: Animal Experiments, Vivisection, Ethics, Animal Welfare&lt;/jats:p&gt;"/>
    <n v="4809"/>
    <s v="No"/>
    <s v="No"/>
    <s v="Yes"/>
    <s v="Yes"/>
    <s v="No"/>
    <s v="Yes"/>
    <s v="Yes"/>
    <s v="includes multiple languages"/>
    <s v="all in same element; includes U+200A Hair spaces; includes keywords"/>
    <x v="0"/>
  </r>
  <r>
    <s v="journal-article:None"/>
    <s v="10.51889/2959-5657.2024.87.1.009"/>
    <s v="&lt;jats:p&gt;In the modern world, the training system is constantly under development, due to the daily appear-ance of new, more effective teaching methods that allow achieving results many times faster. The meth-odology of teaching a foreign language requires the use of authentic materials so that students can apply their knowledge in practice. Media materials allow students to immerse themselves in the natural envi-ronment of using a foreign language, which means it allows them to communicate at a more natural lev-el, discuss issues of global importance and conduct small talk with representatives of foreign culture and native speakers. The purpose of this research is to study the effectiveness of the use of media materials for the development of communication skills among students of more advanced levels of English lan-guage proficiency (B2, C1). This article describes the results of a pedagogical experiment with students of the 2nd year of the Faculty of Philology in the direction &quot;Foreign language: 2 foreign languages&quot;. The results of the conducted pedagogical research have valuable practical significance, because they can be used  in  further  scientific  works  on  a  given  topic.  As  a  result  of  the  preparation  of  this  article,  it  was found that the use of media materials has a positive effect on the development of students' communica-tion skills, because their fluency of speech, and the ability to maintain a conversation on a given topic increases, fewer grammatical and lexical errors in English speech are made.&lt;/jats:p&gt;_x000a_                                                                                            &lt;jats:p&gt;Қазіргі әлемде оқыту жүйесі бірнеше есе жылдам нәтижеге қол жеткізуге мүмкіндік беретін жаңа, тиімдірек оқыту әдістерінің күнделікті пайда болуына байланысты үнемі даму сатысында тұр. Шет тілін оқыту әдістемесі студенттердің алған білімдерін іс жүзінде қолдана алуы үшін шынайы (түп нұсқа) материалдарды қолдануды талап етеді. БАҚ материалдары студенттерге шет тілін қолданудың табиғи ортасына енуге мүмкіндік береді, яғни бұл оларға табиғи деңгейде қарым-қатынас жасауға, әлемдік маңызы бар мәселелерді талқылауға және шет тілі мәдениетінің ӛкілдерімен және ана тілінде сӛйлейтіндермен шағын әңгімелер жүргізуге мүмкіндік береді. Бұл ғылыми  зерттеудің  мақсаты  ағылшын  тілін  жетік  меңгерген  студенттердің  қарым  қатынас дағдыларын  дамыту  үшін  БАҚ  материалдарын  пайдаланудың  тиімділігін  зерттеу  болып ВЕСТНИК КазНПУ им. Абая, серия «Филологические науки», No1(87), 2024г.73табылады (B2, C1). Бұл мақалада филология факультетінің 2 курс студенттерімен &quot;Шет тілі: екішет тілі&quot;бағыты бойынша педагогикалық эксперименттің нәтижелері сипатталған. Жүргізілген педагогикалық зерттеудің нәтижелері құнды практикалық маңыздылыққа ие, ӛйткені оларды берілген тақырып бойынша одан әрі ғылыми жұмыстарда қолдануға болады. Осы мақаланы дайындау нәтижесінде бұқаралық ақпарат құралдарының материалдарын қолдану студенттердің коммуникативті дағдыларының дамуына оң әсер ететіндігі анықталды, ӛйткені олардың еркін сӛйлеуі мен  берілген тақырыпта сӛйлей білу қабілеті артады, ағылшын тіліндегі грамматикалық және лексикалық қателіктеріазаяды.&lt;/jats:p&gt;_x000a_                                                    &lt;jats:p&gt;В современном мире система обучения постоянно находится в стадии развития, в связи с ежедневным появлением новых, более эффективных методов обучения, позволяющих добиться результата в разы быстрее. Методика обучения иностранному языку требует применения аутен-тичных материалов, чтобы студенты могли применять полученные знания на практике. Мате-риалы СМИ позволяют студентам погружаться в естественную среду использованияиностран-ного языка, а значит это позволяет им коммуницировать на более естественном уровне, обсуж-дать вопросы мирового значения и вести светские беседы с представителями иноязычной куль-туры и носителями языка. Целью данного научного исследования является изучение эффектив-ности использования материалов СМИ для развития навыков коммуникации у студентов более продвинутых уровней владения английским языком (B2, C1). В данной статье описываются ре-зультаты  педагогического  эксперимента  с  учащимися  2-го  курса  факультета  филологии  по направлению «Иностранный язык: 2 иностранных языка». Результаты проведенного педагогиче-ского исследования имеют ценную практическую значимость, потому как могут быть использо-ваны в дальнейших научных работах по заданной теме. В результате подготовки данной статьи было установлено, что использование материалов СМИ положительным образом влияет на раз-витие коммуникативных навыков студентов, потому что повышается их беглость речи, умение поддержать разговор на заданную тему, меньшее количество грамматических и лексических ошибок в английской речи.&lt;/jats:p&gt;"/>
    <n v="4800"/>
    <s v="No"/>
    <s v="No"/>
    <s v="Not available"/>
    <s v="Yes"/>
    <s v="No"/>
    <s v="Yes"/>
    <s v="Yes"/>
    <s v="includes multiple languages"/>
    <s v="&quot;en&quot;, &quot;kz&quot;, &quot;ru&quot; in article and same metadata element; Latin and Cyrillic char sets"/>
    <x v="2"/>
  </r>
  <r>
    <s v="journal-article:None"/>
    <s v="10.1182/blood-2023-190271"/>
    <s v="&lt;jats:title&gt;CONCLUSIONS&lt;/jats:title&gt;_x000a_               &lt;jats:p&gt;In low- and middle-income countries (LMIC) like Mexico, the treatment of patients with refractory or relapsed acute lymphoblastic leukemia (r/r ALL) represents a significant challenge due to limited access to immunotherapy and hematopoietic stem cell transplantation (HSCT). As a result, the one-year survival rate is reported to be less than 20%. The use of intensive chemotherapy has not improved survival in this group due to its high toxicity.&lt;/jats:p&gt;_x000a_               &lt;jats:p&gt;Blinatumomab uses the patient's own cytotoxic T-cells to induce lysis of the leukemia cells expressing CD19 and has been established as a bridge therapy for transplant in patients with r/r B-ALL. The usual pattern of administration is a dose scaled up to complete a total of 28 days of infusion.&lt;/jats:p&gt;_x000a_               &lt;jats:p&gt;According to various studies, it is considered appropriate to use repeated cycles of this antibody to achieve the desired response. However, there are also reports of patients achieving complete responses within the first 15 days of the cycle. The high costs of Blinatumomab's administration present a significant barrier to its use in LMIC. As a consequence, the application of prolonged or multiple cycles of the drug becomes unaffordable for a substantial portion of the global population.&lt;/jats:p&gt;_x000a_               &lt;jats:p&gt;Demonstrate the safety and efficacy of utilizing short cycles of Blinatumomab (21 days) as a bridge therapy to HSCT in pediatric patients with r/r ALL to explore the potential cost-reduction benefits and increased access to this therapy in resource-limited settings.&lt;/jats:p&gt;_x000a_               &lt;jats:p&gt;A pilot clinical trial was conducted. Pediatric patients (&amp;amp;lt;16 y) diagnosed with r/r B- ALL between the years 2020-2022 were included. The usual Blinatumomab dosing regimen was adopted, but the total duration of the cycle was reduced. Continuous infusion was initiated at a dose of 5 mcg/m2/day for the first 7 days, followed by an increase to 15 mcg/m2/day for 14 days (21-day total treatment duration). To mitigate cytokine release syndrome (CRS) a single dose of dexamethasone was administered at the start of the infusion and after the dose escalation. The entire regimen was administered on an outpatient basis, with an infusion pump at home. Caregivers were instructed on the operation of the pump and detection of any signs of toxicity, with 24/7 contact with the medical team and the option to hospitalize if necessary.&lt;/jats:p&gt;_x000a_               &lt;jats:p&gt;A total of 7 patients were included, and all of them received Blinatumomab in a single 21-day cycle. The median age was 5 years (15 mo- 13 y). The majority of patients were stratified as high-risk at the time of diagnosis (85.7%). Among the patients, 4 had relapsed ALL, while 3 had refractory disease. The median time from the initial diagnosis to the use of Blinatumomab was 16 months (ranging 7-29 mo), and the median number of treatment lines before Blinatumomab administration was 3 (ranging 2-4).&lt;/jats:p&gt;_x000a_               &lt;jats:p&gt;The highest level of minimal residual disease (MRD) detected before the Blinatumomab treatment was 4.2% (by flow cytometry).&lt;/jats:p&gt;_x000a_               &lt;jats:p&gt;Remarkably, all patients (100%, n=7) achieved a complete response, with MRD being negative for flow cytometry after the 21-day cycle of Blinatumomab. In 5 out of 7 patients, the administration of the drug was completely ambulatory.&lt;/jats:p&gt;_x000a_               &lt;jats:p&gt;Only 2 patients experienced grade I CRS which was successfully managed with steroids. No adverse effects greater than grade 2 were reported, and no patient required support with transfusion therapy during or after the infusion. There were no reports of profound neutropenia, and no treatment-related deaths occurred.&lt;/jats:p&gt;_x000a_               &lt;jats:p&gt;HSCT was conducted in all patients to consolidate the response, with 6 patients undergoing haploidentical and 1 patient undergoing identical allogeneic HSCT. At present, 5 out of 7 patients are alive and in complete remission. One patient died on day +51 post-HSCT due to pulmonary thromboembolism, and the second patient experienced relapse on day +395 post-HSCT and subsequently died on day +640 due to disease progression.&lt;/jats:p&gt;_x000a_               &lt;jats:p&gt;The median overall survival at 3 years was 66.7%, with a median follow-up period of 21 months (4 -30mo).&lt;/jats:p&gt;_x000a_               &lt;jats:p&gt;An alternative outpatient, low-toxicity and cost-effective treatment approach was implemented. The findings from this study could shed light on a promising strategy to improve the outcomes for patients with ALL patients with limited therapeutic options, particularly in the context of resource-constrained settings.&lt;/jats:p&gt;"/>
    <n v="4782"/>
    <s v="No"/>
    <s v="No"/>
    <s v="Yes"/>
    <s v="Yes"/>
    <s v="No"/>
    <s v="Yes"/>
    <s v="No"/>
    <s v="No problems"/>
    <m/>
    <x v="3"/>
  </r>
  <r>
    <s v="journal-article:None"/>
    <s v="10.1107/s2053229624004534"/>
    <s v="&lt;jats:p&gt;The well-known copper carboxylate dimer, with four carboxylate ligands extending outwards towards the corners of a square, has been employed to generate a series of crystalline compounds. In particular, this work centres on the use of the 4-hydroxybenzoate anion (Hhba&lt;jats:sup&gt;−&lt;/jats:sup&gt;) and its deprotonated phenolate form 4-oxidobenzoate (hba&lt;jats:sup&gt;2−&lt;/jats:sup&gt;) to obtain complexes with the general formula [Cu&lt;jats:sub&gt;2&lt;/jats:sub&gt;(Hhba)&lt;jats:sub&gt;4–&lt;jats:italic&gt;x&lt;/jats:italic&gt;_x000a_                  &lt;/jats:sub&gt;(hba)&lt;jats:italic&gt;_x000a_                     &lt;jats:sub&gt;x&lt;/jats:sub&gt;L&lt;/jats:italic&gt;_x000a_                  &lt;jats:sub&gt;2–&lt;jats:italic&gt;y&lt;/jats:italic&gt;_x000a_                  &lt;/jats:sub&gt;]&lt;jats:sup&gt;_x000a_                     &lt;jats:italic&gt;x&lt;/jats:italic&gt;−&lt;/jats:sup&gt;, where &lt;jats:italic&gt;L&lt;/jats:italic&gt; is an axial coligand (including solvent molecules), &lt;jats:italic&gt;x&lt;/jats:italic&gt; = 0, 1 or 2, and &lt;jats:italic&gt;y&lt;/jats:italic&gt; = 0 or 1. In some cases, short hydrogen bonds result in complexes which may be represented as [Cu&lt;jats:sub&gt;2&lt;/jats:sub&gt;(Hhba)&lt;jats:sub&gt;2&lt;/jats:sub&gt;(H&lt;jats:sub&gt;0.5&lt;/jats:sub&gt;hba)&lt;jats:sub&gt;2&lt;/jats:sub&gt;_x000a_                  &lt;jats:italic&gt;L&lt;/jats:italic&gt;_x000a_                  &lt;jats:sub&gt;2&lt;/jats:sub&gt;]&lt;jats:sup&gt;−&lt;/jats:sup&gt;. The main focus of the investigation is on the formation of a variety of extended networks through hydrogen bonding and, in some crystals, coordinate bonds when bridging coligands (&lt;jats:italic&gt;L&lt;/jats:italic&gt;) are employed. Crystals of [Cu&lt;jats:sub&gt;2&lt;/jats:sub&gt;(Hhba)&lt;jats:sub&gt;4&lt;/jats:sub&gt;(dioxane)&lt;jats:sub&gt;2&lt;/jats:sub&gt;]·4(dioxane) consist of the expected Cu dimer with the Hhba&lt;jats:sup&gt;−&lt;/jats:sup&gt; anions forming hydrogen bonds to 1,4-dioxane molecules which block network formation. In the case of crystals of composition [Et&lt;jats:sub&gt;4&lt;/jats:sub&gt;N][Cu&lt;jats:sub&gt;2&lt;/jats:sub&gt;(Hhba)&lt;jats:sub&gt;2&lt;/jats:sub&gt;(H&lt;jats:sub&gt;0.5&lt;/jats:sub&gt;hba)&lt;jats:sub&gt;2&lt;/jats:sub&gt;(CH&lt;jats:sub&gt;3&lt;/jats:sub&gt;OH)(H&lt;jats:sub&gt;2&lt;/jats:sub&gt;O)]·2(dioxane), Li[Cu&lt;jats:sub&gt;2&lt;/jats:sub&gt;(Hhba)&lt;jats:sub&gt;2&lt;/jats:sub&gt;(H&lt;jats:sub&gt;0.5&lt;/jats:sub&gt;hba)&lt;jats:sub&gt;2&lt;/jats:sub&gt;(H&lt;jats:sub&gt;2&lt;/jats:sub&gt;O)&lt;jats:sub&gt;2&lt;/jats:sub&gt;]·3(dioxane)·4H&lt;jats:sub&gt;2&lt;/jats:sub&gt;O and [Cu&lt;jats:sub&gt;2&lt;/jats:sub&gt;(Hhba)&lt;jats:sub&gt;2&lt;/jats:sub&gt;(H&lt;jats:sub&gt;0.5&lt;/jats:sub&gt;hba)&lt;jats:sub&gt;2&lt;/jats:sub&gt;(H&lt;jats:sub&gt;0.5&lt;/jats:sub&gt;DABCO)&lt;jats:sub&gt;2&lt;/jats:sub&gt;]·3CH&lt;jats:sub&gt;3&lt;/jats:sub&gt;OH (DABCO is 1,4-diazabicyclo[2.2.2]octane), square-grid hydrogen-bonded networks are generated in which the complex serves as one type of 4-connecting node, whilst a second 4-connecting node is a hydrogen-bonding motif assembled from four phenol/phenolate groups. Another two-dimensional (2D) network based upon a related square-grid structure is formed in the case of [Et&lt;jats:sub&gt;4&lt;/jats:sub&gt;N]&lt;jats:sub&gt;2&lt;/jats:sub&gt;[Cu&lt;jats:sub&gt;2&lt;/jats:sub&gt;(Hhba)&lt;jats:sub&gt;2&lt;/jats:sub&gt;(hba)&lt;jats:sub&gt;2&lt;/jats:sub&gt;(dioxane)&lt;jats:sub&gt;2&lt;/jats:sub&gt;][Cu&lt;jats:sub&gt;2&lt;/jats:sub&gt;(Hhba)&lt;jats:sub&gt;4&lt;/jats:sub&gt;(dioxane)(H&lt;jats:sub&gt;2&lt;/jats:sub&gt;O)]·CH&lt;jats:sub&gt;3&lt;/jats:sub&gt;OH. In [Cu&lt;jats:sub&gt;2&lt;/jats:sub&gt;(Hhba)&lt;jats:sub&gt;4&lt;/jats:sub&gt;(H&lt;jats:sub&gt;2&lt;/jats:sub&gt;O)&lt;jats:sub&gt;2&lt;/jats:sub&gt;]·2(Et&lt;jats:sub&gt;4&lt;/jats:sub&gt;NNO&lt;jats:sub&gt;3&lt;/jats:sub&gt;), a square-grid structure is again apparent, but, in this case, a pair of nitrate anions, along with four phenolic groups and a pair of water molecules, combine to form a second type of 4-connecting node. When 1,8-bis(dimethylamino)naphthalene (bdn, `proton sponge') is used as a base, another square-grid network is generated, &lt;jats:italic&gt;i.e.&lt;/jats:italic&gt; [Hbdn]&lt;jats:sub&gt;2&lt;/jats:sub&gt;[Cu&lt;jats:sub&gt;2&lt;/jats:sub&gt;(Hhba)&lt;jats:sub&gt;2&lt;/jats:sub&gt;(hba)&lt;jats:sub&gt;2&lt;/jats:sub&gt;(H&lt;jats:sub&gt;2&lt;/jats:sub&gt;O)&lt;jats:sub&gt;2&lt;/jats:sub&gt;]·3(dioxane)·H&lt;jats:sub&gt;2&lt;/jats:sub&gt;O, but with only the copper dimer complex serving as a 4-connecting node. Complex three-dimensional networks are formed in [Cu&lt;jats:sub&gt;2&lt;/jats:sub&gt;(Hhba)&lt;jats:sub&gt;4&lt;/jats:sub&gt;(O-bipy)]·H&lt;jats:sub&gt;2&lt;/jats:sub&gt;O and [Cu&lt;jats:sub&gt;2&lt;/jats:sub&gt;(Hhba)&lt;jats:sub&gt;4&lt;/jats:sub&gt;(O-bipy)&lt;jats:sub&gt;2&lt;/jats:sub&gt;]·2(dioxane), where the potentially bridging 4,4′-bipyridine &lt;jats:italic&gt;N&lt;/jats:italic&gt;,&lt;jats:italic&gt;N&lt;/jats:italic&gt;′-dioxide (O-bipy) ligand is employed. Rare cases of mixed carboxylate copper dimer complexes were obtained in the cases of [Cu&lt;jats:sub&gt;2&lt;/jats:sub&gt;(Hhba)&lt;jats:sub&gt;3&lt;/jats:sub&gt;(OAc)(dioxane)]·3.5(dioxane) and [Cu&lt;jats:sub&gt;2&lt;/jats:sub&gt;(Hhba)&lt;jats:sub&gt;2&lt;/jats:sub&gt;(OAc)&lt;jats:sub&gt;2&lt;/jats:sub&gt;(DABCO)&lt;jats:sub&gt;2&lt;/jats:sub&gt;]·10(dioxane), with each structure possessing a 2D network structure. The final compound reported is a simple hydrogen-bonded chain of composition (H&lt;jats:sub&gt;0.5&lt;/jats:sub&gt;DABCO)(H&lt;jats:sub&gt;1.5&lt;/jats:sub&gt;hba), formed from the reaction of H&lt;jats:sub&gt;2&lt;/jats:sub&gt;hba and DABCO.&lt;/jats:p&gt;"/>
    <n v="4732"/>
    <s v="No"/>
    <s v="No"/>
    <s v="Yes"/>
    <s v="Yes"/>
    <s v="No"/>
    <s v="Yes"/>
    <s v="No"/>
    <s v="No problems"/>
    <m/>
    <x v="3"/>
  </r>
  <r>
    <s v="journal-article:None"/>
    <s v="10.34883/pi.2022.14.5.002"/>
    <s v="&lt;jats:p&gt;Цель. Оценить функциональную активность тромбоцитов и частоту встречаемости высокой остаточной реактивности тромбоцитов (ВОРТ) у пациентов с Q-инфарктом миокарда (Q-ИМ) после первичного чрескожного коронарного вмешательства (ЧКВ) в зависимости от возраста и времени от начала развития ИМ.  Материалы и методы. В исследование включено 198 пациентов с острым Q-ИМ (162 мужчины, 36 женщин), поделенных на подгруппы (ПГ) в зависимости от возраста: ПГ1 (31–44 года) – 17 человек (8,6%), ПГ2 (45–59 лет) – 98 человек (49,5%), ПГ3 (60–74 года) – 83 человека (41,9%). Все пациенты подвергались процедуре первичного ЧКВ. Оценку агрегации тромбоцитов проводили на импедансном агрегометре Multiplate (Германия) с несколькими индукторами агрегации при поступлении в стационар, через 12–14 дней и через 28–30 дней от начала развития ИМ. Результаты. У пациентов общей группы выявлены следующие показатели агрегатограммы: 1ASPI-test 19,0 [12,0; 30,5] U, 2ASPI-test 27,0 [20,0; 42,0] U, 3ASPI-test 23,0 [17,5;  32,5] U (критерий Фридмана 22,9; p=0,00001); 1ADP-test 32,0 [21,0; 51,0] U, 2ADP-test 37,0 [27,0; 53,0] U, 3ADP-test 31,0 [22,0; 44,5] U (критерий Фридмана 14,6; р=0,00067); 1TRAP-test 77,0 [58,0; 95,0] U, 2TRAP-test 97,0 [79,5; 116,0] U, 3TRAP-test 91,0 [69,0; 107,0] U (критерий Фридмана 60,3; р&amp;lt;0,00001). ВОРТ, свидетельствующая о наличии недостаточного ответа на антитромбоцитарную терапию, выявлена исходно у 49 пациентов (24,7%) по ASPI-test, у 51 пациента (25,8%) по ADP-test, у 21 пациента (10,6%) по ASPI-test + ADP-test, при повторном исследовании – у 84 пациентов (42,4%) по ASPI-test (p&amp;lt;0,01), у 59 пациентов (29,8%) по ADP-test, у 42 пациентов (21,2%) по ASPI-test + ADP-test (p&amp;lt;0,05), при третьем – у 58 пациентов (29,3%) по ASPI-test (p&amp;lt;0,05), у 32 пациентов (16,1%) по ADP-test (p&amp;lt;0,05), у 20 пациентов (10,1%) по ASPI-test + ADP-test. Динамика изменений агрегатограммы и ВОРТ в возрастных подгруппах носила подобный характер.  Заключение. Выявлена высокая частота встречаемости ВОРТ среди пациентов с Q-ИМ в разные сроки ИМ (39,9% исходно, 51,0% через 12–14 дней и 35,4% (p&amp;lt;0,01) через 28–30 дней от начала ИМ). Не выявлено различий показателей агрегатограммы и частоты встречаемости ВОРТ в зависимости от возраста пациентов.&lt;/jats:p&gt;_x000a_                                                                                            &lt;jats:p&gt;Purpose. To evaluate functional activity and incidence of high residual platelet reactivity (HRPR) in patients with Q-myocardial infarction (Q-MI) after primary percutaneous coronary intervention (PCI) depending on age and time from the onset of MI.  Materials and methods. A total of 198 patients with acute Q-MI (162 men, 36 women) were included in the study, divided into subgroups (SG) depending on age: SG1 (31–44 years) – 17 persons (8.6%), SG2 (45–59 years) – 98 (49.5%), SG3 (60–74 years) – 83 (41.9%). All patients underwent primary PCI. Platelet aggregation was assessed using a Multiplate impedance aggregometer (Germany) with several aggregation inducers upon admission to the hospital, after 12–14 days and after 28–30 days from the onset of MI.  Results. In patients of the general group, the following indicators of the aggregogram were revealed: 1ASPI-test 19.0 [12.0; 30.5] U, 2ASPI-test 27.0 [20.0; 42.0] U, 3ASPI-test 23.0 [17.5; 32.5] U (Friedman’s test 22.9; p=0.00001); 1ADP-test 32.0 [21.0; 51.0] U, 2ADP-test 37.0 [27.0; 53.0] U, 3ADP-test 31.0 [22.0; 44.5] U (Friedman’s test 14.6; p=0.00067); 1TRAP-test 77.0 [58.0; 95.0] U, 2TRAP-test 97.0 [79.5; 116.0] U, 3TRAP-test 91.0 [69.0; 107.0] U (Friedman’s test 60.3; p&amp;lt;0.00001). Elevated aggregogram values, indicating the presence of HRPR (insufficient response to antiplatelet therapy) were detected at baseline in 49 patients (24,7%) according to ASPI-test, in 51 patients (25.8%) according to ADP-test, in 21 patients (10.6%) according to ASPI-test + ADP-test, upon repeated examination – in 84 patients (42.4%) according to ASPI-test (p&amp;lt;0.01), in 59 patients (29.8%) according to ADP-test, in 42 patients (21.2%) according to ASPI-test + ADP-test (p&amp;lt;0.05), in the third – in 58 patients (29.3%) according to ASPI-test (p&amp;lt;0.05), in 32 patients (16.1%) according to ADP-test (p&amp;lt;0.05), in 20 patients (10.1%) by ASPI-test + ADP-test. Dynamics of changes in the aggregogram and HRPR in the age subgroups had a similar pattern.  Conclusion. A high HRPR incidence was found among patients with Q-MI at different times from the onset of MI (39.9% at baseline, 51.0% after 12–14 days and 35.4% (p&amp;lt;0.01) after 28–30 days from the onset of MI). There were no differences in aggregogram parameters and in HRPR incidence depending on the age of the patients.&lt;/jats:p&gt;"/>
    <n v="4723"/>
    <s v="No"/>
    <s v="No"/>
    <s v="Not available"/>
    <s v="Yes"/>
    <s v="No"/>
    <s v="Yes"/>
    <s v="Yes"/>
    <s v="includes multiple languages"/>
    <s v="&quot;ru&quot; and &quot;en&quot; included in the same abstract metadata element; latin and cyrillinc;"/>
    <x v="2"/>
  </r>
  <r>
    <s v="journal-article:None"/>
    <s v="10.1158/1538-7445.sabcs19-p5-11-13"/>
    <s v="&lt;jats:title&gt;Abstract&lt;/jats:title&gt;_x000a_               &lt;jats:p&gt;Background: After the CONFIRM trial, fulvestrant 500 mg (F500) became a standard treatment for patients with estrogen receptor positive (ER+) advanced/metastatic breast cancer (AMBC). The JBCRG-C06 Safari study (UMIN 000015168) showed that earlier F500 use, a longer time from diagnosis to F500 use, and no prior chemotherapy were associated with significantly longer time to treatment failure (TTF) among Japanese patients with ER+ and HER2-negative AMBC (Kawaguchi H, et al. Breast Cancer Res Treat, 2017; Kawaguchi H, et al. Curr Med Res Opin, 2018). We had carried out subgroup analyses on real world data from the Safari study focusing on ER+ and HER2+ AMBC with the objective to examine further on potential interactions between TTF and the following: F500 single treatment or F500 with anti-HER2 therapy; presence or absence of visceral metastasis; progesterone receptor (PgR) status; and prior chemotherapy for AMBC.&lt;/jats:p&gt;_x000a_               &lt;jats:p&gt;Material &amp;amp; methods: The Safari study was a retrospective, multicenter cohort study, conducted in 1072 patients at 16 sites in Japan for ER+ AMBC. Patients starting treatment with F500 between Nov 2011 and Dec 2014 were registered. After the data cleaning through the central review, 94 patients (9.6%) has been included in this sub-analysis among the 978 patients in which HER2 status was confirmed by the documentation.&lt;/jats:p&gt;_x000a_               &lt;jats:p&gt;The relationship between baseline clinical/pathological factors, treatment line, and TTF (time from start to cessation of F500 treatment for any reason, including toxicity and death) were analyzed using Kaplan-Meier methods. Univariate analysis of TTF data was performed by Cox hazards model using: age, histological type, histological/nuclear grade, visceral-metastases, stage, PgR, period from AMBC diagnosis to F500 use, treatment line of F500, prior chemotherapy.&lt;/jats:p&gt;_x000a_               &lt;jats:p&gt;Results: Median age at diagnosis of AMBC was 57.5yrs (33-85); 59(33-85) and 56.5(39-75) for F500 with/ without anti-HER2 therapy. Median age of fulvestrant start was 61yrs (35-96). 21.3% had de novo metastatic disease; 78.7% recurrent disease; 37.2% visceral metastases. All patients’ ER status was positive, and PgR status was positive in 65.9%, negative 25.5% respectively. HER2 IHC 3+ patients accounted for 44.7%, IHC 2+/1+ for 38.3%. In the case of IHC 2+/1+, HER2-positivity was confirmed by FISH. F500 alone was administered in 52 patients, while F500 with anti-HER2 therapy in 42 patients.&lt;/jats:p&gt;_x000a_               &lt;jats:p&gt;At median follow up of 3.9 years, median TTF was 4.4m (95% CI: 3.3-5.7); 3.7m (95% CI: 2.9-5.9), 5.1m(95% CI: 3.6-6.4) for the F500 alone group, F500 with anti-HER2 therapy group respectively (p = 0.5973). F500 with/ without anti-HER2 therapy was administered in 1stor 2nd-line in 20 (21.3%), and ≥3rd-line in 74(78.7%) patients. Median TTF was 6.6m (95% CI: 4.6-8.5) and 3.7m (95% CI: 2.8-5.2) in the 1stor 2nd-line and ≥3rd-line respectively (p value:0.0145). Although no statistically significant difference was found, TTF tended to be shorter in the group receiving chemotherapy prior to F500 (median TTF: 3.7m vs 5.5m).&lt;/jats:p&gt;_x000a_               &lt;jats:p&gt;No other clinical parameters including age, PgR status, metastatic sites were associated with the effectiveness. The median OS was 7.8-years (95% CI: 5.9-9.5), which had not been influenced by with/ without anti-HER2 therapy. The toxicity profile we observed was similar to that in the registration trial.&lt;/jats:p&gt;_x000a_               &lt;jats:p&gt;Conclusions: Our findings suggest that F500 with/without anti-HER2 therapy appears to be effective also in the ER+ and HER2-positive ABMC setting which is consistent with the limited results previously published. Earlier line use of F500 use may be useful in HER2-positive patients as well as HER2-negative patients.&lt;/jats:p&gt;_x000a_               &lt;jats:p&gt;Citation Format: Misato Hagi, Hidetoshi Kawaguchi, Norikazu Masuda, Shigehira Saji, Yutaka Yamamoto, Takahiro Nakayama, Kenjiro Aogi, Keisei Anan, Yoshinori Ito, Shoichiro Ohtani, Nobuaki Sato, Toshimi Takano, Eriko Tokunaga, Seigo Nakamura, Yoshie Hasegawa, Masaya Hattori, Tomomi Fujisawa, Miki Yamaguchi, Hiroko Yamashita, Toshinari Yamashita, Daisuke Yotsumoto, Satoshi Morita, Masakazu Toi, Shinji Ohno. Outcomes of fulvestrant therapy among Japanese women with ER-positive HER2-positive advanced or metastatic breast cancer: A subgroup analysis of the JBCRG-C06 safari study [abstract]. In: Proceedings of the 2019 San Antonio Breast Cancer Symposium; 2019 Dec 10-14; San Antonio, TX. Philadelphia (PA): AACR; Cancer Res 2020;80(4 Suppl):Abstract nr P5-11-13.&lt;/jats:p&gt;"/>
    <n v="4719"/>
    <s v="No"/>
    <s v="No"/>
    <s v="Yes"/>
    <s v="Not available"/>
    <s v="No"/>
    <s v="Yes"/>
    <s v="No"/>
    <s v="includes full citation format in the metadata"/>
    <m/>
    <x v="1"/>
  </r>
  <r>
    <s v="journal-article:None"/>
    <s v="10.1182/blood-2024-203903"/>
    <s v="&lt;jats:sec&gt;_x000a_                  &lt;jats:title/&gt;_x000a_                  &lt;jats:p&gt;Introduction&lt;/jats:p&gt;_x000a_                  &lt;jats:p&gt;Outcomes are poor for TP53 mutant myelodysplastic syndrome (MDS) and acute myeloid leukemia (AML) patients who undergo allogeneic hematopoietic stem cell transplantation (allo-HSCT; ~20% long term survival, 30% 1-year relapse free survival (RFS)). Notably, minimal data exist on the impact of TP53 MRD monitoring post allo-HSCT. We have previously reported our multicenter, open-label phase 2 trial results of the p53 reactivator eprenetapopt (APR-246) + azacitidine maintenance post allo-HSCT with encouraging results (median OS 20.6 months, 62% 1-year RFS; Mishra A et al., JCO 2022). We have now completed duplex TP53 MRD sequencing for all patients on study with at least 2 sequential samples.&lt;/jats:p&gt;_x000a_                  &lt;jats:p&gt;Methods&lt;/jats:p&gt;_x000a_                  &lt;jats:p&gt;Bone marrow (BM) aspirates were obtained prior to allo-HSCT, prior to the start of investigational therapy (day +30 to day +100) and then every 3 cycles while on combination (maximum 12 cycles including assessment upon completion of maintenance). To assess low allele frequency mutations in TP53, a custom-targeted sequencing panel was used with the TwinStrand Biosciences DuplexSeq technology. Library preparation with the enzymatic fragmentation option was performed starting with 4.5µg of DNA from BM mononuclear cells at all timepoints. Following library quantitation using the Kapa Library Quantification Kit, sequencing was performed in a paired-end 150-base configuration on the Illumina NovaSeq 6000 sequencer to generate 200M read-pairs per sample targeting 30,000-70,000X duplex coverage to detect variants at a frequency as low as .005%. Data analysis including alignment, variant calling, and annotation was performed using the TwinStrand Biosciences DuplexSeq Customer Portal hosted in DNANexus. GraphPad Prism was used for survival analyses and RFS/EFS/OS were calculated from date of allo-HSCT. EFS was defined as either relapse or death. For all analyses, TP53 MRD negativity cutoff was 0.01%.&lt;/jats:p&gt;_x000a_                  &lt;jats:p&gt;Results&lt;/jats:p&gt;_x000a_                  &lt;jats:p&gt;Fourteen patients had serial samples evaluated by duplex sequencing MRD for TP53 mutations post-allo-HSCT prior and during maintenance therapy. All study patients had significant TP53 positivity immediately prior to allo-HSCT (median variant allele frequency (VAF) 17%, range 5-75%). Pre-transplant VAF (&amp;amp;gt; vs &amp;amp;lt; than median VAF) had no effect on RFS, event free survival (EFS) or overall survival (OS). Of the cohort, 57% of patients (n=8) had positive MRD at the initial assessment post-HSCT prior to the start of maintenance therapy (median VAF 0.14%) although this was not predictive of RFS, EFS or OS. Of the entire cohort (n=14), achievement of TP53 MRD negativity at any timepoint post-HSCT was predictive of RFS (median 30 vs 8.9 months; P=.02) and EFS (median 30.6 vs 8.9 months, P=.005) although was not predictive of OS (33.3 vs 21.3 months; P=.33). Of all time points, MRD evaluation after end of maintenance (12 cycles) was the strongest predictor of outcomes. Specifically, MRD negativity after cycle 12 strongly predicted OS (33.9 vs 20.4 months; P=.005) and EFS (33.9 vs 10.1 months; P=.004) with a trend for RFS (32.6 vs 13.5 months; P=.06). Of the six patients who were MRD negative at the post-maintenance evaluation, 3 of 6 patients relapsed with 2 patients having late relapses (32 and 30 months respectively post-HSCT, one extramedullary only). The only early relapse in a post-maintenance MRD negative patient occurred in a patient with a detectable TP53 clone at .003% (relapsed 6 months after completion of 12 cycles of maintenance therapy). The only patient who did not relapse with +TP53 MRD at the post 12-cycle evaluation was transitioned to continuous maintenance hypomethylating agent therapy off-protocol although died of infection 4 months after completing investigational therapy. Individual clinical TP53 VAF trajectories of all patients sequenced on study will be shown at the meeting (e.g. emergence/regression of very rare TP53 variants).&lt;/jats:p&gt;_x000a_                  &lt;jats:p&gt;Conclusions&lt;/jats:p&gt;_x000a_                  &lt;jats:p&gt;Many patients with TP53 mutant MDS/AML are MRD positive both before and after allo-HSCT, supporting the need for novel pre- and/or post-HSCT strategies to decrease relapse. Following completion of maintenance therapy with eprenetapopt and azacitidine, TP53 MRD was strongly predictive of outcomes, supporting incorporation of this assay in future novel strategies.&lt;/jats:p&gt;_x000a_               &lt;/jats:sec&gt;"/>
    <n v="4652"/>
    <s v="No"/>
    <s v="No"/>
    <s v="Yes"/>
    <s v="Not available"/>
    <s v="No"/>
    <s v="Yes"/>
    <s v="No"/>
    <s v="No problems"/>
    <s v="medical abstract"/>
    <x v="3"/>
  </r>
  <r>
    <s v="journal-article:None"/>
    <s v="10.1182/blood-2023-190375"/>
    <s v="&lt;jats:title/&gt;_x000a_               &lt;jats:p&gt;Multiple Myeloma (MM) progresses from monoclonal gammopathy of undetermined significance (MGUS) and/or smoldering MM (SMM). Despite similar primary genetic events as MM, MGUS and SMM PCs are non- or low-proliferative. Since oncogene activation and DNA damage drive senescence growth arrest to promote immune clearance of potentially malignant cells, we hypothesized that MGUS and SMM pre-malignant PCs exhibit senescence features.&lt;/jats:p&gt;_x000a_               &lt;jats:p&gt;To test this, we performed gene set enrichment analysis (GSEA) of a published human PC gene array dataset (GSE5900) comparing normal, MGUS, and SMM PCs for custom senescence phenotyping gene sets (Senescence Up, SenUp; Senescent Cell Anti-Apoptosis Pathways, SCAPs; Senescence Growth Arrest, SenGA; Inflammatory Senescence Associated Secretory Phenotype, iSASP; Interferon SASP, IFN-SASP) versus biological aging gene sets (SenMayo; CellAge). MGUS and SMM PCs exhibited significant enrichment (NES&amp;amp;gt;1.5, q&amp;amp;lt;0.05) for senescence gene sets SenUp, SenGA, and SCAPs compared to normal PCs, with no enrichment for aging gene sets. MGUS PCs were also enriched for iSASP (NES=1.4, q=0.11), whereas SMM PCs were enriched for IFN-SASP (NES=2.3, q&amp;amp;lt;0.05), characteristic of late-senescence. Thus, both MGUS and SMM PCs show enrichment of senescence gene sets compared to normal PCs with differential SASP profiles.&lt;/jats:p&gt;_x000a_               &lt;jats:p&gt;Next, we evaluated MGUS, SMM, and MM patient PCs isolated by magnetic sorting for histological senescence features. PCs were immunostained for LMNB1 and HMGB1, and fluorescent in situ hybridized for α-satellite. Cellular senescence was defined as loss of ≥50% nuclear membrane LMNB1, loss of HMGB1, and ≥2 senescence-associated distensions of satellite (SADS) per nuclei. PCs from MGUS patients (N=12) exhibited increased percentage of senescent PCs (26.9±4.1%, Mean±SEM, p&amp;amp;lt;0.0001) compared to SMM (11.0±1.9%, N=19, p&amp;amp;lt;0.0001) and MM (11.6±1.5%, N=11, p&amp;amp;lt;0.001). A subset analysis of SMM patients for which disease stability was known (≥2 years, N=6-8) showed no differences. These results demonstrate that the percentage of senescent PCs is increased in MGUS but not SMM PCs compared to proliferative disease.&lt;/jats:p&gt;_x000a_               &lt;jats:p&gt;To assess PC senescence in the native bone marrow microenvironment (BMME), we evaluated trephine bone biopsies from MGUS and SMM patients that progressed or not to MM ≤10 years, as well as newly diagnosed MM. Biopsies were immunostained for CD138, LMNB1, and HMGB1. Whole biopsy images were analyzed using the artificial intelligence-based software HALO. Cells were classified as senescent if they were double negative and non-senescent if they were double positive for LMNB1 and HMGB1. The percentage of non-senescent PCs increased with progression to MM and positively correlated with total PC burden (R=0.52, p&amp;amp;lt;0.0001), reflective of proliferative disease. Senescent PCs correlated with total senescent BMME (R=0.87, p&amp;amp;lt;0.0001), consistent with a role for senescent cells to drive paracrine senescence. We performed proximity analysis to evaluate the cellular composition within 25um of senescent and non-senescent PCs. As expected, non-senescent PCs exhibited a significantly greater percentage of proximate non-senescent BMME in all groups (p&amp;amp;lt;0.0001). In contrast, senescent PCs in stable MGUS (N=16) and SMM (N=14) were equally surrounded by senescent and non-senescent BMME. In progressing MGUS (N=21) and SMM (N=20), as well as MM (N=18), senescent PCs exhibited significantly reduced senescent BMME in their proximate environment (p&amp;amp;lt;0.05). This suggests that senescent PCs in progressive disease, in contrast to stable disease, fail to drive local paracrine senescence responses.&lt;/jats:p&gt;_x000a_               &lt;jats:p&gt;These data demonstrate that PCs from stable MGUS and SMM patients exhibit senescence features, with isolated PCs from stable MGUS showing increased senescence gene expression and histologic features. While stable SMM also exhibits senescence gene expression, they lose morphological features of senescence and show a preferential IFN SASP. Within the bone compartment, senescent PCs in stable MGUS and SMM exhibit the expected proximity to senescent BMME. In contrast, progressing MGUS and SMM, as well as NDMM, show a loss of proximate senescent BMME. Given the role of senescence to drive inflammation to clear potentially tumorigenic cells, these data support that failure to drive paracrine senescence may be key to the immune escape of pre-malignant cells in MGUS and SMM.&lt;/jats:p&gt;"/>
    <n v="4651"/>
    <s v="No"/>
    <s v="No"/>
    <s v="Yes"/>
    <s v="Yes"/>
    <s v="No"/>
    <s v="Yes"/>
    <s v="No"/>
    <s v="No problems"/>
    <s v="poster abstract"/>
    <x v="3"/>
  </r>
  <r>
    <s v="journal-article:None"/>
    <s v="10.1182/blood-2023-178331"/>
    <s v="&lt;jats:title/&gt;_x000a_               &lt;jats:p&gt;Background:Twitter has proven to be a powerful tool in medical education by providing a conduit for disseminating research, educating medical trainees, and facilitating discourse between physicians. With training programs transitioning to virtual interviews since the COVID-19 pandemic, programs' social media accounts have also become useful for interaction between applicants and programs and have been shown to influence applicant perceptions of programs (Kapsetaki et al., Interact J Med Res 2023; Schweitzer et al., J AM Osteopath Assoc. 2012). Given Twitter's importance and potential for hematology/oncology fellowship programs, we aimed to analyze its utilization among programs and characterize what attributes increase follower count, an important marker of a profile's influence (Bakshy et al., Association for Computing Machinery 2011).&lt;/jats:p&gt;_x000a_               &lt;jats:p&gt;Methods: All data was collected between July 1st and July 19th, 2023. We identified adult hematology/oncology fellowship programs in the United States using the Electronic Residency Application Service and searched for Twitter profiles for each program. We then analyzed each profile for number of educational, departmental, academic, and social posts. Program demographics, including program size and community or academic status, were obtained from FREIDA. NCI, NCCN, and US News Ranking status were obtained from the respective websites. Analysis included Spearman correlation, ANOVA, and Chi-Square testing.&lt;/jats:p&gt;_x000a_               &lt;jats:p&gt;Results: Of the 180 hematology/oncology fellowship programs identified, 44 (24%) had Twitter accounts. Of these programs, 27 (61.4%) were university-based, 2 (4.5%) were community-based, 1 (2.3%) was community/university based, while 14 (31.8%) were categorized as “other”. NCCN status (p&amp;amp;lt;0.05) was associated with larger Twitter following. Of the Twitter accounts, 39 (88.6%) were deemed to be active, defined as having tweeted since July 1 st, 2022. More Twitter posts (R 2 = 0.49, p&amp;amp;lt;0.001) was associated with higher number of total followers. Amongst post type, more departmental (R 2 = 0.41, p&amp;amp;lt;0.001), academic (R 2 = 0.46, p&amp;amp;lt;0.001), and “Other” (R 2 = 0.35, p&amp;amp;lt;0.001) posts not meeting criteria of the other subsets, were correlated with increased Twitter followers. Increased number of profiles followed by the fellowship program's account (R 2 = 0.2, p&amp;amp;lt;0.05) and increased social posts (R 2 = 0.1, p&amp;amp;lt;0.05) had weak positive associations with Twitter following. Number of fellows per program did not have an association with number of Twitter followers.&lt;/jats:p&gt;_x000a_               &lt;jats:p&gt;Conclusions: In our study, NCCN status and larger tweet volume, specifically about academic and departmental topics, were more strongly associated with increased Twitter following. Higher tweet number offers more opportunity for retweets and commenting from followers, thereby increasing visibility. From a follower's perspective, more frequent posting likely increases the value of the Twitter page as one that is truly providing real time program updates. Highlighting academic accomplishments and achievements of the department's faculty and house staff could be attracting applicants and medical professionals by offering insight into the quality of academic output, staff, and training at the program. Programs with NCCN status could be drawing followers through associated prestige but also tend to be larger programs that are more likely to have the resources to update and develop accounts.&lt;/jats:p&gt;_x000a_               &lt;jats:p&gt;A similar study conducted in pulmonary/critical care fellowships (Gandotra et al., ATS 2021) also showed higher follower count with larger post volume. They noted that social and clinical tweets attracted more followers, but the study utilized differing post classification definitions from our study. An investigation in psychiatry residencies using the same definitions for classifying posts, but instead evaluating Instagram (Bernstein et al., Academic Psychiatry 2021) yielded similar results to ours.&lt;/jats:p&gt;_x000a_               &lt;jats:p&gt;Our data also shows that most hematology/oncology fellowships do not have Twitter profiles. With the growing importance of social media, this offers a clear opportunity for furthering engagement with the medical community and potential fellows. Posting regularly, and about academic and departmental topics, could help maximize the Twitter profile's influence, while also providing fellowship applicants with useful information in the virtual era.&lt;/jats:p&gt;"/>
    <n v="4628"/>
    <s v="No"/>
    <s v="No"/>
    <s v="Yes"/>
    <s v="Yes"/>
    <s v="No"/>
    <s v="Yes"/>
    <s v="No"/>
    <s v="No problems"/>
    <s v="poster abstract"/>
    <x v="3"/>
  </r>
  <r>
    <s v="journal-article:None"/>
    <s v="10.1182/blood-2023-174351"/>
    <s v="&lt;jats:title/&gt;_x000a_               &lt;jats:p&gt;Introduction : Blood transfusion is a major developmental challenge in sub-Saharan Africa due to chronic inadequacy and shortage of major blood products. In Ghana, deferral of potential blood donors has been identified as a significant challenge. Anemia, accounts for nearly half of ineligible blood donors. The estimated prevalence of anemia is 42.4% in women of reproductive age and 18.8% among peri-urban men ( Spring and Ghana Health service 2016). Thus, a high prevalence of anemia accounting for nearly half of voluntary blood donor deferrals, may contribute to the country's poor availability of safe blood for transfusion. No prior investigation had been carried out in Ghana on whether potential blood donors, deferred due to anemia, would consider donating blood after receiving counselling and appropriate treatment. This study tested the hypothesis that low-dose iron supplementation will increase hemoglobin levels sufficiently among anemic individuals to make them eligible to donate blood. Data from this trial informed the design of a larger randomized control type 1 pragmatic effectiveness implementation hybrid trial.&lt;/jats:p&gt;_x000a_               &lt;jats:p&gt;Methods:This was a longitudinal two-arm parallel-group trial (participants aged 18 - 60 years). We compared the hemoglobin levels among those with anemia, iron deficiency (ID) or iron deficiency anemia (IDA) who received iron supplementation to donors without ID or IDA (Control group) in a non-inferiority design(NCT04949165). Anemia, IDA and ID were defined and determined using World Health Organization cut-off values (WHO, 2011). Potential blood donors with hemoglobin values less than 10 g/dl were excluded from the study. Participants in the iron supplementation arm were given low-dose iron (65 mg elemental iron) three times weekly for four months while the control arm received the standard nutritional counselling practice. In-person visits occurred at two, four and six months and included blood draws for full blood count, peripheral blood film smear, malaria rapid test and serum ferritin. The primary outcome was hemoglobin level after four months. A structured questionnaire assessed adherence, nutritional counselling and adverse events every two weeks via phone.&lt;/jats:p&gt;_x000a_               &lt;jats:p&gt;Results: Two hundred and twenty-three first-time voluntary blood donors consented and passed pre-screening donation requirements (105 in iron supplementation arm vs. 118 in the control arm). The mean ages were similar between the iron supplementation and control groups (19.7±2.5 vs. 20.1±3.1 years). In both groups, there were more females than males (iron: 75.2%; control: 51.7%). At screening, 43.9% (98/223) had anemia while 3.1% (7/223) had ID. Of those who had anemia, 84.7% (83/98) had ferritin at least 15 g/l while 15.3% (15/98) had IDA. Among controls who donated blood at screening with an interim 1 visit, 42.6% (20/47) of females and 20.9% (9/43) of males were anemic. Only 23.4% (11/47) of females but no male was ID after one blood donation. Among participants assigned to iron supplementation who were anemic at screening, 31.7% (20/63) of females and 28.6% (6/21) of males were no longer anemic at interim visit 1. Among iron participants who were ID at screening 53.3% (8/15) of females and no male (0/2) were iron replete at interim visit 1. Only half of the participants receiving iron supplementation self-reported perfect adherence at the first and second interim visits (end of iron supplementation). A small proportion of participants reported side effects of dark stools and abdominal pain. We did not observe bacterial infections or increased malaria incidence. The mean hemoglobin values decreased over time from baseline to month four in the control group (screening: N=118, 13.4±1.3 g/dl; interim visit 2: N=74, 12.3±1.5 g/dl) and increased in the iron supplementation group (screening: N=105, 11.3±0.9 g/dl; interim visit 2: N=56, 11.4±1.3 g/dl). However, the primary comparison, mean hemoglobin difference between the iron supplementation and control arm at four months, did not meet the threshold to reject the inferiority hypothesis.&lt;/jats:p&gt;_x000a_               &lt;jats:p&gt;Conclusion: The prevalence of ID and IDA among voluntary first-time blood donors was lower than previously published estimates. Adherence to low-dose iron supplementation three times a week was poor. Hemoglobin levels in the iron supplementation arm were not close enough to those in the control group after four months of iron supplementation to declare non-inferiority.&lt;/jats:p&gt;"/>
    <n v="4598"/>
    <s v="No"/>
    <s v="No"/>
    <s v="Yes"/>
    <s v="Yes"/>
    <s v="No"/>
    <s v="Yes"/>
    <s v="No"/>
    <s v="No problems"/>
    <s v="poster abstract"/>
    <x v="3"/>
  </r>
  <r>
    <s v="journal-article:None"/>
    <s v="10.1093/ofid/ofae631.1049"/>
    <s v="&lt;jats:title&gt;Abstract&lt;/jats:title&gt;_x000a_               &lt;jats:sec&gt;_x000a_                  &lt;jats:title&gt;Background&lt;/jats:title&gt;_x000a_                  &lt;jats:p&gt;Previously considered a rare opportunistic pathogen, Serratia is now an emerging cause of bacteremia. However, the demographics and outcomes of patients with Serratia bacteremia remain poorly understood. We thus compared the risk factors and outcomes of patients with Serratia bacteremia relative to other Enterobacterales species in a prospectively ascertained cohort of hospitalized patients.&lt;/jats:p&gt;_x000a_                  &lt;jats:p&gt;Rates of device infection in patients with medical devices.&lt;/jats:p&gt;_x000a_                  &lt;jats:p&gt;Rates of device infection in patients with medical devices stratified by device type. P values ≤0.05 are considered statistically significant and indicated (*).&lt;/jats:p&gt;_x000a_               &lt;/jats:sec&gt;_x000a_               &lt;jats:sec&gt;_x000a_                  &lt;jats:title&gt;Methods&lt;/jats:title&gt;_x000a_                  &lt;jats:p&gt;Patients with gram-negative bacteremia (GNB) were prospectively enrolled from 2002-2021 at Duke University. Clinical characteristics and outcomes were compared among patients with bacteremia due to Serratia and other Enterobacterales. Multivariable logistic regression models were used to determine features independently associated with outcomes.&lt;/jats:p&gt;_x000a_                  &lt;jats:p&gt;Risk factors associated with device-associated infection.&lt;/jats:p&gt;_x000a_                  &lt;jats:p&gt;Risk factors associated with device-associated infection. The multivariable models of factors associated with underlying device infection in patients with any medical device (A) and only cardiac devices (B) and gram-negative bacteremia are shown. P values ≤0.05 are considered statistically significant and indicated (*).&lt;/jats:p&gt;_x000a_               &lt;/jats:sec&gt;_x000a_               &lt;jats:sec&gt;_x000a_                  &lt;jats:title&gt;Results&lt;/jats:title&gt;_x000a_                  &lt;jats:p&gt;Among 2676 patients with GNB, 173 (6.5%) had Serratia bacteremia. Patients with Serratia bacteremia, relative to GNB caused by other Enterobacterales, were more likely to have a medical device (59% vs 35.6%; P&amp;amp;lt; 0.001), device-associated infection (42.2% vs. 21.3%, P&amp;amp;lt; 0.001), and persistent bacteremia (23.2% vs. 12.9%; P&amp;amp;lt; 0.001). Among all patients with a medical device (n = 993; 37.1%), Serratia was associated with an increased risk of any device infection in an adjusted model (odds ratio (OR) 2.031; 95% confidence interval (CI), 1.234-3.343). The risk for device infection was highest among patients with cardiac devices (OR 3.947, 95% CI 1.449-10.751).&lt;/jats:p&gt;_x000a_               &lt;/jats:sec&gt;_x000a_               &lt;jats:sec&gt;_x000a_                  &lt;jats:title&gt;Conclusion&lt;/jats:title&gt;_x000a_                  &lt;jats:p&gt;Compared to patients with GNB due to other Enterobacterales, patients with Serratia bacteremia were more likely to have a device infection in general, a cardiac device-associated infection in particular, and persistent bacteremia.&lt;/jats:p&gt;_x000a_               &lt;/jats:sec&gt;_x000a_               &lt;jats:sec&gt;_x000a_                  &lt;jats:title&gt;Disclosures&lt;/jats:title&gt;_x000a_                  &lt;jats:p&gt;Antonella Castagna, MD, Bristol-Myers Squibb: Advisor/Consultant|Gilead Sciences, Inc.: Advisor/Consultant|Gilead Sciences, Inc.: Grant/Research Support|Gilead Sciences, Inc.: Honoraria|Janssen: Advisor/Consultant|Janssen: Grant/Research Support|Janssen: Honoraria|Merck Sharp &amp;amp; Dohme: Advisor/Consultant|Merck Sharp &amp;amp; Dohme: Grant/Research Support|Merck Sharp &amp;amp; Dohme: Honoraria|ViiV Healthcare: Advisor/Consultant|ViiV Healthcare: Grant/Research Support|ViiV Healthcare: Honoraria Vance G. Fowler, MD, MHS, Affinergy: Advisor/Consultant|ArcBio: Stocks/Bonds (Private Company)|Armata: Advisor/Consultant|Astra Zeneca: Advisor/Consultant|Astra Zeneca: Grant/Research Support|Basilea: Advisor/Consultant|Basilea: Grant/Research Support|ContraFect: Advisor/Consultant|ContraFect: Grant/Research Support|Debiopharm: Advisor/Consultant|Destiny: Advisor/Consultant|EDE: Grant/Research Support|Genentech: Advisor/Consultant|Genentech: Grant/Research Support|GSK: Advisor/Consultant|Janssen: Advisor/Consultant|Karius: Grant/Research Support|MedImmune: Grant/Research Support|Merck: Grant/Research Support|sepsis diagnostics: Patent pending|UptoDate: Royalties|Valanbuio: Stocks/Bonds (Private Company)|Valanbuio: Stocks/Bonds (Private Company) Joshua T. Thaden, MD, PhD, National Institutes of Health K08 AI171183 (Thaden): Grant/Research Support Stacey Maskarinec, MD, PHD, National Institutes of Health K23 HL159275 (Maskarinec): Grant/Research Support&lt;/jats:p&gt;_x000a_               &lt;/jats:sec&gt;"/>
    <n v="4596"/>
    <s v="No"/>
    <s v="No"/>
    <s v="Yes"/>
    <s v="Yes"/>
    <s v="No"/>
    <s v="Yes"/>
    <s v="No"/>
    <s v="includes disclosures"/>
    <m/>
    <x v="1"/>
  </r>
  <r>
    <s v="journal-article:None"/>
    <s v="10.1182/blood-2021-151349"/>
    <s v="&lt;jats:title&gt;Abstract&lt;/jats:title&gt;_x000a_               &lt;jats:p&gt;BACKGROUND : Autophagy plays an important role in multiple cell processes including elimination of misfolded proteins and damaged organelles, clearance of intracellular microbes and regulation of innate immunity. Autophagic activity is significantly up regulated in diseases characterized by proteins aggregation such as Alzheimer's, Huntington's, and Parkinson's diseases. Sickle cell anemia (SCA) is associated with E6V mutation in beta-globin gene that induces hemoglobin (Hb) polymerization under low oxygen or acidic conditions. SCA is characterized by chronic presence of low-level plasma Hb (3-10 µM). Hb is cleared from circulation by macrophage's endocytosis, resulting in degradation of Hb in lysosomes. Acidic lysosome environment may induce Hb polymerization, lysosome dysregulation and autophagy activation.&lt;/jats:p&gt;_x000a_               &lt;jats:p&gt;HYPOTHESIS: We hypothesize that endocytosis of HbS induces autophagy in human macrophages.&lt;/jats:p&gt;_x000a_               &lt;jats:p&gt;METHODS: The study was approved by Howard University review board (IRB) and all subjects provided written inform consent prior the sample collection. Whole blood samples were obtained from three SCA patients and healthy individuals. Human THP-1 promonocytic cells were differentiated into macrophages with 25 nM PMA for 72 hrs and treated with either purified HbS or HbA (5 µM, Sigma-Aldrich). Total RNA was depleted of cytoplasmic and mitochondrial ribosomal RNA, and strand-specific libraries were constructed using the Illumina ® TruSeq Stranded Total RNA Gold kit. Libraries were sequenced on an Illumina ® NextSeq 500 using 75 bp paired-end sequencing on two v2.5 150 cycle High-Output kits, generating 40-50 million paired-end reads per sample. The sequencing data were mapped to human reference genome using Dragen RNA v.3.8.4 software (Illumina). Comparisons were conducted using Dragen differential expression software v. 3.6.3 software (Illumina). Transmission electron microscopy (TEM) imaging was performed at Talos 200X transmission electron microscope (Thermo Fisher Scientific). CYTO-ID Autophagy detection kit (Enzo Life Science) was used for detection of autophagy in live cells by fluorescence microscopy, and fluorescent microplate assay.&lt;/jats:p&gt;_x000a_               &lt;jats:p&gt;RESULTS: In THP-1-derived macrophages treated with HbS compared to HbA, 28362 genes were detected including 322 differentially expressed genes (1.1%, 1.5-fold difference, 187 down and 135 up) at 5% FDR. In THP-1-differentiated macrophages treated with SCD RBC lysate compared to control RBC lysate, 30840 genes were detected including 256 differentially expressed genes (0.83%, 1.5-fold difference, 117 down and 139 up) at 5% FDR.&lt;/jats:p&gt;_x000a_               &lt;jats:p&gt;We focused our analysis on 33 autophagy-related genes. Among these 33 genes, 30 genes were up-regulated (1.2-1.7-fold) and only 3 genes were down-regulated in macrophages treated with HbS compared to HbA (Fig.1). These changes were statistically significant for 20 genes (p&amp;amp;lt;0.01). No significant differences were found in expression of autophagy-related genes in macrophages treated either with HbS or SCD RBC lysate.&lt;/jats:p&gt;_x000a_               &lt;jats:p&gt;Autophagy activation was validated by CYTO-ID Autophagy detection kit, demonstrating significant autophagy activation in HbS treated macrophages compared to HbA treatment (1.2-fold, p=0.0019). Transmission electron microscopy demonstrated accumulation of autophagosomes in the cells treated with HbS compared to non-treated cells and cells treated with HbA.&lt;/jats:p&gt;_x000a_               &lt;jats:p&gt;CONCLUSION: Treatment of macrophages with sickle cell hemoglobin or lysate of red blood cells collected from SCD patients up-regulates expression of autophagy-related genes and increased autophagosome formation.&lt;/jats:p&gt;_x000a_               &lt;jats:p&gt;ACKNOWLEDGMENTS: We thank Drs. Castle Raley and Keith Crandall, George Washington University SPH Genomics Core, for sequencing and guidance in data analysis; Dr. Christine Brantner, GW Nanofabrication and Imaging Center, for TEM imaging; and students Kavita Pandya, Gretchen Whitney High School, Cerritos, CA, and Tharindi Jayatilake, Montgomery Blair High School, Silver Spring, MD, for help in analysis of autophagy-related gene expression.&lt;/jats:p&gt;_x000a_               &lt;jats:p&gt;Figure 1 Figure 1.&lt;/jats:p&gt;_x000a_               &lt;jats:p /&gt;_x000a_               &lt;jats:sec&gt;_x000a_                  &lt;jats:title&gt;Disclosures&lt;/jats:title&gt;_x000a_                  &lt;jats:p&gt;No relevant conflicts of interest to declare.&lt;/jats:p&gt;_x000a_               &lt;/jats:sec&gt;"/>
    <n v="4594"/>
    <s v="No"/>
    <s v="No"/>
    <s v="Yes"/>
    <s v="Not available"/>
    <s v="No"/>
    <s v="Yes"/>
    <s v="No"/>
    <s v="includes figure, acknowledgements"/>
    <s v="medical abstract"/>
    <x v="1"/>
  </r>
  <r>
    <s v="journal-article:None"/>
    <s v="10.1182/blood-2021-148485"/>
    <s v="&lt;jats:title&gt;Abstract&lt;/jats:title&gt;_x000a_               &lt;jats:p&gt;Despite recent therapeutic advances in the management of non-Hodgkin lymphoma (NHL), up to 50% of patients with diffuse large B-cell lymphoma (DLBCL) relapse after first line therapy, and for DLBCL patients who relapse within 12 months after subsequent stem cell transplant (SCT), the median overall survival (OS) is 6.3 months. Recently, chimeric antigen receptor (CAR) T-cell therapy has shown remarkable activity in relapsed DLBCL with complete response (CR) rate of 40% and 54% for the two of the FDA-approved CAR T-cell products, tisagenlecleucel and axicabtagene ciloleucel, respectively. However, at a median follow-up of 18 months, only 36% of patients treated with tisagenlecleucel remained in CR; with longer follow-up for axicabtagene ciloleucel the median progression free survival (PFS) was 5.9 months. Immune escape and immune evasion are primary mechanisms of CAR-T resistance; clearly improvements are needed to increase response rate and cure.&lt;/jats:p&gt;_x000a_               &lt;jats:p&gt;While CRISPR-based loss-of-function screens have shown promise for high-throughput identification of genes that modulate T-cell response, these methods have been limited thus far to negative regulators of T-cell functions, and raise safety concerns due to the permanent nature of genome modification. Here we identify positive T-cell regulators via overexpression of ~12,000 barcoded human open reading frames (ORFs). Using this genome-scale ORF screen, we found modulator genes which increased primary human CD4+ and CD8+ T-cell proliferation, including activation markers like CD25 and CD40L, and secretion of key cytokines like interleukin-2 and interferon-gamma. In addition, we developed a single-cell genomics method (OverCITE-seq) for high-throughput quantification of the transcriptome and surface proteome in ORF-engineered T-cells.&lt;/jats:p&gt;_x000a_               &lt;jats:p&gt;The top-ranked ORF, lymphotoxin beta receptor (LTBR), is typically expressed in a subset of myeloid cells but absent in lymphocytes. When expressed in T-cells, LTBR induces a profound transcriptional remodelling, resulting in increased resistance to exhaustion and activation-induced apoptosis, as well as upregulation of a plethora of proinflammatory cytokines, co-stimulatory molecules and antigen presentation machinery. In order to investigate the mechanism of action of LTBR, we developed an epistasis assay which allows for simultaneous gene knockout and LTBR overexpression in primary T cells. Thus, LTBR appears to induce both canonical and non-canonical NFkB pathways - but the phenotype observed in T cells is dependent only on the former.&lt;/jats:p&gt;_x000a_               &lt;jats:p&gt;Finally, we co-expressed several top-ranked genes, including LTBR, with FDA approved CD19-targeting CARs utilizing either 4-1BB or CD28 co-stimulatory domains. In line with previous results, co-expression of top-ranked ORFs increased proinflammatory cytokine secretion and cytotoxicity against CD19+ positive cancer cell lines. This functional improvement was also observed when top-ranked ORFs and CARs were delivered to T cells isolated from DLBCL patients as shown in Figure 1. Our results provide several strategies for improving next generation CAR T-cell therapies via induction of new synthetic cell programs which may optimize immune activation and enhance the efficacy of these important therapies, a high priority for patients with relapsed and refractory DLBCL and other lymphomas.&lt;/jats:p&gt;_x000a_               &lt;jats:p&gt;Figure 1 Figure 1.&lt;/jats:p&gt;_x000a_               &lt;jats:p /&gt;_x000a_               &lt;jats:sec&gt;_x000a_                  &lt;jats:title&gt;Disclosures&lt;/jats:title&gt;_x000a_                  &lt;jats:p&gt;Mimitou: Immunai: Current Employment. Smibert: Immunai: Current Employment. Diefenbach: Bristol-Myers Squibb: Consultancy, Honoraria, Research Funding; IMab: Research Funding; Gilead: Current equity holder in publicly-traded company; Celgene: Research Funding; AbbVie: Research Funding; Janssen: Consultancy, Honoraria, Research Funding; Merck Sharp &amp;amp; Dohme: Consultancy, Honoraria, Research Funding; IGM Biosciences: Research Funding; Morphosys: Consultancy, Honoraria, Research Funding; MEI: Consultancy, Research Funding; Perlmutter Cancer Center at NYU Langone Health: Current Employment; Incyte: Research Funding; Trillium: Research Funding; Seattle Genetics: Consultancy, Honoraria, Research Funding; Genentech, Inc./ F. Hoffmann-La Roche Ltd: Consultancy, Honoraria, Research Funding. Sanjana: Qiagen: Consultancy; Vertex: Consultancy.&lt;/jats:p&gt;_x000a_               &lt;/jats:sec&gt;"/>
    <n v="4574"/>
    <s v="No"/>
    <s v="No"/>
    <s v="Yes"/>
    <s v="Not available"/>
    <s v="No"/>
    <s v="Yes"/>
    <s v="Yes"/>
    <s v="includes disclosures; includes figure"/>
    <s v="U+2008 punctuation space from general punc; lovely structured abstract"/>
    <x v="1"/>
  </r>
  <r>
    <s v="journal-article:None"/>
    <s v="10.1182/blood-2021-145886"/>
    <s v="&lt;jats:title&gt;Abstract&lt;/jats:title&gt;_x000a_               &lt;jats:p&gt;Introduction&lt;/jats:p&gt;_x000a_               &lt;jats:p&gt;In patients with hematological cancers, the high risk of bleeding raises serious concerns when anticoagulant therapy is initiated for treatment of acute venous thromboembolism (VTE). In the CATCH trial, we showed that tinzaparin is associated with a significantly lower risk of clinically relevant bleeding (CRB) and clinically relevant non-major bleeding (CRNMB) compared with warfarin therapy in patients with a solid tumor or hematological cancer. Hence, we performed a post-hoc analysis to assess the risk of recurrent VTE (rVTE) and bleeding in the hematological cancer patient subgroup. Risk factors associated with rVTE and bleeding were also explored.&lt;/jats:p&gt;_x000a_               &lt;jats:p&gt;Methods&lt;/jats:p&gt;_x000a_               &lt;jats:p&gt;CATCH (ClinicalTrials.govNCT01130025; Lee A et al. JAMA 2015) was a Phase III, multinational, randomized, active-controlled, open-label trial. Patients with solid tumors or hematological malignancies were randomized to receive therapeutic dosing of tinzaparin (175 IU/kg OD) vs warfarin (INR target 2.0 - 3.0) for treatment of acute VTE. Treatment was given for up to 6 months but was withheld during periods of severe thrombocytopenia (platelet count &amp;amp;lt; 50 x 10 9/L). The primary efficacy outcome was the composite of symptomatic deep vein thrombosis (DVT), symptomatic nonfatal pulmonary embolism (PE), fatal PE, incidental proximal DVT and incidental proximal PE. All thrombosis and bleeding outcomes, including rPE, rDVT, major bleeding (MB), CRB, and CRNMB were objectively documented and centrally adjudicated in a treatment-blinded fashion. Patients with myeloma, lymphoma or leukemia were included in this sub-group analysis. Treatment effect was assessed by means of a cox-regression with time to first event as outcome and deaths not due to fatal PE as a competing risk factor. The cumulative incidence functions and the corresponding 95% CIs were estimated.&lt;/jats:p&gt;_x000a_               &lt;jats:p&gt;Results&lt;/jats:p&gt;_x000a_               &lt;jats:p&gt;94 of 900 subjects (10.4%) in CATCH had a hematological cancer. Of these patients, 44 and 50 received tinzaparin and warfarin, respectively. The most common hematological cancer was lymphoma (59.6%), followed by myeloma (30.9%), chronic leukemia (5.3%) and acute leukemia (4.3%). rVTE occurred in fewer patients assigned to tinzaparin versus warfarin (2.4% vs 6.4%) but this difference was not statistically significant (HR 0.36; 95%CI 0.04-3.14). All recurrent thrombotic events were PE; no rDVT occurred. Also, trends for less bleeding with tinzaparin were noted for MB (tinzaparin 0.0% versus warfarin 5.0%), CRB (tinzaparin 10.4% vs warfarin 23.5%; HR 0.53; 95%CI 0.15-1.83) and CRNMB (tinzaparin 10.4% vs warfarin 19.5%; HR 0.69; 95%CI 0.19-2.51). 3 patients in each treatment arm had a fatal bleeding event and there was no difference in overall mortality (tinzaparin 22.7% vs warfarin 22.0%). There were no risk factors associated with rVTE identified. Factors associated with CRB in patients with hematological cancer included the use of antiplatelet agents (HR 7.63; 95%CI 1.17-49.6; p=0.033) and renal insufficiency (HR 12.4; 95%CI 2.15-72.0; p=0.005).&lt;/jats:p&gt;_x000a_               &lt;jats:p&gt;Conclusion&lt;/jats:p&gt;_x000a_               &lt;jats:p&gt;In this post-hoc subgroup analysis of patients with hematological cancers who received anticoagulation for acute VTE, tinzaparin may be a more effective and safer alternative to warfarin. Randomized controlled trials are warranted to test this hypothesis in this challenging population with a high risk of bleeding.&lt;/jats:p&gt;_x000a_               &lt;jats:p&gt;Figure 1 Figure 1.&lt;/jats:p&gt;_x000a_               &lt;jats:p /&gt;_x000a_               &lt;jats:sec&gt;_x000a_                  &lt;jats:title&gt;Disclosures&lt;/jats:title&gt;_x000a_                  &lt;jats:p&gt;Lee: Leo Pharma: Consultancy, Honoraria; Bayer: Consultancy, Honoraria; BMS: Consultancy, Honoraria, Research Funding; Pfizer: Consultancy, Honoraria; Servier: Consultancy, Honoraria. Bauersachs: Bayer: Honoraria, Speakers Bureau; BMS: Honoraria, Speakers Bureau; LEO Pharma: Honoraria, Speakers Bureau; Pfizer: Honoraria, Speakers Bureau. Janus: LEO Pharma: Current Employment. Leeder: LEO Pharma: Current Employment. Thoning: LEO Pharma: Current Employment. Khorana: Anthos: Consultancy, Honoraria; Halozyme: Consultancy, Honoraria; Sanofi: Consultancy, Honoraria; Bayer: Consultancy, Honoraria; Janssen: Consultancy, Honoraria; Pfizer: Consultancy, Honoraria; Bristol Myers Squibb: Consultancy, Honoraria.&lt;/jats:p&gt;_x000a_               &lt;/jats:sec&gt;"/>
    <n v="4572"/>
    <s v="No"/>
    <s v="No"/>
    <s v="Yes"/>
    <s v="Not available"/>
    <s v="No"/>
    <s v="Yes"/>
    <s v="Yes"/>
    <s v="includes disclosures; includes figure"/>
    <s v="U+2008 punctuation space from general punc; lovely structured abstract"/>
    <x v="1"/>
  </r>
  <r>
    <s v="journal-article:None"/>
    <s v="10.1186/s13031-023-00536-7"/>
    <s v="&lt;jats:title&gt;Abstract&lt;/jats:title&gt;&lt;jats:sec&gt;_x000a_                &lt;jats:title&gt;Introduction&lt;/jats:title&gt;_x000a_                &lt;jats:p&gt;There has been little documentation of the large networks of community health workers that contributed to Ebola Virus Disease (EVD) surveillance during the 2018–2020 Democratic Republic of Congo (DRC) epidemic in the form of community-based surveillance (CBS). These networks, comprised entirely of local community members, were a critical and mostly unrecognized factor in ending the epidemic. Challenges with collection, compilation, and analysis of CBS data have made their contribution difficult to quantify. From November 2019 to March 2020, the DRC Ministry of Health (MoH), the World Health Organization (WHO), and Médecins Sans Frontières (MSF) worked with communities to strengthen existing EVD CBS in two key health areas in Ituri Province, DRC. We describe CBS strengthening activities, detail collaboration with communities and present results of these efforts. We also provide lessons learned to inform future outbreak responses.&lt;/jats:p&gt;_x000a_              &lt;/jats:sec&gt;&lt;jats:sec&gt;_x000a_                &lt;jats:title&gt;Methods&lt;/jats:title&gt;_x000a_                &lt;jats:p&gt;As the foundation of CBS, community health workers (CHW) completed training to identify and report patients who met the EVD alert definitions. Alerts were investigated and if validated, the patient was sent for isolation and EVD testing. Community members provided early and ongoing input to the CBS system. We established a predefined ratio of community- elected CHW, allocated by population, to assure equal and adequate coverage across areas. Strong performing CHW or local leaders managed the CHWs, providing a robust supervision structure. We made additional efforts to integrate rural villages, revised tools to lighten the reporting burden and focused analysis on key indicators. Phased roll-out of activities ensured time for community discussion and approval. An integrated treatment center (ITC) combined EVD testing and isolation with free primary health care (PHC), referral services, and an ambulance network.&lt;/jats:p&gt;_x000a_              &lt;/jats:sec&gt;&lt;jats:sec&gt;_x000a_                &lt;jats:title&gt;Results&lt;/jats:title&gt;_x000a_                &lt;jats:p&gt;A total of 247 CHW and supervisors completed training. CBS had a retention rate of 94.3% (n = 233) with an average daily reporting rate of 97.4% (range 75.0-100.0%). Local chiefs and community leaders participated in activities from the early stages. Community feedback, including recommendations to add additional CHW, run separate meetings in rural villages, and strengthen PHC services, improved system coverage and performance. Of 6,711 community referrals made, 98.1% (n = 6,583) were classified as alerts. Of the alerts, 97.4% (n = 6,410) were investigated and 3.0% (n = 190) were validated. Of the community referrals, 73.1% (n = 4,905) arrived for care at the ITC. The contribution of CBS to total alerts in the surveillance system increased from an average of 47.3% in the four weeks prior to system strengthening to 69.0% after. In one of the two health areas, insufficient reporting in rural villages suggested inadequate coverage, with 8.3% of the total population contributing 6.1% of alerts.&lt;/jats:p&gt;_x000a_              &lt;/jats:sec&gt;&lt;jats:sec&gt;_x000a_                &lt;jats:title&gt;Discussion&lt;/jats:title&gt;_x000a_                &lt;jats:p&gt;CBS demonstrated the capacity of community networks to improve early disease detection and expand access to healthcare. Early and consistent community involvement proved vital to CBS, as measured by system performance, local acceptance of EVD activities, and health service provision. The CBS system had high reporting rates, number of alerts signaled, proportion of alerts investigated, and proportion of community referrals that arrived for care. The change in contribution of CBS to total alerts may have been due in part to system strengthening, but also to the expansion in the EVD suspect case definition. Provision of PHC, referral services, and an ambulance network linked EVD response activities to the existing health system and facilitated CBS performance. More importantly, these activities provided a continuum of care that addressed community prioritized health needs. The involvement of local health promotion teams was vital to the CBS and other EVD and PHC activities. Lessons learned include the importance of early and consistent community involvement in surveillance activities and the recommendation to assure local representation in leadership positions.&lt;/jats:p&gt;_x000a_              &lt;/jats:sec&gt;"/>
    <n v="4562"/>
    <s v="No"/>
    <s v="No"/>
    <s v="Yes"/>
    <s v="Yes"/>
    <s v="No"/>
    <s v="Yes"/>
    <s v="Yes"/>
    <s v="includes U+2009 Thin Space General Punc char"/>
    <s v="U+2009 thin space from general punc; lovely structured abstract"/>
    <x v="0"/>
  </r>
  <r>
    <s v="journal-article:None"/>
    <s v="10.1093/humrep/deae108.1004"/>
    <s v="&lt;jats:title&gt;Abstract&lt;/jats:title&gt;_x000a_               &lt;jats:sec&gt;_x000a_                  &lt;jats:title&gt;Study question&lt;/jats:title&gt;_x000a_                  &lt;jats:p&gt;Can an early oocyte collection (OC) avoid cycle cancellation due to spontaneous ovulation in poor responders undergoing natural/ natural modified (N/NM) cycle-IVF?&lt;/jats:p&gt;_x000a_               &lt;/jats:sec&gt;_x000a_               &lt;jats:sec&gt;_x000a_                  &lt;jats:title&gt;Summary answer&lt;/jats:title&gt;_x000a_                  &lt;jats:p&gt;Rescue OC may prevent premature ovulation following spontaneous LH surge in N/NM-IVF cycles allowing retrieval of mature oocytes, high-grade embryos that may result in livebirths.&lt;/jats:p&gt;_x000a_               &lt;/jats:sec&gt;_x000a_               &lt;jats:sec&gt;_x000a_                  &lt;jats:title&gt;What is known already&lt;/jats:title&gt;_x000a_                  &lt;jats:p&gt;Natural IVF cycles carry an inherent higher risk of spontaneous LH surge and ovulation before OC. The introduction of gonadotropin releasing hormone antagonist with low-dose gonadotropin add-back has reduced these risks.Timing of ovulation trigger and trigger to OC interval are important to balance the risks of spontaneous ovulation with the chance of retrieving mature oocyte(s). In the absence of LH surge, the trigger to OC interval is normally 35 hours. However, it is challenging to schedule OC once LH surge has occurred.The effectiveness of rescue OC following LH surge has not been well explored.&lt;/jats:p&gt;_x000a_               &lt;/jats:sec&gt;_x000a_               &lt;jats:sec&gt;_x000a_                  &lt;jats:title&gt;Study design, size, duration&lt;/jats:title&gt;_x000a_                  &lt;jats:p&gt;This is a retrospective analysis of all NC/NM-IVF/ICSI cycles in poor responders who had spontaneous urinary LH surge from over a period of 3 years, across five Fertility Centres under one company sharing the same treatment protocol.&lt;/jats:p&gt;_x000a_               &lt;/jats:sec&gt;_x000a_               &lt;jats:sec&gt;_x000a_                  &lt;jats:title&gt;Participants/materials, setting, methods&lt;/jats:title&gt;_x000a_                  &lt;jats:p&gt;All women fulfilling the Bologna criteria for poor ovarian response underwent IVF/ICSI cycles with NC/ NM protocol. The study population included those who had a positive urinary LH surge without or despite the use of antagonist. A rescue OC scheduled 18 to 24 hours after a spontaneous urinary LH surge. Choriogonadotropin alfa (Ovitrelle) 250 micg was administered as soon as the surge was detected. Patients were also given indomethacin 8 hourly until OC.&lt;/jats:p&gt;_x000a_               &lt;/jats:sec&gt;_x000a_               &lt;jats:sec&gt;_x000a_                  &lt;jats:title&gt;Main results and the role of chance&lt;/jats:title&gt;_x000a_                  &lt;jats:p&gt;Amongst 735 NC/NM-IVF/ ICSI cycles in poor responder women during the study period, 54 cycles (7.3%) had spontaneous urinary LH surge. Twenty-eight cycles were with NC-IVF and 26 NM-IVF protocol.&lt;/jats:p&gt;_x000a_                  &lt;jats:p&gt;Only 8 (14.8%) cycles did not progress to OC due to spontaneous ovulation. In 46 (85.2%) of cycles, at least one oocyte was successfully retrieved, with a total of59 retrieved oocytes. ICSI cycles identified at least one mature oocyte in 82% of the cycles. Fertilisation rate with IVF and ICSI cycles combined was 49.1% and at least one cleavage-stage embryo was created from 24 (44.4%) of all cycles (52.2% of retrieved cycles). High-grade embryo(s) was obtained in 42.5% of all cycles. Clinical pregnancy rate (CPR) and live birth rate (LBR) per embryo transfer were 18.7% and12.5%, respectively.&lt;/jats:p&gt;_x000a_               &lt;/jats:sec&gt;_x000a_               &lt;jats:sec&gt;_x000a_                  &lt;jats:title&gt;Limitations, reasons for caution&lt;/jats:title&gt;_x000a_                  &lt;jats:p&gt;This study was retrospective in nature, without a comparator group. Combination of both NC-IVF and NM-IVF might not have implications in practical terms. Use ofindomethacin also could have delayed ovulation. Although population size was as expected for a rare event, it may not be adequate for a precise LBR.&lt;/jats:p&gt;_x000a_               &lt;/jats:sec&gt;_x000a_               &lt;jats:sec&gt;_x000a_                  &lt;jats:title&gt;Wider implications of the findings&lt;/jats:title&gt;_x000a_                  &lt;jats:p&gt;An early scheduling of OC in the event of LH surge is an effective way to reduce cycle cancellation rate which is a risk in NC/NM-IVF cycles. It also can potentially result in livebirths. This approach may encourage clinicians practising NC/NM-IVF to test and validate our findings.&lt;/jats:p&gt;_x000a_               &lt;/jats:sec&gt;_x000a_               &lt;jats:sec&gt;_x000a_                  &lt;jats:title&gt;Trial registration number&lt;/jats:title&gt;_x000a_                  &lt;jats:p&gt;not applicable&lt;/jats:p&gt;_x000a_               &lt;/jats:sec&gt;"/>
    <n v="4545"/>
    <s v="No"/>
    <s v="No"/>
    <s v="Yes"/>
    <s v="Yes"/>
    <s v="No"/>
    <s v="Yes"/>
    <s v="Yes"/>
    <s v="includes U+2009 Thin Space General Punc char"/>
    <s v="U+2009 thin space from general punc; whole medical abstract"/>
    <x v="0"/>
  </r>
  <r>
    <s v="journal-article:None"/>
    <s v="10.26310/2071-3010.2020.263.9.010"/>
    <s v="&lt;jats:p&gt;Несмотря на сохранение передовых позиций России по ряду наукоемких областей, существует отставание от мировых лидеров по уровню инновационного развития. Неотъемлемой частью развития любого государства, чей путь направлен в сторону инноваций, является трансфер технологий. При этом эффективность инновационной деятельности зависит от качества прохождения всех стадий трансфера технологий - от фундаментальных исследований до внедрения результатов. Ввиду особенностей административно-территориального устройства Российской Федерации существует высокая дифференциация регионов, входящих в ее состав, по уровню социально-экономического развития, что существенно затрудняет процесс инновационного развития страны. Целью данного исследования является комплексный анализ субъектов Российской Федерации в разрезе всех стадий трансфера технологий, результаты которого позволят выявить узкие места в процессе трансфера технологий на уровне регионов, а также выявить сильные стороны регионов-лидеров. Для реализации данной цели был изучен зарубежный опыт, определена методика оценки уровня развития трансфера технологий, а также набор показателей, характеризующих каждую из стадий трансфера технологий, проведены все необходимые расчеты, осуществлена их интерпретация, и подготовлены рекомендации по итогам проведенного анализа. Для оценки уровня развития трансфера технологий был рассчитан интегральный индекс инновационного развития регионов, включающий 6 стадий механизма трансфера. По результатам анализа выявлены существенные различия между регионами по уровню развития трансфера технологий, обусловленные различными факторами (исторический фактор, географическое положение, нормативно-правовое обеспечение инновационной сферы и т. д.). Для решения выявленных проблем необходимо использовать зарубежный опыт трансфера технологий в условиях рыночной экономики, обеспечить целостность всей цепочки процесса трансфера технологий, проводить мониторинг на всех стадиях данного процесса для выявления точек роста и узких мест, особое внимание необходимо уделять нормативно-правовому обеспечению процесса трансфера технологий&lt;/jats:p&gt;_x000a_                                                                                            &lt;jats:p&gt;Despite the preservation of Russia's leading positions in a number of science-intensive areas, there is a lag behind the world leaders in terms of innovative development. An integral part of the development of any state whose path is directed towards innovation is technology transfer. At the same time, the effectiveness of innovation depends on the quality of passing through all stages of technology transfer - from fundamental research to implementation of the results. Due to the peculiarities of the administrative-territorial structure of the Russian Federation, there is a high differentiation of the regions that make up it, according to the level of socio-economic development, which significantly complicates the process of innovative development of the country. The purpose of this study is a comprehensive analysis of the constituent entities of the Russian Federation in the context of all stages of technology transfer, the results of which will reveal bottlenecks in the process of technology transfer at the regional level, as well as identify the strengths of the leading regions. To achieve this goal, foreign experience was studied, a methodology for assessing the level of development of technology transfer was determined, as well as a set of indicators characterizing each of the stages of technology transfer, all the necessary calculations were carried out, their interpretation was carried out and recommendations were prepared based on the results of the analysis. To assess the level of development of technology transfer, an integral index of innovative development of regions was calculated, which includes 6 stages of the transfer mechanism. The analysis revealed significant differences between the regions in terms of the level of technology transfer development, due to various factors (historical factor, geographic location, regulatory support of the innovation sphere, etc.). To solve the identified problems, it is necessary to use foreign experience in technology transfer in a market economy, to ensure the integrity of the entire chain of the technology transfer process, to conduct monitoring at all stages of this process to identify growth points and bottlenecks, special attention should be paid to the regulatory framework of the technology transfer process&lt;/jats:p&gt;"/>
    <n v="4542"/>
    <s v="No"/>
    <s v="No"/>
    <s v="Yes"/>
    <s v="Not available"/>
    <s v="No"/>
    <s v="Yes"/>
    <s v="Yes"/>
    <s v="includes multiple languages"/>
    <s v="&quot;ru&quot; and &quot;en&quot; included in the same abstract metadata element; latin and cyrillinc;"/>
    <x v="2"/>
  </r>
  <r>
    <s v="journal-article:None"/>
    <s v="10.1001/jamasurg.2023.7866"/>
    <s v="&lt;jats:sec id=&quot;ab-soi230113-4&quot;&gt;&lt;jats:title&gt;Introduction&lt;/jats:title&gt;&lt;jats:p&gt;Efforts have been made to increase the number of women and physicians who are underrepresented in medicine (UIM). However, surgery has been slow to diversify, and there are limited data surrounding the impact of intersectionality.&lt;/jats:p&gt;&lt;/jats:sec&gt;&lt;jats:sec id=&quot;ab-soi230113-5&quot;&gt;&lt;jats:title&gt;Objective&lt;/jats:title&gt;&lt;jats:p&gt;To assess the combined association of race and ethnicity and sex with rates of promotion and attrition among US academic medical department of surgery faculty.&lt;/jats:p&gt;&lt;/jats:sec&gt;&lt;jats:sec id=&quot;ab-soi230113-6&quot;&gt;&lt;jats:title&gt;Design, Setting, and Participants&lt;/jats:title&gt;&lt;jats:p&gt;This was a retrospective cohort study using faculty roster data from the Association of American Medical Colleges. All full-time academic department of surgery faculty with an appointment any time from January 1, 2005, to December 31, 2020, were included. Study data were analyzed from September 2022 to February 2023.&lt;/jats:p&gt;&lt;/jats:sec&gt;&lt;jats:sec id=&quot;ab-soi230113-7&quot;&gt;&lt;jats:title&gt;Exposures&lt;/jats:title&gt;&lt;jats:p&gt;Full-time academic faculty in a department of surgery with a documented self-reported race, ethnicity, and sex within the designated categories of the faculty roster of Association of American Medical Colleges.&lt;/jats:p&gt;&lt;/jats:sec&gt;&lt;jats:sec id=&quot;ab-soi230113-8&quot;&gt;&lt;jats:title&gt;Main Outcomes and Measures&lt;/jats:title&gt;&lt;jats:p&gt;Trends in race and ethnicity and sex, rates of promotion, and rates attrition from 2010 to 2020 were assessed with Kaplan-Meier and Cox time-to-event analyses.&lt;/jats:p&gt;&lt;/jats:sec&gt;&lt;jats:sec id=&quot;ab-soi230113-9&quot;&gt;&lt;jats:title&gt;Results&lt;/jats:title&gt;&lt;jats:p&gt;A total of 31 045 faculty members (23 092 male [74%]; 7953 female [26%]) from 138 institutions were included. The mean (SD) program percentage of UIM male faculty increased from 8.4% (5.5%) in 2010 to 8.5% (6.2%) in 2020 (&lt;jats:italic&gt;P&lt;/jats:italic&gt; &amp;amp;amp;lt; .001), whereas UIM female faculty members increased from 2.3% (2.6%) to 3.3% (2.5%) over the 10-year period (&lt;jats:italic&gt;P&lt;/jats:italic&gt; &amp;amp;amp;lt; .001). The mean program percentage of non-UIM females increased at every rank (percentage point increase per year from 2010 to 2020 in instructor: 1.1; 95% CI, 0.73-1.5; assistant professor: 1.1; 95% CI, 0.93-1.3; associate professor: 0.55; 95% CI, 0.49-0.61; professor: 0.50; 95% CI, 0.41-0.60; all &lt;jats:italic&gt;P&lt;/jats:italic&gt; &amp;amp;amp;lt; .001). There was no change in the mean program percentage of UIM female instructors or full professors. The mean (SD) percentage of UIM female assistant and associate professors increased from 3.0% (4.1%) to 5.0% (4.0%) and 1.6% (3.2%) to 2.2% (3.4%), respectively (&lt;jats:italic&gt;P&lt;/jats:italic&gt; =.002). There was no change in the mean program percentage of UIM male instructors, associate, or full professors. Compared with non-Hispanic White males, Hispanic females were 32% less likely to be promoted within 10 years (hazard ratio [HR], 0.68; 95% CI, 0.54-0.86; &lt;jats:italic&gt;P&lt;/jats:italic&gt; &amp;amp;amp;lt;.001), non-Hispanic White females were 25% less likely (HR, 0.75; 95% CI, 0.71-0.78; &lt;jats:italic&gt;P&lt;/jats:italic&gt; &amp;amp;amp;lt;.001), Hispanic males were 15% less likely (HR, 0.85; 95% CI, 0.76-0.96; &lt;jats:italic&gt;P&lt;/jats:italic&gt; =.007), and Asian females were 12% less likely (HR, 0.88; 95% CI, 0.80-0.96; &lt;jats:italic&gt;P&lt;/jats:italic&gt; =.03). Non-UIM males had the shortest median (IQR) time to promotion, whereas non-UIM females had the longest (6.9 [6.8-7.0] years vs 7.2 [7.0-7.6] years, respectively; &lt;jats:italic&gt;P&lt;/jats:italic&gt; &amp;amp;amp;lt; .001). After 10 years, 79% of non-UIM males (13 202 of 16 299), 71% of non-UIM females (3784 of 5330), 68% of UIM males (1738 of 2538), and 63% of UIM females (625 of 999) remained on the faculty. UIM females had a higher risk of attrition compared with non-UIM females (HR, 1.3; 95% CI, 1.1-1.5; &lt;jats:italic&gt;P&lt;/jats:italic&gt; = .001) and UIM males (HR, 1.2; 95% CI, 1.0-1.4; &lt;jats:italic&gt;P&lt;/jats:italic&gt; = .05). The mean (SE) time to attrition was shortest for UIM females and longest for non-UIM males (8.2 [0.14] years vs 9.0 [0.02] years, respectively; &lt;jats:italic&gt;P&lt;/jats:italic&gt; &amp;amp;amp;lt; .001).&lt;/jats:p&gt;&lt;/jats:sec&gt;&lt;jats:sec id=&quot;ab-soi230113-10&quot;&gt;&lt;jats:title&gt;Conclusion and Relevance&lt;/jats:title&gt;&lt;jats:p&gt;Results of this cohort study suggest that intersectionality was associated with promotion and attrition, with UIM females least likely to be promoted and at highest risk for attrition. Further efforts to understand these vulnerabilities are essential.&lt;/jats:p&gt;&lt;/jats:sec&gt;"/>
    <n v="4540"/>
    <s v="No"/>
    <s v="No"/>
    <s v="Yes"/>
    <s v="Yes"/>
    <s v="No"/>
    <s v="Yes"/>
    <s v="No"/>
    <s v="No problems"/>
    <m/>
    <x v="3"/>
  </r>
  <r>
    <s v="journal-article:None"/>
    <s v="10.37382/nrn.octubre.2019.549"/>
    <s v="&lt;jats:p&gt;_x000a_Gracias a las novedosas técnicas de neuroimagen, podemos conocer más en profundidad cómo se representa el “dolor” en nuestro cerebro, visualizando qué áreas se activan ante diferentes estímulos percibidos. _x000a__x000a__x000a_La fibromialgia (FM) es una patología cuya incidencia está estimada entre el 1 y el 4% de la población general mundial. Los síntomas de los pacientes que la padecen afectan significativamente a su calidad de vida, conllevando asimismo a un incremento del uso de los sistemas sanitarios de salud._x000a_La fibromialgia se define como una condición dolorosa generalizada y crónica, acompañada de fatiga, sensibilidad, alteración del sueño, disminución de la función física y alteraciones en la función fisiológica, como pérdida de memoria, alteraciones del estado de ánimo y falta de bienestar. La causa de esta condición es aún desconocida (Williams &amp;amp; Gracely, 2007), barajándose diferentes hipótesis._x000a_En la imagen, se comparan las actividades cerebrales de dos sujetos, uno de ellos (parte superior de la imagen) sano, y el otro un paciente de fibromialgia (parte inferior de la imagen). Las diferencias entre las dos imágenes radican en la extensión y magnitud de la activación cerebral, siendo esta mayor en el caso del sujeto con fibromialgia, ante un mismo estímulo de presión mecánica de 4kg/cm2proporcionado a ambos._x000a_“ Gracias a las novedosas técnicas de neuroimagen, podemos conocer más en profundidad cómo se representa el “dolor” en nuestro cerebro, visualizando qué áreas se activan ante diferentes estímulos percibidos &quot;_x000a_Como sabemos gracias a estudios recientes de neuroimagen, se han diferenciado anatómicamente varias dimensiones relacionadas con el dolor localizadas en diferentes regiones del cerebro. Estas son la dimensión sensorial, la dimensión emocional y la dimensión cognitiva, las cuales, de manera conjunta, conforman la denominada “matriz neural” del dolor. De la misma manera, se sabe que el componente emocional, por sí sólo, puede influir en el umbral de la intensidad con la que un estímulo se interpreta como doloroso. En relación a esto, se ha visto que pacientes que presentan un dolor crónico, como es el caso de la fibromialgia, presentan este umbral más disminuido con respecto a sujetos sanos, de manera que generan una respuesta y una activación cerebral anormal con respecto al dolor. _x000a_Esto puede deberse, como postulan algunos autores, a que la dimensión emocional-afectiva en sujetos que presentan cronicidad de sus síntomas, podría estar afectando al procesamiento normal del dolor, así como a la actividad cerebral, pudiendo de esta manera explicar la modificación de la experiencia dolorosa que presentan estos pacientes._x000a_ Además, también sabemos gracias a estudios realizados por Gracely y cols (2004), que el grado de percepción catastrófica padecida por esta población con fibromialgia, puede afectar a su activación cerebral con respecto al dolor. El catastrofismo surge como una respuesta al dolor caracterizada por el fenómeno de rumiación, sentimiento de que el dolor es algo horrible, así como pensamientos negativos sobre la severidad del mismo, la discapacidad funcional y la depresión (Burgmer et al., 2011)._x000a_“En pacientes con Fibromialgia, prevalece la activación de regiones cerebrales relacionadas con un componente emocional/afectivo ante estímulos que resultan ser inocuos de manera natural”_x000a_En el estudio realizado por Joan Deus, al cual pertenecen las imágenes, analizaban la duración temporal del estímulo en relación con la intensidad percibida. Vieron que, se activaba las mismas áreas cerebrales durante el mismo tiempo en el que se aplicaba el estímulo nociceptivo, tanto en personas sanas como en pacientes con FM. Estas áreas cerebrales son consideradas las pertenecientes a la dimensión sensorial. Por otro lado, se activaron otras áreas, únicamente en el grupo de los pacientes con FM, con una duración superior a la aplicación del estímulo, las cuales se ha visto que concuerdan con el componente afectivo-emocional del dolor. También se ha comprobado que la depresión parece no influir en la dimensión sensorial del dolor en pacientes con FM._x000a_Como conclusión, la actividad cerebral de base en pacientes con fibromialgia difiere de la de pacientes sanos. Además, perciben sensaciones desagradables ante estímulos de intensidades bajas en comparación con sanos. Por otro lado, las actitudes y creencias, tales como el catastrofismo, parecen influir en el procesamiento de los aspectos sensoriales del dolor en este tipo de pacientes._x000a_&lt;/jats:p&gt;"/>
    <n v="4530"/>
    <s v="No"/>
    <s v="No"/>
    <s v="Yes"/>
    <s v="Yes"/>
    <s v="No"/>
    <s v="Yes"/>
    <s v="No"/>
    <s v="No problems"/>
    <m/>
    <x v="3"/>
  </r>
  <r>
    <s v="journal-article:None"/>
    <s v="10.3390/w16010138"/>
    <s v="&lt;jats:p&gt;Groundwater is an important source of freshwater. At the same time, anthropogenic activities, in particular, industrialization, urbanization, population growth, and excessive application of fertilizers, are some of the major reasons for groundwater quality deterioration. Therefore, the present study is conducted to evaluate groundwater quality by using integrated water quality indices and a geospatial approach to identify the different water quality zones and propose management strategies for the improvement of groundwater quality. Groundwater quality was evaluated through the physicochemical parameters (pH, chloride (Cl−), fluoride(F−), iron (Fe−2), nitrate (NO3−1), nitrite (NO2), arsenic (As), total hardness, bicarbonate (HCO3−), calcium (Ca+2), magnesium (Mg+2), color, taste, turbidity, total dissolved solids (TDS)) and microbiological parameters including total coliforms, fecal coliforms, and Escherichia coli of samples collected from the water and sanitation agency (WASA) and urban units. Irrigation parameters crucial to the assessment, including (electrical conductivity (EC), residual sodium carbonates (RSC), and sodium adsorption ratio (SAR)), were also collected at more than 1100 sites within the study area of upper and central Punjab. After collecting the data of physicochemical parameters, the analysis of data was initiated to compute the water quality index for groundwater quality, a four-step protocol in which the Analytical Hierarchy Process (AHP) was used to determine the weights of selected parameters by generating a pairwise matrix, on the relative importance of parameters using the Satty scale. The index was then classified into five classes for quality assessment of drinking water (excellent, good, medium, bad, and very bad) and four classes for irrigation water quality assessment (excellent, good, permissible, and unsuitable). After computing the index values for drinking as well as irrigation purposes, the values were interpolated, and various maps were developed to identify the status of groundwater quality in different zones of the study area. Mitigation strategies for water pollution involve source control, such as monitoring industrial discharge points and managing waste properly. Additionally, treating wastewater through primary, secondary, or tertiary stages significantly improves water quality, reducing contaminants like heavy metals, microbiological agents, and chemical ions, safeguarding water resources. The findings highlight significant regional variations in water quality issues, with heavy metal concerns concentrated notably in Lahore and widespread emerging microbiological contamination across all studied divisions. This suggests a systemic problem linked to untreated industrial effluents and poorly managed sewerage systems. The computed indices for the Lahore, Sargodha, and Rawalpindi divisions indicate water quality ranging from marginal to unfit, underscoring the urgency for remediation. Conversely, other divisions fall within a medium class, potentially suitable for drinking purposes. Notably, microbiological contamination at 27% poses a major challenge for water supply agencies, emphasizing the critical need for pre-disposal primary, secondary, and tertiary treatments. These treatments could potentially rehabilitate 9%, 35%, and 41% of the study area, respectively, pointing toward tangible, scalable solutions critical for safeguarding broader water resources and public health. With the current pace of water quality deterioration, access to drinking water is a major problem for the public. The government should prioritize implementing strict monitoring mechanisms for industrial effluent discharge, emphasizing proper waste management to curb groundwater contamination. Establishing comprehensive pre-disposal treatments, especially primary, secondary, and tertiary stages, is imperative to address the prevalent heavy metal and microbiological issues, potentially rehabilitating up to 41% of affected areas. Additionally, creating proactive policies and allocating resources for sustainable groundwater management are crucial steps for ensuring broader water resource security and public health in the face of deteriorating water quality. Therefore, urgent regional action is needed to address escalating anthropogenic threats to groundwater, emphasizing the crucial need for proactive measures to safeguard public health and ensure sustainable water resources.&lt;/jats:p&gt;"/>
    <n v="4483"/>
    <s v="No"/>
    <s v="No"/>
    <s v="Yes"/>
    <s v="Not available"/>
    <s v="No"/>
    <s v="Yes"/>
    <s v="No"/>
    <s v="marked as retracted"/>
    <s v="no problems, marked correctly as retracted in metadata"/>
    <x v="3"/>
  </r>
  <r>
    <s v="journal-article:None"/>
    <s v="10.1099/ijsem.0.006074"/>
    <s v="&lt;jats:p&gt;A Gram-stain-negative, aerobic, short rod-shaped and motile bacterial strain, designated MAH-33&lt;jats:sup&gt;T&lt;/jats:sup&gt;, was isolated from rhizospheric soil of eggplant. The colonies were observed to be yellow-coloured, smooth, spherical and 0.1–0.3 mm in diameter when grown on TSA agar medium for 2 days. Strain MAH-33&lt;jats:sup&gt;T&lt;/jats:sup&gt; was found to be able to grow at 10–40 °C, at pH 5.0–10.0 and at 0–3.0 % NaCl (w/v). The strain was found to be positive for both oxidase and catalase tests. The strain was positive for hydrolysis of tyrosine and aesculin. According to the 16S rRNA gene sequence comparisons, the isolate was identified as a member of the genus &lt;jats:italic&gt;_x000a_                     &lt;jats:named-content content-type=&quot;genus&quot;&gt;_x000a_                        &lt;jats:ext-link xmlns:xlink=&quot;http://www.w3.org/1999/xlink&quot; ext-link-type=&quot;uri&quot; xlink:href=&quot;http://doi.org/10.1601/nm.1234&quot; xlink:type=&quot;simple&quot;&gt;Sphingobium&lt;/jats:ext-link&gt;_x000a_                     &lt;/jats:named-content&gt;_x000a_                  &lt;/jats:italic&gt; and to be closely related to &lt;jats:italic&gt;_x000a_                     &lt;jats:named-content content-type=&quot;species&quot;&gt;_x000a_                        &lt;jats:ext-link xmlns:xlink=&quot;http://www.w3.org/1999/xlink&quot; ext-link-type=&quot;uri&quot; xlink:href=&quot;http://doi.org/10.1601/nm.16877&quot; xlink:type=&quot;simple&quot;&gt;Sphingobium quisquiliarum&lt;/jats:ext-link&gt;_x000a_                     &lt;/jats:named-content&gt;_x000a_                  &lt;/jats:italic&gt; P25&lt;jats:sup&gt;T&lt;/jats:sup&gt; (98.4 % similarity), &lt;jats:italic&gt;_x000a_                     &lt;jats:named-content content-type=&quot;species&quot;&gt;_x000a_                        &lt;jats:ext-link xmlns:xlink=&quot;http://www.w3.org/1999/xlink&quot; ext-link-type=&quot;uri&quot; xlink:href=&quot;http://doi.org/10.1601/nm.25329&quot; xlink:type=&quot;simple&quot;&gt;Sphingobium mellinum&lt;/jats:ext-link&gt;_x000a_                     &lt;/jats:named-content&gt;_x000a_                  &lt;/jats:italic&gt; WI4&lt;jats:sup&gt;T&lt;/jats:sup&gt; (97.8 %), &lt;jats:italic&gt;_x000a_                     &lt;jats:named-content content-type=&quot;species&quot;&gt;_x000a_                        &lt;jats:ext-link xmlns:xlink=&quot;http://www.w3.org/1999/xlink&quot; ext-link-type=&quot;uri&quot; xlink:href=&quot;http://doi.org/10.1601/nm.10301&quot; xlink:type=&quot;simple&quot;&gt;Sphingobium fuliginis&lt;/jats:ext-link&gt;_x000a_                     &lt;/jats:named-content&gt;_x000a_                  &lt;/jats:italic&gt; TKP&lt;jats:sup&gt;T&lt;/jats:sup&gt; (97.3 %) and &lt;jats:italic&gt;_x000a_                     &lt;jats:named-content content-type=&quot;species&quot;&gt;_x000a_                        &lt;jats:ext-link xmlns:xlink=&quot;http://www.w3.org/1999/xlink&quot; ext-link-type=&quot;uri&quot; xlink:href=&quot;http://doi.org/10.1601/nm.1237&quot; xlink:type=&quot;simple&quot;&gt;Sphingobium herbicidovorans&lt;/jats:ext-link&gt;_x000a_                     &lt;/jats:named-content&gt;_x000a_                  &lt;/jats:italic&gt; NBRC 16415&lt;jats:sup&gt;T&lt;/jats:sup&gt; (96.9 %). The novel strain MAH-33&lt;jats:sup&gt;T&lt;/jats:sup&gt; has a draft genome size of 3 908 768 bp (28 contigs), annotated with 3689 protein-coding genes, 45 tRNA and three rRNA genes. The average nucleotide identity and digital DNA–DNA hybridization values between strain MAH-33&lt;jats:sup&gt;T&lt;/jats:sup&gt; and closely related type strains were in the range of 79.8–81.6 % and 23.2–24.5 %, respectively. The genomic DNA G+C content was determined to be 62.2 %. The predominant isoprenoid quinone was ubiquinone 10. The major fatty acids were identified as C&lt;jats:sub&gt;16 : 0&lt;/jats:sub&gt; and summed feature 8 (C&lt;jats:sub&gt;18 : 1&lt;/jats:sub&gt;_x000a_                  &lt;jats:italic&gt; ω7&lt;/jats:italic&gt;c and/or C&lt;jats:sub&gt;18 : 1&lt;/jats:sub&gt;_x000a_                  &lt;jats:italic&gt; ω6&lt;/jats:italic&gt;c). The polar lipids identified in strain MAH-33&lt;jats:sup&gt;T&lt;/jats:sup&gt; were phosphatidylethanolamine, diphosphatidylglycerol, phosphatidylglycerol, sphingoglycolipid, phosphatidylcholine; one unknown phospholipid and one unknown lipid. On the basis of digital DNA–DNA hybridization, ANI value, genotypic analysis, chemotaxonomic and physiological data, strain MAH-33&lt;jats:sup&gt;T&lt;/jats:sup&gt; represents a novel species within the genus &lt;jats:italic&gt;_x000a_                     &lt;jats:named-content content-type=&quot;genus&quot;&gt;_x000a_                        &lt;jats:ext-link xmlns:xlink=&quot;http://www.w3.org/1999/xlink&quot; ext-link-type=&quot;uri&quot; xlink:href=&quot;http://doi.org/10.1601/nm.1234&quot; xlink:type=&quot;simple&quot;&gt;Sphingobium&lt;/jats:ext-link&gt;_x000a_                     &lt;/jats:named-content&gt;_x000a_                  &lt;/jats:italic&gt;, for which the name &lt;jats:italic&gt;Sphingobium agri&lt;/jats:italic&gt; sp. nov. is proposed, with MAH-33&lt;jats:sup&gt;T&lt;/jats:sup&gt; (=KACC 19973&lt;jats:sup&gt;T&lt;/jats:sup&gt; = CGMCC 1.16609&lt;jats:sup&gt;T&lt;/jats:sup&gt;) as the type strain.&lt;/jats:p&gt;"/>
    <n v="4419"/>
    <s v="No"/>
    <s v="No"/>
    <s v="Yes"/>
    <s v="No"/>
    <s v="No"/>
    <s v="Yes"/>
    <s v="Yes"/>
    <s v="includes hyperlinks"/>
    <s v="U+200a hair space and U+2009 thin space"/>
    <x v="0"/>
  </r>
  <r>
    <s v="journal-article:None"/>
    <s v="10.1093/ndt/gfab080.002"/>
    <s v="&lt;jats:title&gt;Abstract&lt;/jats:title&gt;_x000a_               &lt;jats:sec&gt;_x000a_                  &lt;jats:title&gt;Background and Aims&lt;/jats:title&gt;_x000a_                  &lt;jats:p&gt;The zebrafish (Danio rerio) is a powerful animal model to study glomerular morphology and the function of the permselectivity of the glomerular filtration barrier.&lt;/jats:p&gt;_x000a_                  &lt;jats:p&gt;Since zebrafish larvae develop quickly and can be bred to become transparent, in vivo observation of these animals is possible. At 48 hours post fertilization, zebrafish larvae develop a single glomerulus which is attached to a pair of tubules. Like in mammals, the glomerular filtration barrier consists of a fenestrated endothelium, the glomerular basement membrane and interdigitating podocyte foot processes bridged by a slit diaphragm. By using genetically modified zebrafish strains with fluorescently labeled podocytes, it is possible to study alterations of the glomerulus during the development of renal disease like focal segmental glomerulosclerosis (FSGS) directly in vivo. FSGS is characterized by podocyte loss, the effacement of their foot processes as well as scarring of the glomerulus. To study FSGS in zebrafish larvae, we induced podocyte detachment by the use of a zebrafish strain expressing the enzyme nitroreductase converting metronidazole into a toxic substance specifically in podocytes. The aim of our study was to collect glomeruli for the identification of mRNAs as well as miRNAs by RNA_Seq that are up- and down-regulated in the glomeruli of this FSGS-like disease model.&lt;/jats:p&gt;_x000a_               &lt;/jats:sec&gt;_x000a_               &lt;jats:sec&gt;_x000a_                  &lt;jats:title&gt;Method&lt;/jats:title&gt;_x000a_                  &lt;jats:p&gt;The transgenic zebrafish strain Cherry (Tg(nphs2:GAL4); Tg(UAS:Eco.nfsB-mCherry); mitfaw2/w2; mpv17a9/a9) which expresses the prokaryotic enzyme nitroreductase (NTR) fused to mCherry, a red fluorescent protein, under the control of the podocyte-specific podocin (nphs2) promoter in a transparent zebrafish strain, was utilized. After addition of metronidazole (MTZ) into the tank water, MTZ is converted into a cytotoxin by NTR leading to dose-dependent apoptosis exclusively in podocytes. Cherry larvae were treated at 4 days post fertilization (dpf) for 48 h with 80 µM MTZ. MTZ-treated and control larvae were homogenized at 6 dpf. The cell suspension was diluted, and red-fluorescent glomeruli were collected using a micropipette and a microscope. Total RNA was isolated, and integrity was checked by a Bioanalyzer. Libraries were generated with a MACE kit and True Quant small RNA seq kit by GenXPro. Constructs were amplified by PCR and sequenced on an Illumina Hiseq 2000. Normalization and statistical analysis for differential gene expression were done using DESeq2.&lt;/jats:p&gt;_x000a_               &lt;/jats:sec&gt;_x000a_               &lt;jats:sec&gt;_x000a_                  &lt;jats:title&gt;Results&lt;/jats:title&gt;_x000a_                  &lt;jats:p&gt;Zebrafish larvae showed severe whole-body edema, proteinuria, loss of podocytes and an increased mortality rate after MTZ-treatment. The glomerular histology resembled mammalian FSGS. We found that only the RNA of manually collected glomeruli had an excellent quality. Using RNA_Seq, we identified a total of 16941 genes. DESeq2 analysis showed 494 up-regulated and 473 down-regulated genes. Gene ontology (GO) enrichment analysis of up-regulated genes revealed a total of 167 that are significantly enriched in GO terms (e.g. metabolic processes, immune response and ion transport). Down-regulated genes were enriched in 14 GO terms and most of them are linked to normal glomerular function and the slit diaphragm. DESeq2 analysis identified 200 miRNAs of 777 small RNAs. Some of these miRNA are already described to be regulated in different glomerular diseases like FSGS, lupus nephritis, IgA nephropathy and diabetic nephropathy.&lt;/jats:p&gt;_x000a_               &lt;/jats:sec&gt;_x000a_               &lt;jats:sec&gt;_x000a_                  &lt;jats:title&gt;Conclusion&lt;/jats:title&gt;_x000a_                  &lt;jats:p&gt;We analyzed isolated glomeruli from transgenic zebrafish larvae that developed a FSGS-like disease. By sequencing, we have found mRNAs and miRNAs that were significantly regulated after the onset of disease. Detailed knowledge of these mRNAs and miRNA-based gene regulation will help to uncover the pathomechanism as well as to develop therapeutics for the treatment of FSGS.&lt;/jats:p&gt;_x000a_               &lt;/jats:sec&gt;"/>
    <n v="4392"/>
    <s v="No"/>
    <s v="No"/>
    <s v="Yes"/>
    <s v="Yes"/>
    <s v="No"/>
    <s v="Yes"/>
    <s v="No"/>
    <s v="No problems"/>
    <m/>
    <x v="3"/>
  </r>
  <r>
    <s v="journal-article:None"/>
    <s v="10.1108/jes-07-2019-0311"/>
    <s v="&lt;jats:sec&gt;&lt;jats:title content-type=&quot;abstract-subheading&quot;&gt;Purpose&lt;/jats:title&gt;&lt;jats:p&gt;The paper explores the precarious balance between modernizing monetary systems by means of digital currencies (either issued by the central bank itself or independently) and safeguarding financial stability as also ensured by tangible payment (and saving) instruments like paper money.&lt;/jats:p&gt;&lt;/jats:sec&gt;&lt;jats:sec&gt;&lt;jats:title content-type=&quot;abstract-subheading&quot;&gt;Design/methodology/approach&lt;/jats:title&gt;&lt;jats:p&gt;Which aspects of modern payment systems could contribute to improve the way of functioning of today's globalized economy? And, which might even threaten the above-mentioned instable equilibrium? This survey paper aims, precisely, at giving some preliminary answers to a complex – therefore, ongoing – debate at scientific as well as banking and political levels.&lt;/jats:p&gt;&lt;/jats:sec&gt;&lt;jats:sec&gt;&lt;jats:title content-type=&quot;abstract-subheading&quot;&gt;Findings&lt;/jats:title&gt;&lt;jats:p&gt;The coexistence of State's money (i.e. “legal tender”) and cryptocurrencies can have a disciplining effect on central banks. Nevertheless, there are still high risks connected to the introduction of central bank digital currency, which should be by far not considered to be a perfect substitute of current cash. At the same time, cryptocurrencies issued by central banks might be exposed to the drawbacks of cryptocurrencies without benefiting from correspondingly strong advantages. A well-governed two-tier system to be achieved through innovation in payment infrastructures might be, in turn, more preferable. Regulated competition by new players combined with “traditional” deposits and central bank elements remains essential, although central banks should embrace the technologies underlying cryptocurrencies, because risk payment service providers could move to other currency areas considered to be more appealing for buyers and sellers.&lt;/jats:p&gt;&lt;/jats:sec&gt;&lt;jats:sec&gt;&lt;jats:title content-type=&quot;abstract-subheading&quot;&gt;Research limitations/implications&lt;/jats:title&gt;&lt;jats:p&gt;We do not see specific limitations besides the fact that the following is for sure a broad field of scientific research to be covered, which is at the same time at the origin of ongoing developments and findings. Originality and implications of the paper are, instead, not only represented by its conclusions (which highlight the role of traditional payment instruments and stress why the concept of “money” still has to have specific features) but also by its approach of recent literature's review combined with equally strong logical-analytical insights.&lt;/jats:p&gt;&lt;/jats:sec&gt;&lt;jats:sec&gt;&lt;jats:title content-type=&quot;abstract-subheading&quot;&gt;Practical implications&lt;/jats:title&gt;&lt;jats:p&gt;In the light of these considerations, even the role of traditional payment systems like paper money is by far not outdated or cannot be – at this point, at least – replaced by central bank digital currencies (whose features based on dematerialization despite being issued and guaranteed by a public authority are very different).&lt;/jats:p&gt;&lt;/jats:sec&gt;&lt;jats:sec&gt;&lt;jats:title content-type=&quot;abstract-subheading&quot;&gt;Social implications&lt;/jats:title&gt;&lt;jats:p&gt;No matter which form it might assume is what differentiates economic from barter transactions. This conclusion is by far not tautological or self-evident since the notion of money has historically been a great object of scientific discussion. In the light of increasingly modern payment instruments, there is no question that money and the effectiveness of related monetary policies have to be also explored from a social perspective according to different monetary scenarios, ranging from central bank digital currencies to private currencies and cash restrictions/abolition.&lt;/jats:p&gt;&lt;/jats:sec&gt;&lt;jats:sec&gt;&lt;jats:title content-type=&quot;abstract-subheading&quot;&gt;Originality/value&lt;/jats:title&gt;&lt;jats:p&gt;The originality/value of the following article is represented by the fact that it (1) refers to some of the most relevant and recent contributions to this research field, (2) moves from payment systems in general to their newest trends like cryptocurrencies, cash restrictions (or, even, abolition proposals) and monetary policy while (3) combining all elements to reach a common picture. The paper aims at being a comprehensive contribution dealing with &quot;money&quot; in its broadest but also newest sense.&lt;/jats:p&gt;&lt;/jats:sec&gt;"/>
    <n v="4374"/>
    <s v="No"/>
    <s v="&quot;en&quot;"/>
    <s v="Yes"/>
    <s v="Yes"/>
    <s v="No"/>
    <s v="Yes"/>
    <s v="No"/>
    <s v="No problems"/>
    <m/>
    <x v="3"/>
  </r>
  <r>
    <s v="journal-article:None"/>
    <s v="10.56397/crms.2023.03.15"/>
    <s v="&lt;jats:p&gt;Background: Type 2 diabetes mellitus (T2DM) refers to a metabolic disorder characterized by persistent hyperglycemia. Uncontrolled blood glucose levels over time may lead to serious complications, possibly even death. As an adjunctive treatment for T2DM, increasing numbers of clinical studies have demonstrated that Baduanjin (the Eight Section Brocades)—one of Traditional Asian exercise may effectively control fasting plasma glucose (FPG), glycosylated hemoglobin (HbA1c), and 2h postprandial plasma glucose (P2hPG) as well as blood lipid levels of diabetic patients. However, the primary evidence demonstrating the clinical benefit of Baduanjin exercise in diabetic patients remains insufficient, especially the intervention effect on glucose and lipid metabolism is not fully understood. Objectives: The purpose of this study is to examine the effects of Baduanjin exercise on glucose and lipid metabolism in individuals with type 2 diabetes in randomized controlled trials (RCTs). Methods: Nine electronic databases were searched from the database’s inception until January 31th, 2023, without regard to language constraints (PubMed, Web of Science, Embase, the Cochrane Central Register of Controlled Trials (CENTRAL), Scopus, China National Knowledge Infrastructure (CNKI), Wanfang Data Knowledge Service Platform (WAN FANG), VIP information resource integration service platform (CQVIP) and China Biology Medicine (CBM)). Furthermore, information concerning unpublished or continuing clinical trials was searched within the National Institutes of Health clinical registry Clinical Trials, the International Clinical Trials Registry Platform, and the Chinese Clinical Trials Registry. RCTs that examined the effect of Baduanjin exercise on glucose and lipid metabolism were identified. The primary outcomes of this study were fasting plasma glucose (FPG), 2h postprandial plasma glucose (P2hPG) and glycosylated hemoglobin (HbA1c). The literature was chosen based on inclusion and exclusion criteria, with the Baduanjin exercise serving as the primary method for the experimental group. Selection, data collection and extraction of studies were conducted separately by at least two reviewers, with disagreements resolved through discussion. The mean difference (MD) with a 95% confidence interval (CI) was employed for continuous outcomes. Analysis of data and subgroups, as well as sensitivity analysis, were performed utilizing Review Manager V.5.4.1 (RevMan V.5.4.1) and Stata/MP 17.0. Results: This meta-analysis comprised twenty-six original studies with 1,779 individuals. Glucose metabolism: As a result of the pooled analysis, it demonstrated that combination treatment resulted in a reduction in the HbA1c (MD: -0.73, 95% CI: -0.91 to -0.55, P&amp;lt;0.00001), FPG (MD −1.14, 95% CI −1.38 to −0.90, P&amp;lt;0.00001), P2hPG (MD: -1.22, 95% CI: -1.66 to -0.78, P&amp;lt;0.00001), Homeostasis Model Assessment of Insulin Resistance (HOMA-IR) (MD: -0.59, 95% CI: -1.07 to -0.11, P＝0.02), and Fasting Insulin (FINS) (MD: -2.63, 95% CI: -3.81 to -1.45, P&amp;lt;0.0001). Lipid metabolism: The results revealed that Baduanjin exercise could help T2DM patients improving the level of lipid metabolism, which reduced the level of Total cholesterol (TC) (MD: -0.36, 95% CI: -0.52 to -0.21, P&amp;lt;0.00001), Triglycerides (TG) (MD: -0.56, 95% CI: -0.82 to -0.30, P&amp;lt;0.0001), Low density lipoprotein (LDL-C) (MD: -0.19, 95% CI: -0.29 to -0.10, P＝0.0001) and increased the level of High-density lipoprotein (HDL-C) (MD: 0.11, 95% CI: 0.06 to 0.16, P&amp;lt;0.0001). Simultaneously, the combined findings also demonstrated that the interventions were efficacious in decreasing Body Mass Index (BMI) (MD: -1.14, 95% CI: -1.90 to -0.37, P＝0.004) and Waist-Hip Ratio (WHR) (MD: -0.07, 95% CI: -0.13 to -0.01, P＝0.02). Sensitivity analyses indicated that these results were robust. Conclusions: Current low-quality evidence demonstrated that T2DM patients through Baduanjin exercise could significantly improve the level of glucose and lipid metabolism. The evidence available was insufficient to establish the effects of Baduanjin exercise on T2DM patients. Further high-quality studies are needed to explore its effects of Baduanjin exercise on T2DM patients. Systematic review registration: https://www.crd.york.ac.uk/PROSPERO/display_record.php?Record ID=325538.&lt;/jats:p&gt;"/>
    <n v="4364"/>
    <s v="No"/>
    <s v="&quot;en&quot;"/>
    <s v="Yes"/>
    <s v="Yes"/>
    <s v="No"/>
    <s v="Yes"/>
    <s v="No"/>
    <s v="includes hyperlinks"/>
    <m/>
    <x v="0"/>
  </r>
  <r>
    <s v="journal-article:None"/>
    <s v="10.1098/rspa.2023.0284"/>
    <s v="&lt;jats:p&gt;Ecosystems represent archetypal complex dynamical systems, often modelled by coupled differential equations of the form&lt;jats:disp-formula&gt;&lt;mml:math xmlns:mml=&quot;http://www.w3.org/1998/Math/MathML&quot; display=&quot;block&quot;&gt;&lt;mml:mfrac&gt;&lt;mml:mrow&gt;&lt;mml:mrow&gt;&lt;mml:mi mathvariant=&quot;normal&quot;&gt;d&lt;/mml:mi&gt;&lt;/mml:mrow&gt;&lt;mml:msub&gt;&lt;mml:mi&gt;x&lt;/mml:mi&gt;&lt;mml:mi&gt;i&lt;/mml:mi&gt;&lt;/mml:msub&gt;&lt;/mml:mrow&gt;&lt;mml:mrow&gt;&lt;mml:mrow&gt;&lt;mml:mi mathvariant=&quot;normal&quot;&gt;d&lt;/mml:mi&gt;&lt;/mml:mrow&gt;&lt;mml:mi&gt;t&lt;/mml:mi&gt;&lt;/mml:mrow&gt;&lt;/mml:mfrac&gt;&lt;mml:mo&gt;=&lt;/mml:mo&gt;&lt;mml:msub&gt;&lt;mml:mi&gt;x&lt;/mml:mi&gt;&lt;mml:mi&gt;i&lt;/mml:mi&gt;&lt;/mml:msub&gt;&lt;mml:msub&gt;&lt;mml:mi&gt;ϕ&lt;/mml:mi&gt;&lt;mml:mi&gt;i&lt;/mml:mi&gt;&lt;/mml:msub&gt;&lt;mml:mo stretchy=&quot;false&quot;&gt;(&lt;/mml:mo&gt;&lt;mml:msub&gt;&lt;mml:mi&gt;x&lt;/mml:mi&gt;&lt;mml:mn&gt;1&lt;/mml:mn&gt;&lt;/mml:msub&gt;&lt;mml:mo&gt;,&lt;/mml:mo&gt;&lt;mml:mo&gt;…&lt;/mml:mo&gt;&lt;mml:mo&gt;,&lt;/mml:mo&gt;&lt;mml:msub&gt;&lt;mml:mi&gt;x&lt;/mml:mi&gt;&lt;mml:mi&gt;N&lt;/mml:mi&gt;&lt;/mml:msub&gt;&lt;mml:mo stretchy=&quot;false&quot;&gt;)&lt;/mml:mo&gt;&lt;mml:mo&gt;,&lt;/mml:mo&gt;&lt;/mml:math&gt;&lt;/jats:disp-formula&gt;where&lt;jats:inline-formula&gt;&lt;mml:math xmlns:mml=&quot;http://www.w3.org/1998/Math/MathML&quot;&gt;&lt;mml:mi&gt;N&lt;/mml:mi&gt;&lt;/mml:math&gt;&lt;/jats:inline-formula&gt;represents the number of species and&lt;jats:inline-formula&gt;&lt;mml:math xmlns:mml=&quot;http://www.w3.org/1998/Math/MathML&quot;&gt;&lt;mml:msub&gt;&lt;mml:mi&gt;x&lt;/mml:mi&gt;&lt;mml:mi&gt;i&lt;/mml:mi&gt;&lt;/mml:msub&gt;&lt;/mml:math&gt;&lt;/jats:inline-formula&gt;, the abundance of species&lt;jats:inline-formula&gt;&lt;mml:math xmlns:mml=&quot;http://www.w3.org/1998/Math/MathML&quot;&gt;&lt;mml:mi&gt;i&lt;/mml:mi&gt;&lt;/mml:math&gt;&lt;/jats:inline-formula&gt;. Among these families of coupled differential equations, Lotka–Volterra (LV) equations, corresponding to&lt;jats:disp-formula&gt;&lt;mml:math xmlns:mml=&quot;http://www.w3.org/1998/Math/MathML&quot; display=&quot;block&quot;&gt;&lt;mml:msub&gt;&lt;mml:mi&gt;ϕ&lt;/mml:mi&gt;&lt;mml:mi&gt;i&lt;/mml:mi&gt;&lt;/mml:msub&gt;&lt;mml:mo stretchy=&quot;false&quot;&gt;(&lt;/mml:mo&gt;&lt;mml:msub&gt;&lt;mml:mi&gt;x&lt;/mml:mi&gt;&lt;mml:mn&gt;1&lt;/mml:mn&gt;&lt;/mml:msub&gt;&lt;mml:mo&gt;,&lt;/mml:mo&gt;&lt;mml:mo&gt;…&lt;/mml:mo&gt;&lt;mml:mo&gt;,&lt;/mml:mo&gt;&lt;mml:msub&gt;&lt;mml:mi&gt;x&lt;/mml:mi&gt;&lt;mml:mi&gt;N&lt;/mml:mi&gt;&lt;/mml:msub&gt;&lt;mml:mo stretchy=&quot;false&quot;&gt;)&lt;/mml:mo&gt;&lt;mml:mo&gt;=&lt;/mml:mo&gt;&lt;mml:msub&gt;&lt;mml:mi&gt;r&lt;/mml:mi&gt;&lt;mml:mi&gt;i&lt;/mml:mi&gt;&lt;/mml:msub&gt;&lt;mml:mo&gt;−&lt;/mml:mo&gt;&lt;mml:msub&gt;&lt;mml:mi&gt;x&lt;/mml:mi&gt;&lt;mml:mi&gt;i&lt;/mml:mi&gt;&lt;/mml:msub&gt;&lt;mml:mo&gt;+&lt;/mml:mo&gt;&lt;mml:msub&gt;&lt;mml:mrow&gt;&lt;mml:mo stretchy=&quot;false&quot;&gt;(&lt;/mml:mo&gt;&lt;mml:mi&gt;Γ&lt;/mml:mi&gt;&lt;mml:mrow&gt;&lt;mml:mtext mathvariant=&quot;bold&quot;&gt;x&lt;/mml:mtext&gt;&lt;/mml:mrow&gt;&lt;mml:mo stretchy=&quot;false&quot;&gt;)&lt;/mml:mo&gt;&lt;/mml:mrow&gt;&lt;mml:mi&gt;i&lt;/mml:mi&gt;&lt;/mml:msub&gt;&lt;mml:mo&gt;,&lt;/mml:mo&gt;&lt;/mml:math&gt;&lt;/jats:disp-formula&gt;play a privileged role, as the LV model represents an acceptable trade-off between complexity and tractability. Here,&lt;jats:inline-formula&gt;&lt;mml:math xmlns:mml=&quot;http://www.w3.org/1998/Math/MathML&quot;&gt;&lt;mml:msub&gt;&lt;mml:mi&gt;r&lt;/mml:mi&gt;&lt;mml:mi&gt;i&lt;/mml:mi&gt;&lt;/mml:msub&gt;&lt;/mml:math&gt;&lt;/jats:inline-formula&gt;is the intrinsic growth of species&lt;jats:inline-formula&gt;&lt;mml:math xmlns:mml=&quot;http://www.w3.org/1998/Math/MathML&quot;&gt;&lt;mml:mi&gt;i&lt;/mml:mi&gt;&lt;/mml:math&gt;&lt;/jats:inline-formula&gt;and&lt;jats:inline-formula&gt;&lt;mml:math xmlns:mml=&quot;http://www.w3.org/1998/Math/MathML&quot;&gt;&lt;mml:mi&gt;Γ&lt;/mml:mi&gt;&lt;/mml:math&gt;&lt;/jats:inline-formula&gt;stands for the interaction matrix:&lt;jats:inline-formula&gt;&lt;mml:math xmlns:mml=&quot;http://www.w3.org/1998/Math/MathML&quot;&gt;&lt;mml:msub&gt;&lt;mml:mi&gt;Γ&lt;/mml:mi&gt;&lt;mml:mrow&gt;&lt;mml:mi&gt;i&lt;/mml:mi&gt;&lt;mml:mi&gt;j&lt;/mml:mi&gt;&lt;/mml:mrow&gt;&lt;/mml:msub&gt;&lt;/mml:math&gt;&lt;/jats:inline-formula&gt;represents the effect of species&lt;jats:inline-formula&gt;&lt;mml:math xmlns:mml=&quot;http://www.w3.org/1998/Math/MathML&quot;&gt;&lt;mml:mi&gt;j&lt;/mml:mi&gt;&lt;/mml:math&gt;&lt;/jats:inline-formula&gt;over species&lt;jats:inline-formula&gt;&lt;mml:math xmlns:mml=&quot;http://www.w3.org/1998/Math/MathML&quot;&gt;&lt;mml:mi&gt;i&lt;/mml:mi&gt;&lt;/mml:math&gt;&lt;/jats:inline-formula&gt;. For large&lt;jats:inline-formula&gt;&lt;mml:math xmlns:mml=&quot;http://www.w3.org/1998/Math/MathML&quot;&gt;&lt;mml:mi&gt;N&lt;/mml:mi&gt;&lt;/mml:math&gt;&lt;/jats:inline-formula&gt;, estimating matrix&lt;jats:inline-formula&gt;&lt;mml:math xmlns:mml=&quot;http://www.w3.org/1998/Math/MathML&quot;&gt;&lt;mml:mi&gt;Γ&lt;/mml:mi&gt;&lt;/mml:math&gt;&lt;/jats:inline-formula&gt;is often an overwhelming task and an alternative is to draw&lt;jats:inline-formula&gt;&lt;mml:math xmlns:mml=&quot;http://www.w3.org/1998/Math/MathML&quot;&gt;&lt;mml:mi&gt;Γ&lt;/mml:mi&gt;&lt;/mml:math&gt;&lt;/jats:inline-formula&gt;at random, parameterizing its statistical distribution by a limited number of model features. Dealing with large random matrices, we naturally rely on random matrix theory (RMT). The aim of this review article is to present an overview of the work at the junction of theoretical ecology and large RMT. It is intended to an interdisciplinary audience spanning theoretical ecology, complex systems, statistical physics and mathematical biology.&lt;/jats:p&gt;"/>
    <n v="4362"/>
    <s v="MathML"/>
    <s v="No"/>
    <s v="Yes"/>
    <s v="Yes"/>
    <s v="No"/>
    <s v="Yes"/>
    <s v="No"/>
    <s v="MathML"/>
    <m/>
    <x v="0"/>
  </r>
  <r>
    <s v="journal-article:None"/>
    <s v="10.1088/1755-1315/1293/1/011002"/>
    <s v="&lt;jats:p&gt;_x000a_                  &lt;jats:bold&gt;Type of peer review: Single-blind&lt;/jats:bold&gt;_x000a_               &lt;/jats:p&gt;_x000a_               &lt;jats:p&gt;Single-anonymous: authors' identities are known to the reviewers. Reviewers' identities are hidden from authors&lt;/jats:p&gt;_x000a_               &lt;jats:p&gt;_x000a_                  &lt;jats:bold&gt;Criteria used by Reviewers when accepting/declining papers.&lt;/jats:bold&gt;_x000a_               &lt;/jats:p&gt;_x000a_               &lt;jats:p&gt;(i) &lt;jats:bold&gt;Technical criteria:&lt;/jats:bold&gt; In this criterion the scientific merit; notably scientific rigour, accuracy and correctness considered. Clarity of expression; communication of ideas, readability and discussion of research scope and suitable referencing.&lt;/jats:p&gt;_x000a_               &lt;jats:p&gt;(ii) &lt;jats:bold&gt;Scientific criteria:&lt;/jats:bold&gt; Originality and motivation; all papers should clearly demonstrate the scientific interest of the results. The significant parts of the manuscript should not have been published or being with any sort of plagiarism.&lt;/jats:p&gt;_x000a_               &lt;jats:p&gt;(iii) &lt;jats:bold&gt;Presentation criteria:&lt;/jats:bold&gt; The tittle should be adequate and appropriate for the scope of the article. Same applies the abstract must contain the essential information of the article and complete with a brief elaboration of background, problem scope, results, discussion and conclusion. Moreover, diagrams, figures, tables and captions should be essential and clear. Text and mathematics: Should be briefly and clear.&lt;/jats:p&gt;_x000a_               &lt;jats:p&gt;There are opportunities for authors to resubmit articles after revisions&lt;/jats:p&gt;_x000a_               &lt;jats:p&gt;_x000a_                  &lt;jats:bold&gt;Conference submission management system:&lt;/jats:bold&gt; Submission management system used emails exchanged between authors and Conference Technical Committees. First, Call for Abstracts were announced, and then papers are collected and reviewed. Authors whose abstracts/papers are accepted are prepared for publication and presentation.&lt;/jats:p&gt;_x000a_               &lt;jats:p&gt;◦ &lt;jats:bold&gt;Number of submissions received:&lt;/jats:bold&gt; 90&lt;/jats:p&gt;_x000a_               &lt;jats:p&gt;◦ &lt;jats:bold&gt;Number of submissions sent for review:&lt;/jats:bold&gt; 90&lt;/jats:p&gt;_x000a_               &lt;jats:p&gt;◦ &lt;jats:bold&gt;Number of submissions accepted:&lt;/jats:bold&gt; 34&lt;/jats:p&gt;_x000a_               &lt;jats:p&gt;◦ &lt;jats:bold&gt;Acceptance Rate (Number of Submissions Accepted / Number of Submissions Received X 100):&lt;/jats:bold&gt; 37.7&lt;/jats:p&gt;_x000a_               &lt;jats:p&gt;◦ &lt;jats:bold&gt;Average number of reviews per paper:&lt;/jats:bold&gt; 2&lt;/jats:p&gt;_x000a_               &lt;jats:p&gt;◦ &lt;jats:bold&gt;Total number of reviewers involved:&lt;/jats:bold&gt; 36&lt;/jats:p&gt;_x000a_               &lt;jats:p&gt;Later, another selection process for existing received and accepted papers were carried out again to be published at IOP Proceeding Online. Paper review process were conducted once again in order to refine the selected paper quality to be published online. This further review process was conducted via Morressier paper management system in order to track the reviewing process and to ensure transparency.&lt;/jats:p&gt;_x000a_               &lt;jats:p&gt;_x000a_                  &lt;jats:bold&gt;Additional information on review process and plagiarism check system:&lt;/jats:bold&gt;_x000a_               &lt;/jats:p&gt;_x000a_               &lt;jats:p&gt;◦ Papers were checked and assessed by academic and/or professional reviewer, each with wealth experiences on their own subject field&lt;/jats:p&gt;_x000a_               &lt;jats:p&gt;◦ Authors signed document stating the originality of work in their paper&lt;/jats:p&gt;_x000a_               &lt;jats:p&gt;◦ Conference Technical Committee performed basic checks using tools and guidance from:&lt;/jats:p&gt;_x000a_               &lt;jats:p&gt;▪ Turnitin.com&lt;/jats:p&gt;_x000a_               &lt;jats:p&gt;_x000a_                  &lt;jats:bold&gt;Contact person for queries (after event):&lt;/jats:bold&gt;_x000a_               &lt;/jats:p&gt;_x000a_               &lt;jats:p&gt;_x000a_                  &lt;jats:bold&gt;Suryantini, Dr. Eng.&lt;/jats:bold&gt;_x000a_               &lt;/jats:p&gt;_x000a_               &lt;jats:p&gt;Chairperson 12&lt;jats:sup&gt;th&lt;/jats:sup&gt; IIGW 2023&lt;/jats:p&gt;_x000a_               &lt;jats:p&gt;Geothermal Geologist&lt;/jats:p&gt;_x000a_               &lt;jats:p&gt;Geology Study Program FITB and Geothermal Graduate Study Program FTTM&lt;/jats:p&gt;_x000a_               &lt;jats:p&gt;Institut Teknologi Bandung (ITB)&lt;/jats:p&gt;_x000a_               &lt;jats:p&gt;Email: ninik_suryantini@yahoo.com; suryantini@itb.ac.id&lt;/jats:p&gt;_x000a_               &lt;jats:p&gt;Phone: +62 813 9230 1388&lt;/jats:p&gt;"/>
    <n v="4323"/>
    <s v="No"/>
    <s v="No"/>
    <s v="Yes"/>
    <s v="Yes"/>
    <s v="No"/>
    <s v="Yes"/>
    <s v="No"/>
    <s v="front matter"/>
    <m/>
    <x v="1"/>
  </r>
  <r>
    <s v="journal-article:None"/>
    <s v="10.1093/ehjci/ehaa946.0750"/>
    <s v="&lt;jats:title&gt;Abstract&lt;/jats:title&gt;_x000a_               &lt;jats:sec&gt;_x000a_                  &lt;jats:title&gt;Background&lt;/jats:title&gt;_x000a_                  &lt;jats:p&gt;Mexiletine has been proven effective in shortening the duration of ventricular repolarization and reducing the arrhythmic events in type 3 Long QT Syndrome (LQT3). Initial reports indicate that mexiletine might also be effective in patients with type 2 Long QT Syndrome (LQT2, caused by loss-of-functions variants on KCNH2 gene, coding for HERG potassium channel), but this issue has not been investigated in detail.&lt;/jats:p&gt;_x000a_               &lt;/jats:sec&gt;_x000a_               &lt;jats:sec&gt;_x000a_                  &lt;jats:title&gt;Purpose&lt;/jats:title&gt;_x000a_                  &lt;jats:p&gt;We quantified the electrocardiographic (ECG) effects of mexiletine in a cohort of LQT2 patients.&lt;/jats:p&gt;_x000a_               &lt;/jats:sec&gt;_x000a_               &lt;jats:sec&gt;_x000a_                  &lt;jats:title&gt;Methods&lt;/jats:title&gt;_x000a_                  &lt;jats:p&gt;Twelve-lead ECGs were collected before and after the administration of mexiletine to evaluate the drug's effect on the heart rate-corrected QT interval (QTc). QTc intervals were classified as being (1) at “high-risk” if &amp;amp;gt;500 ms or (2) “normal” if &amp;amp;lt;460 ms, before and after the administration of the drug. KCNH2 variants were defined as (1) trafficking-deficient or (2) non-trafficking-deficient, based on functional studies.&lt;/jats:p&gt;_x000a_               &lt;/jats:sec&gt;_x000a_               &lt;jats:sec&gt;_x000a_                  &lt;jats:title&gt;Results&lt;/jats:title&gt;_x000a_                  &lt;jats:p&gt;We tested the maximum tolerated dose of mexiletine in 20 patients (11 males, 55%), who were 17±16 years old at diagnosis, affected by genetically established LQT2. The mean age at the beginning of mexiletine administration was 23±15 years and the mean daily dose administered was 9±2 mg/kg/day.&lt;/jats:p&gt;_x000a_                  &lt;jats:p&gt;Before mexiletine, the mean QTc interval was 527±53 ms and 10/20 (50%) patients had high-risk QTc values (i.e. QTc &amp;amp;gt;500 ms).&lt;/jats:p&gt;_x000a_                  &lt;jats:p&gt;After mexiletine, the mean QTc interval shortened to 484±47 ms in the overall population (p=0.001). In the majority of patients (18/20, 90%; Figure 1) QTc interval shortened, with a mean shortening of 42±28 ms, and a high-interindividual variability (range of shortening from 86 ms to 8 ms). Just 2 (10%) patients did not show any reduction of the QTc, despite receiving the highest adult dosages of mexiletine in our cohort (up to 10 mg/kg/day).&lt;/jats:p&gt;_x000a_                  &lt;jats:p&gt;As compared to baseline conditions, after mexiletine the proportion of patients with high risk QTc values (&amp;amp;gt;500 ms) decreased non-significantly from 50% to 35% (p=0.52). Furthermore, in only 6/20 (30%) patients the QTc normalized (i.e. QTc &amp;amp;lt;460 ms) after the initiation of treatment.&lt;/jats:p&gt;_x000a_                  &lt;jats:p&gt;The effect of mexiletine was not influenced by gender (p=0.89) or by the functional effect of the KCNH2 mutation (trafficking-deficient vs. non-trafficking-deficient variants, p=0.41).&lt;/jats:p&gt;_x000a_                  &lt;jats:p&gt;The effect of mexiletine in LQT2 patients was inferior to the one previously observed in a cohort of 34 LQT3 patients, who had similar QTc values at baseline and received similar dosages of mexiletine, but showed a significantly higher reduction of the average QTc interval (63±37 ms in LQT3 vs. 42±28 ms in LQT2, p=0.02).&lt;/jats:p&gt;_x000a_               &lt;/jats:sec&gt;_x000a_               &lt;jats:sec&gt;_x000a_                  &lt;jats:title&gt;Conclusions&lt;/jats:title&gt;_x000a_                  &lt;jats:p&gt;Mexiletine induces a reduction of the QTc interval in most LQT2 patients, but many patients remain with high-risk QTc values after receiving the drug. The demonstration that an average QTc shortening of 42 ms is enough to reduce arrhythmic events is necessary, before the introduction of mexiletine in clinical practice for LQT2.&lt;/jats:p&gt;_x000a_                  &lt;jats:p&gt;Figure 1&lt;/jats:p&gt;_x000a_               &lt;/jats:sec&gt;_x000a_               &lt;jats:sec&gt;_x000a_                  &lt;jats:title&gt;Funding Acknowledgement&lt;/jats:title&gt;_x000a_                  &lt;jats:p&gt;Type of funding source: Public grant(s) – National budget only. Main funding source(s): Italian Ministry of Research and University Dipartimenti di Eccellenza 2018–2022 grant to the Molecular Medicine Department (University of Pavia)&lt;/jats:p&gt;_x000a_               &lt;/jats:sec&gt;"/>
    <n v="4306"/>
    <s v="No"/>
    <s v="No"/>
    <s v="Yes"/>
    <s v="Yes"/>
    <s v="No"/>
    <s v="Yes"/>
    <s v="No"/>
    <s v="includes funding acknowledgement"/>
    <m/>
    <x v="5"/>
  </r>
  <r>
    <s v="journal-article:None"/>
    <s v="10.33024/mnj.v4i7.6985"/>
    <s v="&lt;jats:p&gt;ABSTRACT Labor pain is a real thing for pregnant women and will be a very important focus of attention in people's lives. In the labor process, there is a combination of physical processes and emotional experiences for a woman, while one of the psychological factors that influence labor is anxiety and fear of childbirth. 90% of pregnant women who will give birth experience pain during the delivery process. There are two methods used to relieve pain during labor, namely Pharmacological (drugs) and non-pharmacological/natural methods, namely endorphin massage therapy with a combination of Bitrhing ball. The purpose of this study was to determine the effect of endorphin massage therapy with a birthing ball combination on the intensity of labor pain in the first stage of the active phase at BPM Fransina Lae-Laem, Manokwari Regency. This study analyzed the intensity of labor pain after being given ednorphine massage therapy with a birthing ball combination. The type of research is true experimental and randomized pretest-posttest technique with control group design. The sample in this study were mothers who gave birth at BPM Fransina Lae-laem as many as 30 respondents who were divided into 2 groups, namely the intervention group of 15 respondents and the control group of 15 respondents with an analysis of labor pain intensity in women giving birth before and after being given an endorphin massage therapy intervention. birthing ball combination during the first stage of active phase with a duration of therapy of 5-8 minutes. The instrument used is the Visual Analogy Scale (VAS). The data taken are primary data and data analysis using parametric and non-parametric test analysis. The results showed that there were differences in the intensity of labor pain before and after treatment in the intervention group and the control group with p value &amp;lt; value (0.05). so significant in the control group compared to the intervention group. Keywords: Maternal Maternity, Pain Intensity, Endorphin Massage, Birthing                 Ball ABSTRAK Nyeri persalinan merupakan hal yang nyata bagi ibu hamil dan akan menjadi focus perhatian yang sangat penting dalam kehidupan masyarakat. Pada proses persalinan terjadi sebuah kombinasi antara proses fisik dan pegalaman emosisonal bagi seorang perempuan adapun salah satu factor psikis yang mempengaruhi persalinan yaitu rasa cemas dan takut menghadapi persalinan. 90 % ibu hamil yang akan bersalin mengalami rasa nyeri pada saat proses persalinan, Ada dua metode yang dilakukan untuk meringankan rasa nyeri pada saat proses persalinan yaitu metode Farmakologi (obat-obatan) dan non farmakologi/alamiah yaitu dengan terapi endorphine massage kombinasi Bitrhing ball.tujuan penelitian ini yaitu untuk mengetahui Pengaruh terapi endorphine massage kombinasi birthing ball terhadap intensitas nyeri persalinan kala I Fase aktif di BPM Fransina Lae-Laem Kabupaten Manokwari. Penelitian ini melakukan analisis intensitas nyeri persalinan setelah diberikan terapi ednorphine massage kombinasi birthing ball. Jenis penelitian adalah true ekperimental dan teknik randomized pretest-postest with contol group desain. Sampel dalam penelitian ini adalah ibu bersalin yang ada di BPM Fransina Lae-laem sebanyak 30 responden yang dibagi menajdi 2 kelompok yaitu kelompok intervensi sebanyak 15 responden dan kelompok kontrol 15 responden dengan analisis intensitas nyeri persalinan pada ibu bersalin sebelum dan setelah diberikan intervensi terapi endorphine massage kombinasi birthing ball selama kala I Fase aktif dengan durasi terapi 5-8 menit. Intrumen yang digunakan yaitu menggunakan Visual Analogi Scale (VAS). Data yang diambil merupakan data primer dan analisa data menggunakan analisa uji parametric dan non parametric test. Hasil penelitian menunjukan bahwa ada perbedaan intensitas nyeri persalinan sebelum dan sesudah perlakuan pada kelompok intervensi dan kelompok kontrol dengan p value &amp;lt; nilai α (0,05).kesimpulan yaitu terdapat perbedaan intensitas nyeri persalinan baik kelompok intervensi maupun kelompok kontrol dengan perubahan intesitas nyeri yang tidak begitu signifikan pada kelompok kontrol dibandingkan kelompok intervensi. Kata Kunci: Ibu Bersalin, Intensitas Nyeri, Endorphine Massage, Birthing Ball&lt;/jats:p&gt;"/>
    <n v="4295"/>
    <s v="No"/>
    <s v="No"/>
    <s v="Not available"/>
    <s v="Yes"/>
    <s v="No"/>
    <s v="Yes"/>
    <s v="No"/>
    <s v="includes multiple languages"/>
    <s v="two lang in the same &lt;jats:p&gt; element"/>
    <x v="2"/>
  </r>
  <r>
    <s v="journal-article:None"/>
    <s v="10.1158/1538-7445.am2025-2367"/>
    <s v="&lt;jats:title&gt;Abstract&lt;/jats:title&gt;_x000a_               &lt;jats:sec&gt;_x000a_                  &lt;jats:title&gt;Background:&lt;/jats:title&gt;_x000a_                  &lt;jats:p&gt;Image-based features of the normal breast such as mammographic density and background parenchymal enhancement (BPE) on contrast-enhanced breast magnetic resonance imaging (MRI) are independent breast cancer risk factors. Both are associated with estrogen signaling and respond to endocrine therapy. Yet, molecular and cellular mechanisms underlying these risk factors remain unclear. We aimed to investigate such mechanisms with the goal of identifying novel approaches for cancer risk stratification and personalized prevention.&lt;/jats:p&gt;_x000a_               &lt;/jats:sec&gt;_x000a_               &lt;jats:sec&gt;_x000a_                  &lt;jats:title&gt;Methods:&lt;/jats:title&gt;_x000a_                  &lt;jats:p&gt;Single-nucleus RNA sequencing on a 10x Chromium platform was performed on normal human breast tissues from 28 women undergoing prophylactic mastectomies (n = 11), lumpectomies (n = 10), or mastectomies for breast cancer (n = 7) who consented to our biobanking protocol. Differences in cell composition and signaling pathways between individuals with different breast densities and BPE levels were determined. Additionally we assessed estrogen responsiveness in patient-derived organoid (PDOs) from women with different levels of BPE using qRT-PCR. Evaluation of immune infiltration as potential mediator of BPE is underway using immunofluorescence and spatial transcriptomics.&lt;/jats:p&gt;_x000a_               &lt;/jats:sec&gt;_x000a_               &lt;jats:sec&gt;_x000a_                  &lt;jats:title&gt;Results:&lt;/jats:title&gt;_x000a_                  &lt;jats:p&gt;12, 377 nuclei from 28 women were analyzed, including 16 with low (minimal or mild) and 12 with high (moderate or marked) BPE levels on MRI, and 5 cases with not dense and 23 with dense breasts on mammography. All main breast epithelial and stromal cell types were represented in our data. We observed great heterogeneity in cell composition between patients. Samples from BPE-high patients contained luminal secretory cells with reduced expression of differentiation markers and luminal hormone sensing cells with higher expression of estrogen response genes like PGR and GREB1. In agreement with this, we observed increased response to estrogen signaling in PDOs from high (n = 5) versus low BPE cases (n = 5). Moreover, luminal cells from BPE-high samples expressed significantly higher levels of CD74 which has been correlated with immune infiltration in cancer. Supporting this, interactions between luminal cells with macrophages via CD74 and APP/COPA were predicted in BPE-high but not in low samples. Comparing samples with distinct mammographic densities, we observed a higher proportion of luminal secretory cells, basal cells, and fibroblasts in patients with high mammographic densities suggesting that distinct mechanisms mediate BPE levels and breast density.&lt;/jats:p&gt;_x000a_               &lt;/jats:sec&gt;_x000a_               &lt;jats:sec&gt;_x000a_                  &lt;jats:title&gt;Conclusions:&lt;/jats:title&gt;_x000a_                  &lt;jats:p&gt;Our findings indicate that BPE is influenced by two distinct mechanisms: estrogen-mediated changes in cellular composition and chronic inflammation, both potentially increasing breast cancer susceptibility. Understanding the basis of modifiable breast cancer risk factors will enable risk stratification and personalized treatment, ultimately reducing breast cancer incidence in high-risk populations.&lt;/jats:p&gt;_x000a_               &lt;/jats:sec&gt;_x000a_               &lt;jats:sec&gt;_x000a_                  &lt;jats:title&gt;Citation Format:&lt;/jats:title&gt;_x000a_                  &lt;jats:p&gt;Nadine Goldhammer, Marin Bont, Michael Choi, Shruti Warhadpande, Heather Greenwood, Soumi Gottipati, Tam Binh Bui, Michael Bruck, Shoko Emily Abe, Michael Alvarado, Cheryl Ewing, Karen Goodwin, Rita Mukhtar, Jasmine Wong, Laura van't Veer, Nola Hylton, Laura J. Esserman, Jennifer M. Rosenbluth. Changes in breast hormone signaling and inflammation underlie radiologic features of cancer risk [abstract]. In: Proceedings of the American Association for Cancer Research Annual Meeting 2025; Part 1 (Regular Abstracts); 2025 Apr 25-30; Chicago, IL. Philadelphia (PA): AACR; Cancer Res 2025;85(8_Suppl_1):Abstract nr 2367.&lt;/jats:p&gt;_x000a_               &lt;/jats:sec&gt;"/>
    <n v="4251"/>
    <s v="No"/>
    <s v="No"/>
    <s v="Yes"/>
    <s v="Yes"/>
    <s v="No"/>
    <s v="Yes"/>
    <s v="No"/>
    <s v="includes full citation format in the metadata"/>
    <m/>
    <x v="1"/>
  </r>
  <r>
    <s v="journal-article:None"/>
    <s v="10.1515/jom-2024-0079"/>
    <s v="&lt;jats:title&gt;Abstract&lt;/jats:title&gt;_x000a_               &lt;jats:sec id=&quot;j_jom-2024-0079_abs_102&quot;&gt;_x000a_                  &lt;jats:title&gt;Context&lt;/jats:title&gt;_x000a_                  &lt;jats:p&gt;Urinary incontinence (UI) in the powerlifting community has been a hot topic due to its noticeability during competition and the burden it places on female athletes who experience it. UI is even experienced in those we least expect: young, high-performing, females with no history of pregnancy. Current studies have utilized primarily survey methodology, thus there is a lack of clinical information on this topic. Furthermore, the top athletes are underrepresentedbecause previous surveys were open to anyone reporting themselves as a powerlifter, regardless of competition level.&lt;/jats:p&gt;_x000a_               &lt;/jats:sec&gt;_x000a_               &lt;jats:sec id=&quot;j_jom-2024-0079_abs_002&quot;&gt;_x000a_                  &lt;jats:title&gt;Objectives&lt;/jats:title&gt;_x000a_                  &lt;jats:p&gt;The objectives of this study were to determine whether UI in elite female powerlifters is correlated with any musculoskeletal diagnoses and to further evaluate potentially contributing factors for UI within this group.&lt;/jats:p&gt;_x000a_               &lt;/jats:sec&gt;_x000a_               &lt;jats:sec id=&quot;j_jom-2024-0079_abs_003&quot;&gt;_x000a_                  &lt;jats:title&gt;Methods&lt;/jats:title&gt;_x000a_                  &lt;jats:p&gt;Subjects underwent an osteopathic structural examination and then completed two surveys: the Incontinence Severity Index (ISI/Sandvik Test for Urinary Incontinence) and the Study Questionnaire.&lt;/jats:p&gt;_x000a_               &lt;/jats:sec&gt;_x000a_               &lt;jats:sec id=&quot;j_jom-2024-0079_abs_004&quot;&gt;_x000a_                  &lt;jats:title&gt;Results&lt;/jats:title&gt;_x000a_                  &lt;jats:p&gt;In total, there were 31 female participants, all of whom were in the top 2 % of powerlifters in the world between the ages of 20 and 30  years old (as of May 21, 2023) and reside in the United States. The survey results displayed a moderately positive relationship between age (rho=0.449, where rho refers to Spearman’s rho), history of pelvic floor examination (rho=0.413), and self-care practice with ISI (rho=0.340). Other survey information such as weight class, height, best total in competition, number of years training, average duration of training day, confidence in ability to contract pelvic floor muscles, history of abdominal or pelvic surgery, history of urinary tract infection (UTI), and sexual activity status all had rho values less than 0.300. With atlantoaxial (AA) rotation to the right, there was an increase in ISI score (p=0.009). Similarly, with AA rotation to the left, there was a decrease in ISI score (p=0.030). All patients with severe ISI had nonphysiologic sacral dysfunctions (p=0.051). Severe ISI-scored participants were more likely to yield a dysfunctional clavicle upon screening (p=0.027). There was a strong correlation between increasing severity of UI and findings of a restricted right clavicle and/or AA rotation to the right (p=0.010). In addition, there were only two individuals with both a restricted right clavicle and AA rotation to the right, and these two individuals both scored severe on the ISI (p=0.012). A pelvic diaphragm dysfunction was present in 74.2 % of the participants. Extension diagnoses of the lumbar spine were found in those with mild UI over those with severe UI (p=0.012). Most other diagnoses were largely unremarkable due to a wide distribution across all ISI scores.&lt;/jats:p&gt;_x000a_               &lt;/jats:sec&gt;_x000a_               &lt;jats:sec id=&quot;j_jom-2024-0079_abs_005&quot;&gt;_x000a_                  &lt;jats:title&gt;Conclusions&lt;/jats:title&gt;_x000a_                  &lt;jats:p&gt;Our study revealed a relationship between UI and somatic dysfunctions in this population. These findings may help providers, especially in the fields of primary care, sports medicine, and urogynecology, to expand treatment options for UI in this group in the future. Survey results yielded a positive relationship of moderate strength between age, history of pelvic floor exination, and engaging in leakage prevention practices with ISI. No survey category was found to have a relationship of high strength with ISI. These findings contribute to our knowledge on factors that do (or do not) contribute to incontinence severity.&lt;/jats:p&gt;_x000a_               &lt;/jats:sec&gt;"/>
    <n v="4244"/>
    <s v="No"/>
    <s v="No"/>
    <s v="Yes"/>
    <s v="Yes"/>
    <s v="No"/>
    <s v="Yes"/>
    <s v="Yes"/>
    <s v="U+202F Zero break space from general punc"/>
    <s v="U+202F Zero break space from general punc"/>
    <x v="0"/>
  </r>
  <r>
    <s v="journal-article:None"/>
    <s v="10.33145/2304-8336-2022-27-353-362"/>
    <s v="&lt;jats:p&gt;Radiation therapy (RT) is the main type of antitumor treatment in inoperable patients. Low awareness and fear of the development of radiation reactions contributes to the destabilization of psycho-emotional state of patients, which can result in withdrawal from treatment and deterioration of their quality of life (QOL). Despite a steady increase in cancer rates in Ukraine, there are currently no studies to develop measures to improve psychological condition of patients undergoing treatment in radiation therapy departments. Objective: to assess the dynamics of psycho-emotional status and QOL of cancer patients at the stage of radiation therapy. Materials and methods. The study involved psychodiagnostic examination of 66 cancer patients who underwent radiation treatment in the clinic of the State Organization «Grigoriev Institute for Medical Radiology and Oncology of the NAMS of Ukraine», of whom Group 1 included 44 patients with head and neck cancer, Group 2 comprised 22 patients with colorectal cancer. Comparison group comprised 30 conditionally «healthy» respondents without cancer. All patients had stage III–IV cancer. The study implied the employment of «Distress Thermometer», Hospital Anxiety and Depression Scale (HADS), and the SF-36 Questionnaire (Short Form). The examination was performed before and following the course of radiation therapy. Group 1 patients underwent only psychodiagnostic examination, Group 2 patients apart from psychodiagnostic were accompanied by a psychologist before undergoing radiation procedures. In the comparison group, the survey was conducted once. Results and discussion. Assessment of the data showed that before the start of RT most subjects (72.73 % in Group 1 and 77.3 % in Group 2) had a high level of distress, they were worried and nervous before the first radiation procedure, had fears about the consequences and side effects. The level of anxiety in Group 1 at the pathological and subclinical level was recorded in 54.55 % of patients, the rate of depression at the subclinical level was diagnosed in 18.20 %, and in 9.10 % of patients at the clinical one. In Group 2, the level of anxiety that exceeded the norm was recorded significantly less often (27.25 % vs. 54.55 %, pt ≤ 0.05), and the rate of depression at the subclinical level was diagnosed significantly more often than in Group 1 (54.50 % vs. 18.20 %, pt ≤ 0.05), and in 18.2 % of patients at the clinical level. After radiation, 81.81 % of Group 1 patients showed an increase in distress and anxiety, and depressive symptoms tended to worsen. The level of distress in Group 2 after consulting a psychologist in preparation for RT and undergoing radiation procedures decreased almost twice, the level of anxiety decreased to normal, the indicators of depressive symptoms remained unchanged. According to QOL assessments on the scales of physical and role functioning (PF and RP), general health (GH) and mental health (MH), patients in both groups had significantly lower scores before the RT than in the comparison groups. After the procedures, there was a significant deterioration in the RP scale in Group 1 (18.75 vs. 40.00, pt ≤ 0.05), and an improvement of almost 2 times in Group 2 (35.73 vs. 68.33, pt ≤ 0.06). The indicator of general health (GH) at the end of RT in Group 1 did not change, and in Group 2 it tended to improve (20.93 vs. 47.26, pt ≤ 0.06). Life expectancy (LE) in Group 1 tended to decrease further after treatment, having increased 1.7 times in Group 2.0 Conclusions. The study showed that cancer patients before the onset of RT experienced a rather strong distress and level of anxiety. Psychological correction of the emotional state at the beginning of treatment allowed for a significant improvement in the QOL of patients on the scales of role physical functioning (RF) and vitality (VT). An important area of work of a clinical psychologist at this stage of treatment involved correction of cognitive sphere, support of role functioning and formation of behavior aimed at further treatment. Key words: oncology, radiation therapy, quality of life, psychological stress, distress, patients with colorectal cancer, patients with head and neck cancer.&lt;/jats:p&gt;"/>
    <n v="4231"/>
    <s v="No"/>
    <s v="&quot;en&quot;"/>
    <s v="Yes"/>
    <s v="No"/>
    <s v="No"/>
    <s v="Yes"/>
    <s v="No"/>
    <s v="article version includes two languages"/>
    <s v="&quot;uk&quot; and &quot;en&quot; in article, but only &quot;en&quot; in metadata"/>
    <x v="4"/>
  </r>
  <r>
    <s v="journal-article:None"/>
    <s v="10.25683/volbi.2020.53.475"/>
    <s v="&lt;jats:p&gt;Статья посвящена вопросам совершенствования профессионального мастерства педагогов среднего профессионального образования. В рамках статьи рассматриваются пути совершенствования профессиональной подготовленности преподавателей с использованием элементов информационно насыщенной образовательной среды. Целью исследования является определение влияния информационно насыщенной образовательной среды на профессиональное мастерство педагога среднего профессионального образования. В основу исследования легло изучение трудов российских и зарубежных ученых. В статье мы говорим о целенаправленном внедрении в процесс работы с педагогами среднего профессионального образования в рамках развития их профессионального мастерства элементов неформального и информального образования на основе применения Интернет-ресурсов. В контексте исследуемой проблемы утверждаем, что механизмом совершенствования профессионального мастерства педагогов среднего профессионального образования в информационно насыщенной образовательной среде является выстраивание каждым педагогом персонального развивающего пространства, учитывающего как потребности государства, цели образовательной организации СПО, ресурсы информационно насыщенной образовательной среды организации, так и индивидуальные задачи и потребности личности. В связи с этим мы определяем в исследовании персональную развивающую среду педагога СПО как комплекс ценностных установок и целеполагания самого педагога; ресурсов, инструментов и услуг, технологически, информационно, коммуникативно и т. п. востребованных, организованных и обеспечиваемых субъектами образовательного процесса в целях непрерывного профессионального совершенствования мастерства педагогов. Применительно к исследуемой проблеме мы можем утверждать, что информационно насыщенная образовательная среда является не только условием, но и механизмом реализации персональной траектории профессионального и личностного роста педагога. Этот вывод основан на данных эксперимента, в ходе которого была подтверждена динамика сформированности компонентов профессионального мастерства.&lt;/jats:p&gt;_x000a_                                                                                                            &lt;jats:p&gt;The article concentrates on the questions of vocational training teacher’s professional skills development. In the frame of our article we examined the ways of teachers’ professional preparedness development by using the elements of informationally rich educational environment. The goal of our research is to define the influence of informationally rich educational environment on the vocational training teacher’s skills. Our research is based on the works of many Russian and foreign scientists. The theme of our article is the purposeful introduction of the elements of non-formal and informal education on the basis of using the Internet resources in the process of professional education teachers’ skills development. In the frame of the problem being researched we maintain that every professional education teacher’s forming of personal developing area is the device of their professional skills development in the informationally rich educational environment. This personal developing area considers the needs of our state, the purposes of the secondary vocational education establishment, the resources of the informationally rich educational environment of the establishment, and the personal needs and tasks. In connection with this we define the vocational training teacher’s personal developing area as the combination of teacher’s values and goal definition, resources, instruments and services that are technologically, informationally, communicatively demanded, organized and provided by the subjects of educational process for the purposes of the continuous professional teachers’ skills development. In the frame of the problem being researched we can say that informationally rich educational environment is not only the condition but the device of realization in the process of teacher’s way of professional and personal growth choosing. This conclusion was based on the data of the experiment which had proved the dynamics of the professional skills components’ formation.&lt;/jats:p&gt;"/>
    <n v="4221"/>
    <s v="No"/>
    <s v="No"/>
    <s v="Not available"/>
    <s v="Yes"/>
    <s v="No"/>
    <s v="Yes"/>
    <s v="Yes"/>
    <s v="includes multiple languages"/>
    <s v="&quot;ru&quot; and &quot;en&quot; included in the same abstract metadata element; latin and cyrillinc;"/>
    <x v="2"/>
  </r>
  <r>
    <s v="journal-article:None"/>
    <s v="10.25557/0031-2991.2021.01.52-59"/>
    <s v="&lt;jats:p&gt;Введение. Препараты разной структуры - углеводной, пептидной, белковой оказывают значительный противосвертывающий эффект в кровотоке с одновременным улучшением углеводного обмена. Цель - изучение в сравнительном аспекте влияния препаратов разной структуры (пептида, производного диоксикумарина и ацетилсалициловой кислоты -АСК) на свертывание крови, изменение углеводного обмена при интрагастральном способе их введении крысам. Методика. Использовались стандартные коагулологические методы и способы определения уровня глюкозы крови крыс. Каждый из препаратов (пептид Lys-Arg-Arg-Lys-Pro-Gly-Pro, варфарин и АСК) вводили лабораторным крысам Wistar интрагастрально в эффективной дозе (100 мкг/кг - пептид и варфарин и 1 мг/кг - АСК) в течение 7 сут на фоне развития метаболического синдрома, индуцируемого высококалорийной диетой (ВКД). Определения производили через 20 и 168 ч после последнего введения препаратов при продолжающемся постоянном кормлении крыс ВКД. Результаты. Установлено, что как через 20 ч, так и через 168 ч после последнего введения пептида и АСК агрегация тромбоцитов имела тенденцию к снижению и составляла 72-76% (через 20 ч) и 81-66,7% (через 168 ч); фибринолиз статистически значимо повышался при действии пептида на 61-180%, АСК - на 15-41%, варфарина - на 14-34%; активированное частичное тромбопластиновое время значимо удлинялось под влиянием пептида и варфарина на 24-52 и 31-52% соответственно; свертывание крови по тесту протромбинового времени снижалось только под влиянием варфарина (на 12.3%); уровень глюкозы крови нормализовался под влиянием всех использованых препаратов и составлял 4,9-6,5 ммоль/л против 8.1-8.8 ммоль/л при метаболическом синдроме. Заключение. При сравнении действия пептида, варфарина и АСК установлены гипокоагуляционные и гипогликемические эффекты в разной степени. Максимальным антикоагулянтным и фибринолитическим действием обладал пептид; варфарин проявлял антикоагулянтное действие только по тесту протромбиновое время, ацетилсалициловая кислота обладала антитромбоцитарным и фибриндеполимеризационным действием.&lt;/jats:p&gt;_x000a_                                                                                            &lt;jats:p&gt;Drugs with different structure, carbohydrates, peptides, and proteins, can produce a significant anticoagulation effect and simultaneously improve carbohydrate metabolism. The aim of this study was to compare effects of drugs with different structure, a peptide, a dioxicoumarin derivative, and acetylsalicylic acid (ASA), on coagulation and changes of carbohydrate metabolism in intragastric administration to rats. Methods. Standard methods for studying coagulation and measuring blood glucose in rats were used. Each of the study drugs (Lys-Arg-Arg-Lys-Pro-Gly-Pro peptide, warfarin, and ASA) was administered to Wistar rats intragastrically at an effective dose (100 mcg/kg for the peptide and warfarin and 1 mg/kg for ASA) for 7 days during the development of metabolic syndrome (MS) induced by a high-calorie diet (HCD). Measurements were performed at 20 and 168 h after the last administration of the drugs with continuing HCD. Results. Both at 20 and 168 h after the last administration of the peptide and ASA, platelet aggregation showed a tendency to a decrease and was 72-76% (at 20 h) and 81-66.7% (at 168 h); fibrinolysis significantly increased under the action of the peptide, ASA, and warfarin by 61-180%, 15-41%, and 14-34%, respectively. Activated partial thromboplastin time significantly increased under the action of the peptide and warfarin by 24-52% and 31-52%, respectively; blood clotting as estimated in the prothrombin time test decreased only under the action of warfarin by 12.3%; blood glucose returned to a normal level under the action of each of the three study drugs and was 4.9-6.5 mmol/l vs. 8.1-8.8 mmol/l in MS. Conclusion. The peptide, warfarin, and ASA produced different degrees of the anticoagulation and hypoglycemic effects. The peptide had the strongest anticoagulation and fibrinolytic effects, warfarin produced an anticoagulant effect only according to the prothrombin time test, and acetylsalicylic acid exerted both antiplatelet and fibrin-depolymerizing effects.&lt;/jats:p&gt;"/>
    <n v="4216"/>
    <s v="No"/>
    <s v="No"/>
    <s v="Yes"/>
    <s v="Yes"/>
    <s v="No"/>
    <s v="Yes"/>
    <s v="Yes"/>
    <s v="includes multiple languages"/>
    <s v="&quot;ru&quot;  and &quot;en&quot; in separate &lt;jats:p&gt; elements; latin and cyrillic"/>
    <x v="2"/>
  </r>
  <r>
    <s v="journal-article:None"/>
    <s v="10.1158/1538-7445.sabcs21-p5-13-26"/>
    <s v="&lt;jats:title&gt;Abstract&lt;/jats:title&gt;_x000a_               &lt;jats:p&gt;Importance. Neoadjuvant therapy with dual HER2 blockade improved pathological complete response (pCR) rate. Nevertheless, it would be desirable to identify patients exquisitely responsive to single agent trastuzumab to minimize or avoid overtreatment. Objective. To evaluate the predictive and prognostic value of basal primary tumor miRNA expression profile within the trastuzumab arm of the NeoALTTO study.Design, Setting and Participants. RNA samples from baseline biopsies were randomized into training (n =45) and testing (n =47) sets. After normalization, miRNAs associated with Event-free survival (EFS) and pCR were identified by univariate analysis. Multivariate models were implemented to generate specific signatures which were first confirmed, and then analyzed according to other clinical and pathological variables.Main outcomes and measures. Association between miRNA expression and pCR and/or EFS.Results. We identified a prognostic signature including hsa-miR-153-3p (HR 1.831, 95%CI: 1.34-2.50) and hsa-miR-219a-5p (HR 0.629, 95%CI: 0.50 - 0.78). For two additional miRNAs (miR-215-5p and miR-30c-2-3p), we found a statistically significant interaction term with pCR (p.interaction: 0.017 and 0.038, respectively). Besides, a two-miRNA signature was predictive of pCR (hsa-miR-31-3p, OR 0.70, 95%CI: 0.53 - 0.92, and hsa-miR-382-3p, OR: 1.39, 95%CI: 1.01 -1.91). Notably, the performance of this predictive miRNA signature resembled that of the genomic classifiers PAM50 and TRAR, and did not improve when the extended models were fitted.Conclusions and relevance. Analysis of primary tumor tissue miRNAs holds the potential of a parsimonious tool to identify patients with differential clinical outcomes after trastuzumab based neoadjuvant therapy. Trial registration. ClinicalTrials.gov Identifier: NCT00553358.&lt;/jats:p&gt;_x000a_               &lt;jats:p&gt;Table 1.MiRNAs associated with EFS. Results of the univariate Cox regression model- training set.miRNAsHR95% CIhsa-miR-12000.671(0.512; 0.879)ahsa-miR-1238-3p0.669(0.543; 0.826)ahsa-miR-12650.839(0.705; 0.997)ahsa-miR-129-5p0.785(0.628; 0.980)ahsa-miR-153-3p1.412(1.026; 1.943)ahsa-miR-15390.826(0.697; 0.979)ahsa-miR-1908-5p0.796(0.648; 0.978)ahsa-miR-205-5p0.737(0.553; 0.982)hsa-miR-219a-5p0.787(0.627; 0.989)ahsa-miR-25-5p0.566(0.391; 0.819)ahsa-miR-3000.581(0.399; 0.845)ahsa-miR-382-3p0.791(0.636; 0.985)ahsa-miR-4920.774(0.635; 0.944)ahsa-miR-519a-3p0.834(0.696; 0.998)ahsa-miR-551b-5p0.666(0.452; 0.981)ahsa-miR-5830.727(0.549; 0.963)ahsa-miR-6001.373(1.03; 1.829)ahsa-miR-6260.819(0.673; 0.998)ahsa-miR-651-5p0.611(0.382; 0.977)hsa-miR-7610.845(0.721; 0.991)ahsa-miR-891b0.658(0.479; 0.904)ahsa-miR-92a-2-5p0.787(0.637; 0.971)ahsa-miR-937-3p0.748(0.578; 0.967)aHR, Hazard Ratio; CI, Confidence Intervala microRNAs retained its statistically significance (at 10%) also when normalized for the overall mean.&lt;/jats:p&gt;_x000a_               &lt;jats:p&gt;Table 2.MiRNAs associated with pCR. Results of the univariate logistic model - training set.miRNAsOR95% CIhsa-miR-132-3p0.410(0.169; 0.991)ahsa-miR-23b-5p0.520(0.316; 0.856)ahsa-miR-31-3p0.566(0.351; 0.912)ahsa-miR-31-5p0.508(0.291; 0.887)ahsa-miR-330-3p0.501(0.251; 0.999)hsa-miR-34b-3p0.673(0.474; 0.956)ahsa-miR-382-3p1.392(1.006; 1.925)ahsa-miR-548j-5p1.702(1.090; 2.658)aOR, Odds Ratio; CI, Confidence Interval. a microRNAs retained its statistically significance (at 10%) also when normalized for the overall mean. 2&lt;/jats:p&gt;_x000a_               &lt;jats:p&gt;Citation Format: Marilena Valeria Iorio, Sara Pizzamiglio, Giulia Cosentino, Chiara M Ciniselli, Loris De Cecco, Alessandra Cataldo, Ilaria Plantamura, Tiziana Triulzi, Sarra El-abed, Yingbo Wang, Mohammed Bajji, Paolo Nuciforo, Jens Huober, Susan Ellard, David Rimm, Andrea Gombos, Mariagrazia Daidone, Paolo Verderio, Elda Tagliabue, Serena Di Cosimo. The future of HER2-positive breast cancer patients might be written in miRNAs: An exploratory analysis from the NeoALTTO study [abstract]. In: Proceedings of the 2021 San Antonio Breast Cancer Symposium; 2021 Dec 7-10; San Antonio, TX. Philadelphia (PA): AACR; Cancer Res 2022;82(4 Suppl):Abstract nr P5-13-26.&lt;/jats:p&gt;"/>
    <n v="4196"/>
    <s v="No"/>
    <s v="No"/>
    <s v="Yes"/>
    <s v="Not available"/>
    <s v="No"/>
    <s v="Yes"/>
    <s v="No"/>
    <s v="includes tables; includes full citation format in the metadata"/>
    <m/>
    <x v="1"/>
  </r>
  <r>
    <s v="journal-article:None"/>
    <s v="10.23939/semi2023.01.073"/>
    <s v="&lt;jats:p&gt;Objective. The purpose of this work is to present the results of the study of the Ukrainian honey market, to analyze the factors of formation of the production and marketing potential of the honey market in Ukraine during the period of disturbances, to systematize the characteristics of bee breeds in the context of biodiversity analysis in the context of environmental genocide and to develop directions for the conservation and restoration of biodiversity in order to preserve the production and marketing potential of the honey market in Ukraine.  Design/methodology/approach. The research on honey market conditions included various methods such as synthesis and analysis, comparison, and scientific generalization. Statistical methods were also utilized to evaluate the structure and dynamics of the market, and data from different sources such as the State Fiscal Service of Ukraine, the Food and Agriculture Organization of the United Nations FAOSTAT, and the State Statistics Service of Ukraine were collected and analyzed.  Conclusions. The impact of the disturbances has significantly affected the production and sales potential of the honey market and has exacerbated the need to address a number of pressing sectoral and macro-level issues. The main factors influencing the production and demand for beekeeping products at the industry level are the following: a 9.2 % increase in the number of bee colonies in 2016–2019, favorable weather conditions, the use of branding to promote the demand for a wide range of honey and its derivatives, the development of logistics and e-commerce (which have a positive trend). The main factors of macro-influence are the impact of disturbances, such as the spread of the pandemic, which stimulated a sharp increase in consumption in the domestic and foreign honey markets, as well as the signing of the EU-Ukraine Association Agreement in terms of increasing honey export quotas (with a 0 % duty rate on honey (which contributes to the development of the industry). The war in Ukraine in 2022 will have a negative impact on the beekeeping sector, given the concentration of a large share of producers in the combat zone, losses of apiaries and bee colonies, threats to biodiversity due to the environmental crisis in the temporarily occupied territories, theft of products in distribution centers and retail chains.   Practical implications. The results of the study are of interest to both honey market participants, such as organized apiaries and private beekeepers, and related industries: farms and agroholdings for growing honey crops and other producers of honey crops who are interested in implementing regional logistics systems in the beekeeping sector based on clustering, cooperation and other forms of cooperation; cooperation of honey producers, retail chains and intermediary organizations in the field of honey marketing who are interested in developing the honey market on the basis of marketing. The proposals for the development of the production and marketing potential of enterprises in the honey market are also of interest to the NGO “Association of Beekeepers of Ukraine” and the NGO “Union of Beekeepers of Ukraine”, which are proposed to register beekeepers in accordance with the Map of Breeding Apiaries of Ukraine, and to regulate the use of the honey base, maintaining an accounting system, forming a marketing system, controlling the import-export of honey, planning the development strategy of the industry, registering clusters of beekeeping communities, providing incentives for the introduction of modern technologies and innovations in honey production, and promoting job creation in the field of beekeeping.  Originality/value. The results of the analysis and the contribution of biodiversity in the beekeeping sector to the preservation of the production and marketing potential of the honey market in Ukraine are presented. The state and development trends of the Ukrainian honey market are analyzed, the factors influencing its development in the face of disturbances are identified. The SWOT-analysis of the Ukrainian honey market in the conditions of disturbances is carried out.&lt;/jats:p&gt;"/>
    <n v="4189"/>
    <s v="No"/>
    <s v="&quot;en&quot;"/>
    <s v="Yes"/>
    <s v="No"/>
    <s v="No"/>
    <s v="Yes"/>
    <s v="No"/>
    <s v="article version includes two languages"/>
    <s v="&quot;uk&quot; and &quot;en&quot; in article, but only &quot;en&quot; in metadata"/>
    <x v="4"/>
  </r>
  <r>
    <s v="journal-article:None"/>
    <s v="10.1017/s0004972724000819"/>
    <s v="&lt;jats:title&gt;Abstract&lt;/jats:title&gt;&lt;jats:p&gt;Let&lt;jats:italic&gt;p&lt;/jats:italic&gt;be a prime number. Let&lt;jats:inline-formula&gt;&lt;jats:alternatives&gt;&lt;jats:inline-graphic xmlns:xlink=&quot;http://www.w3.org/1999/xlink&quot; mime-subtype=&quot;png&quot; xlink:href=&quot;S0004972724000819_inline1.png&quot;/&gt;&lt;jats:tex-math&gt;$n\geq 2$&lt;/jats:tex-math&gt;&lt;/jats:alternatives&gt;&lt;/jats:inline-formula&gt;be an integer given by&lt;jats:inline-formula&gt;&lt;jats:alternatives&gt;&lt;jats:inline-graphic xmlns:xlink=&quot;http://www.w3.org/1999/xlink&quot; mime-subtype=&quot;png&quot; xlink:href=&quot;S0004972724000819_inline2.png&quot;/&gt;&lt;jats:tex-math&gt;$n = p^{m_1} + p^{m_2} + \cdots + p^{m_r}$&lt;/jats:tex-math&gt;&lt;/jats:alternatives&gt;&lt;/jats:inline-formula&gt;, where&lt;jats:inline-formula&gt;&lt;jats:alternatives&gt;&lt;jats:inline-graphic xmlns:xlink=&quot;http://www.w3.org/1999/xlink&quot; mime-subtype=&quot;png&quot; xlink:href=&quot;S0004972724000819_inline3.png&quot;/&gt;&lt;jats:tex-math&gt;$0\leq m_1 &amp;lt; m_2 &amp;lt; \cdots &amp;lt; m_r$&lt;/jats:tex-math&gt;&lt;/jats:alternatives&gt;&lt;/jats:inline-formula&gt;are integers. Let&lt;jats:inline-formula&gt;&lt;jats:alternatives&gt;&lt;jats:inline-graphic xmlns:xlink=&quot;http://www.w3.org/1999/xlink&quot; mime-subtype=&quot;png&quot; xlink:href=&quot;S0004972724000819_inline4.png&quot;/&gt;&lt;jats:tex-math&gt;$a_0, a_1, \ldots , a_{n-1}$&lt;/jats:tex-math&gt;&lt;/jats:alternatives&gt;&lt;/jats:inline-formula&gt;be integers not divisible by&lt;jats:italic&gt;p&lt;/jats:italic&gt;. Let&lt;jats:inline-formula&gt;&lt;jats:alternatives&gt;&lt;jats:inline-graphic xmlns:xlink=&quot;http://www.w3.org/1999/xlink&quot; mime-subtype=&quot;png&quot; xlink:href=&quot;S0004972724000819_inline5.png&quot;/&gt;&lt;jats:tex-math&gt;$K = \mathbb Q(\theta )$&lt;/jats:tex-math&gt;&lt;/jats:alternatives&gt;&lt;/jats:inline-formula&gt;be an algebraic number field with&lt;jats:inline-formula&gt;&lt;jats:alternatives&gt;&lt;jats:inline-graphic xmlns:xlink=&quot;http://www.w3.org/1999/xlink&quot; mime-subtype=&quot;png&quot; xlink:href=&quot;S0004972724000819_inline6.png&quot;/&gt;&lt;jats:tex-math&gt;$\theta \in {\mathbb C}$&lt;/jats:tex-math&gt;&lt;/jats:alternatives&gt;&lt;/jats:inline-formula&gt;a root of an irreducible polynomial&lt;jats:inline-formula&gt;&lt;jats:alternatives&gt;&lt;jats:inline-graphic xmlns:xlink=&quot;http://www.w3.org/1999/xlink&quot; mime-subtype=&quot;png&quot; xlink:href=&quot;S0004972724000819_inline7.png&quot;/&gt;&lt;jats:tex-math&gt;$f(x) = \sum _{i=0}^{n-1}a_i{x^i}/{i!} + {x^n}/{n!}$&lt;/jats:tex-math&gt;&lt;/jats:alternatives&gt;&lt;/jats:inline-formula&gt;over the field&lt;jats:inline-formula&gt;&lt;jats:alternatives&gt;&lt;jats:inline-graphic xmlns:xlink=&quot;http://www.w3.org/1999/xlink&quot; mime-subtype=&quot;png&quot; xlink:href=&quot;S0004972724000819_inline8.png&quot;/&gt;&lt;jats:tex-math&gt;$\mathbb Q$&lt;/jats:tex-math&gt;&lt;/jats:alternatives&gt;&lt;/jats:inline-formula&gt;of rationals. We prove that&lt;jats:italic&gt;p&lt;/jats:italic&gt;divides the common index divisor of&lt;jats:italic&gt;K&lt;/jats:italic&gt;if and only if&lt;jats:inline-formula&gt;&lt;jats:alternatives&gt;&lt;jats:inline-graphic xmlns:xlink=&quot;http://www.w3.org/1999/xlink&quot; mime-subtype=&quot;png&quot; xlink:href=&quot;S0004972724000819_inline9.png&quot;/&gt;&lt;jats:tex-math&gt;$r&amp;gt;p$&lt;/jats:tex-math&gt;&lt;/jats:alternatives&gt;&lt;/jats:inline-formula&gt;. In particular, if&lt;jats:inline-formula&gt;&lt;jats:alternatives&gt;&lt;jats:inline-graphic xmlns:xlink=&quot;http://www.w3.org/1999/xlink&quot; mime-subtype=&quot;png&quot; xlink:href=&quot;S0004972724000819_inline10.png&quot;/&gt;&lt;jats:tex-math&gt;$r&amp;gt;p$&lt;/jats:tex-math&gt;&lt;/jats:alternatives&gt;&lt;/jats:inline-formula&gt;, then&lt;jats:italic&gt;K&lt;/jats:italic&gt;is always nonmonogenic. As an application, we show that if&lt;jats:inline-formula&gt;&lt;jats:alternatives&gt;&lt;jats:inline-graphic xmlns:xlink=&quot;http://www.w3.org/1999/xlink&quot; mime-subtype=&quot;png&quot; xlink:href=&quot;S0004972724000819_inline11.png&quot;/&gt;&lt;jats:tex-math&gt;$n \geq 3$&lt;/jats:tex-math&gt;&lt;/jats:alternatives&gt;&lt;/jats:inline-formula&gt;is an odd integer such that&lt;jats:inline-formula&gt;&lt;jats:alternatives&gt;&lt;jats:inline-graphic xmlns:xlink=&quot;http://www.w3.org/1999/xlink&quot; mime-subtype=&quot;png&quot; xlink:href=&quot;S0004972724000819_inline12.png&quot;/&gt;&lt;jats:tex-math&gt;$n-1\neq 2^s$&lt;/jats:tex-math&gt;&lt;/jats:alternatives&gt;&lt;/jats:inline-formula&gt;for&lt;jats:inline-formula&gt;&lt;jats:alternatives&gt;&lt;jats:inline-graphic xmlns:xlink=&quot;http://www.w3.org/1999/xlink&quot; mime-subtype=&quot;png&quot; xlink:href=&quot;S0004972724000819_inline13.png&quot;/&gt;&lt;jats:tex-math&gt;$s\in {\mathbb Z}$&lt;/jats:tex-math&gt;&lt;/jats:alternatives&gt;&lt;/jats:inline-formula&gt;and&lt;jats:italic&gt;K&lt;/jats:italic&gt;is a number field generated by a root of a truncated exponential Taylor polynomial of degree&lt;jats:italic&gt;n&lt;/jats:italic&gt;, then&lt;jats:italic&gt;K&lt;/jats:italic&gt;is always nonmonogenic.&lt;/jats:p&gt;"/>
    <n v="4185"/>
    <s v="tex-math"/>
    <s v="No"/>
    <s v="No"/>
    <s v="No"/>
    <s v="No"/>
    <s v="Yes"/>
    <s v="No"/>
    <s v="includes tex-math, not MathML"/>
    <s v="Crossref specifies MathML, but the tex-math is wrapped in jats tags"/>
    <x v="0"/>
  </r>
  <r>
    <s v="journal-article:None"/>
    <s v="10.1108/eemcs-04-2022-0108"/>
    <s v="&lt;jats:sec&gt;&lt;jats:title content-type=&quot;abstract-subheading&quot;&gt;Learning outcomes&lt;/jats:title&gt;_x000a_&lt;jats:p&gt;The learning outcomes of this study are as follows: ■ understand organizational turnaround and its sustainability;■ applying the understanding of turnarounds to distinguish between operational and strategic levers of a turnaround strategy; ■ analyze and evaluate past and present turnarounds from a sustainability perspective; and ■ formulate managerial actions to make turnaround sustainable.&lt;/jats:p&gt;_x000a_&lt;/jats:sec&gt;_x000a_&lt;jats:sec&gt;&lt;jats:title content-type=&quot;abstract-subheading&quot;&gt;Case overview/synopsis&lt;/jats:title&gt;_x000a_&lt;jats:p&gt;Braithwaite Company Ltd. (Braithwaite) was a specialized engineering firm headquartered in Kolkatta, India. It primarily undertook structural steel fabrication to make railway wagons and bridge structures. It was incorporated as a private enterprise almost a century back. However, since its nationalization five decades ago, it has been operating as a public sector undertaking (PSU) under the aegis of Indian Railways, a department of the Government of India. The case documents the past three decades of the firm’s journey, during which it experienced three episodic turnarounds. Details of the first two turnarounds are presented as the background, in light of which sustainability of the third turnaround is to be examined. The case explores the sustainability of organizational turnarounds from the perspective of the current Chairman and Managing Director (CMD), the case protagonist. Braithwaite underwent financial and operational distress in 1992, 2005 and 2015 and negotiated them under different leaders. These leaders from diverse backgrounds used distinct tactics and strategies to bring about organizational turnarounds. The case provides data and information to assess the sustainability of the third turnaround. Hence, it allows a class to explore the paradoxical observation that while “turnaround” inherently implies sustenance of good performance over time, turnaround sustainability is not spontaneous in the real world. The case deals with the performance issues of PSUs, which make significant contributions to the national economy in the case of emerging economies (for example, 5%–8% of the Indian National gross domestic product is contributed by PSUs; &lt;jats:ext-link xmlns:xlink=&quot;http://www.w3.org/1999/xlink&quot; ext-link-type=&quot;uri&quot; xlink:href=&quot;https://swarajyamag.com/ideas/psus-are-crucial-for-indias-growth-but-only-if-they-play-a-strategic-role&quot;&gt;https://swarajyamag.com/ideas/psus-are-crucial-for-indias-growth-but-only-if-they-play-a-strategic-role&lt;/jats:ext-link&gt;). Under government ownership and management, the poor performance of PSUs is often attributed to bad decision-making by its top management. In contrast, Braithwaite’s top management’s sound contextual decision-making resulted in a jump in its performance during each turnaround phase, but unsound fundamentals resulted in the unsustainability of the turnarounds. Hence, the case enables an exploration of the unique challenges faced by PSU that emanate from legacy roles, monopolistic markets and dual purpose – the concurrent pursuit of profits and social welfare. Consequently, the case allows an examination of the reasons for the distress of PSUs and the viability of turnaround strategies in the context of the broader Business–Government–Society landscape in emerging economies.&lt;/jats:p&gt;_x000a_&lt;/jats:sec&gt;_x000a_&lt;jats:sec&gt;&lt;jats:title content-type=&quot;abstract-subheading&quot;&gt;Complexity academic level&lt;/jats:title&gt;_x000a_&lt;jats:p&gt;The case is written for use in the MBA elective course covering “Strategic Revival and Turnaround Strategies.” It can be used at the beginning of the course to identify reasons for organizational failure/distress or in the later part of the course to discuss the implementation of operational and strategic turnaround strategies.&lt;/jats:p&gt;_x000a_&lt;/jats:sec&gt;_x000a_&lt;jats:sec&gt;&lt;jats:title content-type=&quot;abstract-subheading&quot;&gt;Supplementary materials&lt;/jats:title&gt;_x000a_&lt;jats:p&gt;Teaching notes are available for educators only.&lt;/jats:p&gt;_x000a_&lt;/jats:sec&gt;_x000a_&lt;jats:sec&gt;&lt;jats:title content-type=&quot;abstract-subheading&quot;&gt;Subject code&lt;/jats:title&gt;_x000a_&lt;jats:p&gt;CSS 10: Public Sector Management.&lt;/jats:p&gt;_x000a_&lt;/jats:sec&gt;"/>
    <n v="4184"/>
    <s v="No"/>
    <s v="&quot;en&quot;"/>
    <s v="Yes"/>
    <s v="Not available"/>
    <s v="No"/>
    <s v="Yes"/>
    <s v="Yes"/>
    <s v="includes hyperlinks"/>
    <s v="U+25A0, black geometric shape from geometric shapes"/>
    <x v="0"/>
  </r>
  <r>
    <s v="journal-article:None"/>
    <s v="10.26848/rbgf.v16.4.p1861-1877"/>
    <s v="&lt;jats:p&gt;Fatores antropogênicos como material particulado estressam as plantas em todos os níveis funcionais do indivíduo. Portanto, organismos que reagem de forma quantificável por meio de alterações estruturais podem ser usados como bioindicadores para a avaliação da qualidade ambiental em centros urbanos. Sugere-se que a emissão de material particulado na atmosfera é precursora de mudanças estruturais na vegetação que se desenvolve nas imediações das fontes emissoras. Este estudo objetivou diagnosticar alterações morfoanatômicas e fisiológicas em populações de Handroanthus chrysotrichus (Bignoniaceae) por meio do biomonitoramento passivo em quatro pontos amostrais: Zona Industrial I, Zona Industrial II, Zona Rural em Expansão e Área Controle. O material particulado foi removido mecanicamente da superfície foliar para análise química por meio de difração de raio x associado ao microscópio eletrônico de varredura. Análise de componentes principiais em ambiente R comparou as médias dos atributos foliares entres os pontos amostrais. Observou-se que as Zonas Industriais I e II apresentaram folhas com elevadas massas fresca e seca, conteúdo de água e área foliar. A Zona Rural em Expansão e a Área Controle mostraram maior área específica foliar e maiores teores de clorofila a, b e total. A deposição de material particulado sobre as folhas impõe uma barreira mecânica limitando as trocas gasosas e atenuando a incidência luminosa. As trocas gasosas dependem de luz que estimula a abertura estomática promovendo a excitação eletrônica nos fotossistemas desencadeando a fotossíntese, enquanto a menor produção fotossintética reflete a baixa capacidade de alocação de recursos pelo vegetal reduzindo seu crescimento. Os resultados sugerem que H. chrysotrichus é uma espécie com potencial monitor da qualidade ambiental e, por conseguinte, sinalizou a produção de injúrias decorrentes da poluição atmosférica que, em extensão, deflagram a interferência antropogênica sobre a qualidade do ar atmosférico em centros urbanos industrializados. Palavras-chave: biomonitoramento, material particulado, poluição atmosférica Evaluation of the effect of atmospheric pollution on urban populations of Handroanthus chrysotrichus (Bignoniaceae) in Joinville, SC A B S T R A C TAnthropogenic factors such as particulate material stress plants at all functional levels of the individual. Therefore, organisms that react in a quantifiable way through structural changes can be used as bioindicators for the assessment of atmospheric quality. It is suggested that the emission of particulate matter in the atmosphere of Joinville is a precursor to structural changes in the vegetation in the vicinity of the emitting sources. This study aims to diagnose morphological and physiological changes in leaves of Handroanthus chrysotrichus through biomonitoring. Five individuals were chosen from four sample points: Industrial Zone I, Industrial Zone II, Rural Expansion Zone and Control Area. The particulate material was removed from the leaf surface for analysis and constitution through scanning electron microscope. Principal component analysis in R environment compared the averages of leaf attributes between the sampling points. It was observed that Industrial Zones I and II presented leaves with high fresh and dry mass, water content and leaf area. The Expansion Rural Area and the Control Area showed a higher specific leaf area and higher levels of chlorophyll a, b and total. The deposition of particulate material on the leaves imposes a mechanical barrier limiting gas exchange and attenuating the light incidence. Gas exchanges depend on light that stimulates stomatal opening promoting electronic excitation in photosystems, triggering photosynthesis, while the lower photosynthetic production reflects the low capacity of resource allocation by the plant, reducing its growth. The results suggest that individuals from Industrial Areas I and II invest in maintaining the plant body, as photosynthetic tissues are the first to suffer injuries, while individuals in other areas invest in growth.Keywords: biomonitoring, particulate matter, air pollution&lt;/jats:p&gt;"/>
    <n v="4170"/>
    <s v="No"/>
    <s v="No"/>
    <s v="No"/>
    <s v="Yes"/>
    <s v="No"/>
    <s v="Yes"/>
    <s v="No"/>
    <s v="includes multiple languages"/>
    <s v="&quot;pt&quot; and &quot;en&quot; in article, both in the same metadata element"/>
    <x v="2"/>
  </r>
  <r>
    <s v="journal-article:None"/>
    <s v="10.1158/1538-7445.sabcs20-ps10-22"/>
    <s v="&lt;jats:title&gt;Abstract&lt;/jats:title&gt;_x000a_               &lt;jats:p&gt;BACKGROUND: Women with breast cancer are living longer, including those with risk factors such as having HER2+ tumors or diagnosed at later stages, but a dearth of information exists on patients’ outcomes beyond clinical trials. Thus, we aimed to describe breast-cancer specific mortality risk for women with HER2+ disease in a large community health plan.&lt;/jats:p&gt;_x000a_               &lt;jats:p&gt;METHODS: We assembled a cohort of 3777 adult women (&amp;amp;gt;18 years) with HER2+ breast cancer (AJCC TNM Stages I-IV) from a large California health plan, Kaiser Permanente Southern California, from 2009-2017 and followed them through December 2018. Subjects were identified from the health plan’s NCI-SEER affiliated tumor registry. All data elements were captured from the tumor registry and the electronic health records. ER, PR, and HER2 status were assessed by immunohistochemical or FISH techniques. Dates and causes of death were extracted from the inpatient records and state and national death databases. We computed breast cancer-specific mortality rates by exposure to trastuzumab, and by ER, PR, and tumor size. We followed women from the index date up to the date of death or end of study at December 31, 2018, whichever occurred first. Multivariable Cox proportional hazards regression was used to estimated adjusted hazard ratios (HR) and corresponding 95% confidence intervals.&lt;/jats:p&gt;_x000a_               &lt;jats:p&gt;RESULTS: Of the 3777 women, the median age at diagnosis was 57 years (range: 22-99 years). The cohort was diverse and included 47% Whites; 12% African American/Blacks; 16% Asian/Pacific Islanders; 24% Hispanics; and 1% of other/mixed backgrounds. Roughly 67% (N=2464) were ER+ and/or PR+. A total of 3170 women (84%) received trastuzumab; N=112 (3%) other chemotherapy only; and N=495 (13%) neither (the majority [85%] had early stage I-II disease). The risk of breast cancer-specific death was 9.3% (351/3777) during a median follow-up of 4.4 years (maximum 10 years).&lt;/jats:p&gt;_x000a_               &lt;jats:p&gt;Breast cancer mortality rate was markedly lower in those with trastuzumab (18.32/1,000 PY) therapy than those who did not receive trastuzumab (27.66/1,000 PY), corresponding to a 44% reduced risk (adj HR=0.56, 95% CI: 0.40-0.76) among those who received trastuzumab. Breast cancer mortality rates were higher in women with greater stage; ER-; PR-; tumors &amp;amp;gt;2 cm and with positive lymph nodes. Compared to women diagnosed at Stage I, those with Stage II-III disease were 2.77 times (adj HR=2.77, 95% CI: 1.87-4.10) more likely to die of breast cancer, and this risk was even higher in those diagnosed at Stage IV (adj HR=11.11, 95% CI: 7.02-17.60), after accounting for trastuzumab use; diagnosis age and year; race/ethnicity; geocoded income; ER and PR status; surgery type; other adjuvant therapy (endocrine, radiation, chemotherapy); lymph node status; histology, BMI, Charlson Comorbidity Index. The adjusted breast cancer mortality risk was 37% greater (adj HR=1.37, 95% CI: 0.99-1.90) in those with ER- disease versus ER+, but the result was of borderline statistical significance. In those with tumors&amp;amp;gt;2cm, breast cancer mortality risk was almost 90% greater (adj HR=0.67, 95% CI: 0.49-0.91) versus those with smaller tumors&amp;amp;lt;2cm.&lt;/jats:p&gt;_x000a_               &lt;jats:p&gt;CONCLUSION: This population-based study of patients with HER2+ invasive breast cancer confirms that receiving trastuzumab was significantly associated with a 44% reduced risk of breast-cancer mortality. Further, breast cancer mortality risk was greater in those with higher stages, with large tumors (&amp;amp;gt;2 cm) and positive lymph nodes, even after accounting for trastuzumab use.&lt;/jats:p&gt;_x000a_               &lt;jats:p&gt;Citation Format: Reina Haque, LieHong Chen, Karen W. Kwan, Nina Oestreicher, Deepa Lalla. Breast cancer mortality in women with Her2+ disease treated in a large integrated healthcare system [abstract]. In: Proceedings of the 2020 San Antonio Breast Cancer Virtual Symposium; 2020 Dec 8-11; San Antonio, TX. Philadelphia (PA): AACR; Cancer Res 2021;81(4 Suppl):Abstract nr PS10-22.&lt;/jats:p&gt;"/>
    <n v="4167"/>
    <s v="No"/>
    <s v="No"/>
    <s v="Yes"/>
    <s v="Yes"/>
    <s v="No"/>
    <s v="Yes"/>
    <s v="No"/>
    <s v="includes full citation format in the metadata"/>
    <m/>
    <x v="1"/>
  </r>
  <r>
    <s v="journal-article:None"/>
    <s v="10.1140/epja/s10050-024-01341-3"/>
    <s v="&lt;jats:title&gt;Abstract&lt;/jats:title&gt;&lt;jats:p&gt;Giant resonances (GRs) are a striking manifestation of collective motions in atomic nuclei. The present paper is the second in a series of four dedicated to the use of the projected generator coordinate method (PGCM) for the &lt;jats:italic&gt;ab initio&lt;/jats:italic&gt; determination of the isoscalar giant monopole resonance (GMR) in closed- and open-shell mid-mass nuclei. While the first paper was dedicated to quantifying various uncertainty sources, the present paper focuses on the first applications to three doubly-open shell nuclei, namely &lt;jats:inline-formula&gt;&lt;jats:alternatives&gt;&lt;jats:tex-math&gt;$$^{46}\hbox {Ti}$$&lt;/jats:tex-math&gt;&lt;mml:math xmlns:mml=&quot;http://www.w3.org/1998/Math/MathML&quot;&gt;_x000a_                  &lt;mml:mrow&gt;_x000a_                    &lt;mml:mmultiscripts&gt;_x000a_                      &lt;mml:mrow/&gt;_x000a_                      &lt;mml:mrow/&gt;_x000a_                      &lt;mml:mn&gt;46&lt;/mml:mn&gt;_x000a_                    &lt;/mml:mmultiscripts&gt;_x000a_                    &lt;mml:mtext&gt;Ti&lt;/mml:mtext&gt;_x000a_                  &lt;/mml:mrow&gt;_x000a_                &lt;/mml:math&gt;&lt;/jats:alternatives&gt;&lt;/jats:inline-formula&gt;, &lt;jats:inline-formula&gt;&lt;jats:alternatives&gt;&lt;jats:tex-math&gt;$$^{28}\hbox {Si}$$&lt;/jats:tex-math&gt;&lt;mml:math xmlns:mml=&quot;http://www.w3.org/1998/Math/MathML&quot;&gt;_x000a_                  &lt;mml:mrow&gt;_x000a_                    &lt;mml:mmultiscripts&gt;_x000a_                      &lt;mml:mrow/&gt;_x000a_                      &lt;mml:mrow/&gt;_x000a_                      &lt;mml:mn&gt;28&lt;/mml:mn&gt;_x000a_                    &lt;/mml:mmultiscripts&gt;_x000a_                    &lt;mml:mtext&gt;Si&lt;/mml:mtext&gt;_x000a_                  &lt;/mml:mrow&gt;_x000a_                &lt;/mml:math&gt;&lt;/jats:alternatives&gt;&lt;/jats:inline-formula&gt; and &lt;jats:inline-formula&gt;&lt;jats:alternatives&gt;&lt;jats:tex-math&gt;$$^{24}\hbox {Mg}$$&lt;/jats:tex-math&gt;&lt;mml:math xmlns:mml=&quot;http://www.w3.org/1998/Math/MathML&quot;&gt;_x000a_                  &lt;mml:mrow&gt;_x000a_                    &lt;mml:mmultiscripts&gt;_x000a_                      &lt;mml:mrow/&gt;_x000a_                      &lt;mml:mrow/&gt;_x000a_                      &lt;mml:mn&gt;24&lt;/mml:mn&gt;_x000a_                    &lt;/mml:mmultiscripts&gt;_x000a_                    &lt;mml:mtext&gt;Mg&lt;/mml:mtext&gt;_x000a_                  &lt;/mml:mrow&gt;_x000a_                &lt;/mml:math&gt;&lt;/jats:alternatives&gt;&lt;/jats:inline-formula&gt;. In particular, the goal is to investigate, starting from chiral effective field theory nuclear interactions, (i) the coupling of the GMR with the giant quadrupole resonance (GQR) in intrinsically-deformed nuclei, (ii) the possible impact of shape coexistence and shape mixing on the GMR, (iii) the GMR based on shape isomers and (iv) the impact of anharmonic effects on the monopole response. The latter is studied by comparing PGCM results to those obtained via the quasi-particle random phase approximation (QRPA), the traditional many-body approach to giant resonances, performed in a consistent setting. Eventually, PGCM results for sd-shell nuclei are in good agreement with experimental data, which is attributed to the capacity of the PGCM to capture the important fragmentation of the monopole response in light, intrinsically-deformed systems. Still, the comparison to data in &lt;jats:inline-formula&gt;&lt;jats:alternatives&gt;&lt;jats:tex-math&gt;$$^{28}\hbox {Si}$$&lt;/jats:tex-math&gt;&lt;mml:math xmlns:mml=&quot;http://www.w3.org/1998/Math/MathML&quot;&gt;_x000a_                  &lt;mml:mrow&gt;_x000a_                    &lt;mml:mmultiscripts&gt;_x000a_                      &lt;mml:mrow/&gt;_x000a_                      &lt;mml:mrow/&gt;_x000a_                      &lt;mml:mn&gt;28&lt;/mml:mn&gt;_x000a_                    &lt;/mml:mmultiscripts&gt;_x000a_                    &lt;mml:mtext&gt;Si&lt;/mml:mtext&gt;_x000a_                  &lt;/mml:mrow&gt;_x000a_                &lt;/mml:math&gt;&lt;/jats:alternatives&gt;&lt;/jats:inline-formula&gt; and &lt;jats:inline-formula&gt;&lt;jats:alternatives&gt;&lt;jats:tex-math&gt;$$^{24}\hbox {Mg}$$&lt;/jats:tex-math&gt;&lt;mml:math xmlns:mml=&quot;http://www.w3.org/1998/Math/MathML&quot;&gt;_x000a_                  &lt;mml:mrow&gt;_x000a_                    &lt;mml:mmultiscripts&gt;_x000a_                      &lt;mml:mrow/&gt;_x000a_                      &lt;mml:mrow/&gt;_x000a_                      &lt;mml:mn&gt;24&lt;/mml:mn&gt;_x000a_                    &lt;/mml:mmultiscripts&gt;_x000a_                    &lt;mml:mtext&gt;Mg&lt;/mml:mtext&gt;_x000a_                  &lt;/mml:mrow&gt;_x000a_                &lt;/mml:math&gt;&lt;/jats:alternatives&gt;&lt;/jats:inline-formula&gt; illustrates the challenge (and the potential benefit) of extracting unambiguous experimental information.&lt;/jats:p&gt;"/>
    <n v="4162"/>
    <s v="MathML"/>
    <s v="&quot;en&quot;"/>
    <s v="Yes"/>
    <s v="Yes"/>
    <s v="No"/>
    <s v="Yes"/>
    <s v="No"/>
    <s v="MathML"/>
    <m/>
    <x v="0"/>
  </r>
  <r>
    <s v="journal-article:None"/>
    <s v="10.1161/circulationaha.120.053365"/>
    <s v="&lt;jats:sec&gt;_x000a_            &lt;jats:title&gt;Background:&lt;/jats:title&gt;_x000a_            &lt;jats:p&gt;Inflammation contributes to the pathogenesis of heart failure, but there is limited understanding of inflammation’s potential benefits. Inflammatory cells secrete MYDGF (myeloid-derived growth factor) to promote tissue repair after acute myocardial infarction. We hypothesized that MYDGF has a role in cardiac adaptation to persistent pressure overload.&lt;/jats:p&gt;_x000a_          &lt;/jats:sec&gt;_x000a_          &lt;jats:sec&gt;_x000a_            &lt;jats:title&gt;Methods:&lt;/jats:title&gt;_x000a_            &lt;jats:p&gt;_x000a_              We defined the cellular sources and function of MYDGF in wild-type (WT),_x000a_              &lt;jats:italic&gt;Mydgf&lt;/jats:italic&gt;_x000a_              -deficient (_x000a_              &lt;jats:italic&gt;Mydgf&lt;/jats:italic&gt;_x000a_              &lt;jats:sup&gt;−/−&lt;/jats:sup&gt;_x000a_              ), and_x000a_              &lt;jats:italic&gt;Mydgf&lt;/jats:italic&gt;_x000a_              bone marrow–chimeric or bone marrow–conditional transgenic mice with pressure overload–induced heart failure after transverse aortic constriction surgery. We measured MYDGF plasma concentrations by targeted liquid chromatography–mass spectrometry. We identified MYDGF signaling targets by phosphoproteomics and substrate-based kinase activity inference. We recorded Ca_x000a_              &lt;jats:sup&gt;2+&lt;/jats:sup&gt;_x000a_              transients and sarcomere contractions in isolated cardiomyocytes. Additionally, we explored the therapeutic potential of recombinant MYDGF._x000a_            &lt;/jats:p&gt;_x000a_          &lt;/jats:sec&gt;_x000a_          &lt;jats:sec&gt;_x000a_            &lt;jats:title&gt;Results:&lt;/jats:title&gt;_x000a_            &lt;jats:p&gt;_x000a_              MYDGF protein abundance increased in the left ventricular myocardium and in blood plasma of pressure-overloaded mice. Patients with severe aortic stenosis also had elevated MYDGF plasma concentrations, which declined after transcatheter aortic valve implantation. Monocytes and macrophages emerged as the main MYDGF sources in the pressure-overloaded murine heart. While_x000a_              &lt;jats:italic&gt;Mydgf&lt;/jats:italic&gt;_x000a_              &lt;jats:sup&gt;−/−&lt;/jats:sup&gt;_x000a_              mice had no apparent phenotype at baseline, they developed more severe left ventricular hypertrophy and contractile dysfunction during pressure overload than WT mice. Conversely, conditional transgenic overexpression of MYDGF in bone marrow–derived inflammatory cells attenuated pressure overload–induced hypertrophy and dysfunction. Mechanistically, MYDGF inhibited G protein–coupled receptor agonist–induced hypertrophy and augmented SERCA2a (sarco/endoplasmic reticulum Ca_x000a_              &lt;jats:sup&gt;2+&lt;/jats:sup&gt;_x000a_              -ATPase 2a) expression in cultured neonatal rat ventricular cardiomyocytes by enhancing PIM1 (Pim-1 proto-oncogene, serine/threonine kinase) expression and activity. Along this line, cardiomyocytes from pressure-overloaded_x000a_              &lt;jats:italic&gt;Mydgf&lt;/jats:italic&gt;_x000a_              &lt;jats:sup&gt;−/−&lt;/jats:sup&gt;_x000a_              mice displayed reduced PIM1 and SERCA2a expression, greater hypertrophy, and impaired Ca_x000a_              &lt;jats:sup&gt;2+&lt;/jats:sup&gt;_x000a_              cycling and sarcomere function compared with cardiomyocytes from pressure-overloaded WT mice. Transplanting_x000a_              &lt;jats:italic&gt;Mydgf&lt;/jats:italic&gt;_x000a_              &lt;jats:sup&gt;−/−&lt;/jats:sup&gt;_x000a_              mice with WT bone marrow cells augmented cardiac PIM1 and SERCA2a levels and ameliorated pressure overload–induced hypertrophy and dysfunction. Pressure-overloaded_x000a_              &lt;jats:italic&gt;Mydgf&lt;/jats:italic&gt;_x000a_              &lt;jats:sup&gt;−/−&lt;/jats:sup&gt;_x000a_              mice were similarly rescued by adenoviral_x000a_              &lt;jats:italic&gt;Serca2a&lt;/jats:italic&gt;_x000a_              gene transfer. Treating pressure-overloaded WT mice subcutaneously with recombinant MYDGF enhanced SERCA2a expression, attenuated left ventricular hypertrophy and dysfunction, and improved survival._x000a_            &lt;/jats:p&gt;_x000a_          &lt;/jats:sec&gt;_x000a_          &lt;jats:sec&gt;_x000a_            &lt;jats:title&gt;Conclusions:&lt;/jats:title&gt;_x000a_            &lt;jats:p&gt;These findings establish a MYDGF-based adaptive crosstalk between inflammatory cells and cardiomyocytes that protects against pressure overload–induced heart failure.&lt;/jats:p&gt;_x000a_          &lt;/jats:sec&gt;"/>
    <n v="4160"/>
    <s v="No"/>
    <s v="No"/>
    <s v="Yes"/>
    <s v="Yes"/>
    <s v="No"/>
    <s v="Yes"/>
    <s v="No"/>
    <s v="No problems"/>
    <m/>
    <x v="3"/>
  </r>
  <r>
    <s v="journal-article:None"/>
    <s v="10.1093/ndt/gfab092.0031"/>
    <s v="&lt;jats:title&gt;Abstract&lt;/jats:title&gt;_x000a_               &lt;jats:sec&gt;_x000a_                  &lt;jats:title&gt;Background and Aims&lt;/jats:title&gt;_x000a_                  &lt;jats:p&gt;The optimal use of immune and target therapies, the optimal use of standard chemotherapy (CT) is of paramount importance, especially for patients affected by chronic kidney disease (CKD) who require dose adjustment according to the glomerular filtration rate (GFR) to avoid acute kidney injury (AKI) establishment. Immune checkpoint inhibitors (ICIs) and platinum-based chemotherapy (CT) are options for the palliative treatment of metastatic non-small cell lung cancer (NSCLC). Recently, CT in combination with immune-checkpoint inhibitors has become the treatment of choice for this setting of patients. Therefore, it is fundamental to investigate the potential nephrotoxic effects of both treatments and their potential additive effects on renal function.&lt;/jats:p&gt;_x000a_                  &lt;jats:p&gt;Aim of our study was to compare the nephrotoxic effect of both ICIs and CT (cisplatin and carboplatin-based) in a consecutive cohort of patients affected by metastatic NSCLC.&lt;/jats:p&gt;_x000a_               &lt;/jats:sec&gt;_x000a_               &lt;jats:sec&gt;_x000a_                  &lt;jats:title&gt;Method&lt;/jats:title&gt;_x000a_                  &lt;jats:p&gt;A consecutive cohort of 126 patients treated in first-line for NSLCL was enrolled in a single tertiary Hospital between 2018 and 2020. Inclusion criteria were: age (&amp;amp;gt; 18 years old), eGFR (&amp;amp;gt; 15 ml/min/1.73), histological diagnosis of metastatic NSCLC. Each patient underwent immunotherapy or CT according to clinical conditions, comorbidities and programmed death ligand 1 (PD-L1) expression status. eGFR (using CKD-EPI formula 2009) was detected at baseline and after each cycle of immunotherapy or CT (using cisplatin or carboplatin) in order to determine the correct renal status using the K-DIGO 2012 guidelines for AKI stages and CKD classes. Pts were subdivided into CKD categories G according to their eGFR values before and after the treatment. AKI onset was evaluated by rise in creatine levels according to K-DIGO criteria. Clinical stage according to cTNM (AJCC TNM system-2019) was collected at baseline before the first treatment. Comorbidities (e.g., diabetes, blood hypertension, overweight and obesity) were also included. Comparison between numerical variables was performed using linear regressions; between groups using Kruskal-Wallis rank sum test for numerical variables and Pearson’s Chi square test for categorical variables. Log rank test was used to test differences between groups in terms of AKI onset during the therapy.&lt;/jats:p&gt;_x000a_               &lt;/jats:sec&gt;_x000a_               &lt;jats:sec&gt;_x000a_                  &lt;jats:title&gt;Results&lt;/jats:title&gt;_x000a_                  &lt;jats:p&gt;Clinical and pathological characteristics are reported in table 1. From the analysis, no significative differences were detected between Immunotherapy and CT group for age, gender, basal serum creatinine, basal eGFR, basal BMI, diagnosis of diabetes, hypertension, basal CKD G group or overall AKI onset. Treatment cycles were significantly different between the two groups (p&amp;amp;lt;0.001) with a short median number of cycles for the CT group. No significative difference in terms of decay of eGFR calculated as final-basal values was detected (p=0.8). AKI onset over cycles was significantly different between the two groups (p=0.02), observing a higher risk of developing earlier AKI for CT group (cisplatin or carboplatin) (13,9%) with respect to immunotherapy (7,4%) (figure 1 and 2).&lt;/jats:p&gt;_x000a_               &lt;/jats:sec&gt;_x000a_               &lt;jats:sec&gt;_x000a_                  &lt;jats:title&gt;Conclusion&lt;/jats:title&gt;_x000a_                  &lt;jats:p&gt;Our study highlights that both cisplatin and carboplatin-based CT displays an augmented incidence of AKI development after a lower number of therapy cycles in respect of immunotherapy. The nephrotoxic effects of combined therapy for NSLCL should be always evaluated by nephrologist during the treatment of NSLCL patients to avoid an augmented risk of AKI derived from the combination of immunotherapy and CT in first line.&lt;/jats:p&gt;_x000a_               &lt;/jats:sec&gt;"/>
    <n v="4148"/>
    <s v="No"/>
    <s v="No"/>
    <s v="Yes"/>
    <s v="Yes"/>
    <s v="No"/>
    <s v="Yes"/>
    <s v="No"/>
    <s v="No problems"/>
    <m/>
    <x v="3"/>
  </r>
  <r>
    <s v="journal-article:None"/>
    <s v="10.1111/1460-6984.12696"/>
    <s v="&lt;jats:title&gt;Abstract&lt;/jats:title&gt;&lt;jats:sec&gt;&lt;jats:title&gt;Background&lt;/jats:title&gt;&lt;jats:p&gt;Intervention studies aimed to improve the written production of single words by persons with aphasia have yielded promising results and there is growing interest in interventions targeting text writing. The development of technical writing aids offers opportunities for persons with aphasia, and studies have shown that using them can have a positive impact on written output.&lt;/jats:p&gt;&lt;/jats:sec&gt;&lt;jats:sec&gt;&lt;jats:title&gt;Aims&lt;/jats:title&gt;&lt;jats:p&gt;The aim was to investigate what impact training to use a computerised spell checker had on text writing in persons with aphasia.&lt;/jats:p&gt;&lt;/jats:sec&gt;&lt;jats:sec&gt;&lt;jats:title&gt;Methods &amp;amp; Procedures&lt;/jats:title&gt;&lt;jats:p&gt;The study had a multiple‐baseline single‐case experimental design replicated across six male Swedish participants with mild‐to‐moderate post‐stroke aphasia. The participants received training twice a week during 8 weeks, learning how to use the spell checker. At baseline and before every session, the participants wrote two texts which were logged in a keystroke‐logging tool. Dependent variables were continuously measured in the texts, and the participants performed tests of language function and answered questionnaires on reading and writing habits and health‐related quality of life before and after the intervention. The participants were also interviewed about how they had experienced the training. The results were evaluated on individual and group level.&lt;/jats:p&gt;&lt;/jats:sec&gt;&lt;jats:sec&gt;&lt;jats:title&gt;Results&lt;/jats:title&gt;&lt;jats:p&gt;The study showed that systematic individual training involving a spell checker was experienced as positive by the participants and that they all described their writing ability in more positive terms after the intervention. Evaluation showed statistically significant improvements on group level for the dependent variables of spelling accuracy, rated syntax, writing speed and proportion of unedited text during text writing when using the spell checker. The intervention also had a generalising effect on writing speed and editing during text writing without the spell checker and on spelling accuracy in a dictation test. The participants who had the greatest spelling problems were the ones who showed the most progress, but participants with only minor writing difficulties at baseline also improved.&lt;/jats:p&gt;&lt;/jats:sec&gt;&lt;jats:sec&gt;&lt;jats:title&gt;Conclusions &amp;amp; Implications&lt;/jats:title&gt;&lt;jats:p&gt;The study shows that a digital spelling aid constitutes effective support for people with aphasia and may also affect levels other than spelling. The training had a generalising positive effect on text writing and spelling in a test. Although writing difficulties is a persisting symptom in aphasia, it can be supported and improved through use of digital spelling aids. Hence, treatment of writing ability should always be included in the rehabilitation of people with aphasia.&lt;/jats:p&gt;&lt;/jats:sec&gt;&lt;jats:sec&gt;&lt;jats:title&gt;WHAT THIS PAPER ADDS&lt;/jats:title&gt;&lt;jats:sec&gt;&lt;jats:title&gt;What is already known on this subject&lt;/jats:title&gt;&lt;jats:p&gt;Use of a technical writing aid can have a positive impact on the written output of persons with aphasia. Using a digital spell checker may improve spelling as well as other levels of writing, but it has not been investigated using a keystroke‐logging tool in combination with language‐test scores and results from questionnaires.&lt;/jats:p&gt;&lt;/jats:sec&gt;&lt;jats:sec&gt;&lt;jats:title&gt;What this paper adds to existing knowledge&lt;/jats:title&gt;&lt;jats:p&gt;Through analyses on both individual and group level, this study shows that a digital spelling aid constitutes effective support for people with aphasia and also affects levels other than spelling. The training had a generalising positive effect on text writing and spelling in a test.&lt;/jats:p&gt;&lt;/jats:sec&gt;&lt;jats:sec&gt;&lt;jats:title&gt;What are the potential or actual clinical implications of this work?&lt;/jats:title&gt;&lt;jats:p&gt;Digital spelling support, which is a relatively simple and inexpensive technology, can support and improve text writing in persons with post‐stroke aphasia.&lt;/jats:p&gt;&lt;/jats:sec&gt;&lt;/jats:sec&gt;"/>
    <n v="4147"/>
    <s v="No"/>
    <s v="&quot;en&quot;"/>
    <s v="Yes"/>
    <s v="Yes"/>
    <s v="No"/>
    <s v="Yes"/>
    <s v="No"/>
    <s v="No problems"/>
    <m/>
    <x v="3"/>
  </r>
  <r>
    <s v="journal-article:None"/>
    <s v="10.1093/eurheartj/ehab724.2082"/>
    <s v="&lt;jats:title&gt;Abstract&lt;/jats:title&gt;_x000a_               &lt;jats:sec&gt;_x000a_                  &lt;jats:title&gt;Background&lt;/jats:title&gt;_x000a_                  &lt;jats:p&gt;The prevalence of coronary artery disease (CAD) is high among patients with severe aortic stenosis who undergo transcatheter aortic valve replacement (TAVR).&lt;/jats:p&gt;_x000a_                  &lt;jats:p&gt;Indications for TAVR are now expanding to younger and lower risk patients. During their lifetime, these patients will be at risk of developing CAD and it is expected an increase in coronary angiography and percutaneous coronary intervention (PCI). Aortic prosthesis, particularly if in supra-annular position, may pose important technical difficulties in coronary re-engagement after TAVR.&lt;/jats:p&gt;_x000a_               &lt;/jats:sec&gt;_x000a_               &lt;jats:sec&gt;_x000a_                  &lt;jats:title&gt;Purpose&lt;/jats:title&gt;_x000a_                  &lt;jats:p&gt;To evaluate the feasibility to reengage the coronary ostia after TAVR, describe complications and compare technical differences between coronary procedures performed before and after TAVR.&lt;/jats:p&gt;_x000a_               &lt;/jats:sec&gt;_x000a_               &lt;jats:sec&gt;_x000a_                  &lt;jats:title&gt;Methods&lt;/jats:title&gt;_x000a_                  &lt;jats:p&gt;Retrospective analysis of 714 patients submitted to TAVR from August 2007 to December 2019. Patients who needed coronary angiography after TAVR were selected.&lt;/jats:p&gt;_x000a_                  &lt;jats:p&gt;The primary endpoint was the rate of successful coronary ostia cannulation after TAVR, defined by the possibility to selectively cannulate and inject both coronary ostia.&lt;/jats:p&gt;_x000a_                  &lt;jats:p&gt;Secondary endpoint was complications associated with coronary catheterization after TAVR.&lt;/jats:p&gt;_x000a_               &lt;/jats:sec&gt;_x000a_               &lt;jats:sec&gt;_x000a_                  &lt;jats:title&gt;Results&lt;/jats:title&gt;_x000a_                  &lt;jats:p&gt;Among 714 patients, 25 (3.5%) patients were submitted to a total of 28 coronary angiography after TAVR. 14 patients were male (56%), mean age 78.2±6.2 years and 9 (36%) had history of previous coronary revascularization.&lt;/jats:p&gt;_x000a_                  &lt;jats:p&gt;From the 28 coronary angiographies (balloon-expandable Edwards-Sapien n=11, 44%; self-expandable CoreValve n=10, 40%; Portico n=2, 8%; Symetis n=2, 8%), 25 (89%) met the primary endpoint. Only three was semiselective (Symetis, CoreValve Evolut R and CoreValve TAVR in TAVR), with impossibility to cannulate both coronary arteries, right coronary artery and left coronary artery, respectively. 13 (46%) patients had also indication for PCI and all were successfully performed (Edwards-Sapien n=4, 31%; CoreValve n=6, 46%; Portico n=2, 15%; Symetis n=1, 8%). The main indications for coronary angiography was chronic coronary syndrome (n=12, 43%) and acute coronary syndrome without ST segment elevation (n=7, 25%). Circumflex artery was the most frequently treated vessel (n=6), followed by left anterior descending artery (n=4), right coronary artery (n=3) and left main (n=2).&lt;/jats:p&gt;_x000a_                  &lt;jats:p&gt;There were no complications reported during or post-procedure. Comparing coronary angiographies before and after TAVR, there were no significant differences regarding arterial access site, catheter diameter, fluoroscopy time and quantity of contrast used in coronary angiography.&lt;/jats:p&gt;_x000a_               &lt;/jats:sec&gt;_x000a_               &lt;jats:sec&gt;_x000a_                  &lt;jats:title&gt;Conclusion&lt;/jats:title&gt;_x000a_                  &lt;jats:p&gt;Although the need for coronary angiography was rare in patients after TAVR, selective diagnostic coronary angiographies were possible in 89% (25/28) and PCI was feasible in all patients in whom it was indicated, without any reported complications.&lt;/jats:p&gt;_x000a_                  &lt;jats:p&gt;Further prospective studies are needed to confirm the great feasibility of performing coronary angiography after TAVR.&lt;/jats:p&gt;_x000a_               &lt;/jats:sec&gt;_x000a_               &lt;jats:sec&gt;_x000a_                  &lt;jats:title&gt;Funding Acknowledgement&lt;/jats:title&gt;_x000a_                  &lt;jats:p&gt;Type of funding sources: Public hospital(s). Main funding source(s): Centro Hospitalar Vila Nova de Gaia / Espinho&lt;/jats:p&gt;_x000a_               &lt;/jats:sec&gt;"/>
    <n v="4117"/>
    <s v="No"/>
    <s v="No"/>
    <s v="Yes"/>
    <s v="Yes"/>
    <s v="No"/>
    <s v="Yes"/>
    <s v="No"/>
    <s v="includes funding acknowledgement"/>
    <m/>
    <x v="5"/>
  </r>
  <r>
    <s v="journal-article:None"/>
    <s v="10.1158/1538-7445.am2025-ct041"/>
    <s v="&lt;jats:title&gt;Abstract&lt;/jats:title&gt;_x000a_               &lt;jats:sec&gt;_x000a_                  &lt;jats:title&gt;Background:&lt;/jats:title&gt;_x000a_                  &lt;jats:p&gt;VISTA is an immune checkpoint highly expressed on myeloid cells that suppresses T cell activation. Its expression is associated with poor prognosis in cancer patients and may contribute to resistance to anti-CTLA-4 and anti-PD(L)1 therapies. KVA12123 binds to VISTA at neutral and acidic pHs and blocks VISTA interactions with its different potential ligands. This fully human IgG1 monoclonal antibody has a unique epitope and was engineered to improve its pharmacokinetic and to reduce the risk of CRS observed with prior anti-VISTA antibodies.&lt;/jats:p&gt;_x000a_               &lt;/jats:sec&gt;_x000a_               &lt;jats:sec&gt;_x000a_                  &lt;jats:title&gt;Methods:&lt;/jats:title&gt;_x000a_                  &lt;jats:p&gt;VISTA-101 (NCT05708950) is a Phase 1/2 dose escalation and expansion clinical trial of KVA12123 as monotherapy and in combination with pembrolizumab, in adult patients with advanced solid tumors. The primary objectives evaluate safety and tolerability to define a maximum tolerated dose and a recommended phase 2 dose (RP2D). The secondary objectives address the pharmacokinetic (PK) and receptor occupancy (RO), as well as patient tumor response using iRECIST. VISTA-101 is also assessing predictive biomarkers of response. Phase 1 is an accelerated BOIN design consisting of two arms: Part A) KVA12123 monotherapy dose escalation from 3 mg to 1000 mg (Q2W) including 6 cohorts and, Part B) KVA12123 dose escalation from 30 mg to 1000 mg (Q2W) in combination with 400 mg of pembrolizumab (Q6W) including 4 cohorts.&lt;/jats:p&gt;_x000a_               &lt;/jats:sec&gt;_x000a_               &lt;jats:sec&gt;_x000a_                  &lt;jats:title&gt;Results:&lt;/jats:title&gt;_x000a_                  &lt;jats:p&gt;In January 9th 2025, 36 patients were dosed including 24 patients in Part A and 12 in Part B. Enrollment in all monotherapy cohorts (3 to 1000mg) has been completed as well as 3 of the 4 combination cohorts (30 to 300mg KVA + Pembro 400mg). Treatments have been well tolerated and no dose limiting toxicities observed. The most common adverse events are grade 1 and 2 chills, fatigue and infusion related reactions with no evidence of CRS. In the monotherapy arm, the best overall response (BOR) is stable disease (SD) in 13 of 19 patients who received at least one follow-up scan. One NSCLC patient with prior CPI-exposure experienced SD lasting 62 weeks. In the combination arm, BOR to date is 1 of 9 with a sustained confirmed partial response with 54% tumor reduction of mucoepidermoid carcinoma histology. This patient has been on-study for 60 weeks. Additionally, there is SD in 3 of 9 evaluable patients, with one RCC previously exposed to CPI with a 24% tumor reduction. PK in part A showed an extended profile with saturation at 1000 mg dose associated with RO demonstrating full target engagement at higher concentrations. These data will define our RP2D. We also observed a dose-dependent induction of pro-inflammatory cytokines and increases of activated immune cell populations. Enrollment in the last combination cohort (1000mg KVA + 400mg Pembro) is ongoing. Final safety, tolerability, PK and clinical response in the mono and combination arms will be presented, as well as PK and biomarker data.&lt;/jats:p&gt;_x000a_               &lt;/jats:sec&gt;_x000a_               &lt;jats:sec&gt;_x000a_                  &lt;jats:title&gt;Citation Format:&lt;/jats:title&gt;_x000a_                  &lt;jats:p&gt;Jason T. Henry, Manish R. Patel, Paul Swiecicki, Ida Micaily, Benjamin Garmezy, Kalyan Banda, Marya Chaney, Julia Cohen, Vinny Hayreh, Evan Y. Yu, Shawn P. Iadonato, Thierry Guillaudeux, Lee Rosen. Initial results from a first in human phase 1 study of KVA12123, an anti-VISTA antibody, alone and in combination with pembrolizumab in patients with advanced solid tumors [abstract]. In: Proceedings of the American Association for Cancer Research Annual Meeting 2025; Part 2 (Late-Breaking, Clinical Trial, and Invited Abstracts); 2025 Apr 25-30; Chicago, IL. Philadelphia (PA): AACR; Cancer Res 2025;85(8_Suppl_2):Abstract nr CT041.&lt;/jats:p&gt;_x000a_               &lt;/jats:sec&gt;"/>
    <n v="4112"/>
    <s v="No"/>
    <s v="No"/>
    <s v="Yes"/>
    <s v="Not available"/>
    <s v="No"/>
    <s v="Yes"/>
    <s v="No"/>
    <s v="includes full citation format in the metadata"/>
    <m/>
    <x v="1"/>
  </r>
  <r>
    <s v="journal-article:None"/>
    <s v="10.1155/2023/1451394"/>
    <s v="&lt;jats:p&gt;This study is aimed at exploring the effects of Bacillus coagulans NRS 609 on the growth performance, intestinal health, antioxidant activity, and immune response in common carp (Cyprinus carpio L.) by colonizing the intestinal tract with the beneficial strain. Gavage B. coagulans with GFP-tag at 109 CFU/mL into common carp for 7 days. Results indicated that B. coagulans were maintained in the intestine for at least 14 days. Four groups fed B. coagulans at different levels of inclusion, including 0 (CK), &lt;jats:inline-formula&gt;_x000a_                     &lt;a:math xmlns:a=&quot;http://www.w3.org/1998/Math/MathML&quot; id=&quot;M1&quot;&gt;_x000a_                        &lt;a:mn&gt;1&lt;/a:mn&gt;_x000a_                        &lt;a:mo&gt;×&lt;/a:mo&gt;_x000a_                        &lt;a:msup&gt;_x000a_                           &lt;a:mrow&gt;_x000a_                              &lt;a:mn&gt;10&lt;/a:mn&gt;_x000a_                           &lt;/a:mrow&gt;_x000a_                           &lt;a:mrow&gt;_x000a_                              &lt;a:mn&gt;7&lt;/a:mn&gt;_x000a_                           &lt;/a:mrow&gt;_x000a_                        &lt;/a:msup&gt;_x000a_                     &lt;/a:math&gt;_x000a_                  &lt;/jats:inline-formula&gt; (A), &lt;jats:inline-formula&gt;_x000a_                     &lt;c:math xmlns:c=&quot;http://www.w3.org/1998/Math/MathML&quot; id=&quot;M2&quot;&gt;_x000a_                        &lt;c:mn&gt;1&lt;/c:mn&gt;_x000a_                        &lt;c:mo&gt;×&lt;/c:mo&gt;_x000a_                        &lt;c:msup&gt;_x000a_                           &lt;c:mrow&gt;_x000a_                              &lt;c:mn&gt;10&lt;/c:mn&gt;_x000a_                           &lt;/c:mrow&gt;_x000a_                           &lt;c:mrow&gt;_x000a_                              &lt;c:mn&gt;8&lt;/c:mn&gt;_x000a_                           &lt;/c:mrow&gt;_x000a_                        &lt;/c:msup&gt;_x000a_                     &lt;/c:math&gt;_x000a_                  &lt;/jats:inline-formula&gt; (B), and &lt;jats:inline-formula&gt;_x000a_                     &lt;e:math xmlns:e=&quot;http://www.w3.org/1998/Math/MathML&quot; id=&quot;M3&quot;&gt;_x000a_                        &lt;e:mn&gt;1&lt;/e:mn&gt;_x000a_                        &lt;e:mo&gt;×&lt;/e:mo&gt;_x000a_                        &lt;e:msup&gt;_x000a_                           &lt;e:mrow&gt;_x000a_                              &lt;e:mn&gt;10&lt;/e:mn&gt;_x000a_                           &lt;/e:mrow&gt;_x000a_                           &lt;e:mrow&gt;_x000a_                              &lt;e:mn&gt;9&lt;/e:mn&gt;_x000a_                           &lt;/e:mrow&gt;_x000a_                        &lt;/e:msup&gt;_x000a_                     &lt;/e:math&gt;_x000a_                  &lt;/jats:inline-formula&gt; (C) CFU/g of feed for 8 weeks. Experimental groups showed significantly better growth performance than the control (&lt;jats:inline-formula&gt;_x000a_                     &lt;g:math xmlns:g=&quot;http://www.w3.org/1998/Math/MathML&quot; id=&quot;M4&quot;&gt;_x000a_                        &lt;g:mi&gt;P&lt;/g:mi&gt;_x000a_                        &lt;g:mo&gt;&amp;lt;&lt;/g:mo&gt;_x000a_                        &lt;g:mn&gt;0.05&lt;/g:mn&gt;_x000a_                     &lt;/g:math&gt;_x000a_                  &lt;/jats:inline-formula&gt;). The treatment groups had higher digestive enzyme activity, villus height, and muscle thickness than the control (&lt;jats:inline-formula&gt;_x000a_                     &lt;i:math xmlns:i=&quot;http://www.w3.org/1998/Math/MathML&quot; id=&quot;M5&quot;&gt;_x000a_                        &lt;i:mi&gt;P&lt;/i:mi&gt;_x000a_                        &lt;i:mo&gt;&amp;lt;&lt;/i:mo&gt;_x000a_                        &lt;i:mn&gt;0.05&lt;/i:mn&gt;_x000a_                     &lt;/i:math&gt;_x000a_                  &lt;/jats:inline-formula&gt;). Supplementation with B. coagulans also altered the composition of the intestinal flora. In addition, an enhancement of the antioxidant enzyme and a reduction of malondialdehyde in the liver were observed with the addition of B. coagulans (&lt;jats:inline-formula&gt;_x000a_                     &lt;k:math xmlns:k=&quot;http://www.w3.org/1998/Math/MathML&quot; id=&quot;M6&quot;&gt;_x000a_                        &lt;k:mi&gt;P&lt;/k:mi&gt;_x000a_                        &lt;k:mo&gt;&amp;lt;&lt;/k:mo&gt;_x000a_                        &lt;k:mn&gt;0.05&lt;/k:mn&gt;_x000a_                     &lt;/k:math&gt;_x000a_                  &lt;/jats:inline-formula&gt;). Moreover, the cytokines of IL-1β and IL-12, IL-10, and TGF-β, significant upregulation in experimental groups (&lt;jats:inline-formula&gt;_x000a_                     &lt;m:math xmlns:m=&quot;http://www.w3.org/1998/Math/MathML&quot; id=&quot;M7&quot;&gt;_x000a_                        &lt;m:mi&gt;P&lt;/m:mi&gt;_x000a_                        &lt;m:mo&gt;&amp;lt;&lt;/m:mo&gt;_x000a_                        &lt;m:mn&gt;0.05&lt;/m:mn&gt;_x000a_                     &lt;/m:math&gt;_x000a_                  &lt;/jats:inline-formula&gt;). Based on the results, the optimal level of B. coagulans was 107 CFU/g in diets for common carp.&lt;/jats:p&gt;"/>
    <n v="4100"/>
    <s v="MathML"/>
    <s v="No"/>
    <s v="Yes"/>
    <s v="Yes"/>
    <s v="No"/>
    <s v="Yes"/>
    <s v="Yes"/>
    <s v="U+2009 thin space from general punc; "/>
    <s v="U+2009 thin space from general punc; "/>
    <x v="0"/>
  </r>
  <r>
    <s v="journal-article:None"/>
    <s v="10.25264/2415-7384-2023-16-73-83"/>
    <s v="&lt;jats:p&gt;The article presents results of the study of the ‘sub-sense’ concept in the logotherapy of grief and torment of conscience.  To overcome the frustration of the grief of loss (death) and torment of conscience caused by the irretrievably lost opportunity to manifest sincere love for the deceased, the subject can accept the ‘sub-sense’ – faith in God, which gives hope of the existence of the possibility of meeting the dear deceased ‘there’. This applies to both agnostics and atheists. Faith itself protects sincere believers from such frustration. If an agnostic, overwhelmed by such frustration, mistrusts priests, then a psychotherapist can and must draw him to the Super-Meaning, just like an atheist. He should offer such a person rationally balanced arguments regarding the quite possible existence of the Supernatural World, whose personified subjects (God, angels, saints) ‘patronize’ our earthly world from the positions of love for it and care for it, which gives a high meaning to the existence of humanity and of every person, and thus gives optimistic hope for a happy end to earthly suffering, including a meeting ‘there’ with the dead. These arguments are based on those facts, the latest scientific discoveries, which testify in favour of the possibility of the existence of such a supernatural world. The frustration of the grief of loss and torment of conscience are conducive to the subject’s acceptance of such arguments because they correspond to his urgent need to relieve his oppressive burden. Frustration of torment of conscience, similar to frustration of grief of loss, is due to irreversible loss – there is no hope of nullifying the evil for which the subject is tormented by his conscience, because it was committed in the past, and the past cannot be returned or changed. However, sincere remorse, which is the main content and meaning of these torments, psychologically separates the subject from their cause – the evil he committed – through his authentic personal identification with high spiritual and moral values (goodness) in the process of correlating them with the evil caused, which at the same time is the development of his morality. Reborn in this way, the subject’s soul seeks to effectively atone for the evil he committed – to create the good. Therefore, a psychotherapist should help a person who is tormented by conscience to choose not self-punishment by self-destruction, but sincere atonement for the evil he caused by charity, first and foremost, directly or indirectly, in relation to those persons who suffered from this evil. The key event in the psychological dynamics of such a choice is the repulsion of altruistic love and care, and thus, the filling of the subject’s soul with the bright energy of affection with the power of responsibility, care, and sacrifice. If this happens at the same time as a sincere agreement with a rational argumentation of the possibility of the existence of the Transcendent, in which meetings with deceased dear people are possible, the frustration of the grief of loss and torment of conscience are significantly weakened. That is, the motivational-dynamic complex of faith-hope-love, based on an authentically personal acceptance of ‘sub-sense’, causes a tangible and permanent psychotherapeutic effect here and now. Belief in ‘sub-sense’ is extremely valuable in terms of psycho-hygiene, psycho-correction, psychotherapy, because it sets up optimistic hope and true love that heals the human psyche. And this is a guarantee of the effectiveness of its application in logotherapy of all manifestations of ‘existential despair’. Faith in God acquires enormous spiritual power if its subject has experienced the grace of conversion, the superpowerful peak of which is religious ecstasy. Unfortunately, it is impossible to acquire such a grace by mental and wilful efforts. But even the so-called rational, ‘only by reason’ belief in God can be a reliable basis for subjective self-defence against the frustrations of hopelessness, hopelessness, grief at losses, torment of conscience, etc.&lt;/jats:p&gt;"/>
    <n v="4099"/>
    <s v="No"/>
    <s v="No"/>
    <s v="No"/>
    <s v="No"/>
    <s v="No"/>
    <s v="Yes"/>
    <s v="No"/>
    <s v="article version includes two languages"/>
    <s v="Article includes &quot;uk&quot; and &quot;en&quot;, but the landing page includes ukrainian, polish, and english translations"/>
    <x v="4"/>
  </r>
  <r>
    <s v="journal-article:None"/>
    <s v="10.1186/s13244-024-01813-6"/>
    <s v="&lt;jats:title&gt;Abstract&lt;/jats:title&gt;&lt;jats:sec&gt;_x000a_                &lt;jats:title&gt;Objectives&lt;/jats:title&gt;_x000a_                &lt;jats:p&gt;Despite the absence of ionizing radiation, magnetic resonance (MR) has inherent risks in clinical practice that can have serious health consequences if overlooked. At an international level, there are MR safety guidelines that help define the organization of a radiology department to minimize the risks for patients and personnel. However, competing guidelines exist and not every country and institution adheres to the same standards. In this work, we aim to understand the current situation regarding MR safety practices across Europe, and to identify the points where harmonization, coordination, or further education is needed.&lt;/jats:p&gt;_x000a_              &lt;/jats:sec&gt;&lt;jats:sec&gt;_x000a_                &lt;jats:title&gt;Methods&lt;/jats:title&gt;_x000a_                &lt;jats:p&gt;An anonymous survey questionnaire was distributed between April and June 2023 through ESR member societies to healthcare professionals, aimed to assess personnel training, local policies, scanning practices, and accidents.&lt;/jats:p&gt;_x000a_              &lt;/jats:sec&gt;&lt;jats:sec&gt;_x000a_                &lt;jats:title&gt;Results&lt;/jats:title&gt;_x000a_                &lt;jats:p&gt;Seven hundred and ninety-three responses were obtained from 44 different countries. The majority of respondents from five countries reported that MR safety is mandated by law, but we could only confirm two (Italy and Austria). While 77% of the responses said that their institution had a clear MR safety guideline, 52% said that nobody in their institution had received specific MR safety training. MR-conditional cardiac devices are mostly scanned in university hospitals (reported by 75% of respondents from this type of institution) but in only 42% of outpatient facilities. MR-unsafe cardiac devices are only scanned off-label in 27% of university hospitals, and in an even smaller share of other institutions. Approximately 12% of the respondents reported MR-related accidents resulting in patient or personnel injury. Overall, there is the sentiment that MR safety education and regulation are needed.&lt;/jats:p&gt;_x000a_              &lt;/jats:sec&gt;&lt;jats:sec&gt;_x000a_                &lt;jats:title&gt;Conclusions&lt;/jats:title&gt;_x000a_                &lt;jats:p&gt;The European landscape in terms of MR safety is very heterogeneous, with different regulations across countries, and different procedures for MR safety training and their application in clinical routine. The European Society of Radiology is optimally positioned to play an active role in the harmonization of MR safety education and practices across Europe, and we are proposing a four-tiered framework for the development of a teaching curriculum for MR safety training.&lt;/jats:p&gt;_x000a_              &lt;/jats:sec&gt;&lt;jats:sec&gt;_x000a_                &lt;jats:title&gt;Critical relevance statement&lt;/jats:title&gt;_x000a_                &lt;jats:p&gt;There is room for raising awareness of MR safety issues to ensure patient safety, reduce accidents, and benefit more patients. We advocate for radiologist-led standardization and improvement of MR safety training as a way to address this problem.&lt;/jats:p&gt;_x000a_              &lt;/jats:sec&gt;&lt;jats:sec&gt;_x000a_                &lt;jats:title&gt;Key Points&lt;/jats:title&gt;_x000a_                &lt;jats:p&gt;&lt;jats:list list-type=&quot;bullet&quot;&gt;_x000a_                  &lt;jats:list-item&gt;_x000a_                    &lt;jats:p&gt;Our survey of MR safety practices across Europe revealed significant heterogeneity in regulations, training, and scanning practices.&lt;/jats:p&gt;_x000a_                  &lt;/jats:list-item&gt;_x000a_                  &lt;jats:list-item&gt;_x000a_                    &lt;jats:p&gt;There is a widespread lack of awareness and implementation of MR safety guidelines and diffuse uncertainty, under-scanning of eligible patients, and preventable accidents.&lt;/jats:p&gt;_x000a_                  &lt;/jats:list-item&gt;_x000a_                  &lt;jats:list-item&gt;_x000a_                    &lt;jats:p&gt;The ESR proposes a harmonized, four-tiered MR safety training curriculum to standardize, and improve safety practices across Europe.&lt;/jats:p&gt;_x000a_                  &lt;/jats:list-item&gt;_x000a_                &lt;/jats:list&gt;&lt;/jats:p&gt;_x000a_              &lt;/jats:sec&gt;"/>
    <n v="4077"/>
    <s v="No"/>
    <s v="No"/>
    <s v="Yes"/>
    <s v="Yes"/>
    <s v="No"/>
    <s v="Yes"/>
    <s v="No"/>
    <s v="No problems"/>
    <m/>
    <x v="3"/>
  </r>
  <r>
    <s v="journal-article:None"/>
    <s v="10.37697/eskiyeni.838001"/>
    <s v="&lt;jats:p xml:lang=&quot;tr&quot;&gt;İbnü’s-Salâh eş-Şehrezûrî (öl. 643/1245) kaleme aldığı eserler ve yetiştirdiği öğrencileri ile hadîs tarihinde önemli bir yere sahip olmuştur. Bu makalede, ona nispet edilen Müsne-dü’l-hâfız Osmân b. es-Salâh el-Eserî fîmâ verede mine’l-ehâdîs fî fadli’l-İskenderiyye ve ʿAskalân isimli eser incelenip değerlendirilmeye çalışılmıştır. Bu eser, Berlin Devlet Kütüphanesin-de bulunmaktadır. Kitap yirmi varaktır ve her bir varak on beş satırdan oluşmaktadır. Kesin olmamakla birlikte, İbnü’s-Salâh’a ait olma durumu söz konusudur. Zira kapak dışında İbnü’s-Salâh’ın ismine eserin herhangi bir yerinde değinilmemiş ve bir tarih kaydı da düşülmemiştir. İçerdiği rivâyetler, kitâbet yolu ona iletilmiştir. İbnü’s-Salâh’ın bu rivâyetleri başka birine verdiği, okuttuğu veya icazet verdiğine dair bir malumata da ulaşılamamıştır. Bu eserde İskenderiye ve Askalân’ın fazileti ile ilgili rivâyetlerin yanı sıra Allah yolunda ribâtta bulunmanın değerleri ile ilgili hadîsler de nakledilmiştir. İskenderi-ye, Akdeniz kıyısında bulunmakta olup Mısır’ın ikinci büyük şehridir. Askalân ise Filistin’in önde gelen şehirlerinden biri olup bugün İsrail’in işgali altında bulunmaktadır. Gazze’nin kuzeyinde bir Akdeniz şehridir. Askerî, dinî, ilmî, ticarî ve sosyal faaliyetlerin önemli merkezlerinden olan bu iki şehir, tarihi süreç içerisinde çok sayıda kültür ve medeniyete ev sahipliği etmiştir. Ribât ise düşman saldırılarına karşı sınır boylarında nöbet tutmak, cihad için hazırlık yapmak, İslâm topraklarını muhafaza etmeye çalışmak gibi anlamlara gelmektedir.Bu eserde altmış altı rivâyet nakledilmiştir. Rivâyetlerin yarısı, kaynağı açısından merfûdur. Geriye kalan rivâyetler ise mevkûf ve maktûdur. Muhteva açısından rivâyetle-rin büyük çoğunluğu ribâtta bulunmanın sevabı ve İskenderiye’nin fazileti ile ilgilidir. Allah yolunda ribâtta bulunmanın kıymeti ile ilgili rivâyetlerin, temel hadîs kaynaklarında nakledildiği görülmüştür. İskenderiye ve şehirlerin fazileti ile ilgili olanların ise kaynağı tespit edilememiştir.Merfu olmayan rivâyetlerin de içeriği ağırlıklı olarak ribât ve İsken-deriye’nin faziletine dairdir. İskenderiye ile ilgili rivâyetlerde dahî ribâta vurgu yapılmış ve bununla bağlantılı olarak bu şehirde ribâtta bulunmanın çok daha makbul olduğu belir-tilmiştir.Senedlerde bulunan râvî sayısı iki ile on iki arasında değişmektedir. İlk ve son râvisi açısından bakıldığında bu rivâyetlerin ağırlıklı olarak birkaç râvî tarafından nakledildiğini söylemek mümkündür. Bunun yanı sıra her ne kadar ilk ve son râvî olmasa da Hânî b. Müvekkil gibi bazı râvilerin birçok rivâyetin senedinde bulunduğu görülmektedir. Bu kişilerin İskenderiye ile ilgili bâtıl rivâyetler naklettikleri bilgisi, söz konusu eserde yer alan hadîslerin sahih olmadığı hatta uydurulduğu sonucuna ulaştırmaktadır. Ribât ile ilgili genel manadaki rivâyetlerin, sırf şehrin elde tutulması ve korunması amacıyla İskenderi-ye ile ilişkilendirildiği izlenimi verdiği söylenebilir. Zira ilk dönemlerde kaynaklarında bulunmayan böyle rivâyetlerin sonradan ortaya çıktığı ve nispeten geç dönem eserlerin-de yer aldığı görülmektedir.İbnü’s-Salah gibi usûlde uzman olan birinin -mevcut verilere göre- uydurma özelliğine sahip rivâyetlere eserinde yer vermesi, hadîslerin sıhhati ile ilgili hiçbir açıklama ve değerlendirmede de bulunmaması bir eksiklik olarak görülebilir. Ancak buradan İbnü’s-Salâh’ın uydurma hadîsler konusunda özensiz veya mütesahil davrandığını söylemek de zorlama bir yorum ve niyet okuma olur. Zira o, bu eserde nakledilen rivâyetleri kitâbet ve icâzet yoluyla tahammül etmiştir. Ayrıca kendisinden sonra bu rivâyetleri talebeleri ara-cılığı ile nakledildiğine dair bir bilgi de bulunmamaktadır. Yani rivâyet silsilesi tespit edi-lebildiği kadarıyla İbnü’s-Salâh ile son bulmuştur. Dolayısıyla onun uydurma hadîslerin yaygınlaşmasına imkân verdiği ve bu konuda titiz davranmadığını söylemek mümkün değildir. Bu çalışma vesilesiyle İbnü’s-Salâh’a nispet edilen bir eser, farklı boyutlarıyla tetkik edilerek ilim dünyasının istifadesine sunulmuştur. &lt;/jats:p&gt;"/>
    <n v="4075"/>
    <s v="No"/>
    <s v="&quot;tr&quot;,&quot;en&quot;"/>
    <s v="Yes"/>
    <s v="Yes"/>
    <s v="No"/>
    <s v="No"/>
    <s v="No"/>
    <s v="No problems"/>
    <s v="REST API only has &quot;tr&quot;"/>
    <x v="3"/>
  </r>
  <r>
    <s v="journal-article:None"/>
    <s v="10.52259/historijskipogledi.2022.5.7.270"/>
    <s v="&lt;jats:p&gt;The Second World War, along with great human sacrifices and material destruction, also brought radical changes in the socio-political system in the new (AVNOJ) Yugoslavia. Immediately after the end of the Second World War, the state's attitude towards religious communities was highly suspicious. However, in addition to the need to renovate private and social infrastructure, religious communities have also launched initiatives to rehabilitate and rebuild war-torn and/or damaged religious buildings. Until the 1960s, the requests of religious communities for the renovation of their buildings were treated with suspicion by the competent state authorities, and were generally resolved unfavorably. The Communist Party, which authoritarianly controlled and directed all social flows, did not look favorably on such and similar activities of religious communities. Procedures for the restoration of religious buildings were complex and strictly controlled. In each municipality there were Religious Affairs Commissions that closely monitored the behavior of individuals, believers and clergy, as well as religious bodies and institutions in their area. For more complex issues, the municipal commissions were supervised by the district commissions for religious affairs, to whom they very often turned for their opinion and/or consent. On rare occasions, when even the district commissions did not have a secure position on an issue, they turned to the republic commissions. Therefore, it is not surprising that the procedures were often lengthy, which means that they waited for several months to resolve the submitted requests, and sometimes even a year or more. Not only the Islamic community, but also Bosniaks as a nation faced great organizational and even existential difficulties. While their positive role and nationality was recognized in the war, immediately after the end of World War II and the establishment of AVNOJ Yugoslavia, Muslims/Bosniaks were both de facto and de jure challenged as a people. There was no place for them in the official state coat of arms, which had five, instead of six torches, which symbolized the peoples of the Federal People's Republic of Yugoslavia. It was not until 1963 that the Communist Party began to revise its manipulative attitudes towards Muslims/Bosniaks, thus beginning the process of recognizing them as a separate people. Since then, they have begun to declare themselves as Muslims, with a capital letter &quot;M&quot;. Although this act did not fully satisfy the constitutional rights of Muslims/Bosniaks, this was a big step towards their national affirmation. The central focus of this paper is the monitoring and analysis of procedures for the rehabilitation and restoration of religious buildings of the Islamic (religious) community in the municipality of Kalesija in the mid-1960s. The paper includes three requests for the construction and renovation of religious buildings. In chronological terms, the request for the renovation of the existing mosque in the village of Kalesija, which was dilapidated and unconditional for use, was first analyzed. The next request refers to the construction of a mosque in the village of Gojčin instead of the demolished old mosque with a wooden minaret. The third request to the Commission for Religious Affairs of the Municipal Assembly of Kalesija was sent by the residents of the village of Mahmutovići.  The paper primarily relies on thirteen original documents deposited in the Archives of Tuzla Canton that thematize the rehabilitation, restoration and construction of religious buildings and at the same time authentically depict the current socio-political situation and citizens' rights to religion and practical application of these rights. In addition to the original documents, the paper uses relevant literature on social processes in Yugoslav society from the end of World War II to the late 1960s, with special emphasis on the position of Muslims/Bosniaks at the time of imposing collective lobotomy and denying Bosniak names and identities.&lt;/jats:p&gt;"/>
    <n v="4069"/>
    <s v="No"/>
    <s v="No"/>
    <s v="Not available"/>
    <s v="No"/>
    <s v="No"/>
    <s v="Yes"/>
    <s v="No"/>
    <s v="article version includes two languages"/>
    <s v="&quot;bs&quot; and &quot;en&quot; in article, but only &quot;en&quot; in metadata"/>
    <x v="4"/>
  </r>
  <r>
    <s v="journal-article:None"/>
    <s v="10.1093/ofid/ofad500.2412"/>
    <s v="&lt;jats:title&gt;Abstract&lt;/jats:title&gt;_x000a_               &lt;jats:sec&gt;_x000a_                  &lt;jats:title&gt;Background&lt;/jats:title&gt;_x000a_                  &lt;jats:p&gt;In March 2023, the Clinical and Laboratory Standards Institute (CLSI) lowered the Enterobacterales susceptible (S)/resistant breakpoints for amikacin from ≤16/≥64 mg/L to ≤4/≥16 mg/L and gentamicin and tobramycin from ≤4/≥16 mg/L to ≤2/≥8 mg/L. As aminoglycosides are frequently used to treat infections caused by multidrug-resistant (MDR) and carbapenem-resistant Enterobacterales (CRE), we evaluated the activity of plazomicin and the impact of CLSI breakpoint changes on the susceptibility rates of Enterobacterales collected from US medical centers.&lt;/jats:p&gt;_x000a_               &lt;/jats:sec&gt;_x000a_               &lt;jats:sec&gt;_x000a_                  &lt;jats:title&gt;Methods&lt;/jats:title&gt;_x000a_                  &lt;jats:p&gt;5,725 Enterobacterales isolates were consecutively collected (1/patient) from 36 US medical centers in 2020–2022 and susceptibility tested by broth microdilution against amikacin, gentamicin, tobramycin, and plazomicin. Susceptibility rates were calculated using both current CLSI/USFDA breakpoints and the recently revised CLSI breakpoints. Aminoglycoside-nonsusceptible isolates were screened for genes encoding aminoglycoside-modifying enzymes (AMEs) and 16S rRNA methyltransferases (16RMT).&lt;/jats:p&gt;_x000a_               &lt;/jats:sec&gt;_x000a_               &lt;jats:sec&gt;_x000a_                  &lt;jats:title&gt;Results&lt;/jats:title&gt;_x000a_                  &lt;jats:p&gt;Plazomicin was active against 96.3% of isolates and retained potent activity against MDR (93.1%S) and CRE (92.1%S) isolates. The highest variations in susceptibility rates due to breakpoint changes were observed with amikacin, especially among MDR (95.1%S to 69.9%S; Table) and CRE (77.8%S to 61.9%S). Against all Enterobacterales, amikacin susceptibility rates decreased from 99.6%S to 95.0%S; susceptibility to gentamicin and tobramycin decreased 0.8% and 2.6%, respectively. Gentamicin and tobramycin showed limited activity against MDR and CRE with both 2022 and 2023 breakpoints. AME-encoding genes were observed in 474 (8.3% of isolates) and 16RMT was found in 7 isolates (0.1%). Plazomicin was active against 97.3% of AME producers.&lt;/jats:p&gt;_x000a_               &lt;/jats:sec&gt;_x000a_               &lt;jats:sec&gt;_x000a_                  &lt;jats:title&gt;Conclusion&lt;/jats:title&gt;_x000a_                  &lt;jats:p&gt;Amikacin’s spectrum of activity against CRE and MDR Enterobacterales was drastically reduced when interpretative criteria based on PK/PD parameters currently used to establish breakpoints to other antimicrobials were applied. Plazomicin is markedly more active than amikacin, gentamicin, or tobramycin against CRE and MDR Enterobacterales causing infections in US medical centers.&lt;/jats:p&gt;_x000a_               &lt;/jats:sec&gt;_x000a_               &lt;jats:sec&gt;_x000a_                  &lt;jats:title&gt;Disclosures&lt;/jats:title&gt;_x000a_                  &lt;jats:p&gt;Helio S. Sader, MD, PhD, FIDSA, AbbVie: Grant/Research Support|Basilea: Grant/Research Support|Cipla: Grant/Research Support|Paratek: Grant/Research Support|Pfizer: Grant/Research Support|Shionogi: Grant/Research Support Rodrigo E. Mendes, PhD, AbbVie: Grant/Research Support|Basilea: Grant/Research Support|Cipla: Grant/Research Support|Entasis: Grant/Research Support|GSK: Grant/Research Support|Paratek: Grant/Research Support|Pfizer: Grant/Research Support|Shionogi: Grant/Research Support S J Ryan Arends, PhD, Cipla: Grant/Research Support|GSK: Grant/Research Support Cecilia G. Carvalhaes, MD, PhD, AbbVie: Grant/Research Support|bioMerieux: Grant/Research Support|Cipla: Grant/Research Support|CorMedix: Grant/Research Support|Melinta: Grant/Research Support|Pfizer: Grant/Research Support Mariana Castanheira, PhD, AbbVie: Grant/Research Support|Basilea: Grant/Research Support|bioMerieux: Grant/Research Support|Cipla: Grant/Research Support|CorMedix: Grant/Research Support|Entasis: Grant/Research Support|Melinta: Grant/Research Support|Paratek: Grant/Research Support|Pfizer: Grant/Research Support|Shionogi: Grant/Research Support&lt;/jats:p&gt;_x000a_               &lt;/jats:sec&gt;"/>
    <n v="4053"/>
    <s v="No"/>
    <s v="No"/>
    <s v="Yes"/>
    <s v="Yes"/>
    <s v="No"/>
    <s v="Yes"/>
    <s v="No"/>
    <s v="includes disclosures"/>
    <m/>
    <x v="1"/>
  </r>
  <r>
    <s v="journal-article:None"/>
    <s v="10.1186/s12903-023-03068-x"/>
    <s v="&lt;jats:title&gt;Abstract&lt;/jats:title&gt;&lt;jats:sec&gt;_x000a_                &lt;jats:title&gt;Background&lt;/jats:title&gt;_x000a_                &lt;jats:p&gt;Sublingual varices (SV) and their predictive potential for other clinical parameters is a much studied topic in oral medicine. SVs have been well studied as predictive markers for many common diseases such as arterial hypertension, cardiovascular disease, smoking, type 2 diabetes mellitus and age. Despite many prevalence studies, it is still unclear how the reliability of SV inspection affects its predictive power. The aim of this study was to quantify the inspection reliability of SV.&lt;/jats:p&gt;_x000a_              &lt;/jats:sec&gt;&lt;jats:sec&gt;_x000a_                &lt;jats:title&gt;Methods&lt;/jats:title&gt;_x000a_                &lt;jats:p&gt;In a diagnostic study, the clinical inspection of 78 patients by 23 clinicians was examined for the diagnosis of SV. Digital images of the underside of the tongue were taken from each patient. The physicians were then asked to rate them for the presence of sublingual varices (0/1) in an online inspection experiment. Statistical analysis for inter-item and inter-rater reliability was performed in a τ-equivalent measurement model with Cronbach's &lt;jats:inline-formula&gt;&lt;jats:alternatives&gt;&lt;jats:tex-math&gt;$$\alpha$$&lt;/jats:tex-math&gt;&lt;mml:math xmlns:mml=&quot;http://www.w3.org/1998/Math/MathML&quot;&gt;_x000a_                    &lt;mml:mi&gt;α&lt;/mml:mi&gt;_x000a_                  &lt;/mml:math&gt;&lt;/jats:alternatives&gt;&lt;/jats:inline-formula&gt; and Fleiss κ.&lt;/jats:p&gt;_x000a_              &lt;/jats:sec&gt;&lt;jats:sec&gt;_x000a_                &lt;jats:title&gt;Results&lt;/jats:title&gt;_x000a_                &lt;jats:p&gt;The interrater reliability for sublingual varices was relatively low with κ = 0.397. The internal consistency of image findings for SV was relatively high with α≈ 0.937. This shows that although SV inspection is possible in principle, it has a low reliability R. This means that the inspection finding (0/1) of individual images often cannot be reproduced stably. Therefore, SV inspection is a difficult task of clinical investigation. The reliability R of SV inspection also limits the maximum linear correlation &lt;jats:inline-formula&gt;&lt;jats:alternatives&gt;&lt;jats:tex-math&gt;$${r}_{max}$$&lt;/jats:tex-math&gt;&lt;mml:math xmlns:mml=&quot;http://www.w3.org/1998/Math/MathML&quot;&gt;_x000a_                    &lt;mml:msub&gt;_x000a_                      &lt;mml:mi&gt;r&lt;/mml:mi&gt;_x000a_                      &lt;mml:mrow&gt;_x000a_                        &lt;mml:mi&gt;max&lt;/mml:mi&gt;_x000a_                      &lt;/mml:mrow&gt;_x000a_                    &lt;/mml:msub&gt;_x000a_                  &lt;/mml:math&gt;&lt;/jats:alternatives&gt;&lt;/jats:inline-formula&gt; of SV with an arbitrary other parameter Y. The reliability of SV inspection &lt;jats:italic&gt;R&lt;/jats:italic&gt; = 0.847 limits the maximum correlation to &lt;jats:inline-formula&gt;&lt;jats:alternatives&gt;&lt;jats:tex-math&gt;$${r}_{max}$$&lt;/jats:tex-math&gt;&lt;mml:math xmlns:mml=&quot;http://www.w3.org/1998/Math/MathML&quot;&gt;_x000a_                    &lt;mml:msub&gt;_x000a_                      &lt;mml:mi&gt;r&lt;/mml:mi&gt;_x000a_                      &lt;mml:mrow&gt;_x000a_                        &lt;mml:mi&gt;max&lt;/mml:mi&gt;_x000a_                      &lt;/mml:mrow&gt;_x000a_                    &lt;/mml:msub&gt;_x000a_                  &lt;/mml:math&gt;&lt;/jats:alternatives&gt;&lt;/jats:inline-formula&gt; (SV, Y) = 0,920—a 100% correlation was a priori not achievable in our sample. To overcome the problem of low reliability in SV inspection, we propose the RA (relative area) score as a continuous classification system for SV, which normalises the area of visible sublingual veins to the square of the length of the tongue, providing a dimensionless measure of SV.&lt;/jats:p&gt;_x000a_              &lt;/jats:sec&gt;&lt;jats:sec&gt;_x000a_                &lt;jats:title&gt;Conclusions&lt;/jats:title&gt;_x000a_                &lt;jats:p&gt;The reliability of the SV inspection is relatively low. This limits the maximum possible correlation of SV with other (clinical) parameters. SV inspection reliability is an important indicator for the quality of SV as a predictive marker. This should be taken into account when interpreting previous studies on SV and has implications for future studies. The RA score could help to objectify the SV examination and thus increase its reliability.&lt;/jats:p&gt;_x000a_              &lt;/jats:sec&gt;"/>
    <n v="4045"/>
    <s v="MathML"/>
    <s v="&quot;en&quot;"/>
    <s v="Yes"/>
    <s v="Yes"/>
    <s v="No"/>
    <s v="Yes"/>
    <s v="Yes"/>
    <s v="U+2009 thin space from general punc; "/>
    <s v="U+2009 thin space from general punc; "/>
    <x v="0"/>
  </r>
  <r>
    <s v="journal-article:None"/>
    <s v="10.1093/humrep/dead093.554"/>
    <s v="&lt;jats:title&gt;Abstract&lt;/jats:title&gt;_x000a_               &lt;jats:sec&gt;_x000a_                  &lt;jats:title&gt;Study question&lt;/jats:title&gt;_x000a_                  &lt;jats:p&gt;Can the annotationfree embryo scoring system (iDAScore) predict the likelihood of euploidy in embryos?&lt;/jats:p&gt;_x000a_               &lt;/jats:sec&gt;_x000a_               &lt;jats:sec&gt;_x000a_                  &lt;jats:title&gt;Summary answer&lt;/jats:title&gt;_x000a_                  &lt;jats:p&gt;Our results have shown that there is a significant positive correlation between iDAScore and blastocyst euploidy.&lt;/jats:p&gt;_x000a_               &lt;/jats:sec&gt;_x000a_               &lt;jats:sec&gt;_x000a_                  &lt;jats:title&gt;What is known already&lt;/jats:title&gt;_x000a_                  &lt;jats:p&gt;iDAScore (Vitrolife, Sweden) is an embryo ranking model that was developed by using artificial intelligence (AI) and deep learning. It does not require any user-dependent annotation which largely eliminates the subjectivity of manual annotation by embryologists. It has also been reported to be a robust predictor in likelihood of embryo implantation. However, the correlation between iDAScore and euploidy has not been extensively studied. Therefore, this study is to determine if iDAScore can be utilized as a predictor for embryo euploidy.&lt;/jats:p&gt;_x000a_               &lt;/jats:sec&gt;_x000a_               &lt;jats:sec&gt;_x000a_                  &lt;jats:title&gt;Study design, size, duration&lt;/jats:title&gt;_x000a_                  &lt;jats:p&gt;A total of 860 blastocysts (mean age: 30.0; age range: 19.0-35.0) were assessed with iDAScore on day-5 and/or day-6 of embryo development from January 2022 to October 2022 at Alpha IVF &amp;amp; Women’s Specialists. The euploidy rates were analyzed based on the stratified iDAScores (Group A:0.0-4.9; Group B: 5.0-7.4; Group C:7.5-8.9; Group D:9.0-10.0).&lt;/jats:p&gt;_x000a_               &lt;/jats:sec&gt;_x000a_               &lt;jats:sec&gt;_x000a_                  &lt;jats:title&gt;Participants/materials, setting, methods&lt;/jats:title&gt;_x000a_                  &lt;jats:p&gt;Scores were computed by the iDAScore software at the Vitrolife Technology Hub (Vitrolife, Gothenburg, Sweden) prior to trophectoderm biopsy for Preimplantation Genetic Testing for Aneuploidies (PGT-A) (Ion Torrent, USA). The ploidy status (euploid or aneuploid) based on PGT-A results were recorded and assessed with the corresponding iDAScore.&lt;/jats:p&gt;_x000a_               &lt;/jats:sec&gt;_x000a_               &lt;jats:sec&gt;_x000a_                  &lt;jats:title&gt;Main results and the role of chance&lt;/jats:title&gt;_x000a_                  &lt;jats:p&gt;The euploidy rates of Group A, B, C and D were 56.7% (17/30), 60.0% (105/175), 65.9% (178/270) and 74.8% (288/385) respectively. Group D shows significantly higher euploidy rate compared to Group B and Group C (p = 0.0005, p = 0.0143). A weak significance was observed between Group D and Group A (p = 0.0505). This is probably due to smaller sample size in Group A. No significant differences were displayed among Group A, Group B and Group C (p = &amp;amp;gt; 0.005). Our results demonstrated an increasing trend between iDAScore and the proportion of euploid embryos.&lt;/jats:p&gt;_x000a_               &lt;/jats:sec&gt;_x000a_               &lt;jats:sec&gt;_x000a_                  &lt;jats:title&gt;Limitations, reasons for caution&lt;/jats:title&gt;_x000a_                  &lt;jats:p&gt;Few of the blastocysts in Group A could be selected for biopsy so the sample size was only a fraction of the other groups. Further studies and larger sample sizes would allow the findings to be stated more confidently.&lt;/jats:p&gt;_x000a_               &lt;/jats:sec&gt;_x000a_               &lt;jats:sec&gt;_x000a_                  &lt;jats:title&gt;Wider implications of the findings&lt;/jats:title&gt;_x000a_                  &lt;jats:p&gt;Although the iDAScore algorithm scores the chance of embryo implantation, we have demonstrated its potential to assist in predicting the embryo ploidy status in a non-invasive manner. This may be used to inform the decision of which and how many blastocysts to biopsy and transfer, thus reducing treatment costs.&lt;/jats:p&gt;_x000a_               &lt;/jats:sec&gt;_x000a_               &lt;jats:sec&gt;_x000a_                  &lt;jats:title&gt;Trial registration number&lt;/jats:title&gt;_x000a_                  &lt;jats:p&gt;not applicable&lt;/jats:p&gt;_x000a_               &lt;/jats:sec&gt;"/>
    <n v="4034"/>
    <s v="No"/>
    <s v="No"/>
    <s v="Yes"/>
    <s v="Yes"/>
    <s v="No"/>
    <s v="Yes"/>
    <s v="Yes"/>
    <s v="U+2009 thin space from general punc; "/>
    <s v="U+2009 thin space from general punc; "/>
    <x v="0"/>
  </r>
  <r>
    <s v="journal-article:None"/>
    <s v="10.4103/ijdr.ijdr_822_21"/>
    <s v="&lt;jats:sec&gt;_x000a_            &lt;jats:title&gt;Aim:&lt;/jats:title&gt;_x000a_            &lt;jats:p&gt;The aim of this study was to compare audio-visual and verbal education on oral health related quality of life, dental anxiety and dental neglect, on diabetes mellitus patients attending Teerthanker Mahaveer Hospital, Moradabad.&lt;/jats:p&gt;_x000a_          &lt;/jats:sec&gt;_x000a_          &lt;jats:sec&gt;_x000a_            &lt;jats:title&gt;Materials and Method:&lt;/jats:title&gt;_x000a_            &lt;jats:p&gt;The current longitudinal interventional study was conducted to check the efficiency of audio-visual and verbal education on OHRQoL, Dental anxiety and dental neglect, on diabetes mellitus patients attending Teerthanker Mahaveer Hospital, Moradabad, U.P., India. A 14-item questionnaire, OHIP-14, with emphasis on seven proportions of impact was used to collect information on OHRQoL. Corah Dental Anxiety Scale (DAS) will be used to collect data on Dental Anxiety. A prevalidated revised proforma of Dental Neglect Scale (DNS) was used to gather information on Dental Neglect. The questionnaire was a six-question instrument related to dental problems. After collecting the initial baseline data, the sample was divided into two groups: verbal education group (&lt;jats:italic toggle=&quot;yes&quot;&gt;n&lt;/jats:italic&gt; = 1030) and audio-visual education group (&lt;jats:italic toggle=&quot;yes&quot;&gt;n&lt;/jats:italic&gt; = 1030). Then oral health education (OHE) was provided verbally to Group I patients and OHE with audio-visual aids was given to Group II patients visiting Teerthanker Mahaveer Hospital. OHE was repeated every 2 months. At every 6, 12 and 18 months, questionnaire was repeated to evaluate the effectiveness of OHE. Inspection will be conducted under natural daylight in hospital premises. To avoid the disruption while conducting the examination, adequate supply of instruments was taken. Instruments were sterilized by autoclaving in the college.&lt;/jats:p&gt;_x000a_          &lt;/jats:sec&gt;_x000a_          &lt;jats:sec&gt;_x000a_            &lt;jats:title&gt;Results:&lt;/jats:title&gt;_x000a_            &lt;jats:p&gt;A total of 1926 patients attended all the follow-up and review examinations. Subject dropout for Group I was 2% with 1009 at 6&lt;jats:sup&gt;th&lt;/jats:sup&gt; month; 3% with 978 at 12&lt;jats:sup&gt;th&lt;/jats:sup&gt; month and 1% with 967 at 18&lt;jats:sup&gt;th&lt;/jats:sup&gt; month. Subject dropout rate for Group II was 3% with 999 at 6&lt;jats:sup&gt;th&lt;/jats:sup&gt; month; 0% with 999 at 12&lt;jats:sup&gt;th&lt;/jats:sup&gt; month and 4% with 959 at 18&lt;jats:sup&gt;th&lt;/jats:sup&gt; month. The difference of subject dropout among the groups was not statistically significant (&lt;jats:italic toggle=&quot;yes&quot;&gt;P&lt;/jats:italic&gt; = 0.23). Group mean total OHIP-14 score after 18 months was recorded as 15.36 ± 8.61, whereas in Audio-visual education group mean total OHIP-14 score after 18 months was recorded as 14.42 ± 7.59. At the end of study mean DAS score for DAS ≥15 (severe anxiety) was found to be 1.95 ± 2.18 in verbal education group, whereas in audio-visual education group mean DAS score for DAS ≥15 (severe anxiety) was found to be 2.24 ± 1.98. At the end of the study mean DN score for DNS ≥15 (severe Dental Neglect) was found to be 3.54 ± 2.63 in verbal education group, whereas audiovisual education group mean DN score for DNS ≥15 (severe Dental Neglect) was found to be 2.59 ± 2.75.&lt;/jats:p&gt;_x000a_          &lt;/jats:sec&gt;_x000a_          &lt;jats:sec&gt;_x000a_            &lt;jats:title&gt;Conclusion:&lt;/jats:title&gt;_x000a_            &lt;jats:p&gt;The quality of life is a factor that can be considerably affected by oral health, which in turn reflects the general health of an individual. The main part of oral disease prevention is done by use of personal oral hygiene measures and maintaining oral hygiene. It is the duty of dental professionals to motivate, show and instruct patients to maintain appropriate oral health and oral hygiene. The study concludes that the program of this kind may be beneficial in improving many dimensions of dental health of an individual that includes physical health, emotional well-being, OHRQoL, inter-personal relationship and the fear related to dental treatment.&lt;/jats:p&gt;_x000a_          &lt;/jats:sec&gt;"/>
    <n v="4033"/>
    <s v="No"/>
    <s v="&quot;en&quot;"/>
    <s v="Yes"/>
    <s v="Yes"/>
    <s v="No"/>
    <s v="Yes"/>
    <s v="No"/>
    <s v="No problems"/>
    <m/>
    <x v="3"/>
  </r>
  <r>
    <s v="journal-article:None"/>
    <s v="10.1182/blood-2023-185432"/>
    <s v="&lt;jats:title/&gt;_x000a_               &lt;jats:p&gt;CD33 is widely expressed by myeloid cells and is a validated drug target in acute myeloid leukemia (AML), as shown by the benefit of some patients from the CD33 antibody-drug conjugate gemtuzumab ozogamicin (GO). However, GO is often ineffective and toxic, prompting interest in more potent CD33-directed therapies. Success of T cell-engaging bispecific antibodies in lymphoid malignancies has raised enthusiasm for similar agents targeting CD33, but toxicities from activated T cells cause significant challenges for their use and provide a strong rationale to explore drugs engaging natural killer (NK) cells. Here, we investigated BMS-986357, a TriNKET ® that activates NK cells via CD16 and NKG2D receptors while targeting CD33. This format was chosen because simultaneous engagement of multiple activating NK cell receptors yields greater cytotoxic activity against neoplastic cells than engagement via a single activating receptor. Surface plasmon resonance analyses showed BMS-986357 simultaneously binds CD33, NKG2D, and CD16a, and co-engagement of NKG2D and CD16a increases the avidity. In the presence of primary human NK cells from healthy donors or a human NK cell line, the TriNKET ® demonstrated broad cytolytic anti-leukemia activity in a strictly CD33-dependent manner using a panel of CD33-expressing or CD33-deficient/deleted acute leukemia cells. Consistent with this, removing the CD33 binding domain rendered BMS-986357 ineffective against CD33+ AML cells. Drug-induced cytotoxicity was greater with BMS-986357 than with monoclonal CD33 antibodies, including lintuzumab and an afucosylated antibody with enhanced NK function, demonstrating the benefit of the TriNKET ® format. Compared to BMS-986357, substantially less cytotoxicity was observed with an Fc-mutant variant of BMS-986357 that abrogates binding to CD16a or an NKG2D dead-arm TriNKET ®, and cytolytic effects were reduced with a CD16-deficient NK cell line vs. a CD16-expressing subline, indicating maximal efficacy of BMS-986357 required co-engagement of CD16a and NKG2D. Using sublines of OCI-AML3 and KG-1 cells (both cell lines with low endogenous CD33 expression) to overexpress wild-type CD33 at increasing levels, we found low abundance of CD33 curtailed BMS-986357-induced cytotoxicity. Flow cytometric binding studies identified BMS-986357 to recognize the membrane-distal V-set domain of CD33. Unlike GO, BMS-986357-mediated cytolysis was not affected by over-expression of ABC transporter proteins by AML cells. The potency but not maximal activity of BMS-986357 was reduced by super-physiologic concentrations of soluble CD33; in contrast, the soluble form of the NKG2D ligand MICA did not impact TriNKET ® activity. In the presence of CD33+ AML cells, BMS-986357 activated NK cells but not T cells from healthy donor peripheral blood mononuclear cells and produced similar levels of maximum cytolysis as a CD33/CD3 bispecific antibody. Despite this, BMS-986357 elicited 10 to &amp;amp;gt;100-fold lower soluble cytokine levels including IFN-γ, TNF, IL-6, and GM-CSF than a CD33/CD3 bispecific antibody, suggesting BMS-986357 has the potential for CD33/CD3 bispecific-like efficacy without the associated risk of cytokine release syndrome. Finally, in bone marrow specimens from patients with AML, BMS-986357 killed AML cells but not normal monocytes, suggesting selectivity of drug-induced cytotoxicity toward neoplastic cells, consistent with the notion NK cells are capable to differentiate between healthy and leukemic CD33+ cells. This selectivity suggests BMS-986357 may produce less myelosuppressive toxicity than what has been observed with CD33 targeting antibody-drug conjugates. In summary, our findings demonstrate that BMS-986357 TriNKET ® has potent CD33-dependent cytolytic activity in vitro against human AML cells, supporting the drug's exploration in early phase clinical trials. One such trial (NCT04789655) has opened accrual for adults with relapsed/refractory AML.&lt;/jats:p&gt;"/>
    <n v="4024"/>
    <s v="No"/>
    <s v="No"/>
    <s v="Yes"/>
    <s v="Yes"/>
    <s v="No"/>
    <s v="Yes"/>
    <s v="No"/>
    <s v="No problems"/>
    <m/>
    <x v="3"/>
  </r>
  <r>
    <s v="journal-article:None"/>
    <s v="10.18799/24131830/2020/5/2638"/>
    <s v="&lt;jats:p&gt;Актуальность исследования. На всех этапах технологической цепи добычи, транспортировки и последующего использования геологических ресурсов применяется широкий спектр высоковольтного оборудования, существенную часть которого составляют высоковольтные трансформаторы различных типов, назначений и классов напряжения. Поэтому общая энергетическая эффективность и надежность производства геологических ресурсов существенно зависит от состояния высоковольтного трансформаторного оборудования. Дефектное состояние одной трансформаторной единицы часто является причиной внезапной аварийной остановки всей технологической цепи комплексного производственного процесса. Результатом подобного инцидента является пожар, сопровождаемый взрывом высоковольтного ввода, разлив масла, загрязнение окружающей среды и материальный ущерб, исчисляемый многомиллионными суммами. К возникновению дефектного и, как следствие, аварийного состояния приводит ряд электрофизических и эксплуатационных факторов, воздействующих на изоляцию и активную часть трансформаторов. В свою очередь наиболее проблемным элементом активной части трансформатора оказываются обмотки как высокого, так и низкого напряжения, в которых появляются механические смещения как результат воздействия пондеромоторных сил токов короткого замыкания. Подобные дефекты могут развиваться длительное время, и трансформатор может находиться в работе в номинальном режиме. На некотором этапе развития дефект становится критическим, повреждения изоляции обмотки при очередном коротком замыкании ведут к возгоранию с последующей аварией. Для предупреждения подобных ситуаций необходима эффективная технология контроля состояния обмоток. Стандартные методы являются малоэффективными для выявления дефектов обмотки на ранних стадиях развития. Среди новых и рекомендованных международными экспертными институтами МЭК и СИГРЭ являются модификации импульсного метода, прежде всего метод частотного анализа. Однако, не смотря на признание как наиболее достоверного и перспективного, указанный метод далеко не всегда позволяет обнаружить дефекты обмоток, особенно на ранних этапах развития. Кроме того, обязательным условием применения технологии метода частотного анализа является полное снятие напряжения, расшиновка трансформатора и использование специальной аппаратуры контроля. При этом для получения достоверных результатов диагностики необходимо наличие специальных эталонных сигналов – нормограмм, которые отсутствуют практически для всего парка трансформаторов, используемых в технологических процессах добычи и переработки геологических ресурсов. Эти факторы снижают общую эффективность технологии метода частотного анализа. Поэтому в настоящее время вопрос по исследованию и разработке технологии контроля состояния обмоток под рабочим напряжением является в полной мере актуальным. Цель: экспериментальное исследование принципиальной возможности контроля состояния обмоток трансформатора на основе процессов коммутации в высоковольтной сети. Методы: метод моделирования на реальном физическом объекте. В трансформаторе НТМИ-6 на одной фазе созданы дефекты механического смещения обмоток. Две другие фазы имеют исправное состояние. При помощи специальной схемы трансформатор включался в сеть. С помощью электронного осциллографа Tektronix типа TDS-2012 осуществлялась регистрация напряжения на первичной обмотке и сигнала отклика с одноименной фазы вторичной обмотки. Измерения повторялись для двух других фаз по такой же схеме. Результаты. На реальном трансформаторе типа НТМИ-6 экспериментально исследована и установлена принципиальная возможность осуществления контроля механического состояния его обмоток при использовании отклика напряжения на вторичной обмотке трансформатора при включении трансформатора в сеть. Таким образом, показано, что при включении трансформатора в сеть подключаемое напряжение может служить диагностическим импульсом, пригодным для зондирования механического состояния обмоток трансформатора по методу низковольтных импульсов.&lt;/jats:p&gt;"/>
    <n v="4015"/>
    <s v="No"/>
    <s v="No"/>
    <s v="Yes"/>
    <s v="Yes"/>
    <s v="No"/>
    <s v="Yes"/>
    <s v="No"/>
    <s v="No problems"/>
    <m/>
    <x v="3"/>
  </r>
  <r>
    <s v="journal-article:None"/>
    <s v="10.1093/rheumatology/keae163.190"/>
    <s v="&lt;jats:title&gt;Abstract&lt;/jats:title&gt;_x000a_               &lt;jats:sec&gt;_x000a_                  &lt;jats:title&gt;Background/Aims&lt;/jats:title&gt;_x000a_                  &lt;jats:p&gt;Nailfold capillaroscopy (NFC) has been suggested as a potential biomarker of disease severity in systemic sclerosis (SSc). Several studies report the association between capillary loss and disease severity however, the association of NFC abnormalities with novel severe organ involvement/progression and mortality in SSc has not been evaluated. We aim to evaluate the association of nailfold capillaroscopy (NFC) abnormalities with novel major organ involvement/progression and mortality in SSc.&lt;/jats:p&gt;_x000a_               &lt;/jats:sec&gt;_x000a_               &lt;jats:sec&gt;_x000a_                  &lt;jats:title&gt;Methods&lt;/jats:title&gt;_x000a_                  &lt;jats:p&gt;Follow-up data from patients with SSc registered between 2000 and 2022 were analyzed. Patients underwent NFC at baseline. Baseline demographic data, antibody status, baseline pulmonary function, novel severe organ involvement/progression and mortality were registered. Novel organ involvement/progression was defined as new or progressive involvement of peripheral vasculature, lungs, heart, skin, gastrointestinal, kidney, musculoskeletal at 12 and 24 months of follow-up. The following NFC parameters were evaluated: capillary density, hemorrhages, enlarged and giant capillaries, avascular areas, organization of capillary architecture and scleroderma pattern (early/active/late). Logistic regression modelling was run to assess associations between NFC and clinical parameters, the occurrence of novel severe organ involvement and/or progression and mortality.&lt;/jats:p&gt;_x000a_               &lt;/jats:sec&gt;_x000a_               &lt;jats:sec&gt;_x000a_                  &lt;jats:title&gt;Results&lt;/jats:title&gt;_x000a_                  &lt;jats:p&gt;113 patients were included: 28 (25%) were male, 86 (76%) lcSSc and 27 (23%) dcSSc. 70 patients (61%) developed novel overall severe organ involvement/progression and 40 patients died (36%) during follow-up. Table 1 and table 2 summarizes the associations between NFC and novel severe organ involvement/progression and mortality during follow-up. Loss of capillary density was associated with overall severe organ involvement (p = 0.002), peripheral vascular involvement (p = 0.03), new ILD (p = 0.04) and skin progression (p = 0.01); avascular areas were associated with overall severe organ involvement (p = 0.03), new ILD (p = 0.03) and progression of ILD (p = 0.02) and scleroderma pattern was associated with overall severe organinvolvement (p = 0.03), peripheral vascular involvement (OR p = 0.04), new ILD (p = 0.004), progression of ILD (p = 0.03) and skin progression (p = 0.04). Mortality was associated with ILD (OR 2.56 CI 95% 1.5-7.2, p 0.04), DLCO &amp;amp;lt;70% (2.34 CI 93% 1.42-6.23, p 0.03), a late pattern in NFC (3.42 95% CI 1.42-7.25, p 0.002), presence of hemorrhages (OR 1.77 95% CI 1.24-8.23, p0.034) and avascular zones (OR 6.22 95% CI 2.54-10.3, p 0.021). Survival rates from diagnosis at 10 years were lower in patients with NFC with active a late pattern (40% and 20%) compared with those with normal, unspecific and early pattern (100%, 90% and 70%) (p = 0.008 by log rank test) (figure 1).&lt;/jats:p&gt;_x000a_               &lt;/jats:sec&gt;_x000a_               &lt;jats:sec&gt;_x000a_                  &lt;jats:title&gt;Conclusion&lt;/jats:title&gt;_x000a_                  &lt;jats:p&gt;NFC may be a potential biomarker in SSc for predicting novel severe organ involvement and/or progression and mortality. Abnormal capillary density, avascular areas and scleroderma pattern are predictors of overall severe organ involvement, peripheral vascular involvement, novel and progression of ILD and skin progression.&lt;/jats:p&gt;_x000a_                  &lt;jats:p/&gt;_x000a_               &lt;/jats:sec&gt;_x000a_               &lt;jats:sec&gt;_x000a_                  &lt;jats:title&gt;Disclosure&lt;/jats:title&gt;_x000a_                  &lt;jats:p&gt;C. Sieiro Santos: None. P. Pérez García: None. J. Ordas Martínez: None. C. Álvarez Castro: None. E. Díez Álvarez: None.&lt;/jats:p&gt;_x000a_               &lt;/jats:sec&gt;"/>
    <n v="3991"/>
    <s v="No"/>
    <s v="No"/>
    <s v="Yes"/>
    <s v="Yes"/>
    <s v="No"/>
    <s v="Yes"/>
    <s v="Yes"/>
    <s v="includes disclosures"/>
    <s v="U+2009 thin space from general punc; "/>
    <x v="0"/>
  </r>
  <r>
    <s v="journal-article:None"/>
    <s v="10.33024/hjk.v15i1.3791"/>
    <s v="&lt;jats:p&gt;Social support and motivation to quit  on drugs abuse  among psychosocial rehabilitation clients at National Narcotics Agency (NNA) Background: The problem of illicit and drugs abuse in Indonesia is currently a disadvantage in developing the quality of human resources, especially the younger generation. Its condition has now reached an alarming level. In 2017, the prevalence of the number of drug abusers in Lampang Province reached 1.9%, ranking 3rd out of 10 Provinces in Sumatra and 8th out of 34 Provinces in Indonesia. The biggest factor influencing to users to quit of drugs abuse such as social and family support.Purpose:  To determine the relationship between social support and motivation to quit on drugs abuse among psychosocial rehabilitation clients at National Narcotics AgencyMethods: A quantitative research with cross-sectional approach. The data collection method uses a social support scale consisting of 29 items and the motivation scale of 22 items. Analyzed using the Spearman Rank product moment. The sample was the client of outpatient rehabilitation at National Narcotics Agency and taken by purposive sampling technique and obtained a sample of 200 respondents.Results: Finding of r value of 0.058 with P = 0.408, it means that there is a very significant positive relationship between social support and motivation to quit on drugs abuse among outpatient rehabilitation clients. The most respondents had of 62% of social support and of 55.5% had a motivation to quit on drugs abuse.Conclusion: The social support and motivation to quit on drugs abuse among outpatient rehabilitation clients at National Narcotics Agency Lampang Province was a quite high.Keywords: Social support; Motivation to quit; Drugs abuse; Psychosocial; Rehabilitation; Clients; National Narcotics AgencyPendahuluan : Masalah peredaran gelap dan penyalahgunaan narkoba di Indonesia saat ini sudah menjadi hambatan dalam proses pembangunan kualitas sumber daya manusia khususnya generasi muda. Perkembangannya saat ini sudah mencapai tingkat yang mengkhawatirkan serta meresahkan khususnya para orang tua dan masyarakat pada umumnya. Tahun 2017 prevalensi jumlah penyalahguna Narkoba di Provinsi Lampung mencapai angka 1,9 % menempati urutan ke-3 dari 10 Provinsi di Sumatera dan   urutan   ke-8   dari   34   Provinsi   di   Indonesia. Faktor   terbesar   yang mempengaruhi keberhasilan pengguna narkoba untuk berhenti menggunakan narkoba adalah  keluarga  berbentuk  dukungan  sosial,  dukungan  sosial  dalam  hal  ini  adalah dukungan dari orangtua dan keluarga. Dukungan ini akan membantu pengguna narkoba untuk benar-benar dapat berhenti menggunakan narkoba dan meninggalkan pergaulan lamanya.Tujuan : Diketahui hubungan antara dukungan  sosial  dengan motivasi  berhenti  menggunakan  narkoba  klien  rehab  rawat  jalan  di  BNN  Provinsi Lampung.Metode : Penelitian kuantitatif dengan pendekatan cross-sectional. Metode pengumpulan data menggunakan skala dukungan sosial yang terdiri dari 29 item dan skala motivasi 22 item. Dianalisa menggunakan product moment Spearman Rank. Sampelnya klien rawat jalan Badan Narkotika Nasional dan diambil dengan teknik purposive sampling dan diperoleh sampel sebanyak 200 responden.Hasil : Diperoleh hasil nilai r sebesar 0,058 dengan p = 0,408 dimana artinya ada hubungan positif yang sangat signifikan antara dukungan sosial dengan motivasi berhenti menggunakan narkoba pada klien rehab rawat jalan BNN Provinsi Lampung. Berdasarkan kategorisasi tingkat dukungan sosial mayoritas tinggi dan sangat tinggi dengan total jumlah dari kedua kategori tersebut sebanyak 124 (62%).  Untuk tingkat motivasi berhenti menggunakan narkoba mayoritas berada pada kategori  sedang dan tinggi dengan jumlah sebanyak 111 responden dengan persentase 55.5%.Simpulan: Dukungan dan motivasi sosial untuk berhenti dari penyalahgunaan NAPZA pada klien rehabilitasi rawat jalan di Badan Narkotika Nasional Provinsi Lampang cukup tinggi.&lt;/jats:p&gt;"/>
    <n v="3980"/>
    <s v="No"/>
    <s v="No"/>
    <s v="Yes"/>
    <s v="Not available"/>
    <s v="No"/>
    <s v="Yes"/>
    <s v="No"/>
    <s v="includes multiple languages"/>
    <s v="&quot;en&quot; and &quot;id&quot; in abstract metadata in one &lt;jats:p&gt; element"/>
    <x v="2"/>
  </r>
  <r>
    <s v="journal-article:None"/>
    <s v="10.1093/eurjpc/zwac056.166"/>
    <s v="&lt;jats:title&gt;Abstract&lt;/jats:title&gt;_x000a_               &lt;jats:sec&gt;_x000a_                  &lt;jats:title&gt;Funding Acknowledgements&lt;/jats:title&gt;_x000a_                  &lt;jats:p&gt;Type of funding sources: Public grant(s) – National budget only. Main funding source(s): Dutch Heart Foundation and ZonMw&lt;/jats:p&gt;_x000a_                  &lt;jats:p&gt;Goal setting within cardiac care: the effect of linking life goals to health goals on intention to change lifestyle in patients.&lt;/jats:p&gt;_x000a_               &lt;/jats:sec&gt;_x000a_               &lt;jats:sec&gt;_x000a_                  &lt;jats:title&gt;Background&lt;/jats:title&gt;_x000a_                  &lt;jats:p&gt;Initiating and maintaining a healthy lifestyle is difficult and often needs several attempts. Reaching health goals may become easier if linked to life goals (see Fig.1). Life goals, also described as abstract, long-term goals, reflect objectives that matter to people personally. Guidelines recommend goal setting to realise behaviour change in patients with cardiovascular disease (CVD). However, research is inconclusive about whether positive effects of lifestyle interventions can be attributed to linking life goals to health goals or to other intervention elements.&lt;/jats:p&gt;_x000a_               &lt;/jats:sec&gt;_x000a_               &lt;jats:sec&gt;_x000a_                  &lt;jats:title&gt;Purpose&lt;/jats:title&gt;_x000a_                  &lt;jats:p&gt;This experimental study examines the effect of linking a life goal to a health goal on intention to change lifestyle in patients with CVD.&lt;/jats:p&gt;_x000a_               &lt;/jats:sec&gt;_x000a_               &lt;jats:sec&gt;_x000a_                  &lt;jats:title&gt;Methods&lt;/jats:title&gt;_x000a_                  &lt;jats:p&gt;Research panel members of a CVD patient association were recruited for the online study via advertisement on the association’s website. Patients were randomised and controlled into two groups: setting a health goal (HG) and setting a health goal linked to a life goal (+LG). Based on the Theory of Planned Behavior (see Fig.2) and previous research, main outcome measure ‘intention to change lifestyle’ was assessed using a visual analogue scale ranging 0-10 (low to high). Effect of group (HG vs +LG) on intention to change lifestyle (high vs low) was analysed using logistic regression. Gender, age, education level, and type of CVD were entered as possible effect modifiers.&lt;/jats:p&gt;_x000a_               &lt;/jats:sec&gt;_x000a_               &lt;jats:sec&gt;_x000a_                  &lt;jats:title&gt;Results&lt;/jats:title&gt;_x000a_                  &lt;jats:p&gt;Patients (N=628) were mostly male (61%), with a mean age of 69±35 years, and medium (33%) or high (47%) education level. In both groups, HG and +LG, 47% of the patients expressed high intention to change lifestyle. Logistic regression showed no effect of group (HG vs +LG) on intention, OR:0.98 (95%CI: 0.72–1.35, p=0.92). Only education level appeared to be an effect modifier, X²(2):8.2, p=0.02; showing that linking a life goal to a health goal was effective in patients with a high education level. Contrary to this, setting a life goal negatively affected intention in patients with a low education level. Among patients with a high education level, percentage of 'high intention' was higher in the +LG group (57%) than in the HG group (45%). In contrast, among patients with a low education level, percentage of 'high intention' was higher in the HG group (48%) than in the +LG group (36%).&lt;/jats:p&gt;_x000a_               &lt;/jats:sec&gt;_x000a_               &lt;jats:sec&gt;_x000a_                  &lt;jats:title&gt;Conclusions&lt;/jats:title&gt;_x000a_                  &lt;jats:p&gt;This study showed no main effect of linking a life goal to a health goal on patients’ intention to change lifestyle. Education level was found to be a significant effect modifier. Patients with a high education level significantly benefitted from linking a life goal to a health goal. Patients with lower education levels benefitted most from setting only a health goal. In conclusion, within practice, health care providers may personalise their approach towards goal setting based on patients’ education level.&lt;/jats:p&gt;_x000a_               &lt;/jats:sec&gt;"/>
    <n v="3977"/>
    <s v="No"/>
    <s v="No"/>
    <s v="Yes"/>
    <s v="Yes"/>
    <s v="No"/>
    <s v="Yes"/>
    <s v="No"/>
    <s v="No problems"/>
    <m/>
    <x v="3"/>
  </r>
  <r>
    <s v="journal-article:None"/>
    <s v="10.1136/bmj-2023-078242"/>
    <s v="&lt;jats:title&gt;Abstract&lt;/jats:title&gt;_x000a_          &lt;jats:sec&gt;_x000a_            &lt;jats:title&gt;Objective&lt;/jats:title&gt;_x000a_            &lt;jats:p&gt;To determine whether the combined use of glucagon-like peptide-1 (GLP-1) receptor agonists and sodium-glucose cotransporter-2 (SGLT-2) inhibitors is associated with a decreased risk of major adverse cardiovascular events and serious renal events compared with either drug class alone among patients with type 2 diabetes, and to assess the effect of the combination on the individual components of major adverse cardiovascular events, heart failure, and all cause mortality.&lt;/jats:p&gt;_x000a_          &lt;/jats:sec&gt;_x000a_          &lt;jats:sec&gt;_x000a_            &lt;jats:title&gt;Design&lt;/jats:title&gt;_x000a_            &lt;jats:p&gt;Population based cohort study using a prevalent new-user design, emulating a trial.&lt;/jats:p&gt;_x000a_          &lt;/jats:sec&gt;_x000a_          &lt;jats:sec&gt;_x000a_            &lt;jats:title&gt;Setting&lt;/jats:title&gt;_x000a_            &lt;jats:p&gt;UK Clinical Practice Research Datalink linked to Hospital Episode Statistics Admitted Patient Care and Office for National Statistics databases.&lt;/jats:p&gt;_x000a_          &lt;/jats:sec&gt;_x000a_          &lt;jats:sec&gt;_x000a_            &lt;jats:title&gt;Participants&lt;/jats:title&gt;_x000a_            &lt;jats:p&gt;Two prevalent new-user cohorts were assembled between January 2013 and December 2020, with follow-up until the end of March 2021. The first cohort included 6696 patients who started GLP-1 receptor agonists and added on SGLT-2 inhibitors, and the second included 8942 patients who started SGLT-2 inhibitors and added on GLP-1 receptor agonists. Combination users were matched, in a 1:1 ratio, to patients prescribed the same background drug, duration of background drug, and time conditional propensity score.&lt;/jats:p&gt;_x000a_          &lt;/jats:sec&gt;_x000a_          &lt;jats:sec&gt;_x000a_            &lt;jats:title&gt;Main outcome measures&lt;/jats:title&gt;_x000a_            &lt;jats:p&gt;Cox proportional hazards models were fitted to estimate the hazard ratios and 95% confidence intervals of major adverse cardiovascular events and serious renal events, separately, comparing the GLP-1 receptor agonist-SGLT-2 inhibitor combination with the background drug, either GLP-1 receptor agonists or SGLT-2 inhibitors, depending on the cohort. Secondary outcomes included associations with the individual components of major adverse cardiovascular events (myocardial infarction, ischaemic stroke, cardiovascular mortality), heart failure, and all cause mortality.&lt;/jats:p&gt;_x000a_          &lt;/jats:sec&gt;_x000a_          &lt;jats:sec&gt;_x000a_            &lt;jats:title&gt;Results&lt;/jats:title&gt;_x000a_            &lt;jats:p&gt;_x000a_              Compared with GLP-1 receptor agonists, the SGLT-2 inhibitor-GLP-1 receptor agonist combination was associated with a 30% lower risk of major adverse cardiovascular events (7.0_x000a_              &lt;jats:italic&gt;v&lt;/jats:italic&gt;_x000a_              10.3 events per 1000 person years; hazard ratio 0.70, 95% confidence interval 0.49 to 0.99) and a 57% lower risk of serious renal events (2.0_x000a_              &lt;jats:italic&gt;v&lt;/jats:italic&gt;_x000a_              4.6 events per 1000 person years; hazard ratio 0.43, 0.23 to 0.80). Compared with SGLT-2 inhibitors, the GLP-1 receptor agonist-SGLT-2 inhibitor combination was associated with a 29% lower risk of major adverse cardiovascular events (7.6_x000a_              &lt;jats:italic&gt;v&lt;/jats:italic&gt;_x000a_              10.7 events per 1000 person years; hazard ratio 0.71, 0.52 to 0.98), whereas serious renal events generated a wide confidence interval (1.4_x000a_              &lt;jats:italic&gt;v&lt;/jats:italic&gt;_x000a_              2.0 events per 1000 person years; hazard ratio 0.67, 0.32 to 1.41). Secondary outcomes generated similar results but with wider confidence intervals._x000a_            &lt;/jats:p&gt;_x000a_          &lt;/jats:sec&gt;_x000a_          &lt;jats:sec&gt;_x000a_            &lt;jats:title&gt;Conclusions&lt;/jats:title&gt;_x000a_            &lt;jats:p&gt;In this cohort study, the GLP-1 receptor agonist-SGLT-2 inhibitor combination was associated with a lower risk of major adverse cardiovascular events and serious renal events compared with either drug class alone.&lt;/jats:p&gt;_x000a_          &lt;/jats:sec&gt;"/>
    <n v="3974"/>
    <s v="No"/>
    <s v="No"/>
    <s v="Yes"/>
    <s v="Yes"/>
    <s v="No"/>
    <s v="Yes"/>
    <s v="No"/>
    <s v="No problems"/>
    <m/>
    <x v="3"/>
  </r>
  <r>
    <s v="journal-article:None"/>
    <s v="10.26456/vtphilos/2022.3.126"/>
    <s v="&lt;jats:p&gt;Целью статьи является анализ философских учений стоиков, основные установки которых сегодня плодотворно используются в методиках когнитивно-поведенческой терапии. Основной метод исследования - анализ практически ориентированной философии стоиков, учение которых обладает терапевтической ценностью, являясь средством воздействия не столько на диагностику психологических нарушений, сколько на тех, кто хочет научиться управлять своими умственными представлениями, целенаправленно изменяя своё поведение в течение всей жизни. Результатами исследования являются сравнительный анализ основных положений учения стоиков и методов современной когнитивно-сравнительной терапии. Заслуга автора статьи состоит в доказательстве, что когнитивно-поведенческая терапия фокусируется на кратковременных целях, которые определяются диагнозом и ограничены во времени, в то время как жизненная философия стоицизма способна вносить глубины и безвременные изменения в образ жизни и мировоззрение человека. Теоретическая и практическая значимость статьи заключается в доказательстве, что философия стоиков, которую сегодня рассматривают в качестве западной разновидности буддизма и альтернативы современной академической философии, это философия, которая направлена на практическое применение мудрости этического идеала в жизни каждого человека; способность сформировать личную жизненную установку справиться с любой жизненной ситуацией средствами своего разума и управления эмоциями. Автору удалось углубить предложенную проблематику, что может быть использовано для дальнейшего теоретического анализа и применено для практической работы.&lt;/jats:p&gt;_x000a_                                                                                            &lt;jats:p&gt;The purpose of the article is to analyze the philosophical teachings of the Stoics, the main principles of which are now fruitfully used in the methods of cognitive-behavioral therapy. The main method of research is the analysis of the practically oriented philosophy of the Stoics, whose teaching has therapeutic value, being a means of influencing not so much the diagnosis of psychologicaldisorders, but those who constantly want to learn how to control their mental representations, purposefully changing their behavior throughout their lives. The results of the study are a comparative analysis of the main provisions of the teachings of the Stoics and the methods of modern cognitive-comparative therapy. The merit of the authors of the article lies in proving that cognitive behavioral therapy focuses on short-term goals that are determined by the diagnosis and limited in time, while the philosophy of life of stoicism is able to make profound and timeless changes in the way of life, decision and worldview. sight of an aged person. The theoretical and practical significance of which the articles wrote lies in Seneca's proof, each of which philosophy appeals to the Stoics, therefore which third philosophers today consider each as a free western version of its own kind of therapy of Buddhism ways and alternatives within the limits of modern to leave the academic life of philosophy, - this is the Stoic philosophy, which can be directed to the state of practical opinion, the application of the solution of wisdom, the therapy of ethical people, the ideal, the fruits in the life of the philosophy of each, to see a person's difficulties, the ability to change, to form a guiltily personal age, the life of the third attitude, the conviction to cope with any theory requires life, therefore, the situation is called means schools of their own when the mind means and control the opinion of emotions. Therefore, the authors succeeded in the intention to deepen the problems proposed by each, today that the concept can be used by the spiritual for the therapy of further personal theoretical development of the analysis lies and is applied to the age for diseases of the practical situation of work.&lt;/jats:p&gt;"/>
    <n v="3957"/>
    <s v="No"/>
    <s v="No"/>
    <s v="Not available"/>
    <s v="Not available"/>
    <s v="No"/>
    <s v="Yes"/>
    <s v="No"/>
    <s v="includes multiple languages"/>
    <s v="bad url "/>
    <x v="2"/>
  </r>
  <r>
    <s v="journal-article:None"/>
    <s v="10.16980/jitc.20.4.202408.159"/>
    <s v="&lt;jats:p/&gt;"/>
    <n v="9"/>
    <s v="No"/>
    <s v="&quot;en&quot;"/>
    <s v="No"/>
    <s v="Not available"/>
    <s v="No"/>
    <s v="Yes"/>
    <s v="No"/>
    <s v="article includes abstract"/>
    <s v="landing page in &quot;en&quot; and &quot;ko&quot;"/>
    <x v="6"/>
  </r>
  <r>
    <s v="journal-article:None"/>
    <s v="10.5840/questions20232328"/>
    <s v="&lt;jats:p/&gt;"/>
    <n v="9"/>
    <s v="No"/>
    <s v="No"/>
    <s v="Yes"/>
    <s v="Not available"/>
    <s v="No"/>
    <s v="Yes"/>
    <s v="No"/>
    <s v="article includes abstract"/>
    <s v="artwork"/>
    <x v="6"/>
  </r>
  <r>
    <s v="journal-article:None"/>
    <s v="10.56640/mbr.2023.27.737"/>
    <s v="&lt;jats:p/&gt;"/>
    <n v="9"/>
    <s v="No"/>
    <s v="No"/>
    <s v="Yes"/>
    <s v="Not available"/>
    <s v="No"/>
    <s v="Yes"/>
    <s v="No"/>
    <s v="front matter"/>
    <m/>
    <x v="6"/>
  </r>
  <r>
    <s v="journal-article:None"/>
    <s v="10.62989/jes2024.1.5.20"/>
    <s v="&lt;jats:p/&gt;"/>
    <n v="9"/>
    <s v="No"/>
    <s v="&quot;en&quot;"/>
    <s v="Yes"/>
    <s v="Not available"/>
    <s v="No"/>
    <s v="Yes"/>
    <s v="No"/>
    <s v="front matter"/>
    <m/>
    <x v="6"/>
  </r>
  <r>
    <s v="journal-article:None"/>
    <s v="10.5840/maritain2023391"/>
    <s v="&lt;jats:p/&gt;"/>
    <n v="9"/>
    <s v="No"/>
    <s v="No"/>
    <s v="Yes"/>
    <s v="Yes"/>
    <s v="No"/>
    <s v="Yes"/>
    <s v="No"/>
    <s v="no abstract in article"/>
    <s v="article in &quot;en&quot;; no abstract on article"/>
    <x v="6"/>
  </r>
  <r>
    <s v="journal-article:None"/>
    <s v="10.5840/jsce202343117"/>
    <s v="&lt;jats:p/&gt;"/>
    <n v="9"/>
    <s v="No"/>
    <s v="No"/>
    <s v="Yes"/>
    <s v="Yes"/>
    <s v="No"/>
    <s v="Yes"/>
    <s v="No"/>
    <s v="no abstract in article"/>
    <s v="book review"/>
    <x v="6"/>
  </r>
  <r>
    <s v="journal-article:None"/>
    <s v="10.5840/tpm2023999"/>
    <s v="&lt;jats:p/&gt;"/>
    <n v="9"/>
    <s v="No"/>
    <s v="No"/>
    <s v="Yes"/>
    <s v="Yes"/>
    <s v="No"/>
    <s v="Yes"/>
    <s v="No"/>
    <s v="no abstract in article"/>
    <m/>
    <x v="6"/>
  </r>
  <r>
    <s v="journal-article:None"/>
    <s v="10.21802/artm.2022.4.24.187"/>
    <s v="&lt;jats:p/&gt;"/>
    <n v="9"/>
    <s v="No"/>
    <s v="&quot;de&quot;,&quot;en&quot;,&quot;fr&quot;,&quot;pl&quot;,&quot;uk&quot;"/>
    <s v="No"/>
    <s v="Yes"/>
    <s v="No"/>
    <s v="No"/>
    <s v="No"/>
    <s v="first element is empty, but others have abstract"/>
    <s v="of the language attributes given in separate abstract elements, both &quot;en&quot; and &quot;uk&quot; were in English; the others were empty"/>
    <x v="6"/>
  </r>
  <r>
    <s v="journal-article:None"/>
    <s v="10.53106/279069732713"/>
    <s v="&lt;jats:p/&gt;"/>
    <n v="9"/>
    <s v="No"/>
    <s v="&quot;zh&quot;"/>
    <s v="No"/>
    <s v="Not available"/>
    <s v="No"/>
    <s v="Yes"/>
    <s v="No"/>
    <s v="article includes abstract"/>
    <s v="landing page in &quot;zh&quot;; can't verify"/>
    <x v="6"/>
  </r>
  <r>
    <s v="journal-article:None"/>
    <s v="10.5840/fichte2020482"/>
    <s v="&lt;jats:p/&gt;"/>
    <n v="9"/>
    <s v="No"/>
    <s v="No"/>
    <s v="Yes"/>
    <s v="Yes"/>
    <s v="No"/>
    <s v="Yes"/>
    <s v="No"/>
    <s v="no abstract in article"/>
    <m/>
    <x v="6"/>
  </r>
  <r>
    <s v="journal-article:None"/>
    <s v="10.21802/artm.2023.3.27.36"/>
    <s v="&lt;jats:p/&gt;"/>
    <n v="9"/>
    <s v="No"/>
    <s v="&quot;de&quot;,&quot;en&quot;,&quot;fr&quot;,&quot;pl&quot;,&quot;uk&quot;"/>
    <s v="Yes"/>
    <s v="Yes"/>
    <s v="No"/>
    <s v="No"/>
    <s v="No"/>
    <s v="first element is empty, but others have abstract"/>
    <s v="two language abstracts, both in separate containers, but there are still empty elements"/>
    <x v="6"/>
  </r>
  <r>
    <s v="journal-article:None"/>
    <s v="10.5840/fichte20204829"/>
    <s v="&lt;jats:p/&gt;"/>
    <n v="9"/>
    <s v="No"/>
    <s v="No"/>
    <s v="Yes"/>
    <s v="Yes"/>
    <s v="No"/>
    <s v="Yes"/>
    <s v="No"/>
    <s v="no abstract in article"/>
    <s v="article is in &quot;fr&quot;"/>
    <x v="6"/>
  </r>
  <r>
    <s v="journal-article:None"/>
    <s v="10.51769/bmgn-lchr.19838"/>
    <s v="&lt;jats:p/&gt;"/>
    <n v="9"/>
    <s v="No"/>
    <s v="&quot;en&quot;,&quot;nl&quot;"/>
    <s v="Yes"/>
    <s v="No"/>
    <s v="No"/>
    <s v="Yes"/>
    <s v="No"/>
    <s v="no abstract in article"/>
    <s v="book review"/>
    <x v="6"/>
  </r>
  <r>
    <s v="journal-article:None"/>
    <s v="10.53106/241553062024110097010"/>
    <s v="&lt;jats:p/&gt;"/>
    <n v="9"/>
    <s v="No"/>
    <s v="&quot;zh&quot;"/>
    <s v="Not available"/>
    <s v="Not available"/>
    <s v="No"/>
    <s v="Yes"/>
    <s v="No"/>
    <s v="bad url"/>
    <m/>
    <x v="6"/>
  </r>
  <r>
    <s v="journal-article:None"/>
    <s v="10.35611/jkt.2024.28.8.91"/>
    <s v="&lt;jats:p/&gt;"/>
    <n v="9"/>
    <s v="No"/>
    <s v="&quot;en&quot;"/>
    <s v="No"/>
    <s v="Not available"/>
    <s v="No"/>
    <s v="Yes"/>
    <s v="No"/>
    <s v="article includes abstract"/>
    <s v="&quot;ko&quot; landing page, but has &quot;en&quot; abstract available. "/>
    <x v="6"/>
  </r>
  <r>
    <s v="journal-article:None"/>
    <s v="10.2196/31275"/>
    <s v="&lt;jats:p /&gt;"/>
    <n v="10"/>
    <s v="No"/>
    <s v="No"/>
    <s v="Yes"/>
    <s v="Yes"/>
    <s v="No"/>
    <s v="Yes"/>
    <s v="No"/>
    <s v="no abstract in article"/>
    <m/>
    <x v="6"/>
  </r>
  <r>
    <s v="journal-article:None"/>
    <s v="10.15388/litera.2023.65.3.1"/>
    <s v="&lt;jats:p /&gt;"/>
    <n v="10"/>
    <s v="No"/>
    <s v="&quot;de&quot;,&quot;en&quot;,&quot;fr&quot;,&quot;it&quot;,&quot;lt&quot;,&quot;ru&quot;"/>
    <s v="No"/>
    <s v="No"/>
    <s v="No"/>
    <s v="No"/>
    <s v="No"/>
    <s v="first element is empty, but others have abstract"/>
    <s v="two languages have abstracts in separate containers; article has &quot;en&quot; and &quot;lt&quot; versions of abstract"/>
    <x v="6"/>
  </r>
  <r>
    <s v="journal-article:None"/>
    <s v="10.2196/35850"/>
    <s v="&lt;jats:p /&gt;"/>
    <n v="10"/>
    <s v="No"/>
    <s v="No"/>
    <s v="Yes"/>
    <s v="Yes"/>
    <s v="No"/>
    <s v="Yes"/>
    <s v="No"/>
    <s v="no abstract in article"/>
    <m/>
    <x v="6"/>
  </r>
  <r>
    <s v="journal-article:None"/>
    <s v="10.31973/aj.v16i16.2121"/>
    <s v="&lt;jats:p&gt;.&lt;/jats:p&gt;"/>
    <n v="18"/>
    <s v="No"/>
    <s v="&quot;ar&quot;,&quot;en&quot;"/>
    <s v="Yes"/>
    <s v="Yes"/>
    <s v="No"/>
    <s v="Yes"/>
    <s v="No"/>
    <s v="no abstract in article"/>
    <m/>
    <x v="6"/>
  </r>
  <r>
    <s v="journal-article:None"/>
    <s v="10.21682/2311-1267-2023-10-4-69-71"/>
    <s v="&lt;jats:p&gt;.&lt;/jats:p&gt;"/>
    <n v="18"/>
    <s v="No"/>
    <s v="No"/>
    <s v="No"/>
    <s v="No"/>
    <s v="No"/>
    <s v="Yes"/>
    <s v="No"/>
    <s v="article includes abstract"/>
    <s v="article has &quot;ru&quot; version of abstract"/>
    <x v="6"/>
  </r>
  <r>
    <s v="journal-article:None"/>
    <s v="10.1558/jsa.23699"/>
    <s v="&lt;jats:p&gt;.&lt;/jats:p&gt;"/>
    <n v="18"/>
    <s v="No"/>
    <s v="No"/>
    <s v="Yes"/>
    <s v="Yes"/>
    <s v="No"/>
    <s v="Yes"/>
    <s v="No"/>
    <s v="no abstract in article"/>
    <m/>
    <x v="6"/>
  </r>
  <r>
    <s v="journal-article:None"/>
    <s v="10.58923/diskutime.v7i23.569"/>
    <s v="&lt;jats:p&gt;.&lt;/jats:p&gt;"/>
    <n v="18"/>
    <s v="No"/>
    <s v="No"/>
    <s v="Not available"/>
    <s v="Not available"/>
    <s v="No"/>
    <s v="Yes"/>
    <s v="No"/>
    <s v="bad url"/>
    <m/>
    <x v="6"/>
  </r>
  <r>
    <s v="journal-article:None"/>
    <s v="10.24833/0869-0049-2000-4-186-193"/>
    <s v="&lt;jats:p&gt;.&lt;/jats:p&gt;"/>
    <n v="18"/>
    <s v="No"/>
    <s v="No"/>
    <s v="Yes"/>
    <s v="Yes"/>
    <s v="No"/>
    <s v="Yes"/>
    <s v="No"/>
    <s v="no abstract in article"/>
    <m/>
    <x v="6"/>
  </r>
  <r>
    <s v="journal-article:None"/>
    <s v="10.26452/fjphs.v1i3.218"/>
    <s v="&lt;jats:p&gt;1&lt;/jats:p&gt;"/>
    <n v="18"/>
    <s v="No"/>
    <s v="No"/>
    <s v="Yes"/>
    <s v="No"/>
    <s v="No"/>
    <s v="Yes"/>
    <s v="No"/>
    <s v="test doi"/>
    <s v="test doi as stated in &lt;title&gt; element; points to real article"/>
    <x v="6"/>
  </r>
  <r>
    <s v="journal-article:None"/>
    <s v="10.26457/lrf.v143i143.4348"/>
    <s v="&lt;jats:p&gt;.&lt;/jats:p&gt;"/>
    <n v="18"/>
    <s v="No"/>
    <s v="&quot;es&quot;"/>
    <s v="Yes"/>
    <s v="Yes"/>
    <s v="No"/>
    <s v="Yes"/>
    <s v="No"/>
    <s v="no abstract in article"/>
    <s v="introduction"/>
    <x v="6"/>
  </r>
  <r>
    <s v="journal-article:None"/>
    <s v="10.31743/abmk.8560"/>
    <s v="&lt;jats:p&gt;-&lt;/jats:p&gt;"/>
    <n v="18"/>
    <s v="No"/>
    <s v="No"/>
    <s v="Yes"/>
    <s v="Yes"/>
    <s v="No"/>
    <s v="Yes"/>
    <s v="No"/>
    <s v="no abstract in article"/>
    <m/>
    <x v="6"/>
  </r>
  <r>
    <s v="journal-article:None"/>
    <s v="10.31743/abmk.6973"/>
    <s v="&lt;jats:p&gt;-&lt;/jats:p&gt;"/>
    <n v="18"/>
    <s v="No"/>
    <s v="No"/>
    <s v="Yes"/>
    <s v="Yes"/>
    <s v="No"/>
    <s v="Yes"/>
    <s v="No"/>
    <s v="no abstract in article"/>
    <m/>
    <x v="6"/>
  </r>
  <r>
    <s v="journal-article:None"/>
    <s v="10.17843/rpmesp.2020.374.6205"/>
    <s v="&lt;jats:p&gt;-&lt;/jats:p&gt;"/>
    <n v="18"/>
    <s v="No"/>
    <s v="No"/>
    <s v="Yes"/>
    <s v="Not available"/>
    <s v="No"/>
    <s v="Yes"/>
    <s v="No"/>
    <s v="no abstract in article"/>
    <s v="letters to the editor"/>
    <x v="6"/>
  </r>
  <r>
    <s v="journal-article:None"/>
    <s v="10.33683/didit.21.01.12"/>
    <s v="&lt;jats:p&gt;.&lt;/jats:p&gt;"/>
    <n v="18"/>
    <s v="No"/>
    <s v="No"/>
    <s v="Yes"/>
    <s v="Yes"/>
    <s v="No"/>
    <s v="Yes"/>
    <s v="No"/>
    <s v="no abstract in article"/>
    <s v="letters to the editor"/>
    <x v="6"/>
  </r>
  <r>
    <s v="journal-article:None"/>
    <s v="10.24833/0869-0049-2007-4-50-62"/>
    <s v="&lt;jats:p&gt;.&lt;/jats:p&gt;"/>
    <n v="18"/>
    <s v="No"/>
    <s v="No"/>
    <s v="Yes"/>
    <s v="Not available"/>
    <s v="No"/>
    <s v="Yes"/>
    <s v="No"/>
    <s v="no abstract in article"/>
    <m/>
    <x v="6"/>
  </r>
  <r>
    <s v="journal-article:None"/>
    <s v="10.31743/abmk.12491"/>
    <s v="&lt;jats:p&gt;.&lt;/jats:p&gt;"/>
    <n v="18"/>
    <s v="No"/>
    <s v="No"/>
    <s v="Yes"/>
    <s v="Yes"/>
    <s v="No"/>
    <s v="Yes"/>
    <s v="No"/>
    <s v="no abstract in article"/>
    <s v="book-chapter"/>
    <x v="6"/>
  </r>
  <r>
    <s v="journal-article:None"/>
    <s v="10.4038/sljid.v13i5.8642"/>
    <s v="&lt;jats:p&gt;NA&lt;/jats:p&gt;"/>
    <n v="19"/>
    <s v="No"/>
    <s v="No"/>
    <s v="Yes"/>
    <s v="No"/>
    <s v="No"/>
    <s v="Yes"/>
    <s v="No"/>
    <s v="article includes abstract"/>
    <s v="proceedings abstract"/>
    <x v="6"/>
  </r>
  <r>
    <s v="journal-article:None"/>
    <s v="10.53386/nilq.v52i1.647"/>
    <s v="&lt;jats:p&gt;N/A&lt;/jats:p&gt;"/>
    <n v="20"/>
    <s v="No"/>
    <s v="No"/>
    <s v="Yes"/>
    <s v="Yes"/>
    <s v="No"/>
    <s v="Yes"/>
    <s v="No"/>
    <s v="no abstract in article"/>
    <m/>
    <x v="6"/>
  </r>
  <r>
    <s v="journal-article:None"/>
    <s v="10.5195/jlc.2020.189"/>
    <s v="&lt;jats:p&gt;n/a&lt;/jats:p&gt;"/>
    <n v="20"/>
    <s v="No"/>
    <s v="No"/>
    <s v="Yes"/>
    <s v="Yes"/>
    <s v="No"/>
    <s v="Yes"/>
    <s v="No"/>
    <s v="no abstract in article"/>
    <s v="Notes"/>
    <x v="6"/>
  </r>
  <r>
    <s v="journal-article:None"/>
    <s v="10.32719/26312514.2025.11.12"/>
    <s v="&lt;jats:p&gt;N/A&lt;/jats:p&gt;"/>
    <n v="20"/>
    <s v="No"/>
    <s v="No"/>
    <s v="Yes"/>
    <s v="Yes"/>
    <s v="No"/>
    <s v="Yes"/>
    <s v="No"/>
    <s v="no abstract in article"/>
    <m/>
    <x v="6"/>
  </r>
  <r>
    <s v="journal-article:None"/>
    <s v="10.53386/nilq.v53i2.688"/>
    <s v="&lt;jats:p&gt;N/A&lt;/jats:p&gt;"/>
    <n v="20"/>
    <s v="No"/>
    <s v="No"/>
    <s v="Yes"/>
    <s v="Yes"/>
    <s v="No"/>
    <s v="Yes"/>
    <s v="No"/>
    <s v="no abstract in article"/>
    <s v="Editorial"/>
    <x v="6"/>
  </r>
  <r>
    <s v="journal-article:None"/>
    <s v="10.37667/pk.2021.1182"/>
    <s v="&lt;jats:p&gt;N/A&lt;/jats:p&gt;"/>
    <n v="20"/>
    <s v="No"/>
    <s v="No"/>
    <s v="Yes"/>
    <s v="Yes"/>
    <s v="No"/>
    <s v="Yes"/>
    <s v="Yes"/>
    <s v="no abstract in article"/>
    <s v="Surrogatendpunkte"/>
    <x v="6"/>
  </r>
  <r>
    <s v="journal-article:None"/>
    <s v="10.5811/westjem.2022.12.57735"/>
    <s v="&lt;jats:p&gt;n/a&lt;/jats:p&gt;"/>
    <n v="20"/>
    <s v="No"/>
    <s v="No"/>
    <s v="Not available"/>
    <s v="Yes"/>
    <s v="No"/>
    <s v="Yes"/>
    <s v="No"/>
    <s v="no abstract in article"/>
    <m/>
    <x v="6"/>
  </r>
  <r>
    <s v="journal-article:None"/>
    <s v="10.31070/rm2025cas01"/>
    <s v="&lt;jats:p&gt;None&lt;/jats:p&gt;"/>
    <n v="21"/>
    <s v="No"/>
    <s v="&quot;pt&quot;"/>
    <s v="No"/>
    <s v="No"/>
    <s v="No"/>
    <s v="Yes"/>
    <s v="No"/>
    <s v="article includes abstract"/>
    <s v="article has both &quot;pt&quot; and &quot;en&quot; abstracts"/>
    <x v="4"/>
  </r>
  <r>
    <s v="journal-article:None"/>
    <s v="10.5944/signa.vol32.2023.33615"/>
    <s v="&lt;jats:p&gt;Reseña&lt;/jats:p&gt;"/>
    <n v="23"/>
    <s v="No"/>
    <s v="No"/>
    <s v="Yes"/>
    <s v="Yes"/>
    <s v="No"/>
    <s v="Yes"/>
    <s v="No"/>
    <s v="no abstract in article"/>
    <m/>
    <x v="6"/>
  </r>
  <r>
    <s v="journal-article:None"/>
    <s v="10.55422/bbmp.966"/>
    <s v="&lt;jats:p&gt;Reseña&lt;/jats:p&gt;"/>
    <n v="23"/>
    <s v="No"/>
    <s v="No"/>
    <s v="Yes"/>
    <s v="Yes"/>
    <s v="No"/>
    <s v="Yes"/>
    <s v="No"/>
    <s v="no abstract in article"/>
    <m/>
    <x v="6"/>
  </r>
  <r>
    <s v="journal-article:None"/>
    <s v="10.12681/grsr.40220"/>
    <s v="&lt;jats:p&gt;N/A_x000d__x000a_ &lt;/jats:p&gt;"/>
    <n v="23"/>
    <s v="No"/>
    <s v="No"/>
    <s v="Yes"/>
    <s v="Yes"/>
    <s v="No"/>
    <s v="Yes"/>
    <s v="No"/>
    <s v="no abstract in article"/>
    <s v="book review"/>
    <x v="6"/>
  </r>
  <r>
    <s v="journal-article:None"/>
    <s v="10.36322/jksc.v2i62.899"/>
    <s v="&lt;jats:p&gt;لا يوجد&lt;/jats:p&gt;"/>
    <n v="24"/>
    <s v="No"/>
    <s v="&quot;ar&quot;"/>
    <s v="Yes"/>
    <s v="Yes"/>
    <s v="No"/>
    <s v="Yes"/>
    <s v="No"/>
    <s v="no abstract in article"/>
    <m/>
    <x v="6"/>
  </r>
  <r>
    <s v="journal-article:None"/>
    <s v="10.31857/s086956870017297-7"/>
    <s v="&lt;jats:p&gt;        &lt;/jats:p&gt;"/>
    <n v="25"/>
    <s v="No"/>
    <s v="No"/>
    <s v="Yes"/>
    <s v="Not available"/>
    <s v="No"/>
    <s v="Yes"/>
    <s v="No"/>
    <s v="article includes abstract"/>
    <s v="bibliography"/>
    <x v="6"/>
  </r>
  <r>
    <s v="journal-article:None"/>
    <s v="10.46583/adc_2024.15.1144"/>
    <s v="&lt;jats:p&gt;Recensión&lt;/jats:p&gt;"/>
    <n v="26"/>
    <s v="No"/>
    <s v="No"/>
    <s v="Yes"/>
    <s v="Yes"/>
    <s v="No"/>
    <s v="Yes"/>
    <s v="No"/>
    <s v="no abstract in article"/>
    <s v="book review"/>
    <x v="6"/>
  </r>
  <r>
    <s v="journal-article:None"/>
    <s v="10.15210/sah.v7i2.18922"/>
    <s v="&lt;jats:p&gt;Editorial&lt;/jats:p&gt;"/>
    <n v="26"/>
    <s v="No"/>
    <s v="No"/>
    <s v="Yes"/>
    <s v="Yes"/>
    <s v="No"/>
    <s v="Yes"/>
    <s v="No"/>
    <s v="no abstract in article"/>
    <s v="editorial"/>
    <x v="6"/>
  </r>
  <r>
    <s v="journal-article:None"/>
    <s v="10.15581/004.39.39780"/>
    <s v="&lt;jats:p&gt; &amp;#x0D;_x000a_ &lt;/jats:p&gt;"/>
    <n v="26"/>
    <s v="No"/>
    <s v="No"/>
    <s v="Yes"/>
    <s v="Yes"/>
    <s v="No"/>
    <s v="Yes"/>
    <s v="No"/>
    <s v="no abstract in article"/>
    <s v="book review"/>
    <x v="6"/>
  </r>
  <r>
    <s v="journal-article:None"/>
    <s v="10.15581/008.39.1.5-11"/>
    <s v="&lt;jats:p&gt; &amp;#x0D;_x000a_ &lt;/jats:p&gt;"/>
    <n v="26"/>
    <s v="No"/>
    <s v="No"/>
    <s v="Yes"/>
    <s v="Yes"/>
    <s v="No"/>
    <s v="Yes"/>
    <s v="No"/>
    <s v="no abstract in article"/>
    <m/>
    <x v="6"/>
  </r>
  <r>
    <s v="journal-article:None"/>
    <s v="10.15581/008.36.40115"/>
    <s v="&lt;jats:p&gt; &amp;#x0D;_x000a_ &lt;/jats:p&gt;"/>
    <n v="26"/>
    <s v="No"/>
    <s v="No"/>
    <s v="Yes"/>
    <s v="Yes"/>
    <s v="No"/>
    <s v="Yes"/>
    <s v="No"/>
    <s v="no abstract in article"/>
    <s v="book review"/>
    <x v="6"/>
  </r>
  <r>
    <s v="journal-article:None"/>
    <s v="10.18542/cepec.v11i2.15148"/>
    <s v="&lt;jats:p&gt;Apresentação&lt;/jats:p&gt;"/>
    <n v="29"/>
    <s v="No"/>
    <s v="No"/>
    <s v="Yes"/>
    <s v="Yes"/>
    <s v="No"/>
    <s v="Yes"/>
    <s v="No"/>
    <s v="article includes abstract"/>
    <s v="letters to the editor"/>
    <x v="6"/>
  </r>
  <r>
    <s v="journal-article:None"/>
    <s v="10.70493/cod31.v2i2.10190"/>
    <s v="&lt;jats:p&gt;Não se aplica&lt;/jats:p&gt;"/>
    <n v="30"/>
    <s v="No"/>
    <s v="No"/>
    <s v="Yes"/>
    <s v="No"/>
    <s v="No"/>
    <s v="Yes"/>
    <s v="No"/>
    <s v="article includes abstract"/>
    <s v="the article is an abstract"/>
    <x v="6"/>
  </r>
  <r>
    <s v="journal-article:None"/>
    <s v="10.32739/uha.id.44499"/>
    <s v="&lt;jats:p&gt;Acil psikiyatri&lt;/jats:p&gt;"/>
    <n v="32"/>
    <s v="No"/>
    <s v="No"/>
    <s v="Yes"/>
    <s v="Yes"/>
    <s v="No"/>
    <s v="Yes"/>
    <s v="No"/>
    <s v="no abstract in article"/>
    <m/>
    <x v="6"/>
  </r>
  <r>
    <s v="journal-article:None"/>
    <s v="10.5194/isprs-annals-x-4-2024-1-2024"/>
    <s v="&lt;jats:p&gt;_x000a_                    &lt;/jats:p&gt;"/>
    <n v="38"/>
    <s v="No"/>
    <s v="No"/>
    <s v="Yes"/>
    <s v="Yes"/>
    <s v="No"/>
    <s v="Yes"/>
    <s v="No"/>
    <s v="no abstract in article"/>
    <s v="proceedings preface"/>
    <x v="6"/>
  </r>
  <r>
    <s v="journal-article:None"/>
    <s v="10.4102/sajid.v37i2.376"/>
    <s v="&lt;jats:p&gt;No abstract avaialble.&lt;/jats:p&gt;"/>
    <n v="39"/>
    <s v="No"/>
    <s v="No"/>
    <s v="Yes"/>
    <s v="Yes"/>
    <s v="No"/>
    <s v="Yes"/>
    <s v="No"/>
    <s v="no abstract in article"/>
    <m/>
    <x v="6"/>
  </r>
  <r>
    <s v="journal-article:None"/>
    <s v="10.11606/issn.2525-8133.opiniaes.2020.172908"/>
    <s v="&lt;jats:p&gt;Texto de criação literária.&lt;/jats:p&gt;"/>
    <n v="44"/>
    <s v="No"/>
    <s v="No"/>
    <s v="Yes"/>
    <s v="Yes"/>
    <s v="No"/>
    <s v="Yes"/>
    <s v="No"/>
    <s v="no abstract in article"/>
    <s v="op-ed"/>
    <x v="6"/>
  </r>
  <r>
    <s v="journal-article:None"/>
    <s v="10.1039/d2fo02382b"/>
    <s v="&lt;jats:p&gt;The work flow of the study.&lt;/jats:p&gt;"/>
    <n v="44"/>
    <s v="No"/>
    <s v="No"/>
    <s v="Yes"/>
    <s v="No"/>
    <s v="No"/>
    <s v="Yes"/>
    <s v="No"/>
    <s v="article includes abstract"/>
    <s v="abstract is in article"/>
    <x v="4"/>
  </r>
  <r>
    <s v="journal-article:None"/>
    <s v="10.21248/hgbll.2020.228"/>
    <s v="&lt;jats:p&gt;Vollständiger Rezensionsteil&lt;/jats:p&gt;"/>
    <n v="45"/>
    <s v="No"/>
    <s v="&quot;de&quot;,&quot;en&quot;"/>
    <s v="Yes"/>
    <s v="Yes"/>
    <s v="No"/>
    <s v="Yes"/>
    <s v="No"/>
    <s v="no abstract in article"/>
    <s v="full review"/>
    <x v="6"/>
  </r>
  <r>
    <s v="journal-article:None"/>
    <s v="10.2174/157341101808220922100306"/>
    <s v="&lt;jats:sec&gt;_x000a_&lt;jats:title /&gt;_x000a_&lt;jats:p /&gt;_x000a_&lt;/jats:sec&gt;"/>
    <n v="48"/>
    <s v="No"/>
    <s v="No"/>
    <s v="Yes"/>
    <s v="Yes"/>
    <s v="No"/>
    <s v="Yes"/>
    <s v="No"/>
    <s v="no abstract in article"/>
    <s v="Editorial"/>
    <x v="6"/>
  </r>
  <r>
    <s v="journal-article:None"/>
    <s v="10.2174/092986733031230419122610"/>
    <s v="&lt;jats:sec&gt;_x000a_&lt;jats:title /&gt;_x000a_&lt;jats:p /&gt;_x000a_&lt;/jats:sec&gt;"/>
    <n v="48"/>
    <s v="No"/>
    <s v="No"/>
    <s v="Yes"/>
    <s v="Yes"/>
    <s v="No"/>
    <s v="Yes"/>
    <s v="No"/>
    <s v="no abstract in article"/>
    <s v="Editorial"/>
    <x v="6"/>
  </r>
  <r>
    <s v="journal-article:None"/>
    <s v="10.12681/psy_hps.24002"/>
    <s v="&lt;jats:p&gt;ABSTRACT IS AVAILABLE IN THE PDF&lt;/jats:p&gt;"/>
    <n v="49"/>
    <s v="No"/>
    <s v="No"/>
    <s v="Yes"/>
    <s v="No"/>
    <s v="Yes"/>
    <s v="Yes"/>
    <s v="No"/>
    <s v="article includes abstract"/>
    <s v="the most egregious example of neglegence"/>
    <x v="4"/>
  </r>
  <r>
    <s v="journal-article:None"/>
    <s v="10.36677/lacolmena.v0i110.16645"/>
    <s v="&lt;jats:p&gt;Selección de obra de arte visual.&lt;/jats:p&gt;"/>
    <n v="50"/>
    <s v="No"/>
    <s v="No"/>
    <s v="No"/>
    <s v="Yes"/>
    <s v="No"/>
    <s v="Yes"/>
    <s v="No"/>
    <s v="no abstract in article"/>
    <s v="Landing page has abstract, but article does not."/>
    <x v="4"/>
  </r>
  <r>
    <s v="journal-article:None"/>
    <s v="10.3390/diagnostics15030391"/>
    <s v="&lt;jats:p&gt;In the original publication [...]&lt;/jats:p&gt;"/>
    <n v="50"/>
    <s v="No"/>
    <s v="No"/>
    <s v="No"/>
    <s v="No"/>
    <s v="No"/>
    <s v="Yes"/>
    <s v="No"/>
    <s v="no abstract in article"/>
    <s v="correction"/>
    <x v="4"/>
  </r>
  <r>
    <s v="journal-article:None"/>
    <s v="10.15448/1984-6746.2020.3.39772"/>
    <s v="&lt;jats:p&gt;Apresentação do v. 65, n. 3, 2020.&lt;/jats:p&gt;"/>
    <n v="51"/>
    <s v="No"/>
    <s v="No"/>
    <s v="Yes"/>
    <s v="Yes"/>
    <s v="No"/>
    <s v="Yes"/>
    <s v="No"/>
    <s v="no abstract in article"/>
    <s v="Introduction"/>
    <x v="6"/>
  </r>
  <r>
    <s v="journal-article:None"/>
    <s v="10.14712/25337637.2023.15"/>
    <s v="&lt;jats:p&gt;Text translated by Jakub Sirovátka.&lt;/jats:p&gt;"/>
    <n v="52"/>
    <s v="No"/>
    <s v="No"/>
    <s v="Yes"/>
    <s v="Yes"/>
    <s v="No"/>
    <s v="Yes"/>
    <s v="No"/>
    <s v="no abstract in article"/>
    <m/>
    <x v="6"/>
  </r>
  <r>
    <s v="journal-article:None"/>
    <s v="10.17851/1982-0739.25.1.291-296"/>
    <s v="&lt;jats:p&gt;Entrevista com Jacyntho Lins Brandão &lt;/jats:p&gt;"/>
    <n v="54"/>
    <s v="No"/>
    <s v="No"/>
    <s v="Not available"/>
    <s v="Not available"/>
    <s v="No"/>
    <s v="Yes"/>
    <s v="No"/>
    <s v="bad url"/>
    <m/>
    <x v="7"/>
  </r>
  <r>
    <s v="journal-article:None"/>
    <s v="10.17816/jowd117-8849-850"/>
    <s v="&lt;jats:p&gt;(Medical Review 1897 February p. 203).&lt;/jats:p&gt;"/>
    <n v="55"/>
    <s v="No"/>
    <s v="No"/>
    <s v="No"/>
    <s v="No"/>
    <s v="No"/>
    <s v="Yes"/>
    <s v="No"/>
    <s v="article includes abstract"/>
    <s v="abstract in &quot;ru&quot; on landing page and in article"/>
    <x v="4"/>
  </r>
  <r>
    <s v="journal-article:None"/>
    <s v="10.1038/ndigest.2021.211013"/>
    <s v="&lt;jats:p&gt;雄と雌のラットをつなぎ合わせる実験の価値に、研究者たちは疑問を投げ掛けている。&lt;/jats:p&gt;"/>
    <n v="56"/>
    <s v="No"/>
    <s v="No"/>
    <s v="Yes"/>
    <s v="Not available"/>
    <s v="No"/>
    <s v="Yes"/>
    <s v="Yes"/>
    <s v="hiragana, katakana, CJK Ideograph, latin"/>
    <s v="hiragana, katakana, CJK Ideograph, latin"/>
    <x v="7"/>
  </r>
  <r>
    <s v="journal-article:None"/>
    <s v="10.5771/0030-3690-2022-5-054"/>
    <s v="&lt;p&gt;Puccini: Il trittico_x000a__x000a_BRÜSSEL | THÉÂTRE LA MONNAIE&lt;/p&gt;"/>
    <n v="57"/>
    <s v="No"/>
    <s v="&quot;de&quot;"/>
    <s v="Yes"/>
    <s v="Not available"/>
    <s v="Yes"/>
    <s v="Yes"/>
    <s v="No"/>
    <s v="No problems"/>
    <m/>
    <x v="3"/>
  </r>
  <r>
    <s v="journal-article:None"/>
    <s v="10.1002/citp.202070406"/>
    <s v="&lt;jats:p&gt;Nachrichten aus wirtschaft und Produktion&lt;/jats:p&gt;"/>
    <n v="58"/>
    <s v="No"/>
    <s v="&quot;en&quot;"/>
    <s v="Yes"/>
    <s v="Yes"/>
    <s v="No"/>
    <s v="Yes"/>
    <s v="No"/>
    <s v="section title used as abstract"/>
    <s v="&quot;en&quot; attribute but in &quot;de&quot;"/>
    <x v="6"/>
  </r>
  <r>
    <s v="journal-article:None"/>
    <s v="10.32739/uha.id.60110"/>
    <s v="&lt;jats:p&gt;The Communication Path from Me to 'We'...&lt;/jats:p&gt;"/>
    <n v="58"/>
    <s v="No"/>
    <s v="&quot;tr&quot;"/>
    <s v="Yes"/>
    <s v="Yes"/>
    <s v="No"/>
    <s v="Yes"/>
    <s v="No"/>
    <s v="article title used as abstract"/>
    <s v="&quot;tr&quot; attribute but editorial in &quot;en&quot;"/>
    <x v="6"/>
  </r>
  <r>
    <s v="journal-article:None"/>
    <s v="10.2340/actadv.v103.9405"/>
    <s v="&lt;jats:p&gt;Abstract is missing (Short communication)&lt;/jats:p&gt;"/>
    <n v="58"/>
    <s v="No"/>
    <s v="No"/>
    <s v="Yes"/>
    <s v="Yes"/>
    <s v="No"/>
    <s v="Yes"/>
    <s v="No"/>
    <s v="no abstract in article"/>
    <m/>
    <x v="6"/>
  </r>
  <r>
    <s v="journal-article:None"/>
    <s v="10.1002/for.2701"/>
    <s v="&lt;jats:p&gt;No abstract is available for this article.&lt;/jats:p&gt;"/>
    <n v="59"/>
    <s v="No"/>
    <s v="&quot;en&quot;"/>
    <s v="Yes"/>
    <s v="Yes"/>
    <s v="No"/>
    <s v="Yes"/>
    <s v="No"/>
    <s v="front matter"/>
    <m/>
    <x v="6"/>
  </r>
  <r>
    <s v="journal-article:None"/>
    <s v="10.1111/rec3.12328"/>
    <s v="&lt;jats:p&gt;No abstract is available for this article.&lt;/jats:p&gt;"/>
    <n v="59"/>
    <s v="No"/>
    <s v="&quot;en&quot;"/>
    <s v="Yes"/>
    <s v="Yes"/>
    <s v="No"/>
    <s v="Yes"/>
    <s v="No"/>
    <s v="front matter"/>
    <m/>
    <x v="6"/>
  </r>
  <r>
    <s v="journal-article:None"/>
    <s v="10.1002/jrs.6396"/>
    <s v="&lt;jats:p&gt;No abstract is available for this article.&lt;/jats:p&gt;"/>
    <n v="59"/>
    <s v="No"/>
    <s v="&quot;en&quot;"/>
    <s v="Yes"/>
    <s v="Yes"/>
    <s v="No"/>
    <s v="Yes"/>
    <s v="No"/>
    <s v="front matter"/>
    <m/>
    <x v="6"/>
  </r>
  <r>
    <s v="journal-article:None"/>
    <s v="10.1111/ffe.14338"/>
    <s v="&lt;jats:p&gt;No abstract is available for this article.&lt;/jats:p&gt;"/>
    <n v="59"/>
    <s v="No"/>
    <s v="&quot;en&quot;"/>
    <s v="Yes"/>
    <s v="Yes"/>
    <s v="No"/>
    <s v="Yes"/>
    <s v="No"/>
    <s v="front matter"/>
    <m/>
    <x v="6"/>
  </r>
  <r>
    <s v="journal-article:None"/>
    <s v="10.1111/medu.15433"/>
    <s v="&lt;jats:p&gt;No abstract is available for this article.&lt;/jats:p&gt;"/>
    <n v="59"/>
    <s v="No"/>
    <s v="&quot;en&quot;"/>
    <s v="Yes"/>
    <s v="Yes"/>
    <s v="No"/>
    <s v="Yes"/>
    <s v="No"/>
    <s v="front matter"/>
    <m/>
    <x v="6"/>
  </r>
  <r>
    <s v="journal-article:None"/>
    <s v="10.22201/iifs.18704913e.2021.86.1589"/>
    <s v="&lt;jats:p&gt;Las reseñas bibliográficas no cuentan con resumen&lt;/jats:p&gt;"/>
    <n v="66"/>
    <s v="No"/>
    <s v="No"/>
    <s v="Yes"/>
    <s v="Yes"/>
    <s v="No"/>
    <s v="Yes"/>
    <s v="No"/>
    <s v="no abstract in article"/>
    <m/>
    <x v="6"/>
  </r>
  <r>
    <s v="journal-article:None"/>
    <s v="10.30827/dreh.23.2025.32587"/>
    <s v="&lt;jats:p&gt;Informaciones sobre la historia y el funcionamiento&lt;/jats:p&gt;"/>
    <n v="68"/>
    <s v="No"/>
    <s v="No"/>
    <s v="Yes"/>
    <s v="Yes"/>
    <s v="No"/>
    <s v="Yes"/>
    <s v="No"/>
    <s v="no abstract in article"/>
    <s v="Editorial"/>
    <x v="6"/>
  </r>
  <r>
    <s v="journal-article:None"/>
    <s v="10.1097/hs9.0000000000000364"/>
    <s v="&lt;jats:p&gt;Supplemental Digital Content is available in the text&lt;/jats:p&gt;"/>
    <n v="70"/>
    <s v="No"/>
    <s v="No"/>
    <s v="Yes"/>
    <s v="No"/>
    <s v="No"/>
    <s v="Yes"/>
    <s v="No"/>
    <s v="no abstract in article"/>
    <s v="letters to the editor; publisher supplied note for abstract text"/>
    <x v="6"/>
  </r>
  <r>
    <s v="journal-article:None"/>
    <s v="10.3390/nu12030875"/>
    <s v="&lt;jats:p&gt;We read with interest the manuscript by Vidot et al [...]&lt;/jats:p&gt;"/>
    <n v="74"/>
    <s v="No"/>
    <s v="No"/>
    <s v="Yes"/>
    <s v="Yes"/>
    <s v="No"/>
    <s v="Yes"/>
    <s v="No"/>
    <s v="no abstract in article"/>
    <s v="first sentence of article truncated"/>
    <x v="6"/>
  </r>
  <r>
    <s v="journal-article:None"/>
    <s v="10.1039/d0ra09819a"/>
    <s v="&lt;p&gt;Monoterpenoid indole alkaloids from &lt;italic&gt;Melodinus henryi&lt;/italic&gt;&lt;/p&gt;"/>
    <n v="76"/>
    <s v="No"/>
    <s v="No"/>
    <s v="No"/>
    <s v="No"/>
    <s v="No"/>
    <s v="No"/>
    <s v="No"/>
    <s v="article title used as abstract"/>
    <s v="only part of the title was used in &lt;abstract&gt;; two abstract elements"/>
    <x v="6"/>
  </r>
  <r>
    <s v="journal-article:None"/>
    <s v="10.53126/meb44046"/>
    <s v="&lt;jats:p&gt;Qualità della relazione genitori figli ed esiti in età adulta&lt;/jats:p&gt;"/>
    <n v="78"/>
    <s v="No"/>
    <s v="No"/>
    <s v="Not available"/>
    <s v="Not available"/>
    <s v="No"/>
    <s v="Yes"/>
    <s v="No"/>
    <s v="can't verify"/>
    <s v="paywalled"/>
    <x v="7"/>
  </r>
  <r>
    <s v="journal-article:None"/>
    <s v="10.12968/gasn.2024.22.sup1.s4"/>
    <s v="&lt;jats:p&gt; A brief overview of recently published articles on hepatology &lt;/jats:p&gt;"/>
    <n v="80"/>
    <s v="No"/>
    <s v="No"/>
    <s v="Yes"/>
    <s v="No"/>
    <s v="No"/>
    <s v="Yes"/>
    <s v="No"/>
    <s v="no abstract in article"/>
    <s v="news summaries"/>
    <x v="4"/>
  </r>
  <r>
    <s v="journal-article:None"/>
    <s v="10.1177/15365042231192503"/>
    <s v="&lt;jats:p&gt; Stefan Vogler and Valerie Jenness on community views toward cops. &lt;/jats:p&gt;"/>
    <n v="84"/>
    <s v="No"/>
    <s v="No"/>
    <s v="Yes"/>
    <s v="Yes"/>
    <s v="No"/>
    <s v="Yes"/>
    <s v="No"/>
    <s v="No problems"/>
    <s v="just a very short abstract"/>
    <x v="3"/>
  </r>
  <r>
    <s v="journal-article:None"/>
    <s v="10.1039/d0fo02848g"/>
    <s v="&lt;p&gt;Puerarin alleviates the symptoms of irritable bowel syndrome-diarrhea in rats.&lt;/p&gt;"/>
    <n v="85"/>
    <s v="No"/>
    <s v="No"/>
    <s v="No"/>
    <s v="No"/>
    <s v="No"/>
    <s v="No"/>
    <s v="No"/>
    <s v="article includes abstract"/>
    <s v="publisher entered one sentence summary instead of full abstract in article; two abstract elements used"/>
    <x v="4"/>
  </r>
  <r>
    <s v="journal-article:None"/>
    <s v="10.3390/nanoenergyadv3010002"/>
    <s v="&lt;jats:p&gt;High-quality academic publishing is built on rigorous peer review [...]&lt;/jats:p&gt;"/>
    <n v="88"/>
    <s v="No"/>
    <s v="No"/>
    <s v="Yes"/>
    <s v="Not available"/>
    <s v="No"/>
    <s v="Yes"/>
    <s v="No"/>
    <s v="front matter"/>
    <m/>
    <x v="6"/>
  </r>
  <r>
    <s v="journal-article:None"/>
    <s v="10.15741/revbio.08suppl.e1102"/>
    <s v="&lt;jats:p&gt;Memorias del 3er Coloquio de Nutrigenómica y Biotecnología Acuícola 2020&lt;/jats:p&gt;"/>
    <n v="89"/>
    <s v="No"/>
    <s v="No"/>
    <s v="Yes"/>
    <s v="No"/>
    <s v="No"/>
    <s v="Yes"/>
    <s v="No"/>
    <s v="article version includes two languages"/>
    <s v="two abstracts in article in &quot;es&quot; and &quot;en&quot;"/>
    <x v="2"/>
  </r>
  <r>
    <s v="journal-article:None"/>
    <s v="10.1038/ndigest.2022.220134"/>
    <s v="&lt;jats:p&gt;前回は、研究課題を明確に確立するために、新規性と関連性を検討し、練り上げました。今回は、確立した研究課題に付随する「目的」を練り上げていきましょう。&lt;/jats:p&gt;"/>
    <n v="91"/>
    <s v="No"/>
    <s v="No"/>
    <s v="Yes"/>
    <s v="Yes"/>
    <s v="No"/>
    <s v="Yes"/>
    <s v="Yes"/>
    <s v="no abstract in article"/>
    <s v="hiragana, katakana, CJK Ideograph, latin"/>
    <x v="6"/>
  </r>
  <r>
    <s v="journal-article:None"/>
    <s v="10.15353/cfs-rcea.v7i1.411"/>
    <s v="&lt;jats:p&gt;Book review of Indigenous Food Systems: Concepts, Cases and Conversations.&lt;/jats:p&gt;"/>
    <n v="91"/>
    <s v="No"/>
    <s v="No"/>
    <s v="Yes"/>
    <s v="Yes"/>
    <s v="No"/>
    <s v="Yes"/>
    <s v="No"/>
    <s v="no abstract in article"/>
    <s v="book review"/>
    <x v="6"/>
  </r>
  <r>
    <s v="journal-article:None"/>
    <s v="10.18502/ijph.v49i10.4715"/>
    <s v="&lt;jats:p&gt;_x000d__x000a__x000d__x000a__x000d__x000a__x000d__x000a__x000d__x000a__x000d__x000a__x000d__x000a_The article's abstract is not available._x000d__x000a__x000d__x000a__x000d__x000a__x000d__x000a__x000d__x000a__x000d__x000a__x000d__x000a__x000d__x000a__x000d__x000a_ _x000d__x000a_&lt;/jats:p&gt;"/>
    <n v="92"/>
    <s v="No"/>
    <s v="No"/>
    <s v="Yes"/>
    <s v="Yes"/>
    <s v="No"/>
    <s v="No"/>
    <s v="No"/>
    <s v="extra \n char render in REST API, but not downloaded data"/>
    <s v="does not show up in the XML api, but they can be seen in plain text editor!"/>
    <x v="0"/>
  </r>
  <r>
    <s v="journal-article:None"/>
    <s v="10.1002/ppp.2236"/>
    <s v="&lt;jats:sec&gt;&lt;jats:label/&gt;&lt;jats:p&gt;No abstract is available for this article.&lt;/jats:p&gt;&lt;/jats:sec&gt;"/>
    <n v="93"/>
    <s v="No"/>
    <s v="&quot;en&quot;"/>
    <s v="Yes"/>
    <s v="Yes"/>
    <s v="No"/>
    <s v="No"/>
    <s v="No"/>
    <s v="front matter"/>
    <m/>
    <x v="6"/>
  </r>
  <r>
    <s v="journal-article:None"/>
    <s v="10.3390/jdb10010008"/>
    <s v="&lt;jats:p&gt;Rigorous peer-reviews are the basis of high-quality academic publishing [...]&lt;/jats:p&gt;"/>
    <n v="94"/>
    <s v="No"/>
    <s v="No"/>
    <s v="Yes"/>
    <s v="Not available"/>
    <s v="No"/>
    <s v="Yes"/>
    <s v="No"/>
    <s v="front matter"/>
    <m/>
    <x v="6"/>
  </r>
  <r>
    <s v="journal-article:None"/>
    <s v="10.1039/d2tb02817d"/>
    <s v="&lt;jats:p&gt;Nanotechnology is an effective way to stimulate the yield potential of crops.&lt;/jats:p&gt;"/>
    <n v="94"/>
    <s v="No"/>
    <s v="No"/>
    <s v="Yes"/>
    <s v="No"/>
    <s v="No"/>
    <s v="No"/>
    <s v="No"/>
    <s v="article includes abstract"/>
    <s v="only first sentence used; two abstract elements"/>
    <x v="4"/>
  </r>
  <r>
    <s v="journal-article:None"/>
    <s v="10.1126/science.adp4370"/>
    <s v="&lt;jats:p&gt;DNA particles are programmed to assemble with precision into complex lattices&lt;/jats:p&gt;"/>
    <n v="94"/>
    <s v="No"/>
    <s v="No"/>
    <s v="No"/>
    <s v="No"/>
    <s v="No"/>
    <s v="No"/>
    <s v="No"/>
    <s v="article includes abstract"/>
    <s v="only first sentence used; two abstract elements"/>
    <x v="4"/>
  </r>
  <r>
    <s v="journal-article:None"/>
    <s v="10.30712/guara.v2i14-a.42947"/>
    <s v="&lt;jats:p&gt;Centro de Artes: Anais da X Jornada de Integrada de Extensão e Cultura da UFES&lt;/jats:p&gt;"/>
    <n v="95"/>
    <s v="No"/>
    <s v="No"/>
    <s v="Yes"/>
    <s v="Yes"/>
    <s v="No"/>
    <s v="Yes"/>
    <s v="No"/>
    <s v="article title used as abstract"/>
    <s v="no abstract in article"/>
    <x v="6"/>
  </r>
  <r>
    <s v="journal-article:None"/>
    <s v="10.1039/d4nj03085k"/>
    <s v="&lt;jats:p&gt;A schematic illustration of the octopus-like shaped PGH@AgNPs capturing bacteria.&lt;/jats:p&gt;"/>
    <n v="98"/>
    <s v="No"/>
    <s v="No"/>
    <s v="No"/>
    <s v="No"/>
    <s v="No"/>
    <s v="No"/>
    <s v="No"/>
    <s v="article includes abstract"/>
    <s v="two abstract elements"/>
    <x v="3"/>
  </r>
  <r>
    <s v="journal-article:None"/>
    <s v="10.1126/science.373.6556.723"/>
    <s v="&lt;jats:p&gt;IPCC science analysis concludes human role ‘unequivocal’ and impact ‘unprecedented’&lt;/jats:p&gt;"/>
    <n v="100"/>
    <s v="No"/>
    <s v="No"/>
    <s v="Yes"/>
    <s v="Not available"/>
    <s v="No"/>
    <s v="Yes"/>
    <s v="No"/>
    <s v="no abstract in article"/>
    <s v="news article"/>
    <x v="6"/>
  </r>
  <r>
    <s v="journal-article:None"/>
    <s v="10.12968/s0013-7758(22)90421-0"/>
    <s v="&lt;jats:p&gt; The UK’s efforts to cut carbon emissions could come at a price for natural habitats &lt;/jats:p&gt;"/>
    <n v="102"/>
    <s v="No"/>
    <s v="No"/>
    <s v="Yes"/>
    <s v="Not available"/>
    <s v="No"/>
    <s v="Yes"/>
    <s v="No"/>
    <s v="can't verify"/>
    <m/>
    <x v="7"/>
  </r>
  <r>
    <s v="journal-article:None"/>
    <s v="10.3390/coatings14040447"/>
    <s v="&lt;jats:p&gt;Since 2021, I have been working on a very exciting research project leaded by Prof [...]&lt;/jats:p&gt;"/>
    <n v="105"/>
    <s v="No"/>
    <s v="No"/>
    <s v="Yes"/>
    <s v="Yes"/>
    <s v="No"/>
    <s v="Yes"/>
    <s v="No"/>
    <s v="no abstract in article"/>
    <m/>
    <x v="6"/>
  </r>
  <r>
    <s v="journal-article:None"/>
    <s v="10.1039/d0me00038h"/>
    <s v="&lt;p&gt;Design and considerations for all organic, redox-active, deep eutectic solvents for energy storage.&lt;/p&gt;"/>
    <n v="106"/>
    <s v="No"/>
    <s v="No"/>
    <s v="No"/>
    <s v="No"/>
    <s v="No"/>
    <s v="No"/>
    <s v="No"/>
    <s v="article includes abstract"/>
    <s v="two abstract elements used with the first one containing a summarizing sentence and the second the actual abstract from the paper. "/>
    <x v="3"/>
  </r>
  <r>
    <s v="book-chapter:None"/>
    <s v="10.22201/ch.9786073075022e.2023.ca"/>
    <s v="&lt;jats:p&gt;Ecología, medio ambiente y sustentabilidad es una obra estructurada por doce capítulos entrelazados argumentativamente, que aborda un fenómeno complejo e interdisciplinario desde aproximaciones metodológicas y teóricas diversas, pero interrelacionadas en los tres ejes que dan subtítulo al libro. La visión científica y experiencia de sus coordinadores se refleja en los estándares de investigación que dan coherencia metodológica al libro, guiando los contenidos con un nivel de calidad que contribuye a la comprensión formal de un fenómeno que impactó de manera ubicua en las sociedades contemporáneas. Entre los trabajos académicos que inundaron los medios editoriales digitales desde marzo de 2020, algunos se caracterizaron por su apresurado análisis, otros por la incorporación de datos no relacionados y predicciones sin soporte científico, y también observamos trabajos científicos disciplinares que contribuían a entender los alcances plausibles de la pandemia. Ecología, medio ambiente y sustentabilidad es un proyecto en español que tiene las características mencionadas: es un trabajo científico sofisticado e interdisciplinario, que ofrece la confiabilidad de la información, incorpora trabajos que recurren a uso de plataformas geoespaciales, propone el análisis del fenómeno desde metodologías de modelación epidemiológica y ejemplifica el trabajo cooperativo entre especialistas en ecología, medio ambiente y sustentabilidad. “La pandemia de COVID-19 en el Antropoceno” es el título que da inicio al libro y al capítulo uno, y retoma un concepto clave que guía los diversos capítulos de la obra, el Antropoceno. El capítulo dos se enfoca en las “Reflexiones de la pandemia de COVID-19 desde la ecología y Una Salud”. “Estado global de la degradación de los ecosistemas en la década de la pandemia de COVID-19” es el título del capítulo tres que ubica la crisis pandémica en un horizonte más amplio proporcionando herramientas teórico-metodológicas para estudiar la relación entre dos grandes crisis. El cuarto capítulo “La evolución zoonótica: la compleja interacción entre los virus, el ser humano y su ambiente” presenta diversas tesis y resultados de investigación para entender cómo la salud ambiental y la salud humana están íntimamente conectadas. “Paisajes antropogénicos de México y zoonosis: hacia la construcción de paisajes sostenibles y saludables” es el título del quinto capítulo que expone en una intrincada y bien estructurada relación antropogénica a las enfermedades infecciosas. El capítulo seis “Zoonosis de importancia en salud pública en México: un enfoque integral” permite entender con mayor amplitud el entramado del capítulo cinco. El capítulo siete presenta “Nuestros aliados alados: origen y diversidad de los murciélagos y los servicios ecosistémicos que nos proporcionan”, como una de las aproximaciones científicas para reconocer el lugar e importancia de los murciélagos. “Responsabilidad de México como agente activo en el comercio de animales silvestres para mascotas” es otro de los temas relevantes del libro y se presenta en el capítulo ocho, tomando como horizonte conceptual la iniciativa Una Sola Salud, Un solo planeta. “Modelos epidemiológicos y COVID-19” es el título del capítulo nueve que argumenta la importancia del modelado matemático en los procesos de investigación científica de epidemias, a su vez, utilizado para guiar las estrategias de enfrentamiento de esta enfermedad. El capítulo diez presenta “El papel de las plataformas geoespaciales de monitoreo epidemiológico en la mitigación de las pandemias”. “Efectos de la pandemia por COVID-19 en la contaminación ambiental”, es parte del capítulo once. En un capítulo final “Ecología, medio ambiente y sustentabilidad. Conclusiones y perspectivas”, los coordinadores ofrecen las principales conclusiones que se derivan de los capítulos previos. Este libro sin duda contribuye como un texto de referencia para entender las bases científicas de un fenómeno como la pandemia por COVID-19 y, al mismo tiempo, nos invita a integrar aproximaciones desde otras experiencias interdisciplinarias que disuelvan el impacto negativo de la desinformación. &lt;/jats:p&gt;"/>
    <n v="4179"/>
    <s v="No"/>
    <s v="&quot;es&quot;"/>
    <s v="Not available"/>
    <s v="Yes"/>
    <s v="No"/>
    <s v="Yes"/>
    <s v="No"/>
    <s v="No problems"/>
    <m/>
    <x v="3"/>
  </r>
  <r>
    <s v="book-chapter:None"/>
    <s v="10.22201/ch.9786073075022e.2023.c1"/>
    <s v="&lt;jats:p&gt;La pandemia de COVID-19 ha ocasionado el fallecimiento de cerca de siete millones de personas. Un problema inicial de salud pública se convirtió en una crisis mundial con impactos muy importantes en el ámbito social, económico y político (Dobson et al., 2020; Maire et al., 2022). La cooperación internacional se vio claramente superada por la falta de acciones coordinadas para atender problemas que van desde la falta de información sobre la situación de la pandemia hasta la implementación de medidas adecuadas para enfrentar y disminuir sus impactos a nivel global. Se ha puesto en evidencia la desigualdad no sólo en términos de los sistemas de salud públicos y privados, sino en las grandes desigualdades sociales y económicas entre países. La Comisión Lancet COVID-19, en un reporte reciente, hace un análisis muy detallado sobre lo ocurrido en los años de pandemia y propone una serie de medidas para construir: “una nueva era de cooperación multilateral sólida basada en las instituciones de las Naciones Unidas que reduzca los peligros del COVID-19, enfrente la siguiente pandemia, y alcance las metas acordadas por los miembros de la Naciones Unidas sobre el desarrollo sustentable, los  derechos humanos y la paz” (Sachs et al., 2022: 1224). La rápida respuesta y el desarrollo de múltiples vacunas es una muestra de que la cooperación entre científicos, gobiernos y empresas, así como el financiamiento oportuno, puede lograr avances sustanciales para la solución de un problema común. Sin embargo, la falta de una coordinación multilateral internacional ha puesto en evidencia problemas de propiedad intelectual, transferencia biotecnológica, financiamiento a la investigación científica, distribución de las vacunas y su aplicación. La mayoría de los países, incluyendo México, no cuentan con la infraestructura ni el financiamiento o las políticas institucionales que se requieren para atender una crisis sanitaria de la magnitud de la pandemia actual, lo que muestra las profundas desigualdades institucionales existentes. Un aspecto fundamental para entender integralmente la pandemia del COVID-19 y, en general, es analizar los procesos ecológicos y evolutivos involucrados para diferenciar los factores inmediatos o proximales (el papel de la interacción genes-función-ambiente) de los evolutivos (la aparición y persistencia de nuevas variantes virales) (Stearns y Koella, 2008). En un momento en donde se valora y cuestiona el papel de los humanos en la transformación del planeta Tierra, es central entender cómo esta transformación ha catalizado la emergencia de nuevas pandemias como las que hemos padecido en los últimos años. Lamentablemente, al igual que otras eras geológicas caracterizadas por la extinción de especies, el Antropoceno está también definido por la llamada Sexta Extinción Masiva de la Biodiversidad, la cual es la más intensa registrada en la historia de la vida sobre la Tierra (Ricketts et al., 2005; Pimm et al., 2014; Ceballos et al., 2015). El planeta Tierra vive una crisis ambiental sin precedentes, con un alto riesgo de que muchos de sus procesos naturales alterados negativamente se vuelvan irreversibles. La destrucción de los ecosistemas naturales y la alteración del clima por las actividades humanas han llegado a tal punto que tardarán décadas en recuperarse. Los Objetivos del Desarrollo Sostenible enunciados por acuerdo de los países miembro de las Naciones Unidas, en la famosa Agenda 2030, reflejan la gran preocupación por trazar nuevas rutas para reconstruir un mundo mejor para el sostén de la vida de ésta y la de las futuras generaciones. Sin embargo, la pandemia de COVID-19 vino a evidenciar las limitaciones y los alcances reales de cada uno de los países para alcanzar estos objetivos y en muchos casos obligó a los gobiernos a reasignar los recursos disponibles hacia la contención de la pandemia y desviar las políticas encaminadas al cumplimiento de estos objetivos.&lt;/jats:p&gt;"/>
    <n v="3961"/>
    <s v="No"/>
    <s v="&quot;es&quot;"/>
    <s v="Not available"/>
    <s v="Yes"/>
    <s v="No"/>
    <s v="Yes"/>
    <s v="No"/>
    <s v="No problems"/>
    <m/>
    <x v="3"/>
  </r>
  <r>
    <s v="book-chapter:None"/>
    <s v="10.4018/979-8-3693-2346-5.ch019"/>
    <s v="&lt;jats:p&gt;A contemporary product of technology is digitalization. The process of digitalization is rapidly gaining momentum; in fact, it can be attributed to the Industrial Revolution 4.0. Though the concept of financial inclusion was initially presented by the RBI in 2005, it was popularized by the Indian Prime Minister in 2014. The objective was to render financial services accessible to all strata of society, particularly the underprivileged and the economically weaker sections. Digital financial inclusion refers to the availability of various financial services in the digital mode, providing access to receive or make payments, transfer, and store value in the electronic mode with any financial institution. India predominantly remains an agrarian economy; hence, the objective is to examine how digital financial services/schemes would empower farmers. Financial institutions play a major role in financial inclusion. The prime focus of financial inclusion is to educate farmers to open bank accounts, and this is apparent in one of the financial inclusion schemes Jhan Dhan Yojana. Digital financial and technology schemes will help the farmers to improve their agricultural productivity through the use of higher yielding varieties of seeds, reduce water wastage, and improve sustainability. The present study attempts to identify and analyze the impact of digital financial schemes that would benefit the farmers in earning better remuneration and in improving agricultural productivity. The study is conceptual in nature and is based on secondary data. The India Digital Ecosystem of Agriculture (IDEA) framework has been introduced by the Indian Government, whereby the farmers' database will be provided to avail benefits and link them with digitalized land records. There are other schemes namely National e-Governance Plan in Agriculture (NeGP-A), National Agriculture Market (e-NAM), and Agriculture Infrastructure Fund (AIF) which relate to digital connectivity. The theoretical framework applicable to the study is the ‘Public Good Theory of Financial Inclusion' which states that there ought to be an unhindered access to finance for all. Furthermore, finance must be considered as a common good which is meant to benefit everyone. Another theory is the ‘Loanable Funds Theory', which relates to the demand for and supply of loanable funds that can be made available to farmers in the form of micro credit. This can be done by setting up micro-finance institutions. One of the expected benefits of digital agriculture is that it improves the socio-economic status of farmers, increased agricultural productivity, low cost of production, efficient use of soil and water resources. Furthermore, farmers can purchase modern agricultural equipment and machines through the provision of subsidies by the government.&lt;/jats:p&gt;"/>
    <n v="2842"/>
    <s v="No"/>
    <s v="No"/>
    <s v="Yes"/>
    <s v="Not available"/>
    <s v="No"/>
    <s v="Yes"/>
    <s v="No"/>
    <s v="No problems"/>
    <m/>
    <x v="3"/>
  </r>
  <r>
    <s v="book-chapter:None"/>
    <s v="10.1007/978-981-19-4029-3_3"/>
    <s v="&lt;jats:title&gt;Abstract&lt;/jats:title&gt;&lt;jats:p&gt;This chapter identifies the overall trends in Japan’s official development assistance (ODA) policies for the health sector in developing countries from 1990 to 2020 and its future post-COVID-19 prospects. Since the end of the Cold War, watershed events have repeatedly changed the landscape of international cooperation in the health sector. Like other international aid donors, Japan has devised priorities and strategies for ODA based on a set of international and domestic factors in a constantly changing world. Numerous studies on Japan’s ODA have examined international and domestic factors that impact the formulation of the country’s aid policy. This chapter aims to add to those studies by combining recent debates on international cooperation and foreign aid, the right to health, and world health system reforms to explore and analyze Japan’s ODA for health in developing countries. The guiding research questions were as follows: What were the major trends in Japan’s ODA policies in the health sector from 1990 to 2020? Which international health debates and international cooperation factors exerted influence on those trends? What are the prospects of Japan’s ODA given the COVID-19 pandemic and its impacts? The research relied on primary sources, specifically Japan’s ODA official documents and the Organization for Economic Cooperation and Development’s (OECD) ODA quantitative databases, as well as secondary sources, such as academic literature on international cooperation and foreign aid for health. Our preliminary findings revealed that Japan’s ODA in the health sector from 1990 to 2020 centered on two main axes: infectious diseases and maternal and child health, both of which are oriented toward strengthening the healthcare system. Given this goal, it seems relevant to consider that Japan’s health system is based on the assumption of the need to provide universal health coverage, a concept currently supported by the World Health Organization (WHO), in contrast to the universal health system, and that the implications of this choice on Japan’s ODA and developing countries’ health policies are yet to be fully understood. The COVID-19 pandemic has put substantial pressure on health systems globally and international cooperation for health; thus, it has the potential to affect and even change Japan’s ODA for the health sector in developing countries.&lt;/jats:p&gt;"/>
    <n v="2437"/>
    <s v="No"/>
    <s v="&quot;en&quot;"/>
    <s v="Yes"/>
    <s v="No"/>
    <s v="No"/>
    <s v="Yes"/>
    <s v="No"/>
    <s v="abstract not included in PDF"/>
    <s v="abstract is summary of chapter"/>
    <x v="6"/>
  </r>
  <r>
    <s v="book-chapter:None"/>
    <s v="10.5772/intechopen.100267"/>
    <s v="&lt;jats:p&gt;The intraovarian gestation, occurring in teleosts, makes this type of reproduction a such complex and unique condition among vertebrates. This type of gestation of teleosts is expressed in special morphological and physiological characteristic where occurs the viviparity and it is an essential component in the analysis of the evolutionary process of viviparity in vertebrates. In viviparous teleosts, during embryogenesis, there are not development of Müllerian ducts, which form the oviducts in the rest of vertebrates, as a result, exclusively in teleosts, there are not oviducts and the caudal region of the ovary, the gonoduct, connects the ovary to the exterior. The lack of oviducts defines that the embryos develop into the ovary, as intraovarian gestation. The ovary forms the oocytes which may develop different type of oogenesis, according with the storage of diverse amount of yolk, variation observed corresponding to the species. The viviparous gestation is characterized by the possible intimate contact between maternal and embryonic tissues, process that permits their metabolic interchanges. So, the nutrients obtained by the embryos could be deposited in the oocyte before fertilization, contained in the yolk (lecithotrophy), and may be completed during gestation by additional provisioning from maternal tissues to the embryo (matrotrophy). Then, essential requirements for viviparity in poeciliids and goodeids are characterized by: a) the diversification of oogenesis, with the deposition of different amount of yolk in the oocyte; b) the insemination, by the transfer of sperm to the female gonoduct and their transportation from the gonoduct to the germinal region of the ovary where the follicles develop; c) the intrafollicular fertilization; d) the intraovarian gestation with the development of embryos in intrafollicular gestation (as in poeciliids), or intraluminal gestation (as in goodeids); and, e) the origin of embryonic nutrition may be by lecithotrophy and matrotrophy. The focus of this revision compares the general and specific structural characteristics of the viviparity occurring into the intraovarian gestation in teleosts, defining this reproductive strategy, illustrated in this review with histological material in a poeciliid, of the species Poecilia latipinna (Lesueur, 1821) (Poeciliidae), and in a goodeid, of the species Xenotoca eiseni (Rutter, 1896) (Goodeidae).&lt;/jats:p&gt;"/>
    <n v="2435"/>
    <s v="No"/>
    <s v="No"/>
    <s v="Yes"/>
    <s v="Not available"/>
    <s v="No"/>
    <s v="Yes"/>
    <s v="No"/>
    <s v="No problems"/>
    <m/>
    <x v="3"/>
  </r>
  <r>
    <s v="book-chapter:None"/>
    <s v="10.12797/9788383681320.03"/>
    <s v="&lt;jats:p&gt;This article aims to analyse the legend of Jane Grey, which began to be shaped shortly after her execution in 1554. In the years following her death, the image of the “nineday queen” in historiographical and literary works changed depending on the political situation in England. The religious beliefs of the authors of each work were also not insignificant, as Catholics and Protestants described quite differently the events that took place in England after the death of Edward VI. Jane Grey, the granddaughter of Mary Tudor, Henry VIII’s youngest sister, belonged to the aristocratic elite of the time. It should also be noted that she was included in the succession acts issued by the monarch, although after Edward’s childless death, she would have been fourth in the line to the throne. However, towards the end of his life, Edward VI decided to change the succession law and appoint Jane Grey as heir to the throne. This decision brought England to the brink of civil war and led to the tragic death of Jane Grey, and consequently to the forming of her legend, portraying her as an innocent Protestant martyr and victim of the Catholic Queen Mary. The article presents the results of analysing chronicles, state papers, biographies and ballads from the 16th century that describe the life and reign of Jane Grey. The primary sources used include i.a., the chronicles of John Stow, Charles Wriothesley and Raphael Holinshed, the accounts of Michelangelo Florio and John Aylmer, the biographical work of John Foxe, as well as literary works created after the Queen’s death. The analysed works present Jane Gray primarily as a victim of her father-in-law’s and father’s ambitions or as a Protestant martyr. Very few sources shed any light on what kind of person Lady Jane Gray was. An image of a talented, educated and very religious woman emerges from the accounts of her contemporaries. The legend of Jane as a victim of her family’s ambition and the archetypal English martyr carried on in the following centuries, possibly expanding to include descriptions of the love that was supposed to connect her with her husband, Guildford Dudley, but which never really transpired.&lt;/jats:p&gt;"/>
    <n v="2197"/>
    <s v="No"/>
    <s v="No"/>
    <s v="No"/>
    <s v="No"/>
    <s v="No"/>
    <s v="Yes"/>
    <s v="No"/>
    <s v="abstract not included in PDF"/>
    <s v="&quot;pl&quot; on landing page and PDF, &quot;en&quot; in metadata; publisher provided translated abstract, not in PDF"/>
    <x v="3"/>
  </r>
  <r>
    <s v="book-chapter:None"/>
    <s v="10.58532/v3bgpn12p5ch4"/>
    <s v="&lt;jats:p&gt;Radiopharmaceutical science is a multidisciplinary field that plays a pivotal role in nuclear medicine, utilizing radiopharmaceutical agents for diagnostic imaging, therapeutic applications, and molecular target-specific therapy. This abstract provides an overview of the key aspects and advancements in radiopharmaceutical science. In the realm of diagnostic imaging, radiopharmaceuticals are employed to visualize and assess physiological and pathological processes at the molecular level. Techniques such as Single-Photon Emission Computed Tomography (SPECT) and Positron Emission Tomography (PET) have revolutionized medical imaging by enabling the non-invasive evaluation of organ function and the early detection of diseases like cancer, cardiovascular disorders, and neurological conditions. On the therapeutic front, radiopharmaceuticals are utilized for targeted radiation therapy, known as Radionuclide Therapy or Molecular Radiotherapy. This approach involves administering radiopharmaceuticals that selectively accumulate in specific disease sites, delivering precise and localized radiation to cancerous cells or diseased tissues. The development of innovative alpha and beta-emitting radionuclides has significantly expanded the therapeutic potential, allowing for personalized treatment strategies and improved patient outcomes. Furthermore, the synthesis, production, and quality control of radiopharmaceuticals poses unique challenges. Advanced radiochemistry techniques and automated systems have streamlined the production process, enhancing the availability and accessibility of these vital agents. Ensuring strict adherence to regulatory guidelines and radiopharmaceutical-specific safety protocols is crucial to guaranteeing the highest standard of patient care. The integration of artificial intelligence, machine learning, and image processing algorithms has propelled radiopharmaceutical science into the era of precision medicine. These cutting-edge technologies enable more accurate image analysis, patient-specific dosimetry, and treatment planning, optimizing therapeutic efficacy while minimizing potential side effects.&lt;/jats:p&gt;"/>
    <n v="2167"/>
    <s v="No"/>
    <s v="&quot;en&quot;"/>
    <s v="Yes"/>
    <s v="Yes"/>
    <s v="No"/>
    <s v="Yes"/>
    <s v="No"/>
    <s v="No problems"/>
    <m/>
    <x v="3"/>
  </r>
  <r>
    <s v="book-chapter:None"/>
    <s v="10.5382/sp.23.33"/>
    <s v="&lt;jats:title&gt;Abstract&lt;/jats:title&gt;_x000a_               &lt;jats:p&gt;Neoarchean greenstone-hosted gold deposits in the Eastern Goldfields Superterrane of the Yilgarn craton of Western Australia are diverse in style, timing with respect to magmatic activity, structural environment, host rocks, and geochemical character. Geologic constraints for the range of gold deposits indicate deposit formation synchronous with volcanism, synchronous with syn- and postvolcanic intrusion, synchronous with postvolcanic deformation in faults and shear zones, or some combination of superposed events over time. The gold deposits are distributed as clusters along linear belt-parallel fault zones internal to greenstone belts but show no association with major terrane boundary faults. World-class gold districts are associated with the thickest, internal parts of the greenstone belts identified by stratigraphic preservation and low metamorphic grades. Ore-proximal faults in those regions are more commonly associated with syn- and postvolcanic structures related to greenstone construction and deformation rather than major terrane amalgamation. Using the Kalgoorlie district as a template, the gold deposits show a predictable regional association with thicker greenstone rocks overlain unconformably by coarse clastic rock sequences in the uppermost units of the greenstone stratigraphy. At a camp scale, major gold deposits show a spatial association with unconformable epiclastic and volcaniclastic rocks located above an unconformity internal to the Black Flag Group. Distinct episodes of gold deposition in coincident locations suggest fundamental crustal structural controls provided by the fault architecture. Late penetrative deformation and metamorphism overprinted the greenstone rocks and the older components of many gold deposits and were accompanied by major gold deposition in late quartz-carbonate veins localized in crustal shear zones or their higher order fault splays.&lt;/jats:p&gt;"/>
    <n v="1977"/>
    <s v="No"/>
    <s v="No"/>
    <s v="Yes"/>
    <s v="Not available"/>
    <s v="No"/>
    <s v="Yes"/>
    <s v="No"/>
    <s v="No problems"/>
    <m/>
    <x v="3"/>
  </r>
  <r>
    <s v="book-chapter:None"/>
    <s v="10.30525/978-9934-26-494-8-12"/>
    <s v="&lt;jats:p&gt;The need to ensure rapid and effective post-war recovery and reconstruction of Ukraine's economy requires a systematic scientific justification of the key mechanisms, methods, and instruments of state and market management used in the rebuilding process and the formation of a new innovative model for Ukraine's economic development. Based on the analysis of scientific literature and regulatory sources, the preconditions and objectives of the processes of post-war recovery and reconstruction of the economy are characterized. The structure of the corresponding state strategy and the plan for its implementation are substantiated. The primary directions of institutional transformations in the process of forming a new model for post-war economic development have been identified. Drawing on global experience, a system of measures has been developed and proposed for practical application to simplify legal and organizational procedures in the process of attracting foreign aid from donor countries, credits, and funds from foreign investors. The first-priority measures that should promote the activation of domestic financial sector institutions and capital markets, with the goal of expanding internal sources of financing, are substantiated. The main directions for stimulating investment activity among domestic business entities are characterized. Potential challenges and risks that may arise in the process of economic recovery and reconstruction are identified and characterized. The proposed approaches can be used by government authorities in the formation of relevant economic policies, strategies, and financial-economic mechanisms. Their implementation will contribute to improving the organization and management of post-war recovery and reconstruction processes in Ukraine, with the aim of enhancing international competitiveness, accelerating socio-economic development, and improving the welfare of its citizens.&lt;/jats:p&gt;"/>
    <n v="1951"/>
    <s v="No"/>
    <s v="&quot;en&quot;"/>
    <s v="Not available"/>
    <s v="Yes"/>
    <s v="No"/>
    <s v="Yes"/>
    <s v="No"/>
    <s v="No problems"/>
    <s v="author translated abstract in PDF, article is in &quot;uk&quot;"/>
    <x v="3"/>
  </r>
  <r>
    <s v="book-chapter:None"/>
    <s v="10.1007/978-3-031-37189-9_4"/>
    <s v="&lt;jats:title&gt;Abstract&lt;/jats:title&gt;&lt;jats:p&gt;Transforming sketches into digital 3D models has been an enduring practice in the design process since the first digital turn in architecture. However, 3D modeling is time-consuming, and 3D modeling software usually has a cumbersome interface. Aiming to bridge the gap between sketch and 3D model, we propose a framework that can turn a hand-drawn 2D sketch into a 3D mesh. The user can draw a sketch on the canvas through a web-based interface, and the corresponding 3D model will automatically be generated and shown aside. The 3D model can be downloaded or synchronized into the Rhino directly through Grasshopper.&lt;/jats:p&gt;&lt;jats:p&gt;The proposed framework uses a machine learning-based approach to generate a 3D mesh from a single hand-drawn sketch by deforming a template shape. Since the generated models have an uneven surface, we apply an optimization step to refine the form, creating a more usable architectural 3D model with planar faces and sharper edges. We create the Simple House Dataset, which consists of 5000 single-volume houses, to train the neural network. We defined five categories of house typologies - distinguished by roof shape and other geometric properties - and generated 1000 models for each class with parameters chosen randomly. Each model includes a 3D mesh and 20 perspective line drawings from different angles.&lt;/jats:p&gt;&lt;jats:p&gt;Although the limitation of the generalization ability makes it unlikely to replace the conventional 3D modeling software today, the fast sketch to 3D transformation allows architects to explore the possibility of various architectural forms and may speed up the design process in the early stage. The code of this project and the Simple House dataset has been published on Github [29].&lt;/jats:p&gt;"/>
    <n v="1796"/>
    <s v="No"/>
    <s v="&quot;en&quot;"/>
    <s v="Yes"/>
    <s v="Yes"/>
    <s v="No"/>
    <s v="Yes"/>
    <s v="No"/>
    <s v="No problems"/>
    <m/>
    <x v="3"/>
  </r>
  <r>
    <s v="book-chapter:None"/>
    <s v="10.3233/aiad220029"/>
    <s v="&lt;jats:p&gt;Background: Excessive salt intake is considered as an important risk factor for cognitive impairment, which might be the consequence of imbalanced intestinal homeostasis. Objective: To investigate the effects of dietary salt on the gut microbiota and cognitive performance and the underlying mechanisms. Methods: Adult female C57BL/6 mice were maintained on either normal chow (control group, CON) or sodium-rich chow containing 8% NaCl (high-salt diet, HSD) for 8 weeks. Spatial learning and memory ability, short-chain fatty acids (SCFAs) concentrations, gut bacterial flora composition, blood-brain barrier permeability, and proinflammatory cytokine levels and apoptosis in the brain were evaluated. Results: The mice fed a HSD for 8 weeks displayed impaired learning and memory abilities. HSD significantly reduced the proportions of Bacteroidetes (S24-7 and Alloprevotella) and Proteobacteria and increased that of Firmicutes (Lachnospiraceae and Ruminococcaceae). SCFA concentrations decreased in the absolute concentrations of acetate, propionate, and butyrate in the fecal samples from the HSD-fed mice. The HSD induced both BBB dysfunction and microglial activation in the mouse brain, and increased the IL-1β, IL-6, and TNF-α expression levels in the cortex. More importantly, the degree of apoptosis was higher in the cortex and hippocampus region of mice fed the HSD, and this effect was accompanied by significantly higher expression of cleaved caspase-3, caspase-3, and caspase-1. Conclusion: The HSD directly causes cognitive dysfunction in mice by eliciting an inflammatory environment and triggering apoptosis in the brain, and these effects are accompanied by gut dysbiosis, particularly reduced SCFA production.&lt;/jats:p&gt;"/>
    <n v="1747"/>
    <s v="No"/>
    <s v="No"/>
    <s v="No"/>
    <s v="Not available"/>
    <s v="No"/>
    <s v="Yes"/>
    <s v="No"/>
    <s v="No problems"/>
    <s v="no abstract on landing page;"/>
    <x v="3"/>
  </r>
  <r>
    <s v="book-chapter:None"/>
    <s v="10.3233/shti210050"/>
    <s v="&lt;jats:p&gt;The diagnosis of patients with rare diseases is often delayed. A Clinical Decision Support System using similarity analysis of patient-based data may have the potential to support the diagnosis of patients with rare diseases. This qualitative study has the objective to investigate how the result of a patient similarity analysis should be presented to a physician to enable diagnosis support. We conducted a focus group with physicians practicing in rare diseases as well as medical informatics researchers. To prepare the focus group, a literature search was performed to check the current state of research regarding visualization of similar patients. We then created software-mockups for the presentation of these visualization methods for the discussion within the focus group. Two persons took independently field notes for data collection of the focus group. A questionnaire was distributed to the participants to rate the visualization methods. The results show that four visualization methods are promising for the visualization of similar patients: “Patient on demand table”, “Criteria selection”, “Time-Series chart” and “Patient timeline. “Patient on demand table” shows a direct comparison of patient characteristics, whereas “Criteria selection” allows the selection of different patient criteria to get deeper insights into the data. The “Time-Series chart” shows the time course of clinical parameters (e.g. blood pressure) whereas a “Patient timeline” indicates which time events exist for a patient (e.g. several symptoms on different dates). In the future, we will develop a software-prototype of the Clinical Decision Support System to include the visualization methods and evaluate the clinical usage.&lt;/jats:p&gt;"/>
    <n v="1739"/>
    <s v="No"/>
    <s v="No"/>
    <s v="Yes"/>
    <s v="Yes"/>
    <s v="No"/>
    <s v="Yes"/>
    <s v="No"/>
    <s v="No problems"/>
    <m/>
    <x v="3"/>
  </r>
  <r>
    <s v="book-chapter:None"/>
    <s v="10.1007/978-981-33-6761-6_11"/>
    <s v="&lt;jats:title&gt;Abstract&lt;/jats:title&gt;&lt;jats:p&gt;Transformation, transition, and paradigm shift are increasingly applied concepts in literature on climate resiliency to describe changes in society and the environment. Here, we considered mangroves to be dynamic socio-ecological systems, subject to increasing anthropogenic pressures that present complex challenges for the design of effective coastal governance. Analysing these systems through a participatory approach, we consulted a community who lives in close relationship with mangroves, the Alitas farmers of Infanta, Quezon Province, Philippines. This community has improved decision-making processes for the development of adaptation strategies to climate change. In turn, a sustainably managed and conserved mangrove forest promotes human well-being and resilience, particularly for those households whose livelihoods are dependent on the resources that mangroves provide. This paper examined the importance of mangrove land management that addresses climate change hazards. We synthesised various perspectives on the importance of mangrove conservation for enhancing climate resiliency by: (1) describing the climate-related hazards that affect local communities and mangroves; (2) describing socio-institutional structures influencing effective mangrove conservation and local resilience; and (3) identifying climate change adaptation strategies that promote local development and mangrove conservation. This paper establishes a collaborative management framework for future risk-resilience management that operates alongside coastal communities within the Philippines and across the global stage.&lt;/jats:p&gt;"/>
    <n v="1661"/>
    <s v="No"/>
    <s v="&quot;en&quot;"/>
    <s v="Yes"/>
    <s v="Yes"/>
    <s v="No"/>
    <s v="Yes"/>
    <s v="No"/>
    <s v="No problems"/>
    <m/>
    <x v="3"/>
  </r>
  <r>
    <s v="book-chapter:None"/>
    <s v="10.37885/230513067"/>
    <s v="&lt;jats:p&gt;A estria é uma afecção tegumentar adquirida que ocorre na segunda camada da pele, nos elementos dérmicos, devido a uma distensão deste tecido, ocorrendo em diversas fases da vida em que se caracteriza por um crescimento brusco. Apesar do estiramento mecânico deste tecido ser o principal fator causador desta afecção, sabe-se que a etiologia das estrias ainda precisa ser mais estudada e compreendida, pois ela é multifatorial e este estiramento do tecido pode estar relacionado com fatores genéticos e alterações endócrinas. O estiramento brusco do tecido dérmico ocasiona uma dilaceração das fibras colágenas e elásticas, provocando um desequilíbrio elástico localizado, formando as estrias. As estrias costumam ser avermelhadas ou arroxeadas, logo que surgem, podendo ser deprimidas ou discretamente elevadas. Quando elas se tornam esbranquiçadas, com leve enrugamento devido a atrofia epidérmica, a estria já se tornou mais antiga, dificultando o tratamento. Dar ênfase no tratamento para redução da espessura e densidade da pele, estimulando a produção de fibras elásticas e colágenas e prevenindo a flacidez, reduzindo e amenizando a aparência das estrias. Esse trabalho tem como finalidade desenvolver um protocolo que realmente amenize a aparência das estrias utilizando de três técnicas de aparelhos da eletroterapia associados com ativos. Resultando na redução de irregularidades da pele, promovendo vitalidade e recuperando a aparência jovial do tecido através do aumento dos níveis de colágeno e elastina, e assim desmistificar esta disfunção inestética que acarreta sérios problemas emocionais.&lt;/jats:p&gt;"/>
    <n v="1624"/>
    <s v="No"/>
    <s v="No"/>
    <s v="Yes"/>
    <s v="Yes"/>
    <s v="No"/>
    <s v="Yes"/>
    <s v="No"/>
    <s v="No problems"/>
    <m/>
    <x v="3"/>
  </r>
  <r>
    <s v="book-chapter:None"/>
    <s v="10.46943/ix.conedu.2023.gt03.004"/>
    <s v="&lt;jats:p&gt;O texto em apreço tem como proposta apresentar uma análise preliminar acerca dos saberes escolares veiculados na Escola de Aprendizes Artífices de Alagoas/EAA-AL, destinada à formação profissional de meninos pobres. O marco temporal está compreendido entre os finais dos anos de 1910 a 1920. O interesse reside em compreender o perfil do programa de ensino que passou a ser implementado na EAA-AL por ocasião da promulgação do Decreto nº 13.064, de 12 de junho de 1918. O referido decreto pode ser apreendido como a materialização do marco inicial de reformulações que aconteceriam no interior da instituição, uma vez que em alguns aspectos a sua estrutura administrativo e pedagógica sofreu modificações, em especial, no que tange aos saberes escolares. Posto isto, a análise se desenvolve no sentido de entender quais eram as possíveis intencionalidades que havia por detrás da introdução de novos saberes, bem como a permanência de outros no programa de ensino da instituição. Como referência teórica me servi das obras de Cunha (2005) e Fonseca (1961), que discutem o ensino profissional brasileiro numa perspectiva histórica. E no tratamento metodológico da legislação examinada as reflexões de Ananias (2007). Os resultados da análise acusaram que os saberes escolares foram concebidos pelo Governo Federal como elementos estratégicos na difusão de valores, ideias e práticas. Tais aspectos dialogavam diretamente com o ideário republicano da época e que perpassava princípios como os de: ordem, moral e disciplina e que teriam de ser inculcados nos corpos dos meninos aprendizes.&lt;/jats:p&gt;"/>
    <n v="1603"/>
    <s v="No"/>
    <s v="&quot;pt&quot;"/>
    <s v="No"/>
    <s v="Yes"/>
    <s v="No"/>
    <s v="Yes"/>
    <s v="No"/>
    <s v="No problems"/>
    <m/>
    <x v="3"/>
  </r>
  <r>
    <s v="book-chapter:None"/>
    <s v="10.4018/978-1-5225-9869-5.ch037"/>
    <s v="&lt;jats:p&gt;Community media remains the only key tool that can facilitate grassroot citizens' participation in nurturing and sustaining true democracy through creating and using information content that is driven by the needs of the communities for themselves and by themselves. By so doing, the citizens partake in determining their future through developing the community and educating their people in a manner and language that they can understand. Moreover, community media enables people from different socio-cultural backgrounds within a community, to share information and exchange ideas in a positive and productive manner. This dialogue among communities can be enriched by understanding how development issues affect them; discovering what others think in other communities; and seeing what other communities have achieved. In this light, participatory radio serves as a means of developing the grassroots emancipation that will enable them to articulate their needs in alignment with the cultural and social impulses of the communities they represent through means of technology, that is, community radio. The role of community radio is heightened by the realization that traditional or orthodox practice of the commercial/mainstream media has failed in achieving some of its basic and expected functions to the society such as serving as a true watchdog of the society, especially in a fledgling democratic system. Thus, this paper undertakes a case for sustainability of community radio in a developing society with a focus on both sides of the equation (production and distribution). &lt;/jats:p&gt;"/>
    <n v="1603"/>
    <s v="No"/>
    <s v="No"/>
    <s v="Yes"/>
    <s v="Not available"/>
    <s v="No"/>
    <s v="Yes"/>
    <s v="No"/>
    <s v="No problems"/>
    <m/>
    <x v="3"/>
  </r>
  <r>
    <s v="book-chapter:None"/>
    <s v="10.1007/978-3-031-60622-9_2"/>
    <s v="&lt;jats:title&gt;Abstract&lt;/jats:title&gt;&lt;jats:p&gt;This chapter goes into more detail about the term “quality TV drama” and the related field of research, dealing with the connection between television and quality. In addition to discussing the well-known quality TV criteria according to Robert J. Thompson (1996), to which a number of analyses link, this chapter identifies gaps in quality TV research as well as other contexts, which have mostly arisen through the single-minded attention on US series. German and public-service television fiction represent different contexts through which these gaps can be addressed. The chapter then explains that the aesthetic evaluations that discussions on quality TV and its storytelling and screenwriting inevitably lead to take place in specific contexts. This then opens up into an explanation of the book’s approach of considering quality TV drama as both a construction and an evaluation discourse by the television industry. Quality judgements, as becomes clear, shape different phases of television production, especially the screenwriting process, and consistently take place in project networks and screen idea work groups. The third and final part of this chapter explains what the analysed television professionals understood “quality TV” to mean and what textual aspects they attributed to it. With reference to well-known TV series, especially from the US and also Denmark, the practitioners particularly emphasised storylines across several episodes and the associated character development as (desirable) attributes of quality drama.&lt;/jats:p&gt;"/>
    <n v="1591"/>
    <s v="No"/>
    <s v="&quot;en&quot;"/>
    <s v="Yes"/>
    <s v="No"/>
    <s v="No"/>
    <s v="Yes"/>
    <s v="No"/>
    <s v="abstract not included in PDF"/>
    <s v="to discuss; who owns the copyright for this if its not from the authors?"/>
    <x v="6"/>
  </r>
  <r>
    <s v="book-chapter:None"/>
    <s v="10.4018/979-8-3693-8659-0.ch012"/>
    <s v="&lt;jats:p&gt;The integration of depth-sensing technologies is revolutionizing a multitude of AI applications, from robotics to healthcare. This study delves into the intricacies of decision maps derived from depth data, with a particular emphasis on enhancing explainability. Our findings, corroborated with real-world applications, underscore the vast potential of depth sensing in offering a dual advantage: enhanced AI performance coupled with improved explainability, ensuring stakeholders can trust and understand AI outputs. Depth sensing technologies have ushered in a new era of possibilities in AI applications. This research explores the use of depth data to create decision maps that enhance the explainability of AI systems. Decision maps provide valuable insights into why AI models make specific decisions, which is crucial for trust, accountability, and regulatory compliance. Our study showcases the practical advantages of utilizing depth sensing for explainability. We demonstrate how these technologies can be applied in fields such as robotics, medical imaging, and autonomous vehicles. By improving our understanding of AI decision-making, we can unlock the full potential of these applications while ensuring their safety and reliability. This research highlights the transformative impact of depth sensing in AI applications. By focusing on the nuances of decision maps, we not only enhance AI performance but also provide stakeholders with the transparency and understanding necessary to trust and embrace AI technologies fully.&lt;/jats:p&gt;"/>
    <n v="1556"/>
    <s v="No"/>
    <s v="No"/>
    <s v="Yes"/>
    <s v="Not available"/>
    <s v="No"/>
    <s v="Yes"/>
    <s v="No"/>
    <s v="No problems"/>
    <m/>
    <x v="3"/>
  </r>
  <r>
    <s v="book-chapter:None"/>
    <s v="10.1093/oxfordhb/9780198847793.013.17"/>
    <s v="&lt;jats:title&gt;Abstract&lt;/jats:title&gt;_x000a_               &lt;jats:p&gt;Tensions in civil society based on religion are nothing new. The world is home to many religions and religious traditions that differ in culture and rituals, beliefs, and commands but that promote peace, harmony, and coexistence, yet religion often becomes a deep and delicate source of conflict. Religious liberty also is a location of tension with the rights to non-discrimination and equality. For example, religion was used to justify (and to oppose) the inhuman and inhumane institution of slavery and to justify sex discrimination. In the twenty-first century, the tension between religious freedom and LGBT equality has become a major battleground. This chapter addresses whether tensions between LGBT equality and religious liberty are intractable or whether there can be reconciliation that allows all sides to live their lives without being subjected to discrimination in the public, employment, and commercial services spheres. To explore this question this chapter provides the legal context in which these conflicts develop, including international, regional, and national law. The chapter concludes that the appropriate way to resolve the conflict is by adopting an awakened balancing approach that recognizes that both religious freedom and non-discrimination are high-value fundamental rights in the international, regional, and national spheres. Such a model allows for a reasoned solution to the legal and emotional tensions that arise from this clash of rights.&lt;/jats:p&gt;"/>
    <n v="1546"/>
    <s v="No"/>
    <s v="No"/>
    <s v="Yes"/>
    <s v="Not available"/>
    <s v="No"/>
    <s v="Yes"/>
    <s v="No"/>
    <s v="No problems"/>
    <m/>
    <x v="3"/>
  </r>
  <r>
    <s v="book-chapter:None"/>
    <s v="10.1093/oso/9780190061289.003.0011"/>
    <s v="&lt;jats:title&gt;Abstract&lt;/jats:title&gt;_x000a_               &lt;jats:p&gt;This chapter argues that art education in the United States has blossomed in the 21st century with new approaches that are major positive steps forward. These approaches build on progressive art education practices but take them much further in the following six ways, each of which brings students closer to working like mature artists: (1) Artworks are driven by ideas, not formal principles; (2) art making is a form of inquiry and research (shades of Reggio); (3) students make art about social justice issues that concern them—and often this involves a challenge to the dominant culture; (4) art making is interdisciplinary, with students doing STEM research (science, technology, engineering, and mathematics) to inform their work (shades of Reggio)—this includes digital art making; (5) artworks are more student- than teacher-driven; and (6) students become involved in peer-to-peer critiques that bypass the teacher. American art education has come a long way from the mind-numbing drawing lessons of the 19th century to the mind-expanding approaches featured in this chapter. The 21st-century approaches have much in common because they are all based in the practices of contemporary art worlds. Meaning has become more important than beauty. Art has become socially conscious. Art making has become a form of interdisciplinary research. Students are given wide latitude to make their own discoveries. And art is both made and shown by using the new digital media.&lt;/jats:p&gt;"/>
    <n v="1540"/>
    <s v="No"/>
    <s v="No"/>
    <s v="Yes"/>
    <s v="Not available"/>
    <s v="No"/>
    <s v="Yes"/>
    <s v="No"/>
    <s v="No problems"/>
    <m/>
    <x v="3"/>
  </r>
  <r>
    <s v="book-chapter:None"/>
    <s v="10.31391/vxkd1832.6"/>
    <s v="&lt;jats:p&gt;Un concepto central de las ciencias sociales y políticas contemporáneas es el de rendición de cuentas (Schultz, 1998; Przeworski, Stokes &amp;amp; Manin, 1999; O’Donnell, 2003; Mulgan, 2000; Borowiak, 2011; Olsen, 2015; Fox, 2022). La presuposición de que la soberanía popular requiere que los gobernantes sean responsables ante el pueblo es un principio universal de la teoría democrática (March &amp;amp; Olsen, 1995, p.162). Hay menos acuerdo, sin embargo, sobre cómo generar rendición de cuentas gubernamental. A medida que se desarrollaban los procesos de consolidación democrática en las democracias de la tercera ola ganó terreno un modelo liberal de rendición de cuentas organizado alrededor del principio de gobierno limitado, ya que desde muy temprano muchos analistas llamaron la atención sobre los déficits de estado de derecho que exhibían muchas de las nuevas democracias y que condicionaba el ejercicio de los derechos ciudadanos así como el funcionamiento del sistema de pesos y contrapesos gubernamentales. El diagnóstico predominante era que, para subsanar esos déficits, era necesario fortalecer las agencias y los mecanismos de control intergubernamental o lo que O’Donnell denominó como accountability horizontal (O’Donnell, 1993; Schedler, Diamond &amp;amp; Plattner, 1999; Schmitter, 2009; Magyar, 2016). En consecuencia, la bibliografía sobre democratización puso particular énfasis en analizar el desempeño de las agencias horizontales de rendición de cuentas y diferentes propuestas para su mejoramiento.&lt;/jats:p&gt;"/>
    <n v="1535"/>
    <s v="No"/>
    <s v="&quot;es&quot;"/>
    <s v="Yes"/>
    <s v="Yes"/>
    <s v="No"/>
    <s v="Yes"/>
    <s v="No"/>
    <s v="No problems"/>
    <m/>
    <x v="3"/>
  </r>
  <r>
    <s v="book-chapter:None"/>
    <s v="10.54195/fmvv7173_ch08"/>
    <s v="&lt;jats:p&gt;Takashi Takashima discusses how advancements in technology not only require arbitrators to have a deeper understanding of technical intricacies but also to raise concerns regarding the efficiency and fairness of dispute resolution processes. This has prompted the United Nations Commission on International Trade Law (UNCITRAL) to undertake initiatives aimed at addressing the challenges posed by digitalization in dispute resolution. Specifically and first of all, Takashi explores two ongoing projects within UNCITRAL: the legislative work conducted by Working Group II on technology-related dispute resolution and adjudication, and the project focused on assessing developments in dispute resolution within the digital economy (DRDE project). Through an analysis of these initiatives, Takashi provides valuable insights into how UNCITRAL is poised to balance the utilization of digital technologies in dispute resolution,_x000a_ensuring that traditional norms are upheld as necessary safeguards while embracing technological advancements to foster a more efficient and equitable international trade law landscape. How this should be done has recently been the subject of intense debate, and opinions are divided. For example, should the New York Convention be amended to address the requirements for the recognition and enforcement of electronic awards? Takashi notes that this is under discussion and that WGII is working towards creating greater legal certainty on this matter, thereby supporting digitalization.&lt;/jats:p&gt;"/>
    <n v="1528"/>
    <s v="No"/>
    <s v="&quot;en&quot;"/>
    <s v="Yes"/>
    <s v="No"/>
    <s v="No"/>
    <s v="Yes"/>
    <s v="No"/>
    <s v="abstract not included in PDF"/>
    <s v="Publisher has created abstract?"/>
    <x v="3"/>
  </r>
  <r>
    <s v="book-chapter:None"/>
    <s v="10.1093/9780191875434.003.0002"/>
    <s v="&lt;jats:title&gt;Abstract&lt;/jats:title&gt;_x000a_               &lt;jats:p&gt;This chapter analyses the scientific, ethical, and legal debates surrounding the psychiatric construct of personality disorder. It sets the scene for the examination in subsequent chapters of attempts in England and Wales to address the legal and policy problems posed by ‘dangerous’ offenders and ‘difficult’ patients or prisoners. It shows that personality disorder should be regarded as a risk factor for offending rather than a cause, and that current risk assessment technologies cannot yet accurately identify which individuals in a high-risk group will go on to offend. As a result, policies of preventive detention may be expected to result in the over-use of detention. While there is a growing consensus that personality disorder is not necessarily untreatable, there is a continuing lack of robust evidence for the effectiveness of current treatments for antisocial personality disorder and psychopathy. This casts doubt on the idea that access to rehabilitative interventions will limit the use of preventive detention powers. While some jurisdictions have confined the use of mental health law powers to patients with treatable mental illnesses, the UK Government continues to resist calls to introduce stronger safeguards against the long-term detention of people who are unlikely to benefit from treatment. This approach is questionable in light of the principles governing mental health law developed by the European Court of Human Rights.&lt;/jats:p&gt;"/>
    <n v="1521"/>
    <s v="No"/>
    <s v="No"/>
    <s v="Yes"/>
    <s v="Not available"/>
    <s v="No"/>
    <s v="Yes"/>
    <s v="No"/>
    <s v="No problems"/>
    <m/>
    <x v="3"/>
  </r>
  <r>
    <s v="book-chapter:None"/>
    <s v="10.1093/oso/9780197566145.003.0004"/>
    <s v="&lt;jats:title&gt;Abstract&lt;/jats:title&gt;_x000a_               &lt;jats:p&gt;This chapter examines how the movie musicals Carmen Jones (dir. Otto Preminger, 1954) and Carmen: A Hip Hopera (dir. Robert Townsend, 2001) functioned as pivotal moments in the careers of Dorothy Dandridge and Beyoncé Knowles-Carter. Their respective star turns positioned the two actors to transition from intraracial fame to mainstream, or postracial, stardom, but only Beyoncé ultimately achieved that goal. Although Dandridge came close, appearing on the cover of Life magazine and becoming the first African American woman nominated for the Academy Award for Best Actress in a Leading Role, she found herself constrained by persistent racism within 1950s Hollywood and a lack of control in guiding her career. Carmen Jones was the role that both catapulted Dandridge to stardom and confined her to portrayals of the stereotypically alluring, exotic woman of color. In the more progressive context of the early 2000s, in contrast, Beyoncé pivoted from both her depiction of Carmen and beginnings in an R&amp;amp;B girl group to become a consummate entertainer who transcends artistic genres and racial categories. Whereas the “hip hopera” draws primarily from Preminger’s film as its model, it is Mérimée’s literary Carmen—a shrewd polyglot who embraces her Romani identity and serves as de facto leader of her associates—who seems a more fitting point of comparison for Beyoncé’s thriving, carefully crafted post-MTV career.&lt;/jats:p&gt;"/>
    <n v="1491"/>
    <s v="No"/>
    <s v="No"/>
    <s v="Yes"/>
    <s v="Not available"/>
    <s v="No"/>
    <s v="Yes"/>
    <s v="No"/>
    <s v="No problems"/>
    <m/>
    <x v="3"/>
  </r>
  <r>
    <s v="book-chapter:None"/>
    <s v="10.1075/tilar.27.01mat"/>
    <s v="&lt;jats:title&gt;Abstract&lt;/jats:title&gt;_x000a_&lt;jats:p&gt;Just like other baby apes, human infants make it their business to stay in safe contact with their caregivers. The difference is that humans do this not just by holding on for dear life, but by ensuring their caregivers are in psychological contact with them. To this end, many of the most important communicative developments take place within the first two years of life. In this chapter we will review how physical mutual responsiveness gives way to the back-and-forth of proto-conversation, where caregivers respond to hiccups, coos and sneezes as if they were speech. Infants discover that they can make sounds and gestures in order to engage others and take turns. They become able to make demands of people, bring things to their attention and ask questions of them. Once they have mastered doing so non-verbally, they soon learn that they can use words for the same purposes (even though they don’t understand words as intersubjectively agreed symbols until sometime later). These communicative developments far outstrip those of any other animal on the planet. And yet it seems that it is precisely the relatively slow development of human infants that affords our species unique mode of communication. Newborns, equipped with a desire to be with others and some basic attentional preferences, are set up to learn from their social environment and thereby guarantee their entry into human culture.&lt;/jats:p&gt;"/>
    <n v="1457"/>
    <s v="No"/>
    <s v="No"/>
    <s v="Yes"/>
    <s v="Not available"/>
    <s v="No"/>
    <s v="Yes"/>
    <s v="No"/>
    <s v="No problems"/>
    <m/>
    <x v="3"/>
  </r>
  <r>
    <s v="book-chapter:None"/>
    <s v="10.2174/9789815223552124010001"/>
    <s v="&lt;jats:p/&gt;"/>
    <n v="9"/>
    <s v="No"/>
    <s v="No"/>
    <s v="Yes"/>
    <s v="Yes"/>
    <s v="No"/>
    <s v="Yes"/>
    <s v="No"/>
    <s v="front matter"/>
    <m/>
    <x v="6"/>
  </r>
  <r>
    <s v="book-chapter:None"/>
    <s v="10.5772/intechopen.109937"/>
    <s v="&lt;jats:p/&gt;"/>
    <n v="9"/>
    <s v="No"/>
    <s v="No"/>
    <s v="Yes"/>
    <s v="Not available"/>
    <s v="No"/>
    <s v="Yes"/>
    <s v="No"/>
    <s v="front matter"/>
    <s v="book introduction"/>
    <x v="6"/>
  </r>
  <r>
    <s v="book-chapter:None"/>
    <s v="10.30681/978-85-7911-286-7.4"/>
    <s v="&lt;jats:p&gt;None&lt;/jats:p&gt;"/>
    <n v="21"/>
    <s v="No"/>
    <s v="&quot;pt&quot;"/>
    <s v="No"/>
    <s v="Yes"/>
    <s v="No"/>
    <s v="Yes"/>
    <s v="No"/>
    <s v="abstract not included in PDF"/>
    <s v="Landing page has abstract, but article does not."/>
    <x v="6"/>
  </r>
  <r>
    <s v="book-chapter:None"/>
    <s v="10.1093/law/9780192897923.003.0042"/>
    <s v="&lt;jats:title&gt;Abstract&lt;/jats:title&gt;_x000a_               &lt;jats:p&gt;This section presents the CHR Chile, Egypt, France, Philippines and United States proposal, 2 June 1949.&lt;/jats:p&gt;"/>
    <n v="170"/>
    <s v="No"/>
    <s v="No"/>
    <s v="Yes"/>
    <s v="Not available"/>
    <s v="No"/>
    <s v="Yes"/>
    <s v="No"/>
    <s v="No problems"/>
    <m/>
    <x v="3"/>
  </r>
  <r>
    <s v="book-chapter:None"/>
    <s v="10.1093/oso/9780190091187.003.0035"/>
    <s v="&lt;p&gt;This chapter discusses H.M Barnes’ Blue Ridge Ramblers, “Who Broke the Lock on the Hen-House Door?”, “She’ll Be Comin’ Round the Mountain When She Comes”, stringband, vaudeville, representations of “hillbillies”&lt;/p&gt;"/>
    <n v="218"/>
    <s v="No"/>
    <s v="No"/>
    <s v="Yes"/>
    <s v="Not available"/>
    <s v="No"/>
    <s v="Yes"/>
    <s v="No"/>
    <s v="No problems"/>
    <m/>
    <x v="3"/>
  </r>
  <r>
    <s v="book-chapter:None"/>
    <s v="10.12987/yale/9780300270877.003.0019"/>
    <s v="&lt;p&gt;This chapter explores the creation of several revolutionary public history sites and projects in the late 1940s and 1950s in response to the Cold War, including the Freedom Train, Independence National Historical Park, and the Boston Freedom Trail.&lt;/p&gt;"/>
    <n v="255"/>
    <s v="No"/>
    <s v="No"/>
    <s v="Yes"/>
    <s v="Not available"/>
    <s v="No"/>
    <s v="Yes"/>
    <s v="No"/>
    <s v="No problems"/>
    <m/>
    <x v="3"/>
  </r>
  <r>
    <s v="book-chapter:None"/>
    <s v="10.1093/oso/9780198861492.003.0022"/>
    <s v="&lt;jats:title&gt;Abstract&lt;/jats:title&gt;&lt;jats:p&gt;Free states for electrons, positron and photons are studied. The notions developed in the previous chapter are then applied to this more intricate situation. The ensuing computations yield propagators for the involved particles.&lt;/jats:p&gt;"/>
    <n v="278"/>
    <s v="No"/>
    <s v="No"/>
    <s v="Yes"/>
    <s v="Not available"/>
    <s v="No"/>
    <s v="Yes"/>
    <s v="No"/>
    <s v="No problems"/>
    <m/>
    <x v="3"/>
  </r>
  <r>
    <s v="book-chapter:None"/>
    <s v="10.1093/oso/9780197657560.003.0038"/>
    <s v="&lt;jats:title&gt;Abstract&lt;/jats:title&gt;_x000a_               &lt;jats:p&gt;This lecture expands further on the importance of reasoning and deliberating. The Maharaja is advised to consider proposals exhaustively, and not to make unnecessary alterations to them merely for reasons of vanity.&lt;/jats:p&gt;"/>
    <n v="281"/>
    <s v="No"/>
    <s v="No"/>
    <s v="Yes"/>
    <s v="Not available"/>
    <s v="No"/>
    <s v="Yes"/>
    <s v="No"/>
    <s v="No problems"/>
    <m/>
    <x v="3"/>
  </r>
  <r>
    <s v="book-chapter:None"/>
    <s v="10.1093/oso/9780190675530.003.0021"/>
    <s v="&lt;jats:title&gt;Abstract&lt;/jats:title&gt;_x000a_               &lt;jats:p&gt;In the passage by Meryl Streep, the first comma prevents ambiguity. If there were no comma after “You know,” she would seem to be telling the audience that they all know there are days when she thinks that she’s overrated&lt;/jats:p&gt;"/>
    <n v="287"/>
    <s v="No"/>
    <s v="No"/>
    <s v="Yes"/>
    <s v="Not available"/>
    <s v="No"/>
    <s v="Yes"/>
    <s v="No"/>
    <s v="No problems"/>
    <m/>
    <x v="3"/>
  </r>
  <r>
    <s v="book-chapter:None"/>
    <s v="10.3828/liverpool/9781800348363.003.0007"/>
    <s v="&lt;p&gt;This chapter analyses the roles played by the various character actors that took part in the film, among which we find such names as James Remar, Joe Spinell, Powers Boothe, and Paul Sorvino. This essay is also an analysis of the function of each character and their symbolic value.&lt;/p&gt;"/>
    <n v="289"/>
    <s v="No"/>
    <s v="No"/>
    <s v="Yes"/>
    <s v="Not available"/>
    <s v="No"/>
    <s v="Yes"/>
    <s v="No"/>
    <s v="No problems"/>
    <m/>
    <x v="3"/>
  </r>
  <r>
    <s v="book-chapter:None"/>
    <s v="10.5772/intechopen.86868"/>
    <s v="&lt;jats:p&gt;Provide an overviewof Crohn’s disease and its cost assessment options, establish the need for implementing Croatian national Crohn’s Disease Registry to precisely quantify the costs and the outcomes, and establish model to evaluate values of treatment options for Crohn’s disease.&lt;/jats:p&gt;"/>
    <n v="297"/>
    <s v="No"/>
    <s v="No"/>
    <s v="Yes"/>
    <s v="Not available"/>
    <s v="No"/>
    <s v="Yes"/>
    <s v="No"/>
    <s v="No problems"/>
    <m/>
    <x v="3"/>
  </r>
  <r>
    <s v="book-chapter:None"/>
    <s v="10.1093/9780191782855.003.0009"/>
    <s v="&lt;jats:title&gt;Abstract&lt;/jats:title&gt;_x000a_               &lt;jats:p&gt;This concluding Chapter summarizes the purpose and the contents of the book, discusses the limitations on the models used and the physical results obtained, and outlines perspectives of further studies in the covered special field.&lt;/jats:p&gt;"/>
    <n v="297"/>
    <s v="No"/>
    <s v="No"/>
    <s v="Yes"/>
    <s v="Not available"/>
    <s v="No"/>
    <s v="Yes"/>
    <s v="No"/>
    <s v="No problems"/>
    <m/>
    <x v="3"/>
  </r>
  <r>
    <s v="book-chapter:None"/>
    <s v="10.5871/bacad/9780197267387.003.0003"/>
    <s v="&lt;jats:title&gt;Abstract&lt;/jats:title&gt;_x000a_               &lt;jats:p&gt;Introduction to, analysis of and text of Jaime's short account of the Sunjata epic, recorded at Kulikoro in 1889 or 1890 and first published in 1892. The specific circumstances of Kulikoro and French presence at the settlement are explored.&lt;/jats:p&gt;"/>
    <n v="306"/>
    <s v="No"/>
    <s v="No"/>
    <s v="Yes"/>
    <s v="Not available"/>
    <s v="No"/>
    <s v="Yes"/>
    <s v="No"/>
    <s v="No problems"/>
    <m/>
    <x v="3"/>
  </r>
  <r>
    <s v="book-chapter:None"/>
    <s v="10.5772/intechopen.111655"/>
    <s v="&lt;jats:p&gt;The ankle and foot complex plays on important role in gait and weight bearing of the body weight. The deformity of the ankle and foot affects and alters the biomechanics of the body and normal gait pattern, and this consequently affects the other parts and joints of the lower limb and also trunk.&lt;/jats:p&gt;"/>
    <n v="314"/>
    <s v="No"/>
    <s v="No"/>
    <s v="Yes"/>
    <s v="Yes"/>
    <s v="No"/>
    <s v="Yes"/>
    <s v="No"/>
    <s v="No problems"/>
    <m/>
    <x v="3"/>
  </r>
  <r>
    <s v="book-chapter:None"/>
    <s v="10.1093/hebz/9780198943372.003.0050"/>
    <s v="&lt;p&gt;_x000a_                  &lt;italic&gt;Cases in Marketing&lt;/italic&gt; provides a bridge between course textbooks and key real-world examples. The &lt;italic&gt;Sintex Is the Name&lt;/italic&gt; case study summarizes and examines the scenario and includes supporting commentary from Paul Baines, Chris Fill, Sara Rosengren, and Paolo Antonetti.&lt;/p&gt;"/>
    <n v="323"/>
    <s v="No"/>
    <s v="No"/>
    <s v="No"/>
    <s v="Yes"/>
    <s v="No"/>
    <s v="Yes"/>
    <s v="No"/>
    <s v="article title used as abstract"/>
    <s v="Landing page has abstract"/>
    <x v="4"/>
  </r>
  <r>
    <s v="book-chapter:None"/>
    <s v="10.56271/978.65.87679.69.3-16"/>
    <s v="&lt;jats:p&gt;Tumores raros, que podem ser subconjuntos moleculares de grupos mais incidentes de uma forma geral, têm desafios adicionais. Como acontece com qualquer doença rara definida molecularmente, o diagnóstico depende da realização de um teste. É nessa conjuntura que a Oncologia de Precisão e seus desdobramentos se inserem no contexto dos tumores raros.&lt;/jats:p&gt;"/>
    <n v="365"/>
    <s v="No"/>
    <s v="&quot;pt&quot;"/>
    <s v="Not available"/>
    <s v="No"/>
    <s v="No"/>
    <s v="Yes"/>
    <s v="No"/>
    <s v="abstract not included in PDF"/>
    <s v="abstract is summary of chapter, but not included in PDF"/>
    <x v="6"/>
  </r>
  <r>
    <s v="book-chapter:None"/>
    <s v="10.58532/v2bs16ch20"/>
    <s v="&lt;jats:p&gt;Global Positioning System provides three dimensional positioning, navigation, timing services, velocity and altitude to users on a continuous worldwide coverage basis and it is independent of weather, day and night. GPS applications are wide in all fields. This chapter provides the basic knowledge about GPS technology and their application in agriculture&lt;/jats:p&gt;"/>
    <n v="373"/>
    <s v="No"/>
    <s v="&quot;en&quot;"/>
    <s v="Not available"/>
    <s v="Not available"/>
    <s v="No"/>
    <s v="Yes"/>
    <s v="No"/>
    <s v="bad url"/>
    <m/>
    <x v="7"/>
  </r>
  <r>
    <s v="book-chapter:None"/>
    <s v="10.4018/978-1-6684-5068-0.ch006"/>
    <s v="&lt;jats:p&gt;The UN Convention on the Rights of the Child establishes that play is a human right. What happens when a child is in hospital? Hospitals and healthcare services may not be considered as settings of cultural and artistic life, but they are pivotal for the child's health. And for this reason, Article 31 should be enriched by including them in its definition.&lt;/jats:p&gt;"/>
    <n v="375"/>
    <s v="No"/>
    <s v="No"/>
    <s v="Not available"/>
    <s v="Not available"/>
    <s v="No"/>
    <s v="Yes"/>
    <s v="No"/>
    <s v="bad url"/>
    <m/>
    <x v="7"/>
  </r>
  <r>
    <s v="book-chapter:None"/>
    <s v="10.1093/he/9780198860372.003.0008"/>
    <s v="&lt;p&gt;This chapter begins with a discussion of pre-completion procedures, covering pre-completion when acting for the seller; pre-completion when acting for the buyer; pre-completion searches; and completion statements. It then focuses on completion, covering date, time, and place for completion; when the client is both selling and buying; and the mechanics of completion.&lt;/p&gt;"/>
    <n v="375"/>
    <s v="No"/>
    <s v="No"/>
    <s v="Not available"/>
    <s v="Not available"/>
    <s v="No"/>
    <s v="Yes"/>
    <s v="No"/>
    <s v="bad url"/>
    <m/>
    <x v="7"/>
  </r>
  <r>
    <s v="book-chapter:None"/>
    <s v="10.12804/tj9789587844702.02"/>
    <s v="&lt;jats:p&gt;Este capítulo tiene por objetivo describir las barreras para el cumplimiento de la normatividad ambiental en Colombia, para ello, se identifican las problemáticas ambientales en las zonas de mayor importancia ecológica y se analizan procesos de cumplimiento o incumplimiento de la normatividad ambiental, finalmente se proponen estrategias que permitan superar las barreras.&lt;/jats:p&gt;"/>
    <n v="391"/>
    <s v="No"/>
    <s v="&quot;es&quot;"/>
    <s v="No"/>
    <s v="Not available"/>
    <s v="No"/>
    <s v="Yes"/>
    <s v="No"/>
    <s v="can't verify"/>
    <m/>
    <x v="7"/>
  </r>
  <r>
    <s v="book-chapter:None"/>
    <s v="10.1093/med/9780197755877.003.0008"/>
    <s v="&lt;jats:title&gt;Abstract&lt;/jats:title&gt;_x000a_               &lt;jats:p&gt;Patients with serotonin syndrome present with the triad of mental status changes, neuromuscular abnormalities, and autonomic dysfunction after exposure to a serotonergic drug. A high degree of awareness is required for an accurate diagnosis. Prompt discontinuation of the drug and symptom management are the mainstays of therapy.&lt;/jats:p&gt;"/>
    <n v="395"/>
    <s v="No"/>
    <s v="No"/>
    <s v="Yes"/>
    <s v="Yes"/>
    <s v="No"/>
    <s v="Yes"/>
    <s v="No"/>
    <s v="No problems"/>
    <m/>
    <x v="3"/>
  </r>
  <r>
    <s v="book-chapter:None"/>
    <s v="10.1093/oso/9780197657560.003.0015"/>
    <s v="&lt;jats:title&gt;Abstract&lt;/jats:title&gt;_x000a_               &lt;jats:p&gt;This lecture lays out the principles that should control the public service. To ensure that the public service operates efficiently, the Maharaja should refrain from violating the norms and procedures established by department heads. He should be careful not to abuse his power of patronage by granting appointments to unworthy persons.&lt;/jats:p&gt;"/>
    <n v="402"/>
    <s v="No"/>
    <s v="No"/>
    <s v="Yes"/>
    <s v="Not available"/>
    <s v="No"/>
    <s v="Yes"/>
    <s v="No"/>
    <s v="No problems"/>
    <m/>
    <x v="3"/>
  </r>
  <r>
    <s v="book-chapter:None"/>
    <s v="10.5117/9789463729352_epilo"/>
    <s v="&lt;jats:p&gt;The epilogue gives an update on several filmmakers’ recent work and situations, assessing the implications of digital technologies as well as the challenges brought by the Covid-19 pandemic and neo-Cold War cultural politics. A new tide of global Sinophone women’s cinema is emerging in Asia, North America and elsewhere, bringing hope for the future in a time of great uncertainty in the world.&lt;/jats:p&gt;"/>
    <n v="412"/>
    <s v="No"/>
    <s v="No"/>
    <s v="Yes"/>
    <s v="Yes"/>
    <s v="No"/>
    <s v="Yes"/>
    <s v="No"/>
    <s v="No problems"/>
    <m/>
    <x v="3"/>
  </r>
  <r>
    <s v="book-chapter:None"/>
    <s v="10.36906/ksp-2023/46"/>
    <s v="&lt;jats:p&gt;The article discusses the possibilities of GIS for environmental education and research. Systems help to analyze the relationship between environmental factors. The relevance of GIS is increasing in the modern educational process, they are useful for studying geography, ecology. Systems are also used for modeling objects and analyzing processes. The use of GIS develops spatial thinking and helps to work with large amounts of data.&lt;/jats:p&gt;"/>
    <n v="451"/>
    <s v="No"/>
    <s v="No"/>
    <s v="Yes"/>
    <s v="No"/>
    <s v="No"/>
    <s v="Yes"/>
    <s v="No"/>
    <s v="article version includes two languages"/>
    <s v="only &quot;en&quot; used in &lt;abstract&gt; but &quot;ru&quot; and &quot;en&quot; in article"/>
    <x v="4"/>
  </r>
  <r>
    <s v="book-chapter:None"/>
    <s v="10.31399/asm.tb.edfatr.t56090083"/>
    <s v="&lt;jats:title&gt;Abstract&lt;/jats:title&gt;_x000a_               &lt;jats:p&gt;This chapter assesses the benefits of using a solid immersion lens (SIL) to detect faults in ICs via optical imaging and laser-stimulation techniques. It discusses the advantages and limitations of different types of SILs and their effect on spatial resolution, spot size, focus depth, and collection efficiency. It also provides a brief overview of technical challenges at the die level.&lt;/jats:p&gt;"/>
    <n v="454"/>
    <s v="No"/>
    <s v="No"/>
    <s v="Yes"/>
    <s v="Not available"/>
    <s v="No"/>
    <s v="Yes"/>
    <s v="No"/>
    <s v="No problems"/>
    <m/>
    <x v="3"/>
  </r>
  <r>
    <s v="proceedings-article:None"/>
    <s v="10.29118/ipa22-e-151"/>
    <s v="&lt;jats:p&gt;Gas – Condensate reservoir system would be more complicated regarding fluid effects. To understand the fluid effects of Gas – Condensate reservoir system, several studies have been carried out, but there is no type curve matching method especially for Gas-Condensate reservoir system. In general, we use a composite model in Pressure Transient Analysis to analyze Gas-Condensate system, but we are still unable to map the condensate banking boundary in the reservoir. In this paper, we will use a numerical model approach to understand Gas-Condensate reservoir system based on Pressure Build Up analysis. We use a simulator for modelling the near well bore condition by using local grid refinement, then perform history matching with Pressure Build Up analysis result. This method will give us a clearer reservoir description and path of the condensate forming as a condensate banking. We will focus on the well MTD-02 to get a better understanding of our reservoir. The results of our method show that our Gas-Condensate reservoir system is a lean gas system, with several behaviors as we can see from PVT data, PBU Analysis result, and from the Simulation Model. This method gives us the path of condensate banking, so we can prepare strategy to overcome this situation. Gas fields have characteristics that are affected by the gas components itself, namely dry gas, wet gas and gas condensate. Sometime we call dry gas and wet gas as conventional gas reservoir. There are obvious physical environmental differences between gas condensate reservoirs and other conventional gas reservoirs (Qianhua et al, 2020). Ahbijit (2015) has stated that the term of wet gas is sometimes used as more or less equivalent to gas condensates.The methods and development of the operations of each gas field type has its own uniqueness, especially gas condensate type that has characteristic of liquid phase (condensate) which will form when the reservoir pressure reaches below its dew point pressure along with the depletion of reservoir pressure due to production. One of the effects of liquid phase (condensate) in the reservoir is that it will reduce gas mobility near wellbore area and there will be slightly change of relative gas permeability, so that gas production will not be optimal. The effect can reduce the well potential between 0% to 50% (Giamminonni et al, 2010)  Matindok Field is gas field producer located in Banggai Districts, Central Sulawesi, Indonesia. The production zone comes from Minahaki Formation, which is limestone. Since the beginning of production, condensate has been produced with average Condensate Gas Ratio (CGR) of around 13.5 STB/MMSCF and Gas Liquid Ratio (GLR) of around 73000 scf/STB with 48-50 API of condensate. Currently, Matindok Field’s average gas production is around 40 MMSCF/D. Moreover, with these parameters, Matindok Field is included as a gas condensate reservoir.  To keep gas production stable, we conducted well surveillance campaign each year to do pressure build-Up (PBU) test. We analyze the PBU data to obtain reservoir model data, reservoir parameters, reservoir boundary and so on. The PBU data states that reservoir model at Matindok Field is radial composite which shows that the permeability at near wellbore area is smaller than the outer zone that has more gas saturation. This is caused by reservoir pressure depletion at near wellbore area is greater than the outer zone. Thus, the pressure reaches below its dew point and condensate formed around wellbore area. In addition, from the PBU we can estimate the distance of condensate banking from the wellbore.  Beidokhti, et al, 2021 [1] suggest a three-region system in gas condensate reservoir: •_x0009_Region (1): this is the farthest region around the well with pressure over the dew point. The system contains a single gas-phase including the initial liquid saturation.  •_x0009_Region (2): this region is near the first region toward the well. It is generated with pressure reduction below the dew point, and where the liquid saturation increases rapidly. It should be noted that, in this region, the liquid phase is immobile (SL &amp;lt; SLC).  •_x0009_Region (3): this region is the nearest region around the well. The liquid saturation is higher than the critical saturation of condensate, so, gas and oil phases are mobile.  To simplify and to do reservoir monitoring, we did reservoir simulation case at MTD-02 well. This well is located at top structure of Minahaki Formation and has a fairly good production potential, which AOFP of 82 MMSCF/D and CGR of 13 STB/MMSCF. The MTD-02 well has complete data set to be analyzed such as PVT (CCE, CVD, Compositional analysis) and core data (RCAL, SCAL). To do an analysis that represents to the actual fluid behavior in the reservoir, the reservoir model used is a compositional analysis model. The result of the simulation model can describe the conditions of condensate in the reservoir and validate the result of condensate banking model from pressure transient analysis (PTA). So in the end, we can get the optimal gas rate with the influence of condensate in the reservoir.&lt;/jats:p&gt;"/>
    <n v="5136"/>
    <s v="No"/>
    <s v="&quot;en&quot;"/>
    <s v="Yes"/>
    <s v="Yes"/>
    <s v="No"/>
    <s v="Yes"/>
    <s v="No"/>
    <s v="No problems"/>
    <m/>
    <x v="3"/>
  </r>
  <r>
    <s v="proceedings-article:None"/>
    <s v="10.25686/foreco.2023.10.66.007"/>
    <s v="&lt;jats:p&gt;В статье изложены результаты исследования строения сосновых фитоценозов в условиях изменения климата. Изучение строения сосновых сообществ имеет важное значение для понимания различных эколого-биологических аспектов их формирования. При решении задач многоцелевого использования лесных экосистем необходима тщательная оценка строения древостоев. В условиях климатической трансформации актуальным становится изучение строения древостоев, так как оно характеризует жизненное состояние насаждений и по нему можно выявить протекающие сукцессии в фитоценозе. Целью исследования стало изучение закономерностей строения сосновых древостоев для определения тенденций развития экосистем под влиянием климатических трансформаций. Объектом исследования послужили 28 постоянных пробных площадей в сосновых лесах разного класса возраста, расположенных на территории г. Москвы и Московской области. Рассчитанные коэффициенты вариации находятся в диапазоне от 15,5 до 31,4 %, что характеризует изменчивость диаметров деревьев как среднюю. На исследуемых пробных площадях под действием факторов внешней среды происходит изменение рядов распределения в сторону асимметричных и эксцессивных кривых. На примере отдельных пробных площадей рассмотрено распределение деревьев по ступеням толщины. Строение сосновых древостоев носит ярко выраженное многовершинное распределение, которое обусловлено наличием различных пород разного возраста, составляющих древостой. Отмечена тенденция по закономерному изреживанию сосны с увеличением её возраста. По результатам исследования обоснован вывод, что сосновые насаждения в условиях Московского региона отличаются достаточно высокой долговечностью. Сосновые фитоценозы в данных условиях способны сохранять устойчивость в возрасте более 180 лет.&lt;/jats:p&gt;_x000a_                                                                            &lt;jats:p&gt;The article presents the results of a study of the structure of pine phytocenoses in the conditions of climate change. The study of the structure of the pine stands is important for understanding various ecological and biological aspects of their formation. When solving the problems of multi-purpose use of forest ecosystems, a thorough assessment of the structure of stands is necessary. In the conditions of climatic impact, the study of the structure of stands becomes relevant, since it characterizes the vital state of stands and it is possible to identify the ongoing successions in the phytocenosis. The purpose of the study was to study the regularities of the structure of pine stands to determine the trends of ecosystem development under the influence of climatic transformation. The object of the study was 28 permanent observation plots in pine forests of different age classes located on the territory of Moscow and the Moscow region. The calculated coefficients of variation range from 15.5% to 31.4%, which characterizes the variability of tree diameters as average. On the permanent observation plots under study, under the influence of environmental factors, the distribution series change towards asymmetric and excessive curves. The distribution of trees by thickness steps is considered on the example of individual permanent observation plots. The structure of pine stands has a pronounced multi-vertex distribution, which is due to the presence of different breeds of different ages that make up the stand. There is a tendency for the natural thinning of pine with an increase in its age. According to the results of the study, it is noted that pine stands are quite durable in the conditions of the Moscow region. Pine phytocenoses in these conditions are able to maintain stability at the age of more than 180 years.&lt;/jats:p&gt;"/>
    <n v="3718"/>
    <s v="No"/>
    <s v="No"/>
    <s v="Not available"/>
    <s v="Not available"/>
    <s v="No"/>
    <s v="Yes"/>
    <s v="Yes"/>
    <s v="can't verify"/>
    <s v="&quot;ru&quot; and &quot;en&quot; included in the same abstract metadata element; latin and cyrillinc;"/>
    <x v="2"/>
  </r>
  <r>
    <s v="proceedings-article:None"/>
    <s v="10.54941/ahfe1002576"/>
    <s v="&lt;jats:p&gt;There was a hope that digital transformation, in improving public service provision and delivery, and in promoting inclusion – with due regard to the needs of vulnerable populations – is instrumental in mitigating the effects of exclusion and improving people’s livelihoods (UN e-Government Survey 2012). Also, the rise of social media with their more inclusive tendencies and lower technical skill requirements was expected to open new horizons for the inclusion of vulnerable groups. Whereas these hopes have partly become true, we are also witnessing that vulnerable groups are facing new type of risks such as digital harassment, hate speech, disinformation/misinformation attacks and other risks which hinder those groups from fully benefitting from digital transformation.While traditional digital divide reasons (lack of access and skills) remain important, motivational reasons have increased in importance over time. Effective interventions aimed at tacklingdigital exclusion need to take into consideration national contexts, individual experience etc. What worked a decade ago in a particular country might not work currently in a different or even the same country (Helsper, E.J. and Reisdorf, B.C. 2016). The aim of research paper is to shed a light on the digital vulnerability, and to understand (a) which are the groups and activities where digital transformation (increase of digital awareness, skills, resources) could bring about the biggest change in the quality of life, and empowerment? (b) What are the main actors in this field? (c) What are the practical implications to rise their capacity and empower them?Our research collects and analyses data from Ukraine and Georgia. The democratic development of these two countries has been relatively similar. Both countries have also placed emphasis on digital development. However, the state of democracy is fragile in both countries, there are many inequalities and a great threat to security, especially in Ukraine.  This makes the vulnerable groups even more vulnerable digitally and the risks mentioned above might have real dramatic consequences.Even though we are looking more closely at these two countries, there is a threat to democracy and societies everywhere, so this focus is universal.The research will make use of primary as well as of secondary data. The primary data will be collected using semi-structured interviews with different stakeholders. The secondary data will be collected from public sources (strategy and policy documents etc.)In our study the digitally vulnerable groups (DVG) are those whose digital engagement in political decision-making and e-services is hindered by their lack of awareness of digital issues, access to technological benefits, and / or digital literacy and skills. Irrespective of the causes (e.g. demographic, socioeconomic and/or health status, living conditions or social position, etc.), these barriers prevent the people from reaping the benefits of digital transformation and as such, have a negative impact on their rights, interests, and everyday life. The primary research shows that the priority target groups are similar in both countries – these are (a) children and young people; and (b) elderly people.  Evidently those both groups have completely different needs, barriers, and enablers for benefitting from digital agenda.  The research is part of a project DRIVE, the results will be used for preparing recommendations for action, train civil society organisations and public authorities to work on these recommendations and turn two of the recommendations into a pilot project to be implemented during the project.&lt;/jats:p&gt;"/>
    <n v="3671"/>
    <s v="No"/>
    <s v="&quot;en&quot;"/>
    <s v="Yes"/>
    <s v="Yes"/>
    <s v="No"/>
    <s v="Yes"/>
    <s v="No"/>
    <s v="No problems"/>
    <m/>
    <x v="3"/>
  </r>
  <r>
    <s v="proceedings-article:None"/>
    <s v="10.54941/ahfe1004623"/>
    <s v="&lt;jats:p&gt;Efficient engagement with ubiquitous digital content and interfaces presupposes a profound level of reading comprehension, a potential impediment for users within the deaf and hard-of-hearing community. Existing literature demonstrates a correlation between diminished reading comprehension and deafness [1, 3], accentuating the formidable barriers faced by this demographic in accessing and understanding digital content and navigating an increasingly digital world. Despite decades of efforts to enhance digital accessibility for all users, limited research has focused on the specific challenges confronting deaf and hard-of-hearing individuals, particularly those not adept with technology [2].This study aims to address this gap by investigating the daily interaction challenges faced by deaf and hard-of-hearing users with digital content and interfaces. Conducting a focus group with four deaf participants, we chose this method to facilitate rich, in-depth discussions in American Sign Language (ASL), a mode of communication familiar to the participants. We selected participants with educational levels from high school to those who had attained an Associate's degree seeking to get a range of possible challenges and investigating if their level of education might impact the challenges they face.Qualitative analysis of the focus group's dialogue unveiled insights into the technological struggles experienced by participants, coupled with their expressed needs for technological support. Three salient themes emerged: 1. Difficulties comprehending textual information across various tasks (email, online search, reading news, text messages, etc.), as unanimously reported by all participants; 2. Challenges associated with writing text and text entry, universally confirmed by all participants; and 3. Challenges in content and interface comprehension, influencing the installation, navigation, and utilization of various technologies, universally acknowledged by all participants.In this paper, we discuss the implications of these findings for researchers, technology developers, and digital content providers alike. We further explore avenues for future research along with potential technological enhancements aimed at mitigating the challenges confronting the deaf and hard-of-hearing population. The insights derived from this study are positioned to guide digital content developers, policymakers, and educators in effecting essential changes to amplify the accessibility of digital content and interfaces for deaf and hard-of-hearing users, both within the United States and on a global scale. References[1]M. Marschark and P. C. Hauser, Deaf cognition: foundations and outcomes. Oxford ; New York: Oxford University Press, 2008.[2]M. Maiorana-Basas and C. M. Pagliaro, “Technology Use Among Adults Who Are Deaf and Hard of Hearing: A National Survey,” Journal of Deaf Studies and Deaf Education, vol. 19, no. 3, pp. 400–410, Mar. 2014, doi: https://doi.org/10.1093/deafed/enu005.[3]E. Toofaninejad, E. Zaraii Zavaraki, S. Dawson, O. Poquet, and P. Sharifi Daramadi, “Social media use for deaf and hard of hearing students in educational settings: a systematic review of literature,” Deafness &amp;amp; Education International, vol. 19, no. 3–4, pp. 144–161, Oct. 2017, doi: https://doi.org/10.1080/14643154.2017.1411874.&lt;/jats:p&gt;"/>
    <n v="3355"/>
    <s v="No"/>
    <s v="&quot;en&quot;"/>
    <s v="Yes"/>
    <s v="No"/>
    <s v="No"/>
    <s v="Yes"/>
    <s v="No"/>
    <s v="includes references"/>
    <s v="abstract is different than the PDf with addition of references"/>
    <x v="0"/>
  </r>
  <r>
    <s v="proceedings-article:None"/>
    <s v="10.2523/iptc-21334-ms"/>
    <s v="&lt;jats:title&gt;Abstract&lt;/jats:title&gt;_x000a_               &lt;jats:p&gt;Tight oil reservoir is commonly recognized to be difficult to supply the formation energy. Tight oil reservoir in Ordos basin is characterized to be continental sedimentation, strong heterogeneity, normal pressure (0.9), low reserve abundance, imperative to supply the displacing energy. CO2 have good injection and high displacing efficiency for extra-low permeability reservoir, which provides the reference for exploring the effective development mode in tight reservoir. Influencing by complex fracture and hydraulic fracturing, as CO2 flooding is conducted in tight oil reservoir, gas channeling phenomenon is very serious, displacing energy is difficult to be utilized. To enlarge CO2 sweep efficiency, how we can effectively control CO2 channeling becomes the first important issue in energy supplying development of normal pressure tight reservoir.&lt;/jats:p&gt;_x000a_               &lt;jats:p&gt;In the paper, a case of Honghe Chang 8 tight oil reservoir was carried out. Medium-large and medium-small scale fractures were artificial fabricated in natural crop cores according to G&amp;amp;G understanding. In different fracture openings models, two-stage blocking experiments with CO2 flooding were operated with high-strength starch gel and weak-strength ethylenediamine. Slug combination, volume and sequence were evaluated and by numerical simulation, blocking strength were defined to reflect the plugging effect in the experiment. Then build up well group numerical simulation model, characterizing the complex fracture network. Blocking sites and volume of plugging agents were analyzed and optimized. Two-stage blocking technique was determined in the fracture developed tight reservoir during CO2 flooding.&lt;/jats:p&gt;_x000a_               &lt;jats:p&gt;Research results indicate it is priority to control the gas channeling of medium-large scale fractures with sufficient volume of the starch gel. As CO2 flooding is performed, gas starts to break through, followed by small volume ethylenediamine to mitigate gas channeling. Numerical simulation shows that firstly fully controlling gas channeling from medium-large scale fracture along with principal stress, then injecting plugging agent from the injection well, being located in 1/3~1/2 of well space to treat medium-small scale fractures with the best production stimulation. Starch gel volume is determined by medium-large scale fractures pore volume(PV), while low concentration starch gel and ethylenediamine volume is optimized to be half of the medium-small scale fracture PV, in which PV of fracture permeability lower than 200×10-3μm2 determine ethylenediamine volume. Generally, plugging agent would be more than 1500m3 for a pair of I-P wells.&lt;/jats:p&gt;_x000a_               &lt;jats:p&gt;With low cost CO2 source, CO2 flooding is expected to be one of the important development modes for normal pressure tight oil reservoir. During CO2 immiscible flooding, gas channel controlling technique plays decisive roles in ensuring successful development. Research results are not only advisable for the Ordos normal pressure tight reservoir development, but also for the similar tight reservoir in the world.&lt;/jats:p&gt;"/>
    <n v="3203"/>
    <s v="No"/>
    <s v="No"/>
    <s v="Yes"/>
    <s v="Not available"/>
    <s v="No"/>
    <s v="Yes"/>
    <s v="No"/>
    <s v="No problems"/>
    <m/>
    <x v="3"/>
  </r>
  <r>
    <s v="proceedings-article:None"/>
    <s v="10.5327/jbg-0368-1416-20211311190"/>
    <s v="&lt;jats:p&gt;Introdução: Placenta acreta é uma condição patológica de placentação associada a alto risco de hemorragia maciça durante o parto. A placenta prévia (PP) é definida quando seu desenvolvimento ocorre no segmento uterino inferior e é classificada conforme sua relação com o colo uterino. Gestantes com PP têm risco progressivo de acretismo placentário (AP), conforme o crescente número de cesarianas realizadas. Mulheres com associação de AP com PP costumam ter internação eletiva precoce (entre 32 e 34 semanas) para proximidade com o centro cirúrgico caso precisem de abordagem de urgência. Relato de caso: V.L.A., 36 anos, parda, residente do Rio de Janeiro, com diagnóstico de vírus da imunodeficiência humana (HIV), com carga viral indetectável, G7P2(PC)A4, com idade gestacional de 29 semanas e 1 dia. Foi admitida na Unidade Materno Feral do Hospital Federal dos Servidores do Estado (UMF-HFSE) com queixa de dor abdominal leve e sangramento vaginal intermitente de pequeno volume. A ultrassonografia (USG) realizada na unidade apresentou diagnóstico de PP total, colo uterino medindo 12 mm com afunilamento e aumento da vascularização cervical. Paciente estável hemodinamicamente, tônus uterino normal, ausência de metrossístoles, colo fechado, de coloração arroxeada e ausência de sangramento vaginal ativo. Durante a internação, realizou-se o diagnóstico de diabetes gestacional e foi iniciada a insulinoterapia. Prescreveu-se progesterona vaginal 200 mg/dia desde a internação e repouso relativo. A ressonância magnética confirmou o diagnóstico de AP. Pelos riscos da gestação e a condição social da paciente, optou-se pela manutenção da internação até o parto. Planejou-se o parto para 36 semanas com equipe multidisciplinar, realização de visita pré-anestésica, reserva de hemocomponentes, corticoterapia para maturação pulmonar fetal, programação da passagem de cateter duplo J com equipe da urologia e reserva de vaga em unidade de terapia intensiva (UTI). O parto foi realizado sob anestesia geral, cesariana com histerectomia total e rafia vesical, com choque hipovolêmico durante ato cirúrgico. A paciente foi mantida em UTI após o parto e retornou à enfermaria dois dias depois com realização de mais dois choques hipovolêmicos, recebendo alta hospitalar em bom estado geral. Conclusão: Pacientes com PP têm 11% de risco de AP após a segunda cesariana, como é o caso da paciente em questão, e 90% dos casos de AP ocorrem em gestantes com PP e cesárea anterior. Mulheres com cesárea prévia que apresentam PP complicada por AP de gravidez em curso são o grupo obstétrico com maior chance de complicação no parto. Há significativo aumento da morbimortalidade materna, proporcional à quantidade de cesarianas, sendo o AP e a necessidade de histerectomia intraparto as consequências mais impactantes. Serviços com equipe cirúrgica multidisciplinar, setor de hemoterapia e UTI estão associados à redução da morbidade materna em cinco vezes, ao menor índice de transfusão sanguínea e à necessidade de reabordagem em sete dias. Dessa forma, uma vez que o diagnóstico de AP é suspeitado, o plano de cuidado com uma equipe multidisciplinar é indispensável.&lt;/jats:p&gt;"/>
    <n v="3179"/>
    <s v="No"/>
    <s v="&quot;en&quot;"/>
    <s v="Not available"/>
    <s v="Not available"/>
    <s v="No"/>
    <s v="Yes"/>
    <s v="No"/>
    <s v="bad url"/>
    <s v="abstract attribute is &quot;en&quot; but is in &quot;pt&quot;"/>
    <x v="3"/>
  </r>
  <r>
    <s v="proceedings-article:None"/>
    <s v="10.2118/203450-ms"/>
    <s v="&lt;jats:title&gt;Abstract&lt;/jats:title&gt;_x000a_               &lt;jats:p&gt;Polymer gel technologies have been widely employed in conformance-control applications to improve sweep and recovery from high permeability reservoirs. Modeling of polymer gel propagation, gelation time, and adsorption in the porous media requires a complex full-order computation of diffusivity equations, heat transfer and chemical reactions for components partitioning in oleic and aqueous phases. This paper presents a soft-computing alternative and data-driven approach to using machine learning to model deep polymer gel treatments in fractured reservoirs.&lt;/jats:p&gt;_x000a_               &lt;jats:p&gt;Reference simulation models of various dual-permeability systems were used to generate the dataset for the machine learning model, an artificial neural network. A second-order reaction scheme for gel formulation was used to describe the chemical reaction between the polymer, polyacrylamide, and the cross-linker component, chromium acetate. Viscosities, adsorption properties and residual resistance factors of the polymer and produced gel were populated based on experimental data. Various conformance design factors and reservoir properties were parameterized for inclusion in the neural network, including: temperature, injection rate, gel concentration, bottom-hole pressure, drainage radius, porosity, fracture spacing and permeability.&lt;/jats:p&gt;_x000a_               &lt;jats:p&gt;Feature analysis of the input variables indicated that ten parameters are sufficient to train the model and predict the performance of the conformance treatment with indicators including the oil and water rate profiles improvement after applying the polymer gel treatment. The dataset was randomly divided into 80% training, 10% validation and 10% testing sets. Early stopping and monitoring of the validation and testing set's errors were used to generalize the solution and enhance the performance of the neural network. Hyperparameter tuning showed that using a deep multi-hidden layers neural network was more effective than increasing the neurons in a single hidden layer. The weights and biases of the model were adjusted using a mean squared error loss function and a gradient descent optimizer. A correlation of 90% was achieved for the test samples with a mean absolute deviation of less than 10% for all modeled variables. The developed neural network model was able to reduce the complexity of the full-order simulation model by accurately predicting the performance of polymer gel treatments in fractured reservoirs at 200 times faster speed than commercial simulators with only ten input variables of polymer gel design and reservoir properties.&lt;/jats:p&gt;_x000a_               &lt;jats:p&gt;This work presents a unique surrogate modeling approach based on machine learning to describe complex polymer gel kinetics and flow dynamics in deep conformance applications. The presented neural network model can be used to robustly predict the oil recovery performance of polymer gel treatments in fractured reservoirs outperforming commercial simulators in terms of computational complexity and processing speed.&lt;/jats:p&gt;"/>
    <n v="3142"/>
    <s v="No"/>
    <s v="No"/>
    <s v="Yes"/>
    <s v="Yes"/>
    <s v="No"/>
    <s v="Yes"/>
    <s v="No"/>
    <s v="No problems"/>
    <m/>
    <x v="3"/>
  </r>
  <r>
    <s v="proceedings-article:None"/>
    <s v="10.2523/iptc-21880-ms"/>
    <s v="&lt;jats:title&gt;Abstract&lt;/jats:title&gt;_x000a_               &lt;jats:p&gt;The Jurassic Najmah-Sargelu formations in Kahlula field of West Kuwait is a tight carbonate fractured reservoir. In such tight environment, the fractures are the most contributing to oil production. Therefore, fracture characterization is required to optimize reservoir production. However, because of the difficult drilling environment, the acquisition of open-hole logging data is not guaranteed. Moreover, as the conventional imaging tools (resistivity or ultrasonic) can only be operated in open-hole, any fracture evaluation would be a significant challenge after the well is cased. This paper presents a method how to characterize geological features such as natural fractures, faults and beddings in cased-hole, in the absence of conventional open-hole image logs.&lt;/jats:p&gt;_x000a_               &lt;jats:p&gt;The Deep Shear Wave Imaging (DSWI) is the method used to characterize fractures network in this case study. The method consists of using through casing borehole acoustic measurements to map fractures, or any other geological features such as faults and beddings. Standard wireline acoustic and cement bond log services were logged in a cased well covering Najmah-Sargelu formations. The acquired acoustic data are monopole, in-line dipole and cross-line dipole waves. The dipole waves were used to map the fractures, and the other geological features, crossing the wellbore and none-crossing the wellbore when they are in the area of investigation. The cement bond log data were acquired to evaluate cement bond quality behind casing for well integrity purpose, and also for well completion purpose. The fracture mapping technique is basically the analysis of the very weak wave signals reflected back from the formation when the transmitted waves hit a reflector with an acoustic impedance contrast. This reflector can be a fracture, a bedding plane, or a fault. The low attenuation property of the flexural waves allowed us to see fractures up to 100 feet away from the wellbore. The analysis allowed locating the fractures along the wellbore, their extension in the formation, their dip angle, and their location relative to the wellbore.&lt;/jats:p&gt;_x000a_               &lt;jats:p&gt;Well-X sidetrack in Kahlula field was selected to evaluate DSWI technique. If the result is promising then it will be implemented widely across West Kuwait fields. The benefit of using Well-X is that it already had open-hole image logs in the main bore to validate DSWI results. The result illustrated that fractures picked from DSWI matched well with what has been observed from the main bore of Well-X. Consequently, the DSWI result were used to select the most fractured intervals for testing and completion design in Well-X sidetrack. The tested interval showed commercial oil production with minor water cut. The successful application of DSWI enabled the deployment of this technique in West Kuwait fields to replace open-hole image logs in case the acquisition of openhole logging data cannot be conducted due to harsh well conditions.&lt;/jats:p&gt;"/>
    <n v="3086"/>
    <s v="No"/>
    <s v="No"/>
    <s v="Yes"/>
    <s v="Not available"/>
    <s v="No"/>
    <s v="Yes"/>
    <s v="No"/>
    <s v="No problems"/>
    <m/>
    <x v="3"/>
  </r>
  <r>
    <s v="proceedings-article:None"/>
    <s v="10.54941/ahfe1004471"/>
    <s v="&lt;jats:p&gt;The authors expect that short breaks during work to promote refreshment will suppress the decline in intellectual concentration. In addition, we have been studying the effect of micro refresh (MR), which is a refreshment stimulated by very short breaks and stimuli during work. In this study, we focused on visual changes caused by VR as a method to promote MR appropriately. For example, in a VR space, it is possible to change the environment in a way that is not possible in reality, such as instantly moving from a space where work is performed to a space where nature spreads out. We believe that such a brief distraction from the content of work is an effective way to refresh oneself during work. The purpose of this study is to create a system that encourages brief refreshments during work by changing the environment using VR and to confirm the effect of the system on suppressing the decline in concentration. To evaluate the effect of suppressing the decline in concentration, we calculated and used the concentration time ratio (CTR), which is an indicator of the degree of intellectual concentration, from the response time data of the comparison questions. In addition, several questionnaires were administered to evaluate subjective changes in fatigue and other symptoms. Participants in the experiment were asked to wear a VR head-mounted display and answer the comparison questions. In this research system, the background changes to a natural landscape after a certain amount of time elapses during the work, prompting the participants to take a break. In this experiment, the background changed for 40 seconds every 7 minutes and 30 seconds. When the background changes, the cognitive task is still displayed, and the participant can continue to answer the task. 3 types of backgrounds were created for the MR prompt, and the participant can select one of the backgrounds of their choice. Twelve participants took part in this experiment, and four sets of 25-minute comparison questions were conducted for four hours each. One of the sets 3 and 4 were conducted with MR, and the other set was conducted without MR. When asked why they chose the landscapes, they focused on brightness, color, and motion (especially water currents). Regarding brightness, only one respondent chose the brightest landscape. As for color, green grass and trees tended to be preferred over blueish colors such as the sky and the sea. The CTR results were high for five participants with the MR condition and low for seven participants without the MR condition. The results of the subjective questionnaire showed that eight participants did not change between conditions in the questionnaire asking whether they refreshed during the task, and one participant's value was lower in the condition with MR. The reason for this may be that the visual stimuli were weak. The CTR results with the MR condition were not good because the participants continued to perform the task without paying attention to the background, even though they noticed changes in the background.&lt;/jats:p&gt;"/>
    <n v="3082"/>
    <s v="No"/>
    <s v="&quot;en&quot;"/>
    <s v="Yes"/>
    <s v="No"/>
    <s v="No"/>
    <s v="Yes"/>
    <s v="No"/>
    <s v="abstract is longer in the metadata"/>
    <s v="abstract is longer in the metadata; XML shows update after initial deposit"/>
    <x v="8"/>
  </r>
  <r>
    <s v="proceedings-article:None"/>
    <s v="10.56952/arma-2023-0737"/>
    <s v="&lt;jats:sec&gt;_x000a_                  &lt;jats:title&gt;ABSTRACT&lt;/jats:title&gt;_x000a_                  &lt;jats:p&gt;We present a pore-scale numerical modeling study of coupled fluid flow, solute transport, and mineral dissolution/precipitation in 3D fractured carbonate rocks. The injected fluid can dissolve the carbonate and release carbonate ions into the solutions, which react with Ba2+ resulting in barium carbonates (BaCO3) precipitation. Both a simplified fracture and a complex fracture geometry extracted from real shale images are considered. Simulations with a wide range of Pe and Da numbers are carried out to systematically study their effects on dissolution/precipitation patterns and on evolution of fracture geometry, porosity, and permeability. The results show that the coupled physicochemical process is strongly dependent on the Pe and Da. While similar trend of the permeability-porosity variations is obtained for the two fractures at the same Pe and Da numbers, the evolution of fracture morphology is different due to the difference in initial structure heterogeneity and wall roughness. This work reveals the interplay of advection, diffusion, and reaction in determining the fracture evolution and improves our understanding of fluid-mineral interactions in fractures.&lt;/jats:p&gt;_x000a_               &lt;/jats:sec&gt;_x000a_               &lt;jats:sec&gt;_x000a_                  &lt;jats:title&gt;INTRODUCTION&lt;/jats:title&gt;_x000a_                  &lt;jats:p&gt;Fractures play an important role in providing preferred flow pathways in low-permeability formations and significantly enhance their permeability. They can improve gas production for shale reservoirs but can also increase the risks for leaking of CO2 from geological storage sites.&lt;/jats:p&gt;_x000a_                  &lt;jats:p&gt;The fluid-mineral reactions, including dissolution or precipitation, can cause the alteration of porous medium matrix or fracture wall. Particularly, mineral dissolution (precipitation) can increase (decrease) the pore/aperture size and hence the permeability of porous or fractured media. While there have been a lot of studies on mineral dissolution in porous or fractured media considering resultant pore-structure change (Chen, Kang, Viswanathan, et al., 2014; Kang et al., 2014; Kang et al., 2002; Liu &amp;amp; Mostaghimi, 2017; Rasoulzadeh et al., 2020; Starchenko et al., 2016; Verberg &amp;amp; Ladd, 2002; Verhaeghe et al., 2005, 2006), studies on mineral precipitation are much less (Deng et al., 2021; Kang et al., 2005; Kang et al., 2003; Menefee et al., 2020), and studies on coupled dissolution and precipitation are scarce (Chen, Kang, Carey, et al., 2014; Kang et al., 2010). Particularly, there is no high-resolution pore-scale modeling study on coupled dissolution and precipitation in three-dimensional (3D) fractures with evolving fracture geometry to our best knowledge. Consequently, the complex coupled processes including fluid flow, solute transport, dissolution/precipitation, and evolution of pore structure are not well understood.&lt;/jats:p&gt;_x000a_               &lt;/jats:sec&gt;"/>
    <n v="3019"/>
    <s v="No"/>
    <s v="No"/>
    <s v="Yes"/>
    <s v="Yes"/>
    <s v="No"/>
    <s v="Yes"/>
    <s v="No"/>
    <s v="No problems"/>
    <m/>
    <x v="3"/>
  </r>
  <r>
    <s v="proceedings-article:None"/>
    <s v="10.56952/igs-2024-0194"/>
    <s v="&lt;jats:sec&gt;_x000a_                  &lt;jats:title&gt;ABSTRACT:&lt;/jats:title&gt;_x000a_                  &lt;jats:p&gt;Based on the results of the 3D/4D geomechanical modeling, the influence of the static mud weight on the degree of shear failures of the borehole was shown. Recommendations were made to increase the mud weight to avoid clay shear failures, but at the same time control the equivalent circulation density (ECD) during drilling to avoid fault reactivation. Also the reservoirs layers have experienced a decrease in pore pressure associated with development. As a result, the minimum total horizontal stresses in the far field are reduced due to the &quot;stress-path&quot; effect. Design safe mud weight windows for wells of different orientations for different cases were obtained. Based on the completed 3D/4D geomechanical modeling, several design horizontal wells were successfully drilled. This geomechanical model used in the construction of wells takes into account work with problematic wells of previous years. Thanks to this model, well drilling happened faster and was accompanied by much fewer emergency situations. The predrill model agreed with the postdrill one. The seafloor subsidence and the degree of reservoir compaction are predicted. With the remaining 70% of the total depletion expected over the next 25-30 years, the final subsidence, according to the baseline case, could reach 0.55–0.65 m.&lt;/jats:p&gt;_x000a_               &lt;/jats:sec&gt;_x000a_               &lt;jats:sec&gt;_x000a_                  &lt;jats:title&gt;1. INTRODUCTION&lt;/jats:title&gt;_x000a_                  &lt;jats:p&gt;At the studied offshore field, geomechanical drilling support is an important support for trouble-free oil and gas production. It is used to solve various problems in the process of field development and operation. The objective of this work is to apply the geomechanical model to prevent risks during the construction of inclined and horizontal wells. The main problems is borehole instability of well walls, manifested in the presence of overpulls, tightening, collapsing cuttings on vibrating screens and sticking, were observed in clay intervals with a drilling mud density of 1.18 to 1.33 g/cc (Fig. 1).&lt;/jats:p&gt;_x000a_                  &lt;jats:p&gt;Most successful wells were drilled in 340 mm and 244 mm sections with a higher drilling mud density exceeding 1.33-1.37 g/cc. In the 178 mm section, elevated gas readings (up to 50%), tightening and landings were mainly observed at a density of 1.13–1.18 g/cc. The number of caverns is smaller than in the upper parts of the section, since the 178 mm section usually exposes sandstones, which are more stable than siltstones and mudstones. To display all drilling events that accompanied the construction of the well, a &quot;stick chart&quot; diagram is used, shown in Fig. 2.&lt;/jats:p&gt;_x000a_               &lt;/jats:sec&gt;"/>
    <n v="2788"/>
    <s v="No"/>
    <s v="No"/>
    <s v="Yes"/>
    <s v="Yes"/>
    <s v="No"/>
    <s v="Yes"/>
    <s v="No"/>
    <s v="No problems"/>
    <m/>
    <x v="3"/>
  </r>
  <r>
    <s v="proceedings-article:None"/>
    <s v="10.51161/rems/1503"/>
    <s v="&lt;jats:p&gt;Introdução: Biofilmes são comunidades microbianas complexas associada à superfícies bióticas ou abióticas, circundada por uma matriz extracelular polimérica autoproduzida pelos microrganismos ali presente. A formação de biofilme protege os microrganismos de condições ambientais desafiadoras, tornando a antibioticoterapia e mecanismos de defesa imunológica do hospedeiro ineficazes contra bactérias associadas ao biofilme. Objetivo: Este estudo buscou analisar o papel do biofilme como mecanismo que contribui para virulência bacteriana. Material e métodos: Consistiu-se em uma revisão de literatura, a partir de uma abordagem qualitativa, na base de dados Pubmed, utilizando como termo de busca booleano ((biofilm[Title/Abstract]) AND (virulence mechanism[Title/Abstract])) AND (bacteria*[Title/Abstract]). Foram encontrados 19 artigos, compreendendo o período de 2003 a 2021. Resultados: Por muito tempo acreditava-se que as bactérias viviam isoladas no ambiente, hoje é notório que o fenótipo de biofilme ocorre de forma ubíqua e é a principal forma de vida bacteriana. A formação de biofilme por patógenos oportunistas em implantes biomédicos, é considerado sério problema de saúde pública. Implantes biomédicos colonizados por essas bactérias, são mais resistentes a antibioticoterapia, tempo de internação e gerar maior custo ao sistema. A formação de biofilmes em hospedeiros pode ocorrer também com microrganismos aderindo diretamente a órgãos. Pacientes com fibrose cística, infectados de forma crônica por Pseudomonas aeruginosa com capacidade de formação de biofilme nos pulmões do hospedeiro, são a principal causa de mortalidade em pacientes com esta doença. O desenvolvimento de biofilmes também é um fator relacionado à infecções alimentares. Listeria monocytogenes pode causar gastroenterite, listeriose, septicemia, encefalite, endocardite, meningite e abortos, principalmente quando associado a formação de biofilme. A formação de biofilmes também pode contribuir para a transmissão de genes de resistência a antibióticos em sistemas de distribuição de água potável. Estudos detectaram um aumento da presença de bactérias resistentes à antibióticos em tubulações industriais com presença de biofilmes. Conclusão: Biofilmes compreendem o principal estilo de vida bacteriano. A melhor compreensão do estabelecimento desse fenótipo como um mecanismo de virulência e a sua relevância biológica são essenciais para criar soluções para problemas causados por biofilmes, bem como para aplicar a biossíntese de biofilmes sem situações benéficas.&lt;/jats:p&gt;"/>
    <n v="2573"/>
    <s v="No"/>
    <s v="&quot;pt&quot;"/>
    <s v="Yes"/>
    <s v="Not available"/>
    <s v="No"/>
    <s v="Yes"/>
    <s v="No"/>
    <s v="No problems"/>
    <m/>
    <x v="3"/>
  </r>
  <r>
    <s v="proceedings-article:None"/>
    <s v="10.29289/259453942022v32s2096"/>
    <s v="&lt;jats:p&gt;A 39-year-old woman presented to our mastology session with complaints of a right breast lump in 2014, which had grown very slowly and changed in color over the past year (purple). On physical examination, the breast was found in a 12-1 o’clock position, bruise-like, and soft-to-firm in consistency. On mammography, the lump presented diffuse-dense and ultrasonography showed an ill-defined mass and poor-delimited hyperechogenic infiltration in the upper inner portion of the right breast that measured about 7 cm in size. A core biopsy was performed on the suspicious lesion. The pathological result was necrotic breast tissue. A second core biopsy was performed with the diagnosis of malignant neoplasia, poorly differentiated. The immunohistochemistry was diagnosed with moderate-differentiated angiosarcoma. A modified mastectomy was performed and the initial diagnosis was confirmed. After that, she received adjuvant chemotherapy, but the treatment was interrupted due to epístaxis, hematemesis, and body paresthesia. After this, the progression of the disease was observed with metastasis in the lungs, stomach, mouth, gum, and brain. She was subjected to palliative treatment and died in November 2015. Discussion: Primary angiosarcoma of the breast is a very rare disease and corresponds to less than 1% of breast malignancies. Mammary angiosarcoma should be differentially diagnosed from benign hemangiomas, phyllodes sarcomas, stromal sarcomas, metaplastic carcinomas, fibrosarcomas, liposarcomas, squamous cell carcinomas with sarcomatoid features, myoepitheliomas, fibromatoses, and reactive spindle cell proliferative lesions. CD31 is a sensitive marker for this class of cancers, and CD34 positively ranges from 40% to 100%. These markers could help with the accurate diagnosis of angiosarcoma. Pathologically, these tumors are divided into three groups according to the classification proposed. Well-differentiated (grade I) tumors consist of anastomosing vascular channels that invade the surrounding breast tissue. Moderately differentiated (grade II) tumors have more solid neoplastic vascular growth and an increased mitotic rate. Poorly differentiated (grade III) lesions have obvious sarcomatous areas and areas of necrosis, hemorrhage, and infarction. In conclusion, primary mammary angiosarcoma is a rare neoplasm of the breast that affects a younger female population, compared to breast carcinomas, and has aggressive clinical behavior. Difficult differential diagnoses, due to atypical characteristics, can delay management.&lt;/jats:p&gt;"/>
    <n v="2570"/>
    <s v="No"/>
    <s v="&quot;en&quot;"/>
    <s v="Yes"/>
    <s v="Yes"/>
    <s v="No"/>
    <s v="Yes"/>
    <s v="No"/>
    <s v="No problems"/>
    <m/>
    <x v="3"/>
  </r>
  <r>
    <s v="proceedings-article:None"/>
    <s v="10.1115/gt2020-16014"/>
    <s v="&lt;jats:title&gt;Abstract&lt;/jats:title&gt;_x000a_               &lt;jats:p&gt;This paper proposed an alternating elliptical U-shaped internal cooling channel and investigated the flow and heat transfer characteristics, based on the optimal flow field structure deduced from the Field Synergy Principle. The channel consisted of the straight sections and the transition sections. In the straight sections, the cross section of the channel is ellipse, and in the transition sections, the long axis gradually shortened into the short axis, and the short axis gradually expanded to the long axis. However, the cross-section area of the channel remained unchanged.&lt;/jats:p&gt;_x000a_               &lt;jats:p&gt;Numerical simulations were performed to solve 3D steady Reynolds-averaged Navier-Stokes equations (RANS) with the standard k-ε turbulence model. The influence of alternating of the cross section on heat transfer and pressure drop of the channel was studied by comparing with the smooth elliptical U-shaped channel, and all the cases were conducted with the Re numbers from 10,000 to 40,000. On this basis, the investigation on alternating elliptical U-shaped internal cooling channel performance was made mainly into two parts. One was the effect of aspect ratio which was set as from 1.1 to 2.0, while the other was the effect of alternating angle θ which was set as from 10° to 90°.&lt;/jats:p&gt;_x000a_               &lt;jats:p&gt;The results showed that for the flow field, there was no vortex in the first pass of the smooth elliptical U-shaped channel. On the contrary, in the first pass of the alternating elliptical U-shaped channel, after the transition section, for different Re numbers, four or eight longitudinal vortices were generated. In the second pass, the flow separation in smooth elliptical U-shaped channel was serious because of the centrifugal force at the elbow, while the alternating elliptical channel restrained the flow separation to a certain extent and formed a double-vortex structure just like the vortex cooling. The average Nusselt number of the alternating elliptical U-shaped channel was significantly higher than that of the straight channel, but the pressure loss increased slightly. In addition, with the increase of aspect ratio, the thermal performance of the channel increased in the study range, and when the alternating angle is between 40° to 90°, the thermal performance nearly kept constant and the best.&lt;/jats:p&gt;"/>
    <n v="2414"/>
    <s v="No"/>
    <s v="No"/>
    <s v="Yes"/>
    <s v="Not available"/>
    <s v="No"/>
    <s v="Yes"/>
    <s v="No"/>
    <s v="No problems"/>
    <m/>
    <x v="3"/>
  </r>
  <r>
    <s v="proceedings-article:None"/>
    <s v="10.1115/gtindia2023-118324"/>
    <s v="&lt;jats:title&gt;Abstract&lt;/jats:title&gt;_x000a_               &lt;jats:p&gt;Hydrogen is a clean-burning fuel that produces only water vapor when combusted, making it a highly attractive option for reducing greenhouse gas emissions and combating climate change. Hydrogen can be produced from a variety of domestic sources with potentially near-zero greenhouse gas emissions. However, combustion associated with hydrogen for industrial heating applications poses some serious challenges in terms of flame stability and high flashback propensity due to its highly reactive nature. At the same time the burner hardware is also expected to be fuel flexible (with varying LHV), i.e., to be able to operate with different blends of LPG/NG and H2. This demands a bit complex geometry to mix the fuel and air in an efficient way (fuel nozzle sizing) and at the same time to mitigate the flash back risk and introduce complex cooling schemes. Towards this, advanced additive manufacturing techniques (3D printing) open the doors to manufacture highly complex systems and facilitate the scaling of complex systems. 3D printing is an additive process, where material is only used where it is needed. Thus, it leads to reduced material wastage and more sustainable manufacturing practices.&lt;/jats:p&gt;_x000a_               &lt;jats:p&gt;This experimental study aims to determine the operating margins of a fuel flexible 3D printed burner, that is designed to burn different fuel blends up to 100% hydrogen. Following thorough Computational Fluid Dynamics (CFD) analyses, the burner was designed for and produced through additive manufacturing technology (3D printing). As a first validation and demonstration, tests were carried at atmospheric pressure test conditions, using natural gas (NG) and hydrogen (H2) up to 250 (kW) of thermal power and air preheating up to 500°C.&lt;/jats:p&gt;_x000a_               &lt;jats:p&gt;The results demonstrated the burner capabilities in terms of low emissions (below 3 ppm) low pressure drop (below 2.5%) in a broad operating window (flame temperatures up to 1850K), relevant for gas turbine and other industrial heating system applications. The first tests with the 3D printed burner, with integrated fuel injection and cooling concept system showed encouraging results in terms of flash back resistance and at the same time meeting low pressure drop system compared to the conventional swirl stabilized flames.&lt;/jats:p&gt;"/>
    <n v="2396"/>
    <s v="No"/>
    <s v="No"/>
    <s v="Yes"/>
    <s v="Not available"/>
    <s v="No"/>
    <s v="Yes"/>
    <s v="No"/>
    <s v="No problems"/>
    <m/>
    <x v="3"/>
  </r>
  <r>
    <s v="proceedings-article:None"/>
    <s v="10.54941/ahfe1003022"/>
    <s v="&lt;jats:p&gt;Many studies have so far revealed that the visual field biases influence visual tasks. These biases should be taken into consideration to arrange an Excel worksheet, draw a CAD (computer-aided design) blueprint and other digital graphics effectively. In this study, we investigated visual field biases in identifying different and same color lines shown on a computer display. Twelve male and two female college students (21-22yrs.; mean age 21.2yrs.) were recruited to participate in the experiment. All were physically and mentally healthy and had visual acuity (including corrected visual acuity) that does not interfere with the task performance and vision that allows color perception. All participants were right-handed. Visual stimuli were displayed on a 17-inch CRT monitor. White circle on a quadrant (1000 ms) was followed by Test1 image (1500 ms), checker pattern image as a distractor (4100 ms) and Test 2 image (4000 ms). White circle showed the quadrant to which a participant must pay attention in order to discriminate different and same colored lines shown in Test 1 image and Test 2 image. Immediately after a participant press a correct response key, a correct answer was fed-back to a participant. The participants were instructed to detect different and same colored lines in the visual field and press a correct response key as quickly as possible. The results demonstrated that the participants could detect different colored lines faster than match of color in both upper- and lower-right visual fields have advantages (F (1,13) =28.814, p&amp;lt;0.000; F (1,13) =8.120, p&amp;lt;0.014, respectively). However, there was no change in identifying different and same colored line in both upper- and lower-left visual fields (F (1,13) =13.000, ns.; F (1,13) =13.000, ns., respectively). Rates of correct responses to different and same colored lines were almost same in these visual fields (upper-right, lower-right, upper- left, lower-left visual fields) (F (1,13) = 0.027, ns.; F (3,39) =0.073, ns, F (1,13) = 0.071, ns; F (1,13) =1.779, ns, respectively). These results showed the advantage in identifying difference in colored lines in right visual field compared with left. This finding implies that right side is appropriate to arrange a manuscript for proofreading, a calculating worksheet, a CAD blueprint and other digital graphics for modification.&lt;/jats:p&gt;"/>
    <n v="2388"/>
    <s v="No"/>
    <s v="&quot;en&quot;"/>
    <s v="Yes"/>
    <s v="Yes"/>
    <s v="No"/>
    <s v="Yes"/>
    <s v="No"/>
    <s v="No problems"/>
    <m/>
    <x v="3"/>
  </r>
  <r>
    <s v="proceedings-article:None"/>
    <s v="10.54941/ahfe1002037"/>
    <s v="&lt;jats:p&gt;Since the dawn of the Internet, abundance of content and information is constantly being created and shared at the speed of light across different media. Media technologies have given us almost unlimited access to choose and interact with vast amount of content and information. We seem to be in active control in choosing what information we want to see and interact with on the internet. Ironically, with all this interactive freedom, most of us still prefer to watch their favorite TV programs or films passively on interactive media platforms. New technologies such as streaming TV have provided many new platforms to present passive content but to what extent how these new technologies have affected the form and shape of content remains a question. Simply by looking at the ratio of programs for traditional passive viewing vs. programs with interactive content, the audience has spoken by choosing to watch conventional content passively. Interacting with content is more than just choosing what pre-made content to watch, for that we always have our remote control. Interacting with content is about having our own say or control about the outcome or direction of a story [1, 2]. Unlike what many media theories have predicted many years ago, interactive narrative has not become mainstream and would never replace conventional form of storytelling. Nevertheless, as more content is being delivered on mobile or personal computer in addition to the big screen, more interactive content will be made available in the foreseeable future. Many popular 4As video games have already mixed conventional storytelling elements with some interactive gaming functions in recent years [3]. This paper focuses on the concepts of choice and decision-making in storytelling and how interactive functions could be blended in with the narrative. Decision-making has always been an important part of storytelling, in which it’s the storyteller who make decisions for the characters and for the audience. A good story may still be best uninterrupted and told by the storytellers who know about the crafts of storytelling [4, 5]. Typical audience still enjoy watching adventure chosen for them rather than to choose their own adventure. This paper discusses the role of interactivity and the concept of choice-making in interactive storytelling.&lt;/jats:p&gt;"/>
    <n v="2352"/>
    <s v="No"/>
    <s v="&quot;en&quot;"/>
    <s v="Yes"/>
    <s v="Yes"/>
    <s v="No"/>
    <s v="Yes"/>
    <s v="No"/>
    <s v="No problems"/>
    <m/>
    <x v="3"/>
  </r>
  <r>
    <s v="proceedings-article:None"/>
    <s v="10.4271/2023-01-1016"/>
    <s v="&lt;jats:p&gt;&amp;lt;div class=&quot;section abstract&quot;&amp;gt;&amp;lt;div class=&quot;htmlview paragraph&quot;&amp;gt;The making of a quilt is an interesting process. Historically, a quilt is a_x000a_                    canvas of work made from old pieces of cloth cut into squares or whatever shape_x000a_                    that make a nice connected pattern and then stitched together. The quilt could_x000a_                    be random pieces that is not related to each other. In most recent years and_x000a_                    more common cases, a quilt is made of different pieces of patches that are_x000a_                    connected and laid out in a special way to tell a story. Not only does it_x000a_                    portray a story that is put together in a certain sequence, but it also stiches_x000a_                    the pieces of the quilt into a nice and complete narrative. A story that one can_x000a_                    understand just by looking at the quilt spread and unfolded. Much like the_x000a_                    making of a quilt that has a story to tell, a Product Digital Quilt will tell_x000a_                    the story of a product.&amp;lt;/div&amp;gt;&amp;lt;div class=&quot;htmlview paragraph&quot;&amp;gt;The Digital Product Quilt replaces the conventional way of telling a product_x000a_                    story. The traditional product story is a method that is serially connecting_x000a_                    multiple product life cycle silos together. This process is usually error prone,_x000a_                    difficult to understand and hard to maintain.&amp;lt;/div&amp;gt;&amp;lt;div class=&quot;htmlview paragraph&quot;&amp;gt;The Digital Product Quilt is made up of multiple pieces of the puzzle that makes_x000a_                    a product story and the source of truth. At the center of the Product Digital_x000a_                    Quilt is the Digital Model which represent the source of truth for the product._x000a_                    The first core band of the Product Digital Quilt, surrounding the Digital Model,_x000a_                    are Requirements, Engineering, Analysis, Manufacturing, Integration and Fielding_x000a_                    the product to the end user which includes Sustainability and Maintenance. The_x000a_                    different pieces of the Product Digital Quilt are stitched with many different_x000a_                    digital threads such as the System, Software, hardware and quality threads.&amp;lt;/div&amp;gt;&amp;lt;/div&amp;gt;&lt;/jats:p&gt;"/>
    <n v="2327"/>
    <s v="No"/>
    <s v="No"/>
    <s v="Yes"/>
    <s v="Not available"/>
    <s v="No"/>
    <s v="Yes"/>
    <s v="No"/>
    <s v="includes HTML"/>
    <s v="likely from cut and paste from webpage"/>
    <x v="0"/>
  </r>
  <r>
    <s v="proceedings-article:None"/>
    <s v="10.21748/whcd7145"/>
    <s v="&lt;jats:p&gt;The oxidative chemical degradation produced by reactive species (free radicals,_x000a_            oxygen, etc.) is responsible for the deterioration of most of the formulated products._x000a_            One of the main properties of an antioxidant lies in its capacity to limit the chemical_x000a_            propagation of oxidation by reducing free radicals. Another strategy to prevent_x000a_            oxidation is binding transition metals, since they are ubiquitous and deeply involved in_x000a_            the initiation and propagation of lipids oxidation. Naturally occurring phospholipids,_x000a_            polyphenols, proteins, or peptides that can bind metal ions could be more valued than_x000a_            synthetic molecules, for human wellbeing, but also to align with consumer preferences._x000a_            Yet, EDTA salts and sodium citrate remain the most common metal chelators in foods. In_x000a_            this study, we went to investigate a strategy to develop naturally produced antioxidants_x000a_            peptides from edible plant biomass, such as rapeseed. Several enzymatic hydrolyses of_x000a_            total rapeseed protein isolate with various proteases have been performed, and the_x000a_            produced peptides were screened for their antioxidant capacity. Peptides generated with_x000a_            ProlyveÂ® allowed for particularly high Fe2+ chelation capacity (EC50 = 247 Â± 27 Âµg)._x000a_            Accordingly, the enzymatic processing step with ProlyveÂ® was modeled and optimized to_x000a_            minimize reaction costs and maximize peptide recovery. Then, lipid oxidation was studied_x000a_            in the presence or in the absence of chelating peptides, in micellar, bulk, and_x000a_            oil-in-water emulsion systems, and compared with EDTA salts and sodium citrate. Results_x000a_            clearly emphasized a very interesting potential from the peptides sample to prevent_x000a_            lipid oxidation by chelation of transition metals in emulsified models.This result is_x000a_            particularly important to develop the potential of applications of rapeseed meal in_x000a_            various food formulations. In addition, this study emphasized an approach aiming at_x000a_            developing food chelator peptides from plant proteins, having multifunctional_x000a_            properties, and through sustainable processing.&lt;/jats:p&gt;"/>
    <n v="2305"/>
    <s v="No"/>
    <s v="&quot;en&quot;"/>
    <s v="Not available"/>
    <s v="Not available"/>
    <s v="No"/>
    <s v="Yes"/>
    <s v="No"/>
    <s v="bad url"/>
    <m/>
    <x v="7"/>
  </r>
  <r>
    <s v="proceedings-article:None"/>
    <s v="10.51189/rema/1799"/>
    <s v="&lt;jats:p&gt;Introdução: Um dos grandes desafios de hoje sobre a educação, é dar atenção às diferenças individuais e traçar estratégias de ensino, a fim de proporcionar o desenvolvimento de todos de acordo com as diversidades e sem práticas de exclusão. Esse aprendizado e desenvolvimento se estabelecem tanto dentro dos muros escolares como também fora deles, pois em ambos momentos, o docente precisa dominar ferramentas que o permita ensinar alunos com níveis diferenciados de conhecimentos prévios. Objetivos: Este trabalho visa apresentar um relato da prática pedagógica proporcionada as pessoas que visitaram a feira de bio-inclusão,a partir da criação de um protótipo de tartaruga marinha, com o objetivo da não exclusão do entendimento ao processo de reabilitação de animais marinhos, desde a anatomia até os problemas de origem antopogenica causam aos mesmo. Material e métodos: Para a confecção, além do uso da espuma expansiva de PU (poliuretano), que foi a base do protótipo, dando forma a carcaça da tartaruga, também foram utilizados o feltro de diferentes cores, agulha, linha e velcro. Os tamanhos e formas foram baseados na espécie alvo Tartaruga-verde (Chelonia mydas) tanto externamente, como internamente, para que a pessoa possa ter percepção mais próxima ao real possível, ajudando a construir mentalmente o conhecimento. Resultados: Os dados foram recolhidos através da observação, registos fotográficos e falas interpretativas dos visitantes da feira de bio-inclusão, que em sua maioria eram cegos; com baixa visão; surdos e alunos da APAE de Santos. A devolutiva do dia da feira foi, de maneira geral positiva, sobretudo com os alunos de baixa visão e cegos, onde a atividade teve melhor aproveitamento. Dessa análise emergiu uma discussão em que identificaram ações para reduzir resíduos sólidos que vem impactando os animais marinhos. Conclusão: Portanto, fica evidente como o uso desse recurso pode trazer real significado tanto para a educação inclusiva quanto para a educação como um todo, possibilitando o aprendizado não somente de pessoas que tenham algum tipo de deficiência, seja de visão, audição ou outros, mas também os não deficientes, já que ilustra e torna mais didáticos, temas muitas vezes considerados complicados.&lt;/jats:p&gt;"/>
    <n v="2262"/>
    <s v="No"/>
    <s v="&quot;pt&quot;"/>
    <s v="Yes"/>
    <s v="Not available"/>
    <s v="No"/>
    <s v="Yes"/>
    <s v="No"/>
    <s v="No problems"/>
    <m/>
    <x v="3"/>
  </r>
  <r>
    <s v="proceedings-article:None"/>
    <s v="10.2118/213451-ms"/>
    <s v="&lt;jats:title&gt;Abstract&lt;/jats:title&gt;_x000a_               &lt;jats:p&gt;In this paper will describe the integrated workflow between two well-known reservoir engineering approaches PTA and 3D dynamic simulation. This workflow provides significant help to understanding the channel sand reservoir properties, predict possible well interference and provide consistent well's production prediction forecast. The available geological background, seismic data to map the combined channels, and even well by well Petrophysical correlation showed limited capabilities to characterize the channel heterogeneity due to the reservoir continuity change consistently, and for most of the cases the channels features are unpredicted. Giving these limitations, it is necessary to consider using other engineering approach; e.g. Pressure Transient Analysis (PTA), Rate Transient Analysis (RTA), Dynamic Simulation models to narrow down the uncertainties for better understanding of the reservoir quality.&lt;/jats:p&gt;_x000a_               &lt;jats:p&gt;This customized workflow was completed and used in this study to cover all uncertainty parameters during the calibration and prediction of the wells’ performance. It consists to calibrate the geological model using Pressure transient Analysis (PTA) and dynamic simulation model output to enhance the geological model calibration assessment under uncertainty. As results; multiple geological realizations were obtained to cover the possible uncertainty ranges for each parameter. Furthermore, the Well prediction scenarios were performed to evaluate the range of wells’ production prediction forecast under multiple geological realization uncertainty to be more confident in predicting the wells performance under different well constrains and come up with minimum and maximum values. The main challenge associated with the development of channel tight gas sand reservoirs is how to predict the channel attributes and location; e.g. channel width, height, and how to quantify their effect on the well's long-term performance. This workflow will help to quantify the channel properties, interference between wells, and it will guide you on how to select the new well locations for better business planning.&lt;/jats:p&gt;"/>
    <n v="2219"/>
    <s v="No"/>
    <s v="No"/>
    <s v="Yes"/>
    <s v="Not available"/>
    <s v="No"/>
    <s v="Yes"/>
    <s v="No"/>
    <s v="No problems"/>
    <m/>
    <x v="3"/>
  </r>
  <r>
    <s v="proceedings-article:None"/>
    <s v="10.54941/ahfe1004932"/>
    <s v="&lt;jats:p&gt;In a world where progress is driven by people and experience, having the right workforce with a strong HR and Talent strategy is key to business growth and business agility.   Building and retaining this talent requires the enterprise to cater to the changing talent landscape with a comprehensive talent agenda to attract, develop and retain the right resources for their workforce.  In order to achieve these objectives, it is important for the enterprise to develop and scale new digital and data savvy skills while balancing user-centricity with an industry solution orientation that starts with talent acquisition and continues on through the employee lifecycle.  This transformational journey to enhance the employee experience and improve productivity includes elements such as talent acquisition (attraction, recruiting and interviewing, onboarding…), personalized career development, personalized retention practices (motivation, feedback, recognition, opportunities…) and predicting critical events (new technology burst such as Gen AI…) while maintaining a solution that addresses all required regulations.  This includes creating tools that assist in evaluating and assessing new legislative texts, identifying overlap with existing regulations, locating any red flags (e.g. executive liability) and preparing recommended output.In this paper we will explain how the use of Large Language Models and Gen AI can create the capabilities in talent transformation utilizing the enterprises base infrastructure to support enhancements in employee experience and productivity throughout the different stages of the employee lifecycle.   Implementing this technology in conjunction with human expertise will ensure that these initiatives align with the organization's specific goals and values, ethical considerations, transparency, and accountability that are crucial when deploying AI in HR and talent management.We will share our architectural patterns that we have used as a foundation for building a holistic talent transformation framework, that any enterprise can adapt and combine to suit their specific needs and goals in managing and optimizing their workforce in the 21st century.&lt;/jats:p&gt;"/>
    <n v="2213"/>
    <s v="No"/>
    <s v="&quot;en&quot;"/>
    <s v="Yes"/>
    <s v="Yes"/>
    <s v="No"/>
    <s v="Yes"/>
    <s v="No"/>
    <s v="No problems"/>
    <m/>
    <x v="3"/>
  </r>
  <r>
    <s v="proceedings-article:None"/>
    <s v="10.4995/heritage2022.2022.15618"/>
    <s v="&lt;jats:p&gt;The construction of the new Gibellina is the starting point to reflect on the importance of memory and the rites of passage between the past and the future of a people. The construction of the city resulted from the destruction of the Belice earthquake of 1968 which wiped out the old town and forced the inhabitants to look for a new, safer place. What remains of the old city destroyed by the earthquake, with its painful heritage of ruins and rubble, has been transformed from a pour of concrete into a work of art: the &quot;Cretto&quot; by Alberto Burri. The new site arose from the design of Marcello Fabbri was the result of experimentation for the city of the future, designed for a significant increase in housing flows which later proved to be overestimated, creating a sense of alienation and out of scale. In the following years, the emotional and social clamor about the community was dramatic, due to the loss of the historical memory of the territory. The citizens of Gibellina had lost their place of origin, their &quot;sacred pole&quot;. The contribution aims to highlight the links between past and future in the history of a place that pass through the relationships between the urban and social fabric in the transmission of the memories and identity of a people. After several decades, it is possible to evaluate the emotional effects of the choices made and reflect on the strategies that can be applied to heal the obvious gap between design and actual use of a place. The comparison between the settlement rituals of the nomadic tribe of the Omaha people based on the continuity of a symbolic object, the sacred pole, and the loss of the “genius loci” of Gibellina caused by the occultation of the macere, allows to identify an interesting and unprecedented parallelism in the re-foundation symbolic of the settlement principle which is at the basis of the rebirth of a community. As Torsello and Boscarino suggests, the memory of a people passes through its monuments. Etymologically it can be traced back to the Latin verb “monere” that is to remember, emphasizing the act of admonishing, warning, remembering the history imprinted in the voluntary action of building for the community.&lt;/jats:p&gt;"/>
    <n v="2210"/>
    <s v="No"/>
    <s v="No"/>
    <s v="Yes"/>
    <s v="Yes"/>
    <s v="No"/>
    <s v="Yes"/>
    <s v="No"/>
    <s v="No problems"/>
    <m/>
    <x v="3"/>
  </r>
  <r>
    <s v="proceedings-article:None"/>
    <s v="10.53040/abap6.2022.73"/>
    <s v="&lt;jats:p&gt;Bacterium Pseudomonas syringae van Hall and its pathovars was placed on the top of the ten most important plant pathogens list due to the huge importance for the science and economics [Mansﬁeld et al, 2012]. At present it is known about 60 pathovars of the bacterium Pseudomonas syringae van Hall. The causative agent of bacterial canker disease, bacterium Ps. syringae pv. syringae, is one of the most economically signiﬁcant Ps. syringae pathovars which aﬀects about 180 plant species. The bacterial pathogen can substantially reduce the yield of economically important cultures such as pear, apple and quince. Relatively low temperatures and high humidity are favorable for bacteria Ps. syringae pv. syringae growth [Pinheiro et al., 2019]. That is why, the phytopathogen may cause the most serious damage in spring during budding stage of plant vegetation. For to combat bacterial canker agrotechnical, chemical and biological control measures are used. Fungi of the genus Trichoderma as well as bacteria Bacillus subtilis are used as biolo-gical control agents for the bacterial canker disease. The preparation “Pentafag”, elaborated in the Republic of Belarus on the basis of ﬁve bacterial viruses strains, bacteriophages, has shown high eﬃcacy in the disease suppressing. Bacteriophages are widely spread and can be detected in the targeted bacteria natural environment. Furthermore, bacteriophages can regulate themselves in the sites of infection, depending of the bacterial population density. Being highly specialized bacterial parasites bac-teriophages, can be applied against antibiotic resistant pathogenic bacteria or when chemical control measures are forbidden, for example, during plants bloom stage. For the moment it is known that bacteriophages from the families, Podoviridae, Myoviridae и Siphoviridae infect Ps. syringae pv. syringae bacteria [Pinheiro et al. 2019, Rabiey et al. 2020]. The aim of the study was to investigate the ability of Ps. syringae pv. syringae bacterio-phage isolate, which we detected in the quince tissues aﬀected with bacterial canker, to inhibit bacteria Ps. syringae pv. syringae growth in the cut quince shoots.&lt;/jats:p&gt;"/>
    <n v="2181"/>
    <s v="No"/>
    <s v="&quot;en&quot;"/>
    <s v="Not available"/>
    <s v="Yes"/>
    <s v="No"/>
    <s v="Yes"/>
    <s v="No"/>
    <s v="No problems"/>
    <m/>
    <x v="3"/>
  </r>
  <r>
    <s v="proceedings-article:None"/>
    <s v="10.4271/2025-28-0142"/>
    <s v="&lt;jats:p&gt;&amp;lt;div class=&quot;section abstract&quot;&amp;gt;&amp;lt;div class=&quot;htmlview paragraph&quot;&amp;gt;Fused Deposition Modeling (FDM) is a widely recognized additive manufacturing method that is highly regarded for its ability to create complex structures using thermoplastic materials. Thermoplastic Polyurethane (TPU) is a highly versatile material known for its flexibility and durability. TPU has several applications, including automobile instrument panels, caster wheels, power tools, sports goods, medical equipment, drive belts, footwear, inflatable rafts, fire hoses, buffer weight tips, and a wide range of extruded film, sheet, and profile applications.. The primary objective of this study is to enhance the FDM parameters for TPU material and construct regression models that can accurately forecast printing performance. The study involved conducting experimental trials to examine the impact of key FDM parameters, such as layer thickness, infill density, printing speed, and nozzle temperature, on critical responses, including dimensional accuracy, surface quality, and mechanical properties. The utilization of design of experiments (DOE) methodology enabled a methodical exploration of parameters. Statistical techniques were employed to develop regression models that establish relationships between process parameters and performance indicators. These models offer a prognostic instrument for optimizing FDM parameters and attaining desired printing results. The results demonstrated the effectiveness of the regression models in accurately forecasting the printing performance for TPU material. The models provide valuable insights into the optimal parameter configurations for maximizing printing efficiency, quality, and mechanical robustness. This study enhances the comprehension of Fused Deposition Modeling (FDM) for Thermoplastic Polyurethane (TPU) material and provides useful techniques for optimizing the manufacturing process. Manufacturers can improve printing productivity and quality by utilizing regression models, thereby promoting the wider use of FDM technology in industries that need flexible and durable components.&amp;lt;/div&amp;gt;&amp;lt;/div&amp;gt;&lt;/jats:p&gt;"/>
    <n v="2171"/>
    <s v="No"/>
    <s v="No"/>
    <s v="Yes"/>
    <s v="Not available"/>
    <s v="No"/>
    <s v="Yes"/>
    <s v="No"/>
    <s v="includes HTML"/>
    <s v="likely from cut and paste from webpage"/>
    <x v="0"/>
  </r>
  <r>
    <s v="proceedings-article:None"/>
    <s v="10.1364/laop.2022.tu4a.47"/>
    <s v="&lt;jats:p&gt;We demonstrate two highly efficient Nd:YLiF4 lasers, achieving the highest efficiencies for Nd:YLF side-pumped at 800 nm.&lt;/jats:p&gt;"/>
    <n v="138"/>
    <s v="No"/>
    <s v="No"/>
    <s v="Yes"/>
    <s v="Not available"/>
    <s v="No"/>
    <s v="Yes"/>
    <s v="No"/>
    <s v="No problems"/>
    <m/>
    <x v="3"/>
  </r>
  <r>
    <s v="proceedings-article:None"/>
    <s v="10.1364/np.2022.npth2g.5"/>
    <s v="&lt;jats:p&gt;A completely analytical approach is presented that provides deep insight into the pulse formation processes in a hollow fiber compressor by disentangling spatial soliton dynamics.&lt;/jats:p&gt;"/>
    <n v="196"/>
    <s v="No"/>
    <s v="No"/>
    <s v="Yes"/>
    <s v="Not available"/>
    <s v="No"/>
    <s v="Yes"/>
    <s v="No"/>
    <s v="No problems"/>
    <m/>
    <x v="3"/>
  </r>
  <r>
    <s v="proceedings-article:None"/>
    <s v="10.1364/3d.2021.3th7e.2"/>
    <s v="&lt;jats:p&gt;We propose an automatic registration method for the data obtained by a commercial 3D-tracking sensor and the 3D image reproduced by a light-field display for an aerial 3D-touch interface.&lt;/jats:p&gt;"/>
    <n v="204"/>
    <s v="No"/>
    <s v="No"/>
    <s v="Yes"/>
    <s v="Not available"/>
    <s v="No"/>
    <s v="Yes"/>
    <s v="No"/>
    <s v="No problems"/>
    <m/>
    <x v="3"/>
  </r>
  <r>
    <s v="proceedings-article:None"/>
    <s v="10.29327/1318190.2-2"/>
    <s v="&lt;jats:p&gt;Introdução: Este projeto interdisciplinar utiliza a linguagem visual para abordar temáticas voltadas para cidadania, convívio social, direitos e deveres. Baseia-se na nossa Carta Magna, a Constituição&lt;/jats:p&gt;"/>
    <n v="217"/>
    <s v="No"/>
    <s v="No"/>
    <s v="No"/>
    <s v="Not available"/>
    <s v="No"/>
    <s v="Yes"/>
    <s v="No"/>
    <s v="abstract is longer on the landing page"/>
    <m/>
    <x v="4"/>
  </r>
  <r>
    <s v="proceedings-article:None"/>
    <s v="10.29327/1377146.1-1"/>
    <s v="&lt;jats:p&gt;A Agricultura urbana envolve as práticas produtivas destinadas ao autoconsumo e/ou ao comércio de sua produção utilizando o excedente para venda no mercado local. Os quintais produtivos representam gr&lt;/jats:p&gt;"/>
    <n v="217"/>
    <s v="No"/>
    <s v="No"/>
    <s v="No"/>
    <s v="Not available"/>
    <s v="No"/>
    <s v="Yes"/>
    <s v="No"/>
    <s v="abstract is longer on the landing page"/>
    <m/>
    <x v="4"/>
  </r>
  <r>
    <s v="proceedings-article:None"/>
    <s v="10.1364/fio.2020.jtu7c.4"/>
    <s v="&lt;jats:p&gt;The study of contact lenses fitting of different designs through the impact on the tear through infrared images of the eye has been carried out. Multifocal lens design behaves as well as traditional ones.&lt;/jats:p&gt;"/>
    <n v="221"/>
    <s v="No"/>
    <s v="No"/>
    <s v="Yes"/>
    <s v="Not available"/>
    <s v="No"/>
    <s v="Yes"/>
    <s v="No"/>
    <s v="No problems"/>
    <m/>
    <x v="3"/>
  </r>
  <r>
    <s v="proceedings-article:None"/>
    <s v="10.33186/978-5-85638-223-4-2020-150-153"/>
    <s v="&lt;jats:p&gt;The experience of mutually beneficial cooperation of the German Reading Room and volunteers is discussed. Various forms of club and project activities are analyzed to be addressed when managing volunteering.&lt;/jats:p&gt;"/>
    <n v="224"/>
    <s v="No"/>
    <s v="&quot;en&quot;"/>
    <s v="Not available"/>
    <s v="No"/>
    <s v="No"/>
    <s v="Yes"/>
    <s v="No"/>
    <s v="article version includes two languages"/>
    <s v="&quot;ru&quot; and &quot;en&quot; in PDF"/>
    <x v="4"/>
  </r>
  <r>
    <s v="proceedings-article:None"/>
    <s v="10.1364/quantum.2023.qtu3a.33"/>
    <s v="&lt;jats:p&gt;We propose a fully chip-based decoder for polarization-encoding quantum key distribution. The chip realizes a polarization state analyzer and compensates for the BB84 protocol without requiring additional hardware.&lt;/jats:p&gt;"/>
    <n v="231"/>
    <s v="No"/>
    <s v="No"/>
    <s v="Yes"/>
    <s v="Not available"/>
    <s v="No"/>
    <s v="Yes"/>
    <s v="No"/>
    <s v="No problems"/>
    <m/>
    <x v="3"/>
  </r>
  <r>
    <s v="proceedings-article:None"/>
    <s v="10.1364/assl.2023.jtu5a.11"/>
    <s v="&lt;jats:p&gt;Modeling of high power Er-doped fluoride fiber lasers operating around 2.8 microns has been an unsolved challenge for many years, so we propose a new theoretical energy transfer equation to accurately simulate five lasers.&lt;/jats:p&gt;"/>
    <n v="239"/>
    <s v="No"/>
    <s v="No"/>
    <s v="Yes"/>
    <s v="Not available"/>
    <s v="No"/>
    <s v="Yes"/>
    <s v="No"/>
    <s v="No problems"/>
    <m/>
    <x v="3"/>
  </r>
  <r>
    <s v="proceedings-article:None"/>
    <s v="10.1364/translational.2020.jtu3a.12"/>
    <s v="&lt;jats:p&gt;A 2D modelling study is presented on the transmission enhancement by iterative optical phase conjugation through diffusive random media. Factors affecting coherent control for enhancing the total transmission is discussed.&lt;/jats:p&gt;"/>
    <n v="239"/>
    <s v="No"/>
    <s v="No"/>
    <s v="Yes"/>
    <s v="Not available"/>
    <s v="No"/>
    <s v="Yes"/>
    <s v="No"/>
    <s v="No problems"/>
    <m/>
    <x v="3"/>
  </r>
  <r>
    <s v="proceedings-article:None"/>
    <s v="10.1364/ofc.2021.w1f.1"/>
    <s v="&lt;jats:p&gt;A potential fault cause identification scheme is proposed by using attention mechanism with actual datasets, which finds out the potential fault causes for two types of optical equipment by calculating the attention weight.&lt;/jats:p&gt;"/>
    <n v="240"/>
    <s v="No"/>
    <s v="No"/>
    <s v="Yes"/>
    <s v="Not available"/>
    <s v="No"/>
    <s v="Yes"/>
    <s v="No"/>
    <s v="No problems"/>
    <m/>
    <x v="3"/>
  </r>
  <r>
    <s v="proceedings-article:None"/>
    <s v="10.1364/cleo_si.2020.stu4n.2"/>
    <s v="&lt;jats:p&gt;We perform heterodyne spectroscopy at 1.56 μm with a tunable laser and thermal radiation from the Sun. The laser tuning is calibrated with a frequency comb, providing a simple spectrometer with resolving power of 2,000,000.&lt;/jats:p&gt;"/>
    <n v="240"/>
    <s v="No"/>
    <s v="No"/>
    <s v="Yes"/>
    <s v="Not available"/>
    <s v="No"/>
    <s v="Yes"/>
    <s v="No"/>
    <s v="No problems"/>
    <m/>
    <x v="3"/>
  </r>
  <r>
    <s v="proceedings-article:None"/>
    <s v="10.1364/cleo_qels.2022.fw1a.7"/>
    <s v="&lt;jats:p&gt;We demonstrate a squeezed optical microresonator-based frequency comb (microcomb) in a silica microresonator on a silicon chip. 22 two-mode squeezed qumodepairs (44 qumodes) and a maximum raw squeezing of 2.1 dB are measured.&lt;/jats:p&gt;"/>
    <n v="242"/>
    <s v="No"/>
    <s v="No"/>
    <s v="Yes"/>
    <s v="Not available"/>
    <s v="No"/>
    <s v="Yes"/>
    <s v="No"/>
    <s v="No problems"/>
    <m/>
    <x v="3"/>
  </r>
  <r>
    <s v="proceedings-article:None"/>
    <s v="10.1364/fio.2020.fm1a.7"/>
    <s v="&lt;jats:p&gt;Conventional interferometric transmission spheres are limited by f-number and design source wavelength. We discuss a broadband variable transmission sphere system based on relative lateral translation of freeform surface pairs.&lt;/jats:p&gt;"/>
    <n v="244"/>
    <s v="No"/>
    <s v="No"/>
    <s v="Yes"/>
    <s v="Not available"/>
    <s v="No"/>
    <s v="Yes"/>
    <s v="No"/>
    <s v="No problems"/>
    <m/>
    <x v="3"/>
  </r>
  <r>
    <s v="proceedings-article:None"/>
    <s v="10.1364/dh.2021.dm6c.7"/>
    <s v="&lt;jats:p&gt;In this work we present compact single lens wide angle holographic display with LED illumination, which is capable of reconstructions of large size images. Obtained optical results illustrate high quality images at large depth.&lt;/jats:p&gt;"/>
    <n v="244"/>
    <s v="No"/>
    <s v="No"/>
    <s v="Yes"/>
    <s v="Not available"/>
    <s v="No"/>
    <s v="Yes"/>
    <s v="No"/>
    <s v="No problems"/>
    <m/>
    <x v="3"/>
  </r>
  <r>
    <s v="proceedings-article:None"/>
    <s v="10.1364/3d.2022.3th3a.2"/>
    <s v="&lt;jats:p&gt;New techniques of 3D image acquisition using coded aperture correlation holography (COACH) with unique imaging properties are presented. Among other things, COACH is applied for incoherent 3D imaging with an extended depth of field.&lt;/jats:p&gt;"/>
    <n v="249"/>
    <s v="No"/>
    <s v="No"/>
    <s v="Yes"/>
    <s v="Not available"/>
    <s v="No"/>
    <s v="Yes"/>
    <s v="No"/>
    <s v="No problems"/>
    <m/>
    <x v="3"/>
  </r>
  <r>
    <s v="proceedings-article:None"/>
    <s v="10.1364/acpc.2020.m4d.9"/>
    <s v="&lt;jats:p&gt;We bring the physics of topological corner states to the nanoscale. We study experimentally topology-driven nonlinear effects generated by subwavelength edge and corner topological states in optical valley-Hall dielectric metasurfaces.&lt;/jats:p&gt;"/>
    <n v="252"/>
    <s v="No"/>
    <s v="No"/>
    <s v="Yes"/>
    <s v="Not available"/>
    <s v="No"/>
    <s v="Yes"/>
    <s v="No"/>
    <s v="No problems"/>
    <m/>
    <x v="3"/>
  </r>
  <r>
    <s v="proceedings-article:None"/>
    <s v="10.1364/ofc.2020.w2a.52"/>
    <s v="&lt;jats:p&gt;We separate various nonlinear impairments caused by pump laser RIN in Raman amplified system. Experiment shows that nonlinear polarization scattering has more impact than phase noise does, and the gain fluctuation has the least impact.&lt;/jats:p&gt;"/>
    <n v="252"/>
    <s v="No"/>
    <s v="No"/>
    <s v="Yes"/>
    <s v="Not available"/>
    <s v="No"/>
    <s v="Yes"/>
    <s v="No"/>
    <s v="No problems"/>
    <m/>
    <x v="3"/>
  </r>
  <r>
    <s v="proceedings-article:None"/>
    <s v="10.1364/aio.2022.t1a.3"/>
    <s v="&lt;jats:p&gt;We present a novel approach to NIR spectral sensing using a handheld module based on a miniaturized integrated detector array. Applicability of the sensor is demonstrated in monitoring moisture in grains and classification of plastics.&lt;/jats:p&gt;"/>
    <n v="252"/>
    <s v="No"/>
    <s v="No"/>
    <s v="Yes"/>
    <s v="Not available"/>
    <s v="No"/>
    <s v="Yes"/>
    <s v="No"/>
    <s v="No problems"/>
    <m/>
    <x v="3"/>
  </r>
  <r>
    <s v="proceedings-article:None"/>
    <s v="10.1364/fio.2020.ftu2e.3"/>
    <s v="&lt;jats:p&gt;Two HCG designs are used as the top mirror for a resonant-cavity detector. A broadband reflector can result in significantly improved manufacturing tolerance, whereas a resonator reflector results in a novel surface normal optical switch.&lt;/jats:p&gt;"/>
    <n v="255"/>
    <s v="No"/>
    <s v="No"/>
    <s v="Yes"/>
    <s v="Not available"/>
    <s v="No"/>
    <s v="Yes"/>
    <s v="No"/>
    <s v="No problems"/>
    <m/>
    <x v="3"/>
  </r>
  <r>
    <s v="proceedings-article:None"/>
    <s v="10.1364/fio.2020.fm4c.1"/>
    <s v="&lt;jats:p&gt;We report the generation of phase-matched long-wavelength radiation at a transmission band-edge of an anti-resonant hollow-core fiber filled with gas. This is achieved with the aid of the resonance-induced dispersion change at the band edge.&lt;/jats:p&gt;"/>
    <n v="258"/>
    <s v="No"/>
    <s v="No"/>
    <s v="Yes"/>
    <s v="Not available"/>
    <s v="No"/>
    <s v="Yes"/>
    <s v="No"/>
    <s v="No problems"/>
    <m/>
    <x v="3"/>
  </r>
  <r>
    <s v="proceedings-article:None"/>
    <s v="10.1364/fio.2021.jw7a.66"/>
    <s v="&lt;jats:p&gt;We numerically demonstrate that using the dispersion engineered side-slotted silicon waveguide contributes much to coherent mid-infrared dispersive wave generation in terms of a higher peak power, wider bandwidth and better coherence property.&lt;/jats:p&gt;"/>
    <n v="260"/>
    <s v="No"/>
    <s v="No"/>
    <s v="Yes"/>
    <s v="Not available"/>
    <s v="No"/>
    <s v="Yes"/>
    <s v="No"/>
    <s v="No problems"/>
    <m/>
    <x v="3"/>
  </r>
  <r>
    <s v="proceedings-article:None"/>
    <s v="10.1364/ofs.2023.w4.23"/>
    <s v="&lt;jats:p&gt;Double second-order sideband with suppressed carrier modulation technology is developed for OFDR system. With an equivalent frequency sweeping range of 80GHz, spatial resolution of 1.083mm over 2km fiber is realized without any optical filters.&lt;/jats:p&gt;"/>
    <n v="261"/>
    <s v="No"/>
    <s v="No"/>
    <s v="Yes"/>
    <s v="Not available"/>
    <s v="No"/>
    <s v="Yes"/>
    <s v="No"/>
    <s v="No problems"/>
    <m/>
    <x v="3"/>
  </r>
  <r>
    <s v="proceedings-article:None"/>
    <s v="10.1364/ofc.2020.th3d.3"/>
    <s v="&lt;jats:p&gt;We propose a methodology for accurate and fast optical performance estimation exploiting cognitive awareness. It is composed by low and high precision estimators and a calibration engine, allowing to control open vs. proprietary implementations.&lt;/jats:p&gt;"/>
    <n v="262"/>
    <s v="No"/>
    <s v="No"/>
    <s v="Yes"/>
    <s v="Not available"/>
    <s v="No"/>
    <s v="Yes"/>
    <s v="No"/>
    <s v="No problems"/>
    <m/>
    <x v="3"/>
  </r>
  <r>
    <s v="proceedings-article:None"/>
    <s v="10.1364/up.2022.m4a.6"/>
    <s v="&lt;jats:p&gt;We demonstrate a polarization scheme, &amp;lt;0°,0°,θ°,-θ°&amp;gt;, that eliminates diagonal peaks and isolates cross peaks. We use the scheme with transient absorption spectroscopy to measure the cross peaks that are often only resolved by 2D spectroscopy.&lt;/jats:p&gt;"/>
    <n v="266"/>
    <s v="HTML"/>
    <s v="No"/>
    <s v="Yes"/>
    <s v="Not available"/>
    <s v="No"/>
    <s v="Yes"/>
    <s v="No"/>
    <s v="includes HTML"/>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1BB9D4-1B19-0C4C-B1C8-F1A3E604D5B1}" name="PivotTable17" cacheId="1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K53" firstHeaderRow="1" firstDataRow="2" firstDataCol="1"/>
  <pivotFields count="3">
    <pivotField dataField="1" showAll="0"/>
    <pivotField axis="axisRow" showAll="0">
      <items count="10">
        <item x="0"/>
        <item x="2"/>
        <item x="5"/>
        <item x="6"/>
        <item x="8"/>
        <item x="4"/>
        <item x="7"/>
        <item x="3"/>
        <item x="1"/>
        <item t="default"/>
      </items>
    </pivotField>
    <pivotField axis="axisCol" showAll="0">
      <items count="10">
        <item x="0"/>
        <item x="2"/>
        <item x="5"/>
        <item x="6"/>
        <item x="8"/>
        <item x="4"/>
        <item x="7"/>
        <item x="3"/>
        <item x="1"/>
        <item t="default"/>
      </items>
    </pivotField>
  </pivotFields>
  <rowFields count="1">
    <field x="1"/>
  </rowFields>
  <rowItems count="10">
    <i>
      <x/>
    </i>
    <i>
      <x v="1"/>
    </i>
    <i>
      <x v="2"/>
    </i>
    <i>
      <x v="3"/>
    </i>
    <i>
      <x v="4"/>
    </i>
    <i>
      <x v="5"/>
    </i>
    <i>
      <x v="6"/>
    </i>
    <i>
      <x v="7"/>
    </i>
    <i>
      <x v="8"/>
    </i>
    <i t="grand">
      <x/>
    </i>
  </rowItems>
  <colFields count="1">
    <field x="2"/>
  </colFields>
  <colItems count="10">
    <i>
      <x/>
    </i>
    <i>
      <x v="1"/>
    </i>
    <i>
      <x v="2"/>
    </i>
    <i>
      <x v="3"/>
    </i>
    <i>
      <x v="4"/>
    </i>
    <i>
      <x v="5"/>
    </i>
    <i>
      <x v="6"/>
    </i>
    <i>
      <x v="7"/>
    </i>
    <i>
      <x v="8"/>
    </i>
    <i t="grand">
      <x/>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13BF60-131A-2044-AB10-FB5F7D5B8F09}" name="PivotTable18"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12" firstHeaderRow="1" firstDataRow="1" firstDataCol="1"/>
  <pivotFields count="14">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0">
        <item x="0"/>
        <item x="2"/>
        <item x="5"/>
        <item x="6"/>
        <item x="8"/>
        <item x="4"/>
        <item x="7"/>
        <item x="3"/>
        <item x="1"/>
        <item t="default"/>
      </items>
      <autoSortScope>
        <pivotArea dataOnly="0" outline="0" fieldPosition="0">
          <references count="1">
            <reference field="4294967294" count="1" selected="0">
              <x v="0"/>
            </reference>
          </references>
        </pivotArea>
      </autoSortScope>
    </pivotField>
  </pivotFields>
  <rowFields count="1">
    <field x="13"/>
  </rowFields>
  <rowItems count="10">
    <i>
      <x v="7"/>
    </i>
    <i>
      <x v="3"/>
    </i>
    <i>
      <x/>
    </i>
    <i>
      <x v="8"/>
    </i>
    <i>
      <x v="1"/>
    </i>
    <i>
      <x v="5"/>
    </i>
    <i>
      <x v="6"/>
    </i>
    <i>
      <x v="2"/>
    </i>
    <i>
      <x v="4"/>
    </i>
    <i t="grand">
      <x/>
    </i>
  </rowItems>
  <colItems count="1">
    <i/>
  </colItems>
  <dataFields count="1">
    <dataField name="Count of DOI"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topLeftCell="C1" zoomScaleNormal="130" workbookViewId="0">
      <pane ySplit="1" topLeftCell="A262" activePane="bottomLeft" state="frozen"/>
      <selection activeCell="C1" sqref="C1"/>
      <selection pane="bottomLeft" sqref="A1:O301"/>
    </sheetView>
  </sheetViews>
  <sheetFormatPr baseColWidth="10" defaultColWidth="8.83203125" defaultRowHeight="15" x14ac:dyDescent="0.2"/>
  <cols>
    <col min="2" max="2" width="20.33203125" bestFit="1" customWidth="1"/>
    <col min="3" max="3" width="39.83203125" bestFit="1" customWidth="1"/>
    <col min="4" max="4" width="135.83203125" customWidth="1"/>
    <col min="5" max="5" width="11.6640625" customWidth="1"/>
    <col min="6" max="6" width="6" customWidth="1"/>
    <col min="7" max="7" width="7" customWidth="1"/>
    <col min="8" max="8" width="9.5" customWidth="1"/>
    <col min="9" max="9" width="5.83203125" customWidth="1"/>
    <col min="10" max="10" width="5.1640625" customWidth="1"/>
    <col min="11" max="11" width="5.6640625" customWidth="1"/>
    <col min="12" max="12" width="5" customWidth="1"/>
    <col min="13" max="13" width="29" customWidth="1"/>
    <col min="14" max="14" width="22.5" customWidth="1"/>
  </cols>
  <sheetData>
    <row r="1" spans="1:15" s="2" customFormat="1" ht="80" x14ac:dyDescent="0.2">
      <c r="B1" s="7" t="s">
        <v>0</v>
      </c>
      <c r="C1" s="7" t="s">
        <v>1</v>
      </c>
      <c r="D1" s="7" t="s">
        <v>2</v>
      </c>
      <c r="E1" s="7" t="s">
        <v>3</v>
      </c>
      <c r="F1" s="8" t="s">
        <v>566</v>
      </c>
      <c r="G1" s="8" t="s">
        <v>567</v>
      </c>
      <c r="H1" s="8" t="s">
        <v>568</v>
      </c>
      <c r="I1" s="8" t="s">
        <v>569</v>
      </c>
      <c r="J1" s="8" t="s">
        <v>571</v>
      </c>
      <c r="K1" s="8" t="s">
        <v>597</v>
      </c>
      <c r="L1" s="8" t="s">
        <v>723</v>
      </c>
      <c r="M1" s="8" t="s">
        <v>570</v>
      </c>
      <c r="N1" s="8" t="s">
        <v>572</v>
      </c>
      <c r="O1" s="9" t="s">
        <v>732</v>
      </c>
    </row>
    <row r="2" spans="1:15" ht="23" customHeight="1" x14ac:dyDescent="0.2">
      <c r="A2" s="1">
        <v>0</v>
      </c>
      <c r="B2" t="s">
        <v>4</v>
      </c>
      <c r="C2" t="s">
        <v>5</v>
      </c>
      <c r="D2" s="2" t="s">
        <v>6</v>
      </c>
      <c r="E2">
        <v>10871</v>
      </c>
      <c r="F2" t="s">
        <v>726</v>
      </c>
      <c r="G2" t="s">
        <v>574</v>
      </c>
      <c r="H2" t="s">
        <v>573</v>
      </c>
      <c r="I2" t="s">
        <v>573</v>
      </c>
      <c r="J2" t="s">
        <v>574</v>
      </c>
      <c r="K2" t="s">
        <v>573</v>
      </c>
      <c r="L2" t="s">
        <v>574</v>
      </c>
      <c r="M2" t="s">
        <v>726</v>
      </c>
      <c r="O2" t="s">
        <v>733</v>
      </c>
    </row>
    <row r="3" spans="1:15" ht="22" customHeight="1" x14ac:dyDescent="0.2">
      <c r="A3" s="1">
        <v>1</v>
      </c>
      <c r="B3" t="s">
        <v>4</v>
      </c>
      <c r="C3" t="s">
        <v>7</v>
      </c>
      <c r="D3" s="2" t="s">
        <v>8</v>
      </c>
      <c r="E3">
        <v>10055</v>
      </c>
      <c r="F3" t="s">
        <v>574</v>
      </c>
      <c r="G3" t="s">
        <v>574</v>
      </c>
      <c r="H3" t="s">
        <v>573</v>
      </c>
      <c r="I3" t="s">
        <v>573</v>
      </c>
      <c r="J3" t="s">
        <v>574</v>
      </c>
      <c r="K3" t="s">
        <v>573</v>
      </c>
      <c r="L3" t="s">
        <v>574</v>
      </c>
      <c r="M3" t="s">
        <v>725</v>
      </c>
      <c r="O3" t="s">
        <v>734</v>
      </c>
    </row>
    <row r="4" spans="1:15" x14ac:dyDescent="0.2">
      <c r="A4" s="1">
        <v>2</v>
      </c>
      <c r="B4" t="s">
        <v>4</v>
      </c>
      <c r="C4" t="s">
        <v>9</v>
      </c>
      <c r="D4" t="s">
        <v>10</v>
      </c>
      <c r="E4">
        <v>9074</v>
      </c>
      <c r="F4" t="s">
        <v>574</v>
      </c>
      <c r="G4" t="s">
        <v>574</v>
      </c>
      <c r="H4" t="s">
        <v>573</v>
      </c>
      <c r="I4" t="s">
        <v>573</v>
      </c>
      <c r="J4" t="s">
        <v>574</v>
      </c>
      <c r="K4" t="s">
        <v>573</v>
      </c>
      <c r="L4" t="s">
        <v>574</v>
      </c>
      <c r="M4" t="s">
        <v>614</v>
      </c>
      <c r="O4" t="s">
        <v>734</v>
      </c>
    </row>
    <row r="5" spans="1:15" x14ac:dyDescent="0.2">
      <c r="A5" s="1">
        <v>3</v>
      </c>
      <c r="B5" t="s">
        <v>4</v>
      </c>
      <c r="C5" t="s">
        <v>11</v>
      </c>
      <c r="D5" t="s">
        <v>12</v>
      </c>
      <c r="E5">
        <v>7376</v>
      </c>
      <c r="F5" t="s">
        <v>574</v>
      </c>
      <c r="G5" t="s">
        <v>574</v>
      </c>
      <c r="H5" t="s">
        <v>573</v>
      </c>
      <c r="I5" t="s">
        <v>573</v>
      </c>
      <c r="J5" t="s">
        <v>574</v>
      </c>
      <c r="K5" t="s">
        <v>573</v>
      </c>
      <c r="L5" t="s">
        <v>574</v>
      </c>
      <c r="M5" t="s">
        <v>575</v>
      </c>
      <c r="N5" t="s">
        <v>576</v>
      </c>
      <c r="O5" t="s">
        <v>734</v>
      </c>
    </row>
    <row r="6" spans="1:15" x14ac:dyDescent="0.2">
      <c r="A6" s="1">
        <v>4</v>
      </c>
      <c r="B6" t="s">
        <v>4</v>
      </c>
      <c r="C6" t="s">
        <v>13</v>
      </c>
      <c r="D6" t="s">
        <v>14</v>
      </c>
      <c r="E6">
        <v>7351</v>
      </c>
      <c r="F6" t="s">
        <v>574</v>
      </c>
      <c r="G6" t="s">
        <v>574</v>
      </c>
      <c r="H6" t="s">
        <v>573</v>
      </c>
      <c r="I6" t="s">
        <v>573</v>
      </c>
      <c r="J6" t="s">
        <v>574</v>
      </c>
      <c r="K6" t="s">
        <v>573</v>
      </c>
      <c r="L6" t="s">
        <v>574</v>
      </c>
      <c r="M6" t="s">
        <v>724</v>
      </c>
      <c r="N6" t="s">
        <v>722</v>
      </c>
      <c r="O6" t="s">
        <v>735</v>
      </c>
    </row>
    <row r="7" spans="1:15" x14ac:dyDescent="0.2">
      <c r="A7" s="1">
        <v>5</v>
      </c>
      <c r="B7" t="s">
        <v>4</v>
      </c>
      <c r="C7" t="s">
        <v>15</v>
      </c>
      <c r="D7" t="s">
        <v>16</v>
      </c>
      <c r="E7">
        <v>7320</v>
      </c>
      <c r="F7" t="s">
        <v>574</v>
      </c>
      <c r="G7" t="s">
        <v>574</v>
      </c>
      <c r="H7" t="s">
        <v>573</v>
      </c>
      <c r="I7" t="s">
        <v>573</v>
      </c>
      <c r="J7" t="s">
        <v>574</v>
      </c>
      <c r="K7" t="s">
        <v>573</v>
      </c>
      <c r="L7" t="s">
        <v>574</v>
      </c>
      <c r="M7" t="s">
        <v>614</v>
      </c>
      <c r="O7" t="s">
        <v>736</v>
      </c>
    </row>
    <row r="8" spans="1:15" x14ac:dyDescent="0.2">
      <c r="A8" s="1">
        <v>6</v>
      </c>
      <c r="B8" t="s">
        <v>4</v>
      </c>
      <c r="C8" t="s">
        <v>17</v>
      </c>
      <c r="D8" t="s">
        <v>18</v>
      </c>
      <c r="E8">
        <v>7077</v>
      </c>
      <c r="F8" t="s">
        <v>574</v>
      </c>
      <c r="G8" t="s">
        <v>574</v>
      </c>
      <c r="H8" t="s">
        <v>573</v>
      </c>
      <c r="I8" t="s">
        <v>573</v>
      </c>
      <c r="J8" t="s">
        <v>574</v>
      </c>
      <c r="K8" t="s">
        <v>573</v>
      </c>
      <c r="L8" t="s">
        <v>574</v>
      </c>
      <c r="M8" t="s">
        <v>614</v>
      </c>
      <c r="N8" t="s">
        <v>577</v>
      </c>
      <c r="O8" t="s">
        <v>736</v>
      </c>
    </row>
    <row r="9" spans="1:15" x14ac:dyDescent="0.2">
      <c r="A9" s="1">
        <v>7</v>
      </c>
      <c r="B9" t="s">
        <v>4</v>
      </c>
      <c r="C9" t="s">
        <v>19</v>
      </c>
      <c r="D9" t="s">
        <v>20</v>
      </c>
      <c r="E9">
        <v>6937</v>
      </c>
      <c r="F9" t="s">
        <v>729</v>
      </c>
      <c r="G9" t="s">
        <v>574</v>
      </c>
      <c r="H9" t="s">
        <v>574</v>
      </c>
      <c r="I9" t="s">
        <v>574</v>
      </c>
      <c r="J9" t="s">
        <v>574</v>
      </c>
      <c r="K9" t="s">
        <v>573</v>
      </c>
      <c r="L9" t="s">
        <v>574</v>
      </c>
      <c r="M9" t="s">
        <v>717</v>
      </c>
      <c r="N9" t="s">
        <v>578</v>
      </c>
      <c r="O9" t="s">
        <v>734</v>
      </c>
    </row>
    <row r="10" spans="1:15" ht="19" customHeight="1" x14ac:dyDescent="0.2">
      <c r="A10" s="1">
        <v>8</v>
      </c>
      <c r="B10" t="s">
        <v>4</v>
      </c>
      <c r="C10" t="s">
        <v>21</v>
      </c>
      <c r="D10" s="2" t="s">
        <v>22</v>
      </c>
      <c r="E10">
        <v>6602</v>
      </c>
      <c r="F10" t="s">
        <v>726</v>
      </c>
      <c r="G10" t="s">
        <v>600</v>
      </c>
      <c r="H10" t="s">
        <v>573</v>
      </c>
      <c r="I10" t="s">
        <v>573</v>
      </c>
      <c r="J10" t="s">
        <v>574</v>
      </c>
      <c r="K10" t="s">
        <v>573</v>
      </c>
      <c r="L10" t="s">
        <v>574</v>
      </c>
      <c r="M10" t="s">
        <v>726</v>
      </c>
      <c r="O10" t="s">
        <v>733</v>
      </c>
    </row>
    <row r="11" spans="1:15" x14ac:dyDescent="0.2">
      <c r="A11" s="1">
        <v>9</v>
      </c>
      <c r="B11" t="s">
        <v>4</v>
      </c>
      <c r="C11" t="s">
        <v>23</v>
      </c>
      <c r="D11" t="s">
        <v>24</v>
      </c>
      <c r="E11">
        <v>6576</v>
      </c>
      <c r="F11" t="s">
        <v>726</v>
      </c>
      <c r="G11" t="s">
        <v>574</v>
      </c>
      <c r="H11" t="s">
        <v>573</v>
      </c>
      <c r="I11" t="s">
        <v>573</v>
      </c>
      <c r="J11" t="s">
        <v>574</v>
      </c>
      <c r="K11" t="s">
        <v>573</v>
      </c>
      <c r="L11" t="s">
        <v>573</v>
      </c>
      <c r="M11" t="s">
        <v>725</v>
      </c>
      <c r="N11" t="s">
        <v>579</v>
      </c>
      <c r="O11" t="s">
        <v>734</v>
      </c>
    </row>
    <row r="12" spans="1:15" x14ac:dyDescent="0.2">
      <c r="A12" s="1">
        <v>10</v>
      </c>
      <c r="B12" t="s">
        <v>4</v>
      </c>
      <c r="C12" t="s">
        <v>25</v>
      </c>
      <c r="D12" t="s">
        <v>26</v>
      </c>
      <c r="E12">
        <v>6561</v>
      </c>
      <c r="F12" t="s">
        <v>574</v>
      </c>
      <c r="G12" t="s">
        <v>574</v>
      </c>
      <c r="H12" t="s">
        <v>573</v>
      </c>
      <c r="I12" t="s">
        <v>573</v>
      </c>
      <c r="J12" t="s">
        <v>574</v>
      </c>
      <c r="K12" t="s">
        <v>573</v>
      </c>
      <c r="L12" t="s">
        <v>573</v>
      </c>
      <c r="M12" t="s">
        <v>724</v>
      </c>
      <c r="N12" t="s">
        <v>582</v>
      </c>
      <c r="O12" t="s">
        <v>735</v>
      </c>
    </row>
    <row r="13" spans="1:15" x14ac:dyDescent="0.2">
      <c r="A13" s="1">
        <v>11</v>
      </c>
      <c r="B13" t="s">
        <v>4</v>
      </c>
      <c r="C13" t="s">
        <v>27</v>
      </c>
      <c r="D13" t="s">
        <v>28</v>
      </c>
      <c r="E13">
        <v>6536</v>
      </c>
      <c r="F13" t="s">
        <v>574</v>
      </c>
      <c r="G13" t="s">
        <v>574</v>
      </c>
      <c r="H13" t="s">
        <v>573</v>
      </c>
      <c r="I13" t="s">
        <v>573</v>
      </c>
      <c r="J13" t="s">
        <v>574</v>
      </c>
      <c r="K13" t="s">
        <v>573</v>
      </c>
      <c r="L13" t="s">
        <v>573</v>
      </c>
      <c r="M13" t="s">
        <v>602</v>
      </c>
      <c r="N13" t="s">
        <v>580</v>
      </c>
      <c r="O13" t="s">
        <v>733</v>
      </c>
    </row>
    <row r="14" spans="1:15" x14ac:dyDescent="0.2">
      <c r="A14" s="1">
        <v>12</v>
      </c>
      <c r="B14" t="s">
        <v>4</v>
      </c>
      <c r="C14" t="s">
        <v>29</v>
      </c>
      <c r="D14" t="s">
        <v>30</v>
      </c>
      <c r="E14">
        <v>6391</v>
      </c>
      <c r="F14" t="s">
        <v>574</v>
      </c>
      <c r="G14" t="s">
        <v>574</v>
      </c>
      <c r="H14" t="s">
        <v>583</v>
      </c>
      <c r="I14" t="s">
        <v>574</v>
      </c>
      <c r="J14" t="s">
        <v>574</v>
      </c>
      <c r="K14" t="s">
        <v>573</v>
      </c>
      <c r="L14" t="s">
        <v>573</v>
      </c>
      <c r="M14" t="s">
        <v>724</v>
      </c>
      <c r="N14" t="s">
        <v>581</v>
      </c>
      <c r="O14" t="s">
        <v>735</v>
      </c>
    </row>
    <row r="15" spans="1:15" x14ac:dyDescent="0.2">
      <c r="A15" s="1">
        <v>13</v>
      </c>
      <c r="B15" t="s">
        <v>4</v>
      </c>
      <c r="C15" t="s">
        <v>31</v>
      </c>
      <c r="D15" t="s">
        <v>32</v>
      </c>
      <c r="E15">
        <v>5880</v>
      </c>
      <c r="F15" t="s">
        <v>574</v>
      </c>
      <c r="G15" t="s">
        <v>574</v>
      </c>
      <c r="H15" t="s">
        <v>573</v>
      </c>
      <c r="I15" t="s">
        <v>573</v>
      </c>
      <c r="J15" t="s">
        <v>574</v>
      </c>
      <c r="K15" t="s">
        <v>573</v>
      </c>
      <c r="L15" t="s">
        <v>574</v>
      </c>
      <c r="M15" t="s">
        <v>614</v>
      </c>
      <c r="N15" t="s">
        <v>737</v>
      </c>
      <c r="O15" t="s">
        <v>738</v>
      </c>
    </row>
    <row r="16" spans="1:15" x14ac:dyDescent="0.2">
      <c r="A16" s="1">
        <v>14</v>
      </c>
      <c r="B16" t="s">
        <v>4</v>
      </c>
      <c r="C16" t="s">
        <v>33</v>
      </c>
      <c r="D16" t="s">
        <v>34</v>
      </c>
      <c r="E16">
        <v>5878</v>
      </c>
      <c r="F16" t="s">
        <v>726</v>
      </c>
      <c r="G16" t="s">
        <v>574</v>
      </c>
      <c r="H16" t="s">
        <v>573</v>
      </c>
      <c r="I16" t="s">
        <v>573</v>
      </c>
      <c r="J16" t="s">
        <v>574</v>
      </c>
      <c r="K16" t="s">
        <v>573</v>
      </c>
      <c r="L16" t="s">
        <v>573</v>
      </c>
      <c r="M16" t="s">
        <v>726</v>
      </c>
      <c r="N16" t="s">
        <v>584</v>
      </c>
      <c r="O16" t="s">
        <v>733</v>
      </c>
    </row>
    <row r="17" spans="1:15" x14ac:dyDescent="0.2">
      <c r="A17" s="1">
        <v>15</v>
      </c>
      <c r="B17" t="s">
        <v>4</v>
      </c>
      <c r="C17" t="s">
        <v>35</v>
      </c>
      <c r="D17" t="s">
        <v>36</v>
      </c>
      <c r="E17">
        <v>5605</v>
      </c>
      <c r="F17" t="s">
        <v>574</v>
      </c>
      <c r="G17" t="s">
        <v>574</v>
      </c>
      <c r="H17" t="s">
        <v>573</v>
      </c>
      <c r="I17" t="s">
        <v>573</v>
      </c>
      <c r="J17" t="s">
        <v>573</v>
      </c>
      <c r="K17" t="s">
        <v>573</v>
      </c>
      <c r="L17" t="s">
        <v>573</v>
      </c>
      <c r="M17" t="s">
        <v>585</v>
      </c>
      <c r="N17" t="s">
        <v>585</v>
      </c>
      <c r="O17" t="s">
        <v>733</v>
      </c>
    </row>
    <row r="18" spans="1:15" x14ac:dyDescent="0.2">
      <c r="A18" s="1">
        <v>16</v>
      </c>
      <c r="B18" t="s">
        <v>4</v>
      </c>
      <c r="C18" t="s">
        <v>37</v>
      </c>
      <c r="D18" t="s">
        <v>38</v>
      </c>
      <c r="E18">
        <v>5526</v>
      </c>
      <c r="F18" t="s">
        <v>726</v>
      </c>
      <c r="G18" t="s">
        <v>574</v>
      </c>
      <c r="H18" t="s">
        <v>573</v>
      </c>
      <c r="I18" t="s">
        <v>573</v>
      </c>
      <c r="J18" t="s">
        <v>574</v>
      </c>
      <c r="K18" t="s">
        <v>573</v>
      </c>
      <c r="L18" t="s">
        <v>574</v>
      </c>
      <c r="M18" t="s">
        <v>594</v>
      </c>
      <c r="N18" t="s">
        <v>586</v>
      </c>
      <c r="O18" t="s">
        <v>734</v>
      </c>
    </row>
    <row r="19" spans="1:15" x14ac:dyDescent="0.2">
      <c r="A19" s="1">
        <v>17</v>
      </c>
      <c r="B19" t="s">
        <v>4</v>
      </c>
      <c r="C19" t="s">
        <v>39</v>
      </c>
      <c r="D19" t="s">
        <v>40</v>
      </c>
      <c r="E19">
        <v>5501</v>
      </c>
      <c r="F19" t="s">
        <v>574</v>
      </c>
      <c r="G19" t="s">
        <v>574</v>
      </c>
      <c r="H19" t="s">
        <v>574</v>
      </c>
      <c r="I19" t="s">
        <v>573</v>
      </c>
      <c r="J19" t="s">
        <v>574</v>
      </c>
      <c r="K19" t="s">
        <v>573</v>
      </c>
      <c r="L19" t="s">
        <v>574</v>
      </c>
      <c r="M19" t="s">
        <v>724</v>
      </c>
      <c r="N19" t="s">
        <v>587</v>
      </c>
      <c r="O19" t="s">
        <v>735</v>
      </c>
    </row>
    <row r="20" spans="1:15" x14ac:dyDescent="0.2">
      <c r="A20" s="1">
        <v>18</v>
      </c>
      <c r="B20" t="s">
        <v>4</v>
      </c>
      <c r="C20" t="s">
        <v>41</v>
      </c>
      <c r="D20" t="s">
        <v>42</v>
      </c>
      <c r="E20">
        <v>5490</v>
      </c>
      <c r="F20" t="s">
        <v>726</v>
      </c>
      <c r="G20" t="s">
        <v>574</v>
      </c>
      <c r="H20" t="s">
        <v>573</v>
      </c>
      <c r="I20" t="s">
        <v>573</v>
      </c>
      <c r="J20" t="s">
        <v>574</v>
      </c>
      <c r="K20" t="s">
        <v>573</v>
      </c>
      <c r="L20" t="s">
        <v>574</v>
      </c>
      <c r="M20" t="s">
        <v>726</v>
      </c>
      <c r="O20" t="s">
        <v>733</v>
      </c>
    </row>
    <row r="21" spans="1:15" ht="19" customHeight="1" x14ac:dyDescent="0.2">
      <c r="A21" s="1">
        <v>19</v>
      </c>
      <c r="B21" t="s">
        <v>4</v>
      </c>
      <c r="C21" t="s">
        <v>43</v>
      </c>
      <c r="D21" s="2" t="s">
        <v>44</v>
      </c>
      <c r="E21">
        <v>5421</v>
      </c>
      <c r="F21" t="s">
        <v>574</v>
      </c>
      <c r="G21" t="s">
        <v>574</v>
      </c>
      <c r="H21" t="s">
        <v>583</v>
      </c>
      <c r="I21" t="s">
        <v>573</v>
      </c>
      <c r="J21" t="s">
        <v>574</v>
      </c>
      <c r="K21" t="s">
        <v>573</v>
      </c>
      <c r="L21" t="s">
        <v>573</v>
      </c>
      <c r="M21" t="s">
        <v>724</v>
      </c>
      <c r="N21" t="s">
        <v>588</v>
      </c>
      <c r="O21" t="s">
        <v>735</v>
      </c>
    </row>
    <row r="22" spans="1:15" x14ac:dyDescent="0.2">
      <c r="A22" s="1">
        <v>20</v>
      </c>
      <c r="B22" t="s">
        <v>4</v>
      </c>
      <c r="C22" t="s">
        <v>45</v>
      </c>
      <c r="D22" t="s">
        <v>46</v>
      </c>
      <c r="E22">
        <v>5297</v>
      </c>
      <c r="F22" t="s">
        <v>574</v>
      </c>
      <c r="G22" t="s">
        <v>574</v>
      </c>
      <c r="H22" t="s">
        <v>573</v>
      </c>
      <c r="I22" t="s">
        <v>573</v>
      </c>
      <c r="J22" t="s">
        <v>574</v>
      </c>
      <c r="K22" t="s">
        <v>573</v>
      </c>
      <c r="L22" t="s">
        <v>573</v>
      </c>
      <c r="M22" t="s">
        <v>730</v>
      </c>
      <c r="N22" t="s">
        <v>580</v>
      </c>
      <c r="O22" t="s">
        <v>733</v>
      </c>
    </row>
    <row r="23" spans="1:15" x14ac:dyDescent="0.2">
      <c r="A23" s="1">
        <v>21</v>
      </c>
      <c r="B23" t="s">
        <v>4</v>
      </c>
      <c r="C23" t="s">
        <v>47</v>
      </c>
      <c r="D23" t="s">
        <v>48</v>
      </c>
      <c r="E23">
        <v>5272</v>
      </c>
      <c r="F23" t="s">
        <v>726</v>
      </c>
      <c r="G23" t="s">
        <v>574</v>
      </c>
      <c r="H23" t="s">
        <v>573</v>
      </c>
      <c r="I23" t="s">
        <v>573</v>
      </c>
      <c r="J23" t="s">
        <v>574</v>
      </c>
      <c r="K23" t="s">
        <v>573</v>
      </c>
      <c r="L23" t="s">
        <v>574</v>
      </c>
      <c r="M23" t="s">
        <v>726</v>
      </c>
      <c r="N23" t="s">
        <v>589</v>
      </c>
      <c r="O23" t="s">
        <v>733</v>
      </c>
    </row>
    <row r="24" spans="1:15" x14ac:dyDescent="0.2">
      <c r="A24" s="1">
        <v>22</v>
      </c>
      <c r="B24" t="s">
        <v>4</v>
      </c>
      <c r="C24" t="s">
        <v>49</v>
      </c>
      <c r="D24" t="s">
        <v>50</v>
      </c>
      <c r="E24">
        <v>5209</v>
      </c>
      <c r="F24" t="s">
        <v>726</v>
      </c>
      <c r="G24" t="s">
        <v>574</v>
      </c>
      <c r="H24" t="s">
        <v>573</v>
      </c>
      <c r="I24" t="s">
        <v>573</v>
      </c>
      <c r="J24" t="s">
        <v>574</v>
      </c>
      <c r="K24" t="s">
        <v>573</v>
      </c>
      <c r="L24" t="s">
        <v>574</v>
      </c>
      <c r="M24" t="s">
        <v>590</v>
      </c>
      <c r="N24" t="s">
        <v>591</v>
      </c>
      <c r="O24" t="s">
        <v>734</v>
      </c>
    </row>
    <row r="25" spans="1:15" x14ac:dyDescent="0.2">
      <c r="A25" s="1">
        <v>23</v>
      </c>
      <c r="B25" t="s">
        <v>4</v>
      </c>
      <c r="C25" t="s">
        <v>51</v>
      </c>
      <c r="D25" t="s">
        <v>52</v>
      </c>
      <c r="E25">
        <v>5186</v>
      </c>
      <c r="F25" t="s">
        <v>574</v>
      </c>
      <c r="G25" t="s">
        <v>600</v>
      </c>
      <c r="H25" t="s">
        <v>573</v>
      </c>
      <c r="I25" t="s">
        <v>573</v>
      </c>
      <c r="J25" t="s">
        <v>574</v>
      </c>
      <c r="K25" t="s">
        <v>573</v>
      </c>
      <c r="L25" t="s">
        <v>574</v>
      </c>
      <c r="M25" t="s">
        <v>614</v>
      </c>
      <c r="N25" t="s">
        <v>577</v>
      </c>
      <c r="O25" t="s">
        <v>736</v>
      </c>
    </row>
    <row r="26" spans="1:15" x14ac:dyDescent="0.2">
      <c r="A26" s="1">
        <v>24</v>
      </c>
      <c r="B26" t="s">
        <v>4</v>
      </c>
      <c r="C26" t="s">
        <v>53</v>
      </c>
      <c r="D26" t="s">
        <v>54</v>
      </c>
      <c r="E26">
        <v>5162</v>
      </c>
      <c r="F26" t="s">
        <v>726</v>
      </c>
      <c r="G26" t="s">
        <v>574</v>
      </c>
      <c r="H26" t="s">
        <v>573</v>
      </c>
      <c r="I26" t="s">
        <v>573</v>
      </c>
      <c r="J26" t="s">
        <v>574</v>
      </c>
      <c r="K26" t="s">
        <v>573</v>
      </c>
      <c r="L26" t="s">
        <v>573</v>
      </c>
      <c r="M26" t="s">
        <v>726</v>
      </c>
      <c r="N26" t="s">
        <v>580</v>
      </c>
      <c r="O26" t="s">
        <v>733</v>
      </c>
    </row>
    <row r="27" spans="1:15" x14ac:dyDescent="0.2">
      <c r="A27" s="6">
        <v>25</v>
      </c>
      <c r="B27" s="5" t="s">
        <v>4</v>
      </c>
      <c r="C27" s="5" t="s">
        <v>55</v>
      </c>
      <c r="D27" s="5" t="s">
        <v>56</v>
      </c>
      <c r="E27" s="5">
        <v>5140</v>
      </c>
      <c r="F27" s="5" t="s">
        <v>574</v>
      </c>
      <c r="G27" s="5" t="s">
        <v>600</v>
      </c>
      <c r="H27" s="5" t="s">
        <v>573</v>
      </c>
      <c r="I27" s="5" t="s">
        <v>573</v>
      </c>
      <c r="J27" s="5" t="s">
        <v>574</v>
      </c>
      <c r="K27" s="5" t="s">
        <v>573</v>
      </c>
      <c r="L27" s="5" t="s">
        <v>574</v>
      </c>
      <c r="M27" s="5" t="s">
        <v>614</v>
      </c>
      <c r="N27" s="5" t="s">
        <v>739</v>
      </c>
      <c r="O27" s="5" t="s">
        <v>736</v>
      </c>
    </row>
    <row r="28" spans="1:15" x14ac:dyDescent="0.2">
      <c r="A28" s="1">
        <v>26</v>
      </c>
      <c r="B28" t="s">
        <v>4</v>
      </c>
      <c r="C28" t="s">
        <v>57</v>
      </c>
      <c r="D28" t="s">
        <v>58</v>
      </c>
      <c r="E28">
        <v>5103</v>
      </c>
      <c r="F28" t="s">
        <v>574</v>
      </c>
      <c r="G28" t="s">
        <v>574</v>
      </c>
      <c r="H28" t="s">
        <v>573</v>
      </c>
      <c r="I28" t="s">
        <v>573</v>
      </c>
      <c r="J28" t="s">
        <v>574</v>
      </c>
      <c r="K28" t="s">
        <v>573</v>
      </c>
      <c r="L28" t="s">
        <v>574</v>
      </c>
      <c r="M28" t="s">
        <v>592</v>
      </c>
      <c r="N28" t="s">
        <v>592</v>
      </c>
      <c r="O28" t="s">
        <v>734</v>
      </c>
    </row>
    <row r="29" spans="1:15" x14ac:dyDescent="0.2">
      <c r="A29" s="1">
        <v>27</v>
      </c>
      <c r="B29" t="s">
        <v>4</v>
      </c>
      <c r="C29" t="s">
        <v>59</v>
      </c>
      <c r="D29" t="s">
        <v>60</v>
      </c>
      <c r="E29">
        <v>5091</v>
      </c>
      <c r="F29" t="s">
        <v>574</v>
      </c>
      <c r="G29" t="s">
        <v>574</v>
      </c>
      <c r="H29" t="s">
        <v>573</v>
      </c>
      <c r="I29" t="s">
        <v>573</v>
      </c>
      <c r="J29" t="s">
        <v>574</v>
      </c>
      <c r="K29" t="s">
        <v>573</v>
      </c>
      <c r="L29" t="s">
        <v>573</v>
      </c>
      <c r="M29" t="s">
        <v>594</v>
      </c>
      <c r="N29" t="s">
        <v>593</v>
      </c>
      <c r="O29" t="s">
        <v>733</v>
      </c>
    </row>
    <row r="30" spans="1:15" x14ac:dyDescent="0.2">
      <c r="A30" s="1">
        <v>28</v>
      </c>
      <c r="B30" t="s">
        <v>4</v>
      </c>
      <c r="C30" t="s">
        <v>61</v>
      </c>
      <c r="D30" t="s">
        <v>62</v>
      </c>
      <c r="E30">
        <v>5038</v>
      </c>
      <c r="F30" t="s">
        <v>574</v>
      </c>
      <c r="G30" t="s">
        <v>574</v>
      </c>
      <c r="H30" t="s">
        <v>573</v>
      </c>
      <c r="I30" t="s">
        <v>583</v>
      </c>
      <c r="J30" t="s">
        <v>574</v>
      </c>
      <c r="K30" t="s">
        <v>573</v>
      </c>
      <c r="L30" t="s">
        <v>574</v>
      </c>
      <c r="M30" t="s">
        <v>595</v>
      </c>
      <c r="O30" t="s">
        <v>734</v>
      </c>
    </row>
    <row r="31" spans="1:15" x14ac:dyDescent="0.2">
      <c r="A31" s="1">
        <v>29</v>
      </c>
      <c r="B31" t="s">
        <v>4</v>
      </c>
      <c r="C31" t="s">
        <v>63</v>
      </c>
      <c r="D31" t="s">
        <v>64</v>
      </c>
      <c r="E31">
        <v>4912</v>
      </c>
      <c r="F31" t="s">
        <v>574</v>
      </c>
      <c r="G31" t="s">
        <v>574</v>
      </c>
      <c r="H31" t="s">
        <v>573</v>
      </c>
      <c r="I31" t="s">
        <v>573</v>
      </c>
      <c r="J31" t="s">
        <v>574</v>
      </c>
      <c r="K31" t="s">
        <v>573</v>
      </c>
      <c r="L31" t="s">
        <v>574</v>
      </c>
      <c r="M31" t="s">
        <v>614</v>
      </c>
      <c r="N31" t="s">
        <v>596</v>
      </c>
      <c r="O31" t="s">
        <v>736</v>
      </c>
    </row>
    <row r="32" spans="1:15" x14ac:dyDescent="0.2">
      <c r="A32" s="3">
        <v>30</v>
      </c>
      <c r="B32" s="4" t="s">
        <v>4</v>
      </c>
      <c r="C32" s="4" t="s">
        <v>65</v>
      </c>
      <c r="D32" s="4" t="s">
        <v>66</v>
      </c>
      <c r="E32" s="4">
        <v>4899</v>
      </c>
      <c r="F32" s="4" t="s">
        <v>574</v>
      </c>
      <c r="G32" s="4" t="s">
        <v>601</v>
      </c>
      <c r="H32" s="4" t="s">
        <v>573</v>
      </c>
      <c r="I32" s="4" t="s">
        <v>573</v>
      </c>
      <c r="J32" s="4" t="s">
        <v>574</v>
      </c>
      <c r="K32" s="4" t="s">
        <v>574</v>
      </c>
      <c r="L32" s="4" t="s">
        <v>574</v>
      </c>
      <c r="M32" s="4" t="s">
        <v>614</v>
      </c>
      <c r="N32" s="4" t="s">
        <v>598</v>
      </c>
      <c r="O32" s="4" t="s">
        <v>736</v>
      </c>
    </row>
    <row r="33" spans="1:15" x14ac:dyDescent="0.2">
      <c r="A33" s="1">
        <v>31</v>
      </c>
      <c r="B33" t="s">
        <v>4</v>
      </c>
      <c r="C33" t="s">
        <v>67</v>
      </c>
      <c r="D33" t="s">
        <v>68</v>
      </c>
      <c r="E33">
        <v>4899</v>
      </c>
      <c r="F33" t="s">
        <v>574</v>
      </c>
      <c r="G33" t="s">
        <v>600</v>
      </c>
      <c r="H33" t="s">
        <v>574</v>
      </c>
      <c r="I33" t="s">
        <v>573</v>
      </c>
      <c r="J33" t="s">
        <v>574</v>
      </c>
      <c r="K33" t="s">
        <v>573</v>
      </c>
      <c r="L33" t="s">
        <v>573</v>
      </c>
      <c r="M33" t="s">
        <v>724</v>
      </c>
      <c r="N33" t="s">
        <v>599</v>
      </c>
      <c r="O33" t="s">
        <v>735</v>
      </c>
    </row>
    <row r="34" spans="1:15" x14ac:dyDescent="0.2">
      <c r="A34" s="1">
        <v>32</v>
      </c>
      <c r="B34" t="s">
        <v>4</v>
      </c>
      <c r="C34" t="s">
        <v>69</v>
      </c>
      <c r="D34" t="s">
        <v>70</v>
      </c>
      <c r="E34">
        <v>4893</v>
      </c>
      <c r="F34" t="s">
        <v>574</v>
      </c>
      <c r="G34" t="s">
        <v>574</v>
      </c>
      <c r="H34" t="s">
        <v>573</v>
      </c>
      <c r="I34" t="s">
        <v>583</v>
      </c>
      <c r="J34" t="s">
        <v>574</v>
      </c>
      <c r="K34" t="s">
        <v>573</v>
      </c>
      <c r="L34" t="s">
        <v>574</v>
      </c>
      <c r="M34" t="s">
        <v>602</v>
      </c>
      <c r="O34" t="s">
        <v>734</v>
      </c>
    </row>
    <row r="35" spans="1:15" x14ac:dyDescent="0.2">
      <c r="A35" s="1">
        <v>33</v>
      </c>
      <c r="B35" t="s">
        <v>4</v>
      </c>
      <c r="C35" t="s">
        <v>71</v>
      </c>
      <c r="D35" t="s">
        <v>72</v>
      </c>
      <c r="E35">
        <v>4889</v>
      </c>
      <c r="F35" t="s">
        <v>574</v>
      </c>
      <c r="G35" t="s">
        <v>574</v>
      </c>
      <c r="H35" t="s">
        <v>573</v>
      </c>
      <c r="I35" t="s">
        <v>583</v>
      </c>
      <c r="J35" t="s">
        <v>574</v>
      </c>
      <c r="K35" t="s">
        <v>573</v>
      </c>
      <c r="L35" t="s">
        <v>573</v>
      </c>
      <c r="M35" t="s">
        <v>724</v>
      </c>
      <c r="N35" t="s">
        <v>603</v>
      </c>
      <c r="O35" t="s">
        <v>735</v>
      </c>
    </row>
    <row r="36" spans="1:15" x14ac:dyDescent="0.2">
      <c r="A36" s="1">
        <v>34</v>
      </c>
      <c r="B36" t="s">
        <v>4</v>
      </c>
      <c r="C36" t="s">
        <v>73</v>
      </c>
      <c r="D36" t="s">
        <v>74</v>
      </c>
      <c r="E36">
        <v>4842</v>
      </c>
      <c r="F36" t="s">
        <v>574</v>
      </c>
      <c r="G36" t="s">
        <v>574</v>
      </c>
      <c r="H36" t="s">
        <v>583</v>
      </c>
      <c r="I36" t="s">
        <v>573</v>
      </c>
      <c r="J36" t="s">
        <v>574</v>
      </c>
      <c r="K36" t="s">
        <v>573</v>
      </c>
      <c r="L36" t="s">
        <v>573</v>
      </c>
      <c r="M36" t="s">
        <v>724</v>
      </c>
      <c r="N36" t="s">
        <v>603</v>
      </c>
      <c r="O36" t="s">
        <v>735</v>
      </c>
    </row>
    <row r="37" spans="1:15" x14ac:dyDescent="0.2">
      <c r="A37" s="1">
        <v>35</v>
      </c>
      <c r="B37" t="s">
        <v>4</v>
      </c>
      <c r="C37" t="s">
        <v>75</v>
      </c>
      <c r="D37" t="s">
        <v>76</v>
      </c>
      <c r="E37">
        <v>4836</v>
      </c>
      <c r="F37" t="s">
        <v>574</v>
      </c>
      <c r="G37" t="s">
        <v>574</v>
      </c>
      <c r="H37" t="s">
        <v>583</v>
      </c>
      <c r="I37" t="s">
        <v>573</v>
      </c>
      <c r="J37" t="s">
        <v>574</v>
      </c>
      <c r="K37" t="s">
        <v>573</v>
      </c>
      <c r="L37" t="s">
        <v>573</v>
      </c>
      <c r="M37" t="s">
        <v>724</v>
      </c>
      <c r="N37" t="s">
        <v>603</v>
      </c>
      <c r="O37" t="s">
        <v>735</v>
      </c>
    </row>
    <row r="38" spans="1:15" x14ac:dyDescent="0.2">
      <c r="A38" s="1">
        <v>36</v>
      </c>
      <c r="B38" t="s">
        <v>4</v>
      </c>
      <c r="C38" t="s">
        <v>77</v>
      </c>
      <c r="D38" t="s">
        <v>78</v>
      </c>
      <c r="E38">
        <v>4833</v>
      </c>
      <c r="F38" t="s">
        <v>574</v>
      </c>
      <c r="G38" t="s">
        <v>574</v>
      </c>
      <c r="H38" t="s">
        <v>573</v>
      </c>
      <c r="I38" t="s">
        <v>573</v>
      </c>
      <c r="J38" t="s">
        <v>574</v>
      </c>
      <c r="K38" t="s">
        <v>573</v>
      </c>
      <c r="L38" t="s">
        <v>574</v>
      </c>
      <c r="M38" t="s">
        <v>614</v>
      </c>
      <c r="O38" t="s">
        <v>736</v>
      </c>
    </row>
    <row r="39" spans="1:15" x14ac:dyDescent="0.2">
      <c r="A39" s="1">
        <v>37</v>
      </c>
      <c r="B39" t="s">
        <v>4</v>
      </c>
      <c r="C39" t="s">
        <v>79</v>
      </c>
      <c r="D39" t="s">
        <v>80</v>
      </c>
      <c r="E39">
        <v>4815</v>
      </c>
      <c r="F39" t="s">
        <v>574</v>
      </c>
      <c r="G39" t="s">
        <v>600</v>
      </c>
      <c r="H39" t="s">
        <v>573</v>
      </c>
      <c r="I39" t="s">
        <v>573</v>
      </c>
      <c r="J39" t="s">
        <v>574</v>
      </c>
      <c r="K39" t="s">
        <v>573</v>
      </c>
      <c r="L39" t="s">
        <v>574</v>
      </c>
      <c r="M39" t="s">
        <v>614</v>
      </c>
      <c r="N39" t="s">
        <v>604</v>
      </c>
      <c r="O39" t="s">
        <v>736</v>
      </c>
    </row>
    <row r="40" spans="1:15" x14ac:dyDescent="0.2">
      <c r="A40" s="1">
        <v>38</v>
      </c>
      <c r="B40" t="s">
        <v>4</v>
      </c>
      <c r="C40" t="s">
        <v>81</v>
      </c>
      <c r="D40" t="s">
        <v>82</v>
      </c>
      <c r="E40">
        <v>4815</v>
      </c>
      <c r="F40" t="s">
        <v>574</v>
      </c>
      <c r="G40" t="s">
        <v>574</v>
      </c>
      <c r="H40" t="s">
        <v>573</v>
      </c>
      <c r="I40" t="s">
        <v>583</v>
      </c>
      <c r="J40" t="s">
        <v>574</v>
      </c>
      <c r="K40" t="s">
        <v>573</v>
      </c>
      <c r="L40" t="s">
        <v>573</v>
      </c>
      <c r="M40" t="s">
        <v>725</v>
      </c>
      <c r="N40" t="s">
        <v>605</v>
      </c>
      <c r="O40" t="s">
        <v>733</v>
      </c>
    </row>
    <row r="41" spans="1:15" x14ac:dyDescent="0.2">
      <c r="A41" s="1">
        <v>39</v>
      </c>
      <c r="B41" t="s">
        <v>4</v>
      </c>
      <c r="C41" t="s">
        <v>83</v>
      </c>
      <c r="D41" t="s">
        <v>84</v>
      </c>
      <c r="E41">
        <v>4809</v>
      </c>
      <c r="F41" t="s">
        <v>574</v>
      </c>
      <c r="G41" t="s">
        <v>574</v>
      </c>
      <c r="H41" t="s">
        <v>573</v>
      </c>
      <c r="I41" t="s">
        <v>573</v>
      </c>
      <c r="J41" t="s">
        <v>574</v>
      </c>
      <c r="K41" t="s">
        <v>573</v>
      </c>
      <c r="L41" t="s">
        <v>573</v>
      </c>
      <c r="M41" t="s">
        <v>724</v>
      </c>
      <c r="N41" t="s">
        <v>606</v>
      </c>
      <c r="O41" t="s">
        <v>733</v>
      </c>
    </row>
    <row r="42" spans="1:15" x14ac:dyDescent="0.2">
      <c r="A42" s="1">
        <v>40</v>
      </c>
      <c r="B42" t="s">
        <v>4</v>
      </c>
      <c r="C42" t="s">
        <v>85</v>
      </c>
      <c r="D42" t="s">
        <v>86</v>
      </c>
      <c r="E42">
        <v>4800</v>
      </c>
      <c r="F42" t="s">
        <v>574</v>
      </c>
      <c r="G42" t="s">
        <v>574</v>
      </c>
      <c r="H42" t="s">
        <v>583</v>
      </c>
      <c r="I42" t="s">
        <v>573</v>
      </c>
      <c r="J42" t="s">
        <v>574</v>
      </c>
      <c r="K42" t="s">
        <v>573</v>
      </c>
      <c r="L42" t="s">
        <v>573</v>
      </c>
      <c r="M42" t="s">
        <v>724</v>
      </c>
      <c r="N42" t="s">
        <v>607</v>
      </c>
      <c r="O42" t="s">
        <v>735</v>
      </c>
    </row>
    <row r="43" spans="1:15" x14ac:dyDescent="0.2">
      <c r="A43" s="1">
        <v>41</v>
      </c>
      <c r="B43" t="s">
        <v>4</v>
      </c>
      <c r="C43" t="s">
        <v>87</v>
      </c>
      <c r="D43" t="s">
        <v>88</v>
      </c>
      <c r="E43">
        <v>4782</v>
      </c>
      <c r="F43" t="s">
        <v>574</v>
      </c>
      <c r="G43" t="s">
        <v>574</v>
      </c>
      <c r="H43" t="s">
        <v>573</v>
      </c>
      <c r="I43" t="s">
        <v>573</v>
      </c>
      <c r="J43" t="s">
        <v>574</v>
      </c>
      <c r="K43" t="s">
        <v>573</v>
      </c>
      <c r="L43" t="s">
        <v>574</v>
      </c>
      <c r="M43" t="s">
        <v>614</v>
      </c>
      <c r="O43" t="s">
        <v>736</v>
      </c>
    </row>
    <row r="44" spans="1:15" x14ac:dyDescent="0.2">
      <c r="A44" s="1">
        <v>42</v>
      </c>
      <c r="B44" t="s">
        <v>4</v>
      </c>
      <c r="C44" t="s">
        <v>89</v>
      </c>
      <c r="D44" t="s">
        <v>90</v>
      </c>
      <c r="E44">
        <v>4732</v>
      </c>
      <c r="F44" t="s">
        <v>574</v>
      </c>
      <c r="G44" t="s">
        <v>574</v>
      </c>
      <c r="H44" t="s">
        <v>573</v>
      </c>
      <c r="I44" t="s">
        <v>573</v>
      </c>
      <c r="J44" t="s">
        <v>574</v>
      </c>
      <c r="K44" t="s">
        <v>573</v>
      </c>
      <c r="L44" t="s">
        <v>574</v>
      </c>
      <c r="M44" t="s">
        <v>614</v>
      </c>
      <c r="O44" t="s">
        <v>736</v>
      </c>
    </row>
    <row r="45" spans="1:15" x14ac:dyDescent="0.2">
      <c r="A45" s="1">
        <v>43</v>
      </c>
      <c r="B45" t="s">
        <v>4</v>
      </c>
      <c r="C45" t="s">
        <v>91</v>
      </c>
      <c r="D45" t="s">
        <v>92</v>
      </c>
      <c r="E45">
        <v>4723</v>
      </c>
      <c r="F45" t="s">
        <v>574</v>
      </c>
      <c r="G45" t="s">
        <v>574</v>
      </c>
      <c r="H45" t="s">
        <v>583</v>
      </c>
      <c r="I45" t="s">
        <v>573</v>
      </c>
      <c r="J45" t="s">
        <v>574</v>
      </c>
      <c r="K45" t="s">
        <v>573</v>
      </c>
      <c r="L45" t="s">
        <v>573</v>
      </c>
      <c r="M45" t="s">
        <v>724</v>
      </c>
      <c r="N45" t="s">
        <v>603</v>
      </c>
      <c r="O45" t="s">
        <v>735</v>
      </c>
    </row>
    <row r="46" spans="1:15" x14ac:dyDescent="0.2">
      <c r="A46" s="1">
        <v>44</v>
      </c>
      <c r="B46" t="s">
        <v>4</v>
      </c>
      <c r="C46" t="s">
        <v>93</v>
      </c>
      <c r="D46" t="s">
        <v>94</v>
      </c>
      <c r="E46">
        <v>4719</v>
      </c>
      <c r="F46" t="s">
        <v>574</v>
      </c>
      <c r="G46" t="s">
        <v>574</v>
      </c>
      <c r="H46" t="s">
        <v>573</v>
      </c>
      <c r="I46" t="s">
        <v>583</v>
      </c>
      <c r="J46" t="s">
        <v>574</v>
      </c>
      <c r="K46" t="s">
        <v>573</v>
      </c>
      <c r="L46" t="s">
        <v>574</v>
      </c>
      <c r="M46" t="s">
        <v>727</v>
      </c>
      <c r="O46" t="s">
        <v>734</v>
      </c>
    </row>
    <row r="47" spans="1:15" x14ac:dyDescent="0.2">
      <c r="A47" s="1">
        <v>45</v>
      </c>
      <c r="B47" t="s">
        <v>4</v>
      </c>
      <c r="C47" t="s">
        <v>95</v>
      </c>
      <c r="D47" t="s">
        <v>96</v>
      </c>
      <c r="E47">
        <v>4652</v>
      </c>
      <c r="F47" t="s">
        <v>574</v>
      </c>
      <c r="G47" t="s">
        <v>574</v>
      </c>
      <c r="H47" t="s">
        <v>573</v>
      </c>
      <c r="I47" t="s">
        <v>583</v>
      </c>
      <c r="J47" t="s">
        <v>574</v>
      </c>
      <c r="K47" t="s">
        <v>573</v>
      </c>
      <c r="L47" t="s">
        <v>574</v>
      </c>
      <c r="M47" t="s">
        <v>614</v>
      </c>
      <c r="N47" t="s">
        <v>608</v>
      </c>
      <c r="O47" t="s">
        <v>736</v>
      </c>
    </row>
    <row r="48" spans="1:15" x14ac:dyDescent="0.2">
      <c r="A48" s="1">
        <v>46</v>
      </c>
      <c r="B48" t="s">
        <v>4</v>
      </c>
      <c r="C48" t="s">
        <v>97</v>
      </c>
      <c r="D48" t="s">
        <v>98</v>
      </c>
      <c r="E48">
        <v>4651</v>
      </c>
      <c r="F48" t="s">
        <v>574</v>
      </c>
      <c r="G48" t="s">
        <v>574</v>
      </c>
      <c r="H48" t="s">
        <v>573</v>
      </c>
      <c r="I48" t="s">
        <v>573</v>
      </c>
      <c r="J48" t="s">
        <v>574</v>
      </c>
      <c r="K48" t="s">
        <v>573</v>
      </c>
      <c r="L48" t="s">
        <v>574</v>
      </c>
      <c r="M48" t="s">
        <v>614</v>
      </c>
      <c r="N48" t="s">
        <v>609</v>
      </c>
      <c r="O48" t="s">
        <v>736</v>
      </c>
    </row>
    <row r="49" spans="1:15" x14ac:dyDescent="0.2">
      <c r="A49" s="1">
        <v>47</v>
      </c>
      <c r="B49" t="s">
        <v>4</v>
      </c>
      <c r="C49" t="s">
        <v>99</v>
      </c>
      <c r="D49" t="s">
        <v>100</v>
      </c>
      <c r="E49">
        <v>4628</v>
      </c>
      <c r="F49" t="s">
        <v>574</v>
      </c>
      <c r="G49" t="s">
        <v>574</v>
      </c>
      <c r="H49" t="s">
        <v>573</v>
      </c>
      <c r="I49" t="s">
        <v>573</v>
      </c>
      <c r="J49" t="s">
        <v>574</v>
      </c>
      <c r="K49" t="s">
        <v>573</v>
      </c>
      <c r="L49" t="s">
        <v>574</v>
      </c>
      <c r="M49" t="s">
        <v>614</v>
      </c>
      <c r="N49" t="s">
        <v>609</v>
      </c>
      <c r="O49" t="s">
        <v>736</v>
      </c>
    </row>
    <row r="50" spans="1:15" x14ac:dyDescent="0.2">
      <c r="A50" s="1">
        <v>48</v>
      </c>
      <c r="B50" t="s">
        <v>4</v>
      </c>
      <c r="C50" t="s">
        <v>101</v>
      </c>
      <c r="D50" t="s">
        <v>102</v>
      </c>
      <c r="E50">
        <v>4598</v>
      </c>
      <c r="F50" t="s">
        <v>574</v>
      </c>
      <c r="G50" t="s">
        <v>574</v>
      </c>
      <c r="H50" t="s">
        <v>573</v>
      </c>
      <c r="I50" t="s">
        <v>573</v>
      </c>
      <c r="J50" t="s">
        <v>574</v>
      </c>
      <c r="K50" t="s">
        <v>573</v>
      </c>
      <c r="L50" t="s">
        <v>574</v>
      </c>
      <c r="M50" t="s">
        <v>614</v>
      </c>
      <c r="N50" t="s">
        <v>609</v>
      </c>
      <c r="O50" t="s">
        <v>736</v>
      </c>
    </row>
    <row r="51" spans="1:15" x14ac:dyDescent="0.2">
      <c r="A51" s="1">
        <v>49</v>
      </c>
      <c r="B51" t="s">
        <v>4</v>
      </c>
      <c r="C51" t="s">
        <v>103</v>
      </c>
      <c r="D51" t="s">
        <v>104</v>
      </c>
      <c r="E51">
        <v>4596</v>
      </c>
      <c r="F51" t="s">
        <v>574</v>
      </c>
      <c r="G51" t="s">
        <v>574</v>
      </c>
      <c r="H51" t="s">
        <v>573</v>
      </c>
      <c r="I51" t="s">
        <v>573</v>
      </c>
      <c r="J51" t="s">
        <v>574</v>
      </c>
      <c r="K51" t="s">
        <v>573</v>
      </c>
      <c r="L51" t="s">
        <v>574</v>
      </c>
      <c r="M51" t="s">
        <v>602</v>
      </c>
      <c r="O51" t="s">
        <v>734</v>
      </c>
    </row>
    <row r="52" spans="1:15" x14ac:dyDescent="0.2">
      <c r="A52" s="1">
        <v>50</v>
      </c>
      <c r="B52" t="s">
        <v>4</v>
      </c>
      <c r="C52" t="s">
        <v>105</v>
      </c>
      <c r="D52" t="s">
        <v>106</v>
      </c>
      <c r="E52">
        <v>4594</v>
      </c>
      <c r="F52" t="s">
        <v>574</v>
      </c>
      <c r="G52" t="s">
        <v>574</v>
      </c>
      <c r="H52" t="s">
        <v>573</v>
      </c>
      <c r="I52" t="s">
        <v>583</v>
      </c>
      <c r="J52" t="s">
        <v>574</v>
      </c>
      <c r="K52" t="s">
        <v>573</v>
      </c>
      <c r="L52" t="s">
        <v>574</v>
      </c>
      <c r="M52" t="s">
        <v>610</v>
      </c>
      <c r="N52" t="s">
        <v>608</v>
      </c>
      <c r="O52" t="s">
        <v>734</v>
      </c>
    </row>
    <row r="53" spans="1:15" x14ac:dyDescent="0.2">
      <c r="A53" s="1">
        <v>51</v>
      </c>
      <c r="B53" t="s">
        <v>4</v>
      </c>
      <c r="C53" t="s">
        <v>107</v>
      </c>
      <c r="D53" t="s">
        <v>108</v>
      </c>
      <c r="E53">
        <v>4574</v>
      </c>
      <c r="F53" t="s">
        <v>574</v>
      </c>
      <c r="G53" t="s">
        <v>574</v>
      </c>
      <c r="H53" t="s">
        <v>573</v>
      </c>
      <c r="I53" t="s">
        <v>583</v>
      </c>
      <c r="J53" t="s">
        <v>574</v>
      </c>
      <c r="K53" t="s">
        <v>573</v>
      </c>
      <c r="L53" t="s">
        <v>573</v>
      </c>
      <c r="M53" t="s">
        <v>725</v>
      </c>
      <c r="N53" t="s">
        <v>612</v>
      </c>
      <c r="O53" t="s">
        <v>734</v>
      </c>
    </row>
    <row r="54" spans="1:15" x14ac:dyDescent="0.2">
      <c r="A54" s="1">
        <v>52</v>
      </c>
      <c r="B54" t="s">
        <v>4</v>
      </c>
      <c r="C54" t="s">
        <v>109</v>
      </c>
      <c r="D54" t="s">
        <v>110</v>
      </c>
      <c r="E54">
        <v>4572</v>
      </c>
      <c r="F54" t="s">
        <v>574</v>
      </c>
      <c r="G54" t="s">
        <v>574</v>
      </c>
      <c r="H54" t="s">
        <v>573</v>
      </c>
      <c r="I54" t="s">
        <v>583</v>
      </c>
      <c r="J54" t="s">
        <v>574</v>
      </c>
      <c r="K54" t="s">
        <v>573</v>
      </c>
      <c r="L54" t="s">
        <v>573</v>
      </c>
      <c r="M54" t="s">
        <v>725</v>
      </c>
      <c r="N54" t="s">
        <v>612</v>
      </c>
      <c r="O54" t="s">
        <v>734</v>
      </c>
    </row>
    <row r="55" spans="1:15" x14ac:dyDescent="0.2">
      <c r="A55" s="1">
        <v>53</v>
      </c>
      <c r="B55" t="s">
        <v>4</v>
      </c>
      <c r="C55" t="s">
        <v>111</v>
      </c>
      <c r="D55" t="s">
        <v>112</v>
      </c>
      <c r="E55">
        <v>4562</v>
      </c>
      <c r="F55" t="s">
        <v>574</v>
      </c>
      <c r="G55" t="s">
        <v>574</v>
      </c>
      <c r="H55" t="s">
        <v>573</v>
      </c>
      <c r="I55" t="s">
        <v>573</v>
      </c>
      <c r="J55" t="s">
        <v>574</v>
      </c>
      <c r="K55" t="s">
        <v>573</v>
      </c>
      <c r="L55" t="s">
        <v>573</v>
      </c>
      <c r="M55" t="s">
        <v>730</v>
      </c>
      <c r="N55" t="s">
        <v>611</v>
      </c>
      <c r="O55" t="s">
        <v>733</v>
      </c>
    </row>
    <row r="56" spans="1:15" x14ac:dyDescent="0.2">
      <c r="A56" s="1">
        <v>54</v>
      </c>
      <c r="B56" t="s">
        <v>4</v>
      </c>
      <c r="C56" t="s">
        <v>113</v>
      </c>
      <c r="D56" t="s">
        <v>114</v>
      </c>
      <c r="E56">
        <v>4545</v>
      </c>
      <c r="F56" t="s">
        <v>574</v>
      </c>
      <c r="G56" t="s">
        <v>574</v>
      </c>
      <c r="H56" t="s">
        <v>573</v>
      </c>
      <c r="I56" t="s">
        <v>573</v>
      </c>
      <c r="J56" t="s">
        <v>574</v>
      </c>
      <c r="K56" t="s">
        <v>573</v>
      </c>
      <c r="L56" t="s">
        <v>573</v>
      </c>
      <c r="M56" t="s">
        <v>730</v>
      </c>
      <c r="N56" t="s">
        <v>613</v>
      </c>
      <c r="O56" t="s">
        <v>733</v>
      </c>
    </row>
    <row r="57" spans="1:15" x14ac:dyDescent="0.2">
      <c r="A57" s="1">
        <v>55</v>
      </c>
      <c r="B57" t="s">
        <v>4</v>
      </c>
      <c r="C57" t="s">
        <v>115</v>
      </c>
      <c r="D57" t="s">
        <v>116</v>
      </c>
      <c r="E57">
        <v>4542</v>
      </c>
      <c r="F57" t="s">
        <v>574</v>
      </c>
      <c r="G57" t="s">
        <v>574</v>
      </c>
      <c r="H57" t="s">
        <v>573</v>
      </c>
      <c r="I57" t="s">
        <v>583</v>
      </c>
      <c r="J57" t="s">
        <v>574</v>
      </c>
      <c r="K57" t="s">
        <v>573</v>
      </c>
      <c r="L57" t="s">
        <v>573</v>
      </c>
      <c r="M57" t="s">
        <v>724</v>
      </c>
      <c r="N57" t="s">
        <v>603</v>
      </c>
      <c r="O57" t="s">
        <v>735</v>
      </c>
    </row>
    <row r="58" spans="1:15" x14ac:dyDescent="0.2">
      <c r="A58" s="1">
        <v>56</v>
      </c>
      <c r="B58" t="s">
        <v>4</v>
      </c>
      <c r="C58" t="s">
        <v>117</v>
      </c>
      <c r="D58" t="s">
        <v>118</v>
      </c>
      <c r="E58">
        <v>4540</v>
      </c>
      <c r="F58" t="s">
        <v>574</v>
      </c>
      <c r="G58" t="s">
        <v>574</v>
      </c>
      <c r="H58" t="s">
        <v>573</v>
      </c>
      <c r="I58" t="s">
        <v>573</v>
      </c>
      <c r="J58" t="s">
        <v>574</v>
      </c>
      <c r="K58" t="s">
        <v>573</v>
      </c>
      <c r="L58" t="s">
        <v>574</v>
      </c>
      <c r="M58" t="s">
        <v>614</v>
      </c>
      <c r="O58" t="s">
        <v>736</v>
      </c>
    </row>
    <row r="59" spans="1:15" x14ac:dyDescent="0.2">
      <c r="A59" s="1">
        <v>57</v>
      </c>
      <c r="B59" t="s">
        <v>4</v>
      </c>
      <c r="C59" t="s">
        <v>119</v>
      </c>
      <c r="D59" t="s">
        <v>120</v>
      </c>
      <c r="E59">
        <v>4530</v>
      </c>
      <c r="F59" t="s">
        <v>574</v>
      </c>
      <c r="G59" t="s">
        <v>574</v>
      </c>
      <c r="H59" t="s">
        <v>573</v>
      </c>
      <c r="I59" t="s">
        <v>573</v>
      </c>
      <c r="J59" t="s">
        <v>574</v>
      </c>
      <c r="K59" t="s">
        <v>573</v>
      </c>
      <c r="L59" t="s">
        <v>574</v>
      </c>
      <c r="M59" t="s">
        <v>614</v>
      </c>
      <c r="O59" t="s">
        <v>736</v>
      </c>
    </row>
    <row r="60" spans="1:15" x14ac:dyDescent="0.2">
      <c r="A60" s="1">
        <v>58</v>
      </c>
      <c r="B60" t="s">
        <v>4</v>
      </c>
      <c r="C60" t="s">
        <v>121</v>
      </c>
      <c r="D60" t="s">
        <v>122</v>
      </c>
      <c r="E60">
        <v>4483</v>
      </c>
      <c r="F60" t="s">
        <v>574</v>
      </c>
      <c r="G60" t="s">
        <v>574</v>
      </c>
      <c r="H60" t="s">
        <v>573</v>
      </c>
      <c r="I60" t="s">
        <v>583</v>
      </c>
      <c r="J60" t="s">
        <v>574</v>
      </c>
      <c r="K60" t="s">
        <v>573</v>
      </c>
      <c r="L60" t="s">
        <v>574</v>
      </c>
      <c r="M60" t="s">
        <v>616</v>
      </c>
      <c r="N60" t="s">
        <v>615</v>
      </c>
      <c r="O60" t="s">
        <v>736</v>
      </c>
    </row>
    <row r="61" spans="1:15" x14ac:dyDescent="0.2">
      <c r="A61" s="1">
        <v>59</v>
      </c>
      <c r="B61" t="s">
        <v>4</v>
      </c>
      <c r="C61" t="s">
        <v>123</v>
      </c>
      <c r="D61" t="s">
        <v>124</v>
      </c>
      <c r="E61">
        <v>4419</v>
      </c>
      <c r="F61" t="s">
        <v>574</v>
      </c>
      <c r="G61" t="s">
        <v>574</v>
      </c>
      <c r="H61" t="s">
        <v>573</v>
      </c>
      <c r="I61" t="s">
        <v>574</v>
      </c>
      <c r="J61" t="s">
        <v>574</v>
      </c>
      <c r="K61" t="s">
        <v>573</v>
      </c>
      <c r="L61" t="s">
        <v>573</v>
      </c>
      <c r="M61" t="s">
        <v>594</v>
      </c>
      <c r="N61" t="s">
        <v>617</v>
      </c>
      <c r="O61" t="s">
        <v>733</v>
      </c>
    </row>
    <row r="62" spans="1:15" x14ac:dyDescent="0.2">
      <c r="A62" s="1">
        <v>60</v>
      </c>
      <c r="B62" t="s">
        <v>4</v>
      </c>
      <c r="C62" t="s">
        <v>125</v>
      </c>
      <c r="D62" t="s">
        <v>126</v>
      </c>
      <c r="E62">
        <v>4392</v>
      </c>
      <c r="F62" t="s">
        <v>574</v>
      </c>
      <c r="G62" t="s">
        <v>574</v>
      </c>
      <c r="H62" t="s">
        <v>573</v>
      </c>
      <c r="I62" t="s">
        <v>573</v>
      </c>
      <c r="J62" t="s">
        <v>574</v>
      </c>
      <c r="K62" t="s">
        <v>573</v>
      </c>
      <c r="L62" t="s">
        <v>574</v>
      </c>
      <c r="M62" t="s">
        <v>614</v>
      </c>
      <c r="O62" t="s">
        <v>736</v>
      </c>
    </row>
    <row r="63" spans="1:15" x14ac:dyDescent="0.2">
      <c r="A63" s="1">
        <v>61</v>
      </c>
      <c r="B63" t="s">
        <v>4</v>
      </c>
      <c r="C63" t="s">
        <v>127</v>
      </c>
      <c r="D63" t="s">
        <v>128</v>
      </c>
      <c r="E63">
        <v>4374</v>
      </c>
      <c r="F63" t="s">
        <v>574</v>
      </c>
      <c r="G63" t="s">
        <v>600</v>
      </c>
      <c r="H63" t="s">
        <v>573</v>
      </c>
      <c r="I63" t="s">
        <v>573</v>
      </c>
      <c r="J63" t="s">
        <v>574</v>
      </c>
      <c r="K63" t="s">
        <v>573</v>
      </c>
      <c r="L63" t="s">
        <v>574</v>
      </c>
      <c r="M63" t="s">
        <v>614</v>
      </c>
      <c r="O63" t="s">
        <v>736</v>
      </c>
    </row>
    <row r="64" spans="1:15" x14ac:dyDescent="0.2">
      <c r="A64" s="1">
        <v>62</v>
      </c>
      <c r="B64" t="s">
        <v>4</v>
      </c>
      <c r="C64" t="s">
        <v>129</v>
      </c>
      <c r="D64" t="s">
        <v>130</v>
      </c>
      <c r="E64">
        <v>4364</v>
      </c>
      <c r="F64" t="s">
        <v>574</v>
      </c>
      <c r="G64" t="s">
        <v>600</v>
      </c>
      <c r="H64" t="s">
        <v>573</v>
      </c>
      <c r="I64" t="s">
        <v>573</v>
      </c>
      <c r="J64" t="s">
        <v>574</v>
      </c>
      <c r="K64" t="s">
        <v>573</v>
      </c>
      <c r="L64" t="s">
        <v>574</v>
      </c>
      <c r="M64" t="s">
        <v>594</v>
      </c>
      <c r="O64" t="s">
        <v>733</v>
      </c>
    </row>
    <row r="65" spans="1:15" x14ac:dyDescent="0.2">
      <c r="A65" s="1">
        <v>63</v>
      </c>
      <c r="B65" t="s">
        <v>4</v>
      </c>
      <c r="C65" t="s">
        <v>131</v>
      </c>
      <c r="D65" t="s">
        <v>132</v>
      </c>
      <c r="E65">
        <v>4362</v>
      </c>
      <c r="F65" t="s">
        <v>726</v>
      </c>
      <c r="G65" t="s">
        <v>574</v>
      </c>
      <c r="H65" t="s">
        <v>573</v>
      </c>
      <c r="I65" t="s">
        <v>573</v>
      </c>
      <c r="J65" t="s">
        <v>574</v>
      </c>
      <c r="K65" t="s">
        <v>573</v>
      </c>
      <c r="L65" t="s">
        <v>574</v>
      </c>
      <c r="M65" t="s">
        <v>726</v>
      </c>
      <c r="O65" t="s">
        <v>733</v>
      </c>
    </row>
    <row r="66" spans="1:15" x14ac:dyDescent="0.2">
      <c r="A66" s="1">
        <v>64</v>
      </c>
      <c r="B66" t="s">
        <v>4</v>
      </c>
      <c r="C66" t="s">
        <v>133</v>
      </c>
      <c r="D66" t="s">
        <v>134</v>
      </c>
      <c r="E66">
        <v>4323</v>
      </c>
      <c r="F66" t="s">
        <v>574</v>
      </c>
      <c r="G66" t="s">
        <v>574</v>
      </c>
      <c r="H66" t="s">
        <v>573</v>
      </c>
      <c r="I66" t="s">
        <v>573</v>
      </c>
      <c r="J66" t="s">
        <v>574</v>
      </c>
      <c r="K66" t="s">
        <v>573</v>
      </c>
      <c r="L66" t="s">
        <v>574</v>
      </c>
      <c r="M66" t="s">
        <v>618</v>
      </c>
      <c r="O66" t="s">
        <v>734</v>
      </c>
    </row>
    <row r="67" spans="1:15" x14ac:dyDescent="0.2">
      <c r="A67" s="1">
        <v>65</v>
      </c>
      <c r="B67" t="s">
        <v>4</v>
      </c>
      <c r="C67" t="s">
        <v>135</v>
      </c>
      <c r="D67" t="s">
        <v>136</v>
      </c>
      <c r="E67">
        <v>4306</v>
      </c>
      <c r="F67" t="s">
        <v>574</v>
      </c>
      <c r="G67" t="s">
        <v>574</v>
      </c>
      <c r="H67" t="s">
        <v>573</v>
      </c>
      <c r="I67" t="s">
        <v>573</v>
      </c>
      <c r="J67" t="s">
        <v>574</v>
      </c>
      <c r="K67" t="s">
        <v>573</v>
      </c>
      <c r="L67" t="s">
        <v>574</v>
      </c>
      <c r="M67" t="s">
        <v>619</v>
      </c>
      <c r="O67" t="s">
        <v>740</v>
      </c>
    </row>
    <row r="68" spans="1:15" x14ac:dyDescent="0.2">
      <c r="A68" s="1">
        <v>66</v>
      </c>
      <c r="B68" t="s">
        <v>4</v>
      </c>
      <c r="C68" t="s">
        <v>137</v>
      </c>
      <c r="D68" t="s">
        <v>138</v>
      </c>
      <c r="E68">
        <v>4295</v>
      </c>
      <c r="F68" t="s">
        <v>574</v>
      </c>
      <c r="G68" t="s">
        <v>574</v>
      </c>
      <c r="H68" t="s">
        <v>583</v>
      </c>
      <c r="I68" t="s">
        <v>573</v>
      </c>
      <c r="J68" t="s">
        <v>574</v>
      </c>
      <c r="K68" t="s">
        <v>573</v>
      </c>
      <c r="L68" t="s">
        <v>574</v>
      </c>
      <c r="M68" t="s">
        <v>724</v>
      </c>
      <c r="N68" t="s">
        <v>620</v>
      </c>
      <c r="O68" t="s">
        <v>735</v>
      </c>
    </row>
    <row r="69" spans="1:15" x14ac:dyDescent="0.2">
      <c r="A69" s="1">
        <v>67</v>
      </c>
      <c r="B69" t="s">
        <v>4</v>
      </c>
      <c r="C69" t="s">
        <v>139</v>
      </c>
      <c r="D69" t="s">
        <v>140</v>
      </c>
      <c r="E69">
        <v>4251</v>
      </c>
      <c r="F69" t="s">
        <v>574</v>
      </c>
      <c r="G69" t="s">
        <v>574</v>
      </c>
      <c r="H69" t="s">
        <v>573</v>
      </c>
      <c r="I69" t="s">
        <v>573</v>
      </c>
      <c r="J69" t="s">
        <v>574</v>
      </c>
      <c r="K69" t="s">
        <v>573</v>
      </c>
      <c r="L69" t="s">
        <v>574</v>
      </c>
      <c r="M69" t="s">
        <v>727</v>
      </c>
      <c r="O69" t="s">
        <v>734</v>
      </c>
    </row>
    <row r="70" spans="1:15" x14ac:dyDescent="0.2">
      <c r="A70" s="1">
        <v>68</v>
      </c>
      <c r="B70" t="s">
        <v>4</v>
      </c>
      <c r="C70" t="s">
        <v>141</v>
      </c>
      <c r="D70" t="s">
        <v>142</v>
      </c>
      <c r="E70">
        <v>4244</v>
      </c>
      <c r="F70" t="s">
        <v>574</v>
      </c>
      <c r="G70" t="s">
        <v>574</v>
      </c>
      <c r="H70" t="s">
        <v>573</v>
      </c>
      <c r="I70" t="s">
        <v>573</v>
      </c>
      <c r="J70" t="s">
        <v>574</v>
      </c>
      <c r="K70" t="s">
        <v>573</v>
      </c>
      <c r="L70" t="s">
        <v>573</v>
      </c>
      <c r="M70" t="s">
        <v>621</v>
      </c>
      <c r="N70" t="s">
        <v>621</v>
      </c>
      <c r="O70" t="s">
        <v>733</v>
      </c>
    </row>
    <row r="71" spans="1:15" x14ac:dyDescent="0.2">
      <c r="A71" s="1">
        <v>69</v>
      </c>
      <c r="B71" t="s">
        <v>4</v>
      </c>
      <c r="C71" t="s">
        <v>143</v>
      </c>
      <c r="D71" t="s">
        <v>144</v>
      </c>
      <c r="E71">
        <v>4231</v>
      </c>
      <c r="F71" t="s">
        <v>574</v>
      </c>
      <c r="G71" t="s">
        <v>600</v>
      </c>
      <c r="H71" t="s">
        <v>573</v>
      </c>
      <c r="I71" t="s">
        <v>574</v>
      </c>
      <c r="J71" t="s">
        <v>574</v>
      </c>
      <c r="K71" t="s">
        <v>573</v>
      </c>
      <c r="L71" t="s">
        <v>574</v>
      </c>
      <c r="M71" t="s">
        <v>721</v>
      </c>
      <c r="N71" t="s">
        <v>622</v>
      </c>
      <c r="O71" t="s">
        <v>738</v>
      </c>
    </row>
    <row r="72" spans="1:15" x14ac:dyDescent="0.2">
      <c r="A72" s="1">
        <v>70</v>
      </c>
      <c r="B72" t="s">
        <v>4</v>
      </c>
      <c r="C72" t="s">
        <v>145</v>
      </c>
      <c r="D72" t="s">
        <v>146</v>
      </c>
      <c r="E72">
        <v>4221</v>
      </c>
      <c r="F72" t="s">
        <v>574</v>
      </c>
      <c r="G72" t="s">
        <v>574</v>
      </c>
      <c r="H72" t="s">
        <v>583</v>
      </c>
      <c r="I72" t="s">
        <v>573</v>
      </c>
      <c r="J72" t="s">
        <v>574</v>
      </c>
      <c r="K72" t="s">
        <v>573</v>
      </c>
      <c r="L72" t="s">
        <v>573</v>
      </c>
      <c r="M72" t="s">
        <v>724</v>
      </c>
      <c r="N72" t="s">
        <v>603</v>
      </c>
      <c r="O72" t="s">
        <v>735</v>
      </c>
    </row>
    <row r="73" spans="1:15" x14ac:dyDescent="0.2">
      <c r="A73" s="1">
        <v>71</v>
      </c>
      <c r="B73" t="s">
        <v>4</v>
      </c>
      <c r="C73" t="s">
        <v>147</v>
      </c>
      <c r="D73" t="s">
        <v>148</v>
      </c>
      <c r="E73">
        <v>4216</v>
      </c>
      <c r="F73" t="s">
        <v>574</v>
      </c>
      <c r="G73" t="s">
        <v>574</v>
      </c>
      <c r="H73" t="s">
        <v>573</v>
      </c>
      <c r="I73" t="s">
        <v>573</v>
      </c>
      <c r="J73" t="s">
        <v>574</v>
      </c>
      <c r="K73" t="s">
        <v>573</v>
      </c>
      <c r="L73" t="s">
        <v>573</v>
      </c>
      <c r="M73" t="s">
        <v>724</v>
      </c>
      <c r="N73" t="s">
        <v>623</v>
      </c>
      <c r="O73" t="s">
        <v>735</v>
      </c>
    </row>
    <row r="74" spans="1:15" x14ac:dyDescent="0.2">
      <c r="A74" s="1">
        <v>72</v>
      </c>
      <c r="B74" t="s">
        <v>4</v>
      </c>
      <c r="C74" t="s">
        <v>149</v>
      </c>
      <c r="D74" t="s">
        <v>150</v>
      </c>
      <c r="E74">
        <v>4196</v>
      </c>
      <c r="F74" t="s">
        <v>574</v>
      </c>
      <c r="G74" t="s">
        <v>574</v>
      </c>
      <c r="H74" t="s">
        <v>573</v>
      </c>
      <c r="I74" t="s">
        <v>583</v>
      </c>
      <c r="J74" t="s">
        <v>574</v>
      </c>
      <c r="K74" t="s">
        <v>573</v>
      </c>
      <c r="L74" t="s">
        <v>574</v>
      </c>
      <c r="M74" t="s">
        <v>728</v>
      </c>
      <c r="O74" t="s">
        <v>734</v>
      </c>
    </row>
    <row r="75" spans="1:15" x14ac:dyDescent="0.2">
      <c r="A75" s="1">
        <v>73</v>
      </c>
      <c r="B75" t="s">
        <v>4</v>
      </c>
      <c r="C75" t="s">
        <v>151</v>
      </c>
      <c r="D75" t="s">
        <v>152</v>
      </c>
      <c r="E75">
        <v>4189</v>
      </c>
      <c r="F75" t="s">
        <v>574</v>
      </c>
      <c r="G75" t="s">
        <v>600</v>
      </c>
      <c r="H75" t="s">
        <v>573</v>
      </c>
      <c r="I75" t="s">
        <v>574</v>
      </c>
      <c r="J75" t="s">
        <v>574</v>
      </c>
      <c r="K75" t="s">
        <v>573</v>
      </c>
      <c r="L75" t="s">
        <v>574</v>
      </c>
      <c r="M75" t="s">
        <v>721</v>
      </c>
      <c r="N75" t="s">
        <v>622</v>
      </c>
      <c r="O75" t="s">
        <v>738</v>
      </c>
    </row>
    <row r="76" spans="1:15" x14ac:dyDescent="0.2">
      <c r="A76" s="1">
        <v>74</v>
      </c>
      <c r="B76" t="s">
        <v>4</v>
      </c>
      <c r="C76" t="s">
        <v>153</v>
      </c>
      <c r="D76" t="s">
        <v>154</v>
      </c>
      <c r="E76">
        <v>4185</v>
      </c>
      <c r="F76" t="s">
        <v>729</v>
      </c>
      <c r="G76" t="s">
        <v>574</v>
      </c>
      <c r="H76" t="s">
        <v>574</v>
      </c>
      <c r="I76" t="s">
        <v>574</v>
      </c>
      <c r="J76" t="s">
        <v>574</v>
      </c>
      <c r="K76" t="s">
        <v>573</v>
      </c>
      <c r="L76" t="s">
        <v>574</v>
      </c>
      <c r="M76" t="s">
        <v>624</v>
      </c>
      <c r="N76" t="s">
        <v>625</v>
      </c>
      <c r="O76" t="s">
        <v>733</v>
      </c>
    </row>
    <row r="77" spans="1:15" x14ac:dyDescent="0.2">
      <c r="A77" s="1">
        <v>75</v>
      </c>
      <c r="B77" t="s">
        <v>4</v>
      </c>
      <c r="C77" t="s">
        <v>155</v>
      </c>
      <c r="D77" t="s">
        <v>156</v>
      </c>
      <c r="E77">
        <v>4184</v>
      </c>
      <c r="F77" t="s">
        <v>574</v>
      </c>
      <c r="G77" t="s">
        <v>600</v>
      </c>
      <c r="H77" t="s">
        <v>573</v>
      </c>
      <c r="I77" t="s">
        <v>583</v>
      </c>
      <c r="J77" t="s">
        <v>574</v>
      </c>
      <c r="K77" t="s">
        <v>573</v>
      </c>
      <c r="L77" t="s">
        <v>573</v>
      </c>
      <c r="M77" t="s">
        <v>594</v>
      </c>
      <c r="N77" t="s">
        <v>626</v>
      </c>
      <c r="O77" t="s">
        <v>733</v>
      </c>
    </row>
    <row r="78" spans="1:15" x14ac:dyDescent="0.2">
      <c r="A78" s="1">
        <v>76</v>
      </c>
      <c r="B78" t="s">
        <v>4</v>
      </c>
      <c r="C78" t="s">
        <v>157</v>
      </c>
      <c r="D78" t="s">
        <v>158</v>
      </c>
      <c r="E78">
        <v>4170</v>
      </c>
      <c r="F78" t="s">
        <v>574</v>
      </c>
      <c r="G78" t="s">
        <v>574</v>
      </c>
      <c r="H78" t="s">
        <v>574</v>
      </c>
      <c r="I78" t="s">
        <v>573</v>
      </c>
      <c r="J78" t="s">
        <v>574</v>
      </c>
      <c r="K78" t="s">
        <v>573</v>
      </c>
      <c r="L78" t="s">
        <v>574</v>
      </c>
      <c r="M78" t="s">
        <v>724</v>
      </c>
      <c r="N78" t="s">
        <v>627</v>
      </c>
      <c r="O78" t="s">
        <v>735</v>
      </c>
    </row>
    <row r="79" spans="1:15" x14ac:dyDescent="0.2">
      <c r="A79" s="1">
        <v>77</v>
      </c>
      <c r="B79" t="s">
        <v>4</v>
      </c>
      <c r="C79" t="s">
        <v>159</v>
      </c>
      <c r="D79" t="s">
        <v>160</v>
      </c>
      <c r="E79">
        <v>4167</v>
      </c>
      <c r="F79" t="s">
        <v>574</v>
      </c>
      <c r="G79" t="s">
        <v>574</v>
      </c>
      <c r="H79" t="s">
        <v>573</v>
      </c>
      <c r="I79" t="s">
        <v>573</v>
      </c>
      <c r="J79" t="s">
        <v>574</v>
      </c>
      <c r="K79" t="s">
        <v>573</v>
      </c>
      <c r="L79" t="s">
        <v>574</v>
      </c>
      <c r="M79" t="s">
        <v>727</v>
      </c>
      <c r="O79" t="s">
        <v>734</v>
      </c>
    </row>
    <row r="80" spans="1:15" x14ac:dyDescent="0.2">
      <c r="A80" s="1">
        <v>78</v>
      </c>
      <c r="B80" t="s">
        <v>4</v>
      </c>
      <c r="C80" t="s">
        <v>161</v>
      </c>
      <c r="D80" t="s">
        <v>162</v>
      </c>
      <c r="E80">
        <v>4162</v>
      </c>
      <c r="F80" t="s">
        <v>726</v>
      </c>
      <c r="G80" t="s">
        <v>600</v>
      </c>
      <c r="H80" t="s">
        <v>573</v>
      </c>
      <c r="I80" t="s">
        <v>573</v>
      </c>
      <c r="J80" t="s">
        <v>574</v>
      </c>
      <c r="K80" t="s">
        <v>573</v>
      </c>
      <c r="L80" t="s">
        <v>574</v>
      </c>
      <c r="M80" t="s">
        <v>726</v>
      </c>
      <c r="O80" t="s">
        <v>733</v>
      </c>
    </row>
    <row r="81" spans="1:15" x14ac:dyDescent="0.2">
      <c r="A81" s="1">
        <v>79</v>
      </c>
      <c r="B81" t="s">
        <v>4</v>
      </c>
      <c r="C81" t="s">
        <v>163</v>
      </c>
      <c r="D81" t="s">
        <v>164</v>
      </c>
      <c r="E81">
        <v>4160</v>
      </c>
      <c r="F81" t="s">
        <v>574</v>
      </c>
      <c r="G81" t="s">
        <v>574</v>
      </c>
      <c r="H81" t="s">
        <v>573</v>
      </c>
      <c r="I81" t="s">
        <v>573</v>
      </c>
      <c r="J81" t="s">
        <v>574</v>
      </c>
      <c r="K81" t="s">
        <v>573</v>
      </c>
      <c r="L81" t="s">
        <v>574</v>
      </c>
      <c r="M81" t="s">
        <v>614</v>
      </c>
      <c r="O81" t="s">
        <v>736</v>
      </c>
    </row>
    <row r="82" spans="1:15" x14ac:dyDescent="0.2">
      <c r="A82" s="1">
        <v>80</v>
      </c>
      <c r="B82" t="s">
        <v>4</v>
      </c>
      <c r="C82" t="s">
        <v>165</v>
      </c>
      <c r="D82" t="s">
        <v>166</v>
      </c>
      <c r="E82">
        <v>4148</v>
      </c>
      <c r="F82" t="s">
        <v>574</v>
      </c>
      <c r="G82" t="s">
        <v>574</v>
      </c>
      <c r="H82" t="s">
        <v>573</v>
      </c>
      <c r="I82" t="s">
        <v>573</v>
      </c>
      <c r="J82" t="s">
        <v>574</v>
      </c>
      <c r="K82" t="s">
        <v>573</v>
      </c>
      <c r="L82" t="s">
        <v>574</v>
      </c>
      <c r="M82" t="s">
        <v>614</v>
      </c>
      <c r="O82" t="s">
        <v>736</v>
      </c>
    </row>
    <row r="83" spans="1:15" x14ac:dyDescent="0.2">
      <c r="A83" s="1">
        <v>81</v>
      </c>
      <c r="B83" t="s">
        <v>4</v>
      </c>
      <c r="C83" t="s">
        <v>167</v>
      </c>
      <c r="D83" t="s">
        <v>168</v>
      </c>
      <c r="E83">
        <v>4147</v>
      </c>
      <c r="F83" t="s">
        <v>574</v>
      </c>
      <c r="G83" t="s">
        <v>600</v>
      </c>
      <c r="H83" t="s">
        <v>573</v>
      </c>
      <c r="I83" t="s">
        <v>573</v>
      </c>
      <c r="J83" t="s">
        <v>574</v>
      </c>
      <c r="K83" t="s">
        <v>573</v>
      </c>
      <c r="L83" t="s">
        <v>574</v>
      </c>
      <c r="M83" t="s">
        <v>614</v>
      </c>
      <c r="O83" t="s">
        <v>736</v>
      </c>
    </row>
    <row r="84" spans="1:15" x14ac:dyDescent="0.2">
      <c r="A84" s="1">
        <v>82</v>
      </c>
      <c r="B84" t="s">
        <v>4</v>
      </c>
      <c r="C84" t="s">
        <v>169</v>
      </c>
      <c r="D84" t="s">
        <v>170</v>
      </c>
      <c r="E84">
        <v>4117</v>
      </c>
      <c r="F84" t="s">
        <v>574</v>
      </c>
      <c r="G84" t="s">
        <v>574</v>
      </c>
      <c r="H84" t="s">
        <v>573</v>
      </c>
      <c r="I84" t="s">
        <v>573</v>
      </c>
      <c r="J84" t="s">
        <v>574</v>
      </c>
      <c r="K84" t="s">
        <v>573</v>
      </c>
      <c r="L84" t="s">
        <v>574</v>
      </c>
      <c r="M84" t="s">
        <v>619</v>
      </c>
      <c r="O84" t="s">
        <v>740</v>
      </c>
    </row>
    <row r="85" spans="1:15" x14ac:dyDescent="0.2">
      <c r="A85" s="1">
        <v>83</v>
      </c>
      <c r="B85" t="s">
        <v>4</v>
      </c>
      <c r="C85" t="s">
        <v>171</v>
      </c>
      <c r="D85" t="s">
        <v>172</v>
      </c>
      <c r="E85">
        <v>4112</v>
      </c>
      <c r="F85" t="s">
        <v>574</v>
      </c>
      <c r="G85" t="s">
        <v>574</v>
      </c>
      <c r="H85" t="s">
        <v>573</v>
      </c>
      <c r="I85" t="s">
        <v>583</v>
      </c>
      <c r="J85" t="s">
        <v>574</v>
      </c>
      <c r="K85" t="s">
        <v>573</v>
      </c>
      <c r="L85" t="s">
        <v>574</v>
      </c>
      <c r="M85" t="s">
        <v>727</v>
      </c>
      <c r="O85" t="s">
        <v>734</v>
      </c>
    </row>
    <row r="86" spans="1:15" x14ac:dyDescent="0.2">
      <c r="A86" s="1">
        <v>84</v>
      </c>
      <c r="B86" t="s">
        <v>4</v>
      </c>
      <c r="C86" t="s">
        <v>173</v>
      </c>
      <c r="D86" t="s">
        <v>174</v>
      </c>
      <c r="E86">
        <v>4100</v>
      </c>
      <c r="F86" t="s">
        <v>726</v>
      </c>
      <c r="G86" t="s">
        <v>574</v>
      </c>
      <c r="H86" t="s">
        <v>573</v>
      </c>
      <c r="I86" t="s">
        <v>573</v>
      </c>
      <c r="J86" t="s">
        <v>574</v>
      </c>
      <c r="K86" t="s">
        <v>573</v>
      </c>
      <c r="L86" t="s">
        <v>573</v>
      </c>
      <c r="M86" t="s">
        <v>628</v>
      </c>
      <c r="N86" t="s">
        <v>628</v>
      </c>
      <c r="O86" t="s">
        <v>733</v>
      </c>
    </row>
    <row r="87" spans="1:15" x14ac:dyDescent="0.2">
      <c r="A87" s="1">
        <v>85</v>
      </c>
      <c r="B87" t="s">
        <v>4</v>
      </c>
      <c r="C87" t="s">
        <v>175</v>
      </c>
      <c r="D87" t="s">
        <v>176</v>
      </c>
      <c r="E87">
        <v>4099</v>
      </c>
      <c r="F87" t="s">
        <v>574</v>
      </c>
      <c r="G87" t="s">
        <v>574</v>
      </c>
      <c r="H87" t="s">
        <v>574</v>
      </c>
      <c r="I87" t="s">
        <v>574</v>
      </c>
      <c r="J87" t="s">
        <v>574</v>
      </c>
      <c r="K87" t="s">
        <v>573</v>
      </c>
      <c r="L87" t="s">
        <v>574</v>
      </c>
      <c r="M87" t="s">
        <v>721</v>
      </c>
      <c r="N87" t="s">
        <v>629</v>
      </c>
      <c r="O87" t="s">
        <v>738</v>
      </c>
    </row>
    <row r="88" spans="1:15" x14ac:dyDescent="0.2">
      <c r="A88" s="1">
        <v>86</v>
      </c>
      <c r="B88" t="s">
        <v>4</v>
      </c>
      <c r="C88" t="s">
        <v>177</v>
      </c>
      <c r="D88" t="s">
        <v>178</v>
      </c>
      <c r="E88">
        <v>4077</v>
      </c>
      <c r="F88" t="s">
        <v>574</v>
      </c>
      <c r="G88" t="s">
        <v>574</v>
      </c>
      <c r="H88" t="s">
        <v>573</v>
      </c>
      <c r="I88" t="s">
        <v>573</v>
      </c>
      <c r="J88" t="s">
        <v>574</v>
      </c>
      <c r="K88" t="s">
        <v>573</v>
      </c>
      <c r="L88" t="s">
        <v>574</v>
      </c>
      <c r="M88" t="s">
        <v>614</v>
      </c>
      <c r="O88" t="s">
        <v>736</v>
      </c>
    </row>
    <row r="89" spans="1:15" x14ac:dyDescent="0.2">
      <c r="A89" s="1">
        <v>87</v>
      </c>
      <c r="B89" t="s">
        <v>4</v>
      </c>
      <c r="C89" t="s">
        <v>179</v>
      </c>
      <c r="D89" t="s">
        <v>180</v>
      </c>
      <c r="E89">
        <v>4075</v>
      </c>
      <c r="F89" t="s">
        <v>574</v>
      </c>
      <c r="G89" t="s">
        <v>601</v>
      </c>
      <c r="H89" t="s">
        <v>573</v>
      </c>
      <c r="I89" t="s">
        <v>573</v>
      </c>
      <c r="J89" t="s">
        <v>574</v>
      </c>
      <c r="K89" t="s">
        <v>574</v>
      </c>
      <c r="L89" t="s">
        <v>574</v>
      </c>
      <c r="M89" t="s">
        <v>614</v>
      </c>
      <c r="N89" t="s">
        <v>630</v>
      </c>
      <c r="O89" t="s">
        <v>736</v>
      </c>
    </row>
    <row r="90" spans="1:15" x14ac:dyDescent="0.2">
      <c r="A90" s="1">
        <v>88</v>
      </c>
      <c r="B90" t="s">
        <v>4</v>
      </c>
      <c r="C90" t="s">
        <v>181</v>
      </c>
      <c r="D90" t="s">
        <v>182</v>
      </c>
      <c r="E90">
        <v>4069</v>
      </c>
      <c r="F90" t="s">
        <v>574</v>
      </c>
      <c r="G90" t="s">
        <v>574</v>
      </c>
      <c r="H90" t="s">
        <v>583</v>
      </c>
      <c r="I90" t="s">
        <v>574</v>
      </c>
      <c r="J90" t="s">
        <v>574</v>
      </c>
      <c r="K90" t="s">
        <v>573</v>
      </c>
      <c r="L90" t="s">
        <v>574</v>
      </c>
      <c r="M90" t="s">
        <v>721</v>
      </c>
      <c r="N90" t="s">
        <v>631</v>
      </c>
      <c r="O90" t="s">
        <v>738</v>
      </c>
    </row>
    <row r="91" spans="1:15" x14ac:dyDescent="0.2">
      <c r="A91" s="1">
        <v>89</v>
      </c>
      <c r="B91" t="s">
        <v>4</v>
      </c>
      <c r="C91" t="s">
        <v>183</v>
      </c>
      <c r="D91" t="s">
        <v>184</v>
      </c>
      <c r="E91">
        <v>4053</v>
      </c>
      <c r="F91" t="s">
        <v>574</v>
      </c>
      <c r="G91" t="s">
        <v>574</v>
      </c>
      <c r="H91" t="s">
        <v>573</v>
      </c>
      <c r="I91" t="s">
        <v>573</v>
      </c>
      <c r="J91" t="s">
        <v>574</v>
      </c>
      <c r="K91" t="s">
        <v>573</v>
      </c>
      <c r="L91" t="s">
        <v>574</v>
      </c>
      <c r="M91" t="s">
        <v>602</v>
      </c>
      <c r="O91" t="s">
        <v>734</v>
      </c>
    </row>
    <row r="92" spans="1:15" x14ac:dyDescent="0.2">
      <c r="A92" s="1">
        <v>90</v>
      </c>
      <c r="B92" t="s">
        <v>4</v>
      </c>
      <c r="C92" t="s">
        <v>185</v>
      </c>
      <c r="D92" t="s">
        <v>186</v>
      </c>
      <c r="E92">
        <v>4045</v>
      </c>
      <c r="F92" t="s">
        <v>726</v>
      </c>
      <c r="G92" t="s">
        <v>600</v>
      </c>
      <c r="H92" t="s">
        <v>573</v>
      </c>
      <c r="I92" t="s">
        <v>573</v>
      </c>
      <c r="J92" t="s">
        <v>574</v>
      </c>
      <c r="K92" t="s">
        <v>573</v>
      </c>
      <c r="L92" t="s">
        <v>573</v>
      </c>
      <c r="M92" t="s">
        <v>628</v>
      </c>
      <c r="N92" t="s">
        <v>628</v>
      </c>
      <c r="O92" t="s">
        <v>733</v>
      </c>
    </row>
    <row r="93" spans="1:15" x14ac:dyDescent="0.2">
      <c r="A93" s="1">
        <v>91</v>
      </c>
      <c r="B93" t="s">
        <v>4</v>
      </c>
      <c r="C93" t="s">
        <v>187</v>
      </c>
      <c r="D93" t="s">
        <v>188</v>
      </c>
      <c r="E93">
        <v>4034</v>
      </c>
      <c r="F93" t="s">
        <v>574</v>
      </c>
      <c r="G93" t="s">
        <v>574</v>
      </c>
      <c r="H93" t="s">
        <v>573</v>
      </c>
      <c r="I93" t="s">
        <v>573</v>
      </c>
      <c r="J93" t="s">
        <v>574</v>
      </c>
      <c r="K93" t="s">
        <v>573</v>
      </c>
      <c r="L93" t="s">
        <v>573</v>
      </c>
      <c r="M93" t="s">
        <v>628</v>
      </c>
      <c r="N93" t="s">
        <v>628</v>
      </c>
      <c r="O93" t="s">
        <v>733</v>
      </c>
    </row>
    <row r="94" spans="1:15" x14ac:dyDescent="0.2">
      <c r="A94" s="1">
        <v>92</v>
      </c>
      <c r="B94" t="s">
        <v>4</v>
      </c>
      <c r="C94" t="s">
        <v>189</v>
      </c>
      <c r="D94" t="s">
        <v>190</v>
      </c>
      <c r="E94">
        <v>4033</v>
      </c>
      <c r="F94" t="s">
        <v>574</v>
      </c>
      <c r="G94" t="s">
        <v>600</v>
      </c>
      <c r="H94" t="s">
        <v>573</v>
      </c>
      <c r="I94" t="s">
        <v>573</v>
      </c>
      <c r="J94" t="s">
        <v>574</v>
      </c>
      <c r="K94" t="s">
        <v>573</v>
      </c>
      <c r="L94" t="s">
        <v>574</v>
      </c>
      <c r="M94" t="s">
        <v>614</v>
      </c>
      <c r="O94" t="s">
        <v>736</v>
      </c>
    </row>
    <row r="95" spans="1:15" x14ac:dyDescent="0.2">
      <c r="A95" s="1">
        <v>93</v>
      </c>
      <c r="B95" t="s">
        <v>4</v>
      </c>
      <c r="C95" t="s">
        <v>191</v>
      </c>
      <c r="D95" t="s">
        <v>192</v>
      </c>
      <c r="E95">
        <v>4024</v>
      </c>
      <c r="F95" t="s">
        <v>574</v>
      </c>
      <c r="G95" t="s">
        <v>574</v>
      </c>
      <c r="H95" t="s">
        <v>573</v>
      </c>
      <c r="I95" t="s">
        <v>573</v>
      </c>
      <c r="J95" t="s">
        <v>574</v>
      </c>
      <c r="K95" t="s">
        <v>573</v>
      </c>
      <c r="L95" t="s">
        <v>574</v>
      </c>
      <c r="M95" t="s">
        <v>614</v>
      </c>
      <c r="O95" t="s">
        <v>736</v>
      </c>
    </row>
    <row r="96" spans="1:15" x14ac:dyDescent="0.2">
      <c r="A96" s="1">
        <v>94</v>
      </c>
      <c r="B96" t="s">
        <v>4</v>
      </c>
      <c r="C96" t="s">
        <v>193</v>
      </c>
      <c r="D96" t="s">
        <v>194</v>
      </c>
      <c r="E96">
        <v>4015</v>
      </c>
      <c r="F96" t="s">
        <v>574</v>
      </c>
      <c r="G96" t="s">
        <v>574</v>
      </c>
      <c r="H96" t="s">
        <v>573</v>
      </c>
      <c r="I96" t="s">
        <v>573</v>
      </c>
      <c r="J96" t="s">
        <v>574</v>
      </c>
      <c r="K96" t="s">
        <v>573</v>
      </c>
      <c r="L96" t="s">
        <v>574</v>
      </c>
      <c r="M96" t="s">
        <v>614</v>
      </c>
      <c r="O96" t="s">
        <v>736</v>
      </c>
    </row>
    <row r="97" spans="1:15" x14ac:dyDescent="0.2">
      <c r="A97" s="1">
        <v>95</v>
      </c>
      <c r="B97" t="s">
        <v>4</v>
      </c>
      <c r="C97" t="s">
        <v>195</v>
      </c>
      <c r="D97" t="s">
        <v>196</v>
      </c>
      <c r="E97">
        <v>3991</v>
      </c>
      <c r="F97" t="s">
        <v>574</v>
      </c>
      <c r="G97" t="s">
        <v>574</v>
      </c>
      <c r="H97" t="s">
        <v>573</v>
      </c>
      <c r="I97" t="s">
        <v>573</v>
      </c>
      <c r="J97" t="s">
        <v>574</v>
      </c>
      <c r="K97" t="s">
        <v>573</v>
      </c>
      <c r="L97" t="s">
        <v>573</v>
      </c>
      <c r="M97" t="s">
        <v>602</v>
      </c>
      <c r="N97" t="s">
        <v>628</v>
      </c>
      <c r="O97" t="s">
        <v>733</v>
      </c>
    </row>
    <row r="98" spans="1:15" x14ac:dyDescent="0.2">
      <c r="A98" s="1">
        <v>96</v>
      </c>
      <c r="B98" t="s">
        <v>4</v>
      </c>
      <c r="C98" t="s">
        <v>197</v>
      </c>
      <c r="D98" t="s">
        <v>198</v>
      </c>
      <c r="E98">
        <v>3980</v>
      </c>
      <c r="F98" t="s">
        <v>574</v>
      </c>
      <c r="G98" t="s">
        <v>574</v>
      </c>
      <c r="H98" t="s">
        <v>573</v>
      </c>
      <c r="I98" t="s">
        <v>583</v>
      </c>
      <c r="J98" t="s">
        <v>574</v>
      </c>
      <c r="K98" t="s">
        <v>573</v>
      </c>
      <c r="L98" t="s">
        <v>574</v>
      </c>
      <c r="M98" t="s">
        <v>724</v>
      </c>
      <c r="N98" t="s">
        <v>632</v>
      </c>
      <c r="O98" t="s">
        <v>735</v>
      </c>
    </row>
    <row r="99" spans="1:15" x14ac:dyDescent="0.2">
      <c r="A99" s="1">
        <v>97</v>
      </c>
      <c r="B99" t="s">
        <v>4</v>
      </c>
      <c r="C99" t="s">
        <v>199</v>
      </c>
      <c r="D99" t="s">
        <v>200</v>
      </c>
      <c r="E99">
        <v>3977</v>
      </c>
      <c r="F99" t="s">
        <v>574</v>
      </c>
      <c r="G99" t="s">
        <v>574</v>
      </c>
      <c r="H99" t="s">
        <v>573</v>
      </c>
      <c r="I99" t="s">
        <v>573</v>
      </c>
      <c r="J99" t="s">
        <v>574</v>
      </c>
      <c r="K99" t="s">
        <v>573</v>
      </c>
      <c r="L99" t="s">
        <v>574</v>
      </c>
      <c r="M99" t="s">
        <v>614</v>
      </c>
      <c r="O99" t="s">
        <v>736</v>
      </c>
    </row>
    <row r="100" spans="1:15" x14ac:dyDescent="0.2">
      <c r="A100" s="1">
        <v>98</v>
      </c>
      <c r="B100" t="s">
        <v>4</v>
      </c>
      <c r="C100" t="s">
        <v>201</v>
      </c>
      <c r="D100" t="s">
        <v>202</v>
      </c>
      <c r="E100">
        <v>3974</v>
      </c>
      <c r="F100" t="s">
        <v>574</v>
      </c>
      <c r="G100" t="s">
        <v>574</v>
      </c>
      <c r="H100" t="s">
        <v>573</v>
      </c>
      <c r="I100" t="s">
        <v>573</v>
      </c>
      <c r="J100" t="s">
        <v>574</v>
      </c>
      <c r="K100" t="s">
        <v>573</v>
      </c>
      <c r="L100" t="s">
        <v>574</v>
      </c>
      <c r="M100" t="s">
        <v>614</v>
      </c>
      <c r="O100" t="s">
        <v>736</v>
      </c>
    </row>
    <row r="101" spans="1:15" x14ac:dyDescent="0.2">
      <c r="A101" s="1">
        <v>99</v>
      </c>
      <c r="B101" t="s">
        <v>4</v>
      </c>
      <c r="C101" t="s">
        <v>203</v>
      </c>
      <c r="D101" t="s">
        <v>204</v>
      </c>
      <c r="E101">
        <v>3957</v>
      </c>
      <c r="F101" t="s">
        <v>574</v>
      </c>
      <c r="G101" t="s">
        <v>574</v>
      </c>
      <c r="H101" t="s">
        <v>583</v>
      </c>
      <c r="I101" t="s">
        <v>583</v>
      </c>
      <c r="J101" t="s">
        <v>574</v>
      </c>
      <c r="K101" t="s">
        <v>573</v>
      </c>
      <c r="L101" t="s">
        <v>574</v>
      </c>
      <c r="M101" t="s">
        <v>724</v>
      </c>
      <c r="N101" t="s">
        <v>633</v>
      </c>
      <c r="O101" t="s">
        <v>735</v>
      </c>
    </row>
    <row r="102" spans="1:15" x14ac:dyDescent="0.2">
      <c r="A102" s="1">
        <v>100</v>
      </c>
      <c r="B102" t="s">
        <v>4</v>
      </c>
      <c r="C102" t="s">
        <v>205</v>
      </c>
      <c r="D102" t="s">
        <v>206</v>
      </c>
      <c r="E102">
        <v>9</v>
      </c>
      <c r="F102" t="s">
        <v>574</v>
      </c>
      <c r="G102" t="s">
        <v>600</v>
      </c>
      <c r="H102" t="s">
        <v>574</v>
      </c>
      <c r="I102" t="s">
        <v>583</v>
      </c>
      <c r="J102" t="s">
        <v>574</v>
      </c>
      <c r="K102" t="s">
        <v>573</v>
      </c>
      <c r="L102" t="s">
        <v>574</v>
      </c>
      <c r="M102" t="s">
        <v>692</v>
      </c>
      <c r="N102" t="s">
        <v>634</v>
      </c>
      <c r="O102" t="s">
        <v>742</v>
      </c>
    </row>
    <row r="103" spans="1:15" x14ac:dyDescent="0.2">
      <c r="A103" s="1">
        <v>101</v>
      </c>
      <c r="B103" t="s">
        <v>4</v>
      </c>
      <c r="C103" t="s">
        <v>207</v>
      </c>
      <c r="D103" t="s">
        <v>206</v>
      </c>
      <c r="E103">
        <v>9</v>
      </c>
      <c r="F103" t="s">
        <v>574</v>
      </c>
      <c r="G103" t="s">
        <v>574</v>
      </c>
      <c r="H103" t="s">
        <v>573</v>
      </c>
      <c r="I103" t="s">
        <v>583</v>
      </c>
      <c r="J103" t="s">
        <v>574</v>
      </c>
      <c r="K103" t="s">
        <v>573</v>
      </c>
      <c r="L103" t="s">
        <v>574</v>
      </c>
      <c r="M103" t="s">
        <v>692</v>
      </c>
      <c r="N103" t="s">
        <v>635</v>
      </c>
      <c r="O103" t="s">
        <v>742</v>
      </c>
    </row>
    <row r="104" spans="1:15" x14ac:dyDescent="0.2">
      <c r="A104" s="1">
        <v>102</v>
      </c>
      <c r="B104" t="s">
        <v>4</v>
      </c>
      <c r="C104" t="s">
        <v>208</v>
      </c>
      <c r="D104" t="s">
        <v>206</v>
      </c>
      <c r="E104">
        <v>9</v>
      </c>
      <c r="F104" t="s">
        <v>574</v>
      </c>
      <c r="G104" t="s">
        <v>574</v>
      </c>
      <c r="H104" t="s">
        <v>573</v>
      </c>
      <c r="I104" t="s">
        <v>583</v>
      </c>
      <c r="J104" t="s">
        <v>574</v>
      </c>
      <c r="K104" t="s">
        <v>573</v>
      </c>
      <c r="L104" t="s">
        <v>574</v>
      </c>
      <c r="M104" t="s">
        <v>618</v>
      </c>
      <c r="O104" t="s">
        <v>742</v>
      </c>
    </row>
    <row r="105" spans="1:15" x14ac:dyDescent="0.2">
      <c r="A105" s="1">
        <v>103</v>
      </c>
      <c r="B105" t="s">
        <v>4</v>
      </c>
      <c r="C105" t="s">
        <v>209</v>
      </c>
      <c r="D105" t="s">
        <v>206</v>
      </c>
      <c r="E105">
        <v>9</v>
      </c>
      <c r="F105" t="s">
        <v>574</v>
      </c>
      <c r="G105" t="s">
        <v>600</v>
      </c>
      <c r="H105" t="s">
        <v>573</v>
      </c>
      <c r="I105" t="s">
        <v>583</v>
      </c>
      <c r="J105" t="s">
        <v>574</v>
      </c>
      <c r="K105" t="s">
        <v>573</v>
      </c>
      <c r="L105" t="s">
        <v>574</v>
      </c>
      <c r="M105" t="s">
        <v>618</v>
      </c>
      <c r="O105" t="s">
        <v>742</v>
      </c>
    </row>
    <row r="106" spans="1:15" x14ac:dyDescent="0.2">
      <c r="A106" s="1">
        <v>104</v>
      </c>
      <c r="B106" t="s">
        <v>4</v>
      </c>
      <c r="C106" t="s">
        <v>210</v>
      </c>
      <c r="D106" t="s">
        <v>206</v>
      </c>
      <c r="E106">
        <v>9</v>
      </c>
      <c r="F106" t="s">
        <v>574</v>
      </c>
      <c r="G106" t="s">
        <v>574</v>
      </c>
      <c r="H106" t="s">
        <v>573</v>
      </c>
      <c r="I106" t="s">
        <v>573</v>
      </c>
      <c r="J106" t="s">
        <v>574</v>
      </c>
      <c r="K106" t="s">
        <v>573</v>
      </c>
      <c r="L106" t="s">
        <v>574</v>
      </c>
      <c r="M106" t="s">
        <v>680</v>
      </c>
      <c r="N106" t="s">
        <v>636</v>
      </c>
      <c r="O106" t="s">
        <v>742</v>
      </c>
    </row>
    <row r="107" spans="1:15" x14ac:dyDescent="0.2">
      <c r="A107" s="1">
        <v>105</v>
      </c>
      <c r="B107" t="s">
        <v>4</v>
      </c>
      <c r="C107" t="s">
        <v>211</v>
      </c>
      <c r="D107" t="s">
        <v>206</v>
      </c>
      <c r="E107">
        <v>9</v>
      </c>
      <c r="F107" t="s">
        <v>574</v>
      </c>
      <c r="G107" t="s">
        <v>574</v>
      </c>
      <c r="H107" t="s">
        <v>573</v>
      </c>
      <c r="I107" t="s">
        <v>573</v>
      </c>
      <c r="J107" t="s">
        <v>574</v>
      </c>
      <c r="K107" t="s">
        <v>573</v>
      </c>
      <c r="L107" t="s">
        <v>574</v>
      </c>
      <c r="M107" t="s">
        <v>680</v>
      </c>
      <c r="N107" t="s">
        <v>695</v>
      </c>
      <c r="O107" t="s">
        <v>742</v>
      </c>
    </row>
    <row r="108" spans="1:15" x14ac:dyDescent="0.2">
      <c r="A108" s="1">
        <v>106</v>
      </c>
      <c r="B108" t="s">
        <v>4</v>
      </c>
      <c r="C108" t="s">
        <v>212</v>
      </c>
      <c r="D108" t="s">
        <v>206</v>
      </c>
      <c r="E108">
        <v>9</v>
      </c>
      <c r="F108" t="s">
        <v>574</v>
      </c>
      <c r="G108" t="s">
        <v>574</v>
      </c>
      <c r="H108" t="s">
        <v>573</v>
      </c>
      <c r="I108" t="s">
        <v>573</v>
      </c>
      <c r="J108" t="s">
        <v>574</v>
      </c>
      <c r="K108" t="s">
        <v>573</v>
      </c>
      <c r="L108" t="s">
        <v>574</v>
      </c>
      <c r="M108" t="s">
        <v>680</v>
      </c>
      <c r="O108" t="s">
        <v>742</v>
      </c>
    </row>
    <row r="109" spans="1:15" x14ac:dyDescent="0.2">
      <c r="A109" s="1">
        <v>107</v>
      </c>
      <c r="B109" t="s">
        <v>4</v>
      </c>
      <c r="C109" s="5" t="s">
        <v>213</v>
      </c>
      <c r="D109" s="5" t="s">
        <v>206</v>
      </c>
      <c r="E109" s="5">
        <v>9</v>
      </c>
      <c r="F109" s="5" t="s">
        <v>574</v>
      </c>
      <c r="G109" s="5" t="s">
        <v>637</v>
      </c>
      <c r="H109" s="5" t="s">
        <v>574</v>
      </c>
      <c r="I109" s="5" t="s">
        <v>573</v>
      </c>
      <c r="J109" s="5" t="s">
        <v>574</v>
      </c>
      <c r="K109" s="5" t="s">
        <v>574</v>
      </c>
      <c r="L109" s="5" t="s">
        <v>574</v>
      </c>
      <c r="M109" t="s">
        <v>642</v>
      </c>
      <c r="N109" s="5" t="s">
        <v>638</v>
      </c>
      <c r="O109" t="s">
        <v>742</v>
      </c>
    </row>
    <row r="110" spans="1:15" x14ac:dyDescent="0.2">
      <c r="A110" s="1">
        <v>108</v>
      </c>
      <c r="B110" t="s">
        <v>4</v>
      </c>
      <c r="C110" t="s">
        <v>214</v>
      </c>
      <c r="D110" t="s">
        <v>206</v>
      </c>
      <c r="E110">
        <v>9</v>
      </c>
      <c r="F110" t="s">
        <v>574</v>
      </c>
      <c r="G110" t="s">
        <v>639</v>
      </c>
      <c r="H110" t="s">
        <v>574</v>
      </c>
      <c r="I110" t="s">
        <v>583</v>
      </c>
      <c r="J110" t="s">
        <v>574</v>
      </c>
      <c r="K110" t="s">
        <v>573</v>
      </c>
      <c r="L110" t="s">
        <v>574</v>
      </c>
      <c r="M110" t="s">
        <v>692</v>
      </c>
      <c r="N110" t="s">
        <v>640</v>
      </c>
      <c r="O110" t="s">
        <v>742</v>
      </c>
    </row>
    <row r="111" spans="1:15" x14ac:dyDescent="0.2">
      <c r="A111" s="1">
        <v>109</v>
      </c>
      <c r="B111" t="s">
        <v>4</v>
      </c>
      <c r="C111" t="s">
        <v>215</v>
      </c>
      <c r="D111" t="s">
        <v>206</v>
      </c>
      <c r="E111">
        <v>9</v>
      </c>
      <c r="F111" t="s">
        <v>574</v>
      </c>
      <c r="G111" t="s">
        <v>574</v>
      </c>
      <c r="H111" t="s">
        <v>573</v>
      </c>
      <c r="I111" t="s">
        <v>573</v>
      </c>
      <c r="J111" t="s">
        <v>574</v>
      </c>
      <c r="K111" t="s">
        <v>573</v>
      </c>
      <c r="L111" t="s">
        <v>574</v>
      </c>
      <c r="M111" t="s">
        <v>680</v>
      </c>
      <c r="O111" t="s">
        <v>742</v>
      </c>
    </row>
    <row r="112" spans="1:15" x14ac:dyDescent="0.2">
      <c r="A112" s="1">
        <v>110</v>
      </c>
      <c r="B112" t="s">
        <v>4</v>
      </c>
      <c r="C112" t="s">
        <v>216</v>
      </c>
      <c r="D112" t="s">
        <v>206</v>
      </c>
      <c r="E112">
        <v>9</v>
      </c>
      <c r="F112" t="s">
        <v>574</v>
      </c>
      <c r="G112" s="5" t="s">
        <v>637</v>
      </c>
      <c r="H112" t="s">
        <v>573</v>
      </c>
      <c r="I112" t="s">
        <v>573</v>
      </c>
      <c r="J112" t="s">
        <v>574</v>
      </c>
      <c r="K112" t="s">
        <v>574</v>
      </c>
      <c r="L112" t="s">
        <v>574</v>
      </c>
      <c r="M112" t="s">
        <v>642</v>
      </c>
      <c r="N112" t="s">
        <v>641</v>
      </c>
      <c r="O112" t="s">
        <v>742</v>
      </c>
    </row>
    <row r="113" spans="1:15" x14ac:dyDescent="0.2">
      <c r="A113" s="1">
        <v>111</v>
      </c>
      <c r="B113" t="s">
        <v>4</v>
      </c>
      <c r="C113" t="s">
        <v>217</v>
      </c>
      <c r="D113" t="s">
        <v>206</v>
      </c>
      <c r="E113">
        <v>9</v>
      </c>
      <c r="F113" t="s">
        <v>574</v>
      </c>
      <c r="G113" t="s">
        <v>574</v>
      </c>
      <c r="H113" t="s">
        <v>573</v>
      </c>
      <c r="I113" t="s">
        <v>573</v>
      </c>
      <c r="J113" t="s">
        <v>574</v>
      </c>
      <c r="K113" t="s">
        <v>573</v>
      </c>
      <c r="L113" t="s">
        <v>574</v>
      </c>
      <c r="M113" t="s">
        <v>680</v>
      </c>
      <c r="N113" t="s">
        <v>643</v>
      </c>
      <c r="O113" t="s">
        <v>742</v>
      </c>
    </row>
    <row r="114" spans="1:15" x14ac:dyDescent="0.2">
      <c r="A114" s="1">
        <v>112</v>
      </c>
      <c r="B114" t="s">
        <v>4</v>
      </c>
      <c r="C114" t="s">
        <v>218</v>
      </c>
      <c r="D114" t="s">
        <v>206</v>
      </c>
      <c r="E114">
        <v>9</v>
      </c>
      <c r="F114" t="s">
        <v>574</v>
      </c>
      <c r="G114" t="s">
        <v>644</v>
      </c>
      <c r="H114" t="s">
        <v>573</v>
      </c>
      <c r="I114" t="s">
        <v>574</v>
      </c>
      <c r="J114" t="s">
        <v>574</v>
      </c>
      <c r="K114" t="s">
        <v>573</v>
      </c>
      <c r="L114" t="s">
        <v>574</v>
      </c>
      <c r="M114" t="s">
        <v>680</v>
      </c>
      <c r="N114" t="s">
        <v>695</v>
      </c>
      <c r="O114" t="s">
        <v>742</v>
      </c>
    </row>
    <row r="115" spans="1:15" x14ac:dyDescent="0.2">
      <c r="A115" s="1">
        <v>113</v>
      </c>
      <c r="B115" t="s">
        <v>4</v>
      </c>
      <c r="C115" t="s">
        <v>219</v>
      </c>
      <c r="D115" t="s">
        <v>206</v>
      </c>
      <c r="E115">
        <v>9</v>
      </c>
      <c r="F115" t="s">
        <v>574</v>
      </c>
      <c r="G115" t="s">
        <v>639</v>
      </c>
      <c r="H115" t="s">
        <v>583</v>
      </c>
      <c r="I115" t="s">
        <v>583</v>
      </c>
      <c r="J115" t="s">
        <v>574</v>
      </c>
      <c r="K115" t="s">
        <v>573</v>
      </c>
      <c r="L115" t="s">
        <v>574</v>
      </c>
      <c r="M115" t="s">
        <v>645</v>
      </c>
      <c r="O115" t="s">
        <v>742</v>
      </c>
    </row>
    <row r="116" spans="1:15" x14ac:dyDescent="0.2">
      <c r="A116" s="1">
        <v>114</v>
      </c>
      <c r="B116" t="s">
        <v>4</v>
      </c>
      <c r="C116" t="s">
        <v>220</v>
      </c>
      <c r="D116" t="s">
        <v>206</v>
      </c>
      <c r="E116">
        <v>9</v>
      </c>
      <c r="F116" t="s">
        <v>574</v>
      </c>
      <c r="G116" t="s">
        <v>600</v>
      </c>
      <c r="H116" t="s">
        <v>574</v>
      </c>
      <c r="I116" t="s">
        <v>583</v>
      </c>
      <c r="J116" t="s">
        <v>574</v>
      </c>
      <c r="K116" t="s">
        <v>573</v>
      </c>
      <c r="L116" t="s">
        <v>574</v>
      </c>
      <c r="M116" t="s">
        <v>692</v>
      </c>
      <c r="N116" t="s">
        <v>646</v>
      </c>
      <c r="O116" t="s">
        <v>742</v>
      </c>
    </row>
    <row r="117" spans="1:15" x14ac:dyDescent="0.2">
      <c r="A117" s="1">
        <v>115</v>
      </c>
      <c r="B117" t="s">
        <v>4</v>
      </c>
      <c r="C117" t="s">
        <v>221</v>
      </c>
      <c r="D117" t="s">
        <v>222</v>
      </c>
      <c r="E117">
        <v>10</v>
      </c>
      <c r="F117" t="s">
        <v>574</v>
      </c>
      <c r="G117" t="s">
        <v>574</v>
      </c>
      <c r="H117" t="s">
        <v>573</v>
      </c>
      <c r="I117" t="s">
        <v>573</v>
      </c>
      <c r="J117" t="s">
        <v>574</v>
      </c>
      <c r="K117" t="s">
        <v>573</v>
      </c>
      <c r="L117" t="s">
        <v>574</v>
      </c>
      <c r="M117" t="s">
        <v>680</v>
      </c>
      <c r="O117" t="s">
        <v>742</v>
      </c>
    </row>
    <row r="118" spans="1:15" x14ac:dyDescent="0.2">
      <c r="A118" s="1">
        <v>116</v>
      </c>
      <c r="B118" t="s">
        <v>4</v>
      </c>
      <c r="C118" t="s">
        <v>223</v>
      </c>
      <c r="D118" t="s">
        <v>222</v>
      </c>
      <c r="E118">
        <v>10</v>
      </c>
      <c r="F118" t="s">
        <v>574</v>
      </c>
      <c r="G118" t="s">
        <v>647</v>
      </c>
      <c r="H118" t="s">
        <v>574</v>
      </c>
      <c r="I118" t="s">
        <v>574</v>
      </c>
      <c r="J118" t="s">
        <v>574</v>
      </c>
      <c r="K118" t="s">
        <v>574</v>
      </c>
      <c r="L118" t="s">
        <v>574</v>
      </c>
      <c r="M118" t="s">
        <v>642</v>
      </c>
      <c r="N118" t="s">
        <v>648</v>
      </c>
      <c r="O118" t="s">
        <v>742</v>
      </c>
    </row>
    <row r="119" spans="1:15" x14ac:dyDescent="0.2">
      <c r="A119" s="1">
        <v>117</v>
      </c>
      <c r="B119" t="s">
        <v>4</v>
      </c>
      <c r="C119" t="s">
        <v>224</v>
      </c>
      <c r="D119" t="s">
        <v>222</v>
      </c>
      <c r="E119">
        <v>10</v>
      </c>
      <c r="F119" t="s">
        <v>574</v>
      </c>
      <c r="G119" t="s">
        <v>574</v>
      </c>
      <c r="H119" t="s">
        <v>573</v>
      </c>
      <c r="I119" t="s">
        <v>573</v>
      </c>
      <c r="J119" t="s">
        <v>574</v>
      </c>
      <c r="K119" t="s">
        <v>573</v>
      </c>
      <c r="L119" t="s">
        <v>574</v>
      </c>
      <c r="M119" t="s">
        <v>680</v>
      </c>
      <c r="O119" t="s">
        <v>742</v>
      </c>
    </row>
    <row r="120" spans="1:15" x14ac:dyDescent="0.2">
      <c r="A120" s="1">
        <v>118</v>
      </c>
      <c r="B120" t="s">
        <v>4</v>
      </c>
      <c r="C120" t="s">
        <v>225</v>
      </c>
      <c r="D120" t="s">
        <v>226</v>
      </c>
      <c r="E120">
        <v>18</v>
      </c>
      <c r="F120" t="s">
        <v>574</v>
      </c>
      <c r="G120" t="s">
        <v>649</v>
      </c>
      <c r="H120" t="s">
        <v>573</v>
      </c>
      <c r="I120" t="s">
        <v>573</v>
      </c>
      <c r="J120" t="s">
        <v>574</v>
      </c>
      <c r="K120" t="s">
        <v>573</v>
      </c>
      <c r="L120" t="s">
        <v>574</v>
      </c>
      <c r="M120" t="s">
        <v>680</v>
      </c>
      <c r="O120" t="s">
        <v>742</v>
      </c>
    </row>
    <row r="121" spans="1:15" x14ac:dyDescent="0.2">
      <c r="A121" s="1">
        <v>119</v>
      </c>
      <c r="B121" t="s">
        <v>4</v>
      </c>
      <c r="C121" t="s">
        <v>227</v>
      </c>
      <c r="D121" t="s">
        <v>226</v>
      </c>
      <c r="E121">
        <v>18</v>
      </c>
      <c r="F121" t="s">
        <v>574</v>
      </c>
      <c r="G121" t="s">
        <v>574</v>
      </c>
      <c r="H121" t="s">
        <v>574</v>
      </c>
      <c r="I121" t="s">
        <v>574</v>
      </c>
      <c r="J121" t="s">
        <v>574</v>
      </c>
      <c r="K121" t="s">
        <v>573</v>
      </c>
      <c r="L121" t="s">
        <v>574</v>
      </c>
      <c r="M121" t="s">
        <v>692</v>
      </c>
      <c r="N121" t="s">
        <v>650</v>
      </c>
      <c r="O121" t="s">
        <v>742</v>
      </c>
    </row>
    <row r="122" spans="1:15" x14ac:dyDescent="0.2">
      <c r="A122" s="1">
        <v>120</v>
      </c>
      <c r="B122" t="s">
        <v>4</v>
      </c>
      <c r="C122" t="s">
        <v>228</v>
      </c>
      <c r="D122" t="s">
        <v>226</v>
      </c>
      <c r="E122">
        <v>18</v>
      </c>
      <c r="F122" t="s">
        <v>574</v>
      </c>
      <c r="G122" t="s">
        <v>574</v>
      </c>
      <c r="H122" t="s">
        <v>573</v>
      </c>
      <c r="I122" t="s">
        <v>573</v>
      </c>
      <c r="J122" t="s">
        <v>574</v>
      </c>
      <c r="K122" t="s">
        <v>573</v>
      </c>
      <c r="L122" t="s">
        <v>574</v>
      </c>
      <c r="M122" t="s">
        <v>680</v>
      </c>
      <c r="O122" t="s">
        <v>742</v>
      </c>
    </row>
    <row r="123" spans="1:15" x14ac:dyDescent="0.2">
      <c r="A123" s="1">
        <v>121</v>
      </c>
      <c r="B123" t="s">
        <v>4</v>
      </c>
      <c r="C123" t="s">
        <v>229</v>
      </c>
      <c r="D123" t="s">
        <v>226</v>
      </c>
      <c r="E123">
        <v>18</v>
      </c>
      <c r="F123" t="s">
        <v>574</v>
      </c>
      <c r="G123" t="s">
        <v>574</v>
      </c>
      <c r="H123" t="s">
        <v>583</v>
      </c>
      <c r="I123" t="s">
        <v>583</v>
      </c>
      <c r="J123" t="s">
        <v>574</v>
      </c>
      <c r="K123" t="s">
        <v>573</v>
      </c>
      <c r="L123" t="s">
        <v>574</v>
      </c>
      <c r="M123" t="s">
        <v>645</v>
      </c>
      <c r="O123" t="s">
        <v>742</v>
      </c>
    </row>
    <row r="124" spans="1:15" x14ac:dyDescent="0.2">
      <c r="A124" s="1">
        <v>122</v>
      </c>
      <c r="B124" t="s">
        <v>4</v>
      </c>
      <c r="C124" t="s">
        <v>230</v>
      </c>
      <c r="D124" t="s">
        <v>226</v>
      </c>
      <c r="E124">
        <v>18</v>
      </c>
      <c r="F124" t="s">
        <v>574</v>
      </c>
      <c r="G124" t="s">
        <v>574</v>
      </c>
      <c r="H124" t="s">
        <v>573</v>
      </c>
      <c r="I124" t="s">
        <v>573</v>
      </c>
      <c r="J124" t="s">
        <v>574</v>
      </c>
      <c r="K124" t="s">
        <v>573</v>
      </c>
      <c r="L124" t="s">
        <v>574</v>
      </c>
      <c r="M124" t="s">
        <v>680</v>
      </c>
      <c r="O124" t="s">
        <v>742</v>
      </c>
    </row>
    <row r="125" spans="1:15" x14ac:dyDescent="0.2">
      <c r="A125" s="1">
        <v>123</v>
      </c>
      <c r="B125" t="s">
        <v>4</v>
      </c>
      <c r="C125" t="s">
        <v>231</v>
      </c>
      <c r="D125" t="s">
        <v>232</v>
      </c>
      <c r="E125">
        <v>18</v>
      </c>
      <c r="F125" t="s">
        <v>574</v>
      </c>
      <c r="G125" t="s">
        <v>574</v>
      </c>
      <c r="H125" t="s">
        <v>573</v>
      </c>
      <c r="I125" t="s">
        <v>574</v>
      </c>
      <c r="J125" t="s">
        <v>574</v>
      </c>
      <c r="K125" t="s">
        <v>573</v>
      </c>
      <c r="L125" t="s">
        <v>574</v>
      </c>
      <c r="M125" t="s">
        <v>651</v>
      </c>
      <c r="N125" t="s">
        <v>652</v>
      </c>
      <c r="O125" t="s">
        <v>742</v>
      </c>
    </row>
    <row r="126" spans="1:15" x14ac:dyDescent="0.2">
      <c r="A126" s="1">
        <v>124</v>
      </c>
      <c r="B126" t="s">
        <v>4</v>
      </c>
      <c r="C126" t="s">
        <v>233</v>
      </c>
      <c r="D126" t="s">
        <v>226</v>
      </c>
      <c r="E126">
        <v>18</v>
      </c>
      <c r="F126" t="s">
        <v>574</v>
      </c>
      <c r="G126" t="s">
        <v>653</v>
      </c>
      <c r="H126" t="s">
        <v>573</v>
      </c>
      <c r="I126" t="s">
        <v>573</v>
      </c>
      <c r="J126" t="s">
        <v>574</v>
      </c>
      <c r="K126" t="s">
        <v>573</v>
      </c>
      <c r="L126" t="s">
        <v>574</v>
      </c>
      <c r="M126" t="s">
        <v>680</v>
      </c>
      <c r="N126" t="s">
        <v>654</v>
      </c>
      <c r="O126" t="s">
        <v>742</v>
      </c>
    </row>
    <row r="127" spans="1:15" x14ac:dyDescent="0.2">
      <c r="A127" s="1">
        <v>125</v>
      </c>
      <c r="B127" t="s">
        <v>4</v>
      </c>
      <c r="C127" t="s">
        <v>234</v>
      </c>
      <c r="D127" t="s">
        <v>235</v>
      </c>
      <c r="E127">
        <v>18</v>
      </c>
      <c r="F127" t="s">
        <v>574</v>
      </c>
      <c r="G127" t="s">
        <v>574</v>
      </c>
      <c r="H127" t="s">
        <v>573</v>
      </c>
      <c r="I127" t="s">
        <v>573</v>
      </c>
      <c r="J127" t="s">
        <v>574</v>
      </c>
      <c r="K127" t="s">
        <v>573</v>
      </c>
      <c r="L127" t="s">
        <v>574</v>
      </c>
      <c r="M127" t="s">
        <v>680</v>
      </c>
      <c r="O127" t="s">
        <v>742</v>
      </c>
    </row>
    <row r="128" spans="1:15" x14ac:dyDescent="0.2">
      <c r="A128" s="1">
        <v>126</v>
      </c>
      <c r="B128" t="s">
        <v>4</v>
      </c>
      <c r="C128" t="s">
        <v>236</v>
      </c>
      <c r="D128" t="s">
        <v>235</v>
      </c>
      <c r="E128">
        <v>18</v>
      </c>
      <c r="F128" t="s">
        <v>574</v>
      </c>
      <c r="G128" t="s">
        <v>574</v>
      </c>
      <c r="H128" t="s">
        <v>573</v>
      </c>
      <c r="I128" t="s">
        <v>573</v>
      </c>
      <c r="J128" t="s">
        <v>574</v>
      </c>
      <c r="K128" t="s">
        <v>573</v>
      </c>
      <c r="L128" t="s">
        <v>574</v>
      </c>
      <c r="M128" t="s">
        <v>680</v>
      </c>
      <c r="O128" t="s">
        <v>742</v>
      </c>
    </row>
    <row r="129" spans="1:15" x14ac:dyDescent="0.2">
      <c r="A129" s="1">
        <v>127</v>
      </c>
      <c r="B129" t="s">
        <v>4</v>
      </c>
      <c r="C129" t="s">
        <v>237</v>
      </c>
      <c r="D129" t="s">
        <v>235</v>
      </c>
      <c r="E129">
        <v>18</v>
      </c>
      <c r="F129" t="s">
        <v>574</v>
      </c>
      <c r="G129" t="s">
        <v>574</v>
      </c>
      <c r="H129" t="s">
        <v>573</v>
      </c>
      <c r="I129" t="s">
        <v>583</v>
      </c>
      <c r="J129" t="s">
        <v>574</v>
      </c>
      <c r="K129" t="s">
        <v>573</v>
      </c>
      <c r="L129" t="s">
        <v>574</v>
      </c>
      <c r="M129" t="s">
        <v>680</v>
      </c>
      <c r="N129" t="s">
        <v>655</v>
      </c>
      <c r="O129" t="s">
        <v>742</v>
      </c>
    </row>
    <row r="130" spans="1:15" x14ac:dyDescent="0.2">
      <c r="A130" s="1">
        <v>128</v>
      </c>
      <c r="B130" t="s">
        <v>4</v>
      </c>
      <c r="C130" t="s">
        <v>238</v>
      </c>
      <c r="D130" t="s">
        <v>226</v>
      </c>
      <c r="E130">
        <v>18</v>
      </c>
      <c r="F130" t="s">
        <v>574</v>
      </c>
      <c r="G130" t="s">
        <v>574</v>
      </c>
      <c r="H130" t="s">
        <v>573</v>
      </c>
      <c r="I130" t="s">
        <v>573</v>
      </c>
      <c r="J130" t="s">
        <v>574</v>
      </c>
      <c r="K130" t="s">
        <v>573</v>
      </c>
      <c r="L130" t="s">
        <v>574</v>
      </c>
      <c r="M130" t="s">
        <v>680</v>
      </c>
      <c r="N130" t="s">
        <v>655</v>
      </c>
      <c r="O130" t="s">
        <v>742</v>
      </c>
    </row>
    <row r="131" spans="1:15" x14ac:dyDescent="0.2">
      <c r="A131" s="1">
        <v>129</v>
      </c>
      <c r="B131" t="s">
        <v>4</v>
      </c>
      <c r="C131" t="s">
        <v>239</v>
      </c>
      <c r="D131" t="s">
        <v>226</v>
      </c>
      <c r="E131">
        <v>18</v>
      </c>
      <c r="F131" t="s">
        <v>574</v>
      </c>
      <c r="G131" t="s">
        <v>574</v>
      </c>
      <c r="H131" t="s">
        <v>573</v>
      </c>
      <c r="I131" t="s">
        <v>583</v>
      </c>
      <c r="J131" t="s">
        <v>574</v>
      </c>
      <c r="K131" t="s">
        <v>573</v>
      </c>
      <c r="L131" t="s">
        <v>574</v>
      </c>
      <c r="M131" t="s">
        <v>680</v>
      </c>
      <c r="O131" t="s">
        <v>742</v>
      </c>
    </row>
    <row r="132" spans="1:15" x14ac:dyDescent="0.2">
      <c r="A132" s="1">
        <v>130</v>
      </c>
      <c r="B132" t="s">
        <v>4</v>
      </c>
      <c r="C132" t="s">
        <v>240</v>
      </c>
      <c r="D132" t="s">
        <v>226</v>
      </c>
      <c r="E132">
        <v>18</v>
      </c>
      <c r="F132" t="s">
        <v>574</v>
      </c>
      <c r="G132" t="s">
        <v>574</v>
      </c>
      <c r="H132" t="s">
        <v>573</v>
      </c>
      <c r="I132" t="s">
        <v>573</v>
      </c>
      <c r="J132" t="s">
        <v>574</v>
      </c>
      <c r="K132" t="s">
        <v>573</v>
      </c>
      <c r="L132" t="s">
        <v>574</v>
      </c>
      <c r="M132" t="s">
        <v>680</v>
      </c>
      <c r="N132" t="s">
        <v>656</v>
      </c>
      <c r="O132" t="s">
        <v>742</v>
      </c>
    </row>
    <row r="133" spans="1:15" x14ac:dyDescent="0.2">
      <c r="A133" s="1">
        <v>131</v>
      </c>
      <c r="B133" t="s">
        <v>4</v>
      </c>
      <c r="C133" t="s">
        <v>241</v>
      </c>
      <c r="D133" t="s">
        <v>242</v>
      </c>
      <c r="E133">
        <v>19</v>
      </c>
      <c r="F133" t="s">
        <v>574</v>
      </c>
      <c r="G133" t="s">
        <v>574</v>
      </c>
      <c r="H133" t="s">
        <v>573</v>
      </c>
      <c r="I133" t="s">
        <v>574</v>
      </c>
      <c r="J133" t="s">
        <v>574</v>
      </c>
      <c r="K133" t="s">
        <v>573</v>
      </c>
      <c r="L133" t="s">
        <v>574</v>
      </c>
      <c r="M133" t="s">
        <v>692</v>
      </c>
      <c r="N133" t="s">
        <v>657</v>
      </c>
      <c r="O133" t="s">
        <v>742</v>
      </c>
    </row>
    <row r="134" spans="1:15" x14ac:dyDescent="0.2">
      <c r="A134" s="1">
        <v>132</v>
      </c>
      <c r="B134" t="s">
        <v>4</v>
      </c>
      <c r="C134" t="s">
        <v>243</v>
      </c>
      <c r="D134" t="s">
        <v>244</v>
      </c>
      <c r="E134">
        <v>20</v>
      </c>
      <c r="F134" t="s">
        <v>574</v>
      </c>
      <c r="G134" t="s">
        <v>574</v>
      </c>
      <c r="H134" t="s">
        <v>573</v>
      </c>
      <c r="I134" t="s">
        <v>573</v>
      </c>
      <c r="J134" t="s">
        <v>574</v>
      </c>
      <c r="K134" t="s">
        <v>573</v>
      </c>
      <c r="L134" t="s">
        <v>574</v>
      </c>
      <c r="M134" t="s">
        <v>680</v>
      </c>
      <c r="O134" t="s">
        <v>742</v>
      </c>
    </row>
    <row r="135" spans="1:15" x14ac:dyDescent="0.2">
      <c r="A135" s="1">
        <v>133</v>
      </c>
      <c r="B135" t="s">
        <v>4</v>
      </c>
      <c r="C135" t="s">
        <v>245</v>
      </c>
      <c r="D135" t="s">
        <v>246</v>
      </c>
      <c r="E135">
        <v>20</v>
      </c>
      <c r="F135" t="s">
        <v>574</v>
      </c>
      <c r="G135" t="s">
        <v>574</v>
      </c>
      <c r="H135" t="s">
        <v>573</v>
      </c>
      <c r="I135" t="s">
        <v>573</v>
      </c>
      <c r="J135" t="s">
        <v>574</v>
      </c>
      <c r="K135" t="s">
        <v>573</v>
      </c>
      <c r="L135" t="s">
        <v>574</v>
      </c>
      <c r="M135" t="s">
        <v>680</v>
      </c>
      <c r="N135" t="s">
        <v>658</v>
      </c>
      <c r="O135" t="s">
        <v>742</v>
      </c>
    </row>
    <row r="136" spans="1:15" x14ac:dyDescent="0.2">
      <c r="A136" s="1">
        <v>134</v>
      </c>
      <c r="B136" t="s">
        <v>4</v>
      </c>
      <c r="C136" t="s">
        <v>247</v>
      </c>
      <c r="D136" t="s">
        <v>244</v>
      </c>
      <c r="E136">
        <v>20</v>
      </c>
      <c r="F136" t="s">
        <v>574</v>
      </c>
      <c r="G136" t="s">
        <v>574</v>
      </c>
      <c r="H136" t="s">
        <v>573</v>
      </c>
      <c r="I136" t="s">
        <v>573</v>
      </c>
      <c r="J136" t="s">
        <v>574</v>
      </c>
      <c r="K136" t="s">
        <v>573</v>
      </c>
      <c r="L136" t="s">
        <v>574</v>
      </c>
      <c r="M136" t="s">
        <v>680</v>
      </c>
      <c r="O136" t="s">
        <v>742</v>
      </c>
    </row>
    <row r="137" spans="1:15" x14ac:dyDescent="0.2">
      <c r="A137" s="1">
        <v>135</v>
      </c>
      <c r="B137" t="s">
        <v>4</v>
      </c>
      <c r="C137" t="s">
        <v>248</v>
      </c>
      <c r="D137" t="s">
        <v>244</v>
      </c>
      <c r="E137">
        <v>20</v>
      </c>
      <c r="F137" t="s">
        <v>574</v>
      </c>
      <c r="G137" t="s">
        <v>574</v>
      </c>
      <c r="H137" t="s">
        <v>573</v>
      </c>
      <c r="I137" t="s">
        <v>573</v>
      </c>
      <c r="J137" t="s">
        <v>574</v>
      </c>
      <c r="K137" t="s">
        <v>573</v>
      </c>
      <c r="L137" t="s">
        <v>574</v>
      </c>
      <c r="M137" t="s">
        <v>680</v>
      </c>
      <c r="N137" t="s">
        <v>659</v>
      </c>
      <c r="O137" t="s">
        <v>742</v>
      </c>
    </row>
    <row r="138" spans="1:15" x14ac:dyDescent="0.2">
      <c r="A138" s="1">
        <v>136</v>
      </c>
      <c r="B138" t="s">
        <v>4</v>
      </c>
      <c r="C138" t="s">
        <v>249</v>
      </c>
      <c r="D138" t="s">
        <v>244</v>
      </c>
      <c r="E138">
        <v>20</v>
      </c>
      <c r="F138" t="s">
        <v>574</v>
      </c>
      <c r="G138" t="s">
        <v>574</v>
      </c>
      <c r="H138" t="s">
        <v>573</v>
      </c>
      <c r="I138" t="s">
        <v>573</v>
      </c>
      <c r="J138" t="s">
        <v>574</v>
      </c>
      <c r="K138" t="s">
        <v>573</v>
      </c>
      <c r="L138" t="s">
        <v>573</v>
      </c>
      <c r="M138" t="s">
        <v>680</v>
      </c>
      <c r="N138" t="s">
        <v>660</v>
      </c>
      <c r="O138" t="s">
        <v>742</v>
      </c>
    </row>
    <row r="139" spans="1:15" x14ac:dyDescent="0.2">
      <c r="A139" s="1">
        <v>137</v>
      </c>
      <c r="B139" t="s">
        <v>4</v>
      </c>
      <c r="C139" t="s">
        <v>250</v>
      </c>
      <c r="D139" t="s">
        <v>246</v>
      </c>
      <c r="E139">
        <v>20</v>
      </c>
      <c r="F139" t="s">
        <v>574</v>
      </c>
      <c r="G139" t="s">
        <v>574</v>
      </c>
      <c r="H139" t="s">
        <v>583</v>
      </c>
      <c r="I139" t="s">
        <v>573</v>
      </c>
      <c r="J139" t="s">
        <v>574</v>
      </c>
      <c r="K139" t="s">
        <v>573</v>
      </c>
      <c r="L139" t="s">
        <v>574</v>
      </c>
      <c r="M139" t="s">
        <v>680</v>
      </c>
      <c r="O139" t="s">
        <v>742</v>
      </c>
    </row>
    <row r="140" spans="1:15" x14ac:dyDescent="0.2">
      <c r="A140" s="6">
        <v>138</v>
      </c>
      <c r="B140" s="5" t="s">
        <v>4</v>
      </c>
      <c r="C140" s="5" t="s">
        <v>251</v>
      </c>
      <c r="D140" s="5" t="s">
        <v>252</v>
      </c>
      <c r="E140" s="5">
        <v>21</v>
      </c>
      <c r="F140" s="5" t="s">
        <v>574</v>
      </c>
      <c r="G140" s="5" t="s">
        <v>661</v>
      </c>
      <c r="H140" s="5" t="s">
        <v>574</v>
      </c>
      <c r="I140" s="5" t="s">
        <v>574</v>
      </c>
      <c r="J140" s="5" t="s">
        <v>574</v>
      </c>
      <c r="K140" s="5" t="s">
        <v>573</v>
      </c>
      <c r="L140" s="5" t="s">
        <v>574</v>
      </c>
      <c r="M140" t="s">
        <v>692</v>
      </c>
      <c r="N140" s="5" t="s">
        <v>662</v>
      </c>
      <c r="O140" s="5" t="s">
        <v>738</v>
      </c>
    </row>
    <row r="141" spans="1:15" x14ac:dyDescent="0.2">
      <c r="A141" s="1">
        <v>139</v>
      </c>
      <c r="B141" t="s">
        <v>4</v>
      </c>
      <c r="C141" t="s">
        <v>253</v>
      </c>
      <c r="D141" t="s">
        <v>254</v>
      </c>
      <c r="E141">
        <v>23</v>
      </c>
      <c r="F141" t="s">
        <v>574</v>
      </c>
      <c r="G141" t="s">
        <v>574</v>
      </c>
      <c r="H141" t="s">
        <v>573</v>
      </c>
      <c r="I141" t="s">
        <v>573</v>
      </c>
      <c r="J141" t="s">
        <v>574</v>
      </c>
      <c r="K141" t="s">
        <v>573</v>
      </c>
      <c r="L141" t="s">
        <v>574</v>
      </c>
      <c r="M141" t="s">
        <v>680</v>
      </c>
      <c r="O141" t="s">
        <v>742</v>
      </c>
    </row>
    <row r="142" spans="1:15" x14ac:dyDescent="0.2">
      <c r="A142" s="1">
        <v>140</v>
      </c>
      <c r="B142" t="s">
        <v>4</v>
      </c>
      <c r="C142" t="s">
        <v>255</v>
      </c>
      <c r="D142" t="s">
        <v>254</v>
      </c>
      <c r="E142">
        <v>23</v>
      </c>
      <c r="F142" t="s">
        <v>574</v>
      </c>
      <c r="G142" t="s">
        <v>574</v>
      </c>
      <c r="H142" t="s">
        <v>573</v>
      </c>
      <c r="I142" t="s">
        <v>573</v>
      </c>
      <c r="J142" t="s">
        <v>574</v>
      </c>
      <c r="K142" t="s">
        <v>573</v>
      </c>
      <c r="L142" t="s">
        <v>574</v>
      </c>
      <c r="M142" t="s">
        <v>680</v>
      </c>
      <c r="O142" t="s">
        <v>742</v>
      </c>
    </row>
    <row r="143" spans="1:15" x14ac:dyDescent="0.2">
      <c r="A143" s="1">
        <v>141</v>
      </c>
      <c r="B143" t="s">
        <v>4</v>
      </c>
      <c r="C143" t="s">
        <v>256</v>
      </c>
      <c r="D143" t="s">
        <v>257</v>
      </c>
      <c r="E143">
        <v>23</v>
      </c>
      <c r="F143" t="s">
        <v>574</v>
      </c>
      <c r="G143" t="s">
        <v>574</v>
      </c>
      <c r="H143" t="s">
        <v>573</v>
      </c>
      <c r="I143" t="s">
        <v>573</v>
      </c>
      <c r="J143" t="s">
        <v>574</v>
      </c>
      <c r="K143" t="s">
        <v>573</v>
      </c>
      <c r="L143" t="s">
        <v>574</v>
      </c>
      <c r="M143" t="s">
        <v>680</v>
      </c>
      <c r="N143" t="s">
        <v>695</v>
      </c>
      <c r="O143" t="s">
        <v>742</v>
      </c>
    </row>
    <row r="144" spans="1:15" x14ac:dyDescent="0.2">
      <c r="A144" s="1">
        <v>142</v>
      </c>
      <c r="B144" t="s">
        <v>4</v>
      </c>
      <c r="C144" t="s">
        <v>258</v>
      </c>
      <c r="D144" t="s">
        <v>259</v>
      </c>
      <c r="E144">
        <v>24</v>
      </c>
      <c r="F144" t="s">
        <v>574</v>
      </c>
      <c r="G144" t="s">
        <v>663</v>
      </c>
      <c r="H144" t="s">
        <v>573</v>
      </c>
      <c r="I144" t="s">
        <v>573</v>
      </c>
      <c r="J144" t="s">
        <v>574</v>
      </c>
      <c r="K144" t="s">
        <v>573</v>
      </c>
      <c r="L144" t="s">
        <v>574</v>
      </c>
      <c r="M144" t="s">
        <v>680</v>
      </c>
      <c r="O144" t="s">
        <v>742</v>
      </c>
    </row>
    <row r="145" spans="1:15" x14ac:dyDescent="0.2">
      <c r="A145" s="1">
        <v>143</v>
      </c>
      <c r="B145" t="s">
        <v>4</v>
      </c>
      <c r="C145" t="s">
        <v>260</v>
      </c>
      <c r="D145" t="s">
        <v>261</v>
      </c>
      <c r="E145">
        <v>25</v>
      </c>
      <c r="F145" t="s">
        <v>574</v>
      </c>
      <c r="G145" t="s">
        <v>574</v>
      </c>
      <c r="H145" t="s">
        <v>573</v>
      </c>
      <c r="I145" t="s">
        <v>583</v>
      </c>
      <c r="J145" t="s">
        <v>574</v>
      </c>
      <c r="K145" t="s">
        <v>573</v>
      </c>
      <c r="L145" t="s">
        <v>574</v>
      </c>
      <c r="M145" t="s">
        <v>692</v>
      </c>
      <c r="N145" t="s">
        <v>664</v>
      </c>
      <c r="O145" t="s">
        <v>742</v>
      </c>
    </row>
    <row r="146" spans="1:15" x14ac:dyDescent="0.2">
      <c r="A146" s="1">
        <v>144</v>
      </c>
      <c r="B146" t="s">
        <v>4</v>
      </c>
      <c r="C146" t="s">
        <v>262</v>
      </c>
      <c r="D146" t="s">
        <v>263</v>
      </c>
      <c r="E146">
        <v>26</v>
      </c>
      <c r="F146" t="s">
        <v>574</v>
      </c>
      <c r="G146" t="s">
        <v>574</v>
      </c>
      <c r="H146" t="s">
        <v>573</v>
      </c>
      <c r="I146" t="s">
        <v>573</v>
      </c>
      <c r="J146" t="s">
        <v>574</v>
      </c>
      <c r="K146" t="s">
        <v>573</v>
      </c>
      <c r="L146" t="s">
        <v>574</v>
      </c>
      <c r="M146" t="s">
        <v>680</v>
      </c>
      <c r="N146" t="s">
        <v>695</v>
      </c>
      <c r="O146" t="s">
        <v>742</v>
      </c>
    </row>
    <row r="147" spans="1:15" x14ac:dyDescent="0.2">
      <c r="A147" s="1">
        <v>145</v>
      </c>
      <c r="B147" t="s">
        <v>4</v>
      </c>
      <c r="C147" t="s">
        <v>264</v>
      </c>
      <c r="D147" t="s">
        <v>265</v>
      </c>
      <c r="E147">
        <v>26</v>
      </c>
      <c r="F147" t="s">
        <v>574</v>
      </c>
      <c r="G147" t="s">
        <v>574</v>
      </c>
      <c r="H147" t="s">
        <v>573</v>
      </c>
      <c r="I147" t="s">
        <v>573</v>
      </c>
      <c r="J147" t="s">
        <v>574</v>
      </c>
      <c r="K147" t="s">
        <v>573</v>
      </c>
      <c r="L147" t="s">
        <v>574</v>
      </c>
      <c r="M147" t="s">
        <v>680</v>
      </c>
      <c r="N147" t="s">
        <v>665</v>
      </c>
      <c r="O147" t="s">
        <v>742</v>
      </c>
    </row>
    <row r="148" spans="1:15" x14ac:dyDescent="0.2">
      <c r="A148" s="1">
        <v>146</v>
      </c>
      <c r="B148" t="s">
        <v>4</v>
      </c>
      <c r="C148" t="s">
        <v>266</v>
      </c>
      <c r="D148" t="s">
        <v>267</v>
      </c>
      <c r="E148">
        <v>26</v>
      </c>
      <c r="F148" t="s">
        <v>574</v>
      </c>
      <c r="G148" t="s">
        <v>574</v>
      </c>
      <c r="H148" t="s">
        <v>573</v>
      </c>
      <c r="I148" t="s">
        <v>573</v>
      </c>
      <c r="J148" t="s">
        <v>574</v>
      </c>
      <c r="K148" t="s">
        <v>573</v>
      </c>
      <c r="L148" t="s">
        <v>574</v>
      </c>
      <c r="M148" t="s">
        <v>680</v>
      </c>
      <c r="N148" t="s">
        <v>695</v>
      </c>
      <c r="O148" t="s">
        <v>742</v>
      </c>
    </row>
    <row r="149" spans="1:15" x14ac:dyDescent="0.2">
      <c r="A149" s="1">
        <v>147</v>
      </c>
      <c r="B149" t="s">
        <v>4</v>
      </c>
      <c r="C149" t="s">
        <v>268</v>
      </c>
      <c r="D149" t="s">
        <v>267</v>
      </c>
      <c r="E149">
        <v>26</v>
      </c>
      <c r="F149" t="s">
        <v>574</v>
      </c>
      <c r="G149" t="s">
        <v>574</v>
      </c>
      <c r="H149" t="s">
        <v>573</v>
      </c>
      <c r="I149" t="s">
        <v>573</v>
      </c>
      <c r="J149" t="s">
        <v>574</v>
      </c>
      <c r="K149" t="s">
        <v>573</v>
      </c>
      <c r="L149" t="s">
        <v>574</v>
      </c>
      <c r="M149" t="s">
        <v>680</v>
      </c>
      <c r="O149" t="s">
        <v>742</v>
      </c>
    </row>
    <row r="150" spans="1:15" x14ac:dyDescent="0.2">
      <c r="A150" s="1">
        <v>148</v>
      </c>
      <c r="B150" t="s">
        <v>4</v>
      </c>
      <c r="C150" t="s">
        <v>269</v>
      </c>
      <c r="D150" t="s">
        <v>267</v>
      </c>
      <c r="E150">
        <v>26</v>
      </c>
      <c r="F150" t="s">
        <v>574</v>
      </c>
      <c r="G150" t="s">
        <v>574</v>
      </c>
      <c r="H150" t="s">
        <v>573</v>
      </c>
      <c r="I150" t="s">
        <v>573</v>
      </c>
      <c r="J150" t="s">
        <v>574</v>
      </c>
      <c r="K150" t="s">
        <v>573</v>
      </c>
      <c r="L150" t="s">
        <v>574</v>
      </c>
      <c r="M150" t="s">
        <v>680</v>
      </c>
      <c r="N150" t="s">
        <v>695</v>
      </c>
      <c r="O150" t="s">
        <v>742</v>
      </c>
    </row>
    <row r="151" spans="1:15" x14ac:dyDescent="0.2">
      <c r="A151" s="1">
        <v>149</v>
      </c>
      <c r="B151" t="s">
        <v>4</v>
      </c>
      <c r="C151" t="s">
        <v>270</v>
      </c>
      <c r="D151" t="s">
        <v>271</v>
      </c>
      <c r="E151">
        <v>29</v>
      </c>
      <c r="F151" t="s">
        <v>574</v>
      </c>
      <c r="G151" t="s">
        <v>574</v>
      </c>
      <c r="H151" t="s">
        <v>573</v>
      </c>
      <c r="I151" t="s">
        <v>573</v>
      </c>
      <c r="J151" t="s">
        <v>574</v>
      </c>
      <c r="K151" t="s">
        <v>573</v>
      </c>
      <c r="L151" t="s">
        <v>574</v>
      </c>
      <c r="M151" t="s">
        <v>692</v>
      </c>
      <c r="N151" t="s">
        <v>655</v>
      </c>
      <c r="O151" t="s">
        <v>742</v>
      </c>
    </row>
    <row r="152" spans="1:15" x14ac:dyDescent="0.2">
      <c r="A152" s="1">
        <v>150</v>
      </c>
      <c r="B152" t="s">
        <v>4</v>
      </c>
      <c r="C152" t="s">
        <v>272</v>
      </c>
      <c r="D152" t="s">
        <v>273</v>
      </c>
      <c r="E152">
        <v>30</v>
      </c>
      <c r="F152" t="s">
        <v>574</v>
      </c>
      <c r="G152" t="s">
        <v>574</v>
      </c>
      <c r="H152" t="s">
        <v>573</v>
      </c>
      <c r="I152" t="s">
        <v>574</v>
      </c>
      <c r="J152" t="s">
        <v>574</v>
      </c>
      <c r="K152" t="s">
        <v>573</v>
      </c>
      <c r="L152" t="s">
        <v>574</v>
      </c>
      <c r="M152" t="s">
        <v>692</v>
      </c>
      <c r="N152" t="s">
        <v>666</v>
      </c>
      <c r="O152" t="s">
        <v>742</v>
      </c>
    </row>
    <row r="153" spans="1:15" x14ac:dyDescent="0.2">
      <c r="A153" s="1">
        <v>151</v>
      </c>
      <c r="B153" t="s">
        <v>4</v>
      </c>
      <c r="C153" t="s">
        <v>274</v>
      </c>
      <c r="D153" t="s">
        <v>275</v>
      </c>
      <c r="E153">
        <v>32</v>
      </c>
      <c r="F153" t="s">
        <v>574</v>
      </c>
      <c r="G153" t="s">
        <v>574</v>
      </c>
      <c r="H153" t="s">
        <v>573</v>
      </c>
      <c r="I153" t="s">
        <v>573</v>
      </c>
      <c r="J153" t="s">
        <v>574</v>
      </c>
      <c r="K153" t="s">
        <v>573</v>
      </c>
      <c r="L153" t="s">
        <v>574</v>
      </c>
      <c r="M153" t="s">
        <v>680</v>
      </c>
      <c r="O153" t="s">
        <v>742</v>
      </c>
    </row>
    <row r="154" spans="1:15" x14ac:dyDescent="0.2">
      <c r="A154" s="1">
        <v>152</v>
      </c>
      <c r="B154" t="s">
        <v>4</v>
      </c>
      <c r="C154" t="s">
        <v>276</v>
      </c>
      <c r="D154" t="s">
        <v>277</v>
      </c>
      <c r="E154">
        <v>38</v>
      </c>
      <c r="F154" t="s">
        <v>574</v>
      </c>
      <c r="G154" t="s">
        <v>574</v>
      </c>
      <c r="H154" t="s">
        <v>573</v>
      </c>
      <c r="I154" t="s">
        <v>573</v>
      </c>
      <c r="J154" t="s">
        <v>574</v>
      </c>
      <c r="K154" t="s">
        <v>573</v>
      </c>
      <c r="L154" t="s">
        <v>574</v>
      </c>
      <c r="M154" t="s">
        <v>680</v>
      </c>
      <c r="N154" t="s">
        <v>667</v>
      </c>
      <c r="O154" t="s">
        <v>742</v>
      </c>
    </row>
    <row r="155" spans="1:15" x14ac:dyDescent="0.2">
      <c r="A155" s="1">
        <v>153</v>
      </c>
      <c r="B155" t="s">
        <v>4</v>
      </c>
      <c r="C155" t="s">
        <v>278</v>
      </c>
      <c r="D155" t="s">
        <v>279</v>
      </c>
      <c r="E155">
        <v>39</v>
      </c>
      <c r="F155" t="s">
        <v>574</v>
      </c>
      <c r="G155" t="s">
        <v>574</v>
      </c>
      <c r="H155" t="s">
        <v>573</v>
      </c>
      <c r="I155" t="s">
        <v>573</v>
      </c>
      <c r="J155" t="s">
        <v>574</v>
      </c>
      <c r="K155" t="s">
        <v>573</v>
      </c>
      <c r="L155" t="s">
        <v>574</v>
      </c>
      <c r="M155" t="s">
        <v>680</v>
      </c>
      <c r="O155" t="s">
        <v>742</v>
      </c>
    </row>
    <row r="156" spans="1:15" x14ac:dyDescent="0.2">
      <c r="A156" s="1">
        <v>154</v>
      </c>
      <c r="B156" t="s">
        <v>4</v>
      </c>
      <c r="C156" t="s">
        <v>280</v>
      </c>
      <c r="D156" t="s">
        <v>281</v>
      </c>
      <c r="E156">
        <v>44</v>
      </c>
      <c r="F156" t="s">
        <v>574</v>
      </c>
      <c r="G156" t="s">
        <v>574</v>
      </c>
      <c r="H156" t="s">
        <v>573</v>
      </c>
      <c r="I156" t="s">
        <v>573</v>
      </c>
      <c r="J156" t="s">
        <v>574</v>
      </c>
      <c r="K156" t="s">
        <v>573</v>
      </c>
      <c r="L156" t="s">
        <v>574</v>
      </c>
      <c r="M156" t="s">
        <v>680</v>
      </c>
      <c r="N156" t="s">
        <v>668</v>
      </c>
      <c r="O156" t="s">
        <v>742</v>
      </c>
    </row>
    <row r="157" spans="1:15" x14ac:dyDescent="0.2">
      <c r="A157" s="1">
        <v>155</v>
      </c>
      <c r="B157" t="s">
        <v>4</v>
      </c>
      <c r="C157" t="s">
        <v>282</v>
      </c>
      <c r="D157" t="s">
        <v>283</v>
      </c>
      <c r="E157">
        <v>44</v>
      </c>
      <c r="F157" t="s">
        <v>574</v>
      </c>
      <c r="G157" t="s">
        <v>574</v>
      </c>
      <c r="H157" t="s">
        <v>573</v>
      </c>
      <c r="I157" t="s">
        <v>574</v>
      </c>
      <c r="J157" t="s">
        <v>574</v>
      </c>
      <c r="K157" t="s">
        <v>573</v>
      </c>
      <c r="L157" t="s">
        <v>574</v>
      </c>
      <c r="M157" t="s">
        <v>692</v>
      </c>
      <c r="N157" t="s">
        <v>669</v>
      </c>
      <c r="O157" t="s">
        <v>738</v>
      </c>
    </row>
    <row r="158" spans="1:15" x14ac:dyDescent="0.2">
      <c r="A158" s="1">
        <v>156</v>
      </c>
      <c r="B158" t="s">
        <v>4</v>
      </c>
      <c r="C158" t="s">
        <v>284</v>
      </c>
      <c r="D158" t="s">
        <v>285</v>
      </c>
      <c r="E158">
        <v>45</v>
      </c>
      <c r="F158" t="s">
        <v>574</v>
      </c>
      <c r="G158" t="s">
        <v>670</v>
      </c>
      <c r="H158" t="s">
        <v>573</v>
      </c>
      <c r="I158" t="s">
        <v>573</v>
      </c>
      <c r="J158" t="s">
        <v>574</v>
      </c>
      <c r="K158" t="s">
        <v>573</v>
      </c>
      <c r="L158" t="s">
        <v>574</v>
      </c>
      <c r="M158" t="s">
        <v>680</v>
      </c>
      <c r="N158" t="s">
        <v>671</v>
      </c>
      <c r="O158" t="s">
        <v>742</v>
      </c>
    </row>
    <row r="159" spans="1:15" x14ac:dyDescent="0.2">
      <c r="A159" s="1">
        <v>157</v>
      </c>
      <c r="B159" t="s">
        <v>4</v>
      </c>
      <c r="C159" t="s">
        <v>286</v>
      </c>
      <c r="D159" t="s">
        <v>287</v>
      </c>
      <c r="E159">
        <v>48</v>
      </c>
      <c r="F159" t="s">
        <v>574</v>
      </c>
      <c r="G159" t="s">
        <v>574</v>
      </c>
      <c r="H159" t="s">
        <v>573</v>
      </c>
      <c r="I159" t="s">
        <v>573</v>
      </c>
      <c r="J159" t="s">
        <v>574</v>
      </c>
      <c r="K159" t="s">
        <v>573</v>
      </c>
      <c r="L159" t="s">
        <v>574</v>
      </c>
      <c r="M159" t="s">
        <v>680</v>
      </c>
      <c r="N159" t="s">
        <v>659</v>
      </c>
      <c r="O159" t="s">
        <v>742</v>
      </c>
    </row>
    <row r="160" spans="1:15" x14ac:dyDescent="0.2">
      <c r="A160" s="1">
        <v>158</v>
      </c>
      <c r="B160" t="s">
        <v>4</v>
      </c>
      <c r="C160" t="s">
        <v>288</v>
      </c>
      <c r="D160" t="s">
        <v>287</v>
      </c>
      <c r="E160">
        <v>48</v>
      </c>
      <c r="F160" t="s">
        <v>574</v>
      </c>
      <c r="G160" t="s">
        <v>574</v>
      </c>
      <c r="H160" t="s">
        <v>573</v>
      </c>
      <c r="I160" t="s">
        <v>573</v>
      </c>
      <c r="J160" t="s">
        <v>574</v>
      </c>
      <c r="K160" t="s">
        <v>573</v>
      </c>
      <c r="L160" t="s">
        <v>574</v>
      </c>
      <c r="M160" t="s">
        <v>680</v>
      </c>
      <c r="N160" t="s">
        <v>659</v>
      </c>
      <c r="O160" t="s">
        <v>742</v>
      </c>
    </row>
    <row r="161" spans="1:15" x14ac:dyDescent="0.2">
      <c r="A161" s="6">
        <v>159</v>
      </c>
      <c r="B161" s="5" t="s">
        <v>4</v>
      </c>
      <c r="C161" s="5" t="s">
        <v>289</v>
      </c>
      <c r="D161" s="5" t="s">
        <v>290</v>
      </c>
      <c r="E161" s="5">
        <v>49</v>
      </c>
      <c r="F161" s="5" t="s">
        <v>574</v>
      </c>
      <c r="G161" s="5" t="s">
        <v>574</v>
      </c>
      <c r="H161" s="5" t="s">
        <v>573</v>
      </c>
      <c r="I161" s="5" t="s">
        <v>574</v>
      </c>
      <c r="J161" s="5" t="s">
        <v>573</v>
      </c>
      <c r="K161" s="5" t="s">
        <v>573</v>
      </c>
      <c r="L161" s="5" t="s">
        <v>574</v>
      </c>
      <c r="M161" t="s">
        <v>692</v>
      </c>
      <c r="N161" s="5" t="s">
        <v>672</v>
      </c>
      <c r="O161" s="5" t="s">
        <v>738</v>
      </c>
    </row>
    <row r="162" spans="1:15" x14ac:dyDescent="0.2">
      <c r="A162" s="6">
        <v>160</v>
      </c>
      <c r="B162" s="5" t="s">
        <v>4</v>
      </c>
      <c r="C162" s="5" t="s">
        <v>291</v>
      </c>
      <c r="D162" s="5" t="s">
        <v>292</v>
      </c>
      <c r="E162" s="5">
        <v>50</v>
      </c>
      <c r="F162" s="5" t="s">
        <v>574</v>
      </c>
      <c r="G162" s="5" t="s">
        <v>574</v>
      </c>
      <c r="H162" s="5" t="s">
        <v>574</v>
      </c>
      <c r="I162" s="5" t="s">
        <v>573</v>
      </c>
      <c r="J162" s="5" t="s">
        <v>574</v>
      </c>
      <c r="K162" s="5" t="s">
        <v>573</v>
      </c>
      <c r="L162" s="5" t="s">
        <v>574</v>
      </c>
      <c r="M162" t="s">
        <v>680</v>
      </c>
      <c r="N162" s="5" t="s">
        <v>673</v>
      </c>
      <c r="O162" s="5" t="s">
        <v>738</v>
      </c>
    </row>
    <row r="163" spans="1:15" x14ac:dyDescent="0.2">
      <c r="A163" s="1">
        <v>161</v>
      </c>
      <c r="B163" t="s">
        <v>4</v>
      </c>
      <c r="C163" t="s">
        <v>293</v>
      </c>
      <c r="D163" t="s">
        <v>294</v>
      </c>
      <c r="E163">
        <v>50</v>
      </c>
      <c r="F163" t="s">
        <v>574</v>
      </c>
      <c r="G163" t="s">
        <v>574</v>
      </c>
      <c r="H163" t="s">
        <v>574</v>
      </c>
      <c r="I163" t="s">
        <v>574</v>
      </c>
      <c r="J163" t="s">
        <v>574</v>
      </c>
      <c r="K163" t="s">
        <v>573</v>
      </c>
      <c r="L163" t="s">
        <v>574</v>
      </c>
      <c r="M163" t="s">
        <v>680</v>
      </c>
      <c r="N163" t="s">
        <v>674</v>
      </c>
      <c r="O163" t="s">
        <v>738</v>
      </c>
    </row>
    <row r="164" spans="1:15" x14ac:dyDescent="0.2">
      <c r="A164" s="1">
        <v>162</v>
      </c>
      <c r="B164" t="s">
        <v>4</v>
      </c>
      <c r="C164" t="s">
        <v>295</v>
      </c>
      <c r="D164" t="s">
        <v>296</v>
      </c>
      <c r="E164">
        <v>51</v>
      </c>
      <c r="F164" t="s">
        <v>574</v>
      </c>
      <c r="G164" t="s">
        <v>574</v>
      </c>
      <c r="H164" t="s">
        <v>573</v>
      </c>
      <c r="I164" t="s">
        <v>573</v>
      </c>
      <c r="J164" t="s">
        <v>574</v>
      </c>
      <c r="K164" t="s">
        <v>573</v>
      </c>
      <c r="L164" t="s">
        <v>574</v>
      </c>
      <c r="M164" t="s">
        <v>680</v>
      </c>
      <c r="N164" t="s">
        <v>675</v>
      </c>
      <c r="O164" t="s">
        <v>742</v>
      </c>
    </row>
    <row r="165" spans="1:15" x14ac:dyDescent="0.2">
      <c r="A165" s="1">
        <v>163</v>
      </c>
      <c r="B165" t="s">
        <v>4</v>
      </c>
      <c r="C165" t="s">
        <v>297</v>
      </c>
      <c r="D165" t="s">
        <v>298</v>
      </c>
      <c r="E165">
        <v>52</v>
      </c>
      <c r="F165" t="s">
        <v>574</v>
      </c>
      <c r="G165" t="s">
        <v>574</v>
      </c>
      <c r="H165" t="s">
        <v>573</v>
      </c>
      <c r="I165" t="s">
        <v>573</v>
      </c>
      <c r="J165" t="s">
        <v>574</v>
      </c>
      <c r="K165" t="s">
        <v>573</v>
      </c>
      <c r="L165" t="s">
        <v>574</v>
      </c>
      <c r="M165" t="s">
        <v>680</v>
      </c>
      <c r="O165" t="s">
        <v>742</v>
      </c>
    </row>
    <row r="166" spans="1:15" x14ac:dyDescent="0.2">
      <c r="A166" s="1">
        <v>164</v>
      </c>
      <c r="B166" t="s">
        <v>4</v>
      </c>
      <c r="C166" t="s">
        <v>299</v>
      </c>
      <c r="D166" t="s">
        <v>300</v>
      </c>
      <c r="E166">
        <v>54</v>
      </c>
      <c r="F166" t="s">
        <v>574</v>
      </c>
      <c r="G166" t="s">
        <v>574</v>
      </c>
      <c r="H166" t="s">
        <v>583</v>
      </c>
      <c r="I166" t="s">
        <v>583</v>
      </c>
      <c r="J166" t="s">
        <v>574</v>
      </c>
      <c r="K166" t="s">
        <v>573</v>
      </c>
      <c r="L166" t="s">
        <v>574</v>
      </c>
      <c r="M166" t="s">
        <v>645</v>
      </c>
      <c r="O166" t="s">
        <v>741</v>
      </c>
    </row>
    <row r="167" spans="1:15" x14ac:dyDescent="0.2">
      <c r="A167" s="1">
        <v>165</v>
      </c>
      <c r="B167" t="s">
        <v>4</v>
      </c>
      <c r="C167" t="s">
        <v>301</v>
      </c>
      <c r="D167" t="s">
        <v>302</v>
      </c>
      <c r="E167">
        <v>55</v>
      </c>
      <c r="F167" t="s">
        <v>574</v>
      </c>
      <c r="G167" t="s">
        <v>574</v>
      </c>
      <c r="H167" t="s">
        <v>574</v>
      </c>
      <c r="I167" t="s">
        <v>574</v>
      </c>
      <c r="J167" t="s">
        <v>574</v>
      </c>
      <c r="K167" t="s">
        <v>573</v>
      </c>
      <c r="L167" t="s">
        <v>574</v>
      </c>
      <c r="M167" t="s">
        <v>692</v>
      </c>
      <c r="N167" t="s">
        <v>676</v>
      </c>
      <c r="O167" t="s">
        <v>738</v>
      </c>
    </row>
    <row r="168" spans="1:15" x14ac:dyDescent="0.2">
      <c r="A168" s="1">
        <v>166</v>
      </c>
      <c r="B168" t="s">
        <v>4</v>
      </c>
      <c r="C168" t="s">
        <v>303</v>
      </c>
      <c r="D168" t="s">
        <v>304</v>
      </c>
      <c r="E168">
        <v>56</v>
      </c>
      <c r="F168" t="s">
        <v>574</v>
      </c>
      <c r="G168" t="s">
        <v>574</v>
      </c>
      <c r="H168" t="s">
        <v>573</v>
      </c>
      <c r="I168" t="s">
        <v>583</v>
      </c>
      <c r="J168" t="s">
        <v>574</v>
      </c>
      <c r="K168" t="s">
        <v>573</v>
      </c>
      <c r="L168" t="s">
        <v>573</v>
      </c>
      <c r="M168" t="s">
        <v>677</v>
      </c>
      <c r="N168" t="s">
        <v>677</v>
      </c>
      <c r="O168" t="s">
        <v>741</v>
      </c>
    </row>
    <row r="169" spans="1:15" x14ac:dyDescent="0.2">
      <c r="A169" s="1">
        <v>167</v>
      </c>
      <c r="B169" t="s">
        <v>4</v>
      </c>
      <c r="C169" t="s">
        <v>305</v>
      </c>
      <c r="D169" t="s">
        <v>306</v>
      </c>
      <c r="E169">
        <v>57</v>
      </c>
      <c r="F169" t="s">
        <v>574</v>
      </c>
      <c r="G169" t="s">
        <v>678</v>
      </c>
      <c r="H169" t="s">
        <v>573</v>
      </c>
      <c r="I169" t="s">
        <v>583</v>
      </c>
      <c r="J169" t="s">
        <v>573</v>
      </c>
      <c r="K169" t="s">
        <v>573</v>
      </c>
      <c r="L169" t="s">
        <v>574</v>
      </c>
      <c r="M169" t="s">
        <v>614</v>
      </c>
      <c r="O169" t="s">
        <v>736</v>
      </c>
    </row>
    <row r="170" spans="1:15" x14ac:dyDescent="0.2">
      <c r="A170" s="1">
        <v>168</v>
      </c>
      <c r="B170" t="s">
        <v>4</v>
      </c>
      <c r="C170" t="s">
        <v>307</v>
      </c>
      <c r="D170" t="s">
        <v>308</v>
      </c>
      <c r="E170">
        <v>58</v>
      </c>
      <c r="F170" t="s">
        <v>574</v>
      </c>
      <c r="G170" t="s">
        <v>600</v>
      </c>
      <c r="H170" t="s">
        <v>573</v>
      </c>
      <c r="I170" t="s">
        <v>573</v>
      </c>
      <c r="J170" t="s">
        <v>574</v>
      </c>
      <c r="K170" t="s">
        <v>573</v>
      </c>
      <c r="L170" t="s">
        <v>574</v>
      </c>
      <c r="M170" t="s">
        <v>683</v>
      </c>
      <c r="N170" t="s">
        <v>679</v>
      </c>
      <c r="O170" t="s">
        <v>742</v>
      </c>
    </row>
    <row r="171" spans="1:15" x14ac:dyDescent="0.2">
      <c r="A171" s="1">
        <v>169</v>
      </c>
      <c r="B171" t="s">
        <v>4</v>
      </c>
      <c r="C171" t="s">
        <v>309</v>
      </c>
      <c r="D171" t="s">
        <v>310</v>
      </c>
      <c r="E171">
        <v>58</v>
      </c>
      <c r="F171" t="s">
        <v>574</v>
      </c>
      <c r="G171" t="s">
        <v>681</v>
      </c>
      <c r="H171" t="s">
        <v>573</v>
      </c>
      <c r="I171" t="s">
        <v>573</v>
      </c>
      <c r="J171" t="s">
        <v>574</v>
      </c>
      <c r="K171" t="s">
        <v>573</v>
      </c>
      <c r="L171" t="s">
        <v>574</v>
      </c>
      <c r="M171" t="s">
        <v>682</v>
      </c>
      <c r="N171" t="s">
        <v>684</v>
      </c>
      <c r="O171" t="s">
        <v>742</v>
      </c>
    </row>
    <row r="172" spans="1:15" x14ac:dyDescent="0.2">
      <c r="A172" s="1">
        <v>170</v>
      </c>
      <c r="B172" t="s">
        <v>4</v>
      </c>
      <c r="C172" t="s">
        <v>311</v>
      </c>
      <c r="D172" t="s">
        <v>312</v>
      </c>
      <c r="E172">
        <v>58</v>
      </c>
      <c r="F172" t="s">
        <v>574</v>
      </c>
      <c r="G172" t="s">
        <v>574</v>
      </c>
      <c r="H172" t="s">
        <v>573</v>
      </c>
      <c r="I172" t="s">
        <v>573</v>
      </c>
      <c r="J172" t="s">
        <v>574</v>
      </c>
      <c r="K172" t="s">
        <v>573</v>
      </c>
      <c r="L172" t="s">
        <v>574</v>
      </c>
      <c r="M172" t="s">
        <v>680</v>
      </c>
      <c r="O172" t="s">
        <v>742</v>
      </c>
    </row>
    <row r="173" spans="1:15" x14ac:dyDescent="0.2">
      <c r="A173" s="1">
        <v>171</v>
      </c>
      <c r="B173" t="s">
        <v>4</v>
      </c>
      <c r="C173" t="s">
        <v>313</v>
      </c>
      <c r="D173" t="s">
        <v>314</v>
      </c>
      <c r="E173">
        <v>59</v>
      </c>
      <c r="F173" t="s">
        <v>574</v>
      </c>
      <c r="G173" t="s">
        <v>600</v>
      </c>
      <c r="H173" t="s">
        <v>573</v>
      </c>
      <c r="I173" t="s">
        <v>573</v>
      </c>
      <c r="J173" t="s">
        <v>574</v>
      </c>
      <c r="K173" t="s">
        <v>573</v>
      </c>
      <c r="L173" t="s">
        <v>574</v>
      </c>
      <c r="M173" t="s">
        <v>618</v>
      </c>
      <c r="O173" t="s">
        <v>742</v>
      </c>
    </row>
    <row r="174" spans="1:15" x14ac:dyDescent="0.2">
      <c r="A174" s="1">
        <v>172</v>
      </c>
      <c r="B174" t="s">
        <v>4</v>
      </c>
      <c r="C174" t="s">
        <v>315</v>
      </c>
      <c r="D174" t="s">
        <v>314</v>
      </c>
      <c r="E174">
        <v>59</v>
      </c>
      <c r="F174" t="s">
        <v>574</v>
      </c>
      <c r="G174" t="s">
        <v>600</v>
      </c>
      <c r="H174" t="s">
        <v>573</v>
      </c>
      <c r="I174" t="s">
        <v>573</v>
      </c>
      <c r="J174" t="s">
        <v>574</v>
      </c>
      <c r="K174" t="s">
        <v>573</v>
      </c>
      <c r="L174" t="s">
        <v>574</v>
      </c>
      <c r="M174" t="s">
        <v>618</v>
      </c>
      <c r="O174" t="s">
        <v>742</v>
      </c>
    </row>
    <row r="175" spans="1:15" x14ac:dyDescent="0.2">
      <c r="A175" s="1">
        <v>173</v>
      </c>
      <c r="B175" t="s">
        <v>4</v>
      </c>
      <c r="C175" t="s">
        <v>316</v>
      </c>
      <c r="D175" t="s">
        <v>314</v>
      </c>
      <c r="E175">
        <v>59</v>
      </c>
      <c r="F175" t="s">
        <v>574</v>
      </c>
      <c r="G175" t="s">
        <v>600</v>
      </c>
      <c r="H175" t="s">
        <v>573</v>
      </c>
      <c r="I175" t="s">
        <v>573</v>
      </c>
      <c r="J175" t="s">
        <v>574</v>
      </c>
      <c r="K175" t="s">
        <v>573</v>
      </c>
      <c r="L175" t="s">
        <v>574</v>
      </c>
      <c r="M175" t="s">
        <v>618</v>
      </c>
      <c r="O175" t="s">
        <v>742</v>
      </c>
    </row>
    <row r="176" spans="1:15" x14ac:dyDescent="0.2">
      <c r="A176" s="1">
        <v>174</v>
      </c>
      <c r="B176" t="s">
        <v>4</v>
      </c>
      <c r="C176" t="s">
        <v>317</v>
      </c>
      <c r="D176" t="s">
        <v>314</v>
      </c>
      <c r="E176">
        <v>59</v>
      </c>
      <c r="F176" t="s">
        <v>574</v>
      </c>
      <c r="G176" t="s">
        <v>600</v>
      </c>
      <c r="H176" t="s">
        <v>573</v>
      </c>
      <c r="I176" t="s">
        <v>573</v>
      </c>
      <c r="J176" t="s">
        <v>574</v>
      </c>
      <c r="K176" t="s">
        <v>573</v>
      </c>
      <c r="L176" t="s">
        <v>574</v>
      </c>
      <c r="M176" t="s">
        <v>618</v>
      </c>
      <c r="O176" t="s">
        <v>742</v>
      </c>
    </row>
    <row r="177" spans="1:15" x14ac:dyDescent="0.2">
      <c r="A177" s="1">
        <v>175</v>
      </c>
      <c r="B177" t="s">
        <v>4</v>
      </c>
      <c r="C177" t="s">
        <v>318</v>
      </c>
      <c r="D177" t="s">
        <v>314</v>
      </c>
      <c r="E177">
        <v>59</v>
      </c>
      <c r="F177" t="s">
        <v>574</v>
      </c>
      <c r="G177" t="s">
        <v>600</v>
      </c>
      <c r="H177" t="s">
        <v>573</v>
      </c>
      <c r="I177" t="s">
        <v>573</v>
      </c>
      <c r="J177" t="s">
        <v>574</v>
      </c>
      <c r="K177" t="s">
        <v>573</v>
      </c>
      <c r="L177" t="s">
        <v>574</v>
      </c>
      <c r="M177" t="s">
        <v>618</v>
      </c>
      <c r="O177" t="s">
        <v>742</v>
      </c>
    </row>
    <row r="178" spans="1:15" x14ac:dyDescent="0.2">
      <c r="A178" s="1">
        <v>176</v>
      </c>
      <c r="B178" t="s">
        <v>4</v>
      </c>
      <c r="C178" t="s">
        <v>319</v>
      </c>
      <c r="D178" t="s">
        <v>320</v>
      </c>
      <c r="E178">
        <v>66</v>
      </c>
      <c r="F178" t="s">
        <v>574</v>
      </c>
      <c r="G178" t="s">
        <v>574</v>
      </c>
      <c r="H178" t="s">
        <v>573</v>
      </c>
      <c r="I178" t="s">
        <v>573</v>
      </c>
      <c r="J178" t="s">
        <v>574</v>
      </c>
      <c r="K178" t="s">
        <v>573</v>
      </c>
      <c r="L178" t="s">
        <v>574</v>
      </c>
      <c r="M178" t="s">
        <v>680</v>
      </c>
      <c r="O178" t="s">
        <v>742</v>
      </c>
    </row>
    <row r="179" spans="1:15" x14ac:dyDescent="0.2">
      <c r="A179" s="1">
        <v>177</v>
      </c>
      <c r="B179" t="s">
        <v>4</v>
      </c>
      <c r="C179" t="s">
        <v>321</v>
      </c>
      <c r="D179" t="s">
        <v>322</v>
      </c>
      <c r="E179">
        <v>68</v>
      </c>
      <c r="F179" t="s">
        <v>574</v>
      </c>
      <c r="G179" t="s">
        <v>574</v>
      </c>
      <c r="H179" t="s">
        <v>573</v>
      </c>
      <c r="I179" t="s">
        <v>573</v>
      </c>
      <c r="J179" t="s">
        <v>574</v>
      </c>
      <c r="K179" t="s">
        <v>573</v>
      </c>
      <c r="L179" t="s">
        <v>574</v>
      </c>
      <c r="M179" t="s">
        <v>680</v>
      </c>
      <c r="N179" t="s">
        <v>659</v>
      </c>
      <c r="O179" t="s">
        <v>742</v>
      </c>
    </row>
    <row r="180" spans="1:15" x14ac:dyDescent="0.2">
      <c r="A180" s="1">
        <v>178</v>
      </c>
      <c r="B180" t="s">
        <v>4</v>
      </c>
      <c r="C180" t="s">
        <v>323</v>
      </c>
      <c r="D180" t="s">
        <v>324</v>
      </c>
      <c r="E180">
        <v>70</v>
      </c>
      <c r="F180" t="s">
        <v>574</v>
      </c>
      <c r="G180" t="s">
        <v>574</v>
      </c>
      <c r="H180" t="s">
        <v>573</v>
      </c>
      <c r="I180" t="s">
        <v>574</v>
      </c>
      <c r="J180" t="s">
        <v>574</v>
      </c>
      <c r="K180" t="s">
        <v>573</v>
      </c>
      <c r="L180" t="s">
        <v>574</v>
      </c>
      <c r="M180" t="s">
        <v>680</v>
      </c>
      <c r="N180" t="s">
        <v>685</v>
      </c>
      <c r="O180" t="s">
        <v>742</v>
      </c>
    </row>
    <row r="181" spans="1:15" x14ac:dyDescent="0.2">
      <c r="A181" s="1">
        <v>179</v>
      </c>
      <c r="B181" t="s">
        <v>4</v>
      </c>
      <c r="C181" t="s">
        <v>325</v>
      </c>
      <c r="D181" t="s">
        <v>326</v>
      </c>
      <c r="E181">
        <v>74</v>
      </c>
      <c r="F181" t="s">
        <v>574</v>
      </c>
      <c r="G181" t="s">
        <v>574</v>
      </c>
      <c r="H181" t="s">
        <v>573</v>
      </c>
      <c r="I181" t="s">
        <v>573</v>
      </c>
      <c r="J181" t="s">
        <v>574</v>
      </c>
      <c r="K181" t="s">
        <v>573</v>
      </c>
      <c r="L181" t="s">
        <v>574</v>
      </c>
      <c r="M181" t="s">
        <v>680</v>
      </c>
      <c r="N181" t="s">
        <v>686</v>
      </c>
      <c r="O181" t="s">
        <v>742</v>
      </c>
    </row>
    <row r="182" spans="1:15" x14ac:dyDescent="0.2">
      <c r="A182" s="1">
        <v>180</v>
      </c>
      <c r="B182" t="s">
        <v>4</v>
      </c>
      <c r="C182" t="s">
        <v>327</v>
      </c>
      <c r="D182" t="s">
        <v>328</v>
      </c>
      <c r="E182">
        <v>76</v>
      </c>
      <c r="F182" t="s">
        <v>574</v>
      </c>
      <c r="G182" t="s">
        <v>574</v>
      </c>
      <c r="H182" t="s">
        <v>574</v>
      </c>
      <c r="I182" t="s">
        <v>574</v>
      </c>
      <c r="J182" t="s">
        <v>574</v>
      </c>
      <c r="K182" t="s">
        <v>574</v>
      </c>
      <c r="L182" t="s">
        <v>574</v>
      </c>
      <c r="M182" t="s">
        <v>682</v>
      </c>
      <c r="N182" t="s">
        <v>687</v>
      </c>
      <c r="O182" t="s">
        <v>742</v>
      </c>
    </row>
    <row r="183" spans="1:15" x14ac:dyDescent="0.2">
      <c r="A183" s="1">
        <v>181</v>
      </c>
      <c r="B183" t="s">
        <v>4</v>
      </c>
      <c r="C183" t="s">
        <v>329</v>
      </c>
      <c r="D183" t="s">
        <v>330</v>
      </c>
      <c r="E183">
        <v>78</v>
      </c>
      <c r="F183" t="s">
        <v>574</v>
      </c>
      <c r="G183" t="s">
        <v>574</v>
      </c>
      <c r="H183" t="s">
        <v>583</v>
      </c>
      <c r="I183" t="s">
        <v>583</v>
      </c>
      <c r="J183" t="s">
        <v>574</v>
      </c>
      <c r="K183" t="s">
        <v>573</v>
      </c>
      <c r="L183" t="s">
        <v>574</v>
      </c>
      <c r="M183" t="s">
        <v>688</v>
      </c>
      <c r="N183" t="s">
        <v>689</v>
      </c>
      <c r="O183" t="s">
        <v>741</v>
      </c>
    </row>
    <row r="184" spans="1:15" x14ac:dyDescent="0.2">
      <c r="A184" s="1">
        <v>182</v>
      </c>
      <c r="B184" t="s">
        <v>4</v>
      </c>
      <c r="C184" t="s">
        <v>331</v>
      </c>
      <c r="D184" t="s">
        <v>332</v>
      </c>
      <c r="E184">
        <v>80</v>
      </c>
      <c r="F184" t="s">
        <v>574</v>
      </c>
      <c r="G184" t="s">
        <v>574</v>
      </c>
      <c r="H184" t="s">
        <v>573</v>
      </c>
      <c r="I184" t="s">
        <v>574</v>
      </c>
      <c r="J184" t="s">
        <v>574</v>
      </c>
      <c r="K184" t="s">
        <v>573</v>
      </c>
      <c r="L184" t="s">
        <v>574</v>
      </c>
      <c r="M184" t="s">
        <v>680</v>
      </c>
      <c r="N184" t="s">
        <v>690</v>
      </c>
      <c r="O184" t="s">
        <v>738</v>
      </c>
    </row>
    <row r="185" spans="1:15" x14ac:dyDescent="0.2">
      <c r="A185" s="1">
        <v>183</v>
      </c>
      <c r="B185" t="s">
        <v>4</v>
      </c>
      <c r="C185" s="4" t="s">
        <v>333</v>
      </c>
      <c r="D185" s="4" t="s">
        <v>334</v>
      </c>
      <c r="E185" s="4">
        <v>84</v>
      </c>
      <c r="F185" s="4" t="s">
        <v>574</v>
      </c>
      <c r="G185" s="4" t="s">
        <v>574</v>
      </c>
      <c r="H185" s="4" t="s">
        <v>573</v>
      </c>
      <c r="I185" s="4" t="s">
        <v>573</v>
      </c>
      <c r="J185" s="4" t="s">
        <v>574</v>
      </c>
      <c r="K185" s="4" t="s">
        <v>573</v>
      </c>
      <c r="L185" s="4" t="s">
        <v>574</v>
      </c>
      <c r="M185" s="4" t="s">
        <v>614</v>
      </c>
      <c r="N185" s="4" t="s">
        <v>691</v>
      </c>
      <c r="O185" s="4" t="s">
        <v>736</v>
      </c>
    </row>
    <row r="186" spans="1:15" x14ac:dyDescent="0.2">
      <c r="A186" s="1">
        <v>184</v>
      </c>
      <c r="B186" t="s">
        <v>4</v>
      </c>
      <c r="C186" t="s">
        <v>335</v>
      </c>
      <c r="D186" t="s">
        <v>336</v>
      </c>
      <c r="E186">
        <v>85</v>
      </c>
      <c r="F186" t="s">
        <v>574</v>
      </c>
      <c r="G186" t="s">
        <v>574</v>
      </c>
      <c r="H186" t="s">
        <v>574</v>
      </c>
      <c r="I186" t="s">
        <v>574</v>
      </c>
      <c r="J186" t="s">
        <v>574</v>
      </c>
      <c r="K186" t="s">
        <v>574</v>
      </c>
      <c r="L186" t="s">
        <v>574</v>
      </c>
      <c r="M186" t="s">
        <v>692</v>
      </c>
      <c r="N186" t="s">
        <v>693</v>
      </c>
      <c r="O186" t="s">
        <v>738</v>
      </c>
    </row>
    <row r="187" spans="1:15" x14ac:dyDescent="0.2">
      <c r="A187" s="1">
        <v>185</v>
      </c>
      <c r="B187" t="s">
        <v>4</v>
      </c>
      <c r="C187" t="s">
        <v>337</v>
      </c>
      <c r="D187" t="s">
        <v>338</v>
      </c>
      <c r="E187">
        <v>88</v>
      </c>
      <c r="F187" t="s">
        <v>574</v>
      </c>
      <c r="G187" t="s">
        <v>574</v>
      </c>
      <c r="H187" t="s">
        <v>573</v>
      </c>
      <c r="I187" t="s">
        <v>583</v>
      </c>
      <c r="J187" t="s">
        <v>574</v>
      </c>
      <c r="K187" t="s">
        <v>573</v>
      </c>
      <c r="L187" t="s">
        <v>574</v>
      </c>
      <c r="M187" t="s">
        <v>618</v>
      </c>
      <c r="O187" t="s">
        <v>742</v>
      </c>
    </row>
    <row r="188" spans="1:15" x14ac:dyDescent="0.2">
      <c r="A188" s="1">
        <v>186</v>
      </c>
      <c r="B188" t="s">
        <v>4</v>
      </c>
      <c r="C188" t="s">
        <v>339</v>
      </c>
      <c r="D188" t="s">
        <v>340</v>
      </c>
      <c r="E188">
        <v>89</v>
      </c>
      <c r="F188" t="s">
        <v>574</v>
      </c>
      <c r="G188" t="s">
        <v>574</v>
      </c>
      <c r="H188" t="s">
        <v>573</v>
      </c>
      <c r="I188" t="s">
        <v>574</v>
      </c>
      <c r="J188" t="s">
        <v>574</v>
      </c>
      <c r="K188" t="s">
        <v>573</v>
      </c>
      <c r="L188" t="s">
        <v>574</v>
      </c>
      <c r="M188" t="s">
        <v>721</v>
      </c>
      <c r="N188" t="s">
        <v>694</v>
      </c>
      <c r="O188" t="s">
        <v>735</v>
      </c>
    </row>
    <row r="189" spans="1:15" x14ac:dyDescent="0.2">
      <c r="A189" s="1">
        <v>187</v>
      </c>
      <c r="B189" t="s">
        <v>4</v>
      </c>
      <c r="C189" t="s">
        <v>341</v>
      </c>
      <c r="D189" t="s">
        <v>342</v>
      </c>
      <c r="E189">
        <v>91</v>
      </c>
      <c r="F189" t="s">
        <v>574</v>
      </c>
      <c r="G189" t="s">
        <v>574</v>
      </c>
      <c r="H189" t="s">
        <v>573</v>
      </c>
      <c r="I189" t="s">
        <v>573</v>
      </c>
      <c r="J189" t="s">
        <v>574</v>
      </c>
      <c r="K189" t="s">
        <v>573</v>
      </c>
      <c r="L189" t="s">
        <v>573</v>
      </c>
      <c r="M189" t="s">
        <v>680</v>
      </c>
      <c r="N189" t="s">
        <v>677</v>
      </c>
      <c r="O189" t="s">
        <v>742</v>
      </c>
    </row>
    <row r="190" spans="1:15" x14ac:dyDescent="0.2">
      <c r="A190" s="1">
        <v>188</v>
      </c>
      <c r="B190" t="s">
        <v>4</v>
      </c>
      <c r="C190" t="s">
        <v>343</v>
      </c>
      <c r="D190" t="s">
        <v>344</v>
      </c>
      <c r="E190">
        <v>91</v>
      </c>
      <c r="F190" t="s">
        <v>574</v>
      </c>
      <c r="G190" t="s">
        <v>574</v>
      </c>
      <c r="H190" t="s">
        <v>573</v>
      </c>
      <c r="I190" t="s">
        <v>573</v>
      </c>
      <c r="J190" t="s">
        <v>574</v>
      </c>
      <c r="K190" t="s">
        <v>573</v>
      </c>
      <c r="L190" t="s">
        <v>574</v>
      </c>
      <c r="M190" t="s">
        <v>680</v>
      </c>
      <c r="N190" t="s">
        <v>695</v>
      </c>
      <c r="O190" t="s">
        <v>742</v>
      </c>
    </row>
    <row r="191" spans="1:15" x14ac:dyDescent="0.2">
      <c r="A191" s="6">
        <v>189</v>
      </c>
      <c r="B191" s="5" t="s">
        <v>4</v>
      </c>
      <c r="C191" s="5" t="s">
        <v>345</v>
      </c>
      <c r="D191" s="5" t="s">
        <v>346</v>
      </c>
      <c r="E191" s="5">
        <v>92</v>
      </c>
      <c r="F191" s="5" t="s">
        <v>574</v>
      </c>
      <c r="G191" s="5" t="s">
        <v>574</v>
      </c>
      <c r="H191" s="5" t="s">
        <v>573</v>
      </c>
      <c r="I191" s="5" t="s">
        <v>573</v>
      </c>
      <c r="J191" s="5" t="s">
        <v>574</v>
      </c>
      <c r="K191" s="5" t="s">
        <v>574</v>
      </c>
      <c r="L191" s="5" t="s">
        <v>574</v>
      </c>
      <c r="M191" s="5" t="s">
        <v>696</v>
      </c>
      <c r="N191" s="5" t="s">
        <v>697</v>
      </c>
      <c r="O191" s="5" t="s">
        <v>733</v>
      </c>
    </row>
    <row r="192" spans="1:15" x14ac:dyDescent="0.2">
      <c r="A192" s="1">
        <v>190</v>
      </c>
      <c r="B192" t="s">
        <v>4</v>
      </c>
      <c r="C192" t="s">
        <v>347</v>
      </c>
      <c r="D192" t="s">
        <v>348</v>
      </c>
      <c r="E192">
        <v>93</v>
      </c>
      <c r="F192" t="s">
        <v>574</v>
      </c>
      <c r="G192" t="s">
        <v>600</v>
      </c>
      <c r="H192" t="s">
        <v>573</v>
      </c>
      <c r="I192" t="s">
        <v>573</v>
      </c>
      <c r="J192" t="s">
        <v>574</v>
      </c>
      <c r="K192" t="s">
        <v>574</v>
      </c>
      <c r="L192" t="s">
        <v>574</v>
      </c>
      <c r="M192" t="s">
        <v>618</v>
      </c>
      <c r="O192" t="s">
        <v>742</v>
      </c>
    </row>
    <row r="193" spans="1:15" x14ac:dyDescent="0.2">
      <c r="A193" s="1">
        <v>191</v>
      </c>
      <c r="B193" t="s">
        <v>4</v>
      </c>
      <c r="C193" t="s">
        <v>349</v>
      </c>
      <c r="D193" t="s">
        <v>350</v>
      </c>
      <c r="E193">
        <v>94</v>
      </c>
      <c r="F193" t="s">
        <v>574</v>
      </c>
      <c r="G193" t="s">
        <v>574</v>
      </c>
      <c r="H193" t="s">
        <v>573</v>
      </c>
      <c r="I193" t="s">
        <v>583</v>
      </c>
      <c r="J193" t="s">
        <v>574</v>
      </c>
      <c r="K193" t="s">
        <v>573</v>
      </c>
      <c r="L193" t="s">
        <v>574</v>
      </c>
      <c r="M193" t="s">
        <v>618</v>
      </c>
      <c r="O193" t="s">
        <v>742</v>
      </c>
    </row>
    <row r="194" spans="1:15" x14ac:dyDescent="0.2">
      <c r="A194" s="1">
        <v>192</v>
      </c>
      <c r="B194" t="s">
        <v>4</v>
      </c>
      <c r="C194" t="s">
        <v>351</v>
      </c>
      <c r="D194" t="s">
        <v>352</v>
      </c>
      <c r="E194">
        <v>94</v>
      </c>
      <c r="F194" t="s">
        <v>574</v>
      </c>
      <c r="G194" t="s">
        <v>574</v>
      </c>
      <c r="H194" t="s">
        <v>573</v>
      </c>
      <c r="I194" t="s">
        <v>574</v>
      </c>
      <c r="J194" t="s">
        <v>574</v>
      </c>
      <c r="K194" t="s">
        <v>574</v>
      </c>
      <c r="L194" t="s">
        <v>574</v>
      </c>
      <c r="M194" t="s">
        <v>692</v>
      </c>
      <c r="N194" t="s">
        <v>698</v>
      </c>
      <c r="O194" t="s">
        <v>738</v>
      </c>
    </row>
    <row r="195" spans="1:15" x14ac:dyDescent="0.2">
      <c r="A195" s="1">
        <v>193</v>
      </c>
      <c r="B195" t="s">
        <v>4</v>
      </c>
      <c r="C195" t="s">
        <v>353</v>
      </c>
      <c r="D195" t="s">
        <v>354</v>
      </c>
      <c r="E195">
        <v>94</v>
      </c>
      <c r="F195" t="s">
        <v>574</v>
      </c>
      <c r="G195" t="s">
        <v>574</v>
      </c>
      <c r="H195" t="s">
        <v>574</v>
      </c>
      <c r="I195" t="s">
        <v>574</v>
      </c>
      <c r="J195" t="s">
        <v>574</v>
      </c>
      <c r="K195" t="s">
        <v>574</v>
      </c>
      <c r="L195" t="s">
        <v>574</v>
      </c>
      <c r="M195" t="s">
        <v>692</v>
      </c>
      <c r="N195" t="s">
        <v>698</v>
      </c>
      <c r="O195" t="s">
        <v>738</v>
      </c>
    </row>
    <row r="196" spans="1:15" x14ac:dyDescent="0.2">
      <c r="A196" s="1">
        <v>194</v>
      </c>
      <c r="B196" t="s">
        <v>4</v>
      </c>
      <c r="C196" t="s">
        <v>355</v>
      </c>
      <c r="D196" t="s">
        <v>356</v>
      </c>
      <c r="E196">
        <v>95</v>
      </c>
      <c r="F196" t="s">
        <v>574</v>
      </c>
      <c r="G196" t="s">
        <v>574</v>
      </c>
      <c r="H196" t="s">
        <v>573</v>
      </c>
      <c r="I196" t="s">
        <v>573</v>
      </c>
      <c r="J196" t="s">
        <v>574</v>
      </c>
      <c r="K196" t="s">
        <v>573</v>
      </c>
      <c r="L196" t="s">
        <v>574</v>
      </c>
      <c r="M196" t="s">
        <v>682</v>
      </c>
      <c r="N196" t="s">
        <v>680</v>
      </c>
      <c r="O196" t="s">
        <v>742</v>
      </c>
    </row>
    <row r="197" spans="1:15" x14ac:dyDescent="0.2">
      <c r="A197" s="1">
        <v>195</v>
      </c>
      <c r="B197" t="s">
        <v>4</v>
      </c>
      <c r="C197" t="s">
        <v>357</v>
      </c>
      <c r="D197" t="s">
        <v>358</v>
      </c>
      <c r="E197">
        <v>98</v>
      </c>
      <c r="F197" t="s">
        <v>574</v>
      </c>
      <c r="G197" t="s">
        <v>574</v>
      </c>
      <c r="H197" t="s">
        <v>574</v>
      </c>
      <c r="I197" t="s">
        <v>574</v>
      </c>
      <c r="J197" t="s">
        <v>574</v>
      </c>
      <c r="K197" t="s">
        <v>574</v>
      </c>
      <c r="L197" t="s">
        <v>574</v>
      </c>
      <c r="M197" t="s">
        <v>692</v>
      </c>
      <c r="N197" t="s">
        <v>699</v>
      </c>
      <c r="O197" t="s">
        <v>736</v>
      </c>
    </row>
    <row r="198" spans="1:15" x14ac:dyDescent="0.2">
      <c r="A198" s="1">
        <v>196</v>
      </c>
      <c r="B198" t="s">
        <v>4</v>
      </c>
      <c r="C198" t="s">
        <v>359</v>
      </c>
      <c r="D198" t="s">
        <v>360</v>
      </c>
      <c r="E198">
        <v>100</v>
      </c>
      <c r="F198" t="s">
        <v>574</v>
      </c>
      <c r="G198" t="s">
        <v>574</v>
      </c>
      <c r="H198" t="s">
        <v>573</v>
      </c>
      <c r="I198" t="s">
        <v>583</v>
      </c>
      <c r="J198" t="s">
        <v>574</v>
      </c>
      <c r="K198" t="s">
        <v>573</v>
      </c>
      <c r="L198" t="s">
        <v>574</v>
      </c>
      <c r="M198" t="s">
        <v>680</v>
      </c>
      <c r="N198" t="s">
        <v>700</v>
      </c>
      <c r="O198" t="s">
        <v>742</v>
      </c>
    </row>
    <row r="199" spans="1:15" x14ac:dyDescent="0.2">
      <c r="A199" s="1">
        <v>197</v>
      </c>
      <c r="B199" t="s">
        <v>4</v>
      </c>
      <c r="C199" t="s">
        <v>361</v>
      </c>
      <c r="D199" t="s">
        <v>362</v>
      </c>
      <c r="E199">
        <v>102</v>
      </c>
      <c r="F199" t="s">
        <v>574</v>
      </c>
      <c r="G199" t="s">
        <v>574</v>
      </c>
      <c r="H199" t="s">
        <v>573</v>
      </c>
      <c r="I199" t="s">
        <v>583</v>
      </c>
      <c r="J199" t="s">
        <v>574</v>
      </c>
      <c r="K199" t="s">
        <v>573</v>
      </c>
      <c r="L199" t="s">
        <v>574</v>
      </c>
      <c r="M199" t="s">
        <v>688</v>
      </c>
      <c r="O199" t="s">
        <v>741</v>
      </c>
    </row>
    <row r="200" spans="1:15" x14ac:dyDescent="0.2">
      <c r="A200" s="1">
        <v>198</v>
      </c>
      <c r="B200" t="s">
        <v>4</v>
      </c>
      <c r="C200" t="s">
        <v>363</v>
      </c>
      <c r="D200" t="s">
        <v>364</v>
      </c>
      <c r="E200">
        <v>105</v>
      </c>
      <c r="F200" t="s">
        <v>574</v>
      </c>
      <c r="G200" t="s">
        <v>574</v>
      </c>
      <c r="H200" t="s">
        <v>573</v>
      </c>
      <c r="I200" t="s">
        <v>573</v>
      </c>
      <c r="J200" t="s">
        <v>574</v>
      </c>
      <c r="K200" t="s">
        <v>573</v>
      </c>
      <c r="L200" t="s">
        <v>574</v>
      </c>
      <c r="M200" t="s">
        <v>680</v>
      </c>
      <c r="O200" t="s">
        <v>742</v>
      </c>
    </row>
    <row r="201" spans="1:15" x14ac:dyDescent="0.2">
      <c r="A201" s="6">
        <v>199</v>
      </c>
      <c r="B201" s="5" t="s">
        <v>4</v>
      </c>
      <c r="C201" s="5" t="s">
        <v>365</v>
      </c>
      <c r="D201" s="5" t="s">
        <v>366</v>
      </c>
      <c r="E201" s="5">
        <v>106</v>
      </c>
      <c r="F201" s="5" t="s">
        <v>574</v>
      </c>
      <c r="G201" s="5" t="s">
        <v>574</v>
      </c>
      <c r="H201" s="5" t="s">
        <v>574</v>
      </c>
      <c r="I201" s="5" t="s">
        <v>574</v>
      </c>
      <c r="J201" s="5" t="s">
        <v>574</v>
      </c>
      <c r="K201" s="5" t="s">
        <v>574</v>
      </c>
      <c r="L201" s="5" t="s">
        <v>574</v>
      </c>
      <c r="M201" s="5" t="s">
        <v>692</v>
      </c>
      <c r="N201" s="5" t="s">
        <v>701</v>
      </c>
      <c r="O201" s="5" t="s">
        <v>736</v>
      </c>
    </row>
    <row r="202" spans="1:15" x14ac:dyDescent="0.2">
      <c r="A202" s="1">
        <v>200</v>
      </c>
      <c r="B202" t="s">
        <v>367</v>
      </c>
      <c r="C202" t="s">
        <v>368</v>
      </c>
      <c r="D202" t="s">
        <v>369</v>
      </c>
      <c r="E202">
        <v>4179</v>
      </c>
      <c r="F202" t="s">
        <v>574</v>
      </c>
      <c r="G202" t="s">
        <v>653</v>
      </c>
      <c r="H202" t="s">
        <v>583</v>
      </c>
      <c r="I202" t="s">
        <v>573</v>
      </c>
      <c r="J202" t="s">
        <v>574</v>
      </c>
      <c r="K202" t="s">
        <v>573</v>
      </c>
      <c r="L202" t="s">
        <v>574</v>
      </c>
      <c r="M202" t="s">
        <v>614</v>
      </c>
      <c r="O202" t="s">
        <v>736</v>
      </c>
    </row>
    <row r="203" spans="1:15" x14ac:dyDescent="0.2">
      <c r="A203" s="1">
        <v>201</v>
      </c>
      <c r="B203" t="s">
        <v>367</v>
      </c>
      <c r="C203" t="s">
        <v>370</v>
      </c>
      <c r="D203" t="s">
        <v>371</v>
      </c>
      <c r="E203">
        <v>3961</v>
      </c>
      <c r="F203" t="s">
        <v>574</v>
      </c>
      <c r="G203" t="s">
        <v>653</v>
      </c>
      <c r="H203" t="s">
        <v>583</v>
      </c>
      <c r="I203" t="s">
        <v>573</v>
      </c>
      <c r="J203" t="s">
        <v>574</v>
      </c>
      <c r="K203" t="s">
        <v>573</v>
      </c>
      <c r="L203" t="s">
        <v>574</v>
      </c>
      <c r="M203" t="s">
        <v>614</v>
      </c>
      <c r="O203" t="s">
        <v>736</v>
      </c>
    </row>
    <row r="204" spans="1:15" x14ac:dyDescent="0.2">
      <c r="A204" s="1">
        <v>202</v>
      </c>
      <c r="B204" t="s">
        <v>367</v>
      </c>
      <c r="C204" t="s">
        <v>372</v>
      </c>
      <c r="D204" t="s">
        <v>373</v>
      </c>
      <c r="E204">
        <v>2842</v>
      </c>
      <c r="F204" t="s">
        <v>574</v>
      </c>
      <c r="G204" t="s">
        <v>574</v>
      </c>
      <c r="H204" t="s">
        <v>573</v>
      </c>
      <c r="I204" t="s">
        <v>583</v>
      </c>
      <c r="J204" t="s">
        <v>574</v>
      </c>
      <c r="K204" t="s">
        <v>573</v>
      </c>
      <c r="L204" t="s">
        <v>574</v>
      </c>
      <c r="M204" t="s">
        <v>614</v>
      </c>
      <c r="O204" t="s">
        <v>736</v>
      </c>
    </row>
    <row r="205" spans="1:15" x14ac:dyDescent="0.2">
      <c r="A205" s="1">
        <v>203</v>
      </c>
      <c r="B205" t="s">
        <v>367</v>
      </c>
      <c r="C205" t="s">
        <v>374</v>
      </c>
      <c r="D205" t="s">
        <v>375</v>
      </c>
      <c r="E205">
        <v>2437</v>
      </c>
      <c r="F205" t="s">
        <v>574</v>
      </c>
      <c r="G205" t="s">
        <v>600</v>
      </c>
      <c r="H205" t="s">
        <v>573</v>
      </c>
      <c r="I205" t="s">
        <v>574</v>
      </c>
      <c r="J205" t="s">
        <v>574</v>
      </c>
      <c r="K205" t="s">
        <v>573</v>
      </c>
      <c r="L205" t="s">
        <v>574</v>
      </c>
      <c r="M205" t="s">
        <v>703</v>
      </c>
      <c r="N205" t="s">
        <v>702</v>
      </c>
      <c r="O205" t="s">
        <v>742</v>
      </c>
    </row>
    <row r="206" spans="1:15" x14ac:dyDescent="0.2">
      <c r="A206" s="1">
        <v>204</v>
      </c>
      <c r="B206" t="s">
        <v>367</v>
      </c>
      <c r="C206" t="s">
        <v>376</v>
      </c>
      <c r="D206" t="s">
        <v>377</v>
      </c>
      <c r="E206">
        <v>2435</v>
      </c>
      <c r="F206" t="s">
        <v>574</v>
      </c>
      <c r="G206" t="s">
        <v>574</v>
      </c>
      <c r="H206" t="s">
        <v>573</v>
      </c>
      <c r="I206" t="s">
        <v>583</v>
      </c>
      <c r="J206" t="s">
        <v>574</v>
      </c>
      <c r="K206" t="s">
        <v>573</v>
      </c>
      <c r="L206" t="s">
        <v>574</v>
      </c>
      <c r="M206" t="s">
        <v>614</v>
      </c>
      <c r="O206" t="s">
        <v>736</v>
      </c>
    </row>
    <row r="207" spans="1:15" x14ac:dyDescent="0.2">
      <c r="A207" s="1">
        <v>205</v>
      </c>
      <c r="B207" t="s">
        <v>367</v>
      </c>
      <c r="C207" t="s">
        <v>378</v>
      </c>
      <c r="D207" t="s">
        <v>379</v>
      </c>
      <c r="E207">
        <v>2197</v>
      </c>
      <c r="F207" t="s">
        <v>574</v>
      </c>
      <c r="G207" t="s">
        <v>574</v>
      </c>
      <c r="H207" t="s">
        <v>574</v>
      </c>
      <c r="I207" t="s">
        <v>574</v>
      </c>
      <c r="J207" t="s">
        <v>574</v>
      </c>
      <c r="K207" t="s">
        <v>573</v>
      </c>
      <c r="L207" t="s">
        <v>574</v>
      </c>
      <c r="M207" t="s">
        <v>703</v>
      </c>
      <c r="N207" t="s">
        <v>705</v>
      </c>
      <c r="O207" t="s">
        <v>736</v>
      </c>
    </row>
    <row r="208" spans="1:15" x14ac:dyDescent="0.2">
      <c r="A208" s="1">
        <v>206</v>
      </c>
      <c r="B208" t="s">
        <v>367</v>
      </c>
      <c r="C208" t="s">
        <v>380</v>
      </c>
      <c r="D208" t="s">
        <v>381</v>
      </c>
      <c r="E208">
        <v>2167</v>
      </c>
      <c r="F208" t="s">
        <v>574</v>
      </c>
      <c r="G208" t="s">
        <v>600</v>
      </c>
      <c r="H208" t="s">
        <v>573</v>
      </c>
      <c r="I208" t="s">
        <v>573</v>
      </c>
      <c r="J208" t="s">
        <v>574</v>
      </c>
      <c r="K208" t="s">
        <v>573</v>
      </c>
      <c r="L208" t="s">
        <v>574</v>
      </c>
      <c r="M208" t="s">
        <v>614</v>
      </c>
      <c r="O208" t="s">
        <v>736</v>
      </c>
    </row>
    <row r="209" spans="1:15" x14ac:dyDescent="0.2">
      <c r="A209" s="1">
        <v>207</v>
      </c>
      <c r="B209" t="s">
        <v>367</v>
      </c>
      <c r="C209" t="s">
        <v>382</v>
      </c>
      <c r="D209" t="s">
        <v>383</v>
      </c>
      <c r="E209">
        <v>1977</v>
      </c>
      <c r="F209" t="s">
        <v>574</v>
      </c>
      <c r="G209" t="s">
        <v>574</v>
      </c>
      <c r="H209" t="s">
        <v>573</v>
      </c>
      <c r="I209" t="s">
        <v>583</v>
      </c>
      <c r="J209" t="s">
        <v>574</v>
      </c>
      <c r="K209" t="s">
        <v>573</v>
      </c>
      <c r="L209" t="s">
        <v>574</v>
      </c>
      <c r="M209" t="s">
        <v>614</v>
      </c>
      <c r="O209" t="s">
        <v>736</v>
      </c>
    </row>
    <row r="210" spans="1:15" x14ac:dyDescent="0.2">
      <c r="A210" s="1">
        <v>208</v>
      </c>
      <c r="B210" t="s">
        <v>367</v>
      </c>
      <c r="C210" t="s">
        <v>384</v>
      </c>
      <c r="D210" t="s">
        <v>385</v>
      </c>
      <c r="E210">
        <v>1951</v>
      </c>
      <c r="F210" t="s">
        <v>574</v>
      </c>
      <c r="G210" t="s">
        <v>600</v>
      </c>
      <c r="H210" t="s">
        <v>583</v>
      </c>
      <c r="I210" t="s">
        <v>573</v>
      </c>
      <c r="J210" t="s">
        <v>574</v>
      </c>
      <c r="K210" t="s">
        <v>573</v>
      </c>
      <c r="L210" t="s">
        <v>574</v>
      </c>
      <c r="M210" t="s">
        <v>614</v>
      </c>
      <c r="N210" t="s">
        <v>704</v>
      </c>
      <c r="O210" t="s">
        <v>736</v>
      </c>
    </row>
    <row r="211" spans="1:15" x14ac:dyDescent="0.2">
      <c r="A211" s="1">
        <v>209</v>
      </c>
      <c r="B211" t="s">
        <v>367</v>
      </c>
      <c r="C211" t="s">
        <v>386</v>
      </c>
      <c r="D211" t="s">
        <v>387</v>
      </c>
      <c r="E211">
        <v>1796</v>
      </c>
      <c r="F211" t="s">
        <v>574</v>
      </c>
      <c r="G211" t="s">
        <v>600</v>
      </c>
      <c r="H211" t="s">
        <v>573</v>
      </c>
      <c r="I211" t="s">
        <v>573</v>
      </c>
      <c r="J211" t="s">
        <v>574</v>
      </c>
      <c r="K211" t="s">
        <v>573</v>
      </c>
      <c r="L211" t="s">
        <v>574</v>
      </c>
      <c r="M211" t="s">
        <v>614</v>
      </c>
      <c r="O211" t="s">
        <v>736</v>
      </c>
    </row>
    <row r="212" spans="1:15" x14ac:dyDescent="0.2">
      <c r="A212" s="1">
        <v>210</v>
      </c>
      <c r="B212" t="s">
        <v>367</v>
      </c>
      <c r="C212" t="s">
        <v>388</v>
      </c>
      <c r="D212" t="s">
        <v>389</v>
      </c>
      <c r="E212">
        <v>1747</v>
      </c>
      <c r="F212" t="s">
        <v>574</v>
      </c>
      <c r="G212" t="s">
        <v>574</v>
      </c>
      <c r="H212" t="s">
        <v>574</v>
      </c>
      <c r="I212" t="s">
        <v>583</v>
      </c>
      <c r="J212" t="s">
        <v>574</v>
      </c>
      <c r="K212" t="s">
        <v>573</v>
      </c>
      <c r="L212" t="s">
        <v>574</v>
      </c>
      <c r="M212" t="s">
        <v>614</v>
      </c>
      <c r="N212" t="s">
        <v>706</v>
      </c>
      <c r="O212" t="s">
        <v>736</v>
      </c>
    </row>
    <row r="213" spans="1:15" x14ac:dyDescent="0.2">
      <c r="A213" s="1">
        <v>211</v>
      </c>
      <c r="B213" t="s">
        <v>367</v>
      </c>
      <c r="C213" t="s">
        <v>390</v>
      </c>
      <c r="D213" t="s">
        <v>391</v>
      </c>
      <c r="E213">
        <v>1739</v>
      </c>
      <c r="F213" t="s">
        <v>574</v>
      </c>
      <c r="G213" t="s">
        <v>574</v>
      </c>
      <c r="H213" t="s">
        <v>573</v>
      </c>
      <c r="I213" t="s">
        <v>573</v>
      </c>
      <c r="J213" t="s">
        <v>574</v>
      </c>
      <c r="K213" t="s">
        <v>573</v>
      </c>
      <c r="L213" t="s">
        <v>574</v>
      </c>
      <c r="M213" t="s">
        <v>614</v>
      </c>
      <c r="O213" t="s">
        <v>736</v>
      </c>
    </row>
    <row r="214" spans="1:15" x14ac:dyDescent="0.2">
      <c r="A214" s="1">
        <v>212</v>
      </c>
      <c r="B214" t="s">
        <v>367</v>
      </c>
      <c r="C214" t="s">
        <v>392</v>
      </c>
      <c r="D214" t="s">
        <v>393</v>
      </c>
      <c r="E214">
        <v>1661</v>
      </c>
      <c r="F214" t="s">
        <v>574</v>
      </c>
      <c r="G214" t="s">
        <v>600</v>
      </c>
      <c r="H214" t="s">
        <v>573</v>
      </c>
      <c r="I214" t="s">
        <v>573</v>
      </c>
      <c r="J214" t="s">
        <v>574</v>
      </c>
      <c r="K214" t="s">
        <v>573</v>
      </c>
      <c r="L214" t="s">
        <v>574</v>
      </c>
      <c r="M214" t="s">
        <v>614</v>
      </c>
      <c r="O214" t="s">
        <v>736</v>
      </c>
    </row>
    <row r="215" spans="1:15" x14ac:dyDescent="0.2">
      <c r="A215" s="1">
        <v>213</v>
      </c>
      <c r="B215" t="s">
        <v>367</v>
      </c>
      <c r="C215" t="s">
        <v>394</v>
      </c>
      <c r="D215" t="s">
        <v>395</v>
      </c>
      <c r="E215">
        <v>1624</v>
      </c>
      <c r="F215" t="s">
        <v>574</v>
      </c>
      <c r="G215" t="s">
        <v>574</v>
      </c>
      <c r="H215" t="s">
        <v>573</v>
      </c>
      <c r="I215" t="s">
        <v>573</v>
      </c>
      <c r="J215" t="s">
        <v>574</v>
      </c>
      <c r="K215" t="s">
        <v>573</v>
      </c>
      <c r="L215" t="s">
        <v>574</v>
      </c>
      <c r="M215" t="s">
        <v>614</v>
      </c>
      <c r="O215" t="s">
        <v>736</v>
      </c>
    </row>
    <row r="216" spans="1:15" x14ac:dyDescent="0.2">
      <c r="A216" s="1">
        <v>214</v>
      </c>
      <c r="B216" t="s">
        <v>367</v>
      </c>
      <c r="C216" t="s">
        <v>396</v>
      </c>
      <c r="D216" t="s">
        <v>397</v>
      </c>
      <c r="E216">
        <v>1603</v>
      </c>
      <c r="F216" t="s">
        <v>574</v>
      </c>
      <c r="G216" t="s">
        <v>661</v>
      </c>
      <c r="H216" t="s">
        <v>574</v>
      </c>
      <c r="I216" t="s">
        <v>573</v>
      </c>
      <c r="J216" t="s">
        <v>574</v>
      </c>
      <c r="K216" t="s">
        <v>573</v>
      </c>
      <c r="L216" t="s">
        <v>574</v>
      </c>
      <c r="M216" t="s">
        <v>614</v>
      </c>
      <c r="O216" t="s">
        <v>736</v>
      </c>
    </row>
    <row r="217" spans="1:15" x14ac:dyDescent="0.2">
      <c r="A217" s="1">
        <v>215</v>
      </c>
      <c r="B217" t="s">
        <v>367</v>
      </c>
      <c r="C217" t="s">
        <v>398</v>
      </c>
      <c r="D217" t="s">
        <v>399</v>
      </c>
      <c r="E217">
        <v>1603</v>
      </c>
      <c r="F217" t="s">
        <v>574</v>
      </c>
      <c r="G217" t="s">
        <v>574</v>
      </c>
      <c r="H217" t="s">
        <v>573</v>
      </c>
      <c r="I217" t="s">
        <v>583</v>
      </c>
      <c r="J217" t="s">
        <v>574</v>
      </c>
      <c r="K217" t="s">
        <v>573</v>
      </c>
      <c r="L217" t="s">
        <v>574</v>
      </c>
      <c r="M217" t="s">
        <v>614</v>
      </c>
      <c r="O217" t="s">
        <v>736</v>
      </c>
    </row>
    <row r="218" spans="1:15" x14ac:dyDescent="0.2">
      <c r="A218" s="6">
        <v>216</v>
      </c>
      <c r="B218" s="5" t="s">
        <v>367</v>
      </c>
      <c r="C218" s="5" t="s">
        <v>400</v>
      </c>
      <c r="D218" s="5" t="s">
        <v>401</v>
      </c>
      <c r="E218" s="5">
        <v>1591</v>
      </c>
      <c r="F218" s="5" t="s">
        <v>574</v>
      </c>
      <c r="G218" s="5" t="s">
        <v>600</v>
      </c>
      <c r="H218" s="5" t="s">
        <v>573</v>
      </c>
      <c r="I218" s="5" t="s">
        <v>574</v>
      </c>
      <c r="J218" s="5" t="s">
        <v>574</v>
      </c>
      <c r="K218" s="5" t="s">
        <v>573</v>
      </c>
      <c r="L218" s="5" t="s">
        <v>574</v>
      </c>
      <c r="M218" s="5" t="s">
        <v>703</v>
      </c>
      <c r="N218" s="5" t="s">
        <v>707</v>
      </c>
      <c r="O218" s="5" t="s">
        <v>742</v>
      </c>
    </row>
    <row r="219" spans="1:15" x14ac:dyDescent="0.2">
      <c r="A219" s="1">
        <v>217</v>
      </c>
      <c r="B219" t="s">
        <v>367</v>
      </c>
      <c r="C219" t="s">
        <v>402</v>
      </c>
      <c r="D219" t="s">
        <v>403</v>
      </c>
      <c r="E219">
        <v>1556</v>
      </c>
      <c r="F219" t="s">
        <v>574</v>
      </c>
      <c r="G219" t="s">
        <v>574</v>
      </c>
      <c r="H219" t="s">
        <v>573</v>
      </c>
      <c r="I219" t="s">
        <v>583</v>
      </c>
      <c r="J219" t="s">
        <v>574</v>
      </c>
      <c r="K219" t="s">
        <v>573</v>
      </c>
      <c r="L219" t="s">
        <v>574</v>
      </c>
      <c r="M219" t="s">
        <v>614</v>
      </c>
      <c r="O219" t="s">
        <v>736</v>
      </c>
    </row>
    <row r="220" spans="1:15" x14ac:dyDescent="0.2">
      <c r="A220" s="1">
        <v>218</v>
      </c>
      <c r="B220" t="s">
        <v>367</v>
      </c>
      <c r="C220" t="s">
        <v>404</v>
      </c>
      <c r="D220" t="s">
        <v>405</v>
      </c>
      <c r="E220">
        <v>1546</v>
      </c>
      <c r="F220" t="s">
        <v>574</v>
      </c>
      <c r="G220" t="s">
        <v>574</v>
      </c>
      <c r="H220" t="s">
        <v>573</v>
      </c>
      <c r="I220" t="s">
        <v>583</v>
      </c>
      <c r="J220" t="s">
        <v>574</v>
      </c>
      <c r="K220" t="s">
        <v>573</v>
      </c>
      <c r="L220" t="s">
        <v>574</v>
      </c>
      <c r="M220" t="s">
        <v>614</v>
      </c>
      <c r="O220" t="s">
        <v>736</v>
      </c>
    </row>
    <row r="221" spans="1:15" x14ac:dyDescent="0.2">
      <c r="A221" s="1">
        <v>219</v>
      </c>
      <c r="B221" t="s">
        <v>367</v>
      </c>
      <c r="C221" t="s">
        <v>406</v>
      </c>
      <c r="D221" t="s">
        <v>407</v>
      </c>
      <c r="E221">
        <v>1540</v>
      </c>
      <c r="F221" t="s">
        <v>574</v>
      </c>
      <c r="G221" t="s">
        <v>574</v>
      </c>
      <c r="H221" t="s">
        <v>573</v>
      </c>
      <c r="I221" t="s">
        <v>583</v>
      </c>
      <c r="J221" t="s">
        <v>574</v>
      </c>
      <c r="K221" t="s">
        <v>573</v>
      </c>
      <c r="L221" t="s">
        <v>574</v>
      </c>
      <c r="M221" t="s">
        <v>614</v>
      </c>
      <c r="O221" t="s">
        <v>736</v>
      </c>
    </row>
    <row r="222" spans="1:15" x14ac:dyDescent="0.2">
      <c r="A222" s="1">
        <v>220</v>
      </c>
      <c r="B222" t="s">
        <v>367</v>
      </c>
      <c r="C222" t="s">
        <v>408</v>
      </c>
      <c r="D222" t="s">
        <v>409</v>
      </c>
      <c r="E222">
        <v>1535</v>
      </c>
      <c r="F222" t="s">
        <v>574</v>
      </c>
      <c r="G222" t="s">
        <v>653</v>
      </c>
      <c r="H222" t="s">
        <v>573</v>
      </c>
      <c r="I222" t="s">
        <v>573</v>
      </c>
      <c r="J222" t="s">
        <v>574</v>
      </c>
      <c r="K222" t="s">
        <v>573</v>
      </c>
      <c r="L222" t="s">
        <v>574</v>
      </c>
      <c r="M222" t="s">
        <v>614</v>
      </c>
      <c r="O222" t="s">
        <v>736</v>
      </c>
    </row>
    <row r="223" spans="1:15" x14ac:dyDescent="0.2">
      <c r="A223" s="1">
        <v>221</v>
      </c>
      <c r="B223" t="s">
        <v>367</v>
      </c>
      <c r="C223" t="s">
        <v>410</v>
      </c>
      <c r="D223" t="s">
        <v>411</v>
      </c>
      <c r="E223">
        <v>1528</v>
      </c>
      <c r="F223" t="s">
        <v>574</v>
      </c>
      <c r="G223" t="s">
        <v>600</v>
      </c>
      <c r="H223" t="s">
        <v>573</v>
      </c>
      <c r="I223" t="s">
        <v>574</v>
      </c>
      <c r="J223" t="s">
        <v>574</v>
      </c>
      <c r="K223" t="s">
        <v>573</v>
      </c>
      <c r="L223" t="s">
        <v>574</v>
      </c>
      <c r="M223" t="s">
        <v>703</v>
      </c>
      <c r="N223" t="s">
        <v>708</v>
      </c>
      <c r="O223" t="s">
        <v>736</v>
      </c>
    </row>
    <row r="224" spans="1:15" x14ac:dyDescent="0.2">
      <c r="A224" s="1">
        <v>222</v>
      </c>
      <c r="B224" t="s">
        <v>367</v>
      </c>
      <c r="C224" t="s">
        <v>412</v>
      </c>
      <c r="D224" t="s">
        <v>413</v>
      </c>
      <c r="E224">
        <v>1521</v>
      </c>
      <c r="F224" t="s">
        <v>574</v>
      </c>
      <c r="G224" t="s">
        <v>574</v>
      </c>
      <c r="H224" t="s">
        <v>573</v>
      </c>
      <c r="I224" t="s">
        <v>583</v>
      </c>
      <c r="J224" t="s">
        <v>574</v>
      </c>
      <c r="K224" t="s">
        <v>573</v>
      </c>
      <c r="L224" t="s">
        <v>574</v>
      </c>
      <c r="M224" t="s">
        <v>614</v>
      </c>
      <c r="O224" t="s">
        <v>736</v>
      </c>
    </row>
    <row r="225" spans="1:15" x14ac:dyDescent="0.2">
      <c r="A225" s="1">
        <v>223</v>
      </c>
      <c r="B225" t="s">
        <v>367</v>
      </c>
      <c r="C225" t="s">
        <v>414</v>
      </c>
      <c r="D225" t="s">
        <v>415</v>
      </c>
      <c r="E225">
        <v>1491</v>
      </c>
      <c r="F225" t="s">
        <v>574</v>
      </c>
      <c r="G225" t="s">
        <v>574</v>
      </c>
      <c r="H225" t="s">
        <v>573</v>
      </c>
      <c r="I225" t="s">
        <v>583</v>
      </c>
      <c r="J225" t="s">
        <v>574</v>
      </c>
      <c r="K225" t="s">
        <v>573</v>
      </c>
      <c r="L225" t="s">
        <v>574</v>
      </c>
      <c r="M225" t="s">
        <v>614</v>
      </c>
      <c r="O225" t="s">
        <v>736</v>
      </c>
    </row>
    <row r="226" spans="1:15" x14ac:dyDescent="0.2">
      <c r="A226" s="1">
        <v>224</v>
      </c>
      <c r="B226" t="s">
        <v>367</v>
      </c>
      <c r="C226" t="s">
        <v>416</v>
      </c>
      <c r="D226" t="s">
        <v>417</v>
      </c>
      <c r="E226">
        <v>1457</v>
      </c>
      <c r="F226" t="s">
        <v>574</v>
      </c>
      <c r="G226" t="s">
        <v>574</v>
      </c>
      <c r="H226" t="s">
        <v>573</v>
      </c>
      <c r="I226" t="s">
        <v>583</v>
      </c>
      <c r="J226" t="s">
        <v>574</v>
      </c>
      <c r="K226" t="s">
        <v>573</v>
      </c>
      <c r="L226" t="s">
        <v>574</v>
      </c>
      <c r="M226" t="s">
        <v>614</v>
      </c>
      <c r="O226" t="s">
        <v>736</v>
      </c>
    </row>
    <row r="227" spans="1:15" x14ac:dyDescent="0.2">
      <c r="A227" s="1">
        <v>225</v>
      </c>
      <c r="B227" t="s">
        <v>367</v>
      </c>
      <c r="C227" t="s">
        <v>418</v>
      </c>
      <c r="D227" t="s">
        <v>206</v>
      </c>
      <c r="E227">
        <v>9</v>
      </c>
      <c r="F227" t="s">
        <v>574</v>
      </c>
      <c r="G227" t="s">
        <v>574</v>
      </c>
      <c r="H227" t="s">
        <v>573</v>
      </c>
      <c r="I227" t="s">
        <v>573</v>
      </c>
      <c r="J227" t="s">
        <v>574</v>
      </c>
      <c r="K227" t="s">
        <v>573</v>
      </c>
      <c r="L227" t="s">
        <v>574</v>
      </c>
      <c r="M227" t="s">
        <v>618</v>
      </c>
      <c r="O227" t="s">
        <v>742</v>
      </c>
    </row>
    <row r="228" spans="1:15" x14ac:dyDescent="0.2">
      <c r="A228" s="1">
        <v>226</v>
      </c>
      <c r="B228" t="s">
        <v>367</v>
      </c>
      <c r="C228" t="s">
        <v>419</v>
      </c>
      <c r="D228" t="s">
        <v>206</v>
      </c>
      <c r="E228">
        <v>9</v>
      </c>
      <c r="F228" t="s">
        <v>574</v>
      </c>
      <c r="G228" t="s">
        <v>574</v>
      </c>
      <c r="H228" t="s">
        <v>573</v>
      </c>
      <c r="I228" t="s">
        <v>583</v>
      </c>
      <c r="J228" t="s">
        <v>574</v>
      </c>
      <c r="K228" t="s">
        <v>573</v>
      </c>
      <c r="L228" t="s">
        <v>574</v>
      </c>
      <c r="M228" t="s">
        <v>618</v>
      </c>
      <c r="N228" t="s">
        <v>709</v>
      </c>
      <c r="O228" t="s">
        <v>742</v>
      </c>
    </row>
    <row r="229" spans="1:15" x14ac:dyDescent="0.2">
      <c r="A229" s="1">
        <v>227</v>
      </c>
      <c r="B229" t="s">
        <v>367</v>
      </c>
      <c r="C229" t="s">
        <v>420</v>
      </c>
      <c r="D229" t="s">
        <v>252</v>
      </c>
      <c r="E229">
        <v>21</v>
      </c>
      <c r="F229" t="s">
        <v>574</v>
      </c>
      <c r="G229" t="s">
        <v>661</v>
      </c>
      <c r="H229" t="s">
        <v>574</v>
      </c>
      <c r="I229" t="s">
        <v>573</v>
      </c>
      <c r="J229" t="s">
        <v>574</v>
      </c>
      <c r="K229" t="s">
        <v>573</v>
      </c>
      <c r="L229" t="s">
        <v>574</v>
      </c>
      <c r="M229" t="s">
        <v>703</v>
      </c>
      <c r="N229" t="s">
        <v>673</v>
      </c>
      <c r="O229" t="s">
        <v>742</v>
      </c>
    </row>
    <row r="230" spans="1:15" x14ac:dyDescent="0.2">
      <c r="A230" s="1">
        <v>228</v>
      </c>
      <c r="B230" t="s">
        <v>367</v>
      </c>
      <c r="C230" t="s">
        <v>421</v>
      </c>
      <c r="D230" t="s">
        <v>422</v>
      </c>
      <c r="E230">
        <v>170</v>
      </c>
      <c r="F230" t="s">
        <v>574</v>
      </c>
      <c r="G230" t="s">
        <v>574</v>
      </c>
      <c r="H230" t="s">
        <v>573</v>
      </c>
      <c r="I230" t="s">
        <v>583</v>
      </c>
      <c r="J230" t="s">
        <v>574</v>
      </c>
      <c r="K230" t="s">
        <v>573</v>
      </c>
      <c r="L230" t="s">
        <v>574</v>
      </c>
      <c r="M230" t="s">
        <v>614</v>
      </c>
      <c r="O230" t="s">
        <v>736</v>
      </c>
    </row>
    <row r="231" spans="1:15" x14ac:dyDescent="0.2">
      <c r="A231" s="1">
        <v>229</v>
      </c>
      <c r="B231" t="s">
        <v>367</v>
      </c>
      <c r="C231" t="s">
        <v>423</v>
      </c>
      <c r="D231" t="s">
        <v>424</v>
      </c>
      <c r="E231">
        <v>218</v>
      </c>
      <c r="F231" t="s">
        <v>574</v>
      </c>
      <c r="G231" t="s">
        <v>574</v>
      </c>
      <c r="H231" t="s">
        <v>573</v>
      </c>
      <c r="I231" t="s">
        <v>583</v>
      </c>
      <c r="J231" t="s">
        <v>574</v>
      </c>
      <c r="K231" t="s">
        <v>573</v>
      </c>
      <c r="L231" t="s">
        <v>574</v>
      </c>
      <c r="M231" t="s">
        <v>614</v>
      </c>
      <c r="O231" t="s">
        <v>736</v>
      </c>
    </row>
    <row r="232" spans="1:15" x14ac:dyDescent="0.2">
      <c r="A232" s="1">
        <v>230</v>
      </c>
      <c r="B232" t="s">
        <v>367</v>
      </c>
      <c r="C232" t="s">
        <v>425</v>
      </c>
      <c r="D232" t="s">
        <v>426</v>
      </c>
      <c r="E232">
        <v>255</v>
      </c>
      <c r="F232" t="s">
        <v>574</v>
      </c>
      <c r="G232" t="s">
        <v>574</v>
      </c>
      <c r="H232" t="s">
        <v>573</v>
      </c>
      <c r="I232" t="s">
        <v>583</v>
      </c>
      <c r="J232" t="s">
        <v>574</v>
      </c>
      <c r="K232" t="s">
        <v>573</v>
      </c>
      <c r="L232" t="s">
        <v>574</v>
      </c>
      <c r="M232" t="s">
        <v>614</v>
      </c>
      <c r="O232" t="s">
        <v>736</v>
      </c>
    </row>
    <row r="233" spans="1:15" x14ac:dyDescent="0.2">
      <c r="A233" s="1">
        <v>231</v>
      </c>
      <c r="B233" t="s">
        <v>367</v>
      </c>
      <c r="C233" t="s">
        <v>427</v>
      </c>
      <c r="D233" t="s">
        <v>428</v>
      </c>
      <c r="E233">
        <v>278</v>
      </c>
      <c r="F233" t="s">
        <v>574</v>
      </c>
      <c r="G233" t="s">
        <v>574</v>
      </c>
      <c r="H233" t="s">
        <v>573</v>
      </c>
      <c r="I233" t="s">
        <v>583</v>
      </c>
      <c r="J233" t="s">
        <v>574</v>
      </c>
      <c r="K233" t="s">
        <v>573</v>
      </c>
      <c r="L233" t="s">
        <v>574</v>
      </c>
      <c r="M233" t="s">
        <v>614</v>
      </c>
      <c r="O233" t="s">
        <v>736</v>
      </c>
    </row>
    <row r="234" spans="1:15" x14ac:dyDescent="0.2">
      <c r="A234" s="1">
        <v>232</v>
      </c>
      <c r="B234" t="s">
        <v>367</v>
      </c>
      <c r="C234" t="s">
        <v>429</v>
      </c>
      <c r="D234" t="s">
        <v>430</v>
      </c>
      <c r="E234">
        <v>281</v>
      </c>
      <c r="F234" t="s">
        <v>574</v>
      </c>
      <c r="G234" t="s">
        <v>574</v>
      </c>
      <c r="H234" t="s">
        <v>573</v>
      </c>
      <c r="I234" t="s">
        <v>583</v>
      </c>
      <c r="J234" t="s">
        <v>574</v>
      </c>
      <c r="K234" t="s">
        <v>573</v>
      </c>
      <c r="L234" t="s">
        <v>574</v>
      </c>
      <c r="M234" t="s">
        <v>614</v>
      </c>
      <c r="O234" t="s">
        <v>736</v>
      </c>
    </row>
    <row r="235" spans="1:15" x14ac:dyDescent="0.2">
      <c r="A235" s="1">
        <v>233</v>
      </c>
      <c r="B235" t="s">
        <v>367</v>
      </c>
      <c r="C235" t="s">
        <v>431</v>
      </c>
      <c r="D235" t="s">
        <v>432</v>
      </c>
      <c r="E235">
        <v>287</v>
      </c>
      <c r="F235" t="s">
        <v>574</v>
      </c>
      <c r="G235" t="s">
        <v>574</v>
      </c>
      <c r="H235" t="s">
        <v>573</v>
      </c>
      <c r="I235" t="s">
        <v>583</v>
      </c>
      <c r="J235" t="s">
        <v>574</v>
      </c>
      <c r="K235" t="s">
        <v>573</v>
      </c>
      <c r="L235" t="s">
        <v>574</v>
      </c>
      <c r="M235" t="s">
        <v>614</v>
      </c>
      <c r="O235" t="s">
        <v>736</v>
      </c>
    </row>
    <row r="236" spans="1:15" x14ac:dyDescent="0.2">
      <c r="A236" s="1">
        <v>234</v>
      </c>
      <c r="B236" t="s">
        <v>367</v>
      </c>
      <c r="C236" t="s">
        <v>433</v>
      </c>
      <c r="D236" t="s">
        <v>434</v>
      </c>
      <c r="E236">
        <v>289</v>
      </c>
      <c r="F236" t="s">
        <v>574</v>
      </c>
      <c r="G236" t="s">
        <v>574</v>
      </c>
      <c r="H236" t="s">
        <v>573</v>
      </c>
      <c r="I236" t="s">
        <v>583</v>
      </c>
      <c r="J236" t="s">
        <v>574</v>
      </c>
      <c r="K236" t="s">
        <v>573</v>
      </c>
      <c r="L236" t="s">
        <v>574</v>
      </c>
      <c r="M236" t="s">
        <v>614</v>
      </c>
      <c r="O236" t="s">
        <v>736</v>
      </c>
    </row>
    <row r="237" spans="1:15" x14ac:dyDescent="0.2">
      <c r="A237" s="1">
        <v>235</v>
      </c>
      <c r="B237" t="s">
        <v>367</v>
      </c>
      <c r="C237" t="s">
        <v>435</v>
      </c>
      <c r="D237" t="s">
        <v>436</v>
      </c>
      <c r="E237">
        <v>297</v>
      </c>
      <c r="F237" t="s">
        <v>574</v>
      </c>
      <c r="G237" t="s">
        <v>574</v>
      </c>
      <c r="H237" t="s">
        <v>573</v>
      </c>
      <c r="I237" t="s">
        <v>583</v>
      </c>
      <c r="J237" t="s">
        <v>574</v>
      </c>
      <c r="K237" t="s">
        <v>573</v>
      </c>
      <c r="L237" t="s">
        <v>574</v>
      </c>
      <c r="M237" t="s">
        <v>614</v>
      </c>
      <c r="O237" t="s">
        <v>736</v>
      </c>
    </row>
    <row r="238" spans="1:15" x14ac:dyDescent="0.2">
      <c r="A238" s="1">
        <v>236</v>
      </c>
      <c r="B238" t="s">
        <v>367</v>
      </c>
      <c r="C238" t="s">
        <v>437</v>
      </c>
      <c r="D238" t="s">
        <v>438</v>
      </c>
      <c r="E238">
        <v>297</v>
      </c>
      <c r="F238" t="s">
        <v>574</v>
      </c>
      <c r="G238" t="s">
        <v>574</v>
      </c>
      <c r="H238" t="s">
        <v>573</v>
      </c>
      <c r="I238" t="s">
        <v>583</v>
      </c>
      <c r="J238" t="s">
        <v>574</v>
      </c>
      <c r="K238" t="s">
        <v>573</v>
      </c>
      <c r="L238" t="s">
        <v>574</v>
      </c>
      <c r="M238" t="s">
        <v>614</v>
      </c>
      <c r="O238" t="s">
        <v>736</v>
      </c>
    </row>
    <row r="239" spans="1:15" x14ac:dyDescent="0.2">
      <c r="A239" s="1">
        <v>237</v>
      </c>
      <c r="B239" t="s">
        <v>367</v>
      </c>
      <c r="C239" t="s">
        <v>439</v>
      </c>
      <c r="D239" t="s">
        <v>440</v>
      </c>
      <c r="E239">
        <v>306</v>
      </c>
      <c r="F239" t="s">
        <v>574</v>
      </c>
      <c r="G239" t="s">
        <v>574</v>
      </c>
      <c r="H239" t="s">
        <v>573</v>
      </c>
      <c r="I239" t="s">
        <v>583</v>
      </c>
      <c r="J239" t="s">
        <v>574</v>
      </c>
      <c r="K239" t="s">
        <v>573</v>
      </c>
      <c r="L239" t="s">
        <v>574</v>
      </c>
      <c r="M239" t="s">
        <v>614</v>
      </c>
      <c r="O239" t="s">
        <v>736</v>
      </c>
    </row>
    <row r="240" spans="1:15" x14ac:dyDescent="0.2">
      <c r="A240" s="1">
        <v>238</v>
      </c>
      <c r="B240" t="s">
        <v>367</v>
      </c>
      <c r="C240" t="s">
        <v>441</v>
      </c>
      <c r="D240" t="s">
        <v>442</v>
      </c>
      <c r="E240">
        <v>314</v>
      </c>
      <c r="F240" t="s">
        <v>574</v>
      </c>
      <c r="G240" t="s">
        <v>574</v>
      </c>
      <c r="H240" t="s">
        <v>573</v>
      </c>
      <c r="I240" t="s">
        <v>573</v>
      </c>
      <c r="J240" t="s">
        <v>574</v>
      </c>
      <c r="K240" t="s">
        <v>573</v>
      </c>
      <c r="L240" t="s">
        <v>574</v>
      </c>
      <c r="M240" t="s">
        <v>614</v>
      </c>
      <c r="O240" t="s">
        <v>736</v>
      </c>
    </row>
    <row r="241" spans="1:15" x14ac:dyDescent="0.2">
      <c r="A241" s="1">
        <v>239</v>
      </c>
      <c r="B241" t="s">
        <v>367</v>
      </c>
      <c r="C241" t="s">
        <v>443</v>
      </c>
      <c r="D241" t="s">
        <v>444</v>
      </c>
      <c r="E241">
        <v>323</v>
      </c>
      <c r="F241" t="s">
        <v>574</v>
      </c>
      <c r="G241" t="s">
        <v>574</v>
      </c>
      <c r="H241" t="s">
        <v>574</v>
      </c>
      <c r="I241" t="s">
        <v>573</v>
      </c>
      <c r="J241" t="s">
        <v>574</v>
      </c>
      <c r="K241" t="s">
        <v>573</v>
      </c>
      <c r="L241" t="s">
        <v>574</v>
      </c>
      <c r="M241" t="s">
        <v>682</v>
      </c>
      <c r="N241" t="s">
        <v>710</v>
      </c>
      <c r="O241" t="s">
        <v>738</v>
      </c>
    </row>
    <row r="242" spans="1:15" x14ac:dyDescent="0.2">
      <c r="A242" s="1">
        <v>240</v>
      </c>
      <c r="B242" t="s">
        <v>367</v>
      </c>
      <c r="C242" t="s">
        <v>445</v>
      </c>
      <c r="D242" t="s">
        <v>446</v>
      </c>
      <c r="E242">
        <v>365</v>
      </c>
      <c r="F242" t="s">
        <v>574</v>
      </c>
      <c r="G242" t="s">
        <v>661</v>
      </c>
      <c r="H242" t="s">
        <v>583</v>
      </c>
      <c r="I242" t="s">
        <v>574</v>
      </c>
      <c r="J242" t="s">
        <v>574</v>
      </c>
      <c r="K242" t="s">
        <v>573</v>
      </c>
      <c r="L242" t="s">
        <v>574</v>
      </c>
      <c r="M242" t="s">
        <v>703</v>
      </c>
      <c r="N242" t="s">
        <v>711</v>
      </c>
      <c r="O242" t="s">
        <v>742</v>
      </c>
    </row>
    <row r="243" spans="1:15" x14ac:dyDescent="0.2">
      <c r="A243" s="1">
        <v>241</v>
      </c>
      <c r="B243" t="s">
        <v>367</v>
      </c>
      <c r="C243" t="s">
        <v>447</v>
      </c>
      <c r="D243" t="s">
        <v>448</v>
      </c>
      <c r="E243">
        <v>373</v>
      </c>
      <c r="F243" t="s">
        <v>574</v>
      </c>
      <c r="G243" t="s">
        <v>600</v>
      </c>
      <c r="H243" t="s">
        <v>583</v>
      </c>
      <c r="I243" t="s">
        <v>583</v>
      </c>
      <c r="J243" t="s">
        <v>574</v>
      </c>
      <c r="K243" t="s">
        <v>573</v>
      </c>
      <c r="L243" t="s">
        <v>574</v>
      </c>
      <c r="M243" t="s">
        <v>645</v>
      </c>
      <c r="O243" t="s">
        <v>741</v>
      </c>
    </row>
    <row r="244" spans="1:15" x14ac:dyDescent="0.2">
      <c r="A244" s="1">
        <v>242</v>
      </c>
      <c r="B244" t="s">
        <v>367</v>
      </c>
      <c r="C244" t="s">
        <v>449</v>
      </c>
      <c r="D244" t="s">
        <v>450</v>
      </c>
      <c r="E244">
        <v>375</v>
      </c>
      <c r="F244" t="s">
        <v>574</v>
      </c>
      <c r="G244" t="s">
        <v>574</v>
      </c>
      <c r="H244" t="s">
        <v>583</v>
      </c>
      <c r="I244" t="s">
        <v>583</v>
      </c>
      <c r="J244" t="s">
        <v>574</v>
      </c>
      <c r="K244" t="s">
        <v>573</v>
      </c>
      <c r="L244" t="s">
        <v>574</v>
      </c>
      <c r="M244" t="s">
        <v>645</v>
      </c>
      <c r="O244" t="s">
        <v>741</v>
      </c>
    </row>
    <row r="245" spans="1:15" x14ac:dyDescent="0.2">
      <c r="A245" s="1">
        <v>243</v>
      </c>
      <c r="B245" t="s">
        <v>367</v>
      </c>
      <c r="C245" t="s">
        <v>451</v>
      </c>
      <c r="D245" t="s">
        <v>452</v>
      </c>
      <c r="E245">
        <v>375</v>
      </c>
      <c r="F245" t="s">
        <v>574</v>
      </c>
      <c r="G245" t="s">
        <v>574</v>
      </c>
      <c r="H245" t="s">
        <v>583</v>
      </c>
      <c r="I245" t="s">
        <v>583</v>
      </c>
      <c r="J245" t="s">
        <v>574</v>
      </c>
      <c r="K245" t="s">
        <v>573</v>
      </c>
      <c r="L245" t="s">
        <v>574</v>
      </c>
      <c r="M245" t="s">
        <v>645</v>
      </c>
      <c r="O245" t="s">
        <v>741</v>
      </c>
    </row>
    <row r="246" spans="1:15" x14ac:dyDescent="0.2">
      <c r="A246" s="1">
        <v>244</v>
      </c>
      <c r="B246" t="s">
        <v>367</v>
      </c>
      <c r="C246" t="s">
        <v>453</v>
      </c>
      <c r="D246" t="s">
        <v>454</v>
      </c>
      <c r="E246">
        <v>391</v>
      </c>
      <c r="F246" t="s">
        <v>574</v>
      </c>
      <c r="G246" t="s">
        <v>653</v>
      </c>
      <c r="H246" t="s">
        <v>574</v>
      </c>
      <c r="I246" t="s">
        <v>583</v>
      </c>
      <c r="J246" t="s">
        <v>574</v>
      </c>
      <c r="K246" t="s">
        <v>573</v>
      </c>
      <c r="L246" t="s">
        <v>574</v>
      </c>
      <c r="M246" t="s">
        <v>688</v>
      </c>
      <c r="O246" t="s">
        <v>741</v>
      </c>
    </row>
    <row r="247" spans="1:15" x14ac:dyDescent="0.2">
      <c r="A247" s="1">
        <v>245</v>
      </c>
      <c r="B247" t="s">
        <v>367</v>
      </c>
      <c r="C247" t="s">
        <v>455</v>
      </c>
      <c r="D247" t="s">
        <v>456</v>
      </c>
      <c r="E247">
        <v>395</v>
      </c>
      <c r="F247" t="s">
        <v>574</v>
      </c>
      <c r="G247" t="s">
        <v>574</v>
      </c>
      <c r="H247" t="s">
        <v>573</v>
      </c>
      <c r="I247" t="s">
        <v>573</v>
      </c>
      <c r="J247" t="s">
        <v>574</v>
      </c>
      <c r="K247" t="s">
        <v>573</v>
      </c>
      <c r="L247" t="s">
        <v>574</v>
      </c>
      <c r="M247" t="s">
        <v>614</v>
      </c>
      <c r="O247" t="s">
        <v>736</v>
      </c>
    </row>
    <row r="248" spans="1:15" x14ac:dyDescent="0.2">
      <c r="A248" s="1">
        <v>246</v>
      </c>
      <c r="B248" t="s">
        <v>367</v>
      </c>
      <c r="C248" t="s">
        <v>457</v>
      </c>
      <c r="D248" t="s">
        <v>458</v>
      </c>
      <c r="E248">
        <v>402</v>
      </c>
      <c r="F248" t="s">
        <v>574</v>
      </c>
      <c r="G248" t="s">
        <v>574</v>
      </c>
      <c r="H248" t="s">
        <v>573</v>
      </c>
      <c r="I248" t="s">
        <v>583</v>
      </c>
      <c r="J248" t="s">
        <v>574</v>
      </c>
      <c r="K248" t="s">
        <v>573</v>
      </c>
      <c r="L248" t="s">
        <v>574</v>
      </c>
      <c r="M248" t="s">
        <v>614</v>
      </c>
      <c r="O248" t="s">
        <v>736</v>
      </c>
    </row>
    <row r="249" spans="1:15" x14ac:dyDescent="0.2">
      <c r="A249" s="1">
        <v>247</v>
      </c>
      <c r="B249" t="s">
        <v>367</v>
      </c>
      <c r="C249" t="s">
        <v>459</v>
      </c>
      <c r="D249" t="s">
        <v>460</v>
      </c>
      <c r="E249">
        <v>412</v>
      </c>
      <c r="F249" t="s">
        <v>574</v>
      </c>
      <c r="G249" t="s">
        <v>574</v>
      </c>
      <c r="H249" t="s">
        <v>573</v>
      </c>
      <c r="I249" t="s">
        <v>573</v>
      </c>
      <c r="J249" t="s">
        <v>574</v>
      </c>
      <c r="K249" t="s">
        <v>573</v>
      </c>
      <c r="L249" t="s">
        <v>574</v>
      </c>
      <c r="M249" t="s">
        <v>614</v>
      </c>
      <c r="O249" t="s">
        <v>736</v>
      </c>
    </row>
    <row r="250" spans="1:15" x14ac:dyDescent="0.2">
      <c r="A250" s="1">
        <v>248</v>
      </c>
      <c r="B250" t="s">
        <v>367</v>
      </c>
      <c r="C250" t="s">
        <v>461</v>
      </c>
      <c r="D250" t="s">
        <v>462</v>
      </c>
      <c r="E250">
        <v>451</v>
      </c>
      <c r="F250" t="s">
        <v>574</v>
      </c>
      <c r="G250" t="s">
        <v>574</v>
      </c>
      <c r="H250" t="s">
        <v>573</v>
      </c>
      <c r="I250" t="s">
        <v>574</v>
      </c>
      <c r="J250" t="s">
        <v>574</v>
      </c>
      <c r="K250" t="s">
        <v>573</v>
      </c>
      <c r="L250" t="s">
        <v>574</v>
      </c>
      <c r="M250" t="s">
        <v>721</v>
      </c>
      <c r="N250" t="s">
        <v>712</v>
      </c>
      <c r="O250" t="s">
        <v>738</v>
      </c>
    </row>
    <row r="251" spans="1:15" x14ac:dyDescent="0.2">
      <c r="A251" s="1">
        <v>249</v>
      </c>
      <c r="B251" t="s">
        <v>367</v>
      </c>
      <c r="C251" t="s">
        <v>463</v>
      </c>
      <c r="D251" t="s">
        <v>464</v>
      </c>
      <c r="E251">
        <v>454</v>
      </c>
      <c r="F251" t="s">
        <v>574</v>
      </c>
      <c r="G251" t="s">
        <v>574</v>
      </c>
      <c r="H251" t="s">
        <v>573</v>
      </c>
      <c r="I251" t="s">
        <v>583</v>
      </c>
      <c r="J251" t="s">
        <v>574</v>
      </c>
      <c r="K251" t="s">
        <v>573</v>
      </c>
      <c r="L251" t="s">
        <v>574</v>
      </c>
      <c r="M251" t="s">
        <v>614</v>
      </c>
      <c r="O251" t="s">
        <v>736</v>
      </c>
    </row>
    <row r="252" spans="1:15" x14ac:dyDescent="0.2">
      <c r="A252" s="1">
        <v>250</v>
      </c>
      <c r="B252" t="s">
        <v>465</v>
      </c>
      <c r="C252" t="s">
        <v>466</v>
      </c>
      <c r="D252" t="s">
        <v>467</v>
      </c>
      <c r="E252">
        <v>5136</v>
      </c>
      <c r="F252" t="s">
        <v>574</v>
      </c>
      <c r="G252" t="s">
        <v>600</v>
      </c>
      <c r="H252" t="s">
        <v>573</v>
      </c>
      <c r="I252" t="s">
        <v>573</v>
      </c>
      <c r="J252" t="s">
        <v>574</v>
      </c>
      <c r="K252" t="s">
        <v>573</v>
      </c>
      <c r="L252" t="s">
        <v>574</v>
      </c>
      <c r="M252" t="s">
        <v>614</v>
      </c>
      <c r="O252" t="s">
        <v>736</v>
      </c>
    </row>
    <row r="253" spans="1:15" x14ac:dyDescent="0.2">
      <c r="A253" s="1">
        <v>251</v>
      </c>
      <c r="B253" t="s">
        <v>465</v>
      </c>
      <c r="C253" t="s">
        <v>468</v>
      </c>
      <c r="D253" t="s">
        <v>469</v>
      </c>
      <c r="E253">
        <v>3718</v>
      </c>
      <c r="F253" t="s">
        <v>574</v>
      </c>
      <c r="G253" t="s">
        <v>574</v>
      </c>
      <c r="H253" t="s">
        <v>583</v>
      </c>
      <c r="I253" t="s">
        <v>583</v>
      </c>
      <c r="J253" t="s">
        <v>574</v>
      </c>
      <c r="K253" t="s">
        <v>573</v>
      </c>
      <c r="L253" t="s">
        <v>573</v>
      </c>
      <c r="M253" t="s">
        <v>688</v>
      </c>
      <c r="N253" t="s">
        <v>603</v>
      </c>
      <c r="O253" t="s">
        <v>735</v>
      </c>
    </row>
    <row r="254" spans="1:15" x14ac:dyDescent="0.2">
      <c r="A254" s="1">
        <v>252</v>
      </c>
      <c r="B254" t="s">
        <v>465</v>
      </c>
      <c r="C254" t="s">
        <v>470</v>
      </c>
      <c r="D254" t="s">
        <v>471</v>
      </c>
      <c r="E254">
        <v>3671</v>
      </c>
      <c r="F254" t="s">
        <v>574</v>
      </c>
      <c r="G254" t="s">
        <v>600</v>
      </c>
      <c r="H254" t="s">
        <v>573</v>
      </c>
      <c r="I254" t="s">
        <v>573</v>
      </c>
      <c r="J254" t="s">
        <v>574</v>
      </c>
      <c r="K254" t="s">
        <v>573</v>
      </c>
      <c r="L254" t="s">
        <v>574</v>
      </c>
      <c r="M254" t="s">
        <v>614</v>
      </c>
      <c r="O254" t="s">
        <v>736</v>
      </c>
    </row>
    <row r="255" spans="1:15" x14ac:dyDescent="0.2">
      <c r="A255" s="1">
        <v>253</v>
      </c>
      <c r="B255" t="s">
        <v>465</v>
      </c>
      <c r="C255" t="s">
        <v>472</v>
      </c>
      <c r="D255" t="s">
        <v>473</v>
      </c>
      <c r="E255">
        <v>3355</v>
      </c>
      <c r="F255" t="s">
        <v>574</v>
      </c>
      <c r="G255" t="s">
        <v>600</v>
      </c>
      <c r="H255" t="s">
        <v>573</v>
      </c>
      <c r="I255" t="s">
        <v>574</v>
      </c>
      <c r="J255" t="s">
        <v>574</v>
      </c>
      <c r="K255" t="s">
        <v>573</v>
      </c>
      <c r="L255" t="s">
        <v>574</v>
      </c>
      <c r="M255" t="s">
        <v>592</v>
      </c>
      <c r="N255" t="s">
        <v>713</v>
      </c>
      <c r="O255" t="s">
        <v>733</v>
      </c>
    </row>
    <row r="256" spans="1:15" x14ac:dyDescent="0.2">
      <c r="A256" s="1">
        <v>254</v>
      </c>
      <c r="B256" t="s">
        <v>465</v>
      </c>
      <c r="C256" t="s">
        <v>474</v>
      </c>
      <c r="D256" t="s">
        <v>475</v>
      </c>
      <c r="E256">
        <v>3203</v>
      </c>
      <c r="F256" t="s">
        <v>574</v>
      </c>
      <c r="G256" t="s">
        <v>574</v>
      </c>
      <c r="H256" t="s">
        <v>573</v>
      </c>
      <c r="I256" t="s">
        <v>583</v>
      </c>
      <c r="J256" t="s">
        <v>574</v>
      </c>
      <c r="K256" t="s">
        <v>573</v>
      </c>
      <c r="L256" t="s">
        <v>574</v>
      </c>
      <c r="M256" t="s">
        <v>614</v>
      </c>
      <c r="O256" t="s">
        <v>736</v>
      </c>
    </row>
    <row r="257" spans="1:15" x14ac:dyDescent="0.2">
      <c r="A257" s="1">
        <v>255</v>
      </c>
      <c r="B257" t="s">
        <v>465</v>
      </c>
      <c r="C257" t="s">
        <v>476</v>
      </c>
      <c r="D257" t="s">
        <v>477</v>
      </c>
      <c r="E257">
        <v>3179</v>
      </c>
      <c r="F257" t="s">
        <v>574</v>
      </c>
      <c r="G257" t="s">
        <v>600</v>
      </c>
      <c r="H257" t="s">
        <v>583</v>
      </c>
      <c r="I257" t="s">
        <v>583</v>
      </c>
      <c r="J257" t="s">
        <v>574</v>
      </c>
      <c r="K257" t="s">
        <v>573</v>
      </c>
      <c r="L257" t="s">
        <v>574</v>
      </c>
      <c r="M257" t="s">
        <v>645</v>
      </c>
      <c r="N257" t="s">
        <v>714</v>
      </c>
      <c r="O257" t="s">
        <v>736</v>
      </c>
    </row>
    <row r="258" spans="1:15" x14ac:dyDescent="0.2">
      <c r="A258" s="1">
        <v>256</v>
      </c>
      <c r="B258" t="s">
        <v>465</v>
      </c>
      <c r="C258" t="s">
        <v>478</v>
      </c>
      <c r="D258" t="s">
        <v>479</v>
      </c>
      <c r="E258">
        <v>3142</v>
      </c>
      <c r="F258" t="s">
        <v>574</v>
      </c>
      <c r="G258" t="s">
        <v>574</v>
      </c>
      <c r="H258" t="s">
        <v>573</v>
      </c>
      <c r="I258" t="s">
        <v>573</v>
      </c>
      <c r="J258" t="s">
        <v>574</v>
      </c>
      <c r="K258" t="s">
        <v>573</v>
      </c>
      <c r="L258" t="s">
        <v>574</v>
      </c>
      <c r="M258" t="s">
        <v>614</v>
      </c>
      <c r="O258" t="s">
        <v>736</v>
      </c>
    </row>
    <row r="259" spans="1:15" x14ac:dyDescent="0.2">
      <c r="A259" s="1">
        <v>257</v>
      </c>
      <c r="B259" t="s">
        <v>465</v>
      </c>
      <c r="C259" t="s">
        <v>480</v>
      </c>
      <c r="D259" t="s">
        <v>481</v>
      </c>
      <c r="E259">
        <v>3086</v>
      </c>
      <c r="F259" t="s">
        <v>574</v>
      </c>
      <c r="G259" t="s">
        <v>574</v>
      </c>
      <c r="H259" t="s">
        <v>573</v>
      </c>
      <c r="I259" t="s">
        <v>583</v>
      </c>
      <c r="J259" t="s">
        <v>574</v>
      </c>
      <c r="K259" t="s">
        <v>573</v>
      </c>
      <c r="L259" t="s">
        <v>574</v>
      </c>
      <c r="M259" t="s">
        <v>614</v>
      </c>
      <c r="O259" t="s">
        <v>736</v>
      </c>
    </row>
    <row r="260" spans="1:15" x14ac:dyDescent="0.2">
      <c r="A260" s="1">
        <v>258</v>
      </c>
      <c r="B260" t="s">
        <v>465</v>
      </c>
      <c r="C260" t="s">
        <v>482</v>
      </c>
      <c r="D260" t="s">
        <v>483</v>
      </c>
      <c r="E260">
        <v>3082</v>
      </c>
      <c r="F260" t="s">
        <v>574</v>
      </c>
      <c r="G260" t="s">
        <v>600</v>
      </c>
      <c r="H260" t="s">
        <v>573</v>
      </c>
      <c r="I260" t="s">
        <v>574</v>
      </c>
      <c r="J260" t="s">
        <v>574</v>
      </c>
      <c r="K260" t="s">
        <v>573</v>
      </c>
      <c r="L260" t="s">
        <v>574</v>
      </c>
      <c r="M260" t="s">
        <v>715</v>
      </c>
      <c r="N260" t="s">
        <v>716</v>
      </c>
      <c r="O260" t="s">
        <v>743</v>
      </c>
    </row>
    <row r="261" spans="1:15" x14ac:dyDescent="0.2">
      <c r="A261" s="1">
        <v>259</v>
      </c>
      <c r="B261" t="s">
        <v>465</v>
      </c>
      <c r="C261" t="s">
        <v>484</v>
      </c>
      <c r="D261" t="s">
        <v>485</v>
      </c>
      <c r="E261">
        <v>3019</v>
      </c>
      <c r="F261" t="s">
        <v>574</v>
      </c>
      <c r="G261" t="s">
        <v>574</v>
      </c>
      <c r="H261" t="s">
        <v>573</v>
      </c>
      <c r="I261" t="s">
        <v>573</v>
      </c>
      <c r="J261" t="s">
        <v>574</v>
      </c>
      <c r="K261" t="s">
        <v>573</v>
      </c>
      <c r="L261" t="s">
        <v>574</v>
      </c>
      <c r="M261" t="s">
        <v>614</v>
      </c>
      <c r="O261" t="s">
        <v>736</v>
      </c>
    </row>
    <row r="262" spans="1:15" x14ac:dyDescent="0.2">
      <c r="A262" s="1">
        <v>260</v>
      </c>
      <c r="B262" t="s">
        <v>465</v>
      </c>
      <c r="C262" t="s">
        <v>486</v>
      </c>
      <c r="D262" t="s">
        <v>487</v>
      </c>
      <c r="E262">
        <v>2788</v>
      </c>
      <c r="F262" t="s">
        <v>574</v>
      </c>
      <c r="G262" t="s">
        <v>574</v>
      </c>
      <c r="H262" t="s">
        <v>573</v>
      </c>
      <c r="I262" t="s">
        <v>573</v>
      </c>
      <c r="J262" t="s">
        <v>574</v>
      </c>
      <c r="K262" t="s">
        <v>573</v>
      </c>
      <c r="L262" t="s">
        <v>574</v>
      </c>
      <c r="M262" t="s">
        <v>614</v>
      </c>
      <c r="O262" t="s">
        <v>736</v>
      </c>
    </row>
    <row r="263" spans="1:15" x14ac:dyDescent="0.2">
      <c r="A263" s="1">
        <v>261</v>
      </c>
      <c r="B263" t="s">
        <v>465</v>
      </c>
      <c r="C263" t="s">
        <v>488</v>
      </c>
      <c r="D263" t="s">
        <v>489</v>
      </c>
      <c r="E263">
        <v>2573</v>
      </c>
      <c r="F263" t="s">
        <v>574</v>
      </c>
      <c r="G263" t="s">
        <v>661</v>
      </c>
      <c r="H263" t="s">
        <v>573</v>
      </c>
      <c r="I263" t="s">
        <v>583</v>
      </c>
      <c r="J263" t="s">
        <v>574</v>
      </c>
      <c r="K263" t="s">
        <v>573</v>
      </c>
      <c r="L263" t="s">
        <v>574</v>
      </c>
      <c r="M263" t="s">
        <v>614</v>
      </c>
      <c r="O263" t="s">
        <v>736</v>
      </c>
    </row>
    <row r="264" spans="1:15" x14ac:dyDescent="0.2">
      <c r="A264" s="1">
        <v>262</v>
      </c>
      <c r="B264" t="s">
        <v>465</v>
      </c>
      <c r="C264" t="s">
        <v>490</v>
      </c>
      <c r="D264" t="s">
        <v>491</v>
      </c>
      <c r="E264">
        <v>2570</v>
      </c>
      <c r="F264" t="s">
        <v>574</v>
      </c>
      <c r="G264" t="s">
        <v>600</v>
      </c>
      <c r="H264" t="s">
        <v>573</v>
      </c>
      <c r="I264" t="s">
        <v>573</v>
      </c>
      <c r="J264" t="s">
        <v>574</v>
      </c>
      <c r="K264" t="s">
        <v>573</v>
      </c>
      <c r="L264" t="s">
        <v>574</v>
      </c>
      <c r="M264" t="s">
        <v>614</v>
      </c>
      <c r="O264" t="s">
        <v>736</v>
      </c>
    </row>
    <row r="265" spans="1:15" x14ac:dyDescent="0.2">
      <c r="A265" s="1">
        <v>263</v>
      </c>
      <c r="B265" t="s">
        <v>465</v>
      </c>
      <c r="C265" t="s">
        <v>492</v>
      </c>
      <c r="D265" t="s">
        <v>493</v>
      </c>
      <c r="E265">
        <v>2414</v>
      </c>
      <c r="F265" t="s">
        <v>574</v>
      </c>
      <c r="G265" t="s">
        <v>574</v>
      </c>
      <c r="H265" t="s">
        <v>573</v>
      </c>
      <c r="I265" t="s">
        <v>583</v>
      </c>
      <c r="J265" t="s">
        <v>574</v>
      </c>
      <c r="K265" t="s">
        <v>573</v>
      </c>
      <c r="L265" t="s">
        <v>574</v>
      </c>
      <c r="M265" t="s">
        <v>614</v>
      </c>
      <c r="O265" t="s">
        <v>736</v>
      </c>
    </row>
    <row r="266" spans="1:15" x14ac:dyDescent="0.2">
      <c r="A266" s="1">
        <v>264</v>
      </c>
      <c r="B266" t="s">
        <v>465</v>
      </c>
      <c r="C266" t="s">
        <v>494</v>
      </c>
      <c r="D266" t="s">
        <v>495</v>
      </c>
      <c r="E266">
        <v>2396</v>
      </c>
      <c r="F266" t="s">
        <v>574</v>
      </c>
      <c r="G266" t="s">
        <v>574</v>
      </c>
      <c r="H266" t="s">
        <v>573</v>
      </c>
      <c r="I266" t="s">
        <v>583</v>
      </c>
      <c r="J266" t="s">
        <v>574</v>
      </c>
      <c r="K266" t="s">
        <v>573</v>
      </c>
      <c r="L266" t="s">
        <v>574</v>
      </c>
      <c r="M266" t="s">
        <v>614</v>
      </c>
      <c r="O266" t="s">
        <v>736</v>
      </c>
    </row>
    <row r="267" spans="1:15" x14ac:dyDescent="0.2">
      <c r="A267" s="1">
        <v>265</v>
      </c>
      <c r="B267" t="s">
        <v>465</v>
      </c>
      <c r="C267" t="s">
        <v>496</v>
      </c>
      <c r="D267" t="s">
        <v>497</v>
      </c>
      <c r="E267">
        <v>2388</v>
      </c>
      <c r="F267" t="s">
        <v>574</v>
      </c>
      <c r="G267" t="s">
        <v>600</v>
      </c>
      <c r="H267" t="s">
        <v>573</v>
      </c>
      <c r="I267" t="s">
        <v>573</v>
      </c>
      <c r="J267" t="s">
        <v>574</v>
      </c>
      <c r="K267" t="s">
        <v>573</v>
      </c>
      <c r="L267" t="s">
        <v>574</v>
      </c>
      <c r="M267" t="s">
        <v>614</v>
      </c>
      <c r="O267" t="s">
        <v>736</v>
      </c>
    </row>
    <row r="268" spans="1:15" x14ac:dyDescent="0.2">
      <c r="A268" s="1">
        <v>266</v>
      </c>
      <c r="B268" t="s">
        <v>465</v>
      </c>
      <c r="C268" t="s">
        <v>498</v>
      </c>
      <c r="D268" t="s">
        <v>499</v>
      </c>
      <c r="E268">
        <v>2352</v>
      </c>
      <c r="F268" t="s">
        <v>574</v>
      </c>
      <c r="G268" t="s">
        <v>600</v>
      </c>
      <c r="H268" t="s">
        <v>573</v>
      </c>
      <c r="I268" t="s">
        <v>573</v>
      </c>
      <c r="J268" t="s">
        <v>574</v>
      </c>
      <c r="K268" t="s">
        <v>573</v>
      </c>
      <c r="L268" t="s">
        <v>574</v>
      </c>
      <c r="M268" t="s">
        <v>614</v>
      </c>
      <c r="O268" t="s">
        <v>736</v>
      </c>
    </row>
    <row r="269" spans="1:15" x14ac:dyDescent="0.2">
      <c r="A269" s="1">
        <v>267</v>
      </c>
      <c r="B269" t="s">
        <v>465</v>
      </c>
      <c r="C269" t="s">
        <v>500</v>
      </c>
      <c r="D269" t="s">
        <v>501</v>
      </c>
      <c r="E269">
        <v>2327</v>
      </c>
      <c r="F269" t="s">
        <v>574</v>
      </c>
      <c r="G269" t="s">
        <v>574</v>
      </c>
      <c r="H269" t="s">
        <v>573</v>
      </c>
      <c r="I269" t="s">
        <v>583</v>
      </c>
      <c r="J269" t="s">
        <v>574</v>
      </c>
      <c r="K269" t="s">
        <v>573</v>
      </c>
      <c r="L269" t="s">
        <v>574</v>
      </c>
      <c r="M269" t="s">
        <v>717</v>
      </c>
      <c r="N269" t="s">
        <v>718</v>
      </c>
      <c r="O269" t="s">
        <v>733</v>
      </c>
    </row>
    <row r="270" spans="1:15" x14ac:dyDescent="0.2">
      <c r="A270" s="1">
        <v>268</v>
      </c>
      <c r="B270" t="s">
        <v>465</v>
      </c>
      <c r="C270" t="s">
        <v>502</v>
      </c>
      <c r="D270" t="s">
        <v>503</v>
      </c>
      <c r="E270">
        <v>2305</v>
      </c>
      <c r="F270" t="s">
        <v>574</v>
      </c>
      <c r="G270" t="s">
        <v>600</v>
      </c>
      <c r="H270" t="s">
        <v>583</v>
      </c>
      <c r="I270" t="s">
        <v>583</v>
      </c>
      <c r="J270" t="s">
        <v>574</v>
      </c>
      <c r="K270" t="s">
        <v>573</v>
      </c>
      <c r="L270" t="s">
        <v>574</v>
      </c>
      <c r="M270" t="s">
        <v>645</v>
      </c>
      <c r="O270" t="s">
        <v>741</v>
      </c>
    </row>
    <row r="271" spans="1:15" x14ac:dyDescent="0.2">
      <c r="A271" s="1">
        <v>269</v>
      </c>
      <c r="B271" t="s">
        <v>465</v>
      </c>
      <c r="C271" t="s">
        <v>504</v>
      </c>
      <c r="D271" t="s">
        <v>505</v>
      </c>
      <c r="E271">
        <v>2262</v>
      </c>
      <c r="F271" t="s">
        <v>574</v>
      </c>
      <c r="G271" t="s">
        <v>661</v>
      </c>
      <c r="H271" t="s">
        <v>573</v>
      </c>
      <c r="I271" t="s">
        <v>583</v>
      </c>
      <c r="J271" t="s">
        <v>574</v>
      </c>
      <c r="K271" t="s">
        <v>573</v>
      </c>
      <c r="L271" t="s">
        <v>574</v>
      </c>
      <c r="M271" t="s">
        <v>614</v>
      </c>
      <c r="O271" t="s">
        <v>736</v>
      </c>
    </row>
    <row r="272" spans="1:15" x14ac:dyDescent="0.2">
      <c r="A272" s="1">
        <v>270</v>
      </c>
      <c r="B272" t="s">
        <v>465</v>
      </c>
      <c r="C272" t="s">
        <v>506</v>
      </c>
      <c r="D272" t="s">
        <v>507</v>
      </c>
      <c r="E272">
        <v>2219</v>
      </c>
      <c r="F272" t="s">
        <v>574</v>
      </c>
      <c r="G272" t="s">
        <v>574</v>
      </c>
      <c r="H272" t="s">
        <v>573</v>
      </c>
      <c r="I272" t="s">
        <v>583</v>
      </c>
      <c r="J272" t="s">
        <v>574</v>
      </c>
      <c r="K272" t="s">
        <v>573</v>
      </c>
      <c r="L272" t="s">
        <v>574</v>
      </c>
      <c r="M272" t="s">
        <v>614</v>
      </c>
      <c r="O272" t="s">
        <v>736</v>
      </c>
    </row>
    <row r="273" spans="1:15" x14ac:dyDescent="0.2">
      <c r="A273" s="1">
        <v>271</v>
      </c>
      <c r="B273" t="s">
        <v>465</v>
      </c>
      <c r="C273" t="s">
        <v>508</v>
      </c>
      <c r="D273" t="s">
        <v>509</v>
      </c>
      <c r="E273">
        <v>2213</v>
      </c>
      <c r="F273" t="s">
        <v>574</v>
      </c>
      <c r="G273" t="s">
        <v>600</v>
      </c>
      <c r="H273" t="s">
        <v>573</v>
      </c>
      <c r="I273" t="s">
        <v>573</v>
      </c>
      <c r="J273" t="s">
        <v>574</v>
      </c>
      <c r="K273" t="s">
        <v>573</v>
      </c>
      <c r="L273" t="s">
        <v>574</v>
      </c>
      <c r="M273" t="s">
        <v>614</v>
      </c>
      <c r="O273" t="s">
        <v>736</v>
      </c>
    </row>
    <row r="274" spans="1:15" x14ac:dyDescent="0.2">
      <c r="A274" s="1">
        <v>272</v>
      </c>
      <c r="B274" t="s">
        <v>465</v>
      </c>
      <c r="C274" t="s">
        <v>510</v>
      </c>
      <c r="D274" t="s">
        <v>511</v>
      </c>
      <c r="E274">
        <v>2210</v>
      </c>
      <c r="F274" t="s">
        <v>574</v>
      </c>
      <c r="G274" t="s">
        <v>574</v>
      </c>
      <c r="H274" t="s">
        <v>573</v>
      </c>
      <c r="I274" t="s">
        <v>573</v>
      </c>
      <c r="J274" t="s">
        <v>574</v>
      </c>
      <c r="K274" t="s">
        <v>573</v>
      </c>
      <c r="L274" t="s">
        <v>574</v>
      </c>
      <c r="M274" t="s">
        <v>614</v>
      </c>
      <c r="O274" t="s">
        <v>736</v>
      </c>
    </row>
    <row r="275" spans="1:15" x14ac:dyDescent="0.2">
      <c r="A275" s="1">
        <v>273</v>
      </c>
      <c r="B275" t="s">
        <v>465</v>
      </c>
      <c r="C275" t="s">
        <v>512</v>
      </c>
      <c r="D275" t="s">
        <v>513</v>
      </c>
      <c r="E275">
        <v>2181</v>
      </c>
      <c r="F275" t="s">
        <v>574</v>
      </c>
      <c r="G275" t="s">
        <v>600</v>
      </c>
      <c r="H275" t="s">
        <v>583</v>
      </c>
      <c r="I275" t="s">
        <v>573</v>
      </c>
      <c r="J275" t="s">
        <v>574</v>
      </c>
      <c r="K275" t="s">
        <v>573</v>
      </c>
      <c r="L275" t="s">
        <v>574</v>
      </c>
      <c r="M275" t="s">
        <v>614</v>
      </c>
      <c r="O275" t="s">
        <v>736</v>
      </c>
    </row>
    <row r="276" spans="1:15" x14ac:dyDescent="0.2">
      <c r="A276" s="1">
        <v>274</v>
      </c>
      <c r="B276" t="s">
        <v>465</v>
      </c>
      <c r="C276" t="s">
        <v>514</v>
      </c>
      <c r="D276" t="s">
        <v>515</v>
      </c>
      <c r="E276">
        <v>2171</v>
      </c>
      <c r="F276" t="s">
        <v>574</v>
      </c>
      <c r="G276" t="s">
        <v>574</v>
      </c>
      <c r="H276" t="s">
        <v>573</v>
      </c>
      <c r="I276" t="s">
        <v>583</v>
      </c>
      <c r="J276" t="s">
        <v>574</v>
      </c>
      <c r="K276" t="s">
        <v>573</v>
      </c>
      <c r="L276" t="s">
        <v>574</v>
      </c>
      <c r="M276" t="s">
        <v>717</v>
      </c>
      <c r="N276" t="s">
        <v>718</v>
      </c>
      <c r="O276" t="s">
        <v>733</v>
      </c>
    </row>
    <row r="277" spans="1:15" x14ac:dyDescent="0.2">
      <c r="A277" s="1">
        <v>275</v>
      </c>
      <c r="B277" t="s">
        <v>465</v>
      </c>
      <c r="C277" t="s">
        <v>516</v>
      </c>
      <c r="D277" t="s">
        <v>517</v>
      </c>
      <c r="E277">
        <v>138</v>
      </c>
      <c r="F277" t="s">
        <v>574</v>
      </c>
      <c r="G277" t="s">
        <v>574</v>
      </c>
      <c r="H277" t="s">
        <v>573</v>
      </c>
      <c r="I277" t="s">
        <v>583</v>
      </c>
      <c r="J277" t="s">
        <v>574</v>
      </c>
      <c r="K277" t="s">
        <v>573</v>
      </c>
      <c r="L277" t="s">
        <v>574</v>
      </c>
      <c r="M277" t="s">
        <v>614</v>
      </c>
      <c r="O277" t="s">
        <v>736</v>
      </c>
    </row>
    <row r="278" spans="1:15" x14ac:dyDescent="0.2">
      <c r="A278" s="1">
        <v>276</v>
      </c>
      <c r="B278" t="s">
        <v>465</v>
      </c>
      <c r="C278" t="s">
        <v>518</v>
      </c>
      <c r="D278" t="s">
        <v>519</v>
      </c>
      <c r="E278">
        <v>196</v>
      </c>
      <c r="F278" t="s">
        <v>574</v>
      </c>
      <c r="G278" t="s">
        <v>574</v>
      </c>
      <c r="H278" t="s">
        <v>573</v>
      </c>
      <c r="I278" t="s">
        <v>583</v>
      </c>
      <c r="J278" t="s">
        <v>574</v>
      </c>
      <c r="K278" t="s">
        <v>573</v>
      </c>
      <c r="L278" t="s">
        <v>574</v>
      </c>
      <c r="M278" t="s">
        <v>614</v>
      </c>
      <c r="O278" t="s">
        <v>736</v>
      </c>
    </row>
    <row r="279" spans="1:15" x14ac:dyDescent="0.2">
      <c r="A279" s="1">
        <v>277</v>
      </c>
      <c r="B279" t="s">
        <v>465</v>
      </c>
      <c r="C279" t="s">
        <v>520</v>
      </c>
      <c r="D279" t="s">
        <v>521</v>
      </c>
      <c r="E279">
        <v>204</v>
      </c>
      <c r="F279" t="s">
        <v>574</v>
      </c>
      <c r="G279" t="s">
        <v>574</v>
      </c>
      <c r="H279" t="s">
        <v>573</v>
      </c>
      <c r="I279" t="s">
        <v>583</v>
      </c>
      <c r="J279" t="s">
        <v>574</v>
      </c>
      <c r="K279" t="s">
        <v>573</v>
      </c>
      <c r="L279" t="s">
        <v>574</v>
      </c>
      <c r="M279" t="s">
        <v>614</v>
      </c>
      <c r="O279" t="s">
        <v>736</v>
      </c>
    </row>
    <row r="280" spans="1:15" x14ac:dyDescent="0.2">
      <c r="A280" s="1">
        <v>278</v>
      </c>
      <c r="B280" t="s">
        <v>465</v>
      </c>
      <c r="C280" t="s">
        <v>522</v>
      </c>
      <c r="D280" t="s">
        <v>523</v>
      </c>
      <c r="E280">
        <v>217</v>
      </c>
      <c r="F280" t="s">
        <v>574</v>
      </c>
      <c r="G280" t="s">
        <v>574</v>
      </c>
      <c r="H280" t="s">
        <v>574</v>
      </c>
      <c r="I280" t="s">
        <v>583</v>
      </c>
      <c r="J280" t="s">
        <v>574</v>
      </c>
      <c r="K280" t="s">
        <v>573</v>
      </c>
      <c r="L280" t="s">
        <v>574</v>
      </c>
      <c r="M280" t="s">
        <v>720</v>
      </c>
      <c r="O280" t="s">
        <v>738</v>
      </c>
    </row>
    <row r="281" spans="1:15" x14ac:dyDescent="0.2">
      <c r="A281" s="1">
        <v>279</v>
      </c>
      <c r="B281" t="s">
        <v>465</v>
      </c>
      <c r="C281" t="s">
        <v>524</v>
      </c>
      <c r="D281" t="s">
        <v>525</v>
      </c>
      <c r="E281">
        <v>217</v>
      </c>
      <c r="F281" t="s">
        <v>574</v>
      </c>
      <c r="G281" t="s">
        <v>574</v>
      </c>
      <c r="H281" t="s">
        <v>574</v>
      </c>
      <c r="I281" t="s">
        <v>583</v>
      </c>
      <c r="J281" t="s">
        <v>574</v>
      </c>
      <c r="K281" t="s">
        <v>573</v>
      </c>
      <c r="L281" t="s">
        <v>574</v>
      </c>
      <c r="M281" t="s">
        <v>720</v>
      </c>
      <c r="O281" t="s">
        <v>738</v>
      </c>
    </row>
    <row r="282" spans="1:15" x14ac:dyDescent="0.2">
      <c r="A282" s="1">
        <v>280</v>
      </c>
      <c r="B282" t="s">
        <v>465</v>
      </c>
      <c r="C282" t="s">
        <v>526</v>
      </c>
      <c r="D282" t="s">
        <v>527</v>
      </c>
      <c r="E282">
        <v>221</v>
      </c>
      <c r="F282" t="s">
        <v>574</v>
      </c>
      <c r="G282" t="s">
        <v>574</v>
      </c>
      <c r="H282" t="s">
        <v>573</v>
      </c>
      <c r="I282" t="s">
        <v>583</v>
      </c>
      <c r="J282" t="s">
        <v>574</v>
      </c>
      <c r="K282" t="s">
        <v>573</v>
      </c>
      <c r="L282" t="s">
        <v>574</v>
      </c>
      <c r="M282" t="s">
        <v>614</v>
      </c>
      <c r="O282" t="s">
        <v>736</v>
      </c>
    </row>
    <row r="283" spans="1:15" x14ac:dyDescent="0.2">
      <c r="A283" s="1">
        <v>281</v>
      </c>
      <c r="B283" t="s">
        <v>465</v>
      </c>
      <c r="C283" t="s">
        <v>528</v>
      </c>
      <c r="D283" t="s">
        <v>529</v>
      </c>
      <c r="E283">
        <v>224</v>
      </c>
      <c r="F283" t="s">
        <v>574</v>
      </c>
      <c r="G283" t="s">
        <v>600</v>
      </c>
      <c r="H283" t="s">
        <v>583</v>
      </c>
      <c r="I283" t="s">
        <v>574</v>
      </c>
      <c r="J283" t="s">
        <v>574</v>
      </c>
      <c r="K283" t="s">
        <v>573</v>
      </c>
      <c r="L283" t="s">
        <v>574</v>
      </c>
      <c r="M283" t="s">
        <v>721</v>
      </c>
      <c r="N283" t="s">
        <v>719</v>
      </c>
      <c r="O283" t="s">
        <v>738</v>
      </c>
    </row>
    <row r="284" spans="1:15" x14ac:dyDescent="0.2">
      <c r="A284" s="1">
        <v>282</v>
      </c>
      <c r="B284" t="s">
        <v>465</v>
      </c>
      <c r="C284" t="s">
        <v>530</v>
      </c>
      <c r="D284" t="s">
        <v>531</v>
      </c>
      <c r="E284">
        <v>231</v>
      </c>
      <c r="F284" t="s">
        <v>574</v>
      </c>
      <c r="G284" t="s">
        <v>574</v>
      </c>
      <c r="H284" t="s">
        <v>573</v>
      </c>
      <c r="I284" t="s">
        <v>583</v>
      </c>
      <c r="J284" t="s">
        <v>574</v>
      </c>
      <c r="K284" t="s">
        <v>573</v>
      </c>
      <c r="L284" t="s">
        <v>574</v>
      </c>
      <c r="M284" t="s">
        <v>614</v>
      </c>
      <c r="O284" t="s">
        <v>736</v>
      </c>
    </row>
    <row r="285" spans="1:15" x14ac:dyDescent="0.2">
      <c r="A285" s="1">
        <v>283</v>
      </c>
      <c r="B285" t="s">
        <v>465</v>
      </c>
      <c r="C285" t="s">
        <v>532</v>
      </c>
      <c r="D285" t="s">
        <v>533</v>
      </c>
      <c r="E285">
        <v>239</v>
      </c>
      <c r="F285" t="s">
        <v>574</v>
      </c>
      <c r="G285" t="s">
        <v>574</v>
      </c>
      <c r="H285" t="s">
        <v>573</v>
      </c>
      <c r="I285" t="s">
        <v>583</v>
      </c>
      <c r="J285" t="s">
        <v>574</v>
      </c>
      <c r="K285" t="s">
        <v>573</v>
      </c>
      <c r="L285" t="s">
        <v>574</v>
      </c>
      <c r="M285" t="s">
        <v>614</v>
      </c>
      <c r="O285" t="s">
        <v>736</v>
      </c>
    </row>
    <row r="286" spans="1:15" x14ac:dyDescent="0.2">
      <c r="A286" s="1">
        <v>284</v>
      </c>
      <c r="B286" t="s">
        <v>465</v>
      </c>
      <c r="C286" t="s">
        <v>534</v>
      </c>
      <c r="D286" t="s">
        <v>535</v>
      </c>
      <c r="E286">
        <v>239</v>
      </c>
      <c r="F286" t="s">
        <v>574</v>
      </c>
      <c r="G286" t="s">
        <v>574</v>
      </c>
      <c r="H286" t="s">
        <v>573</v>
      </c>
      <c r="I286" t="s">
        <v>583</v>
      </c>
      <c r="J286" t="s">
        <v>574</v>
      </c>
      <c r="K286" t="s">
        <v>573</v>
      </c>
      <c r="L286" t="s">
        <v>574</v>
      </c>
      <c r="M286" t="s">
        <v>614</v>
      </c>
      <c r="O286" t="s">
        <v>736</v>
      </c>
    </row>
    <row r="287" spans="1:15" x14ac:dyDescent="0.2">
      <c r="A287" s="1">
        <v>285</v>
      </c>
      <c r="B287" t="s">
        <v>465</v>
      </c>
      <c r="C287" t="s">
        <v>536</v>
      </c>
      <c r="D287" t="s">
        <v>537</v>
      </c>
      <c r="E287">
        <v>240</v>
      </c>
      <c r="F287" t="s">
        <v>574</v>
      </c>
      <c r="G287" t="s">
        <v>574</v>
      </c>
      <c r="H287" t="s">
        <v>573</v>
      </c>
      <c r="I287" t="s">
        <v>583</v>
      </c>
      <c r="J287" t="s">
        <v>574</v>
      </c>
      <c r="K287" t="s">
        <v>573</v>
      </c>
      <c r="L287" t="s">
        <v>574</v>
      </c>
      <c r="M287" t="s">
        <v>614</v>
      </c>
      <c r="O287" t="s">
        <v>736</v>
      </c>
    </row>
    <row r="288" spans="1:15" x14ac:dyDescent="0.2">
      <c r="A288" s="1">
        <v>286</v>
      </c>
      <c r="B288" t="s">
        <v>465</v>
      </c>
      <c r="C288" t="s">
        <v>538</v>
      </c>
      <c r="D288" t="s">
        <v>539</v>
      </c>
      <c r="E288">
        <v>240</v>
      </c>
      <c r="F288" t="s">
        <v>574</v>
      </c>
      <c r="G288" t="s">
        <v>574</v>
      </c>
      <c r="H288" t="s">
        <v>573</v>
      </c>
      <c r="I288" t="s">
        <v>583</v>
      </c>
      <c r="J288" t="s">
        <v>574</v>
      </c>
      <c r="K288" t="s">
        <v>573</v>
      </c>
      <c r="L288" t="s">
        <v>574</v>
      </c>
      <c r="M288" t="s">
        <v>614</v>
      </c>
      <c r="O288" t="s">
        <v>736</v>
      </c>
    </row>
    <row r="289" spans="1:15" x14ac:dyDescent="0.2">
      <c r="A289" s="1">
        <v>287</v>
      </c>
      <c r="B289" t="s">
        <v>465</v>
      </c>
      <c r="C289" t="s">
        <v>540</v>
      </c>
      <c r="D289" t="s">
        <v>541</v>
      </c>
      <c r="E289">
        <v>242</v>
      </c>
      <c r="F289" t="s">
        <v>574</v>
      </c>
      <c r="G289" t="s">
        <v>574</v>
      </c>
      <c r="H289" t="s">
        <v>573</v>
      </c>
      <c r="I289" t="s">
        <v>583</v>
      </c>
      <c r="J289" t="s">
        <v>574</v>
      </c>
      <c r="K289" t="s">
        <v>573</v>
      </c>
      <c r="L289" t="s">
        <v>574</v>
      </c>
      <c r="M289" t="s">
        <v>614</v>
      </c>
      <c r="O289" t="s">
        <v>736</v>
      </c>
    </row>
    <row r="290" spans="1:15" x14ac:dyDescent="0.2">
      <c r="A290" s="1">
        <v>288</v>
      </c>
      <c r="B290" t="s">
        <v>465</v>
      </c>
      <c r="C290" t="s">
        <v>542</v>
      </c>
      <c r="D290" t="s">
        <v>543</v>
      </c>
      <c r="E290">
        <v>244</v>
      </c>
      <c r="F290" t="s">
        <v>574</v>
      </c>
      <c r="G290" t="s">
        <v>574</v>
      </c>
      <c r="H290" t="s">
        <v>573</v>
      </c>
      <c r="I290" t="s">
        <v>583</v>
      </c>
      <c r="J290" t="s">
        <v>574</v>
      </c>
      <c r="K290" t="s">
        <v>573</v>
      </c>
      <c r="L290" t="s">
        <v>574</v>
      </c>
      <c r="M290" t="s">
        <v>614</v>
      </c>
      <c r="O290" t="s">
        <v>736</v>
      </c>
    </row>
    <row r="291" spans="1:15" x14ac:dyDescent="0.2">
      <c r="A291" s="1">
        <v>289</v>
      </c>
      <c r="B291" t="s">
        <v>465</v>
      </c>
      <c r="C291" t="s">
        <v>544</v>
      </c>
      <c r="D291" t="s">
        <v>545</v>
      </c>
      <c r="E291">
        <v>244</v>
      </c>
      <c r="F291" t="s">
        <v>574</v>
      </c>
      <c r="G291" t="s">
        <v>574</v>
      </c>
      <c r="H291" t="s">
        <v>573</v>
      </c>
      <c r="I291" t="s">
        <v>583</v>
      </c>
      <c r="J291" t="s">
        <v>574</v>
      </c>
      <c r="K291" t="s">
        <v>573</v>
      </c>
      <c r="L291" t="s">
        <v>574</v>
      </c>
      <c r="M291" t="s">
        <v>614</v>
      </c>
      <c r="O291" t="s">
        <v>736</v>
      </c>
    </row>
    <row r="292" spans="1:15" x14ac:dyDescent="0.2">
      <c r="A292" s="1">
        <v>290</v>
      </c>
      <c r="B292" t="s">
        <v>465</v>
      </c>
      <c r="C292" t="s">
        <v>546</v>
      </c>
      <c r="D292" t="s">
        <v>547</v>
      </c>
      <c r="E292">
        <v>249</v>
      </c>
      <c r="F292" t="s">
        <v>574</v>
      </c>
      <c r="G292" t="s">
        <v>574</v>
      </c>
      <c r="H292" t="s">
        <v>573</v>
      </c>
      <c r="I292" t="s">
        <v>583</v>
      </c>
      <c r="J292" t="s">
        <v>574</v>
      </c>
      <c r="K292" t="s">
        <v>573</v>
      </c>
      <c r="L292" t="s">
        <v>574</v>
      </c>
      <c r="M292" t="s">
        <v>614</v>
      </c>
      <c r="O292" t="s">
        <v>736</v>
      </c>
    </row>
    <row r="293" spans="1:15" x14ac:dyDescent="0.2">
      <c r="A293" s="1">
        <v>291</v>
      </c>
      <c r="B293" t="s">
        <v>465</v>
      </c>
      <c r="C293" t="s">
        <v>548</v>
      </c>
      <c r="D293" t="s">
        <v>549</v>
      </c>
      <c r="E293">
        <v>252</v>
      </c>
      <c r="F293" t="s">
        <v>574</v>
      </c>
      <c r="G293" t="s">
        <v>574</v>
      </c>
      <c r="H293" t="s">
        <v>573</v>
      </c>
      <c r="I293" t="s">
        <v>583</v>
      </c>
      <c r="J293" t="s">
        <v>574</v>
      </c>
      <c r="K293" t="s">
        <v>573</v>
      </c>
      <c r="L293" t="s">
        <v>574</v>
      </c>
      <c r="M293" t="s">
        <v>614</v>
      </c>
      <c r="O293" t="s">
        <v>736</v>
      </c>
    </row>
    <row r="294" spans="1:15" x14ac:dyDescent="0.2">
      <c r="A294" s="1">
        <v>292</v>
      </c>
      <c r="B294" t="s">
        <v>465</v>
      </c>
      <c r="C294" t="s">
        <v>550</v>
      </c>
      <c r="D294" t="s">
        <v>551</v>
      </c>
      <c r="E294">
        <v>252</v>
      </c>
      <c r="F294" t="s">
        <v>574</v>
      </c>
      <c r="G294" t="s">
        <v>574</v>
      </c>
      <c r="H294" t="s">
        <v>573</v>
      </c>
      <c r="I294" t="s">
        <v>583</v>
      </c>
      <c r="J294" t="s">
        <v>574</v>
      </c>
      <c r="K294" t="s">
        <v>573</v>
      </c>
      <c r="L294" t="s">
        <v>574</v>
      </c>
      <c r="M294" t="s">
        <v>614</v>
      </c>
      <c r="O294" t="s">
        <v>736</v>
      </c>
    </row>
    <row r="295" spans="1:15" x14ac:dyDescent="0.2">
      <c r="A295" s="1">
        <v>293</v>
      </c>
      <c r="B295" t="s">
        <v>465</v>
      </c>
      <c r="C295" t="s">
        <v>552</v>
      </c>
      <c r="D295" t="s">
        <v>553</v>
      </c>
      <c r="E295">
        <v>252</v>
      </c>
      <c r="F295" t="s">
        <v>574</v>
      </c>
      <c r="G295" t="s">
        <v>574</v>
      </c>
      <c r="H295" t="s">
        <v>573</v>
      </c>
      <c r="I295" t="s">
        <v>583</v>
      </c>
      <c r="J295" t="s">
        <v>574</v>
      </c>
      <c r="K295" t="s">
        <v>573</v>
      </c>
      <c r="L295" t="s">
        <v>574</v>
      </c>
      <c r="M295" t="s">
        <v>614</v>
      </c>
      <c r="O295" t="s">
        <v>736</v>
      </c>
    </row>
    <row r="296" spans="1:15" x14ac:dyDescent="0.2">
      <c r="A296" s="1">
        <v>294</v>
      </c>
      <c r="B296" t="s">
        <v>465</v>
      </c>
      <c r="C296" t="s">
        <v>554</v>
      </c>
      <c r="D296" t="s">
        <v>555</v>
      </c>
      <c r="E296">
        <v>255</v>
      </c>
      <c r="F296" t="s">
        <v>574</v>
      </c>
      <c r="G296" t="s">
        <v>574</v>
      </c>
      <c r="H296" t="s">
        <v>573</v>
      </c>
      <c r="I296" t="s">
        <v>583</v>
      </c>
      <c r="J296" t="s">
        <v>574</v>
      </c>
      <c r="K296" t="s">
        <v>573</v>
      </c>
      <c r="L296" t="s">
        <v>574</v>
      </c>
      <c r="M296" t="s">
        <v>614</v>
      </c>
      <c r="O296" t="s">
        <v>736</v>
      </c>
    </row>
    <row r="297" spans="1:15" x14ac:dyDescent="0.2">
      <c r="A297" s="1">
        <v>295</v>
      </c>
      <c r="B297" t="s">
        <v>465</v>
      </c>
      <c r="C297" t="s">
        <v>556</v>
      </c>
      <c r="D297" t="s">
        <v>557</v>
      </c>
      <c r="E297">
        <v>258</v>
      </c>
      <c r="F297" t="s">
        <v>574</v>
      </c>
      <c r="G297" t="s">
        <v>574</v>
      </c>
      <c r="H297" t="s">
        <v>573</v>
      </c>
      <c r="I297" t="s">
        <v>583</v>
      </c>
      <c r="J297" t="s">
        <v>574</v>
      </c>
      <c r="K297" t="s">
        <v>573</v>
      </c>
      <c r="L297" t="s">
        <v>574</v>
      </c>
      <c r="M297" t="s">
        <v>614</v>
      </c>
      <c r="O297" t="s">
        <v>736</v>
      </c>
    </row>
    <row r="298" spans="1:15" x14ac:dyDescent="0.2">
      <c r="A298" s="1">
        <v>296</v>
      </c>
      <c r="B298" t="s">
        <v>465</v>
      </c>
      <c r="C298" t="s">
        <v>558</v>
      </c>
      <c r="D298" t="s">
        <v>559</v>
      </c>
      <c r="E298">
        <v>260</v>
      </c>
      <c r="F298" t="s">
        <v>574</v>
      </c>
      <c r="G298" t="s">
        <v>574</v>
      </c>
      <c r="H298" t="s">
        <v>573</v>
      </c>
      <c r="I298" t="s">
        <v>583</v>
      </c>
      <c r="J298" t="s">
        <v>574</v>
      </c>
      <c r="K298" t="s">
        <v>573</v>
      </c>
      <c r="L298" t="s">
        <v>574</v>
      </c>
      <c r="M298" t="s">
        <v>614</v>
      </c>
      <c r="O298" t="s">
        <v>736</v>
      </c>
    </row>
    <row r="299" spans="1:15" x14ac:dyDescent="0.2">
      <c r="A299" s="1">
        <v>297</v>
      </c>
      <c r="B299" t="s">
        <v>465</v>
      </c>
      <c r="C299" t="s">
        <v>560</v>
      </c>
      <c r="D299" t="s">
        <v>561</v>
      </c>
      <c r="E299">
        <v>261</v>
      </c>
      <c r="F299" t="s">
        <v>574</v>
      </c>
      <c r="G299" t="s">
        <v>574</v>
      </c>
      <c r="H299" t="s">
        <v>573</v>
      </c>
      <c r="I299" t="s">
        <v>583</v>
      </c>
      <c r="J299" t="s">
        <v>574</v>
      </c>
      <c r="K299" t="s">
        <v>573</v>
      </c>
      <c r="L299" t="s">
        <v>574</v>
      </c>
      <c r="M299" t="s">
        <v>614</v>
      </c>
      <c r="O299" t="s">
        <v>736</v>
      </c>
    </row>
    <row r="300" spans="1:15" x14ac:dyDescent="0.2">
      <c r="A300" s="1">
        <v>298</v>
      </c>
      <c r="B300" t="s">
        <v>465</v>
      </c>
      <c r="C300" t="s">
        <v>562</v>
      </c>
      <c r="D300" t="s">
        <v>563</v>
      </c>
      <c r="E300">
        <v>262</v>
      </c>
      <c r="F300" t="s">
        <v>574</v>
      </c>
      <c r="G300" t="s">
        <v>574</v>
      </c>
      <c r="H300" t="s">
        <v>573</v>
      </c>
      <c r="I300" t="s">
        <v>583</v>
      </c>
      <c r="J300" t="s">
        <v>574</v>
      </c>
      <c r="K300" t="s">
        <v>573</v>
      </c>
      <c r="L300" t="s">
        <v>574</v>
      </c>
      <c r="M300" t="s">
        <v>614</v>
      </c>
      <c r="O300" t="s">
        <v>736</v>
      </c>
    </row>
    <row r="301" spans="1:15" x14ac:dyDescent="0.2">
      <c r="A301" s="1">
        <v>299</v>
      </c>
      <c r="B301" t="s">
        <v>465</v>
      </c>
      <c r="C301" t="s">
        <v>564</v>
      </c>
      <c r="D301" t="s">
        <v>565</v>
      </c>
      <c r="E301">
        <v>266</v>
      </c>
      <c r="F301" t="s">
        <v>731</v>
      </c>
      <c r="G301" t="s">
        <v>574</v>
      </c>
      <c r="H301" t="s">
        <v>573</v>
      </c>
      <c r="I301" t="s">
        <v>583</v>
      </c>
      <c r="J301" t="s">
        <v>574</v>
      </c>
      <c r="K301" t="s">
        <v>573</v>
      </c>
      <c r="L301" t="s">
        <v>574</v>
      </c>
      <c r="M301" t="s">
        <v>717</v>
      </c>
      <c r="O301" t="s">
        <v>736</v>
      </c>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CA916-B706-2A4D-97B1-2DB3AD5FA841}">
  <dimension ref="A1:C301"/>
  <sheetViews>
    <sheetView workbookViewId="0">
      <selection activeCell="C301" sqref="A1:C301"/>
    </sheetView>
  </sheetViews>
  <sheetFormatPr baseColWidth="10" defaultRowHeight="15" x14ac:dyDescent="0.2"/>
  <cols>
    <col min="1" max="1" width="39.83203125" bestFit="1" customWidth="1"/>
    <col min="2" max="3" width="26.83203125" bestFit="1" customWidth="1"/>
  </cols>
  <sheetData>
    <row r="1" spans="1:3" x14ac:dyDescent="0.2">
      <c r="A1" t="s">
        <v>744</v>
      </c>
      <c r="B1" t="s">
        <v>745</v>
      </c>
      <c r="C1" t="s">
        <v>746</v>
      </c>
    </row>
    <row r="2" spans="1:3" x14ac:dyDescent="0.2">
      <c r="A2" t="s">
        <v>5</v>
      </c>
      <c r="B2" t="s">
        <v>733</v>
      </c>
      <c r="C2" t="s">
        <v>733</v>
      </c>
    </row>
    <row r="3" spans="1:3" x14ac:dyDescent="0.2">
      <c r="A3" t="s">
        <v>7</v>
      </c>
      <c r="B3" t="s">
        <v>734</v>
      </c>
      <c r="C3" t="s">
        <v>734</v>
      </c>
    </row>
    <row r="4" spans="1:3" x14ac:dyDescent="0.2">
      <c r="A4" t="s">
        <v>9</v>
      </c>
      <c r="B4" t="s">
        <v>734</v>
      </c>
      <c r="C4" t="s">
        <v>734</v>
      </c>
    </row>
    <row r="5" spans="1:3" x14ac:dyDescent="0.2">
      <c r="A5" t="s">
        <v>11</v>
      </c>
      <c r="B5" t="s">
        <v>734</v>
      </c>
      <c r="C5" t="s">
        <v>734</v>
      </c>
    </row>
    <row r="6" spans="1:3" x14ac:dyDescent="0.2">
      <c r="A6" t="s">
        <v>13</v>
      </c>
      <c r="B6" t="s">
        <v>735</v>
      </c>
      <c r="C6" t="s">
        <v>735</v>
      </c>
    </row>
    <row r="7" spans="1:3" x14ac:dyDescent="0.2">
      <c r="A7" t="s">
        <v>15</v>
      </c>
      <c r="B7" t="s">
        <v>736</v>
      </c>
      <c r="C7" t="s">
        <v>736</v>
      </c>
    </row>
    <row r="8" spans="1:3" x14ac:dyDescent="0.2">
      <c r="A8" t="s">
        <v>17</v>
      </c>
      <c r="B8" t="s">
        <v>736</v>
      </c>
      <c r="C8" t="s">
        <v>736</v>
      </c>
    </row>
    <row r="9" spans="1:3" x14ac:dyDescent="0.2">
      <c r="A9" t="s">
        <v>19</v>
      </c>
      <c r="B9" t="s">
        <v>734</v>
      </c>
      <c r="C9" t="s">
        <v>734</v>
      </c>
    </row>
    <row r="10" spans="1:3" x14ac:dyDescent="0.2">
      <c r="A10" t="s">
        <v>21</v>
      </c>
      <c r="B10" t="s">
        <v>733</v>
      </c>
      <c r="C10" t="s">
        <v>733</v>
      </c>
    </row>
    <row r="11" spans="1:3" x14ac:dyDescent="0.2">
      <c r="A11" t="s">
        <v>23</v>
      </c>
      <c r="B11" t="s">
        <v>733</v>
      </c>
      <c r="C11" t="s">
        <v>734</v>
      </c>
    </row>
    <row r="12" spans="1:3" x14ac:dyDescent="0.2">
      <c r="A12" t="s">
        <v>25</v>
      </c>
      <c r="B12" t="s">
        <v>735</v>
      </c>
      <c r="C12" t="s">
        <v>735</v>
      </c>
    </row>
    <row r="13" spans="1:3" x14ac:dyDescent="0.2">
      <c r="A13" t="s">
        <v>27</v>
      </c>
      <c r="B13" t="s">
        <v>733</v>
      </c>
      <c r="C13" t="s">
        <v>733</v>
      </c>
    </row>
    <row r="14" spans="1:3" x14ac:dyDescent="0.2">
      <c r="A14" t="s">
        <v>29</v>
      </c>
      <c r="B14" t="s">
        <v>735</v>
      </c>
      <c r="C14" t="s">
        <v>735</v>
      </c>
    </row>
    <row r="15" spans="1:3" x14ac:dyDescent="0.2">
      <c r="A15" t="s">
        <v>31</v>
      </c>
      <c r="B15" t="s">
        <v>738</v>
      </c>
      <c r="C15" t="s">
        <v>738</v>
      </c>
    </row>
    <row r="16" spans="1:3" x14ac:dyDescent="0.2">
      <c r="A16" t="s">
        <v>33</v>
      </c>
      <c r="B16" t="s">
        <v>733</v>
      </c>
      <c r="C16" t="s">
        <v>733</v>
      </c>
    </row>
    <row r="17" spans="1:3" x14ac:dyDescent="0.2">
      <c r="A17" t="s">
        <v>35</v>
      </c>
      <c r="B17" t="s">
        <v>733</v>
      </c>
      <c r="C17" t="s">
        <v>733</v>
      </c>
    </row>
    <row r="18" spans="1:3" x14ac:dyDescent="0.2">
      <c r="A18" t="s">
        <v>37</v>
      </c>
      <c r="B18" t="s">
        <v>734</v>
      </c>
      <c r="C18" t="s">
        <v>734</v>
      </c>
    </row>
    <row r="19" spans="1:3" x14ac:dyDescent="0.2">
      <c r="A19" t="s">
        <v>39</v>
      </c>
      <c r="B19" t="s">
        <v>735</v>
      </c>
      <c r="C19" t="s">
        <v>735</v>
      </c>
    </row>
    <row r="20" spans="1:3" x14ac:dyDescent="0.2">
      <c r="A20" t="s">
        <v>41</v>
      </c>
      <c r="B20" t="s">
        <v>733</v>
      </c>
      <c r="C20" t="s">
        <v>733</v>
      </c>
    </row>
    <row r="21" spans="1:3" x14ac:dyDescent="0.2">
      <c r="A21" t="s">
        <v>43</v>
      </c>
      <c r="B21" t="s">
        <v>735</v>
      </c>
      <c r="C21" t="s">
        <v>735</v>
      </c>
    </row>
    <row r="22" spans="1:3" x14ac:dyDescent="0.2">
      <c r="A22" t="s">
        <v>45</v>
      </c>
      <c r="B22" t="s">
        <v>733</v>
      </c>
      <c r="C22" t="s">
        <v>733</v>
      </c>
    </row>
    <row r="23" spans="1:3" x14ac:dyDescent="0.2">
      <c r="A23" t="s">
        <v>47</v>
      </c>
      <c r="B23" t="s">
        <v>733</v>
      </c>
      <c r="C23" t="s">
        <v>733</v>
      </c>
    </row>
    <row r="24" spans="1:3" x14ac:dyDescent="0.2">
      <c r="A24" t="s">
        <v>49</v>
      </c>
      <c r="B24" t="s">
        <v>734</v>
      </c>
      <c r="C24" t="s">
        <v>734</v>
      </c>
    </row>
    <row r="25" spans="1:3" x14ac:dyDescent="0.2">
      <c r="A25" t="s">
        <v>51</v>
      </c>
      <c r="B25" t="s">
        <v>736</v>
      </c>
      <c r="C25" t="s">
        <v>736</v>
      </c>
    </row>
    <row r="26" spans="1:3" x14ac:dyDescent="0.2">
      <c r="A26" t="s">
        <v>53</v>
      </c>
      <c r="B26" t="s">
        <v>733</v>
      </c>
      <c r="C26" t="s">
        <v>733</v>
      </c>
    </row>
    <row r="27" spans="1:3" x14ac:dyDescent="0.2">
      <c r="A27" s="5" t="s">
        <v>55</v>
      </c>
      <c r="B27" s="5" t="s">
        <v>736</v>
      </c>
      <c r="C27" s="5" t="s">
        <v>736</v>
      </c>
    </row>
    <row r="28" spans="1:3" x14ac:dyDescent="0.2">
      <c r="A28" t="s">
        <v>57</v>
      </c>
      <c r="B28" t="s">
        <v>734</v>
      </c>
      <c r="C28" t="s">
        <v>734</v>
      </c>
    </row>
    <row r="29" spans="1:3" x14ac:dyDescent="0.2">
      <c r="A29" t="s">
        <v>59</v>
      </c>
      <c r="B29" t="s">
        <v>733</v>
      </c>
      <c r="C29" t="s">
        <v>733</v>
      </c>
    </row>
    <row r="30" spans="1:3" x14ac:dyDescent="0.2">
      <c r="A30" t="s">
        <v>61</v>
      </c>
      <c r="B30" t="s">
        <v>734</v>
      </c>
      <c r="C30" t="s">
        <v>734</v>
      </c>
    </row>
    <row r="31" spans="1:3" x14ac:dyDescent="0.2">
      <c r="A31" t="s">
        <v>63</v>
      </c>
      <c r="B31" t="s">
        <v>736</v>
      </c>
      <c r="C31" t="s">
        <v>736</v>
      </c>
    </row>
    <row r="32" spans="1:3" x14ac:dyDescent="0.2">
      <c r="A32" s="4" t="s">
        <v>65</v>
      </c>
      <c r="B32" s="4" t="s">
        <v>736</v>
      </c>
      <c r="C32" s="4" t="s">
        <v>736</v>
      </c>
    </row>
    <row r="33" spans="1:3" x14ac:dyDescent="0.2">
      <c r="A33" t="s">
        <v>67</v>
      </c>
      <c r="B33" t="s">
        <v>735</v>
      </c>
      <c r="C33" t="s">
        <v>735</v>
      </c>
    </row>
    <row r="34" spans="1:3" x14ac:dyDescent="0.2">
      <c r="A34" t="s">
        <v>69</v>
      </c>
      <c r="B34" t="s">
        <v>734</v>
      </c>
      <c r="C34" t="s">
        <v>734</v>
      </c>
    </row>
    <row r="35" spans="1:3" x14ac:dyDescent="0.2">
      <c r="A35" t="s">
        <v>71</v>
      </c>
      <c r="B35" t="s">
        <v>735</v>
      </c>
      <c r="C35" t="s">
        <v>735</v>
      </c>
    </row>
    <row r="36" spans="1:3" x14ac:dyDescent="0.2">
      <c r="A36" t="s">
        <v>73</v>
      </c>
      <c r="B36" t="s">
        <v>735</v>
      </c>
      <c r="C36" t="s">
        <v>735</v>
      </c>
    </row>
    <row r="37" spans="1:3" x14ac:dyDescent="0.2">
      <c r="A37" t="s">
        <v>75</v>
      </c>
      <c r="B37" t="s">
        <v>735</v>
      </c>
      <c r="C37" t="s">
        <v>735</v>
      </c>
    </row>
    <row r="38" spans="1:3" x14ac:dyDescent="0.2">
      <c r="A38" t="s">
        <v>77</v>
      </c>
      <c r="B38" t="s">
        <v>736</v>
      </c>
      <c r="C38" t="s">
        <v>736</v>
      </c>
    </row>
    <row r="39" spans="1:3" x14ac:dyDescent="0.2">
      <c r="A39" t="s">
        <v>79</v>
      </c>
      <c r="B39" t="s">
        <v>736</v>
      </c>
      <c r="C39" t="s">
        <v>736</v>
      </c>
    </row>
    <row r="40" spans="1:3" x14ac:dyDescent="0.2">
      <c r="A40" t="s">
        <v>81</v>
      </c>
      <c r="B40" t="s">
        <v>733</v>
      </c>
      <c r="C40" t="s">
        <v>733</v>
      </c>
    </row>
    <row r="41" spans="1:3" x14ac:dyDescent="0.2">
      <c r="A41" t="s">
        <v>83</v>
      </c>
      <c r="B41" t="s">
        <v>733</v>
      </c>
      <c r="C41" t="s">
        <v>733</v>
      </c>
    </row>
    <row r="42" spans="1:3" x14ac:dyDescent="0.2">
      <c r="A42" t="s">
        <v>85</v>
      </c>
      <c r="B42" t="s">
        <v>735</v>
      </c>
      <c r="C42" t="s">
        <v>735</v>
      </c>
    </row>
    <row r="43" spans="1:3" x14ac:dyDescent="0.2">
      <c r="A43" t="s">
        <v>87</v>
      </c>
      <c r="B43" t="s">
        <v>736</v>
      </c>
      <c r="C43" t="s">
        <v>736</v>
      </c>
    </row>
    <row r="44" spans="1:3" x14ac:dyDescent="0.2">
      <c r="A44" t="s">
        <v>89</v>
      </c>
      <c r="B44" t="s">
        <v>736</v>
      </c>
      <c r="C44" t="s">
        <v>736</v>
      </c>
    </row>
    <row r="45" spans="1:3" x14ac:dyDescent="0.2">
      <c r="A45" t="s">
        <v>91</v>
      </c>
      <c r="B45" t="s">
        <v>735</v>
      </c>
      <c r="C45" t="s">
        <v>735</v>
      </c>
    </row>
    <row r="46" spans="1:3" x14ac:dyDescent="0.2">
      <c r="A46" t="s">
        <v>93</v>
      </c>
      <c r="B46" t="s">
        <v>734</v>
      </c>
      <c r="C46" t="s">
        <v>734</v>
      </c>
    </row>
    <row r="47" spans="1:3" x14ac:dyDescent="0.2">
      <c r="A47" t="s">
        <v>95</v>
      </c>
      <c r="B47" t="s">
        <v>736</v>
      </c>
      <c r="C47" t="s">
        <v>736</v>
      </c>
    </row>
    <row r="48" spans="1:3" x14ac:dyDescent="0.2">
      <c r="A48" t="s">
        <v>97</v>
      </c>
      <c r="B48" t="s">
        <v>736</v>
      </c>
      <c r="C48" t="s">
        <v>736</v>
      </c>
    </row>
    <row r="49" spans="1:3" x14ac:dyDescent="0.2">
      <c r="A49" t="s">
        <v>99</v>
      </c>
      <c r="B49" t="s">
        <v>736</v>
      </c>
      <c r="C49" t="s">
        <v>736</v>
      </c>
    </row>
    <row r="50" spans="1:3" x14ac:dyDescent="0.2">
      <c r="A50" t="s">
        <v>101</v>
      </c>
      <c r="B50" t="s">
        <v>736</v>
      </c>
      <c r="C50" t="s">
        <v>736</v>
      </c>
    </row>
    <row r="51" spans="1:3" x14ac:dyDescent="0.2">
      <c r="A51" t="s">
        <v>103</v>
      </c>
      <c r="B51" t="s">
        <v>734</v>
      </c>
      <c r="C51" t="s">
        <v>734</v>
      </c>
    </row>
    <row r="52" spans="1:3" x14ac:dyDescent="0.2">
      <c r="A52" t="s">
        <v>105</v>
      </c>
      <c r="B52" t="s">
        <v>734</v>
      </c>
      <c r="C52" t="s">
        <v>734</v>
      </c>
    </row>
    <row r="53" spans="1:3" x14ac:dyDescent="0.2">
      <c r="A53" t="s">
        <v>107</v>
      </c>
      <c r="B53" t="s">
        <v>734</v>
      </c>
      <c r="C53" t="s">
        <v>734</v>
      </c>
    </row>
    <row r="54" spans="1:3" x14ac:dyDescent="0.2">
      <c r="A54" t="s">
        <v>109</v>
      </c>
      <c r="B54" t="s">
        <v>734</v>
      </c>
      <c r="C54" t="s">
        <v>734</v>
      </c>
    </row>
    <row r="55" spans="1:3" x14ac:dyDescent="0.2">
      <c r="A55" t="s">
        <v>111</v>
      </c>
      <c r="B55" t="s">
        <v>733</v>
      </c>
      <c r="C55" t="s">
        <v>733</v>
      </c>
    </row>
    <row r="56" spans="1:3" x14ac:dyDescent="0.2">
      <c r="A56" t="s">
        <v>113</v>
      </c>
      <c r="B56" t="s">
        <v>733</v>
      </c>
      <c r="C56" t="s">
        <v>733</v>
      </c>
    </row>
    <row r="57" spans="1:3" x14ac:dyDescent="0.2">
      <c r="A57" t="s">
        <v>115</v>
      </c>
      <c r="B57" t="s">
        <v>735</v>
      </c>
      <c r="C57" t="s">
        <v>735</v>
      </c>
    </row>
    <row r="58" spans="1:3" x14ac:dyDescent="0.2">
      <c r="A58" t="s">
        <v>117</v>
      </c>
      <c r="B58" t="s">
        <v>736</v>
      </c>
      <c r="C58" t="s">
        <v>736</v>
      </c>
    </row>
    <row r="59" spans="1:3" x14ac:dyDescent="0.2">
      <c r="A59" t="s">
        <v>119</v>
      </c>
      <c r="B59" t="s">
        <v>736</v>
      </c>
      <c r="C59" t="s">
        <v>736</v>
      </c>
    </row>
    <row r="60" spans="1:3" x14ac:dyDescent="0.2">
      <c r="A60" t="s">
        <v>121</v>
      </c>
      <c r="B60" t="s">
        <v>736</v>
      </c>
      <c r="C60" t="s">
        <v>736</v>
      </c>
    </row>
    <row r="61" spans="1:3" x14ac:dyDescent="0.2">
      <c r="A61" t="s">
        <v>123</v>
      </c>
      <c r="B61" t="s">
        <v>733</v>
      </c>
      <c r="C61" t="s">
        <v>733</v>
      </c>
    </row>
    <row r="62" spans="1:3" x14ac:dyDescent="0.2">
      <c r="A62" t="s">
        <v>125</v>
      </c>
      <c r="B62" t="s">
        <v>736</v>
      </c>
      <c r="C62" t="s">
        <v>736</v>
      </c>
    </row>
    <row r="63" spans="1:3" x14ac:dyDescent="0.2">
      <c r="A63" t="s">
        <v>127</v>
      </c>
      <c r="B63" t="s">
        <v>736</v>
      </c>
      <c r="C63" t="s">
        <v>736</v>
      </c>
    </row>
    <row r="64" spans="1:3" x14ac:dyDescent="0.2">
      <c r="A64" t="s">
        <v>129</v>
      </c>
      <c r="B64" t="s">
        <v>733</v>
      </c>
      <c r="C64" t="s">
        <v>733</v>
      </c>
    </row>
    <row r="65" spans="1:3" x14ac:dyDescent="0.2">
      <c r="A65" t="s">
        <v>131</v>
      </c>
      <c r="B65" t="s">
        <v>733</v>
      </c>
      <c r="C65" t="s">
        <v>733</v>
      </c>
    </row>
    <row r="66" spans="1:3" x14ac:dyDescent="0.2">
      <c r="A66" t="s">
        <v>133</v>
      </c>
      <c r="B66" t="s">
        <v>734</v>
      </c>
      <c r="C66" t="s">
        <v>734</v>
      </c>
    </row>
    <row r="67" spans="1:3" x14ac:dyDescent="0.2">
      <c r="A67" t="s">
        <v>135</v>
      </c>
      <c r="B67" t="s">
        <v>740</v>
      </c>
      <c r="C67" t="s">
        <v>740</v>
      </c>
    </row>
    <row r="68" spans="1:3" x14ac:dyDescent="0.2">
      <c r="A68" t="s">
        <v>137</v>
      </c>
      <c r="B68" t="s">
        <v>735</v>
      </c>
      <c r="C68" t="s">
        <v>735</v>
      </c>
    </row>
    <row r="69" spans="1:3" x14ac:dyDescent="0.2">
      <c r="A69" t="s">
        <v>139</v>
      </c>
      <c r="B69" t="s">
        <v>734</v>
      </c>
      <c r="C69" t="s">
        <v>734</v>
      </c>
    </row>
    <row r="70" spans="1:3" x14ac:dyDescent="0.2">
      <c r="A70" t="s">
        <v>141</v>
      </c>
      <c r="B70" t="s">
        <v>733</v>
      </c>
      <c r="C70" t="s">
        <v>733</v>
      </c>
    </row>
    <row r="71" spans="1:3" x14ac:dyDescent="0.2">
      <c r="A71" t="s">
        <v>143</v>
      </c>
      <c r="B71" t="s">
        <v>738</v>
      </c>
      <c r="C71" t="s">
        <v>738</v>
      </c>
    </row>
    <row r="72" spans="1:3" x14ac:dyDescent="0.2">
      <c r="A72" t="s">
        <v>145</v>
      </c>
      <c r="B72" t="s">
        <v>735</v>
      </c>
      <c r="C72" t="s">
        <v>735</v>
      </c>
    </row>
    <row r="73" spans="1:3" x14ac:dyDescent="0.2">
      <c r="A73" t="s">
        <v>147</v>
      </c>
      <c r="B73" t="s">
        <v>735</v>
      </c>
      <c r="C73" t="s">
        <v>735</v>
      </c>
    </row>
    <row r="74" spans="1:3" x14ac:dyDescent="0.2">
      <c r="A74" t="s">
        <v>149</v>
      </c>
      <c r="B74" t="s">
        <v>734</v>
      </c>
      <c r="C74" t="s">
        <v>734</v>
      </c>
    </row>
    <row r="75" spans="1:3" x14ac:dyDescent="0.2">
      <c r="A75" t="s">
        <v>151</v>
      </c>
      <c r="B75" t="s">
        <v>738</v>
      </c>
      <c r="C75" t="s">
        <v>738</v>
      </c>
    </row>
    <row r="76" spans="1:3" x14ac:dyDescent="0.2">
      <c r="A76" t="s">
        <v>153</v>
      </c>
      <c r="B76" t="s">
        <v>733</v>
      </c>
      <c r="C76" t="s">
        <v>733</v>
      </c>
    </row>
    <row r="77" spans="1:3" x14ac:dyDescent="0.2">
      <c r="A77" t="s">
        <v>155</v>
      </c>
      <c r="B77" t="s">
        <v>733</v>
      </c>
      <c r="C77" t="s">
        <v>733</v>
      </c>
    </row>
    <row r="78" spans="1:3" x14ac:dyDescent="0.2">
      <c r="A78" t="s">
        <v>157</v>
      </c>
      <c r="B78" t="s">
        <v>735</v>
      </c>
      <c r="C78" t="s">
        <v>735</v>
      </c>
    </row>
    <row r="79" spans="1:3" x14ac:dyDescent="0.2">
      <c r="A79" t="s">
        <v>159</v>
      </c>
      <c r="B79" t="s">
        <v>734</v>
      </c>
      <c r="C79" t="s">
        <v>734</v>
      </c>
    </row>
    <row r="80" spans="1:3" x14ac:dyDescent="0.2">
      <c r="A80" t="s">
        <v>161</v>
      </c>
      <c r="B80" t="s">
        <v>733</v>
      </c>
      <c r="C80" t="s">
        <v>733</v>
      </c>
    </row>
    <row r="81" spans="1:3" x14ac:dyDescent="0.2">
      <c r="A81" t="s">
        <v>163</v>
      </c>
      <c r="B81" t="s">
        <v>736</v>
      </c>
      <c r="C81" t="s">
        <v>736</v>
      </c>
    </row>
    <row r="82" spans="1:3" x14ac:dyDescent="0.2">
      <c r="A82" t="s">
        <v>165</v>
      </c>
      <c r="B82" t="s">
        <v>736</v>
      </c>
      <c r="C82" t="s">
        <v>736</v>
      </c>
    </row>
    <row r="83" spans="1:3" x14ac:dyDescent="0.2">
      <c r="A83" t="s">
        <v>167</v>
      </c>
      <c r="B83" t="s">
        <v>736</v>
      </c>
      <c r="C83" t="s">
        <v>736</v>
      </c>
    </row>
    <row r="84" spans="1:3" x14ac:dyDescent="0.2">
      <c r="A84" t="s">
        <v>169</v>
      </c>
      <c r="B84" t="s">
        <v>740</v>
      </c>
      <c r="C84" t="s">
        <v>740</v>
      </c>
    </row>
    <row r="85" spans="1:3" x14ac:dyDescent="0.2">
      <c r="A85" t="s">
        <v>171</v>
      </c>
      <c r="B85" t="s">
        <v>734</v>
      </c>
      <c r="C85" t="s">
        <v>734</v>
      </c>
    </row>
    <row r="86" spans="1:3" x14ac:dyDescent="0.2">
      <c r="A86" t="s">
        <v>173</v>
      </c>
      <c r="B86" t="s">
        <v>733</v>
      </c>
      <c r="C86" t="s">
        <v>733</v>
      </c>
    </row>
    <row r="87" spans="1:3" x14ac:dyDescent="0.2">
      <c r="A87" t="s">
        <v>175</v>
      </c>
      <c r="B87" t="s">
        <v>738</v>
      </c>
      <c r="C87" t="s">
        <v>738</v>
      </c>
    </row>
    <row r="88" spans="1:3" x14ac:dyDescent="0.2">
      <c r="A88" t="s">
        <v>177</v>
      </c>
      <c r="B88" t="s">
        <v>736</v>
      </c>
      <c r="C88" t="s">
        <v>736</v>
      </c>
    </row>
    <row r="89" spans="1:3" x14ac:dyDescent="0.2">
      <c r="A89" t="s">
        <v>179</v>
      </c>
      <c r="B89" t="s">
        <v>736</v>
      </c>
      <c r="C89" t="s">
        <v>736</v>
      </c>
    </row>
    <row r="90" spans="1:3" x14ac:dyDescent="0.2">
      <c r="A90" t="s">
        <v>181</v>
      </c>
      <c r="B90" t="s">
        <v>738</v>
      </c>
      <c r="C90" t="s">
        <v>738</v>
      </c>
    </row>
    <row r="91" spans="1:3" x14ac:dyDescent="0.2">
      <c r="A91" t="s">
        <v>183</v>
      </c>
      <c r="B91" t="s">
        <v>734</v>
      </c>
      <c r="C91" t="s">
        <v>734</v>
      </c>
    </row>
    <row r="92" spans="1:3" x14ac:dyDescent="0.2">
      <c r="A92" t="s">
        <v>185</v>
      </c>
      <c r="B92" t="s">
        <v>733</v>
      </c>
      <c r="C92" t="s">
        <v>733</v>
      </c>
    </row>
    <row r="93" spans="1:3" x14ac:dyDescent="0.2">
      <c r="A93" t="s">
        <v>187</v>
      </c>
      <c r="B93" t="s">
        <v>733</v>
      </c>
      <c r="C93" t="s">
        <v>733</v>
      </c>
    </row>
    <row r="94" spans="1:3" x14ac:dyDescent="0.2">
      <c r="A94" t="s">
        <v>189</v>
      </c>
      <c r="B94" t="s">
        <v>736</v>
      </c>
      <c r="C94" t="s">
        <v>736</v>
      </c>
    </row>
    <row r="95" spans="1:3" x14ac:dyDescent="0.2">
      <c r="A95" t="s">
        <v>191</v>
      </c>
      <c r="B95" t="s">
        <v>736</v>
      </c>
      <c r="C95" t="s">
        <v>736</v>
      </c>
    </row>
    <row r="96" spans="1:3" x14ac:dyDescent="0.2">
      <c r="A96" t="s">
        <v>193</v>
      </c>
      <c r="B96" t="s">
        <v>736</v>
      </c>
      <c r="C96" t="s">
        <v>736</v>
      </c>
    </row>
    <row r="97" spans="1:3" x14ac:dyDescent="0.2">
      <c r="A97" t="s">
        <v>195</v>
      </c>
      <c r="B97" t="s">
        <v>733</v>
      </c>
      <c r="C97" t="s">
        <v>733</v>
      </c>
    </row>
    <row r="98" spans="1:3" x14ac:dyDescent="0.2">
      <c r="A98" t="s">
        <v>197</v>
      </c>
      <c r="B98" t="s">
        <v>735</v>
      </c>
      <c r="C98" t="s">
        <v>735</v>
      </c>
    </row>
    <row r="99" spans="1:3" x14ac:dyDescent="0.2">
      <c r="A99" t="s">
        <v>199</v>
      </c>
      <c r="B99" t="s">
        <v>736</v>
      </c>
      <c r="C99" t="s">
        <v>736</v>
      </c>
    </row>
    <row r="100" spans="1:3" x14ac:dyDescent="0.2">
      <c r="A100" t="s">
        <v>201</v>
      </c>
      <c r="B100" t="s">
        <v>736</v>
      </c>
      <c r="C100" t="s">
        <v>736</v>
      </c>
    </row>
    <row r="101" spans="1:3" x14ac:dyDescent="0.2">
      <c r="A101" t="s">
        <v>203</v>
      </c>
      <c r="B101" t="s">
        <v>735</v>
      </c>
      <c r="C101" t="s">
        <v>735</v>
      </c>
    </row>
    <row r="102" spans="1:3" x14ac:dyDescent="0.2">
      <c r="A102" t="s">
        <v>205</v>
      </c>
      <c r="B102" t="s">
        <v>742</v>
      </c>
      <c r="C102" t="s">
        <v>742</v>
      </c>
    </row>
    <row r="103" spans="1:3" x14ac:dyDescent="0.2">
      <c r="A103" t="s">
        <v>207</v>
      </c>
      <c r="B103" t="s">
        <v>742</v>
      </c>
      <c r="C103" t="s">
        <v>742</v>
      </c>
    </row>
    <row r="104" spans="1:3" x14ac:dyDescent="0.2">
      <c r="A104" t="s">
        <v>208</v>
      </c>
      <c r="B104" t="s">
        <v>742</v>
      </c>
      <c r="C104" t="s">
        <v>742</v>
      </c>
    </row>
    <row r="105" spans="1:3" x14ac:dyDescent="0.2">
      <c r="A105" t="s">
        <v>209</v>
      </c>
      <c r="B105" t="s">
        <v>742</v>
      </c>
      <c r="C105" t="s">
        <v>742</v>
      </c>
    </row>
    <row r="106" spans="1:3" x14ac:dyDescent="0.2">
      <c r="A106" t="s">
        <v>210</v>
      </c>
      <c r="B106" t="s">
        <v>742</v>
      </c>
      <c r="C106" t="s">
        <v>742</v>
      </c>
    </row>
    <row r="107" spans="1:3" x14ac:dyDescent="0.2">
      <c r="A107" t="s">
        <v>211</v>
      </c>
      <c r="B107" t="s">
        <v>742</v>
      </c>
      <c r="C107" t="s">
        <v>742</v>
      </c>
    </row>
    <row r="108" spans="1:3" x14ac:dyDescent="0.2">
      <c r="A108" t="s">
        <v>212</v>
      </c>
      <c r="B108" t="s">
        <v>742</v>
      </c>
      <c r="C108" t="s">
        <v>742</v>
      </c>
    </row>
    <row r="109" spans="1:3" x14ac:dyDescent="0.2">
      <c r="A109" s="5" t="s">
        <v>213</v>
      </c>
      <c r="B109" t="s">
        <v>742</v>
      </c>
      <c r="C109" t="s">
        <v>742</v>
      </c>
    </row>
    <row r="110" spans="1:3" x14ac:dyDescent="0.2">
      <c r="A110" t="s">
        <v>214</v>
      </c>
      <c r="B110" t="s">
        <v>742</v>
      </c>
      <c r="C110" t="s">
        <v>742</v>
      </c>
    </row>
    <row r="111" spans="1:3" x14ac:dyDescent="0.2">
      <c r="A111" t="s">
        <v>215</v>
      </c>
      <c r="B111" t="s">
        <v>742</v>
      </c>
      <c r="C111" t="s">
        <v>742</v>
      </c>
    </row>
    <row r="112" spans="1:3" x14ac:dyDescent="0.2">
      <c r="A112" t="s">
        <v>216</v>
      </c>
      <c r="B112" t="s">
        <v>742</v>
      </c>
      <c r="C112" t="s">
        <v>742</v>
      </c>
    </row>
    <row r="113" spans="1:3" x14ac:dyDescent="0.2">
      <c r="A113" t="s">
        <v>217</v>
      </c>
      <c r="B113" t="s">
        <v>742</v>
      </c>
      <c r="C113" t="s">
        <v>742</v>
      </c>
    </row>
    <row r="114" spans="1:3" x14ac:dyDescent="0.2">
      <c r="A114" t="s">
        <v>218</v>
      </c>
      <c r="B114" t="s">
        <v>742</v>
      </c>
      <c r="C114" t="s">
        <v>742</v>
      </c>
    </row>
    <row r="115" spans="1:3" x14ac:dyDescent="0.2">
      <c r="A115" t="s">
        <v>219</v>
      </c>
      <c r="B115" t="s">
        <v>742</v>
      </c>
      <c r="C115" t="s">
        <v>742</v>
      </c>
    </row>
    <row r="116" spans="1:3" x14ac:dyDescent="0.2">
      <c r="A116" t="s">
        <v>220</v>
      </c>
      <c r="B116" t="s">
        <v>742</v>
      </c>
      <c r="C116" t="s">
        <v>742</v>
      </c>
    </row>
    <row r="117" spans="1:3" x14ac:dyDescent="0.2">
      <c r="A117" t="s">
        <v>221</v>
      </c>
      <c r="B117" t="s">
        <v>742</v>
      </c>
      <c r="C117" t="s">
        <v>742</v>
      </c>
    </row>
    <row r="118" spans="1:3" x14ac:dyDescent="0.2">
      <c r="A118" t="s">
        <v>223</v>
      </c>
      <c r="B118" t="s">
        <v>742</v>
      </c>
      <c r="C118" t="s">
        <v>742</v>
      </c>
    </row>
    <row r="119" spans="1:3" x14ac:dyDescent="0.2">
      <c r="A119" t="s">
        <v>224</v>
      </c>
      <c r="B119" t="s">
        <v>742</v>
      </c>
      <c r="C119" t="s">
        <v>742</v>
      </c>
    </row>
    <row r="120" spans="1:3" x14ac:dyDescent="0.2">
      <c r="A120" t="s">
        <v>225</v>
      </c>
      <c r="B120" t="s">
        <v>742</v>
      </c>
      <c r="C120" t="s">
        <v>742</v>
      </c>
    </row>
    <row r="121" spans="1:3" x14ac:dyDescent="0.2">
      <c r="A121" t="s">
        <v>227</v>
      </c>
      <c r="B121" t="s">
        <v>742</v>
      </c>
      <c r="C121" t="s">
        <v>742</v>
      </c>
    </row>
    <row r="122" spans="1:3" x14ac:dyDescent="0.2">
      <c r="A122" t="s">
        <v>228</v>
      </c>
      <c r="B122" t="s">
        <v>742</v>
      </c>
      <c r="C122" t="s">
        <v>742</v>
      </c>
    </row>
    <row r="123" spans="1:3" x14ac:dyDescent="0.2">
      <c r="A123" t="s">
        <v>229</v>
      </c>
      <c r="B123" t="s">
        <v>742</v>
      </c>
      <c r="C123" t="s">
        <v>742</v>
      </c>
    </row>
    <row r="124" spans="1:3" x14ac:dyDescent="0.2">
      <c r="A124" t="s">
        <v>230</v>
      </c>
      <c r="B124" t="s">
        <v>742</v>
      </c>
      <c r="C124" t="s">
        <v>742</v>
      </c>
    </row>
    <row r="125" spans="1:3" x14ac:dyDescent="0.2">
      <c r="A125" t="s">
        <v>231</v>
      </c>
      <c r="B125" t="s">
        <v>742</v>
      </c>
      <c r="C125" t="s">
        <v>742</v>
      </c>
    </row>
    <row r="126" spans="1:3" x14ac:dyDescent="0.2">
      <c r="A126" t="s">
        <v>233</v>
      </c>
      <c r="B126" t="s">
        <v>742</v>
      </c>
      <c r="C126" t="s">
        <v>742</v>
      </c>
    </row>
    <row r="127" spans="1:3" x14ac:dyDescent="0.2">
      <c r="A127" t="s">
        <v>234</v>
      </c>
      <c r="B127" t="s">
        <v>742</v>
      </c>
      <c r="C127" t="s">
        <v>742</v>
      </c>
    </row>
    <row r="128" spans="1:3" x14ac:dyDescent="0.2">
      <c r="A128" t="s">
        <v>236</v>
      </c>
      <c r="B128" t="s">
        <v>742</v>
      </c>
      <c r="C128" t="s">
        <v>742</v>
      </c>
    </row>
    <row r="129" spans="1:3" x14ac:dyDescent="0.2">
      <c r="A129" t="s">
        <v>237</v>
      </c>
      <c r="B129" t="s">
        <v>742</v>
      </c>
      <c r="C129" t="s">
        <v>742</v>
      </c>
    </row>
    <row r="130" spans="1:3" x14ac:dyDescent="0.2">
      <c r="A130" t="s">
        <v>238</v>
      </c>
      <c r="B130" t="s">
        <v>742</v>
      </c>
      <c r="C130" t="s">
        <v>742</v>
      </c>
    </row>
    <row r="131" spans="1:3" x14ac:dyDescent="0.2">
      <c r="A131" t="s">
        <v>239</v>
      </c>
      <c r="B131" t="s">
        <v>742</v>
      </c>
      <c r="C131" t="s">
        <v>742</v>
      </c>
    </row>
    <row r="132" spans="1:3" x14ac:dyDescent="0.2">
      <c r="A132" t="s">
        <v>240</v>
      </c>
      <c r="B132" t="s">
        <v>742</v>
      </c>
      <c r="C132" t="s">
        <v>742</v>
      </c>
    </row>
    <row r="133" spans="1:3" x14ac:dyDescent="0.2">
      <c r="A133" t="s">
        <v>241</v>
      </c>
      <c r="B133" t="s">
        <v>742</v>
      </c>
      <c r="C133" t="s">
        <v>742</v>
      </c>
    </row>
    <row r="134" spans="1:3" x14ac:dyDescent="0.2">
      <c r="A134" t="s">
        <v>243</v>
      </c>
      <c r="B134" t="s">
        <v>742</v>
      </c>
      <c r="C134" t="s">
        <v>742</v>
      </c>
    </row>
    <row r="135" spans="1:3" x14ac:dyDescent="0.2">
      <c r="A135" t="s">
        <v>245</v>
      </c>
      <c r="B135" t="s">
        <v>742</v>
      </c>
      <c r="C135" t="s">
        <v>742</v>
      </c>
    </row>
    <row r="136" spans="1:3" x14ac:dyDescent="0.2">
      <c r="A136" t="s">
        <v>247</v>
      </c>
      <c r="B136" t="s">
        <v>742</v>
      </c>
      <c r="C136" t="s">
        <v>742</v>
      </c>
    </row>
    <row r="137" spans="1:3" x14ac:dyDescent="0.2">
      <c r="A137" t="s">
        <v>248</v>
      </c>
      <c r="B137" t="s">
        <v>742</v>
      </c>
      <c r="C137" t="s">
        <v>742</v>
      </c>
    </row>
    <row r="138" spans="1:3" x14ac:dyDescent="0.2">
      <c r="A138" t="s">
        <v>249</v>
      </c>
      <c r="B138" t="s">
        <v>742</v>
      </c>
      <c r="C138" t="s">
        <v>742</v>
      </c>
    </row>
    <row r="139" spans="1:3" x14ac:dyDescent="0.2">
      <c r="A139" t="s">
        <v>250</v>
      </c>
      <c r="B139" t="s">
        <v>742</v>
      </c>
      <c r="C139" t="s">
        <v>742</v>
      </c>
    </row>
    <row r="140" spans="1:3" x14ac:dyDescent="0.2">
      <c r="A140" s="5" t="s">
        <v>251</v>
      </c>
      <c r="B140" s="5" t="s">
        <v>738</v>
      </c>
      <c r="C140" s="5" t="s">
        <v>738</v>
      </c>
    </row>
    <row r="141" spans="1:3" x14ac:dyDescent="0.2">
      <c r="A141" t="s">
        <v>253</v>
      </c>
      <c r="B141" t="s">
        <v>742</v>
      </c>
      <c r="C141" t="s">
        <v>742</v>
      </c>
    </row>
    <row r="142" spans="1:3" x14ac:dyDescent="0.2">
      <c r="A142" t="s">
        <v>255</v>
      </c>
      <c r="B142" t="s">
        <v>742</v>
      </c>
      <c r="C142" t="s">
        <v>742</v>
      </c>
    </row>
    <row r="143" spans="1:3" x14ac:dyDescent="0.2">
      <c r="A143" t="s">
        <v>256</v>
      </c>
      <c r="B143" t="s">
        <v>742</v>
      </c>
      <c r="C143" t="s">
        <v>742</v>
      </c>
    </row>
    <row r="144" spans="1:3" x14ac:dyDescent="0.2">
      <c r="A144" t="s">
        <v>258</v>
      </c>
      <c r="B144" t="s">
        <v>742</v>
      </c>
      <c r="C144" t="s">
        <v>742</v>
      </c>
    </row>
    <row r="145" spans="1:3" x14ac:dyDescent="0.2">
      <c r="A145" t="s">
        <v>260</v>
      </c>
      <c r="B145" t="s">
        <v>742</v>
      </c>
      <c r="C145" t="s">
        <v>742</v>
      </c>
    </row>
    <row r="146" spans="1:3" x14ac:dyDescent="0.2">
      <c r="A146" t="s">
        <v>262</v>
      </c>
      <c r="B146" t="s">
        <v>742</v>
      </c>
      <c r="C146" t="s">
        <v>742</v>
      </c>
    </row>
    <row r="147" spans="1:3" x14ac:dyDescent="0.2">
      <c r="A147" t="s">
        <v>264</v>
      </c>
      <c r="B147" t="s">
        <v>742</v>
      </c>
      <c r="C147" t="s">
        <v>742</v>
      </c>
    </row>
    <row r="148" spans="1:3" x14ac:dyDescent="0.2">
      <c r="A148" t="s">
        <v>266</v>
      </c>
      <c r="B148" t="s">
        <v>742</v>
      </c>
      <c r="C148" t="s">
        <v>742</v>
      </c>
    </row>
    <row r="149" spans="1:3" x14ac:dyDescent="0.2">
      <c r="A149" t="s">
        <v>268</v>
      </c>
      <c r="B149" t="s">
        <v>742</v>
      </c>
      <c r="C149" t="s">
        <v>742</v>
      </c>
    </row>
    <row r="150" spans="1:3" x14ac:dyDescent="0.2">
      <c r="A150" t="s">
        <v>269</v>
      </c>
      <c r="B150" t="s">
        <v>742</v>
      </c>
      <c r="C150" t="s">
        <v>742</v>
      </c>
    </row>
    <row r="151" spans="1:3" x14ac:dyDescent="0.2">
      <c r="A151" t="s">
        <v>270</v>
      </c>
      <c r="B151" t="s">
        <v>742</v>
      </c>
      <c r="C151" t="s">
        <v>742</v>
      </c>
    </row>
    <row r="152" spans="1:3" x14ac:dyDescent="0.2">
      <c r="A152" t="s">
        <v>272</v>
      </c>
      <c r="B152" t="s">
        <v>742</v>
      </c>
      <c r="C152" t="s">
        <v>742</v>
      </c>
    </row>
    <row r="153" spans="1:3" x14ac:dyDescent="0.2">
      <c r="A153" t="s">
        <v>274</v>
      </c>
      <c r="B153" t="s">
        <v>742</v>
      </c>
      <c r="C153" t="s">
        <v>742</v>
      </c>
    </row>
    <row r="154" spans="1:3" x14ac:dyDescent="0.2">
      <c r="A154" t="s">
        <v>276</v>
      </c>
      <c r="B154" t="s">
        <v>742</v>
      </c>
      <c r="C154" t="s">
        <v>742</v>
      </c>
    </row>
    <row r="155" spans="1:3" x14ac:dyDescent="0.2">
      <c r="A155" t="s">
        <v>278</v>
      </c>
      <c r="B155" t="s">
        <v>742</v>
      </c>
      <c r="C155" t="s">
        <v>742</v>
      </c>
    </row>
    <row r="156" spans="1:3" x14ac:dyDescent="0.2">
      <c r="A156" t="s">
        <v>280</v>
      </c>
      <c r="B156" t="s">
        <v>742</v>
      </c>
      <c r="C156" t="s">
        <v>742</v>
      </c>
    </row>
    <row r="157" spans="1:3" x14ac:dyDescent="0.2">
      <c r="A157" t="s">
        <v>282</v>
      </c>
      <c r="B157" t="s">
        <v>738</v>
      </c>
      <c r="C157" t="s">
        <v>738</v>
      </c>
    </row>
    <row r="158" spans="1:3" x14ac:dyDescent="0.2">
      <c r="A158" t="s">
        <v>284</v>
      </c>
      <c r="B158" t="s">
        <v>742</v>
      </c>
      <c r="C158" t="s">
        <v>742</v>
      </c>
    </row>
    <row r="159" spans="1:3" x14ac:dyDescent="0.2">
      <c r="A159" t="s">
        <v>286</v>
      </c>
      <c r="B159" t="s">
        <v>742</v>
      </c>
      <c r="C159" t="s">
        <v>742</v>
      </c>
    </row>
    <row r="160" spans="1:3" x14ac:dyDescent="0.2">
      <c r="A160" t="s">
        <v>288</v>
      </c>
      <c r="B160" t="s">
        <v>742</v>
      </c>
      <c r="C160" t="s">
        <v>742</v>
      </c>
    </row>
    <row r="161" spans="1:3" x14ac:dyDescent="0.2">
      <c r="A161" s="5" t="s">
        <v>289</v>
      </c>
      <c r="B161" s="5" t="s">
        <v>738</v>
      </c>
      <c r="C161" s="5" t="s">
        <v>738</v>
      </c>
    </row>
    <row r="162" spans="1:3" x14ac:dyDescent="0.2">
      <c r="A162" s="5" t="s">
        <v>291</v>
      </c>
      <c r="B162" s="5" t="s">
        <v>738</v>
      </c>
      <c r="C162" s="5" t="s">
        <v>738</v>
      </c>
    </row>
    <row r="163" spans="1:3" x14ac:dyDescent="0.2">
      <c r="A163" t="s">
        <v>293</v>
      </c>
      <c r="B163" t="s">
        <v>738</v>
      </c>
      <c r="C163" t="s">
        <v>738</v>
      </c>
    </row>
    <row r="164" spans="1:3" x14ac:dyDescent="0.2">
      <c r="A164" t="s">
        <v>295</v>
      </c>
      <c r="B164" t="s">
        <v>742</v>
      </c>
      <c r="C164" t="s">
        <v>742</v>
      </c>
    </row>
    <row r="165" spans="1:3" x14ac:dyDescent="0.2">
      <c r="A165" t="s">
        <v>297</v>
      </c>
      <c r="B165" t="s">
        <v>742</v>
      </c>
      <c r="C165" t="s">
        <v>742</v>
      </c>
    </row>
    <row r="166" spans="1:3" x14ac:dyDescent="0.2">
      <c r="A166" t="s">
        <v>299</v>
      </c>
      <c r="B166" t="s">
        <v>741</v>
      </c>
      <c r="C166" t="s">
        <v>741</v>
      </c>
    </row>
    <row r="167" spans="1:3" x14ac:dyDescent="0.2">
      <c r="A167" t="s">
        <v>301</v>
      </c>
      <c r="B167" t="s">
        <v>738</v>
      </c>
      <c r="C167" t="s">
        <v>738</v>
      </c>
    </row>
    <row r="168" spans="1:3" x14ac:dyDescent="0.2">
      <c r="A168" t="s">
        <v>303</v>
      </c>
      <c r="B168" t="s">
        <v>741</v>
      </c>
      <c r="C168" t="s">
        <v>741</v>
      </c>
    </row>
    <row r="169" spans="1:3" x14ac:dyDescent="0.2">
      <c r="A169" t="s">
        <v>305</v>
      </c>
      <c r="B169" t="s">
        <v>736</v>
      </c>
      <c r="C169" t="s">
        <v>736</v>
      </c>
    </row>
    <row r="170" spans="1:3" x14ac:dyDescent="0.2">
      <c r="A170" t="s">
        <v>307</v>
      </c>
      <c r="B170" t="s">
        <v>742</v>
      </c>
      <c r="C170" t="s">
        <v>742</v>
      </c>
    </row>
    <row r="171" spans="1:3" x14ac:dyDescent="0.2">
      <c r="A171" t="s">
        <v>309</v>
      </c>
      <c r="B171" t="s">
        <v>742</v>
      </c>
      <c r="C171" t="s">
        <v>742</v>
      </c>
    </row>
    <row r="172" spans="1:3" x14ac:dyDescent="0.2">
      <c r="A172" t="s">
        <v>311</v>
      </c>
      <c r="B172" t="s">
        <v>742</v>
      </c>
      <c r="C172" t="s">
        <v>742</v>
      </c>
    </row>
    <row r="173" spans="1:3" x14ac:dyDescent="0.2">
      <c r="A173" t="s">
        <v>313</v>
      </c>
      <c r="B173" t="s">
        <v>742</v>
      </c>
      <c r="C173" t="s">
        <v>742</v>
      </c>
    </row>
    <row r="174" spans="1:3" x14ac:dyDescent="0.2">
      <c r="A174" t="s">
        <v>315</v>
      </c>
      <c r="B174" t="s">
        <v>742</v>
      </c>
      <c r="C174" t="s">
        <v>742</v>
      </c>
    </row>
    <row r="175" spans="1:3" x14ac:dyDescent="0.2">
      <c r="A175" t="s">
        <v>316</v>
      </c>
      <c r="B175" t="s">
        <v>742</v>
      </c>
      <c r="C175" t="s">
        <v>742</v>
      </c>
    </row>
    <row r="176" spans="1:3" x14ac:dyDescent="0.2">
      <c r="A176" t="s">
        <v>317</v>
      </c>
      <c r="B176" t="s">
        <v>742</v>
      </c>
      <c r="C176" t="s">
        <v>742</v>
      </c>
    </row>
    <row r="177" spans="1:3" x14ac:dyDescent="0.2">
      <c r="A177" t="s">
        <v>318</v>
      </c>
      <c r="B177" t="s">
        <v>742</v>
      </c>
      <c r="C177" t="s">
        <v>742</v>
      </c>
    </row>
    <row r="178" spans="1:3" x14ac:dyDescent="0.2">
      <c r="A178" t="s">
        <v>319</v>
      </c>
      <c r="B178" t="s">
        <v>742</v>
      </c>
      <c r="C178" t="s">
        <v>742</v>
      </c>
    </row>
    <row r="179" spans="1:3" x14ac:dyDescent="0.2">
      <c r="A179" t="s">
        <v>321</v>
      </c>
      <c r="B179" t="s">
        <v>742</v>
      </c>
      <c r="C179" t="s">
        <v>742</v>
      </c>
    </row>
    <row r="180" spans="1:3" x14ac:dyDescent="0.2">
      <c r="A180" t="s">
        <v>323</v>
      </c>
      <c r="B180" t="s">
        <v>742</v>
      </c>
      <c r="C180" t="s">
        <v>742</v>
      </c>
    </row>
    <row r="181" spans="1:3" x14ac:dyDescent="0.2">
      <c r="A181" t="s">
        <v>325</v>
      </c>
      <c r="B181" t="s">
        <v>742</v>
      </c>
      <c r="C181" t="s">
        <v>742</v>
      </c>
    </row>
    <row r="182" spans="1:3" x14ac:dyDescent="0.2">
      <c r="A182" t="s">
        <v>327</v>
      </c>
      <c r="B182" t="s">
        <v>742</v>
      </c>
      <c r="C182" t="s">
        <v>742</v>
      </c>
    </row>
    <row r="183" spans="1:3" x14ac:dyDescent="0.2">
      <c r="A183" t="s">
        <v>329</v>
      </c>
      <c r="B183" t="s">
        <v>741</v>
      </c>
      <c r="C183" t="s">
        <v>741</v>
      </c>
    </row>
    <row r="184" spans="1:3" x14ac:dyDescent="0.2">
      <c r="A184" t="s">
        <v>331</v>
      </c>
      <c r="B184" t="s">
        <v>738</v>
      </c>
      <c r="C184" t="s">
        <v>738</v>
      </c>
    </row>
    <row r="185" spans="1:3" x14ac:dyDescent="0.2">
      <c r="A185" s="4" t="s">
        <v>333</v>
      </c>
      <c r="B185" s="4" t="s">
        <v>736</v>
      </c>
      <c r="C185" s="4" t="s">
        <v>736</v>
      </c>
    </row>
    <row r="186" spans="1:3" x14ac:dyDescent="0.2">
      <c r="A186" t="s">
        <v>335</v>
      </c>
      <c r="B186" t="s">
        <v>738</v>
      </c>
      <c r="C186" t="s">
        <v>738</v>
      </c>
    </row>
    <row r="187" spans="1:3" x14ac:dyDescent="0.2">
      <c r="A187" t="s">
        <v>337</v>
      </c>
      <c r="B187" t="s">
        <v>742</v>
      </c>
      <c r="C187" t="s">
        <v>742</v>
      </c>
    </row>
    <row r="188" spans="1:3" x14ac:dyDescent="0.2">
      <c r="A188" t="s">
        <v>339</v>
      </c>
      <c r="B188" t="s">
        <v>735</v>
      </c>
      <c r="C188" t="s">
        <v>735</v>
      </c>
    </row>
    <row r="189" spans="1:3" x14ac:dyDescent="0.2">
      <c r="A189" t="s">
        <v>341</v>
      </c>
      <c r="B189" t="s">
        <v>742</v>
      </c>
      <c r="C189" t="s">
        <v>742</v>
      </c>
    </row>
    <row r="190" spans="1:3" x14ac:dyDescent="0.2">
      <c r="A190" t="s">
        <v>343</v>
      </c>
      <c r="B190" t="s">
        <v>742</v>
      </c>
      <c r="C190" t="s">
        <v>742</v>
      </c>
    </row>
    <row r="191" spans="1:3" x14ac:dyDescent="0.2">
      <c r="A191" s="5" t="s">
        <v>345</v>
      </c>
      <c r="B191" s="5" t="s">
        <v>733</v>
      </c>
      <c r="C191" s="5" t="s">
        <v>733</v>
      </c>
    </row>
    <row r="192" spans="1:3" x14ac:dyDescent="0.2">
      <c r="A192" t="s">
        <v>347</v>
      </c>
      <c r="B192" t="s">
        <v>742</v>
      </c>
      <c r="C192" t="s">
        <v>742</v>
      </c>
    </row>
    <row r="193" spans="1:3" x14ac:dyDescent="0.2">
      <c r="A193" t="s">
        <v>349</v>
      </c>
      <c r="B193" t="s">
        <v>742</v>
      </c>
      <c r="C193" t="s">
        <v>742</v>
      </c>
    </row>
    <row r="194" spans="1:3" x14ac:dyDescent="0.2">
      <c r="A194" t="s">
        <v>351</v>
      </c>
      <c r="B194" t="s">
        <v>738</v>
      </c>
      <c r="C194" t="s">
        <v>738</v>
      </c>
    </row>
    <row r="195" spans="1:3" x14ac:dyDescent="0.2">
      <c r="A195" t="s">
        <v>353</v>
      </c>
      <c r="B195" t="s">
        <v>738</v>
      </c>
      <c r="C195" t="s">
        <v>738</v>
      </c>
    </row>
    <row r="196" spans="1:3" x14ac:dyDescent="0.2">
      <c r="A196" t="s">
        <v>355</v>
      </c>
      <c r="B196" t="s">
        <v>742</v>
      </c>
      <c r="C196" t="s">
        <v>742</v>
      </c>
    </row>
    <row r="197" spans="1:3" x14ac:dyDescent="0.2">
      <c r="A197" t="s">
        <v>357</v>
      </c>
      <c r="B197" t="s">
        <v>736</v>
      </c>
      <c r="C197" t="s">
        <v>736</v>
      </c>
    </row>
    <row r="198" spans="1:3" x14ac:dyDescent="0.2">
      <c r="A198" t="s">
        <v>359</v>
      </c>
      <c r="B198" t="s">
        <v>742</v>
      </c>
      <c r="C198" t="s">
        <v>742</v>
      </c>
    </row>
    <row r="199" spans="1:3" x14ac:dyDescent="0.2">
      <c r="A199" t="s">
        <v>361</v>
      </c>
      <c r="B199" t="s">
        <v>741</v>
      </c>
      <c r="C199" t="s">
        <v>741</v>
      </c>
    </row>
    <row r="200" spans="1:3" x14ac:dyDescent="0.2">
      <c r="A200" t="s">
        <v>363</v>
      </c>
      <c r="B200" t="s">
        <v>742</v>
      </c>
      <c r="C200" t="s">
        <v>742</v>
      </c>
    </row>
    <row r="201" spans="1:3" x14ac:dyDescent="0.2">
      <c r="A201" s="5" t="s">
        <v>365</v>
      </c>
      <c r="B201" s="5" t="s">
        <v>736</v>
      </c>
      <c r="C201" s="5" t="s">
        <v>736</v>
      </c>
    </row>
    <row r="202" spans="1:3" x14ac:dyDescent="0.2">
      <c r="A202" t="s">
        <v>368</v>
      </c>
      <c r="B202" t="s">
        <v>736</v>
      </c>
      <c r="C202" t="s">
        <v>736</v>
      </c>
    </row>
    <row r="203" spans="1:3" x14ac:dyDescent="0.2">
      <c r="A203" t="s">
        <v>370</v>
      </c>
      <c r="B203" t="s">
        <v>736</v>
      </c>
      <c r="C203" t="s">
        <v>736</v>
      </c>
    </row>
    <row r="204" spans="1:3" x14ac:dyDescent="0.2">
      <c r="A204" t="s">
        <v>372</v>
      </c>
      <c r="B204" t="s">
        <v>736</v>
      </c>
      <c r="C204" t="s">
        <v>736</v>
      </c>
    </row>
    <row r="205" spans="1:3" x14ac:dyDescent="0.2">
      <c r="A205" t="s">
        <v>374</v>
      </c>
      <c r="B205" t="s">
        <v>742</v>
      </c>
      <c r="C205" t="s">
        <v>742</v>
      </c>
    </row>
    <row r="206" spans="1:3" x14ac:dyDescent="0.2">
      <c r="A206" t="s">
        <v>376</v>
      </c>
      <c r="B206" t="s">
        <v>736</v>
      </c>
      <c r="C206" t="s">
        <v>736</v>
      </c>
    </row>
    <row r="207" spans="1:3" x14ac:dyDescent="0.2">
      <c r="A207" t="s">
        <v>378</v>
      </c>
      <c r="B207" t="s">
        <v>736</v>
      </c>
      <c r="C207" t="s">
        <v>736</v>
      </c>
    </row>
    <row r="208" spans="1:3" x14ac:dyDescent="0.2">
      <c r="A208" t="s">
        <v>380</v>
      </c>
      <c r="B208" t="s">
        <v>736</v>
      </c>
      <c r="C208" t="s">
        <v>736</v>
      </c>
    </row>
    <row r="209" spans="1:3" x14ac:dyDescent="0.2">
      <c r="A209" t="s">
        <v>382</v>
      </c>
      <c r="B209" t="s">
        <v>736</v>
      </c>
      <c r="C209" t="s">
        <v>736</v>
      </c>
    </row>
    <row r="210" spans="1:3" x14ac:dyDescent="0.2">
      <c r="A210" t="s">
        <v>384</v>
      </c>
      <c r="B210" t="s">
        <v>736</v>
      </c>
      <c r="C210" t="s">
        <v>736</v>
      </c>
    </row>
    <row r="211" spans="1:3" x14ac:dyDescent="0.2">
      <c r="A211" t="s">
        <v>386</v>
      </c>
      <c r="B211" t="s">
        <v>736</v>
      </c>
      <c r="C211" t="s">
        <v>736</v>
      </c>
    </row>
    <row r="212" spans="1:3" x14ac:dyDescent="0.2">
      <c r="A212" t="s">
        <v>388</v>
      </c>
      <c r="B212" t="s">
        <v>736</v>
      </c>
      <c r="C212" t="s">
        <v>736</v>
      </c>
    </row>
    <row r="213" spans="1:3" x14ac:dyDescent="0.2">
      <c r="A213" t="s">
        <v>390</v>
      </c>
      <c r="B213" t="s">
        <v>736</v>
      </c>
      <c r="C213" t="s">
        <v>736</v>
      </c>
    </row>
    <row r="214" spans="1:3" x14ac:dyDescent="0.2">
      <c r="A214" t="s">
        <v>392</v>
      </c>
      <c r="B214" t="s">
        <v>736</v>
      </c>
      <c r="C214" t="s">
        <v>736</v>
      </c>
    </row>
    <row r="215" spans="1:3" x14ac:dyDescent="0.2">
      <c r="A215" t="s">
        <v>394</v>
      </c>
      <c r="B215" t="s">
        <v>736</v>
      </c>
      <c r="C215" t="s">
        <v>736</v>
      </c>
    </row>
    <row r="216" spans="1:3" x14ac:dyDescent="0.2">
      <c r="A216" t="s">
        <v>396</v>
      </c>
      <c r="B216" t="s">
        <v>736</v>
      </c>
      <c r="C216" t="s">
        <v>736</v>
      </c>
    </row>
    <row r="217" spans="1:3" x14ac:dyDescent="0.2">
      <c r="A217" t="s">
        <v>398</v>
      </c>
      <c r="B217" t="s">
        <v>736</v>
      </c>
      <c r="C217" t="s">
        <v>736</v>
      </c>
    </row>
    <row r="218" spans="1:3" x14ac:dyDescent="0.2">
      <c r="A218" s="5" t="s">
        <v>400</v>
      </c>
      <c r="B218" s="5" t="s">
        <v>742</v>
      </c>
      <c r="C218" s="5" t="s">
        <v>742</v>
      </c>
    </row>
    <row r="219" spans="1:3" x14ac:dyDescent="0.2">
      <c r="A219" t="s">
        <v>402</v>
      </c>
      <c r="B219" t="s">
        <v>736</v>
      </c>
      <c r="C219" t="s">
        <v>736</v>
      </c>
    </row>
    <row r="220" spans="1:3" x14ac:dyDescent="0.2">
      <c r="A220" t="s">
        <v>404</v>
      </c>
      <c r="B220" t="s">
        <v>736</v>
      </c>
      <c r="C220" t="s">
        <v>736</v>
      </c>
    </row>
    <row r="221" spans="1:3" x14ac:dyDescent="0.2">
      <c r="A221" t="s">
        <v>406</v>
      </c>
      <c r="B221" t="s">
        <v>736</v>
      </c>
      <c r="C221" t="s">
        <v>736</v>
      </c>
    </row>
    <row r="222" spans="1:3" x14ac:dyDescent="0.2">
      <c r="A222" t="s">
        <v>408</v>
      </c>
      <c r="B222" t="s">
        <v>736</v>
      </c>
      <c r="C222" t="s">
        <v>736</v>
      </c>
    </row>
    <row r="223" spans="1:3" x14ac:dyDescent="0.2">
      <c r="A223" t="s">
        <v>410</v>
      </c>
      <c r="B223" t="s">
        <v>736</v>
      </c>
      <c r="C223" t="s">
        <v>736</v>
      </c>
    </row>
    <row r="224" spans="1:3" x14ac:dyDescent="0.2">
      <c r="A224" t="s">
        <v>412</v>
      </c>
      <c r="B224" t="s">
        <v>736</v>
      </c>
      <c r="C224" t="s">
        <v>736</v>
      </c>
    </row>
    <row r="225" spans="1:3" x14ac:dyDescent="0.2">
      <c r="A225" t="s">
        <v>414</v>
      </c>
      <c r="B225" t="s">
        <v>736</v>
      </c>
      <c r="C225" t="s">
        <v>736</v>
      </c>
    </row>
    <row r="226" spans="1:3" x14ac:dyDescent="0.2">
      <c r="A226" t="s">
        <v>416</v>
      </c>
      <c r="B226" t="s">
        <v>736</v>
      </c>
      <c r="C226" t="s">
        <v>736</v>
      </c>
    </row>
    <row r="227" spans="1:3" x14ac:dyDescent="0.2">
      <c r="A227" t="s">
        <v>418</v>
      </c>
      <c r="B227" t="s">
        <v>742</v>
      </c>
      <c r="C227" t="s">
        <v>742</v>
      </c>
    </row>
    <row r="228" spans="1:3" x14ac:dyDescent="0.2">
      <c r="A228" t="s">
        <v>419</v>
      </c>
      <c r="B228" t="s">
        <v>742</v>
      </c>
      <c r="C228" t="s">
        <v>742</v>
      </c>
    </row>
    <row r="229" spans="1:3" x14ac:dyDescent="0.2">
      <c r="A229" t="s">
        <v>420</v>
      </c>
      <c r="B229" t="s">
        <v>742</v>
      </c>
      <c r="C229" t="s">
        <v>742</v>
      </c>
    </row>
    <row r="230" spans="1:3" x14ac:dyDescent="0.2">
      <c r="A230" t="s">
        <v>421</v>
      </c>
      <c r="B230" t="s">
        <v>736</v>
      </c>
      <c r="C230" t="s">
        <v>736</v>
      </c>
    </row>
    <row r="231" spans="1:3" x14ac:dyDescent="0.2">
      <c r="A231" t="s">
        <v>423</v>
      </c>
      <c r="B231" t="s">
        <v>736</v>
      </c>
      <c r="C231" t="s">
        <v>736</v>
      </c>
    </row>
    <row r="232" spans="1:3" x14ac:dyDescent="0.2">
      <c r="A232" t="s">
        <v>425</v>
      </c>
      <c r="B232" t="s">
        <v>736</v>
      </c>
      <c r="C232" t="s">
        <v>736</v>
      </c>
    </row>
    <row r="233" spans="1:3" x14ac:dyDescent="0.2">
      <c r="A233" t="s">
        <v>427</v>
      </c>
      <c r="B233" t="s">
        <v>736</v>
      </c>
      <c r="C233" t="s">
        <v>736</v>
      </c>
    </row>
    <row r="234" spans="1:3" x14ac:dyDescent="0.2">
      <c r="A234" t="s">
        <v>429</v>
      </c>
      <c r="B234" t="s">
        <v>736</v>
      </c>
      <c r="C234" t="s">
        <v>736</v>
      </c>
    </row>
    <row r="235" spans="1:3" x14ac:dyDescent="0.2">
      <c r="A235" t="s">
        <v>431</v>
      </c>
      <c r="B235" t="s">
        <v>736</v>
      </c>
      <c r="C235" t="s">
        <v>736</v>
      </c>
    </row>
    <row r="236" spans="1:3" x14ac:dyDescent="0.2">
      <c r="A236" t="s">
        <v>433</v>
      </c>
      <c r="B236" t="s">
        <v>736</v>
      </c>
      <c r="C236" t="s">
        <v>736</v>
      </c>
    </row>
    <row r="237" spans="1:3" x14ac:dyDescent="0.2">
      <c r="A237" t="s">
        <v>435</v>
      </c>
      <c r="B237" t="s">
        <v>736</v>
      </c>
      <c r="C237" t="s">
        <v>736</v>
      </c>
    </row>
    <row r="238" spans="1:3" x14ac:dyDescent="0.2">
      <c r="A238" t="s">
        <v>437</v>
      </c>
      <c r="B238" t="s">
        <v>736</v>
      </c>
      <c r="C238" t="s">
        <v>736</v>
      </c>
    </row>
    <row r="239" spans="1:3" x14ac:dyDescent="0.2">
      <c r="A239" t="s">
        <v>439</v>
      </c>
      <c r="B239" t="s">
        <v>736</v>
      </c>
      <c r="C239" t="s">
        <v>736</v>
      </c>
    </row>
    <row r="240" spans="1:3" x14ac:dyDescent="0.2">
      <c r="A240" t="s">
        <v>441</v>
      </c>
      <c r="B240" t="s">
        <v>736</v>
      </c>
      <c r="C240" t="s">
        <v>736</v>
      </c>
    </row>
    <row r="241" spans="1:3" x14ac:dyDescent="0.2">
      <c r="A241" t="s">
        <v>443</v>
      </c>
      <c r="B241" t="s">
        <v>738</v>
      </c>
      <c r="C241" t="s">
        <v>738</v>
      </c>
    </row>
    <row r="242" spans="1:3" x14ac:dyDescent="0.2">
      <c r="A242" t="s">
        <v>445</v>
      </c>
      <c r="B242" t="s">
        <v>742</v>
      </c>
      <c r="C242" t="s">
        <v>742</v>
      </c>
    </row>
    <row r="243" spans="1:3" x14ac:dyDescent="0.2">
      <c r="A243" t="s">
        <v>447</v>
      </c>
      <c r="B243" t="s">
        <v>741</v>
      </c>
      <c r="C243" t="s">
        <v>741</v>
      </c>
    </row>
    <row r="244" spans="1:3" x14ac:dyDescent="0.2">
      <c r="A244" t="s">
        <v>449</v>
      </c>
      <c r="B244" t="s">
        <v>741</v>
      </c>
      <c r="C244" t="s">
        <v>741</v>
      </c>
    </row>
    <row r="245" spans="1:3" x14ac:dyDescent="0.2">
      <c r="A245" t="s">
        <v>451</v>
      </c>
      <c r="B245" t="s">
        <v>741</v>
      </c>
      <c r="C245" t="s">
        <v>741</v>
      </c>
    </row>
    <row r="246" spans="1:3" x14ac:dyDescent="0.2">
      <c r="A246" t="s">
        <v>453</v>
      </c>
      <c r="B246" t="s">
        <v>741</v>
      </c>
      <c r="C246" t="s">
        <v>741</v>
      </c>
    </row>
    <row r="247" spans="1:3" x14ac:dyDescent="0.2">
      <c r="A247" t="s">
        <v>455</v>
      </c>
      <c r="B247" t="s">
        <v>736</v>
      </c>
      <c r="C247" t="s">
        <v>736</v>
      </c>
    </row>
    <row r="248" spans="1:3" x14ac:dyDescent="0.2">
      <c r="A248" t="s">
        <v>457</v>
      </c>
      <c r="B248" t="s">
        <v>736</v>
      </c>
      <c r="C248" t="s">
        <v>736</v>
      </c>
    </row>
    <row r="249" spans="1:3" x14ac:dyDescent="0.2">
      <c r="A249" t="s">
        <v>459</v>
      </c>
      <c r="B249" t="s">
        <v>736</v>
      </c>
      <c r="C249" t="s">
        <v>736</v>
      </c>
    </row>
    <row r="250" spans="1:3" x14ac:dyDescent="0.2">
      <c r="A250" t="s">
        <v>461</v>
      </c>
      <c r="B250" t="s">
        <v>738</v>
      </c>
      <c r="C250" t="s">
        <v>738</v>
      </c>
    </row>
    <row r="251" spans="1:3" x14ac:dyDescent="0.2">
      <c r="A251" t="s">
        <v>463</v>
      </c>
      <c r="B251" t="s">
        <v>736</v>
      </c>
      <c r="C251" t="s">
        <v>736</v>
      </c>
    </row>
    <row r="252" spans="1:3" x14ac:dyDescent="0.2">
      <c r="A252" t="s">
        <v>466</v>
      </c>
      <c r="B252" t="s">
        <v>736</v>
      </c>
      <c r="C252" t="s">
        <v>736</v>
      </c>
    </row>
    <row r="253" spans="1:3" x14ac:dyDescent="0.2">
      <c r="A253" t="s">
        <v>468</v>
      </c>
      <c r="B253" t="s">
        <v>735</v>
      </c>
      <c r="C253" t="s">
        <v>735</v>
      </c>
    </row>
    <row r="254" spans="1:3" x14ac:dyDescent="0.2">
      <c r="A254" t="s">
        <v>470</v>
      </c>
      <c r="B254" t="s">
        <v>736</v>
      </c>
      <c r="C254" t="s">
        <v>736</v>
      </c>
    </row>
    <row r="255" spans="1:3" x14ac:dyDescent="0.2">
      <c r="A255" t="s">
        <v>472</v>
      </c>
      <c r="B255" t="s">
        <v>733</v>
      </c>
      <c r="C255" t="s">
        <v>733</v>
      </c>
    </row>
    <row r="256" spans="1:3" x14ac:dyDescent="0.2">
      <c r="A256" t="s">
        <v>474</v>
      </c>
      <c r="B256" t="s">
        <v>736</v>
      </c>
      <c r="C256" t="s">
        <v>736</v>
      </c>
    </row>
    <row r="257" spans="1:3" x14ac:dyDescent="0.2">
      <c r="A257" t="s">
        <v>476</v>
      </c>
      <c r="B257" t="s">
        <v>736</v>
      </c>
      <c r="C257" t="s">
        <v>736</v>
      </c>
    </row>
    <row r="258" spans="1:3" x14ac:dyDescent="0.2">
      <c r="A258" t="s">
        <v>478</v>
      </c>
      <c r="B258" t="s">
        <v>736</v>
      </c>
      <c r="C258" t="s">
        <v>736</v>
      </c>
    </row>
    <row r="259" spans="1:3" x14ac:dyDescent="0.2">
      <c r="A259" t="s">
        <v>480</v>
      </c>
      <c r="B259" t="s">
        <v>736</v>
      </c>
      <c r="C259" t="s">
        <v>736</v>
      </c>
    </row>
    <row r="260" spans="1:3" x14ac:dyDescent="0.2">
      <c r="A260" t="s">
        <v>482</v>
      </c>
      <c r="B260" t="s">
        <v>743</v>
      </c>
      <c r="C260" t="s">
        <v>743</v>
      </c>
    </row>
    <row r="261" spans="1:3" x14ac:dyDescent="0.2">
      <c r="A261" t="s">
        <v>484</v>
      </c>
      <c r="B261" t="s">
        <v>736</v>
      </c>
      <c r="C261" t="s">
        <v>736</v>
      </c>
    </row>
    <row r="262" spans="1:3" x14ac:dyDescent="0.2">
      <c r="A262" t="s">
        <v>486</v>
      </c>
      <c r="B262" t="s">
        <v>736</v>
      </c>
      <c r="C262" t="s">
        <v>736</v>
      </c>
    </row>
    <row r="263" spans="1:3" x14ac:dyDescent="0.2">
      <c r="A263" t="s">
        <v>488</v>
      </c>
      <c r="B263" t="s">
        <v>736</v>
      </c>
      <c r="C263" t="s">
        <v>736</v>
      </c>
    </row>
    <row r="264" spans="1:3" x14ac:dyDescent="0.2">
      <c r="A264" t="s">
        <v>490</v>
      </c>
      <c r="B264" t="s">
        <v>736</v>
      </c>
      <c r="C264" t="s">
        <v>736</v>
      </c>
    </row>
    <row r="265" spans="1:3" x14ac:dyDescent="0.2">
      <c r="A265" t="s">
        <v>492</v>
      </c>
      <c r="B265" t="s">
        <v>736</v>
      </c>
      <c r="C265" t="s">
        <v>736</v>
      </c>
    </row>
    <row r="266" spans="1:3" x14ac:dyDescent="0.2">
      <c r="A266" t="s">
        <v>494</v>
      </c>
      <c r="B266" t="s">
        <v>736</v>
      </c>
      <c r="C266" t="s">
        <v>736</v>
      </c>
    </row>
    <row r="267" spans="1:3" x14ac:dyDescent="0.2">
      <c r="A267" t="s">
        <v>496</v>
      </c>
      <c r="B267" t="s">
        <v>736</v>
      </c>
      <c r="C267" t="s">
        <v>736</v>
      </c>
    </row>
    <row r="268" spans="1:3" x14ac:dyDescent="0.2">
      <c r="A268" t="s">
        <v>498</v>
      </c>
      <c r="B268" t="s">
        <v>736</v>
      </c>
      <c r="C268" t="s">
        <v>736</v>
      </c>
    </row>
    <row r="269" spans="1:3" x14ac:dyDescent="0.2">
      <c r="A269" t="s">
        <v>500</v>
      </c>
      <c r="B269" t="s">
        <v>733</v>
      </c>
      <c r="C269" t="s">
        <v>733</v>
      </c>
    </row>
    <row r="270" spans="1:3" x14ac:dyDescent="0.2">
      <c r="A270" t="s">
        <v>502</v>
      </c>
      <c r="B270" t="s">
        <v>741</v>
      </c>
      <c r="C270" t="s">
        <v>741</v>
      </c>
    </row>
    <row r="271" spans="1:3" x14ac:dyDescent="0.2">
      <c r="A271" t="s">
        <v>504</v>
      </c>
      <c r="B271" t="s">
        <v>736</v>
      </c>
      <c r="C271" t="s">
        <v>736</v>
      </c>
    </row>
    <row r="272" spans="1:3" x14ac:dyDescent="0.2">
      <c r="A272" t="s">
        <v>506</v>
      </c>
      <c r="B272" t="s">
        <v>736</v>
      </c>
      <c r="C272" t="s">
        <v>736</v>
      </c>
    </row>
    <row r="273" spans="1:3" x14ac:dyDescent="0.2">
      <c r="A273" t="s">
        <v>508</v>
      </c>
      <c r="B273" t="s">
        <v>736</v>
      </c>
      <c r="C273" t="s">
        <v>736</v>
      </c>
    </row>
    <row r="274" spans="1:3" x14ac:dyDescent="0.2">
      <c r="A274" t="s">
        <v>510</v>
      </c>
      <c r="B274" t="s">
        <v>736</v>
      </c>
      <c r="C274" t="s">
        <v>736</v>
      </c>
    </row>
    <row r="275" spans="1:3" x14ac:dyDescent="0.2">
      <c r="A275" t="s">
        <v>512</v>
      </c>
      <c r="B275" t="s">
        <v>736</v>
      </c>
      <c r="C275" t="s">
        <v>736</v>
      </c>
    </row>
    <row r="276" spans="1:3" x14ac:dyDescent="0.2">
      <c r="A276" t="s">
        <v>514</v>
      </c>
      <c r="B276" t="s">
        <v>733</v>
      </c>
      <c r="C276" t="s">
        <v>733</v>
      </c>
    </row>
    <row r="277" spans="1:3" x14ac:dyDescent="0.2">
      <c r="A277" t="s">
        <v>516</v>
      </c>
      <c r="B277" t="s">
        <v>736</v>
      </c>
      <c r="C277" t="s">
        <v>736</v>
      </c>
    </row>
    <row r="278" spans="1:3" x14ac:dyDescent="0.2">
      <c r="A278" t="s">
        <v>518</v>
      </c>
      <c r="B278" t="s">
        <v>736</v>
      </c>
      <c r="C278" t="s">
        <v>736</v>
      </c>
    </row>
    <row r="279" spans="1:3" x14ac:dyDescent="0.2">
      <c r="A279" t="s">
        <v>520</v>
      </c>
      <c r="B279" t="s">
        <v>736</v>
      </c>
      <c r="C279" t="s">
        <v>736</v>
      </c>
    </row>
    <row r="280" spans="1:3" x14ac:dyDescent="0.2">
      <c r="A280" t="s">
        <v>522</v>
      </c>
      <c r="B280" t="s">
        <v>738</v>
      </c>
      <c r="C280" t="s">
        <v>738</v>
      </c>
    </row>
    <row r="281" spans="1:3" x14ac:dyDescent="0.2">
      <c r="A281" t="s">
        <v>524</v>
      </c>
      <c r="B281" t="s">
        <v>738</v>
      </c>
      <c r="C281" t="s">
        <v>738</v>
      </c>
    </row>
    <row r="282" spans="1:3" x14ac:dyDescent="0.2">
      <c r="A282" t="s">
        <v>526</v>
      </c>
      <c r="B282" t="s">
        <v>736</v>
      </c>
      <c r="C282" t="s">
        <v>736</v>
      </c>
    </row>
    <row r="283" spans="1:3" x14ac:dyDescent="0.2">
      <c r="A283" t="s">
        <v>528</v>
      </c>
      <c r="B283" t="s">
        <v>738</v>
      </c>
      <c r="C283" t="s">
        <v>738</v>
      </c>
    </row>
    <row r="284" spans="1:3" x14ac:dyDescent="0.2">
      <c r="A284" t="s">
        <v>530</v>
      </c>
      <c r="B284" t="s">
        <v>736</v>
      </c>
      <c r="C284" t="s">
        <v>736</v>
      </c>
    </row>
    <row r="285" spans="1:3" x14ac:dyDescent="0.2">
      <c r="A285" t="s">
        <v>532</v>
      </c>
      <c r="B285" t="s">
        <v>736</v>
      </c>
      <c r="C285" t="s">
        <v>736</v>
      </c>
    </row>
    <row r="286" spans="1:3" x14ac:dyDescent="0.2">
      <c r="A286" t="s">
        <v>534</v>
      </c>
      <c r="B286" t="s">
        <v>736</v>
      </c>
      <c r="C286" t="s">
        <v>736</v>
      </c>
    </row>
    <row r="287" spans="1:3" x14ac:dyDescent="0.2">
      <c r="A287" t="s">
        <v>536</v>
      </c>
      <c r="B287" t="s">
        <v>736</v>
      </c>
      <c r="C287" t="s">
        <v>736</v>
      </c>
    </row>
    <row r="288" spans="1:3" x14ac:dyDescent="0.2">
      <c r="A288" t="s">
        <v>538</v>
      </c>
      <c r="B288" t="s">
        <v>736</v>
      </c>
      <c r="C288" t="s">
        <v>736</v>
      </c>
    </row>
    <row r="289" spans="1:3" x14ac:dyDescent="0.2">
      <c r="A289" t="s">
        <v>540</v>
      </c>
      <c r="B289" t="s">
        <v>736</v>
      </c>
      <c r="C289" t="s">
        <v>736</v>
      </c>
    </row>
    <row r="290" spans="1:3" x14ac:dyDescent="0.2">
      <c r="A290" t="s">
        <v>542</v>
      </c>
      <c r="B290" t="s">
        <v>736</v>
      </c>
      <c r="C290" t="s">
        <v>736</v>
      </c>
    </row>
    <row r="291" spans="1:3" x14ac:dyDescent="0.2">
      <c r="A291" t="s">
        <v>544</v>
      </c>
      <c r="B291" t="s">
        <v>736</v>
      </c>
      <c r="C291" t="s">
        <v>736</v>
      </c>
    </row>
    <row r="292" spans="1:3" x14ac:dyDescent="0.2">
      <c r="A292" t="s">
        <v>546</v>
      </c>
      <c r="B292" t="s">
        <v>736</v>
      </c>
      <c r="C292" t="s">
        <v>736</v>
      </c>
    </row>
    <row r="293" spans="1:3" x14ac:dyDescent="0.2">
      <c r="A293" t="s">
        <v>548</v>
      </c>
      <c r="B293" t="s">
        <v>736</v>
      </c>
      <c r="C293" t="s">
        <v>736</v>
      </c>
    </row>
    <row r="294" spans="1:3" x14ac:dyDescent="0.2">
      <c r="A294" t="s">
        <v>550</v>
      </c>
      <c r="B294" t="s">
        <v>736</v>
      </c>
      <c r="C294" t="s">
        <v>736</v>
      </c>
    </row>
    <row r="295" spans="1:3" x14ac:dyDescent="0.2">
      <c r="A295" t="s">
        <v>552</v>
      </c>
      <c r="B295" t="s">
        <v>736</v>
      </c>
      <c r="C295" t="s">
        <v>736</v>
      </c>
    </row>
    <row r="296" spans="1:3" x14ac:dyDescent="0.2">
      <c r="A296" t="s">
        <v>554</v>
      </c>
      <c r="B296" t="s">
        <v>736</v>
      </c>
      <c r="C296" t="s">
        <v>736</v>
      </c>
    </row>
    <row r="297" spans="1:3" x14ac:dyDescent="0.2">
      <c r="A297" t="s">
        <v>556</v>
      </c>
      <c r="B297" t="s">
        <v>736</v>
      </c>
      <c r="C297" t="s">
        <v>736</v>
      </c>
    </row>
    <row r="298" spans="1:3" x14ac:dyDescent="0.2">
      <c r="A298" t="s">
        <v>558</v>
      </c>
      <c r="B298" t="s">
        <v>736</v>
      </c>
      <c r="C298" t="s">
        <v>736</v>
      </c>
    </row>
    <row r="299" spans="1:3" x14ac:dyDescent="0.2">
      <c r="A299" t="s">
        <v>560</v>
      </c>
      <c r="B299" t="s">
        <v>736</v>
      </c>
      <c r="C299" t="s">
        <v>736</v>
      </c>
    </row>
    <row r="300" spans="1:3" x14ac:dyDescent="0.2">
      <c r="A300" t="s">
        <v>562</v>
      </c>
      <c r="B300" t="s">
        <v>736</v>
      </c>
      <c r="C300" t="s">
        <v>736</v>
      </c>
    </row>
    <row r="301" spans="1:3" x14ac:dyDescent="0.2">
      <c r="A301" t="s">
        <v>564</v>
      </c>
      <c r="B301" t="s">
        <v>736</v>
      </c>
      <c r="C301" t="s">
        <v>736</v>
      </c>
    </row>
  </sheetData>
  <autoFilter ref="A1:C301" xr:uid="{B25CA916-B706-2A4D-97B1-2DB3AD5FA84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3CCC7-38FF-4945-8903-8BD43FBA0464}">
  <sheetPr>
    <outlinePr summaryBelow="0" summaryRight="0"/>
  </sheetPr>
  <dimension ref="A1:AD1008"/>
  <sheetViews>
    <sheetView topLeftCell="A25" workbookViewId="0">
      <selection activeCell="D37" sqref="D37"/>
    </sheetView>
  </sheetViews>
  <sheetFormatPr baseColWidth="10" defaultColWidth="12.6640625" defaultRowHeight="15.75" customHeight="1" x14ac:dyDescent="0.2"/>
  <cols>
    <col min="1" max="1" width="26.83203125" style="10" bestFit="1" customWidth="1"/>
    <col min="2" max="2" width="14.83203125" style="10" bestFit="1" customWidth="1"/>
    <col min="3" max="3" width="27.6640625" style="10" bestFit="1" customWidth="1"/>
    <col min="4" max="4" width="15.33203125" style="10" bestFit="1" customWidth="1"/>
    <col min="5" max="5" width="12.83203125" style="10" bestFit="1" customWidth="1"/>
    <col min="6" max="6" width="13.83203125" style="10" bestFit="1" customWidth="1"/>
    <col min="7" max="7" width="13.5" style="10" bestFit="1" customWidth="1"/>
    <col min="8" max="8" width="16.5" style="10" bestFit="1" customWidth="1"/>
    <col min="9" max="9" width="14" style="10" bestFit="1" customWidth="1"/>
    <col min="10" max="10" width="12.6640625" style="10" bestFit="1" customWidth="1"/>
    <col min="11" max="14" width="10" style="10" bestFit="1" customWidth="1"/>
    <col min="15" max="16384" width="12.6640625" style="10"/>
  </cols>
  <sheetData>
    <row r="1" spans="1:30" ht="16" x14ac:dyDescent="0.2">
      <c r="A1" s="14" t="s">
        <v>764</v>
      </c>
      <c r="B1" s="13"/>
      <c r="C1" s="13"/>
      <c r="D1" s="13"/>
      <c r="E1" s="13"/>
      <c r="F1" s="13"/>
      <c r="G1" s="13"/>
      <c r="H1" s="13"/>
      <c r="I1" s="13"/>
      <c r="J1" s="13"/>
      <c r="K1" s="13"/>
      <c r="L1" s="13"/>
      <c r="M1" s="11"/>
      <c r="O1" s="11"/>
      <c r="P1" s="11"/>
      <c r="Q1" s="11"/>
      <c r="R1" s="11"/>
      <c r="S1" s="11"/>
      <c r="T1" s="11"/>
      <c r="U1" s="11"/>
      <c r="V1" s="11"/>
      <c r="W1" s="11"/>
      <c r="X1" s="11"/>
      <c r="Y1" s="11"/>
      <c r="Z1" s="11"/>
      <c r="AA1" s="11"/>
      <c r="AB1" s="11"/>
      <c r="AC1" s="11"/>
      <c r="AD1" s="11"/>
    </row>
    <row r="2" spans="1:30" ht="16" x14ac:dyDescent="0.2">
      <c r="A2" s="11"/>
      <c r="B2" s="12"/>
      <c r="C2" s="12"/>
      <c r="D2" s="12"/>
      <c r="E2" s="12"/>
      <c r="F2" s="12"/>
      <c r="G2" s="12"/>
      <c r="H2" s="12"/>
      <c r="I2" s="12"/>
      <c r="J2" s="12"/>
      <c r="K2" s="12"/>
      <c r="L2" s="12"/>
      <c r="M2" s="11"/>
      <c r="O2" s="11"/>
      <c r="P2" s="11"/>
      <c r="Q2" s="11"/>
      <c r="R2" s="11"/>
      <c r="S2" s="11"/>
      <c r="T2" s="11"/>
      <c r="U2" s="11"/>
      <c r="V2" s="11"/>
      <c r="W2" s="11"/>
      <c r="X2" s="11"/>
      <c r="Y2" s="11"/>
      <c r="Z2" s="11"/>
      <c r="AA2" s="11"/>
      <c r="AB2" s="11"/>
      <c r="AC2" s="11"/>
      <c r="AD2" s="11"/>
    </row>
    <row r="3" spans="1:30" ht="16" x14ac:dyDescent="0.2">
      <c r="A3" s="11" t="s">
        <v>763</v>
      </c>
      <c r="C3" s="11" t="s">
        <v>761</v>
      </c>
      <c r="L3" s="11" t="s">
        <v>759</v>
      </c>
      <c r="M3" s="11"/>
      <c r="N3" s="11"/>
      <c r="O3" s="11"/>
      <c r="P3" s="11"/>
      <c r="Q3" s="11"/>
      <c r="R3" s="11"/>
      <c r="S3" s="11"/>
      <c r="T3" s="11"/>
      <c r="U3" s="11"/>
      <c r="V3" s="11"/>
      <c r="W3" s="11"/>
      <c r="X3" s="11"/>
      <c r="Y3" s="11"/>
      <c r="Z3" s="11"/>
      <c r="AA3" s="11"/>
      <c r="AB3" s="11"/>
      <c r="AC3" s="11"/>
      <c r="AD3" s="11"/>
    </row>
    <row r="4" spans="1:30" ht="16" x14ac:dyDescent="0.2">
      <c r="B4" t="s">
        <v>748</v>
      </c>
      <c r="C4" t="s">
        <v>733</v>
      </c>
      <c r="D4" t="s">
        <v>735</v>
      </c>
      <c r="E4" s="29" t="s">
        <v>740</v>
      </c>
      <c r="F4" s="29" t="s">
        <v>742</v>
      </c>
      <c r="G4" s="29" t="s">
        <v>743</v>
      </c>
      <c r="H4" s="29" t="s">
        <v>738</v>
      </c>
      <c r="I4" s="29" t="s">
        <v>741</v>
      </c>
      <c r="J4" s="29" t="s">
        <v>736</v>
      </c>
      <c r="K4" s="29" t="s">
        <v>734</v>
      </c>
      <c r="L4" s="29" t="s">
        <v>747</v>
      </c>
      <c r="M4" s="11"/>
      <c r="N4" s="11"/>
      <c r="O4" s="11"/>
      <c r="P4" s="11"/>
      <c r="Q4" s="11"/>
      <c r="R4" s="11"/>
      <c r="S4" s="11"/>
      <c r="T4" s="11"/>
      <c r="U4" s="11"/>
      <c r="V4" s="11"/>
      <c r="W4" s="11"/>
      <c r="X4" s="11"/>
      <c r="Y4" s="11"/>
      <c r="Z4" s="11"/>
      <c r="AA4" s="11"/>
      <c r="AB4" s="11"/>
      <c r="AC4" s="11"/>
      <c r="AD4" s="11"/>
    </row>
    <row r="5" spans="1:30" ht="16" x14ac:dyDescent="0.2">
      <c r="A5" s="22" t="s">
        <v>760</v>
      </c>
      <c r="B5" t="s">
        <v>733</v>
      </c>
      <c r="C5">
        <v>29</v>
      </c>
      <c r="D5"/>
      <c r="E5" s="30"/>
      <c r="F5" s="30"/>
      <c r="G5" s="30"/>
      <c r="H5" s="30"/>
      <c r="I5" s="30"/>
      <c r="J5" s="30"/>
      <c r="K5" s="30">
        <v>1</v>
      </c>
      <c r="L5" s="30">
        <f>SUM(C5:K5)</f>
        <v>30</v>
      </c>
      <c r="M5" s="11"/>
      <c r="N5" s="11"/>
      <c r="O5" s="11"/>
      <c r="P5" s="11"/>
      <c r="Q5" s="11"/>
      <c r="R5" s="11"/>
      <c r="S5" s="11"/>
      <c r="T5" s="11"/>
      <c r="U5" s="11"/>
      <c r="V5" s="11"/>
      <c r="W5" s="11"/>
      <c r="X5" s="11"/>
      <c r="Y5" s="11"/>
      <c r="Z5" s="11"/>
      <c r="AA5" s="11"/>
      <c r="AB5" s="11"/>
      <c r="AC5" s="11"/>
      <c r="AD5" s="11"/>
    </row>
    <row r="6" spans="1:30" ht="16" x14ac:dyDescent="0.2">
      <c r="A6" s="21"/>
      <c r="B6" t="s">
        <v>735</v>
      </c>
      <c r="C6"/>
      <c r="D6">
        <v>20</v>
      </c>
      <c r="E6" s="30"/>
      <c r="F6" s="30"/>
      <c r="G6" s="30"/>
      <c r="H6" s="30"/>
      <c r="I6" s="30"/>
      <c r="J6" s="30"/>
      <c r="K6" s="30"/>
      <c r="L6" s="30">
        <f t="shared" ref="L6:L13" si="0">SUM(C6:K6)</f>
        <v>20</v>
      </c>
      <c r="M6" s="11"/>
      <c r="N6" s="11"/>
      <c r="O6" s="11"/>
      <c r="P6" s="11"/>
      <c r="Q6" s="11"/>
      <c r="R6" s="11"/>
      <c r="S6" s="11"/>
      <c r="T6" s="11"/>
      <c r="U6" s="11"/>
      <c r="V6" s="11"/>
      <c r="W6" s="11"/>
      <c r="X6" s="11"/>
      <c r="Y6" s="11"/>
      <c r="Z6" s="11"/>
      <c r="AA6" s="11"/>
      <c r="AB6" s="11"/>
      <c r="AC6" s="11"/>
      <c r="AD6" s="11"/>
    </row>
    <row r="7" spans="1:30" ht="16" x14ac:dyDescent="0.2">
      <c r="A7" s="21"/>
      <c r="B7" t="s">
        <v>740</v>
      </c>
      <c r="C7"/>
      <c r="D7"/>
      <c r="E7" s="30">
        <v>2</v>
      </c>
      <c r="F7" s="30"/>
      <c r="G7" s="30"/>
      <c r="H7" s="30"/>
      <c r="I7" s="30"/>
      <c r="J7" s="30"/>
      <c r="K7" s="30"/>
      <c r="L7" s="30">
        <f t="shared" si="0"/>
        <v>2</v>
      </c>
      <c r="M7" s="11"/>
      <c r="N7" s="11"/>
      <c r="O7" s="11"/>
      <c r="P7" s="11"/>
      <c r="Q7" s="11"/>
      <c r="R7" s="11"/>
      <c r="S7" s="11"/>
      <c r="T7" s="11"/>
      <c r="U7" s="11"/>
      <c r="V7" s="11"/>
      <c r="W7" s="11"/>
      <c r="X7" s="11"/>
      <c r="Y7" s="11"/>
      <c r="Z7" s="11"/>
      <c r="AA7" s="11"/>
      <c r="AB7" s="11"/>
      <c r="AC7" s="11"/>
      <c r="AD7" s="11"/>
    </row>
    <row r="8" spans="1:30" ht="16" x14ac:dyDescent="0.2">
      <c r="A8" s="21"/>
      <c r="B8" t="s">
        <v>742</v>
      </c>
      <c r="C8"/>
      <c r="D8"/>
      <c r="E8" s="30"/>
      <c r="F8" s="30">
        <v>86</v>
      </c>
      <c r="G8" s="30"/>
      <c r="H8" s="30"/>
      <c r="I8" s="30"/>
      <c r="J8" s="30"/>
      <c r="K8" s="30"/>
      <c r="L8" s="30">
        <f t="shared" si="0"/>
        <v>86</v>
      </c>
      <c r="M8" s="11"/>
      <c r="N8" s="11"/>
      <c r="O8" s="11"/>
      <c r="P8" s="11"/>
      <c r="Q8" s="11"/>
      <c r="R8" s="11"/>
      <c r="S8" s="11"/>
      <c r="T8" s="11"/>
      <c r="U8" s="11"/>
      <c r="V8" s="11"/>
      <c r="W8" s="11"/>
      <c r="X8" s="11"/>
      <c r="Y8" s="11"/>
      <c r="Z8" s="11"/>
      <c r="AA8" s="11"/>
      <c r="AB8" s="11"/>
      <c r="AC8" s="11"/>
      <c r="AD8" s="11"/>
    </row>
    <row r="9" spans="1:30" ht="16" x14ac:dyDescent="0.2">
      <c r="A9" s="21"/>
      <c r="B9" s="31" t="s">
        <v>743</v>
      </c>
      <c r="C9" s="30"/>
      <c r="D9" s="30"/>
      <c r="E9" s="30"/>
      <c r="F9" s="30"/>
      <c r="G9" s="30">
        <v>1</v>
      </c>
      <c r="H9" s="30"/>
      <c r="I9" s="30"/>
      <c r="J9" s="30"/>
      <c r="K9" s="30"/>
      <c r="L9" s="30">
        <f t="shared" si="0"/>
        <v>1</v>
      </c>
      <c r="O9" s="11"/>
      <c r="P9" s="11"/>
      <c r="Q9" s="11"/>
      <c r="R9" s="11"/>
      <c r="S9" s="11"/>
      <c r="T9" s="11"/>
      <c r="U9" s="11"/>
      <c r="V9" s="11"/>
      <c r="W9" s="11"/>
      <c r="X9" s="11"/>
      <c r="Y9" s="11"/>
      <c r="Z9" s="11"/>
      <c r="AA9" s="11"/>
      <c r="AB9" s="11"/>
      <c r="AC9" s="11"/>
      <c r="AD9" s="11"/>
    </row>
    <row r="10" spans="1:30" ht="16" x14ac:dyDescent="0.2">
      <c r="A10" s="20" t="s">
        <v>759</v>
      </c>
      <c r="B10" s="31" t="s">
        <v>738</v>
      </c>
      <c r="C10" s="30"/>
      <c r="D10" s="30"/>
      <c r="E10" s="30"/>
      <c r="F10" s="30"/>
      <c r="G10" s="30"/>
      <c r="H10" s="30">
        <v>20</v>
      </c>
      <c r="I10" s="30"/>
      <c r="J10" s="30"/>
      <c r="K10" s="30"/>
      <c r="L10" s="30">
        <f t="shared" si="0"/>
        <v>20</v>
      </c>
      <c r="O10" s="11"/>
      <c r="P10" s="11"/>
      <c r="Q10" s="11"/>
      <c r="R10" s="11"/>
      <c r="S10" s="11"/>
      <c r="T10" s="11"/>
      <c r="U10" s="11"/>
      <c r="V10" s="11"/>
      <c r="W10" s="11"/>
      <c r="X10" s="11"/>
      <c r="Y10" s="11"/>
      <c r="Z10" s="11"/>
      <c r="AA10" s="11"/>
      <c r="AB10" s="11"/>
      <c r="AC10" s="11"/>
      <c r="AD10" s="11"/>
    </row>
    <row r="11" spans="1:30" ht="16" x14ac:dyDescent="0.2">
      <c r="A11" s="24"/>
      <c r="B11" s="31" t="s">
        <v>741</v>
      </c>
      <c r="C11" s="30"/>
      <c r="D11" s="30"/>
      <c r="E11" s="30"/>
      <c r="F11" s="30"/>
      <c r="G11" s="30"/>
      <c r="H11" s="30"/>
      <c r="I11" s="30">
        <v>9</v>
      </c>
      <c r="J11" s="30"/>
      <c r="K11" s="30"/>
      <c r="L11" s="30">
        <f t="shared" si="0"/>
        <v>9</v>
      </c>
      <c r="O11" s="11"/>
      <c r="P11" s="11"/>
      <c r="Q11" s="11"/>
      <c r="R11" s="11"/>
      <c r="S11" s="11"/>
      <c r="T11" s="11"/>
      <c r="U11" s="11"/>
      <c r="V11" s="11"/>
      <c r="W11" s="11"/>
      <c r="X11" s="11"/>
      <c r="Y11" s="11"/>
      <c r="Z11" s="11"/>
      <c r="AA11" s="11"/>
      <c r="AB11" s="11"/>
      <c r="AC11" s="11"/>
      <c r="AD11" s="11"/>
    </row>
    <row r="12" spans="1:30" ht="16" x14ac:dyDescent="0.2">
      <c r="A12" s="24"/>
      <c r="B12" s="31" t="s">
        <v>736</v>
      </c>
      <c r="C12" s="30"/>
      <c r="D12" s="30"/>
      <c r="E12" s="30"/>
      <c r="F12" s="30"/>
      <c r="G12" s="30"/>
      <c r="H12" s="30"/>
      <c r="I12" s="30"/>
      <c r="J12" s="30">
        <v>112</v>
      </c>
      <c r="K12" s="30"/>
      <c r="L12" s="30">
        <f t="shared" si="0"/>
        <v>112</v>
      </c>
      <c r="O12" s="11"/>
      <c r="P12" s="11"/>
      <c r="Q12" s="11"/>
      <c r="R12" s="11"/>
      <c r="S12" s="11"/>
      <c r="T12" s="11"/>
      <c r="U12" s="11"/>
      <c r="V12" s="11"/>
      <c r="W12" s="11"/>
      <c r="X12" s="11"/>
      <c r="Y12" s="11"/>
      <c r="Z12" s="11"/>
      <c r="AA12" s="11"/>
      <c r="AB12" s="11"/>
      <c r="AC12" s="11"/>
      <c r="AD12" s="11"/>
    </row>
    <row r="13" spans="1:30" ht="16" x14ac:dyDescent="0.2">
      <c r="A13" s="24"/>
      <c r="B13" s="31" t="s">
        <v>734</v>
      </c>
      <c r="C13" s="30"/>
      <c r="D13" s="30"/>
      <c r="E13" s="30"/>
      <c r="F13" s="30"/>
      <c r="G13" s="30"/>
      <c r="H13" s="30"/>
      <c r="I13" s="30"/>
      <c r="J13" s="30"/>
      <c r="K13" s="30">
        <v>20</v>
      </c>
      <c r="L13" s="30">
        <f t="shared" si="0"/>
        <v>20</v>
      </c>
      <c r="O13" s="11"/>
      <c r="P13" s="11"/>
      <c r="Q13" s="11"/>
      <c r="R13" s="11"/>
      <c r="S13" s="11"/>
      <c r="T13" s="11"/>
      <c r="U13" s="11"/>
      <c r="V13" s="11"/>
      <c r="W13" s="11"/>
      <c r="X13" s="11"/>
      <c r="Y13" s="11"/>
      <c r="Z13" s="11"/>
      <c r="AA13" s="11"/>
      <c r="AB13" s="11"/>
      <c r="AC13" s="11"/>
      <c r="AD13" s="11"/>
    </row>
    <row r="14" spans="1:30" ht="16" x14ac:dyDescent="0.2">
      <c r="A14" s="24"/>
      <c r="B14" s="32" t="s">
        <v>747</v>
      </c>
      <c r="C14" s="33">
        <f>SUM(C5:C13)</f>
        <v>29</v>
      </c>
      <c r="D14" s="33">
        <f>SUM(D5:D13)</f>
        <v>20</v>
      </c>
      <c r="E14" s="33">
        <f t="shared" ref="E14:L14" si="1">SUM(E5:E13)</f>
        <v>2</v>
      </c>
      <c r="F14" s="33">
        <f t="shared" si="1"/>
        <v>86</v>
      </c>
      <c r="G14" s="33">
        <f t="shared" si="1"/>
        <v>1</v>
      </c>
      <c r="H14" s="33">
        <f t="shared" si="1"/>
        <v>20</v>
      </c>
      <c r="I14" s="33">
        <f t="shared" si="1"/>
        <v>9</v>
      </c>
      <c r="J14" s="33">
        <f t="shared" si="1"/>
        <v>112</v>
      </c>
      <c r="K14" s="33">
        <f t="shared" si="1"/>
        <v>21</v>
      </c>
      <c r="L14" s="33">
        <f t="shared" si="1"/>
        <v>300</v>
      </c>
      <c r="O14" s="11"/>
      <c r="P14" s="11"/>
      <c r="Q14" s="11"/>
      <c r="R14" s="11"/>
      <c r="S14" s="11"/>
      <c r="T14" s="11"/>
      <c r="U14" s="11"/>
      <c r="V14" s="11"/>
      <c r="W14" s="11"/>
      <c r="X14" s="11"/>
      <c r="Y14" s="11"/>
      <c r="Z14" s="11"/>
      <c r="AA14" s="11"/>
      <c r="AB14" s="11"/>
      <c r="AC14" s="11"/>
      <c r="AD14" s="11"/>
    </row>
    <row r="15" spans="1:30" ht="16" x14ac:dyDescent="0.2">
      <c r="A15" s="11"/>
      <c r="B15" s="12"/>
      <c r="C15" s="12"/>
      <c r="D15" s="12"/>
      <c r="E15" s="12"/>
      <c r="F15" s="12"/>
      <c r="G15" s="12"/>
      <c r="H15" s="12"/>
      <c r="I15" s="12"/>
      <c r="J15" s="12"/>
      <c r="K15" s="12"/>
      <c r="L15" s="12"/>
      <c r="M15" s="11"/>
      <c r="N15" s="11"/>
      <c r="O15" s="11"/>
      <c r="P15" s="11"/>
      <c r="Q15" s="11"/>
      <c r="R15" s="11"/>
      <c r="S15" s="11"/>
      <c r="T15" s="11"/>
      <c r="U15" s="11"/>
      <c r="V15" s="11"/>
      <c r="W15" s="11"/>
      <c r="X15" s="11"/>
      <c r="Y15" s="11"/>
      <c r="Z15" s="11"/>
      <c r="AA15" s="11"/>
      <c r="AB15" s="11"/>
      <c r="AC15" s="11"/>
      <c r="AD15" s="11"/>
    </row>
    <row r="16" spans="1:30" ht="16" x14ac:dyDescent="0.2">
      <c r="A16" s="14" t="s">
        <v>762</v>
      </c>
      <c r="B16" s="13"/>
      <c r="C16" s="13"/>
      <c r="D16" s="13"/>
      <c r="E16" s="13"/>
      <c r="F16" s="13"/>
      <c r="G16" s="13"/>
      <c r="H16" s="13"/>
      <c r="I16" s="13"/>
      <c r="J16" s="13"/>
      <c r="K16" s="13"/>
      <c r="L16" s="13"/>
      <c r="M16" s="11"/>
      <c r="N16" s="11"/>
      <c r="O16" s="11"/>
      <c r="P16" s="11"/>
      <c r="Q16" s="11"/>
      <c r="R16" s="11"/>
      <c r="S16" s="11"/>
      <c r="T16" s="11"/>
      <c r="U16" s="11"/>
      <c r="V16" s="11"/>
      <c r="W16" s="11"/>
      <c r="X16" s="11"/>
      <c r="Y16" s="11"/>
      <c r="Z16" s="11"/>
      <c r="AA16" s="11"/>
      <c r="AB16" s="11"/>
      <c r="AC16" s="11"/>
      <c r="AD16" s="11"/>
    </row>
    <row r="17" spans="1:30" ht="16" x14ac:dyDescent="0.2">
      <c r="A17" s="11"/>
      <c r="B17" s="12"/>
      <c r="C17" s="12"/>
      <c r="D17" s="12"/>
      <c r="E17" s="12"/>
      <c r="F17" s="12"/>
      <c r="G17" s="12"/>
      <c r="H17" s="12"/>
      <c r="I17" s="12"/>
      <c r="J17" s="12"/>
      <c r="K17" s="12"/>
      <c r="L17" s="12"/>
      <c r="M17" s="11"/>
      <c r="N17" s="11"/>
      <c r="O17" s="11"/>
      <c r="P17" s="11"/>
      <c r="Q17" s="11"/>
      <c r="R17" s="11"/>
      <c r="S17" s="11"/>
      <c r="T17" s="11"/>
      <c r="U17" s="11"/>
      <c r="V17" s="11"/>
      <c r="W17" s="11"/>
      <c r="X17" s="11"/>
      <c r="Y17" s="11"/>
      <c r="Z17" s="11"/>
      <c r="AA17" s="11"/>
      <c r="AB17" s="11"/>
      <c r="AC17" s="11"/>
      <c r="AD17" s="11"/>
    </row>
    <row r="18" spans="1:30" ht="16" x14ac:dyDescent="0.2">
      <c r="A18" s="11"/>
      <c r="C18" s="23" t="s">
        <v>761</v>
      </c>
      <c r="D18" s="21"/>
      <c r="E18" s="21"/>
      <c r="F18" s="21"/>
      <c r="G18" s="21"/>
      <c r="L18" s="11" t="s">
        <v>759</v>
      </c>
      <c r="M18" s="11"/>
      <c r="N18" s="11"/>
      <c r="O18" s="11"/>
      <c r="P18" s="11"/>
      <c r="Q18" s="11"/>
      <c r="R18" s="11"/>
      <c r="S18" s="11"/>
      <c r="T18" s="11"/>
      <c r="U18" s="11"/>
      <c r="V18" s="11"/>
      <c r="W18" s="11"/>
      <c r="X18" s="11"/>
      <c r="Y18" s="11"/>
      <c r="Z18" s="11"/>
      <c r="AA18" s="11"/>
      <c r="AB18" s="11"/>
      <c r="AC18" s="11"/>
      <c r="AD18" s="11"/>
    </row>
    <row r="19" spans="1:30" ht="16" x14ac:dyDescent="0.2">
      <c r="B19" t="s">
        <v>748</v>
      </c>
      <c r="C19" t="s">
        <v>733</v>
      </c>
      <c r="D19" t="s">
        <v>735</v>
      </c>
      <c r="E19" s="29" t="s">
        <v>740</v>
      </c>
      <c r="F19" s="29" t="s">
        <v>742</v>
      </c>
      <c r="G19" s="29" t="s">
        <v>743</v>
      </c>
      <c r="H19" s="29" t="s">
        <v>738</v>
      </c>
      <c r="I19" s="29" t="s">
        <v>741</v>
      </c>
      <c r="J19" s="29" t="s">
        <v>736</v>
      </c>
      <c r="K19" s="29" t="s">
        <v>734</v>
      </c>
      <c r="L19" s="29" t="s">
        <v>747</v>
      </c>
      <c r="M19" s="11"/>
      <c r="N19" s="11"/>
      <c r="O19" s="11"/>
      <c r="P19" s="11"/>
      <c r="Q19" s="11"/>
      <c r="R19" s="11"/>
      <c r="S19" s="11"/>
      <c r="T19" s="11"/>
      <c r="U19" s="11"/>
      <c r="V19" s="11"/>
      <c r="W19" s="11"/>
      <c r="X19" s="11"/>
      <c r="Y19" s="11"/>
      <c r="Z19" s="11"/>
      <c r="AA19" s="11"/>
      <c r="AB19" s="11"/>
      <c r="AC19" s="11"/>
      <c r="AD19" s="11"/>
    </row>
    <row r="20" spans="1:30" ht="16" x14ac:dyDescent="0.2">
      <c r="A20" s="22" t="s">
        <v>760</v>
      </c>
      <c r="B20" t="s">
        <v>733</v>
      </c>
      <c r="C20" s="36">
        <f>C$29*$L20/$L$29</f>
        <v>2.9</v>
      </c>
      <c r="D20" s="16">
        <f>D$29*$L20/$L$29</f>
        <v>2</v>
      </c>
      <c r="E20" s="16">
        <f>E$29*$L20/$L$29</f>
        <v>0.2</v>
      </c>
      <c r="F20" s="16">
        <f>F$29*$L20/$L$29</f>
        <v>8.6</v>
      </c>
      <c r="G20" s="16">
        <f>G$29*$L20/$L$29</f>
        <v>0.1</v>
      </c>
      <c r="H20" s="16">
        <f>H$29*$L20/$L$29</f>
        <v>2</v>
      </c>
      <c r="I20" s="16">
        <f>I$29*$L20/$L$29</f>
        <v>0.9</v>
      </c>
      <c r="J20" s="16">
        <f t="shared" ref="J20:K20" si="2">J$29*$L20/$L$29</f>
        <v>11.2</v>
      </c>
      <c r="K20" s="16">
        <f t="shared" si="2"/>
        <v>2.1</v>
      </c>
      <c r="L20" s="30">
        <v>30</v>
      </c>
      <c r="M20" s="11"/>
      <c r="N20" s="11"/>
      <c r="O20" s="11"/>
      <c r="P20" s="11"/>
      <c r="Q20" s="11"/>
      <c r="R20" s="11"/>
      <c r="S20" s="11"/>
      <c r="T20" s="11"/>
      <c r="U20" s="11"/>
      <c r="V20" s="11"/>
      <c r="W20" s="11"/>
      <c r="X20" s="11"/>
      <c r="Y20" s="11"/>
      <c r="Z20" s="11"/>
      <c r="AA20" s="11"/>
      <c r="AB20" s="11"/>
      <c r="AC20" s="11"/>
      <c r="AD20" s="11"/>
    </row>
    <row r="21" spans="1:30" ht="16" x14ac:dyDescent="0.2">
      <c r="A21" s="21"/>
      <c r="B21" t="s">
        <v>735</v>
      </c>
      <c r="C21" s="16">
        <f t="shared" ref="C21:K28" si="3">C$29*$L21/$L$29</f>
        <v>1.9333333333333333</v>
      </c>
      <c r="D21" s="36">
        <f t="shared" si="3"/>
        <v>1.3333333333333333</v>
      </c>
      <c r="E21" s="16">
        <f t="shared" si="3"/>
        <v>0.13333333333333333</v>
      </c>
      <c r="F21" s="16">
        <f t="shared" si="3"/>
        <v>5.7333333333333334</v>
      </c>
      <c r="G21" s="16">
        <f t="shared" si="3"/>
        <v>6.6666666666666666E-2</v>
      </c>
      <c r="H21" s="16">
        <f t="shared" si="3"/>
        <v>1.3333333333333333</v>
      </c>
      <c r="I21" s="16">
        <f t="shared" si="3"/>
        <v>0.6</v>
      </c>
      <c r="J21" s="16">
        <f t="shared" si="3"/>
        <v>7.4666666666666668</v>
      </c>
      <c r="K21" s="16">
        <f t="shared" si="3"/>
        <v>1.4</v>
      </c>
      <c r="L21" s="30">
        <v>20</v>
      </c>
      <c r="M21" s="11"/>
      <c r="N21" s="11"/>
      <c r="O21" s="11"/>
      <c r="P21" s="11"/>
      <c r="Q21" s="11"/>
      <c r="R21" s="11"/>
      <c r="S21" s="11"/>
      <c r="T21" s="11"/>
      <c r="U21" s="11"/>
      <c r="V21" s="11"/>
      <c r="W21" s="11"/>
      <c r="X21" s="11"/>
      <c r="Y21" s="11"/>
      <c r="Z21" s="11"/>
      <c r="AA21" s="11"/>
      <c r="AB21" s="11"/>
      <c r="AC21" s="11"/>
      <c r="AD21" s="11"/>
    </row>
    <row r="22" spans="1:30" ht="16" x14ac:dyDescent="0.2">
      <c r="A22" s="21"/>
      <c r="B22" t="s">
        <v>740</v>
      </c>
      <c r="C22" s="16">
        <f t="shared" si="3"/>
        <v>0.19333333333333333</v>
      </c>
      <c r="D22" s="16">
        <f t="shared" si="3"/>
        <v>0.13333333333333333</v>
      </c>
      <c r="E22" s="36">
        <f t="shared" si="3"/>
        <v>1.3333333333333334E-2</v>
      </c>
      <c r="F22" s="16">
        <f t="shared" si="3"/>
        <v>0.57333333333333336</v>
      </c>
      <c r="G22" s="16">
        <f t="shared" si="3"/>
        <v>6.6666666666666671E-3</v>
      </c>
      <c r="H22" s="16">
        <f t="shared" si="3"/>
        <v>0.13333333333333333</v>
      </c>
      <c r="I22" s="16">
        <f t="shared" si="3"/>
        <v>0.06</v>
      </c>
      <c r="J22" s="16">
        <f t="shared" si="3"/>
        <v>0.7466666666666667</v>
      </c>
      <c r="K22" s="16">
        <f t="shared" si="3"/>
        <v>0.14000000000000001</v>
      </c>
      <c r="L22" s="30">
        <v>2</v>
      </c>
      <c r="M22" s="11"/>
      <c r="N22" s="11"/>
      <c r="O22" s="11"/>
      <c r="P22" s="11"/>
      <c r="Q22" s="11"/>
      <c r="R22" s="11"/>
      <c r="S22" s="11"/>
      <c r="T22" s="11"/>
      <c r="U22" s="11"/>
      <c r="V22" s="11"/>
      <c r="W22" s="11"/>
      <c r="X22" s="11"/>
      <c r="Y22" s="11"/>
      <c r="Z22" s="11"/>
      <c r="AA22" s="11"/>
      <c r="AB22" s="11"/>
      <c r="AC22" s="11"/>
      <c r="AD22" s="11"/>
    </row>
    <row r="23" spans="1:30" ht="16" x14ac:dyDescent="0.2">
      <c r="A23" s="21"/>
      <c r="B23" t="s">
        <v>742</v>
      </c>
      <c r="C23" s="16">
        <f t="shared" si="3"/>
        <v>8.3133333333333326</v>
      </c>
      <c r="D23" s="16">
        <f t="shared" si="3"/>
        <v>5.7333333333333334</v>
      </c>
      <c r="E23" s="16">
        <f t="shared" si="3"/>
        <v>0.57333333333333336</v>
      </c>
      <c r="F23" s="36">
        <f t="shared" si="3"/>
        <v>24.653333333333332</v>
      </c>
      <c r="G23" s="16">
        <f t="shared" si="3"/>
        <v>0.28666666666666668</v>
      </c>
      <c r="H23" s="16">
        <f t="shared" si="3"/>
        <v>5.7333333333333334</v>
      </c>
      <c r="I23" s="16">
        <f t="shared" si="3"/>
        <v>2.58</v>
      </c>
      <c r="J23" s="16">
        <f t="shared" si="3"/>
        <v>32.106666666666669</v>
      </c>
      <c r="K23" s="16">
        <f t="shared" si="3"/>
        <v>6.02</v>
      </c>
      <c r="L23" s="30">
        <v>86</v>
      </c>
      <c r="M23" s="11"/>
      <c r="N23" s="11"/>
      <c r="O23" s="11"/>
      <c r="P23" s="11"/>
      <c r="Q23" s="11"/>
      <c r="R23" s="11"/>
      <c r="S23" s="11"/>
      <c r="T23" s="11"/>
      <c r="U23" s="11"/>
      <c r="V23" s="11"/>
      <c r="W23" s="11"/>
      <c r="X23" s="11"/>
      <c r="Y23" s="11"/>
      <c r="Z23" s="11"/>
      <c r="AA23" s="11"/>
      <c r="AB23" s="11"/>
      <c r="AC23" s="11"/>
      <c r="AD23" s="11"/>
    </row>
    <row r="24" spans="1:30" ht="16" x14ac:dyDescent="0.2">
      <c r="A24" s="21"/>
      <c r="B24" s="31" t="s">
        <v>743</v>
      </c>
      <c r="C24" s="16">
        <f t="shared" si="3"/>
        <v>9.6666666666666665E-2</v>
      </c>
      <c r="D24" s="16">
        <f t="shared" si="3"/>
        <v>6.6666666666666666E-2</v>
      </c>
      <c r="E24" s="16">
        <f t="shared" si="3"/>
        <v>6.6666666666666671E-3</v>
      </c>
      <c r="F24" s="16">
        <f t="shared" si="3"/>
        <v>0.28666666666666668</v>
      </c>
      <c r="G24" s="36">
        <f t="shared" si="3"/>
        <v>3.3333333333333335E-3</v>
      </c>
      <c r="H24" s="16">
        <f t="shared" si="3"/>
        <v>6.6666666666666666E-2</v>
      </c>
      <c r="I24" s="16">
        <f t="shared" si="3"/>
        <v>0.03</v>
      </c>
      <c r="J24" s="16">
        <f t="shared" si="3"/>
        <v>0.37333333333333335</v>
      </c>
      <c r="K24" s="16">
        <f t="shared" si="3"/>
        <v>7.0000000000000007E-2</v>
      </c>
      <c r="L24" s="30">
        <v>1</v>
      </c>
      <c r="M24" s="11"/>
      <c r="N24" s="11"/>
      <c r="O24" s="11"/>
      <c r="P24" s="11"/>
      <c r="Q24" s="11"/>
      <c r="R24" s="11"/>
      <c r="S24" s="11"/>
      <c r="T24" s="11"/>
      <c r="U24" s="11"/>
      <c r="V24" s="11"/>
      <c r="W24" s="11"/>
      <c r="X24" s="11"/>
      <c r="Y24" s="11"/>
      <c r="Z24" s="11"/>
      <c r="AA24" s="11"/>
      <c r="AB24" s="11"/>
      <c r="AC24" s="11"/>
      <c r="AD24" s="11"/>
    </row>
    <row r="25" spans="1:30" ht="16" x14ac:dyDescent="0.2">
      <c r="B25" s="31" t="s">
        <v>738</v>
      </c>
      <c r="C25" s="16">
        <f t="shared" si="3"/>
        <v>1.9333333333333333</v>
      </c>
      <c r="D25" s="16">
        <f t="shared" si="3"/>
        <v>1.3333333333333333</v>
      </c>
      <c r="E25" s="16">
        <f t="shared" si="3"/>
        <v>0.13333333333333333</v>
      </c>
      <c r="F25" s="16">
        <f t="shared" si="3"/>
        <v>5.7333333333333334</v>
      </c>
      <c r="G25" s="16">
        <f t="shared" si="3"/>
        <v>6.6666666666666666E-2</v>
      </c>
      <c r="H25" s="36">
        <f t="shared" si="3"/>
        <v>1.3333333333333333</v>
      </c>
      <c r="I25" s="16">
        <f t="shared" si="3"/>
        <v>0.6</v>
      </c>
      <c r="J25" s="16">
        <f t="shared" si="3"/>
        <v>7.4666666666666668</v>
      </c>
      <c r="K25" s="16">
        <f t="shared" si="3"/>
        <v>1.4</v>
      </c>
      <c r="L25" s="30">
        <v>20</v>
      </c>
      <c r="M25" s="11"/>
      <c r="N25" s="11"/>
      <c r="O25" s="11"/>
      <c r="P25" s="11"/>
      <c r="Q25" s="11"/>
      <c r="R25" s="11"/>
      <c r="S25" s="11"/>
      <c r="T25" s="11"/>
      <c r="U25" s="11"/>
      <c r="V25" s="11"/>
      <c r="W25" s="11"/>
      <c r="X25" s="11"/>
      <c r="Y25" s="11"/>
      <c r="Z25" s="11"/>
      <c r="AA25" s="11"/>
      <c r="AB25" s="11"/>
      <c r="AC25" s="11"/>
      <c r="AD25" s="11"/>
    </row>
    <row r="26" spans="1:30" ht="16" x14ac:dyDescent="0.2">
      <c r="B26" s="31" t="s">
        <v>741</v>
      </c>
      <c r="C26" s="16">
        <f t="shared" si="3"/>
        <v>0.87</v>
      </c>
      <c r="D26" s="16">
        <f t="shared" si="3"/>
        <v>0.6</v>
      </c>
      <c r="E26" s="16">
        <f t="shared" si="3"/>
        <v>0.06</v>
      </c>
      <c r="F26" s="16">
        <f t="shared" si="3"/>
        <v>2.58</v>
      </c>
      <c r="G26" s="16">
        <f t="shared" si="3"/>
        <v>0.03</v>
      </c>
      <c r="H26" s="16">
        <f t="shared" si="3"/>
        <v>0.6</v>
      </c>
      <c r="I26" s="36">
        <f t="shared" si="3"/>
        <v>0.27</v>
      </c>
      <c r="J26" s="16">
        <f t="shared" si="3"/>
        <v>3.36</v>
      </c>
      <c r="K26" s="16">
        <f t="shared" si="3"/>
        <v>0.63</v>
      </c>
      <c r="L26" s="30">
        <v>9</v>
      </c>
      <c r="M26" s="11"/>
      <c r="N26" s="11"/>
      <c r="O26" s="11"/>
      <c r="P26" s="11"/>
      <c r="Q26" s="11"/>
      <c r="R26" s="11"/>
      <c r="S26" s="11"/>
      <c r="T26" s="11"/>
      <c r="U26" s="11"/>
      <c r="V26" s="11"/>
      <c r="W26" s="11"/>
      <c r="X26" s="11"/>
      <c r="Y26" s="11"/>
      <c r="Z26" s="11"/>
      <c r="AA26" s="11"/>
      <c r="AB26" s="11"/>
      <c r="AC26" s="11"/>
      <c r="AD26" s="11"/>
    </row>
    <row r="27" spans="1:30" ht="16" x14ac:dyDescent="0.2">
      <c r="B27" s="31" t="s">
        <v>736</v>
      </c>
      <c r="C27" s="16">
        <f t="shared" si="3"/>
        <v>10.826666666666666</v>
      </c>
      <c r="D27" s="16">
        <f t="shared" si="3"/>
        <v>7.4666666666666668</v>
      </c>
      <c r="E27" s="16">
        <f t="shared" si="3"/>
        <v>0.7466666666666667</v>
      </c>
      <c r="F27" s="16">
        <f t="shared" si="3"/>
        <v>32.106666666666669</v>
      </c>
      <c r="G27" s="16">
        <f t="shared" si="3"/>
        <v>0.37333333333333335</v>
      </c>
      <c r="H27" s="16">
        <f t="shared" si="3"/>
        <v>7.4666666666666668</v>
      </c>
      <c r="I27" s="16">
        <f t="shared" si="3"/>
        <v>3.36</v>
      </c>
      <c r="J27" s="36">
        <f t="shared" si="3"/>
        <v>41.813333333333333</v>
      </c>
      <c r="K27" s="16">
        <f t="shared" si="3"/>
        <v>7.84</v>
      </c>
      <c r="L27" s="30">
        <v>112</v>
      </c>
      <c r="M27" s="11"/>
      <c r="N27" s="11"/>
      <c r="O27" s="11"/>
      <c r="P27" s="11"/>
      <c r="Q27" s="11"/>
      <c r="R27" s="11"/>
      <c r="S27" s="11"/>
      <c r="T27" s="11"/>
      <c r="U27" s="11"/>
      <c r="V27" s="11"/>
      <c r="W27" s="11"/>
      <c r="X27" s="11"/>
      <c r="Y27" s="11"/>
      <c r="Z27" s="11"/>
      <c r="AA27" s="11"/>
      <c r="AB27" s="11"/>
      <c r="AC27" s="11"/>
      <c r="AD27" s="11"/>
    </row>
    <row r="28" spans="1:30" ht="16" x14ac:dyDescent="0.2">
      <c r="B28" s="31" t="s">
        <v>734</v>
      </c>
      <c r="C28" s="16">
        <f t="shared" si="3"/>
        <v>1.9333333333333333</v>
      </c>
      <c r="D28" s="16">
        <f t="shared" si="3"/>
        <v>1.3333333333333333</v>
      </c>
      <c r="E28" s="16">
        <f t="shared" si="3"/>
        <v>0.13333333333333333</v>
      </c>
      <c r="F28" s="16">
        <f t="shared" si="3"/>
        <v>5.7333333333333334</v>
      </c>
      <c r="G28" s="16">
        <f t="shared" si="3"/>
        <v>6.6666666666666666E-2</v>
      </c>
      <c r="H28" s="16">
        <f t="shared" si="3"/>
        <v>1.3333333333333333</v>
      </c>
      <c r="I28" s="16">
        <f t="shared" si="3"/>
        <v>0.6</v>
      </c>
      <c r="J28" s="16">
        <f t="shared" si="3"/>
        <v>7.4666666666666668</v>
      </c>
      <c r="K28" s="36">
        <f t="shared" si="3"/>
        <v>1.4</v>
      </c>
      <c r="L28" s="30">
        <v>20</v>
      </c>
      <c r="M28" s="11"/>
      <c r="N28" s="11"/>
      <c r="O28" s="11"/>
      <c r="P28" s="11"/>
      <c r="Q28" s="11"/>
      <c r="R28" s="11"/>
      <c r="S28" s="11"/>
      <c r="T28" s="11"/>
      <c r="U28" s="11"/>
      <c r="V28" s="11"/>
      <c r="W28" s="11"/>
      <c r="X28" s="11"/>
      <c r="Y28" s="11"/>
      <c r="Z28" s="11"/>
      <c r="AA28" s="11"/>
      <c r="AB28" s="11"/>
      <c r="AC28" s="11"/>
      <c r="AD28" s="11"/>
    </row>
    <row r="29" spans="1:30" ht="16" x14ac:dyDescent="0.2">
      <c r="A29" s="20" t="s">
        <v>759</v>
      </c>
      <c r="B29" s="32" t="s">
        <v>747</v>
      </c>
      <c r="C29" s="33">
        <v>29</v>
      </c>
      <c r="D29" s="33">
        <v>20</v>
      </c>
      <c r="E29" s="33">
        <v>2</v>
      </c>
      <c r="F29" s="33">
        <v>86</v>
      </c>
      <c r="G29" s="33">
        <v>1</v>
      </c>
      <c r="H29" s="33">
        <v>20</v>
      </c>
      <c r="I29" s="33">
        <v>9</v>
      </c>
      <c r="J29" s="33">
        <v>112</v>
      </c>
      <c r="K29" s="33">
        <v>21</v>
      </c>
      <c r="L29" s="33">
        <v>300</v>
      </c>
      <c r="M29" s="11"/>
      <c r="N29" s="11"/>
      <c r="O29" s="11"/>
      <c r="P29" s="11"/>
      <c r="Q29" s="11"/>
      <c r="R29" s="11"/>
      <c r="S29" s="11"/>
      <c r="T29" s="11"/>
      <c r="U29" s="11"/>
      <c r="V29" s="11"/>
      <c r="W29" s="11"/>
      <c r="X29" s="11"/>
      <c r="Y29" s="11"/>
      <c r="Z29" s="11"/>
      <c r="AA29" s="11"/>
      <c r="AB29" s="11"/>
      <c r="AC29" s="11"/>
      <c r="AD29" s="11"/>
    </row>
    <row r="30" spans="1:30" ht="16" x14ac:dyDescent="0.2">
      <c r="A30" s="11"/>
      <c r="B30" s="12"/>
      <c r="C30" s="12"/>
      <c r="D30" s="12"/>
      <c r="E30" s="12"/>
      <c r="F30" s="12"/>
      <c r="G30" s="12"/>
      <c r="H30" s="12"/>
      <c r="I30" s="12"/>
      <c r="J30" s="12"/>
      <c r="K30" s="12"/>
      <c r="L30" s="12"/>
      <c r="M30" s="11"/>
      <c r="N30" s="11"/>
      <c r="O30" s="11"/>
      <c r="P30" s="11"/>
      <c r="Q30" s="11"/>
      <c r="R30" s="11"/>
      <c r="S30" s="11"/>
      <c r="T30" s="11"/>
      <c r="U30" s="11"/>
      <c r="V30" s="11"/>
      <c r="W30" s="11"/>
      <c r="X30" s="11"/>
      <c r="Y30" s="11"/>
      <c r="Z30" s="11"/>
      <c r="AA30" s="11"/>
      <c r="AB30" s="11"/>
      <c r="AC30" s="11"/>
      <c r="AD30" s="11"/>
    </row>
    <row r="31" spans="1:30" ht="16" x14ac:dyDescent="0.2">
      <c r="A31" s="14" t="s">
        <v>758</v>
      </c>
      <c r="B31" s="13"/>
      <c r="C31" s="13"/>
      <c r="D31" s="13"/>
      <c r="E31" s="13"/>
      <c r="F31" s="13"/>
      <c r="G31" s="13"/>
      <c r="H31" s="13"/>
      <c r="I31" s="13"/>
      <c r="J31" s="13"/>
      <c r="K31" s="13"/>
      <c r="L31" s="13"/>
      <c r="M31" s="11"/>
      <c r="N31" s="11"/>
      <c r="O31" s="11"/>
      <c r="P31" s="11"/>
      <c r="Q31" s="11"/>
      <c r="R31" s="11"/>
      <c r="S31" s="11"/>
      <c r="T31" s="11"/>
      <c r="U31" s="11"/>
      <c r="V31" s="11"/>
      <c r="W31" s="11"/>
      <c r="X31" s="11"/>
      <c r="Y31" s="11"/>
      <c r="Z31" s="11"/>
      <c r="AA31" s="11"/>
      <c r="AB31" s="11"/>
      <c r="AC31" s="11"/>
      <c r="AD31" s="11"/>
    </row>
    <row r="32" spans="1:30" ht="16" x14ac:dyDescent="0.2">
      <c r="B32" s="12"/>
      <c r="C32" s="12"/>
      <c r="D32" s="12"/>
      <c r="E32" s="12"/>
      <c r="F32" s="12"/>
      <c r="G32" s="12"/>
      <c r="H32" s="12"/>
      <c r="I32" s="12"/>
      <c r="J32" s="12"/>
      <c r="K32" s="12"/>
      <c r="L32" s="12"/>
      <c r="M32" s="11"/>
      <c r="N32" s="11"/>
      <c r="O32" s="11"/>
      <c r="P32" s="11"/>
      <c r="Q32" s="11"/>
      <c r="R32" s="11"/>
      <c r="S32" s="11"/>
      <c r="T32" s="11"/>
      <c r="U32" s="11"/>
      <c r="V32" s="11"/>
      <c r="W32" s="11"/>
      <c r="X32" s="11"/>
      <c r="Y32" s="11"/>
      <c r="Z32" s="11"/>
      <c r="AA32" s="11"/>
      <c r="AB32" s="11"/>
      <c r="AC32" s="11"/>
      <c r="AD32" s="11"/>
    </row>
    <row r="33" spans="1:30" ht="16" x14ac:dyDescent="0.2">
      <c r="B33" s="12" t="s">
        <v>757</v>
      </c>
      <c r="C33" s="12" t="s">
        <v>756</v>
      </c>
      <c r="D33" s="12"/>
      <c r="E33" s="12"/>
      <c r="F33" s="12"/>
      <c r="G33" s="12"/>
      <c r="H33" s="12"/>
      <c r="I33" s="12"/>
      <c r="J33" s="12"/>
      <c r="K33" s="12"/>
      <c r="L33" s="12"/>
      <c r="M33" s="11"/>
      <c r="N33" s="11"/>
      <c r="O33" s="11"/>
      <c r="P33" s="11"/>
      <c r="Q33" s="11"/>
      <c r="R33" s="11"/>
      <c r="S33" s="11"/>
      <c r="T33" s="11"/>
      <c r="U33" s="11"/>
      <c r="V33" s="11"/>
      <c r="W33" s="11"/>
      <c r="X33" s="11"/>
      <c r="Y33" s="11"/>
      <c r="Z33" s="11"/>
      <c r="AA33" s="11"/>
      <c r="AB33" s="11"/>
      <c r="AC33" s="11"/>
      <c r="AD33" s="11"/>
    </row>
    <row r="34" spans="1:30" ht="16" x14ac:dyDescent="0.2">
      <c r="A34" s="39" t="s">
        <v>755</v>
      </c>
      <c r="B34" s="40">
        <f>SUM(C5,D6,E7,F8,G9,H10,I11,J12,K13)</f>
        <v>299</v>
      </c>
      <c r="C34" s="19">
        <f>B34/B36</f>
        <v>0.9966666666666667</v>
      </c>
      <c r="D34" s="12"/>
      <c r="E34" s="12"/>
      <c r="F34" s="12"/>
      <c r="G34" s="12"/>
      <c r="H34" s="12"/>
      <c r="I34" s="12"/>
      <c r="J34" s="12"/>
      <c r="K34" s="12"/>
      <c r="L34" s="12"/>
      <c r="M34" s="11"/>
      <c r="N34" s="11"/>
      <c r="O34" s="11"/>
      <c r="P34" s="11"/>
      <c r="Q34" s="11"/>
      <c r="R34" s="11"/>
      <c r="S34" s="11"/>
      <c r="T34" s="11"/>
      <c r="U34" s="11"/>
      <c r="V34" s="11"/>
      <c r="W34" s="11"/>
      <c r="X34" s="11"/>
      <c r="Y34" s="11"/>
      <c r="Z34" s="11"/>
      <c r="AA34" s="11"/>
      <c r="AB34" s="11"/>
      <c r="AC34" s="11"/>
      <c r="AD34" s="11"/>
    </row>
    <row r="35" spans="1:30" ht="16" x14ac:dyDescent="0.2">
      <c r="A35" s="39" t="s">
        <v>754</v>
      </c>
      <c r="B35" s="40">
        <f>SUM(C20,D21,E22,F23,G24,H25,I26,J27,K28)</f>
        <v>73.72</v>
      </c>
      <c r="C35" s="19">
        <f>B35/B36</f>
        <v>0.24573333333333333</v>
      </c>
      <c r="D35" s="12"/>
      <c r="E35" s="12"/>
      <c r="F35" s="12"/>
      <c r="G35" s="12"/>
      <c r="H35" s="12"/>
      <c r="I35" s="12"/>
      <c r="J35" s="12"/>
      <c r="K35" s="12"/>
      <c r="L35" s="12"/>
      <c r="M35" s="11"/>
      <c r="N35" s="11"/>
      <c r="O35" s="11"/>
      <c r="P35" s="11"/>
      <c r="Q35" s="11"/>
      <c r="R35" s="11"/>
      <c r="S35" s="11"/>
      <c r="T35" s="11"/>
      <c r="U35" s="11"/>
      <c r="V35" s="11"/>
      <c r="W35" s="11"/>
      <c r="X35" s="11"/>
      <c r="Y35" s="11"/>
      <c r="Z35" s="11"/>
      <c r="AA35" s="11"/>
      <c r="AB35" s="11"/>
      <c r="AC35" s="11"/>
      <c r="AD35" s="11"/>
    </row>
    <row r="36" spans="1:30" ht="16" x14ac:dyDescent="0.2">
      <c r="A36" s="39" t="s">
        <v>753</v>
      </c>
      <c r="B36" s="40">
        <f>L14</f>
        <v>300</v>
      </c>
      <c r="C36" s="19">
        <v>1</v>
      </c>
      <c r="D36" s="12"/>
      <c r="E36" s="12"/>
      <c r="F36" s="12"/>
      <c r="L36" s="18" t="s">
        <v>752</v>
      </c>
      <c r="M36" s="11"/>
      <c r="N36" s="11"/>
      <c r="O36" s="11"/>
      <c r="P36" s="11"/>
      <c r="Q36" s="11"/>
      <c r="R36" s="11"/>
      <c r="S36" s="11"/>
      <c r="T36" s="11"/>
      <c r="U36" s="11"/>
      <c r="V36" s="11"/>
      <c r="W36" s="11"/>
      <c r="X36" s="11"/>
      <c r="Y36" s="11"/>
      <c r="Z36" s="11"/>
      <c r="AA36" s="11"/>
      <c r="AB36" s="11"/>
      <c r="AC36" s="11"/>
      <c r="AD36" s="11"/>
    </row>
    <row r="37" spans="1:30" ht="16" x14ac:dyDescent="0.2">
      <c r="A37" s="37" t="s">
        <v>751</v>
      </c>
      <c r="B37" s="38">
        <f>(B34-B35)/(B36-B35)</f>
        <v>0.99558069648223435</v>
      </c>
      <c r="C37" s="38">
        <f>(C34-C35)/(C36-C35)</f>
        <v>0.99558069648223446</v>
      </c>
      <c r="D37" s="17"/>
      <c r="E37" s="17"/>
      <c r="F37" s="17"/>
      <c r="L37" s="16" t="s">
        <v>750</v>
      </c>
      <c r="M37" s="15"/>
      <c r="N37" s="15"/>
      <c r="O37" s="15"/>
      <c r="P37" s="15"/>
      <c r="Q37" s="15"/>
      <c r="R37" s="15"/>
      <c r="S37" s="15"/>
      <c r="T37" s="15"/>
      <c r="U37" s="15"/>
      <c r="V37" s="15"/>
      <c r="W37" s="15"/>
      <c r="X37" s="15"/>
      <c r="Y37" s="15"/>
      <c r="Z37" s="15"/>
      <c r="AA37" s="15"/>
      <c r="AB37" s="15"/>
      <c r="AC37" s="15"/>
      <c r="AD37" s="15"/>
    </row>
    <row r="38" spans="1:30" ht="16" x14ac:dyDescent="0.2">
      <c r="A38" s="11"/>
      <c r="B38" s="12"/>
      <c r="C38" s="12"/>
      <c r="D38" s="12"/>
      <c r="E38" s="12"/>
      <c r="F38" s="12"/>
      <c r="G38" s="12"/>
      <c r="H38" s="12"/>
      <c r="I38" s="12"/>
      <c r="J38" s="12"/>
      <c r="K38" s="12"/>
      <c r="L38" s="12"/>
      <c r="M38" s="11"/>
      <c r="N38" s="11"/>
      <c r="O38" s="11"/>
      <c r="P38" s="11"/>
      <c r="Q38" s="11"/>
      <c r="R38" s="11"/>
      <c r="S38" s="11"/>
      <c r="T38" s="11"/>
      <c r="U38" s="11"/>
      <c r="V38" s="11"/>
      <c r="W38" s="11"/>
      <c r="X38" s="11"/>
      <c r="Y38" s="11"/>
      <c r="Z38" s="11"/>
      <c r="AA38" s="11"/>
      <c r="AB38" s="11"/>
      <c r="AC38" s="11"/>
      <c r="AD38" s="11"/>
    </row>
    <row r="39" spans="1:30" ht="16" x14ac:dyDescent="0.2">
      <c r="A39" s="14"/>
      <c r="B39" s="13"/>
      <c r="C39" s="13"/>
      <c r="D39" s="13"/>
      <c r="E39" s="13"/>
      <c r="F39" s="13"/>
      <c r="G39" s="13"/>
      <c r="H39" s="13"/>
      <c r="I39" s="13"/>
      <c r="J39" s="13"/>
      <c r="K39" s="13"/>
      <c r="L39" s="13"/>
      <c r="M39" s="11"/>
      <c r="N39" s="11"/>
      <c r="O39" s="11"/>
      <c r="P39" s="11"/>
      <c r="Q39" s="11"/>
      <c r="R39" s="11"/>
      <c r="S39" s="11"/>
      <c r="T39" s="11"/>
      <c r="U39" s="11"/>
      <c r="V39" s="11"/>
      <c r="W39" s="11"/>
      <c r="X39" s="11"/>
      <c r="Y39" s="11"/>
      <c r="Z39" s="11"/>
      <c r="AA39" s="11"/>
      <c r="AB39" s="11"/>
      <c r="AC39" s="11"/>
      <c r="AD39" s="11"/>
    </row>
    <row r="40" spans="1:30" ht="16" x14ac:dyDescent="0.2">
      <c r="A40" s="11"/>
      <c r="B40" s="12"/>
      <c r="C40" s="12"/>
      <c r="D40" s="12"/>
      <c r="E40" s="12"/>
      <c r="F40" s="12"/>
      <c r="G40" s="12"/>
      <c r="H40" s="12"/>
      <c r="I40" s="12"/>
      <c r="J40" s="12"/>
      <c r="K40" s="12"/>
      <c r="L40" s="12"/>
      <c r="M40" s="11"/>
      <c r="N40" s="11"/>
      <c r="O40" s="11"/>
      <c r="P40" s="11"/>
      <c r="Q40" s="11"/>
      <c r="R40" s="11"/>
      <c r="S40" s="11"/>
      <c r="T40" s="11"/>
      <c r="U40" s="11"/>
      <c r="V40" s="11"/>
      <c r="W40" s="11"/>
      <c r="X40" s="11"/>
      <c r="Y40" s="11"/>
      <c r="Z40" s="11"/>
      <c r="AA40" s="11"/>
      <c r="AB40" s="11"/>
      <c r="AC40" s="11"/>
      <c r="AD40" s="11"/>
    </row>
    <row r="41" spans="1:30" ht="16" x14ac:dyDescent="0.2">
      <c r="A41" s="11"/>
      <c r="B41" s="12"/>
      <c r="C41" s="12"/>
      <c r="D41" s="12"/>
      <c r="E41" s="12"/>
      <c r="F41" s="12"/>
      <c r="G41" s="12"/>
      <c r="H41" s="12"/>
      <c r="I41" s="12"/>
      <c r="J41" s="12"/>
      <c r="K41" s="12"/>
      <c r="L41" s="12"/>
      <c r="M41" s="11"/>
      <c r="N41" s="11"/>
      <c r="O41" s="11"/>
      <c r="P41" s="11"/>
      <c r="Q41" s="11"/>
      <c r="R41" s="11"/>
      <c r="S41" s="11"/>
      <c r="T41" s="11"/>
      <c r="U41" s="11"/>
      <c r="V41" s="11"/>
      <c r="W41" s="11"/>
      <c r="X41" s="11"/>
      <c r="Y41" s="11"/>
      <c r="Z41" s="11"/>
      <c r="AA41" s="11"/>
      <c r="AB41" s="11"/>
      <c r="AC41" s="11"/>
      <c r="AD41" s="11"/>
    </row>
    <row r="42" spans="1:30" ht="16" x14ac:dyDescent="0.2">
      <c r="A42" s="25" t="s">
        <v>765</v>
      </c>
      <c r="B42" s="25" t="s">
        <v>749</v>
      </c>
      <c r="C42"/>
      <c r="D42"/>
      <c r="E42"/>
      <c r="F42"/>
      <c r="G42"/>
      <c r="H42"/>
      <c r="I42"/>
      <c r="J42"/>
      <c r="K42"/>
      <c r="L42" s="28"/>
      <c r="M42" s="28"/>
      <c r="N42"/>
      <c r="O42" s="11"/>
      <c r="P42" s="11"/>
      <c r="Q42" s="11"/>
      <c r="R42" s="11"/>
      <c r="S42" s="11"/>
      <c r="T42" s="11"/>
      <c r="U42" s="11"/>
      <c r="V42" s="11"/>
      <c r="W42" s="11"/>
      <c r="X42" s="11"/>
      <c r="Y42" s="11"/>
      <c r="Z42" s="11"/>
      <c r="AA42" s="11"/>
      <c r="AB42" s="11"/>
      <c r="AC42" s="11"/>
      <c r="AD42" s="11"/>
    </row>
    <row r="43" spans="1:30" ht="16" x14ac:dyDescent="0.2">
      <c r="A43" s="25" t="s">
        <v>748</v>
      </c>
      <c r="B43" t="s">
        <v>733</v>
      </c>
      <c r="C43" t="s">
        <v>735</v>
      </c>
      <c r="D43" t="s">
        <v>740</v>
      </c>
      <c r="E43" t="s">
        <v>742</v>
      </c>
      <c r="F43" t="s">
        <v>743</v>
      </c>
      <c r="G43" t="s">
        <v>738</v>
      </c>
      <c r="H43" t="s">
        <v>741</v>
      </c>
      <c r="I43" t="s">
        <v>736</v>
      </c>
      <c r="J43" t="s">
        <v>734</v>
      </c>
      <c r="K43" t="s">
        <v>747</v>
      </c>
      <c r="L43" s="28"/>
      <c r="M43" s="28"/>
      <c r="N43"/>
      <c r="O43" s="11"/>
      <c r="P43" s="11"/>
      <c r="Q43" s="11"/>
      <c r="R43" s="11"/>
      <c r="S43" s="11"/>
      <c r="T43" s="11"/>
      <c r="U43" s="11"/>
      <c r="V43" s="11"/>
      <c r="W43" s="11"/>
      <c r="X43" s="11"/>
      <c r="Y43" s="11"/>
      <c r="Z43" s="11"/>
      <c r="AA43" s="11"/>
      <c r="AB43" s="11"/>
      <c r="AC43" s="11"/>
      <c r="AD43" s="11"/>
    </row>
    <row r="44" spans="1:30" ht="16" x14ac:dyDescent="0.2">
      <c r="A44" s="26" t="s">
        <v>733</v>
      </c>
      <c r="B44" s="27">
        <v>29</v>
      </c>
      <c r="C44" s="27"/>
      <c r="D44" s="27"/>
      <c r="E44" s="27"/>
      <c r="F44" s="27"/>
      <c r="G44" s="27"/>
      <c r="H44" s="27"/>
      <c r="I44" s="27"/>
      <c r="J44" s="27">
        <v>1</v>
      </c>
      <c r="K44" s="27">
        <v>30</v>
      </c>
      <c r="L44" s="28"/>
      <c r="M44" s="28"/>
      <c r="N44"/>
      <c r="O44" s="11"/>
      <c r="P44" s="11"/>
      <c r="Q44" s="11"/>
      <c r="R44" s="11"/>
      <c r="S44" s="11"/>
      <c r="T44" s="11"/>
      <c r="U44" s="11"/>
      <c r="V44" s="11"/>
      <c r="W44" s="11"/>
      <c r="X44" s="11"/>
      <c r="Y44" s="11"/>
      <c r="Z44" s="11"/>
      <c r="AA44" s="11"/>
      <c r="AB44" s="11"/>
      <c r="AC44" s="11"/>
      <c r="AD44" s="11"/>
    </row>
    <row r="45" spans="1:30" ht="16" x14ac:dyDescent="0.2">
      <c r="A45" s="26" t="s">
        <v>735</v>
      </c>
      <c r="B45" s="27"/>
      <c r="C45" s="27">
        <v>20</v>
      </c>
      <c r="D45" s="27"/>
      <c r="E45" s="27"/>
      <c r="F45" s="27"/>
      <c r="G45" s="27"/>
      <c r="H45" s="27"/>
      <c r="I45" s="27"/>
      <c r="J45" s="27"/>
      <c r="K45" s="27">
        <v>20</v>
      </c>
      <c r="L45" s="28"/>
      <c r="M45" s="28"/>
      <c r="N45"/>
      <c r="O45" s="11"/>
      <c r="P45" s="11"/>
      <c r="Q45" s="11"/>
      <c r="R45" s="11"/>
      <c r="S45" s="11"/>
      <c r="T45" s="11"/>
      <c r="U45" s="11"/>
      <c r="V45" s="11"/>
      <c r="W45" s="11"/>
      <c r="X45" s="11"/>
      <c r="Y45" s="11"/>
      <c r="Z45" s="11"/>
      <c r="AA45" s="11"/>
      <c r="AB45" s="11"/>
      <c r="AC45" s="11"/>
      <c r="AD45" s="11"/>
    </row>
    <row r="46" spans="1:30" ht="16" x14ac:dyDescent="0.2">
      <c r="A46" s="26" t="s">
        <v>740</v>
      </c>
      <c r="B46" s="27"/>
      <c r="C46" s="27"/>
      <c r="D46" s="27">
        <v>2</v>
      </c>
      <c r="E46" s="27"/>
      <c r="F46" s="27"/>
      <c r="G46" s="27"/>
      <c r="H46" s="27"/>
      <c r="I46" s="27"/>
      <c r="J46" s="27"/>
      <c r="K46" s="27">
        <v>2</v>
      </c>
      <c r="L46" s="28"/>
      <c r="M46" s="28"/>
      <c r="N46"/>
      <c r="O46" s="11"/>
      <c r="P46" s="11"/>
      <c r="Q46" s="11"/>
      <c r="R46" s="11"/>
      <c r="S46" s="11"/>
      <c r="T46" s="11"/>
      <c r="U46" s="11"/>
      <c r="V46" s="11"/>
      <c r="W46" s="11"/>
      <c r="X46" s="11"/>
      <c r="Y46" s="11"/>
      <c r="Z46" s="11"/>
      <c r="AA46" s="11"/>
      <c r="AB46" s="11"/>
      <c r="AC46" s="11"/>
      <c r="AD46" s="11"/>
    </row>
    <row r="47" spans="1:30" ht="16" x14ac:dyDescent="0.2">
      <c r="A47" s="26" t="s">
        <v>742</v>
      </c>
      <c r="B47" s="27"/>
      <c r="C47" s="27"/>
      <c r="D47" s="27"/>
      <c r="E47" s="27">
        <v>86</v>
      </c>
      <c r="F47" s="27"/>
      <c r="G47" s="27"/>
      <c r="H47" s="27"/>
      <c r="I47" s="27"/>
      <c r="J47" s="27"/>
      <c r="K47" s="27">
        <v>86</v>
      </c>
      <c r="L47" s="28"/>
      <c r="M47" s="28"/>
      <c r="N47"/>
      <c r="O47" s="11"/>
      <c r="P47" s="11"/>
      <c r="Q47" s="11"/>
      <c r="R47" s="11"/>
      <c r="S47" s="11"/>
      <c r="T47" s="11"/>
      <c r="U47" s="11"/>
      <c r="V47" s="11"/>
      <c r="W47" s="11"/>
      <c r="X47" s="11"/>
      <c r="Y47" s="11"/>
      <c r="Z47" s="11"/>
      <c r="AA47" s="11"/>
      <c r="AB47" s="11"/>
      <c r="AC47" s="11"/>
      <c r="AD47" s="11"/>
    </row>
    <row r="48" spans="1:30" ht="16" x14ac:dyDescent="0.2">
      <c r="A48" s="26" t="s">
        <v>743</v>
      </c>
      <c r="B48" s="27"/>
      <c r="C48" s="27"/>
      <c r="D48" s="27"/>
      <c r="E48" s="27"/>
      <c r="F48" s="27">
        <v>1</v>
      </c>
      <c r="G48" s="27"/>
      <c r="H48" s="27"/>
      <c r="I48" s="27"/>
      <c r="J48" s="27"/>
      <c r="K48" s="27">
        <v>1</v>
      </c>
      <c r="L48" s="28"/>
      <c r="M48" s="28"/>
      <c r="N48"/>
      <c r="O48" s="11"/>
      <c r="P48" s="11"/>
      <c r="Q48" s="11"/>
      <c r="R48" s="11"/>
      <c r="S48" s="11"/>
      <c r="T48" s="11"/>
      <c r="U48" s="11"/>
      <c r="V48" s="11"/>
      <c r="W48" s="11"/>
      <c r="X48" s="11"/>
      <c r="Y48" s="11"/>
      <c r="Z48" s="11"/>
      <c r="AA48" s="11"/>
      <c r="AB48" s="11"/>
      <c r="AC48" s="11"/>
      <c r="AD48" s="11"/>
    </row>
    <row r="49" spans="1:30" ht="16" x14ac:dyDescent="0.2">
      <c r="A49" s="26" t="s">
        <v>738</v>
      </c>
      <c r="B49" s="27"/>
      <c r="C49" s="27"/>
      <c r="D49" s="27"/>
      <c r="E49" s="27"/>
      <c r="F49" s="27"/>
      <c r="G49" s="27">
        <v>20</v>
      </c>
      <c r="H49" s="27"/>
      <c r="I49" s="27"/>
      <c r="J49" s="27"/>
      <c r="K49" s="27">
        <v>20</v>
      </c>
      <c r="L49" s="28"/>
      <c r="M49" s="28"/>
      <c r="N49"/>
      <c r="O49" s="11"/>
      <c r="P49" s="11"/>
      <c r="Q49" s="11"/>
      <c r="R49" s="11"/>
      <c r="S49" s="11"/>
      <c r="T49" s="11"/>
      <c r="U49" s="11"/>
      <c r="V49" s="11"/>
      <c r="W49" s="11"/>
      <c r="X49" s="11"/>
      <c r="Y49" s="11"/>
      <c r="Z49" s="11"/>
      <c r="AA49" s="11"/>
      <c r="AB49" s="11"/>
      <c r="AC49" s="11"/>
      <c r="AD49" s="11"/>
    </row>
    <row r="50" spans="1:30" ht="16" x14ac:dyDescent="0.2">
      <c r="A50" s="26" t="s">
        <v>741</v>
      </c>
      <c r="B50" s="27"/>
      <c r="C50" s="27"/>
      <c r="D50" s="27"/>
      <c r="E50" s="27"/>
      <c r="F50" s="27"/>
      <c r="G50" s="27"/>
      <c r="H50" s="27">
        <v>9</v>
      </c>
      <c r="I50" s="27"/>
      <c r="J50" s="27"/>
      <c r="K50" s="27">
        <v>9</v>
      </c>
      <c r="L50" s="28"/>
      <c r="M50" s="28"/>
      <c r="N50"/>
      <c r="O50" s="11"/>
      <c r="P50" s="11"/>
      <c r="Q50" s="11"/>
      <c r="R50" s="11"/>
      <c r="S50" s="11"/>
      <c r="T50" s="11"/>
      <c r="U50" s="11"/>
      <c r="V50" s="11"/>
      <c r="W50" s="11"/>
      <c r="X50" s="11"/>
      <c r="Y50" s="11"/>
      <c r="Z50" s="11"/>
      <c r="AA50" s="11"/>
      <c r="AB50" s="11"/>
      <c r="AC50" s="11"/>
      <c r="AD50" s="11"/>
    </row>
    <row r="51" spans="1:30" ht="16" x14ac:dyDescent="0.2">
      <c r="A51" s="26" t="s">
        <v>736</v>
      </c>
      <c r="B51" s="27"/>
      <c r="C51" s="27"/>
      <c r="D51" s="27"/>
      <c r="E51" s="27"/>
      <c r="F51" s="27"/>
      <c r="G51" s="27"/>
      <c r="H51" s="27"/>
      <c r="I51" s="27">
        <v>112</v>
      </c>
      <c r="J51" s="27"/>
      <c r="K51" s="27">
        <v>112</v>
      </c>
      <c r="L51" s="28"/>
      <c r="M51" s="28"/>
      <c r="N51"/>
      <c r="O51" s="11"/>
      <c r="P51" s="11"/>
      <c r="Q51" s="11"/>
      <c r="R51" s="11"/>
      <c r="S51" s="11"/>
      <c r="T51" s="11"/>
      <c r="U51" s="11"/>
      <c r="V51" s="11"/>
      <c r="W51" s="11"/>
      <c r="X51" s="11"/>
      <c r="Y51" s="11"/>
      <c r="Z51" s="11"/>
      <c r="AA51" s="11"/>
      <c r="AB51" s="11"/>
      <c r="AC51" s="11"/>
      <c r="AD51" s="11"/>
    </row>
    <row r="52" spans="1:30" ht="16" x14ac:dyDescent="0.2">
      <c r="A52" s="26" t="s">
        <v>734</v>
      </c>
      <c r="B52" s="27"/>
      <c r="C52" s="27"/>
      <c r="D52" s="27"/>
      <c r="E52" s="27"/>
      <c r="F52" s="27"/>
      <c r="G52" s="27"/>
      <c r="H52" s="27"/>
      <c r="I52" s="27"/>
      <c r="J52" s="27">
        <v>20</v>
      </c>
      <c r="K52" s="27">
        <v>20</v>
      </c>
      <c r="L52" s="28"/>
      <c r="M52" s="28"/>
      <c r="N52"/>
      <c r="O52" s="11"/>
      <c r="P52" s="11"/>
      <c r="Q52" s="11"/>
      <c r="R52" s="11"/>
      <c r="S52" s="11"/>
      <c r="T52" s="11"/>
      <c r="U52" s="11"/>
      <c r="V52" s="11"/>
      <c r="W52" s="11"/>
      <c r="X52" s="11"/>
      <c r="Y52" s="11"/>
      <c r="Z52" s="11"/>
      <c r="AA52" s="11"/>
      <c r="AB52" s="11"/>
      <c r="AC52" s="11"/>
      <c r="AD52" s="11"/>
    </row>
    <row r="53" spans="1:30" ht="16" x14ac:dyDescent="0.2">
      <c r="A53" s="26" t="s">
        <v>747</v>
      </c>
      <c r="B53" s="27">
        <v>29</v>
      </c>
      <c r="C53" s="27">
        <v>20</v>
      </c>
      <c r="D53" s="27">
        <v>2</v>
      </c>
      <c r="E53" s="27">
        <v>86</v>
      </c>
      <c r="F53" s="27">
        <v>1</v>
      </c>
      <c r="G53" s="27">
        <v>20</v>
      </c>
      <c r="H53" s="27">
        <v>9</v>
      </c>
      <c r="I53" s="27">
        <v>112</v>
      </c>
      <c r="J53" s="27">
        <v>21</v>
      </c>
      <c r="K53" s="27">
        <v>300</v>
      </c>
      <c r="L53" s="28"/>
      <c r="M53" s="28"/>
      <c r="N53"/>
      <c r="O53" s="11"/>
      <c r="P53" s="11"/>
      <c r="Q53" s="11"/>
      <c r="R53" s="11"/>
      <c r="S53" s="11"/>
      <c r="T53" s="11"/>
      <c r="U53" s="11"/>
      <c r="V53" s="11"/>
      <c r="W53" s="11"/>
      <c r="X53" s="11"/>
      <c r="Y53" s="11"/>
      <c r="Z53" s="11"/>
      <c r="AA53" s="11"/>
      <c r="AB53" s="11"/>
      <c r="AC53" s="11"/>
      <c r="AD53" s="11"/>
    </row>
    <row r="54" spans="1:30" ht="16" x14ac:dyDescent="0.2">
      <c r="A54"/>
      <c r="B54"/>
      <c r="C54"/>
      <c r="D54" s="28"/>
      <c r="E54" s="28"/>
      <c r="F54" s="28"/>
      <c r="G54" s="28"/>
      <c r="H54" s="28"/>
      <c r="I54" s="28"/>
      <c r="J54" s="28"/>
      <c r="K54" s="28"/>
      <c r="L54" s="28"/>
      <c r="M54" s="28"/>
      <c r="N54"/>
      <c r="O54" s="11"/>
      <c r="P54" s="11"/>
      <c r="Q54" s="11"/>
      <c r="R54" s="11"/>
      <c r="S54" s="11"/>
      <c r="T54" s="11"/>
      <c r="U54" s="11"/>
      <c r="V54" s="11"/>
      <c r="W54" s="11"/>
      <c r="X54" s="11"/>
      <c r="Y54" s="11"/>
      <c r="Z54" s="11"/>
      <c r="AA54" s="11"/>
      <c r="AB54" s="11"/>
      <c r="AC54" s="11"/>
      <c r="AD54" s="11"/>
    </row>
    <row r="55" spans="1:30" ht="16" x14ac:dyDescent="0.2">
      <c r="A55" t="s">
        <v>748</v>
      </c>
      <c r="B55" t="s">
        <v>733</v>
      </c>
      <c r="C55" t="s">
        <v>735</v>
      </c>
      <c r="D55" s="29" t="s">
        <v>740</v>
      </c>
      <c r="E55" s="29" t="s">
        <v>742</v>
      </c>
      <c r="F55" s="29" t="s">
        <v>743</v>
      </c>
      <c r="G55" s="29" t="s">
        <v>738</v>
      </c>
      <c r="H55" s="29" t="s">
        <v>741</v>
      </c>
      <c r="I55" s="29" t="s">
        <v>736</v>
      </c>
      <c r="J55" s="29" t="s">
        <v>734</v>
      </c>
      <c r="K55" s="29" t="s">
        <v>747</v>
      </c>
      <c r="L55" s="29"/>
      <c r="M55" s="29"/>
      <c r="N55" s="11"/>
      <c r="O55" s="11"/>
      <c r="P55" s="11"/>
      <c r="Q55" s="11"/>
      <c r="R55" s="11"/>
      <c r="S55" s="11"/>
      <c r="T55" s="11"/>
      <c r="U55" s="11"/>
      <c r="V55" s="11"/>
      <c r="W55" s="11"/>
      <c r="X55" s="11"/>
      <c r="Y55" s="11"/>
      <c r="Z55" s="11"/>
      <c r="AA55" s="11"/>
      <c r="AB55" s="11"/>
      <c r="AC55" s="11"/>
      <c r="AD55" s="11"/>
    </row>
    <row r="56" spans="1:30" ht="16" x14ac:dyDescent="0.2">
      <c r="A56" t="s">
        <v>733</v>
      </c>
      <c r="B56">
        <v>29</v>
      </c>
      <c r="C56"/>
      <c r="D56" s="30"/>
      <c r="E56" s="30"/>
      <c r="F56" s="30"/>
      <c r="G56" s="30"/>
      <c r="H56" s="30"/>
      <c r="I56" s="30"/>
      <c r="J56" s="30">
        <v>1</v>
      </c>
      <c r="K56" s="30">
        <v>30</v>
      </c>
      <c r="L56" s="30"/>
      <c r="M56" s="30"/>
      <c r="N56" s="11"/>
      <c r="O56" s="11"/>
      <c r="P56" s="11"/>
      <c r="Q56" s="11"/>
      <c r="R56" s="11"/>
      <c r="S56" s="11"/>
      <c r="T56" s="11"/>
      <c r="U56" s="11"/>
      <c r="V56" s="11"/>
      <c r="W56" s="11"/>
      <c r="X56" s="11"/>
      <c r="Y56" s="11"/>
      <c r="Z56" s="11"/>
      <c r="AA56" s="11"/>
      <c r="AB56" s="11"/>
      <c r="AC56" s="11"/>
      <c r="AD56" s="11"/>
    </row>
    <row r="57" spans="1:30" ht="16" x14ac:dyDescent="0.2">
      <c r="A57" t="s">
        <v>735</v>
      </c>
      <c r="B57"/>
      <c r="C57">
        <v>20</v>
      </c>
      <c r="D57" s="30"/>
      <c r="E57" s="30"/>
      <c r="F57" s="30"/>
      <c r="G57" s="30"/>
      <c r="H57" s="30"/>
      <c r="I57" s="30"/>
      <c r="J57" s="30"/>
      <c r="K57" s="30">
        <v>20</v>
      </c>
      <c r="L57" s="30"/>
      <c r="M57" s="30"/>
      <c r="N57" s="11"/>
      <c r="O57" s="11"/>
      <c r="P57" s="11"/>
      <c r="Q57" s="11"/>
      <c r="R57" s="11"/>
      <c r="S57" s="11"/>
      <c r="T57" s="11"/>
      <c r="U57" s="11"/>
      <c r="V57" s="11"/>
      <c r="W57" s="11"/>
      <c r="X57" s="11"/>
      <c r="Y57" s="11"/>
      <c r="Z57" s="11"/>
      <c r="AA57" s="11"/>
      <c r="AB57" s="11"/>
      <c r="AC57" s="11"/>
      <c r="AD57" s="11"/>
    </row>
    <row r="58" spans="1:30" ht="16" x14ac:dyDescent="0.2">
      <c r="A58" t="s">
        <v>740</v>
      </c>
      <c r="B58"/>
      <c r="C58"/>
      <c r="D58" s="30">
        <v>2</v>
      </c>
      <c r="E58" s="30"/>
      <c r="F58" s="30"/>
      <c r="G58" s="30"/>
      <c r="H58" s="30"/>
      <c r="I58" s="30"/>
      <c r="J58" s="30"/>
      <c r="K58" s="30">
        <v>2</v>
      </c>
      <c r="L58" s="30"/>
      <c r="M58" s="30"/>
      <c r="N58" s="11"/>
      <c r="O58" s="11"/>
      <c r="P58" s="11"/>
      <c r="Q58" s="11"/>
      <c r="R58" s="11"/>
      <c r="S58" s="11"/>
      <c r="T58" s="11"/>
      <c r="U58" s="11"/>
      <c r="V58" s="11"/>
      <c r="W58" s="11"/>
      <c r="X58" s="11"/>
      <c r="Y58" s="11"/>
      <c r="Z58" s="11"/>
      <c r="AA58" s="11"/>
      <c r="AB58" s="11"/>
      <c r="AC58" s="11"/>
      <c r="AD58" s="11"/>
    </row>
    <row r="59" spans="1:30" ht="16" x14ac:dyDescent="0.2">
      <c r="A59" t="s">
        <v>742</v>
      </c>
      <c r="B59"/>
      <c r="C59"/>
      <c r="D59" s="30"/>
      <c r="E59" s="30">
        <v>86</v>
      </c>
      <c r="F59" s="30"/>
      <c r="G59" s="30"/>
      <c r="H59" s="30"/>
      <c r="I59" s="30"/>
      <c r="J59" s="30"/>
      <c r="K59" s="30">
        <v>86</v>
      </c>
      <c r="L59" s="30"/>
      <c r="M59" s="30"/>
      <c r="N59" s="11"/>
      <c r="O59" s="11"/>
      <c r="P59" s="11"/>
      <c r="Q59" s="11"/>
      <c r="R59" s="11"/>
      <c r="S59" s="11"/>
      <c r="T59" s="11"/>
      <c r="U59" s="11"/>
      <c r="V59" s="11"/>
      <c r="W59" s="11"/>
      <c r="X59" s="11"/>
      <c r="Y59" s="11"/>
      <c r="Z59" s="11"/>
      <c r="AA59" s="11"/>
      <c r="AB59" s="11"/>
      <c r="AC59" s="11"/>
      <c r="AD59" s="11"/>
    </row>
    <row r="60" spans="1:30" ht="16" x14ac:dyDescent="0.2">
      <c r="A60" s="31" t="s">
        <v>743</v>
      </c>
      <c r="B60" s="30"/>
      <c r="C60" s="30"/>
      <c r="D60" s="30"/>
      <c r="E60" s="30"/>
      <c r="F60" s="30">
        <v>1</v>
      </c>
      <c r="G60" s="30"/>
      <c r="H60" s="30"/>
      <c r="I60" s="30"/>
      <c r="J60" s="30"/>
      <c r="K60" s="30">
        <v>1</v>
      </c>
      <c r="L60" s="30"/>
      <c r="M60" s="30"/>
      <c r="N60" s="11"/>
      <c r="O60" s="11"/>
      <c r="P60" s="11"/>
      <c r="Q60" s="11"/>
      <c r="R60" s="11"/>
      <c r="S60" s="11"/>
      <c r="T60" s="11"/>
      <c r="U60" s="11"/>
      <c r="V60" s="11"/>
      <c r="W60" s="11"/>
      <c r="X60" s="11"/>
      <c r="Y60" s="11"/>
      <c r="Z60" s="11"/>
      <c r="AA60" s="11"/>
      <c r="AB60" s="11"/>
      <c r="AC60" s="11"/>
      <c r="AD60" s="11"/>
    </row>
    <row r="61" spans="1:30" ht="16" x14ac:dyDescent="0.2">
      <c r="A61" s="31" t="s">
        <v>738</v>
      </c>
      <c r="B61" s="30"/>
      <c r="C61" s="30"/>
      <c r="D61" s="30"/>
      <c r="E61" s="30"/>
      <c r="F61" s="30"/>
      <c r="G61" s="30">
        <v>20</v>
      </c>
      <c r="H61" s="30"/>
      <c r="I61" s="30"/>
      <c r="J61" s="30"/>
      <c r="K61" s="30">
        <v>20</v>
      </c>
      <c r="L61" s="30"/>
      <c r="M61" s="30"/>
      <c r="N61" s="11"/>
      <c r="O61" s="11"/>
      <c r="P61" s="11"/>
      <c r="Q61" s="11"/>
      <c r="R61" s="11"/>
      <c r="S61" s="11"/>
      <c r="T61" s="11"/>
      <c r="U61" s="11"/>
      <c r="V61" s="11"/>
      <c r="W61" s="11"/>
      <c r="X61" s="11"/>
      <c r="Y61" s="11"/>
      <c r="Z61" s="11"/>
      <c r="AA61" s="11"/>
      <c r="AB61" s="11"/>
      <c r="AC61" s="11"/>
      <c r="AD61" s="11"/>
    </row>
    <row r="62" spans="1:30" ht="16" x14ac:dyDescent="0.2">
      <c r="A62" s="31" t="s">
        <v>741</v>
      </c>
      <c r="B62" s="30"/>
      <c r="C62" s="30"/>
      <c r="D62" s="30"/>
      <c r="E62" s="30"/>
      <c r="F62" s="30"/>
      <c r="G62" s="30"/>
      <c r="H62" s="30">
        <v>9</v>
      </c>
      <c r="I62" s="30"/>
      <c r="J62" s="30"/>
      <c r="K62" s="30">
        <v>9</v>
      </c>
      <c r="L62" s="30"/>
      <c r="M62" s="30"/>
      <c r="N62" s="11"/>
      <c r="O62" s="11"/>
      <c r="P62" s="11"/>
      <c r="Q62" s="11"/>
      <c r="R62" s="11"/>
      <c r="S62" s="11"/>
      <c r="T62" s="11"/>
      <c r="U62" s="11"/>
      <c r="V62" s="11"/>
      <c r="W62" s="11"/>
      <c r="X62" s="11"/>
      <c r="Y62" s="11"/>
      <c r="Z62" s="11"/>
      <c r="AA62" s="11"/>
      <c r="AB62" s="11"/>
      <c r="AC62" s="11"/>
      <c r="AD62" s="11"/>
    </row>
    <row r="63" spans="1:30" ht="16" x14ac:dyDescent="0.2">
      <c r="A63" s="31" t="s">
        <v>736</v>
      </c>
      <c r="B63" s="30"/>
      <c r="C63" s="30"/>
      <c r="D63" s="30"/>
      <c r="E63" s="30"/>
      <c r="F63" s="30"/>
      <c r="G63" s="30"/>
      <c r="H63" s="30"/>
      <c r="I63" s="30">
        <v>112</v>
      </c>
      <c r="J63" s="30"/>
      <c r="K63" s="30">
        <v>112</v>
      </c>
      <c r="L63" s="30"/>
      <c r="M63" s="30"/>
      <c r="N63" s="11"/>
      <c r="O63" s="11"/>
      <c r="P63" s="11"/>
      <c r="Q63" s="11"/>
      <c r="R63" s="11"/>
      <c r="S63" s="11"/>
      <c r="T63" s="11"/>
      <c r="U63" s="11"/>
      <c r="V63" s="11"/>
      <c r="W63" s="11"/>
      <c r="X63" s="11"/>
      <c r="Y63" s="11"/>
      <c r="Z63" s="11"/>
      <c r="AA63" s="11"/>
      <c r="AB63" s="11"/>
      <c r="AC63" s="11"/>
      <c r="AD63" s="11"/>
    </row>
    <row r="64" spans="1:30" ht="16" x14ac:dyDescent="0.2">
      <c r="A64" s="31" t="s">
        <v>734</v>
      </c>
      <c r="B64" s="30"/>
      <c r="C64" s="30"/>
      <c r="D64" s="30"/>
      <c r="E64" s="30"/>
      <c r="F64" s="30"/>
      <c r="G64" s="30"/>
      <c r="H64" s="30"/>
      <c r="I64" s="30"/>
      <c r="J64" s="30">
        <v>20</v>
      </c>
      <c r="K64" s="30">
        <v>20</v>
      </c>
      <c r="L64" s="30"/>
      <c r="M64" s="30"/>
      <c r="N64" s="11"/>
      <c r="O64" s="11"/>
      <c r="P64" s="11"/>
      <c r="Q64" s="11"/>
      <c r="R64" s="11"/>
      <c r="S64" s="11"/>
      <c r="T64" s="11"/>
      <c r="U64" s="11"/>
      <c r="V64" s="11"/>
      <c r="W64" s="11"/>
      <c r="X64" s="11"/>
      <c r="Y64" s="11"/>
      <c r="Z64" s="11"/>
      <c r="AA64" s="11"/>
      <c r="AB64" s="11"/>
      <c r="AC64" s="11"/>
      <c r="AD64" s="11"/>
    </row>
    <row r="65" spans="1:30" ht="16" x14ac:dyDescent="0.2">
      <c r="A65" s="32" t="s">
        <v>747</v>
      </c>
      <c r="B65" s="33">
        <v>29</v>
      </c>
      <c r="C65" s="33">
        <v>20</v>
      </c>
      <c r="D65" s="33">
        <v>2</v>
      </c>
      <c r="E65" s="33">
        <v>86</v>
      </c>
      <c r="F65" s="33">
        <v>1</v>
      </c>
      <c r="G65" s="33">
        <v>20</v>
      </c>
      <c r="H65" s="33">
        <v>9</v>
      </c>
      <c r="I65" s="33">
        <v>112</v>
      </c>
      <c r="J65" s="33">
        <v>21</v>
      </c>
      <c r="K65" s="33">
        <v>300</v>
      </c>
      <c r="L65" s="33"/>
      <c r="M65" s="33"/>
      <c r="N65" s="11"/>
      <c r="O65" s="11"/>
      <c r="P65" s="11"/>
      <c r="Q65" s="11"/>
      <c r="R65" s="11"/>
      <c r="S65" s="11"/>
      <c r="T65" s="11"/>
      <c r="U65" s="11"/>
      <c r="V65" s="11"/>
      <c r="W65" s="11"/>
      <c r="X65" s="11"/>
      <c r="Y65" s="11"/>
      <c r="Z65" s="11"/>
      <c r="AA65" s="11"/>
      <c r="AB65" s="11"/>
      <c r="AC65" s="11"/>
      <c r="AD65" s="11"/>
    </row>
    <row r="66" spans="1:30" ht="16" x14ac:dyDescent="0.2">
      <c r="A66" s="34"/>
      <c r="B66" s="35"/>
      <c r="C66" s="35"/>
      <c r="D66" s="35"/>
      <c r="E66" s="35"/>
      <c r="F66" s="35"/>
      <c r="G66" s="35"/>
      <c r="H66" s="35"/>
      <c r="I66" s="35"/>
      <c r="J66" s="35"/>
      <c r="K66" s="35"/>
      <c r="L66" s="35"/>
      <c r="M66" s="34"/>
      <c r="N66" s="11"/>
      <c r="O66" s="11"/>
      <c r="P66" s="11"/>
      <c r="Q66" s="11"/>
      <c r="R66" s="11"/>
      <c r="S66" s="11"/>
      <c r="T66" s="11"/>
      <c r="U66" s="11"/>
      <c r="V66" s="11"/>
      <c r="W66" s="11"/>
      <c r="X66" s="11"/>
      <c r="Y66" s="11"/>
      <c r="Z66" s="11"/>
      <c r="AA66" s="11"/>
      <c r="AB66" s="11"/>
      <c r="AC66" s="11"/>
      <c r="AD66" s="11"/>
    </row>
    <row r="67" spans="1:30" ht="16" x14ac:dyDescent="0.2">
      <c r="A67" s="11"/>
      <c r="B67" s="12"/>
      <c r="C67" s="12"/>
      <c r="D67" s="12"/>
      <c r="E67" s="12"/>
      <c r="F67" s="12"/>
      <c r="G67" s="12"/>
      <c r="H67" s="12"/>
      <c r="I67" s="12"/>
      <c r="J67" s="12"/>
      <c r="K67" s="12"/>
      <c r="L67" s="12"/>
      <c r="M67" s="11"/>
      <c r="N67" s="11"/>
      <c r="O67" s="11"/>
      <c r="P67" s="11"/>
      <c r="Q67" s="11"/>
      <c r="R67" s="11"/>
      <c r="S67" s="11"/>
      <c r="T67" s="11"/>
      <c r="U67" s="11"/>
      <c r="V67" s="11"/>
      <c r="W67" s="11"/>
      <c r="X67" s="11"/>
      <c r="Y67" s="11"/>
      <c r="Z67" s="11"/>
      <c r="AA67" s="11"/>
      <c r="AB67" s="11"/>
      <c r="AC67" s="11"/>
      <c r="AD67" s="11"/>
    </row>
    <row r="68" spans="1:30" ht="16" x14ac:dyDescent="0.2">
      <c r="A68" s="11"/>
      <c r="B68" s="12"/>
      <c r="C68" s="12"/>
      <c r="D68" s="12"/>
      <c r="E68" s="12"/>
      <c r="F68" s="12"/>
      <c r="G68" s="12"/>
      <c r="H68" s="12"/>
      <c r="I68" s="12"/>
      <c r="J68" s="12"/>
      <c r="K68" s="12"/>
      <c r="L68" s="12"/>
      <c r="M68" s="11"/>
      <c r="N68" s="11"/>
      <c r="O68" s="11"/>
      <c r="P68" s="11"/>
      <c r="Q68" s="11"/>
      <c r="R68" s="11"/>
      <c r="S68" s="11"/>
      <c r="T68" s="11"/>
      <c r="U68" s="11"/>
      <c r="V68" s="11"/>
      <c r="W68" s="11"/>
      <c r="X68" s="11"/>
      <c r="Y68" s="11"/>
      <c r="Z68" s="11"/>
      <c r="AA68" s="11"/>
      <c r="AB68" s="11"/>
      <c r="AC68" s="11"/>
      <c r="AD68" s="11"/>
    </row>
    <row r="69" spans="1:30" ht="16" x14ac:dyDescent="0.2">
      <c r="A69" s="11"/>
      <c r="B69" s="12"/>
      <c r="C69" s="12"/>
      <c r="D69" s="12"/>
      <c r="E69" s="12"/>
      <c r="F69" s="12"/>
      <c r="G69" s="12"/>
      <c r="H69" s="12"/>
      <c r="I69" s="12"/>
      <c r="J69" s="12"/>
      <c r="K69" s="12"/>
      <c r="L69" s="12"/>
      <c r="M69" s="11"/>
      <c r="N69" s="11"/>
      <c r="O69" s="11"/>
      <c r="P69" s="11"/>
      <c r="Q69" s="11"/>
      <c r="R69" s="11"/>
      <c r="S69" s="11"/>
      <c r="T69" s="11"/>
      <c r="U69" s="11"/>
      <c r="V69" s="11"/>
      <c r="W69" s="11"/>
      <c r="X69" s="11"/>
      <c r="Y69" s="11"/>
      <c r="Z69" s="11"/>
      <c r="AA69" s="11"/>
      <c r="AB69" s="11"/>
      <c r="AC69" s="11"/>
      <c r="AD69" s="11"/>
    </row>
    <row r="70" spans="1:30" ht="16" x14ac:dyDescent="0.2">
      <c r="A70" s="11"/>
      <c r="B70" s="12"/>
      <c r="C70" s="12"/>
      <c r="D70" s="12"/>
      <c r="E70" s="12"/>
      <c r="F70" s="12"/>
      <c r="G70" s="12"/>
      <c r="H70" s="12"/>
      <c r="I70" s="12"/>
      <c r="J70" s="12"/>
      <c r="K70" s="12"/>
      <c r="L70" s="12"/>
      <c r="M70" s="11"/>
      <c r="N70" s="11"/>
      <c r="O70" s="11"/>
      <c r="P70" s="11"/>
      <c r="Q70" s="11"/>
      <c r="R70" s="11"/>
      <c r="S70" s="11"/>
      <c r="T70" s="11"/>
      <c r="U70" s="11"/>
      <c r="V70" s="11"/>
      <c r="W70" s="11"/>
      <c r="X70" s="11"/>
      <c r="Y70" s="11"/>
      <c r="Z70" s="11"/>
      <c r="AA70" s="11"/>
      <c r="AB70" s="11"/>
      <c r="AC70" s="11"/>
      <c r="AD70" s="11"/>
    </row>
    <row r="71" spans="1:30" ht="16" x14ac:dyDescent="0.2">
      <c r="A71" s="11"/>
      <c r="B71" s="12"/>
      <c r="C71" s="12"/>
      <c r="D71" s="12"/>
      <c r="E71" s="12"/>
      <c r="F71" s="12"/>
      <c r="G71" s="12"/>
      <c r="H71" s="12"/>
      <c r="I71" s="12"/>
      <c r="J71" s="12"/>
      <c r="K71" s="12"/>
      <c r="L71" s="12"/>
      <c r="M71" s="11"/>
      <c r="N71" s="11"/>
      <c r="O71" s="11"/>
      <c r="P71" s="11"/>
      <c r="Q71" s="11"/>
      <c r="R71" s="11"/>
      <c r="S71" s="11"/>
      <c r="T71" s="11"/>
      <c r="U71" s="11"/>
      <c r="V71" s="11"/>
      <c r="W71" s="11"/>
      <c r="X71" s="11"/>
      <c r="Y71" s="11"/>
      <c r="Z71" s="11"/>
      <c r="AA71" s="11"/>
      <c r="AB71" s="11"/>
      <c r="AC71" s="11"/>
      <c r="AD71" s="11"/>
    </row>
    <row r="72" spans="1:30" ht="16" x14ac:dyDescent="0.2">
      <c r="A72" s="11"/>
      <c r="B72" s="12"/>
      <c r="C72" s="12"/>
      <c r="D72" s="12"/>
      <c r="E72" s="12"/>
      <c r="F72" s="12"/>
      <c r="G72" s="12"/>
      <c r="H72" s="12"/>
      <c r="I72" s="12"/>
      <c r="J72" s="12"/>
      <c r="K72" s="12"/>
      <c r="L72" s="12"/>
      <c r="M72" s="11"/>
      <c r="N72" s="11"/>
      <c r="O72" s="11"/>
      <c r="P72" s="11"/>
      <c r="Q72" s="11"/>
      <c r="R72" s="11"/>
      <c r="S72" s="11"/>
      <c r="T72" s="11"/>
      <c r="U72" s="11"/>
      <c r="V72" s="11"/>
      <c r="W72" s="11"/>
      <c r="X72" s="11"/>
      <c r="Y72" s="11"/>
      <c r="Z72" s="11"/>
      <c r="AA72" s="11"/>
      <c r="AB72" s="11"/>
      <c r="AC72" s="11"/>
      <c r="AD72" s="11"/>
    </row>
    <row r="73" spans="1:30" ht="16" x14ac:dyDescent="0.2">
      <c r="A73" s="11"/>
      <c r="B73" s="12"/>
      <c r="C73" s="12"/>
      <c r="D73" s="12"/>
      <c r="E73" s="12"/>
      <c r="F73" s="12"/>
      <c r="G73" s="12"/>
      <c r="H73" s="12"/>
      <c r="I73" s="12"/>
      <c r="J73" s="12"/>
      <c r="K73" s="12"/>
      <c r="L73" s="12"/>
      <c r="M73" s="11"/>
      <c r="N73" s="11"/>
      <c r="O73" s="11"/>
      <c r="P73" s="11"/>
      <c r="Q73" s="11"/>
      <c r="R73" s="11"/>
      <c r="S73" s="11"/>
      <c r="T73" s="11"/>
      <c r="U73" s="11"/>
      <c r="V73" s="11"/>
      <c r="W73" s="11"/>
      <c r="X73" s="11"/>
      <c r="Y73" s="11"/>
      <c r="Z73" s="11"/>
      <c r="AA73" s="11"/>
      <c r="AB73" s="11"/>
      <c r="AC73" s="11"/>
      <c r="AD73" s="11"/>
    </row>
    <row r="74" spans="1:30" ht="16" x14ac:dyDescent="0.2">
      <c r="A74" s="11"/>
      <c r="B74" s="12"/>
      <c r="C74" s="12"/>
      <c r="D74" s="12"/>
      <c r="E74" s="12"/>
      <c r="F74" s="12"/>
      <c r="G74" s="12"/>
      <c r="H74" s="12"/>
      <c r="I74" s="12"/>
      <c r="J74" s="12"/>
      <c r="K74" s="12"/>
      <c r="L74" s="12"/>
      <c r="M74" s="11"/>
      <c r="N74" s="11"/>
      <c r="O74" s="11"/>
      <c r="P74" s="11"/>
      <c r="Q74" s="11"/>
      <c r="R74" s="11"/>
      <c r="S74" s="11"/>
      <c r="T74" s="11"/>
      <c r="U74" s="11"/>
      <c r="V74" s="11"/>
      <c r="W74" s="11"/>
      <c r="X74" s="11"/>
      <c r="Y74" s="11"/>
      <c r="Z74" s="11"/>
      <c r="AA74" s="11"/>
      <c r="AB74" s="11"/>
      <c r="AC74" s="11"/>
      <c r="AD74" s="11"/>
    </row>
    <row r="75" spans="1:30" ht="16" x14ac:dyDescent="0.2">
      <c r="A75" s="11"/>
      <c r="B75" s="12"/>
      <c r="C75" s="12"/>
      <c r="D75" s="12"/>
      <c r="E75" s="12"/>
      <c r="F75" s="12"/>
      <c r="G75" s="12"/>
      <c r="H75" s="12"/>
      <c r="I75" s="12"/>
      <c r="J75" s="12"/>
      <c r="K75" s="12"/>
      <c r="L75" s="12"/>
      <c r="M75" s="11"/>
      <c r="N75" s="11"/>
      <c r="O75" s="11"/>
      <c r="P75" s="11"/>
      <c r="Q75" s="11"/>
      <c r="R75" s="11"/>
      <c r="S75" s="11"/>
      <c r="T75" s="11"/>
      <c r="U75" s="11"/>
      <c r="V75" s="11"/>
      <c r="W75" s="11"/>
      <c r="X75" s="11"/>
      <c r="Y75" s="11"/>
      <c r="Z75" s="11"/>
      <c r="AA75" s="11"/>
      <c r="AB75" s="11"/>
      <c r="AC75" s="11"/>
      <c r="AD75" s="11"/>
    </row>
    <row r="76" spans="1:30" ht="16" x14ac:dyDescent="0.2">
      <c r="A76" s="11"/>
      <c r="B76" s="12"/>
      <c r="C76" s="12"/>
      <c r="D76" s="12"/>
      <c r="E76" s="12"/>
      <c r="F76" s="12"/>
      <c r="G76" s="12"/>
      <c r="H76" s="12"/>
      <c r="I76" s="12"/>
      <c r="J76" s="12"/>
      <c r="K76" s="12"/>
      <c r="L76" s="12"/>
      <c r="M76" s="11"/>
      <c r="N76" s="11"/>
      <c r="O76" s="11"/>
      <c r="P76" s="11"/>
      <c r="Q76" s="11"/>
      <c r="R76" s="11"/>
      <c r="S76" s="11"/>
      <c r="T76" s="11"/>
      <c r="U76" s="11"/>
      <c r="V76" s="11"/>
      <c r="W76" s="11"/>
      <c r="X76" s="11"/>
      <c r="Y76" s="11"/>
      <c r="Z76" s="11"/>
      <c r="AA76" s="11"/>
      <c r="AB76" s="11"/>
      <c r="AC76" s="11"/>
      <c r="AD76" s="11"/>
    </row>
    <row r="77" spans="1:30" ht="16" x14ac:dyDescent="0.2">
      <c r="A77" s="11"/>
      <c r="B77" s="12"/>
      <c r="C77" s="12"/>
      <c r="D77" s="12"/>
      <c r="E77" s="12"/>
      <c r="F77" s="12"/>
      <c r="G77" s="12"/>
      <c r="H77" s="12"/>
      <c r="I77" s="12"/>
      <c r="J77" s="12"/>
      <c r="K77" s="12"/>
      <c r="L77" s="12"/>
      <c r="M77" s="11"/>
      <c r="N77" s="11"/>
      <c r="O77" s="11"/>
      <c r="P77" s="11"/>
      <c r="Q77" s="11"/>
      <c r="R77" s="11"/>
      <c r="S77" s="11"/>
      <c r="T77" s="11"/>
      <c r="U77" s="11"/>
      <c r="V77" s="11"/>
      <c r="W77" s="11"/>
      <c r="X77" s="11"/>
      <c r="Y77" s="11"/>
      <c r="Z77" s="11"/>
      <c r="AA77" s="11"/>
      <c r="AB77" s="11"/>
      <c r="AC77" s="11"/>
      <c r="AD77" s="11"/>
    </row>
    <row r="78" spans="1:30" ht="16" x14ac:dyDescent="0.2">
      <c r="A78" s="11"/>
      <c r="B78" s="12"/>
      <c r="C78" s="12"/>
      <c r="D78" s="12"/>
      <c r="E78" s="12"/>
      <c r="F78" s="12"/>
      <c r="G78" s="12"/>
      <c r="H78" s="12"/>
      <c r="I78" s="12"/>
      <c r="J78" s="12"/>
      <c r="K78" s="12"/>
      <c r="L78" s="12"/>
      <c r="M78" s="11"/>
      <c r="N78" s="11"/>
      <c r="O78" s="11"/>
      <c r="P78" s="11"/>
      <c r="Q78" s="11"/>
      <c r="R78" s="11"/>
      <c r="S78" s="11"/>
      <c r="T78" s="11"/>
      <c r="U78" s="11"/>
      <c r="V78" s="11"/>
      <c r="W78" s="11"/>
      <c r="X78" s="11"/>
      <c r="Y78" s="11"/>
      <c r="Z78" s="11"/>
      <c r="AA78" s="11"/>
      <c r="AB78" s="11"/>
      <c r="AC78" s="11"/>
      <c r="AD78" s="11"/>
    </row>
    <row r="79" spans="1:30" ht="16" x14ac:dyDescent="0.2">
      <c r="A79" s="11"/>
      <c r="B79" s="12"/>
      <c r="C79" s="12"/>
      <c r="D79" s="12"/>
      <c r="E79" s="12"/>
      <c r="F79" s="12"/>
      <c r="G79" s="12"/>
      <c r="H79" s="12"/>
      <c r="I79" s="12"/>
      <c r="J79" s="12"/>
      <c r="K79" s="12"/>
      <c r="L79" s="12"/>
      <c r="M79" s="11"/>
      <c r="N79" s="11"/>
      <c r="O79" s="11"/>
      <c r="P79" s="11"/>
      <c r="Q79" s="11"/>
      <c r="R79" s="11"/>
      <c r="S79" s="11"/>
      <c r="T79" s="11"/>
      <c r="U79" s="11"/>
      <c r="V79" s="11"/>
      <c r="W79" s="11"/>
      <c r="X79" s="11"/>
      <c r="Y79" s="11"/>
      <c r="Z79" s="11"/>
      <c r="AA79" s="11"/>
      <c r="AB79" s="11"/>
      <c r="AC79" s="11"/>
      <c r="AD79" s="11"/>
    </row>
    <row r="80" spans="1:30" ht="16" x14ac:dyDescent="0.2">
      <c r="A80" s="11"/>
      <c r="B80" s="12"/>
      <c r="C80" s="12"/>
      <c r="D80" s="12"/>
      <c r="E80" s="12"/>
      <c r="F80" s="12"/>
      <c r="G80" s="12"/>
      <c r="H80" s="12"/>
      <c r="I80" s="12"/>
      <c r="J80" s="12"/>
      <c r="K80" s="12"/>
      <c r="L80" s="12"/>
      <c r="M80" s="11"/>
      <c r="N80" s="11"/>
      <c r="O80" s="11"/>
      <c r="P80" s="11"/>
      <c r="Q80" s="11"/>
      <c r="R80" s="11"/>
      <c r="S80" s="11"/>
      <c r="T80" s="11"/>
      <c r="U80" s="11"/>
      <c r="V80" s="11"/>
      <c r="W80" s="11"/>
      <c r="X80" s="11"/>
      <c r="Y80" s="11"/>
      <c r="Z80" s="11"/>
      <c r="AA80" s="11"/>
      <c r="AB80" s="11"/>
      <c r="AC80" s="11"/>
      <c r="AD80" s="11"/>
    </row>
    <row r="81" spans="1:30" ht="16" x14ac:dyDescent="0.2">
      <c r="A81" s="11"/>
      <c r="B81" s="12"/>
      <c r="C81" s="12"/>
      <c r="D81" s="12"/>
      <c r="E81" s="12"/>
      <c r="F81" s="12"/>
      <c r="G81" s="12"/>
      <c r="H81" s="12"/>
      <c r="I81" s="12"/>
      <c r="J81" s="12"/>
      <c r="K81" s="12"/>
      <c r="L81" s="12"/>
      <c r="M81" s="11"/>
      <c r="N81" s="11"/>
      <c r="O81" s="11"/>
      <c r="P81" s="11"/>
      <c r="Q81" s="11"/>
      <c r="R81" s="11"/>
      <c r="S81" s="11"/>
      <c r="T81" s="11"/>
      <c r="U81" s="11"/>
      <c r="V81" s="11"/>
      <c r="W81" s="11"/>
      <c r="X81" s="11"/>
      <c r="Y81" s="11"/>
      <c r="Z81" s="11"/>
      <c r="AA81" s="11"/>
      <c r="AB81" s="11"/>
      <c r="AC81" s="11"/>
      <c r="AD81" s="11"/>
    </row>
    <row r="82" spans="1:30" ht="16" x14ac:dyDescent="0.2">
      <c r="A82" s="11"/>
      <c r="B82" s="12"/>
      <c r="C82" s="12"/>
      <c r="D82" s="12"/>
      <c r="E82" s="12"/>
      <c r="F82" s="12"/>
      <c r="G82" s="12"/>
      <c r="H82" s="12"/>
      <c r="I82" s="12"/>
      <c r="J82" s="12"/>
      <c r="K82" s="12"/>
      <c r="L82" s="12"/>
      <c r="M82" s="11"/>
      <c r="N82" s="11"/>
      <c r="O82" s="11"/>
      <c r="P82" s="11"/>
      <c r="Q82" s="11"/>
      <c r="R82" s="11"/>
      <c r="S82" s="11"/>
      <c r="T82" s="11"/>
      <c r="U82" s="11"/>
      <c r="V82" s="11"/>
      <c r="W82" s="11"/>
      <c r="X82" s="11"/>
      <c r="Y82" s="11"/>
      <c r="Z82" s="11"/>
      <c r="AA82" s="11"/>
      <c r="AB82" s="11"/>
      <c r="AC82" s="11"/>
      <c r="AD82" s="11"/>
    </row>
    <row r="83" spans="1:30" ht="16" x14ac:dyDescent="0.2">
      <c r="A83" s="11"/>
      <c r="B83" s="12"/>
      <c r="C83" s="12"/>
      <c r="D83" s="12"/>
      <c r="E83" s="12"/>
      <c r="F83" s="12"/>
      <c r="G83" s="12"/>
      <c r="H83" s="12"/>
      <c r="I83" s="12"/>
      <c r="J83" s="12"/>
      <c r="K83" s="12"/>
      <c r="L83" s="12"/>
      <c r="M83" s="11"/>
      <c r="N83" s="11"/>
      <c r="O83" s="11"/>
      <c r="P83" s="11"/>
      <c r="Q83" s="11"/>
      <c r="R83" s="11"/>
      <c r="S83" s="11"/>
      <c r="T83" s="11"/>
      <c r="U83" s="11"/>
      <c r="V83" s="11"/>
      <c r="W83" s="11"/>
      <c r="X83" s="11"/>
      <c r="Y83" s="11"/>
      <c r="Z83" s="11"/>
      <c r="AA83" s="11"/>
      <c r="AB83" s="11"/>
      <c r="AC83" s="11"/>
      <c r="AD83" s="11"/>
    </row>
    <row r="84" spans="1:30" ht="16" x14ac:dyDescent="0.2">
      <c r="A84" s="11"/>
      <c r="B84" s="12"/>
      <c r="C84" s="12"/>
      <c r="D84" s="12"/>
      <c r="E84" s="12"/>
      <c r="F84" s="12"/>
      <c r="G84" s="12"/>
      <c r="H84" s="12"/>
      <c r="I84" s="12"/>
      <c r="J84" s="12"/>
      <c r="K84" s="12"/>
      <c r="L84" s="12"/>
      <c r="M84" s="11"/>
      <c r="N84" s="11"/>
      <c r="O84" s="11"/>
      <c r="P84" s="11"/>
      <c r="Q84" s="11"/>
      <c r="R84" s="11"/>
      <c r="S84" s="11"/>
      <c r="T84" s="11"/>
      <c r="U84" s="11"/>
      <c r="V84" s="11"/>
      <c r="W84" s="11"/>
      <c r="X84" s="11"/>
      <c r="Y84" s="11"/>
      <c r="Z84" s="11"/>
      <c r="AA84" s="11"/>
      <c r="AB84" s="11"/>
      <c r="AC84" s="11"/>
      <c r="AD84" s="11"/>
    </row>
    <row r="85" spans="1:30" ht="16" x14ac:dyDescent="0.2">
      <c r="A85" s="11"/>
      <c r="B85" s="12"/>
      <c r="C85" s="12"/>
      <c r="D85" s="12"/>
      <c r="E85" s="12"/>
      <c r="F85" s="12"/>
      <c r="G85" s="12"/>
      <c r="H85" s="12"/>
      <c r="I85" s="12"/>
      <c r="J85" s="12"/>
      <c r="K85" s="12"/>
      <c r="L85" s="12"/>
      <c r="M85" s="11"/>
      <c r="N85" s="11"/>
      <c r="O85" s="11"/>
      <c r="P85" s="11"/>
      <c r="Q85" s="11"/>
      <c r="R85" s="11"/>
      <c r="S85" s="11"/>
      <c r="T85" s="11"/>
      <c r="U85" s="11"/>
      <c r="V85" s="11"/>
      <c r="W85" s="11"/>
      <c r="X85" s="11"/>
      <c r="Y85" s="11"/>
      <c r="Z85" s="11"/>
      <c r="AA85" s="11"/>
      <c r="AB85" s="11"/>
      <c r="AC85" s="11"/>
      <c r="AD85" s="11"/>
    </row>
    <row r="86" spans="1:30" ht="16" x14ac:dyDescent="0.2">
      <c r="A86" s="11"/>
      <c r="B86" s="12"/>
      <c r="C86" s="12"/>
      <c r="D86" s="12"/>
      <c r="E86" s="12"/>
      <c r="F86" s="12"/>
      <c r="G86" s="12"/>
      <c r="H86" s="12"/>
      <c r="I86" s="12"/>
      <c r="J86" s="12"/>
      <c r="K86" s="12"/>
      <c r="L86" s="12"/>
      <c r="M86" s="11"/>
      <c r="N86" s="11"/>
      <c r="O86" s="11"/>
      <c r="P86" s="11"/>
      <c r="Q86" s="11"/>
      <c r="R86" s="11"/>
      <c r="S86" s="11"/>
      <c r="T86" s="11"/>
      <c r="U86" s="11"/>
      <c r="V86" s="11"/>
      <c r="W86" s="11"/>
      <c r="X86" s="11"/>
      <c r="Y86" s="11"/>
      <c r="Z86" s="11"/>
      <c r="AA86" s="11"/>
      <c r="AB86" s="11"/>
      <c r="AC86" s="11"/>
      <c r="AD86" s="11"/>
    </row>
    <row r="87" spans="1:30" ht="16" x14ac:dyDescent="0.2">
      <c r="A87" s="11"/>
      <c r="B87" s="12"/>
      <c r="C87" s="12"/>
      <c r="D87" s="12"/>
      <c r="E87" s="12"/>
      <c r="F87" s="12"/>
      <c r="G87" s="12"/>
      <c r="H87" s="12"/>
      <c r="I87" s="12"/>
      <c r="J87" s="12"/>
      <c r="K87" s="12"/>
      <c r="L87" s="12"/>
      <c r="M87" s="11"/>
      <c r="N87" s="11"/>
      <c r="O87" s="11"/>
      <c r="P87" s="11"/>
      <c r="Q87" s="11"/>
      <c r="R87" s="11"/>
      <c r="S87" s="11"/>
      <c r="T87" s="11"/>
      <c r="U87" s="11"/>
      <c r="V87" s="11"/>
      <c r="W87" s="11"/>
      <c r="X87" s="11"/>
      <c r="Y87" s="11"/>
      <c r="Z87" s="11"/>
      <c r="AA87" s="11"/>
      <c r="AB87" s="11"/>
      <c r="AC87" s="11"/>
      <c r="AD87" s="11"/>
    </row>
    <row r="88" spans="1:30" ht="16" x14ac:dyDescent="0.2">
      <c r="A88" s="11"/>
      <c r="B88" s="12"/>
      <c r="C88" s="12"/>
      <c r="D88" s="12"/>
      <c r="E88" s="12"/>
      <c r="F88" s="12"/>
      <c r="G88" s="12"/>
      <c r="H88" s="12"/>
      <c r="I88" s="12"/>
      <c r="J88" s="12"/>
      <c r="K88" s="12"/>
      <c r="L88" s="12"/>
      <c r="M88" s="11"/>
      <c r="N88" s="11"/>
      <c r="O88" s="11"/>
      <c r="P88" s="11"/>
      <c r="Q88" s="11"/>
      <c r="R88" s="11"/>
      <c r="S88" s="11"/>
      <c r="T88" s="11"/>
      <c r="U88" s="11"/>
      <c r="V88" s="11"/>
      <c r="W88" s="11"/>
      <c r="X88" s="11"/>
      <c r="Y88" s="11"/>
      <c r="Z88" s="11"/>
      <c r="AA88" s="11"/>
      <c r="AB88" s="11"/>
      <c r="AC88" s="11"/>
      <c r="AD88" s="11"/>
    </row>
    <row r="89" spans="1:30" ht="16" x14ac:dyDescent="0.2">
      <c r="A89" s="11"/>
      <c r="B89" s="12"/>
      <c r="C89" s="12"/>
      <c r="D89" s="12"/>
      <c r="E89" s="12"/>
      <c r="F89" s="12"/>
      <c r="G89" s="12"/>
      <c r="H89" s="12"/>
      <c r="I89" s="12"/>
      <c r="J89" s="12"/>
      <c r="K89" s="12"/>
      <c r="L89" s="12"/>
      <c r="M89" s="11"/>
      <c r="N89" s="11"/>
      <c r="O89" s="11"/>
      <c r="P89" s="11"/>
      <c r="Q89" s="11"/>
      <c r="R89" s="11"/>
      <c r="S89" s="11"/>
      <c r="T89" s="11"/>
      <c r="U89" s="11"/>
      <c r="V89" s="11"/>
      <c r="W89" s="11"/>
      <c r="X89" s="11"/>
      <c r="Y89" s="11"/>
      <c r="Z89" s="11"/>
      <c r="AA89" s="11"/>
      <c r="AB89" s="11"/>
      <c r="AC89" s="11"/>
      <c r="AD89" s="11"/>
    </row>
    <row r="90" spans="1:30" ht="16" x14ac:dyDescent="0.2">
      <c r="A90" s="11"/>
      <c r="B90" s="12"/>
      <c r="C90" s="12"/>
      <c r="D90" s="12"/>
      <c r="E90" s="12"/>
      <c r="F90" s="12"/>
      <c r="G90" s="12"/>
      <c r="H90" s="12"/>
      <c r="I90" s="12"/>
      <c r="J90" s="12"/>
      <c r="K90" s="12"/>
      <c r="L90" s="12"/>
      <c r="M90" s="11"/>
      <c r="N90" s="11"/>
      <c r="O90" s="11"/>
      <c r="P90" s="11"/>
      <c r="Q90" s="11"/>
      <c r="R90" s="11"/>
      <c r="S90" s="11"/>
      <c r="T90" s="11"/>
      <c r="U90" s="11"/>
      <c r="V90" s="11"/>
      <c r="W90" s="11"/>
      <c r="X90" s="11"/>
      <c r="Y90" s="11"/>
      <c r="Z90" s="11"/>
      <c r="AA90" s="11"/>
      <c r="AB90" s="11"/>
      <c r="AC90" s="11"/>
      <c r="AD90" s="11"/>
    </row>
    <row r="91" spans="1:30" ht="16" x14ac:dyDescent="0.2">
      <c r="A91" s="11"/>
      <c r="B91" s="12"/>
      <c r="C91" s="12"/>
      <c r="D91" s="12"/>
      <c r="E91" s="12"/>
      <c r="F91" s="12"/>
      <c r="G91" s="12"/>
      <c r="H91" s="12"/>
      <c r="I91" s="12"/>
      <c r="J91" s="12"/>
      <c r="K91" s="12"/>
      <c r="L91" s="12"/>
      <c r="M91" s="11"/>
      <c r="N91" s="11"/>
      <c r="O91" s="11"/>
      <c r="P91" s="11"/>
      <c r="Q91" s="11"/>
      <c r="R91" s="11"/>
      <c r="S91" s="11"/>
      <c r="T91" s="11"/>
      <c r="U91" s="11"/>
      <c r="V91" s="11"/>
      <c r="W91" s="11"/>
      <c r="X91" s="11"/>
      <c r="Y91" s="11"/>
      <c r="Z91" s="11"/>
      <c r="AA91" s="11"/>
      <c r="AB91" s="11"/>
      <c r="AC91" s="11"/>
      <c r="AD91" s="11"/>
    </row>
    <row r="92" spans="1:30" ht="16" x14ac:dyDescent="0.2">
      <c r="A92" s="11"/>
      <c r="B92" s="12"/>
      <c r="C92" s="12"/>
      <c r="D92" s="12"/>
      <c r="E92" s="12"/>
      <c r="F92" s="12"/>
      <c r="G92" s="12"/>
      <c r="H92" s="12"/>
      <c r="I92" s="12"/>
      <c r="J92" s="12"/>
      <c r="K92" s="12"/>
      <c r="L92" s="12"/>
      <c r="M92" s="11"/>
      <c r="N92" s="11"/>
      <c r="O92" s="11"/>
      <c r="P92" s="11"/>
      <c r="Q92" s="11"/>
      <c r="R92" s="11"/>
      <c r="S92" s="11"/>
      <c r="T92" s="11"/>
      <c r="U92" s="11"/>
      <c r="V92" s="11"/>
      <c r="W92" s="11"/>
      <c r="X92" s="11"/>
      <c r="Y92" s="11"/>
      <c r="Z92" s="11"/>
      <c r="AA92" s="11"/>
      <c r="AB92" s="11"/>
      <c r="AC92" s="11"/>
      <c r="AD92" s="11"/>
    </row>
    <row r="93" spans="1:30" ht="16" x14ac:dyDescent="0.2">
      <c r="A93" s="11"/>
      <c r="B93" s="12"/>
      <c r="C93" s="12"/>
      <c r="D93" s="12"/>
      <c r="E93" s="12"/>
      <c r="F93" s="12"/>
      <c r="G93" s="12"/>
      <c r="H93" s="12"/>
      <c r="I93" s="12"/>
      <c r="J93" s="12"/>
      <c r="K93" s="12"/>
      <c r="L93" s="12"/>
      <c r="M93" s="11"/>
      <c r="N93" s="11"/>
      <c r="O93" s="11"/>
      <c r="P93" s="11"/>
      <c r="Q93" s="11"/>
      <c r="R93" s="11"/>
      <c r="S93" s="11"/>
      <c r="T93" s="11"/>
      <c r="U93" s="11"/>
      <c r="V93" s="11"/>
      <c r="W93" s="11"/>
      <c r="X93" s="11"/>
      <c r="Y93" s="11"/>
      <c r="Z93" s="11"/>
      <c r="AA93" s="11"/>
      <c r="AB93" s="11"/>
      <c r="AC93" s="11"/>
      <c r="AD93" s="11"/>
    </row>
    <row r="94" spans="1:30" ht="16" x14ac:dyDescent="0.2">
      <c r="A94" s="11"/>
      <c r="B94" s="12"/>
      <c r="C94" s="12"/>
      <c r="D94" s="12"/>
      <c r="E94" s="12"/>
      <c r="F94" s="12"/>
      <c r="G94" s="12"/>
      <c r="H94" s="12"/>
      <c r="I94" s="12"/>
      <c r="J94" s="12"/>
      <c r="K94" s="12"/>
      <c r="L94" s="12"/>
      <c r="M94" s="11"/>
      <c r="N94" s="11"/>
      <c r="O94" s="11"/>
      <c r="P94" s="11"/>
      <c r="Q94" s="11"/>
      <c r="R94" s="11"/>
      <c r="S94" s="11"/>
      <c r="T94" s="11"/>
      <c r="U94" s="11"/>
      <c r="V94" s="11"/>
      <c r="W94" s="11"/>
      <c r="X94" s="11"/>
      <c r="Y94" s="11"/>
      <c r="Z94" s="11"/>
      <c r="AA94" s="11"/>
      <c r="AB94" s="11"/>
      <c r="AC94" s="11"/>
      <c r="AD94" s="11"/>
    </row>
    <row r="95" spans="1:30" ht="16" x14ac:dyDescent="0.2">
      <c r="A95" s="11"/>
      <c r="B95" s="12"/>
      <c r="C95" s="12"/>
      <c r="D95" s="12"/>
      <c r="E95" s="12"/>
      <c r="F95" s="12"/>
      <c r="G95" s="12"/>
      <c r="H95" s="12"/>
      <c r="I95" s="12"/>
      <c r="J95" s="12"/>
      <c r="K95" s="12"/>
      <c r="L95" s="12"/>
      <c r="M95" s="11"/>
      <c r="N95" s="11"/>
      <c r="O95" s="11"/>
      <c r="P95" s="11"/>
      <c r="Q95" s="11"/>
      <c r="R95" s="11"/>
      <c r="S95" s="11"/>
      <c r="T95" s="11"/>
      <c r="U95" s="11"/>
      <c r="V95" s="11"/>
      <c r="W95" s="11"/>
      <c r="X95" s="11"/>
      <c r="Y95" s="11"/>
      <c r="Z95" s="11"/>
      <c r="AA95" s="11"/>
      <c r="AB95" s="11"/>
      <c r="AC95" s="11"/>
      <c r="AD95" s="11"/>
    </row>
    <row r="96" spans="1:30" ht="16" x14ac:dyDescent="0.2">
      <c r="A96" s="11"/>
      <c r="B96" s="12"/>
      <c r="C96" s="12"/>
      <c r="D96" s="12"/>
      <c r="E96" s="12"/>
      <c r="F96" s="12"/>
      <c r="G96" s="12"/>
      <c r="H96" s="12"/>
      <c r="I96" s="12"/>
      <c r="J96" s="12"/>
      <c r="K96" s="12"/>
      <c r="L96" s="12"/>
      <c r="M96" s="11"/>
      <c r="N96" s="11"/>
      <c r="O96" s="11"/>
      <c r="P96" s="11"/>
      <c r="Q96" s="11"/>
      <c r="R96" s="11"/>
      <c r="S96" s="11"/>
      <c r="T96" s="11"/>
      <c r="U96" s="11"/>
      <c r="V96" s="11"/>
      <c r="W96" s="11"/>
      <c r="X96" s="11"/>
      <c r="Y96" s="11"/>
      <c r="Z96" s="11"/>
      <c r="AA96" s="11"/>
      <c r="AB96" s="11"/>
      <c r="AC96" s="11"/>
      <c r="AD96" s="11"/>
    </row>
    <row r="97" spans="1:30" ht="16" x14ac:dyDescent="0.2">
      <c r="A97" s="11"/>
      <c r="B97" s="12"/>
      <c r="C97" s="12"/>
      <c r="D97" s="12"/>
      <c r="E97" s="12"/>
      <c r="F97" s="12"/>
      <c r="G97" s="12"/>
      <c r="H97" s="12"/>
      <c r="I97" s="12"/>
      <c r="J97" s="12"/>
      <c r="K97" s="12"/>
      <c r="L97" s="12"/>
      <c r="M97" s="11"/>
      <c r="N97" s="11"/>
      <c r="O97" s="11"/>
      <c r="P97" s="11"/>
      <c r="Q97" s="11"/>
      <c r="R97" s="11"/>
      <c r="S97" s="11"/>
      <c r="T97" s="11"/>
      <c r="U97" s="11"/>
      <c r="V97" s="11"/>
      <c r="W97" s="11"/>
      <c r="X97" s="11"/>
      <c r="Y97" s="11"/>
      <c r="Z97" s="11"/>
      <c r="AA97" s="11"/>
      <c r="AB97" s="11"/>
      <c r="AC97" s="11"/>
      <c r="AD97" s="11"/>
    </row>
    <row r="98" spans="1:30" ht="16" x14ac:dyDescent="0.2">
      <c r="A98" s="11"/>
      <c r="B98" s="12"/>
      <c r="C98" s="12"/>
      <c r="D98" s="12"/>
      <c r="E98" s="12"/>
      <c r="F98" s="12"/>
      <c r="G98" s="12"/>
      <c r="H98" s="12"/>
      <c r="I98" s="12"/>
      <c r="J98" s="12"/>
      <c r="K98" s="12"/>
      <c r="L98" s="12"/>
      <c r="M98" s="11"/>
      <c r="N98" s="11"/>
      <c r="O98" s="11"/>
      <c r="P98" s="11"/>
      <c r="Q98" s="11"/>
      <c r="R98" s="11"/>
      <c r="S98" s="11"/>
      <c r="T98" s="11"/>
      <c r="U98" s="11"/>
      <c r="V98" s="11"/>
      <c r="W98" s="11"/>
      <c r="X98" s="11"/>
      <c r="Y98" s="11"/>
      <c r="Z98" s="11"/>
      <c r="AA98" s="11"/>
      <c r="AB98" s="11"/>
      <c r="AC98" s="11"/>
      <c r="AD98" s="11"/>
    </row>
    <row r="99" spans="1:30" ht="16" x14ac:dyDescent="0.2">
      <c r="A99" s="11"/>
      <c r="B99" s="12"/>
      <c r="C99" s="12"/>
      <c r="D99" s="12"/>
      <c r="E99" s="12"/>
      <c r="F99" s="12"/>
      <c r="G99" s="12"/>
      <c r="H99" s="12"/>
      <c r="I99" s="12"/>
      <c r="J99" s="12"/>
      <c r="K99" s="12"/>
      <c r="L99" s="12"/>
      <c r="M99" s="11"/>
      <c r="N99" s="11"/>
      <c r="O99" s="11"/>
      <c r="P99" s="11"/>
      <c r="Q99" s="11"/>
      <c r="R99" s="11"/>
      <c r="S99" s="11"/>
      <c r="T99" s="11"/>
      <c r="U99" s="11"/>
      <c r="V99" s="11"/>
      <c r="W99" s="11"/>
      <c r="X99" s="11"/>
      <c r="Y99" s="11"/>
      <c r="Z99" s="11"/>
      <c r="AA99" s="11"/>
      <c r="AB99" s="11"/>
      <c r="AC99" s="11"/>
      <c r="AD99" s="11"/>
    </row>
    <row r="100" spans="1:30" ht="16" x14ac:dyDescent="0.2">
      <c r="A100" s="11"/>
      <c r="B100" s="12"/>
      <c r="C100" s="12"/>
      <c r="D100" s="12"/>
      <c r="E100" s="12"/>
      <c r="F100" s="12"/>
      <c r="G100" s="12"/>
      <c r="H100" s="12"/>
      <c r="I100" s="12"/>
      <c r="J100" s="12"/>
      <c r="K100" s="12"/>
      <c r="L100" s="12"/>
      <c r="M100" s="11"/>
      <c r="N100" s="11"/>
      <c r="O100" s="11"/>
      <c r="P100" s="11"/>
      <c r="Q100" s="11"/>
      <c r="R100" s="11"/>
      <c r="S100" s="11"/>
      <c r="T100" s="11"/>
      <c r="U100" s="11"/>
      <c r="V100" s="11"/>
      <c r="W100" s="11"/>
      <c r="X100" s="11"/>
      <c r="Y100" s="11"/>
      <c r="Z100" s="11"/>
      <c r="AA100" s="11"/>
      <c r="AB100" s="11"/>
      <c r="AC100" s="11"/>
      <c r="AD100" s="11"/>
    </row>
    <row r="101" spans="1:30" ht="16" x14ac:dyDescent="0.2">
      <c r="A101" s="11"/>
      <c r="B101" s="12"/>
      <c r="C101" s="12"/>
      <c r="D101" s="12"/>
      <c r="E101" s="12"/>
      <c r="F101" s="12"/>
      <c r="G101" s="12"/>
      <c r="H101" s="12"/>
      <c r="I101" s="12"/>
      <c r="J101" s="12"/>
      <c r="K101" s="12"/>
      <c r="L101" s="12"/>
      <c r="M101" s="11"/>
      <c r="N101" s="11"/>
      <c r="O101" s="11"/>
      <c r="P101" s="11"/>
      <c r="Q101" s="11"/>
      <c r="R101" s="11"/>
      <c r="S101" s="11"/>
      <c r="T101" s="11"/>
      <c r="U101" s="11"/>
      <c r="V101" s="11"/>
      <c r="W101" s="11"/>
      <c r="X101" s="11"/>
      <c r="Y101" s="11"/>
      <c r="Z101" s="11"/>
      <c r="AA101" s="11"/>
      <c r="AB101" s="11"/>
      <c r="AC101" s="11"/>
      <c r="AD101" s="11"/>
    </row>
    <row r="102" spans="1:30" ht="16" x14ac:dyDescent="0.2">
      <c r="A102" s="11"/>
      <c r="B102" s="12"/>
      <c r="C102" s="12"/>
      <c r="D102" s="12"/>
      <c r="E102" s="12"/>
      <c r="F102" s="12"/>
      <c r="G102" s="12"/>
      <c r="H102" s="12"/>
      <c r="I102" s="12"/>
      <c r="J102" s="12"/>
      <c r="K102" s="12"/>
      <c r="L102" s="12"/>
      <c r="M102" s="11"/>
      <c r="N102" s="11"/>
      <c r="O102" s="11"/>
      <c r="P102" s="11"/>
      <c r="Q102" s="11"/>
      <c r="R102" s="11"/>
      <c r="S102" s="11"/>
      <c r="T102" s="11"/>
      <c r="U102" s="11"/>
      <c r="V102" s="11"/>
      <c r="W102" s="11"/>
      <c r="X102" s="11"/>
      <c r="Y102" s="11"/>
      <c r="Z102" s="11"/>
      <c r="AA102" s="11"/>
      <c r="AB102" s="11"/>
      <c r="AC102" s="11"/>
      <c r="AD102" s="11"/>
    </row>
    <row r="103" spans="1:30" ht="16" x14ac:dyDescent="0.2">
      <c r="A103" s="11"/>
      <c r="B103" s="12"/>
      <c r="C103" s="12"/>
      <c r="D103" s="12"/>
      <c r="E103" s="12"/>
      <c r="F103" s="12"/>
      <c r="G103" s="12"/>
      <c r="H103" s="12"/>
      <c r="I103" s="12"/>
      <c r="J103" s="12"/>
      <c r="K103" s="12"/>
      <c r="L103" s="12"/>
      <c r="M103" s="11"/>
      <c r="N103" s="11"/>
      <c r="O103" s="11"/>
      <c r="P103" s="11"/>
      <c r="Q103" s="11"/>
      <c r="R103" s="11"/>
      <c r="S103" s="11"/>
      <c r="T103" s="11"/>
      <c r="U103" s="11"/>
      <c r="V103" s="11"/>
      <c r="W103" s="11"/>
      <c r="X103" s="11"/>
      <c r="Y103" s="11"/>
      <c r="Z103" s="11"/>
      <c r="AA103" s="11"/>
      <c r="AB103" s="11"/>
      <c r="AC103" s="11"/>
      <c r="AD103" s="11"/>
    </row>
    <row r="104" spans="1:30" ht="16" x14ac:dyDescent="0.2">
      <c r="A104" s="11"/>
      <c r="B104" s="12"/>
      <c r="C104" s="12"/>
      <c r="D104" s="12"/>
      <c r="E104" s="12"/>
      <c r="F104" s="12"/>
      <c r="G104" s="12"/>
      <c r="H104" s="12"/>
      <c r="I104" s="12"/>
      <c r="J104" s="12"/>
      <c r="K104" s="12"/>
      <c r="L104" s="12"/>
      <c r="M104" s="11"/>
      <c r="N104" s="11"/>
      <c r="O104" s="11"/>
      <c r="P104" s="11"/>
      <c r="Q104" s="11"/>
      <c r="R104" s="11"/>
      <c r="S104" s="11"/>
      <c r="T104" s="11"/>
      <c r="U104" s="11"/>
      <c r="V104" s="11"/>
      <c r="W104" s="11"/>
      <c r="X104" s="11"/>
      <c r="Y104" s="11"/>
      <c r="Z104" s="11"/>
      <c r="AA104" s="11"/>
      <c r="AB104" s="11"/>
      <c r="AC104" s="11"/>
      <c r="AD104" s="11"/>
    </row>
    <row r="105" spans="1:30" ht="16" x14ac:dyDescent="0.2">
      <c r="A105" s="11"/>
      <c r="B105" s="12"/>
      <c r="C105" s="12"/>
      <c r="D105" s="12"/>
      <c r="E105" s="12"/>
      <c r="F105" s="12"/>
      <c r="G105" s="12"/>
      <c r="H105" s="12"/>
      <c r="I105" s="12"/>
      <c r="J105" s="12"/>
      <c r="K105" s="12"/>
      <c r="L105" s="12"/>
      <c r="M105" s="11"/>
      <c r="N105" s="11"/>
      <c r="O105" s="11"/>
      <c r="P105" s="11"/>
      <c r="Q105" s="11"/>
      <c r="R105" s="11"/>
      <c r="S105" s="11"/>
      <c r="T105" s="11"/>
      <c r="U105" s="11"/>
      <c r="V105" s="11"/>
      <c r="W105" s="11"/>
      <c r="X105" s="11"/>
      <c r="Y105" s="11"/>
      <c r="Z105" s="11"/>
      <c r="AA105" s="11"/>
      <c r="AB105" s="11"/>
      <c r="AC105" s="11"/>
      <c r="AD105" s="11"/>
    </row>
    <row r="106" spans="1:30" ht="16" x14ac:dyDescent="0.2">
      <c r="A106" s="11"/>
      <c r="B106" s="12"/>
      <c r="C106" s="12"/>
      <c r="D106" s="12"/>
      <c r="E106" s="12"/>
      <c r="F106" s="12"/>
      <c r="G106" s="12"/>
      <c r="H106" s="12"/>
      <c r="I106" s="12"/>
      <c r="J106" s="12"/>
      <c r="K106" s="12"/>
      <c r="L106" s="12"/>
      <c r="M106" s="11"/>
      <c r="N106" s="11"/>
      <c r="O106" s="11"/>
      <c r="P106" s="11"/>
      <c r="Q106" s="11"/>
      <c r="R106" s="11"/>
      <c r="S106" s="11"/>
      <c r="T106" s="11"/>
      <c r="U106" s="11"/>
      <c r="V106" s="11"/>
      <c r="W106" s="11"/>
      <c r="X106" s="11"/>
      <c r="Y106" s="11"/>
      <c r="Z106" s="11"/>
      <c r="AA106" s="11"/>
      <c r="AB106" s="11"/>
      <c r="AC106" s="11"/>
      <c r="AD106" s="11"/>
    </row>
    <row r="107" spans="1:30" ht="16" x14ac:dyDescent="0.2">
      <c r="A107" s="11"/>
      <c r="B107" s="12"/>
      <c r="C107" s="12"/>
      <c r="D107" s="12"/>
      <c r="E107" s="12"/>
      <c r="F107" s="12"/>
      <c r="G107" s="12"/>
      <c r="H107" s="12"/>
      <c r="I107" s="12"/>
      <c r="J107" s="12"/>
      <c r="K107" s="12"/>
      <c r="L107" s="12"/>
      <c r="M107" s="11"/>
      <c r="N107" s="11"/>
      <c r="O107" s="11"/>
      <c r="P107" s="11"/>
      <c r="Q107" s="11"/>
      <c r="R107" s="11"/>
      <c r="S107" s="11"/>
      <c r="T107" s="11"/>
      <c r="U107" s="11"/>
      <c r="V107" s="11"/>
      <c r="W107" s="11"/>
      <c r="X107" s="11"/>
      <c r="Y107" s="11"/>
      <c r="Z107" s="11"/>
      <c r="AA107" s="11"/>
      <c r="AB107" s="11"/>
      <c r="AC107" s="11"/>
      <c r="AD107" s="11"/>
    </row>
    <row r="108" spans="1:30" ht="16" x14ac:dyDescent="0.2">
      <c r="A108" s="11"/>
      <c r="B108" s="12"/>
      <c r="C108" s="12"/>
      <c r="D108" s="12"/>
      <c r="E108" s="12"/>
      <c r="F108" s="12"/>
      <c r="G108" s="12"/>
      <c r="H108" s="12"/>
      <c r="I108" s="12"/>
      <c r="J108" s="12"/>
      <c r="K108" s="12"/>
      <c r="L108" s="12"/>
      <c r="M108" s="11"/>
      <c r="N108" s="11"/>
      <c r="O108" s="11"/>
      <c r="P108" s="11"/>
      <c r="Q108" s="11"/>
      <c r="R108" s="11"/>
      <c r="S108" s="11"/>
      <c r="T108" s="11"/>
      <c r="U108" s="11"/>
      <c r="V108" s="11"/>
      <c r="W108" s="11"/>
      <c r="X108" s="11"/>
      <c r="Y108" s="11"/>
      <c r="Z108" s="11"/>
      <c r="AA108" s="11"/>
      <c r="AB108" s="11"/>
      <c r="AC108" s="11"/>
      <c r="AD108" s="11"/>
    </row>
    <row r="109" spans="1:30" ht="16" x14ac:dyDescent="0.2">
      <c r="A109" s="11"/>
      <c r="B109" s="12"/>
      <c r="C109" s="12"/>
      <c r="D109" s="12"/>
      <c r="E109" s="12"/>
      <c r="F109" s="12"/>
      <c r="G109" s="12"/>
      <c r="H109" s="12"/>
      <c r="I109" s="12"/>
      <c r="J109" s="12"/>
      <c r="K109" s="12"/>
      <c r="L109" s="12"/>
      <c r="M109" s="11"/>
      <c r="N109" s="11"/>
      <c r="O109" s="11"/>
      <c r="P109" s="11"/>
      <c r="Q109" s="11"/>
      <c r="R109" s="11"/>
      <c r="S109" s="11"/>
      <c r="T109" s="11"/>
      <c r="U109" s="11"/>
      <c r="V109" s="11"/>
      <c r="W109" s="11"/>
      <c r="X109" s="11"/>
      <c r="Y109" s="11"/>
      <c r="Z109" s="11"/>
      <c r="AA109" s="11"/>
      <c r="AB109" s="11"/>
      <c r="AC109" s="11"/>
      <c r="AD109" s="11"/>
    </row>
    <row r="110" spans="1:30" ht="16" x14ac:dyDescent="0.2">
      <c r="A110" s="11"/>
      <c r="B110" s="12"/>
      <c r="C110" s="12"/>
      <c r="D110" s="12"/>
      <c r="E110" s="12"/>
      <c r="F110" s="12"/>
      <c r="G110" s="12"/>
      <c r="H110" s="12"/>
      <c r="I110" s="12"/>
      <c r="J110" s="12"/>
      <c r="K110" s="12"/>
      <c r="L110" s="12"/>
      <c r="M110" s="11"/>
      <c r="N110" s="11"/>
      <c r="O110" s="11"/>
      <c r="P110" s="11"/>
      <c r="Q110" s="11"/>
      <c r="R110" s="11"/>
      <c r="S110" s="11"/>
      <c r="T110" s="11"/>
      <c r="U110" s="11"/>
      <c r="V110" s="11"/>
      <c r="W110" s="11"/>
      <c r="X110" s="11"/>
      <c r="Y110" s="11"/>
      <c r="Z110" s="11"/>
      <c r="AA110" s="11"/>
      <c r="AB110" s="11"/>
      <c r="AC110" s="11"/>
      <c r="AD110" s="11"/>
    </row>
    <row r="111" spans="1:30" ht="16" x14ac:dyDescent="0.2">
      <c r="A111" s="11"/>
      <c r="B111" s="12"/>
      <c r="C111" s="12"/>
      <c r="D111" s="12"/>
      <c r="E111" s="12"/>
      <c r="F111" s="12"/>
      <c r="G111" s="12"/>
      <c r="H111" s="12"/>
      <c r="I111" s="12"/>
      <c r="J111" s="12"/>
      <c r="K111" s="12"/>
      <c r="L111" s="12"/>
      <c r="M111" s="11"/>
      <c r="N111" s="11"/>
      <c r="O111" s="11"/>
      <c r="P111" s="11"/>
      <c r="Q111" s="11"/>
      <c r="R111" s="11"/>
      <c r="S111" s="11"/>
      <c r="T111" s="11"/>
      <c r="U111" s="11"/>
      <c r="V111" s="11"/>
      <c r="W111" s="11"/>
      <c r="X111" s="11"/>
      <c r="Y111" s="11"/>
      <c r="Z111" s="11"/>
      <c r="AA111" s="11"/>
      <c r="AB111" s="11"/>
      <c r="AC111" s="11"/>
      <c r="AD111" s="11"/>
    </row>
    <row r="112" spans="1:30" ht="16" x14ac:dyDescent="0.2">
      <c r="A112" s="11"/>
      <c r="B112" s="12"/>
      <c r="C112" s="12"/>
      <c r="D112" s="12"/>
      <c r="E112" s="12"/>
      <c r="F112" s="12"/>
      <c r="G112" s="12"/>
      <c r="H112" s="12"/>
      <c r="I112" s="12"/>
      <c r="J112" s="12"/>
      <c r="K112" s="12"/>
      <c r="L112" s="12"/>
      <c r="M112" s="11"/>
      <c r="N112" s="11"/>
      <c r="O112" s="11"/>
      <c r="P112" s="11"/>
      <c r="Q112" s="11"/>
      <c r="R112" s="11"/>
      <c r="S112" s="11"/>
      <c r="T112" s="11"/>
      <c r="U112" s="11"/>
      <c r="V112" s="11"/>
      <c r="W112" s="11"/>
      <c r="X112" s="11"/>
      <c r="Y112" s="11"/>
      <c r="Z112" s="11"/>
      <c r="AA112" s="11"/>
      <c r="AB112" s="11"/>
      <c r="AC112" s="11"/>
      <c r="AD112" s="11"/>
    </row>
    <row r="113" spans="1:30" ht="16" x14ac:dyDescent="0.2">
      <c r="A113" s="11"/>
      <c r="B113" s="12"/>
      <c r="C113" s="12"/>
      <c r="D113" s="12"/>
      <c r="E113" s="12"/>
      <c r="F113" s="12"/>
      <c r="G113" s="12"/>
      <c r="H113" s="12"/>
      <c r="I113" s="12"/>
      <c r="J113" s="12"/>
      <c r="K113" s="12"/>
      <c r="L113" s="12"/>
      <c r="M113" s="11"/>
      <c r="N113" s="11"/>
      <c r="O113" s="11"/>
      <c r="P113" s="11"/>
      <c r="Q113" s="11"/>
      <c r="R113" s="11"/>
      <c r="S113" s="11"/>
      <c r="T113" s="11"/>
      <c r="U113" s="11"/>
      <c r="V113" s="11"/>
      <c r="W113" s="11"/>
      <c r="X113" s="11"/>
      <c r="Y113" s="11"/>
      <c r="Z113" s="11"/>
      <c r="AA113" s="11"/>
      <c r="AB113" s="11"/>
      <c r="AC113" s="11"/>
      <c r="AD113" s="11"/>
    </row>
    <row r="114" spans="1:30" ht="16" x14ac:dyDescent="0.2">
      <c r="A114" s="11"/>
      <c r="B114" s="12"/>
      <c r="C114" s="12"/>
      <c r="D114" s="12"/>
      <c r="E114" s="12"/>
      <c r="F114" s="12"/>
      <c r="G114" s="12"/>
      <c r="H114" s="12"/>
      <c r="I114" s="12"/>
      <c r="J114" s="12"/>
      <c r="K114" s="12"/>
      <c r="L114" s="12"/>
      <c r="M114" s="11"/>
      <c r="N114" s="11"/>
      <c r="O114" s="11"/>
      <c r="P114" s="11"/>
      <c r="Q114" s="11"/>
      <c r="R114" s="11"/>
      <c r="S114" s="11"/>
      <c r="T114" s="11"/>
      <c r="U114" s="11"/>
      <c r="V114" s="11"/>
      <c r="W114" s="11"/>
      <c r="X114" s="11"/>
      <c r="Y114" s="11"/>
      <c r="Z114" s="11"/>
      <c r="AA114" s="11"/>
      <c r="AB114" s="11"/>
      <c r="AC114" s="11"/>
      <c r="AD114" s="11"/>
    </row>
    <row r="115" spans="1:30" ht="16" x14ac:dyDescent="0.2">
      <c r="A115" s="11"/>
      <c r="B115" s="12"/>
      <c r="C115" s="12"/>
      <c r="D115" s="12"/>
      <c r="E115" s="12"/>
      <c r="F115" s="12"/>
      <c r="G115" s="12"/>
      <c r="H115" s="12"/>
      <c r="I115" s="12"/>
      <c r="J115" s="12"/>
      <c r="K115" s="12"/>
      <c r="L115" s="12"/>
      <c r="M115" s="11"/>
      <c r="N115" s="11"/>
      <c r="O115" s="11"/>
      <c r="P115" s="11"/>
      <c r="Q115" s="11"/>
      <c r="R115" s="11"/>
      <c r="S115" s="11"/>
      <c r="T115" s="11"/>
      <c r="U115" s="11"/>
      <c r="V115" s="11"/>
      <c r="W115" s="11"/>
      <c r="X115" s="11"/>
      <c r="Y115" s="11"/>
      <c r="Z115" s="11"/>
      <c r="AA115" s="11"/>
      <c r="AB115" s="11"/>
      <c r="AC115" s="11"/>
      <c r="AD115" s="11"/>
    </row>
    <row r="116" spans="1:30" ht="16" x14ac:dyDescent="0.2">
      <c r="A116" s="11"/>
      <c r="B116" s="12"/>
      <c r="C116" s="12"/>
      <c r="D116" s="12"/>
      <c r="E116" s="12"/>
      <c r="F116" s="12"/>
      <c r="G116" s="12"/>
      <c r="H116" s="12"/>
      <c r="I116" s="12"/>
      <c r="J116" s="12"/>
      <c r="K116" s="12"/>
      <c r="L116" s="12"/>
      <c r="M116" s="11"/>
      <c r="N116" s="11"/>
      <c r="O116" s="11"/>
      <c r="P116" s="11"/>
      <c r="Q116" s="11"/>
      <c r="R116" s="11"/>
      <c r="S116" s="11"/>
      <c r="T116" s="11"/>
      <c r="U116" s="11"/>
      <c r="V116" s="11"/>
      <c r="W116" s="11"/>
      <c r="X116" s="11"/>
      <c r="Y116" s="11"/>
      <c r="Z116" s="11"/>
      <c r="AA116" s="11"/>
      <c r="AB116" s="11"/>
      <c r="AC116" s="11"/>
      <c r="AD116" s="11"/>
    </row>
    <row r="117" spans="1:30" ht="16" x14ac:dyDescent="0.2">
      <c r="A117" s="11"/>
      <c r="B117" s="12"/>
      <c r="C117" s="12"/>
      <c r="D117" s="12"/>
      <c r="E117" s="12"/>
      <c r="F117" s="12"/>
      <c r="G117" s="12"/>
      <c r="H117" s="12"/>
      <c r="I117" s="12"/>
      <c r="J117" s="12"/>
      <c r="K117" s="12"/>
      <c r="L117" s="12"/>
      <c r="M117" s="11"/>
      <c r="N117" s="11"/>
      <c r="O117" s="11"/>
      <c r="P117" s="11"/>
      <c r="Q117" s="11"/>
      <c r="R117" s="11"/>
      <c r="S117" s="11"/>
      <c r="T117" s="11"/>
      <c r="U117" s="11"/>
      <c r="V117" s="11"/>
      <c r="W117" s="11"/>
      <c r="X117" s="11"/>
      <c r="Y117" s="11"/>
      <c r="Z117" s="11"/>
      <c r="AA117" s="11"/>
      <c r="AB117" s="11"/>
      <c r="AC117" s="11"/>
      <c r="AD117" s="11"/>
    </row>
    <row r="118" spans="1:30" ht="16" x14ac:dyDescent="0.2">
      <c r="A118" s="11"/>
      <c r="B118" s="12"/>
      <c r="C118" s="12"/>
      <c r="D118" s="12"/>
      <c r="E118" s="12"/>
      <c r="F118" s="12"/>
      <c r="G118" s="12"/>
      <c r="H118" s="12"/>
      <c r="I118" s="12"/>
      <c r="J118" s="12"/>
      <c r="K118" s="12"/>
      <c r="L118" s="12"/>
      <c r="M118" s="11"/>
      <c r="N118" s="11"/>
      <c r="O118" s="11"/>
      <c r="P118" s="11"/>
      <c r="Q118" s="11"/>
      <c r="R118" s="11"/>
      <c r="S118" s="11"/>
      <c r="T118" s="11"/>
      <c r="U118" s="11"/>
      <c r="V118" s="11"/>
      <c r="W118" s="11"/>
      <c r="X118" s="11"/>
      <c r="Y118" s="11"/>
      <c r="Z118" s="11"/>
      <c r="AA118" s="11"/>
      <c r="AB118" s="11"/>
      <c r="AC118" s="11"/>
      <c r="AD118" s="11"/>
    </row>
    <row r="119" spans="1:30" ht="16" x14ac:dyDescent="0.2">
      <c r="A119" s="11"/>
      <c r="B119" s="12"/>
      <c r="C119" s="12"/>
      <c r="D119" s="12"/>
      <c r="E119" s="12"/>
      <c r="F119" s="12"/>
      <c r="G119" s="12"/>
      <c r="H119" s="12"/>
      <c r="I119" s="12"/>
      <c r="J119" s="12"/>
      <c r="K119" s="12"/>
      <c r="L119" s="12"/>
      <c r="M119" s="11"/>
      <c r="N119" s="11"/>
      <c r="O119" s="11"/>
      <c r="P119" s="11"/>
      <c r="Q119" s="11"/>
      <c r="R119" s="11"/>
      <c r="S119" s="11"/>
      <c r="T119" s="11"/>
      <c r="U119" s="11"/>
      <c r="V119" s="11"/>
      <c r="W119" s="11"/>
      <c r="X119" s="11"/>
      <c r="Y119" s="11"/>
      <c r="Z119" s="11"/>
      <c r="AA119" s="11"/>
      <c r="AB119" s="11"/>
      <c r="AC119" s="11"/>
      <c r="AD119" s="11"/>
    </row>
    <row r="120" spans="1:30" ht="16" x14ac:dyDescent="0.2">
      <c r="A120" s="11"/>
      <c r="B120" s="12"/>
      <c r="C120" s="12"/>
      <c r="D120" s="12"/>
      <c r="E120" s="12"/>
      <c r="F120" s="12"/>
      <c r="G120" s="12"/>
      <c r="H120" s="12"/>
      <c r="I120" s="12"/>
      <c r="J120" s="12"/>
      <c r="K120" s="12"/>
      <c r="L120" s="12"/>
      <c r="M120" s="11"/>
      <c r="N120" s="11"/>
      <c r="O120" s="11"/>
      <c r="P120" s="11"/>
      <c r="Q120" s="11"/>
      <c r="R120" s="11"/>
      <c r="S120" s="11"/>
      <c r="T120" s="11"/>
      <c r="U120" s="11"/>
      <c r="V120" s="11"/>
      <c r="W120" s="11"/>
      <c r="X120" s="11"/>
      <c r="Y120" s="11"/>
      <c r="Z120" s="11"/>
      <c r="AA120" s="11"/>
      <c r="AB120" s="11"/>
      <c r="AC120" s="11"/>
      <c r="AD120" s="11"/>
    </row>
    <row r="121" spans="1:30" ht="16" x14ac:dyDescent="0.2">
      <c r="A121" s="11"/>
      <c r="B121" s="12"/>
      <c r="C121" s="12"/>
      <c r="D121" s="12"/>
      <c r="E121" s="12"/>
      <c r="F121" s="12"/>
      <c r="G121" s="12"/>
      <c r="H121" s="12"/>
      <c r="I121" s="12"/>
      <c r="J121" s="12"/>
      <c r="K121" s="12"/>
      <c r="L121" s="12"/>
      <c r="M121" s="11"/>
      <c r="N121" s="11"/>
      <c r="O121" s="11"/>
      <c r="P121" s="11"/>
      <c r="Q121" s="11"/>
      <c r="R121" s="11"/>
      <c r="S121" s="11"/>
      <c r="T121" s="11"/>
      <c r="U121" s="11"/>
      <c r="V121" s="11"/>
      <c r="W121" s="11"/>
      <c r="X121" s="11"/>
      <c r="Y121" s="11"/>
      <c r="Z121" s="11"/>
      <c r="AA121" s="11"/>
      <c r="AB121" s="11"/>
      <c r="AC121" s="11"/>
      <c r="AD121" s="11"/>
    </row>
    <row r="122" spans="1:30" ht="16" x14ac:dyDescent="0.2">
      <c r="A122" s="11"/>
      <c r="B122" s="12"/>
      <c r="C122" s="12"/>
      <c r="D122" s="12"/>
      <c r="E122" s="12"/>
      <c r="F122" s="12"/>
      <c r="G122" s="12"/>
      <c r="H122" s="12"/>
      <c r="I122" s="12"/>
      <c r="J122" s="12"/>
      <c r="K122" s="12"/>
      <c r="L122" s="12"/>
      <c r="M122" s="11"/>
      <c r="N122" s="11"/>
      <c r="O122" s="11"/>
      <c r="P122" s="11"/>
      <c r="Q122" s="11"/>
      <c r="R122" s="11"/>
      <c r="S122" s="11"/>
      <c r="T122" s="11"/>
      <c r="U122" s="11"/>
      <c r="V122" s="11"/>
      <c r="W122" s="11"/>
      <c r="X122" s="11"/>
      <c r="Y122" s="11"/>
      <c r="Z122" s="11"/>
      <c r="AA122" s="11"/>
      <c r="AB122" s="11"/>
      <c r="AC122" s="11"/>
      <c r="AD122" s="11"/>
    </row>
    <row r="123" spans="1:30" ht="16" x14ac:dyDescent="0.2">
      <c r="A123" s="11"/>
      <c r="B123" s="12"/>
      <c r="C123" s="12"/>
      <c r="D123" s="12"/>
      <c r="E123" s="12"/>
      <c r="F123" s="12"/>
      <c r="G123" s="12"/>
      <c r="H123" s="12"/>
      <c r="I123" s="12"/>
      <c r="J123" s="12"/>
      <c r="K123" s="12"/>
      <c r="L123" s="12"/>
      <c r="M123" s="11"/>
      <c r="N123" s="11"/>
      <c r="O123" s="11"/>
      <c r="P123" s="11"/>
      <c r="Q123" s="11"/>
      <c r="R123" s="11"/>
      <c r="S123" s="11"/>
      <c r="T123" s="11"/>
      <c r="U123" s="11"/>
      <c r="V123" s="11"/>
      <c r="W123" s="11"/>
      <c r="X123" s="11"/>
      <c r="Y123" s="11"/>
      <c r="Z123" s="11"/>
      <c r="AA123" s="11"/>
      <c r="AB123" s="11"/>
      <c r="AC123" s="11"/>
      <c r="AD123" s="11"/>
    </row>
    <row r="124" spans="1:30" ht="16" x14ac:dyDescent="0.2">
      <c r="A124" s="11"/>
      <c r="B124" s="12"/>
      <c r="C124" s="12"/>
      <c r="D124" s="12"/>
      <c r="E124" s="12"/>
      <c r="F124" s="12"/>
      <c r="G124" s="12"/>
      <c r="H124" s="12"/>
      <c r="I124" s="12"/>
      <c r="J124" s="12"/>
      <c r="K124" s="12"/>
      <c r="L124" s="12"/>
      <c r="M124" s="11"/>
      <c r="N124" s="11"/>
      <c r="O124" s="11"/>
      <c r="P124" s="11"/>
      <c r="Q124" s="11"/>
      <c r="R124" s="11"/>
      <c r="S124" s="11"/>
      <c r="T124" s="11"/>
      <c r="U124" s="11"/>
      <c r="V124" s="11"/>
      <c r="W124" s="11"/>
      <c r="X124" s="11"/>
      <c r="Y124" s="11"/>
      <c r="Z124" s="11"/>
      <c r="AA124" s="11"/>
      <c r="AB124" s="11"/>
      <c r="AC124" s="11"/>
      <c r="AD124" s="11"/>
    </row>
    <row r="125" spans="1:30" ht="16" x14ac:dyDescent="0.2">
      <c r="A125" s="11"/>
      <c r="B125" s="12"/>
      <c r="C125" s="12"/>
      <c r="D125" s="12"/>
      <c r="E125" s="12"/>
      <c r="F125" s="12"/>
      <c r="G125" s="12"/>
      <c r="H125" s="12"/>
      <c r="I125" s="12"/>
      <c r="J125" s="12"/>
      <c r="K125" s="12"/>
      <c r="L125" s="12"/>
      <c r="M125" s="11"/>
      <c r="N125" s="11"/>
      <c r="O125" s="11"/>
      <c r="P125" s="11"/>
      <c r="Q125" s="11"/>
      <c r="R125" s="11"/>
      <c r="S125" s="11"/>
      <c r="T125" s="11"/>
      <c r="U125" s="11"/>
      <c r="V125" s="11"/>
      <c r="W125" s="11"/>
      <c r="X125" s="11"/>
      <c r="Y125" s="11"/>
      <c r="Z125" s="11"/>
      <c r="AA125" s="11"/>
      <c r="AB125" s="11"/>
      <c r="AC125" s="11"/>
      <c r="AD125" s="11"/>
    </row>
    <row r="126" spans="1:30" ht="16" x14ac:dyDescent="0.2">
      <c r="A126" s="11"/>
      <c r="B126" s="12"/>
      <c r="C126" s="12"/>
      <c r="D126" s="12"/>
      <c r="E126" s="12"/>
      <c r="F126" s="12"/>
      <c r="G126" s="12"/>
      <c r="H126" s="12"/>
      <c r="I126" s="12"/>
      <c r="J126" s="12"/>
      <c r="K126" s="12"/>
      <c r="L126" s="12"/>
      <c r="M126" s="11"/>
      <c r="N126" s="11"/>
      <c r="O126" s="11"/>
      <c r="P126" s="11"/>
      <c r="Q126" s="11"/>
      <c r="R126" s="11"/>
      <c r="S126" s="11"/>
      <c r="T126" s="11"/>
      <c r="U126" s="11"/>
      <c r="V126" s="11"/>
      <c r="W126" s="11"/>
      <c r="X126" s="11"/>
      <c r="Y126" s="11"/>
      <c r="Z126" s="11"/>
      <c r="AA126" s="11"/>
      <c r="AB126" s="11"/>
      <c r="AC126" s="11"/>
      <c r="AD126" s="11"/>
    </row>
    <row r="127" spans="1:30" ht="16" x14ac:dyDescent="0.2">
      <c r="A127" s="11"/>
      <c r="B127" s="12"/>
      <c r="C127" s="12"/>
      <c r="D127" s="12"/>
      <c r="E127" s="12"/>
      <c r="F127" s="12"/>
      <c r="G127" s="12"/>
      <c r="H127" s="12"/>
      <c r="I127" s="12"/>
      <c r="J127" s="12"/>
      <c r="K127" s="12"/>
      <c r="L127" s="12"/>
      <c r="M127" s="11"/>
      <c r="N127" s="11"/>
      <c r="O127" s="11"/>
      <c r="P127" s="11"/>
      <c r="Q127" s="11"/>
      <c r="R127" s="11"/>
      <c r="S127" s="11"/>
      <c r="T127" s="11"/>
      <c r="U127" s="11"/>
      <c r="V127" s="11"/>
      <c r="W127" s="11"/>
      <c r="X127" s="11"/>
      <c r="Y127" s="11"/>
      <c r="Z127" s="11"/>
      <c r="AA127" s="11"/>
      <c r="AB127" s="11"/>
      <c r="AC127" s="11"/>
      <c r="AD127" s="11"/>
    </row>
    <row r="128" spans="1:30" ht="16" x14ac:dyDescent="0.2">
      <c r="A128" s="11"/>
      <c r="B128" s="12"/>
      <c r="C128" s="12"/>
      <c r="D128" s="12"/>
      <c r="E128" s="12"/>
      <c r="F128" s="12"/>
      <c r="G128" s="12"/>
      <c r="H128" s="12"/>
      <c r="I128" s="12"/>
      <c r="J128" s="12"/>
      <c r="K128" s="12"/>
      <c r="L128" s="12"/>
      <c r="M128" s="11"/>
      <c r="N128" s="11"/>
      <c r="O128" s="11"/>
      <c r="P128" s="11"/>
      <c r="Q128" s="11"/>
      <c r="R128" s="11"/>
      <c r="S128" s="11"/>
      <c r="T128" s="11"/>
      <c r="U128" s="11"/>
      <c r="V128" s="11"/>
      <c r="W128" s="11"/>
      <c r="X128" s="11"/>
      <c r="Y128" s="11"/>
      <c r="Z128" s="11"/>
      <c r="AA128" s="11"/>
      <c r="AB128" s="11"/>
      <c r="AC128" s="11"/>
      <c r="AD128" s="11"/>
    </row>
    <row r="129" spans="1:30" ht="16" x14ac:dyDescent="0.2">
      <c r="A129" s="11"/>
      <c r="B129" s="12"/>
      <c r="C129" s="12"/>
      <c r="D129" s="12"/>
      <c r="E129" s="12"/>
      <c r="F129" s="12"/>
      <c r="G129" s="12"/>
      <c r="H129" s="12"/>
      <c r="I129" s="12"/>
      <c r="J129" s="12"/>
      <c r="K129" s="12"/>
      <c r="L129" s="12"/>
      <c r="M129" s="11"/>
      <c r="N129" s="11"/>
      <c r="O129" s="11"/>
      <c r="P129" s="11"/>
      <c r="Q129" s="11"/>
      <c r="R129" s="11"/>
      <c r="S129" s="11"/>
      <c r="T129" s="11"/>
      <c r="U129" s="11"/>
      <c r="V129" s="11"/>
      <c r="W129" s="11"/>
      <c r="X129" s="11"/>
      <c r="Y129" s="11"/>
      <c r="Z129" s="11"/>
      <c r="AA129" s="11"/>
      <c r="AB129" s="11"/>
      <c r="AC129" s="11"/>
      <c r="AD129" s="11"/>
    </row>
    <row r="130" spans="1:30" ht="16" x14ac:dyDescent="0.2">
      <c r="A130" s="11"/>
      <c r="B130" s="12"/>
      <c r="C130" s="12"/>
      <c r="D130" s="12"/>
      <c r="E130" s="12"/>
      <c r="F130" s="12"/>
      <c r="G130" s="12"/>
      <c r="H130" s="12"/>
      <c r="I130" s="12"/>
      <c r="J130" s="12"/>
      <c r="K130" s="12"/>
      <c r="L130" s="12"/>
      <c r="M130" s="11"/>
      <c r="N130" s="11"/>
      <c r="O130" s="11"/>
      <c r="P130" s="11"/>
      <c r="Q130" s="11"/>
      <c r="R130" s="11"/>
      <c r="S130" s="11"/>
      <c r="T130" s="11"/>
      <c r="U130" s="11"/>
      <c r="V130" s="11"/>
      <c r="W130" s="11"/>
      <c r="X130" s="11"/>
      <c r="Y130" s="11"/>
      <c r="Z130" s="11"/>
      <c r="AA130" s="11"/>
      <c r="AB130" s="11"/>
      <c r="AC130" s="11"/>
      <c r="AD130" s="11"/>
    </row>
    <row r="131" spans="1:30" ht="16" x14ac:dyDescent="0.2">
      <c r="A131" s="11"/>
      <c r="B131" s="12"/>
      <c r="C131" s="12"/>
      <c r="D131" s="12"/>
      <c r="E131" s="12"/>
      <c r="F131" s="12"/>
      <c r="G131" s="12"/>
      <c r="H131" s="12"/>
      <c r="I131" s="12"/>
      <c r="J131" s="12"/>
      <c r="K131" s="12"/>
      <c r="L131" s="12"/>
      <c r="M131" s="11"/>
      <c r="N131" s="11"/>
      <c r="O131" s="11"/>
      <c r="P131" s="11"/>
      <c r="Q131" s="11"/>
      <c r="R131" s="11"/>
      <c r="S131" s="11"/>
      <c r="T131" s="11"/>
      <c r="U131" s="11"/>
      <c r="V131" s="11"/>
      <c r="W131" s="11"/>
      <c r="X131" s="11"/>
      <c r="Y131" s="11"/>
      <c r="Z131" s="11"/>
      <c r="AA131" s="11"/>
      <c r="AB131" s="11"/>
      <c r="AC131" s="11"/>
      <c r="AD131" s="11"/>
    </row>
    <row r="132" spans="1:30" ht="16" x14ac:dyDescent="0.2">
      <c r="A132" s="11"/>
      <c r="B132" s="12"/>
      <c r="C132" s="12"/>
      <c r="D132" s="12"/>
      <c r="E132" s="12"/>
      <c r="F132" s="12"/>
      <c r="G132" s="12"/>
      <c r="H132" s="12"/>
      <c r="I132" s="12"/>
      <c r="J132" s="12"/>
      <c r="K132" s="12"/>
      <c r="L132" s="12"/>
      <c r="M132" s="11"/>
      <c r="N132" s="11"/>
      <c r="O132" s="11"/>
      <c r="P132" s="11"/>
      <c r="Q132" s="11"/>
      <c r="R132" s="11"/>
      <c r="S132" s="11"/>
      <c r="T132" s="11"/>
      <c r="U132" s="11"/>
      <c r="V132" s="11"/>
      <c r="W132" s="11"/>
      <c r="X132" s="11"/>
      <c r="Y132" s="11"/>
      <c r="Z132" s="11"/>
      <c r="AA132" s="11"/>
      <c r="AB132" s="11"/>
      <c r="AC132" s="11"/>
      <c r="AD132" s="11"/>
    </row>
    <row r="133" spans="1:30" ht="16" x14ac:dyDescent="0.2">
      <c r="A133" s="11"/>
      <c r="B133" s="12"/>
      <c r="C133" s="12"/>
      <c r="D133" s="12"/>
      <c r="E133" s="12"/>
      <c r="F133" s="12"/>
      <c r="G133" s="12"/>
      <c r="H133" s="12"/>
      <c r="I133" s="12"/>
      <c r="J133" s="12"/>
      <c r="K133" s="12"/>
      <c r="L133" s="12"/>
      <c r="M133" s="11"/>
      <c r="N133" s="11"/>
      <c r="O133" s="11"/>
      <c r="P133" s="11"/>
      <c r="Q133" s="11"/>
      <c r="R133" s="11"/>
      <c r="S133" s="11"/>
      <c r="T133" s="11"/>
      <c r="U133" s="11"/>
      <c r="V133" s="11"/>
      <c r="W133" s="11"/>
      <c r="X133" s="11"/>
      <c r="Y133" s="11"/>
      <c r="Z133" s="11"/>
      <c r="AA133" s="11"/>
      <c r="AB133" s="11"/>
      <c r="AC133" s="11"/>
      <c r="AD133" s="11"/>
    </row>
    <row r="134" spans="1:30" ht="16" x14ac:dyDescent="0.2">
      <c r="A134" s="11"/>
      <c r="B134" s="12"/>
      <c r="C134" s="12"/>
      <c r="D134" s="12"/>
      <c r="E134" s="12"/>
      <c r="F134" s="12"/>
      <c r="G134" s="12"/>
      <c r="H134" s="12"/>
      <c r="I134" s="12"/>
      <c r="J134" s="12"/>
      <c r="K134" s="12"/>
      <c r="L134" s="12"/>
      <c r="M134" s="11"/>
      <c r="N134" s="11"/>
      <c r="O134" s="11"/>
      <c r="P134" s="11"/>
      <c r="Q134" s="11"/>
      <c r="R134" s="11"/>
      <c r="S134" s="11"/>
      <c r="T134" s="11"/>
      <c r="U134" s="11"/>
      <c r="V134" s="11"/>
      <c r="W134" s="11"/>
      <c r="X134" s="11"/>
      <c r="Y134" s="11"/>
      <c r="Z134" s="11"/>
      <c r="AA134" s="11"/>
      <c r="AB134" s="11"/>
      <c r="AC134" s="11"/>
      <c r="AD134" s="11"/>
    </row>
    <row r="135" spans="1:30" ht="16" x14ac:dyDescent="0.2">
      <c r="A135" s="11"/>
      <c r="B135" s="12"/>
      <c r="C135" s="12"/>
      <c r="D135" s="12"/>
      <c r="E135" s="12"/>
      <c r="F135" s="12"/>
      <c r="G135" s="12"/>
      <c r="H135" s="12"/>
      <c r="I135" s="12"/>
      <c r="J135" s="12"/>
      <c r="K135" s="12"/>
      <c r="L135" s="12"/>
      <c r="M135" s="11"/>
      <c r="N135" s="11"/>
      <c r="O135" s="11"/>
      <c r="P135" s="11"/>
      <c r="Q135" s="11"/>
      <c r="R135" s="11"/>
      <c r="S135" s="11"/>
      <c r="T135" s="11"/>
      <c r="U135" s="11"/>
      <c r="V135" s="11"/>
      <c r="W135" s="11"/>
      <c r="X135" s="11"/>
      <c r="Y135" s="11"/>
      <c r="Z135" s="11"/>
      <c r="AA135" s="11"/>
      <c r="AB135" s="11"/>
      <c r="AC135" s="11"/>
      <c r="AD135" s="11"/>
    </row>
    <row r="136" spans="1:30" ht="16" x14ac:dyDescent="0.2">
      <c r="A136" s="11"/>
      <c r="B136" s="12"/>
      <c r="C136" s="12"/>
      <c r="D136" s="12"/>
      <c r="E136" s="12"/>
      <c r="F136" s="12"/>
      <c r="G136" s="12"/>
      <c r="H136" s="12"/>
      <c r="I136" s="12"/>
      <c r="J136" s="12"/>
      <c r="K136" s="12"/>
      <c r="L136" s="12"/>
      <c r="M136" s="11"/>
      <c r="N136" s="11"/>
      <c r="O136" s="11"/>
      <c r="P136" s="11"/>
      <c r="Q136" s="11"/>
      <c r="R136" s="11"/>
      <c r="S136" s="11"/>
      <c r="T136" s="11"/>
      <c r="U136" s="11"/>
      <c r="V136" s="11"/>
      <c r="W136" s="11"/>
      <c r="X136" s="11"/>
      <c r="Y136" s="11"/>
      <c r="Z136" s="11"/>
      <c r="AA136" s="11"/>
      <c r="AB136" s="11"/>
      <c r="AC136" s="11"/>
      <c r="AD136" s="11"/>
    </row>
    <row r="137" spans="1:30" ht="16" x14ac:dyDescent="0.2">
      <c r="A137" s="11"/>
      <c r="B137" s="12"/>
      <c r="C137" s="12"/>
      <c r="D137" s="12"/>
      <c r="E137" s="12"/>
      <c r="F137" s="12"/>
      <c r="G137" s="12"/>
      <c r="H137" s="12"/>
      <c r="I137" s="12"/>
      <c r="J137" s="12"/>
      <c r="K137" s="12"/>
      <c r="L137" s="12"/>
      <c r="M137" s="11"/>
      <c r="N137" s="11"/>
      <c r="O137" s="11"/>
      <c r="P137" s="11"/>
      <c r="Q137" s="11"/>
      <c r="R137" s="11"/>
      <c r="S137" s="11"/>
      <c r="T137" s="11"/>
      <c r="U137" s="11"/>
      <c r="V137" s="11"/>
      <c r="W137" s="11"/>
      <c r="X137" s="11"/>
      <c r="Y137" s="11"/>
      <c r="Z137" s="11"/>
      <c r="AA137" s="11"/>
      <c r="AB137" s="11"/>
      <c r="AC137" s="11"/>
      <c r="AD137" s="11"/>
    </row>
    <row r="138" spans="1:30" ht="16" x14ac:dyDescent="0.2">
      <c r="A138" s="11"/>
      <c r="B138" s="12"/>
      <c r="C138" s="12"/>
      <c r="D138" s="12"/>
      <c r="E138" s="12"/>
      <c r="F138" s="12"/>
      <c r="G138" s="12"/>
      <c r="H138" s="12"/>
      <c r="I138" s="12"/>
      <c r="J138" s="12"/>
      <c r="K138" s="12"/>
      <c r="L138" s="12"/>
      <c r="M138" s="11"/>
      <c r="N138" s="11"/>
      <c r="O138" s="11"/>
      <c r="P138" s="11"/>
      <c r="Q138" s="11"/>
      <c r="R138" s="11"/>
      <c r="S138" s="11"/>
      <c r="T138" s="11"/>
      <c r="U138" s="11"/>
      <c r="V138" s="11"/>
      <c r="W138" s="11"/>
      <c r="X138" s="11"/>
      <c r="Y138" s="11"/>
      <c r="Z138" s="11"/>
      <c r="AA138" s="11"/>
      <c r="AB138" s="11"/>
      <c r="AC138" s="11"/>
      <c r="AD138" s="11"/>
    </row>
    <row r="139" spans="1:30" ht="16" x14ac:dyDescent="0.2">
      <c r="A139" s="11"/>
      <c r="B139" s="12"/>
      <c r="C139" s="12"/>
      <c r="D139" s="12"/>
      <c r="E139" s="12"/>
      <c r="F139" s="12"/>
      <c r="G139" s="12"/>
      <c r="H139" s="12"/>
      <c r="I139" s="12"/>
      <c r="J139" s="12"/>
      <c r="K139" s="12"/>
      <c r="L139" s="12"/>
      <c r="M139" s="11"/>
      <c r="N139" s="11"/>
      <c r="O139" s="11"/>
      <c r="P139" s="11"/>
      <c r="Q139" s="11"/>
      <c r="R139" s="11"/>
      <c r="S139" s="11"/>
      <c r="T139" s="11"/>
      <c r="U139" s="11"/>
      <c r="V139" s="11"/>
      <c r="W139" s="11"/>
      <c r="X139" s="11"/>
      <c r="Y139" s="11"/>
      <c r="Z139" s="11"/>
      <c r="AA139" s="11"/>
      <c r="AB139" s="11"/>
      <c r="AC139" s="11"/>
      <c r="AD139" s="11"/>
    </row>
    <row r="140" spans="1:30" ht="16" x14ac:dyDescent="0.2">
      <c r="A140" s="11"/>
      <c r="B140" s="12"/>
      <c r="C140" s="12"/>
      <c r="D140" s="12"/>
      <c r="E140" s="12"/>
      <c r="F140" s="12"/>
      <c r="G140" s="12"/>
      <c r="H140" s="12"/>
      <c r="I140" s="12"/>
      <c r="J140" s="12"/>
      <c r="K140" s="12"/>
      <c r="L140" s="12"/>
      <c r="M140" s="11"/>
      <c r="N140" s="11"/>
      <c r="O140" s="11"/>
      <c r="P140" s="11"/>
      <c r="Q140" s="11"/>
      <c r="R140" s="11"/>
      <c r="S140" s="11"/>
      <c r="T140" s="11"/>
      <c r="U140" s="11"/>
      <c r="V140" s="11"/>
      <c r="W140" s="11"/>
      <c r="X140" s="11"/>
      <c r="Y140" s="11"/>
      <c r="Z140" s="11"/>
      <c r="AA140" s="11"/>
      <c r="AB140" s="11"/>
      <c r="AC140" s="11"/>
      <c r="AD140" s="11"/>
    </row>
    <row r="141" spans="1:30" ht="16" x14ac:dyDescent="0.2">
      <c r="A141" s="11"/>
      <c r="B141" s="12"/>
      <c r="C141" s="12"/>
      <c r="D141" s="12"/>
      <c r="E141" s="12"/>
      <c r="F141" s="12"/>
      <c r="G141" s="12"/>
      <c r="H141" s="12"/>
      <c r="I141" s="12"/>
      <c r="J141" s="12"/>
      <c r="K141" s="12"/>
      <c r="L141" s="12"/>
      <c r="M141" s="11"/>
      <c r="N141" s="11"/>
      <c r="O141" s="11"/>
      <c r="P141" s="11"/>
      <c r="Q141" s="11"/>
      <c r="R141" s="11"/>
      <c r="S141" s="11"/>
      <c r="T141" s="11"/>
      <c r="U141" s="11"/>
      <c r="V141" s="11"/>
      <c r="W141" s="11"/>
      <c r="X141" s="11"/>
      <c r="Y141" s="11"/>
      <c r="Z141" s="11"/>
      <c r="AA141" s="11"/>
      <c r="AB141" s="11"/>
      <c r="AC141" s="11"/>
      <c r="AD141" s="11"/>
    </row>
    <row r="142" spans="1:30" ht="16" x14ac:dyDescent="0.2">
      <c r="A142" s="11"/>
      <c r="B142" s="12"/>
      <c r="C142" s="12"/>
      <c r="D142" s="12"/>
      <c r="E142" s="12"/>
      <c r="F142" s="12"/>
      <c r="G142" s="12"/>
      <c r="H142" s="12"/>
      <c r="I142" s="12"/>
      <c r="J142" s="12"/>
      <c r="K142" s="12"/>
      <c r="L142" s="12"/>
      <c r="M142" s="11"/>
      <c r="N142" s="11"/>
      <c r="O142" s="11"/>
      <c r="P142" s="11"/>
      <c r="Q142" s="11"/>
      <c r="R142" s="11"/>
      <c r="S142" s="11"/>
      <c r="T142" s="11"/>
      <c r="U142" s="11"/>
      <c r="V142" s="11"/>
      <c r="W142" s="11"/>
      <c r="X142" s="11"/>
      <c r="Y142" s="11"/>
      <c r="Z142" s="11"/>
      <c r="AA142" s="11"/>
      <c r="AB142" s="11"/>
      <c r="AC142" s="11"/>
      <c r="AD142" s="11"/>
    </row>
    <row r="143" spans="1:30" ht="16" x14ac:dyDescent="0.2">
      <c r="A143" s="11"/>
      <c r="B143" s="12"/>
      <c r="C143" s="12"/>
      <c r="D143" s="12"/>
      <c r="E143" s="12"/>
      <c r="F143" s="12"/>
      <c r="G143" s="12"/>
      <c r="H143" s="12"/>
      <c r="I143" s="12"/>
      <c r="J143" s="12"/>
      <c r="K143" s="12"/>
      <c r="L143" s="12"/>
      <c r="M143" s="11"/>
      <c r="N143" s="11"/>
      <c r="O143" s="11"/>
      <c r="P143" s="11"/>
      <c r="Q143" s="11"/>
      <c r="R143" s="11"/>
      <c r="S143" s="11"/>
      <c r="T143" s="11"/>
      <c r="U143" s="11"/>
      <c r="V143" s="11"/>
      <c r="W143" s="11"/>
      <c r="X143" s="11"/>
      <c r="Y143" s="11"/>
      <c r="Z143" s="11"/>
      <c r="AA143" s="11"/>
      <c r="AB143" s="11"/>
      <c r="AC143" s="11"/>
      <c r="AD143" s="11"/>
    </row>
    <row r="144" spans="1:30" ht="16" x14ac:dyDescent="0.2">
      <c r="A144" s="11"/>
      <c r="B144" s="12"/>
      <c r="C144" s="12"/>
      <c r="D144" s="12"/>
      <c r="E144" s="12"/>
      <c r="F144" s="12"/>
      <c r="G144" s="12"/>
      <c r="H144" s="12"/>
      <c r="I144" s="12"/>
      <c r="J144" s="12"/>
      <c r="K144" s="12"/>
      <c r="L144" s="12"/>
      <c r="M144" s="11"/>
      <c r="N144" s="11"/>
      <c r="O144" s="11"/>
      <c r="P144" s="11"/>
      <c r="Q144" s="11"/>
      <c r="R144" s="11"/>
      <c r="S144" s="11"/>
      <c r="T144" s="11"/>
      <c r="U144" s="11"/>
      <c r="V144" s="11"/>
      <c r="W144" s="11"/>
      <c r="X144" s="11"/>
      <c r="Y144" s="11"/>
      <c r="Z144" s="11"/>
      <c r="AA144" s="11"/>
      <c r="AB144" s="11"/>
      <c r="AC144" s="11"/>
      <c r="AD144" s="11"/>
    </row>
    <row r="145" spans="1:30" ht="16" x14ac:dyDescent="0.2">
      <c r="A145" s="11"/>
      <c r="B145" s="12"/>
      <c r="C145" s="12"/>
      <c r="D145" s="12"/>
      <c r="E145" s="12"/>
      <c r="F145" s="12"/>
      <c r="G145" s="12"/>
      <c r="H145" s="12"/>
      <c r="I145" s="12"/>
      <c r="J145" s="12"/>
      <c r="K145" s="12"/>
      <c r="L145" s="12"/>
      <c r="M145" s="11"/>
      <c r="N145" s="11"/>
      <c r="O145" s="11"/>
      <c r="P145" s="11"/>
      <c r="Q145" s="11"/>
      <c r="R145" s="11"/>
      <c r="S145" s="11"/>
      <c r="T145" s="11"/>
      <c r="U145" s="11"/>
      <c r="V145" s="11"/>
      <c r="W145" s="11"/>
      <c r="X145" s="11"/>
      <c r="Y145" s="11"/>
      <c r="Z145" s="11"/>
      <c r="AA145" s="11"/>
      <c r="AB145" s="11"/>
      <c r="AC145" s="11"/>
      <c r="AD145" s="11"/>
    </row>
    <row r="146" spans="1:30" ht="16" x14ac:dyDescent="0.2">
      <c r="A146" s="11"/>
      <c r="B146" s="12"/>
      <c r="C146" s="12"/>
      <c r="D146" s="12"/>
      <c r="E146" s="12"/>
      <c r="F146" s="12"/>
      <c r="G146" s="12"/>
      <c r="H146" s="12"/>
      <c r="I146" s="12"/>
      <c r="J146" s="12"/>
      <c r="K146" s="12"/>
      <c r="L146" s="12"/>
      <c r="M146" s="11"/>
      <c r="N146" s="11"/>
      <c r="O146" s="11"/>
      <c r="P146" s="11"/>
      <c r="Q146" s="11"/>
      <c r="R146" s="11"/>
      <c r="S146" s="11"/>
      <c r="T146" s="11"/>
      <c r="U146" s="11"/>
      <c r="V146" s="11"/>
      <c r="W146" s="11"/>
      <c r="X146" s="11"/>
      <c r="Y146" s="11"/>
      <c r="Z146" s="11"/>
      <c r="AA146" s="11"/>
      <c r="AB146" s="11"/>
      <c r="AC146" s="11"/>
      <c r="AD146" s="11"/>
    </row>
    <row r="147" spans="1:30" ht="16" x14ac:dyDescent="0.2">
      <c r="A147" s="11"/>
      <c r="B147" s="12"/>
      <c r="C147" s="12"/>
      <c r="D147" s="12"/>
      <c r="E147" s="12"/>
      <c r="F147" s="12"/>
      <c r="G147" s="12"/>
      <c r="H147" s="12"/>
      <c r="I147" s="12"/>
      <c r="J147" s="12"/>
      <c r="K147" s="12"/>
      <c r="L147" s="12"/>
      <c r="M147" s="11"/>
      <c r="N147" s="11"/>
      <c r="O147" s="11"/>
      <c r="P147" s="11"/>
      <c r="Q147" s="11"/>
      <c r="R147" s="11"/>
      <c r="S147" s="11"/>
      <c r="T147" s="11"/>
      <c r="U147" s="11"/>
      <c r="V147" s="11"/>
      <c r="W147" s="11"/>
      <c r="X147" s="11"/>
      <c r="Y147" s="11"/>
      <c r="Z147" s="11"/>
      <c r="AA147" s="11"/>
      <c r="AB147" s="11"/>
      <c r="AC147" s="11"/>
      <c r="AD147" s="11"/>
    </row>
    <row r="148" spans="1:30" ht="16" x14ac:dyDescent="0.2">
      <c r="A148" s="11"/>
      <c r="B148" s="12"/>
      <c r="C148" s="12"/>
      <c r="D148" s="12"/>
      <c r="E148" s="12"/>
      <c r="F148" s="12"/>
      <c r="G148" s="12"/>
      <c r="H148" s="12"/>
      <c r="I148" s="12"/>
      <c r="J148" s="12"/>
      <c r="K148" s="12"/>
      <c r="L148" s="12"/>
      <c r="M148" s="11"/>
      <c r="N148" s="11"/>
      <c r="O148" s="11"/>
      <c r="P148" s="11"/>
      <c r="Q148" s="11"/>
      <c r="R148" s="11"/>
      <c r="S148" s="11"/>
      <c r="T148" s="11"/>
      <c r="U148" s="11"/>
      <c r="V148" s="11"/>
      <c r="W148" s="11"/>
      <c r="X148" s="11"/>
      <c r="Y148" s="11"/>
      <c r="Z148" s="11"/>
      <c r="AA148" s="11"/>
      <c r="AB148" s="11"/>
      <c r="AC148" s="11"/>
      <c r="AD148" s="11"/>
    </row>
    <row r="149" spans="1:30" ht="16" x14ac:dyDescent="0.2">
      <c r="A149" s="11"/>
      <c r="B149" s="12"/>
      <c r="C149" s="12"/>
      <c r="D149" s="12"/>
      <c r="E149" s="12"/>
      <c r="F149" s="12"/>
      <c r="G149" s="12"/>
      <c r="H149" s="12"/>
      <c r="I149" s="12"/>
      <c r="J149" s="12"/>
      <c r="K149" s="12"/>
      <c r="L149" s="12"/>
      <c r="M149" s="11"/>
      <c r="N149" s="11"/>
      <c r="O149" s="11"/>
      <c r="P149" s="11"/>
      <c r="Q149" s="11"/>
      <c r="R149" s="11"/>
      <c r="S149" s="11"/>
      <c r="T149" s="11"/>
      <c r="U149" s="11"/>
      <c r="V149" s="11"/>
      <c r="W149" s="11"/>
      <c r="X149" s="11"/>
      <c r="Y149" s="11"/>
      <c r="Z149" s="11"/>
      <c r="AA149" s="11"/>
      <c r="AB149" s="11"/>
      <c r="AC149" s="11"/>
      <c r="AD149" s="11"/>
    </row>
    <row r="150" spans="1:30" ht="16" x14ac:dyDescent="0.2">
      <c r="A150" s="11"/>
      <c r="B150" s="12"/>
      <c r="C150" s="12"/>
      <c r="D150" s="12"/>
      <c r="E150" s="12"/>
      <c r="F150" s="12"/>
      <c r="G150" s="12"/>
      <c r="H150" s="12"/>
      <c r="I150" s="12"/>
      <c r="J150" s="12"/>
      <c r="K150" s="12"/>
      <c r="L150" s="12"/>
      <c r="M150" s="11"/>
      <c r="N150" s="11"/>
      <c r="O150" s="11"/>
      <c r="P150" s="11"/>
      <c r="Q150" s="11"/>
      <c r="R150" s="11"/>
      <c r="S150" s="11"/>
      <c r="T150" s="11"/>
      <c r="U150" s="11"/>
      <c r="V150" s="11"/>
      <c r="W150" s="11"/>
      <c r="X150" s="11"/>
      <c r="Y150" s="11"/>
      <c r="Z150" s="11"/>
      <c r="AA150" s="11"/>
      <c r="AB150" s="11"/>
      <c r="AC150" s="11"/>
      <c r="AD150" s="11"/>
    </row>
    <row r="151" spans="1:30" ht="16" x14ac:dyDescent="0.2">
      <c r="A151" s="11"/>
      <c r="B151" s="12"/>
      <c r="C151" s="12"/>
      <c r="D151" s="12"/>
      <c r="E151" s="12"/>
      <c r="F151" s="12"/>
      <c r="G151" s="12"/>
      <c r="H151" s="12"/>
      <c r="I151" s="12"/>
      <c r="J151" s="12"/>
      <c r="K151" s="12"/>
      <c r="L151" s="12"/>
      <c r="M151" s="11"/>
      <c r="N151" s="11"/>
      <c r="O151" s="11"/>
      <c r="P151" s="11"/>
      <c r="Q151" s="11"/>
      <c r="R151" s="11"/>
      <c r="S151" s="11"/>
      <c r="T151" s="11"/>
      <c r="U151" s="11"/>
      <c r="V151" s="11"/>
      <c r="W151" s="11"/>
      <c r="X151" s="11"/>
      <c r="Y151" s="11"/>
      <c r="Z151" s="11"/>
      <c r="AA151" s="11"/>
      <c r="AB151" s="11"/>
      <c r="AC151" s="11"/>
      <c r="AD151" s="11"/>
    </row>
    <row r="152" spans="1:30" ht="16" x14ac:dyDescent="0.2">
      <c r="A152" s="11"/>
      <c r="B152" s="12"/>
      <c r="C152" s="12"/>
      <c r="D152" s="12"/>
      <c r="E152" s="12"/>
      <c r="F152" s="12"/>
      <c r="G152" s="12"/>
      <c r="H152" s="12"/>
      <c r="I152" s="12"/>
      <c r="J152" s="12"/>
      <c r="K152" s="12"/>
      <c r="L152" s="12"/>
      <c r="M152" s="11"/>
      <c r="N152" s="11"/>
      <c r="O152" s="11"/>
      <c r="P152" s="11"/>
      <c r="Q152" s="11"/>
      <c r="R152" s="11"/>
      <c r="S152" s="11"/>
      <c r="T152" s="11"/>
      <c r="U152" s="11"/>
      <c r="V152" s="11"/>
      <c r="W152" s="11"/>
      <c r="X152" s="11"/>
      <c r="Y152" s="11"/>
      <c r="Z152" s="11"/>
      <c r="AA152" s="11"/>
      <c r="AB152" s="11"/>
      <c r="AC152" s="11"/>
      <c r="AD152" s="11"/>
    </row>
    <row r="153" spans="1:30" ht="16" x14ac:dyDescent="0.2">
      <c r="A153" s="11"/>
      <c r="B153" s="12"/>
      <c r="C153" s="12"/>
      <c r="D153" s="12"/>
      <c r="E153" s="12"/>
      <c r="F153" s="12"/>
      <c r="G153" s="12"/>
      <c r="H153" s="12"/>
      <c r="I153" s="12"/>
      <c r="J153" s="12"/>
      <c r="K153" s="12"/>
      <c r="L153" s="12"/>
      <c r="M153" s="11"/>
      <c r="N153" s="11"/>
      <c r="O153" s="11"/>
      <c r="P153" s="11"/>
      <c r="Q153" s="11"/>
      <c r="R153" s="11"/>
      <c r="S153" s="11"/>
      <c r="T153" s="11"/>
      <c r="U153" s="11"/>
      <c r="V153" s="11"/>
      <c r="W153" s="11"/>
      <c r="X153" s="11"/>
      <c r="Y153" s="11"/>
      <c r="Z153" s="11"/>
      <c r="AA153" s="11"/>
      <c r="AB153" s="11"/>
      <c r="AC153" s="11"/>
      <c r="AD153" s="11"/>
    </row>
    <row r="154" spans="1:30" ht="16" x14ac:dyDescent="0.2">
      <c r="A154" s="11"/>
      <c r="B154" s="12"/>
      <c r="C154" s="12"/>
      <c r="D154" s="12"/>
      <c r="E154" s="12"/>
      <c r="F154" s="12"/>
      <c r="G154" s="12"/>
      <c r="H154" s="12"/>
      <c r="I154" s="12"/>
      <c r="J154" s="12"/>
      <c r="K154" s="12"/>
      <c r="L154" s="12"/>
      <c r="M154" s="11"/>
      <c r="N154" s="11"/>
      <c r="O154" s="11"/>
      <c r="P154" s="11"/>
      <c r="Q154" s="11"/>
      <c r="R154" s="11"/>
      <c r="S154" s="11"/>
      <c r="T154" s="11"/>
      <c r="U154" s="11"/>
      <c r="V154" s="11"/>
      <c r="W154" s="11"/>
      <c r="X154" s="11"/>
      <c r="Y154" s="11"/>
      <c r="Z154" s="11"/>
      <c r="AA154" s="11"/>
      <c r="AB154" s="11"/>
      <c r="AC154" s="11"/>
      <c r="AD154" s="11"/>
    </row>
    <row r="155" spans="1:30" ht="16" x14ac:dyDescent="0.2">
      <c r="A155" s="11"/>
      <c r="B155" s="12"/>
      <c r="C155" s="12"/>
      <c r="D155" s="12"/>
      <c r="E155" s="12"/>
      <c r="F155" s="12"/>
      <c r="G155" s="12"/>
      <c r="H155" s="12"/>
      <c r="I155" s="12"/>
      <c r="J155" s="12"/>
      <c r="K155" s="12"/>
      <c r="L155" s="12"/>
      <c r="M155" s="11"/>
      <c r="N155" s="11"/>
      <c r="O155" s="11"/>
      <c r="P155" s="11"/>
      <c r="Q155" s="11"/>
      <c r="R155" s="11"/>
      <c r="S155" s="11"/>
      <c r="T155" s="11"/>
      <c r="U155" s="11"/>
      <c r="V155" s="11"/>
      <c r="W155" s="11"/>
      <c r="X155" s="11"/>
      <c r="Y155" s="11"/>
      <c r="Z155" s="11"/>
      <c r="AA155" s="11"/>
      <c r="AB155" s="11"/>
      <c r="AC155" s="11"/>
      <c r="AD155" s="11"/>
    </row>
    <row r="156" spans="1:30" ht="16" x14ac:dyDescent="0.2">
      <c r="A156" s="11"/>
      <c r="B156" s="12"/>
      <c r="C156" s="12"/>
      <c r="D156" s="12"/>
      <c r="E156" s="12"/>
      <c r="F156" s="12"/>
      <c r="G156" s="12"/>
      <c r="H156" s="12"/>
      <c r="I156" s="12"/>
      <c r="J156" s="12"/>
      <c r="K156" s="12"/>
      <c r="L156" s="12"/>
      <c r="M156" s="11"/>
      <c r="N156" s="11"/>
      <c r="O156" s="11"/>
      <c r="P156" s="11"/>
      <c r="Q156" s="11"/>
      <c r="R156" s="11"/>
      <c r="S156" s="11"/>
      <c r="T156" s="11"/>
      <c r="U156" s="11"/>
      <c r="V156" s="11"/>
      <c r="W156" s="11"/>
      <c r="X156" s="11"/>
      <c r="Y156" s="11"/>
      <c r="Z156" s="11"/>
      <c r="AA156" s="11"/>
      <c r="AB156" s="11"/>
      <c r="AC156" s="11"/>
      <c r="AD156" s="11"/>
    </row>
    <row r="157" spans="1:30" ht="16" x14ac:dyDescent="0.2">
      <c r="A157" s="11"/>
      <c r="B157" s="12"/>
      <c r="C157" s="12"/>
      <c r="D157" s="12"/>
      <c r="E157" s="12"/>
      <c r="F157" s="12"/>
      <c r="G157" s="12"/>
      <c r="H157" s="12"/>
      <c r="I157" s="12"/>
      <c r="J157" s="12"/>
      <c r="K157" s="12"/>
      <c r="L157" s="12"/>
      <c r="M157" s="11"/>
      <c r="N157" s="11"/>
      <c r="O157" s="11"/>
      <c r="P157" s="11"/>
      <c r="Q157" s="11"/>
      <c r="R157" s="11"/>
      <c r="S157" s="11"/>
      <c r="T157" s="11"/>
      <c r="U157" s="11"/>
      <c r="V157" s="11"/>
      <c r="W157" s="11"/>
      <c r="X157" s="11"/>
      <c r="Y157" s="11"/>
      <c r="Z157" s="11"/>
      <c r="AA157" s="11"/>
      <c r="AB157" s="11"/>
      <c r="AC157" s="11"/>
      <c r="AD157" s="11"/>
    </row>
    <row r="158" spans="1:30" ht="16" x14ac:dyDescent="0.2">
      <c r="A158" s="11"/>
      <c r="B158" s="12"/>
      <c r="C158" s="12"/>
      <c r="D158" s="12"/>
      <c r="E158" s="12"/>
      <c r="F158" s="12"/>
      <c r="G158" s="12"/>
      <c r="H158" s="12"/>
      <c r="I158" s="12"/>
      <c r="J158" s="12"/>
      <c r="K158" s="12"/>
      <c r="L158" s="12"/>
      <c r="M158" s="11"/>
      <c r="N158" s="11"/>
      <c r="O158" s="11"/>
      <c r="P158" s="11"/>
      <c r="Q158" s="11"/>
      <c r="R158" s="11"/>
      <c r="S158" s="11"/>
      <c r="T158" s="11"/>
      <c r="U158" s="11"/>
      <c r="V158" s="11"/>
      <c r="W158" s="11"/>
      <c r="X158" s="11"/>
      <c r="Y158" s="11"/>
      <c r="Z158" s="11"/>
      <c r="AA158" s="11"/>
      <c r="AB158" s="11"/>
      <c r="AC158" s="11"/>
      <c r="AD158" s="11"/>
    </row>
    <row r="159" spans="1:30" ht="16" x14ac:dyDescent="0.2">
      <c r="A159" s="11"/>
      <c r="B159" s="12"/>
      <c r="C159" s="12"/>
      <c r="D159" s="12"/>
      <c r="E159" s="12"/>
      <c r="F159" s="12"/>
      <c r="G159" s="12"/>
      <c r="H159" s="12"/>
      <c r="I159" s="12"/>
      <c r="J159" s="12"/>
      <c r="K159" s="12"/>
      <c r="L159" s="12"/>
      <c r="M159" s="11"/>
      <c r="N159" s="11"/>
      <c r="O159" s="11"/>
      <c r="P159" s="11"/>
      <c r="Q159" s="11"/>
      <c r="R159" s="11"/>
      <c r="S159" s="11"/>
      <c r="T159" s="11"/>
      <c r="U159" s="11"/>
      <c r="V159" s="11"/>
      <c r="W159" s="11"/>
      <c r="X159" s="11"/>
      <c r="Y159" s="11"/>
      <c r="Z159" s="11"/>
      <c r="AA159" s="11"/>
      <c r="AB159" s="11"/>
      <c r="AC159" s="11"/>
      <c r="AD159" s="11"/>
    </row>
    <row r="160" spans="1:30" ht="16" x14ac:dyDescent="0.2">
      <c r="A160" s="11"/>
      <c r="B160" s="12"/>
      <c r="C160" s="12"/>
      <c r="D160" s="12"/>
      <c r="E160" s="12"/>
      <c r="F160" s="12"/>
      <c r="G160" s="12"/>
      <c r="H160" s="12"/>
      <c r="I160" s="12"/>
      <c r="J160" s="12"/>
      <c r="K160" s="12"/>
      <c r="L160" s="12"/>
      <c r="M160" s="11"/>
      <c r="N160" s="11"/>
      <c r="O160" s="11"/>
      <c r="P160" s="11"/>
      <c r="Q160" s="11"/>
      <c r="R160" s="11"/>
      <c r="S160" s="11"/>
      <c r="T160" s="11"/>
      <c r="U160" s="11"/>
      <c r="V160" s="11"/>
      <c r="W160" s="11"/>
      <c r="X160" s="11"/>
      <c r="Y160" s="11"/>
      <c r="Z160" s="11"/>
      <c r="AA160" s="11"/>
      <c r="AB160" s="11"/>
      <c r="AC160" s="11"/>
      <c r="AD160" s="11"/>
    </row>
    <row r="161" spans="1:30" ht="16" x14ac:dyDescent="0.2">
      <c r="A161" s="11"/>
      <c r="B161" s="12"/>
      <c r="C161" s="12"/>
      <c r="D161" s="12"/>
      <c r="E161" s="12"/>
      <c r="F161" s="12"/>
      <c r="G161" s="12"/>
      <c r="H161" s="12"/>
      <c r="I161" s="12"/>
      <c r="J161" s="12"/>
      <c r="K161" s="12"/>
      <c r="L161" s="12"/>
      <c r="M161" s="11"/>
      <c r="N161" s="11"/>
      <c r="O161" s="11"/>
      <c r="P161" s="11"/>
      <c r="Q161" s="11"/>
      <c r="R161" s="11"/>
      <c r="S161" s="11"/>
      <c r="T161" s="11"/>
      <c r="U161" s="11"/>
      <c r="V161" s="11"/>
      <c r="W161" s="11"/>
      <c r="X161" s="11"/>
      <c r="Y161" s="11"/>
      <c r="Z161" s="11"/>
      <c r="AA161" s="11"/>
      <c r="AB161" s="11"/>
      <c r="AC161" s="11"/>
      <c r="AD161" s="11"/>
    </row>
    <row r="162" spans="1:30" ht="16" x14ac:dyDescent="0.2">
      <c r="A162" s="11"/>
      <c r="B162" s="12"/>
      <c r="C162" s="12"/>
      <c r="D162" s="12"/>
      <c r="E162" s="12"/>
      <c r="F162" s="12"/>
      <c r="G162" s="12"/>
      <c r="H162" s="12"/>
      <c r="I162" s="12"/>
      <c r="J162" s="12"/>
      <c r="K162" s="12"/>
      <c r="L162" s="12"/>
      <c r="M162" s="11"/>
      <c r="N162" s="11"/>
      <c r="O162" s="11"/>
      <c r="P162" s="11"/>
      <c r="Q162" s="11"/>
      <c r="R162" s="11"/>
      <c r="S162" s="11"/>
      <c r="T162" s="11"/>
      <c r="U162" s="11"/>
      <c r="V162" s="11"/>
      <c r="W162" s="11"/>
      <c r="X162" s="11"/>
      <c r="Y162" s="11"/>
      <c r="Z162" s="11"/>
      <c r="AA162" s="11"/>
      <c r="AB162" s="11"/>
      <c r="AC162" s="11"/>
      <c r="AD162" s="11"/>
    </row>
    <row r="163" spans="1:30" ht="16" x14ac:dyDescent="0.2">
      <c r="A163" s="11"/>
      <c r="B163" s="12"/>
      <c r="C163" s="12"/>
      <c r="D163" s="12"/>
      <c r="E163" s="12"/>
      <c r="F163" s="12"/>
      <c r="G163" s="12"/>
      <c r="H163" s="12"/>
      <c r="I163" s="12"/>
      <c r="J163" s="12"/>
      <c r="K163" s="12"/>
      <c r="L163" s="12"/>
      <c r="M163" s="11"/>
      <c r="N163" s="11"/>
      <c r="O163" s="11"/>
      <c r="P163" s="11"/>
      <c r="Q163" s="11"/>
      <c r="R163" s="11"/>
      <c r="S163" s="11"/>
      <c r="T163" s="11"/>
      <c r="U163" s="11"/>
      <c r="V163" s="11"/>
      <c r="W163" s="11"/>
      <c r="X163" s="11"/>
      <c r="Y163" s="11"/>
      <c r="Z163" s="11"/>
      <c r="AA163" s="11"/>
      <c r="AB163" s="11"/>
      <c r="AC163" s="11"/>
      <c r="AD163" s="11"/>
    </row>
    <row r="164" spans="1:30" ht="16" x14ac:dyDescent="0.2">
      <c r="A164" s="11"/>
      <c r="B164" s="12"/>
      <c r="C164" s="12"/>
      <c r="D164" s="12"/>
      <c r="E164" s="12"/>
      <c r="F164" s="12"/>
      <c r="G164" s="12"/>
      <c r="H164" s="12"/>
      <c r="I164" s="12"/>
      <c r="J164" s="12"/>
      <c r="K164" s="12"/>
      <c r="L164" s="12"/>
      <c r="M164" s="11"/>
      <c r="N164" s="11"/>
      <c r="O164" s="11"/>
      <c r="P164" s="11"/>
      <c r="Q164" s="11"/>
      <c r="R164" s="11"/>
      <c r="S164" s="11"/>
      <c r="T164" s="11"/>
      <c r="U164" s="11"/>
      <c r="V164" s="11"/>
      <c r="W164" s="11"/>
      <c r="X164" s="11"/>
      <c r="Y164" s="11"/>
      <c r="Z164" s="11"/>
      <c r="AA164" s="11"/>
      <c r="AB164" s="11"/>
      <c r="AC164" s="11"/>
      <c r="AD164" s="11"/>
    </row>
    <row r="165" spans="1:30" ht="16" x14ac:dyDescent="0.2">
      <c r="A165" s="11"/>
      <c r="B165" s="12"/>
      <c r="C165" s="12"/>
      <c r="D165" s="12"/>
      <c r="E165" s="12"/>
      <c r="F165" s="12"/>
      <c r="G165" s="12"/>
      <c r="H165" s="12"/>
      <c r="I165" s="12"/>
      <c r="J165" s="12"/>
      <c r="K165" s="12"/>
      <c r="L165" s="12"/>
      <c r="M165" s="11"/>
      <c r="N165" s="11"/>
      <c r="O165" s="11"/>
      <c r="P165" s="11"/>
      <c r="Q165" s="11"/>
      <c r="R165" s="11"/>
      <c r="S165" s="11"/>
      <c r="T165" s="11"/>
      <c r="U165" s="11"/>
      <c r="V165" s="11"/>
      <c r="W165" s="11"/>
      <c r="X165" s="11"/>
      <c r="Y165" s="11"/>
      <c r="Z165" s="11"/>
      <c r="AA165" s="11"/>
      <c r="AB165" s="11"/>
      <c r="AC165" s="11"/>
      <c r="AD165" s="11"/>
    </row>
    <row r="166" spans="1:30" ht="16" x14ac:dyDescent="0.2">
      <c r="A166" s="11"/>
      <c r="B166" s="12"/>
      <c r="C166" s="12"/>
      <c r="D166" s="12"/>
      <c r="E166" s="12"/>
      <c r="F166" s="12"/>
      <c r="G166" s="12"/>
      <c r="H166" s="12"/>
      <c r="I166" s="12"/>
      <c r="J166" s="12"/>
      <c r="K166" s="12"/>
      <c r="L166" s="12"/>
      <c r="M166" s="11"/>
      <c r="N166" s="11"/>
      <c r="O166" s="11"/>
      <c r="P166" s="11"/>
      <c r="Q166" s="11"/>
      <c r="R166" s="11"/>
      <c r="S166" s="11"/>
      <c r="T166" s="11"/>
      <c r="U166" s="11"/>
      <c r="V166" s="11"/>
      <c r="W166" s="11"/>
      <c r="X166" s="11"/>
      <c r="Y166" s="11"/>
      <c r="Z166" s="11"/>
      <c r="AA166" s="11"/>
      <c r="AB166" s="11"/>
      <c r="AC166" s="11"/>
      <c r="AD166" s="11"/>
    </row>
    <row r="167" spans="1:30" ht="16" x14ac:dyDescent="0.2">
      <c r="A167" s="11"/>
      <c r="B167" s="12"/>
      <c r="C167" s="12"/>
      <c r="D167" s="12"/>
      <c r="E167" s="12"/>
      <c r="F167" s="12"/>
      <c r="G167" s="12"/>
      <c r="H167" s="12"/>
      <c r="I167" s="12"/>
      <c r="J167" s="12"/>
      <c r="K167" s="12"/>
      <c r="L167" s="12"/>
      <c r="M167" s="11"/>
      <c r="N167" s="11"/>
      <c r="O167" s="11"/>
      <c r="P167" s="11"/>
      <c r="Q167" s="11"/>
      <c r="R167" s="11"/>
      <c r="S167" s="11"/>
      <c r="T167" s="11"/>
      <c r="U167" s="11"/>
      <c r="V167" s="11"/>
      <c r="W167" s="11"/>
      <c r="X167" s="11"/>
      <c r="Y167" s="11"/>
      <c r="Z167" s="11"/>
      <c r="AA167" s="11"/>
      <c r="AB167" s="11"/>
      <c r="AC167" s="11"/>
      <c r="AD167" s="11"/>
    </row>
    <row r="168" spans="1:30" ht="16" x14ac:dyDescent="0.2">
      <c r="A168" s="11"/>
      <c r="B168" s="12"/>
      <c r="C168" s="12"/>
      <c r="D168" s="12"/>
      <c r="E168" s="12"/>
      <c r="F168" s="12"/>
      <c r="G168" s="12"/>
      <c r="H168" s="12"/>
      <c r="I168" s="12"/>
      <c r="J168" s="12"/>
      <c r="K168" s="12"/>
      <c r="L168" s="12"/>
      <c r="M168" s="11"/>
      <c r="N168" s="11"/>
      <c r="O168" s="11"/>
      <c r="P168" s="11"/>
      <c r="Q168" s="11"/>
      <c r="R168" s="11"/>
      <c r="S168" s="11"/>
      <c r="T168" s="11"/>
      <c r="U168" s="11"/>
      <c r="V168" s="11"/>
      <c r="W168" s="11"/>
      <c r="X168" s="11"/>
      <c r="Y168" s="11"/>
      <c r="Z168" s="11"/>
      <c r="AA168" s="11"/>
      <c r="AB168" s="11"/>
      <c r="AC168" s="11"/>
      <c r="AD168" s="11"/>
    </row>
    <row r="169" spans="1:30" ht="16" x14ac:dyDescent="0.2">
      <c r="A169" s="11"/>
      <c r="B169" s="12"/>
      <c r="C169" s="12"/>
      <c r="D169" s="12"/>
      <c r="E169" s="12"/>
      <c r="F169" s="12"/>
      <c r="G169" s="12"/>
      <c r="H169" s="12"/>
      <c r="I169" s="12"/>
      <c r="J169" s="12"/>
      <c r="K169" s="12"/>
      <c r="L169" s="12"/>
      <c r="M169" s="11"/>
      <c r="N169" s="11"/>
      <c r="O169" s="11"/>
      <c r="P169" s="11"/>
      <c r="Q169" s="11"/>
      <c r="R169" s="11"/>
      <c r="S169" s="11"/>
      <c r="T169" s="11"/>
      <c r="U169" s="11"/>
      <c r="V169" s="11"/>
      <c r="W169" s="11"/>
      <c r="X169" s="11"/>
      <c r="Y169" s="11"/>
      <c r="Z169" s="11"/>
      <c r="AA169" s="11"/>
      <c r="AB169" s="11"/>
      <c r="AC169" s="11"/>
      <c r="AD169" s="11"/>
    </row>
    <row r="170" spans="1:30" ht="16" x14ac:dyDescent="0.2">
      <c r="A170" s="11"/>
      <c r="B170" s="12"/>
      <c r="C170" s="12"/>
      <c r="D170" s="12"/>
      <c r="E170" s="12"/>
      <c r="F170" s="12"/>
      <c r="G170" s="12"/>
      <c r="H170" s="12"/>
      <c r="I170" s="12"/>
      <c r="J170" s="12"/>
      <c r="K170" s="12"/>
      <c r="L170" s="12"/>
      <c r="M170" s="11"/>
      <c r="N170" s="11"/>
      <c r="O170" s="11"/>
      <c r="P170" s="11"/>
      <c r="Q170" s="11"/>
      <c r="R170" s="11"/>
      <c r="S170" s="11"/>
      <c r="T170" s="11"/>
      <c r="U170" s="11"/>
      <c r="V170" s="11"/>
      <c r="W170" s="11"/>
      <c r="X170" s="11"/>
      <c r="Y170" s="11"/>
      <c r="Z170" s="11"/>
      <c r="AA170" s="11"/>
      <c r="AB170" s="11"/>
      <c r="AC170" s="11"/>
      <c r="AD170" s="11"/>
    </row>
    <row r="171" spans="1:30" ht="16" x14ac:dyDescent="0.2">
      <c r="A171" s="11"/>
      <c r="B171" s="12"/>
      <c r="C171" s="12"/>
      <c r="D171" s="12"/>
      <c r="E171" s="12"/>
      <c r="F171" s="12"/>
      <c r="G171" s="12"/>
      <c r="H171" s="12"/>
      <c r="I171" s="12"/>
      <c r="J171" s="12"/>
      <c r="K171" s="12"/>
      <c r="L171" s="12"/>
      <c r="M171" s="11"/>
      <c r="N171" s="11"/>
      <c r="O171" s="11"/>
      <c r="P171" s="11"/>
      <c r="Q171" s="11"/>
      <c r="R171" s="11"/>
      <c r="S171" s="11"/>
      <c r="T171" s="11"/>
      <c r="U171" s="11"/>
      <c r="V171" s="11"/>
      <c r="W171" s="11"/>
      <c r="X171" s="11"/>
      <c r="Y171" s="11"/>
      <c r="Z171" s="11"/>
      <c r="AA171" s="11"/>
      <c r="AB171" s="11"/>
      <c r="AC171" s="11"/>
      <c r="AD171" s="11"/>
    </row>
    <row r="172" spans="1:30" ht="16" x14ac:dyDescent="0.2">
      <c r="A172" s="11"/>
      <c r="B172" s="12"/>
      <c r="C172" s="12"/>
      <c r="D172" s="12"/>
      <c r="E172" s="12"/>
      <c r="F172" s="12"/>
      <c r="G172" s="12"/>
      <c r="H172" s="12"/>
      <c r="I172" s="12"/>
      <c r="J172" s="12"/>
      <c r="K172" s="12"/>
      <c r="L172" s="12"/>
      <c r="M172" s="11"/>
      <c r="N172" s="11"/>
      <c r="O172" s="11"/>
      <c r="P172" s="11"/>
      <c r="Q172" s="11"/>
      <c r="R172" s="11"/>
      <c r="S172" s="11"/>
      <c r="T172" s="11"/>
      <c r="U172" s="11"/>
      <c r="V172" s="11"/>
      <c r="W172" s="11"/>
      <c r="X172" s="11"/>
      <c r="Y172" s="11"/>
      <c r="Z172" s="11"/>
      <c r="AA172" s="11"/>
      <c r="AB172" s="11"/>
      <c r="AC172" s="11"/>
      <c r="AD172" s="11"/>
    </row>
    <row r="173" spans="1:30" ht="16" x14ac:dyDescent="0.2">
      <c r="A173" s="11"/>
      <c r="B173" s="12"/>
      <c r="C173" s="12"/>
      <c r="D173" s="12"/>
      <c r="E173" s="12"/>
      <c r="F173" s="12"/>
      <c r="G173" s="12"/>
      <c r="H173" s="12"/>
      <c r="I173" s="12"/>
      <c r="J173" s="12"/>
      <c r="K173" s="12"/>
      <c r="L173" s="12"/>
      <c r="M173" s="11"/>
      <c r="N173" s="11"/>
      <c r="O173" s="11"/>
      <c r="P173" s="11"/>
      <c r="Q173" s="11"/>
      <c r="R173" s="11"/>
      <c r="S173" s="11"/>
      <c r="T173" s="11"/>
      <c r="U173" s="11"/>
      <c r="V173" s="11"/>
      <c r="W173" s="11"/>
      <c r="X173" s="11"/>
      <c r="Y173" s="11"/>
      <c r="Z173" s="11"/>
      <c r="AA173" s="11"/>
      <c r="AB173" s="11"/>
      <c r="AC173" s="11"/>
      <c r="AD173" s="11"/>
    </row>
    <row r="174" spans="1:30" ht="16" x14ac:dyDescent="0.2">
      <c r="A174" s="11"/>
      <c r="B174" s="12"/>
      <c r="C174" s="12"/>
      <c r="D174" s="12"/>
      <c r="E174" s="12"/>
      <c r="F174" s="12"/>
      <c r="G174" s="12"/>
      <c r="H174" s="12"/>
      <c r="I174" s="12"/>
      <c r="J174" s="12"/>
      <c r="K174" s="12"/>
      <c r="L174" s="12"/>
      <c r="M174" s="11"/>
      <c r="N174" s="11"/>
      <c r="O174" s="11"/>
      <c r="P174" s="11"/>
      <c r="Q174" s="11"/>
      <c r="R174" s="11"/>
      <c r="S174" s="11"/>
      <c r="T174" s="11"/>
      <c r="U174" s="11"/>
      <c r="V174" s="11"/>
      <c r="W174" s="11"/>
      <c r="X174" s="11"/>
      <c r="Y174" s="11"/>
      <c r="Z174" s="11"/>
      <c r="AA174" s="11"/>
      <c r="AB174" s="11"/>
      <c r="AC174" s="11"/>
      <c r="AD174" s="11"/>
    </row>
    <row r="175" spans="1:30" ht="16" x14ac:dyDescent="0.2">
      <c r="A175" s="11"/>
      <c r="B175" s="12"/>
      <c r="C175" s="12"/>
      <c r="D175" s="12"/>
      <c r="E175" s="12"/>
      <c r="F175" s="12"/>
      <c r="G175" s="12"/>
      <c r="H175" s="12"/>
      <c r="I175" s="12"/>
      <c r="J175" s="12"/>
      <c r="K175" s="12"/>
      <c r="L175" s="12"/>
      <c r="M175" s="11"/>
      <c r="N175" s="11"/>
      <c r="O175" s="11"/>
      <c r="P175" s="11"/>
      <c r="Q175" s="11"/>
      <c r="R175" s="11"/>
      <c r="S175" s="11"/>
      <c r="T175" s="11"/>
      <c r="U175" s="11"/>
      <c r="V175" s="11"/>
      <c r="W175" s="11"/>
      <c r="X175" s="11"/>
      <c r="Y175" s="11"/>
      <c r="Z175" s="11"/>
      <c r="AA175" s="11"/>
      <c r="AB175" s="11"/>
      <c r="AC175" s="11"/>
      <c r="AD175" s="11"/>
    </row>
    <row r="176" spans="1:30" ht="16" x14ac:dyDescent="0.2">
      <c r="A176" s="11"/>
      <c r="B176" s="12"/>
      <c r="C176" s="12"/>
      <c r="D176" s="12"/>
      <c r="E176" s="12"/>
      <c r="F176" s="12"/>
      <c r="G176" s="12"/>
      <c r="H176" s="12"/>
      <c r="I176" s="12"/>
      <c r="J176" s="12"/>
      <c r="K176" s="12"/>
      <c r="L176" s="12"/>
      <c r="M176" s="11"/>
      <c r="N176" s="11"/>
      <c r="O176" s="11"/>
      <c r="P176" s="11"/>
      <c r="Q176" s="11"/>
      <c r="R176" s="11"/>
      <c r="S176" s="11"/>
      <c r="T176" s="11"/>
      <c r="U176" s="11"/>
      <c r="V176" s="11"/>
      <c r="W176" s="11"/>
      <c r="X176" s="11"/>
      <c r="Y176" s="11"/>
      <c r="Z176" s="11"/>
      <c r="AA176" s="11"/>
      <c r="AB176" s="11"/>
      <c r="AC176" s="11"/>
      <c r="AD176" s="11"/>
    </row>
    <row r="177" spans="1:30" ht="16" x14ac:dyDescent="0.2">
      <c r="A177" s="11"/>
      <c r="B177" s="12"/>
      <c r="C177" s="12"/>
      <c r="D177" s="12"/>
      <c r="E177" s="12"/>
      <c r="F177" s="12"/>
      <c r="G177" s="12"/>
      <c r="H177" s="12"/>
      <c r="I177" s="12"/>
      <c r="J177" s="12"/>
      <c r="K177" s="12"/>
      <c r="L177" s="12"/>
      <c r="M177" s="11"/>
      <c r="N177" s="11"/>
      <c r="O177" s="11"/>
      <c r="P177" s="11"/>
      <c r="Q177" s="11"/>
      <c r="R177" s="11"/>
      <c r="S177" s="11"/>
      <c r="T177" s="11"/>
      <c r="U177" s="11"/>
      <c r="V177" s="11"/>
      <c r="W177" s="11"/>
      <c r="X177" s="11"/>
      <c r="Y177" s="11"/>
      <c r="Z177" s="11"/>
      <c r="AA177" s="11"/>
      <c r="AB177" s="11"/>
      <c r="AC177" s="11"/>
      <c r="AD177" s="11"/>
    </row>
    <row r="178" spans="1:30" ht="16" x14ac:dyDescent="0.2">
      <c r="A178" s="11"/>
      <c r="B178" s="12"/>
      <c r="C178" s="12"/>
      <c r="D178" s="12"/>
      <c r="E178" s="12"/>
      <c r="F178" s="12"/>
      <c r="G178" s="12"/>
      <c r="H178" s="12"/>
      <c r="I178" s="12"/>
      <c r="J178" s="12"/>
      <c r="K178" s="12"/>
      <c r="L178" s="12"/>
      <c r="M178" s="11"/>
      <c r="N178" s="11"/>
      <c r="O178" s="11"/>
      <c r="P178" s="11"/>
      <c r="Q178" s="11"/>
      <c r="R178" s="11"/>
      <c r="S178" s="11"/>
      <c r="T178" s="11"/>
      <c r="U178" s="11"/>
      <c r="V178" s="11"/>
      <c r="W178" s="11"/>
      <c r="X178" s="11"/>
      <c r="Y178" s="11"/>
      <c r="Z178" s="11"/>
      <c r="AA178" s="11"/>
      <c r="AB178" s="11"/>
      <c r="AC178" s="11"/>
      <c r="AD178" s="11"/>
    </row>
    <row r="179" spans="1:30" ht="16" x14ac:dyDescent="0.2">
      <c r="A179" s="11"/>
      <c r="B179" s="12"/>
      <c r="C179" s="12"/>
      <c r="D179" s="12"/>
      <c r="E179" s="12"/>
      <c r="F179" s="12"/>
      <c r="G179" s="12"/>
      <c r="H179" s="12"/>
      <c r="I179" s="12"/>
      <c r="J179" s="12"/>
      <c r="K179" s="12"/>
      <c r="L179" s="12"/>
      <c r="M179" s="11"/>
      <c r="N179" s="11"/>
      <c r="O179" s="11"/>
      <c r="P179" s="11"/>
      <c r="Q179" s="11"/>
      <c r="R179" s="11"/>
      <c r="S179" s="11"/>
      <c r="T179" s="11"/>
      <c r="U179" s="11"/>
      <c r="V179" s="11"/>
      <c r="W179" s="11"/>
      <c r="X179" s="11"/>
      <c r="Y179" s="11"/>
      <c r="Z179" s="11"/>
      <c r="AA179" s="11"/>
      <c r="AB179" s="11"/>
      <c r="AC179" s="11"/>
      <c r="AD179" s="11"/>
    </row>
    <row r="180" spans="1:30" ht="16" x14ac:dyDescent="0.2">
      <c r="A180" s="11"/>
      <c r="B180" s="12"/>
      <c r="C180" s="12"/>
      <c r="D180" s="12"/>
      <c r="E180" s="12"/>
      <c r="F180" s="12"/>
      <c r="G180" s="12"/>
      <c r="H180" s="12"/>
      <c r="I180" s="12"/>
      <c r="J180" s="12"/>
      <c r="K180" s="12"/>
      <c r="L180" s="12"/>
      <c r="M180" s="11"/>
      <c r="N180" s="11"/>
      <c r="O180" s="11"/>
      <c r="P180" s="11"/>
      <c r="Q180" s="11"/>
      <c r="R180" s="11"/>
      <c r="S180" s="11"/>
      <c r="T180" s="11"/>
      <c r="U180" s="11"/>
      <c r="V180" s="11"/>
      <c r="W180" s="11"/>
      <c r="X180" s="11"/>
      <c r="Y180" s="11"/>
      <c r="Z180" s="11"/>
      <c r="AA180" s="11"/>
      <c r="AB180" s="11"/>
      <c r="AC180" s="11"/>
      <c r="AD180" s="11"/>
    </row>
    <row r="181" spans="1:30" ht="16" x14ac:dyDescent="0.2">
      <c r="A181" s="11"/>
      <c r="B181" s="12"/>
      <c r="C181" s="12"/>
      <c r="D181" s="12"/>
      <c r="E181" s="12"/>
      <c r="F181" s="12"/>
      <c r="G181" s="12"/>
      <c r="H181" s="12"/>
      <c r="I181" s="12"/>
      <c r="J181" s="12"/>
      <c r="K181" s="12"/>
      <c r="L181" s="12"/>
      <c r="M181" s="11"/>
      <c r="N181" s="11"/>
      <c r="O181" s="11"/>
      <c r="P181" s="11"/>
      <c r="Q181" s="11"/>
      <c r="R181" s="11"/>
      <c r="S181" s="11"/>
      <c r="T181" s="11"/>
      <c r="U181" s="11"/>
      <c r="V181" s="11"/>
      <c r="W181" s="11"/>
      <c r="X181" s="11"/>
      <c r="Y181" s="11"/>
      <c r="Z181" s="11"/>
      <c r="AA181" s="11"/>
      <c r="AB181" s="11"/>
      <c r="AC181" s="11"/>
      <c r="AD181" s="11"/>
    </row>
    <row r="182" spans="1:30" ht="16" x14ac:dyDescent="0.2">
      <c r="A182" s="11"/>
      <c r="B182" s="12"/>
      <c r="C182" s="12"/>
      <c r="D182" s="12"/>
      <c r="E182" s="12"/>
      <c r="F182" s="12"/>
      <c r="G182" s="12"/>
      <c r="H182" s="12"/>
      <c r="I182" s="12"/>
      <c r="J182" s="12"/>
      <c r="K182" s="12"/>
      <c r="L182" s="12"/>
      <c r="M182" s="11"/>
      <c r="N182" s="11"/>
      <c r="O182" s="11"/>
      <c r="P182" s="11"/>
      <c r="Q182" s="11"/>
      <c r="R182" s="11"/>
      <c r="S182" s="11"/>
      <c r="T182" s="11"/>
      <c r="U182" s="11"/>
      <c r="V182" s="11"/>
      <c r="W182" s="11"/>
      <c r="X182" s="11"/>
      <c r="Y182" s="11"/>
      <c r="Z182" s="11"/>
      <c r="AA182" s="11"/>
      <c r="AB182" s="11"/>
      <c r="AC182" s="11"/>
      <c r="AD182" s="11"/>
    </row>
    <row r="183" spans="1:30" ht="16" x14ac:dyDescent="0.2">
      <c r="A183" s="11"/>
      <c r="B183" s="12"/>
      <c r="C183" s="12"/>
      <c r="D183" s="12"/>
      <c r="E183" s="12"/>
      <c r="F183" s="12"/>
      <c r="G183" s="12"/>
      <c r="H183" s="12"/>
      <c r="I183" s="12"/>
      <c r="J183" s="12"/>
      <c r="K183" s="12"/>
      <c r="L183" s="12"/>
      <c r="M183" s="11"/>
      <c r="N183" s="11"/>
      <c r="O183" s="11"/>
      <c r="P183" s="11"/>
      <c r="Q183" s="11"/>
      <c r="R183" s="11"/>
      <c r="S183" s="11"/>
      <c r="T183" s="11"/>
      <c r="U183" s="11"/>
      <c r="V183" s="11"/>
      <c r="W183" s="11"/>
      <c r="X183" s="11"/>
      <c r="Y183" s="11"/>
      <c r="Z183" s="11"/>
      <c r="AA183" s="11"/>
      <c r="AB183" s="11"/>
      <c r="AC183" s="11"/>
      <c r="AD183" s="11"/>
    </row>
    <row r="184" spans="1:30" ht="16" x14ac:dyDescent="0.2">
      <c r="A184" s="11"/>
      <c r="B184" s="12"/>
      <c r="C184" s="12"/>
      <c r="D184" s="12"/>
      <c r="E184" s="12"/>
      <c r="F184" s="12"/>
      <c r="G184" s="12"/>
      <c r="H184" s="12"/>
      <c r="I184" s="12"/>
      <c r="J184" s="12"/>
      <c r="K184" s="12"/>
      <c r="L184" s="12"/>
      <c r="M184" s="11"/>
      <c r="N184" s="11"/>
      <c r="O184" s="11"/>
      <c r="P184" s="11"/>
      <c r="Q184" s="11"/>
      <c r="R184" s="11"/>
      <c r="S184" s="11"/>
      <c r="T184" s="11"/>
      <c r="U184" s="11"/>
      <c r="V184" s="11"/>
      <c r="W184" s="11"/>
      <c r="X184" s="11"/>
      <c r="Y184" s="11"/>
      <c r="Z184" s="11"/>
      <c r="AA184" s="11"/>
      <c r="AB184" s="11"/>
      <c r="AC184" s="11"/>
      <c r="AD184" s="11"/>
    </row>
    <row r="185" spans="1:30" ht="16" x14ac:dyDescent="0.2">
      <c r="A185" s="11"/>
      <c r="B185" s="12"/>
      <c r="C185" s="12"/>
      <c r="D185" s="12"/>
      <c r="E185" s="12"/>
      <c r="F185" s="12"/>
      <c r="G185" s="12"/>
      <c r="H185" s="12"/>
      <c r="I185" s="12"/>
      <c r="J185" s="12"/>
      <c r="K185" s="12"/>
      <c r="L185" s="12"/>
      <c r="M185" s="11"/>
      <c r="N185" s="11"/>
      <c r="O185" s="11"/>
      <c r="P185" s="11"/>
      <c r="Q185" s="11"/>
      <c r="R185" s="11"/>
      <c r="S185" s="11"/>
      <c r="T185" s="11"/>
      <c r="U185" s="11"/>
      <c r="V185" s="11"/>
      <c r="W185" s="11"/>
      <c r="X185" s="11"/>
      <c r="Y185" s="11"/>
      <c r="Z185" s="11"/>
      <c r="AA185" s="11"/>
      <c r="AB185" s="11"/>
      <c r="AC185" s="11"/>
      <c r="AD185" s="11"/>
    </row>
    <row r="186" spans="1:30" ht="16" x14ac:dyDescent="0.2">
      <c r="A186" s="11"/>
      <c r="B186" s="12"/>
      <c r="C186" s="12"/>
      <c r="D186" s="12"/>
      <c r="E186" s="12"/>
      <c r="F186" s="12"/>
      <c r="G186" s="12"/>
      <c r="H186" s="12"/>
      <c r="I186" s="12"/>
      <c r="J186" s="12"/>
      <c r="K186" s="12"/>
      <c r="L186" s="12"/>
      <c r="M186" s="11"/>
      <c r="N186" s="11"/>
      <c r="O186" s="11"/>
      <c r="P186" s="11"/>
      <c r="Q186" s="11"/>
      <c r="R186" s="11"/>
      <c r="S186" s="11"/>
      <c r="T186" s="11"/>
      <c r="U186" s="11"/>
      <c r="V186" s="11"/>
      <c r="W186" s="11"/>
      <c r="X186" s="11"/>
      <c r="Y186" s="11"/>
      <c r="Z186" s="11"/>
      <c r="AA186" s="11"/>
      <c r="AB186" s="11"/>
      <c r="AC186" s="11"/>
      <c r="AD186" s="11"/>
    </row>
    <row r="187" spans="1:30" ht="16" x14ac:dyDescent="0.2">
      <c r="A187" s="11"/>
      <c r="B187" s="12"/>
      <c r="C187" s="12"/>
      <c r="D187" s="12"/>
      <c r="E187" s="12"/>
      <c r="F187" s="12"/>
      <c r="G187" s="12"/>
      <c r="H187" s="12"/>
      <c r="I187" s="12"/>
      <c r="J187" s="12"/>
      <c r="K187" s="12"/>
      <c r="L187" s="12"/>
      <c r="M187" s="11"/>
      <c r="N187" s="11"/>
      <c r="O187" s="11"/>
      <c r="P187" s="11"/>
      <c r="Q187" s="11"/>
      <c r="R187" s="11"/>
      <c r="S187" s="11"/>
      <c r="T187" s="11"/>
      <c r="U187" s="11"/>
      <c r="V187" s="11"/>
      <c r="W187" s="11"/>
      <c r="X187" s="11"/>
      <c r="Y187" s="11"/>
      <c r="Z187" s="11"/>
      <c r="AA187" s="11"/>
      <c r="AB187" s="11"/>
      <c r="AC187" s="11"/>
      <c r="AD187" s="11"/>
    </row>
    <row r="188" spans="1:30" ht="16" x14ac:dyDescent="0.2">
      <c r="A188" s="11"/>
      <c r="B188" s="12"/>
      <c r="C188" s="12"/>
      <c r="D188" s="12"/>
      <c r="E188" s="12"/>
      <c r="F188" s="12"/>
      <c r="G188" s="12"/>
      <c r="H188" s="12"/>
      <c r="I188" s="12"/>
      <c r="J188" s="12"/>
      <c r="K188" s="12"/>
      <c r="L188" s="12"/>
      <c r="M188" s="11"/>
      <c r="N188" s="11"/>
      <c r="O188" s="11"/>
      <c r="P188" s="11"/>
      <c r="Q188" s="11"/>
      <c r="R188" s="11"/>
      <c r="S188" s="11"/>
      <c r="T188" s="11"/>
      <c r="U188" s="11"/>
      <c r="V188" s="11"/>
      <c r="W188" s="11"/>
      <c r="X188" s="11"/>
      <c r="Y188" s="11"/>
      <c r="Z188" s="11"/>
      <c r="AA188" s="11"/>
      <c r="AB188" s="11"/>
      <c r="AC188" s="11"/>
      <c r="AD188" s="11"/>
    </row>
    <row r="189" spans="1:30" ht="16" x14ac:dyDescent="0.2">
      <c r="A189" s="11"/>
      <c r="B189" s="12"/>
      <c r="C189" s="12"/>
      <c r="D189" s="12"/>
      <c r="E189" s="12"/>
      <c r="F189" s="12"/>
      <c r="G189" s="12"/>
      <c r="H189" s="12"/>
      <c r="I189" s="12"/>
      <c r="J189" s="12"/>
      <c r="K189" s="12"/>
      <c r="L189" s="12"/>
      <c r="M189" s="11"/>
      <c r="N189" s="11"/>
      <c r="O189" s="11"/>
      <c r="P189" s="11"/>
      <c r="Q189" s="11"/>
      <c r="R189" s="11"/>
      <c r="S189" s="11"/>
      <c r="T189" s="11"/>
      <c r="U189" s="11"/>
      <c r="V189" s="11"/>
      <c r="W189" s="11"/>
      <c r="X189" s="11"/>
      <c r="Y189" s="11"/>
      <c r="Z189" s="11"/>
      <c r="AA189" s="11"/>
      <c r="AB189" s="11"/>
      <c r="AC189" s="11"/>
      <c r="AD189" s="11"/>
    </row>
    <row r="190" spans="1:30" ht="16" x14ac:dyDescent="0.2">
      <c r="A190" s="11"/>
      <c r="B190" s="12"/>
      <c r="C190" s="12"/>
      <c r="D190" s="12"/>
      <c r="E190" s="12"/>
      <c r="F190" s="12"/>
      <c r="G190" s="12"/>
      <c r="H190" s="12"/>
      <c r="I190" s="12"/>
      <c r="J190" s="12"/>
      <c r="K190" s="12"/>
      <c r="L190" s="12"/>
      <c r="M190" s="11"/>
      <c r="N190" s="11"/>
      <c r="O190" s="11"/>
      <c r="P190" s="11"/>
      <c r="Q190" s="11"/>
      <c r="R190" s="11"/>
      <c r="S190" s="11"/>
      <c r="T190" s="11"/>
      <c r="U190" s="11"/>
      <c r="V190" s="11"/>
      <c r="W190" s="11"/>
      <c r="X190" s="11"/>
      <c r="Y190" s="11"/>
      <c r="Z190" s="11"/>
      <c r="AA190" s="11"/>
      <c r="AB190" s="11"/>
      <c r="AC190" s="11"/>
      <c r="AD190" s="11"/>
    </row>
    <row r="191" spans="1:30" ht="16" x14ac:dyDescent="0.2">
      <c r="A191" s="11"/>
      <c r="B191" s="12"/>
      <c r="C191" s="12"/>
      <c r="D191" s="12"/>
      <c r="E191" s="12"/>
      <c r="F191" s="12"/>
      <c r="G191" s="12"/>
      <c r="H191" s="12"/>
      <c r="I191" s="12"/>
      <c r="J191" s="12"/>
      <c r="K191" s="12"/>
      <c r="L191" s="12"/>
      <c r="M191" s="11"/>
      <c r="N191" s="11"/>
      <c r="O191" s="11"/>
      <c r="P191" s="11"/>
      <c r="Q191" s="11"/>
      <c r="R191" s="11"/>
      <c r="S191" s="11"/>
      <c r="T191" s="11"/>
      <c r="U191" s="11"/>
      <c r="V191" s="11"/>
      <c r="W191" s="11"/>
      <c r="X191" s="11"/>
      <c r="Y191" s="11"/>
      <c r="Z191" s="11"/>
      <c r="AA191" s="11"/>
      <c r="AB191" s="11"/>
      <c r="AC191" s="11"/>
      <c r="AD191" s="11"/>
    </row>
    <row r="192" spans="1:30" ht="16" x14ac:dyDescent="0.2">
      <c r="A192" s="11"/>
      <c r="B192" s="12"/>
      <c r="C192" s="12"/>
      <c r="D192" s="12"/>
      <c r="E192" s="12"/>
      <c r="F192" s="12"/>
      <c r="G192" s="12"/>
      <c r="H192" s="12"/>
      <c r="I192" s="12"/>
      <c r="J192" s="12"/>
      <c r="K192" s="12"/>
      <c r="L192" s="12"/>
      <c r="M192" s="11"/>
      <c r="N192" s="11"/>
      <c r="O192" s="11"/>
      <c r="P192" s="11"/>
      <c r="Q192" s="11"/>
      <c r="R192" s="11"/>
      <c r="S192" s="11"/>
      <c r="T192" s="11"/>
      <c r="U192" s="11"/>
      <c r="V192" s="11"/>
      <c r="W192" s="11"/>
      <c r="X192" s="11"/>
      <c r="Y192" s="11"/>
      <c r="Z192" s="11"/>
      <c r="AA192" s="11"/>
      <c r="AB192" s="11"/>
      <c r="AC192" s="11"/>
      <c r="AD192" s="11"/>
    </row>
    <row r="193" spans="1:30" ht="16" x14ac:dyDescent="0.2">
      <c r="A193" s="11"/>
      <c r="B193" s="12"/>
      <c r="C193" s="12"/>
      <c r="D193" s="12"/>
      <c r="E193" s="12"/>
      <c r="F193" s="12"/>
      <c r="G193" s="12"/>
      <c r="H193" s="12"/>
      <c r="I193" s="12"/>
      <c r="J193" s="12"/>
      <c r="K193" s="12"/>
      <c r="L193" s="12"/>
      <c r="M193" s="11"/>
      <c r="N193" s="11"/>
      <c r="O193" s="11"/>
      <c r="P193" s="11"/>
      <c r="Q193" s="11"/>
      <c r="R193" s="11"/>
      <c r="S193" s="11"/>
      <c r="T193" s="11"/>
      <c r="U193" s="11"/>
      <c r="V193" s="11"/>
      <c r="W193" s="11"/>
      <c r="X193" s="11"/>
      <c r="Y193" s="11"/>
      <c r="Z193" s="11"/>
      <c r="AA193" s="11"/>
      <c r="AB193" s="11"/>
      <c r="AC193" s="11"/>
      <c r="AD193" s="11"/>
    </row>
    <row r="194" spans="1:30" ht="16" x14ac:dyDescent="0.2">
      <c r="A194" s="11"/>
      <c r="B194" s="12"/>
      <c r="C194" s="12"/>
      <c r="D194" s="12"/>
      <c r="E194" s="12"/>
      <c r="F194" s="12"/>
      <c r="G194" s="12"/>
      <c r="H194" s="12"/>
      <c r="I194" s="12"/>
      <c r="J194" s="12"/>
      <c r="K194" s="12"/>
      <c r="L194" s="12"/>
      <c r="M194" s="11"/>
      <c r="N194" s="11"/>
      <c r="O194" s="11"/>
      <c r="P194" s="11"/>
      <c r="Q194" s="11"/>
      <c r="R194" s="11"/>
      <c r="S194" s="11"/>
      <c r="T194" s="11"/>
      <c r="U194" s="11"/>
      <c r="V194" s="11"/>
      <c r="W194" s="11"/>
      <c r="X194" s="11"/>
      <c r="Y194" s="11"/>
      <c r="Z194" s="11"/>
      <c r="AA194" s="11"/>
      <c r="AB194" s="11"/>
      <c r="AC194" s="11"/>
      <c r="AD194" s="11"/>
    </row>
    <row r="195" spans="1:30" ht="16" x14ac:dyDescent="0.2">
      <c r="A195" s="11"/>
      <c r="B195" s="12"/>
      <c r="C195" s="12"/>
      <c r="D195" s="12"/>
      <c r="E195" s="12"/>
      <c r="F195" s="12"/>
      <c r="G195" s="12"/>
      <c r="H195" s="12"/>
      <c r="I195" s="12"/>
      <c r="J195" s="12"/>
      <c r="K195" s="12"/>
      <c r="L195" s="12"/>
      <c r="M195" s="11"/>
      <c r="N195" s="11"/>
      <c r="O195" s="11"/>
      <c r="P195" s="11"/>
      <c r="Q195" s="11"/>
      <c r="R195" s="11"/>
      <c r="S195" s="11"/>
      <c r="T195" s="11"/>
      <c r="U195" s="11"/>
      <c r="V195" s="11"/>
      <c r="W195" s="11"/>
      <c r="X195" s="11"/>
      <c r="Y195" s="11"/>
      <c r="Z195" s="11"/>
      <c r="AA195" s="11"/>
      <c r="AB195" s="11"/>
      <c r="AC195" s="11"/>
      <c r="AD195" s="11"/>
    </row>
    <row r="196" spans="1:30" ht="16" x14ac:dyDescent="0.2">
      <c r="A196" s="11"/>
      <c r="B196" s="12"/>
      <c r="C196" s="12"/>
      <c r="D196" s="12"/>
      <c r="E196" s="12"/>
      <c r="F196" s="12"/>
      <c r="G196" s="12"/>
      <c r="H196" s="12"/>
      <c r="I196" s="12"/>
      <c r="J196" s="12"/>
      <c r="K196" s="12"/>
      <c r="L196" s="12"/>
      <c r="M196" s="11"/>
      <c r="N196" s="11"/>
      <c r="O196" s="11"/>
      <c r="P196" s="11"/>
      <c r="Q196" s="11"/>
      <c r="R196" s="11"/>
      <c r="S196" s="11"/>
      <c r="T196" s="11"/>
      <c r="U196" s="11"/>
      <c r="V196" s="11"/>
      <c r="W196" s="11"/>
      <c r="X196" s="11"/>
      <c r="Y196" s="11"/>
      <c r="Z196" s="11"/>
      <c r="AA196" s="11"/>
      <c r="AB196" s="11"/>
      <c r="AC196" s="11"/>
      <c r="AD196" s="11"/>
    </row>
    <row r="197" spans="1:30" ht="16" x14ac:dyDescent="0.2">
      <c r="A197" s="11"/>
      <c r="B197" s="12"/>
      <c r="C197" s="12"/>
      <c r="D197" s="12"/>
      <c r="E197" s="12"/>
      <c r="F197" s="12"/>
      <c r="G197" s="12"/>
      <c r="H197" s="12"/>
      <c r="I197" s="12"/>
      <c r="J197" s="12"/>
      <c r="K197" s="12"/>
      <c r="L197" s="12"/>
      <c r="M197" s="11"/>
      <c r="N197" s="11"/>
      <c r="O197" s="11"/>
      <c r="P197" s="11"/>
      <c r="Q197" s="11"/>
      <c r="R197" s="11"/>
      <c r="S197" s="11"/>
      <c r="T197" s="11"/>
      <c r="U197" s="11"/>
      <c r="V197" s="11"/>
      <c r="W197" s="11"/>
      <c r="X197" s="11"/>
      <c r="Y197" s="11"/>
      <c r="Z197" s="11"/>
      <c r="AA197" s="11"/>
      <c r="AB197" s="11"/>
      <c r="AC197" s="11"/>
      <c r="AD197" s="11"/>
    </row>
    <row r="198" spans="1:30" ht="16" x14ac:dyDescent="0.2">
      <c r="A198" s="11"/>
      <c r="B198" s="12"/>
      <c r="C198" s="12"/>
      <c r="D198" s="12"/>
      <c r="E198" s="12"/>
      <c r="F198" s="12"/>
      <c r="G198" s="12"/>
      <c r="H198" s="12"/>
      <c r="I198" s="12"/>
      <c r="J198" s="12"/>
      <c r="K198" s="12"/>
      <c r="L198" s="12"/>
      <c r="M198" s="11"/>
      <c r="N198" s="11"/>
      <c r="O198" s="11"/>
      <c r="P198" s="11"/>
      <c r="Q198" s="11"/>
      <c r="R198" s="11"/>
      <c r="S198" s="11"/>
      <c r="T198" s="11"/>
      <c r="U198" s="11"/>
      <c r="V198" s="11"/>
      <c r="W198" s="11"/>
      <c r="X198" s="11"/>
      <c r="Y198" s="11"/>
      <c r="Z198" s="11"/>
      <c r="AA198" s="11"/>
      <c r="AB198" s="11"/>
      <c r="AC198" s="11"/>
      <c r="AD198" s="11"/>
    </row>
    <row r="199" spans="1:30" ht="16" x14ac:dyDescent="0.2">
      <c r="A199" s="11"/>
      <c r="B199" s="12"/>
      <c r="C199" s="12"/>
      <c r="D199" s="12"/>
      <c r="E199" s="12"/>
      <c r="F199" s="12"/>
      <c r="G199" s="12"/>
      <c r="H199" s="12"/>
      <c r="I199" s="12"/>
      <c r="J199" s="12"/>
      <c r="K199" s="12"/>
      <c r="L199" s="12"/>
      <c r="M199" s="11"/>
      <c r="N199" s="11"/>
      <c r="O199" s="11"/>
      <c r="P199" s="11"/>
      <c r="Q199" s="11"/>
      <c r="R199" s="11"/>
      <c r="S199" s="11"/>
      <c r="T199" s="11"/>
      <c r="U199" s="11"/>
      <c r="V199" s="11"/>
      <c r="W199" s="11"/>
      <c r="X199" s="11"/>
      <c r="Y199" s="11"/>
      <c r="Z199" s="11"/>
      <c r="AA199" s="11"/>
      <c r="AB199" s="11"/>
      <c r="AC199" s="11"/>
      <c r="AD199" s="11"/>
    </row>
    <row r="200" spans="1:30" ht="16" x14ac:dyDescent="0.2">
      <c r="A200" s="11"/>
      <c r="B200" s="12"/>
      <c r="C200" s="12"/>
      <c r="D200" s="12"/>
      <c r="E200" s="12"/>
      <c r="F200" s="12"/>
      <c r="G200" s="12"/>
      <c r="H200" s="12"/>
      <c r="I200" s="12"/>
      <c r="J200" s="12"/>
      <c r="K200" s="12"/>
      <c r="L200" s="12"/>
      <c r="M200" s="11"/>
      <c r="N200" s="11"/>
      <c r="O200" s="11"/>
      <c r="P200" s="11"/>
      <c r="Q200" s="11"/>
      <c r="R200" s="11"/>
      <c r="S200" s="11"/>
      <c r="T200" s="11"/>
      <c r="U200" s="11"/>
      <c r="V200" s="11"/>
      <c r="W200" s="11"/>
      <c r="X200" s="11"/>
      <c r="Y200" s="11"/>
      <c r="Z200" s="11"/>
      <c r="AA200" s="11"/>
      <c r="AB200" s="11"/>
      <c r="AC200" s="11"/>
      <c r="AD200" s="11"/>
    </row>
    <row r="201" spans="1:30" ht="16" x14ac:dyDescent="0.2">
      <c r="A201" s="11"/>
      <c r="B201" s="12"/>
      <c r="C201" s="12"/>
      <c r="D201" s="12"/>
      <c r="E201" s="12"/>
      <c r="F201" s="12"/>
      <c r="G201" s="12"/>
      <c r="H201" s="12"/>
      <c r="I201" s="12"/>
      <c r="J201" s="12"/>
      <c r="K201" s="12"/>
      <c r="L201" s="12"/>
      <c r="M201" s="11"/>
      <c r="N201" s="11"/>
      <c r="O201" s="11"/>
      <c r="P201" s="11"/>
      <c r="Q201" s="11"/>
      <c r="R201" s="11"/>
      <c r="S201" s="11"/>
      <c r="T201" s="11"/>
      <c r="U201" s="11"/>
      <c r="V201" s="11"/>
      <c r="W201" s="11"/>
      <c r="X201" s="11"/>
      <c r="Y201" s="11"/>
      <c r="Z201" s="11"/>
      <c r="AA201" s="11"/>
      <c r="AB201" s="11"/>
      <c r="AC201" s="11"/>
      <c r="AD201" s="11"/>
    </row>
    <row r="202" spans="1:30" ht="16" x14ac:dyDescent="0.2">
      <c r="A202" s="11"/>
      <c r="B202" s="12"/>
      <c r="C202" s="12"/>
      <c r="D202" s="12"/>
      <c r="E202" s="12"/>
      <c r="F202" s="12"/>
      <c r="G202" s="12"/>
      <c r="H202" s="12"/>
      <c r="I202" s="12"/>
      <c r="J202" s="12"/>
      <c r="K202" s="12"/>
      <c r="L202" s="12"/>
      <c r="M202" s="11"/>
      <c r="N202" s="11"/>
      <c r="O202" s="11"/>
      <c r="P202" s="11"/>
      <c r="Q202" s="11"/>
      <c r="R202" s="11"/>
      <c r="S202" s="11"/>
      <c r="T202" s="11"/>
      <c r="U202" s="11"/>
      <c r="V202" s="11"/>
      <c r="W202" s="11"/>
      <c r="X202" s="11"/>
      <c r="Y202" s="11"/>
      <c r="Z202" s="11"/>
      <c r="AA202" s="11"/>
      <c r="AB202" s="11"/>
      <c r="AC202" s="11"/>
      <c r="AD202" s="11"/>
    </row>
    <row r="203" spans="1:30" ht="16" x14ac:dyDescent="0.2">
      <c r="A203" s="11"/>
      <c r="B203" s="12"/>
      <c r="C203" s="12"/>
      <c r="D203" s="12"/>
      <c r="E203" s="12"/>
      <c r="F203" s="12"/>
      <c r="G203" s="12"/>
      <c r="H203" s="12"/>
      <c r="I203" s="12"/>
      <c r="J203" s="12"/>
      <c r="K203" s="12"/>
      <c r="L203" s="12"/>
      <c r="M203" s="11"/>
      <c r="N203" s="11"/>
      <c r="O203" s="11"/>
      <c r="P203" s="11"/>
      <c r="Q203" s="11"/>
      <c r="R203" s="11"/>
      <c r="S203" s="11"/>
      <c r="T203" s="11"/>
      <c r="U203" s="11"/>
      <c r="V203" s="11"/>
      <c r="W203" s="11"/>
      <c r="X203" s="11"/>
      <c r="Y203" s="11"/>
      <c r="Z203" s="11"/>
      <c r="AA203" s="11"/>
      <c r="AB203" s="11"/>
      <c r="AC203" s="11"/>
      <c r="AD203" s="11"/>
    </row>
    <row r="204" spans="1:30" ht="16" x14ac:dyDescent="0.2">
      <c r="A204" s="11"/>
      <c r="B204" s="12"/>
      <c r="C204" s="12"/>
      <c r="D204" s="12"/>
      <c r="E204" s="12"/>
      <c r="F204" s="12"/>
      <c r="G204" s="12"/>
      <c r="H204" s="12"/>
      <c r="I204" s="12"/>
      <c r="J204" s="12"/>
      <c r="K204" s="12"/>
      <c r="L204" s="12"/>
      <c r="M204" s="11"/>
      <c r="N204" s="11"/>
      <c r="O204" s="11"/>
      <c r="P204" s="11"/>
      <c r="Q204" s="11"/>
      <c r="R204" s="11"/>
      <c r="S204" s="11"/>
      <c r="T204" s="11"/>
      <c r="U204" s="11"/>
      <c r="V204" s="11"/>
      <c r="W204" s="11"/>
      <c r="X204" s="11"/>
      <c r="Y204" s="11"/>
      <c r="Z204" s="11"/>
      <c r="AA204" s="11"/>
      <c r="AB204" s="11"/>
      <c r="AC204" s="11"/>
      <c r="AD204" s="11"/>
    </row>
    <row r="205" spans="1:30" ht="16" x14ac:dyDescent="0.2">
      <c r="A205" s="11"/>
      <c r="B205" s="12"/>
      <c r="C205" s="12"/>
      <c r="D205" s="12"/>
      <c r="E205" s="12"/>
      <c r="F205" s="12"/>
      <c r="G205" s="12"/>
      <c r="H205" s="12"/>
      <c r="I205" s="12"/>
      <c r="J205" s="12"/>
      <c r="K205" s="12"/>
      <c r="L205" s="12"/>
      <c r="M205" s="11"/>
      <c r="N205" s="11"/>
      <c r="O205" s="11"/>
      <c r="P205" s="11"/>
      <c r="Q205" s="11"/>
      <c r="R205" s="11"/>
      <c r="S205" s="11"/>
      <c r="T205" s="11"/>
      <c r="U205" s="11"/>
      <c r="V205" s="11"/>
      <c r="W205" s="11"/>
      <c r="X205" s="11"/>
      <c r="Y205" s="11"/>
      <c r="Z205" s="11"/>
      <c r="AA205" s="11"/>
      <c r="AB205" s="11"/>
      <c r="AC205" s="11"/>
      <c r="AD205" s="11"/>
    </row>
    <row r="206" spans="1:30" ht="16" x14ac:dyDescent="0.2">
      <c r="A206" s="11"/>
      <c r="B206" s="12"/>
      <c r="C206" s="12"/>
      <c r="D206" s="12"/>
      <c r="E206" s="12"/>
      <c r="F206" s="12"/>
      <c r="G206" s="12"/>
      <c r="H206" s="12"/>
      <c r="I206" s="12"/>
      <c r="J206" s="12"/>
      <c r="K206" s="12"/>
      <c r="L206" s="12"/>
      <c r="M206" s="11"/>
      <c r="N206" s="11"/>
      <c r="O206" s="11"/>
      <c r="P206" s="11"/>
      <c r="Q206" s="11"/>
      <c r="R206" s="11"/>
      <c r="S206" s="11"/>
      <c r="T206" s="11"/>
      <c r="U206" s="11"/>
      <c r="V206" s="11"/>
      <c r="W206" s="11"/>
      <c r="X206" s="11"/>
      <c r="Y206" s="11"/>
      <c r="Z206" s="11"/>
      <c r="AA206" s="11"/>
      <c r="AB206" s="11"/>
      <c r="AC206" s="11"/>
      <c r="AD206" s="11"/>
    </row>
    <row r="207" spans="1:30" ht="16" x14ac:dyDescent="0.2">
      <c r="A207" s="11"/>
      <c r="B207" s="12"/>
      <c r="C207" s="12"/>
      <c r="D207" s="12"/>
      <c r="E207" s="12"/>
      <c r="F207" s="12"/>
      <c r="G207" s="12"/>
      <c r="H207" s="12"/>
      <c r="I207" s="12"/>
      <c r="J207" s="12"/>
      <c r="K207" s="12"/>
      <c r="L207" s="12"/>
      <c r="M207" s="11"/>
      <c r="N207" s="11"/>
      <c r="O207" s="11"/>
      <c r="P207" s="11"/>
      <c r="Q207" s="11"/>
      <c r="R207" s="11"/>
      <c r="S207" s="11"/>
      <c r="T207" s="11"/>
      <c r="U207" s="11"/>
      <c r="V207" s="11"/>
      <c r="W207" s="11"/>
      <c r="X207" s="11"/>
      <c r="Y207" s="11"/>
      <c r="Z207" s="11"/>
      <c r="AA207" s="11"/>
      <c r="AB207" s="11"/>
      <c r="AC207" s="11"/>
      <c r="AD207" s="11"/>
    </row>
    <row r="208" spans="1:30" ht="16" x14ac:dyDescent="0.2">
      <c r="A208" s="11"/>
      <c r="B208" s="12"/>
      <c r="C208" s="12"/>
      <c r="D208" s="12"/>
      <c r="E208" s="12"/>
      <c r="F208" s="12"/>
      <c r="G208" s="12"/>
      <c r="H208" s="12"/>
      <c r="I208" s="12"/>
      <c r="J208" s="12"/>
      <c r="K208" s="12"/>
      <c r="L208" s="12"/>
      <c r="M208" s="11"/>
      <c r="N208" s="11"/>
      <c r="O208" s="11"/>
      <c r="P208" s="11"/>
      <c r="Q208" s="11"/>
      <c r="R208" s="11"/>
      <c r="S208" s="11"/>
      <c r="T208" s="11"/>
      <c r="U208" s="11"/>
      <c r="V208" s="11"/>
      <c r="W208" s="11"/>
      <c r="X208" s="11"/>
      <c r="Y208" s="11"/>
      <c r="Z208" s="11"/>
      <c r="AA208" s="11"/>
      <c r="AB208" s="11"/>
      <c r="AC208" s="11"/>
      <c r="AD208" s="11"/>
    </row>
    <row r="209" spans="1:30" ht="16" x14ac:dyDescent="0.2">
      <c r="A209" s="11"/>
      <c r="B209" s="12"/>
      <c r="C209" s="12"/>
      <c r="D209" s="12"/>
      <c r="E209" s="12"/>
      <c r="F209" s="12"/>
      <c r="G209" s="12"/>
      <c r="H209" s="12"/>
      <c r="I209" s="12"/>
      <c r="J209" s="12"/>
      <c r="K209" s="12"/>
      <c r="L209" s="12"/>
      <c r="M209" s="11"/>
      <c r="N209" s="11"/>
      <c r="O209" s="11"/>
      <c r="P209" s="11"/>
      <c r="Q209" s="11"/>
      <c r="R209" s="11"/>
      <c r="S209" s="11"/>
      <c r="T209" s="11"/>
      <c r="U209" s="11"/>
      <c r="V209" s="11"/>
      <c r="W209" s="11"/>
      <c r="X209" s="11"/>
      <c r="Y209" s="11"/>
      <c r="Z209" s="11"/>
      <c r="AA209" s="11"/>
      <c r="AB209" s="11"/>
      <c r="AC209" s="11"/>
      <c r="AD209" s="11"/>
    </row>
    <row r="210" spans="1:30" ht="16" x14ac:dyDescent="0.2">
      <c r="A210" s="11"/>
      <c r="B210" s="12"/>
      <c r="C210" s="12"/>
      <c r="D210" s="12"/>
      <c r="E210" s="12"/>
      <c r="F210" s="12"/>
      <c r="G210" s="12"/>
      <c r="H210" s="12"/>
      <c r="I210" s="12"/>
      <c r="J210" s="12"/>
      <c r="K210" s="12"/>
      <c r="L210" s="12"/>
      <c r="M210" s="11"/>
      <c r="N210" s="11"/>
      <c r="O210" s="11"/>
      <c r="P210" s="11"/>
      <c r="Q210" s="11"/>
      <c r="R210" s="11"/>
      <c r="S210" s="11"/>
      <c r="T210" s="11"/>
      <c r="U210" s="11"/>
      <c r="V210" s="11"/>
      <c r="W210" s="11"/>
      <c r="X210" s="11"/>
      <c r="Y210" s="11"/>
      <c r="Z210" s="11"/>
      <c r="AA210" s="11"/>
      <c r="AB210" s="11"/>
      <c r="AC210" s="11"/>
      <c r="AD210" s="11"/>
    </row>
    <row r="211" spans="1:30" ht="16" x14ac:dyDescent="0.2">
      <c r="A211" s="11"/>
      <c r="B211" s="12"/>
      <c r="C211" s="12"/>
      <c r="D211" s="12"/>
      <c r="E211" s="12"/>
      <c r="F211" s="12"/>
      <c r="G211" s="12"/>
      <c r="H211" s="12"/>
      <c r="I211" s="12"/>
      <c r="J211" s="12"/>
      <c r="K211" s="12"/>
      <c r="L211" s="12"/>
      <c r="M211" s="11"/>
      <c r="N211" s="11"/>
      <c r="O211" s="11"/>
      <c r="P211" s="11"/>
      <c r="Q211" s="11"/>
      <c r="R211" s="11"/>
      <c r="S211" s="11"/>
      <c r="T211" s="11"/>
      <c r="U211" s="11"/>
      <c r="V211" s="11"/>
      <c r="W211" s="11"/>
      <c r="X211" s="11"/>
      <c r="Y211" s="11"/>
      <c r="Z211" s="11"/>
      <c r="AA211" s="11"/>
      <c r="AB211" s="11"/>
      <c r="AC211" s="11"/>
      <c r="AD211" s="11"/>
    </row>
    <row r="212" spans="1:30" ht="16" x14ac:dyDescent="0.2">
      <c r="A212" s="11"/>
      <c r="B212" s="12"/>
      <c r="C212" s="12"/>
      <c r="D212" s="12"/>
      <c r="E212" s="12"/>
      <c r="F212" s="12"/>
      <c r="G212" s="12"/>
      <c r="H212" s="12"/>
      <c r="I212" s="12"/>
      <c r="J212" s="12"/>
      <c r="K212" s="12"/>
      <c r="L212" s="12"/>
      <c r="M212" s="11"/>
      <c r="N212" s="11"/>
      <c r="O212" s="11"/>
      <c r="P212" s="11"/>
      <c r="Q212" s="11"/>
      <c r="R212" s="11"/>
      <c r="S212" s="11"/>
      <c r="T212" s="11"/>
      <c r="U212" s="11"/>
      <c r="V212" s="11"/>
      <c r="W212" s="11"/>
      <c r="X212" s="11"/>
      <c r="Y212" s="11"/>
      <c r="Z212" s="11"/>
      <c r="AA212" s="11"/>
      <c r="AB212" s="11"/>
      <c r="AC212" s="11"/>
      <c r="AD212" s="11"/>
    </row>
    <row r="213" spans="1:30" ht="16" x14ac:dyDescent="0.2">
      <c r="A213" s="11"/>
      <c r="B213" s="12"/>
      <c r="C213" s="12"/>
      <c r="D213" s="12"/>
      <c r="E213" s="12"/>
      <c r="F213" s="12"/>
      <c r="G213" s="12"/>
      <c r="H213" s="12"/>
      <c r="I213" s="12"/>
      <c r="J213" s="12"/>
      <c r="K213" s="12"/>
      <c r="L213" s="12"/>
      <c r="M213" s="11"/>
      <c r="N213" s="11"/>
      <c r="O213" s="11"/>
      <c r="P213" s="11"/>
      <c r="Q213" s="11"/>
      <c r="R213" s="11"/>
      <c r="S213" s="11"/>
      <c r="T213" s="11"/>
      <c r="U213" s="11"/>
      <c r="V213" s="11"/>
      <c r="W213" s="11"/>
      <c r="X213" s="11"/>
      <c r="Y213" s="11"/>
      <c r="Z213" s="11"/>
      <c r="AA213" s="11"/>
      <c r="AB213" s="11"/>
      <c r="AC213" s="11"/>
      <c r="AD213" s="11"/>
    </row>
    <row r="214" spans="1:30" ht="16" x14ac:dyDescent="0.2">
      <c r="A214" s="11"/>
      <c r="B214" s="12"/>
      <c r="C214" s="12"/>
      <c r="D214" s="12"/>
      <c r="E214" s="12"/>
      <c r="F214" s="12"/>
      <c r="G214" s="12"/>
      <c r="H214" s="12"/>
      <c r="I214" s="12"/>
      <c r="J214" s="12"/>
      <c r="K214" s="12"/>
      <c r="L214" s="12"/>
      <c r="M214" s="11"/>
      <c r="N214" s="11"/>
      <c r="O214" s="11"/>
      <c r="P214" s="11"/>
      <c r="Q214" s="11"/>
      <c r="R214" s="11"/>
      <c r="S214" s="11"/>
      <c r="T214" s="11"/>
      <c r="U214" s="11"/>
      <c r="V214" s="11"/>
      <c r="W214" s="11"/>
      <c r="X214" s="11"/>
      <c r="Y214" s="11"/>
      <c r="Z214" s="11"/>
      <c r="AA214" s="11"/>
      <c r="AB214" s="11"/>
      <c r="AC214" s="11"/>
      <c r="AD214" s="11"/>
    </row>
    <row r="215" spans="1:30" ht="16" x14ac:dyDescent="0.2">
      <c r="A215" s="11"/>
      <c r="B215" s="12"/>
      <c r="C215" s="12"/>
      <c r="D215" s="12"/>
      <c r="E215" s="12"/>
      <c r="F215" s="12"/>
      <c r="G215" s="12"/>
      <c r="H215" s="12"/>
      <c r="I215" s="12"/>
      <c r="J215" s="12"/>
      <c r="K215" s="12"/>
      <c r="L215" s="12"/>
      <c r="M215" s="11"/>
      <c r="N215" s="11"/>
      <c r="O215" s="11"/>
      <c r="P215" s="11"/>
      <c r="Q215" s="11"/>
      <c r="R215" s="11"/>
      <c r="S215" s="11"/>
      <c r="T215" s="11"/>
      <c r="U215" s="11"/>
      <c r="V215" s="11"/>
      <c r="W215" s="11"/>
      <c r="X215" s="11"/>
      <c r="Y215" s="11"/>
      <c r="Z215" s="11"/>
      <c r="AA215" s="11"/>
      <c r="AB215" s="11"/>
      <c r="AC215" s="11"/>
      <c r="AD215" s="11"/>
    </row>
    <row r="216" spans="1:30" ht="16" x14ac:dyDescent="0.2">
      <c r="A216" s="11"/>
      <c r="B216" s="12"/>
      <c r="C216" s="12"/>
      <c r="D216" s="12"/>
      <c r="E216" s="12"/>
      <c r="F216" s="12"/>
      <c r="G216" s="12"/>
      <c r="H216" s="12"/>
      <c r="I216" s="12"/>
      <c r="J216" s="12"/>
      <c r="K216" s="12"/>
      <c r="L216" s="12"/>
      <c r="M216" s="11"/>
      <c r="N216" s="11"/>
      <c r="O216" s="11"/>
      <c r="P216" s="11"/>
      <c r="Q216" s="11"/>
      <c r="R216" s="11"/>
      <c r="S216" s="11"/>
      <c r="T216" s="11"/>
      <c r="U216" s="11"/>
      <c r="V216" s="11"/>
      <c r="W216" s="11"/>
      <c r="X216" s="11"/>
      <c r="Y216" s="11"/>
      <c r="Z216" s="11"/>
      <c r="AA216" s="11"/>
      <c r="AB216" s="11"/>
      <c r="AC216" s="11"/>
      <c r="AD216" s="11"/>
    </row>
    <row r="217" spans="1:30" ht="16" x14ac:dyDescent="0.2">
      <c r="A217" s="11"/>
      <c r="B217" s="12"/>
      <c r="C217" s="12"/>
      <c r="D217" s="12"/>
      <c r="E217" s="12"/>
      <c r="F217" s="12"/>
      <c r="G217" s="12"/>
      <c r="H217" s="12"/>
      <c r="I217" s="12"/>
      <c r="J217" s="12"/>
      <c r="K217" s="12"/>
      <c r="L217" s="12"/>
      <c r="M217" s="11"/>
      <c r="N217" s="11"/>
      <c r="O217" s="11"/>
      <c r="P217" s="11"/>
      <c r="Q217" s="11"/>
      <c r="R217" s="11"/>
      <c r="S217" s="11"/>
      <c r="T217" s="11"/>
      <c r="U217" s="11"/>
      <c r="V217" s="11"/>
      <c r="W217" s="11"/>
      <c r="X217" s="11"/>
      <c r="Y217" s="11"/>
      <c r="Z217" s="11"/>
      <c r="AA217" s="11"/>
      <c r="AB217" s="11"/>
      <c r="AC217" s="11"/>
      <c r="AD217" s="11"/>
    </row>
    <row r="218" spans="1:30" ht="16" x14ac:dyDescent="0.2">
      <c r="A218" s="11"/>
      <c r="B218" s="12"/>
      <c r="C218" s="12"/>
      <c r="D218" s="12"/>
      <c r="E218" s="12"/>
      <c r="F218" s="12"/>
      <c r="G218" s="12"/>
      <c r="H218" s="12"/>
      <c r="I218" s="12"/>
      <c r="J218" s="12"/>
      <c r="K218" s="12"/>
      <c r="L218" s="12"/>
      <c r="M218" s="11"/>
      <c r="N218" s="11"/>
      <c r="O218" s="11"/>
      <c r="P218" s="11"/>
      <c r="Q218" s="11"/>
      <c r="R218" s="11"/>
      <c r="S218" s="11"/>
      <c r="T218" s="11"/>
      <c r="U218" s="11"/>
      <c r="V218" s="11"/>
      <c r="W218" s="11"/>
      <c r="X218" s="11"/>
      <c r="Y218" s="11"/>
      <c r="Z218" s="11"/>
      <c r="AA218" s="11"/>
      <c r="AB218" s="11"/>
      <c r="AC218" s="11"/>
      <c r="AD218" s="11"/>
    </row>
    <row r="219" spans="1:30" ht="16" x14ac:dyDescent="0.2">
      <c r="A219" s="11"/>
      <c r="B219" s="12"/>
      <c r="C219" s="12"/>
      <c r="D219" s="12"/>
      <c r="E219" s="12"/>
      <c r="F219" s="12"/>
      <c r="G219" s="12"/>
      <c r="H219" s="12"/>
      <c r="I219" s="12"/>
      <c r="J219" s="12"/>
      <c r="K219" s="12"/>
      <c r="L219" s="12"/>
      <c r="M219" s="11"/>
      <c r="N219" s="11"/>
      <c r="O219" s="11"/>
      <c r="P219" s="11"/>
      <c r="Q219" s="11"/>
      <c r="R219" s="11"/>
      <c r="S219" s="11"/>
      <c r="T219" s="11"/>
      <c r="U219" s="11"/>
      <c r="V219" s="11"/>
      <c r="W219" s="11"/>
      <c r="X219" s="11"/>
      <c r="Y219" s="11"/>
      <c r="Z219" s="11"/>
      <c r="AA219" s="11"/>
      <c r="AB219" s="11"/>
      <c r="AC219" s="11"/>
      <c r="AD219" s="11"/>
    </row>
    <row r="220" spans="1:30" ht="16" x14ac:dyDescent="0.2">
      <c r="A220" s="11"/>
      <c r="B220" s="12"/>
      <c r="C220" s="12"/>
      <c r="D220" s="12"/>
      <c r="E220" s="12"/>
      <c r="F220" s="12"/>
      <c r="G220" s="12"/>
      <c r="H220" s="12"/>
      <c r="I220" s="12"/>
      <c r="J220" s="12"/>
      <c r="K220" s="12"/>
      <c r="L220" s="12"/>
      <c r="M220" s="11"/>
      <c r="N220" s="11"/>
      <c r="O220" s="11"/>
      <c r="P220" s="11"/>
      <c r="Q220" s="11"/>
      <c r="R220" s="11"/>
      <c r="S220" s="11"/>
      <c r="T220" s="11"/>
      <c r="U220" s="11"/>
      <c r="V220" s="11"/>
      <c r="W220" s="11"/>
      <c r="X220" s="11"/>
      <c r="Y220" s="11"/>
      <c r="Z220" s="11"/>
      <c r="AA220" s="11"/>
      <c r="AB220" s="11"/>
      <c r="AC220" s="11"/>
      <c r="AD220" s="11"/>
    </row>
    <row r="221" spans="1:30" ht="16" x14ac:dyDescent="0.2">
      <c r="A221" s="11"/>
      <c r="B221" s="12"/>
      <c r="C221" s="12"/>
      <c r="D221" s="12"/>
      <c r="E221" s="12"/>
      <c r="F221" s="12"/>
      <c r="G221" s="12"/>
      <c r="H221" s="12"/>
      <c r="I221" s="12"/>
      <c r="J221" s="12"/>
      <c r="K221" s="12"/>
      <c r="L221" s="12"/>
      <c r="M221" s="11"/>
      <c r="N221" s="11"/>
      <c r="O221" s="11"/>
      <c r="P221" s="11"/>
      <c r="Q221" s="11"/>
      <c r="R221" s="11"/>
      <c r="S221" s="11"/>
      <c r="T221" s="11"/>
      <c r="U221" s="11"/>
      <c r="V221" s="11"/>
      <c r="W221" s="11"/>
      <c r="X221" s="11"/>
      <c r="Y221" s="11"/>
      <c r="Z221" s="11"/>
      <c r="AA221" s="11"/>
      <c r="AB221" s="11"/>
      <c r="AC221" s="11"/>
      <c r="AD221" s="11"/>
    </row>
    <row r="222" spans="1:30" ht="16" x14ac:dyDescent="0.2">
      <c r="A222" s="11"/>
      <c r="B222" s="12"/>
      <c r="C222" s="12"/>
      <c r="D222" s="12"/>
      <c r="E222" s="12"/>
      <c r="F222" s="12"/>
      <c r="G222" s="12"/>
      <c r="H222" s="12"/>
      <c r="I222" s="12"/>
      <c r="J222" s="12"/>
      <c r="K222" s="12"/>
      <c r="L222" s="12"/>
      <c r="M222" s="11"/>
      <c r="N222" s="11"/>
      <c r="O222" s="11"/>
      <c r="P222" s="11"/>
      <c r="Q222" s="11"/>
      <c r="R222" s="11"/>
      <c r="S222" s="11"/>
      <c r="T222" s="11"/>
      <c r="U222" s="11"/>
      <c r="V222" s="11"/>
      <c r="W222" s="11"/>
      <c r="X222" s="11"/>
      <c r="Y222" s="11"/>
      <c r="Z222" s="11"/>
      <c r="AA222" s="11"/>
      <c r="AB222" s="11"/>
      <c r="AC222" s="11"/>
      <c r="AD222" s="11"/>
    </row>
    <row r="223" spans="1:30" ht="16" x14ac:dyDescent="0.2">
      <c r="A223" s="11"/>
      <c r="B223" s="12"/>
      <c r="C223" s="12"/>
      <c r="D223" s="12"/>
      <c r="E223" s="12"/>
      <c r="F223" s="12"/>
      <c r="G223" s="12"/>
      <c r="H223" s="12"/>
      <c r="I223" s="12"/>
      <c r="J223" s="12"/>
      <c r="K223" s="12"/>
      <c r="L223" s="12"/>
      <c r="M223" s="11"/>
      <c r="N223" s="11"/>
      <c r="O223" s="11"/>
      <c r="P223" s="11"/>
      <c r="Q223" s="11"/>
      <c r="R223" s="11"/>
      <c r="S223" s="11"/>
      <c r="T223" s="11"/>
      <c r="U223" s="11"/>
      <c r="V223" s="11"/>
      <c r="W223" s="11"/>
      <c r="X223" s="11"/>
      <c r="Y223" s="11"/>
      <c r="Z223" s="11"/>
      <c r="AA223" s="11"/>
      <c r="AB223" s="11"/>
      <c r="AC223" s="11"/>
      <c r="AD223" s="11"/>
    </row>
    <row r="224" spans="1:30" ht="16" x14ac:dyDescent="0.2">
      <c r="A224" s="11"/>
      <c r="B224" s="12"/>
      <c r="C224" s="12"/>
      <c r="D224" s="12"/>
      <c r="E224" s="12"/>
      <c r="F224" s="12"/>
      <c r="G224" s="12"/>
      <c r="H224" s="12"/>
      <c r="I224" s="12"/>
      <c r="J224" s="12"/>
      <c r="K224" s="12"/>
      <c r="L224" s="12"/>
      <c r="M224" s="11"/>
      <c r="N224" s="11"/>
      <c r="O224" s="11"/>
      <c r="P224" s="11"/>
      <c r="Q224" s="11"/>
      <c r="R224" s="11"/>
      <c r="S224" s="11"/>
      <c r="T224" s="11"/>
      <c r="U224" s="11"/>
      <c r="V224" s="11"/>
      <c r="W224" s="11"/>
      <c r="X224" s="11"/>
      <c r="Y224" s="11"/>
      <c r="Z224" s="11"/>
      <c r="AA224" s="11"/>
      <c r="AB224" s="11"/>
      <c r="AC224" s="11"/>
      <c r="AD224" s="11"/>
    </row>
    <row r="225" spans="1:30" ht="16" x14ac:dyDescent="0.2">
      <c r="A225" s="11"/>
      <c r="B225" s="12"/>
      <c r="C225" s="12"/>
      <c r="D225" s="12"/>
      <c r="E225" s="12"/>
      <c r="F225" s="12"/>
      <c r="G225" s="12"/>
      <c r="H225" s="12"/>
      <c r="I225" s="12"/>
      <c r="J225" s="12"/>
      <c r="K225" s="12"/>
      <c r="L225" s="12"/>
      <c r="M225" s="11"/>
      <c r="N225" s="11"/>
      <c r="O225" s="11"/>
      <c r="P225" s="11"/>
      <c r="Q225" s="11"/>
      <c r="R225" s="11"/>
      <c r="S225" s="11"/>
      <c r="T225" s="11"/>
      <c r="U225" s="11"/>
      <c r="V225" s="11"/>
      <c r="W225" s="11"/>
      <c r="X225" s="11"/>
      <c r="Y225" s="11"/>
      <c r="Z225" s="11"/>
      <c r="AA225" s="11"/>
      <c r="AB225" s="11"/>
      <c r="AC225" s="11"/>
      <c r="AD225" s="11"/>
    </row>
    <row r="226" spans="1:30" ht="16" x14ac:dyDescent="0.2">
      <c r="A226" s="11"/>
      <c r="B226" s="12"/>
      <c r="C226" s="12"/>
      <c r="D226" s="12"/>
      <c r="E226" s="12"/>
      <c r="F226" s="12"/>
      <c r="G226" s="12"/>
      <c r="H226" s="12"/>
      <c r="I226" s="12"/>
      <c r="J226" s="12"/>
      <c r="K226" s="12"/>
      <c r="L226" s="12"/>
      <c r="M226" s="11"/>
      <c r="N226" s="11"/>
      <c r="O226" s="11"/>
      <c r="P226" s="11"/>
      <c r="Q226" s="11"/>
      <c r="R226" s="11"/>
      <c r="S226" s="11"/>
      <c r="T226" s="11"/>
      <c r="U226" s="11"/>
      <c r="V226" s="11"/>
      <c r="W226" s="11"/>
      <c r="X226" s="11"/>
      <c r="Y226" s="11"/>
      <c r="Z226" s="11"/>
      <c r="AA226" s="11"/>
      <c r="AB226" s="11"/>
      <c r="AC226" s="11"/>
      <c r="AD226" s="11"/>
    </row>
    <row r="227" spans="1:30" ht="16" x14ac:dyDescent="0.2">
      <c r="A227" s="11"/>
      <c r="B227" s="12"/>
      <c r="C227" s="12"/>
      <c r="D227" s="12"/>
      <c r="E227" s="12"/>
      <c r="F227" s="12"/>
      <c r="G227" s="12"/>
      <c r="H227" s="12"/>
      <c r="I227" s="12"/>
      <c r="J227" s="12"/>
      <c r="K227" s="12"/>
      <c r="L227" s="12"/>
      <c r="M227" s="11"/>
      <c r="N227" s="11"/>
      <c r="O227" s="11"/>
      <c r="P227" s="11"/>
      <c r="Q227" s="11"/>
      <c r="R227" s="11"/>
      <c r="S227" s="11"/>
      <c r="T227" s="11"/>
      <c r="U227" s="11"/>
      <c r="V227" s="11"/>
      <c r="W227" s="11"/>
      <c r="X227" s="11"/>
      <c r="Y227" s="11"/>
      <c r="Z227" s="11"/>
      <c r="AA227" s="11"/>
      <c r="AB227" s="11"/>
      <c r="AC227" s="11"/>
      <c r="AD227" s="11"/>
    </row>
    <row r="228" spans="1:30" ht="16" x14ac:dyDescent="0.2">
      <c r="A228" s="11"/>
      <c r="B228" s="12"/>
      <c r="C228" s="12"/>
      <c r="D228" s="12"/>
      <c r="E228" s="12"/>
      <c r="F228" s="12"/>
      <c r="G228" s="12"/>
      <c r="H228" s="12"/>
      <c r="I228" s="12"/>
      <c r="J228" s="12"/>
      <c r="K228" s="12"/>
      <c r="L228" s="12"/>
      <c r="M228" s="11"/>
      <c r="N228" s="11"/>
      <c r="O228" s="11"/>
      <c r="P228" s="11"/>
      <c r="Q228" s="11"/>
      <c r="R228" s="11"/>
      <c r="S228" s="11"/>
      <c r="T228" s="11"/>
      <c r="U228" s="11"/>
      <c r="V228" s="11"/>
      <c r="W228" s="11"/>
      <c r="X228" s="11"/>
      <c r="Y228" s="11"/>
      <c r="Z228" s="11"/>
      <c r="AA228" s="11"/>
      <c r="AB228" s="11"/>
      <c r="AC228" s="11"/>
      <c r="AD228" s="11"/>
    </row>
    <row r="229" spans="1:30" ht="16" x14ac:dyDescent="0.2">
      <c r="A229" s="11"/>
      <c r="B229" s="12"/>
      <c r="C229" s="12"/>
      <c r="D229" s="12"/>
      <c r="E229" s="12"/>
      <c r="F229" s="12"/>
      <c r="G229" s="12"/>
      <c r="H229" s="12"/>
      <c r="I229" s="12"/>
      <c r="J229" s="12"/>
      <c r="K229" s="12"/>
      <c r="L229" s="12"/>
      <c r="M229" s="11"/>
      <c r="N229" s="11"/>
      <c r="O229" s="11"/>
      <c r="P229" s="11"/>
      <c r="Q229" s="11"/>
      <c r="R229" s="11"/>
      <c r="S229" s="11"/>
      <c r="T229" s="11"/>
      <c r="U229" s="11"/>
      <c r="V229" s="11"/>
      <c r="W229" s="11"/>
      <c r="X229" s="11"/>
      <c r="Y229" s="11"/>
      <c r="Z229" s="11"/>
      <c r="AA229" s="11"/>
      <c r="AB229" s="11"/>
      <c r="AC229" s="11"/>
      <c r="AD229" s="11"/>
    </row>
    <row r="230" spans="1:30" ht="16" x14ac:dyDescent="0.2">
      <c r="A230" s="11"/>
      <c r="B230" s="12"/>
      <c r="C230" s="12"/>
      <c r="D230" s="12"/>
      <c r="E230" s="12"/>
      <c r="F230" s="12"/>
      <c r="G230" s="12"/>
      <c r="H230" s="12"/>
      <c r="I230" s="12"/>
      <c r="J230" s="12"/>
      <c r="K230" s="12"/>
      <c r="L230" s="12"/>
      <c r="M230" s="11"/>
      <c r="N230" s="11"/>
      <c r="O230" s="11"/>
      <c r="P230" s="11"/>
      <c r="Q230" s="11"/>
      <c r="R230" s="11"/>
      <c r="S230" s="11"/>
      <c r="T230" s="11"/>
      <c r="U230" s="11"/>
      <c r="V230" s="11"/>
      <c r="W230" s="11"/>
      <c r="X230" s="11"/>
      <c r="Y230" s="11"/>
      <c r="Z230" s="11"/>
      <c r="AA230" s="11"/>
      <c r="AB230" s="11"/>
      <c r="AC230" s="11"/>
      <c r="AD230" s="11"/>
    </row>
    <row r="231" spans="1:30" ht="16" x14ac:dyDescent="0.2">
      <c r="A231" s="11"/>
      <c r="B231" s="12"/>
      <c r="C231" s="12"/>
      <c r="D231" s="12"/>
      <c r="E231" s="12"/>
      <c r="F231" s="12"/>
      <c r="G231" s="12"/>
      <c r="H231" s="12"/>
      <c r="I231" s="12"/>
      <c r="J231" s="12"/>
      <c r="K231" s="12"/>
      <c r="L231" s="12"/>
      <c r="M231" s="11"/>
      <c r="N231" s="11"/>
      <c r="O231" s="11"/>
      <c r="P231" s="11"/>
      <c r="Q231" s="11"/>
      <c r="R231" s="11"/>
      <c r="S231" s="11"/>
      <c r="T231" s="11"/>
      <c r="U231" s="11"/>
      <c r="V231" s="11"/>
      <c r="W231" s="11"/>
      <c r="X231" s="11"/>
      <c r="Y231" s="11"/>
      <c r="Z231" s="11"/>
      <c r="AA231" s="11"/>
      <c r="AB231" s="11"/>
      <c r="AC231" s="11"/>
      <c r="AD231" s="11"/>
    </row>
    <row r="232" spans="1:30" ht="16" x14ac:dyDescent="0.2">
      <c r="A232" s="11"/>
      <c r="B232" s="12"/>
      <c r="C232" s="12"/>
      <c r="D232" s="12"/>
      <c r="E232" s="12"/>
      <c r="F232" s="12"/>
      <c r="G232" s="12"/>
      <c r="H232" s="12"/>
      <c r="I232" s="12"/>
      <c r="J232" s="12"/>
      <c r="K232" s="12"/>
      <c r="L232" s="12"/>
      <c r="M232" s="11"/>
      <c r="N232" s="11"/>
      <c r="O232" s="11"/>
      <c r="P232" s="11"/>
      <c r="Q232" s="11"/>
      <c r="R232" s="11"/>
      <c r="S232" s="11"/>
      <c r="T232" s="11"/>
      <c r="U232" s="11"/>
      <c r="V232" s="11"/>
      <c r="W232" s="11"/>
      <c r="X232" s="11"/>
      <c r="Y232" s="11"/>
      <c r="Z232" s="11"/>
      <c r="AA232" s="11"/>
      <c r="AB232" s="11"/>
      <c r="AC232" s="11"/>
      <c r="AD232" s="11"/>
    </row>
    <row r="233" spans="1:30" ht="16" x14ac:dyDescent="0.2">
      <c r="A233" s="11"/>
      <c r="B233" s="12"/>
      <c r="C233" s="12"/>
      <c r="D233" s="12"/>
      <c r="E233" s="12"/>
      <c r="F233" s="12"/>
      <c r="G233" s="12"/>
      <c r="H233" s="12"/>
      <c r="I233" s="12"/>
      <c r="J233" s="12"/>
      <c r="K233" s="12"/>
      <c r="L233" s="12"/>
      <c r="M233" s="11"/>
      <c r="N233" s="11"/>
      <c r="O233" s="11"/>
      <c r="P233" s="11"/>
      <c r="Q233" s="11"/>
      <c r="R233" s="11"/>
      <c r="S233" s="11"/>
      <c r="T233" s="11"/>
      <c r="U233" s="11"/>
      <c r="V233" s="11"/>
      <c r="W233" s="11"/>
      <c r="X233" s="11"/>
      <c r="Y233" s="11"/>
      <c r="Z233" s="11"/>
      <c r="AA233" s="11"/>
      <c r="AB233" s="11"/>
      <c r="AC233" s="11"/>
      <c r="AD233" s="11"/>
    </row>
    <row r="234" spans="1:30" ht="16" x14ac:dyDescent="0.2">
      <c r="A234" s="11"/>
      <c r="B234" s="12"/>
      <c r="C234" s="12"/>
      <c r="D234" s="12"/>
      <c r="E234" s="12"/>
      <c r="F234" s="12"/>
      <c r="G234" s="12"/>
      <c r="H234" s="12"/>
      <c r="I234" s="12"/>
      <c r="J234" s="12"/>
      <c r="K234" s="12"/>
      <c r="L234" s="12"/>
      <c r="M234" s="11"/>
      <c r="N234" s="11"/>
      <c r="O234" s="11"/>
      <c r="P234" s="11"/>
      <c r="Q234" s="11"/>
      <c r="R234" s="11"/>
      <c r="S234" s="11"/>
      <c r="T234" s="11"/>
      <c r="U234" s="11"/>
      <c r="V234" s="11"/>
      <c r="W234" s="11"/>
      <c r="X234" s="11"/>
      <c r="Y234" s="11"/>
      <c r="Z234" s="11"/>
      <c r="AA234" s="11"/>
      <c r="AB234" s="11"/>
      <c r="AC234" s="11"/>
      <c r="AD234" s="11"/>
    </row>
    <row r="235" spans="1:30" ht="16" x14ac:dyDescent="0.2">
      <c r="A235" s="11"/>
      <c r="B235" s="12"/>
      <c r="C235" s="12"/>
      <c r="D235" s="12"/>
      <c r="E235" s="12"/>
      <c r="F235" s="12"/>
      <c r="G235" s="12"/>
      <c r="H235" s="12"/>
      <c r="I235" s="12"/>
      <c r="J235" s="12"/>
      <c r="K235" s="12"/>
      <c r="L235" s="12"/>
      <c r="M235" s="11"/>
      <c r="N235" s="11"/>
      <c r="O235" s="11"/>
      <c r="P235" s="11"/>
      <c r="Q235" s="11"/>
      <c r="R235" s="11"/>
      <c r="S235" s="11"/>
      <c r="T235" s="11"/>
      <c r="U235" s="11"/>
      <c r="V235" s="11"/>
      <c r="W235" s="11"/>
      <c r="X235" s="11"/>
      <c r="Y235" s="11"/>
      <c r="Z235" s="11"/>
      <c r="AA235" s="11"/>
      <c r="AB235" s="11"/>
      <c r="AC235" s="11"/>
      <c r="AD235" s="11"/>
    </row>
    <row r="236" spans="1:30" ht="16" x14ac:dyDescent="0.2">
      <c r="A236" s="11"/>
      <c r="B236" s="12"/>
      <c r="C236" s="12"/>
      <c r="D236" s="12"/>
      <c r="E236" s="12"/>
      <c r="F236" s="12"/>
      <c r="G236" s="12"/>
      <c r="H236" s="12"/>
      <c r="I236" s="12"/>
      <c r="J236" s="12"/>
      <c r="K236" s="12"/>
      <c r="L236" s="12"/>
      <c r="M236" s="11"/>
      <c r="N236" s="11"/>
      <c r="O236" s="11"/>
      <c r="P236" s="11"/>
      <c r="Q236" s="11"/>
      <c r="R236" s="11"/>
      <c r="S236" s="11"/>
      <c r="T236" s="11"/>
      <c r="U236" s="11"/>
      <c r="V236" s="11"/>
      <c r="W236" s="11"/>
      <c r="X236" s="11"/>
      <c r="Y236" s="11"/>
      <c r="Z236" s="11"/>
      <c r="AA236" s="11"/>
      <c r="AB236" s="11"/>
      <c r="AC236" s="11"/>
      <c r="AD236" s="11"/>
    </row>
    <row r="237" spans="1:30" ht="16" x14ac:dyDescent="0.2">
      <c r="A237" s="11"/>
      <c r="B237" s="12"/>
      <c r="C237" s="12"/>
      <c r="D237" s="12"/>
      <c r="E237" s="12"/>
      <c r="F237" s="12"/>
      <c r="G237" s="12"/>
      <c r="H237" s="12"/>
      <c r="I237" s="12"/>
      <c r="J237" s="12"/>
      <c r="K237" s="12"/>
      <c r="L237" s="12"/>
      <c r="M237" s="11"/>
      <c r="N237" s="11"/>
      <c r="O237" s="11"/>
      <c r="P237" s="11"/>
      <c r="Q237" s="11"/>
      <c r="R237" s="11"/>
      <c r="S237" s="11"/>
      <c r="T237" s="11"/>
      <c r="U237" s="11"/>
      <c r="V237" s="11"/>
      <c r="W237" s="11"/>
      <c r="X237" s="11"/>
      <c r="Y237" s="11"/>
      <c r="Z237" s="11"/>
      <c r="AA237" s="11"/>
      <c r="AB237" s="11"/>
      <c r="AC237" s="11"/>
      <c r="AD237" s="11"/>
    </row>
    <row r="238" spans="1:30" ht="16" x14ac:dyDescent="0.2">
      <c r="A238" s="11"/>
      <c r="B238" s="12"/>
      <c r="C238" s="12"/>
      <c r="D238" s="12"/>
      <c r="E238" s="12"/>
      <c r="F238" s="12"/>
      <c r="G238" s="12"/>
      <c r="H238" s="12"/>
      <c r="I238" s="12"/>
      <c r="J238" s="12"/>
      <c r="K238" s="12"/>
      <c r="L238" s="12"/>
      <c r="M238" s="11"/>
      <c r="N238" s="11"/>
      <c r="O238" s="11"/>
      <c r="P238" s="11"/>
      <c r="Q238" s="11"/>
      <c r="R238" s="11"/>
      <c r="S238" s="11"/>
      <c r="T238" s="11"/>
      <c r="U238" s="11"/>
      <c r="V238" s="11"/>
      <c r="W238" s="11"/>
      <c r="X238" s="11"/>
      <c r="Y238" s="11"/>
      <c r="Z238" s="11"/>
      <c r="AA238" s="11"/>
      <c r="AB238" s="11"/>
      <c r="AC238" s="11"/>
      <c r="AD238" s="11"/>
    </row>
    <row r="239" spans="1:30" ht="16" x14ac:dyDescent="0.2">
      <c r="A239" s="11"/>
      <c r="B239" s="12"/>
      <c r="C239" s="12"/>
      <c r="D239" s="12"/>
      <c r="E239" s="12"/>
      <c r="F239" s="12"/>
      <c r="G239" s="12"/>
      <c r="H239" s="12"/>
      <c r="I239" s="12"/>
      <c r="J239" s="12"/>
      <c r="K239" s="12"/>
      <c r="L239" s="12"/>
      <c r="M239" s="11"/>
      <c r="N239" s="11"/>
      <c r="O239" s="11"/>
      <c r="P239" s="11"/>
      <c r="Q239" s="11"/>
      <c r="R239" s="11"/>
      <c r="S239" s="11"/>
      <c r="T239" s="11"/>
      <c r="U239" s="11"/>
      <c r="V239" s="11"/>
      <c r="W239" s="11"/>
      <c r="X239" s="11"/>
      <c r="Y239" s="11"/>
      <c r="Z239" s="11"/>
      <c r="AA239" s="11"/>
      <c r="AB239" s="11"/>
      <c r="AC239" s="11"/>
      <c r="AD239" s="11"/>
    </row>
    <row r="240" spans="1:30" ht="16" x14ac:dyDescent="0.2">
      <c r="A240" s="11"/>
      <c r="B240" s="12"/>
      <c r="C240" s="12"/>
      <c r="D240" s="12"/>
      <c r="E240" s="12"/>
      <c r="F240" s="12"/>
      <c r="G240" s="12"/>
      <c r="H240" s="12"/>
      <c r="I240" s="12"/>
      <c r="J240" s="12"/>
      <c r="K240" s="12"/>
      <c r="L240" s="12"/>
      <c r="M240" s="11"/>
      <c r="N240" s="11"/>
      <c r="O240" s="11"/>
      <c r="P240" s="11"/>
      <c r="Q240" s="11"/>
      <c r="R240" s="11"/>
      <c r="S240" s="11"/>
      <c r="T240" s="11"/>
      <c r="U240" s="11"/>
      <c r="V240" s="11"/>
      <c r="W240" s="11"/>
      <c r="X240" s="11"/>
      <c r="Y240" s="11"/>
      <c r="Z240" s="11"/>
      <c r="AA240" s="11"/>
      <c r="AB240" s="11"/>
      <c r="AC240" s="11"/>
      <c r="AD240" s="11"/>
    </row>
    <row r="241" spans="1:30" ht="16" x14ac:dyDescent="0.2">
      <c r="A241" s="11"/>
      <c r="B241" s="12"/>
      <c r="C241" s="12"/>
      <c r="D241" s="12"/>
      <c r="E241" s="12"/>
      <c r="F241" s="12"/>
      <c r="G241" s="12"/>
      <c r="H241" s="12"/>
      <c r="I241" s="12"/>
      <c r="J241" s="12"/>
      <c r="K241" s="12"/>
      <c r="L241" s="12"/>
      <c r="M241" s="11"/>
      <c r="N241" s="11"/>
      <c r="O241" s="11"/>
      <c r="P241" s="11"/>
      <c r="Q241" s="11"/>
      <c r="R241" s="11"/>
      <c r="S241" s="11"/>
      <c r="T241" s="11"/>
      <c r="U241" s="11"/>
      <c r="V241" s="11"/>
      <c r="W241" s="11"/>
      <c r="X241" s="11"/>
      <c r="Y241" s="11"/>
      <c r="Z241" s="11"/>
      <c r="AA241" s="11"/>
      <c r="AB241" s="11"/>
      <c r="AC241" s="11"/>
      <c r="AD241" s="11"/>
    </row>
    <row r="242" spans="1:30" ht="16" x14ac:dyDescent="0.2">
      <c r="A242" s="11"/>
      <c r="B242" s="12"/>
      <c r="C242" s="12"/>
      <c r="D242" s="12"/>
      <c r="E242" s="12"/>
      <c r="F242" s="12"/>
      <c r="G242" s="12"/>
      <c r="H242" s="12"/>
      <c r="I242" s="12"/>
      <c r="J242" s="12"/>
      <c r="K242" s="12"/>
      <c r="L242" s="12"/>
      <c r="M242" s="11"/>
      <c r="N242" s="11"/>
      <c r="O242" s="11"/>
      <c r="P242" s="11"/>
      <c r="Q242" s="11"/>
      <c r="R242" s="11"/>
      <c r="S242" s="11"/>
      <c r="T242" s="11"/>
      <c r="U242" s="11"/>
      <c r="V242" s="11"/>
      <c r="W242" s="11"/>
      <c r="X242" s="11"/>
      <c r="Y242" s="11"/>
      <c r="Z242" s="11"/>
      <c r="AA242" s="11"/>
      <c r="AB242" s="11"/>
      <c r="AC242" s="11"/>
      <c r="AD242" s="11"/>
    </row>
    <row r="243" spans="1:30" ht="16" x14ac:dyDescent="0.2">
      <c r="A243" s="11"/>
      <c r="B243" s="12"/>
      <c r="C243" s="12"/>
      <c r="D243" s="12"/>
      <c r="E243" s="12"/>
      <c r="F243" s="12"/>
      <c r="G243" s="12"/>
      <c r="H243" s="12"/>
      <c r="I243" s="12"/>
      <c r="J243" s="12"/>
      <c r="K243" s="12"/>
      <c r="L243" s="12"/>
      <c r="M243" s="11"/>
      <c r="N243" s="11"/>
      <c r="O243" s="11"/>
      <c r="P243" s="11"/>
      <c r="Q243" s="11"/>
      <c r="R243" s="11"/>
      <c r="S243" s="11"/>
      <c r="T243" s="11"/>
      <c r="U243" s="11"/>
      <c r="V243" s="11"/>
      <c r="W243" s="11"/>
      <c r="X243" s="11"/>
      <c r="Y243" s="11"/>
      <c r="Z243" s="11"/>
      <c r="AA243" s="11"/>
      <c r="AB243" s="11"/>
      <c r="AC243" s="11"/>
      <c r="AD243" s="11"/>
    </row>
    <row r="244" spans="1:30" ht="16" x14ac:dyDescent="0.2">
      <c r="A244" s="11"/>
      <c r="B244" s="12"/>
      <c r="C244" s="12"/>
      <c r="D244" s="12"/>
      <c r="E244" s="12"/>
      <c r="F244" s="12"/>
      <c r="G244" s="12"/>
      <c r="H244" s="12"/>
      <c r="I244" s="12"/>
      <c r="J244" s="12"/>
      <c r="K244" s="12"/>
      <c r="L244" s="12"/>
      <c r="M244" s="11"/>
      <c r="N244" s="11"/>
      <c r="O244" s="11"/>
      <c r="P244" s="11"/>
      <c r="Q244" s="11"/>
      <c r="R244" s="11"/>
      <c r="S244" s="11"/>
      <c r="T244" s="11"/>
      <c r="U244" s="11"/>
      <c r="V244" s="11"/>
      <c r="W244" s="11"/>
      <c r="X244" s="11"/>
      <c r="Y244" s="11"/>
      <c r="Z244" s="11"/>
      <c r="AA244" s="11"/>
      <c r="AB244" s="11"/>
      <c r="AC244" s="11"/>
      <c r="AD244" s="11"/>
    </row>
    <row r="245" spans="1:30" ht="16" x14ac:dyDescent="0.2">
      <c r="A245" s="11"/>
      <c r="B245" s="12"/>
      <c r="C245" s="12"/>
      <c r="D245" s="12"/>
      <c r="E245" s="12"/>
      <c r="F245" s="12"/>
      <c r="G245" s="12"/>
      <c r="H245" s="12"/>
      <c r="I245" s="12"/>
      <c r="J245" s="12"/>
      <c r="K245" s="12"/>
      <c r="L245" s="12"/>
      <c r="M245" s="11"/>
      <c r="N245" s="11"/>
      <c r="O245" s="11"/>
      <c r="P245" s="11"/>
      <c r="Q245" s="11"/>
      <c r="R245" s="11"/>
      <c r="S245" s="11"/>
      <c r="T245" s="11"/>
      <c r="U245" s="11"/>
      <c r="V245" s="11"/>
      <c r="W245" s="11"/>
      <c r="X245" s="11"/>
      <c r="Y245" s="11"/>
      <c r="Z245" s="11"/>
      <c r="AA245" s="11"/>
      <c r="AB245" s="11"/>
      <c r="AC245" s="11"/>
      <c r="AD245" s="11"/>
    </row>
    <row r="246" spans="1:30" ht="16" x14ac:dyDescent="0.2">
      <c r="A246" s="11"/>
      <c r="B246" s="12"/>
      <c r="C246" s="12"/>
      <c r="D246" s="12"/>
      <c r="E246" s="12"/>
      <c r="F246" s="12"/>
      <c r="G246" s="12"/>
      <c r="H246" s="12"/>
      <c r="I246" s="12"/>
      <c r="J246" s="12"/>
      <c r="K246" s="12"/>
      <c r="L246" s="12"/>
      <c r="M246" s="11"/>
      <c r="N246" s="11"/>
      <c r="O246" s="11"/>
      <c r="P246" s="11"/>
      <c r="Q246" s="11"/>
      <c r="R246" s="11"/>
      <c r="S246" s="11"/>
      <c r="T246" s="11"/>
      <c r="U246" s="11"/>
      <c r="V246" s="11"/>
      <c r="W246" s="11"/>
      <c r="X246" s="11"/>
      <c r="Y246" s="11"/>
      <c r="Z246" s="11"/>
      <c r="AA246" s="11"/>
      <c r="AB246" s="11"/>
      <c r="AC246" s="11"/>
      <c r="AD246" s="11"/>
    </row>
    <row r="247" spans="1:30" ht="16" x14ac:dyDescent="0.2">
      <c r="A247" s="11"/>
      <c r="B247" s="12"/>
      <c r="C247" s="12"/>
      <c r="D247" s="12"/>
      <c r="E247" s="12"/>
      <c r="F247" s="12"/>
      <c r="G247" s="12"/>
      <c r="H247" s="12"/>
      <c r="I247" s="12"/>
      <c r="J247" s="12"/>
      <c r="K247" s="12"/>
      <c r="L247" s="12"/>
      <c r="M247" s="11"/>
      <c r="N247" s="11"/>
      <c r="O247" s="11"/>
      <c r="P247" s="11"/>
      <c r="Q247" s="11"/>
      <c r="R247" s="11"/>
      <c r="S247" s="11"/>
      <c r="T247" s="11"/>
      <c r="U247" s="11"/>
      <c r="V247" s="11"/>
      <c r="W247" s="11"/>
      <c r="X247" s="11"/>
      <c r="Y247" s="11"/>
      <c r="Z247" s="11"/>
      <c r="AA247" s="11"/>
      <c r="AB247" s="11"/>
      <c r="AC247" s="11"/>
      <c r="AD247" s="11"/>
    </row>
    <row r="248" spans="1:30" ht="16" x14ac:dyDescent="0.2">
      <c r="A248" s="11"/>
      <c r="B248" s="12"/>
      <c r="C248" s="12"/>
      <c r="D248" s="12"/>
      <c r="E248" s="12"/>
      <c r="F248" s="12"/>
      <c r="G248" s="12"/>
      <c r="H248" s="12"/>
      <c r="I248" s="12"/>
      <c r="J248" s="12"/>
      <c r="K248" s="12"/>
      <c r="L248" s="12"/>
      <c r="M248" s="11"/>
      <c r="N248" s="11"/>
      <c r="O248" s="11"/>
      <c r="P248" s="11"/>
      <c r="Q248" s="11"/>
      <c r="R248" s="11"/>
      <c r="S248" s="11"/>
      <c r="T248" s="11"/>
      <c r="U248" s="11"/>
      <c r="V248" s="11"/>
      <c r="W248" s="11"/>
      <c r="X248" s="11"/>
      <c r="Y248" s="11"/>
      <c r="Z248" s="11"/>
      <c r="AA248" s="11"/>
      <c r="AB248" s="11"/>
      <c r="AC248" s="11"/>
      <c r="AD248" s="11"/>
    </row>
    <row r="249" spans="1:30" ht="16" x14ac:dyDescent="0.2">
      <c r="A249" s="11"/>
      <c r="B249" s="12"/>
      <c r="C249" s="12"/>
      <c r="D249" s="12"/>
      <c r="E249" s="12"/>
      <c r="F249" s="12"/>
      <c r="G249" s="12"/>
      <c r="H249" s="12"/>
      <c r="I249" s="12"/>
      <c r="J249" s="12"/>
      <c r="K249" s="12"/>
      <c r="L249" s="12"/>
      <c r="M249" s="11"/>
      <c r="N249" s="11"/>
      <c r="O249" s="11"/>
      <c r="P249" s="11"/>
      <c r="Q249" s="11"/>
      <c r="R249" s="11"/>
      <c r="S249" s="11"/>
      <c r="T249" s="11"/>
      <c r="U249" s="11"/>
      <c r="V249" s="11"/>
      <c r="W249" s="11"/>
      <c r="X249" s="11"/>
      <c r="Y249" s="11"/>
      <c r="Z249" s="11"/>
      <c r="AA249" s="11"/>
      <c r="AB249" s="11"/>
      <c r="AC249" s="11"/>
      <c r="AD249" s="11"/>
    </row>
    <row r="250" spans="1:30" ht="16" x14ac:dyDescent="0.2">
      <c r="A250" s="11"/>
      <c r="B250" s="12"/>
      <c r="C250" s="12"/>
      <c r="D250" s="12"/>
      <c r="E250" s="12"/>
      <c r="F250" s="12"/>
      <c r="G250" s="12"/>
      <c r="H250" s="12"/>
      <c r="I250" s="12"/>
      <c r="J250" s="12"/>
      <c r="K250" s="12"/>
      <c r="L250" s="12"/>
      <c r="M250" s="11"/>
      <c r="N250" s="11"/>
      <c r="O250" s="11"/>
      <c r="P250" s="11"/>
      <c r="Q250" s="11"/>
      <c r="R250" s="11"/>
      <c r="S250" s="11"/>
      <c r="T250" s="11"/>
      <c r="U250" s="11"/>
      <c r="V250" s="11"/>
      <c r="W250" s="11"/>
      <c r="X250" s="11"/>
      <c r="Y250" s="11"/>
      <c r="Z250" s="11"/>
      <c r="AA250" s="11"/>
      <c r="AB250" s="11"/>
      <c r="AC250" s="11"/>
      <c r="AD250" s="11"/>
    </row>
    <row r="251" spans="1:30" ht="16" x14ac:dyDescent="0.2">
      <c r="A251" s="11"/>
      <c r="B251" s="12"/>
      <c r="C251" s="12"/>
      <c r="D251" s="12"/>
      <c r="E251" s="12"/>
      <c r="F251" s="12"/>
      <c r="G251" s="12"/>
      <c r="H251" s="12"/>
      <c r="I251" s="12"/>
      <c r="J251" s="12"/>
      <c r="K251" s="12"/>
      <c r="L251" s="12"/>
      <c r="M251" s="11"/>
      <c r="N251" s="11"/>
      <c r="O251" s="11"/>
      <c r="P251" s="11"/>
      <c r="Q251" s="11"/>
      <c r="R251" s="11"/>
      <c r="S251" s="11"/>
      <c r="T251" s="11"/>
      <c r="U251" s="11"/>
      <c r="V251" s="11"/>
      <c r="W251" s="11"/>
      <c r="X251" s="11"/>
      <c r="Y251" s="11"/>
      <c r="Z251" s="11"/>
      <c r="AA251" s="11"/>
      <c r="AB251" s="11"/>
      <c r="AC251" s="11"/>
      <c r="AD251" s="11"/>
    </row>
    <row r="252" spans="1:30" ht="16" x14ac:dyDescent="0.2">
      <c r="A252" s="11"/>
      <c r="B252" s="12"/>
      <c r="C252" s="12"/>
      <c r="D252" s="12"/>
      <c r="E252" s="12"/>
      <c r="F252" s="12"/>
      <c r="G252" s="12"/>
      <c r="H252" s="12"/>
      <c r="I252" s="12"/>
      <c r="J252" s="12"/>
      <c r="K252" s="12"/>
      <c r="L252" s="12"/>
      <c r="M252" s="11"/>
      <c r="N252" s="11"/>
      <c r="O252" s="11"/>
      <c r="P252" s="11"/>
      <c r="Q252" s="11"/>
      <c r="R252" s="11"/>
      <c r="S252" s="11"/>
      <c r="T252" s="11"/>
      <c r="U252" s="11"/>
      <c r="V252" s="11"/>
      <c r="W252" s="11"/>
      <c r="X252" s="11"/>
      <c r="Y252" s="11"/>
      <c r="Z252" s="11"/>
      <c r="AA252" s="11"/>
      <c r="AB252" s="11"/>
      <c r="AC252" s="11"/>
      <c r="AD252" s="11"/>
    </row>
    <row r="253" spans="1:30" ht="16" x14ac:dyDescent="0.2">
      <c r="A253" s="11"/>
      <c r="B253" s="12"/>
      <c r="C253" s="12"/>
      <c r="D253" s="12"/>
      <c r="E253" s="12"/>
      <c r="F253" s="12"/>
      <c r="G253" s="12"/>
      <c r="H253" s="12"/>
      <c r="I253" s="12"/>
      <c r="J253" s="12"/>
      <c r="K253" s="12"/>
      <c r="L253" s="12"/>
      <c r="M253" s="11"/>
      <c r="N253" s="11"/>
      <c r="O253" s="11"/>
      <c r="P253" s="11"/>
      <c r="Q253" s="11"/>
      <c r="R253" s="11"/>
      <c r="S253" s="11"/>
      <c r="T253" s="11"/>
      <c r="U253" s="11"/>
      <c r="V253" s="11"/>
      <c r="W253" s="11"/>
      <c r="X253" s="11"/>
      <c r="Y253" s="11"/>
      <c r="Z253" s="11"/>
      <c r="AA253" s="11"/>
      <c r="AB253" s="11"/>
      <c r="AC253" s="11"/>
      <c r="AD253" s="11"/>
    </row>
    <row r="254" spans="1:30" ht="16" x14ac:dyDescent="0.2">
      <c r="A254" s="11"/>
      <c r="B254" s="12"/>
      <c r="C254" s="12"/>
      <c r="D254" s="12"/>
      <c r="E254" s="12"/>
      <c r="F254" s="12"/>
      <c r="G254" s="12"/>
      <c r="H254" s="12"/>
      <c r="I254" s="12"/>
      <c r="J254" s="12"/>
      <c r="K254" s="12"/>
      <c r="L254" s="12"/>
      <c r="M254" s="11"/>
      <c r="N254" s="11"/>
      <c r="O254" s="11"/>
      <c r="P254" s="11"/>
      <c r="Q254" s="11"/>
      <c r="R254" s="11"/>
      <c r="S254" s="11"/>
      <c r="T254" s="11"/>
      <c r="U254" s="11"/>
      <c r="V254" s="11"/>
      <c r="W254" s="11"/>
      <c r="X254" s="11"/>
      <c r="Y254" s="11"/>
      <c r="Z254" s="11"/>
      <c r="AA254" s="11"/>
      <c r="AB254" s="11"/>
      <c r="AC254" s="11"/>
      <c r="AD254" s="11"/>
    </row>
    <row r="255" spans="1:30" ht="16" x14ac:dyDescent="0.2">
      <c r="A255" s="11"/>
      <c r="B255" s="12"/>
      <c r="C255" s="12"/>
      <c r="D255" s="12"/>
      <c r="E255" s="12"/>
      <c r="F255" s="12"/>
      <c r="G255" s="12"/>
      <c r="H255" s="12"/>
      <c r="I255" s="12"/>
      <c r="J255" s="12"/>
      <c r="K255" s="12"/>
      <c r="L255" s="12"/>
      <c r="M255" s="11"/>
      <c r="N255" s="11"/>
      <c r="O255" s="11"/>
      <c r="P255" s="11"/>
      <c r="Q255" s="11"/>
      <c r="R255" s="11"/>
      <c r="S255" s="11"/>
      <c r="T255" s="11"/>
      <c r="U255" s="11"/>
      <c r="V255" s="11"/>
      <c r="W255" s="11"/>
      <c r="X255" s="11"/>
      <c r="Y255" s="11"/>
      <c r="Z255" s="11"/>
      <c r="AA255" s="11"/>
      <c r="AB255" s="11"/>
      <c r="AC255" s="11"/>
      <c r="AD255" s="11"/>
    </row>
    <row r="256" spans="1:30" ht="16" x14ac:dyDescent="0.2">
      <c r="A256" s="11"/>
      <c r="B256" s="12"/>
      <c r="C256" s="12"/>
      <c r="D256" s="12"/>
      <c r="E256" s="12"/>
      <c r="F256" s="12"/>
      <c r="G256" s="12"/>
      <c r="H256" s="12"/>
      <c r="I256" s="12"/>
      <c r="J256" s="12"/>
      <c r="K256" s="12"/>
      <c r="L256" s="12"/>
      <c r="M256" s="11"/>
      <c r="N256" s="11"/>
      <c r="O256" s="11"/>
      <c r="P256" s="11"/>
      <c r="Q256" s="11"/>
      <c r="R256" s="11"/>
      <c r="S256" s="11"/>
      <c r="T256" s="11"/>
      <c r="U256" s="11"/>
      <c r="V256" s="11"/>
      <c r="W256" s="11"/>
      <c r="X256" s="11"/>
      <c r="Y256" s="11"/>
      <c r="Z256" s="11"/>
      <c r="AA256" s="11"/>
      <c r="AB256" s="11"/>
      <c r="AC256" s="11"/>
      <c r="AD256" s="11"/>
    </row>
    <row r="257" spans="1:30" ht="16" x14ac:dyDescent="0.2">
      <c r="A257" s="11"/>
      <c r="B257" s="12"/>
      <c r="C257" s="12"/>
      <c r="D257" s="12"/>
      <c r="E257" s="12"/>
      <c r="F257" s="12"/>
      <c r="G257" s="12"/>
      <c r="H257" s="12"/>
      <c r="I257" s="12"/>
      <c r="J257" s="12"/>
      <c r="K257" s="12"/>
      <c r="L257" s="12"/>
      <c r="M257" s="11"/>
      <c r="N257" s="11"/>
      <c r="O257" s="11"/>
      <c r="P257" s="11"/>
      <c r="Q257" s="11"/>
      <c r="R257" s="11"/>
      <c r="S257" s="11"/>
      <c r="T257" s="11"/>
      <c r="U257" s="11"/>
      <c r="V257" s="11"/>
      <c r="W257" s="11"/>
      <c r="X257" s="11"/>
      <c r="Y257" s="11"/>
      <c r="Z257" s="11"/>
      <c r="AA257" s="11"/>
      <c r="AB257" s="11"/>
      <c r="AC257" s="11"/>
      <c r="AD257" s="11"/>
    </row>
    <row r="258" spans="1:30" ht="16" x14ac:dyDescent="0.2">
      <c r="A258" s="11"/>
      <c r="B258" s="12"/>
      <c r="C258" s="12"/>
      <c r="D258" s="12"/>
      <c r="E258" s="12"/>
      <c r="F258" s="12"/>
      <c r="G258" s="12"/>
      <c r="H258" s="12"/>
      <c r="I258" s="12"/>
      <c r="J258" s="12"/>
      <c r="K258" s="12"/>
      <c r="L258" s="12"/>
      <c r="M258" s="11"/>
      <c r="N258" s="11"/>
      <c r="O258" s="11"/>
      <c r="P258" s="11"/>
      <c r="Q258" s="11"/>
      <c r="R258" s="11"/>
      <c r="S258" s="11"/>
      <c r="T258" s="11"/>
      <c r="U258" s="11"/>
      <c r="V258" s="11"/>
      <c r="W258" s="11"/>
      <c r="X258" s="11"/>
      <c r="Y258" s="11"/>
      <c r="Z258" s="11"/>
      <c r="AA258" s="11"/>
      <c r="AB258" s="11"/>
      <c r="AC258" s="11"/>
      <c r="AD258" s="11"/>
    </row>
    <row r="259" spans="1:30" ht="16" x14ac:dyDescent="0.2">
      <c r="A259" s="11"/>
      <c r="B259" s="12"/>
      <c r="C259" s="12"/>
      <c r="D259" s="12"/>
      <c r="E259" s="12"/>
      <c r="F259" s="12"/>
      <c r="G259" s="12"/>
      <c r="H259" s="12"/>
      <c r="I259" s="12"/>
      <c r="J259" s="12"/>
      <c r="K259" s="12"/>
      <c r="L259" s="12"/>
      <c r="M259" s="11"/>
      <c r="N259" s="11"/>
      <c r="O259" s="11"/>
      <c r="P259" s="11"/>
      <c r="Q259" s="11"/>
      <c r="R259" s="11"/>
      <c r="S259" s="11"/>
      <c r="T259" s="11"/>
      <c r="U259" s="11"/>
      <c r="V259" s="11"/>
      <c r="W259" s="11"/>
      <c r="X259" s="11"/>
      <c r="Y259" s="11"/>
      <c r="Z259" s="11"/>
      <c r="AA259" s="11"/>
      <c r="AB259" s="11"/>
      <c r="AC259" s="11"/>
      <c r="AD259" s="11"/>
    </row>
    <row r="260" spans="1:30" ht="16" x14ac:dyDescent="0.2">
      <c r="A260" s="11"/>
      <c r="B260" s="12"/>
      <c r="C260" s="12"/>
      <c r="D260" s="12"/>
      <c r="E260" s="12"/>
      <c r="F260" s="12"/>
      <c r="G260" s="12"/>
      <c r="H260" s="12"/>
      <c r="I260" s="12"/>
      <c r="J260" s="12"/>
      <c r="K260" s="12"/>
      <c r="L260" s="12"/>
      <c r="M260" s="11"/>
      <c r="N260" s="11"/>
      <c r="O260" s="11"/>
      <c r="P260" s="11"/>
      <c r="Q260" s="11"/>
      <c r="R260" s="11"/>
      <c r="S260" s="11"/>
      <c r="T260" s="11"/>
      <c r="U260" s="11"/>
      <c r="V260" s="11"/>
      <c r="W260" s="11"/>
      <c r="X260" s="11"/>
      <c r="Y260" s="11"/>
      <c r="Z260" s="11"/>
      <c r="AA260" s="11"/>
      <c r="AB260" s="11"/>
      <c r="AC260" s="11"/>
      <c r="AD260" s="11"/>
    </row>
    <row r="261" spans="1:30" ht="16" x14ac:dyDescent="0.2">
      <c r="A261" s="11"/>
      <c r="B261" s="12"/>
      <c r="C261" s="12"/>
      <c r="D261" s="12"/>
      <c r="E261" s="12"/>
      <c r="F261" s="12"/>
      <c r="G261" s="12"/>
      <c r="H261" s="12"/>
      <c r="I261" s="12"/>
      <c r="J261" s="12"/>
      <c r="K261" s="12"/>
      <c r="L261" s="12"/>
      <c r="M261" s="11"/>
      <c r="N261" s="11"/>
      <c r="O261" s="11"/>
      <c r="P261" s="11"/>
      <c r="Q261" s="11"/>
      <c r="R261" s="11"/>
      <c r="S261" s="11"/>
      <c r="T261" s="11"/>
      <c r="U261" s="11"/>
      <c r="V261" s="11"/>
      <c r="W261" s="11"/>
      <c r="X261" s="11"/>
      <c r="Y261" s="11"/>
      <c r="Z261" s="11"/>
      <c r="AA261" s="11"/>
      <c r="AB261" s="11"/>
      <c r="AC261" s="11"/>
      <c r="AD261" s="11"/>
    </row>
    <row r="262" spans="1:30" ht="16" x14ac:dyDescent="0.2">
      <c r="A262" s="11"/>
      <c r="B262" s="12"/>
      <c r="C262" s="12"/>
      <c r="D262" s="12"/>
      <c r="E262" s="12"/>
      <c r="F262" s="12"/>
      <c r="G262" s="12"/>
      <c r="H262" s="12"/>
      <c r="I262" s="12"/>
      <c r="J262" s="12"/>
      <c r="K262" s="12"/>
      <c r="L262" s="12"/>
      <c r="M262" s="11"/>
      <c r="N262" s="11"/>
      <c r="O262" s="11"/>
      <c r="P262" s="11"/>
      <c r="Q262" s="11"/>
      <c r="R262" s="11"/>
      <c r="S262" s="11"/>
      <c r="T262" s="11"/>
      <c r="U262" s="11"/>
      <c r="V262" s="11"/>
      <c r="W262" s="11"/>
      <c r="X262" s="11"/>
      <c r="Y262" s="11"/>
      <c r="Z262" s="11"/>
      <c r="AA262" s="11"/>
      <c r="AB262" s="11"/>
      <c r="AC262" s="11"/>
      <c r="AD262" s="11"/>
    </row>
    <row r="263" spans="1:30" ht="16" x14ac:dyDescent="0.2">
      <c r="A263" s="11"/>
      <c r="B263" s="12"/>
      <c r="C263" s="12"/>
      <c r="D263" s="12"/>
      <c r="E263" s="12"/>
      <c r="F263" s="12"/>
      <c r="G263" s="12"/>
      <c r="H263" s="12"/>
      <c r="I263" s="12"/>
      <c r="J263" s="12"/>
      <c r="K263" s="12"/>
      <c r="L263" s="12"/>
      <c r="M263" s="11"/>
      <c r="N263" s="11"/>
      <c r="O263" s="11"/>
      <c r="P263" s="11"/>
      <c r="Q263" s="11"/>
      <c r="R263" s="11"/>
      <c r="S263" s="11"/>
      <c r="T263" s="11"/>
      <c r="U263" s="11"/>
      <c r="V263" s="11"/>
      <c r="W263" s="11"/>
      <c r="X263" s="11"/>
      <c r="Y263" s="11"/>
      <c r="Z263" s="11"/>
      <c r="AA263" s="11"/>
      <c r="AB263" s="11"/>
      <c r="AC263" s="11"/>
      <c r="AD263" s="11"/>
    </row>
    <row r="264" spans="1:30" ht="16" x14ac:dyDescent="0.2">
      <c r="A264" s="11"/>
      <c r="B264" s="12"/>
      <c r="C264" s="12"/>
      <c r="D264" s="12"/>
      <c r="E264" s="12"/>
      <c r="F264" s="12"/>
      <c r="G264" s="12"/>
      <c r="H264" s="12"/>
      <c r="I264" s="12"/>
      <c r="J264" s="12"/>
      <c r="K264" s="12"/>
      <c r="L264" s="12"/>
      <c r="M264" s="11"/>
      <c r="N264" s="11"/>
      <c r="O264" s="11"/>
      <c r="P264" s="11"/>
      <c r="Q264" s="11"/>
      <c r="R264" s="11"/>
      <c r="S264" s="11"/>
      <c r="T264" s="11"/>
      <c r="U264" s="11"/>
      <c r="V264" s="11"/>
      <c r="W264" s="11"/>
      <c r="X264" s="11"/>
      <c r="Y264" s="11"/>
      <c r="Z264" s="11"/>
      <c r="AA264" s="11"/>
      <c r="AB264" s="11"/>
      <c r="AC264" s="11"/>
      <c r="AD264" s="11"/>
    </row>
    <row r="265" spans="1:30" ht="16" x14ac:dyDescent="0.2">
      <c r="A265" s="11"/>
      <c r="B265" s="12"/>
      <c r="C265" s="12"/>
      <c r="D265" s="12"/>
      <c r="E265" s="12"/>
      <c r="F265" s="12"/>
      <c r="G265" s="12"/>
      <c r="H265" s="12"/>
      <c r="I265" s="12"/>
      <c r="J265" s="12"/>
      <c r="K265" s="12"/>
      <c r="L265" s="12"/>
      <c r="M265" s="11"/>
      <c r="N265" s="11"/>
      <c r="O265" s="11"/>
      <c r="P265" s="11"/>
      <c r="Q265" s="11"/>
      <c r="R265" s="11"/>
      <c r="S265" s="11"/>
      <c r="T265" s="11"/>
      <c r="U265" s="11"/>
      <c r="V265" s="11"/>
      <c r="W265" s="11"/>
      <c r="X265" s="11"/>
      <c r="Y265" s="11"/>
      <c r="Z265" s="11"/>
      <c r="AA265" s="11"/>
      <c r="AB265" s="11"/>
      <c r="AC265" s="11"/>
      <c r="AD265" s="11"/>
    </row>
    <row r="266" spans="1:30" ht="16" x14ac:dyDescent="0.2">
      <c r="A266" s="11"/>
      <c r="B266" s="12"/>
      <c r="C266" s="12"/>
      <c r="D266" s="12"/>
      <c r="E266" s="12"/>
      <c r="F266" s="12"/>
      <c r="G266" s="12"/>
      <c r="H266" s="12"/>
      <c r="I266" s="12"/>
      <c r="J266" s="12"/>
      <c r="K266" s="12"/>
      <c r="L266" s="12"/>
      <c r="M266" s="11"/>
      <c r="N266" s="11"/>
      <c r="O266" s="11"/>
      <c r="P266" s="11"/>
      <c r="Q266" s="11"/>
      <c r="R266" s="11"/>
      <c r="S266" s="11"/>
      <c r="T266" s="11"/>
      <c r="U266" s="11"/>
      <c r="V266" s="11"/>
      <c r="W266" s="11"/>
      <c r="X266" s="11"/>
      <c r="Y266" s="11"/>
      <c r="Z266" s="11"/>
      <c r="AA266" s="11"/>
      <c r="AB266" s="11"/>
      <c r="AC266" s="11"/>
      <c r="AD266" s="11"/>
    </row>
    <row r="267" spans="1:30" ht="16" x14ac:dyDescent="0.2">
      <c r="A267" s="11"/>
      <c r="B267" s="12"/>
      <c r="C267" s="12"/>
      <c r="D267" s="12"/>
      <c r="E267" s="12"/>
      <c r="F267" s="12"/>
      <c r="G267" s="12"/>
      <c r="H267" s="12"/>
      <c r="I267" s="12"/>
      <c r="J267" s="12"/>
      <c r="K267" s="12"/>
      <c r="L267" s="12"/>
      <c r="M267" s="11"/>
      <c r="N267" s="11"/>
      <c r="O267" s="11"/>
      <c r="P267" s="11"/>
      <c r="Q267" s="11"/>
      <c r="R267" s="11"/>
      <c r="S267" s="11"/>
      <c r="T267" s="11"/>
      <c r="U267" s="11"/>
      <c r="V267" s="11"/>
      <c r="W267" s="11"/>
      <c r="X267" s="11"/>
      <c r="Y267" s="11"/>
      <c r="Z267" s="11"/>
      <c r="AA267" s="11"/>
      <c r="AB267" s="11"/>
      <c r="AC267" s="11"/>
      <c r="AD267" s="11"/>
    </row>
    <row r="268" spans="1:30" ht="16" x14ac:dyDescent="0.2">
      <c r="A268" s="11"/>
      <c r="B268" s="12"/>
      <c r="C268" s="12"/>
      <c r="D268" s="12"/>
      <c r="E268" s="12"/>
      <c r="F268" s="12"/>
      <c r="G268" s="12"/>
      <c r="H268" s="12"/>
      <c r="I268" s="12"/>
      <c r="J268" s="12"/>
      <c r="K268" s="12"/>
      <c r="L268" s="12"/>
      <c r="M268" s="11"/>
      <c r="N268" s="11"/>
      <c r="O268" s="11"/>
      <c r="P268" s="11"/>
      <c r="Q268" s="11"/>
      <c r="R268" s="11"/>
      <c r="S268" s="11"/>
      <c r="T268" s="11"/>
      <c r="U268" s="11"/>
      <c r="V268" s="11"/>
      <c r="W268" s="11"/>
      <c r="X268" s="11"/>
      <c r="Y268" s="11"/>
      <c r="Z268" s="11"/>
      <c r="AA268" s="11"/>
      <c r="AB268" s="11"/>
      <c r="AC268" s="11"/>
      <c r="AD268" s="11"/>
    </row>
    <row r="269" spans="1:30" ht="16" x14ac:dyDescent="0.2">
      <c r="A269" s="11"/>
      <c r="B269" s="12"/>
      <c r="C269" s="12"/>
      <c r="D269" s="12"/>
      <c r="E269" s="12"/>
      <c r="F269" s="12"/>
      <c r="G269" s="12"/>
      <c r="H269" s="12"/>
      <c r="I269" s="12"/>
      <c r="J269" s="12"/>
      <c r="K269" s="12"/>
      <c r="L269" s="12"/>
      <c r="M269" s="11"/>
      <c r="N269" s="11"/>
      <c r="O269" s="11"/>
      <c r="P269" s="11"/>
      <c r="Q269" s="11"/>
      <c r="R269" s="11"/>
      <c r="S269" s="11"/>
      <c r="T269" s="11"/>
      <c r="U269" s="11"/>
      <c r="V269" s="11"/>
      <c r="W269" s="11"/>
      <c r="X269" s="11"/>
      <c r="Y269" s="11"/>
      <c r="Z269" s="11"/>
      <c r="AA269" s="11"/>
      <c r="AB269" s="11"/>
      <c r="AC269" s="11"/>
      <c r="AD269" s="11"/>
    </row>
    <row r="270" spans="1:30" ht="16" x14ac:dyDescent="0.2">
      <c r="A270" s="11"/>
      <c r="B270" s="12"/>
      <c r="C270" s="12"/>
      <c r="D270" s="12"/>
      <c r="E270" s="12"/>
      <c r="F270" s="12"/>
      <c r="G270" s="12"/>
      <c r="H270" s="12"/>
      <c r="I270" s="12"/>
      <c r="J270" s="12"/>
      <c r="K270" s="12"/>
      <c r="L270" s="12"/>
      <c r="M270" s="11"/>
      <c r="N270" s="11"/>
      <c r="O270" s="11"/>
      <c r="P270" s="11"/>
      <c r="Q270" s="11"/>
      <c r="R270" s="11"/>
      <c r="S270" s="11"/>
      <c r="T270" s="11"/>
      <c r="U270" s="11"/>
      <c r="V270" s="11"/>
      <c r="W270" s="11"/>
      <c r="X270" s="11"/>
      <c r="Y270" s="11"/>
      <c r="Z270" s="11"/>
      <c r="AA270" s="11"/>
      <c r="AB270" s="11"/>
      <c r="AC270" s="11"/>
      <c r="AD270" s="11"/>
    </row>
    <row r="271" spans="1:30" ht="16" x14ac:dyDescent="0.2">
      <c r="A271" s="11"/>
      <c r="B271" s="12"/>
      <c r="C271" s="12"/>
      <c r="D271" s="12"/>
      <c r="E271" s="12"/>
      <c r="F271" s="12"/>
      <c r="G271" s="12"/>
      <c r="H271" s="12"/>
      <c r="I271" s="12"/>
      <c r="J271" s="12"/>
      <c r="K271" s="12"/>
      <c r="L271" s="12"/>
      <c r="M271" s="11"/>
      <c r="N271" s="11"/>
      <c r="O271" s="11"/>
      <c r="P271" s="11"/>
      <c r="Q271" s="11"/>
      <c r="R271" s="11"/>
      <c r="S271" s="11"/>
      <c r="T271" s="11"/>
      <c r="U271" s="11"/>
      <c r="V271" s="11"/>
      <c r="W271" s="11"/>
      <c r="X271" s="11"/>
      <c r="Y271" s="11"/>
      <c r="Z271" s="11"/>
      <c r="AA271" s="11"/>
      <c r="AB271" s="11"/>
      <c r="AC271" s="11"/>
      <c r="AD271" s="11"/>
    </row>
    <row r="272" spans="1:30" ht="16" x14ac:dyDescent="0.2">
      <c r="A272" s="11"/>
      <c r="B272" s="12"/>
      <c r="C272" s="12"/>
      <c r="D272" s="12"/>
      <c r="E272" s="12"/>
      <c r="F272" s="12"/>
      <c r="G272" s="12"/>
      <c r="H272" s="12"/>
      <c r="I272" s="12"/>
      <c r="J272" s="12"/>
      <c r="K272" s="12"/>
      <c r="L272" s="12"/>
      <c r="M272" s="11"/>
      <c r="N272" s="11"/>
      <c r="O272" s="11"/>
      <c r="P272" s="11"/>
      <c r="Q272" s="11"/>
      <c r="R272" s="11"/>
      <c r="S272" s="11"/>
      <c r="T272" s="11"/>
      <c r="U272" s="11"/>
      <c r="V272" s="11"/>
      <c r="W272" s="11"/>
      <c r="X272" s="11"/>
      <c r="Y272" s="11"/>
      <c r="Z272" s="11"/>
      <c r="AA272" s="11"/>
      <c r="AB272" s="11"/>
      <c r="AC272" s="11"/>
      <c r="AD272" s="11"/>
    </row>
    <row r="273" spans="1:30" ht="16" x14ac:dyDescent="0.2">
      <c r="A273" s="11"/>
      <c r="B273" s="12"/>
      <c r="C273" s="12"/>
      <c r="D273" s="12"/>
      <c r="E273" s="12"/>
      <c r="F273" s="12"/>
      <c r="G273" s="12"/>
      <c r="H273" s="12"/>
      <c r="I273" s="12"/>
      <c r="J273" s="12"/>
      <c r="K273" s="12"/>
      <c r="L273" s="12"/>
      <c r="M273" s="11"/>
      <c r="N273" s="11"/>
      <c r="O273" s="11"/>
      <c r="P273" s="11"/>
      <c r="Q273" s="11"/>
      <c r="R273" s="11"/>
      <c r="S273" s="11"/>
      <c r="T273" s="11"/>
      <c r="U273" s="11"/>
      <c r="V273" s="11"/>
      <c r="W273" s="11"/>
      <c r="X273" s="11"/>
      <c r="Y273" s="11"/>
      <c r="Z273" s="11"/>
      <c r="AA273" s="11"/>
      <c r="AB273" s="11"/>
      <c r="AC273" s="11"/>
      <c r="AD273" s="11"/>
    </row>
    <row r="274" spans="1:30" ht="16" x14ac:dyDescent="0.2">
      <c r="A274" s="11"/>
      <c r="B274" s="12"/>
      <c r="C274" s="12"/>
      <c r="D274" s="12"/>
      <c r="E274" s="12"/>
      <c r="F274" s="12"/>
      <c r="G274" s="12"/>
      <c r="H274" s="12"/>
      <c r="I274" s="12"/>
      <c r="J274" s="12"/>
      <c r="K274" s="12"/>
      <c r="L274" s="12"/>
      <c r="M274" s="11"/>
      <c r="N274" s="11"/>
      <c r="O274" s="11"/>
      <c r="P274" s="11"/>
      <c r="Q274" s="11"/>
      <c r="R274" s="11"/>
      <c r="S274" s="11"/>
      <c r="T274" s="11"/>
      <c r="U274" s="11"/>
      <c r="V274" s="11"/>
      <c r="W274" s="11"/>
      <c r="X274" s="11"/>
      <c r="Y274" s="11"/>
      <c r="Z274" s="11"/>
      <c r="AA274" s="11"/>
      <c r="AB274" s="11"/>
      <c r="AC274" s="11"/>
      <c r="AD274" s="11"/>
    </row>
    <row r="275" spans="1:30" ht="16" x14ac:dyDescent="0.2">
      <c r="A275" s="11"/>
      <c r="B275" s="12"/>
      <c r="C275" s="12"/>
      <c r="D275" s="12"/>
      <c r="E275" s="12"/>
      <c r="F275" s="12"/>
      <c r="G275" s="12"/>
      <c r="H275" s="12"/>
      <c r="I275" s="12"/>
      <c r="J275" s="12"/>
      <c r="K275" s="12"/>
      <c r="L275" s="12"/>
      <c r="M275" s="11"/>
      <c r="N275" s="11"/>
      <c r="O275" s="11"/>
      <c r="P275" s="11"/>
      <c r="Q275" s="11"/>
      <c r="R275" s="11"/>
      <c r="S275" s="11"/>
      <c r="T275" s="11"/>
      <c r="U275" s="11"/>
      <c r="V275" s="11"/>
      <c r="W275" s="11"/>
      <c r="X275" s="11"/>
      <c r="Y275" s="11"/>
      <c r="Z275" s="11"/>
      <c r="AA275" s="11"/>
      <c r="AB275" s="11"/>
      <c r="AC275" s="11"/>
      <c r="AD275" s="11"/>
    </row>
    <row r="276" spans="1:30" ht="16" x14ac:dyDescent="0.2">
      <c r="A276" s="11"/>
      <c r="B276" s="12"/>
      <c r="C276" s="12"/>
      <c r="D276" s="12"/>
      <c r="E276" s="12"/>
      <c r="F276" s="12"/>
      <c r="G276" s="12"/>
      <c r="H276" s="12"/>
      <c r="I276" s="12"/>
      <c r="J276" s="12"/>
      <c r="K276" s="12"/>
      <c r="L276" s="12"/>
      <c r="M276" s="11"/>
      <c r="N276" s="11"/>
      <c r="O276" s="11"/>
      <c r="P276" s="11"/>
      <c r="Q276" s="11"/>
      <c r="R276" s="11"/>
      <c r="S276" s="11"/>
      <c r="T276" s="11"/>
      <c r="U276" s="11"/>
      <c r="V276" s="11"/>
      <c r="W276" s="11"/>
      <c r="X276" s="11"/>
      <c r="Y276" s="11"/>
      <c r="Z276" s="11"/>
      <c r="AA276" s="11"/>
      <c r="AB276" s="11"/>
      <c r="AC276" s="11"/>
      <c r="AD276" s="11"/>
    </row>
    <row r="277" spans="1:30" ht="16" x14ac:dyDescent="0.2">
      <c r="A277" s="11"/>
      <c r="B277" s="12"/>
      <c r="C277" s="12"/>
      <c r="D277" s="12"/>
      <c r="E277" s="12"/>
      <c r="F277" s="12"/>
      <c r="G277" s="12"/>
      <c r="H277" s="12"/>
      <c r="I277" s="12"/>
      <c r="J277" s="12"/>
      <c r="K277" s="12"/>
      <c r="L277" s="12"/>
      <c r="M277" s="11"/>
      <c r="N277" s="11"/>
      <c r="O277" s="11"/>
      <c r="P277" s="11"/>
      <c r="Q277" s="11"/>
      <c r="R277" s="11"/>
      <c r="S277" s="11"/>
      <c r="T277" s="11"/>
      <c r="U277" s="11"/>
      <c r="V277" s="11"/>
      <c r="W277" s="11"/>
      <c r="X277" s="11"/>
      <c r="Y277" s="11"/>
      <c r="Z277" s="11"/>
      <c r="AA277" s="11"/>
      <c r="AB277" s="11"/>
      <c r="AC277" s="11"/>
      <c r="AD277" s="11"/>
    </row>
    <row r="278" spans="1:30" ht="16" x14ac:dyDescent="0.2">
      <c r="A278" s="11"/>
      <c r="B278" s="12"/>
      <c r="C278" s="12"/>
      <c r="D278" s="12"/>
      <c r="E278" s="12"/>
      <c r="F278" s="12"/>
      <c r="G278" s="12"/>
      <c r="H278" s="12"/>
      <c r="I278" s="12"/>
      <c r="J278" s="12"/>
      <c r="K278" s="12"/>
      <c r="L278" s="12"/>
      <c r="M278" s="11"/>
      <c r="N278" s="11"/>
      <c r="O278" s="11"/>
      <c r="P278" s="11"/>
      <c r="Q278" s="11"/>
      <c r="R278" s="11"/>
      <c r="S278" s="11"/>
      <c r="T278" s="11"/>
      <c r="U278" s="11"/>
      <c r="V278" s="11"/>
      <c r="W278" s="11"/>
      <c r="X278" s="11"/>
      <c r="Y278" s="11"/>
      <c r="Z278" s="11"/>
      <c r="AA278" s="11"/>
      <c r="AB278" s="11"/>
      <c r="AC278" s="11"/>
      <c r="AD278" s="11"/>
    </row>
    <row r="279" spans="1:30" ht="16" x14ac:dyDescent="0.2">
      <c r="A279" s="11"/>
      <c r="B279" s="12"/>
      <c r="C279" s="12"/>
      <c r="D279" s="12"/>
      <c r="E279" s="12"/>
      <c r="F279" s="12"/>
      <c r="G279" s="12"/>
      <c r="H279" s="12"/>
      <c r="I279" s="12"/>
      <c r="J279" s="12"/>
      <c r="K279" s="12"/>
      <c r="L279" s="12"/>
      <c r="M279" s="11"/>
      <c r="N279" s="11"/>
      <c r="O279" s="11"/>
      <c r="P279" s="11"/>
      <c r="Q279" s="11"/>
      <c r="R279" s="11"/>
      <c r="S279" s="11"/>
      <c r="T279" s="11"/>
      <c r="U279" s="11"/>
      <c r="V279" s="11"/>
      <c r="W279" s="11"/>
      <c r="X279" s="11"/>
      <c r="Y279" s="11"/>
      <c r="Z279" s="11"/>
      <c r="AA279" s="11"/>
      <c r="AB279" s="11"/>
      <c r="AC279" s="11"/>
      <c r="AD279" s="11"/>
    </row>
    <row r="280" spans="1:30" ht="16" x14ac:dyDescent="0.2">
      <c r="A280" s="11"/>
      <c r="B280" s="12"/>
      <c r="C280" s="12"/>
      <c r="D280" s="12"/>
      <c r="E280" s="12"/>
      <c r="F280" s="12"/>
      <c r="G280" s="12"/>
      <c r="H280" s="12"/>
      <c r="I280" s="12"/>
      <c r="J280" s="12"/>
      <c r="K280" s="12"/>
      <c r="L280" s="12"/>
      <c r="M280" s="11"/>
      <c r="N280" s="11"/>
      <c r="O280" s="11"/>
      <c r="P280" s="11"/>
      <c r="Q280" s="11"/>
      <c r="R280" s="11"/>
      <c r="S280" s="11"/>
      <c r="T280" s="11"/>
      <c r="U280" s="11"/>
      <c r="V280" s="11"/>
      <c r="W280" s="11"/>
      <c r="X280" s="11"/>
      <c r="Y280" s="11"/>
      <c r="Z280" s="11"/>
      <c r="AA280" s="11"/>
      <c r="AB280" s="11"/>
      <c r="AC280" s="11"/>
      <c r="AD280" s="11"/>
    </row>
    <row r="281" spans="1:30" ht="16" x14ac:dyDescent="0.2">
      <c r="A281" s="11"/>
      <c r="B281" s="12"/>
      <c r="C281" s="12"/>
      <c r="D281" s="12"/>
      <c r="E281" s="12"/>
      <c r="F281" s="12"/>
      <c r="G281" s="12"/>
      <c r="H281" s="12"/>
      <c r="I281" s="12"/>
      <c r="J281" s="12"/>
      <c r="K281" s="12"/>
      <c r="L281" s="12"/>
      <c r="M281" s="11"/>
      <c r="N281" s="11"/>
      <c r="O281" s="11"/>
      <c r="P281" s="11"/>
      <c r="Q281" s="11"/>
      <c r="R281" s="11"/>
      <c r="S281" s="11"/>
      <c r="T281" s="11"/>
      <c r="U281" s="11"/>
      <c r="V281" s="11"/>
      <c r="W281" s="11"/>
      <c r="X281" s="11"/>
      <c r="Y281" s="11"/>
      <c r="Z281" s="11"/>
      <c r="AA281" s="11"/>
      <c r="AB281" s="11"/>
      <c r="AC281" s="11"/>
      <c r="AD281" s="11"/>
    </row>
    <row r="282" spans="1:30" ht="16" x14ac:dyDescent="0.2">
      <c r="A282" s="11"/>
      <c r="B282" s="12"/>
      <c r="C282" s="12"/>
      <c r="D282" s="12"/>
      <c r="E282" s="12"/>
      <c r="F282" s="12"/>
      <c r="G282" s="12"/>
      <c r="H282" s="12"/>
      <c r="I282" s="12"/>
      <c r="J282" s="12"/>
      <c r="K282" s="12"/>
      <c r="L282" s="12"/>
      <c r="M282" s="11"/>
      <c r="N282" s="11"/>
      <c r="O282" s="11"/>
      <c r="P282" s="11"/>
      <c r="Q282" s="11"/>
      <c r="R282" s="11"/>
      <c r="S282" s="11"/>
      <c r="T282" s="11"/>
      <c r="U282" s="11"/>
      <c r="V282" s="11"/>
      <c r="W282" s="11"/>
      <c r="X282" s="11"/>
      <c r="Y282" s="11"/>
      <c r="Z282" s="11"/>
      <c r="AA282" s="11"/>
      <c r="AB282" s="11"/>
      <c r="AC282" s="11"/>
      <c r="AD282" s="11"/>
    </row>
    <row r="283" spans="1:30" ht="16" x14ac:dyDescent="0.2">
      <c r="A283" s="11"/>
      <c r="B283" s="12"/>
      <c r="C283" s="12"/>
      <c r="D283" s="12"/>
      <c r="E283" s="12"/>
      <c r="F283" s="12"/>
      <c r="G283" s="12"/>
      <c r="H283" s="12"/>
      <c r="I283" s="12"/>
      <c r="J283" s="12"/>
      <c r="K283" s="12"/>
      <c r="L283" s="12"/>
      <c r="M283" s="11"/>
      <c r="N283" s="11"/>
      <c r="O283" s="11"/>
      <c r="P283" s="11"/>
      <c r="Q283" s="11"/>
      <c r="R283" s="11"/>
      <c r="S283" s="11"/>
      <c r="T283" s="11"/>
      <c r="U283" s="11"/>
      <c r="V283" s="11"/>
      <c r="W283" s="11"/>
      <c r="X283" s="11"/>
      <c r="Y283" s="11"/>
      <c r="Z283" s="11"/>
      <c r="AA283" s="11"/>
      <c r="AB283" s="11"/>
      <c r="AC283" s="11"/>
      <c r="AD283" s="11"/>
    </row>
    <row r="284" spans="1:30" ht="16" x14ac:dyDescent="0.2">
      <c r="A284" s="11"/>
      <c r="B284" s="12"/>
      <c r="C284" s="12"/>
      <c r="D284" s="12"/>
      <c r="E284" s="12"/>
      <c r="F284" s="12"/>
      <c r="G284" s="12"/>
      <c r="H284" s="12"/>
      <c r="I284" s="12"/>
      <c r="J284" s="12"/>
      <c r="K284" s="12"/>
      <c r="L284" s="12"/>
      <c r="M284" s="11"/>
      <c r="N284" s="11"/>
      <c r="O284" s="11"/>
      <c r="P284" s="11"/>
      <c r="Q284" s="11"/>
      <c r="R284" s="11"/>
      <c r="S284" s="11"/>
      <c r="T284" s="11"/>
      <c r="U284" s="11"/>
      <c r="V284" s="11"/>
      <c r="W284" s="11"/>
      <c r="X284" s="11"/>
      <c r="Y284" s="11"/>
      <c r="Z284" s="11"/>
      <c r="AA284" s="11"/>
      <c r="AB284" s="11"/>
      <c r="AC284" s="11"/>
      <c r="AD284" s="11"/>
    </row>
    <row r="285" spans="1:30" ht="16" x14ac:dyDescent="0.2">
      <c r="A285" s="11"/>
      <c r="B285" s="12"/>
      <c r="C285" s="12"/>
      <c r="D285" s="12"/>
      <c r="E285" s="12"/>
      <c r="F285" s="12"/>
      <c r="G285" s="12"/>
      <c r="H285" s="12"/>
      <c r="I285" s="12"/>
      <c r="J285" s="12"/>
      <c r="K285" s="12"/>
      <c r="L285" s="12"/>
      <c r="M285" s="11"/>
      <c r="N285" s="11"/>
      <c r="O285" s="11"/>
      <c r="P285" s="11"/>
      <c r="Q285" s="11"/>
      <c r="R285" s="11"/>
      <c r="S285" s="11"/>
      <c r="T285" s="11"/>
      <c r="U285" s="11"/>
      <c r="V285" s="11"/>
      <c r="W285" s="11"/>
      <c r="X285" s="11"/>
      <c r="Y285" s="11"/>
      <c r="Z285" s="11"/>
      <c r="AA285" s="11"/>
      <c r="AB285" s="11"/>
      <c r="AC285" s="11"/>
      <c r="AD285" s="11"/>
    </row>
    <row r="286" spans="1:30" ht="16" x14ac:dyDescent="0.2">
      <c r="A286" s="11"/>
      <c r="B286" s="12"/>
      <c r="C286" s="12"/>
      <c r="D286" s="12"/>
      <c r="E286" s="12"/>
      <c r="F286" s="12"/>
      <c r="G286" s="12"/>
      <c r="H286" s="12"/>
      <c r="I286" s="12"/>
      <c r="J286" s="12"/>
      <c r="K286" s="12"/>
      <c r="L286" s="12"/>
      <c r="M286" s="11"/>
      <c r="N286" s="11"/>
      <c r="O286" s="11"/>
      <c r="P286" s="11"/>
      <c r="Q286" s="11"/>
      <c r="R286" s="11"/>
      <c r="S286" s="11"/>
      <c r="T286" s="11"/>
      <c r="U286" s="11"/>
      <c r="V286" s="11"/>
      <c r="W286" s="11"/>
      <c r="X286" s="11"/>
      <c r="Y286" s="11"/>
      <c r="Z286" s="11"/>
      <c r="AA286" s="11"/>
      <c r="AB286" s="11"/>
      <c r="AC286" s="11"/>
      <c r="AD286" s="11"/>
    </row>
    <row r="287" spans="1:30" ht="16" x14ac:dyDescent="0.2">
      <c r="A287" s="11"/>
      <c r="B287" s="12"/>
      <c r="C287" s="12"/>
      <c r="D287" s="12"/>
      <c r="E287" s="12"/>
      <c r="F287" s="12"/>
      <c r="G287" s="12"/>
      <c r="H287" s="12"/>
      <c r="I287" s="12"/>
      <c r="J287" s="12"/>
      <c r="K287" s="12"/>
      <c r="L287" s="12"/>
      <c r="M287" s="11"/>
      <c r="N287" s="11"/>
      <c r="O287" s="11"/>
      <c r="P287" s="11"/>
      <c r="Q287" s="11"/>
      <c r="R287" s="11"/>
      <c r="S287" s="11"/>
      <c r="T287" s="11"/>
      <c r="U287" s="11"/>
      <c r="V287" s="11"/>
      <c r="W287" s="11"/>
      <c r="X287" s="11"/>
      <c r="Y287" s="11"/>
      <c r="Z287" s="11"/>
      <c r="AA287" s="11"/>
      <c r="AB287" s="11"/>
      <c r="AC287" s="11"/>
      <c r="AD287" s="11"/>
    </row>
    <row r="288" spans="1:30" ht="16" x14ac:dyDescent="0.2">
      <c r="A288" s="11"/>
      <c r="B288" s="12"/>
      <c r="C288" s="12"/>
      <c r="D288" s="12"/>
      <c r="E288" s="12"/>
      <c r="F288" s="12"/>
      <c r="G288" s="12"/>
      <c r="H288" s="12"/>
      <c r="I288" s="12"/>
      <c r="J288" s="12"/>
      <c r="K288" s="12"/>
      <c r="L288" s="12"/>
      <c r="M288" s="11"/>
      <c r="N288" s="11"/>
      <c r="O288" s="11"/>
      <c r="P288" s="11"/>
      <c r="Q288" s="11"/>
      <c r="R288" s="11"/>
      <c r="S288" s="11"/>
      <c r="T288" s="11"/>
      <c r="U288" s="11"/>
      <c r="V288" s="11"/>
      <c r="W288" s="11"/>
      <c r="X288" s="11"/>
      <c r="Y288" s="11"/>
      <c r="Z288" s="11"/>
      <c r="AA288" s="11"/>
      <c r="AB288" s="11"/>
      <c r="AC288" s="11"/>
      <c r="AD288" s="11"/>
    </row>
    <row r="289" spans="1:30" ht="16" x14ac:dyDescent="0.2">
      <c r="A289" s="11"/>
      <c r="B289" s="12"/>
      <c r="C289" s="12"/>
      <c r="D289" s="12"/>
      <c r="E289" s="12"/>
      <c r="F289" s="12"/>
      <c r="G289" s="12"/>
      <c r="H289" s="12"/>
      <c r="I289" s="12"/>
      <c r="J289" s="12"/>
      <c r="K289" s="12"/>
      <c r="L289" s="12"/>
      <c r="M289" s="11"/>
      <c r="N289" s="11"/>
      <c r="O289" s="11"/>
      <c r="P289" s="11"/>
      <c r="Q289" s="11"/>
      <c r="R289" s="11"/>
      <c r="S289" s="11"/>
      <c r="T289" s="11"/>
      <c r="U289" s="11"/>
      <c r="V289" s="11"/>
      <c r="W289" s="11"/>
      <c r="X289" s="11"/>
      <c r="Y289" s="11"/>
      <c r="Z289" s="11"/>
      <c r="AA289" s="11"/>
      <c r="AB289" s="11"/>
      <c r="AC289" s="11"/>
      <c r="AD289" s="11"/>
    </row>
    <row r="290" spans="1:30" ht="16" x14ac:dyDescent="0.2">
      <c r="A290" s="11"/>
      <c r="B290" s="12"/>
      <c r="C290" s="12"/>
      <c r="D290" s="12"/>
      <c r="E290" s="12"/>
      <c r="F290" s="12"/>
      <c r="G290" s="12"/>
      <c r="H290" s="12"/>
      <c r="I290" s="12"/>
      <c r="J290" s="12"/>
      <c r="K290" s="12"/>
      <c r="L290" s="12"/>
      <c r="M290" s="11"/>
      <c r="N290" s="11"/>
      <c r="O290" s="11"/>
      <c r="P290" s="11"/>
      <c r="Q290" s="11"/>
      <c r="R290" s="11"/>
      <c r="S290" s="11"/>
      <c r="T290" s="11"/>
      <c r="U290" s="11"/>
      <c r="V290" s="11"/>
      <c r="W290" s="11"/>
      <c r="X290" s="11"/>
      <c r="Y290" s="11"/>
      <c r="Z290" s="11"/>
      <c r="AA290" s="11"/>
      <c r="AB290" s="11"/>
      <c r="AC290" s="11"/>
      <c r="AD290" s="11"/>
    </row>
    <row r="291" spans="1:30" ht="16" x14ac:dyDescent="0.2">
      <c r="A291" s="11"/>
      <c r="B291" s="12"/>
      <c r="C291" s="12"/>
      <c r="D291" s="12"/>
      <c r="E291" s="12"/>
      <c r="F291" s="12"/>
      <c r="G291" s="12"/>
      <c r="H291" s="12"/>
      <c r="I291" s="12"/>
      <c r="J291" s="12"/>
      <c r="K291" s="12"/>
      <c r="L291" s="12"/>
      <c r="M291" s="11"/>
      <c r="N291" s="11"/>
      <c r="O291" s="11"/>
      <c r="P291" s="11"/>
      <c r="Q291" s="11"/>
      <c r="R291" s="11"/>
      <c r="S291" s="11"/>
      <c r="T291" s="11"/>
      <c r="U291" s="11"/>
      <c r="V291" s="11"/>
      <c r="W291" s="11"/>
      <c r="X291" s="11"/>
      <c r="Y291" s="11"/>
      <c r="Z291" s="11"/>
      <c r="AA291" s="11"/>
      <c r="AB291" s="11"/>
      <c r="AC291" s="11"/>
      <c r="AD291" s="11"/>
    </row>
    <row r="292" spans="1:30" ht="16" x14ac:dyDescent="0.2">
      <c r="A292" s="11"/>
      <c r="B292" s="12"/>
      <c r="C292" s="12"/>
      <c r="D292" s="12"/>
      <c r="E292" s="12"/>
      <c r="F292" s="12"/>
      <c r="G292" s="12"/>
      <c r="H292" s="12"/>
      <c r="I292" s="12"/>
      <c r="J292" s="12"/>
      <c r="K292" s="12"/>
      <c r="L292" s="12"/>
      <c r="M292" s="11"/>
      <c r="N292" s="11"/>
      <c r="O292" s="11"/>
      <c r="P292" s="11"/>
      <c r="Q292" s="11"/>
      <c r="R292" s="11"/>
      <c r="S292" s="11"/>
      <c r="T292" s="11"/>
      <c r="U292" s="11"/>
      <c r="V292" s="11"/>
      <c r="W292" s="11"/>
      <c r="X292" s="11"/>
      <c r="Y292" s="11"/>
      <c r="Z292" s="11"/>
      <c r="AA292" s="11"/>
      <c r="AB292" s="11"/>
      <c r="AC292" s="11"/>
      <c r="AD292" s="11"/>
    </row>
    <row r="293" spans="1:30" ht="16" x14ac:dyDescent="0.2">
      <c r="A293" s="11"/>
      <c r="B293" s="12"/>
      <c r="C293" s="12"/>
      <c r="D293" s="12"/>
      <c r="E293" s="12"/>
      <c r="F293" s="12"/>
      <c r="G293" s="12"/>
      <c r="H293" s="12"/>
      <c r="I293" s="12"/>
      <c r="J293" s="12"/>
      <c r="K293" s="12"/>
      <c r="L293" s="12"/>
      <c r="M293" s="11"/>
      <c r="N293" s="11"/>
      <c r="O293" s="11"/>
      <c r="P293" s="11"/>
      <c r="Q293" s="11"/>
      <c r="R293" s="11"/>
      <c r="S293" s="11"/>
      <c r="T293" s="11"/>
      <c r="U293" s="11"/>
      <c r="V293" s="11"/>
      <c r="W293" s="11"/>
      <c r="X293" s="11"/>
      <c r="Y293" s="11"/>
      <c r="Z293" s="11"/>
      <c r="AA293" s="11"/>
      <c r="AB293" s="11"/>
      <c r="AC293" s="11"/>
      <c r="AD293" s="11"/>
    </row>
    <row r="294" spans="1:30" ht="16" x14ac:dyDescent="0.2">
      <c r="A294" s="11"/>
      <c r="B294" s="12"/>
      <c r="C294" s="12"/>
      <c r="D294" s="12"/>
      <c r="E294" s="12"/>
      <c r="F294" s="12"/>
      <c r="G294" s="12"/>
      <c r="H294" s="12"/>
      <c r="I294" s="12"/>
      <c r="J294" s="12"/>
      <c r="K294" s="12"/>
      <c r="L294" s="12"/>
      <c r="M294" s="11"/>
      <c r="N294" s="11"/>
      <c r="O294" s="11"/>
      <c r="P294" s="11"/>
      <c r="Q294" s="11"/>
      <c r="R294" s="11"/>
      <c r="S294" s="11"/>
      <c r="T294" s="11"/>
      <c r="U294" s="11"/>
      <c r="V294" s="11"/>
      <c r="W294" s="11"/>
      <c r="X294" s="11"/>
      <c r="Y294" s="11"/>
      <c r="Z294" s="11"/>
      <c r="AA294" s="11"/>
      <c r="AB294" s="11"/>
      <c r="AC294" s="11"/>
      <c r="AD294" s="11"/>
    </row>
    <row r="295" spans="1:30" ht="16" x14ac:dyDescent="0.2">
      <c r="A295" s="11"/>
      <c r="B295" s="12"/>
      <c r="C295" s="12"/>
      <c r="D295" s="12"/>
      <c r="E295" s="12"/>
      <c r="F295" s="12"/>
      <c r="G295" s="12"/>
      <c r="H295" s="12"/>
      <c r="I295" s="12"/>
      <c r="J295" s="12"/>
      <c r="K295" s="12"/>
      <c r="L295" s="12"/>
      <c r="M295" s="11"/>
      <c r="N295" s="11"/>
      <c r="O295" s="11"/>
      <c r="P295" s="11"/>
      <c r="Q295" s="11"/>
      <c r="R295" s="11"/>
      <c r="S295" s="11"/>
      <c r="T295" s="11"/>
      <c r="U295" s="11"/>
      <c r="V295" s="11"/>
      <c r="W295" s="11"/>
      <c r="X295" s="11"/>
      <c r="Y295" s="11"/>
      <c r="Z295" s="11"/>
      <c r="AA295" s="11"/>
      <c r="AB295" s="11"/>
      <c r="AC295" s="11"/>
      <c r="AD295" s="11"/>
    </row>
    <row r="296" spans="1:30" ht="16" x14ac:dyDescent="0.2">
      <c r="A296" s="11"/>
      <c r="B296" s="12"/>
      <c r="C296" s="12"/>
      <c r="D296" s="12"/>
      <c r="E296" s="12"/>
      <c r="F296" s="12"/>
      <c r="G296" s="12"/>
      <c r="H296" s="12"/>
      <c r="I296" s="12"/>
      <c r="J296" s="12"/>
      <c r="K296" s="12"/>
      <c r="L296" s="12"/>
      <c r="M296" s="11"/>
      <c r="N296" s="11"/>
      <c r="O296" s="11"/>
      <c r="P296" s="11"/>
      <c r="Q296" s="11"/>
      <c r="R296" s="11"/>
      <c r="S296" s="11"/>
      <c r="T296" s="11"/>
      <c r="U296" s="11"/>
      <c r="V296" s="11"/>
      <c r="W296" s="11"/>
      <c r="X296" s="11"/>
      <c r="Y296" s="11"/>
      <c r="Z296" s="11"/>
      <c r="AA296" s="11"/>
      <c r="AB296" s="11"/>
      <c r="AC296" s="11"/>
      <c r="AD296" s="11"/>
    </row>
    <row r="297" spans="1:30" ht="16" x14ac:dyDescent="0.2">
      <c r="A297" s="11"/>
      <c r="B297" s="12"/>
      <c r="C297" s="12"/>
      <c r="D297" s="12"/>
      <c r="E297" s="12"/>
      <c r="F297" s="12"/>
      <c r="G297" s="12"/>
      <c r="H297" s="12"/>
      <c r="I297" s="12"/>
      <c r="J297" s="12"/>
      <c r="K297" s="12"/>
      <c r="L297" s="12"/>
      <c r="M297" s="11"/>
      <c r="N297" s="11"/>
      <c r="O297" s="11"/>
      <c r="P297" s="11"/>
      <c r="Q297" s="11"/>
      <c r="R297" s="11"/>
      <c r="S297" s="11"/>
      <c r="T297" s="11"/>
      <c r="U297" s="11"/>
      <c r="V297" s="11"/>
      <c r="W297" s="11"/>
      <c r="X297" s="11"/>
      <c r="Y297" s="11"/>
      <c r="Z297" s="11"/>
      <c r="AA297" s="11"/>
      <c r="AB297" s="11"/>
      <c r="AC297" s="11"/>
      <c r="AD297" s="11"/>
    </row>
    <row r="298" spans="1:30" ht="16" x14ac:dyDescent="0.2">
      <c r="A298" s="11"/>
      <c r="B298" s="12"/>
      <c r="C298" s="12"/>
      <c r="D298" s="12"/>
      <c r="E298" s="12"/>
      <c r="F298" s="12"/>
      <c r="G298" s="12"/>
      <c r="H298" s="12"/>
      <c r="I298" s="12"/>
      <c r="J298" s="12"/>
      <c r="K298" s="12"/>
      <c r="L298" s="12"/>
      <c r="M298" s="11"/>
      <c r="N298" s="11"/>
      <c r="O298" s="11"/>
      <c r="P298" s="11"/>
      <c r="Q298" s="11"/>
      <c r="R298" s="11"/>
      <c r="S298" s="11"/>
      <c r="T298" s="11"/>
      <c r="U298" s="11"/>
      <c r="V298" s="11"/>
      <c r="W298" s="11"/>
      <c r="X298" s="11"/>
      <c r="Y298" s="11"/>
      <c r="Z298" s="11"/>
      <c r="AA298" s="11"/>
      <c r="AB298" s="11"/>
      <c r="AC298" s="11"/>
      <c r="AD298" s="11"/>
    </row>
    <row r="299" spans="1:30" ht="16" x14ac:dyDescent="0.2">
      <c r="A299" s="11"/>
      <c r="B299" s="12"/>
      <c r="C299" s="12"/>
      <c r="D299" s="12"/>
      <c r="E299" s="12"/>
      <c r="F299" s="12"/>
      <c r="G299" s="12"/>
      <c r="H299" s="12"/>
      <c r="I299" s="12"/>
      <c r="J299" s="12"/>
      <c r="K299" s="12"/>
      <c r="L299" s="12"/>
      <c r="M299" s="11"/>
      <c r="N299" s="11"/>
      <c r="O299" s="11"/>
      <c r="P299" s="11"/>
      <c r="Q299" s="11"/>
      <c r="R299" s="11"/>
      <c r="S299" s="11"/>
      <c r="T299" s="11"/>
      <c r="U299" s="11"/>
      <c r="V299" s="11"/>
      <c r="W299" s="11"/>
      <c r="X299" s="11"/>
      <c r="Y299" s="11"/>
      <c r="Z299" s="11"/>
      <c r="AA299" s="11"/>
      <c r="AB299" s="11"/>
      <c r="AC299" s="11"/>
      <c r="AD299" s="11"/>
    </row>
    <row r="300" spans="1:30" ht="16" x14ac:dyDescent="0.2">
      <c r="A300" s="11"/>
      <c r="B300" s="12"/>
      <c r="C300" s="12"/>
      <c r="D300" s="12"/>
      <c r="E300" s="12"/>
      <c r="F300" s="12"/>
      <c r="G300" s="12"/>
      <c r="H300" s="12"/>
      <c r="I300" s="12"/>
      <c r="J300" s="12"/>
      <c r="K300" s="12"/>
      <c r="L300" s="12"/>
      <c r="M300" s="11"/>
      <c r="N300" s="11"/>
      <c r="O300" s="11"/>
      <c r="P300" s="11"/>
      <c r="Q300" s="11"/>
      <c r="R300" s="11"/>
      <c r="S300" s="11"/>
      <c r="T300" s="11"/>
      <c r="U300" s="11"/>
      <c r="V300" s="11"/>
      <c r="W300" s="11"/>
      <c r="X300" s="11"/>
      <c r="Y300" s="11"/>
      <c r="Z300" s="11"/>
      <c r="AA300" s="11"/>
      <c r="AB300" s="11"/>
      <c r="AC300" s="11"/>
      <c r="AD300" s="11"/>
    </row>
    <row r="301" spans="1:30" ht="16" x14ac:dyDescent="0.2">
      <c r="A301" s="11"/>
      <c r="B301" s="12"/>
      <c r="C301" s="12"/>
      <c r="D301" s="12"/>
      <c r="E301" s="12"/>
      <c r="F301" s="12"/>
      <c r="G301" s="12"/>
      <c r="H301" s="12"/>
      <c r="I301" s="12"/>
      <c r="J301" s="12"/>
      <c r="K301" s="12"/>
      <c r="L301" s="12"/>
      <c r="M301" s="11"/>
      <c r="N301" s="11"/>
      <c r="O301" s="11"/>
      <c r="P301" s="11"/>
      <c r="Q301" s="11"/>
      <c r="R301" s="11"/>
      <c r="S301" s="11"/>
      <c r="T301" s="11"/>
      <c r="U301" s="11"/>
      <c r="V301" s="11"/>
      <c r="W301" s="11"/>
      <c r="X301" s="11"/>
      <c r="Y301" s="11"/>
      <c r="Z301" s="11"/>
      <c r="AA301" s="11"/>
      <c r="AB301" s="11"/>
      <c r="AC301" s="11"/>
      <c r="AD301" s="11"/>
    </row>
    <row r="302" spans="1:30" ht="16" x14ac:dyDescent="0.2">
      <c r="A302" s="11"/>
      <c r="B302" s="12"/>
      <c r="C302" s="12"/>
      <c r="D302" s="12"/>
      <c r="E302" s="12"/>
      <c r="F302" s="12"/>
      <c r="G302" s="12"/>
      <c r="H302" s="12"/>
      <c r="I302" s="12"/>
      <c r="J302" s="12"/>
      <c r="K302" s="12"/>
      <c r="L302" s="12"/>
      <c r="M302" s="11"/>
      <c r="N302" s="11"/>
      <c r="O302" s="11"/>
      <c r="P302" s="11"/>
      <c r="Q302" s="11"/>
      <c r="R302" s="11"/>
      <c r="S302" s="11"/>
      <c r="T302" s="11"/>
      <c r="U302" s="11"/>
      <c r="V302" s="11"/>
      <c r="W302" s="11"/>
      <c r="X302" s="11"/>
      <c r="Y302" s="11"/>
      <c r="Z302" s="11"/>
      <c r="AA302" s="11"/>
      <c r="AB302" s="11"/>
      <c r="AC302" s="11"/>
      <c r="AD302" s="11"/>
    </row>
    <row r="303" spans="1:30" ht="16" x14ac:dyDescent="0.2">
      <c r="A303" s="11"/>
      <c r="B303" s="12"/>
      <c r="C303" s="12"/>
      <c r="D303" s="12"/>
      <c r="E303" s="12"/>
      <c r="F303" s="12"/>
      <c r="G303" s="12"/>
      <c r="H303" s="12"/>
      <c r="I303" s="12"/>
      <c r="J303" s="12"/>
      <c r="K303" s="12"/>
      <c r="L303" s="12"/>
      <c r="M303" s="11"/>
      <c r="N303" s="11"/>
      <c r="O303" s="11"/>
      <c r="P303" s="11"/>
      <c r="Q303" s="11"/>
      <c r="R303" s="11"/>
      <c r="S303" s="11"/>
      <c r="T303" s="11"/>
      <c r="U303" s="11"/>
      <c r="V303" s="11"/>
      <c r="W303" s="11"/>
      <c r="X303" s="11"/>
      <c r="Y303" s="11"/>
      <c r="Z303" s="11"/>
      <c r="AA303" s="11"/>
      <c r="AB303" s="11"/>
      <c r="AC303" s="11"/>
      <c r="AD303" s="11"/>
    </row>
    <row r="304" spans="1:30" ht="16" x14ac:dyDescent="0.2">
      <c r="A304" s="11"/>
      <c r="B304" s="12"/>
      <c r="C304" s="12"/>
      <c r="D304" s="12"/>
      <c r="E304" s="12"/>
      <c r="F304" s="12"/>
      <c r="G304" s="12"/>
      <c r="H304" s="12"/>
      <c r="I304" s="12"/>
      <c r="J304" s="12"/>
      <c r="K304" s="12"/>
      <c r="L304" s="12"/>
      <c r="M304" s="11"/>
      <c r="N304" s="11"/>
      <c r="O304" s="11"/>
      <c r="P304" s="11"/>
      <c r="Q304" s="11"/>
      <c r="R304" s="11"/>
      <c r="S304" s="11"/>
      <c r="T304" s="11"/>
      <c r="U304" s="11"/>
      <c r="V304" s="11"/>
      <c r="W304" s="11"/>
      <c r="X304" s="11"/>
      <c r="Y304" s="11"/>
      <c r="Z304" s="11"/>
      <c r="AA304" s="11"/>
      <c r="AB304" s="11"/>
      <c r="AC304" s="11"/>
      <c r="AD304" s="11"/>
    </row>
    <row r="305" spans="1:30" ht="16" x14ac:dyDescent="0.2">
      <c r="A305" s="11"/>
      <c r="B305" s="12"/>
      <c r="C305" s="12"/>
      <c r="D305" s="12"/>
      <c r="E305" s="12"/>
      <c r="F305" s="12"/>
      <c r="G305" s="12"/>
      <c r="H305" s="12"/>
      <c r="I305" s="12"/>
      <c r="J305" s="12"/>
      <c r="K305" s="12"/>
      <c r="L305" s="12"/>
      <c r="M305" s="11"/>
      <c r="N305" s="11"/>
      <c r="O305" s="11"/>
      <c r="P305" s="11"/>
      <c r="Q305" s="11"/>
      <c r="R305" s="11"/>
      <c r="S305" s="11"/>
      <c r="T305" s="11"/>
      <c r="U305" s="11"/>
      <c r="V305" s="11"/>
      <c r="W305" s="11"/>
      <c r="X305" s="11"/>
      <c r="Y305" s="11"/>
      <c r="Z305" s="11"/>
      <c r="AA305" s="11"/>
      <c r="AB305" s="11"/>
      <c r="AC305" s="11"/>
      <c r="AD305" s="11"/>
    </row>
    <row r="306" spans="1:30" ht="16" x14ac:dyDescent="0.2">
      <c r="A306" s="11"/>
      <c r="B306" s="12"/>
      <c r="C306" s="12"/>
      <c r="D306" s="12"/>
      <c r="E306" s="12"/>
      <c r="F306" s="12"/>
      <c r="G306" s="12"/>
      <c r="H306" s="12"/>
      <c r="I306" s="12"/>
      <c r="J306" s="12"/>
      <c r="K306" s="12"/>
      <c r="L306" s="12"/>
      <c r="M306" s="11"/>
      <c r="N306" s="11"/>
      <c r="O306" s="11"/>
      <c r="P306" s="11"/>
      <c r="Q306" s="11"/>
      <c r="R306" s="11"/>
      <c r="S306" s="11"/>
      <c r="T306" s="11"/>
      <c r="U306" s="11"/>
      <c r="V306" s="11"/>
      <c r="W306" s="11"/>
      <c r="X306" s="11"/>
      <c r="Y306" s="11"/>
      <c r="Z306" s="11"/>
      <c r="AA306" s="11"/>
      <c r="AB306" s="11"/>
      <c r="AC306" s="11"/>
      <c r="AD306" s="11"/>
    </row>
    <row r="307" spans="1:30" ht="16" x14ac:dyDescent="0.2">
      <c r="A307" s="11"/>
      <c r="B307" s="12"/>
      <c r="C307" s="12"/>
      <c r="D307" s="12"/>
      <c r="E307" s="12"/>
      <c r="F307" s="12"/>
      <c r="G307" s="12"/>
      <c r="H307" s="12"/>
      <c r="I307" s="12"/>
      <c r="J307" s="12"/>
      <c r="K307" s="12"/>
      <c r="L307" s="12"/>
      <c r="M307" s="11"/>
      <c r="N307" s="11"/>
      <c r="O307" s="11"/>
      <c r="P307" s="11"/>
      <c r="Q307" s="11"/>
      <c r="R307" s="11"/>
      <c r="S307" s="11"/>
      <c r="T307" s="11"/>
      <c r="U307" s="11"/>
      <c r="V307" s="11"/>
      <c r="W307" s="11"/>
      <c r="X307" s="11"/>
      <c r="Y307" s="11"/>
      <c r="Z307" s="11"/>
      <c r="AA307" s="11"/>
      <c r="AB307" s="11"/>
      <c r="AC307" s="11"/>
      <c r="AD307" s="11"/>
    </row>
    <row r="308" spans="1:30" ht="16" x14ac:dyDescent="0.2">
      <c r="A308" s="11"/>
      <c r="B308" s="12"/>
      <c r="C308" s="12"/>
      <c r="D308" s="12"/>
      <c r="E308" s="12"/>
      <c r="F308" s="12"/>
      <c r="G308" s="12"/>
      <c r="H308" s="12"/>
      <c r="I308" s="12"/>
      <c r="J308" s="12"/>
      <c r="K308" s="12"/>
      <c r="L308" s="12"/>
      <c r="M308" s="11"/>
      <c r="N308" s="11"/>
      <c r="O308" s="11"/>
      <c r="P308" s="11"/>
      <c r="Q308" s="11"/>
      <c r="R308" s="11"/>
      <c r="S308" s="11"/>
      <c r="T308" s="11"/>
      <c r="U308" s="11"/>
      <c r="V308" s="11"/>
      <c r="W308" s="11"/>
      <c r="X308" s="11"/>
      <c r="Y308" s="11"/>
      <c r="Z308" s="11"/>
      <c r="AA308" s="11"/>
      <c r="AB308" s="11"/>
      <c r="AC308" s="11"/>
      <c r="AD308" s="11"/>
    </row>
    <row r="309" spans="1:30" ht="16" x14ac:dyDescent="0.2">
      <c r="A309" s="11"/>
      <c r="B309" s="12"/>
      <c r="C309" s="12"/>
      <c r="D309" s="12"/>
      <c r="E309" s="12"/>
      <c r="F309" s="12"/>
      <c r="G309" s="12"/>
      <c r="H309" s="12"/>
      <c r="I309" s="12"/>
      <c r="J309" s="12"/>
      <c r="K309" s="12"/>
      <c r="L309" s="12"/>
      <c r="M309" s="11"/>
      <c r="N309" s="11"/>
      <c r="O309" s="11"/>
      <c r="P309" s="11"/>
      <c r="Q309" s="11"/>
      <c r="R309" s="11"/>
      <c r="S309" s="11"/>
      <c r="T309" s="11"/>
      <c r="U309" s="11"/>
      <c r="V309" s="11"/>
      <c r="W309" s="11"/>
      <c r="X309" s="11"/>
      <c r="Y309" s="11"/>
      <c r="Z309" s="11"/>
      <c r="AA309" s="11"/>
      <c r="AB309" s="11"/>
      <c r="AC309" s="11"/>
      <c r="AD309" s="11"/>
    </row>
    <row r="310" spans="1:30" ht="16" x14ac:dyDescent="0.2">
      <c r="A310" s="11"/>
      <c r="B310" s="12"/>
      <c r="C310" s="12"/>
      <c r="D310" s="12"/>
      <c r="E310" s="12"/>
      <c r="F310" s="12"/>
      <c r="G310" s="12"/>
      <c r="H310" s="12"/>
      <c r="I310" s="12"/>
      <c r="J310" s="12"/>
      <c r="K310" s="12"/>
      <c r="L310" s="12"/>
      <c r="M310" s="11"/>
      <c r="N310" s="11"/>
      <c r="O310" s="11"/>
      <c r="P310" s="11"/>
      <c r="Q310" s="11"/>
      <c r="R310" s="11"/>
      <c r="S310" s="11"/>
      <c r="T310" s="11"/>
      <c r="U310" s="11"/>
      <c r="V310" s="11"/>
      <c r="W310" s="11"/>
      <c r="X310" s="11"/>
      <c r="Y310" s="11"/>
      <c r="Z310" s="11"/>
      <c r="AA310" s="11"/>
      <c r="AB310" s="11"/>
      <c r="AC310" s="11"/>
      <c r="AD310" s="11"/>
    </row>
    <row r="311" spans="1:30" ht="16" x14ac:dyDescent="0.2">
      <c r="A311" s="11"/>
      <c r="B311" s="12"/>
      <c r="C311" s="12"/>
      <c r="D311" s="12"/>
      <c r="E311" s="12"/>
      <c r="F311" s="12"/>
      <c r="G311" s="12"/>
      <c r="H311" s="12"/>
      <c r="I311" s="12"/>
      <c r="J311" s="12"/>
      <c r="K311" s="12"/>
      <c r="L311" s="12"/>
      <c r="M311" s="11"/>
      <c r="N311" s="11"/>
      <c r="O311" s="11"/>
      <c r="P311" s="11"/>
      <c r="Q311" s="11"/>
      <c r="R311" s="11"/>
      <c r="S311" s="11"/>
      <c r="T311" s="11"/>
      <c r="U311" s="11"/>
      <c r="V311" s="11"/>
      <c r="W311" s="11"/>
      <c r="X311" s="11"/>
      <c r="Y311" s="11"/>
      <c r="Z311" s="11"/>
      <c r="AA311" s="11"/>
      <c r="AB311" s="11"/>
      <c r="AC311" s="11"/>
      <c r="AD311" s="11"/>
    </row>
    <row r="312" spans="1:30" ht="16" x14ac:dyDescent="0.2">
      <c r="A312" s="11"/>
      <c r="B312" s="12"/>
      <c r="C312" s="12"/>
      <c r="D312" s="12"/>
      <c r="E312" s="12"/>
      <c r="F312" s="12"/>
      <c r="G312" s="12"/>
      <c r="H312" s="12"/>
      <c r="I312" s="12"/>
      <c r="J312" s="12"/>
      <c r="K312" s="12"/>
      <c r="L312" s="12"/>
      <c r="M312" s="11"/>
      <c r="N312" s="11"/>
      <c r="O312" s="11"/>
      <c r="P312" s="11"/>
      <c r="Q312" s="11"/>
      <c r="R312" s="11"/>
      <c r="S312" s="11"/>
      <c r="T312" s="11"/>
      <c r="U312" s="11"/>
      <c r="V312" s="11"/>
      <c r="W312" s="11"/>
      <c r="X312" s="11"/>
      <c r="Y312" s="11"/>
      <c r="Z312" s="11"/>
      <c r="AA312" s="11"/>
      <c r="AB312" s="11"/>
      <c r="AC312" s="11"/>
      <c r="AD312" s="11"/>
    </row>
    <row r="313" spans="1:30" ht="16" x14ac:dyDescent="0.2">
      <c r="A313" s="11"/>
      <c r="B313" s="12"/>
      <c r="C313" s="12"/>
      <c r="D313" s="12"/>
      <c r="E313" s="12"/>
      <c r="F313" s="12"/>
      <c r="G313" s="12"/>
      <c r="H313" s="12"/>
      <c r="I313" s="12"/>
      <c r="J313" s="12"/>
      <c r="K313" s="12"/>
      <c r="L313" s="12"/>
      <c r="M313" s="11"/>
      <c r="N313" s="11"/>
      <c r="O313" s="11"/>
      <c r="P313" s="11"/>
      <c r="Q313" s="11"/>
      <c r="R313" s="11"/>
      <c r="S313" s="11"/>
      <c r="T313" s="11"/>
      <c r="U313" s="11"/>
      <c r="V313" s="11"/>
      <c r="W313" s="11"/>
      <c r="X313" s="11"/>
      <c r="Y313" s="11"/>
      <c r="Z313" s="11"/>
      <c r="AA313" s="11"/>
      <c r="AB313" s="11"/>
      <c r="AC313" s="11"/>
      <c r="AD313" s="11"/>
    </row>
    <row r="314" spans="1:30" ht="16" x14ac:dyDescent="0.2">
      <c r="A314" s="11"/>
      <c r="B314" s="12"/>
      <c r="C314" s="12"/>
      <c r="D314" s="12"/>
      <c r="E314" s="12"/>
      <c r="F314" s="12"/>
      <c r="G314" s="12"/>
      <c r="H314" s="12"/>
      <c r="I314" s="12"/>
      <c r="J314" s="12"/>
      <c r="K314" s="12"/>
      <c r="L314" s="12"/>
      <c r="M314" s="11"/>
      <c r="N314" s="11"/>
      <c r="O314" s="11"/>
      <c r="P314" s="11"/>
      <c r="Q314" s="11"/>
      <c r="R314" s="11"/>
      <c r="S314" s="11"/>
      <c r="T314" s="11"/>
      <c r="U314" s="11"/>
      <c r="V314" s="11"/>
      <c r="W314" s="11"/>
      <c r="X314" s="11"/>
      <c r="Y314" s="11"/>
      <c r="Z314" s="11"/>
      <c r="AA314" s="11"/>
      <c r="AB314" s="11"/>
      <c r="AC314" s="11"/>
      <c r="AD314" s="11"/>
    </row>
    <row r="315" spans="1:30" ht="16" x14ac:dyDescent="0.2">
      <c r="A315" s="11"/>
      <c r="B315" s="12"/>
      <c r="C315" s="12"/>
      <c r="D315" s="12"/>
      <c r="E315" s="12"/>
      <c r="F315" s="12"/>
      <c r="G315" s="12"/>
      <c r="H315" s="12"/>
      <c r="I315" s="12"/>
      <c r="J315" s="12"/>
      <c r="K315" s="12"/>
      <c r="L315" s="12"/>
      <c r="M315" s="11"/>
      <c r="N315" s="11"/>
      <c r="O315" s="11"/>
      <c r="P315" s="11"/>
      <c r="Q315" s="11"/>
      <c r="R315" s="11"/>
      <c r="S315" s="11"/>
      <c r="T315" s="11"/>
      <c r="U315" s="11"/>
      <c r="V315" s="11"/>
      <c r="W315" s="11"/>
      <c r="X315" s="11"/>
      <c r="Y315" s="11"/>
      <c r="Z315" s="11"/>
      <c r="AA315" s="11"/>
      <c r="AB315" s="11"/>
      <c r="AC315" s="11"/>
      <c r="AD315" s="11"/>
    </row>
    <row r="316" spans="1:30" ht="16" x14ac:dyDescent="0.2">
      <c r="A316" s="11"/>
      <c r="B316" s="12"/>
      <c r="C316" s="12"/>
      <c r="D316" s="12"/>
      <c r="E316" s="12"/>
      <c r="F316" s="12"/>
      <c r="G316" s="12"/>
      <c r="H316" s="12"/>
      <c r="I316" s="12"/>
      <c r="J316" s="12"/>
      <c r="K316" s="12"/>
      <c r="L316" s="12"/>
      <c r="M316" s="11"/>
      <c r="N316" s="11"/>
      <c r="O316" s="11"/>
      <c r="P316" s="11"/>
      <c r="Q316" s="11"/>
      <c r="R316" s="11"/>
      <c r="S316" s="11"/>
      <c r="T316" s="11"/>
      <c r="U316" s="11"/>
      <c r="V316" s="11"/>
      <c r="W316" s="11"/>
      <c r="X316" s="11"/>
      <c r="Y316" s="11"/>
      <c r="Z316" s="11"/>
      <c r="AA316" s="11"/>
      <c r="AB316" s="11"/>
      <c r="AC316" s="11"/>
      <c r="AD316" s="11"/>
    </row>
    <row r="317" spans="1:30" ht="16" x14ac:dyDescent="0.2">
      <c r="A317" s="11"/>
      <c r="B317" s="12"/>
      <c r="C317" s="12"/>
      <c r="D317" s="12"/>
      <c r="E317" s="12"/>
      <c r="F317" s="12"/>
      <c r="G317" s="12"/>
      <c r="H317" s="12"/>
      <c r="I317" s="12"/>
      <c r="J317" s="12"/>
      <c r="K317" s="12"/>
      <c r="L317" s="12"/>
      <c r="M317" s="11"/>
      <c r="N317" s="11"/>
      <c r="O317" s="11"/>
      <c r="P317" s="11"/>
      <c r="Q317" s="11"/>
      <c r="R317" s="11"/>
      <c r="S317" s="11"/>
      <c r="T317" s="11"/>
      <c r="U317" s="11"/>
      <c r="V317" s="11"/>
      <c r="W317" s="11"/>
      <c r="X317" s="11"/>
      <c r="Y317" s="11"/>
      <c r="Z317" s="11"/>
      <c r="AA317" s="11"/>
      <c r="AB317" s="11"/>
      <c r="AC317" s="11"/>
      <c r="AD317" s="11"/>
    </row>
    <row r="318" spans="1:30" ht="16" x14ac:dyDescent="0.2">
      <c r="A318" s="11"/>
      <c r="B318" s="12"/>
      <c r="C318" s="12"/>
      <c r="D318" s="12"/>
      <c r="E318" s="12"/>
      <c r="F318" s="12"/>
      <c r="G318" s="12"/>
      <c r="H318" s="12"/>
      <c r="I318" s="12"/>
      <c r="J318" s="12"/>
      <c r="K318" s="12"/>
      <c r="L318" s="12"/>
      <c r="M318" s="11"/>
      <c r="N318" s="11"/>
      <c r="O318" s="11"/>
      <c r="P318" s="11"/>
      <c r="Q318" s="11"/>
      <c r="R318" s="11"/>
      <c r="S318" s="11"/>
      <c r="T318" s="11"/>
      <c r="U318" s="11"/>
      <c r="V318" s="11"/>
      <c r="W318" s="11"/>
      <c r="X318" s="11"/>
      <c r="Y318" s="11"/>
      <c r="Z318" s="11"/>
      <c r="AA318" s="11"/>
      <c r="AB318" s="11"/>
      <c r="AC318" s="11"/>
      <c r="AD318" s="11"/>
    </row>
    <row r="319" spans="1:30" ht="16" x14ac:dyDescent="0.2">
      <c r="A319" s="11"/>
      <c r="B319" s="12"/>
      <c r="C319" s="12"/>
      <c r="D319" s="12"/>
      <c r="E319" s="12"/>
      <c r="F319" s="12"/>
      <c r="G319" s="12"/>
      <c r="H319" s="12"/>
      <c r="I319" s="12"/>
      <c r="J319" s="12"/>
      <c r="K319" s="12"/>
      <c r="L319" s="12"/>
      <c r="M319" s="11"/>
      <c r="N319" s="11"/>
      <c r="O319" s="11"/>
      <c r="P319" s="11"/>
      <c r="Q319" s="11"/>
      <c r="R319" s="11"/>
      <c r="S319" s="11"/>
      <c r="T319" s="11"/>
      <c r="U319" s="11"/>
      <c r="V319" s="11"/>
      <c r="W319" s="11"/>
      <c r="X319" s="11"/>
      <c r="Y319" s="11"/>
      <c r="Z319" s="11"/>
      <c r="AA319" s="11"/>
      <c r="AB319" s="11"/>
      <c r="AC319" s="11"/>
      <c r="AD319" s="11"/>
    </row>
    <row r="320" spans="1:30" ht="16" x14ac:dyDescent="0.2">
      <c r="A320" s="11"/>
      <c r="B320" s="12"/>
      <c r="C320" s="12"/>
      <c r="D320" s="12"/>
      <c r="E320" s="12"/>
      <c r="F320" s="12"/>
      <c r="G320" s="12"/>
      <c r="H320" s="12"/>
      <c r="I320" s="12"/>
      <c r="J320" s="12"/>
      <c r="K320" s="12"/>
      <c r="L320" s="12"/>
      <c r="M320" s="11"/>
      <c r="N320" s="11"/>
      <c r="O320" s="11"/>
      <c r="P320" s="11"/>
      <c r="Q320" s="11"/>
      <c r="R320" s="11"/>
      <c r="S320" s="11"/>
      <c r="T320" s="11"/>
      <c r="U320" s="11"/>
      <c r="V320" s="11"/>
      <c r="W320" s="11"/>
      <c r="X320" s="11"/>
      <c r="Y320" s="11"/>
      <c r="Z320" s="11"/>
      <c r="AA320" s="11"/>
      <c r="AB320" s="11"/>
      <c r="AC320" s="11"/>
      <c r="AD320" s="11"/>
    </row>
    <row r="321" spans="1:30" ht="16" x14ac:dyDescent="0.2">
      <c r="A321" s="11"/>
      <c r="B321" s="12"/>
      <c r="C321" s="12"/>
      <c r="D321" s="12"/>
      <c r="E321" s="12"/>
      <c r="F321" s="12"/>
      <c r="G321" s="12"/>
      <c r="H321" s="12"/>
      <c r="I321" s="12"/>
      <c r="J321" s="12"/>
      <c r="K321" s="12"/>
      <c r="L321" s="12"/>
      <c r="M321" s="11"/>
      <c r="N321" s="11"/>
      <c r="O321" s="11"/>
      <c r="P321" s="11"/>
      <c r="Q321" s="11"/>
      <c r="R321" s="11"/>
      <c r="S321" s="11"/>
      <c r="T321" s="11"/>
      <c r="U321" s="11"/>
      <c r="V321" s="11"/>
      <c r="W321" s="11"/>
      <c r="X321" s="11"/>
      <c r="Y321" s="11"/>
      <c r="Z321" s="11"/>
      <c r="AA321" s="11"/>
      <c r="AB321" s="11"/>
      <c r="AC321" s="11"/>
      <c r="AD321" s="11"/>
    </row>
    <row r="322" spans="1:30" ht="16" x14ac:dyDescent="0.2">
      <c r="A322" s="11"/>
      <c r="B322" s="12"/>
      <c r="C322" s="12"/>
      <c r="D322" s="12"/>
      <c r="E322" s="12"/>
      <c r="F322" s="12"/>
      <c r="G322" s="12"/>
      <c r="H322" s="12"/>
      <c r="I322" s="12"/>
      <c r="J322" s="12"/>
      <c r="K322" s="12"/>
      <c r="L322" s="12"/>
      <c r="M322" s="11"/>
      <c r="N322" s="11"/>
      <c r="O322" s="11"/>
      <c r="P322" s="11"/>
      <c r="Q322" s="11"/>
      <c r="R322" s="11"/>
      <c r="S322" s="11"/>
      <c r="T322" s="11"/>
      <c r="U322" s="11"/>
      <c r="V322" s="11"/>
      <c r="W322" s="11"/>
      <c r="X322" s="11"/>
      <c r="Y322" s="11"/>
      <c r="Z322" s="11"/>
      <c r="AA322" s="11"/>
      <c r="AB322" s="11"/>
      <c r="AC322" s="11"/>
      <c r="AD322" s="11"/>
    </row>
    <row r="323" spans="1:30" ht="16" x14ac:dyDescent="0.2">
      <c r="A323" s="11"/>
      <c r="B323" s="12"/>
      <c r="C323" s="12"/>
      <c r="D323" s="12"/>
      <c r="E323" s="12"/>
      <c r="F323" s="12"/>
      <c r="G323" s="12"/>
      <c r="H323" s="12"/>
      <c r="I323" s="12"/>
      <c r="J323" s="12"/>
      <c r="K323" s="12"/>
      <c r="L323" s="12"/>
      <c r="M323" s="11"/>
      <c r="N323" s="11"/>
      <c r="O323" s="11"/>
      <c r="P323" s="11"/>
      <c r="Q323" s="11"/>
      <c r="R323" s="11"/>
      <c r="S323" s="11"/>
      <c r="T323" s="11"/>
      <c r="U323" s="11"/>
      <c r="V323" s="11"/>
      <c r="W323" s="11"/>
      <c r="X323" s="11"/>
      <c r="Y323" s="11"/>
      <c r="Z323" s="11"/>
      <c r="AA323" s="11"/>
      <c r="AB323" s="11"/>
      <c r="AC323" s="11"/>
      <c r="AD323" s="11"/>
    </row>
    <row r="324" spans="1:30" ht="16" x14ac:dyDescent="0.2">
      <c r="A324" s="11"/>
      <c r="B324" s="12"/>
      <c r="C324" s="12"/>
      <c r="D324" s="12"/>
      <c r="E324" s="12"/>
      <c r="F324" s="12"/>
      <c r="G324" s="12"/>
      <c r="H324" s="12"/>
      <c r="I324" s="12"/>
      <c r="J324" s="12"/>
      <c r="K324" s="12"/>
      <c r="L324" s="12"/>
      <c r="M324" s="11"/>
      <c r="N324" s="11"/>
      <c r="O324" s="11"/>
      <c r="P324" s="11"/>
      <c r="Q324" s="11"/>
      <c r="R324" s="11"/>
      <c r="S324" s="11"/>
      <c r="T324" s="11"/>
      <c r="U324" s="11"/>
      <c r="V324" s="11"/>
      <c r="W324" s="11"/>
      <c r="X324" s="11"/>
      <c r="Y324" s="11"/>
      <c r="Z324" s="11"/>
      <c r="AA324" s="11"/>
      <c r="AB324" s="11"/>
      <c r="AC324" s="11"/>
      <c r="AD324" s="11"/>
    </row>
    <row r="325" spans="1:30" ht="16" x14ac:dyDescent="0.2">
      <c r="A325" s="11"/>
      <c r="B325" s="12"/>
      <c r="C325" s="12"/>
      <c r="D325" s="12"/>
      <c r="E325" s="12"/>
      <c r="F325" s="12"/>
      <c r="G325" s="12"/>
      <c r="H325" s="12"/>
      <c r="I325" s="12"/>
      <c r="J325" s="12"/>
      <c r="K325" s="12"/>
      <c r="L325" s="12"/>
      <c r="M325" s="11"/>
      <c r="N325" s="11"/>
      <c r="O325" s="11"/>
      <c r="P325" s="11"/>
      <c r="Q325" s="11"/>
      <c r="R325" s="11"/>
      <c r="S325" s="11"/>
      <c r="T325" s="11"/>
      <c r="U325" s="11"/>
      <c r="V325" s="11"/>
      <c r="W325" s="11"/>
      <c r="X325" s="11"/>
      <c r="Y325" s="11"/>
      <c r="Z325" s="11"/>
      <c r="AA325" s="11"/>
      <c r="AB325" s="11"/>
      <c r="AC325" s="11"/>
      <c r="AD325" s="11"/>
    </row>
    <row r="326" spans="1:30" ht="16" x14ac:dyDescent="0.2">
      <c r="A326" s="11"/>
      <c r="B326" s="12"/>
      <c r="C326" s="12"/>
      <c r="D326" s="12"/>
      <c r="E326" s="12"/>
      <c r="F326" s="12"/>
      <c r="G326" s="12"/>
      <c r="H326" s="12"/>
      <c r="I326" s="12"/>
      <c r="J326" s="12"/>
      <c r="K326" s="12"/>
      <c r="L326" s="12"/>
      <c r="M326" s="11"/>
      <c r="N326" s="11"/>
      <c r="O326" s="11"/>
      <c r="P326" s="11"/>
      <c r="Q326" s="11"/>
      <c r="R326" s="11"/>
      <c r="S326" s="11"/>
      <c r="T326" s="11"/>
      <c r="U326" s="11"/>
      <c r="V326" s="11"/>
      <c r="W326" s="11"/>
      <c r="X326" s="11"/>
      <c r="Y326" s="11"/>
      <c r="Z326" s="11"/>
      <c r="AA326" s="11"/>
      <c r="AB326" s="11"/>
      <c r="AC326" s="11"/>
      <c r="AD326" s="11"/>
    </row>
    <row r="327" spans="1:30" ht="16" x14ac:dyDescent="0.2">
      <c r="A327" s="11"/>
      <c r="B327" s="12"/>
      <c r="C327" s="12"/>
      <c r="D327" s="12"/>
      <c r="E327" s="12"/>
      <c r="F327" s="12"/>
      <c r="G327" s="12"/>
      <c r="H327" s="12"/>
      <c r="I327" s="12"/>
      <c r="J327" s="12"/>
      <c r="K327" s="12"/>
      <c r="L327" s="12"/>
      <c r="M327" s="11"/>
      <c r="N327" s="11"/>
      <c r="O327" s="11"/>
      <c r="P327" s="11"/>
      <c r="Q327" s="11"/>
      <c r="R327" s="11"/>
      <c r="S327" s="11"/>
      <c r="T327" s="11"/>
      <c r="U327" s="11"/>
      <c r="V327" s="11"/>
      <c r="W327" s="11"/>
      <c r="X327" s="11"/>
      <c r="Y327" s="11"/>
      <c r="Z327" s="11"/>
      <c r="AA327" s="11"/>
      <c r="AB327" s="11"/>
      <c r="AC327" s="11"/>
      <c r="AD327" s="11"/>
    </row>
    <row r="328" spans="1:30" ht="16" x14ac:dyDescent="0.2">
      <c r="A328" s="11"/>
      <c r="B328" s="12"/>
      <c r="C328" s="12"/>
      <c r="D328" s="12"/>
      <c r="E328" s="12"/>
      <c r="F328" s="12"/>
      <c r="G328" s="12"/>
      <c r="H328" s="12"/>
      <c r="I328" s="12"/>
      <c r="J328" s="12"/>
      <c r="K328" s="12"/>
      <c r="L328" s="12"/>
      <c r="M328" s="11"/>
      <c r="N328" s="11"/>
      <c r="O328" s="11"/>
      <c r="P328" s="11"/>
      <c r="Q328" s="11"/>
      <c r="R328" s="11"/>
      <c r="S328" s="11"/>
      <c r="T328" s="11"/>
      <c r="U328" s="11"/>
      <c r="V328" s="11"/>
      <c r="W328" s="11"/>
      <c r="X328" s="11"/>
      <c r="Y328" s="11"/>
      <c r="Z328" s="11"/>
      <c r="AA328" s="11"/>
      <c r="AB328" s="11"/>
      <c r="AC328" s="11"/>
      <c r="AD328" s="11"/>
    </row>
    <row r="329" spans="1:30" ht="16" x14ac:dyDescent="0.2">
      <c r="A329" s="11"/>
      <c r="B329" s="12"/>
      <c r="C329" s="12"/>
      <c r="D329" s="12"/>
      <c r="E329" s="12"/>
      <c r="F329" s="12"/>
      <c r="G329" s="12"/>
      <c r="H329" s="12"/>
      <c r="I329" s="12"/>
      <c r="J329" s="12"/>
      <c r="K329" s="12"/>
      <c r="L329" s="12"/>
      <c r="M329" s="11"/>
      <c r="N329" s="11"/>
      <c r="O329" s="11"/>
      <c r="P329" s="11"/>
      <c r="Q329" s="11"/>
      <c r="R329" s="11"/>
      <c r="S329" s="11"/>
      <c r="T329" s="11"/>
      <c r="U329" s="11"/>
      <c r="V329" s="11"/>
      <c r="W329" s="11"/>
      <c r="X329" s="11"/>
      <c r="Y329" s="11"/>
      <c r="Z329" s="11"/>
      <c r="AA329" s="11"/>
      <c r="AB329" s="11"/>
      <c r="AC329" s="11"/>
      <c r="AD329" s="11"/>
    </row>
    <row r="330" spans="1:30" ht="16" x14ac:dyDescent="0.2">
      <c r="A330" s="11"/>
      <c r="B330" s="12"/>
      <c r="C330" s="12"/>
      <c r="D330" s="12"/>
      <c r="E330" s="12"/>
      <c r="F330" s="12"/>
      <c r="G330" s="12"/>
      <c r="H330" s="12"/>
      <c r="I330" s="12"/>
      <c r="J330" s="12"/>
      <c r="K330" s="12"/>
      <c r="L330" s="12"/>
      <c r="M330" s="11"/>
      <c r="N330" s="11"/>
      <c r="O330" s="11"/>
      <c r="P330" s="11"/>
      <c r="Q330" s="11"/>
      <c r="R330" s="11"/>
      <c r="S330" s="11"/>
      <c r="T330" s="11"/>
      <c r="U330" s="11"/>
      <c r="V330" s="11"/>
      <c r="W330" s="11"/>
      <c r="X330" s="11"/>
      <c r="Y330" s="11"/>
      <c r="Z330" s="11"/>
      <c r="AA330" s="11"/>
      <c r="AB330" s="11"/>
      <c r="AC330" s="11"/>
      <c r="AD330" s="11"/>
    </row>
    <row r="331" spans="1:30" ht="16" x14ac:dyDescent="0.2">
      <c r="A331" s="11"/>
      <c r="B331" s="12"/>
      <c r="C331" s="12"/>
      <c r="D331" s="12"/>
      <c r="E331" s="12"/>
      <c r="F331" s="12"/>
      <c r="G331" s="12"/>
      <c r="H331" s="12"/>
      <c r="I331" s="12"/>
      <c r="J331" s="12"/>
      <c r="K331" s="12"/>
      <c r="L331" s="12"/>
      <c r="M331" s="11"/>
      <c r="N331" s="11"/>
      <c r="O331" s="11"/>
      <c r="P331" s="11"/>
      <c r="Q331" s="11"/>
      <c r="R331" s="11"/>
      <c r="S331" s="11"/>
      <c r="T331" s="11"/>
      <c r="U331" s="11"/>
      <c r="V331" s="11"/>
      <c r="W331" s="11"/>
      <c r="X331" s="11"/>
      <c r="Y331" s="11"/>
      <c r="Z331" s="11"/>
      <c r="AA331" s="11"/>
      <c r="AB331" s="11"/>
      <c r="AC331" s="11"/>
      <c r="AD331" s="11"/>
    </row>
    <row r="332" spans="1:30" ht="16" x14ac:dyDescent="0.2">
      <c r="A332" s="11"/>
      <c r="B332" s="12"/>
      <c r="C332" s="12"/>
      <c r="D332" s="12"/>
      <c r="E332" s="12"/>
      <c r="F332" s="12"/>
      <c r="G332" s="12"/>
      <c r="H332" s="12"/>
      <c r="I332" s="12"/>
      <c r="J332" s="12"/>
      <c r="K332" s="12"/>
      <c r="L332" s="12"/>
      <c r="M332" s="11"/>
      <c r="N332" s="11"/>
      <c r="O332" s="11"/>
      <c r="P332" s="11"/>
      <c r="Q332" s="11"/>
      <c r="R332" s="11"/>
      <c r="S332" s="11"/>
      <c r="T332" s="11"/>
      <c r="U332" s="11"/>
      <c r="V332" s="11"/>
      <c r="W332" s="11"/>
      <c r="X332" s="11"/>
      <c r="Y332" s="11"/>
      <c r="Z332" s="11"/>
      <c r="AA332" s="11"/>
      <c r="AB332" s="11"/>
      <c r="AC332" s="11"/>
      <c r="AD332" s="11"/>
    </row>
    <row r="333" spans="1:30" ht="16" x14ac:dyDescent="0.2">
      <c r="A333" s="11"/>
      <c r="B333" s="12"/>
      <c r="C333" s="12"/>
      <c r="D333" s="12"/>
      <c r="E333" s="12"/>
      <c r="F333" s="12"/>
      <c r="G333" s="12"/>
      <c r="H333" s="12"/>
      <c r="I333" s="12"/>
      <c r="J333" s="12"/>
      <c r="K333" s="12"/>
      <c r="L333" s="12"/>
      <c r="M333" s="11"/>
      <c r="N333" s="11"/>
      <c r="O333" s="11"/>
      <c r="P333" s="11"/>
      <c r="Q333" s="11"/>
      <c r="R333" s="11"/>
      <c r="S333" s="11"/>
      <c r="T333" s="11"/>
      <c r="U333" s="11"/>
      <c r="V333" s="11"/>
      <c r="W333" s="11"/>
      <c r="X333" s="11"/>
      <c r="Y333" s="11"/>
      <c r="Z333" s="11"/>
      <c r="AA333" s="11"/>
      <c r="AB333" s="11"/>
      <c r="AC333" s="11"/>
      <c r="AD333" s="11"/>
    </row>
    <row r="334" spans="1:30" ht="16" x14ac:dyDescent="0.2">
      <c r="A334" s="11"/>
      <c r="B334" s="12"/>
      <c r="C334" s="12"/>
      <c r="D334" s="12"/>
      <c r="E334" s="12"/>
      <c r="F334" s="12"/>
      <c r="G334" s="12"/>
      <c r="H334" s="12"/>
      <c r="I334" s="12"/>
      <c r="J334" s="12"/>
      <c r="K334" s="12"/>
      <c r="L334" s="12"/>
      <c r="M334" s="11"/>
      <c r="N334" s="11"/>
      <c r="O334" s="11"/>
      <c r="P334" s="11"/>
      <c r="Q334" s="11"/>
      <c r="R334" s="11"/>
      <c r="S334" s="11"/>
      <c r="T334" s="11"/>
      <c r="U334" s="11"/>
      <c r="V334" s="11"/>
      <c r="W334" s="11"/>
      <c r="X334" s="11"/>
      <c r="Y334" s="11"/>
      <c r="Z334" s="11"/>
      <c r="AA334" s="11"/>
      <c r="AB334" s="11"/>
      <c r="AC334" s="11"/>
      <c r="AD334" s="11"/>
    </row>
    <row r="335" spans="1:30" ht="16" x14ac:dyDescent="0.2">
      <c r="A335" s="11"/>
      <c r="B335" s="12"/>
      <c r="C335" s="12"/>
      <c r="D335" s="12"/>
      <c r="E335" s="12"/>
      <c r="F335" s="12"/>
      <c r="G335" s="12"/>
      <c r="H335" s="12"/>
      <c r="I335" s="12"/>
      <c r="J335" s="12"/>
      <c r="K335" s="12"/>
      <c r="L335" s="12"/>
      <c r="M335" s="11"/>
      <c r="N335" s="11"/>
      <c r="O335" s="11"/>
      <c r="P335" s="11"/>
      <c r="Q335" s="11"/>
      <c r="R335" s="11"/>
      <c r="S335" s="11"/>
      <c r="T335" s="11"/>
      <c r="U335" s="11"/>
      <c r="V335" s="11"/>
      <c r="W335" s="11"/>
      <c r="X335" s="11"/>
      <c r="Y335" s="11"/>
      <c r="Z335" s="11"/>
      <c r="AA335" s="11"/>
      <c r="AB335" s="11"/>
      <c r="AC335" s="11"/>
      <c r="AD335" s="11"/>
    </row>
    <row r="336" spans="1:30" ht="16" x14ac:dyDescent="0.2">
      <c r="A336" s="11"/>
      <c r="B336" s="12"/>
      <c r="C336" s="12"/>
      <c r="D336" s="12"/>
      <c r="E336" s="12"/>
      <c r="F336" s="12"/>
      <c r="G336" s="12"/>
      <c r="H336" s="12"/>
      <c r="I336" s="12"/>
      <c r="J336" s="12"/>
      <c r="K336" s="12"/>
      <c r="L336" s="12"/>
      <c r="M336" s="11"/>
      <c r="N336" s="11"/>
      <c r="O336" s="11"/>
      <c r="P336" s="11"/>
      <c r="Q336" s="11"/>
      <c r="R336" s="11"/>
      <c r="S336" s="11"/>
      <c r="T336" s="11"/>
      <c r="U336" s="11"/>
      <c r="V336" s="11"/>
      <c r="W336" s="11"/>
      <c r="X336" s="11"/>
      <c r="Y336" s="11"/>
      <c r="Z336" s="11"/>
      <c r="AA336" s="11"/>
      <c r="AB336" s="11"/>
      <c r="AC336" s="11"/>
      <c r="AD336" s="11"/>
    </row>
    <row r="337" spans="1:30" ht="16" x14ac:dyDescent="0.2">
      <c r="A337" s="11"/>
      <c r="B337" s="12"/>
      <c r="C337" s="12"/>
      <c r="D337" s="12"/>
      <c r="E337" s="12"/>
      <c r="F337" s="12"/>
      <c r="G337" s="12"/>
      <c r="H337" s="12"/>
      <c r="I337" s="12"/>
      <c r="J337" s="12"/>
      <c r="K337" s="12"/>
      <c r="L337" s="12"/>
      <c r="M337" s="11"/>
      <c r="N337" s="11"/>
      <c r="O337" s="11"/>
      <c r="P337" s="11"/>
      <c r="Q337" s="11"/>
      <c r="R337" s="11"/>
      <c r="S337" s="11"/>
      <c r="T337" s="11"/>
      <c r="U337" s="11"/>
      <c r="V337" s="11"/>
      <c r="W337" s="11"/>
      <c r="X337" s="11"/>
      <c r="Y337" s="11"/>
      <c r="Z337" s="11"/>
      <c r="AA337" s="11"/>
      <c r="AB337" s="11"/>
      <c r="AC337" s="11"/>
      <c r="AD337" s="11"/>
    </row>
    <row r="338" spans="1:30" ht="16" x14ac:dyDescent="0.2">
      <c r="A338" s="11"/>
      <c r="B338" s="12"/>
      <c r="C338" s="12"/>
      <c r="D338" s="12"/>
      <c r="E338" s="12"/>
      <c r="F338" s="12"/>
      <c r="G338" s="12"/>
      <c r="H338" s="12"/>
      <c r="I338" s="12"/>
      <c r="J338" s="12"/>
      <c r="K338" s="12"/>
      <c r="L338" s="12"/>
      <c r="M338" s="11"/>
      <c r="N338" s="11"/>
      <c r="O338" s="11"/>
      <c r="P338" s="11"/>
      <c r="Q338" s="11"/>
      <c r="R338" s="11"/>
      <c r="S338" s="11"/>
      <c r="T338" s="11"/>
      <c r="U338" s="11"/>
      <c r="V338" s="11"/>
      <c r="W338" s="11"/>
      <c r="X338" s="11"/>
      <c r="Y338" s="11"/>
      <c r="Z338" s="11"/>
      <c r="AA338" s="11"/>
      <c r="AB338" s="11"/>
      <c r="AC338" s="11"/>
      <c r="AD338" s="11"/>
    </row>
    <row r="339" spans="1:30" ht="16" x14ac:dyDescent="0.2">
      <c r="A339" s="11"/>
      <c r="B339" s="12"/>
      <c r="C339" s="12"/>
      <c r="D339" s="12"/>
      <c r="E339" s="12"/>
      <c r="F339" s="12"/>
      <c r="G339" s="12"/>
      <c r="H339" s="12"/>
      <c r="I339" s="12"/>
      <c r="J339" s="12"/>
      <c r="K339" s="12"/>
      <c r="L339" s="12"/>
      <c r="M339" s="11"/>
      <c r="N339" s="11"/>
      <c r="O339" s="11"/>
      <c r="P339" s="11"/>
      <c r="Q339" s="11"/>
      <c r="R339" s="11"/>
      <c r="S339" s="11"/>
      <c r="T339" s="11"/>
      <c r="U339" s="11"/>
      <c r="V339" s="11"/>
      <c r="W339" s="11"/>
      <c r="X339" s="11"/>
      <c r="Y339" s="11"/>
      <c r="Z339" s="11"/>
      <c r="AA339" s="11"/>
      <c r="AB339" s="11"/>
      <c r="AC339" s="11"/>
      <c r="AD339" s="11"/>
    </row>
    <row r="340" spans="1:30" ht="16" x14ac:dyDescent="0.2">
      <c r="A340" s="11"/>
      <c r="B340" s="12"/>
      <c r="C340" s="12"/>
      <c r="D340" s="12"/>
      <c r="E340" s="12"/>
      <c r="F340" s="12"/>
      <c r="G340" s="12"/>
      <c r="H340" s="12"/>
      <c r="I340" s="12"/>
      <c r="J340" s="12"/>
      <c r="K340" s="12"/>
      <c r="L340" s="12"/>
      <c r="M340" s="11"/>
      <c r="N340" s="11"/>
      <c r="O340" s="11"/>
      <c r="P340" s="11"/>
      <c r="Q340" s="11"/>
      <c r="R340" s="11"/>
      <c r="S340" s="11"/>
      <c r="T340" s="11"/>
      <c r="U340" s="11"/>
      <c r="V340" s="11"/>
      <c r="W340" s="11"/>
      <c r="X340" s="11"/>
      <c r="Y340" s="11"/>
      <c r="Z340" s="11"/>
      <c r="AA340" s="11"/>
      <c r="AB340" s="11"/>
      <c r="AC340" s="11"/>
      <c r="AD340" s="11"/>
    </row>
    <row r="341" spans="1:30" ht="16" x14ac:dyDescent="0.2">
      <c r="A341" s="11"/>
      <c r="B341" s="12"/>
      <c r="C341" s="12"/>
      <c r="D341" s="12"/>
      <c r="E341" s="12"/>
      <c r="F341" s="12"/>
      <c r="G341" s="12"/>
      <c r="H341" s="12"/>
      <c r="I341" s="12"/>
      <c r="J341" s="12"/>
      <c r="K341" s="12"/>
      <c r="L341" s="12"/>
      <c r="M341" s="11"/>
      <c r="N341" s="11"/>
      <c r="O341" s="11"/>
      <c r="P341" s="11"/>
      <c r="Q341" s="11"/>
      <c r="R341" s="11"/>
      <c r="S341" s="11"/>
      <c r="T341" s="11"/>
      <c r="U341" s="11"/>
      <c r="V341" s="11"/>
      <c r="W341" s="11"/>
      <c r="X341" s="11"/>
      <c r="Y341" s="11"/>
      <c r="Z341" s="11"/>
      <c r="AA341" s="11"/>
      <c r="AB341" s="11"/>
      <c r="AC341" s="11"/>
      <c r="AD341" s="11"/>
    </row>
    <row r="342" spans="1:30" ht="16" x14ac:dyDescent="0.2">
      <c r="A342" s="11"/>
      <c r="B342" s="12"/>
      <c r="C342" s="12"/>
      <c r="D342" s="12"/>
      <c r="E342" s="12"/>
      <c r="F342" s="12"/>
      <c r="G342" s="12"/>
      <c r="H342" s="12"/>
      <c r="I342" s="12"/>
      <c r="J342" s="12"/>
      <c r="K342" s="12"/>
      <c r="L342" s="12"/>
      <c r="M342" s="11"/>
      <c r="N342" s="11"/>
      <c r="O342" s="11"/>
      <c r="P342" s="11"/>
      <c r="Q342" s="11"/>
      <c r="R342" s="11"/>
      <c r="S342" s="11"/>
      <c r="T342" s="11"/>
      <c r="U342" s="11"/>
      <c r="V342" s="11"/>
      <c r="W342" s="11"/>
      <c r="X342" s="11"/>
      <c r="Y342" s="11"/>
      <c r="Z342" s="11"/>
      <c r="AA342" s="11"/>
      <c r="AB342" s="11"/>
      <c r="AC342" s="11"/>
      <c r="AD342" s="11"/>
    </row>
    <row r="343" spans="1:30" ht="16" x14ac:dyDescent="0.2">
      <c r="A343" s="11"/>
      <c r="B343" s="12"/>
      <c r="C343" s="12"/>
      <c r="D343" s="12"/>
      <c r="E343" s="12"/>
      <c r="F343" s="12"/>
      <c r="G343" s="12"/>
      <c r="H343" s="12"/>
      <c r="I343" s="12"/>
      <c r="J343" s="12"/>
      <c r="K343" s="12"/>
      <c r="L343" s="12"/>
      <c r="M343" s="11"/>
      <c r="N343" s="11"/>
      <c r="O343" s="11"/>
      <c r="P343" s="11"/>
      <c r="Q343" s="11"/>
      <c r="R343" s="11"/>
      <c r="S343" s="11"/>
      <c r="T343" s="11"/>
      <c r="U343" s="11"/>
      <c r="V343" s="11"/>
      <c r="W343" s="11"/>
      <c r="X343" s="11"/>
      <c r="Y343" s="11"/>
      <c r="Z343" s="11"/>
      <c r="AA343" s="11"/>
      <c r="AB343" s="11"/>
      <c r="AC343" s="11"/>
      <c r="AD343" s="11"/>
    </row>
    <row r="344" spans="1:30" ht="16" x14ac:dyDescent="0.2">
      <c r="A344" s="11"/>
      <c r="B344" s="12"/>
      <c r="C344" s="12"/>
      <c r="D344" s="12"/>
      <c r="E344" s="12"/>
      <c r="F344" s="12"/>
      <c r="G344" s="12"/>
      <c r="H344" s="12"/>
      <c r="I344" s="12"/>
      <c r="J344" s="12"/>
      <c r="K344" s="12"/>
      <c r="L344" s="12"/>
      <c r="M344" s="11"/>
      <c r="N344" s="11"/>
      <c r="O344" s="11"/>
      <c r="P344" s="11"/>
      <c r="Q344" s="11"/>
      <c r="R344" s="11"/>
      <c r="S344" s="11"/>
      <c r="T344" s="11"/>
      <c r="U344" s="11"/>
      <c r="V344" s="11"/>
      <c r="W344" s="11"/>
      <c r="X344" s="11"/>
      <c r="Y344" s="11"/>
      <c r="Z344" s="11"/>
      <c r="AA344" s="11"/>
      <c r="AB344" s="11"/>
      <c r="AC344" s="11"/>
      <c r="AD344" s="11"/>
    </row>
    <row r="345" spans="1:30" ht="16" x14ac:dyDescent="0.2">
      <c r="A345" s="11"/>
      <c r="B345" s="12"/>
      <c r="C345" s="12"/>
      <c r="D345" s="12"/>
      <c r="E345" s="12"/>
      <c r="F345" s="12"/>
      <c r="G345" s="12"/>
      <c r="H345" s="12"/>
      <c r="I345" s="12"/>
      <c r="J345" s="12"/>
      <c r="K345" s="12"/>
      <c r="L345" s="12"/>
      <c r="M345" s="11"/>
      <c r="N345" s="11"/>
      <c r="O345" s="11"/>
      <c r="P345" s="11"/>
      <c r="Q345" s="11"/>
      <c r="R345" s="11"/>
      <c r="S345" s="11"/>
      <c r="T345" s="11"/>
      <c r="U345" s="11"/>
      <c r="V345" s="11"/>
      <c r="W345" s="11"/>
      <c r="X345" s="11"/>
      <c r="Y345" s="11"/>
      <c r="Z345" s="11"/>
      <c r="AA345" s="11"/>
      <c r="AB345" s="11"/>
      <c r="AC345" s="11"/>
      <c r="AD345" s="11"/>
    </row>
    <row r="346" spans="1:30" ht="16" x14ac:dyDescent="0.2">
      <c r="A346" s="11"/>
      <c r="B346" s="12"/>
      <c r="C346" s="12"/>
      <c r="D346" s="12"/>
      <c r="E346" s="12"/>
      <c r="F346" s="12"/>
      <c r="G346" s="12"/>
      <c r="H346" s="12"/>
      <c r="I346" s="12"/>
      <c r="J346" s="12"/>
      <c r="K346" s="12"/>
      <c r="L346" s="12"/>
      <c r="M346" s="11"/>
      <c r="N346" s="11"/>
      <c r="O346" s="11"/>
      <c r="P346" s="11"/>
      <c r="Q346" s="11"/>
      <c r="R346" s="11"/>
      <c r="S346" s="11"/>
      <c r="T346" s="11"/>
      <c r="U346" s="11"/>
      <c r="V346" s="11"/>
      <c r="W346" s="11"/>
      <c r="X346" s="11"/>
      <c r="Y346" s="11"/>
      <c r="Z346" s="11"/>
      <c r="AA346" s="11"/>
      <c r="AB346" s="11"/>
      <c r="AC346" s="11"/>
      <c r="AD346" s="11"/>
    </row>
    <row r="347" spans="1:30" ht="16" x14ac:dyDescent="0.2">
      <c r="A347" s="11"/>
      <c r="B347" s="12"/>
      <c r="C347" s="12"/>
      <c r="D347" s="12"/>
      <c r="E347" s="12"/>
      <c r="F347" s="12"/>
      <c r="G347" s="12"/>
      <c r="H347" s="12"/>
      <c r="I347" s="12"/>
      <c r="J347" s="12"/>
      <c r="K347" s="12"/>
      <c r="L347" s="12"/>
      <c r="M347" s="11"/>
      <c r="N347" s="11"/>
      <c r="O347" s="11"/>
      <c r="P347" s="11"/>
      <c r="Q347" s="11"/>
      <c r="R347" s="11"/>
      <c r="S347" s="11"/>
      <c r="T347" s="11"/>
      <c r="U347" s="11"/>
      <c r="V347" s="11"/>
      <c r="W347" s="11"/>
      <c r="X347" s="11"/>
      <c r="Y347" s="11"/>
      <c r="Z347" s="11"/>
      <c r="AA347" s="11"/>
      <c r="AB347" s="11"/>
      <c r="AC347" s="11"/>
      <c r="AD347" s="11"/>
    </row>
    <row r="348" spans="1:30" ht="16" x14ac:dyDescent="0.2">
      <c r="A348" s="11"/>
      <c r="B348" s="12"/>
      <c r="C348" s="12"/>
      <c r="D348" s="12"/>
      <c r="E348" s="12"/>
      <c r="F348" s="12"/>
      <c r="G348" s="12"/>
      <c r="H348" s="12"/>
      <c r="I348" s="12"/>
      <c r="J348" s="12"/>
      <c r="K348" s="12"/>
      <c r="L348" s="12"/>
      <c r="M348" s="11"/>
      <c r="N348" s="11"/>
      <c r="O348" s="11"/>
      <c r="P348" s="11"/>
      <c r="Q348" s="11"/>
      <c r="R348" s="11"/>
      <c r="S348" s="11"/>
      <c r="T348" s="11"/>
      <c r="U348" s="11"/>
      <c r="V348" s="11"/>
      <c r="W348" s="11"/>
      <c r="X348" s="11"/>
      <c r="Y348" s="11"/>
      <c r="Z348" s="11"/>
      <c r="AA348" s="11"/>
      <c r="AB348" s="11"/>
      <c r="AC348" s="11"/>
      <c r="AD348" s="11"/>
    </row>
    <row r="349" spans="1:30" ht="16" x14ac:dyDescent="0.2">
      <c r="A349" s="11"/>
      <c r="B349" s="12"/>
      <c r="C349" s="12"/>
      <c r="D349" s="12"/>
      <c r="E349" s="12"/>
      <c r="F349" s="12"/>
      <c r="G349" s="12"/>
      <c r="H349" s="12"/>
      <c r="I349" s="12"/>
      <c r="J349" s="12"/>
      <c r="K349" s="12"/>
      <c r="L349" s="12"/>
      <c r="M349" s="11"/>
      <c r="N349" s="11"/>
      <c r="O349" s="11"/>
      <c r="P349" s="11"/>
      <c r="Q349" s="11"/>
      <c r="R349" s="11"/>
      <c r="S349" s="11"/>
      <c r="T349" s="11"/>
      <c r="U349" s="11"/>
      <c r="V349" s="11"/>
      <c r="W349" s="11"/>
      <c r="X349" s="11"/>
      <c r="Y349" s="11"/>
      <c r="Z349" s="11"/>
      <c r="AA349" s="11"/>
      <c r="AB349" s="11"/>
      <c r="AC349" s="11"/>
      <c r="AD349" s="11"/>
    </row>
    <row r="350" spans="1:30" ht="16" x14ac:dyDescent="0.2">
      <c r="A350" s="11"/>
      <c r="B350" s="12"/>
      <c r="C350" s="12"/>
      <c r="D350" s="12"/>
      <c r="E350" s="12"/>
      <c r="F350" s="12"/>
      <c r="G350" s="12"/>
      <c r="H350" s="12"/>
      <c r="I350" s="12"/>
      <c r="J350" s="12"/>
      <c r="K350" s="12"/>
      <c r="L350" s="12"/>
      <c r="M350" s="11"/>
      <c r="N350" s="11"/>
      <c r="O350" s="11"/>
      <c r="P350" s="11"/>
      <c r="Q350" s="11"/>
      <c r="R350" s="11"/>
      <c r="S350" s="11"/>
      <c r="T350" s="11"/>
      <c r="U350" s="11"/>
      <c r="V350" s="11"/>
      <c r="W350" s="11"/>
      <c r="X350" s="11"/>
      <c r="Y350" s="11"/>
      <c r="Z350" s="11"/>
      <c r="AA350" s="11"/>
      <c r="AB350" s="11"/>
      <c r="AC350" s="11"/>
      <c r="AD350" s="11"/>
    </row>
    <row r="351" spans="1:30" ht="16" x14ac:dyDescent="0.2">
      <c r="A351" s="11"/>
      <c r="B351" s="12"/>
      <c r="C351" s="12"/>
      <c r="D351" s="12"/>
      <c r="E351" s="12"/>
      <c r="F351" s="12"/>
      <c r="G351" s="12"/>
      <c r="H351" s="12"/>
      <c r="I351" s="12"/>
      <c r="J351" s="12"/>
      <c r="K351" s="12"/>
      <c r="L351" s="12"/>
      <c r="M351" s="11"/>
      <c r="N351" s="11"/>
      <c r="O351" s="11"/>
      <c r="P351" s="11"/>
      <c r="Q351" s="11"/>
      <c r="R351" s="11"/>
      <c r="S351" s="11"/>
      <c r="T351" s="11"/>
      <c r="U351" s="11"/>
      <c r="V351" s="11"/>
      <c r="W351" s="11"/>
      <c r="X351" s="11"/>
      <c r="Y351" s="11"/>
      <c r="Z351" s="11"/>
      <c r="AA351" s="11"/>
      <c r="AB351" s="11"/>
      <c r="AC351" s="11"/>
      <c r="AD351" s="11"/>
    </row>
    <row r="352" spans="1:30" ht="16" x14ac:dyDescent="0.2">
      <c r="A352" s="11"/>
      <c r="B352" s="12"/>
      <c r="C352" s="12"/>
      <c r="D352" s="12"/>
      <c r="E352" s="12"/>
      <c r="F352" s="12"/>
      <c r="G352" s="12"/>
      <c r="H352" s="12"/>
      <c r="I352" s="12"/>
      <c r="J352" s="12"/>
      <c r="K352" s="12"/>
      <c r="L352" s="12"/>
      <c r="M352" s="11"/>
      <c r="N352" s="11"/>
      <c r="O352" s="11"/>
      <c r="P352" s="11"/>
      <c r="Q352" s="11"/>
      <c r="R352" s="11"/>
      <c r="S352" s="11"/>
      <c r="T352" s="11"/>
      <c r="U352" s="11"/>
      <c r="V352" s="11"/>
      <c r="W352" s="11"/>
      <c r="X352" s="11"/>
      <c r="Y352" s="11"/>
      <c r="Z352" s="11"/>
      <c r="AA352" s="11"/>
      <c r="AB352" s="11"/>
      <c r="AC352" s="11"/>
      <c r="AD352" s="11"/>
    </row>
    <row r="353" spans="1:30" ht="16" x14ac:dyDescent="0.2">
      <c r="A353" s="11"/>
      <c r="B353" s="12"/>
      <c r="C353" s="12"/>
      <c r="D353" s="12"/>
      <c r="E353" s="12"/>
      <c r="F353" s="12"/>
      <c r="G353" s="12"/>
      <c r="H353" s="12"/>
      <c r="I353" s="12"/>
      <c r="J353" s="12"/>
      <c r="K353" s="12"/>
      <c r="L353" s="12"/>
      <c r="M353" s="11"/>
      <c r="N353" s="11"/>
      <c r="O353" s="11"/>
      <c r="P353" s="11"/>
      <c r="Q353" s="11"/>
      <c r="R353" s="11"/>
      <c r="S353" s="11"/>
      <c r="T353" s="11"/>
      <c r="U353" s="11"/>
      <c r="V353" s="11"/>
      <c r="W353" s="11"/>
      <c r="X353" s="11"/>
      <c r="Y353" s="11"/>
      <c r="Z353" s="11"/>
      <c r="AA353" s="11"/>
      <c r="AB353" s="11"/>
      <c r="AC353" s="11"/>
      <c r="AD353" s="11"/>
    </row>
    <row r="354" spans="1:30" ht="16" x14ac:dyDescent="0.2">
      <c r="A354" s="11"/>
      <c r="B354" s="12"/>
      <c r="C354" s="12"/>
      <c r="D354" s="12"/>
      <c r="E354" s="12"/>
      <c r="F354" s="12"/>
      <c r="G354" s="12"/>
      <c r="H354" s="12"/>
      <c r="I354" s="12"/>
      <c r="J354" s="12"/>
      <c r="K354" s="12"/>
      <c r="L354" s="12"/>
      <c r="M354" s="11"/>
      <c r="N354" s="11"/>
      <c r="O354" s="11"/>
      <c r="P354" s="11"/>
      <c r="Q354" s="11"/>
      <c r="R354" s="11"/>
      <c r="S354" s="11"/>
      <c r="T354" s="11"/>
      <c r="U354" s="11"/>
      <c r="V354" s="11"/>
      <c r="W354" s="11"/>
      <c r="X354" s="11"/>
      <c r="Y354" s="11"/>
      <c r="Z354" s="11"/>
      <c r="AA354" s="11"/>
      <c r="AB354" s="11"/>
      <c r="AC354" s="11"/>
      <c r="AD354" s="11"/>
    </row>
    <row r="355" spans="1:30" ht="16" x14ac:dyDescent="0.2">
      <c r="A355" s="11"/>
      <c r="B355" s="12"/>
      <c r="C355" s="12"/>
      <c r="D355" s="12"/>
      <c r="E355" s="12"/>
      <c r="F355" s="12"/>
      <c r="G355" s="12"/>
      <c r="H355" s="12"/>
      <c r="I355" s="12"/>
      <c r="J355" s="12"/>
      <c r="K355" s="12"/>
      <c r="L355" s="12"/>
      <c r="M355" s="11"/>
      <c r="N355" s="11"/>
      <c r="O355" s="11"/>
      <c r="P355" s="11"/>
      <c r="Q355" s="11"/>
      <c r="R355" s="11"/>
      <c r="S355" s="11"/>
      <c r="T355" s="11"/>
      <c r="U355" s="11"/>
      <c r="V355" s="11"/>
      <c r="W355" s="11"/>
      <c r="X355" s="11"/>
      <c r="Y355" s="11"/>
      <c r="Z355" s="11"/>
      <c r="AA355" s="11"/>
      <c r="AB355" s="11"/>
      <c r="AC355" s="11"/>
      <c r="AD355" s="11"/>
    </row>
    <row r="356" spans="1:30" ht="16" x14ac:dyDescent="0.2">
      <c r="A356" s="11"/>
      <c r="B356" s="12"/>
      <c r="C356" s="12"/>
      <c r="D356" s="12"/>
      <c r="E356" s="12"/>
      <c r="F356" s="12"/>
      <c r="G356" s="12"/>
      <c r="H356" s="12"/>
      <c r="I356" s="12"/>
      <c r="J356" s="12"/>
      <c r="K356" s="12"/>
      <c r="L356" s="12"/>
      <c r="M356" s="11"/>
      <c r="N356" s="11"/>
      <c r="O356" s="11"/>
      <c r="P356" s="11"/>
      <c r="Q356" s="11"/>
      <c r="R356" s="11"/>
      <c r="S356" s="11"/>
      <c r="T356" s="11"/>
      <c r="U356" s="11"/>
      <c r="V356" s="11"/>
      <c r="W356" s="11"/>
      <c r="X356" s="11"/>
      <c r="Y356" s="11"/>
      <c r="Z356" s="11"/>
      <c r="AA356" s="11"/>
      <c r="AB356" s="11"/>
      <c r="AC356" s="11"/>
      <c r="AD356" s="11"/>
    </row>
    <row r="357" spans="1:30" ht="16" x14ac:dyDescent="0.2">
      <c r="A357" s="11"/>
      <c r="B357" s="12"/>
      <c r="C357" s="12"/>
      <c r="D357" s="12"/>
      <c r="E357" s="12"/>
      <c r="F357" s="12"/>
      <c r="G357" s="12"/>
      <c r="H357" s="12"/>
      <c r="I357" s="12"/>
      <c r="J357" s="12"/>
      <c r="K357" s="12"/>
      <c r="L357" s="12"/>
      <c r="M357" s="11"/>
      <c r="N357" s="11"/>
      <c r="O357" s="11"/>
      <c r="P357" s="11"/>
      <c r="Q357" s="11"/>
      <c r="R357" s="11"/>
      <c r="S357" s="11"/>
      <c r="T357" s="11"/>
      <c r="U357" s="11"/>
      <c r="V357" s="11"/>
      <c r="W357" s="11"/>
      <c r="X357" s="11"/>
      <c r="Y357" s="11"/>
      <c r="Z357" s="11"/>
      <c r="AA357" s="11"/>
      <c r="AB357" s="11"/>
      <c r="AC357" s="11"/>
      <c r="AD357" s="11"/>
    </row>
    <row r="358" spans="1:30" ht="16" x14ac:dyDescent="0.2">
      <c r="A358" s="11"/>
      <c r="B358" s="12"/>
      <c r="C358" s="12"/>
      <c r="D358" s="12"/>
      <c r="E358" s="12"/>
      <c r="F358" s="12"/>
      <c r="G358" s="12"/>
      <c r="H358" s="12"/>
      <c r="I358" s="12"/>
      <c r="J358" s="12"/>
      <c r="K358" s="12"/>
      <c r="L358" s="12"/>
      <c r="M358" s="11"/>
      <c r="N358" s="11"/>
      <c r="O358" s="11"/>
      <c r="P358" s="11"/>
      <c r="Q358" s="11"/>
      <c r="R358" s="11"/>
      <c r="S358" s="11"/>
      <c r="T358" s="11"/>
      <c r="U358" s="11"/>
      <c r="V358" s="11"/>
      <c r="W358" s="11"/>
      <c r="X358" s="11"/>
      <c r="Y358" s="11"/>
      <c r="Z358" s="11"/>
      <c r="AA358" s="11"/>
      <c r="AB358" s="11"/>
      <c r="AC358" s="11"/>
      <c r="AD358" s="11"/>
    </row>
    <row r="359" spans="1:30" ht="16" x14ac:dyDescent="0.2">
      <c r="A359" s="11"/>
      <c r="B359" s="12"/>
      <c r="C359" s="12"/>
      <c r="D359" s="12"/>
      <c r="E359" s="12"/>
      <c r="F359" s="12"/>
      <c r="G359" s="12"/>
      <c r="H359" s="12"/>
      <c r="I359" s="12"/>
      <c r="J359" s="12"/>
      <c r="K359" s="12"/>
      <c r="L359" s="12"/>
      <c r="M359" s="11"/>
      <c r="N359" s="11"/>
      <c r="O359" s="11"/>
      <c r="P359" s="11"/>
      <c r="Q359" s="11"/>
      <c r="R359" s="11"/>
      <c r="S359" s="11"/>
      <c r="T359" s="11"/>
      <c r="U359" s="11"/>
      <c r="V359" s="11"/>
      <c r="W359" s="11"/>
      <c r="X359" s="11"/>
      <c r="Y359" s="11"/>
      <c r="Z359" s="11"/>
      <c r="AA359" s="11"/>
      <c r="AB359" s="11"/>
      <c r="AC359" s="11"/>
      <c r="AD359" s="11"/>
    </row>
    <row r="360" spans="1:30" ht="16" x14ac:dyDescent="0.2">
      <c r="A360" s="11"/>
      <c r="B360" s="12"/>
      <c r="C360" s="12"/>
      <c r="D360" s="12"/>
      <c r="E360" s="12"/>
      <c r="F360" s="12"/>
      <c r="G360" s="12"/>
      <c r="H360" s="12"/>
      <c r="I360" s="12"/>
      <c r="J360" s="12"/>
      <c r="K360" s="12"/>
      <c r="L360" s="12"/>
      <c r="M360" s="11"/>
      <c r="N360" s="11"/>
      <c r="O360" s="11"/>
      <c r="P360" s="11"/>
      <c r="Q360" s="11"/>
      <c r="R360" s="11"/>
      <c r="S360" s="11"/>
      <c r="T360" s="11"/>
      <c r="U360" s="11"/>
      <c r="V360" s="11"/>
      <c r="W360" s="11"/>
      <c r="X360" s="11"/>
      <c r="Y360" s="11"/>
      <c r="Z360" s="11"/>
      <c r="AA360" s="11"/>
      <c r="AB360" s="11"/>
      <c r="AC360" s="11"/>
      <c r="AD360" s="11"/>
    </row>
    <row r="361" spans="1:30" ht="16" x14ac:dyDescent="0.2">
      <c r="A361" s="11"/>
      <c r="B361" s="12"/>
      <c r="C361" s="12"/>
      <c r="D361" s="12"/>
      <c r="E361" s="12"/>
      <c r="F361" s="12"/>
      <c r="G361" s="12"/>
      <c r="H361" s="12"/>
      <c r="I361" s="12"/>
      <c r="J361" s="12"/>
      <c r="K361" s="12"/>
      <c r="L361" s="12"/>
      <c r="M361" s="11"/>
      <c r="N361" s="11"/>
      <c r="O361" s="11"/>
      <c r="P361" s="11"/>
      <c r="Q361" s="11"/>
      <c r="R361" s="11"/>
      <c r="S361" s="11"/>
      <c r="T361" s="11"/>
      <c r="U361" s="11"/>
      <c r="V361" s="11"/>
      <c r="W361" s="11"/>
      <c r="X361" s="11"/>
      <c r="Y361" s="11"/>
      <c r="Z361" s="11"/>
      <c r="AA361" s="11"/>
      <c r="AB361" s="11"/>
      <c r="AC361" s="11"/>
      <c r="AD361" s="11"/>
    </row>
    <row r="362" spans="1:30" ht="16" x14ac:dyDescent="0.2">
      <c r="A362" s="11"/>
      <c r="B362" s="12"/>
      <c r="C362" s="12"/>
      <c r="D362" s="12"/>
      <c r="E362" s="12"/>
      <c r="F362" s="12"/>
      <c r="G362" s="12"/>
      <c r="H362" s="12"/>
      <c r="I362" s="12"/>
      <c r="J362" s="12"/>
      <c r="K362" s="12"/>
      <c r="L362" s="12"/>
      <c r="M362" s="11"/>
      <c r="N362" s="11"/>
      <c r="O362" s="11"/>
      <c r="P362" s="11"/>
      <c r="Q362" s="11"/>
      <c r="R362" s="11"/>
      <c r="S362" s="11"/>
      <c r="T362" s="11"/>
      <c r="U362" s="11"/>
      <c r="V362" s="11"/>
      <c r="W362" s="11"/>
      <c r="X362" s="11"/>
      <c r="Y362" s="11"/>
      <c r="Z362" s="11"/>
      <c r="AA362" s="11"/>
      <c r="AB362" s="11"/>
      <c r="AC362" s="11"/>
      <c r="AD362" s="11"/>
    </row>
    <row r="363" spans="1:30" ht="16" x14ac:dyDescent="0.2">
      <c r="A363" s="11"/>
      <c r="B363" s="12"/>
      <c r="C363" s="12"/>
      <c r="D363" s="12"/>
      <c r="E363" s="12"/>
      <c r="F363" s="12"/>
      <c r="G363" s="12"/>
      <c r="H363" s="12"/>
      <c r="I363" s="12"/>
      <c r="J363" s="12"/>
      <c r="K363" s="12"/>
      <c r="L363" s="12"/>
      <c r="M363" s="11"/>
      <c r="N363" s="11"/>
      <c r="O363" s="11"/>
      <c r="P363" s="11"/>
      <c r="Q363" s="11"/>
      <c r="R363" s="11"/>
      <c r="S363" s="11"/>
      <c r="T363" s="11"/>
      <c r="U363" s="11"/>
      <c r="V363" s="11"/>
      <c r="W363" s="11"/>
      <c r="X363" s="11"/>
      <c r="Y363" s="11"/>
      <c r="Z363" s="11"/>
      <c r="AA363" s="11"/>
      <c r="AB363" s="11"/>
      <c r="AC363" s="11"/>
      <c r="AD363" s="11"/>
    </row>
    <row r="364" spans="1:30" ht="16" x14ac:dyDescent="0.2">
      <c r="A364" s="11"/>
      <c r="B364" s="12"/>
      <c r="C364" s="12"/>
      <c r="D364" s="12"/>
      <c r="E364" s="12"/>
      <c r="F364" s="12"/>
      <c r="G364" s="12"/>
      <c r="H364" s="12"/>
      <c r="I364" s="12"/>
      <c r="J364" s="12"/>
      <c r="K364" s="12"/>
      <c r="L364" s="12"/>
      <c r="M364" s="11"/>
      <c r="N364" s="11"/>
      <c r="O364" s="11"/>
      <c r="P364" s="11"/>
      <c r="Q364" s="11"/>
      <c r="R364" s="11"/>
      <c r="S364" s="11"/>
      <c r="T364" s="11"/>
      <c r="U364" s="11"/>
      <c r="V364" s="11"/>
      <c r="W364" s="11"/>
      <c r="X364" s="11"/>
      <c r="Y364" s="11"/>
      <c r="Z364" s="11"/>
      <c r="AA364" s="11"/>
      <c r="AB364" s="11"/>
      <c r="AC364" s="11"/>
      <c r="AD364" s="11"/>
    </row>
    <row r="365" spans="1:30" ht="16" x14ac:dyDescent="0.2">
      <c r="A365" s="11"/>
      <c r="B365" s="12"/>
      <c r="C365" s="12"/>
      <c r="D365" s="12"/>
      <c r="E365" s="12"/>
      <c r="F365" s="12"/>
      <c r="G365" s="12"/>
      <c r="H365" s="12"/>
      <c r="I365" s="12"/>
      <c r="J365" s="12"/>
      <c r="K365" s="12"/>
      <c r="L365" s="12"/>
      <c r="M365" s="11"/>
      <c r="N365" s="11"/>
      <c r="O365" s="11"/>
      <c r="P365" s="11"/>
      <c r="Q365" s="11"/>
      <c r="R365" s="11"/>
      <c r="S365" s="11"/>
      <c r="T365" s="11"/>
      <c r="U365" s="11"/>
      <c r="V365" s="11"/>
      <c r="W365" s="11"/>
      <c r="X365" s="11"/>
      <c r="Y365" s="11"/>
      <c r="Z365" s="11"/>
      <c r="AA365" s="11"/>
      <c r="AB365" s="11"/>
      <c r="AC365" s="11"/>
      <c r="AD365" s="11"/>
    </row>
    <row r="366" spans="1:30" ht="16" x14ac:dyDescent="0.2">
      <c r="A366" s="11"/>
      <c r="B366" s="12"/>
      <c r="C366" s="12"/>
      <c r="D366" s="12"/>
      <c r="E366" s="12"/>
      <c r="F366" s="12"/>
      <c r="G366" s="12"/>
      <c r="H366" s="12"/>
      <c r="I366" s="12"/>
      <c r="J366" s="12"/>
      <c r="K366" s="12"/>
      <c r="L366" s="12"/>
      <c r="M366" s="11"/>
      <c r="N366" s="11"/>
      <c r="O366" s="11"/>
      <c r="P366" s="11"/>
      <c r="Q366" s="11"/>
      <c r="R366" s="11"/>
      <c r="S366" s="11"/>
      <c r="T366" s="11"/>
      <c r="U366" s="11"/>
      <c r="V366" s="11"/>
      <c r="W366" s="11"/>
      <c r="X366" s="11"/>
      <c r="Y366" s="11"/>
      <c r="Z366" s="11"/>
      <c r="AA366" s="11"/>
      <c r="AB366" s="11"/>
      <c r="AC366" s="11"/>
      <c r="AD366" s="11"/>
    </row>
    <row r="367" spans="1:30" ht="16" x14ac:dyDescent="0.2">
      <c r="A367" s="11"/>
      <c r="B367" s="12"/>
      <c r="C367" s="12"/>
      <c r="D367" s="12"/>
      <c r="E367" s="12"/>
      <c r="F367" s="12"/>
      <c r="G367" s="12"/>
      <c r="H367" s="12"/>
      <c r="I367" s="12"/>
      <c r="J367" s="12"/>
      <c r="K367" s="12"/>
      <c r="L367" s="12"/>
      <c r="M367" s="11"/>
      <c r="N367" s="11"/>
      <c r="O367" s="11"/>
      <c r="P367" s="11"/>
      <c r="Q367" s="11"/>
      <c r="R367" s="11"/>
      <c r="S367" s="11"/>
      <c r="T367" s="11"/>
      <c r="U367" s="11"/>
      <c r="V367" s="11"/>
      <c r="W367" s="11"/>
      <c r="X367" s="11"/>
      <c r="Y367" s="11"/>
      <c r="Z367" s="11"/>
      <c r="AA367" s="11"/>
      <c r="AB367" s="11"/>
      <c r="AC367" s="11"/>
      <c r="AD367" s="11"/>
    </row>
    <row r="368" spans="1:30" ht="16" x14ac:dyDescent="0.2">
      <c r="A368" s="11"/>
      <c r="B368" s="12"/>
      <c r="C368" s="12"/>
      <c r="D368" s="12"/>
      <c r="E368" s="12"/>
      <c r="F368" s="12"/>
      <c r="G368" s="12"/>
      <c r="H368" s="12"/>
      <c r="I368" s="12"/>
      <c r="J368" s="12"/>
      <c r="K368" s="12"/>
      <c r="L368" s="12"/>
      <c r="M368" s="11"/>
      <c r="N368" s="11"/>
      <c r="O368" s="11"/>
      <c r="P368" s="11"/>
      <c r="Q368" s="11"/>
      <c r="R368" s="11"/>
      <c r="S368" s="11"/>
      <c r="T368" s="11"/>
      <c r="U368" s="11"/>
      <c r="V368" s="11"/>
      <c r="W368" s="11"/>
      <c r="X368" s="11"/>
      <c r="Y368" s="11"/>
      <c r="Z368" s="11"/>
      <c r="AA368" s="11"/>
      <c r="AB368" s="11"/>
      <c r="AC368" s="11"/>
      <c r="AD368" s="11"/>
    </row>
    <row r="369" spans="1:30" ht="16" x14ac:dyDescent="0.2">
      <c r="A369" s="11"/>
      <c r="B369" s="12"/>
      <c r="C369" s="12"/>
      <c r="D369" s="12"/>
      <c r="E369" s="12"/>
      <c r="F369" s="12"/>
      <c r="G369" s="12"/>
      <c r="H369" s="12"/>
      <c r="I369" s="12"/>
      <c r="J369" s="12"/>
      <c r="K369" s="12"/>
      <c r="L369" s="12"/>
      <c r="M369" s="11"/>
      <c r="N369" s="11"/>
      <c r="O369" s="11"/>
      <c r="P369" s="11"/>
      <c r="Q369" s="11"/>
      <c r="R369" s="11"/>
      <c r="S369" s="11"/>
      <c r="T369" s="11"/>
      <c r="U369" s="11"/>
      <c r="V369" s="11"/>
      <c r="W369" s="11"/>
      <c r="X369" s="11"/>
      <c r="Y369" s="11"/>
      <c r="Z369" s="11"/>
      <c r="AA369" s="11"/>
      <c r="AB369" s="11"/>
      <c r="AC369" s="11"/>
      <c r="AD369" s="11"/>
    </row>
    <row r="370" spans="1:30" ht="16" x14ac:dyDescent="0.2">
      <c r="A370" s="11"/>
      <c r="B370" s="12"/>
      <c r="C370" s="12"/>
      <c r="D370" s="12"/>
      <c r="E370" s="12"/>
      <c r="F370" s="12"/>
      <c r="G370" s="12"/>
      <c r="H370" s="12"/>
      <c r="I370" s="12"/>
      <c r="J370" s="12"/>
      <c r="K370" s="12"/>
      <c r="L370" s="12"/>
      <c r="M370" s="11"/>
      <c r="N370" s="11"/>
      <c r="O370" s="11"/>
      <c r="P370" s="11"/>
      <c r="Q370" s="11"/>
      <c r="R370" s="11"/>
      <c r="S370" s="11"/>
      <c r="T370" s="11"/>
      <c r="U370" s="11"/>
      <c r="V370" s="11"/>
      <c r="W370" s="11"/>
      <c r="X370" s="11"/>
      <c r="Y370" s="11"/>
      <c r="Z370" s="11"/>
      <c r="AA370" s="11"/>
      <c r="AB370" s="11"/>
      <c r="AC370" s="11"/>
      <c r="AD370" s="11"/>
    </row>
    <row r="371" spans="1:30" ht="16" x14ac:dyDescent="0.2">
      <c r="A371" s="11"/>
      <c r="B371" s="12"/>
      <c r="C371" s="12"/>
      <c r="D371" s="12"/>
      <c r="E371" s="12"/>
      <c r="F371" s="12"/>
      <c r="G371" s="12"/>
      <c r="H371" s="12"/>
      <c r="I371" s="12"/>
      <c r="J371" s="12"/>
      <c r="K371" s="12"/>
      <c r="L371" s="12"/>
      <c r="M371" s="11"/>
      <c r="N371" s="11"/>
      <c r="O371" s="11"/>
      <c r="P371" s="11"/>
      <c r="Q371" s="11"/>
      <c r="R371" s="11"/>
      <c r="S371" s="11"/>
      <c r="T371" s="11"/>
      <c r="U371" s="11"/>
      <c r="V371" s="11"/>
      <c r="W371" s="11"/>
      <c r="X371" s="11"/>
      <c r="Y371" s="11"/>
      <c r="Z371" s="11"/>
      <c r="AA371" s="11"/>
      <c r="AB371" s="11"/>
      <c r="AC371" s="11"/>
      <c r="AD371" s="11"/>
    </row>
    <row r="372" spans="1:30" ht="16" x14ac:dyDescent="0.2">
      <c r="A372" s="11"/>
      <c r="B372" s="12"/>
      <c r="C372" s="12"/>
      <c r="D372" s="12"/>
      <c r="E372" s="12"/>
      <c r="F372" s="12"/>
      <c r="G372" s="12"/>
      <c r="H372" s="12"/>
      <c r="I372" s="12"/>
      <c r="J372" s="12"/>
      <c r="K372" s="12"/>
      <c r="L372" s="12"/>
      <c r="M372" s="11"/>
      <c r="N372" s="11"/>
      <c r="O372" s="11"/>
      <c r="P372" s="11"/>
      <c r="Q372" s="11"/>
      <c r="R372" s="11"/>
      <c r="S372" s="11"/>
      <c r="T372" s="11"/>
      <c r="U372" s="11"/>
      <c r="V372" s="11"/>
      <c r="W372" s="11"/>
      <c r="X372" s="11"/>
      <c r="Y372" s="11"/>
      <c r="Z372" s="11"/>
      <c r="AA372" s="11"/>
      <c r="AB372" s="11"/>
      <c r="AC372" s="11"/>
      <c r="AD372" s="11"/>
    </row>
    <row r="373" spans="1:30" ht="16" x14ac:dyDescent="0.2">
      <c r="A373" s="11"/>
      <c r="B373" s="12"/>
      <c r="C373" s="12"/>
      <c r="D373" s="12"/>
      <c r="E373" s="12"/>
      <c r="F373" s="12"/>
      <c r="G373" s="12"/>
      <c r="H373" s="12"/>
      <c r="I373" s="12"/>
      <c r="J373" s="12"/>
      <c r="K373" s="12"/>
      <c r="L373" s="12"/>
      <c r="M373" s="11"/>
      <c r="N373" s="11"/>
      <c r="O373" s="11"/>
      <c r="P373" s="11"/>
      <c r="Q373" s="11"/>
      <c r="R373" s="11"/>
      <c r="S373" s="11"/>
      <c r="T373" s="11"/>
      <c r="U373" s="11"/>
      <c r="V373" s="11"/>
      <c r="W373" s="11"/>
      <c r="X373" s="11"/>
      <c r="Y373" s="11"/>
      <c r="Z373" s="11"/>
      <c r="AA373" s="11"/>
      <c r="AB373" s="11"/>
      <c r="AC373" s="11"/>
      <c r="AD373" s="11"/>
    </row>
    <row r="374" spans="1:30" ht="16" x14ac:dyDescent="0.2">
      <c r="A374" s="11"/>
      <c r="B374" s="12"/>
      <c r="C374" s="12"/>
      <c r="D374" s="12"/>
      <c r="E374" s="12"/>
      <c r="F374" s="12"/>
      <c r="G374" s="12"/>
      <c r="H374" s="12"/>
      <c r="I374" s="12"/>
      <c r="J374" s="12"/>
      <c r="K374" s="12"/>
      <c r="L374" s="12"/>
      <c r="M374" s="11"/>
      <c r="N374" s="11"/>
      <c r="O374" s="11"/>
      <c r="P374" s="11"/>
      <c r="Q374" s="11"/>
      <c r="R374" s="11"/>
      <c r="S374" s="11"/>
      <c r="T374" s="11"/>
      <c r="U374" s="11"/>
      <c r="V374" s="11"/>
      <c r="W374" s="11"/>
      <c r="X374" s="11"/>
      <c r="Y374" s="11"/>
      <c r="Z374" s="11"/>
      <c r="AA374" s="11"/>
      <c r="AB374" s="11"/>
      <c r="AC374" s="11"/>
      <c r="AD374" s="11"/>
    </row>
    <row r="375" spans="1:30" ht="16" x14ac:dyDescent="0.2">
      <c r="A375" s="11"/>
      <c r="B375" s="12"/>
      <c r="C375" s="12"/>
      <c r="D375" s="12"/>
      <c r="E375" s="12"/>
      <c r="F375" s="12"/>
      <c r="G375" s="12"/>
      <c r="H375" s="12"/>
      <c r="I375" s="12"/>
      <c r="J375" s="12"/>
      <c r="K375" s="12"/>
      <c r="L375" s="12"/>
      <c r="M375" s="11"/>
      <c r="N375" s="11"/>
      <c r="O375" s="11"/>
      <c r="P375" s="11"/>
      <c r="Q375" s="11"/>
      <c r="R375" s="11"/>
      <c r="S375" s="11"/>
      <c r="T375" s="11"/>
      <c r="U375" s="11"/>
      <c r="V375" s="11"/>
      <c r="W375" s="11"/>
      <c r="X375" s="11"/>
      <c r="Y375" s="11"/>
      <c r="Z375" s="11"/>
      <c r="AA375" s="11"/>
      <c r="AB375" s="11"/>
      <c r="AC375" s="11"/>
      <c r="AD375" s="11"/>
    </row>
    <row r="376" spans="1:30" ht="16" x14ac:dyDescent="0.2">
      <c r="A376" s="11"/>
      <c r="B376" s="12"/>
      <c r="C376" s="12"/>
      <c r="D376" s="12"/>
      <c r="E376" s="12"/>
      <c r="F376" s="12"/>
      <c r="G376" s="12"/>
      <c r="H376" s="12"/>
      <c r="I376" s="12"/>
      <c r="J376" s="12"/>
      <c r="K376" s="12"/>
      <c r="L376" s="12"/>
      <c r="M376" s="11"/>
      <c r="N376" s="11"/>
      <c r="O376" s="11"/>
      <c r="P376" s="11"/>
      <c r="Q376" s="11"/>
      <c r="R376" s="11"/>
      <c r="S376" s="11"/>
      <c r="T376" s="11"/>
      <c r="U376" s="11"/>
      <c r="V376" s="11"/>
      <c r="W376" s="11"/>
      <c r="X376" s="11"/>
      <c r="Y376" s="11"/>
      <c r="Z376" s="11"/>
      <c r="AA376" s="11"/>
      <c r="AB376" s="11"/>
      <c r="AC376" s="11"/>
      <c r="AD376" s="11"/>
    </row>
    <row r="377" spans="1:30" ht="16" x14ac:dyDescent="0.2">
      <c r="A377" s="11"/>
      <c r="B377" s="12"/>
      <c r="C377" s="12"/>
      <c r="D377" s="12"/>
      <c r="E377" s="12"/>
      <c r="F377" s="12"/>
      <c r="G377" s="12"/>
      <c r="H377" s="12"/>
      <c r="I377" s="12"/>
      <c r="J377" s="12"/>
      <c r="K377" s="12"/>
      <c r="L377" s="12"/>
      <c r="M377" s="11"/>
      <c r="N377" s="11"/>
      <c r="O377" s="11"/>
      <c r="P377" s="11"/>
      <c r="Q377" s="11"/>
      <c r="R377" s="11"/>
      <c r="S377" s="11"/>
      <c r="T377" s="11"/>
      <c r="U377" s="11"/>
      <c r="V377" s="11"/>
      <c r="W377" s="11"/>
      <c r="X377" s="11"/>
      <c r="Y377" s="11"/>
      <c r="Z377" s="11"/>
      <c r="AA377" s="11"/>
      <c r="AB377" s="11"/>
      <c r="AC377" s="11"/>
      <c r="AD377" s="11"/>
    </row>
    <row r="378" spans="1:30" ht="16" x14ac:dyDescent="0.2">
      <c r="A378" s="11"/>
      <c r="B378" s="12"/>
      <c r="C378" s="12"/>
      <c r="D378" s="12"/>
      <c r="E378" s="12"/>
      <c r="F378" s="12"/>
      <c r="G378" s="12"/>
      <c r="H378" s="12"/>
      <c r="I378" s="12"/>
      <c r="J378" s="12"/>
      <c r="K378" s="12"/>
      <c r="L378" s="12"/>
      <c r="M378" s="11"/>
      <c r="N378" s="11"/>
      <c r="O378" s="11"/>
      <c r="P378" s="11"/>
      <c r="Q378" s="11"/>
      <c r="R378" s="11"/>
      <c r="S378" s="11"/>
      <c r="T378" s="11"/>
      <c r="U378" s="11"/>
      <c r="V378" s="11"/>
      <c r="W378" s="11"/>
      <c r="X378" s="11"/>
      <c r="Y378" s="11"/>
      <c r="Z378" s="11"/>
      <c r="AA378" s="11"/>
      <c r="AB378" s="11"/>
      <c r="AC378" s="11"/>
      <c r="AD378" s="11"/>
    </row>
    <row r="379" spans="1:30" ht="16" x14ac:dyDescent="0.2">
      <c r="A379" s="11"/>
      <c r="B379" s="12"/>
      <c r="C379" s="12"/>
      <c r="D379" s="12"/>
      <c r="E379" s="12"/>
      <c r="F379" s="12"/>
      <c r="G379" s="12"/>
      <c r="H379" s="12"/>
      <c r="I379" s="12"/>
      <c r="J379" s="12"/>
      <c r="K379" s="12"/>
      <c r="L379" s="12"/>
      <c r="M379" s="11"/>
      <c r="N379" s="11"/>
      <c r="O379" s="11"/>
      <c r="P379" s="11"/>
      <c r="Q379" s="11"/>
      <c r="R379" s="11"/>
      <c r="S379" s="11"/>
      <c r="T379" s="11"/>
      <c r="U379" s="11"/>
      <c r="V379" s="11"/>
      <c r="W379" s="11"/>
      <c r="X379" s="11"/>
      <c r="Y379" s="11"/>
      <c r="Z379" s="11"/>
      <c r="AA379" s="11"/>
      <c r="AB379" s="11"/>
      <c r="AC379" s="11"/>
      <c r="AD379" s="11"/>
    </row>
    <row r="380" spans="1:30" ht="16" x14ac:dyDescent="0.2">
      <c r="A380" s="11"/>
      <c r="B380" s="12"/>
      <c r="C380" s="12"/>
      <c r="D380" s="12"/>
      <c r="E380" s="12"/>
      <c r="F380" s="12"/>
      <c r="G380" s="12"/>
      <c r="H380" s="12"/>
      <c r="I380" s="12"/>
      <c r="J380" s="12"/>
      <c r="K380" s="12"/>
      <c r="L380" s="12"/>
      <c r="M380" s="11"/>
      <c r="N380" s="11"/>
      <c r="O380" s="11"/>
      <c r="P380" s="11"/>
      <c r="Q380" s="11"/>
      <c r="R380" s="11"/>
      <c r="S380" s="11"/>
      <c r="T380" s="11"/>
      <c r="U380" s="11"/>
      <c r="V380" s="11"/>
      <c r="W380" s="11"/>
      <c r="X380" s="11"/>
      <c r="Y380" s="11"/>
      <c r="Z380" s="11"/>
      <c r="AA380" s="11"/>
      <c r="AB380" s="11"/>
      <c r="AC380" s="11"/>
      <c r="AD380" s="11"/>
    </row>
    <row r="381" spans="1:30" ht="16" x14ac:dyDescent="0.2">
      <c r="A381" s="11"/>
      <c r="B381" s="12"/>
      <c r="C381" s="12"/>
      <c r="D381" s="12"/>
      <c r="E381" s="12"/>
      <c r="F381" s="12"/>
      <c r="G381" s="12"/>
      <c r="H381" s="12"/>
      <c r="I381" s="12"/>
      <c r="J381" s="12"/>
      <c r="K381" s="12"/>
      <c r="L381" s="12"/>
      <c r="M381" s="11"/>
      <c r="N381" s="11"/>
      <c r="O381" s="11"/>
      <c r="P381" s="11"/>
      <c r="Q381" s="11"/>
      <c r="R381" s="11"/>
      <c r="S381" s="11"/>
      <c r="T381" s="11"/>
      <c r="U381" s="11"/>
      <c r="V381" s="11"/>
      <c r="W381" s="11"/>
      <c r="X381" s="11"/>
      <c r="Y381" s="11"/>
      <c r="Z381" s="11"/>
      <c r="AA381" s="11"/>
      <c r="AB381" s="11"/>
      <c r="AC381" s="11"/>
      <c r="AD381" s="11"/>
    </row>
    <row r="382" spans="1:30" ht="16" x14ac:dyDescent="0.2">
      <c r="A382" s="11"/>
      <c r="B382" s="12"/>
      <c r="C382" s="12"/>
      <c r="D382" s="12"/>
      <c r="E382" s="12"/>
      <c r="F382" s="12"/>
      <c r="G382" s="12"/>
      <c r="H382" s="12"/>
      <c r="I382" s="12"/>
      <c r="J382" s="12"/>
      <c r="K382" s="12"/>
      <c r="L382" s="12"/>
      <c r="M382" s="11"/>
      <c r="N382" s="11"/>
      <c r="O382" s="11"/>
      <c r="P382" s="11"/>
      <c r="Q382" s="11"/>
      <c r="R382" s="11"/>
      <c r="S382" s="11"/>
      <c r="T382" s="11"/>
      <c r="U382" s="11"/>
      <c r="V382" s="11"/>
      <c r="W382" s="11"/>
      <c r="X382" s="11"/>
      <c r="Y382" s="11"/>
      <c r="Z382" s="11"/>
      <c r="AA382" s="11"/>
      <c r="AB382" s="11"/>
      <c r="AC382" s="11"/>
      <c r="AD382" s="11"/>
    </row>
    <row r="383" spans="1:30" ht="16" x14ac:dyDescent="0.2">
      <c r="A383" s="11"/>
      <c r="B383" s="12"/>
      <c r="C383" s="12"/>
      <c r="D383" s="12"/>
      <c r="E383" s="12"/>
      <c r="F383" s="12"/>
      <c r="G383" s="12"/>
      <c r="H383" s="12"/>
      <c r="I383" s="12"/>
      <c r="J383" s="12"/>
      <c r="K383" s="12"/>
      <c r="L383" s="12"/>
      <c r="M383" s="11"/>
      <c r="N383" s="11"/>
      <c r="O383" s="11"/>
      <c r="P383" s="11"/>
      <c r="Q383" s="11"/>
      <c r="R383" s="11"/>
      <c r="S383" s="11"/>
      <c r="T383" s="11"/>
      <c r="U383" s="11"/>
      <c r="V383" s="11"/>
      <c r="W383" s="11"/>
      <c r="X383" s="11"/>
      <c r="Y383" s="11"/>
      <c r="Z383" s="11"/>
      <c r="AA383" s="11"/>
      <c r="AB383" s="11"/>
      <c r="AC383" s="11"/>
      <c r="AD383" s="11"/>
    </row>
    <row r="384" spans="1:30" ht="16" x14ac:dyDescent="0.2">
      <c r="A384" s="11"/>
      <c r="B384" s="12"/>
      <c r="C384" s="12"/>
      <c r="D384" s="12"/>
      <c r="E384" s="12"/>
      <c r="F384" s="12"/>
      <c r="G384" s="12"/>
      <c r="H384" s="12"/>
      <c r="I384" s="12"/>
      <c r="J384" s="12"/>
      <c r="K384" s="12"/>
      <c r="L384" s="12"/>
      <c r="M384" s="11"/>
      <c r="N384" s="11"/>
      <c r="O384" s="11"/>
      <c r="P384" s="11"/>
      <c r="Q384" s="11"/>
      <c r="R384" s="11"/>
      <c r="S384" s="11"/>
      <c r="T384" s="11"/>
      <c r="U384" s="11"/>
      <c r="V384" s="11"/>
      <c r="W384" s="11"/>
      <c r="X384" s="11"/>
      <c r="Y384" s="11"/>
      <c r="Z384" s="11"/>
      <c r="AA384" s="11"/>
      <c r="AB384" s="11"/>
      <c r="AC384" s="11"/>
      <c r="AD384" s="11"/>
    </row>
    <row r="385" spans="1:30" ht="16" x14ac:dyDescent="0.2">
      <c r="A385" s="11"/>
      <c r="B385" s="12"/>
      <c r="C385" s="12"/>
      <c r="D385" s="12"/>
      <c r="E385" s="12"/>
      <c r="F385" s="12"/>
      <c r="G385" s="12"/>
      <c r="H385" s="12"/>
      <c r="I385" s="12"/>
      <c r="J385" s="12"/>
      <c r="K385" s="12"/>
      <c r="L385" s="12"/>
      <c r="M385" s="11"/>
      <c r="N385" s="11"/>
      <c r="O385" s="11"/>
      <c r="P385" s="11"/>
      <c r="Q385" s="11"/>
      <c r="R385" s="11"/>
      <c r="S385" s="11"/>
      <c r="T385" s="11"/>
      <c r="U385" s="11"/>
      <c r="V385" s="11"/>
      <c r="W385" s="11"/>
      <c r="X385" s="11"/>
      <c r="Y385" s="11"/>
      <c r="Z385" s="11"/>
      <c r="AA385" s="11"/>
      <c r="AB385" s="11"/>
      <c r="AC385" s="11"/>
      <c r="AD385" s="11"/>
    </row>
    <row r="386" spans="1:30" ht="16" x14ac:dyDescent="0.2">
      <c r="A386" s="11"/>
      <c r="B386" s="12"/>
      <c r="C386" s="12"/>
      <c r="D386" s="12"/>
      <c r="E386" s="12"/>
      <c r="F386" s="12"/>
      <c r="G386" s="12"/>
      <c r="H386" s="12"/>
      <c r="I386" s="12"/>
      <c r="J386" s="12"/>
      <c r="K386" s="12"/>
      <c r="L386" s="12"/>
      <c r="M386" s="11"/>
      <c r="N386" s="11"/>
      <c r="O386" s="11"/>
      <c r="P386" s="11"/>
      <c r="Q386" s="11"/>
      <c r="R386" s="11"/>
      <c r="S386" s="11"/>
      <c r="T386" s="11"/>
      <c r="U386" s="11"/>
      <c r="V386" s="11"/>
      <c r="W386" s="11"/>
      <c r="X386" s="11"/>
      <c r="Y386" s="11"/>
      <c r="Z386" s="11"/>
      <c r="AA386" s="11"/>
      <c r="AB386" s="11"/>
      <c r="AC386" s="11"/>
      <c r="AD386" s="11"/>
    </row>
    <row r="387" spans="1:30" ht="16" x14ac:dyDescent="0.2">
      <c r="A387" s="11"/>
      <c r="B387" s="12"/>
      <c r="C387" s="12"/>
      <c r="D387" s="12"/>
      <c r="E387" s="12"/>
      <c r="F387" s="12"/>
      <c r="G387" s="12"/>
      <c r="H387" s="12"/>
      <c r="I387" s="12"/>
      <c r="J387" s="12"/>
      <c r="K387" s="12"/>
      <c r="L387" s="12"/>
      <c r="M387" s="11"/>
      <c r="N387" s="11"/>
      <c r="O387" s="11"/>
      <c r="P387" s="11"/>
      <c r="Q387" s="11"/>
      <c r="R387" s="11"/>
      <c r="S387" s="11"/>
      <c r="T387" s="11"/>
      <c r="U387" s="11"/>
      <c r="V387" s="11"/>
      <c r="W387" s="11"/>
      <c r="X387" s="11"/>
      <c r="Y387" s="11"/>
      <c r="Z387" s="11"/>
      <c r="AA387" s="11"/>
      <c r="AB387" s="11"/>
      <c r="AC387" s="11"/>
      <c r="AD387" s="11"/>
    </row>
    <row r="388" spans="1:30" ht="16" x14ac:dyDescent="0.2">
      <c r="A388" s="11"/>
      <c r="B388" s="12"/>
      <c r="C388" s="12"/>
      <c r="D388" s="12"/>
      <c r="E388" s="12"/>
      <c r="F388" s="12"/>
      <c r="G388" s="12"/>
      <c r="H388" s="12"/>
      <c r="I388" s="12"/>
      <c r="J388" s="12"/>
      <c r="K388" s="12"/>
      <c r="L388" s="12"/>
      <c r="M388" s="11"/>
      <c r="N388" s="11"/>
      <c r="O388" s="11"/>
      <c r="P388" s="11"/>
      <c r="Q388" s="11"/>
      <c r="R388" s="11"/>
      <c r="S388" s="11"/>
      <c r="T388" s="11"/>
      <c r="U388" s="11"/>
      <c r="V388" s="11"/>
      <c r="W388" s="11"/>
      <c r="X388" s="11"/>
      <c r="Y388" s="11"/>
      <c r="Z388" s="11"/>
      <c r="AA388" s="11"/>
      <c r="AB388" s="11"/>
      <c r="AC388" s="11"/>
      <c r="AD388" s="11"/>
    </row>
    <row r="389" spans="1:30" ht="16" x14ac:dyDescent="0.2">
      <c r="A389" s="11"/>
      <c r="B389" s="12"/>
      <c r="C389" s="12"/>
      <c r="D389" s="12"/>
      <c r="E389" s="12"/>
      <c r="F389" s="12"/>
      <c r="G389" s="12"/>
      <c r="H389" s="12"/>
      <c r="I389" s="12"/>
      <c r="J389" s="12"/>
      <c r="K389" s="12"/>
      <c r="L389" s="12"/>
      <c r="M389" s="11"/>
      <c r="N389" s="11"/>
      <c r="O389" s="11"/>
      <c r="P389" s="11"/>
      <c r="Q389" s="11"/>
      <c r="R389" s="11"/>
      <c r="S389" s="11"/>
      <c r="T389" s="11"/>
      <c r="U389" s="11"/>
      <c r="V389" s="11"/>
      <c r="W389" s="11"/>
      <c r="X389" s="11"/>
      <c r="Y389" s="11"/>
      <c r="Z389" s="11"/>
      <c r="AA389" s="11"/>
      <c r="AB389" s="11"/>
      <c r="AC389" s="11"/>
      <c r="AD389" s="11"/>
    </row>
    <row r="390" spans="1:30" ht="16" x14ac:dyDescent="0.2">
      <c r="A390" s="11"/>
      <c r="B390" s="12"/>
      <c r="C390" s="12"/>
      <c r="D390" s="12"/>
      <c r="E390" s="12"/>
      <c r="F390" s="12"/>
      <c r="G390" s="12"/>
      <c r="H390" s="12"/>
      <c r="I390" s="12"/>
      <c r="J390" s="12"/>
      <c r="K390" s="12"/>
      <c r="L390" s="12"/>
      <c r="M390" s="11"/>
      <c r="N390" s="11"/>
      <c r="O390" s="11"/>
      <c r="P390" s="11"/>
      <c r="Q390" s="11"/>
      <c r="R390" s="11"/>
      <c r="S390" s="11"/>
      <c r="T390" s="11"/>
      <c r="U390" s="11"/>
      <c r="V390" s="11"/>
      <c r="W390" s="11"/>
      <c r="X390" s="11"/>
      <c r="Y390" s="11"/>
      <c r="Z390" s="11"/>
      <c r="AA390" s="11"/>
      <c r="AB390" s="11"/>
      <c r="AC390" s="11"/>
      <c r="AD390" s="11"/>
    </row>
    <row r="391" spans="1:30" ht="16" x14ac:dyDescent="0.2">
      <c r="A391" s="11"/>
      <c r="B391" s="12"/>
      <c r="C391" s="12"/>
      <c r="D391" s="12"/>
      <c r="E391" s="12"/>
      <c r="F391" s="12"/>
      <c r="G391" s="12"/>
      <c r="H391" s="12"/>
      <c r="I391" s="12"/>
      <c r="J391" s="12"/>
      <c r="K391" s="12"/>
      <c r="L391" s="12"/>
      <c r="M391" s="11"/>
      <c r="N391" s="11"/>
      <c r="O391" s="11"/>
      <c r="P391" s="11"/>
      <c r="Q391" s="11"/>
      <c r="R391" s="11"/>
      <c r="S391" s="11"/>
      <c r="T391" s="11"/>
      <c r="U391" s="11"/>
      <c r="V391" s="11"/>
      <c r="W391" s="11"/>
      <c r="X391" s="11"/>
      <c r="Y391" s="11"/>
      <c r="Z391" s="11"/>
      <c r="AA391" s="11"/>
      <c r="AB391" s="11"/>
      <c r="AC391" s="11"/>
      <c r="AD391" s="11"/>
    </row>
    <row r="392" spans="1:30" ht="16" x14ac:dyDescent="0.2">
      <c r="A392" s="11"/>
      <c r="B392" s="12"/>
      <c r="C392" s="12"/>
      <c r="D392" s="12"/>
      <c r="E392" s="12"/>
      <c r="F392" s="12"/>
      <c r="G392" s="12"/>
      <c r="H392" s="12"/>
      <c r="I392" s="12"/>
      <c r="J392" s="12"/>
      <c r="K392" s="12"/>
      <c r="L392" s="12"/>
      <c r="M392" s="11"/>
      <c r="N392" s="11"/>
      <c r="O392" s="11"/>
      <c r="P392" s="11"/>
      <c r="Q392" s="11"/>
      <c r="R392" s="11"/>
      <c r="S392" s="11"/>
      <c r="T392" s="11"/>
      <c r="U392" s="11"/>
      <c r="V392" s="11"/>
      <c r="W392" s="11"/>
      <c r="X392" s="11"/>
      <c r="Y392" s="11"/>
      <c r="Z392" s="11"/>
      <c r="AA392" s="11"/>
      <c r="AB392" s="11"/>
      <c r="AC392" s="11"/>
      <c r="AD392" s="11"/>
    </row>
    <row r="393" spans="1:30" ht="16" x14ac:dyDescent="0.2">
      <c r="A393" s="11"/>
      <c r="B393" s="12"/>
      <c r="C393" s="12"/>
      <c r="D393" s="12"/>
      <c r="E393" s="12"/>
      <c r="F393" s="12"/>
      <c r="G393" s="12"/>
      <c r="H393" s="12"/>
      <c r="I393" s="12"/>
      <c r="J393" s="12"/>
      <c r="K393" s="12"/>
      <c r="L393" s="12"/>
      <c r="M393" s="11"/>
      <c r="N393" s="11"/>
      <c r="O393" s="11"/>
      <c r="P393" s="11"/>
      <c r="Q393" s="11"/>
      <c r="R393" s="11"/>
      <c r="S393" s="11"/>
      <c r="T393" s="11"/>
      <c r="U393" s="11"/>
      <c r="V393" s="11"/>
      <c r="W393" s="11"/>
      <c r="X393" s="11"/>
      <c r="Y393" s="11"/>
      <c r="Z393" s="11"/>
      <c r="AA393" s="11"/>
      <c r="AB393" s="11"/>
      <c r="AC393" s="11"/>
      <c r="AD393" s="11"/>
    </row>
    <row r="394" spans="1:30" ht="16" x14ac:dyDescent="0.2">
      <c r="A394" s="11"/>
      <c r="B394" s="12"/>
      <c r="C394" s="12"/>
      <c r="D394" s="12"/>
      <c r="E394" s="12"/>
      <c r="F394" s="12"/>
      <c r="G394" s="12"/>
      <c r="H394" s="12"/>
      <c r="I394" s="12"/>
      <c r="J394" s="12"/>
      <c r="K394" s="12"/>
      <c r="L394" s="12"/>
      <c r="M394" s="11"/>
      <c r="N394" s="11"/>
      <c r="O394" s="11"/>
      <c r="P394" s="11"/>
      <c r="Q394" s="11"/>
      <c r="R394" s="11"/>
      <c r="S394" s="11"/>
      <c r="T394" s="11"/>
      <c r="U394" s="11"/>
      <c r="V394" s="11"/>
      <c r="W394" s="11"/>
      <c r="X394" s="11"/>
      <c r="Y394" s="11"/>
      <c r="Z394" s="11"/>
      <c r="AA394" s="11"/>
      <c r="AB394" s="11"/>
      <c r="AC394" s="11"/>
      <c r="AD394" s="11"/>
    </row>
    <row r="395" spans="1:30" ht="16" x14ac:dyDescent="0.2">
      <c r="A395" s="11"/>
      <c r="B395" s="12"/>
      <c r="C395" s="12"/>
      <c r="D395" s="12"/>
      <c r="E395" s="12"/>
      <c r="F395" s="12"/>
      <c r="G395" s="12"/>
      <c r="H395" s="12"/>
      <c r="I395" s="12"/>
      <c r="J395" s="12"/>
      <c r="K395" s="12"/>
      <c r="L395" s="12"/>
      <c r="M395" s="11"/>
      <c r="N395" s="11"/>
      <c r="O395" s="11"/>
      <c r="P395" s="11"/>
      <c r="Q395" s="11"/>
      <c r="R395" s="11"/>
      <c r="S395" s="11"/>
      <c r="T395" s="11"/>
      <c r="U395" s="11"/>
      <c r="V395" s="11"/>
      <c r="W395" s="11"/>
      <c r="X395" s="11"/>
      <c r="Y395" s="11"/>
      <c r="Z395" s="11"/>
      <c r="AA395" s="11"/>
      <c r="AB395" s="11"/>
      <c r="AC395" s="11"/>
      <c r="AD395" s="11"/>
    </row>
    <row r="396" spans="1:30" ht="16" x14ac:dyDescent="0.2">
      <c r="A396" s="11"/>
      <c r="B396" s="12"/>
      <c r="C396" s="12"/>
      <c r="D396" s="12"/>
      <c r="E396" s="12"/>
      <c r="F396" s="12"/>
      <c r="G396" s="12"/>
      <c r="H396" s="12"/>
      <c r="I396" s="12"/>
      <c r="J396" s="12"/>
      <c r="K396" s="12"/>
      <c r="L396" s="12"/>
      <c r="M396" s="11"/>
      <c r="N396" s="11"/>
      <c r="O396" s="11"/>
      <c r="P396" s="11"/>
      <c r="Q396" s="11"/>
      <c r="R396" s="11"/>
      <c r="S396" s="11"/>
      <c r="T396" s="11"/>
      <c r="U396" s="11"/>
      <c r="V396" s="11"/>
      <c r="W396" s="11"/>
      <c r="X396" s="11"/>
      <c r="Y396" s="11"/>
      <c r="Z396" s="11"/>
      <c r="AA396" s="11"/>
      <c r="AB396" s="11"/>
      <c r="AC396" s="11"/>
      <c r="AD396" s="11"/>
    </row>
    <row r="397" spans="1:30" ht="16" x14ac:dyDescent="0.2">
      <c r="A397" s="11"/>
      <c r="B397" s="12"/>
      <c r="C397" s="12"/>
      <c r="D397" s="12"/>
      <c r="E397" s="12"/>
      <c r="F397" s="12"/>
      <c r="G397" s="12"/>
      <c r="H397" s="12"/>
      <c r="I397" s="12"/>
      <c r="J397" s="12"/>
      <c r="K397" s="12"/>
      <c r="L397" s="12"/>
      <c r="M397" s="11"/>
      <c r="N397" s="11"/>
      <c r="O397" s="11"/>
      <c r="P397" s="11"/>
      <c r="Q397" s="11"/>
      <c r="R397" s="11"/>
      <c r="S397" s="11"/>
      <c r="T397" s="11"/>
      <c r="U397" s="11"/>
      <c r="V397" s="11"/>
      <c r="W397" s="11"/>
      <c r="X397" s="11"/>
      <c r="Y397" s="11"/>
      <c r="Z397" s="11"/>
      <c r="AA397" s="11"/>
      <c r="AB397" s="11"/>
      <c r="AC397" s="11"/>
      <c r="AD397" s="11"/>
    </row>
    <row r="398" spans="1:30" ht="16" x14ac:dyDescent="0.2">
      <c r="A398" s="11"/>
      <c r="B398" s="12"/>
      <c r="C398" s="12"/>
      <c r="D398" s="12"/>
      <c r="E398" s="12"/>
      <c r="F398" s="12"/>
      <c r="G398" s="12"/>
      <c r="H398" s="12"/>
      <c r="I398" s="12"/>
      <c r="J398" s="12"/>
      <c r="K398" s="12"/>
      <c r="L398" s="12"/>
      <c r="M398" s="11"/>
      <c r="N398" s="11"/>
      <c r="O398" s="11"/>
      <c r="P398" s="11"/>
      <c r="Q398" s="11"/>
      <c r="R398" s="11"/>
      <c r="S398" s="11"/>
      <c r="T398" s="11"/>
      <c r="U398" s="11"/>
      <c r="V398" s="11"/>
      <c r="W398" s="11"/>
      <c r="X398" s="11"/>
      <c r="Y398" s="11"/>
      <c r="Z398" s="11"/>
      <c r="AA398" s="11"/>
      <c r="AB398" s="11"/>
      <c r="AC398" s="11"/>
      <c r="AD398" s="11"/>
    </row>
    <row r="399" spans="1:30" ht="16" x14ac:dyDescent="0.2">
      <c r="A399" s="11"/>
      <c r="B399" s="12"/>
      <c r="C399" s="12"/>
      <c r="D399" s="12"/>
      <c r="E399" s="12"/>
      <c r="F399" s="12"/>
      <c r="G399" s="12"/>
      <c r="H399" s="12"/>
      <c r="I399" s="12"/>
      <c r="J399" s="12"/>
      <c r="K399" s="12"/>
      <c r="L399" s="12"/>
      <c r="M399" s="11"/>
      <c r="N399" s="11"/>
      <c r="O399" s="11"/>
      <c r="P399" s="11"/>
      <c r="Q399" s="11"/>
      <c r="R399" s="11"/>
      <c r="S399" s="11"/>
      <c r="T399" s="11"/>
      <c r="U399" s="11"/>
      <c r="V399" s="11"/>
      <c r="W399" s="11"/>
      <c r="X399" s="11"/>
      <c r="Y399" s="11"/>
      <c r="Z399" s="11"/>
      <c r="AA399" s="11"/>
      <c r="AB399" s="11"/>
      <c r="AC399" s="11"/>
      <c r="AD399" s="11"/>
    </row>
    <row r="400" spans="1:30" ht="16" x14ac:dyDescent="0.2">
      <c r="A400" s="11"/>
      <c r="B400" s="12"/>
      <c r="C400" s="12"/>
      <c r="D400" s="12"/>
      <c r="E400" s="12"/>
      <c r="F400" s="12"/>
      <c r="G400" s="12"/>
      <c r="H400" s="12"/>
      <c r="I400" s="12"/>
      <c r="J400" s="12"/>
      <c r="K400" s="12"/>
      <c r="L400" s="12"/>
      <c r="M400" s="11"/>
      <c r="N400" s="11"/>
      <c r="O400" s="11"/>
      <c r="P400" s="11"/>
      <c r="Q400" s="11"/>
      <c r="R400" s="11"/>
      <c r="S400" s="11"/>
      <c r="T400" s="11"/>
      <c r="U400" s="11"/>
      <c r="V400" s="11"/>
      <c r="W400" s="11"/>
      <c r="X400" s="11"/>
      <c r="Y400" s="11"/>
      <c r="Z400" s="11"/>
      <c r="AA400" s="11"/>
      <c r="AB400" s="11"/>
      <c r="AC400" s="11"/>
      <c r="AD400" s="11"/>
    </row>
    <row r="401" spans="1:30" ht="16" x14ac:dyDescent="0.2">
      <c r="A401" s="11"/>
      <c r="B401" s="12"/>
      <c r="C401" s="12"/>
      <c r="D401" s="12"/>
      <c r="E401" s="12"/>
      <c r="F401" s="12"/>
      <c r="G401" s="12"/>
      <c r="H401" s="12"/>
      <c r="I401" s="12"/>
      <c r="J401" s="12"/>
      <c r="K401" s="12"/>
      <c r="L401" s="12"/>
      <c r="M401" s="11"/>
      <c r="N401" s="11"/>
      <c r="O401" s="11"/>
      <c r="P401" s="11"/>
      <c r="Q401" s="11"/>
      <c r="R401" s="11"/>
      <c r="S401" s="11"/>
      <c r="T401" s="11"/>
      <c r="U401" s="11"/>
      <c r="V401" s="11"/>
      <c r="W401" s="11"/>
      <c r="X401" s="11"/>
      <c r="Y401" s="11"/>
      <c r="Z401" s="11"/>
      <c r="AA401" s="11"/>
      <c r="AB401" s="11"/>
      <c r="AC401" s="11"/>
      <c r="AD401" s="11"/>
    </row>
    <row r="402" spans="1:30" ht="16" x14ac:dyDescent="0.2">
      <c r="A402" s="11"/>
      <c r="B402" s="12"/>
      <c r="C402" s="12"/>
      <c r="D402" s="12"/>
      <c r="E402" s="12"/>
      <c r="F402" s="12"/>
      <c r="G402" s="12"/>
      <c r="H402" s="12"/>
      <c r="I402" s="12"/>
      <c r="J402" s="12"/>
      <c r="K402" s="12"/>
      <c r="L402" s="12"/>
      <c r="M402" s="11"/>
      <c r="N402" s="11"/>
      <c r="O402" s="11"/>
      <c r="P402" s="11"/>
      <c r="Q402" s="11"/>
      <c r="R402" s="11"/>
      <c r="S402" s="11"/>
      <c r="T402" s="11"/>
      <c r="U402" s="11"/>
      <c r="V402" s="11"/>
      <c r="W402" s="11"/>
      <c r="X402" s="11"/>
      <c r="Y402" s="11"/>
      <c r="Z402" s="11"/>
      <c r="AA402" s="11"/>
      <c r="AB402" s="11"/>
      <c r="AC402" s="11"/>
      <c r="AD402" s="11"/>
    </row>
    <row r="403" spans="1:30" ht="16" x14ac:dyDescent="0.2">
      <c r="A403" s="11"/>
      <c r="B403" s="12"/>
      <c r="C403" s="12"/>
      <c r="D403" s="12"/>
      <c r="E403" s="12"/>
      <c r="F403" s="12"/>
      <c r="G403" s="12"/>
      <c r="H403" s="12"/>
      <c r="I403" s="12"/>
      <c r="J403" s="12"/>
      <c r="K403" s="12"/>
      <c r="L403" s="12"/>
      <c r="M403" s="11"/>
      <c r="N403" s="11"/>
      <c r="O403" s="11"/>
      <c r="P403" s="11"/>
      <c r="Q403" s="11"/>
      <c r="R403" s="11"/>
      <c r="S403" s="11"/>
      <c r="T403" s="11"/>
      <c r="U403" s="11"/>
      <c r="V403" s="11"/>
      <c r="W403" s="11"/>
      <c r="X403" s="11"/>
      <c r="Y403" s="11"/>
      <c r="Z403" s="11"/>
      <c r="AA403" s="11"/>
      <c r="AB403" s="11"/>
      <c r="AC403" s="11"/>
      <c r="AD403" s="11"/>
    </row>
    <row r="404" spans="1:30" ht="16" x14ac:dyDescent="0.2">
      <c r="A404" s="11"/>
      <c r="B404" s="12"/>
      <c r="C404" s="12"/>
      <c r="D404" s="12"/>
      <c r="E404" s="12"/>
      <c r="F404" s="12"/>
      <c r="G404" s="12"/>
      <c r="H404" s="12"/>
      <c r="I404" s="12"/>
      <c r="J404" s="12"/>
      <c r="K404" s="12"/>
      <c r="L404" s="12"/>
      <c r="M404" s="11"/>
      <c r="N404" s="11"/>
      <c r="O404" s="11"/>
      <c r="P404" s="11"/>
      <c r="Q404" s="11"/>
      <c r="R404" s="11"/>
      <c r="S404" s="11"/>
      <c r="T404" s="11"/>
      <c r="U404" s="11"/>
      <c r="V404" s="11"/>
      <c r="W404" s="11"/>
      <c r="X404" s="11"/>
      <c r="Y404" s="11"/>
      <c r="Z404" s="11"/>
      <c r="AA404" s="11"/>
      <c r="AB404" s="11"/>
      <c r="AC404" s="11"/>
      <c r="AD404" s="11"/>
    </row>
    <row r="405" spans="1:30" ht="16" x14ac:dyDescent="0.2">
      <c r="A405" s="11"/>
      <c r="B405" s="12"/>
      <c r="C405" s="12"/>
      <c r="D405" s="12"/>
      <c r="E405" s="12"/>
      <c r="F405" s="12"/>
      <c r="G405" s="12"/>
      <c r="H405" s="12"/>
      <c r="I405" s="12"/>
      <c r="J405" s="12"/>
      <c r="K405" s="12"/>
      <c r="L405" s="12"/>
      <c r="M405" s="11"/>
      <c r="N405" s="11"/>
      <c r="O405" s="11"/>
      <c r="P405" s="11"/>
      <c r="Q405" s="11"/>
      <c r="R405" s="11"/>
      <c r="S405" s="11"/>
      <c r="T405" s="11"/>
      <c r="U405" s="11"/>
      <c r="V405" s="11"/>
      <c r="W405" s="11"/>
      <c r="X405" s="11"/>
      <c r="Y405" s="11"/>
      <c r="Z405" s="11"/>
      <c r="AA405" s="11"/>
      <c r="AB405" s="11"/>
      <c r="AC405" s="11"/>
      <c r="AD405" s="11"/>
    </row>
    <row r="406" spans="1:30" ht="16" x14ac:dyDescent="0.2">
      <c r="A406" s="11"/>
      <c r="B406" s="12"/>
      <c r="C406" s="12"/>
      <c r="D406" s="12"/>
      <c r="E406" s="12"/>
      <c r="F406" s="12"/>
      <c r="G406" s="12"/>
      <c r="H406" s="12"/>
      <c r="I406" s="12"/>
      <c r="J406" s="12"/>
      <c r="K406" s="12"/>
      <c r="L406" s="12"/>
      <c r="M406" s="11"/>
      <c r="N406" s="11"/>
      <c r="O406" s="11"/>
      <c r="P406" s="11"/>
      <c r="Q406" s="11"/>
      <c r="R406" s="11"/>
      <c r="S406" s="11"/>
      <c r="T406" s="11"/>
      <c r="U406" s="11"/>
      <c r="V406" s="11"/>
      <c r="W406" s="11"/>
      <c r="X406" s="11"/>
      <c r="Y406" s="11"/>
      <c r="Z406" s="11"/>
      <c r="AA406" s="11"/>
      <c r="AB406" s="11"/>
      <c r="AC406" s="11"/>
      <c r="AD406" s="11"/>
    </row>
    <row r="407" spans="1:30" ht="16" x14ac:dyDescent="0.2">
      <c r="A407" s="11"/>
      <c r="B407" s="12"/>
      <c r="C407" s="12"/>
      <c r="D407" s="12"/>
      <c r="E407" s="12"/>
      <c r="F407" s="12"/>
      <c r="G407" s="12"/>
      <c r="H407" s="12"/>
      <c r="I407" s="12"/>
      <c r="J407" s="12"/>
      <c r="K407" s="12"/>
      <c r="L407" s="12"/>
      <c r="M407" s="11"/>
      <c r="N407" s="11"/>
      <c r="O407" s="11"/>
      <c r="P407" s="11"/>
      <c r="Q407" s="11"/>
      <c r="R407" s="11"/>
      <c r="S407" s="11"/>
      <c r="T407" s="11"/>
      <c r="U407" s="11"/>
      <c r="V407" s="11"/>
      <c r="W407" s="11"/>
      <c r="X407" s="11"/>
      <c r="Y407" s="11"/>
      <c r="Z407" s="11"/>
      <c r="AA407" s="11"/>
      <c r="AB407" s="11"/>
      <c r="AC407" s="11"/>
      <c r="AD407" s="11"/>
    </row>
    <row r="408" spans="1:30" ht="16" x14ac:dyDescent="0.2">
      <c r="A408" s="11"/>
      <c r="B408" s="12"/>
      <c r="C408" s="12"/>
      <c r="D408" s="12"/>
      <c r="E408" s="12"/>
      <c r="F408" s="12"/>
      <c r="G408" s="12"/>
      <c r="H408" s="12"/>
      <c r="I408" s="12"/>
      <c r="J408" s="12"/>
      <c r="K408" s="12"/>
      <c r="L408" s="12"/>
      <c r="M408" s="11"/>
      <c r="N408" s="11"/>
      <c r="O408" s="11"/>
      <c r="P408" s="11"/>
      <c r="Q408" s="11"/>
      <c r="R408" s="11"/>
      <c r="S408" s="11"/>
      <c r="T408" s="11"/>
      <c r="U408" s="11"/>
      <c r="V408" s="11"/>
      <c r="W408" s="11"/>
      <c r="X408" s="11"/>
      <c r="Y408" s="11"/>
      <c r="Z408" s="11"/>
      <c r="AA408" s="11"/>
      <c r="AB408" s="11"/>
      <c r="AC408" s="11"/>
      <c r="AD408" s="11"/>
    </row>
    <row r="409" spans="1:30" ht="16" x14ac:dyDescent="0.2">
      <c r="A409" s="11"/>
      <c r="B409" s="12"/>
      <c r="C409" s="12"/>
      <c r="D409" s="12"/>
      <c r="E409" s="12"/>
      <c r="F409" s="12"/>
      <c r="G409" s="12"/>
      <c r="H409" s="12"/>
      <c r="I409" s="12"/>
      <c r="J409" s="12"/>
      <c r="K409" s="12"/>
      <c r="L409" s="12"/>
      <c r="M409" s="11"/>
      <c r="N409" s="11"/>
      <c r="O409" s="11"/>
      <c r="P409" s="11"/>
      <c r="Q409" s="11"/>
      <c r="R409" s="11"/>
      <c r="S409" s="11"/>
      <c r="T409" s="11"/>
      <c r="U409" s="11"/>
      <c r="V409" s="11"/>
      <c r="W409" s="11"/>
      <c r="X409" s="11"/>
      <c r="Y409" s="11"/>
      <c r="Z409" s="11"/>
      <c r="AA409" s="11"/>
      <c r="AB409" s="11"/>
      <c r="AC409" s="11"/>
      <c r="AD409" s="11"/>
    </row>
    <row r="410" spans="1:30" ht="16" x14ac:dyDescent="0.2">
      <c r="A410" s="11"/>
      <c r="B410" s="12"/>
      <c r="C410" s="12"/>
      <c r="D410" s="12"/>
      <c r="E410" s="12"/>
      <c r="F410" s="12"/>
      <c r="G410" s="12"/>
      <c r="H410" s="12"/>
      <c r="I410" s="12"/>
      <c r="J410" s="12"/>
      <c r="K410" s="12"/>
      <c r="L410" s="12"/>
      <c r="M410" s="11"/>
      <c r="N410" s="11"/>
      <c r="O410" s="11"/>
      <c r="P410" s="11"/>
      <c r="Q410" s="11"/>
      <c r="R410" s="11"/>
      <c r="S410" s="11"/>
      <c r="T410" s="11"/>
      <c r="U410" s="11"/>
      <c r="V410" s="11"/>
      <c r="W410" s="11"/>
      <c r="X410" s="11"/>
      <c r="Y410" s="11"/>
      <c r="Z410" s="11"/>
      <c r="AA410" s="11"/>
      <c r="AB410" s="11"/>
      <c r="AC410" s="11"/>
      <c r="AD410" s="11"/>
    </row>
    <row r="411" spans="1:30" ht="16" x14ac:dyDescent="0.2">
      <c r="A411" s="11"/>
      <c r="B411" s="12"/>
      <c r="C411" s="12"/>
      <c r="D411" s="12"/>
      <c r="E411" s="12"/>
      <c r="F411" s="12"/>
      <c r="G411" s="12"/>
      <c r="H411" s="12"/>
      <c r="I411" s="12"/>
      <c r="J411" s="12"/>
      <c r="K411" s="12"/>
      <c r="L411" s="12"/>
      <c r="M411" s="11"/>
      <c r="N411" s="11"/>
      <c r="O411" s="11"/>
      <c r="P411" s="11"/>
      <c r="Q411" s="11"/>
      <c r="R411" s="11"/>
      <c r="S411" s="11"/>
      <c r="T411" s="11"/>
      <c r="U411" s="11"/>
      <c r="V411" s="11"/>
      <c r="W411" s="11"/>
      <c r="X411" s="11"/>
      <c r="Y411" s="11"/>
      <c r="Z411" s="11"/>
      <c r="AA411" s="11"/>
      <c r="AB411" s="11"/>
      <c r="AC411" s="11"/>
      <c r="AD411" s="11"/>
    </row>
    <row r="412" spans="1:30" ht="16" x14ac:dyDescent="0.2">
      <c r="A412" s="11"/>
      <c r="B412" s="12"/>
      <c r="C412" s="12"/>
      <c r="D412" s="12"/>
      <c r="E412" s="12"/>
      <c r="F412" s="12"/>
      <c r="G412" s="12"/>
      <c r="H412" s="12"/>
      <c r="I412" s="12"/>
      <c r="J412" s="12"/>
      <c r="K412" s="12"/>
      <c r="L412" s="12"/>
      <c r="M412" s="11"/>
      <c r="N412" s="11"/>
      <c r="O412" s="11"/>
      <c r="P412" s="11"/>
      <c r="Q412" s="11"/>
      <c r="R412" s="11"/>
      <c r="S412" s="11"/>
      <c r="T412" s="11"/>
      <c r="U412" s="11"/>
      <c r="V412" s="11"/>
      <c r="W412" s="11"/>
      <c r="X412" s="11"/>
      <c r="Y412" s="11"/>
      <c r="Z412" s="11"/>
      <c r="AA412" s="11"/>
      <c r="AB412" s="11"/>
      <c r="AC412" s="11"/>
      <c r="AD412" s="11"/>
    </row>
    <row r="413" spans="1:30" ht="16" x14ac:dyDescent="0.2">
      <c r="A413" s="11"/>
      <c r="B413" s="12"/>
      <c r="C413" s="12"/>
      <c r="D413" s="12"/>
      <c r="E413" s="12"/>
      <c r="F413" s="12"/>
      <c r="G413" s="12"/>
      <c r="H413" s="12"/>
      <c r="I413" s="12"/>
      <c r="J413" s="12"/>
      <c r="K413" s="12"/>
      <c r="L413" s="12"/>
      <c r="M413" s="11"/>
      <c r="N413" s="11"/>
      <c r="O413" s="11"/>
      <c r="P413" s="11"/>
      <c r="Q413" s="11"/>
      <c r="R413" s="11"/>
      <c r="S413" s="11"/>
      <c r="T413" s="11"/>
      <c r="U413" s="11"/>
      <c r="V413" s="11"/>
      <c r="W413" s="11"/>
      <c r="X413" s="11"/>
      <c r="Y413" s="11"/>
      <c r="Z413" s="11"/>
      <c r="AA413" s="11"/>
      <c r="AB413" s="11"/>
      <c r="AC413" s="11"/>
      <c r="AD413" s="11"/>
    </row>
    <row r="414" spans="1:30" ht="16" x14ac:dyDescent="0.2">
      <c r="A414" s="11"/>
      <c r="B414" s="12"/>
      <c r="C414" s="12"/>
      <c r="D414" s="12"/>
      <c r="E414" s="12"/>
      <c r="F414" s="12"/>
      <c r="G414" s="12"/>
      <c r="H414" s="12"/>
      <c r="I414" s="12"/>
      <c r="J414" s="12"/>
      <c r="K414" s="12"/>
      <c r="L414" s="12"/>
      <c r="M414" s="11"/>
      <c r="N414" s="11"/>
      <c r="O414" s="11"/>
      <c r="P414" s="11"/>
      <c r="Q414" s="11"/>
      <c r="R414" s="11"/>
      <c r="S414" s="11"/>
      <c r="T414" s="11"/>
      <c r="U414" s="11"/>
      <c r="V414" s="11"/>
      <c r="W414" s="11"/>
      <c r="X414" s="11"/>
      <c r="Y414" s="11"/>
      <c r="Z414" s="11"/>
      <c r="AA414" s="11"/>
      <c r="AB414" s="11"/>
      <c r="AC414" s="11"/>
      <c r="AD414" s="11"/>
    </row>
    <row r="415" spans="1:30" ht="16" x14ac:dyDescent="0.2">
      <c r="A415" s="11"/>
      <c r="B415" s="12"/>
      <c r="C415" s="12"/>
      <c r="D415" s="12"/>
      <c r="E415" s="12"/>
      <c r="F415" s="12"/>
      <c r="G415" s="12"/>
      <c r="H415" s="12"/>
      <c r="I415" s="12"/>
      <c r="J415" s="12"/>
      <c r="K415" s="12"/>
      <c r="L415" s="12"/>
      <c r="M415" s="11"/>
      <c r="N415" s="11"/>
      <c r="O415" s="11"/>
      <c r="P415" s="11"/>
      <c r="Q415" s="11"/>
      <c r="R415" s="11"/>
      <c r="S415" s="11"/>
      <c r="T415" s="11"/>
      <c r="U415" s="11"/>
      <c r="V415" s="11"/>
      <c r="W415" s="11"/>
      <c r="X415" s="11"/>
      <c r="Y415" s="11"/>
      <c r="Z415" s="11"/>
      <c r="AA415" s="11"/>
      <c r="AB415" s="11"/>
      <c r="AC415" s="11"/>
      <c r="AD415" s="11"/>
    </row>
    <row r="416" spans="1:30" ht="16" x14ac:dyDescent="0.2">
      <c r="A416" s="11"/>
      <c r="B416" s="12"/>
      <c r="C416" s="12"/>
      <c r="D416" s="12"/>
      <c r="E416" s="12"/>
      <c r="F416" s="12"/>
      <c r="G416" s="12"/>
      <c r="H416" s="12"/>
      <c r="I416" s="12"/>
      <c r="J416" s="12"/>
      <c r="K416" s="12"/>
      <c r="L416" s="12"/>
      <c r="M416" s="11"/>
      <c r="N416" s="11"/>
      <c r="O416" s="11"/>
      <c r="P416" s="11"/>
      <c r="Q416" s="11"/>
      <c r="R416" s="11"/>
      <c r="S416" s="11"/>
      <c r="T416" s="11"/>
      <c r="U416" s="11"/>
      <c r="V416" s="11"/>
      <c r="W416" s="11"/>
      <c r="X416" s="11"/>
      <c r="Y416" s="11"/>
      <c r="Z416" s="11"/>
      <c r="AA416" s="11"/>
      <c r="AB416" s="11"/>
      <c r="AC416" s="11"/>
      <c r="AD416" s="11"/>
    </row>
    <row r="417" spans="1:30" ht="16" x14ac:dyDescent="0.2">
      <c r="A417" s="11"/>
      <c r="B417" s="12"/>
      <c r="C417" s="12"/>
      <c r="D417" s="12"/>
      <c r="E417" s="12"/>
      <c r="F417" s="12"/>
      <c r="G417" s="12"/>
      <c r="H417" s="12"/>
      <c r="I417" s="12"/>
      <c r="J417" s="12"/>
      <c r="K417" s="12"/>
      <c r="L417" s="12"/>
      <c r="M417" s="11"/>
      <c r="N417" s="11"/>
      <c r="O417" s="11"/>
      <c r="P417" s="11"/>
      <c r="Q417" s="11"/>
      <c r="R417" s="11"/>
      <c r="S417" s="11"/>
      <c r="T417" s="11"/>
      <c r="U417" s="11"/>
      <c r="V417" s="11"/>
      <c r="W417" s="11"/>
      <c r="X417" s="11"/>
      <c r="Y417" s="11"/>
      <c r="Z417" s="11"/>
      <c r="AA417" s="11"/>
      <c r="AB417" s="11"/>
      <c r="AC417" s="11"/>
      <c r="AD417" s="11"/>
    </row>
    <row r="418" spans="1:30" ht="16" x14ac:dyDescent="0.2">
      <c r="A418" s="11"/>
      <c r="B418" s="12"/>
      <c r="C418" s="12"/>
      <c r="D418" s="12"/>
      <c r="E418" s="12"/>
      <c r="F418" s="12"/>
      <c r="G418" s="12"/>
      <c r="H418" s="12"/>
      <c r="I418" s="12"/>
      <c r="J418" s="12"/>
      <c r="K418" s="12"/>
      <c r="L418" s="12"/>
      <c r="M418" s="11"/>
      <c r="N418" s="11"/>
      <c r="O418" s="11"/>
      <c r="P418" s="11"/>
      <c r="Q418" s="11"/>
      <c r="R418" s="11"/>
      <c r="S418" s="11"/>
      <c r="T418" s="11"/>
      <c r="U418" s="11"/>
      <c r="V418" s="11"/>
      <c r="W418" s="11"/>
      <c r="X418" s="11"/>
      <c r="Y418" s="11"/>
      <c r="Z418" s="11"/>
      <c r="AA418" s="11"/>
      <c r="AB418" s="11"/>
      <c r="AC418" s="11"/>
      <c r="AD418" s="11"/>
    </row>
    <row r="419" spans="1:30" ht="16" x14ac:dyDescent="0.2">
      <c r="A419" s="11"/>
      <c r="B419" s="12"/>
      <c r="C419" s="12"/>
      <c r="D419" s="12"/>
      <c r="E419" s="12"/>
      <c r="F419" s="12"/>
      <c r="G419" s="12"/>
      <c r="H419" s="12"/>
      <c r="I419" s="12"/>
      <c r="J419" s="12"/>
      <c r="K419" s="12"/>
      <c r="L419" s="12"/>
      <c r="M419" s="11"/>
      <c r="N419" s="11"/>
      <c r="O419" s="11"/>
      <c r="P419" s="11"/>
      <c r="Q419" s="11"/>
      <c r="R419" s="11"/>
      <c r="S419" s="11"/>
      <c r="T419" s="11"/>
      <c r="U419" s="11"/>
      <c r="V419" s="11"/>
      <c r="W419" s="11"/>
      <c r="X419" s="11"/>
      <c r="Y419" s="11"/>
      <c r="Z419" s="11"/>
      <c r="AA419" s="11"/>
      <c r="AB419" s="11"/>
      <c r="AC419" s="11"/>
      <c r="AD419" s="11"/>
    </row>
    <row r="420" spans="1:30" ht="16" x14ac:dyDescent="0.2">
      <c r="A420" s="11"/>
      <c r="B420" s="12"/>
      <c r="C420" s="12"/>
      <c r="D420" s="12"/>
      <c r="E420" s="12"/>
      <c r="F420" s="12"/>
      <c r="G420" s="12"/>
      <c r="H420" s="12"/>
      <c r="I420" s="12"/>
      <c r="J420" s="12"/>
      <c r="K420" s="12"/>
      <c r="L420" s="12"/>
      <c r="M420" s="11"/>
      <c r="N420" s="11"/>
      <c r="O420" s="11"/>
      <c r="P420" s="11"/>
      <c r="Q420" s="11"/>
      <c r="R420" s="11"/>
      <c r="S420" s="11"/>
      <c r="T420" s="11"/>
      <c r="U420" s="11"/>
      <c r="V420" s="11"/>
      <c r="W420" s="11"/>
      <c r="X420" s="11"/>
      <c r="Y420" s="11"/>
      <c r="Z420" s="11"/>
      <c r="AA420" s="11"/>
      <c r="AB420" s="11"/>
      <c r="AC420" s="11"/>
      <c r="AD420" s="11"/>
    </row>
    <row r="421" spans="1:30" ht="16" x14ac:dyDescent="0.2">
      <c r="A421" s="11"/>
      <c r="B421" s="12"/>
      <c r="C421" s="12"/>
      <c r="D421" s="12"/>
      <c r="E421" s="12"/>
      <c r="F421" s="12"/>
      <c r="G421" s="12"/>
      <c r="H421" s="12"/>
      <c r="I421" s="12"/>
      <c r="J421" s="12"/>
      <c r="K421" s="12"/>
      <c r="L421" s="12"/>
      <c r="M421" s="11"/>
      <c r="N421" s="11"/>
      <c r="O421" s="11"/>
      <c r="P421" s="11"/>
      <c r="Q421" s="11"/>
      <c r="R421" s="11"/>
      <c r="S421" s="11"/>
      <c r="T421" s="11"/>
      <c r="U421" s="11"/>
      <c r="V421" s="11"/>
      <c r="W421" s="11"/>
      <c r="X421" s="11"/>
      <c r="Y421" s="11"/>
      <c r="Z421" s="11"/>
      <c r="AA421" s="11"/>
      <c r="AB421" s="11"/>
      <c r="AC421" s="11"/>
      <c r="AD421" s="11"/>
    </row>
    <row r="422" spans="1:30" ht="16" x14ac:dyDescent="0.2">
      <c r="A422" s="11"/>
      <c r="B422" s="12"/>
      <c r="C422" s="12"/>
      <c r="D422" s="12"/>
      <c r="E422" s="12"/>
      <c r="F422" s="12"/>
      <c r="G422" s="12"/>
      <c r="H422" s="12"/>
      <c r="I422" s="12"/>
      <c r="J422" s="12"/>
      <c r="K422" s="12"/>
      <c r="L422" s="12"/>
      <c r="M422" s="11"/>
      <c r="N422" s="11"/>
      <c r="O422" s="11"/>
      <c r="P422" s="11"/>
      <c r="Q422" s="11"/>
      <c r="R422" s="11"/>
      <c r="S422" s="11"/>
      <c r="T422" s="11"/>
      <c r="U422" s="11"/>
      <c r="V422" s="11"/>
      <c r="W422" s="11"/>
      <c r="X422" s="11"/>
      <c r="Y422" s="11"/>
      <c r="Z422" s="11"/>
      <c r="AA422" s="11"/>
      <c r="AB422" s="11"/>
      <c r="AC422" s="11"/>
      <c r="AD422" s="11"/>
    </row>
    <row r="423" spans="1:30" ht="16" x14ac:dyDescent="0.2">
      <c r="A423" s="11"/>
      <c r="B423" s="12"/>
      <c r="C423" s="12"/>
      <c r="D423" s="12"/>
      <c r="E423" s="12"/>
      <c r="F423" s="12"/>
      <c r="G423" s="12"/>
      <c r="H423" s="12"/>
      <c r="I423" s="12"/>
      <c r="J423" s="12"/>
      <c r="K423" s="12"/>
      <c r="L423" s="12"/>
      <c r="M423" s="11"/>
      <c r="N423" s="11"/>
      <c r="O423" s="11"/>
      <c r="P423" s="11"/>
      <c r="Q423" s="11"/>
      <c r="R423" s="11"/>
      <c r="S423" s="11"/>
      <c r="T423" s="11"/>
      <c r="U423" s="11"/>
      <c r="V423" s="11"/>
      <c r="W423" s="11"/>
      <c r="X423" s="11"/>
      <c r="Y423" s="11"/>
      <c r="Z423" s="11"/>
      <c r="AA423" s="11"/>
      <c r="AB423" s="11"/>
      <c r="AC423" s="11"/>
      <c r="AD423" s="11"/>
    </row>
    <row r="424" spans="1:30" ht="16" x14ac:dyDescent="0.2">
      <c r="A424" s="11"/>
      <c r="B424" s="12"/>
      <c r="C424" s="12"/>
      <c r="D424" s="12"/>
      <c r="E424" s="12"/>
      <c r="F424" s="12"/>
      <c r="G424" s="12"/>
      <c r="H424" s="12"/>
      <c r="I424" s="12"/>
      <c r="J424" s="12"/>
      <c r="K424" s="12"/>
      <c r="L424" s="12"/>
      <c r="M424" s="11"/>
      <c r="N424" s="11"/>
      <c r="O424" s="11"/>
      <c r="P424" s="11"/>
      <c r="Q424" s="11"/>
      <c r="R424" s="11"/>
      <c r="S424" s="11"/>
      <c r="T424" s="11"/>
      <c r="U424" s="11"/>
      <c r="V424" s="11"/>
      <c r="W424" s="11"/>
      <c r="X424" s="11"/>
      <c r="Y424" s="11"/>
      <c r="Z424" s="11"/>
      <c r="AA424" s="11"/>
      <c r="AB424" s="11"/>
      <c r="AC424" s="11"/>
      <c r="AD424" s="11"/>
    </row>
    <row r="425" spans="1:30" ht="16" x14ac:dyDescent="0.2">
      <c r="A425" s="11"/>
      <c r="B425" s="12"/>
      <c r="C425" s="12"/>
      <c r="D425" s="12"/>
      <c r="E425" s="12"/>
      <c r="F425" s="12"/>
      <c r="G425" s="12"/>
      <c r="H425" s="12"/>
      <c r="I425" s="12"/>
      <c r="J425" s="12"/>
      <c r="K425" s="12"/>
      <c r="L425" s="12"/>
      <c r="M425" s="11"/>
      <c r="N425" s="11"/>
      <c r="O425" s="11"/>
      <c r="P425" s="11"/>
      <c r="Q425" s="11"/>
      <c r="R425" s="11"/>
      <c r="S425" s="11"/>
      <c r="T425" s="11"/>
      <c r="U425" s="11"/>
      <c r="V425" s="11"/>
      <c r="W425" s="11"/>
      <c r="X425" s="11"/>
      <c r="Y425" s="11"/>
      <c r="Z425" s="11"/>
      <c r="AA425" s="11"/>
      <c r="AB425" s="11"/>
      <c r="AC425" s="11"/>
      <c r="AD425" s="11"/>
    </row>
    <row r="426" spans="1:30" ht="16" x14ac:dyDescent="0.2">
      <c r="A426" s="11"/>
      <c r="B426" s="12"/>
      <c r="C426" s="12"/>
      <c r="D426" s="12"/>
      <c r="E426" s="12"/>
      <c r="F426" s="12"/>
      <c r="G426" s="12"/>
      <c r="H426" s="12"/>
      <c r="I426" s="12"/>
      <c r="J426" s="12"/>
      <c r="K426" s="12"/>
      <c r="L426" s="12"/>
      <c r="M426" s="11"/>
      <c r="N426" s="11"/>
      <c r="O426" s="11"/>
      <c r="P426" s="11"/>
      <c r="Q426" s="11"/>
      <c r="R426" s="11"/>
      <c r="S426" s="11"/>
      <c r="T426" s="11"/>
      <c r="U426" s="11"/>
      <c r="V426" s="11"/>
      <c r="W426" s="11"/>
      <c r="X426" s="11"/>
      <c r="Y426" s="11"/>
      <c r="Z426" s="11"/>
      <c r="AA426" s="11"/>
      <c r="AB426" s="11"/>
      <c r="AC426" s="11"/>
      <c r="AD426" s="11"/>
    </row>
    <row r="427" spans="1:30" ht="16" x14ac:dyDescent="0.2">
      <c r="A427" s="11"/>
      <c r="B427" s="12"/>
      <c r="C427" s="12"/>
      <c r="D427" s="12"/>
      <c r="E427" s="12"/>
      <c r="F427" s="12"/>
      <c r="G427" s="12"/>
      <c r="H427" s="12"/>
      <c r="I427" s="12"/>
      <c r="J427" s="12"/>
      <c r="K427" s="12"/>
      <c r="L427" s="12"/>
      <c r="M427" s="11"/>
      <c r="N427" s="11"/>
      <c r="O427" s="11"/>
      <c r="P427" s="11"/>
      <c r="Q427" s="11"/>
      <c r="R427" s="11"/>
      <c r="S427" s="11"/>
      <c r="T427" s="11"/>
      <c r="U427" s="11"/>
      <c r="V427" s="11"/>
      <c r="W427" s="11"/>
      <c r="X427" s="11"/>
      <c r="Y427" s="11"/>
      <c r="Z427" s="11"/>
      <c r="AA427" s="11"/>
      <c r="AB427" s="11"/>
      <c r="AC427" s="11"/>
      <c r="AD427" s="11"/>
    </row>
    <row r="428" spans="1:30" ht="16" x14ac:dyDescent="0.2">
      <c r="A428" s="11"/>
      <c r="B428" s="12"/>
      <c r="C428" s="12"/>
      <c r="D428" s="12"/>
      <c r="E428" s="12"/>
      <c r="F428" s="12"/>
      <c r="G428" s="12"/>
      <c r="H428" s="12"/>
      <c r="I428" s="12"/>
      <c r="J428" s="12"/>
      <c r="K428" s="12"/>
      <c r="L428" s="12"/>
      <c r="M428" s="11"/>
      <c r="N428" s="11"/>
      <c r="O428" s="11"/>
      <c r="P428" s="11"/>
      <c r="Q428" s="11"/>
      <c r="R428" s="11"/>
      <c r="S428" s="11"/>
      <c r="T428" s="11"/>
      <c r="U428" s="11"/>
      <c r="V428" s="11"/>
      <c r="W428" s="11"/>
      <c r="X428" s="11"/>
      <c r="Y428" s="11"/>
      <c r="Z428" s="11"/>
      <c r="AA428" s="11"/>
      <c r="AB428" s="11"/>
      <c r="AC428" s="11"/>
      <c r="AD428" s="11"/>
    </row>
    <row r="429" spans="1:30" ht="16" x14ac:dyDescent="0.2">
      <c r="A429" s="11"/>
      <c r="B429" s="12"/>
      <c r="C429" s="12"/>
      <c r="D429" s="12"/>
      <c r="E429" s="12"/>
      <c r="F429" s="12"/>
      <c r="G429" s="12"/>
      <c r="H429" s="12"/>
      <c r="I429" s="12"/>
      <c r="J429" s="12"/>
      <c r="K429" s="12"/>
      <c r="L429" s="12"/>
      <c r="M429" s="11"/>
      <c r="N429" s="11"/>
      <c r="O429" s="11"/>
      <c r="P429" s="11"/>
      <c r="Q429" s="11"/>
      <c r="R429" s="11"/>
      <c r="S429" s="11"/>
      <c r="T429" s="11"/>
      <c r="U429" s="11"/>
      <c r="V429" s="11"/>
      <c r="W429" s="11"/>
      <c r="X429" s="11"/>
      <c r="Y429" s="11"/>
      <c r="Z429" s="11"/>
      <c r="AA429" s="11"/>
      <c r="AB429" s="11"/>
      <c r="AC429" s="11"/>
      <c r="AD429" s="11"/>
    </row>
    <row r="430" spans="1:30" ht="16" x14ac:dyDescent="0.2">
      <c r="A430" s="11"/>
      <c r="B430" s="12"/>
      <c r="C430" s="12"/>
      <c r="D430" s="12"/>
      <c r="E430" s="12"/>
      <c r="F430" s="12"/>
      <c r="G430" s="12"/>
      <c r="H430" s="12"/>
      <c r="I430" s="12"/>
      <c r="J430" s="12"/>
      <c r="K430" s="12"/>
      <c r="L430" s="12"/>
      <c r="M430" s="11"/>
      <c r="N430" s="11"/>
      <c r="O430" s="11"/>
      <c r="P430" s="11"/>
      <c r="Q430" s="11"/>
      <c r="R430" s="11"/>
      <c r="S430" s="11"/>
      <c r="T430" s="11"/>
      <c r="U430" s="11"/>
      <c r="V430" s="11"/>
      <c r="W430" s="11"/>
      <c r="X430" s="11"/>
      <c r="Y430" s="11"/>
      <c r="Z430" s="11"/>
      <c r="AA430" s="11"/>
      <c r="AB430" s="11"/>
      <c r="AC430" s="11"/>
      <c r="AD430" s="11"/>
    </row>
    <row r="431" spans="1:30" ht="16" x14ac:dyDescent="0.2">
      <c r="A431" s="11"/>
      <c r="B431" s="12"/>
      <c r="C431" s="12"/>
      <c r="D431" s="12"/>
      <c r="E431" s="12"/>
      <c r="F431" s="12"/>
      <c r="G431" s="12"/>
      <c r="H431" s="12"/>
      <c r="I431" s="12"/>
      <c r="J431" s="12"/>
      <c r="K431" s="12"/>
      <c r="L431" s="12"/>
      <c r="M431" s="11"/>
      <c r="N431" s="11"/>
      <c r="O431" s="11"/>
      <c r="P431" s="11"/>
      <c r="Q431" s="11"/>
      <c r="R431" s="11"/>
      <c r="S431" s="11"/>
      <c r="T431" s="11"/>
      <c r="U431" s="11"/>
      <c r="V431" s="11"/>
      <c r="W431" s="11"/>
      <c r="X431" s="11"/>
      <c r="Y431" s="11"/>
      <c r="Z431" s="11"/>
      <c r="AA431" s="11"/>
      <c r="AB431" s="11"/>
      <c r="AC431" s="11"/>
      <c r="AD431" s="11"/>
    </row>
    <row r="432" spans="1:30" ht="16" x14ac:dyDescent="0.2">
      <c r="A432" s="11"/>
      <c r="B432" s="12"/>
      <c r="C432" s="12"/>
      <c r="D432" s="12"/>
      <c r="E432" s="12"/>
      <c r="F432" s="12"/>
      <c r="G432" s="12"/>
      <c r="H432" s="12"/>
      <c r="I432" s="12"/>
      <c r="J432" s="12"/>
      <c r="K432" s="12"/>
      <c r="L432" s="12"/>
      <c r="M432" s="11"/>
      <c r="N432" s="11"/>
      <c r="O432" s="11"/>
      <c r="P432" s="11"/>
      <c r="Q432" s="11"/>
      <c r="R432" s="11"/>
      <c r="S432" s="11"/>
      <c r="T432" s="11"/>
      <c r="U432" s="11"/>
      <c r="V432" s="11"/>
      <c r="W432" s="11"/>
      <c r="X432" s="11"/>
      <c r="Y432" s="11"/>
      <c r="Z432" s="11"/>
      <c r="AA432" s="11"/>
      <c r="AB432" s="11"/>
      <c r="AC432" s="11"/>
      <c r="AD432" s="11"/>
    </row>
    <row r="433" spans="1:30" ht="16" x14ac:dyDescent="0.2">
      <c r="A433" s="11"/>
      <c r="B433" s="12"/>
      <c r="C433" s="12"/>
      <c r="D433" s="12"/>
      <c r="E433" s="12"/>
      <c r="F433" s="12"/>
      <c r="G433" s="12"/>
      <c r="H433" s="12"/>
      <c r="I433" s="12"/>
      <c r="J433" s="12"/>
      <c r="K433" s="12"/>
      <c r="L433" s="12"/>
      <c r="M433" s="11"/>
      <c r="N433" s="11"/>
      <c r="O433" s="11"/>
      <c r="P433" s="11"/>
      <c r="Q433" s="11"/>
      <c r="R433" s="11"/>
      <c r="S433" s="11"/>
      <c r="T433" s="11"/>
      <c r="U433" s="11"/>
      <c r="V433" s="11"/>
      <c r="W433" s="11"/>
      <c r="X433" s="11"/>
      <c r="Y433" s="11"/>
      <c r="Z433" s="11"/>
      <c r="AA433" s="11"/>
      <c r="AB433" s="11"/>
      <c r="AC433" s="11"/>
      <c r="AD433" s="11"/>
    </row>
    <row r="434" spans="1:30" ht="16" x14ac:dyDescent="0.2">
      <c r="A434" s="11"/>
      <c r="B434" s="12"/>
      <c r="C434" s="12"/>
      <c r="D434" s="12"/>
      <c r="E434" s="12"/>
      <c r="F434" s="12"/>
      <c r="G434" s="12"/>
      <c r="H434" s="12"/>
      <c r="I434" s="12"/>
      <c r="J434" s="12"/>
      <c r="K434" s="12"/>
      <c r="L434" s="12"/>
      <c r="M434" s="11"/>
      <c r="N434" s="11"/>
      <c r="O434" s="11"/>
      <c r="P434" s="11"/>
      <c r="Q434" s="11"/>
      <c r="R434" s="11"/>
      <c r="S434" s="11"/>
      <c r="T434" s="11"/>
      <c r="U434" s="11"/>
      <c r="V434" s="11"/>
      <c r="W434" s="11"/>
      <c r="X434" s="11"/>
      <c r="Y434" s="11"/>
      <c r="Z434" s="11"/>
      <c r="AA434" s="11"/>
      <c r="AB434" s="11"/>
      <c r="AC434" s="11"/>
      <c r="AD434" s="11"/>
    </row>
    <row r="435" spans="1:30" ht="16" x14ac:dyDescent="0.2">
      <c r="A435" s="11"/>
      <c r="B435" s="12"/>
      <c r="C435" s="12"/>
      <c r="D435" s="12"/>
      <c r="E435" s="12"/>
      <c r="F435" s="12"/>
      <c r="G435" s="12"/>
      <c r="H435" s="12"/>
      <c r="I435" s="12"/>
      <c r="J435" s="12"/>
      <c r="K435" s="12"/>
      <c r="L435" s="12"/>
      <c r="M435" s="11"/>
      <c r="N435" s="11"/>
      <c r="O435" s="11"/>
      <c r="P435" s="11"/>
      <c r="Q435" s="11"/>
      <c r="R435" s="11"/>
      <c r="S435" s="11"/>
      <c r="T435" s="11"/>
      <c r="U435" s="11"/>
      <c r="V435" s="11"/>
      <c r="W435" s="11"/>
      <c r="X435" s="11"/>
      <c r="Y435" s="11"/>
      <c r="Z435" s="11"/>
      <c r="AA435" s="11"/>
      <c r="AB435" s="11"/>
      <c r="AC435" s="11"/>
      <c r="AD435" s="11"/>
    </row>
    <row r="436" spans="1:30" ht="16" x14ac:dyDescent="0.2">
      <c r="A436" s="11"/>
      <c r="B436" s="12"/>
      <c r="C436" s="12"/>
      <c r="D436" s="12"/>
      <c r="E436" s="12"/>
      <c r="F436" s="12"/>
      <c r="G436" s="12"/>
      <c r="H436" s="12"/>
      <c r="I436" s="12"/>
      <c r="J436" s="12"/>
      <c r="K436" s="12"/>
      <c r="L436" s="12"/>
      <c r="M436" s="11"/>
      <c r="N436" s="11"/>
      <c r="O436" s="11"/>
      <c r="P436" s="11"/>
      <c r="Q436" s="11"/>
      <c r="R436" s="11"/>
      <c r="S436" s="11"/>
      <c r="T436" s="11"/>
      <c r="U436" s="11"/>
      <c r="V436" s="11"/>
      <c r="W436" s="11"/>
      <c r="X436" s="11"/>
      <c r="Y436" s="11"/>
      <c r="Z436" s="11"/>
      <c r="AA436" s="11"/>
      <c r="AB436" s="11"/>
      <c r="AC436" s="11"/>
      <c r="AD436" s="11"/>
    </row>
    <row r="437" spans="1:30" ht="16" x14ac:dyDescent="0.2">
      <c r="A437" s="11"/>
      <c r="B437" s="12"/>
      <c r="C437" s="12"/>
      <c r="D437" s="12"/>
      <c r="E437" s="12"/>
      <c r="F437" s="12"/>
      <c r="G437" s="12"/>
      <c r="H437" s="12"/>
      <c r="I437" s="12"/>
      <c r="J437" s="12"/>
      <c r="K437" s="12"/>
      <c r="L437" s="12"/>
      <c r="M437" s="11"/>
      <c r="N437" s="11"/>
      <c r="O437" s="11"/>
      <c r="P437" s="11"/>
      <c r="Q437" s="11"/>
      <c r="R437" s="11"/>
      <c r="S437" s="11"/>
      <c r="T437" s="11"/>
      <c r="U437" s="11"/>
      <c r="V437" s="11"/>
      <c r="W437" s="11"/>
      <c r="X437" s="11"/>
      <c r="Y437" s="11"/>
      <c r="Z437" s="11"/>
      <c r="AA437" s="11"/>
      <c r="AB437" s="11"/>
      <c r="AC437" s="11"/>
      <c r="AD437" s="11"/>
    </row>
    <row r="438" spans="1:30" ht="16" x14ac:dyDescent="0.2">
      <c r="A438" s="11"/>
      <c r="B438" s="12"/>
      <c r="C438" s="12"/>
      <c r="D438" s="12"/>
      <c r="E438" s="12"/>
      <c r="F438" s="12"/>
      <c r="G438" s="12"/>
      <c r="H438" s="12"/>
      <c r="I438" s="12"/>
      <c r="J438" s="12"/>
      <c r="K438" s="12"/>
      <c r="L438" s="12"/>
      <c r="M438" s="11"/>
      <c r="N438" s="11"/>
      <c r="O438" s="11"/>
      <c r="P438" s="11"/>
      <c r="Q438" s="11"/>
      <c r="R438" s="11"/>
      <c r="S438" s="11"/>
      <c r="T438" s="11"/>
      <c r="U438" s="11"/>
      <c r="V438" s="11"/>
      <c r="W438" s="11"/>
      <c r="X438" s="11"/>
      <c r="Y438" s="11"/>
      <c r="Z438" s="11"/>
      <c r="AA438" s="11"/>
      <c r="AB438" s="11"/>
      <c r="AC438" s="11"/>
      <c r="AD438" s="11"/>
    </row>
    <row r="439" spans="1:30" ht="16" x14ac:dyDescent="0.2">
      <c r="A439" s="11"/>
      <c r="B439" s="12"/>
      <c r="C439" s="12"/>
      <c r="D439" s="12"/>
      <c r="E439" s="12"/>
      <c r="F439" s="12"/>
      <c r="G439" s="12"/>
      <c r="H439" s="12"/>
      <c r="I439" s="12"/>
      <c r="J439" s="12"/>
      <c r="K439" s="12"/>
      <c r="L439" s="12"/>
      <c r="M439" s="11"/>
      <c r="N439" s="11"/>
      <c r="O439" s="11"/>
      <c r="P439" s="11"/>
      <c r="Q439" s="11"/>
      <c r="R439" s="11"/>
      <c r="S439" s="11"/>
      <c r="T439" s="11"/>
      <c r="U439" s="11"/>
      <c r="V439" s="11"/>
      <c r="W439" s="11"/>
      <c r="X439" s="11"/>
      <c r="Y439" s="11"/>
      <c r="Z439" s="11"/>
      <c r="AA439" s="11"/>
      <c r="AB439" s="11"/>
      <c r="AC439" s="11"/>
      <c r="AD439" s="11"/>
    </row>
    <row r="440" spans="1:30" ht="16" x14ac:dyDescent="0.2">
      <c r="A440" s="11"/>
      <c r="B440" s="12"/>
      <c r="C440" s="12"/>
      <c r="D440" s="12"/>
      <c r="E440" s="12"/>
      <c r="F440" s="12"/>
      <c r="G440" s="12"/>
      <c r="H440" s="12"/>
      <c r="I440" s="12"/>
      <c r="J440" s="12"/>
      <c r="K440" s="12"/>
      <c r="L440" s="12"/>
      <c r="M440" s="11"/>
      <c r="N440" s="11"/>
      <c r="O440" s="11"/>
      <c r="P440" s="11"/>
      <c r="Q440" s="11"/>
      <c r="R440" s="11"/>
      <c r="S440" s="11"/>
      <c r="T440" s="11"/>
      <c r="U440" s="11"/>
      <c r="V440" s="11"/>
      <c r="W440" s="11"/>
      <c r="X440" s="11"/>
      <c r="Y440" s="11"/>
      <c r="Z440" s="11"/>
      <c r="AA440" s="11"/>
      <c r="AB440" s="11"/>
      <c r="AC440" s="11"/>
      <c r="AD440" s="11"/>
    </row>
    <row r="441" spans="1:30" ht="16" x14ac:dyDescent="0.2">
      <c r="A441" s="11"/>
      <c r="B441" s="12"/>
      <c r="C441" s="12"/>
      <c r="D441" s="12"/>
      <c r="E441" s="12"/>
      <c r="F441" s="12"/>
      <c r="G441" s="12"/>
      <c r="H441" s="12"/>
      <c r="I441" s="12"/>
      <c r="J441" s="12"/>
      <c r="K441" s="12"/>
      <c r="L441" s="12"/>
      <c r="M441" s="11"/>
      <c r="N441" s="11"/>
      <c r="O441" s="11"/>
      <c r="P441" s="11"/>
      <c r="Q441" s="11"/>
      <c r="R441" s="11"/>
      <c r="S441" s="11"/>
      <c r="T441" s="11"/>
      <c r="U441" s="11"/>
      <c r="V441" s="11"/>
      <c r="W441" s="11"/>
      <c r="X441" s="11"/>
      <c r="Y441" s="11"/>
      <c r="Z441" s="11"/>
      <c r="AA441" s="11"/>
      <c r="AB441" s="11"/>
      <c r="AC441" s="11"/>
      <c r="AD441" s="11"/>
    </row>
    <row r="442" spans="1:30" ht="16" x14ac:dyDescent="0.2">
      <c r="A442" s="11"/>
      <c r="B442" s="12"/>
      <c r="C442" s="12"/>
      <c r="D442" s="12"/>
      <c r="E442" s="12"/>
      <c r="F442" s="12"/>
      <c r="G442" s="12"/>
      <c r="H442" s="12"/>
      <c r="I442" s="12"/>
      <c r="J442" s="12"/>
      <c r="K442" s="12"/>
      <c r="L442" s="12"/>
      <c r="M442" s="11"/>
      <c r="N442" s="11"/>
      <c r="O442" s="11"/>
      <c r="P442" s="11"/>
      <c r="Q442" s="11"/>
      <c r="R442" s="11"/>
      <c r="S442" s="11"/>
      <c r="T442" s="11"/>
      <c r="U442" s="11"/>
      <c r="V442" s="11"/>
      <c r="W442" s="11"/>
      <c r="X442" s="11"/>
      <c r="Y442" s="11"/>
      <c r="Z442" s="11"/>
      <c r="AA442" s="11"/>
      <c r="AB442" s="11"/>
      <c r="AC442" s="11"/>
      <c r="AD442" s="11"/>
    </row>
    <row r="443" spans="1:30" ht="16" x14ac:dyDescent="0.2">
      <c r="A443" s="11"/>
      <c r="B443" s="12"/>
      <c r="C443" s="12"/>
      <c r="D443" s="12"/>
      <c r="E443" s="12"/>
      <c r="F443" s="12"/>
      <c r="G443" s="12"/>
      <c r="H443" s="12"/>
      <c r="I443" s="12"/>
      <c r="J443" s="12"/>
      <c r="K443" s="12"/>
      <c r="L443" s="12"/>
      <c r="M443" s="11"/>
      <c r="N443" s="11"/>
      <c r="O443" s="11"/>
      <c r="P443" s="11"/>
      <c r="Q443" s="11"/>
      <c r="R443" s="11"/>
      <c r="S443" s="11"/>
      <c r="T443" s="11"/>
      <c r="U443" s="11"/>
      <c r="V443" s="11"/>
      <c r="W443" s="11"/>
      <c r="X443" s="11"/>
      <c r="Y443" s="11"/>
      <c r="Z443" s="11"/>
      <c r="AA443" s="11"/>
      <c r="AB443" s="11"/>
      <c r="AC443" s="11"/>
      <c r="AD443" s="11"/>
    </row>
    <row r="444" spans="1:30" ht="16" x14ac:dyDescent="0.2">
      <c r="A444" s="11"/>
      <c r="B444" s="12"/>
      <c r="C444" s="12"/>
      <c r="D444" s="12"/>
      <c r="E444" s="12"/>
      <c r="F444" s="12"/>
      <c r="G444" s="12"/>
      <c r="H444" s="12"/>
      <c r="I444" s="12"/>
      <c r="J444" s="12"/>
      <c r="K444" s="12"/>
      <c r="L444" s="12"/>
      <c r="M444" s="11"/>
      <c r="N444" s="11"/>
      <c r="O444" s="11"/>
      <c r="P444" s="11"/>
      <c r="Q444" s="11"/>
      <c r="R444" s="11"/>
      <c r="S444" s="11"/>
      <c r="T444" s="11"/>
      <c r="U444" s="11"/>
      <c r="V444" s="11"/>
      <c r="W444" s="11"/>
      <c r="X444" s="11"/>
      <c r="Y444" s="11"/>
      <c r="Z444" s="11"/>
      <c r="AA444" s="11"/>
      <c r="AB444" s="11"/>
      <c r="AC444" s="11"/>
      <c r="AD444" s="11"/>
    </row>
    <row r="445" spans="1:30" ht="16" x14ac:dyDescent="0.2">
      <c r="A445" s="11"/>
      <c r="B445" s="12"/>
      <c r="C445" s="12"/>
      <c r="D445" s="12"/>
      <c r="E445" s="12"/>
      <c r="F445" s="12"/>
      <c r="G445" s="12"/>
      <c r="H445" s="12"/>
      <c r="I445" s="12"/>
      <c r="J445" s="12"/>
      <c r="K445" s="12"/>
      <c r="L445" s="12"/>
      <c r="M445" s="11"/>
      <c r="N445" s="11"/>
      <c r="O445" s="11"/>
      <c r="P445" s="11"/>
      <c r="Q445" s="11"/>
      <c r="R445" s="11"/>
      <c r="S445" s="11"/>
      <c r="T445" s="11"/>
      <c r="U445" s="11"/>
      <c r="V445" s="11"/>
      <c r="W445" s="11"/>
      <c r="X445" s="11"/>
      <c r="Y445" s="11"/>
      <c r="Z445" s="11"/>
      <c r="AA445" s="11"/>
      <c r="AB445" s="11"/>
      <c r="AC445" s="11"/>
      <c r="AD445" s="11"/>
    </row>
    <row r="446" spans="1:30" ht="16" x14ac:dyDescent="0.2">
      <c r="A446" s="11"/>
      <c r="B446" s="12"/>
      <c r="C446" s="12"/>
      <c r="D446" s="12"/>
      <c r="E446" s="12"/>
      <c r="F446" s="12"/>
      <c r="G446" s="12"/>
      <c r="H446" s="12"/>
      <c r="I446" s="12"/>
      <c r="J446" s="12"/>
      <c r="K446" s="12"/>
      <c r="L446" s="12"/>
      <c r="M446" s="11"/>
      <c r="N446" s="11"/>
      <c r="O446" s="11"/>
      <c r="P446" s="11"/>
      <c r="Q446" s="11"/>
      <c r="R446" s="11"/>
      <c r="S446" s="11"/>
      <c r="T446" s="11"/>
      <c r="U446" s="11"/>
      <c r="V446" s="11"/>
      <c r="W446" s="11"/>
      <c r="X446" s="11"/>
      <c r="Y446" s="11"/>
      <c r="Z446" s="11"/>
      <c r="AA446" s="11"/>
      <c r="AB446" s="11"/>
      <c r="AC446" s="11"/>
      <c r="AD446" s="11"/>
    </row>
    <row r="447" spans="1:30" ht="16" x14ac:dyDescent="0.2">
      <c r="A447" s="11"/>
      <c r="B447" s="12"/>
      <c r="C447" s="12"/>
      <c r="D447" s="12"/>
      <c r="E447" s="12"/>
      <c r="F447" s="12"/>
      <c r="G447" s="12"/>
      <c r="H447" s="12"/>
      <c r="I447" s="12"/>
      <c r="J447" s="12"/>
      <c r="K447" s="12"/>
      <c r="L447" s="12"/>
      <c r="M447" s="11"/>
      <c r="N447" s="11"/>
      <c r="O447" s="11"/>
      <c r="P447" s="11"/>
      <c r="Q447" s="11"/>
      <c r="R447" s="11"/>
      <c r="S447" s="11"/>
      <c r="T447" s="11"/>
      <c r="U447" s="11"/>
      <c r="V447" s="11"/>
      <c r="W447" s="11"/>
      <c r="X447" s="11"/>
      <c r="Y447" s="11"/>
      <c r="Z447" s="11"/>
      <c r="AA447" s="11"/>
      <c r="AB447" s="11"/>
      <c r="AC447" s="11"/>
      <c r="AD447" s="11"/>
    </row>
    <row r="448" spans="1:30" ht="16" x14ac:dyDescent="0.2">
      <c r="A448" s="11"/>
      <c r="B448" s="12"/>
      <c r="C448" s="12"/>
      <c r="D448" s="12"/>
      <c r="E448" s="12"/>
      <c r="F448" s="12"/>
      <c r="G448" s="12"/>
      <c r="H448" s="12"/>
      <c r="I448" s="12"/>
      <c r="J448" s="12"/>
      <c r="K448" s="12"/>
      <c r="L448" s="12"/>
      <c r="M448" s="11"/>
      <c r="N448" s="11"/>
      <c r="O448" s="11"/>
      <c r="P448" s="11"/>
      <c r="Q448" s="11"/>
      <c r="R448" s="11"/>
      <c r="S448" s="11"/>
      <c r="T448" s="11"/>
      <c r="U448" s="11"/>
      <c r="V448" s="11"/>
      <c r="W448" s="11"/>
      <c r="X448" s="11"/>
      <c r="Y448" s="11"/>
      <c r="Z448" s="11"/>
      <c r="AA448" s="11"/>
      <c r="AB448" s="11"/>
      <c r="AC448" s="11"/>
      <c r="AD448" s="11"/>
    </row>
    <row r="449" spans="1:30" ht="16" x14ac:dyDescent="0.2">
      <c r="A449" s="11"/>
      <c r="B449" s="12"/>
      <c r="C449" s="12"/>
      <c r="D449" s="12"/>
      <c r="E449" s="12"/>
      <c r="F449" s="12"/>
      <c r="G449" s="12"/>
      <c r="H449" s="12"/>
      <c r="I449" s="12"/>
      <c r="J449" s="12"/>
      <c r="K449" s="12"/>
      <c r="L449" s="12"/>
      <c r="M449" s="11"/>
      <c r="N449" s="11"/>
      <c r="O449" s="11"/>
      <c r="P449" s="11"/>
      <c r="Q449" s="11"/>
      <c r="R449" s="11"/>
      <c r="S449" s="11"/>
      <c r="T449" s="11"/>
      <c r="U449" s="11"/>
      <c r="V449" s="11"/>
      <c r="W449" s="11"/>
      <c r="X449" s="11"/>
      <c r="Y449" s="11"/>
      <c r="Z449" s="11"/>
      <c r="AA449" s="11"/>
      <c r="AB449" s="11"/>
      <c r="AC449" s="11"/>
      <c r="AD449" s="11"/>
    </row>
    <row r="450" spans="1:30" ht="16" x14ac:dyDescent="0.2">
      <c r="A450" s="11"/>
      <c r="B450" s="12"/>
      <c r="C450" s="12"/>
      <c r="D450" s="12"/>
      <c r="E450" s="12"/>
      <c r="F450" s="12"/>
      <c r="G450" s="12"/>
      <c r="H450" s="12"/>
      <c r="I450" s="12"/>
      <c r="J450" s="12"/>
      <c r="K450" s="12"/>
      <c r="L450" s="12"/>
      <c r="M450" s="11"/>
      <c r="N450" s="11"/>
      <c r="O450" s="11"/>
      <c r="P450" s="11"/>
      <c r="Q450" s="11"/>
      <c r="R450" s="11"/>
      <c r="S450" s="11"/>
      <c r="T450" s="11"/>
      <c r="U450" s="11"/>
      <c r="V450" s="11"/>
      <c r="W450" s="11"/>
      <c r="X450" s="11"/>
      <c r="Y450" s="11"/>
      <c r="Z450" s="11"/>
      <c r="AA450" s="11"/>
      <c r="AB450" s="11"/>
      <c r="AC450" s="11"/>
      <c r="AD450" s="11"/>
    </row>
    <row r="451" spans="1:30" ht="16" x14ac:dyDescent="0.2">
      <c r="A451" s="11"/>
      <c r="B451" s="12"/>
      <c r="C451" s="12"/>
      <c r="D451" s="12"/>
      <c r="E451" s="12"/>
      <c r="F451" s="12"/>
      <c r="G451" s="12"/>
      <c r="H451" s="12"/>
      <c r="I451" s="12"/>
      <c r="J451" s="12"/>
      <c r="K451" s="12"/>
      <c r="L451" s="12"/>
      <c r="M451" s="11"/>
      <c r="N451" s="11"/>
      <c r="O451" s="11"/>
      <c r="P451" s="11"/>
      <c r="Q451" s="11"/>
      <c r="R451" s="11"/>
      <c r="S451" s="11"/>
      <c r="T451" s="11"/>
      <c r="U451" s="11"/>
      <c r="V451" s="11"/>
      <c r="W451" s="11"/>
      <c r="X451" s="11"/>
      <c r="Y451" s="11"/>
      <c r="Z451" s="11"/>
      <c r="AA451" s="11"/>
      <c r="AB451" s="11"/>
      <c r="AC451" s="11"/>
      <c r="AD451" s="11"/>
    </row>
    <row r="452" spans="1:30" ht="16" x14ac:dyDescent="0.2">
      <c r="A452" s="11"/>
      <c r="B452" s="12"/>
      <c r="C452" s="12"/>
      <c r="D452" s="12"/>
      <c r="E452" s="12"/>
      <c r="F452" s="12"/>
      <c r="G452" s="12"/>
      <c r="H452" s="12"/>
      <c r="I452" s="12"/>
      <c r="J452" s="12"/>
      <c r="K452" s="12"/>
      <c r="L452" s="12"/>
      <c r="M452" s="11"/>
      <c r="N452" s="11"/>
      <c r="O452" s="11"/>
      <c r="P452" s="11"/>
      <c r="Q452" s="11"/>
      <c r="R452" s="11"/>
      <c r="S452" s="11"/>
      <c r="T452" s="11"/>
      <c r="U452" s="11"/>
      <c r="V452" s="11"/>
      <c r="W452" s="11"/>
      <c r="X452" s="11"/>
      <c r="Y452" s="11"/>
      <c r="Z452" s="11"/>
      <c r="AA452" s="11"/>
      <c r="AB452" s="11"/>
      <c r="AC452" s="11"/>
      <c r="AD452" s="11"/>
    </row>
    <row r="453" spans="1:30" ht="16" x14ac:dyDescent="0.2">
      <c r="A453" s="11"/>
      <c r="B453" s="12"/>
      <c r="C453" s="12"/>
      <c r="D453" s="12"/>
      <c r="E453" s="12"/>
      <c r="F453" s="12"/>
      <c r="G453" s="12"/>
      <c r="H453" s="12"/>
      <c r="I453" s="12"/>
      <c r="J453" s="12"/>
      <c r="K453" s="12"/>
      <c r="L453" s="12"/>
      <c r="M453" s="11"/>
      <c r="N453" s="11"/>
      <c r="O453" s="11"/>
      <c r="P453" s="11"/>
      <c r="Q453" s="11"/>
      <c r="R453" s="11"/>
      <c r="S453" s="11"/>
      <c r="T453" s="11"/>
      <c r="U453" s="11"/>
      <c r="V453" s="11"/>
      <c r="W453" s="11"/>
      <c r="X453" s="11"/>
      <c r="Y453" s="11"/>
      <c r="Z453" s="11"/>
      <c r="AA453" s="11"/>
      <c r="AB453" s="11"/>
      <c r="AC453" s="11"/>
      <c r="AD453" s="11"/>
    </row>
    <row r="454" spans="1:30" ht="16" x14ac:dyDescent="0.2">
      <c r="A454" s="11"/>
      <c r="B454" s="12"/>
      <c r="C454" s="12"/>
      <c r="D454" s="12"/>
      <c r="E454" s="12"/>
      <c r="F454" s="12"/>
      <c r="G454" s="12"/>
      <c r="H454" s="12"/>
      <c r="I454" s="12"/>
      <c r="J454" s="12"/>
      <c r="K454" s="12"/>
      <c r="L454" s="12"/>
      <c r="M454" s="11"/>
      <c r="N454" s="11"/>
      <c r="O454" s="11"/>
      <c r="P454" s="11"/>
      <c r="Q454" s="11"/>
      <c r="R454" s="11"/>
      <c r="S454" s="11"/>
      <c r="T454" s="11"/>
      <c r="U454" s="11"/>
      <c r="V454" s="11"/>
      <c r="W454" s="11"/>
      <c r="X454" s="11"/>
      <c r="Y454" s="11"/>
      <c r="Z454" s="11"/>
      <c r="AA454" s="11"/>
      <c r="AB454" s="11"/>
      <c r="AC454" s="11"/>
      <c r="AD454" s="11"/>
    </row>
    <row r="455" spans="1:30" ht="16" x14ac:dyDescent="0.2">
      <c r="A455" s="11"/>
      <c r="B455" s="12"/>
      <c r="C455" s="12"/>
      <c r="D455" s="12"/>
      <c r="E455" s="12"/>
      <c r="F455" s="12"/>
      <c r="G455" s="12"/>
      <c r="H455" s="12"/>
      <c r="I455" s="12"/>
      <c r="J455" s="12"/>
      <c r="K455" s="12"/>
      <c r="L455" s="12"/>
      <c r="M455" s="11"/>
      <c r="N455" s="11"/>
      <c r="O455" s="11"/>
      <c r="P455" s="11"/>
      <c r="Q455" s="11"/>
      <c r="R455" s="11"/>
      <c r="S455" s="11"/>
      <c r="T455" s="11"/>
      <c r="U455" s="11"/>
      <c r="V455" s="11"/>
      <c r="W455" s="11"/>
      <c r="X455" s="11"/>
      <c r="Y455" s="11"/>
      <c r="Z455" s="11"/>
      <c r="AA455" s="11"/>
      <c r="AB455" s="11"/>
      <c r="AC455" s="11"/>
      <c r="AD455" s="11"/>
    </row>
    <row r="456" spans="1:30" ht="16" x14ac:dyDescent="0.2">
      <c r="A456" s="11"/>
      <c r="B456" s="12"/>
      <c r="C456" s="12"/>
      <c r="D456" s="12"/>
      <c r="E456" s="12"/>
      <c r="F456" s="12"/>
      <c r="G456" s="12"/>
      <c r="H456" s="12"/>
      <c r="I456" s="12"/>
      <c r="J456" s="12"/>
      <c r="K456" s="12"/>
      <c r="L456" s="12"/>
      <c r="M456" s="11"/>
      <c r="N456" s="11"/>
      <c r="O456" s="11"/>
      <c r="P456" s="11"/>
      <c r="Q456" s="11"/>
      <c r="R456" s="11"/>
      <c r="S456" s="11"/>
      <c r="T456" s="11"/>
      <c r="U456" s="11"/>
      <c r="V456" s="11"/>
      <c r="W456" s="11"/>
      <c r="X456" s="11"/>
      <c r="Y456" s="11"/>
      <c r="Z456" s="11"/>
      <c r="AA456" s="11"/>
      <c r="AB456" s="11"/>
      <c r="AC456" s="11"/>
      <c r="AD456" s="11"/>
    </row>
    <row r="457" spans="1:30" ht="16" x14ac:dyDescent="0.2">
      <c r="A457" s="11"/>
      <c r="B457" s="12"/>
      <c r="C457" s="12"/>
      <c r="D457" s="12"/>
      <c r="E457" s="12"/>
      <c r="F457" s="12"/>
      <c r="G457" s="12"/>
      <c r="H457" s="12"/>
      <c r="I457" s="12"/>
      <c r="J457" s="12"/>
      <c r="K457" s="12"/>
      <c r="L457" s="12"/>
      <c r="M457" s="11"/>
      <c r="N457" s="11"/>
      <c r="O457" s="11"/>
      <c r="P457" s="11"/>
      <c r="Q457" s="11"/>
      <c r="R457" s="11"/>
      <c r="S457" s="11"/>
      <c r="T457" s="11"/>
      <c r="U457" s="11"/>
      <c r="V457" s="11"/>
      <c r="W457" s="11"/>
      <c r="X457" s="11"/>
      <c r="Y457" s="11"/>
      <c r="Z457" s="11"/>
      <c r="AA457" s="11"/>
      <c r="AB457" s="11"/>
      <c r="AC457" s="11"/>
      <c r="AD457" s="11"/>
    </row>
    <row r="458" spans="1:30" ht="16" x14ac:dyDescent="0.2">
      <c r="A458" s="11"/>
      <c r="B458" s="12"/>
      <c r="C458" s="12"/>
      <c r="D458" s="12"/>
      <c r="E458" s="12"/>
      <c r="F458" s="12"/>
      <c r="G458" s="12"/>
      <c r="H458" s="12"/>
      <c r="I458" s="12"/>
      <c r="J458" s="12"/>
      <c r="K458" s="12"/>
      <c r="L458" s="12"/>
      <c r="M458" s="11"/>
      <c r="N458" s="11"/>
      <c r="O458" s="11"/>
      <c r="P458" s="11"/>
      <c r="Q458" s="11"/>
      <c r="R458" s="11"/>
      <c r="S458" s="11"/>
      <c r="T458" s="11"/>
      <c r="U458" s="11"/>
      <c r="V458" s="11"/>
      <c r="W458" s="11"/>
      <c r="X458" s="11"/>
      <c r="Y458" s="11"/>
      <c r="Z458" s="11"/>
      <c r="AA458" s="11"/>
      <c r="AB458" s="11"/>
      <c r="AC458" s="11"/>
      <c r="AD458" s="11"/>
    </row>
    <row r="459" spans="1:30" ht="16" x14ac:dyDescent="0.2">
      <c r="A459" s="11"/>
      <c r="B459" s="12"/>
      <c r="C459" s="12"/>
      <c r="D459" s="12"/>
      <c r="E459" s="12"/>
      <c r="F459" s="12"/>
      <c r="G459" s="12"/>
      <c r="H459" s="12"/>
      <c r="I459" s="12"/>
      <c r="J459" s="12"/>
      <c r="K459" s="12"/>
      <c r="L459" s="12"/>
      <c r="M459" s="11"/>
      <c r="N459" s="11"/>
      <c r="O459" s="11"/>
      <c r="P459" s="11"/>
      <c r="Q459" s="11"/>
      <c r="R459" s="11"/>
      <c r="S459" s="11"/>
      <c r="T459" s="11"/>
      <c r="U459" s="11"/>
      <c r="V459" s="11"/>
      <c r="W459" s="11"/>
      <c r="X459" s="11"/>
      <c r="Y459" s="11"/>
      <c r="Z459" s="11"/>
      <c r="AA459" s="11"/>
      <c r="AB459" s="11"/>
      <c r="AC459" s="11"/>
      <c r="AD459" s="11"/>
    </row>
    <row r="460" spans="1:30" ht="16" x14ac:dyDescent="0.2">
      <c r="A460" s="11"/>
      <c r="B460" s="12"/>
      <c r="C460" s="12"/>
      <c r="D460" s="12"/>
      <c r="E460" s="12"/>
      <c r="F460" s="12"/>
      <c r="G460" s="12"/>
      <c r="H460" s="12"/>
      <c r="I460" s="12"/>
      <c r="J460" s="12"/>
      <c r="K460" s="12"/>
      <c r="L460" s="12"/>
      <c r="M460" s="11"/>
      <c r="N460" s="11"/>
      <c r="O460" s="11"/>
      <c r="P460" s="11"/>
      <c r="Q460" s="11"/>
      <c r="R460" s="11"/>
      <c r="S460" s="11"/>
      <c r="T460" s="11"/>
      <c r="U460" s="11"/>
      <c r="V460" s="11"/>
      <c r="W460" s="11"/>
      <c r="X460" s="11"/>
      <c r="Y460" s="11"/>
      <c r="Z460" s="11"/>
      <c r="AA460" s="11"/>
      <c r="AB460" s="11"/>
      <c r="AC460" s="11"/>
      <c r="AD460" s="11"/>
    </row>
    <row r="461" spans="1:30" ht="16" x14ac:dyDescent="0.2">
      <c r="A461" s="11"/>
      <c r="B461" s="12"/>
      <c r="C461" s="12"/>
      <c r="D461" s="12"/>
      <c r="E461" s="12"/>
      <c r="F461" s="12"/>
      <c r="G461" s="12"/>
      <c r="H461" s="12"/>
      <c r="I461" s="12"/>
      <c r="J461" s="12"/>
      <c r="K461" s="12"/>
      <c r="L461" s="12"/>
      <c r="M461" s="11"/>
      <c r="N461" s="11"/>
      <c r="O461" s="11"/>
      <c r="P461" s="11"/>
      <c r="Q461" s="11"/>
      <c r="R461" s="11"/>
      <c r="S461" s="11"/>
      <c r="T461" s="11"/>
      <c r="U461" s="11"/>
      <c r="V461" s="11"/>
      <c r="W461" s="11"/>
      <c r="X461" s="11"/>
      <c r="Y461" s="11"/>
      <c r="Z461" s="11"/>
      <c r="AA461" s="11"/>
      <c r="AB461" s="11"/>
      <c r="AC461" s="11"/>
      <c r="AD461" s="11"/>
    </row>
    <row r="462" spans="1:30" ht="16" x14ac:dyDescent="0.2">
      <c r="A462" s="11"/>
      <c r="B462" s="12"/>
      <c r="C462" s="12"/>
      <c r="D462" s="12"/>
      <c r="E462" s="12"/>
      <c r="F462" s="12"/>
      <c r="G462" s="12"/>
      <c r="H462" s="12"/>
      <c r="I462" s="12"/>
      <c r="J462" s="12"/>
      <c r="K462" s="12"/>
      <c r="L462" s="12"/>
      <c r="M462" s="11"/>
      <c r="N462" s="11"/>
      <c r="O462" s="11"/>
      <c r="P462" s="11"/>
      <c r="Q462" s="11"/>
      <c r="R462" s="11"/>
      <c r="S462" s="11"/>
      <c r="T462" s="11"/>
      <c r="U462" s="11"/>
      <c r="V462" s="11"/>
      <c r="W462" s="11"/>
      <c r="X462" s="11"/>
      <c r="Y462" s="11"/>
      <c r="Z462" s="11"/>
      <c r="AA462" s="11"/>
      <c r="AB462" s="11"/>
      <c r="AC462" s="11"/>
      <c r="AD462" s="11"/>
    </row>
    <row r="463" spans="1:30" ht="16" x14ac:dyDescent="0.2">
      <c r="A463" s="11"/>
      <c r="B463" s="12"/>
      <c r="C463" s="12"/>
      <c r="D463" s="12"/>
      <c r="E463" s="12"/>
      <c r="F463" s="12"/>
      <c r="G463" s="12"/>
      <c r="H463" s="12"/>
      <c r="I463" s="12"/>
      <c r="J463" s="12"/>
      <c r="K463" s="12"/>
      <c r="L463" s="12"/>
      <c r="M463" s="11"/>
      <c r="N463" s="11"/>
      <c r="O463" s="11"/>
      <c r="P463" s="11"/>
      <c r="Q463" s="11"/>
      <c r="R463" s="11"/>
      <c r="S463" s="11"/>
      <c r="T463" s="11"/>
      <c r="U463" s="11"/>
      <c r="V463" s="11"/>
      <c r="W463" s="11"/>
      <c r="X463" s="11"/>
      <c r="Y463" s="11"/>
      <c r="Z463" s="11"/>
      <c r="AA463" s="11"/>
      <c r="AB463" s="11"/>
      <c r="AC463" s="11"/>
      <c r="AD463" s="11"/>
    </row>
    <row r="464" spans="1:30" ht="16" x14ac:dyDescent="0.2">
      <c r="A464" s="11"/>
      <c r="B464" s="12"/>
      <c r="C464" s="12"/>
      <c r="D464" s="12"/>
      <c r="E464" s="12"/>
      <c r="F464" s="12"/>
      <c r="G464" s="12"/>
      <c r="H464" s="12"/>
      <c r="I464" s="12"/>
      <c r="J464" s="12"/>
      <c r="K464" s="12"/>
      <c r="L464" s="12"/>
      <c r="M464" s="11"/>
      <c r="N464" s="11"/>
      <c r="O464" s="11"/>
      <c r="P464" s="11"/>
      <c r="Q464" s="11"/>
      <c r="R464" s="11"/>
      <c r="S464" s="11"/>
      <c r="T464" s="11"/>
      <c r="U464" s="11"/>
      <c r="V464" s="11"/>
      <c r="W464" s="11"/>
      <c r="X464" s="11"/>
      <c r="Y464" s="11"/>
      <c r="Z464" s="11"/>
      <c r="AA464" s="11"/>
      <c r="AB464" s="11"/>
      <c r="AC464" s="11"/>
      <c r="AD464" s="11"/>
    </row>
    <row r="465" spans="1:30" ht="16" x14ac:dyDescent="0.2">
      <c r="A465" s="11"/>
      <c r="B465" s="12"/>
      <c r="C465" s="12"/>
      <c r="D465" s="12"/>
      <c r="E465" s="12"/>
      <c r="F465" s="12"/>
      <c r="G465" s="12"/>
      <c r="H465" s="12"/>
      <c r="I465" s="12"/>
      <c r="J465" s="12"/>
      <c r="K465" s="12"/>
      <c r="L465" s="12"/>
      <c r="M465" s="11"/>
      <c r="N465" s="11"/>
      <c r="O465" s="11"/>
      <c r="P465" s="11"/>
      <c r="Q465" s="11"/>
      <c r="R465" s="11"/>
      <c r="S465" s="11"/>
      <c r="T465" s="11"/>
      <c r="U465" s="11"/>
      <c r="V465" s="11"/>
      <c r="W465" s="11"/>
      <c r="X465" s="11"/>
      <c r="Y465" s="11"/>
      <c r="Z465" s="11"/>
      <c r="AA465" s="11"/>
      <c r="AB465" s="11"/>
      <c r="AC465" s="11"/>
      <c r="AD465" s="11"/>
    </row>
    <row r="466" spans="1:30" ht="16" x14ac:dyDescent="0.2">
      <c r="A466" s="11"/>
      <c r="B466" s="12"/>
      <c r="C466" s="12"/>
      <c r="D466" s="12"/>
      <c r="E466" s="12"/>
      <c r="F466" s="12"/>
      <c r="G466" s="12"/>
      <c r="H466" s="12"/>
      <c r="I466" s="12"/>
      <c r="J466" s="12"/>
      <c r="K466" s="12"/>
      <c r="L466" s="12"/>
      <c r="M466" s="11"/>
      <c r="N466" s="11"/>
      <c r="O466" s="11"/>
      <c r="P466" s="11"/>
      <c r="Q466" s="11"/>
      <c r="R466" s="11"/>
      <c r="S466" s="11"/>
      <c r="T466" s="11"/>
      <c r="U466" s="11"/>
      <c r="V466" s="11"/>
      <c r="W466" s="11"/>
      <c r="X466" s="11"/>
      <c r="Y466" s="11"/>
      <c r="Z466" s="11"/>
      <c r="AA466" s="11"/>
      <c r="AB466" s="11"/>
      <c r="AC466" s="11"/>
      <c r="AD466" s="11"/>
    </row>
    <row r="467" spans="1:30" ht="16" x14ac:dyDescent="0.2">
      <c r="A467" s="11"/>
      <c r="B467" s="12"/>
      <c r="C467" s="12"/>
      <c r="D467" s="12"/>
      <c r="E467" s="12"/>
      <c r="F467" s="12"/>
      <c r="G467" s="12"/>
      <c r="H467" s="12"/>
      <c r="I467" s="12"/>
      <c r="J467" s="12"/>
      <c r="K467" s="12"/>
      <c r="L467" s="12"/>
      <c r="M467" s="11"/>
      <c r="N467" s="11"/>
      <c r="O467" s="11"/>
      <c r="P467" s="11"/>
      <c r="Q467" s="11"/>
      <c r="R467" s="11"/>
      <c r="S467" s="11"/>
      <c r="T467" s="11"/>
      <c r="U467" s="11"/>
      <c r="V467" s="11"/>
      <c r="W467" s="11"/>
      <c r="X467" s="11"/>
      <c r="Y467" s="11"/>
      <c r="Z467" s="11"/>
      <c r="AA467" s="11"/>
      <c r="AB467" s="11"/>
      <c r="AC467" s="11"/>
      <c r="AD467" s="11"/>
    </row>
    <row r="468" spans="1:30" ht="16" x14ac:dyDescent="0.2">
      <c r="A468" s="11"/>
      <c r="B468" s="12"/>
      <c r="C468" s="12"/>
      <c r="D468" s="12"/>
      <c r="E468" s="12"/>
      <c r="F468" s="12"/>
      <c r="G468" s="12"/>
      <c r="H468" s="12"/>
      <c r="I468" s="12"/>
      <c r="J468" s="12"/>
      <c r="K468" s="12"/>
      <c r="L468" s="12"/>
      <c r="M468" s="11"/>
      <c r="N468" s="11"/>
      <c r="O468" s="11"/>
      <c r="P468" s="11"/>
      <c r="Q468" s="11"/>
      <c r="R468" s="11"/>
      <c r="S468" s="11"/>
      <c r="T468" s="11"/>
      <c r="U468" s="11"/>
      <c r="V468" s="11"/>
      <c r="W468" s="11"/>
      <c r="X468" s="11"/>
      <c r="Y468" s="11"/>
      <c r="Z468" s="11"/>
      <c r="AA468" s="11"/>
      <c r="AB468" s="11"/>
      <c r="AC468" s="11"/>
      <c r="AD468" s="11"/>
    </row>
    <row r="469" spans="1:30" ht="16" x14ac:dyDescent="0.2">
      <c r="A469" s="11"/>
      <c r="B469" s="12"/>
      <c r="C469" s="12"/>
      <c r="D469" s="12"/>
      <c r="E469" s="12"/>
      <c r="F469" s="12"/>
      <c r="G469" s="12"/>
      <c r="H469" s="12"/>
      <c r="I469" s="12"/>
      <c r="J469" s="12"/>
      <c r="K469" s="12"/>
      <c r="L469" s="12"/>
      <c r="M469" s="11"/>
      <c r="N469" s="11"/>
      <c r="O469" s="11"/>
      <c r="P469" s="11"/>
      <c r="Q469" s="11"/>
      <c r="R469" s="11"/>
      <c r="S469" s="11"/>
      <c r="T469" s="11"/>
      <c r="U469" s="11"/>
      <c r="V469" s="11"/>
      <c r="W469" s="11"/>
      <c r="X469" s="11"/>
      <c r="Y469" s="11"/>
      <c r="Z469" s="11"/>
      <c r="AA469" s="11"/>
      <c r="AB469" s="11"/>
      <c r="AC469" s="11"/>
      <c r="AD469" s="11"/>
    </row>
    <row r="470" spans="1:30" ht="16" x14ac:dyDescent="0.2">
      <c r="A470" s="11"/>
      <c r="B470" s="12"/>
      <c r="C470" s="12"/>
      <c r="D470" s="12"/>
      <c r="E470" s="12"/>
      <c r="F470" s="12"/>
      <c r="G470" s="12"/>
      <c r="H470" s="12"/>
      <c r="I470" s="12"/>
      <c r="J470" s="12"/>
      <c r="K470" s="12"/>
      <c r="L470" s="12"/>
      <c r="M470" s="11"/>
      <c r="N470" s="11"/>
      <c r="O470" s="11"/>
      <c r="P470" s="11"/>
      <c r="Q470" s="11"/>
      <c r="R470" s="11"/>
      <c r="S470" s="11"/>
      <c r="T470" s="11"/>
      <c r="U470" s="11"/>
      <c r="V470" s="11"/>
      <c r="W470" s="11"/>
      <c r="X470" s="11"/>
      <c r="Y470" s="11"/>
      <c r="Z470" s="11"/>
      <c r="AA470" s="11"/>
      <c r="AB470" s="11"/>
      <c r="AC470" s="11"/>
      <c r="AD470" s="11"/>
    </row>
    <row r="471" spans="1:30" ht="16" x14ac:dyDescent="0.2">
      <c r="A471" s="11"/>
      <c r="B471" s="12"/>
      <c r="C471" s="12"/>
      <c r="D471" s="12"/>
      <c r="E471" s="12"/>
      <c r="F471" s="12"/>
      <c r="G471" s="12"/>
      <c r="H471" s="12"/>
      <c r="I471" s="12"/>
      <c r="J471" s="12"/>
      <c r="K471" s="12"/>
      <c r="L471" s="12"/>
      <c r="M471" s="11"/>
      <c r="N471" s="11"/>
      <c r="O471" s="11"/>
      <c r="P471" s="11"/>
      <c r="Q471" s="11"/>
      <c r="R471" s="11"/>
      <c r="S471" s="11"/>
      <c r="T471" s="11"/>
      <c r="U471" s="11"/>
      <c r="V471" s="11"/>
      <c r="W471" s="11"/>
      <c r="X471" s="11"/>
      <c r="Y471" s="11"/>
      <c r="Z471" s="11"/>
      <c r="AA471" s="11"/>
      <c r="AB471" s="11"/>
      <c r="AC471" s="11"/>
      <c r="AD471" s="11"/>
    </row>
    <row r="472" spans="1:30" ht="16" x14ac:dyDescent="0.2">
      <c r="A472" s="11"/>
      <c r="B472" s="12"/>
      <c r="C472" s="12"/>
      <c r="D472" s="12"/>
      <c r="E472" s="12"/>
      <c r="F472" s="12"/>
      <c r="G472" s="12"/>
      <c r="H472" s="12"/>
      <c r="I472" s="12"/>
      <c r="J472" s="12"/>
      <c r="K472" s="12"/>
      <c r="L472" s="12"/>
      <c r="M472" s="11"/>
      <c r="N472" s="11"/>
      <c r="O472" s="11"/>
      <c r="P472" s="11"/>
      <c r="Q472" s="11"/>
      <c r="R472" s="11"/>
      <c r="S472" s="11"/>
      <c r="T472" s="11"/>
      <c r="U472" s="11"/>
      <c r="V472" s="11"/>
      <c r="W472" s="11"/>
      <c r="X472" s="11"/>
      <c r="Y472" s="11"/>
      <c r="Z472" s="11"/>
      <c r="AA472" s="11"/>
      <c r="AB472" s="11"/>
      <c r="AC472" s="11"/>
      <c r="AD472" s="11"/>
    </row>
    <row r="473" spans="1:30" ht="16" x14ac:dyDescent="0.2">
      <c r="A473" s="11"/>
      <c r="B473" s="12"/>
      <c r="C473" s="12"/>
      <c r="D473" s="12"/>
      <c r="E473" s="12"/>
      <c r="F473" s="12"/>
      <c r="G473" s="12"/>
      <c r="H473" s="12"/>
      <c r="I473" s="12"/>
      <c r="J473" s="12"/>
      <c r="K473" s="12"/>
      <c r="L473" s="12"/>
      <c r="M473" s="11"/>
      <c r="N473" s="11"/>
      <c r="O473" s="11"/>
      <c r="P473" s="11"/>
      <c r="Q473" s="11"/>
      <c r="R473" s="11"/>
      <c r="S473" s="11"/>
      <c r="T473" s="11"/>
      <c r="U473" s="11"/>
      <c r="V473" s="11"/>
      <c r="W473" s="11"/>
      <c r="X473" s="11"/>
      <c r="Y473" s="11"/>
      <c r="Z473" s="11"/>
      <c r="AA473" s="11"/>
      <c r="AB473" s="11"/>
      <c r="AC473" s="11"/>
      <c r="AD473" s="11"/>
    </row>
    <row r="474" spans="1:30" ht="16" x14ac:dyDescent="0.2">
      <c r="A474" s="11"/>
      <c r="B474" s="12"/>
      <c r="C474" s="12"/>
      <c r="D474" s="12"/>
      <c r="E474" s="12"/>
      <c r="F474" s="12"/>
      <c r="G474" s="12"/>
      <c r="H474" s="12"/>
      <c r="I474" s="12"/>
      <c r="J474" s="12"/>
      <c r="K474" s="12"/>
      <c r="L474" s="12"/>
      <c r="M474" s="11"/>
      <c r="N474" s="11"/>
      <c r="O474" s="11"/>
      <c r="P474" s="11"/>
      <c r="Q474" s="11"/>
      <c r="R474" s="11"/>
      <c r="S474" s="11"/>
      <c r="T474" s="11"/>
      <c r="U474" s="11"/>
      <c r="V474" s="11"/>
      <c r="W474" s="11"/>
      <c r="X474" s="11"/>
      <c r="Y474" s="11"/>
      <c r="Z474" s="11"/>
      <c r="AA474" s="11"/>
      <c r="AB474" s="11"/>
      <c r="AC474" s="11"/>
      <c r="AD474" s="11"/>
    </row>
    <row r="475" spans="1:30" ht="16" x14ac:dyDescent="0.2">
      <c r="A475" s="11"/>
      <c r="B475" s="12"/>
      <c r="C475" s="12"/>
      <c r="D475" s="12"/>
      <c r="E475" s="12"/>
      <c r="F475" s="12"/>
      <c r="G475" s="12"/>
      <c r="H475" s="12"/>
      <c r="I475" s="12"/>
      <c r="J475" s="12"/>
      <c r="K475" s="12"/>
      <c r="L475" s="12"/>
      <c r="M475" s="11"/>
      <c r="N475" s="11"/>
      <c r="O475" s="11"/>
      <c r="P475" s="11"/>
      <c r="Q475" s="11"/>
      <c r="R475" s="11"/>
      <c r="S475" s="11"/>
      <c r="T475" s="11"/>
      <c r="U475" s="11"/>
      <c r="V475" s="11"/>
      <c r="W475" s="11"/>
      <c r="X475" s="11"/>
      <c r="Y475" s="11"/>
      <c r="Z475" s="11"/>
      <c r="AA475" s="11"/>
      <c r="AB475" s="11"/>
      <c r="AC475" s="11"/>
      <c r="AD475" s="11"/>
    </row>
    <row r="476" spans="1:30" ht="16" x14ac:dyDescent="0.2">
      <c r="A476" s="11"/>
      <c r="B476" s="12"/>
      <c r="C476" s="12"/>
      <c r="D476" s="12"/>
      <c r="E476" s="12"/>
      <c r="F476" s="12"/>
      <c r="G476" s="12"/>
      <c r="H476" s="12"/>
      <c r="I476" s="12"/>
      <c r="J476" s="12"/>
      <c r="K476" s="12"/>
      <c r="L476" s="12"/>
      <c r="M476" s="11"/>
      <c r="N476" s="11"/>
      <c r="O476" s="11"/>
      <c r="P476" s="11"/>
      <c r="Q476" s="11"/>
      <c r="R476" s="11"/>
      <c r="S476" s="11"/>
      <c r="T476" s="11"/>
      <c r="U476" s="11"/>
      <c r="V476" s="11"/>
      <c r="W476" s="11"/>
      <c r="X476" s="11"/>
      <c r="Y476" s="11"/>
      <c r="Z476" s="11"/>
      <c r="AA476" s="11"/>
      <c r="AB476" s="11"/>
      <c r="AC476" s="11"/>
      <c r="AD476" s="11"/>
    </row>
    <row r="477" spans="1:30" ht="16" x14ac:dyDescent="0.2">
      <c r="A477" s="11"/>
      <c r="B477" s="12"/>
      <c r="C477" s="12"/>
      <c r="D477" s="12"/>
      <c r="E477" s="12"/>
      <c r="F477" s="12"/>
      <c r="G477" s="12"/>
      <c r="H477" s="12"/>
      <c r="I477" s="12"/>
      <c r="J477" s="12"/>
      <c r="K477" s="12"/>
      <c r="L477" s="12"/>
      <c r="M477" s="11"/>
      <c r="N477" s="11"/>
      <c r="O477" s="11"/>
      <c r="P477" s="11"/>
      <c r="Q477" s="11"/>
      <c r="R477" s="11"/>
      <c r="S477" s="11"/>
      <c r="T477" s="11"/>
      <c r="U477" s="11"/>
      <c r="V477" s="11"/>
      <c r="W477" s="11"/>
      <c r="X477" s="11"/>
      <c r="Y477" s="11"/>
      <c r="Z477" s="11"/>
      <c r="AA477" s="11"/>
      <c r="AB477" s="11"/>
      <c r="AC477" s="11"/>
      <c r="AD477" s="11"/>
    </row>
    <row r="478" spans="1:30" ht="16" x14ac:dyDescent="0.2">
      <c r="A478" s="11"/>
      <c r="B478" s="12"/>
      <c r="C478" s="12"/>
      <c r="D478" s="12"/>
      <c r="E478" s="12"/>
      <c r="F478" s="12"/>
      <c r="G478" s="12"/>
      <c r="H478" s="12"/>
      <c r="I478" s="12"/>
      <c r="J478" s="12"/>
      <c r="K478" s="12"/>
      <c r="L478" s="12"/>
      <c r="M478" s="11"/>
      <c r="N478" s="11"/>
      <c r="O478" s="11"/>
      <c r="P478" s="11"/>
      <c r="Q478" s="11"/>
      <c r="R478" s="11"/>
      <c r="S478" s="11"/>
      <c r="T478" s="11"/>
      <c r="U478" s="11"/>
      <c r="V478" s="11"/>
      <c r="W478" s="11"/>
      <c r="X478" s="11"/>
      <c r="Y478" s="11"/>
      <c r="Z478" s="11"/>
      <c r="AA478" s="11"/>
      <c r="AB478" s="11"/>
      <c r="AC478" s="11"/>
      <c r="AD478" s="11"/>
    </row>
    <row r="479" spans="1:30" ht="16" x14ac:dyDescent="0.2">
      <c r="A479" s="11"/>
      <c r="B479" s="12"/>
      <c r="C479" s="12"/>
      <c r="D479" s="12"/>
      <c r="E479" s="12"/>
      <c r="F479" s="12"/>
      <c r="G479" s="12"/>
      <c r="H479" s="12"/>
      <c r="I479" s="12"/>
      <c r="J479" s="12"/>
      <c r="K479" s="12"/>
      <c r="L479" s="12"/>
      <c r="M479" s="11"/>
      <c r="N479" s="11"/>
      <c r="O479" s="11"/>
      <c r="P479" s="11"/>
      <c r="Q479" s="11"/>
      <c r="R479" s="11"/>
      <c r="S479" s="11"/>
      <c r="T479" s="11"/>
      <c r="U479" s="11"/>
      <c r="V479" s="11"/>
      <c r="W479" s="11"/>
      <c r="X479" s="11"/>
      <c r="Y479" s="11"/>
      <c r="Z479" s="11"/>
      <c r="AA479" s="11"/>
      <c r="AB479" s="11"/>
      <c r="AC479" s="11"/>
      <c r="AD479" s="11"/>
    </row>
    <row r="480" spans="1:30" ht="16" x14ac:dyDescent="0.2">
      <c r="A480" s="11"/>
      <c r="B480" s="12"/>
      <c r="C480" s="12"/>
      <c r="D480" s="12"/>
      <c r="E480" s="12"/>
      <c r="F480" s="12"/>
      <c r="G480" s="12"/>
      <c r="H480" s="12"/>
      <c r="I480" s="12"/>
      <c r="J480" s="12"/>
      <c r="K480" s="12"/>
      <c r="L480" s="12"/>
      <c r="M480" s="11"/>
      <c r="N480" s="11"/>
      <c r="O480" s="11"/>
      <c r="P480" s="11"/>
      <c r="Q480" s="11"/>
      <c r="R480" s="11"/>
      <c r="S480" s="11"/>
      <c r="T480" s="11"/>
      <c r="U480" s="11"/>
      <c r="V480" s="11"/>
      <c r="W480" s="11"/>
      <c r="X480" s="11"/>
      <c r="Y480" s="11"/>
      <c r="Z480" s="11"/>
      <c r="AA480" s="11"/>
      <c r="AB480" s="11"/>
      <c r="AC480" s="11"/>
      <c r="AD480" s="11"/>
    </row>
    <row r="481" spans="1:30" ht="16" x14ac:dyDescent="0.2">
      <c r="A481" s="11"/>
      <c r="B481" s="12"/>
      <c r="C481" s="12"/>
      <c r="D481" s="12"/>
      <c r="E481" s="12"/>
      <c r="F481" s="12"/>
      <c r="G481" s="12"/>
      <c r="H481" s="12"/>
      <c r="I481" s="12"/>
      <c r="J481" s="12"/>
      <c r="K481" s="12"/>
      <c r="L481" s="12"/>
      <c r="M481" s="11"/>
      <c r="N481" s="11"/>
      <c r="O481" s="11"/>
      <c r="P481" s="11"/>
      <c r="Q481" s="11"/>
      <c r="R481" s="11"/>
      <c r="S481" s="11"/>
      <c r="T481" s="11"/>
      <c r="U481" s="11"/>
      <c r="V481" s="11"/>
      <c r="W481" s="11"/>
      <c r="X481" s="11"/>
      <c r="Y481" s="11"/>
      <c r="Z481" s="11"/>
      <c r="AA481" s="11"/>
      <c r="AB481" s="11"/>
      <c r="AC481" s="11"/>
      <c r="AD481" s="11"/>
    </row>
    <row r="482" spans="1:30" ht="16" x14ac:dyDescent="0.2">
      <c r="A482" s="11"/>
      <c r="B482" s="12"/>
      <c r="C482" s="12"/>
      <c r="D482" s="12"/>
      <c r="E482" s="12"/>
      <c r="F482" s="12"/>
      <c r="G482" s="12"/>
      <c r="H482" s="12"/>
      <c r="I482" s="12"/>
      <c r="J482" s="12"/>
      <c r="K482" s="12"/>
      <c r="L482" s="12"/>
      <c r="M482" s="11"/>
      <c r="N482" s="11"/>
      <c r="O482" s="11"/>
      <c r="P482" s="11"/>
      <c r="Q482" s="11"/>
      <c r="R482" s="11"/>
      <c r="S482" s="11"/>
      <c r="T482" s="11"/>
      <c r="U482" s="11"/>
      <c r="V482" s="11"/>
      <c r="W482" s="11"/>
      <c r="X482" s="11"/>
      <c r="Y482" s="11"/>
      <c r="Z482" s="11"/>
      <c r="AA482" s="11"/>
      <c r="AB482" s="11"/>
      <c r="AC482" s="11"/>
      <c r="AD482" s="11"/>
    </row>
    <row r="483" spans="1:30" ht="16" x14ac:dyDescent="0.2">
      <c r="A483" s="11"/>
      <c r="B483" s="12"/>
      <c r="C483" s="12"/>
      <c r="D483" s="12"/>
      <c r="E483" s="12"/>
      <c r="F483" s="12"/>
      <c r="G483" s="12"/>
      <c r="H483" s="12"/>
      <c r="I483" s="12"/>
      <c r="J483" s="12"/>
      <c r="K483" s="12"/>
      <c r="L483" s="12"/>
      <c r="M483" s="11"/>
      <c r="N483" s="11"/>
      <c r="O483" s="11"/>
      <c r="P483" s="11"/>
      <c r="Q483" s="11"/>
      <c r="R483" s="11"/>
      <c r="S483" s="11"/>
      <c r="T483" s="11"/>
      <c r="U483" s="11"/>
      <c r="V483" s="11"/>
      <c r="W483" s="11"/>
      <c r="X483" s="11"/>
      <c r="Y483" s="11"/>
      <c r="Z483" s="11"/>
      <c r="AA483" s="11"/>
      <c r="AB483" s="11"/>
      <c r="AC483" s="11"/>
      <c r="AD483" s="11"/>
    </row>
    <row r="484" spans="1:30" ht="16" x14ac:dyDescent="0.2">
      <c r="A484" s="11"/>
      <c r="B484" s="12"/>
      <c r="C484" s="12"/>
      <c r="D484" s="12"/>
      <c r="E484" s="12"/>
      <c r="F484" s="12"/>
      <c r="G484" s="12"/>
      <c r="H484" s="12"/>
      <c r="I484" s="12"/>
      <c r="J484" s="12"/>
      <c r="K484" s="12"/>
      <c r="L484" s="12"/>
      <c r="M484" s="11"/>
      <c r="N484" s="11"/>
      <c r="O484" s="11"/>
      <c r="P484" s="11"/>
      <c r="Q484" s="11"/>
      <c r="R484" s="11"/>
      <c r="S484" s="11"/>
      <c r="T484" s="11"/>
      <c r="U484" s="11"/>
      <c r="V484" s="11"/>
      <c r="W484" s="11"/>
      <c r="X484" s="11"/>
      <c r="Y484" s="11"/>
      <c r="Z484" s="11"/>
      <c r="AA484" s="11"/>
      <c r="AB484" s="11"/>
      <c r="AC484" s="11"/>
      <c r="AD484" s="11"/>
    </row>
    <row r="485" spans="1:30" ht="16" x14ac:dyDescent="0.2">
      <c r="A485" s="11"/>
      <c r="B485" s="12"/>
      <c r="C485" s="12"/>
      <c r="D485" s="12"/>
      <c r="E485" s="12"/>
      <c r="F485" s="12"/>
      <c r="G485" s="12"/>
      <c r="H485" s="12"/>
      <c r="I485" s="12"/>
      <c r="J485" s="12"/>
      <c r="K485" s="12"/>
      <c r="L485" s="12"/>
      <c r="M485" s="11"/>
      <c r="N485" s="11"/>
      <c r="O485" s="11"/>
      <c r="P485" s="11"/>
      <c r="Q485" s="11"/>
      <c r="R485" s="11"/>
      <c r="S485" s="11"/>
      <c r="T485" s="11"/>
      <c r="U485" s="11"/>
      <c r="V485" s="11"/>
      <c r="W485" s="11"/>
      <c r="X485" s="11"/>
      <c r="Y485" s="11"/>
      <c r="Z485" s="11"/>
      <c r="AA485" s="11"/>
      <c r="AB485" s="11"/>
      <c r="AC485" s="11"/>
      <c r="AD485" s="11"/>
    </row>
    <row r="486" spans="1:30" ht="16" x14ac:dyDescent="0.2">
      <c r="A486" s="11"/>
      <c r="B486" s="12"/>
      <c r="C486" s="12"/>
      <c r="D486" s="12"/>
      <c r="E486" s="12"/>
      <c r="F486" s="12"/>
      <c r="G486" s="12"/>
      <c r="H486" s="12"/>
      <c r="I486" s="12"/>
      <c r="J486" s="12"/>
      <c r="K486" s="12"/>
      <c r="L486" s="12"/>
      <c r="M486" s="11"/>
      <c r="N486" s="11"/>
      <c r="O486" s="11"/>
      <c r="P486" s="11"/>
      <c r="Q486" s="11"/>
      <c r="R486" s="11"/>
      <c r="S486" s="11"/>
      <c r="T486" s="11"/>
      <c r="U486" s="11"/>
      <c r="V486" s="11"/>
      <c r="W486" s="11"/>
      <c r="X486" s="11"/>
      <c r="Y486" s="11"/>
      <c r="Z486" s="11"/>
      <c r="AA486" s="11"/>
      <c r="AB486" s="11"/>
      <c r="AC486" s="11"/>
      <c r="AD486" s="11"/>
    </row>
    <row r="487" spans="1:30" ht="16" x14ac:dyDescent="0.2">
      <c r="A487" s="11"/>
      <c r="B487" s="12"/>
      <c r="C487" s="12"/>
      <c r="D487" s="12"/>
      <c r="E487" s="12"/>
      <c r="F487" s="12"/>
      <c r="G487" s="12"/>
      <c r="H487" s="12"/>
      <c r="I487" s="12"/>
      <c r="J487" s="12"/>
      <c r="K487" s="12"/>
      <c r="L487" s="12"/>
      <c r="M487" s="11"/>
      <c r="N487" s="11"/>
      <c r="O487" s="11"/>
      <c r="P487" s="11"/>
      <c r="Q487" s="11"/>
      <c r="R487" s="11"/>
      <c r="S487" s="11"/>
      <c r="T487" s="11"/>
      <c r="U487" s="11"/>
      <c r="V487" s="11"/>
      <c r="W487" s="11"/>
      <c r="X487" s="11"/>
      <c r="Y487" s="11"/>
      <c r="Z487" s="11"/>
      <c r="AA487" s="11"/>
      <c r="AB487" s="11"/>
      <c r="AC487" s="11"/>
      <c r="AD487" s="11"/>
    </row>
    <row r="488" spans="1:30" ht="16" x14ac:dyDescent="0.2">
      <c r="A488" s="11"/>
      <c r="B488" s="12"/>
      <c r="C488" s="12"/>
      <c r="D488" s="12"/>
      <c r="E488" s="12"/>
      <c r="F488" s="12"/>
      <c r="G488" s="12"/>
      <c r="H488" s="12"/>
      <c r="I488" s="12"/>
      <c r="J488" s="12"/>
      <c r="K488" s="12"/>
      <c r="L488" s="12"/>
      <c r="M488" s="11"/>
      <c r="N488" s="11"/>
      <c r="O488" s="11"/>
      <c r="P488" s="11"/>
      <c r="Q488" s="11"/>
      <c r="R488" s="11"/>
      <c r="S488" s="11"/>
      <c r="T488" s="11"/>
      <c r="U488" s="11"/>
      <c r="V488" s="11"/>
      <c r="W488" s="11"/>
      <c r="X488" s="11"/>
      <c r="Y488" s="11"/>
      <c r="Z488" s="11"/>
      <c r="AA488" s="11"/>
      <c r="AB488" s="11"/>
      <c r="AC488" s="11"/>
      <c r="AD488" s="11"/>
    </row>
    <row r="489" spans="1:30" ht="16" x14ac:dyDescent="0.2">
      <c r="A489" s="11"/>
      <c r="B489" s="12"/>
      <c r="C489" s="12"/>
      <c r="D489" s="12"/>
      <c r="E489" s="12"/>
      <c r="F489" s="12"/>
      <c r="G489" s="12"/>
      <c r="H489" s="12"/>
      <c r="I489" s="12"/>
      <c r="J489" s="12"/>
      <c r="K489" s="12"/>
      <c r="L489" s="12"/>
      <c r="M489" s="11"/>
      <c r="N489" s="11"/>
      <c r="O489" s="11"/>
      <c r="P489" s="11"/>
      <c r="Q489" s="11"/>
      <c r="R489" s="11"/>
      <c r="S489" s="11"/>
      <c r="T489" s="11"/>
      <c r="U489" s="11"/>
      <c r="V489" s="11"/>
      <c r="W489" s="11"/>
      <c r="X489" s="11"/>
      <c r="Y489" s="11"/>
      <c r="Z489" s="11"/>
      <c r="AA489" s="11"/>
      <c r="AB489" s="11"/>
      <c r="AC489" s="11"/>
      <c r="AD489" s="11"/>
    </row>
    <row r="490" spans="1:30" ht="16" x14ac:dyDescent="0.2">
      <c r="A490" s="11"/>
      <c r="B490" s="12"/>
      <c r="C490" s="12"/>
      <c r="D490" s="12"/>
      <c r="E490" s="12"/>
      <c r="F490" s="12"/>
      <c r="G490" s="12"/>
      <c r="H490" s="12"/>
      <c r="I490" s="12"/>
      <c r="J490" s="12"/>
      <c r="K490" s="12"/>
      <c r="L490" s="12"/>
      <c r="M490" s="11"/>
      <c r="N490" s="11"/>
      <c r="O490" s="11"/>
      <c r="P490" s="11"/>
      <c r="Q490" s="11"/>
      <c r="R490" s="11"/>
      <c r="S490" s="11"/>
      <c r="T490" s="11"/>
      <c r="U490" s="11"/>
      <c r="V490" s="11"/>
      <c r="W490" s="11"/>
      <c r="X490" s="11"/>
      <c r="Y490" s="11"/>
      <c r="Z490" s="11"/>
      <c r="AA490" s="11"/>
      <c r="AB490" s="11"/>
      <c r="AC490" s="11"/>
      <c r="AD490" s="11"/>
    </row>
    <row r="491" spans="1:30" ht="16" x14ac:dyDescent="0.2">
      <c r="A491" s="11"/>
      <c r="B491" s="12"/>
      <c r="C491" s="12"/>
      <c r="D491" s="12"/>
      <c r="E491" s="12"/>
      <c r="F491" s="12"/>
      <c r="G491" s="12"/>
      <c r="H491" s="12"/>
      <c r="I491" s="12"/>
      <c r="J491" s="12"/>
      <c r="K491" s="12"/>
      <c r="L491" s="12"/>
      <c r="M491" s="11"/>
      <c r="N491" s="11"/>
      <c r="O491" s="11"/>
      <c r="P491" s="11"/>
      <c r="Q491" s="11"/>
      <c r="R491" s="11"/>
      <c r="S491" s="11"/>
      <c r="T491" s="11"/>
      <c r="U491" s="11"/>
      <c r="V491" s="11"/>
      <c r="W491" s="11"/>
      <c r="X491" s="11"/>
      <c r="Y491" s="11"/>
      <c r="Z491" s="11"/>
      <c r="AA491" s="11"/>
      <c r="AB491" s="11"/>
      <c r="AC491" s="11"/>
      <c r="AD491" s="11"/>
    </row>
    <row r="492" spans="1:30" ht="16" x14ac:dyDescent="0.2">
      <c r="A492" s="11"/>
      <c r="B492" s="12"/>
      <c r="C492" s="12"/>
      <c r="D492" s="12"/>
      <c r="E492" s="12"/>
      <c r="F492" s="12"/>
      <c r="G492" s="12"/>
      <c r="H492" s="12"/>
      <c r="I492" s="12"/>
      <c r="J492" s="12"/>
      <c r="K492" s="12"/>
      <c r="L492" s="12"/>
      <c r="M492" s="11"/>
      <c r="N492" s="11"/>
      <c r="O492" s="11"/>
      <c r="P492" s="11"/>
      <c r="Q492" s="11"/>
      <c r="R492" s="11"/>
      <c r="S492" s="11"/>
      <c r="T492" s="11"/>
      <c r="U492" s="11"/>
      <c r="V492" s="11"/>
      <c r="W492" s="11"/>
      <c r="X492" s="11"/>
      <c r="Y492" s="11"/>
      <c r="Z492" s="11"/>
      <c r="AA492" s="11"/>
      <c r="AB492" s="11"/>
      <c r="AC492" s="11"/>
      <c r="AD492" s="11"/>
    </row>
    <row r="493" spans="1:30" ht="16" x14ac:dyDescent="0.2">
      <c r="A493" s="11"/>
      <c r="B493" s="12"/>
      <c r="C493" s="12"/>
      <c r="D493" s="12"/>
      <c r="E493" s="12"/>
      <c r="F493" s="12"/>
      <c r="G493" s="12"/>
      <c r="H493" s="12"/>
      <c r="I493" s="12"/>
      <c r="J493" s="12"/>
      <c r="K493" s="12"/>
      <c r="L493" s="12"/>
      <c r="M493" s="11"/>
      <c r="N493" s="11"/>
      <c r="O493" s="11"/>
      <c r="P493" s="11"/>
      <c r="Q493" s="11"/>
      <c r="R493" s="11"/>
      <c r="S493" s="11"/>
      <c r="T493" s="11"/>
      <c r="U493" s="11"/>
      <c r="V493" s="11"/>
      <c r="W493" s="11"/>
      <c r="X493" s="11"/>
      <c r="Y493" s="11"/>
      <c r="Z493" s="11"/>
      <c r="AA493" s="11"/>
      <c r="AB493" s="11"/>
      <c r="AC493" s="11"/>
      <c r="AD493" s="11"/>
    </row>
    <row r="494" spans="1:30" ht="16" x14ac:dyDescent="0.2">
      <c r="A494" s="11"/>
      <c r="B494" s="12"/>
      <c r="C494" s="12"/>
      <c r="D494" s="12"/>
      <c r="E494" s="12"/>
      <c r="F494" s="12"/>
      <c r="G494" s="12"/>
      <c r="H494" s="12"/>
      <c r="I494" s="12"/>
      <c r="J494" s="12"/>
      <c r="K494" s="12"/>
      <c r="L494" s="12"/>
      <c r="M494" s="11"/>
      <c r="N494" s="11"/>
      <c r="O494" s="11"/>
      <c r="P494" s="11"/>
      <c r="Q494" s="11"/>
      <c r="R494" s="11"/>
      <c r="S494" s="11"/>
      <c r="T494" s="11"/>
      <c r="U494" s="11"/>
      <c r="V494" s="11"/>
      <c r="W494" s="11"/>
      <c r="X494" s="11"/>
      <c r="Y494" s="11"/>
      <c r="Z494" s="11"/>
      <c r="AA494" s="11"/>
      <c r="AB494" s="11"/>
      <c r="AC494" s="11"/>
      <c r="AD494" s="11"/>
    </row>
    <row r="495" spans="1:30" ht="16" x14ac:dyDescent="0.2">
      <c r="A495" s="11"/>
      <c r="B495" s="12"/>
      <c r="C495" s="12"/>
      <c r="D495" s="12"/>
      <c r="E495" s="12"/>
      <c r="F495" s="12"/>
      <c r="G495" s="12"/>
      <c r="H495" s="12"/>
      <c r="I495" s="12"/>
      <c r="J495" s="12"/>
      <c r="K495" s="12"/>
      <c r="L495" s="12"/>
      <c r="M495" s="11"/>
      <c r="N495" s="11"/>
      <c r="O495" s="11"/>
      <c r="P495" s="11"/>
      <c r="Q495" s="11"/>
      <c r="R495" s="11"/>
      <c r="S495" s="11"/>
      <c r="T495" s="11"/>
      <c r="U495" s="11"/>
      <c r="V495" s="11"/>
      <c r="W495" s="11"/>
      <c r="X495" s="11"/>
      <c r="Y495" s="11"/>
      <c r="Z495" s="11"/>
      <c r="AA495" s="11"/>
      <c r="AB495" s="11"/>
      <c r="AC495" s="11"/>
      <c r="AD495" s="11"/>
    </row>
    <row r="496" spans="1:30" ht="16" x14ac:dyDescent="0.2">
      <c r="A496" s="11"/>
      <c r="B496" s="12"/>
      <c r="C496" s="12"/>
      <c r="D496" s="12"/>
      <c r="E496" s="12"/>
      <c r="F496" s="12"/>
      <c r="G496" s="12"/>
      <c r="H496" s="12"/>
      <c r="I496" s="12"/>
      <c r="J496" s="12"/>
      <c r="K496" s="12"/>
      <c r="L496" s="12"/>
      <c r="M496" s="11"/>
      <c r="N496" s="11"/>
      <c r="O496" s="11"/>
      <c r="P496" s="11"/>
      <c r="Q496" s="11"/>
      <c r="R496" s="11"/>
      <c r="S496" s="11"/>
      <c r="T496" s="11"/>
      <c r="U496" s="11"/>
      <c r="V496" s="11"/>
      <c r="W496" s="11"/>
      <c r="X496" s="11"/>
      <c r="Y496" s="11"/>
      <c r="Z496" s="11"/>
      <c r="AA496" s="11"/>
      <c r="AB496" s="11"/>
      <c r="AC496" s="11"/>
      <c r="AD496" s="11"/>
    </row>
    <row r="497" spans="1:30" ht="16" x14ac:dyDescent="0.2">
      <c r="A497" s="11"/>
      <c r="B497" s="12"/>
      <c r="C497" s="12"/>
      <c r="D497" s="12"/>
      <c r="E497" s="12"/>
      <c r="F497" s="12"/>
      <c r="G497" s="12"/>
      <c r="H497" s="12"/>
      <c r="I497" s="12"/>
      <c r="J497" s="12"/>
      <c r="K497" s="12"/>
      <c r="L497" s="12"/>
      <c r="M497" s="11"/>
      <c r="N497" s="11"/>
      <c r="O497" s="11"/>
      <c r="P497" s="11"/>
      <c r="Q497" s="11"/>
      <c r="R497" s="11"/>
      <c r="S497" s="11"/>
      <c r="T497" s="11"/>
      <c r="U497" s="11"/>
      <c r="V497" s="11"/>
      <c r="W497" s="11"/>
      <c r="X497" s="11"/>
      <c r="Y497" s="11"/>
      <c r="Z497" s="11"/>
      <c r="AA497" s="11"/>
      <c r="AB497" s="11"/>
      <c r="AC497" s="11"/>
      <c r="AD497" s="11"/>
    </row>
    <row r="498" spans="1:30" ht="16" x14ac:dyDescent="0.2">
      <c r="A498" s="11"/>
      <c r="B498" s="12"/>
      <c r="C498" s="12"/>
      <c r="D498" s="12"/>
      <c r="E498" s="12"/>
      <c r="F498" s="12"/>
      <c r="G498" s="12"/>
      <c r="H498" s="12"/>
      <c r="I498" s="12"/>
      <c r="J498" s="12"/>
      <c r="K498" s="12"/>
      <c r="L498" s="12"/>
      <c r="M498" s="11"/>
      <c r="N498" s="11"/>
      <c r="O498" s="11"/>
      <c r="P498" s="11"/>
      <c r="Q498" s="11"/>
      <c r="R498" s="11"/>
      <c r="S498" s="11"/>
      <c r="T498" s="11"/>
      <c r="U498" s="11"/>
      <c r="V498" s="11"/>
      <c r="W498" s="11"/>
      <c r="X498" s="11"/>
      <c r="Y498" s="11"/>
      <c r="Z498" s="11"/>
      <c r="AA498" s="11"/>
      <c r="AB498" s="11"/>
      <c r="AC498" s="11"/>
      <c r="AD498" s="11"/>
    </row>
    <row r="499" spans="1:30" ht="16" x14ac:dyDescent="0.2">
      <c r="A499" s="11"/>
      <c r="B499" s="12"/>
      <c r="C499" s="12"/>
      <c r="D499" s="12"/>
      <c r="E499" s="12"/>
      <c r="F499" s="12"/>
      <c r="G499" s="12"/>
      <c r="H499" s="12"/>
      <c r="I499" s="12"/>
      <c r="J499" s="12"/>
      <c r="K499" s="12"/>
      <c r="L499" s="12"/>
      <c r="M499" s="11"/>
      <c r="N499" s="11"/>
      <c r="O499" s="11"/>
      <c r="P499" s="11"/>
      <c r="Q499" s="11"/>
      <c r="R499" s="11"/>
      <c r="S499" s="11"/>
      <c r="T499" s="11"/>
      <c r="U499" s="11"/>
      <c r="V499" s="11"/>
      <c r="W499" s="11"/>
      <c r="X499" s="11"/>
      <c r="Y499" s="11"/>
      <c r="Z499" s="11"/>
      <c r="AA499" s="11"/>
      <c r="AB499" s="11"/>
      <c r="AC499" s="11"/>
      <c r="AD499" s="11"/>
    </row>
    <row r="500" spans="1:30" ht="16" x14ac:dyDescent="0.2">
      <c r="A500" s="11"/>
      <c r="B500" s="12"/>
      <c r="C500" s="12"/>
      <c r="D500" s="12"/>
      <c r="E500" s="12"/>
      <c r="F500" s="12"/>
      <c r="G500" s="12"/>
      <c r="H500" s="12"/>
      <c r="I500" s="12"/>
      <c r="J500" s="12"/>
      <c r="K500" s="12"/>
      <c r="L500" s="12"/>
      <c r="M500" s="11"/>
      <c r="N500" s="11"/>
      <c r="O500" s="11"/>
      <c r="P500" s="11"/>
      <c r="Q500" s="11"/>
      <c r="R500" s="11"/>
      <c r="S500" s="11"/>
      <c r="T500" s="11"/>
      <c r="U500" s="11"/>
      <c r="V500" s="11"/>
      <c r="W500" s="11"/>
      <c r="X500" s="11"/>
      <c r="Y500" s="11"/>
      <c r="Z500" s="11"/>
      <c r="AA500" s="11"/>
      <c r="AB500" s="11"/>
      <c r="AC500" s="11"/>
      <c r="AD500" s="11"/>
    </row>
    <row r="501" spans="1:30" ht="16" x14ac:dyDescent="0.2">
      <c r="A501" s="11"/>
      <c r="B501" s="12"/>
      <c r="C501" s="12"/>
      <c r="D501" s="12"/>
      <c r="E501" s="12"/>
      <c r="F501" s="12"/>
      <c r="G501" s="12"/>
      <c r="H501" s="12"/>
      <c r="I501" s="12"/>
      <c r="J501" s="12"/>
      <c r="K501" s="12"/>
      <c r="L501" s="12"/>
      <c r="M501" s="11"/>
      <c r="N501" s="11"/>
      <c r="O501" s="11"/>
      <c r="P501" s="11"/>
      <c r="Q501" s="11"/>
      <c r="R501" s="11"/>
      <c r="S501" s="11"/>
      <c r="T501" s="11"/>
      <c r="U501" s="11"/>
      <c r="V501" s="11"/>
      <c r="W501" s="11"/>
      <c r="X501" s="11"/>
      <c r="Y501" s="11"/>
      <c r="Z501" s="11"/>
      <c r="AA501" s="11"/>
      <c r="AB501" s="11"/>
      <c r="AC501" s="11"/>
      <c r="AD501" s="11"/>
    </row>
    <row r="502" spans="1:30" ht="16" x14ac:dyDescent="0.2">
      <c r="A502" s="11"/>
      <c r="B502" s="12"/>
      <c r="C502" s="12"/>
      <c r="D502" s="12"/>
      <c r="E502" s="12"/>
      <c r="F502" s="12"/>
      <c r="G502" s="12"/>
      <c r="H502" s="12"/>
      <c r="I502" s="12"/>
      <c r="J502" s="12"/>
      <c r="K502" s="12"/>
      <c r="L502" s="12"/>
      <c r="M502" s="11"/>
      <c r="N502" s="11"/>
      <c r="O502" s="11"/>
      <c r="P502" s="11"/>
      <c r="Q502" s="11"/>
      <c r="R502" s="11"/>
      <c r="S502" s="11"/>
      <c r="T502" s="11"/>
      <c r="U502" s="11"/>
      <c r="V502" s="11"/>
      <c r="W502" s="11"/>
      <c r="X502" s="11"/>
      <c r="Y502" s="11"/>
      <c r="Z502" s="11"/>
      <c r="AA502" s="11"/>
      <c r="AB502" s="11"/>
      <c r="AC502" s="11"/>
      <c r="AD502" s="11"/>
    </row>
    <row r="503" spans="1:30" ht="16" x14ac:dyDescent="0.2">
      <c r="A503" s="11"/>
      <c r="B503" s="12"/>
      <c r="C503" s="12"/>
      <c r="D503" s="12"/>
      <c r="E503" s="12"/>
      <c r="F503" s="12"/>
      <c r="G503" s="12"/>
      <c r="H503" s="12"/>
      <c r="I503" s="12"/>
      <c r="J503" s="12"/>
      <c r="K503" s="12"/>
      <c r="L503" s="12"/>
      <c r="M503" s="11"/>
      <c r="N503" s="11"/>
      <c r="O503" s="11"/>
      <c r="P503" s="11"/>
      <c r="Q503" s="11"/>
      <c r="R503" s="11"/>
      <c r="S503" s="11"/>
      <c r="T503" s="11"/>
      <c r="U503" s="11"/>
      <c r="V503" s="11"/>
      <c r="W503" s="11"/>
      <c r="X503" s="11"/>
      <c r="Y503" s="11"/>
      <c r="Z503" s="11"/>
      <c r="AA503" s="11"/>
      <c r="AB503" s="11"/>
      <c r="AC503" s="11"/>
      <c r="AD503" s="11"/>
    </row>
    <row r="504" spans="1:30" ht="16" x14ac:dyDescent="0.2">
      <c r="A504" s="11"/>
      <c r="B504" s="12"/>
      <c r="C504" s="12"/>
      <c r="D504" s="12"/>
      <c r="E504" s="12"/>
      <c r="F504" s="12"/>
      <c r="G504" s="12"/>
      <c r="H504" s="12"/>
      <c r="I504" s="12"/>
      <c r="J504" s="12"/>
      <c r="K504" s="12"/>
      <c r="L504" s="12"/>
      <c r="M504" s="11"/>
      <c r="N504" s="11"/>
      <c r="O504" s="11"/>
      <c r="P504" s="11"/>
      <c r="Q504" s="11"/>
      <c r="R504" s="11"/>
      <c r="S504" s="11"/>
      <c r="T504" s="11"/>
      <c r="U504" s="11"/>
      <c r="V504" s="11"/>
      <c r="W504" s="11"/>
      <c r="X504" s="11"/>
      <c r="Y504" s="11"/>
      <c r="Z504" s="11"/>
      <c r="AA504" s="11"/>
      <c r="AB504" s="11"/>
      <c r="AC504" s="11"/>
      <c r="AD504" s="11"/>
    </row>
    <row r="505" spans="1:30" ht="16" x14ac:dyDescent="0.2">
      <c r="A505" s="11"/>
      <c r="B505" s="12"/>
      <c r="C505" s="12"/>
      <c r="D505" s="12"/>
      <c r="E505" s="12"/>
      <c r="F505" s="12"/>
      <c r="G505" s="12"/>
      <c r="H505" s="12"/>
      <c r="I505" s="12"/>
      <c r="J505" s="12"/>
      <c r="K505" s="12"/>
      <c r="L505" s="12"/>
      <c r="M505" s="11"/>
      <c r="N505" s="11"/>
      <c r="O505" s="11"/>
      <c r="P505" s="11"/>
      <c r="Q505" s="11"/>
      <c r="R505" s="11"/>
      <c r="S505" s="11"/>
      <c r="T505" s="11"/>
      <c r="U505" s="11"/>
      <c r="V505" s="11"/>
      <c r="W505" s="11"/>
      <c r="X505" s="11"/>
      <c r="Y505" s="11"/>
      <c r="Z505" s="11"/>
      <c r="AA505" s="11"/>
      <c r="AB505" s="11"/>
      <c r="AC505" s="11"/>
      <c r="AD505" s="11"/>
    </row>
    <row r="506" spans="1:30" ht="16" x14ac:dyDescent="0.2">
      <c r="A506" s="11"/>
      <c r="B506" s="12"/>
      <c r="C506" s="12"/>
      <c r="D506" s="12"/>
      <c r="E506" s="12"/>
      <c r="F506" s="12"/>
      <c r="G506" s="12"/>
      <c r="H506" s="12"/>
      <c r="I506" s="12"/>
      <c r="J506" s="12"/>
      <c r="K506" s="12"/>
      <c r="L506" s="12"/>
      <c r="M506" s="11"/>
      <c r="N506" s="11"/>
      <c r="O506" s="11"/>
      <c r="P506" s="11"/>
      <c r="Q506" s="11"/>
      <c r="R506" s="11"/>
      <c r="S506" s="11"/>
      <c r="T506" s="11"/>
      <c r="U506" s="11"/>
      <c r="V506" s="11"/>
      <c r="W506" s="11"/>
      <c r="X506" s="11"/>
      <c r="Y506" s="11"/>
      <c r="Z506" s="11"/>
      <c r="AA506" s="11"/>
      <c r="AB506" s="11"/>
      <c r="AC506" s="11"/>
      <c r="AD506" s="11"/>
    </row>
    <row r="507" spans="1:30" ht="16" x14ac:dyDescent="0.2">
      <c r="A507" s="11"/>
      <c r="B507" s="12"/>
      <c r="C507" s="12"/>
      <c r="D507" s="12"/>
      <c r="E507" s="12"/>
      <c r="F507" s="12"/>
      <c r="G507" s="12"/>
      <c r="H507" s="12"/>
      <c r="I507" s="12"/>
      <c r="J507" s="12"/>
      <c r="K507" s="12"/>
      <c r="L507" s="12"/>
      <c r="M507" s="11"/>
      <c r="N507" s="11"/>
      <c r="O507" s="11"/>
      <c r="P507" s="11"/>
      <c r="Q507" s="11"/>
      <c r="R507" s="11"/>
      <c r="S507" s="11"/>
      <c r="T507" s="11"/>
      <c r="U507" s="11"/>
      <c r="V507" s="11"/>
      <c r="W507" s="11"/>
      <c r="X507" s="11"/>
      <c r="Y507" s="11"/>
      <c r="Z507" s="11"/>
      <c r="AA507" s="11"/>
      <c r="AB507" s="11"/>
      <c r="AC507" s="11"/>
      <c r="AD507" s="11"/>
    </row>
    <row r="508" spans="1:30" ht="16" x14ac:dyDescent="0.2">
      <c r="A508" s="11"/>
      <c r="B508" s="12"/>
      <c r="C508" s="12"/>
      <c r="D508" s="12"/>
      <c r="E508" s="12"/>
      <c r="F508" s="12"/>
      <c r="G508" s="12"/>
      <c r="H508" s="12"/>
      <c r="I508" s="12"/>
      <c r="J508" s="12"/>
      <c r="K508" s="12"/>
      <c r="L508" s="12"/>
      <c r="M508" s="11"/>
      <c r="N508" s="11"/>
      <c r="O508" s="11"/>
      <c r="P508" s="11"/>
      <c r="Q508" s="11"/>
      <c r="R508" s="11"/>
      <c r="S508" s="11"/>
      <c r="T508" s="11"/>
      <c r="U508" s="11"/>
      <c r="V508" s="11"/>
      <c r="W508" s="11"/>
      <c r="X508" s="11"/>
      <c r="Y508" s="11"/>
      <c r="Z508" s="11"/>
      <c r="AA508" s="11"/>
      <c r="AB508" s="11"/>
      <c r="AC508" s="11"/>
      <c r="AD508" s="11"/>
    </row>
    <row r="509" spans="1:30" ht="16" x14ac:dyDescent="0.2">
      <c r="A509" s="11"/>
      <c r="B509" s="12"/>
      <c r="C509" s="12"/>
      <c r="D509" s="12"/>
      <c r="E509" s="12"/>
      <c r="F509" s="12"/>
      <c r="G509" s="12"/>
      <c r="H509" s="12"/>
      <c r="I509" s="12"/>
      <c r="J509" s="12"/>
      <c r="K509" s="12"/>
      <c r="L509" s="12"/>
      <c r="M509" s="11"/>
      <c r="N509" s="11"/>
      <c r="O509" s="11"/>
      <c r="P509" s="11"/>
      <c r="Q509" s="11"/>
      <c r="R509" s="11"/>
      <c r="S509" s="11"/>
      <c r="T509" s="11"/>
      <c r="U509" s="11"/>
      <c r="V509" s="11"/>
      <c r="W509" s="11"/>
      <c r="X509" s="11"/>
      <c r="Y509" s="11"/>
      <c r="Z509" s="11"/>
      <c r="AA509" s="11"/>
      <c r="AB509" s="11"/>
      <c r="AC509" s="11"/>
      <c r="AD509" s="11"/>
    </row>
    <row r="510" spans="1:30" ht="16" x14ac:dyDescent="0.2">
      <c r="A510" s="11"/>
      <c r="B510" s="12"/>
      <c r="C510" s="12"/>
      <c r="D510" s="12"/>
      <c r="E510" s="12"/>
      <c r="F510" s="12"/>
      <c r="G510" s="12"/>
      <c r="H510" s="12"/>
      <c r="I510" s="12"/>
      <c r="J510" s="12"/>
      <c r="K510" s="12"/>
      <c r="L510" s="12"/>
      <c r="M510" s="11"/>
      <c r="N510" s="11"/>
      <c r="O510" s="11"/>
      <c r="P510" s="11"/>
      <c r="Q510" s="11"/>
      <c r="R510" s="11"/>
      <c r="S510" s="11"/>
      <c r="T510" s="11"/>
      <c r="U510" s="11"/>
      <c r="V510" s="11"/>
      <c r="W510" s="11"/>
      <c r="X510" s="11"/>
      <c r="Y510" s="11"/>
      <c r="Z510" s="11"/>
      <c r="AA510" s="11"/>
      <c r="AB510" s="11"/>
      <c r="AC510" s="11"/>
      <c r="AD510" s="11"/>
    </row>
    <row r="511" spans="1:30" ht="16" x14ac:dyDescent="0.2">
      <c r="A511" s="11"/>
      <c r="B511" s="12"/>
      <c r="C511" s="12"/>
      <c r="D511" s="12"/>
      <c r="E511" s="12"/>
      <c r="F511" s="12"/>
      <c r="G511" s="12"/>
      <c r="H511" s="12"/>
      <c r="I511" s="12"/>
      <c r="J511" s="12"/>
      <c r="K511" s="12"/>
      <c r="L511" s="12"/>
      <c r="M511" s="11"/>
      <c r="N511" s="11"/>
      <c r="O511" s="11"/>
      <c r="P511" s="11"/>
      <c r="Q511" s="11"/>
      <c r="R511" s="11"/>
      <c r="S511" s="11"/>
      <c r="T511" s="11"/>
      <c r="U511" s="11"/>
      <c r="V511" s="11"/>
      <c r="W511" s="11"/>
      <c r="X511" s="11"/>
      <c r="Y511" s="11"/>
      <c r="Z511" s="11"/>
      <c r="AA511" s="11"/>
      <c r="AB511" s="11"/>
      <c r="AC511" s="11"/>
      <c r="AD511" s="11"/>
    </row>
    <row r="512" spans="1:30" ht="16" x14ac:dyDescent="0.2">
      <c r="A512" s="11"/>
      <c r="B512" s="12"/>
      <c r="C512" s="12"/>
      <c r="D512" s="12"/>
      <c r="E512" s="12"/>
      <c r="F512" s="12"/>
      <c r="G512" s="12"/>
      <c r="H512" s="12"/>
      <c r="I512" s="12"/>
      <c r="J512" s="12"/>
      <c r="K512" s="12"/>
      <c r="L512" s="12"/>
      <c r="M512" s="11"/>
      <c r="N512" s="11"/>
      <c r="O512" s="11"/>
      <c r="P512" s="11"/>
      <c r="Q512" s="11"/>
      <c r="R512" s="11"/>
      <c r="S512" s="11"/>
      <c r="T512" s="11"/>
      <c r="U512" s="11"/>
      <c r="V512" s="11"/>
      <c r="W512" s="11"/>
      <c r="X512" s="11"/>
      <c r="Y512" s="11"/>
      <c r="Z512" s="11"/>
      <c r="AA512" s="11"/>
      <c r="AB512" s="11"/>
      <c r="AC512" s="11"/>
      <c r="AD512" s="11"/>
    </row>
    <row r="513" spans="1:30" ht="16" x14ac:dyDescent="0.2">
      <c r="A513" s="11"/>
      <c r="B513" s="12"/>
      <c r="C513" s="12"/>
      <c r="D513" s="12"/>
      <c r="E513" s="12"/>
      <c r="F513" s="12"/>
      <c r="G513" s="12"/>
      <c r="H513" s="12"/>
      <c r="I513" s="12"/>
      <c r="J513" s="12"/>
      <c r="K513" s="12"/>
      <c r="L513" s="12"/>
      <c r="M513" s="11"/>
      <c r="N513" s="11"/>
      <c r="O513" s="11"/>
      <c r="P513" s="11"/>
      <c r="Q513" s="11"/>
      <c r="R513" s="11"/>
      <c r="S513" s="11"/>
      <c r="T513" s="11"/>
      <c r="U513" s="11"/>
      <c r="V513" s="11"/>
      <c r="W513" s="11"/>
      <c r="X513" s="11"/>
      <c r="Y513" s="11"/>
      <c r="Z513" s="11"/>
      <c r="AA513" s="11"/>
      <c r="AB513" s="11"/>
      <c r="AC513" s="11"/>
      <c r="AD513" s="11"/>
    </row>
    <row r="514" spans="1:30" ht="16" x14ac:dyDescent="0.2">
      <c r="A514" s="11"/>
      <c r="B514" s="12"/>
      <c r="C514" s="12"/>
      <c r="D514" s="12"/>
      <c r="E514" s="12"/>
      <c r="F514" s="12"/>
      <c r="G514" s="12"/>
      <c r="H514" s="12"/>
      <c r="I514" s="12"/>
      <c r="J514" s="12"/>
      <c r="K514" s="12"/>
      <c r="L514" s="12"/>
      <c r="M514" s="11"/>
      <c r="N514" s="11"/>
      <c r="O514" s="11"/>
      <c r="P514" s="11"/>
      <c r="Q514" s="11"/>
      <c r="R514" s="11"/>
      <c r="S514" s="11"/>
      <c r="T514" s="11"/>
      <c r="U514" s="11"/>
      <c r="V514" s="11"/>
      <c r="W514" s="11"/>
      <c r="X514" s="11"/>
      <c r="Y514" s="11"/>
      <c r="Z514" s="11"/>
      <c r="AA514" s="11"/>
      <c r="AB514" s="11"/>
      <c r="AC514" s="11"/>
      <c r="AD514" s="11"/>
    </row>
    <row r="515" spans="1:30" ht="16" x14ac:dyDescent="0.2">
      <c r="A515" s="11"/>
      <c r="B515" s="12"/>
      <c r="C515" s="12"/>
      <c r="D515" s="12"/>
      <c r="E515" s="12"/>
      <c r="F515" s="12"/>
      <c r="G515" s="12"/>
      <c r="H515" s="12"/>
      <c r="I515" s="12"/>
      <c r="J515" s="12"/>
      <c r="K515" s="12"/>
      <c r="L515" s="12"/>
      <c r="M515" s="11"/>
      <c r="N515" s="11"/>
      <c r="O515" s="11"/>
      <c r="P515" s="11"/>
      <c r="Q515" s="11"/>
      <c r="R515" s="11"/>
      <c r="S515" s="11"/>
      <c r="T515" s="11"/>
      <c r="U515" s="11"/>
      <c r="V515" s="11"/>
      <c r="W515" s="11"/>
      <c r="X515" s="11"/>
      <c r="Y515" s="11"/>
      <c r="Z515" s="11"/>
      <c r="AA515" s="11"/>
      <c r="AB515" s="11"/>
      <c r="AC515" s="11"/>
      <c r="AD515" s="11"/>
    </row>
    <row r="516" spans="1:30" ht="16" x14ac:dyDescent="0.2">
      <c r="A516" s="11"/>
      <c r="B516" s="12"/>
      <c r="C516" s="12"/>
      <c r="D516" s="12"/>
      <c r="E516" s="12"/>
      <c r="F516" s="12"/>
      <c r="G516" s="12"/>
      <c r="H516" s="12"/>
      <c r="I516" s="12"/>
      <c r="J516" s="12"/>
      <c r="K516" s="12"/>
      <c r="L516" s="12"/>
      <c r="M516" s="11"/>
      <c r="N516" s="11"/>
      <c r="O516" s="11"/>
      <c r="P516" s="11"/>
      <c r="Q516" s="11"/>
      <c r="R516" s="11"/>
      <c r="S516" s="11"/>
      <c r="T516" s="11"/>
      <c r="U516" s="11"/>
      <c r="V516" s="11"/>
      <c r="W516" s="11"/>
      <c r="X516" s="11"/>
      <c r="Y516" s="11"/>
      <c r="Z516" s="11"/>
      <c r="AA516" s="11"/>
      <c r="AB516" s="11"/>
      <c r="AC516" s="11"/>
      <c r="AD516" s="11"/>
    </row>
    <row r="517" spans="1:30" ht="16" x14ac:dyDescent="0.2">
      <c r="A517" s="11"/>
      <c r="B517" s="12"/>
      <c r="C517" s="12"/>
      <c r="D517" s="12"/>
      <c r="E517" s="12"/>
      <c r="F517" s="12"/>
      <c r="G517" s="12"/>
      <c r="H517" s="12"/>
      <c r="I517" s="12"/>
      <c r="J517" s="12"/>
      <c r="K517" s="12"/>
      <c r="L517" s="12"/>
      <c r="M517" s="11"/>
      <c r="N517" s="11"/>
      <c r="O517" s="11"/>
      <c r="P517" s="11"/>
      <c r="Q517" s="11"/>
      <c r="R517" s="11"/>
      <c r="S517" s="11"/>
      <c r="T517" s="11"/>
      <c r="U517" s="11"/>
      <c r="V517" s="11"/>
      <c r="W517" s="11"/>
      <c r="X517" s="11"/>
      <c r="Y517" s="11"/>
      <c r="Z517" s="11"/>
      <c r="AA517" s="11"/>
      <c r="AB517" s="11"/>
      <c r="AC517" s="11"/>
      <c r="AD517" s="11"/>
    </row>
    <row r="518" spans="1:30" ht="16" x14ac:dyDescent="0.2">
      <c r="A518" s="11"/>
      <c r="B518" s="12"/>
      <c r="C518" s="12"/>
      <c r="D518" s="12"/>
      <c r="E518" s="12"/>
      <c r="F518" s="12"/>
      <c r="G518" s="12"/>
      <c r="H518" s="12"/>
      <c r="I518" s="12"/>
      <c r="J518" s="12"/>
      <c r="K518" s="12"/>
      <c r="L518" s="12"/>
      <c r="M518" s="11"/>
      <c r="N518" s="11"/>
      <c r="O518" s="11"/>
      <c r="P518" s="11"/>
      <c r="Q518" s="11"/>
      <c r="R518" s="11"/>
      <c r="S518" s="11"/>
      <c r="T518" s="11"/>
      <c r="U518" s="11"/>
      <c r="V518" s="11"/>
      <c r="W518" s="11"/>
      <c r="X518" s="11"/>
      <c r="Y518" s="11"/>
      <c r="Z518" s="11"/>
      <c r="AA518" s="11"/>
      <c r="AB518" s="11"/>
      <c r="AC518" s="11"/>
      <c r="AD518" s="11"/>
    </row>
    <row r="519" spans="1:30" ht="16" x14ac:dyDescent="0.2">
      <c r="A519" s="11"/>
      <c r="B519" s="12"/>
      <c r="C519" s="12"/>
      <c r="D519" s="12"/>
      <c r="E519" s="12"/>
      <c r="F519" s="12"/>
      <c r="G519" s="12"/>
      <c r="H519" s="12"/>
      <c r="I519" s="12"/>
      <c r="J519" s="12"/>
      <c r="K519" s="12"/>
      <c r="L519" s="12"/>
      <c r="M519" s="11"/>
      <c r="N519" s="11"/>
      <c r="O519" s="11"/>
      <c r="P519" s="11"/>
      <c r="Q519" s="11"/>
      <c r="R519" s="11"/>
      <c r="S519" s="11"/>
      <c r="T519" s="11"/>
      <c r="U519" s="11"/>
      <c r="V519" s="11"/>
      <c r="W519" s="11"/>
      <c r="X519" s="11"/>
      <c r="Y519" s="11"/>
      <c r="Z519" s="11"/>
      <c r="AA519" s="11"/>
      <c r="AB519" s="11"/>
      <c r="AC519" s="11"/>
      <c r="AD519" s="11"/>
    </row>
    <row r="520" spans="1:30" ht="16" x14ac:dyDescent="0.2">
      <c r="A520" s="11"/>
      <c r="B520" s="12"/>
      <c r="C520" s="12"/>
      <c r="D520" s="12"/>
      <c r="E520" s="12"/>
      <c r="F520" s="12"/>
      <c r="G520" s="12"/>
      <c r="H520" s="12"/>
      <c r="I520" s="12"/>
      <c r="J520" s="12"/>
      <c r="K520" s="12"/>
      <c r="L520" s="12"/>
      <c r="M520" s="11"/>
      <c r="N520" s="11"/>
      <c r="O520" s="11"/>
      <c r="P520" s="11"/>
      <c r="Q520" s="11"/>
      <c r="R520" s="11"/>
      <c r="S520" s="11"/>
      <c r="T520" s="11"/>
      <c r="U520" s="11"/>
      <c r="V520" s="11"/>
      <c r="W520" s="11"/>
      <c r="X520" s="11"/>
      <c r="Y520" s="11"/>
      <c r="Z520" s="11"/>
      <c r="AA520" s="11"/>
      <c r="AB520" s="11"/>
      <c r="AC520" s="11"/>
      <c r="AD520" s="11"/>
    </row>
    <row r="521" spans="1:30" ht="16" x14ac:dyDescent="0.2">
      <c r="A521" s="11"/>
      <c r="B521" s="12"/>
      <c r="C521" s="12"/>
      <c r="D521" s="12"/>
      <c r="E521" s="12"/>
      <c r="F521" s="12"/>
      <c r="G521" s="12"/>
      <c r="H521" s="12"/>
      <c r="I521" s="12"/>
      <c r="J521" s="12"/>
      <c r="K521" s="12"/>
      <c r="L521" s="12"/>
      <c r="M521" s="11"/>
      <c r="N521" s="11"/>
      <c r="O521" s="11"/>
      <c r="P521" s="11"/>
      <c r="Q521" s="11"/>
      <c r="R521" s="11"/>
      <c r="S521" s="11"/>
      <c r="T521" s="11"/>
      <c r="U521" s="11"/>
      <c r="V521" s="11"/>
      <c r="W521" s="11"/>
      <c r="X521" s="11"/>
      <c r="Y521" s="11"/>
      <c r="Z521" s="11"/>
      <c r="AA521" s="11"/>
      <c r="AB521" s="11"/>
      <c r="AC521" s="11"/>
      <c r="AD521" s="11"/>
    </row>
    <row r="522" spans="1:30" ht="16" x14ac:dyDescent="0.2">
      <c r="A522" s="11"/>
      <c r="B522" s="12"/>
      <c r="C522" s="12"/>
      <c r="D522" s="12"/>
      <c r="E522" s="12"/>
      <c r="F522" s="12"/>
      <c r="G522" s="12"/>
      <c r="H522" s="12"/>
      <c r="I522" s="12"/>
      <c r="J522" s="12"/>
      <c r="K522" s="12"/>
      <c r="L522" s="12"/>
      <c r="M522" s="11"/>
      <c r="N522" s="11"/>
      <c r="O522" s="11"/>
      <c r="P522" s="11"/>
      <c r="Q522" s="11"/>
      <c r="R522" s="11"/>
      <c r="S522" s="11"/>
      <c r="T522" s="11"/>
      <c r="U522" s="11"/>
      <c r="V522" s="11"/>
      <c r="W522" s="11"/>
      <c r="X522" s="11"/>
      <c r="Y522" s="11"/>
      <c r="Z522" s="11"/>
      <c r="AA522" s="11"/>
      <c r="AB522" s="11"/>
      <c r="AC522" s="11"/>
      <c r="AD522" s="11"/>
    </row>
    <row r="523" spans="1:30" ht="16" x14ac:dyDescent="0.2">
      <c r="A523" s="11"/>
      <c r="B523" s="12"/>
      <c r="C523" s="12"/>
      <c r="D523" s="12"/>
      <c r="E523" s="12"/>
      <c r="F523" s="12"/>
      <c r="G523" s="12"/>
      <c r="H523" s="12"/>
      <c r="I523" s="12"/>
      <c r="J523" s="12"/>
      <c r="K523" s="12"/>
      <c r="L523" s="12"/>
      <c r="M523" s="11"/>
      <c r="N523" s="11"/>
      <c r="O523" s="11"/>
      <c r="P523" s="11"/>
      <c r="Q523" s="11"/>
      <c r="R523" s="11"/>
      <c r="S523" s="11"/>
      <c r="T523" s="11"/>
      <c r="U523" s="11"/>
      <c r="V523" s="11"/>
      <c r="W523" s="11"/>
      <c r="X523" s="11"/>
      <c r="Y523" s="11"/>
      <c r="Z523" s="11"/>
      <c r="AA523" s="11"/>
      <c r="AB523" s="11"/>
      <c r="AC523" s="11"/>
      <c r="AD523" s="11"/>
    </row>
    <row r="524" spans="1:30" ht="16" x14ac:dyDescent="0.2">
      <c r="A524" s="11"/>
      <c r="B524" s="12"/>
      <c r="C524" s="12"/>
      <c r="D524" s="12"/>
      <c r="E524" s="12"/>
      <c r="F524" s="12"/>
      <c r="G524" s="12"/>
      <c r="H524" s="12"/>
      <c r="I524" s="12"/>
      <c r="J524" s="12"/>
      <c r="K524" s="12"/>
      <c r="L524" s="12"/>
      <c r="M524" s="11"/>
      <c r="N524" s="11"/>
      <c r="O524" s="11"/>
      <c r="P524" s="11"/>
      <c r="Q524" s="11"/>
      <c r="R524" s="11"/>
      <c r="S524" s="11"/>
      <c r="T524" s="11"/>
      <c r="U524" s="11"/>
      <c r="V524" s="11"/>
      <c r="W524" s="11"/>
      <c r="X524" s="11"/>
      <c r="Y524" s="11"/>
      <c r="Z524" s="11"/>
      <c r="AA524" s="11"/>
      <c r="AB524" s="11"/>
      <c r="AC524" s="11"/>
      <c r="AD524" s="11"/>
    </row>
    <row r="525" spans="1:30" ht="16" x14ac:dyDescent="0.2">
      <c r="A525" s="11"/>
      <c r="B525" s="12"/>
      <c r="C525" s="12"/>
      <c r="D525" s="12"/>
      <c r="E525" s="12"/>
      <c r="F525" s="12"/>
      <c r="G525" s="12"/>
      <c r="H525" s="12"/>
      <c r="I525" s="12"/>
      <c r="J525" s="12"/>
      <c r="K525" s="12"/>
      <c r="L525" s="12"/>
      <c r="M525" s="11"/>
      <c r="N525" s="11"/>
      <c r="O525" s="11"/>
      <c r="P525" s="11"/>
      <c r="Q525" s="11"/>
      <c r="R525" s="11"/>
      <c r="S525" s="11"/>
      <c r="T525" s="11"/>
      <c r="U525" s="11"/>
      <c r="V525" s="11"/>
      <c r="W525" s="11"/>
      <c r="X525" s="11"/>
      <c r="Y525" s="11"/>
      <c r="Z525" s="11"/>
      <c r="AA525" s="11"/>
      <c r="AB525" s="11"/>
      <c r="AC525" s="11"/>
      <c r="AD525" s="11"/>
    </row>
    <row r="526" spans="1:30" ht="16" x14ac:dyDescent="0.2">
      <c r="A526" s="11"/>
      <c r="B526" s="12"/>
      <c r="C526" s="12"/>
      <c r="D526" s="12"/>
      <c r="E526" s="12"/>
      <c r="F526" s="12"/>
      <c r="G526" s="12"/>
      <c r="H526" s="12"/>
      <c r="I526" s="12"/>
      <c r="J526" s="12"/>
      <c r="K526" s="12"/>
      <c r="L526" s="12"/>
      <c r="M526" s="11"/>
      <c r="N526" s="11"/>
      <c r="O526" s="11"/>
      <c r="P526" s="11"/>
      <c r="Q526" s="11"/>
      <c r="R526" s="11"/>
      <c r="S526" s="11"/>
      <c r="T526" s="11"/>
      <c r="U526" s="11"/>
      <c r="V526" s="11"/>
      <c r="W526" s="11"/>
      <c r="X526" s="11"/>
      <c r="Y526" s="11"/>
      <c r="Z526" s="11"/>
      <c r="AA526" s="11"/>
      <c r="AB526" s="11"/>
      <c r="AC526" s="11"/>
      <c r="AD526" s="11"/>
    </row>
    <row r="527" spans="1:30" ht="16" x14ac:dyDescent="0.2">
      <c r="A527" s="11"/>
      <c r="B527" s="12"/>
      <c r="C527" s="12"/>
      <c r="D527" s="12"/>
      <c r="E527" s="12"/>
      <c r="F527" s="12"/>
      <c r="G527" s="12"/>
      <c r="H527" s="12"/>
      <c r="I527" s="12"/>
      <c r="J527" s="12"/>
      <c r="K527" s="12"/>
      <c r="L527" s="12"/>
      <c r="M527" s="11"/>
      <c r="N527" s="11"/>
      <c r="O527" s="11"/>
      <c r="P527" s="11"/>
      <c r="Q527" s="11"/>
      <c r="R527" s="11"/>
      <c r="S527" s="11"/>
      <c r="T527" s="11"/>
      <c r="U527" s="11"/>
      <c r="V527" s="11"/>
      <c r="W527" s="11"/>
      <c r="X527" s="11"/>
      <c r="Y527" s="11"/>
      <c r="Z527" s="11"/>
      <c r="AA527" s="11"/>
      <c r="AB527" s="11"/>
      <c r="AC527" s="11"/>
      <c r="AD527" s="11"/>
    </row>
    <row r="528" spans="1:30" ht="16" x14ac:dyDescent="0.2">
      <c r="A528" s="11"/>
      <c r="B528" s="12"/>
      <c r="C528" s="12"/>
      <c r="D528" s="12"/>
      <c r="E528" s="12"/>
      <c r="F528" s="12"/>
      <c r="G528" s="12"/>
      <c r="H528" s="12"/>
      <c r="I528" s="12"/>
      <c r="J528" s="12"/>
      <c r="K528" s="12"/>
      <c r="L528" s="12"/>
      <c r="M528" s="11"/>
      <c r="N528" s="11"/>
      <c r="O528" s="11"/>
      <c r="P528" s="11"/>
      <c r="Q528" s="11"/>
      <c r="R528" s="11"/>
      <c r="S528" s="11"/>
      <c r="T528" s="11"/>
      <c r="U528" s="11"/>
      <c r="V528" s="11"/>
      <c r="W528" s="11"/>
      <c r="X528" s="11"/>
      <c r="Y528" s="11"/>
      <c r="Z528" s="11"/>
      <c r="AA528" s="11"/>
      <c r="AB528" s="11"/>
      <c r="AC528" s="11"/>
      <c r="AD528" s="11"/>
    </row>
    <row r="529" spans="1:30" ht="16" x14ac:dyDescent="0.2">
      <c r="A529" s="11"/>
      <c r="B529" s="12"/>
      <c r="C529" s="12"/>
      <c r="D529" s="12"/>
      <c r="E529" s="12"/>
      <c r="F529" s="12"/>
      <c r="G529" s="12"/>
      <c r="H529" s="12"/>
      <c r="I529" s="12"/>
      <c r="J529" s="12"/>
      <c r="K529" s="12"/>
      <c r="L529" s="12"/>
      <c r="M529" s="11"/>
      <c r="N529" s="11"/>
      <c r="O529" s="11"/>
      <c r="P529" s="11"/>
      <c r="Q529" s="11"/>
      <c r="R529" s="11"/>
      <c r="S529" s="11"/>
      <c r="T529" s="11"/>
      <c r="U529" s="11"/>
      <c r="V529" s="11"/>
      <c r="W529" s="11"/>
      <c r="X529" s="11"/>
      <c r="Y529" s="11"/>
      <c r="Z529" s="11"/>
      <c r="AA529" s="11"/>
      <c r="AB529" s="11"/>
      <c r="AC529" s="11"/>
      <c r="AD529" s="11"/>
    </row>
    <row r="530" spans="1:30" ht="16" x14ac:dyDescent="0.2">
      <c r="A530" s="11"/>
      <c r="B530" s="12"/>
      <c r="C530" s="12"/>
      <c r="D530" s="12"/>
      <c r="E530" s="12"/>
      <c r="F530" s="12"/>
      <c r="G530" s="12"/>
      <c r="H530" s="12"/>
      <c r="I530" s="12"/>
      <c r="J530" s="12"/>
      <c r="K530" s="12"/>
      <c r="L530" s="12"/>
      <c r="M530" s="11"/>
      <c r="N530" s="11"/>
      <c r="O530" s="11"/>
      <c r="P530" s="11"/>
      <c r="Q530" s="11"/>
      <c r="R530" s="11"/>
      <c r="S530" s="11"/>
      <c r="T530" s="11"/>
      <c r="U530" s="11"/>
      <c r="V530" s="11"/>
      <c r="W530" s="11"/>
      <c r="X530" s="11"/>
      <c r="Y530" s="11"/>
      <c r="Z530" s="11"/>
      <c r="AA530" s="11"/>
      <c r="AB530" s="11"/>
      <c r="AC530" s="11"/>
      <c r="AD530" s="11"/>
    </row>
    <row r="531" spans="1:30" ht="16" x14ac:dyDescent="0.2">
      <c r="A531" s="11"/>
      <c r="B531" s="12"/>
      <c r="C531" s="12"/>
      <c r="D531" s="12"/>
      <c r="E531" s="12"/>
      <c r="F531" s="12"/>
      <c r="G531" s="12"/>
      <c r="H531" s="12"/>
      <c r="I531" s="12"/>
      <c r="J531" s="12"/>
      <c r="K531" s="12"/>
      <c r="L531" s="12"/>
      <c r="M531" s="11"/>
      <c r="N531" s="11"/>
      <c r="O531" s="11"/>
      <c r="P531" s="11"/>
      <c r="Q531" s="11"/>
      <c r="R531" s="11"/>
      <c r="S531" s="11"/>
      <c r="T531" s="11"/>
      <c r="U531" s="11"/>
      <c r="V531" s="11"/>
      <c r="W531" s="11"/>
      <c r="X531" s="11"/>
      <c r="Y531" s="11"/>
      <c r="Z531" s="11"/>
      <c r="AA531" s="11"/>
      <c r="AB531" s="11"/>
      <c r="AC531" s="11"/>
      <c r="AD531" s="11"/>
    </row>
    <row r="532" spans="1:30" ht="16" x14ac:dyDescent="0.2">
      <c r="A532" s="11"/>
      <c r="B532" s="12"/>
      <c r="C532" s="12"/>
      <c r="D532" s="12"/>
      <c r="E532" s="12"/>
      <c r="F532" s="12"/>
      <c r="G532" s="12"/>
      <c r="H532" s="12"/>
      <c r="I532" s="12"/>
      <c r="J532" s="12"/>
      <c r="K532" s="12"/>
      <c r="L532" s="12"/>
      <c r="M532" s="11"/>
      <c r="N532" s="11"/>
      <c r="O532" s="11"/>
      <c r="P532" s="11"/>
      <c r="Q532" s="11"/>
      <c r="R532" s="11"/>
      <c r="S532" s="11"/>
      <c r="T532" s="11"/>
      <c r="U532" s="11"/>
      <c r="V532" s="11"/>
      <c r="W532" s="11"/>
      <c r="X532" s="11"/>
      <c r="Y532" s="11"/>
      <c r="Z532" s="11"/>
      <c r="AA532" s="11"/>
      <c r="AB532" s="11"/>
      <c r="AC532" s="11"/>
      <c r="AD532" s="11"/>
    </row>
    <row r="533" spans="1:30" ht="16" x14ac:dyDescent="0.2">
      <c r="A533" s="11"/>
      <c r="B533" s="12"/>
      <c r="C533" s="12"/>
      <c r="D533" s="12"/>
      <c r="E533" s="12"/>
      <c r="F533" s="12"/>
      <c r="G533" s="12"/>
      <c r="H533" s="12"/>
      <c r="I533" s="12"/>
      <c r="J533" s="12"/>
      <c r="K533" s="12"/>
      <c r="L533" s="12"/>
      <c r="M533" s="11"/>
      <c r="N533" s="11"/>
      <c r="O533" s="11"/>
      <c r="P533" s="11"/>
      <c r="Q533" s="11"/>
      <c r="R533" s="11"/>
      <c r="S533" s="11"/>
      <c r="T533" s="11"/>
      <c r="U533" s="11"/>
      <c r="V533" s="11"/>
      <c r="W533" s="11"/>
      <c r="X533" s="11"/>
      <c r="Y533" s="11"/>
      <c r="Z533" s="11"/>
      <c r="AA533" s="11"/>
      <c r="AB533" s="11"/>
      <c r="AC533" s="11"/>
      <c r="AD533" s="11"/>
    </row>
    <row r="534" spans="1:30" ht="16" x14ac:dyDescent="0.2">
      <c r="A534" s="11"/>
      <c r="B534" s="12"/>
      <c r="C534" s="12"/>
      <c r="D534" s="12"/>
      <c r="E534" s="12"/>
      <c r="F534" s="12"/>
      <c r="G534" s="12"/>
      <c r="H534" s="12"/>
      <c r="I534" s="12"/>
      <c r="J534" s="12"/>
      <c r="K534" s="12"/>
      <c r="L534" s="12"/>
      <c r="M534" s="11"/>
      <c r="N534" s="11"/>
      <c r="O534" s="11"/>
      <c r="P534" s="11"/>
      <c r="Q534" s="11"/>
      <c r="R534" s="11"/>
      <c r="S534" s="11"/>
      <c r="T534" s="11"/>
      <c r="U534" s="11"/>
      <c r="V534" s="11"/>
      <c r="W534" s="11"/>
      <c r="X534" s="11"/>
      <c r="Y534" s="11"/>
      <c r="Z534" s="11"/>
      <c r="AA534" s="11"/>
      <c r="AB534" s="11"/>
      <c r="AC534" s="11"/>
      <c r="AD534" s="11"/>
    </row>
    <row r="535" spans="1:30" ht="16" x14ac:dyDescent="0.2">
      <c r="A535" s="11"/>
      <c r="B535" s="12"/>
      <c r="C535" s="12"/>
      <c r="D535" s="12"/>
      <c r="E535" s="12"/>
      <c r="F535" s="12"/>
      <c r="G535" s="12"/>
      <c r="H535" s="12"/>
      <c r="I535" s="12"/>
      <c r="J535" s="12"/>
      <c r="K535" s="12"/>
      <c r="L535" s="12"/>
      <c r="M535" s="11"/>
      <c r="N535" s="11"/>
      <c r="O535" s="11"/>
      <c r="P535" s="11"/>
      <c r="Q535" s="11"/>
      <c r="R535" s="11"/>
      <c r="S535" s="11"/>
      <c r="T535" s="11"/>
      <c r="U535" s="11"/>
      <c r="V535" s="11"/>
      <c r="W535" s="11"/>
      <c r="X535" s="11"/>
      <c r="Y535" s="11"/>
      <c r="Z535" s="11"/>
      <c r="AA535" s="11"/>
      <c r="AB535" s="11"/>
      <c r="AC535" s="11"/>
      <c r="AD535" s="11"/>
    </row>
    <row r="536" spans="1:30" ht="16" x14ac:dyDescent="0.2">
      <c r="A536" s="11"/>
      <c r="B536" s="12"/>
      <c r="C536" s="12"/>
      <c r="D536" s="12"/>
      <c r="E536" s="12"/>
      <c r="F536" s="12"/>
      <c r="G536" s="12"/>
      <c r="H536" s="12"/>
      <c r="I536" s="12"/>
      <c r="J536" s="12"/>
      <c r="K536" s="12"/>
      <c r="L536" s="12"/>
      <c r="M536" s="11"/>
      <c r="N536" s="11"/>
      <c r="O536" s="11"/>
      <c r="P536" s="11"/>
      <c r="Q536" s="11"/>
      <c r="R536" s="11"/>
      <c r="S536" s="11"/>
      <c r="T536" s="11"/>
      <c r="U536" s="11"/>
      <c r="V536" s="11"/>
      <c r="W536" s="11"/>
      <c r="X536" s="11"/>
      <c r="Y536" s="11"/>
      <c r="Z536" s="11"/>
      <c r="AA536" s="11"/>
      <c r="AB536" s="11"/>
      <c r="AC536" s="11"/>
      <c r="AD536" s="11"/>
    </row>
    <row r="537" spans="1:30" ht="16" x14ac:dyDescent="0.2">
      <c r="A537" s="11"/>
      <c r="B537" s="12"/>
      <c r="C537" s="12"/>
      <c r="D537" s="12"/>
      <c r="E537" s="12"/>
      <c r="F537" s="12"/>
      <c r="G537" s="12"/>
      <c r="H537" s="12"/>
      <c r="I537" s="12"/>
      <c r="J537" s="12"/>
      <c r="K537" s="12"/>
      <c r="L537" s="12"/>
      <c r="M537" s="11"/>
      <c r="N537" s="11"/>
      <c r="O537" s="11"/>
      <c r="P537" s="11"/>
      <c r="Q537" s="11"/>
      <c r="R537" s="11"/>
      <c r="S537" s="11"/>
      <c r="T537" s="11"/>
      <c r="U537" s="11"/>
      <c r="V537" s="11"/>
      <c r="W537" s="11"/>
      <c r="X537" s="11"/>
      <c r="Y537" s="11"/>
      <c r="Z537" s="11"/>
      <c r="AA537" s="11"/>
      <c r="AB537" s="11"/>
      <c r="AC537" s="11"/>
      <c r="AD537" s="11"/>
    </row>
    <row r="538" spans="1:30" ht="16" x14ac:dyDescent="0.2">
      <c r="A538" s="11"/>
      <c r="B538" s="12"/>
      <c r="C538" s="12"/>
      <c r="D538" s="12"/>
      <c r="E538" s="12"/>
      <c r="F538" s="12"/>
      <c r="G538" s="12"/>
      <c r="H538" s="12"/>
      <c r="I538" s="12"/>
      <c r="J538" s="12"/>
      <c r="K538" s="12"/>
      <c r="L538" s="12"/>
      <c r="M538" s="11"/>
      <c r="N538" s="11"/>
      <c r="O538" s="11"/>
      <c r="P538" s="11"/>
      <c r="Q538" s="11"/>
      <c r="R538" s="11"/>
      <c r="S538" s="11"/>
      <c r="T538" s="11"/>
      <c r="U538" s="11"/>
      <c r="V538" s="11"/>
      <c r="W538" s="11"/>
      <c r="X538" s="11"/>
      <c r="Y538" s="11"/>
      <c r="Z538" s="11"/>
      <c r="AA538" s="11"/>
      <c r="AB538" s="11"/>
      <c r="AC538" s="11"/>
      <c r="AD538" s="11"/>
    </row>
    <row r="539" spans="1:30" ht="16" x14ac:dyDescent="0.2">
      <c r="A539" s="11"/>
      <c r="B539" s="12"/>
      <c r="C539" s="12"/>
      <c r="D539" s="12"/>
      <c r="E539" s="12"/>
      <c r="F539" s="12"/>
      <c r="G539" s="12"/>
      <c r="H539" s="12"/>
      <c r="I539" s="12"/>
      <c r="J539" s="12"/>
      <c r="K539" s="12"/>
      <c r="L539" s="12"/>
      <c r="M539" s="11"/>
      <c r="N539" s="11"/>
      <c r="O539" s="11"/>
      <c r="P539" s="11"/>
      <c r="Q539" s="11"/>
      <c r="R539" s="11"/>
      <c r="S539" s="11"/>
      <c r="T539" s="11"/>
      <c r="U539" s="11"/>
      <c r="V539" s="11"/>
      <c r="W539" s="11"/>
      <c r="X539" s="11"/>
      <c r="Y539" s="11"/>
      <c r="Z539" s="11"/>
      <c r="AA539" s="11"/>
      <c r="AB539" s="11"/>
      <c r="AC539" s="11"/>
      <c r="AD539" s="11"/>
    </row>
    <row r="540" spans="1:30" ht="16" x14ac:dyDescent="0.2">
      <c r="A540" s="11"/>
      <c r="B540" s="12"/>
      <c r="C540" s="12"/>
      <c r="D540" s="12"/>
      <c r="E540" s="12"/>
      <c r="F540" s="12"/>
      <c r="G540" s="12"/>
      <c r="H540" s="12"/>
      <c r="I540" s="12"/>
      <c r="J540" s="12"/>
      <c r="K540" s="12"/>
      <c r="L540" s="12"/>
      <c r="M540" s="11"/>
      <c r="N540" s="11"/>
      <c r="O540" s="11"/>
      <c r="P540" s="11"/>
      <c r="Q540" s="11"/>
      <c r="R540" s="11"/>
      <c r="S540" s="11"/>
      <c r="T540" s="11"/>
      <c r="U540" s="11"/>
      <c r="V540" s="11"/>
      <c r="W540" s="11"/>
      <c r="X540" s="11"/>
      <c r="Y540" s="11"/>
      <c r="Z540" s="11"/>
      <c r="AA540" s="11"/>
      <c r="AB540" s="11"/>
      <c r="AC540" s="11"/>
      <c r="AD540" s="11"/>
    </row>
    <row r="541" spans="1:30" ht="16" x14ac:dyDescent="0.2">
      <c r="A541" s="11"/>
      <c r="B541" s="12"/>
      <c r="C541" s="12"/>
      <c r="D541" s="12"/>
      <c r="E541" s="12"/>
      <c r="F541" s="12"/>
      <c r="G541" s="12"/>
      <c r="H541" s="12"/>
      <c r="I541" s="12"/>
      <c r="J541" s="12"/>
      <c r="K541" s="12"/>
      <c r="L541" s="12"/>
      <c r="M541" s="11"/>
      <c r="N541" s="11"/>
      <c r="O541" s="11"/>
      <c r="P541" s="11"/>
      <c r="Q541" s="11"/>
      <c r="R541" s="11"/>
      <c r="S541" s="11"/>
      <c r="T541" s="11"/>
      <c r="U541" s="11"/>
      <c r="V541" s="11"/>
      <c r="W541" s="11"/>
      <c r="X541" s="11"/>
      <c r="Y541" s="11"/>
      <c r="Z541" s="11"/>
      <c r="AA541" s="11"/>
      <c r="AB541" s="11"/>
      <c r="AC541" s="11"/>
      <c r="AD541" s="11"/>
    </row>
    <row r="542" spans="1:30" ht="16" x14ac:dyDescent="0.2">
      <c r="A542" s="11"/>
      <c r="B542" s="12"/>
      <c r="C542" s="12"/>
      <c r="D542" s="12"/>
      <c r="E542" s="12"/>
      <c r="F542" s="12"/>
      <c r="G542" s="12"/>
      <c r="H542" s="12"/>
      <c r="I542" s="12"/>
      <c r="J542" s="12"/>
      <c r="K542" s="12"/>
      <c r="L542" s="12"/>
      <c r="M542" s="11"/>
      <c r="N542" s="11"/>
      <c r="O542" s="11"/>
      <c r="P542" s="11"/>
      <c r="Q542" s="11"/>
      <c r="R542" s="11"/>
      <c r="S542" s="11"/>
      <c r="T542" s="11"/>
      <c r="U542" s="11"/>
      <c r="V542" s="11"/>
      <c r="W542" s="11"/>
      <c r="X542" s="11"/>
      <c r="Y542" s="11"/>
      <c r="Z542" s="11"/>
      <c r="AA542" s="11"/>
      <c r="AB542" s="11"/>
      <c r="AC542" s="11"/>
      <c r="AD542" s="11"/>
    </row>
    <row r="543" spans="1:30" ht="16" x14ac:dyDescent="0.2">
      <c r="A543" s="11"/>
      <c r="B543" s="12"/>
      <c r="C543" s="12"/>
      <c r="D543" s="12"/>
      <c r="E543" s="12"/>
      <c r="F543" s="12"/>
      <c r="G543" s="12"/>
      <c r="H543" s="12"/>
      <c r="I543" s="12"/>
      <c r="J543" s="12"/>
      <c r="K543" s="12"/>
      <c r="L543" s="12"/>
      <c r="M543" s="11"/>
      <c r="N543" s="11"/>
      <c r="O543" s="11"/>
      <c r="P543" s="11"/>
      <c r="Q543" s="11"/>
      <c r="R543" s="11"/>
      <c r="S543" s="11"/>
      <c r="T543" s="11"/>
      <c r="U543" s="11"/>
      <c r="V543" s="11"/>
      <c r="W543" s="11"/>
      <c r="X543" s="11"/>
      <c r="Y543" s="11"/>
      <c r="Z543" s="11"/>
      <c r="AA543" s="11"/>
      <c r="AB543" s="11"/>
      <c r="AC543" s="11"/>
      <c r="AD543" s="11"/>
    </row>
    <row r="544" spans="1:30" ht="16" x14ac:dyDescent="0.2">
      <c r="A544" s="11"/>
      <c r="B544" s="12"/>
      <c r="C544" s="12"/>
      <c r="D544" s="12"/>
      <c r="E544" s="12"/>
      <c r="F544" s="12"/>
      <c r="G544" s="12"/>
      <c r="H544" s="12"/>
      <c r="I544" s="12"/>
      <c r="J544" s="12"/>
      <c r="K544" s="12"/>
      <c r="L544" s="12"/>
      <c r="M544" s="11"/>
      <c r="N544" s="11"/>
      <c r="O544" s="11"/>
      <c r="P544" s="11"/>
      <c r="Q544" s="11"/>
      <c r="R544" s="11"/>
      <c r="S544" s="11"/>
      <c r="T544" s="11"/>
      <c r="U544" s="11"/>
      <c r="V544" s="11"/>
      <c r="W544" s="11"/>
      <c r="X544" s="11"/>
      <c r="Y544" s="11"/>
      <c r="Z544" s="11"/>
      <c r="AA544" s="11"/>
      <c r="AB544" s="11"/>
      <c r="AC544" s="11"/>
      <c r="AD544" s="11"/>
    </row>
    <row r="545" spans="1:30" ht="16" x14ac:dyDescent="0.2">
      <c r="A545" s="11"/>
      <c r="B545" s="12"/>
      <c r="C545" s="12"/>
      <c r="D545" s="12"/>
      <c r="E545" s="12"/>
      <c r="F545" s="12"/>
      <c r="G545" s="12"/>
      <c r="H545" s="12"/>
      <c r="I545" s="12"/>
      <c r="J545" s="12"/>
      <c r="K545" s="12"/>
      <c r="L545" s="12"/>
      <c r="M545" s="11"/>
      <c r="N545" s="11"/>
      <c r="O545" s="11"/>
      <c r="P545" s="11"/>
      <c r="Q545" s="11"/>
      <c r="R545" s="11"/>
      <c r="S545" s="11"/>
      <c r="T545" s="11"/>
      <c r="U545" s="11"/>
      <c r="V545" s="11"/>
      <c r="W545" s="11"/>
      <c r="X545" s="11"/>
      <c r="Y545" s="11"/>
      <c r="Z545" s="11"/>
      <c r="AA545" s="11"/>
      <c r="AB545" s="11"/>
      <c r="AC545" s="11"/>
      <c r="AD545" s="11"/>
    </row>
    <row r="546" spans="1:30" ht="16" x14ac:dyDescent="0.2">
      <c r="A546" s="11"/>
      <c r="B546" s="12"/>
      <c r="C546" s="12"/>
      <c r="D546" s="12"/>
      <c r="E546" s="12"/>
      <c r="F546" s="12"/>
      <c r="G546" s="12"/>
      <c r="H546" s="12"/>
      <c r="I546" s="12"/>
      <c r="J546" s="12"/>
      <c r="K546" s="12"/>
      <c r="L546" s="12"/>
      <c r="M546" s="11"/>
      <c r="N546" s="11"/>
      <c r="O546" s="11"/>
      <c r="P546" s="11"/>
      <c r="Q546" s="11"/>
      <c r="R546" s="11"/>
      <c r="S546" s="11"/>
      <c r="T546" s="11"/>
      <c r="U546" s="11"/>
      <c r="V546" s="11"/>
      <c r="W546" s="11"/>
      <c r="X546" s="11"/>
      <c r="Y546" s="11"/>
      <c r="Z546" s="11"/>
      <c r="AA546" s="11"/>
      <c r="AB546" s="11"/>
      <c r="AC546" s="11"/>
      <c r="AD546" s="11"/>
    </row>
    <row r="547" spans="1:30" ht="16" x14ac:dyDescent="0.2">
      <c r="A547" s="11"/>
      <c r="B547" s="12"/>
      <c r="C547" s="12"/>
      <c r="D547" s="12"/>
      <c r="E547" s="12"/>
      <c r="F547" s="12"/>
      <c r="G547" s="12"/>
      <c r="H547" s="12"/>
      <c r="I547" s="12"/>
      <c r="J547" s="12"/>
      <c r="K547" s="12"/>
      <c r="L547" s="12"/>
      <c r="M547" s="11"/>
      <c r="N547" s="11"/>
      <c r="O547" s="11"/>
      <c r="P547" s="11"/>
      <c r="Q547" s="11"/>
      <c r="R547" s="11"/>
      <c r="S547" s="11"/>
      <c r="T547" s="11"/>
      <c r="U547" s="11"/>
      <c r="V547" s="11"/>
      <c r="W547" s="11"/>
      <c r="X547" s="11"/>
      <c r="Y547" s="11"/>
      <c r="Z547" s="11"/>
      <c r="AA547" s="11"/>
      <c r="AB547" s="11"/>
      <c r="AC547" s="11"/>
      <c r="AD547" s="11"/>
    </row>
    <row r="548" spans="1:30" ht="16" x14ac:dyDescent="0.2">
      <c r="A548" s="11"/>
      <c r="B548" s="12"/>
      <c r="C548" s="12"/>
      <c r="D548" s="12"/>
      <c r="E548" s="12"/>
      <c r="F548" s="12"/>
      <c r="G548" s="12"/>
      <c r="H548" s="12"/>
      <c r="I548" s="12"/>
      <c r="J548" s="12"/>
      <c r="K548" s="12"/>
      <c r="L548" s="12"/>
      <c r="M548" s="11"/>
      <c r="N548" s="11"/>
      <c r="O548" s="11"/>
      <c r="P548" s="11"/>
      <c r="Q548" s="11"/>
      <c r="R548" s="11"/>
      <c r="S548" s="11"/>
      <c r="T548" s="11"/>
      <c r="U548" s="11"/>
      <c r="V548" s="11"/>
      <c r="W548" s="11"/>
      <c r="X548" s="11"/>
      <c r="Y548" s="11"/>
      <c r="Z548" s="11"/>
      <c r="AA548" s="11"/>
      <c r="AB548" s="11"/>
      <c r="AC548" s="11"/>
      <c r="AD548" s="11"/>
    </row>
    <row r="549" spans="1:30" ht="16" x14ac:dyDescent="0.2">
      <c r="A549" s="11"/>
      <c r="B549" s="12"/>
      <c r="C549" s="12"/>
      <c r="D549" s="12"/>
      <c r="E549" s="12"/>
      <c r="F549" s="12"/>
      <c r="G549" s="12"/>
      <c r="H549" s="12"/>
      <c r="I549" s="12"/>
      <c r="J549" s="12"/>
      <c r="K549" s="12"/>
      <c r="L549" s="12"/>
      <c r="M549" s="11"/>
      <c r="N549" s="11"/>
      <c r="O549" s="11"/>
      <c r="P549" s="11"/>
      <c r="Q549" s="11"/>
      <c r="R549" s="11"/>
      <c r="S549" s="11"/>
      <c r="T549" s="11"/>
      <c r="U549" s="11"/>
      <c r="V549" s="11"/>
      <c r="W549" s="11"/>
      <c r="X549" s="11"/>
      <c r="Y549" s="11"/>
      <c r="Z549" s="11"/>
      <c r="AA549" s="11"/>
      <c r="AB549" s="11"/>
      <c r="AC549" s="11"/>
      <c r="AD549" s="11"/>
    </row>
    <row r="550" spans="1:30" ht="16" x14ac:dyDescent="0.2">
      <c r="A550" s="11"/>
      <c r="B550" s="12"/>
      <c r="C550" s="12"/>
      <c r="D550" s="12"/>
      <c r="E550" s="12"/>
      <c r="F550" s="12"/>
      <c r="G550" s="12"/>
      <c r="H550" s="12"/>
      <c r="I550" s="12"/>
      <c r="J550" s="12"/>
      <c r="K550" s="12"/>
      <c r="L550" s="12"/>
      <c r="M550" s="11"/>
      <c r="N550" s="11"/>
      <c r="O550" s="11"/>
      <c r="P550" s="11"/>
      <c r="Q550" s="11"/>
      <c r="R550" s="11"/>
      <c r="S550" s="11"/>
      <c r="T550" s="11"/>
      <c r="U550" s="11"/>
      <c r="V550" s="11"/>
      <c r="W550" s="11"/>
      <c r="X550" s="11"/>
      <c r="Y550" s="11"/>
      <c r="Z550" s="11"/>
      <c r="AA550" s="11"/>
      <c r="AB550" s="11"/>
      <c r="AC550" s="11"/>
      <c r="AD550" s="11"/>
    </row>
    <row r="551" spans="1:30" ht="16" x14ac:dyDescent="0.2">
      <c r="A551" s="11"/>
      <c r="B551" s="12"/>
      <c r="C551" s="12"/>
      <c r="D551" s="12"/>
      <c r="E551" s="12"/>
      <c r="F551" s="12"/>
      <c r="G551" s="12"/>
      <c r="H551" s="12"/>
      <c r="I551" s="12"/>
      <c r="J551" s="12"/>
      <c r="K551" s="12"/>
      <c r="L551" s="12"/>
      <c r="M551" s="11"/>
      <c r="N551" s="11"/>
      <c r="O551" s="11"/>
      <c r="P551" s="11"/>
      <c r="Q551" s="11"/>
      <c r="R551" s="11"/>
      <c r="S551" s="11"/>
      <c r="T551" s="11"/>
      <c r="U551" s="11"/>
      <c r="V551" s="11"/>
      <c r="W551" s="11"/>
      <c r="X551" s="11"/>
      <c r="Y551" s="11"/>
      <c r="Z551" s="11"/>
      <c r="AA551" s="11"/>
      <c r="AB551" s="11"/>
      <c r="AC551" s="11"/>
      <c r="AD551" s="11"/>
    </row>
    <row r="552" spans="1:30" ht="16" x14ac:dyDescent="0.2">
      <c r="A552" s="11"/>
      <c r="B552" s="12"/>
      <c r="C552" s="12"/>
      <c r="D552" s="12"/>
      <c r="E552" s="12"/>
      <c r="F552" s="12"/>
      <c r="G552" s="12"/>
      <c r="H552" s="12"/>
      <c r="I552" s="12"/>
      <c r="J552" s="12"/>
      <c r="K552" s="12"/>
      <c r="L552" s="12"/>
      <c r="M552" s="11"/>
      <c r="N552" s="11"/>
      <c r="O552" s="11"/>
      <c r="P552" s="11"/>
      <c r="Q552" s="11"/>
      <c r="R552" s="11"/>
      <c r="S552" s="11"/>
      <c r="T552" s="11"/>
      <c r="U552" s="11"/>
      <c r="V552" s="11"/>
      <c r="W552" s="11"/>
      <c r="X552" s="11"/>
      <c r="Y552" s="11"/>
      <c r="Z552" s="11"/>
      <c r="AA552" s="11"/>
      <c r="AB552" s="11"/>
      <c r="AC552" s="11"/>
      <c r="AD552" s="11"/>
    </row>
    <row r="553" spans="1:30" ht="16" x14ac:dyDescent="0.2">
      <c r="A553" s="11"/>
      <c r="B553" s="12"/>
      <c r="C553" s="12"/>
      <c r="D553" s="12"/>
      <c r="E553" s="12"/>
      <c r="F553" s="12"/>
      <c r="G553" s="12"/>
      <c r="H553" s="12"/>
      <c r="I553" s="12"/>
      <c r="J553" s="12"/>
      <c r="K553" s="12"/>
      <c r="L553" s="12"/>
      <c r="M553" s="11"/>
      <c r="N553" s="11"/>
      <c r="O553" s="11"/>
      <c r="P553" s="11"/>
      <c r="Q553" s="11"/>
      <c r="R553" s="11"/>
      <c r="S553" s="11"/>
      <c r="T553" s="11"/>
      <c r="U553" s="11"/>
      <c r="V553" s="11"/>
      <c r="W553" s="11"/>
      <c r="X553" s="11"/>
      <c r="Y553" s="11"/>
      <c r="Z553" s="11"/>
      <c r="AA553" s="11"/>
      <c r="AB553" s="11"/>
      <c r="AC553" s="11"/>
      <c r="AD553" s="11"/>
    </row>
    <row r="554" spans="1:30" ht="16" x14ac:dyDescent="0.2">
      <c r="A554" s="11"/>
      <c r="B554" s="12"/>
      <c r="C554" s="12"/>
      <c r="D554" s="12"/>
      <c r="E554" s="12"/>
      <c r="F554" s="12"/>
      <c r="G554" s="12"/>
      <c r="H554" s="12"/>
      <c r="I554" s="12"/>
      <c r="J554" s="12"/>
      <c r="K554" s="12"/>
      <c r="L554" s="12"/>
      <c r="M554" s="11"/>
      <c r="N554" s="11"/>
      <c r="O554" s="11"/>
      <c r="P554" s="11"/>
      <c r="Q554" s="11"/>
      <c r="R554" s="11"/>
      <c r="S554" s="11"/>
      <c r="T554" s="11"/>
      <c r="U554" s="11"/>
      <c r="V554" s="11"/>
      <c r="W554" s="11"/>
      <c r="X554" s="11"/>
      <c r="Y554" s="11"/>
      <c r="Z554" s="11"/>
      <c r="AA554" s="11"/>
      <c r="AB554" s="11"/>
      <c r="AC554" s="11"/>
      <c r="AD554" s="11"/>
    </row>
    <row r="555" spans="1:30" ht="16" x14ac:dyDescent="0.2">
      <c r="A555" s="11"/>
      <c r="B555" s="12"/>
      <c r="C555" s="12"/>
      <c r="D555" s="12"/>
      <c r="E555" s="12"/>
      <c r="F555" s="12"/>
      <c r="G555" s="12"/>
      <c r="H555" s="12"/>
      <c r="I555" s="12"/>
      <c r="J555" s="12"/>
      <c r="K555" s="12"/>
      <c r="L555" s="12"/>
      <c r="M555" s="11"/>
      <c r="N555" s="11"/>
      <c r="O555" s="11"/>
      <c r="P555" s="11"/>
      <c r="Q555" s="11"/>
      <c r="R555" s="11"/>
      <c r="S555" s="11"/>
      <c r="T555" s="11"/>
      <c r="U555" s="11"/>
      <c r="V555" s="11"/>
      <c r="W555" s="11"/>
      <c r="X555" s="11"/>
      <c r="Y555" s="11"/>
      <c r="Z555" s="11"/>
      <c r="AA555" s="11"/>
      <c r="AB555" s="11"/>
      <c r="AC555" s="11"/>
      <c r="AD555" s="11"/>
    </row>
    <row r="556" spans="1:30" ht="16" x14ac:dyDescent="0.2">
      <c r="A556" s="11"/>
      <c r="B556" s="12"/>
      <c r="C556" s="12"/>
      <c r="D556" s="12"/>
      <c r="E556" s="12"/>
      <c r="F556" s="12"/>
      <c r="G556" s="12"/>
      <c r="H556" s="12"/>
      <c r="I556" s="12"/>
      <c r="J556" s="12"/>
      <c r="K556" s="12"/>
      <c r="L556" s="12"/>
      <c r="M556" s="11"/>
      <c r="N556" s="11"/>
      <c r="O556" s="11"/>
      <c r="P556" s="11"/>
      <c r="Q556" s="11"/>
      <c r="R556" s="11"/>
      <c r="S556" s="11"/>
      <c r="T556" s="11"/>
      <c r="U556" s="11"/>
      <c r="V556" s="11"/>
      <c r="W556" s="11"/>
      <c r="X556" s="11"/>
      <c r="Y556" s="11"/>
      <c r="Z556" s="11"/>
      <c r="AA556" s="11"/>
      <c r="AB556" s="11"/>
      <c r="AC556" s="11"/>
      <c r="AD556" s="11"/>
    </row>
    <row r="557" spans="1:30" ht="16" x14ac:dyDescent="0.2">
      <c r="A557" s="11"/>
      <c r="B557" s="12"/>
      <c r="C557" s="12"/>
      <c r="D557" s="12"/>
      <c r="E557" s="12"/>
      <c r="F557" s="12"/>
      <c r="G557" s="12"/>
      <c r="H557" s="12"/>
      <c r="I557" s="12"/>
      <c r="J557" s="12"/>
      <c r="K557" s="12"/>
      <c r="L557" s="12"/>
      <c r="M557" s="11"/>
      <c r="N557" s="11"/>
      <c r="O557" s="11"/>
      <c r="P557" s="11"/>
      <c r="Q557" s="11"/>
      <c r="R557" s="11"/>
      <c r="S557" s="11"/>
      <c r="T557" s="11"/>
      <c r="U557" s="11"/>
      <c r="V557" s="11"/>
      <c r="W557" s="11"/>
      <c r="X557" s="11"/>
      <c r="Y557" s="11"/>
      <c r="Z557" s="11"/>
      <c r="AA557" s="11"/>
      <c r="AB557" s="11"/>
      <c r="AC557" s="11"/>
      <c r="AD557" s="11"/>
    </row>
    <row r="558" spans="1:30" ht="16" x14ac:dyDescent="0.2">
      <c r="A558" s="11"/>
      <c r="B558" s="12"/>
      <c r="C558" s="12"/>
      <c r="D558" s="12"/>
      <c r="E558" s="12"/>
      <c r="F558" s="12"/>
      <c r="G558" s="12"/>
      <c r="H558" s="12"/>
      <c r="I558" s="12"/>
      <c r="J558" s="12"/>
      <c r="K558" s="12"/>
      <c r="L558" s="12"/>
      <c r="M558" s="11"/>
      <c r="N558" s="11"/>
      <c r="O558" s="11"/>
      <c r="P558" s="11"/>
      <c r="Q558" s="11"/>
      <c r="R558" s="11"/>
      <c r="S558" s="11"/>
      <c r="T558" s="11"/>
      <c r="U558" s="11"/>
      <c r="V558" s="11"/>
      <c r="W558" s="11"/>
      <c r="X558" s="11"/>
      <c r="Y558" s="11"/>
      <c r="Z558" s="11"/>
      <c r="AA558" s="11"/>
      <c r="AB558" s="11"/>
      <c r="AC558" s="11"/>
      <c r="AD558" s="11"/>
    </row>
    <row r="559" spans="1:30" ht="16" x14ac:dyDescent="0.2">
      <c r="A559" s="11"/>
      <c r="B559" s="12"/>
      <c r="C559" s="12"/>
      <c r="D559" s="12"/>
      <c r="E559" s="12"/>
      <c r="F559" s="12"/>
      <c r="G559" s="12"/>
      <c r="H559" s="12"/>
      <c r="I559" s="12"/>
      <c r="J559" s="12"/>
      <c r="K559" s="12"/>
      <c r="L559" s="12"/>
      <c r="M559" s="11"/>
      <c r="N559" s="11"/>
      <c r="O559" s="11"/>
      <c r="P559" s="11"/>
      <c r="Q559" s="11"/>
      <c r="R559" s="11"/>
      <c r="S559" s="11"/>
      <c r="T559" s="11"/>
      <c r="U559" s="11"/>
      <c r="V559" s="11"/>
      <c r="W559" s="11"/>
      <c r="X559" s="11"/>
      <c r="Y559" s="11"/>
      <c r="Z559" s="11"/>
      <c r="AA559" s="11"/>
      <c r="AB559" s="11"/>
      <c r="AC559" s="11"/>
      <c r="AD559" s="11"/>
    </row>
    <row r="560" spans="1:30" ht="16" x14ac:dyDescent="0.2">
      <c r="A560" s="11"/>
      <c r="B560" s="12"/>
      <c r="C560" s="12"/>
      <c r="D560" s="12"/>
      <c r="E560" s="12"/>
      <c r="F560" s="12"/>
      <c r="G560" s="12"/>
      <c r="H560" s="12"/>
      <c r="I560" s="12"/>
      <c r="J560" s="12"/>
      <c r="K560" s="12"/>
      <c r="L560" s="12"/>
      <c r="M560" s="11"/>
      <c r="N560" s="11"/>
      <c r="O560" s="11"/>
      <c r="P560" s="11"/>
      <c r="Q560" s="11"/>
      <c r="R560" s="11"/>
      <c r="S560" s="11"/>
      <c r="T560" s="11"/>
      <c r="U560" s="11"/>
      <c r="V560" s="11"/>
      <c r="W560" s="11"/>
      <c r="X560" s="11"/>
      <c r="Y560" s="11"/>
      <c r="Z560" s="11"/>
      <c r="AA560" s="11"/>
      <c r="AB560" s="11"/>
      <c r="AC560" s="11"/>
      <c r="AD560" s="11"/>
    </row>
    <row r="561" spans="1:30" ht="16" x14ac:dyDescent="0.2">
      <c r="A561" s="11"/>
      <c r="B561" s="12"/>
      <c r="C561" s="12"/>
      <c r="D561" s="12"/>
      <c r="E561" s="12"/>
      <c r="F561" s="12"/>
      <c r="G561" s="12"/>
      <c r="H561" s="12"/>
      <c r="I561" s="12"/>
      <c r="J561" s="12"/>
      <c r="K561" s="12"/>
      <c r="L561" s="12"/>
      <c r="M561" s="11"/>
      <c r="N561" s="11"/>
      <c r="O561" s="11"/>
      <c r="P561" s="11"/>
      <c r="Q561" s="11"/>
      <c r="R561" s="11"/>
      <c r="S561" s="11"/>
      <c r="T561" s="11"/>
      <c r="U561" s="11"/>
      <c r="V561" s="11"/>
      <c r="W561" s="11"/>
      <c r="X561" s="11"/>
      <c r="Y561" s="11"/>
      <c r="Z561" s="11"/>
      <c r="AA561" s="11"/>
      <c r="AB561" s="11"/>
      <c r="AC561" s="11"/>
      <c r="AD561" s="11"/>
    </row>
    <row r="562" spans="1:30" ht="16" x14ac:dyDescent="0.2">
      <c r="A562" s="11"/>
      <c r="B562" s="12"/>
      <c r="C562" s="12"/>
      <c r="D562" s="12"/>
      <c r="E562" s="12"/>
      <c r="F562" s="12"/>
      <c r="G562" s="12"/>
      <c r="H562" s="12"/>
      <c r="I562" s="12"/>
      <c r="J562" s="12"/>
      <c r="K562" s="12"/>
      <c r="L562" s="12"/>
      <c r="M562" s="11"/>
      <c r="N562" s="11"/>
      <c r="O562" s="11"/>
      <c r="P562" s="11"/>
      <c r="Q562" s="11"/>
      <c r="R562" s="11"/>
      <c r="S562" s="11"/>
      <c r="T562" s="11"/>
      <c r="U562" s="11"/>
      <c r="V562" s="11"/>
      <c r="W562" s="11"/>
      <c r="X562" s="11"/>
      <c r="Y562" s="11"/>
      <c r="Z562" s="11"/>
      <c r="AA562" s="11"/>
      <c r="AB562" s="11"/>
      <c r="AC562" s="11"/>
      <c r="AD562" s="11"/>
    </row>
    <row r="563" spans="1:30" ht="16" x14ac:dyDescent="0.2">
      <c r="A563" s="11"/>
      <c r="B563" s="12"/>
      <c r="C563" s="12"/>
      <c r="D563" s="12"/>
      <c r="E563" s="12"/>
      <c r="F563" s="12"/>
      <c r="G563" s="12"/>
      <c r="H563" s="12"/>
      <c r="I563" s="12"/>
      <c r="J563" s="12"/>
      <c r="K563" s="12"/>
      <c r="L563" s="12"/>
      <c r="M563" s="11"/>
      <c r="N563" s="11"/>
      <c r="O563" s="11"/>
      <c r="P563" s="11"/>
      <c r="Q563" s="11"/>
      <c r="R563" s="11"/>
      <c r="S563" s="11"/>
      <c r="T563" s="11"/>
      <c r="U563" s="11"/>
      <c r="V563" s="11"/>
      <c r="W563" s="11"/>
      <c r="X563" s="11"/>
      <c r="Y563" s="11"/>
      <c r="Z563" s="11"/>
      <c r="AA563" s="11"/>
      <c r="AB563" s="11"/>
      <c r="AC563" s="11"/>
      <c r="AD563" s="11"/>
    </row>
    <row r="564" spans="1:30" ht="16" x14ac:dyDescent="0.2">
      <c r="A564" s="11"/>
      <c r="B564" s="12"/>
      <c r="C564" s="12"/>
      <c r="D564" s="12"/>
      <c r="E564" s="12"/>
      <c r="F564" s="12"/>
      <c r="G564" s="12"/>
      <c r="H564" s="12"/>
      <c r="I564" s="12"/>
      <c r="J564" s="12"/>
      <c r="K564" s="12"/>
      <c r="L564" s="12"/>
      <c r="M564" s="11"/>
      <c r="N564" s="11"/>
      <c r="O564" s="11"/>
      <c r="P564" s="11"/>
      <c r="Q564" s="11"/>
      <c r="R564" s="11"/>
      <c r="S564" s="11"/>
      <c r="T564" s="11"/>
      <c r="U564" s="11"/>
      <c r="V564" s="11"/>
      <c r="W564" s="11"/>
      <c r="X564" s="11"/>
      <c r="Y564" s="11"/>
      <c r="Z564" s="11"/>
      <c r="AA564" s="11"/>
      <c r="AB564" s="11"/>
      <c r="AC564" s="11"/>
      <c r="AD564" s="11"/>
    </row>
    <row r="565" spans="1:30" ht="16" x14ac:dyDescent="0.2">
      <c r="A565" s="11"/>
      <c r="B565" s="12"/>
      <c r="C565" s="12"/>
      <c r="D565" s="12"/>
      <c r="E565" s="12"/>
      <c r="F565" s="12"/>
      <c r="G565" s="12"/>
      <c r="H565" s="12"/>
      <c r="I565" s="12"/>
      <c r="J565" s="12"/>
      <c r="K565" s="12"/>
      <c r="L565" s="12"/>
      <c r="M565" s="11"/>
      <c r="N565" s="11"/>
      <c r="O565" s="11"/>
      <c r="P565" s="11"/>
      <c r="Q565" s="11"/>
      <c r="R565" s="11"/>
      <c r="S565" s="11"/>
      <c r="T565" s="11"/>
      <c r="U565" s="11"/>
      <c r="V565" s="11"/>
      <c r="W565" s="11"/>
      <c r="X565" s="11"/>
      <c r="Y565" s="11"/>
      <c r="Z565" s="11"/>
      <c r="AA565" s="11"/>
      <c r="AB565" s="11"/>
      <c r="AC565" s="11"/>
      <c r="AD565" s="11"/>
    </row>
    <row r="566" spans="1:30" ht="16" x14ac:dyDescent="0.2">
      <c r="A566" s="11"/>
      <c r="B566" s="12"/>
      <c r="C566" s="12"/>
      <c r="D566" s="12"/>
      <c r="E566" s="12"/>
      <c r="F566" s="12"/>
      <c r="G566" s="12"/>
      <c r="H566" s="12"/>
      <c r="I566" s="12"/>
      <c r="J566" s="12"/>
      <c r="K566" s="12"/>
      <c r="L566" s="12"/>
      <c r="M566" s="11"/>
      <c r="N566" s="11"/>
      <c r="O566" s="11"/>
      <c r="P566" s="11"/>
      <c r="Q566" s="11"/>
      <c r="R566" s="11"/>
      <c r="S566" s="11"/>
      <c r="T566" s="11"/>
      <c r="U566" s="11"/>
      <c r="V566" s="11"/>
      <c r="W566" s="11"/>
      <c r="X566" s="11"/>
      <c r="Y566" s="11"/>
      <c r="Z566" s="11"/>
      <c r="AA566" s="11"/>
      <c r="AB566" s="11"/>
      <c r="AC566" s="11"/>
      <c r="AD566" s="11"/>
    </row>
    <row r="567" spans="1:30" ht="16" x14ac:dyDescent="0.2">
      <c r="A567" s="11"/>
      <c r="B567" s="12"/>
      <c r="C567" s="12"/>
      <c r="D567" s="12"/>
      <c r="E567" s="12"/>
      <c r="F567" s="12"/>
      <c r="G567" s="12"/>
      <c r="H567" s="12"/>
      <c r="I567" s="12"/>
      <c r="J567" s="12"/>
      <c r="K567" s="12"/>
      <c r="L567" s="12"/>
      <c r="M567" s="11"/>
      <c r="N567" s="11"/>
      <c r="O567" s="11"/>
      <c r="P567" s="11"/>
      <c r="Q567" s="11"/>
      <c r="R567" s="11"/>
      <c r="S567" s="11"/>
      <c r="T567" s="11"/>
      <c r="U567" s="11"/>
      <c r="V567" s="11"/>
      <c r="W567" s="11"/>
      <c r="X567" s="11"/>
      <c r="Y567" s="11"/>
      <c r="Z567" s="11"/>
      <c r="AA567" s="11"/>
      <c r="AB567" s="11"/>
      <c r="AC567" s="11"/>
      <c r="AD567" s="11"/>
    </row>
    <row r="568" spans="1:30" ht="16" x14ac:dyDescent="0.2">
      <c r="A568" s="11"/>
      <c r="B568" s="12"/>
      <c r="C568" s="12"/>
      <c r="D568" s="12"/>
      <c r="E568" s="12"/>
      <c r="F568" s="12"/>
      <c r="G568" s="12"/>
      <c r="H568" s="12"/>
      <c r="I568" s="12"/>
      <c r="J568" s="12"/>
      <c r="K568" s="12"/>
      <c r="L568" s="12"/>
      <c r="M568" s="11"/>
      <c r="N568" s="11"/>
      <c r="O568" s="11"/>
      <c r="P568" s="11"/>
      <c r="Q568" s="11"/>
      <c r="R568" s="11"/>
      <c r="S568" s="11"/>
      <c r="T568" s="11"/>
      <c r="U568" s="11"/>
      <c r="V568" s="11"/>
      <c r="W568" s="11"/>
      <c r="X568" s="11"/>
      <c r="Y568" s="11"/>
      <c r="Z568" s="11"/>
      <c r="AA568" s="11"/>
      <c r="AB568" s="11"/>
      <c r="AC568" s="11"/>
      <c r="AD568" s="11"/>
    </row>
    <row r="569" spans="1:30" ht="16" x14ac:dyDescent="0.2">
      <c r="A569" s="11"/>
      <c r="B569" s="12"/>
      <c r="C569" s="12"/>
      <c r="D569" s="12"/>
      <c r="E569" s="12"/>
      <c r="F569" s="12"/>
      <c r="G569" s="12"/>
      <c r="H569" s="12"/>
      <c r="I569" s="12"/>
      <c r="J569" s="12"/>
      <c r="K569" s="12"/>
      <c r="L569" s="12"/>
      <c r="M569" s="11"/>
      <c r="N569" s="11"/>
      <c r="O569" s="11"/>
      <c r="P569" s="11"/>
      <c r="Q569" s="11"/>
      <c r="R569" s="11"/>
      <c r="S569" s="11"/>
      <c r="T569" s="11"/>
      <c r="U569" s="11"/>
      <c r="V569" s="11"/>
      <c r="W569" s="11"/>
      <c r="X569" s="11"/>
      <c r="Y569" s="11"/>
      <c r="Z569" s="11"/>
      <c r="AA569" s="11"/>
      <c r="AB569" s="11"/>
      <c r="AC569" s="11"/>
      <c r="AD569" s="11"/>
    </row>
    <row r="570" spans="1:30" ht="16" x14ac:dyDescent="0.2">
      <c r="A570" s="11"/>
      <c r="B570" s="12"/>
      <c r="C570" s="12"/>
      <c r="D570" s="12"/>
      <c r="E570" s="12"/>
      <c r="F570" s="12"/>
      <c r="G570" s="12"/>
      <c r="H570" s="12"/>
      <c r="I570" s="12"/>
      <c r="J570" s="12"/>
      <c r="K570" s="12"/>
      <c r="L570" s="12"/>
      <c r="M570" s="11"/>
      <c r="N570" s="11"/>
      <c r="O570" s="11"/>
      <c r="P570" s="11"/>
      <c r="Q570" s="11"/>
      <c r="R570" s="11"/>
      <c r="S570" s="11"/>
      <c r="T570" s="11"/>
      <c r="U570" s="11"/>
      <c r="V570" s="11"/>
      <c r="W570" s="11"/>
      <c r="X570" s="11"/>
      <c r="Y570" s="11"/>
      <c r="Z570" s="11"/>
      <c r="AA570" s="11"/>
      <c r="AB570" s="11"/>
      <c r="AC570" s="11"/>
      <c r="AD570" s="11"/>
    </row>
    <row r="571" spans="1:30" ht="16" x14ac:dyDescent="0.2">
      <c r="A571" s="11"/>
      <c r="B571" s="12"/>
      <c r="C571" s="12"/>
      <c r="D571" s="12"/>
      <c r="E571" s="12"/>
      <c r="F571" s="12"/>
      <c r="G571" s="12"/>
      <c r="H571" s="12"/>
      <c r="I571" s="12"/>
      <c r="J571" s="12"/>
      <c r="K571" s="12"/>
      <c r="L571" s="12"/>
      <c r="M571" s="11"/>
      <c r="N571" s="11"/>
      <c r="O571" s="11"/>
      <c r="P571" s="11"/>
      <c r="Q571" s="11"/>
      <c r="R571" s="11"/>
      <c r="S571" s="11"/>
      <c r="T571" s="11"/>
      <c r="U571" s="11"/>
      <c r="V571" s="11"/>
      <c r="W571" s="11"/>
      <c r="X571" s="11"/>
      <c r="Y571" s="11"/>
      <c r="Z571" s="11"/>
      <c r="AA571" s="11"/>
      <c r="AB571" s="11"/>
      <c r="AC571" s="11"/>
      <c r="AD571" s="11"/>
    </row>
    <row r="572" spans="1:30" ht="16" x14ac:dyDescent="0.2">
      <c r="A572" s="11"/>
      <c r="B572" s="12"/>
      <c r="C572" s="12"/>
      <c r="D572" s="12"/>
      <c r="E572" s="12"/>
      <c r="F572" s="12"/>
      <c r="G572" s="12"/>
      <c r="H572" s="12"/>
      <c r="I572" s="12"/>
      <c r="J572" s="12"/>
      <c r="K572" s="12"/>
      <c r="L572" s="12"/>
      <c r="M572" s="11"/>
      <c r="N572" s="11"/>
      <c r="O572" s="11"/>
      <c r="P572" s="11"/>
      <c r="Q572" s="11"/>
      <c r="R572" s="11"/>
      <c r="S572" s="11"/>
      <c r="T572" s="11"/>
      <c r="U572" s="11"/>
      <c r="V572" s="11"/>
      <c r="W572" s="11"/>
      <c r="X572" s="11"/>
      <c r="Y572" s="11"/>
      <c r="Z572" s="11"/>
      <c r="AA572" s="11"/>
      <c r="AB572" s="11"/>
      <c r="AC572" s="11"/>
      <c r="AD572" s="11"/>
    </row>
    <row r="573" spans="1:30" ht="16" x14ac:dyDescent="0.2">
      <c r="A573" s="11"/>
      <c r="B573" s="12"/>
      <c r="C573" s="12"/>
      <c r="D573" s="12"/>
      <c r="E573" s="12"/>
      <c r="F573" s="12"/>
      <c r="G573" s="12"/>
      <c r="H573" s="12"/>
      <c r="I573" s="12"/>
      <c r="J573" s="12"/>
      <c r="K573" s="12"/>
      <c r="L573" s="12"/>
      <c r="M573" s="11"/>
      <c r="N573" s="11"/>
      <c r="O573" s="11"/>
      <c r="P573" s="11"/>
      <c r="Q573" s="11"/>
      <c r="R573" s="11"/>
      <c r="S573" s="11"/>
      <c r="T573" s="11"/>
      <c r="U573" s="11"/>
      <c r="V573" s="11"/>
      <c r="W573" s="11"/>
      <c r="X573" s="11"/>
      <c r="Y573" s="11"/>
      <c r="Z573" s="11"/>
      <c r="AA573" s="11"/>
      <c r="AB573" s="11"/>
      <c r="AC573" s="11"/>
      <c r="AD573" s="11"/>
    </row>
    <row r="574" spans="1:30" ht="16" x14ac:dyDescent="0.2">
      <c r="A574" s="11"/>
      <c r="B574" s="12"/>
      <c r="C574" s="12"/>
      <c r="D574" s="12"/>
      <c r="E574" s="12"/>
      <c r="F574" s="12"/>
      <c r="G574" s="12"/>
      <c r="H574" s="12"/>
      <c r="I574" s="12"/>
      <c r="J574" s="12"/>
      <c r="K574" s="12"/>
      <c r="L574" s="12"/>
      <c r="M574" s="11"/>
      <c r="N574" s="11"/>
      <c r="O574" s="11"/>
      <c r="P574" s="11"/>
      <c r="Q574" s="11"/>
      <c r="R574" s="11"/>
      <c r="S574" s="11"/>
      <c r="T574" s="11"/>
      <c r="U574" s="11"/>
      <c r="V574" s="11"/>
      <c r="W574" s="11"/>
      <c r="X574" s="11"/>
      <c r="Y574" s="11"/>
      <c r="Z574" s="11"/>
      <c r="AA574" s="11"/>
      <c r="AB574" s="11"/>
      <c r="AC574" s="11"/>
      <c r="AD574" s="11"/>
    </row>
    <row r="575" spans="1:30" ht="16" x14ac:dyDescent="0.2">
      <c r="A575" s="11"/>
      <c r="B575" s="12"/>
      <c r="C575" s="12"/>
      <c r="D575" s="12"/>
      <c r="E575" s="12"/>
      <c r="F575" s="12"/>
      <c r="G575" s="12"/>
      <c r="H575" s="12"/>
      <c r="I575" s="12"/>
      <c r="J575" s="12"/>
      <c r="K575" s="12"/>
      <c r="L575" s="12"/>
      <c r="M575" s="11"/>
      <c r="N575" s="11"/>
      <c r="O575" s="11"/>
      <c r="P575" s="11"/>
      <c r="Q575" s="11"/>
      <c r="R575" s="11"/>
      <c r="S575" s="11"/>
      <c r="T575" s="11"/>
      <c r="U575" s="11"/>
      <c r="V575" s="11"/>
      <c r="W575" s="11"/>
      <c r="X575" s="11"/>
      <c r="Y575" s="11"/>
      <c r="Z575" s="11"/>
      <c r="AA575" s="11"/>
      <c r="AB575" s="11"/>
      <c r="AC575" s="11"/>
      <c r="AD575" s="11"/>
    </row>
    <row r="576" spans="1:30" ht="16" x14ac:dyDescent="0.2">
      <c r="A576" s="11"/>
      <c r="B576" s="12"/>
      <c r="C576" s="12"/>
      <c r="D576" s="12"/>
      <c r="E576" s="12"/>
      <c r="F576" s="12"/>
      <c r="G576" s="12"/>
      <c r="H576" s="12"/>
      <c r="I576" s="12"/>
      <c r="J576" s="12"/>
      <c r="K576" s="12"/>
      <c r="L576" s="12"/>
      <c r="M576" s="11"/>
      <c r="N576" s="11"/>
      <c r="O576" s="11"/>
      <c r="P576" s="11"/>
      <c r="Q576" s="11"/>
      <c r="R576" s="11"/>
      <c r="S576" s="11"/>
      <c r="T576" s="11"/>
      <c r="U576" s="11"/>
      <c r="V576" s="11"/>
      <c r="W576" s="11"/>
      <c r="X576" s="11"/>
      <c r="Y576" s="11"/>
      <c r="Z576" s="11"/>
      <c r="AA576" s="11"/>
      <c r="AB576" s="11"/>
      <c r="AC576" s="11"/>
      <c r="AD576" s="11"/>
    </row>
    <row r="577" spans="1:30" ht="16" x14ac:dyDescent="0.2">
      <c r="A577" s="11"/>
      <c r="B577" s="12"/>
      <c r="C577" s="12"/>
      <c r="D577" s="12"/>
      <c r="E577" s="12"/>
      <c r="F577" s="12"/>
      <c r="G577" s="12"/>
      <c r="H577" s="12"/>
      <c r="I577" s="12"/>
      <c r="J577" s="12"/>
      <c r="K577" s="12"/>
      <c r="L577" s="12"/>
      <c r="M577" s="11"/>
      <c r="N577" s="11"/>
      <c r="O577" s="11"/>
      <c r="P577" s="11"/>
      <c r="Q577" s="11"/>
      <c r="R577" s="11"/>
      <c r="S577" s="11"/>
      <c r="T577" s="11"/>
      <c r="U577" s="11"/>
      <c r="V577" s="11"/>
      <c r="W577" s="11"/>
      <c r="X577" s="11"/>
      <c r="Y577" s="11"/>
      <c r="Z577" s="11"/>
      <c r="AA577" s="11"/>
      <c r="AB577" s="11"/>
      <c r="AC577" s="11"/>
      <c r="AD577" s="11"/>
    </row>
    <row r="578" spans="1:30" ht="16" x14ac:dyDescent="0.2">
      <c r="A578" s="11"/>
      <c r="B578" s="12"/>
      <c r="C578" s="12"/>
      <c r="D578" s="12"/>
      <c r="E578" s="12"/>
      <c r="F578" s="12"/>
      <c r="G578" s="12"/>
      <c r="H578" s="12"/>
      <c r="I578" s="12"/>
      <c r="J578" s="12"/>
      <c r="K578" s="12"/>
      <c r="L578" s="12"/>
      <c r="M578" s="11"/>
      <c r="N578" s="11"/>
      <c r="O578" s="11"/>
      <c r="P578" s="11"/>
      <c r="Q578" s="11"/>
      <c r="R578" s="11"/>
      <c r="S578" s="11"/>
      <c r="T578" s="11"/>
      <c r="U578" s="11"/>
      <c r="V578" s="11"/>
      <c r="W578" s="11"/>
      <c r="X578" s="11"/>
      <c r="Y578" s="11"/>
      <c r="Z578" s="11"/>
      <c r="AA578" s="11"/>
      <c r="AB578" s="11"/>
      <c r="AC578" s="11"/>
      <c r="AD578" s="11"/>
    </row>
    <row r="579" spans="1:30" ht="16" x14ac:dyDescent="0.2">
      <c r="A579" s="11"/>
      <c r="B579" s="12"/>
      <c r="C579" s="12"/>
      <c r="D579" s="12"/>
      <c r="E579" s="12"/>
      <c r="F579" s="12"/>
      <c r="G579" s="12"/>
      <c r="H579" s="12"/>
      <c r="I579" s="12"/>
      <c r="J579" s="12"/>
      <c r="K579" s="12"/>
      <c r="L579" s="12"/>
      <c r="M579" s="11"/>
      <c r="N579" s="11"/>
      <c r="O579" s="11"/>
      <c r="P579" s="11"/>
      <c r="Q579" s="11"/>
      <c r="R579" s="11"/>
      <c r="S579" s="11"/>
      <c r="T579" s="11"/>
      <c r="U579" s="11"/>
      <c r="V579" s="11"/>
      <c r="W579" s="11"/>
      <c r="X579" s="11"/>
      <c r="Y579" s="11"/>
      <c r="Z579" s="11"/>
      <c r="AA579" s="11"/>
      <c r="AB579" s="11"/>
      <c r="AC579" s="11"/>
      <c r="AD579" s="11"/>
    </row>
    <row r="580" spans="1:30" ht="16" x14ac:dyDescent="0.2">
      <c r="A580" s="11"/>
      <c r="B580" s="12"/>
      <c r="C580" s="12"/>
      <c r="D580" s="12"/>
      <c r="E580" s="12"/>
      <c r="F580" s="12"/>
      <c r="G580" s="12"/>
      <c r="H580" s="12"/>
      <c r="I580" s="12"/>
      <c r="J580" s="12"/>
      <c r="K580" s="12"/>
      <c r="L580" s="12"/>
      <c r="M580" s="11"/>
      <c r="N580" s="11"/>
      <c r="O580" s="11"/>
      <c r="P580" s="11"/>
      <c r="Q580" s="11"/>
      <c r="R580" s="11"/>
      <c r="S580" s="11"/>
      <c r="T580" s="11"/>
      <c r="U580" s="11"/>
      <c r="V580" s="11"/>
      <c r="W580" s="11"/>
      <c r="X580" s="11"/>
      <c r="Y580" s="11"/>
      <c r="Z580" s="11"/>
      <c r="AA580" s="11"/>
      <c r="AB580" s="11"/>
      <c r="AC580" s="11"/>
      <c r="AD580" s="11"/>
    </row>
    <row r="581" spans="1:30" ht="16" x14ac:dyDescent="0.2">
      <c r="A581" s="11"/>
      <c r="B581" s="12"/>
      <c r="C581" s="12"/>
      <c r="D581" s="12"/>
      <c r="E581" s="12"/>
      <c r="F581" s="12"/>
      <c r="G581" s="12"/>
      <c r="H581" s="12"/>
      <c r="I581" s="12"/>
      <c r="J581" s="12"/>
      <c r="K581" s="12"/>
      <c r="L581" s="12"/>
      <c r="M581" s="11"/>
      <c r="N581" s="11"/>
      <c r="O581" s="11"/>
      <c r="P581" s="11"/>
      <c r="Q581" s="11"/>
      <c r="R581" s="11"/>
      <c r="S581" s="11"/>
      <c r="T581" s="11"/>
      <c r="U581" s="11"/>
      <c r="V581" s="11"/>
      <c r="W581" s="11"/>
      <c r="X581" s="11"/>
      <c r="Y581" s="11"/>
      <c r="Z581" s="11"/>
      <c r="AA581" s="11"/>
      <c r="AB581" s="11"/>
      <c r="AC581" s="11"/>
      <c r="AD581" s="11"/>
    </row>
    <row r="582" spans="1:30" ht="16" x14ac:dyDescent="0.2">
      <c r="A582" s="11"/>
      <c r="B582" s="12"/>
      <c r="C582" s="12"/>
      <c r="D582" s="12"/>
      <c r="E582" s="12"/>
      <c r="F582" s="12"/>
      <c r="G582" s="12"/>
      <c r="H582" s="12"/>
      <c r="I582" s="12"/>
      <c r="J582" s="12"/>
      <c r="K582" s="12"/>
      <c r="L582" s="12"/>
      <c r="M582" s="11"/>
      <c r="N582" s="11"/>
      <c r="O582" s="11"/>
      <c r="P582" s="11"/>
      <c r="Q582" s="11"/>
      <c r="R582" s="11"/>
      <c r="S582" s="11"/>
      <c r="T582" s="11"/>
      <c r="U582" s="11"/>
      <c r="V582" s="11"/>
      <c r="W582" s="11"/>
      <c r="X582" s="11"/>
      <c r="Y582" s="11"/>
      <c r="Z582" s="11"/>
      <c r="AA582" s="11"/>
      <c r="AB582" s="11"/>
      <c r="AC582" s="11"/>
      <c r="AD582" s="11"/>
    </row>
    <row r="583" spans="1:30" ht="16" x14ac:dyDescent="0.2">
      <c r="A583" s="11"/>
      <c r="B583" s="12"/>
      <c r="C583" s="12"/>
      <c r="D583" s="12"/>
      <c r="E583" s="12"/>
      <c r="F583" s="12"/>
      <c r="G583" s="12"/>
      <c r="H583" s="12"/>
      <c r="I583" s="12"/>
      <c r="J583" s="12"/>
      <c r="K583" s="12"/>
      <c r="L583" s="12"/>
      <c r="M583" s="11"/>
      <c r="N583" s="11"/>
      <c r="O583" s="11"/>
      <c r="P583" s="11"/>
      <c r="Q583" s="11"/>
      <c r="R583" s="11"/>
      <c r="S583" s="11"/>
      <c r="T583" s="11"/>
      <c r="U583" s="11"/>
      <c r="V583" s="11"/>
      <c r="W583" s="11"/>
      <c r="X583" s="11"/>
      <c r="Y583" s="11"/>
      <c r="Z583" s="11"/>
      <c r="AA583" s="11"/>
      <c r="AB583" s="11"/>
      <c r="AC583" s="11"/>
      <c r="AD583" s="11"/>
    </row>
    <row r="584" spans="1:30" ht="16" x14ac:dyDescent="0.2">
      <c r="A584" s="11"/>
      <c r="B584" s="12"/>
      <c r="C584" s="12"/>
      <c r="D584" s="12"/>
      <c r="E584" s="12"/>
      <c r="F584" s="12"/>
      <c r="G584" s="12"/>
      <c r="H584" s="12"/>
      <c r="I584" s="12"/>
      <c r="J584" s="12"/>
      <c r="K584" s="12"/>
      <c r="L584" s="12"/>
      <c r="M584" s="11"/>
      <c r="N584" s="11"/>
      <c r="O584" s="11"/>
      <c r="P584" s="11"/>
      <c r="Q584" s="11"/>
      <c r="R584" s="11"/>
      <c r="S584" s="11"/>
      <c r="T584" s="11"/>
      <c r="U584" s="11"/>
      <c r="V584" s="11"/>
      <c r="W584" s="11"/>
      <c r="X584" s="11"/>
      <c r="Y584" s="11"/>
      <c r="Z584" s="11"/>
      <c r="AA584" s="11"/>
      <c r="AB584" s="11"/>
      <c r="AC584" s="11"/>
      <c r="AD584" s="11"/>
    </row>
    <row r="585" spans="1:30" ht="16" x14ac:dyDescent="0.2">
      <c r="A585" s="11"/>
      <c r="B585" s="12"/>
      <c r="C585" s="12"/>
      <c r="D585" s="12"/>
      <c r="E585" s="12"/>
      <c r="F585" s="12"/>
      <c r="G585" s="12"/>
      <c r="H585" s="12"/>
      <c r="I585" s="12"/>
      <c r="J585" s="12"/>
      <c r="K585" s="12"/>
      <c r="L585" s="12"/>
      <c r="M585" s="11"/>
      <c r="N585" s="11"/>
      <c r="O585" s="11"/>
      <c r="P585" s="11"/>
      <c r="Q585" s="11"/>
      <c r="R585" s="11"/>
      <c r="S585" s="11"/>
      <c r="T585" s="11"/>
      <c r="U585" s="11"/>
      <c r="V585" s="11"/>
      <c r="W585" s="11"/>
      <c r="X585" s="11"/>
      <c r="Y585" s="11"/>
      <c r="Z585" s="11"/>
      <c r="AA585" s="11"/>
      <c r="AB585" s="11"/>
      <c r="AC585" s="11"/>
      <c r="AD585" s="11"/>
    </row>
    <row r="586" spans="1:30" ht="16" x14ac:dyDescent="0.2">
      <c r="A586" s="11"/>
      <c r="B586" s="12"/>
      <c r="C586" s="12"/>
      <c r="D586" s="12"/>
      <c r="E586" s="12"/>
      <c r="F586" s="12"/>
      <c r="G586" s="12"/>
      <c r="H586" s="12"/>
      <c r="I586" s="12"/>
      <c r="J586" s="12"/>
      <c r="K586" s="12"/>
      <c r="L586" s="12"/>
      <c r="M586" s="11"/>
      <c r="N586" s="11"/>
      <c r="O586" s="11"/>
      <c r="P586" s="11"/>
      <c r="Q586" s="11"/>
      <c r="R586" s="11"/>
      <c r="S586" s="11"/>
      <c r="T586" s="11"/>
      <c r="U586" s="11"/>
      <c r="V586" s="11"/>
      <c r="W586" s="11"/>
      <c r="X586" s="11"/>
      <c r="Y586" s="11"/>
      <c r="Z586" s="11"/>
      <c r="AA586" s="11"/>
      <c r="AB586" s="11"/>
      <c r="AC586" s="11"/>
      <c r="AD586" s="11"/>
    </row>
    <row r="587" spans="1:30" ht="16" x14ac:dyDescent="0.2">
      <c r="A587" s="11"/>
      <c r="B587" s="12"/>
      <c r="C587" s="12"/>
      <c r="D587" s="12"/>
      <c r="E587" s="12"/>
      <c r="F587" s="12"/>
      <c r="G587" s="12"/>
      <c r="H587" s="12"/>
      <c r="I587" s="12"/>
      <c r="J587" s="12"/>
      <c r="K587" s="12"/>
      <c r="L587" s="12"/>
      <c r="M587" s="11"/>
      <c r="N587" s="11"/>
      <c r="O587" s="11"/>
      <c r="P587" s="11"/>
      <c r="Q587" s="11"/>
      <c r="R587" s="11"/>
      <c r="S587" s="11"/>
      <c r="T587" s="11"/>
      <c r="U587" s="11"/>
      <c r="V587" s="11"/>
      <c r="W587" s="11"/>
      <c r="X587" s="11"/>
      <c r="Y587" s="11"/>
      <c r="Z587" s="11"/>
      <c r="AA587" s="11"/>
      <c r="AB587" s="11"/>
      <c r="AC587" s="11"/>
      <c r="AD587" s="11"/>
    </row>
    <row r="588" spans="1:30" ht="16" x14ac:dyDescent="0.2">
      <c r="A588" s="11"/>
      <c r="B588" s="12"/>
      <c r="C588" s="12"/>
      <c r="D588" s="12"/>
      <c r="E588" s="12"/>
      <c r="F588" s="12"/>
      <c r="G588" s="12"/>
      <c r="H588" s="12"/>
      <c r="I588" s="12"/>
      <c r="J588" s="12"/>
      <c r="K588" s="12"/>
      <c r="L588" s="12"/>
      <c r="M588" s="11"/>
      <c r="N588" s="11"/>
      <c r="O588" s="11"/>
      <c r="P588" s="11"/>
      <c r="Q588" s="11"/>
      <c r="R588" s="11"/>
      <c r="S588" s="11"/>
      <c r="T588" s="11"/>
      <c r="U588" s="11"/>
      <c r="V588" s="11"/>
      <c r="W588" s="11"/>
      <c r="X588" s="11"/>
      <c r="Y588" s="11"/>
      <c r="Z588" s="11"/>
      <c r="AA588" s="11"/>
      <c r="AB588" s="11"/>
      <c r="AC588" s="11"/>
      <c r="AD588" s="11"/>
    </row>
    <row r="589" spans="1:30" ht="16" x14ac:dyDescent="0.2">
      <c r="A589" s="11"/>
      <c r="B589" s="12"/>
      <c r="C589" s="12"/>
      <c r="D589" s="12"/>
      <c r="E589" s="12"/>
      <c r="F589" s="12"/>
      <c r="G589" s="12"/>
      <c r="H589" s="12"/>
      <c r="I589" s="12"/>
      <c r="J589" s="12"/>
      <c r="K589" s="12"/>
      <c r="L589" s="12"/>
      <c r="M589" s="11"/>
      <c r="N589" s="11"/>
      <c r="O589" s="11"/>
      <c r="P589" s="11"/>
      <c r="Q589" s="11"/>
      <c r="R589" s="11"/>
      <c r="S589" s="11"/>
      <c r="T589" s="11"/>
      <c r="U589" s="11"/>
      <c r="V589" s="11"/>
      <c r="W589" s="11"/>
      <c r="X589" s="11"/>
      <c r="Y589" s="11"/>
      <c r="Z589" s="11"/>
      <c r="AA589" s="11"/>
      <c r="AB589" s="11"/>
      <c r="AC589" s="11"/>
      <c r="AD589" s="11"/>
    </row>
    <row r="590" spans="1:30" ht="16" x14ac:dyDescent="0.2">
      <c r="A590" s="11"/>
      <c r="B590" s="12"/>
      <c r="C590" s="12"/>
      <c r="D590" s="12"/>
      <c r="E590" s="12"/>
      <c r="F590" s="12"/>
      <c r="G590" s="12"/>
      <c r="H590" s="12"/>
      <c r="I590" s="12"/>
      <c r="J590" s="12"/>
      <c r="K590" s="12"/>
      <c r="L590" s="12"/>
      <c r="M590" s="11"/>
      <c r="N590" s="11"/>
      <c r="O590" s="11"/>
      <c r="P590" s="11"/>
      <c r="Q590" s="11"/>
      <c r="R590" s="11"/>
      <c r="S590" s="11"/>
      <c r="T590" s="11"/>
      <c r="U590" s="11"/>
      <c r="V590" s="11"/>
      <c r="W590" s="11"/>
      <c r="X590" s="11"/>
      <c r="Y590" s="11"/>
      <c r="Z590" s="11"/>
      <c r="AA590" s="11"/>
      <c r="AB590" s="11"/>
      <c r="AC590" s="11"/>
      <c r="AD590" s="11"/>
    </row>
    <row r="591" spans="1:30" ht="16" x14ac:dyDescent="0.2">
      <c r="A591" s="11"/>
      <c r="B591" s="12"/>
      <c r="C591" s="12"/>
      <c r="D591" s="12"/>
      <c r="E591" s="12"/>
      <c r="F591" s="12"/>
      <c r="G591" s="12"/>
      <c r="H591" s="12"/>
      <c r="I591" s="12"/>
      <c r="J591" s="12"/>
      <c r="K591" s="12"/>
      <c r="L591" s="12"/>
      <c r="M591" s="11"/>
      <c r="N591" s="11"/>
      <c r="O591" s="11"/>
      <c r="P591" s="11"/>
      <c r="Q591" s="11"/>
      <c r="R591" s="11"/>
      <c r="S591" s="11"/>
      <c r="T591" s="11"/>
      <c r="U591" s="11"/>
      <c r="V591" s="11"/>
      <c r="W591" s="11"/>
      <c r="X591" s="11"/>
      <c r="Y591" s="11"/>
      <c r="Z591" s="11"/>
      <c r="AA591" s="11"/>
      <c r="AB591" s="11"/>
      <c r="AC591" s="11"/>
      <c r="AD591" s="11"/>
    </row>
    <row r="592" spans="1:30" ht="16" x14ac:dyDescent="0.2">
      <c r="A592" s="11"/>
      <c r="B592" s="12"/>
      <c r="C592" s="12"/>
      <c r="D592" s="12"/>
      <c r="E592" s="12"/>
      <c r="F592" s="12"/>
      <c r="G592" s="12"/>
      <c r="H592" s="12"/>
      <c r="I592" s="12"/>
      <c r="J592" s="12"/>
      <c r="K592" s="12"/>
      <c r="L592" s="12"/>
      <c r="M592" s="11"/>
      <c r="N592" s="11"/>
      <c r="O592" s="11"/>
      <c r="P592" s="11"/>
      <c r="Q592" s="11"/>
      <c r="R592" s="11"/>
      <c r="S592" s="11"/>
      <c r="T592" s="11"/>
      <c r="U592" s="11"/>
      <c r="V592" s="11"/>
      <c r="W592" s="11"/>
      <c r="X592" s="11"/>
      <c r="Y592" s="11"/>
      <c r="Z592" s="11"/>
      <c r="AA592" s="11"/>
      <c r="AB592" s="11"/>
      <c r="AC592" s="11"/>
      <c r="AD592" s="11"/>
    </row>
    <row r="593" spans="1:30" ht="16" x14ac:dyDescent="0.2">
      <c r="A593" s="11"/>
      <c r="B593" s="12"/>
      <c r="C593" s="12"/>
      <c r="D593" s="12"/>
      <c r="E593" s="12"/>
      <c r="F593" s="12"/>
      <c r="G593" s="12"/>
      <c r="H593" s="12"/>
      <c r="I593" s="12"/>
      <c r="J593" s="12"/>
      <c r="K593" s="12"/>
      <c r="L593" s="12"/>
      <c r="M593" s="11"/>
      <c r="N593" s="11"/>
      <c r="O593" s="11"/>
      <c r="P593" s="11"/>
      <c r="Q593" s="11"/>
      <c r="R593" s="11"/>
      <c r="S593" s="11"/>
      <c r="T593" s="11"/>
      <c r="U593" s="11"/>
      <c r="V593" s="11"/>
      <c r="W593" s="11"/>
      <c r="X593" s="11"/>
      <c r="Y593" s="11"/>
      <c r="Z593" s="11"/>
      <c r="AA593" s="11"/>
      <c r="AB593" s="11"/>
      <c r="AC593" s="11"/>
      <c r="AD593" s="11"/>
    </row>
    <row r="594" spans="1:30" ht="16" x14ac:dyDescent="0.2">
      <c r="A594" s="11"/>
      <c r="B594" s="12"/>
      <c r="C594" s="12"/>
      <c r="D594" s="12"/>
      <c r="E594" s="12"/>
      <c r="F594" s="12"/>
      <c r="G594" s="12"/>
      <c r="H594" s="12"/>
      <c r="I594" s="12"/>
      <c r="J594" s="12"/>
      <c r="K594" s="12"/>
      <c r="L594" s="12"/>
      <c r="M594" s="11"/>
      <c r="N594" s="11"/>
      <c r="O594" s="11"/>
      <c r="P594" s="11"/>
      <c r="Q594" s="11"/>
      <c r="R594" s="11"/>
      <c r="S594" s="11"/>
      <c r="T594" s="11"/>
      <c r="U594" s="11"/>
      <c r="V594" s="11"/>
      <c r="W594" s="11"/>
      <c r="X594" s="11"/>
      <c r="Y594" s="11"/>
      <c r="Z594" s="11"/>
      <c r="AA594" s="11"/>
      <c r="AB594" s="11"/>
      <c r="AC594" s="11"/>
      <c r="AD594" s="11"/>
    </row>
    <row r="595" spans="1:30" ht="16" x14ac:dyDescent="0.2">
      <c r="A595" s="11"/>
      <c r="B595" s="12"/>
      <c r="C595" s="12"/>
      <c r="D595" s="12"/>
      <c r="E595" s="12"/>
      <c r="F595" s="12"/>
      <c r="G595" s="12"/>
      <c r="H595" s="12"/>
      <c r="I595" s="12"/>
      <c r="J595" s="12"/>
      <c r="K595" s="12"/>
      <c r="L595" s="12"/>
      <c r="M595" s="11"/>
      <c r="N595" s="11"/>
      <c r="O595" s="11"/>
      <c r="P595" s="11"/>
      <c r="Q595" s="11"/>
      <c r="R595" s="11"/>
      <c r="S595" s="11"/>
      <c r="T595" s="11"/>
      <c r="U595" s="11"/>
      <c r="V595" s="11"/>
      <c r="W595" s="11"/>
      <c r="X595" s="11"/>
      <c r="Y595" s="11"/>
      <c r="Z595" s="11"/>
      <c r="AA595" s="11"/>
      <c r="AB595" s="11"/>
      <c r="AC595" s="11"/>
      <c r="AD595" s="11"/>
    </row>
    <row r="596" spans="1:30" ht="16" x14ac:dyDescent="0.2">
      <c r="A596" s="11"/>
      <c r="B596" s="12"/>
      <c r="C596" s="12"/>
      <c r="D596" s="12"/>
      <c r="E596" s="12"/>
      <c r="F596" s="12"/>
      <c r="G596" s="12"/>
      <c r="H596" s="12"/>
      <c r="I596" s="12"/>
      <c r="J596" s="12"/>
      <c r="K596" s="12"/>
      <c r="L596" s="12"/>
      <c r="M596" s="11"/>
      <c r="N596" s="11"/>
      <c r="O596" s="11"/>
      <c r="P596" s="11"/>
      <c r="Q596" s="11"/>
      <c r="R596" s="11"/>
      <c r="S596" s="11"/>
      <c r="T596" s="11"/>
      <c r="U596" s="11"/>
      <c r="V596" s="11"/>
      <c r="W596" s="11"/>
      <c r="X596" s="11"/>
      <c r="Y596" s="11"/>
      <c r="Z596" s="11"/>
      <c r="AA596" s="11"/>
      <c r="AB596" s="11"/>
      <c r="AC596" s="11"/>
      <c r="AD596" s="11"/>
    </row>
    <row r="597" spans="1:30" ht="16" x14ac:dyDescent="0.2">
      <c r="A597" s="11"/>
      <c r="B597" s="12"/>
      <c r="C597" s="12"/>
      <c r="D597" s="12"/>
      <c r="E597" s="12"/>
      <c r="F597" s="12"/>
      <c r="G597" s="12"/>
      <c r="H597" s="12"/>
      <c r="I597" s="12"/>
      <c r="J597" s="12"/>
      <c r="K597" s="12"/>
      <c r="L597" s="12"/>
      <c r="M597" s="11"/>
      <c r="N597" s="11"/>
      <c r="O597" s="11"/>
      <c r="P597" s="11"/>
      <c r="Q597" s="11"/>
      <c r="R597" s="11"/>
      <c r="S597" s="11"/>
      <c r="T597" s="11"/>
      <c r="U597" s="11"/>
      <c r="V597" s="11"/>
      <c r="W597" s="11"/>
      <c r="X597" s="11"/>
      <c r="Y597" s="11"/>
      <c r="Z597" s="11"/>
      <c r="AA597" s="11"/>
      <c r="AB597" s="11"/>
      <c r="AC597" s="11"/>
      <c r="AD597" s="11"/>
    </row>
    <row r="598" spans="1:30" ht="16" x14ac:dyDescent="0.2">
      <c r="A598" s="11"/>
      <c r="B598" s="12"/>
      <c r="C598" s="12"/>
      <c r="D598" s="12"/>
      <c r="E598" s="12"/>
      <c r="F598" s="12"/>
      <c r="G598" s="12"/>
      <c r="H598" s="12"/>
      <c r="I598" s="12"/>
      <c r="J598" s="12"/>
      <c r="K598" s="12"/>
      <c r="L598" s="12"/>
      <c r="M598" s="11"/>
      <c r="N598" s="11"/>
      <c r="O598" s="11"/>
      <c r="P598" s="11"/>
      <c r="Q598" s="11"/>
      <c r="R598" s="11"/>
      <c r="S598" s="11"/>
      <c r="T598" s="11"/>
      <c r="U598" s="11"/>
      <c r="V598" s="11"/>
      <c r="W598" s="11"/>
      <c r="X598" s="11"/>
      <c r="Y598" s="11"/>
      <c r="Z598" s="11"/>
      <c r="AA598" s="11"/>
      <c r="AB598" s="11"/>
      <c r="AC598" s="11"/>
      <c r="AD598" s="11"/>
    </row>
    <row r="599" spans="1:30" ht="16" x14ac:dyDescent="0.2">
      <c r="A599" s="11"/>
      <c r="B599" s="12"/>
      <c r="C599" s="12"/>
      <c r="D599" s="12"/>
      <c r="E599" s="12"/>
      <c r="F599" s="12"/>
      <c r="G599" s="12"/>
      <c r="H599" s="12"/>
      <c r="I599" s="12"/>
      <c r="J599" s="12"/>
      <c r="K599" s="12"/>
      <c r="L599" s="12"/>
      <c r="M599" s="11"/>
      <c r="N599" s="11"/>
      <c r="O599" s="11"/>
      <c r="P599" s="11"/>
      <c r="Q599" s="11"/>
      <c r="R599" s="11"/>
      <c r="S599" s="11"/>
      <c r="T599" s="11"/>
      <c r="U599" s="11"/>
      <c r="V599" s="11"/>
      <c r="W599" s="11"/>
      <c r="X599" s="11"/>
      <c r="Y599" s="11"/>
      <c r="Z599" s="11"/>
      <c r="AA599" s="11"/>
      <c r="AB599" s="11"/>
      <c r="AC599" s="11"/>
      <c r="AD599" s="11"/>
    </row>
    <row r="600" spans="1:30" ht="16" x14ac:dyDescent="0.2">
      <c r="A600" s="11"/>
      <c r="B600" s="12"/>
      <c r="C600" s="12"/>
      <c r="D600" s="12"/>
      <c r="E600" s="12"/>
      <c r="F600" s="12"/>
      <c r="G600" s="12"/>
      <c r="H600" s="12"/>
      <c r="I600" s="12"/>
      <c r="J600" s="12"/>
      <c r="K600" s="12"/>
      <c r="L600" s="12"/>
      <c r="M600" s="11"/>
      <c r="N600" s="11"/>
      <c r="O600" s="11"/>
      <c r="P600" s="11"/>
      <c r="Q600" s="11"/>
      <c r="R600" s="11"/>
      <c r="S600" s="11"/>
      <c r="T600" s="11"/>
      <c r="U600" s="11"/>
      <c r="V600" s="11"/>
      <c r="W600" s="11"/>
      <c r="X600" s="11"/>
      <c r="Y600" s="11"/>
      <c r="Z600" s="11"/>
      <c r="AA600" s="11"/>
      <c r="AB600" s="11"/>
      <c r="AC600" s="11"/>
      <c r="AD600" s="11"/>
    </row>
    <row r="601" spans="1:30" ht="16" x14ac:dyDescent="0.2">
      <c r="A601" s="11"/>
      <c r="B601" s="12"/>
      <c r="C601" s="12"/>
      <c r="D601" s="12"/>
      <c r="E601" s="12"/>
      <c r="F601" s="12"/>
      <c r="G601" s="12"/>
      <c r="H601" s="12"/>
      <c r="I601" s="12"/>
      <c r="J601" s="12"/>
      <c r="K601" s="12"/>
      <c r="L601" s="12"/>
      <c r="M601" s="11"/>
      <c r="N601" s="11"/>
      <c r="O601" s="11"/>
      <c r="P601" s="11"/>
      <c r="Q601" s="11"/>
      <c r="R601" s="11"/>
      <c r="S601" s="11"/>
      <c r="T601" s="11"/>
      <c r="U601" s="11"/>
      <c r="V601" s="11"/>
      <c r="W601" s="11"/>
      <c r="X601" s="11"/>
      <c r="Y601" s="11"/>
      <c r="Z601" s="11"/>
      <c r="AA601" s="11"/>
      <c r="AB601" s="11"/>
      <c r="AC601" s="11"/>
      <c r="AD601" s="11"/>
    </row>
    <row r="602" spans="1:30" ht="16" x14ac:dyDescent="0.2">
      <c r="A602" s="11"/>
      <c r="B602" s="12"/>
      <c r="C602" s="12"/>
      <c r="D602" s="12"/>
      <c r="E602" s="12"/>
      <c r="F602" s="12"/>
      <c r="G602" s="12"/>
      <c r="H602" s="12"/>
      <c r="I602" s="12"/>
      <c r="J602" s="12"/>
      <c r="K602" s="12"/>
      <c r="L602" s="12"/>
      <c r="M602" s="11"/>
      <c r="N602" s="11"/>
      <c r="O602" s="11"/>
      <c r="P602" s="11"/>
      <c r="Q602" s="11"/>
      <c r="R602" s="11"/>
      <c r="S602" s="11"/>
      <c r="T602" s="11"/>
      <c r="U602" s="11"/>
      <c r="V602" s="11"/>
      <c r="W602" s="11"/>
      <c r="X602" s="11"/>
      <c r="Y602" s="11"/>
      <c r="Z602" s="11"/>
      <c r="AA602" s="11"/>
      <c r="AB602" s="11"/>
      <c r="AC602" s="11"/>
      <c r="AD602" s="11"/>
    </row>
    <row r="603" spans="1:30" ht="16" x14ac:dyDescent="0.2">
      <c r="A603" s="11"/>
      <c r="B603" s="12"/>
      <c r="C603" s="12"/>
      <c r="D603" s="12"/>
      <c r="E603" s="12"/>
      <c r="F603" s="12"/>
      <c r="G603" s="12"/>
      <c r="H603" s="12"/>
      <c r="I603" s="12"/>
      <c r="J603" s="12"/>
      <c r="K603" s="12"/>
      <c r="L603" s="12"/>
      <c r="M603" s="11"/>
      <c r="N603" s="11"/>
      <c r="O603" s="11"/>
      <c r="P603" s="11"/>
      <c r="Q603" s="11"/>
      <c r="R603" s="11"/>
      <c r="S603" s="11"/>
      <c r="T603" s="11"/>
      <c r="U603" s="11"/>
      <c r="V603" s="11"/>
      <c r="W603" s="11"/>
      <c r="X603" s="11"/>
      <c r="Y603" s="11"/>
      <c r="Z603" s="11"/>
      <c r="AA603" s="11"/>
      <c r="AB603" s="11"/>
      <c r="AC603" s="11"/>
      <c r="AD603" s="11"/>
    </row>
    <row r="604" spans="1:30" ht="16" x14ac:dyDescent="0.2">
      <c r="A604" s="11"/>
      <c r="B604" s="12"/>
      <c r="C604" s="12"/>
      <c r="D604" s="12"/>
      <c r="E604" s="12"/>
      <c r="F604" s="12"/>
      <c r="G604" s="12"/>
      <c r="H604" s="12"/>
      <c r="I604" s="12"/>
      <c r="J604" s="12"/>
      <c r="K604" s="12"/>
      <c r="L604" s="12"/>
      <c r="M604" s="11"/>
      <c r="N604" s="11"/>
      <c r="O604" s="11"/>
      <c r="P604" s="11"/>
      <c r="Q604" s="11"/>
      <c r="R604" s="11"/>
      <c r="S604" s="11"/>
      <c r="T604" s="11"/>
      <c r="U604" s="11"/>
      <c r="V604" s="11"/>
      <c r="W604" s="11"/>
      <c r="X604" s="11"/>
      <c r="Y604" s="11"/>
      <c r="Z604" s="11"/>
      <c r="AA604" s="11"/>
      <c r="AB604" s="11"/>
      <c r="AC604" s="11"/>
      <c r="AD604" s="11"/>
    </row>
    <row r="605" spans="1:30" ht="16" x14ac:dyDescent="0.2">
      <c r="A605" s="11"/>
      <c r="B605" s="12"/>
      <c r="C605" s="12"/>
      <c r="D605" s="12"/>
      <c r="E605" s="12"/>
      <c r="F605" s="12"/>
      <c r="G605" s="12"/>
      <c r="H605" s="12"/>
      <c r="I605" s="12"/>
      <c r="J605" s="12"/>
      <c r="K605" s="12"/>
      <c r="L605" s="12"/>
      <c r="M605" s="11"/>
      <c r="N605" s="11"/>
      <c r="O605" s="11"/>
      <c r="P605" s="11"/>
      <c r="Q605" s="11"/>
      <c r="R605" s="11"/>
      <c r="S605" s="11"/>
      <c r="T605" s="11"/>
      <c r="U605" s="11"/>
      <c r="V605" s="11"/>
      <c r="W605" s="11"/>
      <c r="X605" s="11"/>
      <c r="Y605" s="11"/>
      <c r="Z605" s="11"/>
      <c r="AA605" s="11"/>
      <c r="AB605" s="11"/>
      <c r="AC605" s="11"/>
      <c r="AD605" s="11"/>
    </row>
    <row r="606" spans="1:30" ht="16" x14ac:dyDescent="0.2">
      <c r="A606" s="11"/>
      <c r="B606" s="12"/>
      <c r="C606" s="12"/>
      <c r="D606" s="12"/>
      <c r="E606" s="12"/>
      <c r="F606" s="12"/>
      <c r="G606" s="12"/>
      <c r="H606" s="12"/>
      <c r="I606" s="12"/>
      <c r="J606" s="12"/>
      <c r="K606" s="12"/>
      <c r="L606" s="12"/>
      <c r="M606" s="11"/>
      <c r="N606" s="11"/>
      <c r="O606" s="11"/>
      <c r="P606" s="11"/>
      <c r="Q606" s="11"/>
      <c r="R606" s="11"/>
      <c r="S606" s="11"/>
      <c r="T606" s="11"/>
      <c r="U606" s="11"/>
      <c r="V606" s="11"/>
      <c r="W606" s="11"/>
      <c r="X606" s="11"/>
      <c r="Y606" s="11"/>
      <c r="Z606" s="11"/>
      <c r="AA606" s="11"/>
      <c r="AB606" s="11"/>
      <c r="AC606" s="11"/>
      <c r="AD606" s="11"/>
    </row>
    <row r="607" spans="1:30" ht="16" x14ac:dyDescent="0.2">
      <c r="A607" s="11"/>
      <c r="B607" s="12"/>
      <c r="C607" s="12"/>
      <c r="D607" s="12"/>
      <c r="E607" s="12"/>
      <c r="F607" s="12"/>
      <c r="G607" s="12"/>
      <c r="H607" s="12"/>
      <c r="I607" s="12"/>
      <c r="J607" s="12"/>
      <c r="K607" s="12"/>
      <c r="L607" s="12"/>
      <c r="M607" s="11"/>
      <c r="N607" s="11"/>
      <c r="O607" s="11"/>
      <c r="P607" s="11"/>
      <c r="Q607" s="11"/>
      <c r="R607" s="11"/>
      <c r="S607" s="11"/>
      <c r="T607" s="11"/>
      <c r="U607" s="11"/>
      <c r="V607" s="11"/>
      <c r="W607" s="11"/>
      <c r="X607" s="11"/>
      <c r="Y607" s="11"/>
      <c r="Z607" s="11"/>
      <c r="AA607" s="11"/>
      <c r="AB607" s="11"/>
      <c r="AC607" s="11"/>
      <c r="AD607" s="11"/>
    </row>
    <row r="608" spans="1:30" ht="16" x14ac:dyDescent="0.2">
      <c r="A608" s="11"/>
      <c r="B608" s="12"/>
      <c r="C608" s="12"/>
      <c r="D608" s="12"/>
      <c r="E608" s="12"/>
      <c r="F608" s="12"/>
      <c r="G608" s="12"/>
      <c r="H608" s="12"/>
      <c r="I608" s="12"/>
      <c r="J608" s="12"/>
      <c r="K608" s="12"/>
      <c r="L608" s="12"/>
      <c r="M608" s="11"/>
      <c r="N608" s="11"/>
      <c r="O608" s="11"/>
      <c r="P608" s="11"/>
      <c r="Q608" s="11"/>
      <c r="R608" s="11"/>
      <c r="S608" s="11"/>
      <c r="T608" s="11"/>
      <c r="U608" s="11"/>
      <c r="V608" s="11"/>
      <c r="W608" s="11"/>
      <c r="X608" s="11"/>
      <c r="Y608" s="11"/>
      <c r="Z608" s="11"/>
      <c r="AA608" s="11"/>
      <c r="AB608" s="11"/>
      <c r="AC608" s="11"/>
      <c r="AD608" s="11"/>
    </row>
    <row r="609" spans="1:30" ht="16" x14ac:dyDescent="0.2">
      <c r="A609" s="11"/>
      <c r="B609" s="12"/>
      <c r="C609" s="12"/>
      <c r="D609" s="12"/>
      <c r="E609" s="12"/>
      <c r="F609" s="12"/>
      <c r="G609" s="12"/>
      <c r="H609" s="12"/>
      <c r="I609" s="12"/>
      <c r="J609" s="12"/>
      <c r="K609" s="12"/>
      <c r="L609" s="12"/>
      <c r="M609" s="11"/>
      <c r="N609" s="11"/>
      <c r="O609" s="11"/>
      <c r="P609" s="11"/>
      <c r="Q609" s="11"/>
      <c r="R609" s="11"/>
      <c r="S609" s="11"/>
      <c r="T609" s="11"/>
      <c r="U609" s="11"/>
      <c r="V609" s="11"/>
      <c r="W609" s="11"/>
      <c r="X609" s="11"/>
      <c r="Y609" s="11"/>
      <c r="Z609" s="11"/>
      <c r="AA609" s="11"/>
      <c r="AB609" s="11"/>
      <c r="AC609" s="11"/>
      <c r="AD609" s="11"/>
    </row>
    <row r="610" spans="1:30" ht="16" x14ac:dyDescent="0.2">
      <c r="A610" s="11"/>
      <c r="B610" s="12"/>
      <c r="C610" s="12"/>
      <c r="D610" s="12"/>
      <c r="E610" s="12"/>
      <c r="F610" s="12"/>
      <c r="G610" s="12"/>
      <c r="H610" s="12"/>
      <c r="I610" s="12"/>
      <c r="J610" s="12"/>
      <c r="K610" s="12"/>
      <c r="L610" s="12"/>
      <c r="M610" s="11"/>
      <c r="N610" s="11"/>
      <c r="O610" s="11"/>
      <c r="P610" s="11"/>
      <c r="Q610" s="11"/>
      <c r="R610" s="11"/>
      <c r="S610" s="11"/>
      <c r="T610" s="11"/>
      <c r="U610" s="11"/>
      <c r="V610" s="11"/>
      <c r="W610" s="11"/>
      <c r="X610" s="11"/>
      <c r="Y610" s="11"/>
      <c r="Z610" s="11"/>
      <c r="AA610" s="11"/>
      <c r="AB610" s="11"/>
      <c r="AC610" s="11"/>
      <c r="AD610" s="11"/>
    </row>
    <row r="611" spans="1:30" ht="16" x14ac:dyDescent="0.2">
      <c r="A611" s="11"/>
      <c r="B611" s="12"/>
      <c r="C611" s="12"/>
      <c r="D611" s="12"/>
      <c r="E611" s="12"/>
      <c r="F611" s="12"/>
      <c r="G611" s="12"/>
      <c r="H611" s="12"/>
      <c r="I611" s="12"/>
      <c r="J611" s="12"/>
      <c r="K611" s="12"/>
      <c r="L611" s="12"/>
      <c r="M611" s="11"/>
      <c r="N611" s="11"/>
      <c r="O611" s="11"/>
      <c r="P611" s="11"/>
      <c r="Q611" s="11"/>
      <c r="R611" s="11"/>
      <c r="S611" s="11"/>
      <c r="T611" s="11"/>
      <c r="U611" s="11"/>
      <c r="V611" s="11"/>
      <c r="W611" s="11"/>
      <c r="X611" s="11"/>
      <c r="Y611" s="11"/>
      <c r="Z611" s="11"/>
      <c r="AA611" s="11"/>
      <c r="AB611" s="11"/>
      <c r="AC611" s="11"/>
      <c r="AD611" s="11"/>
    </row>
    <row r="612" spans="1:30" ht="16" x14ac:dyDescent="0.2">
      <c r="A612" s="11"/>
      <c r="B612" s="12"/>
      <c r="C612" s="12"/>
      <c r="D612" s="12"/>
      <c r="E612" s="12"/>
      <c r="F612" s="12"/>
      <c r="G612" s="12"/>
      <c r="H612" s="12"/>
      <c r="I612" s="12"/>
      <c r="J612" s="12"/>
      <c r="K612" s="12"/>
      <c r="L612" s="12"/>
      <c r="M612" s="11"/>
      <c r="N612" s="11"/>
      <c r="O612" s="11"/>
      <c r="P612" s="11"/>
      <c r="Q612" s="11"/>
      <c r="R612" s="11"/>
      <c r="S612" s="11"/>
      <c r="T612" s="11"/>
      <c r="U612" s="11"/>
      <c r="V612" s="11"/>
      <c r="W612" s="11"/>
      <c r="X612" s="11"/>
      <c r="Y612" s="11"/>
      <c r="Z612" s="11"/>
      <c r="AA612" s="11"/>
      <c r="AB612" s="11"/>
      <c r="AC612" s="11"/>
      <c r="AD612" s="11"/>
    </row>
    <row r="613" spans="1:30" ht="16" x14ac:dyDescent="0.2">
      <c r="A613" s="11"/>
      <c r="B613" s="12"/>
      <c r="C613" s="12"/>
      <c r="D613" s="12"/>
      <c r="E613" s="12"/>
      <c r="F613" s="12"/>
      <c r="G613" s="12"/>
      <c r="H613" s="12"/>
      <c r="I613" s="12"/>
      <c r="J613" s="12"/>
      <c r="K613" s="12"/>
      <c r="L613" s="12"/>
      <c r="M613" s="11"/>
      <c r="N613" s="11"/>
      <c r="O613" s="11"/>
      <c r="P613" s="11"/>
      <c r="Q613" s="11"/>
      <c r="R613" s="11"/>
      <c r="S613" s="11"/>
      <c r="T613" s="11"/>
      <c r="U613" s="11"/>
      <c r="V613" s="11"/>
      <c r="W613" s="11"/>
      <c r="X613" s="11"/>
      <c r="Y613" s="11"/>
      <c r="Z613" s="11"/>
      <c r="AA613" s="11"/>
      <c r="AB613" s="11"/>
      <c r="AC613" s="11"/>
      <c r="AD613" s="11"/>
    </row>
    <row r="614" spans="1:30" ht="16" x14ac:dyDescent="0.2">
      <c r="A614" s="11"/>
      <c r="B614" s="12"/>
      <c r="C614" s="12"/>
      <c r="D614" s="12"/>
      <c r="E614" s="12"/>
      <c r="F614" s="12"/>
      <c r="G614" s="12"/>
      <c r="H614" s="12"/>
      <c r="I614" s="12"/>
      <c r="J614" s="12"/>
      <c r="K614" s="12"/>
      <c r="L614" s="12"/>
      <c r="M614" s="11"/>
      <c r="N614" s="11"/>
      <c r="O614" s="11"/>
      <c r="P614" s="11"/>
      <c r="Q614" s="11"/>
      <c r="R614" s="11"/>
      <c r="S614" s="11"/>
      <c r="T614" s="11"/>
      <c r="U614" s="11"/>
      <c r="V614" s="11"/>
      <c r="W614" s="11"/>
      <c r="X614" s="11"/>
      <c r="Y614" s="11"/>
      <c r="Z614" s="11"/>
      <c r="AA614" s="11"/>
      <c r="AB614" s="11"/>
      <c r="AC614" s="11"/>
      <c r="AD614" s="11"/>
    </row>
    <row r="615" spans="1:30" ht="16" x14ac:dyDescent="0.2">
      <c r="A615" s="11"/>
      <c r="B615" s="12"/>
      <c r="C615" s="12"/>
      <c r="D615" s="12"/>
      <c r="E615" s="12"/>
      <c r="F615" s="12"/>
      <c r="G615" s="12"/>
      <c r="H615" s="12"/>
      <c r="I615" s="12"/>
      <c r="J615" s="12"/>
      <c r="K615" s="12"/>
      <c r="L615" s="12"/>
      <c r="M615" s="11"/>
      <c r="N615" s="11"/>
      <c r="O615" s="11"/>
      <c r="P615" s="11"/>
      <c r="Q615" s="11"/>
      <c r="R615" s="11"/>
      <c r="S615" s="11"/>
      <c r="T615" s="11"/>
      <c r="U615" s="11"/>
      <c r="V615" s="11"/>
      <c r="W615" s="11"/>
      <c r="X615" s="11"/>
      <c r="Y615" s="11"/>
      <c r="Z615" s="11"/>
      <c r="AA615" s="11"/>
      <c r="AB615" s="11"/>
      <c r="AC615" s="11"/>
      <c r="AD615" s="11"/>
    </row>
    <row r="616" spans="1:30" ht="16" x14ac:dyDescent="0.2">
      <c r="A616" s="11"/>
      <c r="B616" s="12"/>
      <c r="C616" s="12"/>
      <c r="D616" s="12"/>
      <c r="E616" s="12"/>
      <c r="F616" s="12"/>
      <c r="G616" s="12"/>
      <c r="H616" s="12"/>
      <c r="I616" s="12"/>
      <c r="J616" s="12"/>
      <c r="K616" s="12"/>
      <c r="L616" s="12"/>
      <c r="M616" s="11"/>
      <c r="N616" s="11"/>
      <c r="O616" s="11"/>
      <c r="P616" s="11"/>
      <c r="Q616" s="11"/>
      <c r="R616" s="11"/>
      <c r="S616" s="11"/>
      <c r="T616" s="11"/>
      <c r="U616" s="11"/>
      <c r="V616" s="11"/>
      <c r="W616" s="11"/>
      <c r="X616" s="11"/>
      <c r="Y616" s="11"/>
      <c r="Z616" s="11"/>
      <c r="AA616" s="11"/>
      <c r="AB616" s="11"/>
      <c r="AC616" s="11"/>
      <c r="AD616" s="11"/>
    </row>
    <row r="617" spans="1:30" ht="16" x14ac:dyDescent="0.2">
      <c r="A617" s="11"/>
      <c r="B617" s="12"/>
      <c r="C617" s="12"/>
      <c r="D617" s="12"/>
      <c r="E617" s="12"/>
      <c r="F617" s="12"/>
      <c r="G617" s="12"/>
      <c r="H617" s="12"/>
      <c r="I617" s="12"/>
      <c r="J617" s="12"/>
      <c r="K617" s="12"/>
      <c r="L617" s="12"/>
      <c r="M617" s="11"/>
      <c r="N617" s="11"/>
      <c r="O617" s="11"/>
      <c r="P617" s="11"/>
      <c r="Q617" s="11"/>
      <c r="R617" s="11"/>
      <c r="S617" s="11"/>
      <c r="T617" s="11"/>
      <c r="U617" s="11"/>
      <c r="V617" s="11"/>
      <c r="W617" s="11"/>
      <c r="X617" s="11"/>
      <c r="Y617" s="11"/>
      <c r="Z617" s="11"/>
      <c r="AA617" s="11"/>
      <c r="AB617" s="11"/>
      <c r="AC617" s="11"/>
      <c r="AD617" s="11"/>
    </row>
    <row r="618" spans="1:30" ht="16" x14ac:dyDescent="0.2">
      <c r="A618" s="11"/>
      <c r="B618" s="12"/>
      <c r="C618" s="12"/>
      <c r="D618" s="12"/>
      <c r="E618" s="12"/>
      <c r="F618" s="12"/>
      <c r="G618" s="12"/>
      <c r="H618" s="12"/>
      <c r="I618" s="12"/>
      <c r="J618" s="12"/>
      <c r="K618" s="12"/>
      <c r="L618" s="12"/>
      <c r="M618" s="11"/>
      <c r="N618" s="11"/>
      <c r="O618" s="11"/>
      <c r="P618" s="11"/>
      <c r="Q618" s="11"/>
      <c r="R618" s="11"/>
      <c r="S618" s="11"/>
      <c r="T618" s="11"/>
      <c r="U618" s="11"/>
      <c r="V618" s="11"/>
      <c r="W618" s="11"/>
      <c r="X618" s="11"/>
      <c r="Y618" s="11"/>
      <c r="Z618" s="11"/>
      <c r="AA618" s="11"/>
      <c r="AB618" s="11"/>
      <c r="AC618" s="11"/>
      <c r="AD618" s="11"/>
    </row>
    <row r="619" spans="1:30" ht="16" x14ac:dyDescent="0.2">
      <c r="A619" s="11"/>
      <c r="B619" s="12"/>
      <c r="C619" s="12"/>
      <c r="D619" s="12"/>
      <c r="E619" s="12"/>
      <c r="F619" s="12"/>
      <c r="G619" s="12"/>
      <c r="H619" s="12"/>
      <c r="I619" s="12"/>
      <c r="J619" s="12"/>
      <c r="K619" s="12"/>
      <c r="L619" s="12"/>
      <c r="M619" s="11"/>
      <c r="N619" s="11"/>
      <c r="O619" s="11"/>
      <c r="P619" s="11"/>
      <c r="Q619" s="11"/>
      <c r="R619" s="11"/>
      <c r="S619" s="11"/>
      <c r="T619" s="11"/>
      <c r="U619" s="11"/>
      <c r="V619" s="11"/>
      <c r="W619" s="11"/>
      <c r="X619" s="11"/>
      <c r="Y619" s="11"/>
      <c r="Z619" s="11"/>
      <c r="AA619" s="11"/>
      <c r="AB619" s="11"/>
      <c r="AC619" s="11"/>
      <c r="AD619" s="11"/>
    </row>
    <row r="620" spans="1:30" ht="16" x14ac:dyDescent="0.2">
      <c r="A620" s="11"/>
      <c r="B620" s="12"/>
      <c r="C620" s="12"/>
      <c r="D620" s="12"/>
      <c r="E620" s="12"/>
      <c r="F620" s="12"/>
      <c r="G620" s="12"/>
      <c r="H620" s="12"/>
      <c r="I620" s="12"/>
      <c r="J620" s="12"/>
      <c r="K620" s="12"/>
      <c r="L620" s="12"/>
      <c r="M620" s="11"/>
      <c r="N620" s="11"/>
      <c r="O620" s="11"/>
      <c r="P620" s="11"/>
      <c r="Q620" s="11"/>
      <c r="R620" s="11"/>
      <c r="S620" s="11"/>
      <c r="T620" s="11"/>
      <c r="U620" s="11"/>
      <c r="V620" s="11"/>
      <c r="W620" s="11"/>
      <c r="X620" s="11"/>
      <c r="Y620" s="11"/>
      <c r="Z620" s="11"/>
      <c r="AA620" s="11"/>
      <c r="AB620" s="11"/>
      <c r="AC620" s="11"/>
      <c r="AD620" s="11"/>
    </row>
    <row r="621" spans="1:30" ht="16" x14ac:dyDescent="0.2">
      <c r="A621" s="11"/>
      <c r="B621" s="12"/>
      <c r="C621" s="12"/>
      <c r="D621" s="12"/>
      <c r="E621" s="12"/>
      <c r="F621" s="12"/>
      <c r="G621" s="12"/>
      <c r="H621" s="12"/>
      <c r="I621" s="12"/>
      <c r="J621" s="12"/>
      <c r="K621" s="12"/>
      <c r="L621" s="12"/>
      <c r="M621" s="11"/>
      <c r="N621" s="11"/>
      <c r="O621" s="11"/>
      <c r="P621" s="11"/>
      <c r="Q621" s="11"/>
      <c r="R621" s="11"/>
      <c r="S621" s="11"/>
      <c r="T621" s="11"/>
      <c r="U621" s="11"/>
      <c r="V621" s="11"/>
      <c r="W621" s="11"/>
      <c r="X621" s="11"/>
      <c r="Y621" s="11"/>
      <c r="Z621" s="11"/>
      <c r="AA621" s="11"/>
      <c r="AB621" s="11"/>
      <c r="AC621" s="11"/>
      <c r="AD621" s="11"/>
    </row>
    <row r="622" spans="1:30" ht="16" x14ac:dyDescent="0.2">
      <c r="A622" s="11"/>
      <c r="B622" s="12"/>
      <c r="C622" s="12"/>
      <c r="D622" s="12"/>
      <c r="E622" s="12"/>
      <c r="F622" s="12"/>
      <c r="G622" s="12"/>
      <c r="H622" s="12"/>
      <c r="I622" s="12"/>
      <c r="J622" s="12"/>
      <c r="K622" s="12"/>
      <c r="L622" s="12"/>
      <c r="M622" s="11"/>
      <c r="N622" s="11"/>
      <c r="O622" s="11"/>
      <c r="P622" s="11"/>
      <c r="Q622" s="11"/>
      <c r="R622" s="11"/>
      <c r="S622" s="11"/>
      <c r="T622" s="11"/>
      <c r="U622" s="11"/>
      <c r="V622" s="11"/>
      <c r="W622" s="11"/>
      <c r="X622" s="11"/>
      <c r="Y622" s="11"/>
      <c r="Z622" s="11"/>
      <c r="AA622" s="11"/>
      <c r="AB622" s="11"/>
      <c r="AC622" s="11"/>
      <c r="AD622" s="11"/>
    </row>
    <row r="623" spans="1:30" ht="16" x14ac:dyDescent="0.2">
      <c r="A623" s="11"/>
      <c r="B623" s="12"/>
      <c r="C623" s="12"/>
      <c r="D623" s="12"/>
      <c r="E623" s="12"/>
      <c r="F623" s="12"/>
      <c r="G623" s="12"/>
      <c r="H623" s="12"/>
      <c r="I623" s="12"/>
      <c r="J623" s="12"/>
      <c r="K623" s="12"/>
      <c r="L623" s="12"/>
      <c r="M623" s="11"/>
      <c r="N623" s="11"/>
      <c r="O623" s="11"/>
      <c r="P623" s="11"/>
      <c r="Q623" s="11"/>
      <c r="R623" s="11"/>
      <c r="S623" s="11"/>
      <c r="T623" s="11"/>
      <c r="U623" s="11"/>
      <c r="V623" s="11"/>
      <c r="W623" s="11"/>
      <c r="X623" s="11"/>
      <c r="Y623" s="11"/>
      <c r="Z623" s="11"/>
      <c r="AA623" s="11"/>
      <c r="AB623" s="11"/>
      <c r="AC623" s="11"/>
      <c r="AD623" s="11"/>
    </row>
    <row r="624" spans="1:30" ht="16" x14ac:dyDescent="0.2">
      <c r="A624" s="11"/>
      <c r="B624" s="12"/>
      <c r="C624" s="12"/>
      <c r="D624" s="12"/>
      <c r="E624" s="12"/>
      <c r="F624" s="12"/>
      <c r="G624" s="12"/>
      <c r="H624" s="12"/>
      <c r="I624" s="12"/>
      <c r="J624" s="12"/>
      <c r="K624" s="12"/>
      <c r="L624" s="12"/>
      <c r="M624" s="11"/>
      <c r="N624" s="11"/>
      <c r="O624" s="11"/>
      <c r="P624" s="11"/>
      <c r="Q624" s="11"/>
      <c r="R624" s="11"/>
      <c r="S624" s="11"/>
      <c r="T624" s="11"/>
      <c r="U624" s="11"/>
      <c r="V624" s="11"/>
      <c r="W624" s="11"/>
      <c r="X624" s="11"/>
      <c r="Y624" s="11"/>
      <c r="Z624" s="11"/>
      <c r="AA624" s="11"/>
      <c r="AB624" s="11"/>
      <c r="AC624" s="11"/>
      <c r="AD624" s="11"/>
    </row>
    <row r="625" spans="1:30" ht="16" x14ac:dyDescent="0.2">
      <c r="A625" s="11"/>
      <c r="B625" s="12"/>
      <c r="C625" s="12"/>
      <c r="D625" s="12"/>
      <c r="E625" s="12"/>
      <c r="F625" s="12"/>
      <c r="G625" s="12"/>
      <c r="H625" s="12"/>
      <c r="I625" s="12"/>
      <c r="J625" s="12"/>
      <c r="K625" s="12"/>
      <c r="L625" s="12"/>
      <c r="M625" s="11"/>
      <c r="N625" s="11"/>
      <c r="O625" s="11"/>
      <c r="P625" s="11"/>
      <c r="Q625" s="11"/>
      <c r="R625" s="11"/>
      <c r="S625" s="11"/>
      <c r="T625" s="11"/>
      <c r="U625" s="11"/>
      <c r="V625" s="11"/>
      <c r="W625" s="11"/>
      <c r="X625" s="11"/>
      <c r="Y625" s="11"/>
      <c r="Z625" s="11"/>
      <c r="AA625" s="11"/>
      <c r="AB625" s="11"/>
      <c r="AC625" s="11"/>
      <c r="AD625" s="11"/>
    </row>
    <row r="626" spans="1:30" ht="16" x14ac:dyDescent="0.2">
      <c r="A626" s="11"/>
      <c r="B626" s="12"/>
      <c r="C626" s="12"/>
      <c r="D626" s="12"/>
      <c r="E626" s="12"/>
      <c r="F626" s="12"/>
      <c r="G626" s="12"/>
      <c r="H626" s="12"/>
      <c r="I626" s="12"/>
      <c r="J626" s="12"/>
      <c r="K626" s="12"/>
      <c r="L626" s="12"/>
      <c r="M626" s="11"/>
      <c r="N626" s="11"/>
      <c r="O626" s="11"/>
      <c r="P626" s="11"/>
      <c r="Q626" s="11"/>
      <c r="R626" s="11"/>
      <c r="S626" s="11"/>
      <c r="T626" s="11"/>
      <c r="U626" s="11"/>
      <c r="V626" s="11"/>
      <c r="W626" s="11"/>
      <c r="X626" s="11"/>
      <c r="Y626" s="11"/>
      <c r="Z626" s="11"/>
      <c r="AA626" s="11"/>
      <c r="AB626" s="11"/>
      <c r="AC626" s="11"/>
      <c r="AD626" s="11"/>
    </row>
    <row r="627" spans="1:30" ht="16" x14ac:dyDescent="0.2">
      <c r="A627" s="11"/>
      <c r="B627" s="12"/>
      <c r="C627" s="12"/>
      <c r="D627" s="12"/>
      <c r="E627" s="12"/>
      <c r="F627" s="12"/>
      <c r="G627" s="12"/>
      <c r="H627" s="12"/>
      <c r="I627" s="12"/>
      <c r="J627" s="12"/>
      <c r="K627" s="12"/>
      <c r="L627" s="12"/>
      <c r="M627" s="11"/>
      <c r="N627" s="11"/>
      <c r="O627" s="11"/>
      <c r="P627" s="11"/>
      <c r="Q627" s="11"/>
      <c r="R627" s="11"/>
      <c r="S627" s="11"/>
      <c r="T627" s="11"/>
      <c r="U627" s="11"/>
      <c r="V627" s="11"/>
      <c r="W627" s="11"/>
      <c r="X627" s="11"/>
      <c r="Y627" s="11"/>
      <c r="Z627" s="11"/>
      <c r="AA627" s="11"/>
      <c r="AB627" s="11"/>
      <c r="AC627" s="11"/>
      <c r="AD627" s="11"/>
    </row>
    <row r="628" spans="1:30" ht="16" x14ac:dyDescent="0.2">
      <c r="A628" s="11"/>
      <c r="B628" s="12"/>
      <c r="C628" s="12"/>
      <c r="D628" s="12"/>
      <c r="E628" s="12"/>
      <c r="F628" s="12"/>
      <c r="G628" s="12"/>
      <c r="H628" s="12"/>
      <c r="I628" s="12"/>
      <c r="J628" s="12"/>
      <c r="K628" s="12"/>
      <c r="L628" s="12"/>
      <c r="M628" s="11"/>
      <c r="N628" s="11"/>
      <c r="O628" s="11"/>
      <c r="P628" s="11"/>
      <c r="Q628" s="11"/>
      <c r="R628" s="11"/>
      <c r="S628" s="11"/>
      <c r="T628" s="11"/>
      <c r="U628" s="11"/>
      <c r="V628" s="11"/>
      <c r="W628" s="11"/>
      <c r="X628" s="11"/>
      <c r="Y628" s="11"/>
      <c r="Z628" s="11"/>
      <c r="AA628" s="11"/>
      <c r="AB628" s="11"/>
      <c r="AC628" s="11"/>
      <c r="AD628" s="11"/>
    </row>
    <row r="629" spans="1:30" ht="16" x14ac:dyDescent="0.2">
      <c r="A629" s="11"/>
      <c r="B629" s="12"/>
      <c r="C629" s="12"/>
      <c r="D629" s="12"/>
      <c r="E629" s="12"/>
      <c r="F629" s="12"/>
      <c r="G629" s="12"/>
      <c r="H629" s="12"/>
      <c r="I629" s="12"/>
      <c r="J629" s="12"/>
      <c r="K629" s="12"/>
      <c r="L629" s="12"/>
      <c r="M629" s="11"/>
      <c r="N629" s="11"/>
      <c r="O629" s="11"/>
      <c r="P629" s="11"/>
      <c r="Q629" s="11"/>
      <c r="R629" s="11"/>
      <c r="S629" s="11"/>
      <c r="T629" s="11"/>
      <c r="U629" s="11"/>
      <c r="V629" s="11"/>
      <c r="W629" s="11"/>
      <c r="X629" s="11"/>
      <c r="Y629" s="11"/>
      <c r="Z629" s="11"/>
      <c r="AA629" s="11"/>
      <c r="AB629" s="11"/>
      <c r="AC629" s="11"/>
      <c r="AD629" s="11"/>
    </row>
    <row r="630" spans="1:30" ht="16" x14ac:dyDescent="0.2">
      <c r="A630" s="11"/>
      <c r="B630" s="12"/>
      <c r="C630" s="12"/>
      <c r="D630" s="12"/>
      <c r="E630" s="12"/>
      <c r="F630" s="12"/>
      <c r="G630" s="12"/>
      <c r="H630" s="12"/>
      <c r="I630" s="12"/>
      <c r="J630" s="12"/>
      <c r="K630" s="12"/>
      <c r="L630" s="12"/>
      <c r="M630" s="11"/>
      <c r="N630" s="11"/>
      <c r="O630" s="11"/>
      <c r="P630" s="11"/>
      <c r="Q630" s="11"/>
      <c r="R630" s="11"/>
      <c r="S630" s="11"/>
      <c r="T630" s="11"/>
      <c r="U630" s="11"/>
      <c r="V630" s="11"/>
      <c r="W630" s="11"/>
      <c r="X630" s="11"/>
      <c r="Y630" s="11"/>
      <c r="Z630" s="11"/>
      <c r="AA630" s="11"/>
      <c r="AB630" s="11"/>
      <c r="AC630" s="11"/>
      <c r="AD630" s="11"/>
    </row>
    <row r="631" spans="1:30" ht="16" x14ac:dyDescent="0.2">
      <c r="A631" s="11"/>
      <c r="B631" s="12"/>
      <c r="C631" s="12"/>
      <c r="D631" s="12"/>
      <c r="E631" s="12"/>
      <c r="F631" s="12"/>
      <c r="G631" s="12"/>
      <c r="H631" s="12"/>
      <c r="I631" s="12"/>
      <c r="J631" s="12"/>
      <c r="K631" s="12"/>
      <c r="L631" s="12"/>
      <c r="M631" s="11"/>
      <c r="N631" s="11"/>
      <c r="O631" s="11"/>
      <c r="P631" s="11"/>
      <c r="Q631" s="11"/>
      <c r="R631" s="11"/>
      <c r="S631" s="11"/>
      <c r="T631" s="11"/>
      <c r="U631" s="11"/>
      <c r="V631" s="11"/>
      <c r="W631" s="11"/>
      <c r="X631" s="11"/>
      <c r="Y631" s="11"/>
      <c r="Z631" s="11"/>
      <c r="AA631" s="11"/>
      <c r="AB631" s="11"/>
      <c r="AC631" s="11"/>
      <c r="AD631" s="11"/>
    </row>
    <row r="632" spans="1:30" ht="16" x14ac:dyDescent="0.2">
      <c r="A632" s="11"/>
      <c r="B632" s="12"/>
      <c r="C632" s="12"/>
      <c r="D632" s="12"/>
      <c r="E632" s="12"/>
      <c r="F632" s="12"/>
      <c r="G632" s="12"/>
      <c r="H632" s="12"/>
      <c r="I632" s="12"/>
      <c r="J632" s="12"/>
      <c r="K632" s="12"/>
      <c r="L632" s="12"/>
      <c r="M632" s="11"/>
      <c r="N632" s="11"/>
      <c r="O632" s="11"/>
      <c r="P632" s="11"/>
      <c r="Q632" s="11"/>
      <c r="R632" s="11"/>
      <c r="S632" s="11"/>
      <c r="T632" s="11"/>
      <c r="U632" s="11"/>
      <c r="V632" s="11"/>
      <c r="W632" s="11"/>
      <c r="X632" s="11"/>
      <c r="Y632" s="11"/>
      <c r="Z632" s="11"/>
      <c r="AA632" s="11"/>
      <c r="AB632" s="11"/>
      <c r="AC632" s="11"/>
      <c r="AD632" s="11"/>
    </row>
    <row r="633" spans="1:30" ht="16" x14ac:dyDescent="0.2">
      <c r="A633" s="11"/>
      <c r="B633" s="12"/>
      <c r="C633" s="12"/>
      <c r="D633" s="12"/>
      <c r="E633" s="12"/>
      <c r="F633" s="12"/>
      <c r="G633" s="12"/>
      <c r="H633" s="12"/>
      <c r="I633" s="12"/>
      <c r="J633" s="12"/>
      <c r="K633" s="12"/>
      <c r="L633" s="12"/>
      <c r="M633" s="11"/>
      <c r="N633" s="11"/>
      <c r="O633" s="11"/>
      <c r="P633" s="11"/>
      <c r="Q633" s="11"/>
      <c r="R633" s="11"/>
      <c r="S633" s="11"/>
      <c r="T633" s="11"/>
      <c r="U633" s="11"/>
      <c r="V633" s="11"/>
      <c r="W633" s="11"/>
      <c r="X633" s="11"/>
      <c r="Y633" s="11"/>
      <c r="Z633" s="11"/>
      <c r="AA633" s="11"/>
      <c r="AB633" s="11"/>
      <c r="AC633" s="11"/>
      <c r="AD633" s="11"/>
    </row>
    <row r="634" spans="1:30" ht="16" x14ac:dyDescent="0.2">
      <c r="A634" s="11"/>
      <c r="B634" s="12"/>
      <c r="C634" s="12"/>
      <c r="D634" s="12"/>
      <c r="E634" s="12"/>
      <c r="F634" s="12"/>
      <c r="G634" s="12"/>
      <c r="H634" s="12"/>
      <c r="I634" s="12"/>
      <c r="J634" s="12"/>
      <c r="K634" s="12"/>
      <c r="L634" s="12"/>
      <c r="M634" s="11"/>
      <c r="N634" s="11"/>
      <c r="O634" s="11"/>
      <c r="P634" s="11"/>
      <c r="Q634" s="11"/>
      <c r="R634" s="11"/>
      <c r="S634" s="11"/>
      <c r="T634" s="11"/>
      <c r="U634" s="11"/>
      <c r="V634" s="11"/>
      <c r="W634" s="11"/>
      <c r="X634" s="11"/>
      <c r="Y634" s="11"/>
      <c r="Z634" s="11"/>
      <c r="AA634" s="11"/>
      <c r="AB634" s="11"/>
      <c r="AC634" s="11"/>
      <c r="AD634" s="11"/>
    </row>
    <row r="635" spans="1:30" ht="16" x14ac:dyDescent="0.2">
      <c r="A635" s="11"/>
      <c r="B635" s="12"/>
      <c r="C635" s="12"/>
      <c r="D635" s="12"/>
      <c r="E635" s="12"/>
      <c r="F635" s="12"/>
      <c r="G635" s="12"/>
      <c r="H635" s="12"/>
      <c r="I635" s="12"/>
      <c r="J635" s="12"/>
      <c r="K635" s="12"/>
      <c r="L635" s="12"/>
      <c r="M635" s="11"/>
      <c r="N635" s="11"/>
      <c r="O635" s="11"/>
      <c r="P635" s="11"/>
      <c r="Q635" s="11"/>
      <c r="R635" s="11"/>
      <c r="S635" s="11"/>
      <c r="T635" s="11"/>
      <c r="U635" s="11"/>
      <c r="V635" s="11"/>
      <c r="W635" s="11"/>
      <c r="X635" s="11"/>
      <c r="Y635" s="11"/>
      <c r="Z635" s="11"/>
      <c r="AA635" s="11"/>
      <c r="AB635" s="11"/>
      <c r="AC635" s="11"/>
      <c r="AD635" s="11"/>
    </row>
    <row r="636" spans="1:30" ht="16" x14ac:dyDescent="0.2">
      <c r="A636" s="11"/>
      <c r="B636" s="12"/>
      <c r="C636" s="12"/>
      <c r="D636" s="12"/>
      <c r="E636" s="12"/>
      <c r="F636" s="12"/>
      <c r="G636" s="12"/>
      <c r="H636" s="12"/>
      <c r="I636" s="12"/>
      <c r="J636" s="12"/>
      <c r="K636" s="12"/>
      <c r="L636" s="12"/>
      <c r="M636" s="11"/>
      <c r="N636" s="11"/>
      <c r="O636" s="11"/>
      <c r="P636" s="11"/>
      <c r="Q636" s="11"/>
      <c r="R636" s="11"/>
      <c r="S636" s="11"/>
      <c r="T636" s="11"/>
      <c r="U636" s="11"/>
      <c r="V636" s="11"/>
      <c r="W636" s="11"/>
      <c r="X636" s="11"/>
      <c r="Y636" s="11"/>
      <c r="Z636" s="11"/>
      <c r="AA636" s="11"/>
      <c r="AB636" s="11"/>
      <c r="AC636" s="11"/>
      <c r="AD636" s="11"/>
    </row>
    <row r="637" spans="1:30" ht="16" x14ac:dyDescent="0.2">
      <c r="A637" s="11"/>
      <c r="B637" s="12"/>
      <c r="C637" s="12"/>
      <c r="D637" s="12"/>
      <c r="E637" s="12"/>
      <c r="F637" s="12"/>
      <c r="G637" s="12"/>
      <c r="H637" s="12"/>
      <c r="I637" s="12"/>
      <c r="J637" s="12"/>
      <c r="K637" s="12"/>
      <c r="L637" s="12"/>
      <c r="M637" s="11"/>
      <c r="N637" s="11"/>
      <c r="O637" s="11"/>
      <c r="P637" s="11"/>
      <c r="Q637" s="11"/>
      <c r="R637" s="11"/>
      <c r="S637" s="11"/>
      <c r="T637" s="11"/>
      <c r="U637" s="11"/>
      <c r="V637" s="11"/>
      <c r="W637" s="11"/>
      <c r="X637" s="11"/>
      <c r="Y637" s="11"/>
      <c r="Z637" s="11"/>
      <c r="AA637" s="11"/>
      <c r="AB637" s="11"/>
      <c r="AC637" s="11"/>
      <c r="AD637" s="11"/>
    </row>
    <row r="638" spans="1:30" ht="16" x14ac:dyDescent="0.2">
      <c r="A638" s="11"/>
      <c r="B638" s="12"/>
      <c r="C638" s="12"/>
      <c r="D638" s="12"/>
      <c r="E638" s="12"/>
      <c r="F638" s="12"/>
      <c r="G638" s="12"/>
      <c r="H638" s="12"/>
      <c r="I638" s="12"/>
      <c r="J638" s="12"/>
      <c r="K638" s="12"/>
      <c r="L638" s="12"/>
      <c r="M638" s="11"/>
      <c r="N638" s="11"/>
      <c r="O638" s="11"/>
      <c r="P638" s="11"/>
      <c r="Q638" s="11"/>
      <c r="R638" s="11"/>
      <c r="S638" s="11"/>
      <c r="T638" s="11"/>
      <c r="U638" s="11"/>
      <c r="V638" s="11"/>
      <c r="W638" s="11"/>
      <c r="X638" s="11"/>
      <c r="Y638" s="11"/>
      <c r="Z638" s="11"/>
      <c r="AA638" s="11"/>
      <c r="AB638" s="11"/>
      <c r="AC638" s="11"/>
      <c r="AD638" s="11"/>
    </row>
    <row r="639" spans="1:30" ht="16" x14ac:dyDescent="0.2">
      <c r="A639" s="11"/>
      <c r="B639" s="12"/>
      <c r="C639" s="12"/>
      <c r="D639" s="12"/>
      <c r="E639" s="12"/>
      <c r="F639" s="12"/>
      <c r="G639" s="12"/>
      <c r="H639" s="12"/>
      <c r="I639" s="12"/>
      <c r="J639" s="12"/>
      <c r="K639" s="12"/>
      <c r="L639" s="12"/>
      <c r="M639" s="11"/>
      <c r="N639" s="11"/>
      <c r="O639" s="11"/>
      <c r="P639" s="11"/>
      <c r="Q639" s="11"/>
      <c r="R639" s="11"/>
      <c r="S639" s="11"/>
      <c r="T639" s="11"/>
      <c r="U639" s="11"/>
      <c r="V639" s="11"/>
      <c r="W639" s="11"/>
      <c r="X639" s="11"/>
      <c r="Y639" s="11"/>
      <c r="Z639" s="11"/>
      <c r="AA639" s="11"/>
      <c r="AB639" s="11"/>
      <c r="AC639" s="11"/>
      <c r="AD639" s="11"/>
    </row>
    <row r="640" spans="1:30" ht="16" x14ac:dyDescent="0.2">
      <c r="A640" s="11"/>
      <c r="B640" s="12"/>
      <c r="C640" s="12"/>
      <c r="D640" s="12"/>
      <c r="E640" s="12"/>
      <c r="F640" s="12"/>
      <c r="G640" s="12"/>
      <c r="H640" s="12"/>
      <c r="I640" s="12"/>
      <c r="J640" s="12"/>
      <c r="K640" s="12"/>
      <c r="L640" s="12"/>
      <c r="M640" s="11"/>
      <c r="N640" s="11"/>
      <c r="O640" s="11"/>
      <c r="P640" s="11"/>
      <c r="Q640" s="11"/>
      <c r="R640" s="11"/>
      <c r="S640" s="11"/>
      <c r="T640" s="11"/>
      <c r="U640" s="11"/>
      <c r="V640" s="11"/>
      <c r="W640" s="11"/>
      <c r="X640" s="11"/>
      <c r="Y640" s="11"/>
      <c r="Z640" s="11"/>
      <c r="AA640" s="11"/>
      <c r="AB640" s="11"/>
      <c r="AC640" s="11"/>
      <c r="AD640" s="11"/>
    </row>
    <row r="641" spans="1:30" ht="16" x14ac:dyDescent="0.2">
      <c r="A641" s="11"/>
      <c r="B641" s="12"/>
      <c r="C641" s="12"/>
      <c r="D641" s="12"/>
      <c r="E641" s="12"/>
      <c r="F641" s="12"/>
      <c r="G641" s="12"/>
      <c r="H641" s="12"/>
      <c r="I641" s="12"/>
      <c r="J641" s="12"/>
      <c r="K641" s="12"/>
      <c r="L641" s="12"/>
      <c r="M641" s="11"/>
      <c r="N641" s="11"/>
      <c r="O641" s="11"/>
      <c r="P641" s="11"/>
      <c r="Q641" s="11"/>
      <c r="R641" s="11"/>
      <c r="S641" s="11"/>
      <c r="T641" s="11"/>
      <c r="U641" s="11"/>
      <c r="V641" s="11"/>
      <c r="W641" s="11"/>
      <c r="X641" s="11"/>
      <c r="Y641" s="11"/>
      <c r="Z641" s="11"/>
      <c r="AA641" s="11"/>
      <c r="AB641" s="11"/>
      <c r="AC641" s="11"/>
      <c r="AD641" s="11"/>
    </row>
    <row r="642" spans="1:30" ht="16" x14ac:dyDescent="0.2">
      <c r="A642" s="11"/>
      <c r="B642" s="12"/>
      <c r="C642" s="12"/>
      <c r="D642" s="12"/>
      <c r="E642" s="12"/>
      <c r="F642" s="12"/>
      <c r="G642" s="12"/>
      <c r="H642" s="12"/>
      <c r="I642" s="12"/>
      <c r="J642" s="12"/>
      <c r="K642" s="12"/>
      <c r="L642" s="12"/>
      <c r="M642" s="11"/>
      <c r="N642" s="11"/>
      <c r="O642" s="11"/>
      <c r="P642" s="11"/>
      <c r="Q642" s="11"/>
      <c r="R642" s="11"/>
      <c r="S642" s="11"/>
      <c r="T642" s="11"/>
      <c r="U642" s="11"/>
      <c r="V642" s="11"/>
      <c r="W642" s="11"/>
      <c r="X642" s="11"/>
      <c r="Y642" s="11"/>
      <c r="Z642" s="11"/>
      <c r="AA642" s="11"/>
      <c r="AB642" s="11"/>
      <c r="AC642" s="11"/>
      <c r="AD642" s="11"/>
    </row>
    <row r="643" spans="1:30" ht="16" x14ac:dyDescent="0.2">
      <c r="A643" s="11"/>
      <c r="B643" s="12"/>
      <c r="C643" s="12"/>
      <c r="D643" s="12"/>
      <c r="E643" s="12"/>
      <c r="F643" s="12"/>
      <c r="G643" s="12"/>
      <c r="H643" s="12"/>
      <c r="I643" s="12"/>
      <c r="J643" s="12"/>
      <c r="K643" s="12"/>
      <c r="L643" s="12"/>
      <c r="M643" s="11"/>
      <c r="N643" s="11"/>
      <c r="O643" s="11"/>
      <c r="P643" s="11"/>
      <c r="Q643" s="11"/>
      <c r="R643" s="11"/>
      <c r="S643" s="11"/>
      <c r="T643" s="11"/>
      <c r="U643" s="11"/>
      <c r="V643" s="11"/>
      <c r="W643" s="11"/>
      <c r="X643" s="11"/>
      <c r="Y643" s="11"/>
      <c r="Z643" s="11"/>
      <c r="AA643" s="11"/>
      <c r="AB643" s="11"/>
      <c r="AC643" s="11"/>
      <c r="AD643" s="11"/>
    </row>
    <row r="644" spans="1:30" ht="16" x14ac:dyDescent="0.2">
      <c r="A644" s="11"/>
      <c r="B644" s="12"/>
      <c r="C644" s="12"/>
      <c r="D644" s="12"/>
      <c r="E644" s="12"/>
      <c r="F644" s="12"/>
      <c r="G644" s="12"/>
      <c r="H644" s="12"/>
      <c r="I644" s="12"/>
      <c r="J644" s="12"/>
      <c r="K644" s="12"/>
      <c r="L644" s="12"/>
      <c r="M644" s="11"/>
      <c r="N644" s="11"/>
      <c r="O644" s="11"/>
      <c r="P644" s="11"/>
      <c r="Q644" s="11"/>
      <c r="R644" s="11"/>
      <c r="S644" s="11"/>
      <c r="T644" s="11"/>
      <c r="U644" s="11"/>
      <c r="V644" s="11"/>
      <c r="W644" s="11"/>
      <c r="X644" s="11"/>
      <c r="Y644" s="11"/>
      <c r="Z644" s="11"/>
      <c r="AA644" s="11"/>
      <c r="AB644" s="11"/>
      <c r="AC644" s="11"/>
      <c r="AD644" s="11"/>
    </row>
    <row r="645" spans="1:30" ht="16" x14ac:dyDescent="0.2">
      <c r="A645" s="11"/>
      <c r="B645" s="12"/>
      <c r="C645" s="12"/>
      <c r="D645" s="12"/>
      <c r="E645" s="12"/>
      <c r="F645" s="12"/>
      <c r="G645" s="12"/>
      <c r="H645" s="12"/>
      <c r="I645" s="12"/>
      <c r="J645" s="12"/>
      <c r="K645" s="12"/>
      <c r="L645" s="12"/>
      <c r="M645" s="11"/>
      <c r="N645" s="11"/>
      <c r="O645" s="11"/>
      <c r="P645" s="11"/>
      <c r="Q645" s="11"/>
      <c r="R645" s="11"/>
      <c r="S645" s="11"/>
      <c r="T645" s="11"/>
      <c r="U645" s="11"/>
      <c r="V645" s="11"/>
      <c r="W645" s="11"/>
      <c r="X645" s="11"/>
      <c r="Y645" s="11"/>
      <c r="Z645" s="11"/>
      <c r="AA645" s="11"/>
      <c r="AB645" s="11"/>
      <c r="AC645" s="11"/>
      <c r="AD645" s="11"/>
    </row>
    <row r="646" spans="1:30" ht="16" x14ac:dyDescent="0.2">
      <c r="A646" s="11"/>
      <c r="B646" s="12"/>
      <c r="C646" s="12"/>
      <c r="D646" s="12"/>
      <c r="E646" s="12"/>
      <c r="F646" s="12"/>
      <c r="G646" s="12"/>
      <c r="H646" s="12"/>
      <c r="I646" s="12"/>
      <c r="J646" s="12"/>
      <c r="K646" s="12"/>
      <c r="L646" s="12"/>
      <c r="M646" s="11"/>
      <c r="N646" s="11"/>
      <c r="O646" s="11"/>
      <c r="P646" s="11"/>
      <c r="Q646" s="11"/>
      <c r="R646" s="11"/>
      <c r="S646" s="11"/>
      <c r="T646" s="11"/>
      <c r="U646" s="11"/>
      <c r="V646" s="11"/>
      <c r="W646" s="11"/>
      <c r="X646" s="11"/>
      <c r="Y646" s="11"/>
      <c r="Z646" s="11"/>
      <c r="AA646" s="11"/>
      <c r="AB646" s="11"/>
      <c r="AC646" s="11"/>
      <c r="AD646" s="11"/>
    </row>
    <row r="647" spans="1:30" ht="16" x14ac:dyDescent="0.2">
      <c r="A647" s="11"/>
      <c r="B647" s="12"/>
      <c r="C647" s="12"/>
      <c r="D647" s="12"/>
      <c r="E647" s="12"/>
      <c r="F647" s="12"/>
      <c r="G647" s="12"/>
      <c r="H647" s="12"/>
      <c r="I647" s="12"/>
      <c r="J647" s="12"/>
      <c r="K647" s="12"/>
      <c r="L647" s="12"/>
      <c r="M647" s="11"/>
      <c r="N647" s="11"/>
      <c r="O647" s="11"/>
      <c r="P647" s="11"/>
      <c r="Q647" s="11"/>
      <c r="R647" s="11"/>
      <c r="S647" s="11"/>
      <c r="T647" s="11"/>
      <c r="U647" s="11"/>
      <c r="V647" s="11"/>
      <c r="W647" s="11"/>
      <c r="X647" s="11"/>
      <c r="Y647" s="11"/>
      <c r="Z647" s="11"/>
      <c r="AA647" s="11"/>
      <c r="AB647" s="11"/>
      <c r="AC647" s="11"/>
      <c r="AD647" s="11"/>
    </row>
    <row r="648" spans="1:30" ht="16" x14ac:dyDescent="0.2">
      <c r="A648" s="11"/>
      <c r="B648" s="12"/>
      <c r="C648" s="12"/>
      <c r="D648" s="12"/>
      <c r="E648" s="12"/>
      <c r="F648" s="12"/>
      <c r="G648" s="12"/>
      <c r="H648" s="12"/>
      <c r="I648" s="12"/>
      <c r="J648" s="12"/>
      <c r="K648" s="12"/>
      <c r="L648" s="12"/>
      <c r="M648" s="11"/>
      <c r="N648" s="11"/>
      <c r="O648" s="11"/>
      <c r="P648" s="11"/>
      <c r="Q648" s="11"/>
      <c r="R648" s="11"/>
      <c r="S648" s="11"/>
      <c r="T648" s="11"/>
      <c r="U648" s="11"/>
      <c r="V648" s="11"/>
      <c r="W648" s="11"/>
      <c r="X648" s="11"/>
      <c r="Y648" s="11"/>
      <c r="Z648" s="11"/>
      <c r="AA648" s="11"/>
      <c r="AB648" s="11"/>
      <c r="AC648" s="11"/>
      <c r="AD648" s="11"/>
    </row>
    <row r="649" spans="1:30" ht="16" x14ac:dyDescent="0.2">
      <c r="A649" s="11"/>
      <c r="B649" s="12"/>
      <c r="C649" s="12"/>
      <c r="D649" s="12"/>
      <c r="E649" s="12"/>
      <c r="F649" s="12"/>
      <c r="G649" s="12"/>
      <c r="H649" s="12"/>
      <c r="I649" s="12"/>
      <c r="J649" s="12"/>
      <c r="K649" s="12"/>
      <c r="L649" s="12"/>
      <c r="M649" s="11"/>
      <c r="N649" s="11"/>
      <c r="O649" s="11"/>
      <c r="P649" s="11"/>
      <c r="Q649" s="11"/>
      <c r="R649" s="11"/>
      <c r="S649" s="11"/>
      <c r="T649" s="11"/>
      <c r="U649" s="11"/>
      <c r="V649" s="11"/>
      <c r="W649" s="11"/>
      <c r="X649" s="11"/>
      <c r="Y649" s="11"/>
      <c r="Z649" s="11"/>
      <c r="AA649" s="11"/>
      <c r="AB649" s="11"/>
      <c r="AC649" s="11"/>
      <c r="AD649" s="11"/>
    </row>
    <row r="650" spans="1:30" ht="16" x14ac:dyDescent="0.2">
      <c r="A650" s="11"/>
      <c r="B650" s="12"/>
      <c r="C650" s="12"/>
      <c r="D650" s="12"/>
      <c r="E650" s="12"/>
      <c r="F650" s="12"/>
      <c r="G650" s="12"/>
      <c r="H650" s="12"/>
      <c r="I650" s="12"/>
      <c r="J650" s="12"/>
      <c r="K650" s="12"/>
      <c r="L650" s="12"/>
      <c r="M650" s="11"/>
      <c r="N650" s="11"/>
      <c r="O650" s="11"/>
      <c r="P650" s="11"/>
      <c r="Q650" s="11"/>
      <c r="R650" s="11"/>
      <c r="S650" s="11"/>
      <c r="T650" s="11"/>
      <c r="U650" s="11"/>
      <c r="V650" s="11"/>
      <c r="W650" s="11"/>
      <c r="X650" s="11"/>
      <c r="Y650" s="11"/>
      <c r="Z650" s="11"/>
      <c r="AA650" s="11"/>
      <c r="AB650" s="11"/>
      <c r="AC650" s="11"/>
      <c r="AD650" s="11"/>
    </row>
    <row r="651" spans="1:30" ht="16" x14ac:dyDescent="0.2">
      <c r="A651" s="11"/>
      <c r="B651" s="12"/>
      <c r="C651" s="12"/>
      <c r="D651" s="12"/>
      <c r="E651" s="12"/>
      <c r="F651" s="12"/>
      <c r="G651" s="12"/>
      <c r="H651" s="12"/>
      <c r="I651" s="12"/>
      <c r="J651" s="12"/>
      <c r="K651" s="12"/>
      <c r="L651" s="12"/>
      <c r="M651" s="11"/>
      <c r="N651" s="11"/>
      <c r="O651" s="11"/>
      <c r="P651" s="11"/>
      <c r="Q651" s="11"/>
      <c r="R651" s="11"/>
      <c r="S651" s="11"/>
      <c r="T651" s="11"/>
      <c r="U651" s="11"/>
      <c r="V651" s="11"/>
      <c r="W651" s="11"/>
      <c r="X651" s="11"/>
      <c r="Y651" s="11"/>
      <c r="Z651" s="11"/>
      <c r="AA651" s="11"/>
      <c r="AB651" s="11"/>
      <c r="AC651" s="11"/>
      <c r="AD651" s="11"/>
    </row>
    <row r="652" spans="1:30" ht="16" x14ac:dyDescent="0.2">
      <c r="A652" s="11"/>
      <c r="B652" s="12"/>
      <c r="C652" s="12"/>
      <c r="D652" s="12"/>
      <c r="E652" s="12"/>
      <c r="F652" s="12"/>
      <c r="G652" s="12"/>
      <c r="H652" s="12"/>
      <c r="I652" s="12"/>
      <c r="J652" s="12"/>
      <c r="K652" s="12"/>
      <c r="L652" s="12"/>
      <c r="M652" s="11"/>
      <c r="N652" s="11"/>
      <c r="O652" s="11"/>
      <c r="P652" s="11"/>
      <c r="Q652" s="11"/>
      <c r="R652" s="11"/>
      <c r="S652" s="11"/>
      <c r="T652" s="11"/>
      <c r="U652" s="11"/>
      <c r="V652" s="11"/>
      <c r="W652" s="11"/>
      <c r="X652" s="11"/>
      <c r="Y652" s="11"/>
      <c r="Z652" s="11"/>
      <c r="AA652" s="11"/>
      <c r="AB652" s="11"/>
      <c r="AC652" s="11"/>
      <c r="AD652" s="11"/>
    </row>
    <row r="653" spans="1:30" ht="16" x14ac:dyDescent="0.2">
      <c r="A653" s="11"/>
      <c r="B653" s="12"/>
      <c r="C653" s="12"/>
      <c r="D653" s="12"/>
      <c r="E653" s="12"/>
      <c r="F653" s="12"/>
      <c r="G653" s="12"/>
      <c r="H653" s="12"/>
      <c r="I653" s="12"/>
      <c r="J653" s="12"/>
      <c r="K653" s="12"/>
      <c r="L653" s="12"/>
      <c r="M653" s="11"/>
      <c r="N653" s="11"/>
      <c r="O653" s="11"/>
      <c r="P653" s="11"/>
      <c r="Q653" s="11"/>
      <c r="R653" s="11"/>
      <c r="S653" s="11"/>
      <c r="T653" s="11"/>
      <c r="U653" s="11"/>
      <c r="V653" s="11"/>
      <c r="W653" s="11"/>
      <c r="X653" s="11"/>
      <c r="Y653" s="11"/>
      <c r="Z653" s="11"/>
      <c r="AA653" s="11"/>
      <c r="AB653" s="11"/>
      <c r="AC653" s="11"/>
      <c r="AD653" s="11"/>
    </row>
    <row r="654" spans="1:30" ht="16" x14ac:dyDescent="0.2">
      <c r="A654" s="11"/>
      <c r="B654" s="12"/>
      <c r="C654" s="12"/>
      <c r="D654" s="12"/>
      <c r="E654" s="12"/>
      <c r="F654" s="12"/>
      <c r="G654" s="12"/>
      <c r="H654" s="12"/>
      <c r="I654" s="12"/>
      <c r="J654" s="12"/>
      <c r="K654" s="12"/>
      <c r="L654" s="12"/>
      <c r="M654" s="11"/>
      <c r="N654" s="11"/>
      <c r="O654" s="11"/>
      <c r="P654" s="11"/>
      <c r="Q654" s="11"/>
      <c r="R654" s="11"/>
      <c r="S654" s="11"/>
      <c r="T654" s="11"/>
      <c r="U654" s="11"/>
      <c r="V654" s="11"/>
      <c r="W654" s="11"/>
      <c r="X654" s="11"/>
      <c r="Y654" s="11"/>
      <c r="Z654" s="11"/>
      <c r="AA654" s="11"/>
      <c r="AB654" s="11"/>
      <c r="AC654" s="11"/>
      <c r="AD654" s="11"/>
    </row>
    <row r="655" spans="1:30" ht="16" x14ac:dyDescent="0.2">
      <c r="A655" s="11"/>
      <c r="B655" s="12"/>
      <c r="C655" s="12"/>
      <c r="D655" s="12"/>
      <c r="E655" s="12"/>
      <c r="F655" s="12"/>
      <c r="G655" s="12"/>
      <c r="H655" s="12"/>
      <c r="I655" s="12"/>
      <c r="J655" s="12"/>
      <c r="K655" s="12"/>
      <c r="L655" s="12"/>
      <c r="M655" s="11"/>
      <c r="N655" s="11"/>
      <c r="O655" s="11"/>
      <c r="P655" s="11"/>
      <c r="Q655" s="11"/>
      <c r="R655" s="11"/>
      <c r="S655" s="11"/>
      <c r="T655" s="11"/>
      <c r="U655" s="11"/>
      <c r="V655" s="11"/>
      <c r="W655" s="11"/>
      <c r="X655" s="11"/>
      <c r="Y655" s="11"/>
      <c r="Z655" s="11"/>
      <c r="AA655" s="11"/>
      <c r="AB655" s="11"/>
      <c r="AC655" s="11"/>
      <c r="AD655" s="11"/>
    </row>
    <row r="656" spans="1:30" ht="16" x14ac:dyDescent="0.2">
      <c r="A656" s="11"/>
      <c r="B656" s="12"/>
      <c r="C656" s="12"/>
      <c r="D656" s="12"/>
      <c r="E656" s="12"/>
      <c r="F656" s="12"/>
      <c r="G656" s="12"/>
      <c r="H656" s="12"/>
      <c r="I656" s="12"/>
      <c r="J656" s="12"/>
      <c r="K656" s="12"/>
      <c r="L656" s="12"/>
      <c r="M656" s="11"/>
      <c r="N656" s="11"/>
      <c r="O656" s="11"/>
      <c r="P656" s="11"/>
      <c r="Q656" s="11"/>
      <c r="R656" s="11"/>
      <c r="S656" s="11"/>
      <c r="T656" s="11"/>
      <c r="U656" s="11"/>
      <c r="V656" s="11"/>
      <c r="W656" s="11"/>
      <c r="X656" s="11"/>
      <c r="Y656" s="11"/>
      <c r="Z656" s="11"/>
      <c r="AA656" s="11"/>
      <c r="AB656" s="11"/>
      <c r="AC656" s="11"/>
      <c r="AD656" s="11"/>
    </row>
    <row r="657" spans="1:30" ht="16" x14ac:dyDescent="0.2">
      <c r="A657" s="11"/>
      <c r="B657" s="12"/>
      <c r="C657" s="12"/>
      <c r="D657" s="12"/>
      <c r="E657" s="12"/>
      <c r="F657" s="12"/>
      <c r="G657" s="12"/>
      <c r="H657" s="12"/>
      <c r="I657" s="12"/>
      <c r="J657" s="12"/>
      <c r="K657" s="12"/>
      <c r="L657" s="12"/>
      <c r="M657" s="11"/>
      <c r="N657" s="11"/>
      <c r="O657" s="11"/>
      <c r="P657" s="11"/>
      <c r="Q657" s="11"/>
      <c r="R657" s="11"/>
      <c r="S657" s="11"/>
      <c r="T657" s="11"/>
      <c r="U657" s="11"/>
      <c r="V657" s="11"/>
      <c r="W657" s="11"/>
      <c r="X657" s="11"/>
      <c r="Y657" s="11"/>
      <c r="Z657" s="11"/>
      <c r="AA657" s="11"/>
      <c r="AB657" s="11"/>
      <c r="AC657" s="11"/>
      <c r="AD657" s="11"/>
    </row>
    <row r="658" spans="1:30" ht="16" x14ac:dyDescent="0.2">
      <c r="A658" s="11"/>
      <c r="B658" s="12"/>
      <c r="C658" s="12"/>
      <c r="D658" s="12"/>
      <c r="E658" s="12"/>
      <c r="F658" s="12"/>
      <c r="G658" s="12"/>
      <c r="H658" s="12"/>
      <c r="I658" s="12"/>
      <c r="J658" s="12"/>
      <c r="K658" s="12"/>
      <c r="L658" s="12"/>
      <c r="M658" s="11"/>
      <c r="N658" s="11"/>
      <c r="O658" s="11"/>
      <c r="P658" s="11"/>
      <c r="Q658" s="11"/>
      <c r="R658" s="11"/>
      <c r="S658" s="11"/>
      <c r="T658" s="11"/>
      <c r="U658" s="11"/>
      <c r="V658" s="11"/>
      <c r="W658" s="11"/>
      <c r="X658" s="11"/>
      <c r="Y658" s="11"/>
      <c r="Z658" s="11"/>
      <c r="AA658" s="11"/>
      <c r="AB658" s="11"/>
      <c r="AC658" s="11"/>
      <c r="AD658" s="11"/>
    </row>
    <row r="659" spans="1:30" ht="16" x14ac:dyDescent="0.2">
      <c r="A659" s="11"/>
      <c r="B659" s="12"/>
      <c r="C659" s="12"/>
      <c r="D659" s="12"/>
      <c r="E659" s="12"/>
      <c r="F659" s="12"/>
      <c r="G659" s="12"/>
      <c r="H659" s="12"/>
      <c r="I659" s="12"/>
      <c r="J659" s="12"/>
      <c r="K659" s="12"/>
      <c r="L659" s="12"/>
      <c r="M659" s="11"/>
      <c r="N659" s="11"/>
      <c r="O659" s="11"/>
      <c r="P659" s="11"/>
      <c r="Q659" s="11"/>
      <c r="R659" s="11"/>
      <c r="S659" s="11"/>
      <c r="T659" s="11"/>
      <c r="U659" s="11"/>
      <c r="V659" s="11"/>
      <c r="W659" s="11"/>
      <c r="X659" s="11"/>
      <c r="Y659" s="11"/>
      <c r="Z659" s="11"/>
      <c r="AA659" s="11"/>
      <c r="AB659" s="11"/>
      <c r="AC659" s="11"/>
      <c r="AD659" s="11"/>
    </row>
    <row r="660" spans="1:30" ht="16" x14ac:dyDescent="0.2">
      <c r="A660" s="11"/>
      <c r="B660" s="12"/>
      <c r="C660" s="12"/>
      <c r="D660" s="12"/>
      <c r="E660" s="12"/>
      <c r="F660" s="12"/>
      <c r="G660" s="12"/>
      <c r="H660" s="12"/>
      <c r="I660" s="12"/>
      <c r="J660" s="12"/>
      <c r="K660" s="12"/>
      <c r="L660" s="12"/>
      <c r="M660" s="11"/>
      <c r="N660" s="11"/>
      <c r="O660" s="11"/>
      <c r="P660" s="11"/>
      <c r="Q660" s="11"/>
      <c r="R660" s="11"/>
      <c r="S660" s="11"/>
      <c r="T660" s="11"/>
      <c r="U660" s="11"/>
      <c r="V660" s="11"/>
      <c r="W660" s="11"/>
      <c r="X660" s="11"/>
      <c r="Y660" s="11"/>
      <c r="Z660" s="11"/>
      <c r="AA660" s="11"/>
      <c r="AB660" s="11"/>
      <c r="AC660" s="11"/>
      <c r="AD660" s="11"/>
    </row>
    <row r="661" spans="1:30" ht="16" x14ac:dyDescent="0.2">
      <c r="A661" s="11"/>
      <c r="B661" s="12"/>
      <c r="C661" s="12"/>
      <c r="D661" s="12"/>
      <c r="E661" s="12"/>
      <c r="F661" s="12"/>
      <c r="G661" s="12"/>
      <c r="H661" s="12"/>
      <c r="I661" s="12"/>
      <c r="J661" s="12"/>
      <c r="K661" s="12"/>
      <c r="L661" s="12"/>
      <c r="M661" s="11"/>
      <c r="N661" s="11"/>
      <c r="O661" s="11"/>
      <c r="P661" s="11"/>
      <c r="Q661" s="11"/>
      <c r="R661" s="11"/>
      <c r="S661" s="11"/>
      <c r="T661" s="11"/>
      <c r="U661" s="11"/>
      <c r="V661" s="11"/>
      <c r="W661" s="11"/>
      <c r="X661" s="11"/>
      <c r="Y661" s="11"/>
      <c r="Z661" s="11"/>
      <c r="AA661" s="11"/>
      <c r="AB661" s="11"/>
      <c r="AC661" s="11"/>
      <c r="AD661" s="11"/>
    </row>
    <row r="662" spans="1:30" ht="16" x14ac:dyDescent="0.2">
      <c r="A662" s="11"/>
      <c r="B662" s="12"/>
      <c r="C662" s="12"/>
      <c r="D662" s="12"/>
      <c r="E662" s="12"/>
      <c r="F662" s="12"/>
      <c r="G662" s="12"/>
      <c r="H662" s="12"/>
      <c r="I662" s="12"/>
      <c r="J662" s="12"/>
      <c r="K662" s="12"/>
      <c r="L662" s="12"/>
      <c r="M662" s="11"/>
      <c r="N662" s="11"/>
      <c r="O662" s="11"/>
      <c r="P662" s="11"/>
      <c r="Q662" s="11"/>
      <c r="R662" s="11"/>
      <c r="S662" s="11"/>
      <c r="T662" s="11"/>
      <c r="U662" s="11"/>
      <c r="V662" s="11"/>
      <c r="W662" s="11"/>
      <c r="X662" s="11"/>
      <c r="Y662" s="11"/>
      <c r="Z662" s="11"/>
      <c r="AA662" s="11"/>
      <c r="AB662" s="11"/>
      <c r="AC662" s="11"/>
      <c r="AD662" s="11"/>
    </row>
    <row r="663" spans="1:30" ht="16" x14ac:dyDescent="0.2">
      <c r="A663" s="11"/>
      <c r="B663" s="12"/>
      <c r="C663" s="12"/>
      <c r="D663" s="12"/>
      <c r="E663" s="12"/>
      <c r="F663" s="12"/>
      <c r="G663" s="12"/>
      <c r="H663" s="12"/>
      <c r="I663" s="12"/>
      <c r="J663" s="12"/>
      <c r="K663" s="12"/>
      <c r="L663" s="12"/>
      <c r="M663" s="11"/>
      <c r="N663" s="11"/>
      <c r="O663" s="11"/>
      <c r="P663" s="11"/>
      <c r="Q663" s="11"/>
      <c r="R663" s="11"/>
      <c r="S663" s="11"/>
      <c r="T663" s="11"/>
      <c r="U663" s="11"/>
      <c r="V663" s="11"/>
      <c r="W663" s="11"/>
      <c r="X663" s="11"/>
      <c r="Y663" s="11"/>
      <c r="Z663" s="11"/>
      <c r="AA663" s="11"/>
      <c r="AB663" s="11"/>
      <c r="AC663" s="11"/>
      <c r="AD663" s="11"/>
    </row>
    <row r="664" spans="1:30" ht="16" x14ac:dyDescent="0.2">
      <c r="A664" s="11"/>
      <c r="B664" s="12"/>
      <c r="C664" s="12"/>
      <c r="D664" s="12"/>
      <c r="E664" s="12"/>
      <c r="F664" s="12"/>
      <c r="G664" s="12"/>
      <c r="H664" s="12"/>
      <c r="I664" s="12"/>
      <c r="J664" s="12"/>
      <c r="K664" s="12"/>
      <c r="L664" s="12"/>
      <c r="M664" s="11"/>
      <c r="N664" s="11"/>
      <c r="O664" s="11"/>
      <c r="P664" s="11"/>
      <c r="Q664" s="11"/>
      <c r="R664" s="11"/>
      <c r="S664" s="11"/>
      <c r="T664" s="11"/>
      <c r="U664" s="11"/>
      <c r="V664" s="11"/>
      <c r="W664" s="11"/>
      <c r="X664" s="11"/>
      <c r="Y664" s="11"/>
      <c r="Z664" s="11"/>
      <c r="AA664" s="11"/>
      <c r="AB664" s="11"/>
      <c r="AC664" s="11"/>
      <c r="AD664" s="11"/>
    </row>
    <row r="665" spans="1:30" ht="16" x14ac:dyDescent="0.2">
      <c r="A665" s="11"/>
      <c r="B665" s="12"/>
      <c r="C665" s="12"/>
      <c r="D665" s="12"/>
      <c r="E665" s="12"/>
      <c r="F665" s="12"/>
      <c r="G665" s="12"/>
      <c r="H665" s="12"/>
      <c r="I665" s="12"/>
      <c r="J665" s="12"/>
      <c r="K665" s="12"/>
      <c r="L665" s="12"/>
      <c r="M665" s="11"/>
      <c r="N665" s="11"/>
      <c r="O665" s="11"/>
      <c r="P665" s="11"/>
      <c r="Q665" s="11"/>
      <c r="R665" s="11"/>
      <c r="S665" s="11"/>
      <c r="T665" s="11"/>
      <c r="U665" s="11"/>
      <c r="V665" s="11"/>
      <c r="W665" s="11"/>
      <c r="X665" s="11"/>
      <c r="Y665" s="11"/>
      <c r="Z665" s="11"/>
      <c r="AA665" s="11"/>
      <c r="AB665" s="11"/>
      <c r="AC665" s="11"/>
      <c r="AD665" s="11"/>
    </row>
    <row r="666" spans="1:30" ht="16" x14ac:dyDescent="0.2">
      <c r="A666" s="11"/>
      <c r="B666" s="12"/>
      <c r="C666" s="12"/>
      <c r="D666" s="12"/>
      <c r="E666" s="12"/>
      <c r="F666" s="12"/>
      <c r="G666" s="12"/>
      <c r="H666" s="12"/>
      <c r="I666" s="12"/>
      <c r="J666" s="12"/>
      <c r="K666" s="12"/>
      <c r="L666" s="12"/>
      <c r="M666" s="11"/>
      <c r="N666" s="11"/>
      <c r="O666" s="11"/>
      <c r="P666" s="11"/>
      <c r="Q666" s="11"/>
      <c r="R666" s="11"/>
      <c r="S666" s="11"/>
      <c r="T666" s="11"/>
      <c r="U666" s="11"/>
      <c r="V666" s="11"/>
      <c r="W666" s="11"/>
      <c r="X666" s="11"/>
      <c r="Y666" s="11"/>
      <c r="Z666" s="11"/>
      <c r="AA666" s="11"/>
      <c r="AB666" s="11"/>
      <c r="AC666" s="11"/>
      <c r="AD666" s="11"/>
    </row>
    <row r="667" spans="1:30" ht="16" x14ac:dyDescent="0.2">
      <c r="A667" s="11"/>
      <c r="B667" s="12"/>
      <c r="C667" s="12"/>
      <c r="D667" s="12"/>
      <c r="E667" s="12"/>
      <c r="F667" s="12"/>
      <c r="G667" s="12"/>
      <c r="H667" s="12"/>
      <c r="I667" s="12"/>
      <c r="J667" s="12"/>
      <c r="K667" s="12"/>
      <c r="L667" s="12"/>
      <c r="M667" s="11"/>
      <c r="N667" s="11"/>
      <c r="O667" s="11"/>
      <c r="P667" s="11"/>
      <c r="Q667" s="11"/>
      <c r="R667" s="11"/>
      <c r="S667" s="11"/>
      <c r="T667" s="11"/>
      <c r="U667" s="11"/>
      <c r="V667" s="11"/>
      <c r="W667" s="11"/>
      <c r="X667" s="11"/>
      <c r="Y667" s="11"/>
      <c r="Z667" s="11"/>
      <c r="AA667" s="11"/>
      <c r="AB667" s="11"/>
      <c r="AC667" s="11"/>
      <c r="AD667" s="11"/>
    </row>
    <row r="668" spans="1:30" ht="16" x14ac:dyDescent="0.2">
      <c r="A668" s="11"/>
      <c r="B668" s="12"/>
      <c r="C668" s="12"/>
      <c r="D668" s="12"/>
      <c r="E668" s="12"/>
      <c r="F668" s="12"/>
      <c r="G668" s="12"/>
      <c r="H668" s="12"/>
      <c r="I668" s="12"/>
      <c r="J668" s="12"/>
      <c r="K668" s="12"/>
      <c r="L668" s="12"/>
      <c r="M668" s="11"/>
      <c r="N668" s="11"/>
      <c r="O668" s="11"/>
      <c r="P668" s="11"/>
      <c r="Q668" s="11"/>
      <c r="R668" s="11"/>
      <c r="S668" s="11"/>
      <c r="T668" s="11"/>
      <c r="U668" s="11"/>
      <c r="V668" s="11"/>
      <c r="W668" s="11"/>
      <c r="X668" s="11"/>
      <c r="Y668" s="11"/>
      <c r="Z668" s="11"/>
      <c r="AA668" s="11"/>
      <c r="AB668" s="11"/>
      <c r="AC668" s="11"/>
      <c r="AD668" s="11"/>
    </row>
    <row r="669" spans="1:30" ht="16" x14ac:dyDescent="0.2">
      <c r="A669" s="11"/>
      <c r="B669" s="12"/>
      <c r="C669" s="12"/>
      <c r="D669" s="12"/>
      <c r="E669" s="12"/>
      <c r="F669" s="12"/>
      <c r="G669" s="12"/>
      <c r="H669" s="12"/>
      <c r="I669" s="12"/>
      <c r="J669" s="12"/>
      <c r="K669" s="12"/>
      <c r="L669" s="12"/>
      <c r="M669" s="11"/>
      <c r="N669" s="11"/>
      <c r="O669" s="11"/>
      <c r="P669" s="11"/>
      <c r="Q669" s="11"/>
      <c r="R669" s="11"/>
      <c r="S669" s="11"/>
      <c r="T669" s="11"/>
      <c r="U669" s="11"/>
      <c r="V669" s="11"/>
      <c r="W669" s="11"/>
      <c r="X669" s="11"/>
      <c r="Y669" s="11"/>
      <c r="Z669" s="11"/>
      <c r="AA669" s="11"/>
      <c r="AB669" s="11"/>
      <c r="AC669" s="11"/>
      <c r="AD669" s="11"/>
    </row>
    <row r="670" spans="1:30" ht="16" x14ac:dyDescent="0.2">
      <c r="A670" s="11"/>
      <c r="B670" s="12"/>
      <c r="C670" s="12"/>
      <c r="D670" s="12"/>
      <c r="E670" s="12"/>
      <c r="F670" s="12"/>
      <c r="G670" s="12"/>
      <c r="H670" s="12"/>
      <c r="I670" s="12"/>
      <c r="J670" s="12"/>
      <c r="K670" s="12"/>
      <c r="L670" s="12"/>
      <c r="M670" s="11"/>
      <c r="N670" s="11"/>
      <c r="O670" s="11"/>
      <c r="P670" s="11"/>
      <c r="Q670" s="11"/>
      <c r="R670" s="11"/>
      <c r="S670" s="11"/>
      <c r="T670" s="11"/>
      <c r="U670" s="11"/>
      <c r="V670" s="11"/>
      <c r="W670" s="11"/>
      <c r="X670" s="11"/>
      <c r="Y670" s="11"/>
      <c r="Z670" s="11"/>
      <c r="AA670" s="11"/>
      <c r="AB670" s="11"/>
      <c r="AC670" s="11"/>
      <c r="AD670" s="11"/>
    </row>
    <row r="671" spans="1:30" ht="16" x14ac:dyDescent="0.2">
      <c r="A671" s="11"/>
      <c r="B671" s="12"/>
      <c r="C671" s="12"/>
      <c r="D671" s="12"/>
      <c r="E671" s="12"/>
      <c r="F671" s="12"/>
      <c r="G671" s="12"/>
      <c r="H671" s="12"/>
      <c r="I671" s="12"/>
      <c r="J671" s="12"/>
      <c r="K671" s="12"/>
      <c r="L671" s="12"/>
      <c r="M671" s="11"/>
      <c r="N671" s="11"/>
      <c r="O671" s="11"/>
      <c r="P671" s="11"/>
      <c r="Q671" s="11"/>
      <c r="R671" s="11"/>
      <c r="S671" s="11"/>
      <c r="T671" s="11"/>
      <c r="U671" s="11"/>
      <c r="V671" s="11"/>
      <c r="W671" s="11"/>
      <c r="X671" s="11"/>
      <c r="Y671" s="11"/>
      <c r="Z671" s="11"/>
      <c r="AA671" s="11"/>
      <c r="AB671" s="11"/>
      <c r="AC671" s="11"/>
      <c r="AD671" s="11"/>
    </row>
    <row r="672" spans="1:30" ht="16" x14ac:dyDescent="0.2">
      <c r="A672" s="11"/>
      <c r="B672" s="12"/>
      <c r="C672" s="12"/>
      <c r="D672" s="12"/>
      <c r="E672" s="12"/>
      <c r="F672" s="12"/>
      <c r="G672" s="12"/>
      <c r="H672" s="12"/>
      <c r="I672" s="12"/>
      <c r="J672" s="12"/>
      <c r="K672" s="12"/>
      <c r="L672" s="12"/>
      <c r="M672" s="11"/>
      <c r="N672" s="11"/>
      <c r="O672" s="11"/>
      <c r="P672" s="11"/>
      <c r="Q672" s="11"/>
      <c r="R672" s="11"/>
      <c r="S672" s="11"/>
      <c r="T672" s="11"/>
      <c r="U672" s="11"/>
      <c r="V672" s="11"/>
      <c r="W672" s="11"/>
      <c r="X672" s="11"/>
      <c r="Y672" s="11"/>
      <c r="Z672" s="11"/>
      <c r="AA672" s="11"/>
      <c r="AB672" s="11"/>
      <c r="AC672" s="11"/>
      <c r="AD672" s="11"/>
    </row>
    <row r="673" spans="1:30" ht="16" x14ac:dyDescent="0.2">
      <c r="A673" s="11"/>
      <c r="B673" s="12"/>
      <c r="C673" s="12"/>
      <c r="D673" s="12"/>
      <c r="E673" s="12"/>
      <c r="F673" s="12"/>
      <c r="G673" s="12"/>
      <c r="H673" s="12"/>
      <c r="I673" s="12"/>
      <c r="J673" s="12"/>
      <c r="K673" s="12"/>
      <c r="L673" s="12"/>
      <c r="M673" s="11"/>
      <c r="N673" s="11"/>
      <c r="O673" s="11"/>
      <c r="P673" s="11"/>
      <c r="Q673" s="11"/>
      <c r="R673" s="11"/>
      <c r="S673" s="11"/>
      <c r="T673" s="11"/>
      <c r="U673" s="11"/>
      <c r="V673" s="11"/>
      <c r="W673" s="11"/>
      <c r="X673" s="11"/>
      <c r="Y673" s="11"/>
      <c r="Z673" s="11"/>
      <c r="AA673" s="11"/>
      <c r="AB673" s="11"/>
      <c r="AC673" s="11"/>
      <c r="AD673" s="11"/>
    </row>
    <row r="674" spans="1:30" ht="16" x14ac:dyDescent="0.2">
      <c r="A674" s="11"/>
      <c r="B674" s="12"/>
      <c r="C674" s="12"/>
      <c r="D674" s="12"/>
      <c r="E674" s="12"/>
      <c r="F674" s="12"/>
      <c r="G674" s="12"/>
      <c r="H674" s="12"/>
      <c r="I674" s="12"/>
      <c r="J674" s="12"/>
      <c r="K674" s="12"/>
      <c r="L674" s="12"/>
      <c r="M674" s="11"/>
      <c r="N674" s="11"/>
      <c r="O674" s="11"/>
      <c r="P674" s="11"/>
      <c r="Q674" s="11"/>
      <c r="R674" s="11"/>
      <c r="S674" s="11"/>
      <c r="T674" s="11"/>
      <c r="U674" s="11"/>
      <c r="V674" s="11"/>
      <c r="W674" s="11"/>
      <c r="X674" s="11"/>
      <c r="Y674" s="11"/>
      <c r="Z674" s="11"/>
      <c r="AA674" s="11"/>
      <c r="AB674" s="11"/>
      <c r="AC674" s="11"/>
      <c r="AD674" s="11"/>
    </row>
    <row r="675" spans="1:30" ht="16" x14ac:dyDescent="0.2">
      <c r="A675" s="11"/>
      <c r="B675" s="12"/>
      <c r="C675" s="12"/>
      <c r="D675" s="12"/>
      <c r="E675" s="12"/>
      <c r="F675" s="12"/>
      <c r="G675" s="12"/>
      <c r="H675" s="12"/>
      <c r="I675" s="12"/>
      <c r="J675" s="12"/>
      <c r="K675" s="12"/>
      <c r="L675" s="12"/>
      <c r="M675" s="11"/>
      <c r="N675" s="11"/>
      <c r="O675" s="11"/>
      <c r="P675" s="11"/>
      <c r="Q675" s="11"/>
      <c r="R675" s="11"/>
      <c r="S675" s="11"/>
      <c r="T675" s="11"/>
      <c r="U675" s="11"/>
      <c r="V675" s="11"/>
      <c r="W675" s="11"/>
      <c r="X675" s="11"/>
      <c r="Y675" s="11"/>
      <c r="Z675" s="11"/>
      <c r="AA675" s="11"/>
      <c r="AB675" s="11"/>
      <c r="AC675" s="11"/>
      <c r="AD675" s="11"/>
    </row>
    <row r="676" spans="1:30" ht="16" x14ac:dyDescent="0.2">
      <c r="A676" s="11"/>
      <c r="B676" s="12"/>
      <c r="C676" s="12"/>
      <c r="D676" s="12"/>
      <c r="E676" s="12"/>
      <c r="F676" s="12"/>
      <c r="G676" s="12"/>
      <c r="H676" s="12"/>
      <c r="I676" s="12"/>
      <c r="J676" s="12"/>
      <c r="K676" s="12"/>
      <c r="L676" s="12"/>
      <c r="M676" s="11"/>
      <c r="N676" s="11"/>
      <c r="O676" s="11"/>
      <c r="P676" s="11"/>
      <c r="Q676" s="11"/>
      <c r="R676" s="11"/>
      <c r="S676" s="11"/>
      <c r="T676" s="11"/>
      <c r="U676" s="11"/>
      <c r="V676" s="11"/>
      <c r="W676" s="11"/>
      <c r="X676" s="11"/>
      <c r="Y676" s="11"/>
      <c r="Z676" s="11"/>
      <c r="AA676" s="11"/>
      <c r="AB676" s="11"/>
      <c r="AC676" s="11"/>
      <c r="AD676" s="11"/>
    </row>
    <row r="677" spans="1:30" ht="16" x14ac:dyDescent="0.2">
      <c r="A677" s="11"/>
      <c r="B677" s="12"/>
      <c r="C677" s="12"/>
      <c r="D677" s="12"/>
      <c r="E677" s="12"/>
      <c r="F677" s="12"/>
      <c r="G677" s="12"/>
      <c r="H677" s="12"/>
      <c r="I677" s="12"/>
      <c r="J677" s="12"/>
      <c r="K677" s="12"/>
      <c r="L677" s="12"/>
      <c r="M677" s="11"/>
      <c r="N677" s="11"/>
      <c r="O677" s="11"/>
      <c r="P677" s="11"/>
      <c r="Q677" s="11"/>
      <c r="R677" s="11"/>
      <c r="S677" s="11"/>
      <c r="T677" s="11"/>
      <c r="U677" s="11"/>
      <c r="V677" s="11"/>
      <c r="W677" s="11"/>
      <c r="X677" s="11"/>
      <c r="Y677" s="11"/>
      <c r="Z677" s="11"/>
      <c r="AA677" s="11"/>
      <c r="AB677" s="11"/>
      <c r="AC677" s="11"/>
      <c r="AD677" s="11"/>
    </row>
    <row r="678" spans="1:30" ht="16" x14ac:dyDescent="0.2">
      <c r="A678" s="11"/>
      <c r="B678" s="12"/>
      <c r="C678" s="12"/>
      <c r="D678" s="12"/>
      <c r="E678" s="12"/>
      <c r="F678" s="12"/>
      <c r="G678" s="12"/>
      <c r="H678" s="12"/>
      <c r="I678" s="12"/>
      <c r="J678" s="12"/>
      <c r="K678" s="12"/>
      <c r="L678" s="12"/>
      <c r="M678" s="11"/>
      <c r="N678" s="11"/>
      <c r="O678" s="11"/>
      <c r="P678" s="11"/>
      <c r="Q678" s="11"/>
      <c r="R678" s="11"/>
      <c r="S678" s="11"/>
      <c r="T678" s="11"/>
      <c r="U678" s="11"/>
      <c r="V678" s="11"/>
      <c r="W678" s="11"/>
      <c r="X678" s="11"/>
      <c r="Y678" s="11"/>
      <c r="Z678" s="11"/>
      <c r="AA678" s="11"/>
      <c r="AB678" s="11"/>
      <c r="AC678" s="11"/>
      <c r="AD678" s="11"/>
    </row>
    <row r="679" spans="1:30" ht="16" x14ac:dyDescent="0.2">
      <c r="A679" s="11"/>
      <c r="B679" s="12"/>
      <c r="C679" s="12"/>
      <c r="D679" s="12"/>
      <c r="E679" s="12"/>
      <c r="F679" s="12"/>
      <c r="G679" s="12"/>
      <c r="H679" s="12"/>
      <c r="I679" s="12"/>
      <c r="J679" s="12"/>
      <c r="K679" s="12"/>
      <c r="L679" s="12"/>
      <c r="M679" s="11"/>
      <c r="N679" s="11"/>
      <c r="O679" s="11"/>
      <c r="P679" s="11"/>
      <c r="Q679" s="11"/>
      <c r="R679" s="11"/>
      <c r="S679" s="11"/>
      <c r="T679" s="11"/>
      <c r="U679" s="11"/>
      <c r="V679" s="11"/>
      <c r="W679" s="11"/>
      <c r="X679" s="11"/>
      <c r="Y679" s="11"/>
      <c r="Z679" s="11"/>
      <c r="AA679" s="11"/>
      <c r="AB679" s="11"/>
      <c r="AC679" s="11"/>
      <c r="AD679" s="11"/>
    </row>
    <row r="680" spans="1:30" ht="16" x14ac:dyDescent="0.2">
      <c r="A680" s="11"/>
      <c r="B680" s="12"/>
      <c r="C680" s="12"/>
      <c r="D680" s="12"/>
      <c r="E680" s="12"/>
      <c r="F680" s="12"/>
      <c r="G680" s="12"/>
      <c r="H680" s="12"/>
      <c r="I680" s="12"/>
      <c r="J680" s="12"/>
      <c r="K680" s="12"/>
      <c r="L680" s="12"/>
      <c r="M680" s="11"/>
      <c r="N680" s="11"/>
      <c r="O680" s="11"/>
      <c r="P680" s="11"/>
      <c r="Q680" s="11"/>
      <c r="R680" s="11"/>
      <c r="S680" s="11"/>
      <c r="T680" s="11"/>
      <c r="U680" s="11"/>
      <c r="V680" s="11"/>
      <c r="W680" s="11"/>
      <c r="X680" s="11"/>
      <c r="Y680" s="11"/>
      <c r="Z680" s="11"/>
      <c r="AA680" s="11"/>
      <c r="AB680" s="11"/>
      <c r="AC680" s="11"/>
      <c r="AD680" s="11"/>
    </row>
    <row r="681" spans="1:30" ht="16" x14ac:dyDescent="0.2">
      <c r="A681" s="11"/>
      <c r="B681" s="12"/>
      <c r="C681" s="12"/>
      <c r="D681" s="12"/>
      <c r="E681" s="12"/>
      <c r="F681" s="12"/>
      <c r="G681" s="12"/>
      <c r="H681" s="12"/>
      <c r="I681" s="12"/>
      <c r="J681" s="12"/>
      <c r="K681" s="12"/>
      <c r="L681" s="12"/>
      <c r="M681" s="11"/>
      <c r="N681" s="11"/>
      <c r="O681" s="11"/>
      <c r="P681" s="11"/>
      <c r="Q681" s="11"/>
      <c r="R681" s="11"/>
      <c r="S681" s="11"/>
      <c r="T681" s="11"/>
      <c r="U681" s="11"/>
      <c r="V681" s="11"/>
      <c r="W681" s="11"/>
      <c r="X681" s="11"/>
      <c r="Y681" s="11"/>
      <c r="Z681" s="11"/>
      <c r="AA681" s="11"/>
      <c r="AB681" s="11"/>
      <c r="AC681" s="11"/>
      <c r="AD681" s="11"/>
    </row>
    <row r="682" spans="1:30" ht="16" x14ac:dyDescent="0.2">
      <c r="A682" s="11"/>
      <c r="B682" s="12"/>
      <c r="C682" s="12"/>
      <c r="D682" s="12"/>
      <c r="E682" s="12"/>
      <c r="F682" s="12"/>
      <c r="G682" s="12"/>
      <c r="H682" s="12"/>
      <c r="I682" s="12"/>
      <c r="J682" s="12"/>
      <c r="K682" s="12"/>
      <c r="L682" s="12"/>
      <c r="M682" s="11"/>
      <c r="N682" s="11"/>
      <c r="O682" s="11"/>
      <c r="P682" s="11"/>
      <c r="Q682" s="11"/>
      <c r="R682" s="11"/>
      <c r="S682" s="11"/>
      <c r="T682" s="11"/>
      <c r="U682" s="11"/>
      <c r="V682" s="11"/>
      <c r="W682" s="11"/>
      <c r="X682" s="11"/>
      <c r="Y682" s="11"/>
      <c r="Z682" s="11"/>
      <c r="AA682" s="11"/>
      <c r="AB682" s="11"/>
      <c r="AC682" s="11"/>
      <c r="AD682" s="11"/>
    </row>
    <row r="683" spans="1:30" ht="16" x14ac:dyDescent="0.2">
      <c r="A683" s="11"/>
      <c r="B683" s="12"/>
      <c r="C683" s="12"/>
      <c r="D683" s="12"/>
      <c r="E683" s="12"/>
      <c r="F683" s="12"/>
      <c r="G683" s="12"/>
      <c r="H683" s="12"/>
      <c r="I683" s="12"/>
      <c r="J683" s="12"/>
      <c r="K683" s="12"/>
      <c r="L683" s="12"/>
      <c r="M683" s="11"/>
      <c r="N683" s="11"/>
      <c r="O683" s="11"/>
      <c r="P683" s="11"/>
      <c r="Q683" s="11"/>
      <c r="R683" s="11"/>
      <c r="S683" s="11"/>
      <c r="T683" s="11"/>
      <c r="U683" s="11"/>
      <c r="V683" s="11"/>
      <c r="W683" s="11"/>
      <c r="X683" s="11"/>
      <c r="Y683" s="11"/>
      <c r="Z683" s="11"/>
      <c r="AA683" s="11"/>
      <c r="AB683" s="11"/>
      <c r="AC683" s="11"/>
      <c r="AD683" s="11"/>
    </row>
    <row r="684" spans="1:30" ht="16" x14ac:dyDescent="0.2">
      <c r="A684" s="11"/>
      <c r="B684" s="12"/>
      <c r="C684" s="12"/>
      <c r="D684" s="12"/>
      <c r="E684" s="12"/>
      <c r="F684" s="12"/>
      <c r="G684" s="12"/>
      <c r="H684" s="12"/>
      <c r="I684" s="12"/>
      <c r="J684" s="12"/>
      <c r="K684" s="12"/>
      <c r="L684" s="12"/>
      <c r="M684" s="11"/>
      <c r="N684" s="11"/>
      <c r="O684" s="11"/>
      <c r="P684" s="11"/>
      <c r="Q684" s="11"/>
      <c r="R684" s="11"/>
      <c r="S684" s="11"/>
      <c r="T684" s="11"/>
      <c r="U684" s="11"/>
      <c r="V684" s="11"/>
      <c r="W684" s="11"/>
      <c r="X684" s="11"/>
      <c r="Y684" s="11"/>
      <c r="Z684" s="11"/>
      <c r="AA684" s="11"/>
      <c r="AB684" s="11"/>
      <c r="AC684" s="11"/>
      <c r="AD684" s="11"/>
    </row>
    <row r="685" spans="1:30" ht="16" x14ac:dyDescent="0.2">
      <c r="A685" s="11"/>
      <c r="B685" s="12"/>
      <c r="C685" s="12"/>
      <c r="D685" s="12"/>
      <c r="E685" s="12"/>
      <c r="F685" s="12"/>
      <c r="G685" s="12"/>
      <c r="H685" s="12"/>
      <c r="I685" s="12"/>
      <c r="J685" s="12"/>
      <c r="K685" s="12"/>
      <c r="L685" s="12"/>
      <c r="M685" s="11"/>
      <c r="N685" s="11"/>
      <c r="O685" s="11"/>
      <c r="P685" s="11"/>
      <c r="Q685" s="11"/>
      <c r="R685" s="11"/>
      <c r="S685" s="11"/>
      <c r="T685" s="11"/>
      <c r="U685" s="11"/>
      <c r="V685" s="11"/>
      <c r="W685" s="11"/>
      <c r="X685" s="11"/>
      <c r="Y685" s="11"/>
      <c r="Z685" s="11"/>
      <c r="AA685" s="11"/>
      <c r="AB685" s="11"/>
      <c r="AC685" s="11"/>
      <c r="AD685" s="11"/>
    </row>
    <row r="686" spans="1:30" ht="16" x14ac:dyDescent="0.2">
      <c r="A686" s="11"/>
      <c r="B686" s="12"/>
      <c r="C686" s="12"/>
      <c r="D686" s="12"/>
      <c r="E686" s="12"/>
      <c r="F686" s="12"/>
      <c r="G686" s="12"/>
      <c r="H686" s="12"/>
      <c r="I686" s="12"/>
      <c r="J686" s="12"/>
      <c r="K686" s="12"/>
      <c r="L686" s="12"/>
      <c r="M686" s="11"/>
      <c r="N686" s="11"/>
      <c r="O686" s="11"/>
      <c r="P686" s="11"/>
      <c r="Q686" s="11"/>
      <c r="R686" s="11"/>
      <c r="S686" s="11"/>
      <c r="T686" s="11"/>
      <c r="U686" s="11"/>
      <c r="V686" s="11"/>
      <c r="W686" s="11"/>
      <c r="X686" s="11"/>
      <c r="Y686" s="11"/>
      <c r="Z686" s="11"/>
      <c r="AA686" s="11"/>
      <c r="AB686" s="11"/>
      <c r="AC686" s="11"/>
      <c r="AD686" s="11"/>
    </row>
    <row r="687" spans="1:30" ht="16" x14ac:dyDescent="0.2">
      <c r="A687" s="11"/>
      <c r="B687" s="12"/>
      <c r="C687" s="12"/>
      <c r="D687" s="12"/>
      <c r="E687" s="12"/>
      <c r="F687" s="12"/>
      <c r="G687" s="12"/>
      <c r="H687" s="12"/>
      <c r="I687" s="12"/>
      <c r="J687" s="12"/>
      <c r="K687" s="12"/>
      <c r="L687" s="12"/>
      <c r="M687" s="11"/>
      <c r="N687" s="11"/>
      <c r="O687" s="11"/>
      <c r="P687" s="11"/>
      <c r="Q687" s="11"/>
      <c r="R687" s="11"/>
      <c r="S687" s="11"/>
      <c r="T687" s="11"/>
      <c r="U687" s="11"/>
      <c r="V687" s="11"/>
      <c r="W687" s="11"/>
      <c r="X687" s="11"/>
      <c r="Y687" s="11"/>
      <c r="Z687" s="11"/>
      <c r="AA687" s="11"/>
      <c r="AB687" s="11"/>
      <c r="AC687" s="11"/>
      <c r="AD687" s="11"/>
    </row>
    <row r="688" spans="1:30" ht="16" x14ac:dyDescent="0.2">
      <c r="A688" s="11"/>
      <c r="B688" s="12"/>
      <c r="C688" s="12"/>
      <c r="D688" s="12"/>
      <c r="E688" s="12"/>
      <c r="F688" s="12"/>
      <c r="G688" s="12"/>
      <c r="H688" s="12"/>
      <c r="I688" s="12"/>
      <c r="J688" s="12"/>
      <c r="K688" s="12"/>
      <c r="L688" s="12"/>
      <c r="M688" s="11"/>
      <c r="N688" s="11"/>
      <c r="O688" s="11"/>
      <c r="P688" s="11"/>
      <c r="Q688" s="11"/>
      <c r="R688" s="11"/>
      <c r="S688" s="11"/>
      <c r="T688" s="11"/>
      <c r="U688" s="11"/>
      <c r="V688" s="11"/>
      <c r="W688" s="11"/>
      <c r="X688" s="11"/>
      <c r="Y688" s="11"/>
      <c r="Z688" s="11"/>
      <c r="AA688" s="11"/>
      <c r="AB688" s="11"/>
      <c r="AC688" s="11"/>
      <c r="AD688" s="11"/>
    </row>
    <row r="689" spans="1:30" ht="16" x14ac:dyDescent="0.2">
      <c r="A689" s="11"/>
      <c r="B689" s="12"/>
      <c r="C689" s="12"/>
      <c r="D689" s="12"/>
      <c r="E689" s="12"/>
      <c r="F689" s="12"/>
      <c r="G689" s="12"/>
      <c r="H689" s="12"/>
      <c r="I689" s="12"/>
      <c r="J689" s="12"/>
      <c r="K689" s="12"/>
      <c r="L689" s="12"/>
      <c r="M689" s="11"/>
      <c r="N689" s="11"/>
      <c r="O689" s="11"/>
      <c r="P689" s="11"/>
      <c r="Q689" s="11"/>
      <c r="R689" s="11"/>
      <c r="S689" s="11"/>
      <c r="T689" s="11"/>
      <c r="U689" s="11"/>
      <c r="V689" s="11"/>
      <c r="W689" s="11"/>
      <c r="X689" s="11"/>
      <c r="Y689" s="11"/>
      <c r="Z689" s="11"/>
      <c r="AA689" s="11"/>
      <c r="AB689" s="11"/>
      <c r="AC689" s="11"/>
      <c r="AD689" s="11"/>
    </row>
    <row r="690" spans="1:30" ht="16" x14ac:dyDescent="0.2">
      <c r="A690" s="11"/>
      <c r="B690" s="12"/>
      <c r="C690" s="12"/>
      <c r="D690" s="12"/>
      <c r="E690" s="12"/>
      <c r="F690" s="12"/>
      <c r="G690" s="12"/>
      <c r="H690" s="12"/>
      <c r="I690" s="12"/>
      <c r="J690" s="12"/>
      <c r="K690" s="12"/>
      <c r="L690" s="12"/>
      <c r="M690" s="11"/>
      <c r="N690" s="11"/>
      <c r="O690" s="11"/>
      <c r="P690" s="11"/>
      <c r="Q690" s="11"/>
      <c r="R690" s="11"/>
      <c r="S690" s="11"/>
      <c r="T690" s="11"/>
      <c r="U690" s="11"/>
      <c r="V690" s="11"/>
      <c r="W690" s="11"/>
      <c r="X690" s="11"/>
      <c r="Y690" s="11"/>
      <c r="Z690" s="11"/>
      <c r="AA690" s="11"/>
      <c r="AB690" s="11"/>
      <c r="AC690" s="11"/>
      <c r="AD690" s="11"/>
    </row>
    <row r="691" spans="1:30" ht="16" x14ac:dyDescent="0.2">
      <c r="A691" s="11"/>
      <c r="B691" s="12"/>
      <c r="C691" s="12"/>
      <c r="D691" s="12"/>
      <c r="E691" s="12"/>
      <c r="F691" s="12"/>
      <c r="G691" s="12"/>
      <c r="H691" s="12"/>
      <c r="I691" s="12"/>
      <c r="J691" s="12"/>
      <c r="K691" s="12"/>
      <c r="L691" s="12"/>
      <c r="M691" s="11"/>
      <c r="N691" s="11"/>
      <c r="O691" s="11"/>
      <c r="P691" s="11"/>
      <c r="Q691" s="11"/>
      <c r="R691" s="11"/>
      <c r="S691" s="11"/>
      <c r="T691" s="11"/>
      <c r="U691" s="11"/>
      <c r="V691" s="11"/>
      <c r="W691" s="11"/>
      <c r="X691" s="11"/>
      <c r="Y691" s="11"/>
      <c r="Z691" s="11"/>
      <c r="AA691" s="11"/>
      <c r="AB691" s="11"/>
      <c r="AC691" s="11"/>
      <c r="AD691" s="11"/>
    </row>
    <row r="692" spans="1:30" ht="16" x14ac:dyDescent="0.2">
      <c r="A692" s="11"/>
      <c r="B692" s="12"/>
      <c r="C692" s="12"/>
      <c r="D692" s="12"/>
      <c r="E692" s="12"/>
      <c r="F692" s="12"/>
      <c r="G692" s="12"/>
      <c r="H692" s="12"/>
      <c r="I692" s="12"/>
      <c r="J692" s="12"/>
      <c r="K692" s="12"/>
      <c r="L692" s="12"/>
      <c r="M692" s="11"/>
      <c r="N692" s="11"/>
      <c r="O692" s="11"/>
      <c r="P692" s="11"/>
      <c r="Q692" s="11"/>
      <c r="R692" s="11"/>
      <c r="S692" s="11"/>
      <c r="T692" s="11"/>
      <c r="U692" s="11"/>
      <c r="V692" s="11"/>
      <c r="W692" s="11"/>
      <c r="X692" s="11"/>
      <c r="Y692" s="11"/>
      <c r="Z692" s="11"/>
      <c r="AA692" s="11"/>
      <c r="AB692" s="11"/>
      <c r="AC692" s="11"/>
      <c r="AD692" s="11"/>
    </row>
    <row r="693" spans="1:30" ht="16" x14ac:dyDescent="0.2">
      <c r="A693" s="11"/>
      <c r="B693" s="12"/>
      <c r="C693" s="12"/>
      <c r="D693" s="12"/>
      <c r="E693" s="12"/>
      <c r="F693" s="12"/>
      <c r="G693" s="12"/>
      <c r="H693" s="12"/>
      <c r="I693" s="12"/>
      <c r="J693" s="12"/>
      <c r="K693" s="12"/>
      <c r="L693" s="12"/>
      <c r="M693" s="11"/>
      <c r="N693" s="11"/>
      <c r="O693" s="11"/>
      <c r="P693" s="11"/>
      <c r="Q693" s="11"/>
      <c r="R693" s="11"/>
      <c r="S693" s="11"/>
      <c r="T693" s="11"/>
      <c r="U693" s="11"/>
      <c r="V693" s="11"/>
      <c r="W693" s="11"/>
      <c r="X693" s="11"/>
      <c r="Y693" s="11"/>
      <c r="Z693" s="11"/>
      <c r="AA693" s="11"/>
      <c r="AB693" s="11"/>
      <c r="AC693" s="11"/>
      <c r="AD693" s="11"/>
    </row>
    <row r="694" spans="1:30" ht="16" x14ac:dyDescent="0.2">
      <c r="A694" s="11"/>
      <c r="B694" s="12"/>
      <c r="C694" s="12"/>
      <c r="D694" s="12"/>
      <c r="E694" s="12"/>
      <c r="F694" s="12"/>
      <c r="G694" s="12"/>
      <c r="H694" s="12"/>
      <c r="I694" s="12"/>
      <c r="J694" s="12"/>
      <c r="K694" s="12"/>
      <c r="L694" s="12"/>
      <c r="M694" s="11"/>
      <c r="N694" s="11"/>
      <c r="O694" s="11"/>
      <c r="P694" s="11"/>
      <c r="Q694" s="11"/>
      <c r="R694" s="11"/>
      <c r="S694" s="11"/>
      <c r="T694" s="11"/>
      <c r="U694" s="11"/>
      <c r="V694" s="11"/>
      <c r="W694" s="11"/>
      <c r="X694" s="11"/>
      <c r="Y694" s="11"/>
      <c r="Z694" s="11"/>
      <c r="AA694" s="11"/>
      <c r="AB694" s="11"/>
      <c r="AC694" s="11"/>
      <c r="AD694" s="11"/>
    </row>
    <row r="695" spans="1:30" ht="16" x14ac:dyDescent="0.2">
      <c r="A695" s="11"/>
      <c r="B695" s="12"/>
      <c r="C695" s="12"/>
      <c r="D695" s="12"/>
      <c r="E695" s="12"/>
      <c r="F695" s="12"/>
      <c r="G695" s="12"/>
      <c r="H695" s="12"/>
      <c r="I695" s="12"/>
      <c r="J695" s="12"/>
      <c r="K695" s="12"/>
      <c r="L695" s="12"/>
      <c r="M695" s="11"/>
      <c r="N695" s="11"/>
      <c r="O695" s="11"/>
      <c r="P695" s="11"/>
      <c r="Q695" s="11"/>
      <c r="R695" s="11"/>
      <c r="S695" s="11"/>
      <c r="T695" s="11"/>
      <c r="U695" s="11"/>
      <c r="V695" s="11"/>
      <c r="W695" s="11"/>
      <c r="X695" s="11"/>
      <c r="Y695" s="11"/>
      <c r="Z695" s="11"/>
      <c r="AA695" s="11"/>
      <c r="AB695" s="11"/>
      <c r="AC695" s="11"/>
      <c r="AD695" s="11"/>
    </row>
    <row r="696" spans="1:30" ht="16" x14ac:dyDescent="0.2">
      <c r="A696" s="11"/>
      <c r="B696" s="12"/>
      <c r="C696" s="12"/>
      <c r="D696" s="12"/>
      <c r="E696" s="12"/>
      <c r="F696" s="12"/>
      <c r="G696" s="12"/>
      <c r="H696" s="12"/>
      <c r="I696" s="12"/>
      <c r="J696" s="12"/>
      <c r="K696" s="12"/>
      <c r="L696" s="12"/>
      <c r="M696" s="11"/>
      <c r="N696" s="11"/>
      <c r="O696" s="11"/>
      <c r="P696" s="11"/>
      <c r="Q696" s="11"/>
      <c r="R696" s="11"/>
      <c r="S696" s="11"/>
      <c r="T696" s="11"/>
      <c r="U696" s="11"/>
      <c r="V696" s="11"/>
      <c r="W696" s="11"/>
      <c r="X696" s="11"/>
      <c r="Y696" s="11"/>
      <c r="Z696" s="11"/>
      <c r="AA696" s="11"/>
      <c r="AB696" s="11"/>
      <c r="AC696" s="11"/>
      <c r="AD696" s="11"/>
    </row>
    <row r="697" spans="1:30" ht="16" x14ac:dyDescent="0.2">
      <c r="A697" s="11"/>
      <c r="B697" s="12"/>
      <c r="C697" s="12"/>
      <c r="D697" s="12"/>
      <c r="E697" s="12"/>
      <c r="F697" s="12"/>
      <c r="G697" s="12"/>
      <c r="H697" s="12"/>
      <c r="I697" s="12"/>
      <c r="J697" s="12"/>
      <c r="K697" s="12"/>
      <c r="L697" s="12"/>
      <c r="M697" s="11"/>
      <c r="N697" s="11"/>
      <c r="O697" s="11"/>
      <c r="P697" s="11"/>
      <c r="Q697" s="11"/>
      <c r="R697" s="11"/>
      <c r="S697" s="11"/>
      <c r="T697" s="11"/>
      <c r="U697" s="11"/>
      <c r="V697" s="11"/>
      <c r="W697" s="11"/>
      <c r="X697" s="11"/>
      <c r="Y697" s="11"/>
      <c r="Z697" s="11"/>
      <c r="AA697" s="11"/>
      <c r="AB697" s="11"/>
      <c r="AC697" s="11"/>
      <c r="AD697" s="11"/>
    </row>
    <row r="698" spans="1:30" ht="16" x14ac:dyDescent="0.2">
      <c r="A698" s="11"/>
      <c r="B698" s="12"/>
      <c r="C698" s="12"/>
      <c r="D698" s="12"/>
      <c r="E698" s="12"/>
      <c r="F698" s="12"/>
      <c r="G698" s="12"/>
      <c r="H698" s="12"/>
      <c r="I698" s="12"/>
      <c r="J698" s="12"/>
      <c r="K698" s="12"/>
      <c r="L698" s="12"/>
      <c r="M698" s="11"/>
      <c r="N698" s="11"/>
      <c r="O698" s="11"/>
      <c r="P698" s="11"/>
      <c r="Q698" s="11"/>
      <c r="R698" s="11"/>
      <c r="S698" s="11"/>
      <c r="T698" s="11"/>
      <c r="U698" s="11"/>
      <c r="V698" s="11"/>
      <c r="W698" s="11"/>
      <c r="X698" s="11"/>
      <c r="Y698" s="11"/>
      <c r="Z698" s="11"/>
      <c r="AA698" s="11"/>
      <c r="AB698" s="11"/>
      <c r="AC698" s="11"/>
      <c r="AD698" s="11"/>
    </row>
    <row r="699" spans="1:30" ht="16" x14ac:dyDescent="0.2">
      <c r="A699" s="11"/>
      <c r="B699" s="12"/>
      <c r="C699" s="12"/>
      <c r="D699" s="12"/>
      <c r="E699" s="12"/>
      <c r="F699" s="12"/>
      <c r="G699" s="12"/>
      <c r="H699" s="12"/>
      <c r="I699" s="12"/>
      <c r="J699" s="12"/>
      <c r="K699" s="12"/>
      <c r="L699" s="12"/>
      <c r="M699" s="11"/>
      <c r="N699" s="11"/>
      <c r="O699" s="11"/>
      <c r="P699" s="11"/>
      <c r="Q699" s="11"/>
      <c r="R699" s="11"/>
      <c r="S699" s="11"/>
      <c r="T699" s="11"/>
      <c r="U699" s="11"/>
      <c r="V699" s="11"/>
      <c r="W699" s="11"/>
      <c r="X699" s="11"/>
      <c r="Y699" s="11"/>
      <c r="Z699" s="11"/>
      <c r="AA699" s="11"/>
      <c r="AB699" s="11"/>
      <c r="AC699" s="11"/>
      <c r="AD699" s="11"/>
    </row>
    <row r="700" spans="1:30" ht="16" x14ac:dyDescent="0.2">
      <c r="A700" s="11"/>
      <c r="B700" s="12"/>
      <c r="C700" s="12"/>
      <c r="D700" s="12"/>
      <c r="E700" s="12"/>
      <c r="F700" s="12"/>
      <c r="G700" s="12"/>
      <c r="H700" s="12"/>
      <c r="I700" s="12"/>
      <c r="J700" s="12"/>
      <c r="K700" s="12"/>
      <c r="L700" s="12"/>
      <c r="M700" s="11"/>
      <c r="N700" s="11"/>
      <c r="O700" s="11"/>
      <c r="P700" s="11"/>
      <c r="Q700" s="11"/>
      <c r="R700" s="11"/>
      <c r="S700" s="11"/>
      <c r="T700" s="11"/>
      <c r="U700" s="11"/>
      <c r="V700" s="11"/>
      <c r="W700" s="11"/>
      <c r="X700" s="11"/>
      <c r="Y700" s="11"/>
      <c r="Z700" s="11"/>
      <c r="AA700" s="11"/>
      <c r="AB700" s="11"/>
      <c r="AC700" s="11"/>
      <c r="AD700" s="11"/>
    </row>
    <row r="701" spans="1:30" ht="16" x14ac:dyDescent="0.2">
      <c r="A701" s="11"/>
      <c r="B701" s="12"/>
      <c r="C701" s="12"/>
      <c r="D701" s="12"/>
      <c r="E701" s="12"/>
      <c r="F701" s="12"/>
      <c r="G701" s="12"/>
      <c r="H701" s="12"/>
      <c r="I701" s="12"/>
      <c r="J701" s="12"/>
      <c r="K701" s="12"/>
      <c r="L701" s="12"/>
      <c r="M701" s="11"/>
      <c r="N701" s="11"/>
      <c r="O701" s="11"/>
      <c r="P701" s="11"/>
      <c r="Q701" s="11"/>
      <c r="R701" s="11"/>
      <c r="S701" s="11"/>
      <c r="T701" s="11"/>
      <c r="U701" s="11"/>
      <c r="V701" s="11"/>
      <c r="W701" s="11"/>
      <c r="X701" s="11"/>
      <c r="Y701" s="11"/>
      <c r="Z701" s="11"/>
      <c r="AA701" s="11"/>
      <c r="AB701" s="11"/>
      <c r="AC701" s="11"/>
      <c r="AD701" s="11"/>
    </row>
    <row r="702" spans="1:30" ht="16" x14ac:dyDescent="0.2">
      <c r="A702" s="11"/>
      <c r="B702" s="12"/>
      <c r="C702" s="12"/>
      <c r="D702" s="12"/>
      <c r="E702" s="12"/>
      <c r="F702" s="12"/>
      <c r="G702" s="12"/>
      <c r="H702" s="12"/>
      <c r="I702" s="12"/>
      <c r="J702" s="12"/>
      <c r="K702" s="12"/>
      <c r="L702" s="12"/>
      <c r="M702" s="11"/>
      <c r="N702" s="11"/>
      <c r="O702" s="11"/>
      <c r="P702" s="11"/>
      <c r="Q702" s="11"/>
      <c r="R702" s="11"/>
      <c r="S702" s="11"/>
      <c r="T702" s="11"/>
      <c r="U702" s="11"/>
      <c r="V702" s="11"/>
      <c r="W702" s="11"/>
      <c r="X702" s="11"/>
      <c r="Y702" s="11"/>
      <c r="Z702" s="11"/>
      <c r="AA702" s="11"/>
      <c r="AB702" s="11"/>
      <c r="AC702" s="11"/>
      <c r="AD702" s="11"/>
    </row>
    <row r="703" spans="1:30" ht="16" x14ac:dyDescent="0.2">
      <c r="A703" s="11"/>
      <c r="B703" s="12"/>
      <c r="C703" s="12"/>
      <c r="D703" s="12"/>
      <c r="E703" s="12"/>
      <c r="F703" s="12"/>
      <c r="G703" s="12"/>
      <c r="H703" s="12"/>
      <c r="I703" s="12"/>
      <c r="J703" s="12"/>
      <c r="K703" s="12"/>
      <c r="L703" s="12"/>
      <c r="M703" s="11"/>
      <c r="N703" s="11"/>
      <c r="O703" s="11"/>
      <c r="P703" s="11"/>
      <c r="Q703" s="11"/>
      <c r="R703" s="11"/>
      <c r="S703" s="11"/>
      <c r="T703" s="11"/>
      <c r="U703" s="11"/>
      <c r="V703" s="11"/>
      <c r="W703" s="11"/>
      <c r="X703" s="11"/>
      <c r="Y703" s="11"/>
      <c r="Z703" s="11"/>
      <c r="AA703" s="11"/>
      <c r="AB703" s="11"/>
      <c r="AC703" s="11"/>
      <c r="AD703" s="11"/>
    </row>
    <row r="704" spans="1:30" ht="16" x14ac:dyDescent="0.2">
      <c r="A704" s="11"/>
      <c r="B704" s="12"/>
      <c r="C704" s="12"/>
      <c r="D704" s="12"/>
      <c r="E704" s="12"/>
      <c r="F704" s="12"/>
      <c r="G704" s="12"/>
      <c r="H704" s="12"/>
      <c r="I704" s="12"/>
      <c r="J704" s="12"/>
      <c r="K704" s="12"/>
      <c r="L704" s="12"/>
      <c r="M704" s="11"/>
      <c r="N704" s="11"/>
      <c r="O704" s="11"/>
      <c r="P704" s="11"/>
      <c r="Q704" s="11"/>
      <c r="R704" s="11"/>
      <c r="S704" s="11"/>
      <c r="T704" s="11"/>
      <c r="U704" s="11"/>
      <c r="V704" s="11"/>
      <c r="W704" s="11"/>
      <c r="X704" s="11"/>
      <c r="Y704" s="11"/>
      <c r="Z704" s="11"/>
      <c r="AA704" s="11"/>
      <c r="AB704" s="11"/>
      <c r="AC704" s="11"/>
      <c r="AD704" s="11"/>
    </row>
    <row r="705" spans="1:30" ht="16" x14ac:dyDescent="0.2">
      <c r="A705" s="11"/>
      <c r="B705" s="12"/>
      <c r="C705" s="12"/>
      <c r="D705" s="12"/>
      <c r="E705" s="12"/>
      <c r="F705" s="12"/>
      <c r="G705" s="12"/>
      <c r="H705" s="12"/>
      <c r="I705" s="12"/>
      <c r="J705" s="12"/>
      <c r="K705" s="12"/>
      <c r="L705" s="12"/>
      <c r="M705" s="11"/>
      <c r="N705" s="11"/>
      <c r="O705" s="11"/>
      <c r="P705" s="11"/>
      <c r="Q705" s="11"/>
      <c r="R705" s="11"/>
      <c r="S705" s="11"/>
      <c r="T705" s="11"/>
      <c r="U705" s="11"/>
      <c r="V705" s="11"/>
      <c r="W705" s="11"/>
      <c r="X705" s="11"/>
      <c r="Y705" s="11"/>
      <c r="Z705" s="11"/>
      <c r="AA705" s="11"/>
      <c r="AB705" s="11"/>
      <c r="AC705" s="11"/>
      <c r="AD705" s="11"/>
    </row>
    <row r="706" spans="1:30" ht="16" x14ac:dyDescent="0.2">
      <c r="A706" s="11"/>
      <c r="B706" s="12"/>
      <c r="C706" s="12"/>
      <c r="D706" s="12"/>
      <c r="E706" s="12"/>
      <c r="F706" s="12"/>
      <c r="G706" s="12"/>
      <c r="H706" s="12"/>
      <c r="I706" s="12"/>
      <c r="J706" s="12"/>
      <c r="K706" s="12"/>
      <c r="L706" s="12"/>
      <c r="M706" s="11"/>
      <c r="N706" s="11"/>
      <c r="O706" s="11"/>
      <c r="P706" s="11"/>
      <c r="Q706" s="11"/>
      <c r="R706" s="11"/>
      <c r="S706" s="11"/>
      <c r="T706" s="11"/>
      <c r="U706" s="11"/>
      <c r="V706" s="11"/>
      <c r="W706" s="11"/>
      <c r="X706" s="11"/>
      <c r="Y706" s="11"/>
      <c r="Z706" s="11"/>
      <c r="AA706" s="11"/>
      <c r="AB706" s="11"/>
      <c r="AC706" s="11"/>
      <c r="AD706" s="11"/>
    </row>
    <row r="707" spans="1:30" ht="16" x14ac:dyDescent="0.2">
      <c r="A707" s="11"/>
      <c r="B707" s="12"/>
      <c r="C707" s="12"/>
      <c r="D707" s="12"/>
      <c r="E707" s="12"/>
      <c r="F707" s="12"/>
      <c r="G707" s="12"/>
      <c r="H707" s="12"/>
      <c r="I707" s="12"/>
      <c r="J707" s="12"/>
      <c r="K707" s="12"/>
      <c r="L707" s="12"/>
      <c r="M707" s="11"/>
      <c r="N707" s="11"/>
      <c r="O707" s="11"/>
      <c r="P707" s="11"/>
      <c r="Q707" s="11"/>
      <c r="R707" s="11"/>
      <c r="S707" s="11"/>
      <c r="T707" s="11"/>
      <c r="U707" s="11"/>
      <c r="V707" s="11"/>
      <c r="W707" s="11"/>
      <c r="X707" s="11"/>
      <c r="Y707" s="11"/>
      <c r="Z707" s="11"/>
      <c r="AA707" s="11"/>
      <c r="AB707" s="11"/>
      <c r="AC707" s="11"/>
      <c r="AD707" s="11"/>
    </row>
    <row r="708" spans="1:30" ht="16" x14ac:dyDescent="0.2">
      <c r="A708" s="11"/>
      <c r="B708" s="12"/>
      <c r="C708" s="12"/>
      <c r="D708" s="12"/>
      <c r="E708" s="12"/>
      <c r="F708" s="12"/>
      <c r="G708" s="12"/>
      <c r="H708" s="12"/>
      <c r="I708" s="12"/>
      <c r="J708" s="12"/>
      <c r="K708" s="12"/>
      <c r="L708" s="12"/>
      <c r="M708" s="11"/>
      <c r="N708" s="11"/>
      <c r="O708" s="11"/>
      <c r="P708" s="11"/>
      <c r="Q708" s="11"/>
      <c r="R708" s="11"/>
      <c r="S708" s="11"/>
      <c r="T708" s="11"/>
      <c r="U708" s="11"/>
      <c r="V708" s="11"/>
      <c r="W708" s="11"/>
      <c r="X708" s="11"/>
      <c r="Y708" s="11"/>
      <c r="Z708" s="11"/>
      <c r="AA708" s="11"/>
      <c r="AB708" s="11"/>
      <c r="AC708" s="11"/>
      <c r="AD708" s="11"/>
    </row>
    <row r="709" spans="1:30" ht="16" x14ac:dyDescent="0.2">
      <c r="A709" s="11"/>
      <c r="B709" s="12"/>
      <c r="C709" s="12"/>
      <c r="D709" s="12"/>
      <c r="E709" s="12"/>
      <c r="F709" s="12"/>
      <c r="G709" s="12"/>
      <c r="H709" s="12"/>
      <c r="I709" s="12"/>
      <c r="J709" s="12"/>
      <c r="K709" s="12"/>
      <c r="L709" s="12"/>
      <c r="M709" s="11"/>
      <c r="N709" s="11"/>
      <c r="O709" s="11"/>
      <c r="P709" s="11"/>
      <c r="Q709" s="11"/>
      <c r="R709" s="11"/>
      <c r="S709" s="11"/>
      <c r="T709" s="11"/>
      <c r="U709" s="11"/>
      <c r="V709" s="11"/>
      <c r="W709" s="11"/>
      <c r="X709" s="11"/>
      <c r="Y709" s="11"/>
      <c r="Z709" s="11"/>
      <c r="AA709" s="11"/>
      <c r="AB709" s="11"/>
      <c r="AC709" s="11"/>
      <c r="AD709" s="11"/>
    </row>
    <row r="710" spans="1:30" ht="16" x14ac:dyDescent="0.2">
      <c r="A710" s="11"/>
      <c r="B710" s="12"/>
      <c r="C710" s="12"/>
      <c r="D710" s="12"/>
      <c r="E710" s="12"/>
      <c r="F710" s="12"/>
      <c r="G710" s="12"/>
      <c r="H710" s="12"/>
      <c r="I710" s="12"/>
      <c r="J710" s="12"/>
      <c r="K710" s="12"/>
      <c r="L710" s="12"/>
      <c r="M710" s="11"/>
      <c r="N710" s="11"/>
      <c r="O710" s="11"/>
      <c r="P710" s="11"/>
      <c r="Q710" s="11"/>
      <c r="R710" s="11"/>
      <c r="S710" s="11"/>
      <c r="T710" s="11"/>
      <c r="U710" s="11"/>
      <c r="V710" s="11"/>
      <c r="W710" s="11"/>
      <c r="X710" s="11"/>
      <c r="Y710" s="11"/>
      <c r="Z710" s="11"/>
      <c r="AA710" s="11"/>
      <c r="AB710" s="11"/>
      <c r="AC710" s="11"/>
      <c r="AD710" s="11"/>
    </row>
    <row r="711" spans="1:30" ht="16" x14ac:dyDescent="0.2">
      <c r="A711" s="11"/>
      <c r="B711" s="12"/>
      <c r="C711" s="12"/>
      <c r="D711" s="12"/>
      <c r="E711" s="12"/>
      <c r="F711" s="12"/>
      <c r="G711" s="12"/>
      <c r="H711" s="12"/>
      <c r="I711" s="12"/>
      <c r="J711" s="12"/>
      <c r="K711" s="12"/>
      <c r="L711" s="12"/>
      <c r="M711" s="11"/>
      <c r="N711" s="11"/>
      <c r="O711" s="11"/>
      <c r="P711" s="11"/>
      <c r="Q711" s="11"/>
      <c r="R711" s="11"/>
      <c r="S711" s="11"/>
      <c r="T711" s="11"/>
      <c r="U711" s="11"/>
      <c r="V711" s="11"/>
      <c r="W711" s="11"/>
      <c r="X711" s="11"/>
      <c r="Y711" s="11"/>
      <c r="Z711" s="11"/>
      <c r="AA711" s="11"/>
      <c r="AB711" s="11"/>
      <c r="AC711" s="11"/>
      <c r="AD711" s="11"/>
    </row>
    <row r="712" spans="1:30" ht="16" x14ac:dyDescent="0.2">
      <c r="A712" s="11"/>
      <c r="B712" s="12"/>
      <c r="C712" s="12"/>
      <c r="D712" s="12"/>
      <c r="E712" s="12"/>
      <c r="F712" s="12"/>
      <c r="G712" s="12"/>
      <c r="H712" s="12"/>
      <c r="I712" s="12"/>
      <c r="J712" s="12"/>
      <c r="K712" s="12"/>
      <c r="L712" s="12"/>
      <c r="M712" s="11"/>
      <c r="N712" s="11"/>
      <c r="O712" s="11"/>
      <c r="P712" s="11"/>
      <c r="Q712" s="11"/>
      <c r="R712" s="11"/>
      <c r="S712" s="11"/>
      <c r="T712" s="11"/>
      <c r="U712" s="11"/>
      <c r="V712" s="11"/>
      <c r="W712" s="11"/>
      <c r="X712" s="11"/>
      <c r="Y712" s="11"/>
      <c r="Z712" s="11"/>
      <c r="AA712" s="11"/>
      <c r="AB712" s="11"/>
      <c r="AC712" s="11"/>
      <c r="AD712" s="11"/>
    </row>
    <row r="713" spans="1:30" ht="16" x14ac:dyDescent="0.2">
      <c r="A713" s="11"/>
      <c r="B713" s="12"/>
      <c r="C713" s="12"/>
      <c r="D713" s="12"/>
      <c r="E713" s="12"/>
      <c r="F713" s="12"/>
      <c r="G713" s="12"/>
      <c r="H713" s="12"/>
      <c r="I713" s="12"/>
      <c r="J713" s="12"/>
      <c r="K713" s="12"/>
      <c r="L713" s="12"/>
      <c r="M713" s="11"/>
      <c r="N713" s="11"/>
      <c r="O713" s="11"/>
      <c r="P713" s="11"/>
      <c r="Q713" s="11"/>
      <c r="R713" s="11"/>
      <c r="S713" s="11"/>
      <c r="T713" s="11"/>
      <c r="U713" s="11"/>
      <c r="V713" s="11"/>
      <c r="W713" s="11"/>
      <c r="X713" s="11"/>
      <c r="Y713" s="11"/>
      <c r="Z713" s="11"/>
      <c r="AA713" s="11"/>
      <c r="AB713" s="11"/>
      <c r="AC713" s="11"/>
      <c r="AD713" s="11"/>
    </row>
    <row r="714" spans="1:30" ht="16" x14ac:dyDescent="0.2">
      <c r="A714" s="11"/>
      <c r="B714" s="12"/>
      <c r="C714" s="12"/>
      <c r="D714" s="12"/>
      <c r="E714" s="12"/>
      <c r="F714" s="12"/>
      <c r="G714" s="12"/>
      <c r="H714" s="12"/>
      <c r="I714" s="12"/>
      <c r="J714" s="12"/>
      <c r="K714" s="12"/>
      <c r="L714" s="12"/>
      <c r="M714" s="11"/>
      <c r="N714" s="11"/>
      <c r="O714" s="11"/>
      <c r="P714" s="11"/>
      <c r="Q714" s="11"/>
      <c r="R714" s="11"/>
      <c r="S714" s="11"/>
      <c r="T714" s="11"/>
      <c r="U714" s="11"/>
      <c r="V714" s="11"/>
      <c r="W714" s="11"/>
      <c r="X714" s="11"/>
      <c r="Y714" s="11"/>
      <c r="Z714" s="11"/>
      <c r="AA714" s="11"/>
      <c r="AB714" s="11"/>
      <c r="AC714" s="11"/>
      <c r="AD714" s="11"/>
    </row>
    <row r="715" spans="1:30" ht="16" x14ac:dyDescent="0.2">
      <c r="A715" s="11"/>
      <c r="B715" s="12"/>
      <c r="C715" s="12"/>
      <c r="D715" s="12"/>
      <c r="E715" s="12"/>
      <c r="F715" s="12"/>
      <c r="G715" s="12"/>
      <c r="H715" s="12"/>
      <c r="I715" s="12"/>
      <c r="J715" s="12"/>
      <c r="K715" s="12"/>
      <c r="L715" s="12"/>
      <c r="M715" s="11"/>
      <c r="N715" s="11"/>
      <c r="O715" s="11"/>
      <c r="P715" s="11"/>
      <c r="Q715" s="11"/>
      <c r="R715" s="11"/>
      <c r="S715" s="11"/>
      <c r="T715" s="11"/>
      <c r="U715" s="11"/>
      <c r="V715" s="11"/>
      <c r="W715" s="11"/>
      <c r="X715" s="11"/>
      <c r="Y715" s="11"/>
      <c r="Z715" s="11"/>
      <c r="AA715" s="11"/>
      <c r="AB715" s="11"/>
      <c r="AC715" s="11"/>
      <c r="AD715" s="11"/>
    </row>
    <row r="716" spans="1:30" ht="16" x14ac:dyDescent="0.2">
      <c r="A716" s="11"/>
      <c r="B716" s="12"/>
      <c r="C716" s="12"/>
      <c r="D716" s="12"/>
      <c r="E716" s="12"/>
      <c r="F716" s="12"/>
      <c r="G716" s="12"/>
      <c r="H716" s="12"/>
      <c r="I716" s="12"/>
      <c r="J716" s="12"/>
      <c r="K716" s="12"/>
      <c r="L716" s="12"/>
      <c r="M716" s="11"/>
      <c r="N716" s="11"/>
      <c r="O716" s="11"/>
      <c r="P716" s="11"/>
      <c r="Q716" s="11"/>
      <c r="R716" s="11"/>
      <c r="S716" s="11"/>
      <c r="T716" s="11"/>
      <c r="U716" s="11"/>
      <c r="V716" s="11"/>
      <c r="W716" s="11"/>
      <c r="X716" s="11"/>
      <c r="Y716" s="11"/>
      <c r="Z716" s="11"/>
      <c r="AA716" s="11"/>
      <c r="AB716" s="11"/>
      <c r="AC716" s="11"/>
      <c r="AD716" s="11"/>
    </row>
    <row r="717" spans="1:30" ht="16" x14ac:dyDescent="0.2">
      <c r="A717" s="11"/>
      <c r="B717" s="12"/>
      <c r="C717" s="12"/>
      <c r="D717" s="12"/>
      <c r="E717" s="12"/>
      <c r="F717" s="12"/>
      <c r="G717" s="12"/>
      <c r="H717" s="12"/>
      <c r="I717" s="12"/>
      <c r="J717" s="12"/>
      <c r="K717" s="12"/>
      <c r="L717" s="12"/>
      <c r="M717" s="11"/>
      <c r="N717" s="11"/>
      <c r="O717" s="11"/>
      <c r="P717" s="11"/>
      <c r="Q717" s="11"/>
      <c r="R717" s="11"/>
      <c r="S717" s="11"/>
      <c r="T717" s="11"/>
      <c r="U717" s="11"/>
      <c r="V717" s="11"/>
      <c r="W717" s="11"/>
      <c r="X717" s="11"/>
      <c r="Y717" s="11"/>
      <c r="Z717" s="11"/>
      <c r="AA717" s="11"/>
      <c r="AB717" s="11"/>
      <c r="AC717" s="11"/>
      <c r="AD717" s="11"/>
    </row>
    <row r="718" spans="1:30" ht="16" x14ac:dyDescent="0.2">
      <c r="A718" s="11"/>
      <c r="B718" s="12"/>
      <c r="C718" s="12"/>
      <c r="D718" s="12"/>
      <c r="E718" s="12"/>
      <c r="F718" s="12"/>
      <c r="G718" s="12"/>
      <c r="H718" s="12"/>
      <c r="I718" s="12"/>
      <c r="J718" s="12"/>
      <c r="K718" s="12"/>
      <c r="L718" s="12"/>
      <c r="M718" s="11"/>
      <c r="N718" s="11"/>
      <c r="O718" s="11"/>
      <c r="P718" s="11"/>
      <c r="Q718" s="11"/>
      <c r="R718" s="11"/>
      <c r="S718" s="11"/>
      <c r="T718" s="11"/>
      <c r="U718" s="11"/>
      <c r="V718" s="11"/>
      <c r="W718" s="11"/>
      <c r="X718" s="11"/>
      <c r="Y718" s="11"/>
      <c r="Z718" s="11"/>
      <c r="AA718" s="11"/>
      <c r="AB718" s="11"/>
      <c r="AC718" s="11"/>
      <c r="AD718" s="11"/>
    </row>
    <row r="719" spans="1:30" ht="16" x14ac:dyDescent="0.2">
      <c r="A719" s="11"/>
      <c r="B719" s="12"/>
      <c r="C719" s="12"/>
      <c r="D719" s="12"/>
      <c r="E719" s="12"/>
      <c r="F719" s="12"/>
      <c r="G719" s="12"/>
      <c r="H719" s="12"/>
      <c r="I719" s="12"/>
      <c r="J719" s="12"/>
      <c r="K719" s="12"/>
      <c r="L719" s="12"/>
      <c r="M719" s="11"/>
      <c r="N719" s="11"/>
      <c r="O719" s="11"/>
      <c r="P719" s="11"/>
      <c r="Q719" s="11"/>
      <c r="R719" s="11"/>
      <c r="S719" s="11"/>
      <c r="T719" s="11"/>
      <c r="U719" s="11"/>
      <c r="V719" s="11"/>
      <c r="W719" s="11"/>
      <c r="X719" s="11"/>
      <c r="Y719" s="11"/>
      <c r="Z719" s="11"/>
      <c r="AA719" s="11"/>
      <c r="AB719" s="11"/>
      <c r="AC719" s="11"/>
      <c r="AD719" s="11"/>
    </row>
    <row r="720" spans="1:30" ht="16" x14ac:dyDescent="0.2">
      <c r="A720" s="11"/>
      <c r="B720" s="12"/>
      <c r="C720" s="12"/>
      <c r="D720" s="12"/>
      <c r="E720" s="12"/>
      <c r="F720" s="12"/>
      <c r="G720" s="12"/>
      <c r="H720" s="12"/>
      <c r="I720" s="12"/>
      <c r="J720" s="12"/>
      <c r="K720" s="12"/>
      <c r="L720" s="12"/>
      <c r="M720" s="11"/>
      <c r="N720" s="11"/>
      <c r="O720" s="11"/>
      <c r="P720" s="11"/>
      <c r="Q720" s="11"/>
      <c r="R720" s="11"/>
      <c r="S720" s="11"/>
      <c r="T720" s="11"/>
      <c r="U720" s="11"/>
      <c r="V720" s="11"/>
      <c r="W720" s="11"/>
      <c r="X720" s="11"/>
      <c r="Y720" s="11"/>
      <c r="Z720" s="11"/>
      <c r="AA720" s="11"/>
      <c r="AB720" s="11"/>
      <c r="AC720" s="11"/>
      <c r="AD720" s="11"/>
    </row>
    <row r="721" spans="1:30" ht="16" x14ac:dyDescent="0.2">
      <c r="A721" s="11"/>
      <c r="B721" s="12"/>
      <c r="C721" s="12"/>
      <c r="D721" s="12"/>
      <c r="E721" s="12"/>
      <c r="F721" s="12"/>
      <c r="G721" s="12"/>
      <c r="H721" s="12"/>
      <c r="I721" s="12"/>
      <c r="J721" s="12"/>
      <c r="K721" s="12"/>
      <c r="L721" s="12"/>
      <c r="M721" s="11"/>
      <c r="N721" s="11"/>
      <c r="O721" s="11"/>
      <c r="P721" s="11"/>
      <c r="Q721" s="11"/>
      <c r="R721" s="11"/>
      <c r="S721" s="11"/>
      <c r="T721" s="11"/>
      <c r="U721" s="11"/>
      <c r="V721" s="11"/>
      <c r="W721" s="11"/>
      <c r="X721" s="11"/>
      <c r="Y721" s="11"/>
      <c r="Z721" s="11"/>
      <c r="AA721" s="11"/>
      <c r="AB721" s="11"/>
      <c r="AC721" s="11"/>
      <c r="AD721" s="11"/>
    </row>
    <row r="722" spans="1:30" ht="16" x14ac:dyDescent="0.2">
      <c r="A722" s="11"/>
      <c r="B722" s="12"/>
      <c r="C722" s="12"/>
      <c r="D722" s="12"/>
      <c r="E722" s="12"/>
      <c r="F722" s="12"/>
      <c r="G722" s="12"/>
      <c r="H722" s="12"/>
      <c r="I722" s="12"/>
      <c r="J722" s="12"/>
      <c r="K722" s="12"/>
      <c r="L722" s="12"/>
      <c r="M722" s="11"/>
      <c r="N722" s="11"/>
      <c r="O722" s="11"/>
      <c r="P722" s="11"/>
      <c r="Q722" s="11"/>
      <c r="R722" s="11"/>
      <c r="S722" s="11"/>
      <c r="T722" s="11"/>
      <c r="U722" s="11"/>
      <c r="V722" s="11"/>
      <c r="W722" s="11"/>
      <c r="X722" s="11"/>
      <c r="Y722" s="11"/>
      <c r="Z722" s="11"/>
      <c r="AA722" s="11"/>
      <c r="AB722" s="11"/>
      <c r="AC722" s="11"/>
      <c r="AD722" s="11"/>
    </row>
    <row r="723" spans="1:30" ht="16" x14ac:dyDescent="0.2">
      <c r="A723" s="11"/>
      <c r="B723" s="12"/>
      <c r="C723" s="12"/>
      <c r="D723" s="12"/>
      <c r="E723" s="12"/>
      <c r="F723" s="12"/>
      <c r="G723" s="12"/>
      <c r="H723" s="12"/>
      <c r="I723" s="12"/>
      <c r="J723" s="12"/>
      <c r="K723" s="12"/>
      <c r="L723" s="12"/>
      <c r="M723" s="11"/>
      <c r="N723" s="11"/>
      <c r="O723" s="11"/>
      <c r="P723" s="11"/>
      <c r="Q723" s="11"/>
      <c r="R723" s="11"/>
      <c r="S723" s="11"/>
      <c r="T723" s="11"/>
      <c r="U723" s="11"/>
      <c r="V723" s="11"/>
      <c r="W723" s="11"/>
      <c r="X723" s="11"/>
      <c r="Y723" s="11"/>
      <c r="Z723" s="11"/>
      <c r="AA723" s="11"/>
      <c r="AB723" s="11"/>
      <c r="AC723" s="11"/>
      <c r="AD723" s="11"/>
    </row>
    <row r="724" spans="1:30" ht="16" x14ac:dyDescent="0.2">
      <c r="A724" s="11"/>
      <c r="B724" s="12"/>
      <c r="C724" s="12"/>
      <c r="D724" s="12"/>
      <c r="E724" s="12"/>
      <c r="F724" s="12"/>
      <c r="G724" s="12"/>
      <c r="H724" s="12"/>
      <c r="I724" s="12"/>
      <c r="J724" s="12"/>
      <c r="K724" s="12"/>
      <c r="L724" s="12"/>
      <c r="M724" s="11"/>
      <c r="N724" s="11"/>
      <c r="O724" s="11"/>
      <c r="P724" s="11"/>
      <c r="Q724" s="11"/>
      <c r="R724" s="11"/>
      <c r="S724" s="11"/>
      <c r="T724" s="11"/>
      <c r="U724" s="11"/>
      <c r="V724" s="11"/>
      <c r="W724" s="11"/>
      <c r="X724" s="11"/>
      <c r="Y724" s="11"/>
      <c r="Z724" s="11"/>
      <c r="AA724" s="11"/>
      <c r="AB724" s="11"/>
      <c r="AC724" s="11"/>
      <c r="AD724" s="11"/>
    </row>
    <row r="725" spans="1:30" ht="16" x14ac:dyDescent="0.2">
      <c r="A725" s="11"/>
      <c r="B725" s="12"/>
      <c r="C725" s="12"/>
      <c r="D725" s="12"/>
      <c r="E725" s="12"/>
      <c r="F725" s="12"/>
      <c r="G725" s="12"/>
      <c r="H725" s="12"/>
      <c r="I725" s="12"/>
      <c r="J725" s="12"/>
      <c r="K725" s="12"/>
      <c r="L725" s="12"/>
      <c r="M725" s="11"/>
      <c r="N725" s="11"/>
      <c r="O725" s="11"/>
      <c r="P725" s="11"/>
      <c r="Q725" s="11"/>
      <c r="R725" s="11"/>
      <c r="S725" s="11"/>
      <c r="T725" s="11"/>
      <c r="U725" s="11"/>
      <c r="V725" s="11"/>
      <c r="W725" s="11"/>
      <c r="X725" s="11"/>
      <c r="Y725" s="11"/>
      <c r="Z725" s="11"/>
      <c r="AA725" s="11"/>
      <c r="AB725" s="11"/>
      <c r="AC725" s="11"/>
      <c r="AD725" s="11"/>
    </row>
    <row r="726" spans="1:30" ht="16" x14ac:dyDescent="0.2">
      <c r="A726" s="11"/>
      <c r="B726" s="12"/>
      <c r="C726" s="12"/>
      <c r="D726" s="12"/>
      <c r="E726" s="12"/>
      <c r="F726" s="12"/>
      <c r="G726" s="12"/>
      <c r="H726" s="12"/>
      <c r="I726" s="12"/>
      <c r="J726" s="12"/>
      <c r="K726" s="12"/>
      <c r="L726" s="12"/>
      <c r="M726" s="11"/>
      <c r="N726" s="11"/>
      <c r="O726" s="11"/>
      <c r="P726" s="11"/>
      <c r="Q726" s="11"/>
      <c r="R726" s="11"/>
      <c r="S726" s="11"/>
      <c r="T726" s="11"/>
      <c r="U726" s="11"/>
      <c r="V726" s="11"/>
      <c r="W726" s="11"/>
      <c r="X726" s="11"/>
      <c r="Y726" s="11"/>
      <c r="Z726" s="11"/>
      <c r="AA726" s="11"/>
      <c r="AB726" s="11"/>
      <c r="AC726" s="11"/>
      <c r="AD726" s="11"/>
    </row>
    <row r="727" spans="1:30" ht="16" x14ac:dyDescent="0.2">
      <c r="A727" s="11"/>
      <c r="B727" s="12"/>
      <c r="C727" s="12"/>
      <c r="D727" s="12"/>
      <c r="E727" s="12"/>
      <c r="F727" s="12"/>
      <c r="G727" s="12"/>
      <c r="H727" s="12"/>
      <c r="I727" s="12"/>
      <c r="J727" s="12"/>
      <c r="K727" s="12"/>
      <c r="L727" s="12"/>
      <c r="M727" s="11"/>
      <c r="N727" s="11"/>
      <c r="O727" s="11"/>
      <c r="P727" s="11"/>
      <c r="Q727" s="11"/>
      <c r="R727" s="11"/>
      <c r="S727" s="11"/>
      <c r="T727" s="11"/>
      <c r="U727" s="11"/>
      <c r="V727" s="11"/>
      <c r="W727" s="11"/>
      <c r="X727" s="11"/>
      <c r="Y727" s="11"/>
      <c r="Z727" s="11"/>
      <c r="AA727" s="11"/>
      <c r="AB727" s="11"/>
      <c r="AC727" s="11"/>
      <c r="AD727" s="11"/>
    </row>
    <row r="728" spans="1:30" ht="16" x14ac:dyDescent="0.2">
      <c r="A728" s="11"/>
      <c r="B728" s="12"/>
      <c r="C728" s="12"/>
      <c r="D728" s="12"/>
      <c r="E728" s="12"/>
      <c r="F728" s="12"/>
      <c r="G728" s="12"/>
      <c r="H728" s="12"/>
      <c r="I728" s="12"/>
      <c r="J728" s="12"/>
      <c r="K728" s="12"/>
      <c r="L728" s="12"/>
      <c r="M728" s="11"/>
      <c r="N728" s="11"/>
      <c r="O728" s="11"/>
      <c r="P728" s="11"/>
      <c r="Q728" s="11"/>
      <c r="R728" s="11"/>
      <c r="S728" s="11"/>
      <c r="T728" s="11"/>
      <c r="U728" s="11"/>
      <c r="V728" s="11"/>
      <c r="W728" s="11"/>
      <c r="X728" s="11"/>
      <c r="Y728" s="11"/>
      <c r="Z728" s="11"/>
      <c r="AA728" s="11"/>
      <c r="AB728" s="11"/>
      <c r="AC728" s="11"/>
      <c r="AD728" s="11"/>
    </row>
    <row r="729" spans="1:30" ht="16" x14ac:dyDescent="0.2">
      <c r="A729" s="11"/>
      <c r="B729" s="12"/>
      <c r="C729" s="12"/>
      <c r="D729" s="12"/>
      <c r="E729" s="12"/>
      <c r="F729" s="12"/>
      <c r="G729" s="12"/>
      <c r="H729" s="12"/>
      <c r="I729" s="12"/>
      <c r="J729" s="12"/>
      <c r="K729" s="12"/>
      <c r="L729" s="12"/>
      <c r="M729" s="11"/>
      <c r="N729" s="11"/>
      <c r="O729" s="11"/>
      <c r="P729" s="11"/>
      <c r="Q729" s="11"/>
      <c r="R729" s="11"/>
      <c r="S729" s="11"/>
      <c r="T729" s="11"/>
      <c r="U729" s="11"/>
      <c r="V729" s="11"/>
      <c r="W729" s="11"/>
      <c r="X729" s="11"/>
      <c r="Y729" s="11"/>
      <c r="Z729" s="11"/>
      <c r="AA729" s="11"/>
      <c r="AB729" s="11"/>
      <c r="AC729" s="11"/>
      <c r="AD729" s="11"/>
    </row>
    <row r="730" spans="1:30" ht="16" x14ac:dyDescent="0.2">
      <c r="A730" s="11"/>
      <c r="B730" s="12"/>
      <c r="C730" s="12"/>
      <c r="D730" s="12"/>
      <c r="E730" s="12"/>
      <c r="F730" s="12"/>
      <c r="G730" s="12"/>
      <c r="H730" s="12"/>
      <c r="I730" s="12"/>
      <c r="J730" s="12"/>
      <c r="K730" s="12"/>
      <c r="L730" s="12"/>
      <c r="M730" s="11"/>
      <c r="N730" s="11"/>
      <c r="O730" s="11"/>
      <c r="P730" s="11"/>
      <c r="Q730" s="11"/>
      <c r="R730" s="11"/>
      <c r="S730" s="11"/>
      <c r="T730" s="11"/>
      <c r="U730" s="11"/>
      <c r="V730" s="11"/>
      <c r="W730" s="11"/>
      <c r="X730" s="11"/>
      <c r="Y730" s="11"/>
      <c r="Z730" s="11"/>
      <c r="AA730" s="11"/>
      <c r="AB730" s="11"/>
      <c r="AC730" s="11"/>
      <c r="AD730" s="11"/>
    </row>
    <row r="731" spans="1:30" ht="16" x14ac:dyDescent="0.2">
      <c r="A731" s="11"/>
      <c r="B731" s="12"/>
      <c r="C731" s="12"/>
      <c r="D731" s="12"/>
      <c r="E731" s="12"/>
      <c r="F731" s="12"/>
      <c r="G731" s="12"/>
      <c r="H731" s="12"/>
      <c r="I731" s="12"/>
      <c r="J731" s="12"/>
      <c r="K731" s="12"/>
      <c r="L731" s="12"/>
      <c r="M731" s="11"/>
      <c r="N731" s="11"/>
      <c r="O731" s="11"/>
      <c r="P731" s="11"/>
      <c r="Q731" s="11"/>
      <c r="R731" s="11"/>
      <c r="S731" s="11"/>
      <c r="T731" s="11"/>
      <c r="U731" s="11"/>
      <c r="V731" s="11"/>
      <c r="W731" s="11"/>
      <c r="X731" s="11"/>
      <c r="Y731" s="11"/>
      <c r="Z731" s="11"/>
      <c r="AA731" s="11"/>
      <c r="AB731" s="11"/>
      <c r="AC731" s="11"/>
      <c r="AD731" s="11"/>
    </row>
    <row r="732" spans="1:30" ht="16" x14ac:dyDescent="0.2">
      <c r="A732" s="11"/>
      <c r="B732" s="12"/>
      <c r="C732" s="12"/>
      <c r="D732" s="12"/>
      <c r="E732" s="12"/>
      <c r="F732" s="12"/>
      <c r="G732" s="12"/>
      <c r="H732" s="12"/>
      <c r="I732" s="12"/>
      <c r="J732" s="12"/>
      <c r="K732" s="12"/>
      <c r="L732" s="12"/>
      <c r="M732" s="11"/>
      <c r="N732" s="11"/>
      <c r="O732" s="11"/>
      <c r="P732" s="11"/>
      <c r="Q732" s="11"/>
      <c r="R732" s="11"/>
      <c r="S732" s="11"/>
      <c r="T732" s="11"/>
      <c r="U732" s="11"/>
      <c r="V732" s="11"/>
      <c r="W732" s="11"/>
      <c r="X732" s="11"/>
      <c r="Y732" s="11"/>
      <c r="Z732" s="11"/>
      <c r="AA732" s="11"/>
      <c r="AB732" s="11"/>
      <c r="AC732" s="11"/>
      <c r="AD732" s="11"/>
    </row>
    <row r="733" spans="1:30" ht="16" x14ac:dyDescent="0.2">
      <c r="A733" s="11"/>
      <c r="B733" s="12"/>
      <c r="C733" s="12"/>
      <c r="D733" s="12"/>
      <c r="E733" s="12"/>
      <c r="F733" s="12"/>
      <c r="G733" s="12"/>
      <c r="H733" s="12"/>
      <c r="I733" s="12"/>
      <c r="J733" s="12"/>
      <c r="K733" s="12"/>
      <c r="L733" s="12"/>
      <c r="M733" s="11"/>
      <c r="N733" s="11"/>
      <c r="O733" s="11"/>
      <c r="P733" s="11"/>
      <c r="Q733" s="11"/>
      <c r="R733" s="11"/>
      <c r="S733" s="11"/>
      <c r="T733" s="11"/>
      <c r="U733" s="11"/>
      <c r="V733" s="11"/>
      <c r="W733" s="11"/>
      <c r="X733" s="11"/>
      <c r="Y733" s="11"/>
      <c r="Z733" s="11"/>
      <c r="AA733" s="11"/>
      <c r="AB733" s="11"/>
      <c r="AC733" s="11"/>
      <c r="AD733" s="11"/>
    </row>
    <row r="734" spans="1:30" ht="16" x14ac:dyDescent="0.2">
      <c r="A734" s="11"/>
      <c r="B734" s="12"/>
      <c r="C734" s="12"/>
      <c r="D734" s="12"/>
      <c r="E734" s="12"/>
      <c r="F734" s="12"/>
      <c r="G734" s="12"/>
      <c r="H734" s="12"/>
      <c r="I734" s="12"/>
      <c r="J734" s="12"/>
      <c r="K734" s="12"/>
      <c r="L734" s="12"/>
      <c r="M734" s="11"/>
      <c r="N734" s="11"/>
      <c r="O734" s="11"/>
      <c r="P734" s="11"/>
      <c r="Q734" s="11"/>
      <c r="R734" s="11"/>
      <c r="S734" s="11"/>
      <c r="T734" s="11"/>
      <c r="U734" s="11"/>
      <c r="V734" s="11"/>
      <c r="W734" s="11"/>
      <c r="X734" s="11"/>
      <c r="Y734" s="11"/>
      <c r="Z734" s="11"/>
      <c r="AA734" s="11"/>
      <c r="AB734" s="11"/>
      <c r="AC734" s="11"/>
      <c r="AD734" s="11"/>
    </row>
    <row r="735" spans="1:30" ht="16" x14ac:dyDescent="0.2">
      <c r="A735" s="11"/>
      <c r="B735" s="12"/>
      <c r="C735" s="12"/>
      <c r="D735" s="12"/>
      <c r="E735" s="12"/>
      <c r="F735" s="12"/>
      <c r="G735" s="12"/>
      <c r="H735" s="12"/>
      <c r="I735" s="12"/>
      <c r="J735" s="12"/>
      <c r="K735" s="12"/>
      <c r="L735" s="12"/>
      <c r="M735" s="11"/>
      <c r="N735" s="11"/>
      <c r="O735" s="11"/>
      <c r="P735" s="11"/>
      <c r="Q735" s="11"/>
      <c r="R735" s="11"/>
      <c r="S735" s="11"/>
      <c r="T735" s="11"/>
      <c r="U735" s="11"/>
      <c r="V735" s="11"/>
      <c r="W735" s="11"/>
      <c r="X735" s="11"/>
      <c r="Y735" s="11"/>
      <c r="Z735" s="11"/>
      <c r="AA735" s="11"/>
      <c r="AB735" s="11"/>
      <c r="AC735" s="11"/>
      <c r="AD735" s="11"/>
    </row>
    <row r="736" spans="1:30" ht="16" x14ac:dyDescent="0.2">
      <c r="A736" s="11"/>
      <c r="B736" s="12"/>
      <c r="C736" s="12"/>
      <c r="D736" s="12"/>
      <c r="E736" s="12"/>
      <c r="F736" s="12"/>
      <c r="G736" s="12"/>
      <c r="H736" s="12"/>
      <c r="I736" s="12"/>
      <c r="J736" s="12"/>
      <c r="K736" s="12"/>
      <c r="L736" s="12"/>
      <c r="M736" s="11"/>
      <c r="N736" s="11"/>
      <c r="O736" s="11"/>
      <c r="P736" s="11"/>
      <c r="Q736" s="11"/>
      <c r="R736" s="11"/>
      <c r="S736" s="11"/>
      <c r="T736" s="11"/>
      <c r="U736" s="11"/>
      <c r="V736" s="11"/>
      <c r="W736" s="11"/>
      <c r="X736" s="11"/>
      <c r="Y736" s="11"/>
      <c r="Z736" s="11"/>
      <c r="AA736" s="11"/>
      <c r="AB736" s="11"/>
      <c r="AC736" s="11"/>
      <c r="AD736" s="11"/>
    </row>
    <row r="737" spans="1:30" ht="16" x14ac:dyDescent="0.2">
      <c r="A737" s="11"/>
      <c r="B737" s="12"/>
      <c r="C737" s="12"/>
      <c r="D737" s="12"/>
      <c r="E737" s="12"/>
      <c r="F737" s="12"/>
      <c r="G737" s="12"/>
      <c r="H737" s="12"/>
      <c r="I737" s="12"/>
      <c r="J737" s="12"/>
      <c r="K737" s="12"/>
      <c r="L737" s="12"/>
      <c r="M737" s="11"/>
      <c r="N737" s="11"/>
      <c r="O737" s="11"/>
      <c r="P737" s="11"/>
      <c r="Q737" s="11"/>
      <c r="R737" s="11"/>
      <c r="S737" s="11"/>
      <c r="T737" s="11"/>
      <c r="U737" s="11"/>
      <c r="V737" s="11"/>
      <c r="W737" s="11"/>
      <c r="X737" s="11"/>
      <c r="Y737" s="11"/>
      <c r="Z737" s="11"/>
      <c r="AA737" s="11"/>
      <c r="AB737" s="11"/>
      <c r="AC737" s="11"/>
      <c r="AD737" s="11"/>
    </row>
    <row r="738" spans="1:30" ht="16" x14ac:dyDescent="0.2">
      <c r="A738" s="11"/>
      <c r="B738" s="12"/>
      <c r="C738" s="12"/>
      <c r="D738" s="12"/>
      <c r="E738" s="12"/>
      <c r="F738" s="12"/>
      <c r="G738" s="12"/>
      <c r="H738" s="12"/>
      <c r="I738" s="12"/>
      <c r="J738" s="12"/>
      <c r="K738" s="12"/>
      <c r="L738" s="12"/>
      <c r="M738" s="11"/>
      <c r="N738" s="11"/>
      <c r="O738" s="11"/>
      <c r="P738" s="11"/>
      <c r="Q738" s="11"/>
      <c r="R738" s="11"/>
      <c r="S738" s="11"/>
      <c r="T738" s="11"/>
      <c r="U738" s="11"/>
      <c r="V738" s="11"/>
      <c r="W738" s="11"/>
      <c r="X738" s="11"/>
      <c r="Y738" s="11"/>
      <c r="Z738" s="11"/>
      <c r="AA738" s="11"/>
      <c r="AB738" s="11"/>
      <c r="AC738" s="11"/>
      <c r="AD738" s="11"/>
    </row>
    <row r="739" spans="1:30" ht="16" x14ac:dyDescent="0.2">
      <c r="A739" s="11"/>
      <c r="B739" s="12"/>
      <c r="C739" s="12"/>
      <c r="D739" s="12"/>
      <c r="E739" s="12"/>
      <c r="F739" s="12"/>
      <c r="G739" s="12"/>
      <c r="H739" s="12"/>
      <c r="I739" s="12"/>
      <c r="J739" s="12"/>
      <c r="K739" s="12"/>
      <c r="L739" s="12"/>
      <c r="M739" s="11"/>
      <c r="N739" s="11"/>
      <c r="O739" s="11"/>
      <c r="P739" s="11"/>
      <c r="Q739" s="11"/>
      <c r="R739" s="11"/>
      <c r="S739" s="11"/>
      <c r="T739" s="11"/>
      <c r="U739" s="11"/>
      <c r="V739" s="11"/>
      <c r="W739" s="11"/>
      <c r="X739" s="11"/>
      <c r="Y739" s="11"/>
      <c r="Z739" s="11"/>
      <c r="AA739" s="11"/>
      <c r="AB739" s="11"/>
      <c r="AC739" s="11"/>
      <c r="AD739" s="11"/>
    </row>
    <row r="740" spans="1:30" ht="16" x14ac:dyDescent="0.2">
      <c r="A740" s="11"/>
      <c r="B740" s="12"/>
      <c r="C740" s="12"/>
      <c r="D740" s="12"/>
      <c r="E740" s="12"/>
      <c r="F740" s="12"/>
      <c r="G740" s="12"/>
      <c r="H740" s="12"/>
      <c r="I740" s="12"/>
      <c r="J740" s="12"/>
      <c r="K740" s="12"/>
      <c r="L740" s="12"/>
      <c r="M740" s="11"/>
      <c r="N740" s="11"/>
      <c r="O740" s="11"/>
      <c r="P740" s="11"/>
      <c r="Q740" s="11"/>
      <c r="R740" s="11"/>
      <c r="S740" s="11"/>
      <c r="T740" s="11"/>
      <c r="U740" s="11"/>
      <c r="V740" s="11"/>
      <c r="W740" s="11"/>
      <c r="X740" s="11"/>
      <c r="Y740" s="11"/>
      <c r="Z740" s="11"/>
      <c r="AA740" s="11"/>
      <c r="AB740" s="11"/>
      <c r="AC740" s="11"/>
      <c r="AD740" s="11"/>
    </row>
    <row r="741" spans="1:30" ht="16" x14ac:dyDescent="0.2">
      <c r="A741" s="11"/>
      <c r="B741" s="12"/>
      <c r="C741" s="12"/>
      <c r="D741" s="12"/>
      <c r="E741" s="12"/>
      <c r="F741" s="12"/>
      <c r="G741" s="12"/>
      <c r="H741" s="12"/>
      <c r="I741" s="12"/>
      <c r="J741" s="12"/>
      <c r="K741" s="12"/>
      <c r="L741" s="12"/>
      <c r="M741" s="11"/>
      <c r="N741" s="11"/>
      <c r="O741" s="11"/>
      <c r="P741" s="11"/>
      <c r="Q741" s="11"/>
      <c r="R741" s="11"/>
      <c r="S741" s="11"/>
      <c r="T741" s="11"/>
      <c r="U741" s="11"/>
      <c r="V741" s="11"/>
      <c r="W741" s="11"/>
      <c r="X741" s="11"/>
      <c r="Y741" s="11"/>
      <c r="Z741" s="11"/>
      <c r="AA741" s="11"/>
      <c r="AB741" s="11"/>
      <c r="AC741" s="11"/>
      <c r="AD741" s="11"/>
    </row>
    <row r="742" spans="1:30" ht="16" x14ac:dyDescent="0.2">
      <c r="A742" s="11"/>
      <c r="B742" s="12"/>
      <c r="C742" s="12"/>
      <c r="D742" s="12"/>
      <c r="E742" s="12"/>
      <c r="F742" s="12"/>
      <c r="G742" s="12"/>
      <c r="H742" s="12"/>
      <c r="I742" s="12"/>
      <c r="J742" s="12"/>
      <c r="K742" s="12"/>
      <c r="L742" s="12"/>
      <c r="M742" s="11"/>
      <c r="N742" s="11"/>
      <c r="O742" s="11"/>
      <c r="P742" s="11"/>
      <c r="Q742" s="11"/>
      <c r="R742" s="11"/>
      <c r="S742" s="11"/>
      <c r="T742" s="11"/>
      <c r="U742" s="11"/>
      <c r="V742" s="11"/>
      <c r="W742" s="11"/>
      <c r="X742" s="11"/>
      <c r="Y742" s="11"/>
      <c r="Z742" s="11"/>
      <c r="AA742" s="11"/>
      <c r="AB742" s="11"/>
      <c r="AC742" s="11"/>
      <c r="AD742" s="11"/>
    </row>
    <row r="743" spans="1:30" ht="16" x14ac:dyDescent="0.2">
      <c r="A743" s="11"/>
      <c r="B743" s="12"/>
      <c r="C743" s="12"/>
      <c r="D743" s="12"/>
      <c r="E743" s="12"/>
      <c r="F743" s="12"/>
      <c r="G743" s="12"/>
      <c r="H743" s="12"/>
      <c r="I743" s="12"/>
      <c r="J743" s="12"/>
      <c r="K743" s="12"/>
      <c r="L743" s="12"/>
      <c r="M743" s="11"/>
      <c r="N743" s="11"/>
      <c r="O743" s="11"/>
      <c r="P743" s="11"/>
      <c r="Q743" s="11"/>
      <c r="R743" s="11"/>
      <c r="S743" s="11"/>
      <c r="T743" s="11"/>
      <c r="U743" s="11"/>
      <c r="V743" s="11"/>
      <c r="W743" s="11"/>
      <c r="X743" s="11"/>
      <c r="Y743" s="11"/>
      <c r="Z743" s="11"/>
      <c r="AA743" s="11"/>
      <c r="AB743" s="11"/>
      <c r="AC743" s="11"/>
      <c r="AD743" s="11"/>
    </row>
    <row r="744" spans="1:30" ht="16" x14ac:dyDescent="0.2">
      <c r="A744" s="11"/>
      <c r="B744" s="12"/>
      <c r="C744" s="12"/>
      <c r="D744" s="12"/>
      <c r="E744" s="12"/>
      <c r="F744" s="12"/>
      <c r="G744" s="12"/>
      <c r="H744" s="12"/>
      <c r="I744" s="12"/>
      <c r="J744" s="12"/>
      <c r="K744" s="12"/>
      <c r="L744" s="12"/>
      <c r="M744" s="11"/>
      <c r="N744" s="11"/>
      <c r="O744" s="11"/>
      <c r="P744" s="11"/>
      <c r="Q744" s="11"/>
      <c r="R744" s="11"/>
      <c r="S744" s="11"/>
      <c r="T744" s="11"/>
      <c r="U744" s="11"/>
      <c r="V744" s="11"/>
      <c r="W744" s="11"/>
      <c r="X744" s="11"/>
      <c r="Y744" s="11"/>
      <c r="Z744" s="11"/>
      <c r="AA744" s="11"/>
      <c r="AB744" s="11"/>
      <c r="AC744" s="11"/>
      <c r="AD744" s="11"/>
    </row>
    <row r="745" spans="1:30" ht="16" x14ac:dyDescent="0.2">
      <c r="A745" s="11"/>
      <c r="B745" s="12"/>
      <c r="C745" s="12"/>
      <c r="D745" s="12"/>
      <c r="E745" s="12"/>
      <c r="F745" s="12"/>
      <c r="G745" s="12"/>
      <c r="H745" s="12"/>
      <c r="I745" s="12"/>
      <c r="J745" s="12"/>
      <c r="K745" s="12"/>
      <c r="L745" s="12"/>
      <c r="M745" s="11"/>
      <c r="N745" s="11"/>
      <c r="O745" s="11"/>
      <c r="P745" s="11"/>
      <c r="Q745" s="11"/>
      <c r="R745" s="11"/>
      <c r="S745" s="11"/>
      <c r="T745" s="11"/>
      <c r="U745" s="11"/>
      <c r="V745" s="11"/>
      <c r="W745" s="11"/>
      <c r="X745" s="11"/>
      <c r="Y745" s="11"/>
      <c r="Z745" s="11"/>
      <c r="AA745" s="11"/>
      <c r="AB745" s="11"/>
      <c r="AC745" s="11"/>
      <c r="AD745" s="11"/>
    </row>
    <row r="746" spans="1:30" ht="16" x14ac:dyDescent="0.2">
      <c r="A746" s="11"/>
      <c r="B746" s="12"/>
      <c r="C746" s="12"/>
      <c r="D746" s="12"/>
      <c r="E746" s="12"/>
      <c r="F746" s="12"/>
      <c r="G746" s="12"/>
      <c r="H746" s="12"/>
      <c r="I746" s="12"/>
      <c r="J746" s="12"/>
      <c r="K746" s="12"/>
      <c r="L746" s="12"/>
      <c r="M746" s="11"/>
      <c r="N746" s="11"/>
      <c r="O746" s="11"/>
      <c r="P746" s="11"/>
      <c r="Q746" s="11"/>
      <c r="R746" s="11"/>
      <c r="S746" s="11"/>
      <c r="T746" s="11"/>
      <c r="U746" s="11"/>
      <c r="V746" s="11"/>
      <c r="W746" s="11"/>
      <c r="X746" s="11"/>
      <c r="Y746" s="11"/>
      <c r="Z746" s="11"/>
      <c r="AA746" s="11"/>
      <c r="AB746" s="11"/>
      <c r="AC746" s="11"/>
      <c r="AD746" s="11"/>
    </row>
    <row r="747" spans="1:30" ht="16" x14ac:dyDescent="0.2">
      <c r="A747" s="11"/>
      <c r="B747" s="12"/>
      <c r="C747" s="12"/>
      <c r="D747" s="12"/>
      <c r="E747" s="12"/>
      <c r="F747" s="12"/>
      <c r="G747" s="12"/>
      <c r="H747" s="12"/>
      <c r="I747" s="12"/>
      <c r="J747" s="12"/>
      <c r="K747" s="12"/>
      <c r="L747" s="12"/>
      <c r="M747" s="11"/>
      <c r="N747" s="11"/>
      <c r="O747" s="11"/>
      <c r="P747" s="11"/>
      <c r="Q747" s="11"/>
      <c r="R747" s="11"/>
      <c r="S747" s="11"/>
      <c r="T747" s="11"/>
      <c r="U747" s="11"/>
      <c r="V747" s="11"/>
      <c r="W747" s="11"/>
      <c r="X747" s="11"/>
      <c r="Y747" s="11"/>
      <c r="Z747" s="11"/>
      <c r="AA747" s="11"/>
      <c r="AB747" s="11"/>
      <c r="AC747" s="11"/>
      <c r="AD747" s="11"/>
    </row>
    <row r="748" spans="1:30" ht="16" x14ac:dyDescent="0.2">
      <c r="A748" s="11"/>
      <c r="B748" s="12"/>
      <c r="C748" s="12"/>
      <c r="D748" s="12"/>
      <c r="E748" s="12"/>
      <c r="F748" s="12"/>
      <c r="G748" s="12"/>
      <c r="H748" s="12"/>
      <c r="I748" s="12"/>
      <c r="J748" s="12"/>
      <c r="K748" s="12"/>
      <c r="L748" s="12"/>
      <c r="M748" s="11"/>
      <c r="N748" s="11"/>
      <c r="O748" s="11"/>
      <c r="P748" s="11"/>
      <c r="Q748" s="11"/>
      <c r="R748" s="11"/>
      <c r="S748" s="11"/>
      <c r="T748" s="11"/>
      <c r="U748" s="11"/>
      <c r="V748" s="11"/>
      <c r="W748" s="11"/>
      <c r="X748" s="11"/>
      <c r="Y748" s="11"/>
      <c r="Z748" s="11"/>
      <c r="AA748" s="11"/>
      <c r="AB748" s="11"/>
      <c r="AC748" s="11"/>
      <c r="AD748" s="11"/>
    </row>
    <row r="749" spans="1:30" ht="16" x14ac:dyDescent="0.2">
      <c r="A749" s="11"/>
      <c r="B749" s="12"/>
      <c r="C749" s="12"/>
      <c r="D749" s="12"/>
      <c r="E749" s="12"/>
      <c r="F749" s="12"/>
      <c r="G749" s="12"/>
      <c r="H749" s="12"/>
      <c r="I749" s="12"/>
      <c r="J749" s="12"/>
      <c r="K749" s="12"/>
      <c r="L749" s="12"/>
      <c r="M749" s="11"/>
      <c r="N749" s="11"/>
      <c r="O749" s="11"/>
      <c r="P749" s="11"/>
      <c r="Q749" s="11"/>
      <c r="R749" s="11"/>
      <c r="S749" s="11"/>
      <c r="T749" s="11"/>
      <c r="U749" s="11"/>
      <c r="V749" s="11"/>
      <c r="W749" s="11"/>
      <c r="X749" s="11"/>
      <c r="Y749" s="11"/>
      <c r="Z749" s="11"/>
      <c r="AA749" s="11"/>
      <c r="AB749" s="11"/>
      <c r="AC749" s="11"/>
      <c r="AD749" s="11"/>
    </row>
    <row r="750" spans="1:30" ht="16" x14ac:dyDescent="0.2">
      <c r="A750" s="11"/>
      <c r="B750" s="12"/>
      <c r="C750" s="12"/>
      <c r="D750" s="12"/>
      <c r="E750" s="12"/>
      <c r="F750" s="12"/>
      <c r="G750" s="12"/>
      <c r="H750" s="12"/>
      <c r="I750" s="12"/>
      <c r="J750" s="12"/>
      <c r="K750" s="12"/>
      <c r="L750" s="12"/>
      <c r="M750" s="11"/>
      <c r="N750" s="11"/>
      <c r="O750" s="11"/>
      <c r="P750" s="11"/>
      <c r="Q750" s="11"/>
      <c r="R750" s="11"/>
      <c r="S750" s="11"/>
      <c r="T750" s="11"/>
      <c r="U750" s="11"/>
      <c r="V750" s="11"/>
      <c r="W750" s="11"/>
      <c r="X750" s="11"/>
      <c r="Y750" s="11"/>
      <c r="Z750" s="11"/>
      <c r="AA750" s="11"/>
      <c r="AB750" s="11"/>
      <c r="AC750" s="11"/>
      <c r="AD750" s="11"/>
    </row>
    <row r="751" spans="1:30" ht="16" x14ac:dyDescent="0.2">
      <c r="A751" s="11"/>
      <c r="B751" s="12"/>
      <c r="C751" s="12"/>
      <c r="D751" s="12"/>
      <c r="E751" s="12"/>
      <c r="F751" s="12"/>
      <c r="G751" s="12"/>
      <c r="H751" s="12"/>
      <c r="I751" s="12"/>
      <c r="J751" s="12"/>
      <c r="K751" s="12"/>
      <c r="L751" s="12"/>
      <c r="M751" s="11"/>
      <c r="N751" s="11"/>
      <c r="O751" s="11"/>
      <c r="P751" s="11"/>
      <c r="Q751" s="11"/>
      <c r="R751" s="11"/>
      <c r="S751" s="11"/>
      <c r="T751" s="11"/>
      <c r="U751" s="11"/>
      <c r="V751" s="11"/>
      <c r="W751" s="11"/>
      <c r="X751" s="11"/>
      <c r="Y751" s="11"/>
      <c r="Z751" s="11"/>
      <c r="AA751" s="11"/>
      <c r="AB751" s="11"/>
      <c r="AC751" s="11"/>
      <c r="AD751" s="11"/>
    </row>
    <row r="752" spans="1:30" ht="16" x14ac:dyDescent="0.2">
      <c r="A752" s="11"/>
      <c r="B752" s="12"/>
      <c r="C752" s="12"/>
      <c r="D752" s="12"/>
      <c r="E752" s="12"/>
      <c r="F752" s="12"/>
      <c r="G752" s="12"/>
      <c r="H752" s="12"/>
      <c r="I752" s="12"/>
      <c r="J752" s="12"/>
      <c r="K752" s="12"/>
      <c r="L752" s="12"/>
      <c r="M752" s="11"/>
      <c r="N752" s="11"/>
      <c r="O752" s="11"/>
      <c r="P752" s="11"/>
      <c r="Q752" s="11"/>
      <c r="R752" s="11"/>
      <c r="S752" s="11"/>
      <c r="T752" s="11"/>
      <c r="U752" s="11"/>
      <c r="V752" s="11"/>
      <c r="W752" s="11"/>
      <c r="X752" s="11"/>
      <c r="Y752" s="11"/>
      <c r="Z752" s="11"/>
      <c r="AA752" s="11"/>
      <c r="AB752" s="11"/>
      <c r="AC752" s="11"/>
      <c r="AD752" s="11"/>
    </row>
    <row r="753" spans="1:30" ht="16" x14ac:dyDescent="0.2">
      <c r="A753" s="11"/>
      <c r="B753" s="12"/>
      <c r="C753" s="12"/>
      <c r="D753" s="12"/>
      <c r="E753" s="12"/>
      <c r="F753" s="12"/>
      <c r="G753" s="12"/>
      <c r="H753" s="12"/>
      <c r="I753" s="12"/>
      <c r="J753" s="12"/>
      <c r="K753" s="12"/>
      <c r="L753" s="12"/>
      <c r="M753" s="11"/>
      <c r="N753" s="11"/>
      <c r="O753" s="11"/>
      <c r="P753" s="11"/>
      <c r="Q753" s="11"/>
      <c r="R753" s="11"/>
      <c r="S753" s="11"/>
      <c r="T753" s="11"/>
      <c r="U753" s="11"/>
      <c r="V753" s="11"/>
      <c r="W753" s="11"/>
      <c r="X753" s="11"/>
      <c r="Y753" s="11"/>
      <c r="Z753" s="11"/>
      <c r="AA753" s="11"/>
      <c r="AB753" s="11"/>
      <c r="AC753" s="11"/>
      <c r="AD753" s="11"/>
    </row>
    <row r="754" spans="1:30" ht="16" x14ac:dyDescent="0.2">
      <c r="A754" s="11"/>
      <c r="B754" s="12"/>
      <c r="C754" s="12"/>
      <c r="D754" s="12"/>
      <c r="E754" s="12"/>
      <c r="F754" s="12"/>
      <c r="G754" s="12"/>
      <c r="H754" s="12"/>
      <c r="I754" s="12"/>
      <c r="J754" s="12"/>
      <c r="K754" s="12"/>
      <c r="L754" s="12"/>
      <c r="M754" s="11"/>
      <c r="N754" s="11"/>
      <c r="O754" s="11"/>
      <c r="P754" s="11"/>
      <c r="Q754" s="11"/>
      <c r="R754" s="11"/>
      <c r="S754" s="11"/>
      <c r="T754" s="11"/>
      <c r="U754" s="11"/>
      <c r="V754" s="11"/>
      <c r="W754" s="11"/>
      <c r="X754" s="11"/>
      <c r="Y754" s="11"/>
      <c r="Z754" s="11"/>
      <c r="AA754" s="11"/>
      <c r="AB754" s="11"/>
      <c r="AC754" s="11"/>
      <c r="AD754" s="11"/>
    </row>
    <row r="755" spans="1:30" ht="16" x14ac:dyDescent="0.2">
      <c r="A755" s="11"/>
      <c r="B755" s="12"/>
      <c r="C755" s="12"/>
      <c r="D755" s="12"/>
      <c r="E755" s="12"/>
      <c r="F755" s="12"/>
      <c r="G755" s="12"/>
      <c r="H755" s="12"/>
      <c r="I755" s="12"/>
      <c r="J755" s="12"/>
      <c r="K755" s="12"/>
      <c r="L755" s="12"/>
      <c r="M755" s="11"/>
      <c r="N755" s="11"/>
      <c r="O755" s="11"/>
      <c r="P755" s="11"/>
      <c r="Q755" s="11"/>
      <c r="R755" s="11"/>
      <c r="S755" s="11"/>
      <c r="T755" s="11"/>
      <c r="U755" s="11"/>
      <c r="V755" s="11"/>
      <c r="W755" s="11"/>
      <c r="X755" s="11"/>
      <c r="Y755" s="11"/>
      <c r="Z755" s="11"/>
      <c r="AA755" s="11"/>
      <c r="AB755" s="11"/>
      <c r="AC755" s="11"/>
      <c r="AD755" s="11"/>
    </row>
    <row r="756" spans="1:30" ht="16" x14ac:dyDescent="0.2">
      <c r="A756" s="11"/>
      <c r="B756" s="12"/>
      <c r="C756" s="12"/>
      <c r="D756" s="12"/>
      <c r="E756" s="12"/>
      <c r="F756" s="12"/>
      <c r="G756" s="12"/>
      <c r="H756" s="12"/>
      <c r="I756" s="12"/>
      <c r="J756" s="12"/>
      <c r="K756" s="12"/>
      <c r="L756" s="12"/>
      <c r="M756" s="11"/>
      <c r="N756" s="11"/>
      <c r="O756" s="11"/>
      <c r="P756" s="11"/>
      <c r="Q756" s="11"/>
      <c r="R756" s="11"/>
      <c r="S756" s="11"/>
      <c r="T756" s="11"/>
      <c r="U756" s="11"/>
      <c r="V756" s="11"/>
      <c r="W756" s="11"/>
      <c r="X756" s="11"/>
      <c r="Y756" s="11"/>
      <c r="Z756" s="11"/>
      <c r="AA756" s="11"/>
      <c r="AB756" s="11"/>
      <c r="AC756" s="11"/>
      <c r="AD756" s="11"/>
    </row>
    <row r="757" spans="1:30" ht="16" x14ac:dyDescent="0.2">
      <c r="A757" s="11"/>
      <c r="B757" s="12"/>
      <c r="C757" s="12"/>
      <c r="D757" s="12"/>
      <c r="E757" s="12"/>
      <c r="F757" s="12"/>
      <c r="G757" s="12"/>
      <c r="H757" s="12"/>
      <c r="I757" s="12"/>
      <c r="J757" s="12"/>
      <c r="K757" s="12"/>
      <c r="L757" s="12"/>
      <c r="M757" s="11"/>
      <c r="N757" s="11"/>
      <c r="O757" s="11"/>
      <c r="P757" s="11"/>
      <c r="Q757" s="11"/>
      <c r="R757" s="11"/>
      <c r="S757" s="11"/>
      <c r="T757" s="11"/>
      <c r="U757" s="11"/>
      <c r="V757" s="11"/>
      <c r="W757" s="11"/>
      <c r="X757" s="11"/>
      <c r="Y757" s="11"/>
      <c r="Z757" s="11"/>
      <c r="AA757" s="11"/>
      <c r="AB757" s="11"/>
      <c r="AC757" s="11"/>
      <c r="AD757" s="11"/>
    </row>
    <row r="758" spans="1:30" ht="16" x14ac:dyDescent="0.2">
      <c r="A758" s="11"/>
      <c r="B758" s="12"/>
      <c r="C758" s="12"/>
      <c r="D758" s="12"/>
      <c r="E758" s="12"/>
      <c r="F758" s="12"/>
      <c r="G758" s="12"/>
      <c r="H758" s="12"/>
      <c r="I758" s="12"/>
      <c r="J758" s="12"/>
      <c r="K758" s="12"/>
      <c r="L758" s="12"/>
      <c r="M758" s="11"/>
      <c r="N758" s="11"/>
      <c r="O758" s="11"/>
      <c r="P758" s="11"/>
      <c r="Q758" s="11"/>
      <c r="R758" s="11"/>
      <c r="S758" s="11"/>
      <c r="T758" s="11"/>
      <c r="U758" s="11"/>
      <c r="V758" s="11"/>
      <c r="W758" s="11"/>
      <c r="X758" s="11"/>
      <c r="Y758" s="11"/>
      <c r="Z758" s="11"/>
      <c r="AA758" s="11"/>
      <c r="AB758" s="11"/>
      <c r="AC758" s="11"/>
      <c r="AD758" s="11"/>
    </row>
    <row r="759" spans="1:30" ht="16" x14ac:dyDescent="0.2">
      <c r="A759" s="11"/>
      <c r="B759" s="12"/>
      <c r="C759" s="12"/>
      <c r="D759" s="12"/>
      <c r="E759" s="12"/>
      <c r="F759" s="12"/>
      <c r="G759" s="12"/>
      <c r="H759" s="12"/>
      <c r="I759" s="12"/>
      <c r="J759" s="12"/>
      <c r="K759" s="12"/>
      <c r="L759" s="12"/>
      <c r="M759" s="11"/>
      <c r="N759" s="11"/>
      <c r="O759" s="11"/>
      <c r="P759" s="11"/>
      <c r="Q759" s="11"/>
      <c r="R759" s="11"/>
      <c r="S759" s="11"/>
      <c r="T759" s="11"/>
      <c r="U759" s="11"/>
      <c r="V759" s="11"/>
      <c r="W759" s="11"/>
      <c r="X759" s="11"/>
      <c r="Y759" s="11"/>
      <c r="Z759" s="11"/>
      <c r="AA759" s="11"/>
      <c r="AB759" s="11"/>
      <c r="AC759" s="11"/>
      <c r="AD759" s="11"/>
    </row>
    <row r="760" spans="1:30" ht="16" x14ac:dyDescent="0.2">
      <c r="A760" s="11"/>
      <c r="B760" s="12"/>
      <c r="C760" s="12"/>
      <c r="D760" s="12"/>
      <c r="E760" s="12"/>
      <c r="F760" s="12"/>
      <c r="G760" s="12"/>
      <c r="H760" s="12"/>
      <c r="I760" s="12"/>
      <c r="J760" s="12"/>
      <c r="K760" s="12"/>
      <c r="L760" s="12"/>
      <c r="M760" s="11"/>
      <c r="N760" s="11"/>
      <c r="O760" s="11"/>
      <c r="P760" s="11"/>
      <c r="Q760" s="11"/>
      <c r="R760" s="11"/>
      <c r="S760" s="11"/>
      <c r="T760" s="11"/>
      <c r="U760" s="11"/>
      <c r="V760" s="11"/>
      <c r="W760" s="11"/>
      <c r="X760" s="11"/>
      <c r="Y760" s="11"/>
      <c r="Z760" s="11"/>
      <c r="AA760" s="11"/>
      <c r="AB760" s="11"/>
      <c r="AC760" s="11"/>
      <c r="AD760" s="11"/>
    </row>
    <row r="761" spans="1:30" ht="16" x14ac:dyDescent="0.2">
      <c r="A761" s="11"/>
      <c r="B761" s="12"/>
      <c r="C761" s="12"/>
      <c r="D761" s="12"/>
      <c r="E761" s="12"/>
      <c r="F761" s="12"/>
      <c r="G761" s="12"/>
      <c r="H761" s="12"/>
      <c r="I761" s="12"/>
      <c r="J761" s="12"/>
      <c r="K761" s="12"/>
      <c r="L761" s="12"/>
      <c r="M761" s="11"/>
      <c r="N761" s="11"/>
      <c r="O761" s="11"/>
      <c r="P761" s="11"/>
      <c r="Q761" s="11"/>
      <c r="R761" s="11"/>
      <c r="S761" s="11"/>
      <c r="T761" s="11"/>
      <c r="U761" s="11"/>
      <c r="V761" s="11"/>
      <c r="W761" s="11"/>
      <c r="X761" s="11"/>
      <c r="Y761" s="11"/>
      <c r="Z761" s="11"/>
      <c r="AA761" s="11"/>
      <c r="AB761" s="11"/>
      <c r="AC761" s="11"/>
      <c r="AD761" s="11"/>
    </row>
    <row r="762" spans="1:30" ht="16" x14ac:dyDescent="0.2">
      <c r="A762" s="11"/>
      <c r="B762" s="12"/>
      <c r="C762" s="12"/>
      <c r="D762" s="12"/>
      <c r="E762" s="12"/>
      <c r="F762" s="12"/>
      <c r="G762" s="12"/>
      <c r="H762" s="12"/>
      <c r="I762" s="12"/>
      <c r="J762" s="12"/>
      <c r="K762" s="12"/>
      <c r="L762" s="12"/>
      <c r="M762" s="11"/>
      <c r="N762" s="11"/>
      <c r="O762" s="11"/>
      <c r="P762" s="11"/>
      <c r="Q762" s="11"/>
      <c r="R762" s="11"/>
      <c r="S762" s="11"/>
      <c r="T762" s="11"/>
      <c r="U762" s="11"/>
      <c r="V762" s="11"/>
      <c r="W762" s="11"/>
      <c r="X762" s="11"/>
      <c r="Y762" s="11"/>
      <c r="Z762" s="11"/>
      <c r="AA762" s="11"/>
      <c r="AB762" s="11"/>
      <c r="AC762" s="11"/>
      <c r="AD762" s="11"/>
    </row>
    <row r="763" spans="1:30" ht="16" x14ac:dyDescent="0.2">
      <c r="A763" s="11"/>
      <c r="B763" s="12"/>
      <c r="C763" s="12"/>
      <c r="D763" s="12"/>
      <c r="E763" s="12"/>
      <c r="F763" s="12"/>
      <c r="G763" s="12"/>
      <c r="H763" s="12"/>
      <c r="I763" s="12"/>
      <c r="J763" s="12"/>
      <c r="K763" s="12"/>
      <c r="L763" s="12"/>
      <c r="M763" s="11"/>
      <c r="N763" s="11"/>
      <c r="O763" s="11"/>
      <c r="P763" s="11"/>
      <c r="Q763" s="11"/>
      <c r="R763" s="11"/>
      <c r="S763" s="11"/>
      <c r="T763" s="11"/>
      <c r="U763" s="11"/>
      <c r="V763" s="11"/>
      <c r="W763" s="11"/>
      <c r="X763" s="11"/>
      <c r="Y763" s="11"/>
      <c r="Z763" s="11"/>
      <c r="AA763" s="11"/>
      <c r="AB763" s="11"/>
      <c r="AC763" s="11"/>
      <c r="AD763" s="11"/>
    </row>
    <row r="764" spans="1:30" ht="16" x14ac:dyDescent="0.2">
      <c r="A764" s="11"/>
      <c r="B764" s="12"/>
      <c r="C764" s="12"/>
      <c r="D764" s="12"/>
      <c r="E764" s="12"/>
      <c r="F764" s="12"/>
      <c r="G764" s="12"/>
      <c r="H764" s="12"/>
      <c r="I764" s="12"/>
      <c r="J764" s="12"/>
      <c r="K764" s="12"/>
      <c r="L764" s="12"/>
      <c r="M764" s="11"/>
      <c r="N764" s="11"/>
      <c r="O764" s="11"/>
      <c r="P764" s="11"/>
      <c r="Q764" s="11"/>
      <c r="R764" s="11"/>
      <c r="S764" s="11"/>
      <c r="T764" s="11"/>
      <c r="U764" s="11"/>
      <c r="V764" s="11"/>
      <c r="W764" s="11"/>
      <c r="X764" s="11"/>
      <c r="Y764" s="11"/>
      <c r="Z764" s="11"/>
      <c r="AA764" s="11"/>
      <c r="AB764" s="11"/>
      <c r="AC764" s="11"/>
      <c r="AD764" s="11"/>
    </row>
    <row r="765" spans="1:30" ht="16" x14ac:dyDescent="0.2">
      <c r="A765" s="11"/>
      <c r="B765" s="12"/>
      <c r="C765" s="12"/>
      <c r="D765" s="12"/>
      <c r="E765" s="12"/>
      <c r="F765" s="12"/>
      <c r="G765" s="12"/>
      <c r="H765" s="12"/>
      <c r="I765" s="12"/>
      <c r="J765" s="12"/>
      <c r="K765" s="12"/>
      <c r="L765" s="12"/>
      <c r="M765" s="11"/>
      <c r="N765" s="11"/>
      <c r="O765" s="11"/>
      <c r="P765" s="11"/>
      <c r="Q765" s="11"/>
      <c r="R765" s="11"/>
      <c r="S765" s="11"/>
      <c r="T765" s="11"/>
      <c r="U765" s="11"/>
      <c r="V765" s="11"/>
      <c r="W765" s="11"/>
      <c r="X765" s="11"/>
      <c r="Y765" s="11"/>
      <c r="Z765" s="11"/>
      <c r="AA765" s="11"/>
      <c r="AB765" s="11"/>
      <c r="AC765" s="11"/>
      <c r="AD765" s="11"/>
    </row>
    <row r="766" spans="1:30" ht="16" x14ac:dyDescent="0.2">
      <c r="A766" s="11"/>
      <c r="B766" s="12"/>
      <c r="C766" s="12"/>
      <c r="D766" s="12"/>
      <c r="E766" s="12"/>
      <c r="F766" s="12"/>
      <c r="G766" s="12"/>
      <c r="H766" s="12"/>
      <c r="I766" s="12"/>
      <c r="J766" s="12"/>
      <c r="K766" s="12"/>
      <c r="L766" s="12"/>
      <c r="M766" s="11"/>
      <c r="N766" s="11"/>
      <c r="O766" s="11"/>
      <c r="P766" s="11"/>
      <c r="Q766" s="11"/>
      <c r="R766" s="11"/>
      <c r="S766" s="11"/>
      <c r="T766" s="11"/>
      <c r="U766" s="11"/>
      <c r="V766" s="11"/>
      <c r="W766" s="11"/>
      <c r="X766" s="11"/>
      <c r="Y766" s="11"/>
      <c r="Z766" s="11"/>
      <c r="AA766" s="11"/>
      <c r="AB766" s="11"/>
      <c r="AC766" s="11"/>
      <c r="AD766" s="11"/>
    </row>
    <row r="767" spans="1:30" ht="16" x14ac:dyDescent="0.2">
      <c r="A767" s="11"/>
      <c r="B767" s="12"/>
      <c r="C767" s="12"/>
      <c r="D767" s="12"/>
      <c r="E767" s="12"/>
      <c r="F767" s="12"/>
      <c r="G767" s="12"/>
      <c r="H767" s="12"/>
      <c r="I767" s="12"/>
      <c r="J767" s="12"/>
      <c r="K767" s="12"/>
      <c r="L767" s="12"/>
      <c r="M767" s="11"/>
      <c r="N767" s="11"/>
      <c r="O767" s="11"/>
      <c r="P767" s="11"/>
      <c r="Q767" s="11"/>
      <c r="R767" s="11"/>
      <c r="S767" s="11"/>
      <c r="T767" s="11"/>
      <c r="U767" s="11"/>
      <c r="V767" s="11"/>
      <c r="W767" s="11"/>
      <c r="X767" s="11"/>
      <c r="Y767" s="11"/>
      <c r="Z767" s="11"/>
      <c r="AA767" s="11"/>
      <c r="AB767" s="11"/>
      <c r="AC767" s="11"/>
      <c r="AD767" s="11"/>
    </row>
    <row r="768" spans="1:30" ht="16" x14ac:dyDescent="0.2">
      <c r="A768" s="11"/>
      <c r="B768" s="12"/>
      <c r="C768" s="12"/>
      <c r="D768" s="12"/>
      <c r="E768" s="12"/>
      <c r="F768" s="12"/>
      <c r="G768" s="12"/>
      <c r="H768" s="12"/>
      <c r="I768" s="12"/>
      <c r="J768" s="12"/>
      <c r="K768" s="12"/>
      <c r="L768" s="12"/>
      <c r="M768" s="11"/>
      <c r="N768" s="11"/>
      <c r="O768" s="11"/>
      <c r="P768" s="11"/>
      <c r="Q768" s="11"/>
      <c r="R768" s="11"/>
      <c r="S768" s="11"/>
      <c r="T768" s="11"/>
      <c r="U768" s="11"/>
      <c r="V768" s="11"/>
      <c r="W768" s="11"/>
      <c r="X768" s="11"/>
      <c r="Y768" s="11"/>
      <c r="Z768" s="11"/>
      <c r="AA768" s="11"/>
      <c r="AB768" s="11"/>
      <c r="AC768" s="11"/>
      <c r="AD768" s="11"/>
    </row>
    <row r="769" spans="1:30" ht="16" x14ac:dyDescent="0.2">
      <c r="A769" s="11"/>
      <c r="B769" s="12"/>
      <c r="C769" s="12"/>
      <c r="D769" s="12"/>
      <c r="E769" s="12"/>
      <c r="F769" s="12"/>
      <c r="G769" s="12"/>
      <c r="H769" s="12"/>
      <c r="I769" s="12"/>
      <c r="J769" s="12"/>
      <c r="K769" s="12"/>
      <c r="L769" s="12"/>
      <c r="M769" s="11"/>
      <c r="N769" s="11"/>
      <c r="O769" s="11"/>
      <c r="P769" s="11"/>
      <c r="Q769" s="11"/>
      <c r="R769" s="11"/>
      <c r="S769" s="11"/>
      <c r="T769" s="11"/>
      <c r="U769" s="11"/>
      <c r="V769" s="11"/>
      <c r="W769" s="11"/>
      <c r="X769" s="11"/>
      <c r="Y769" s="11"/>
      <c r="Z769" s="11"/>
      <c r="AA769" s="11"/>
      <c r="AB769" s="11"/>
      <c r="AC769" s="11"/>
      <c r="AD769" s="11"/>
    </row>
    <row r="770" spans="1:30" ht="16" x14ac:dyDescent="0.2">
      <c r="A770" s="11"/>
      <c r="B770" s="12"/>
      <c r="C770" s="12"/>
      <c r="D770" s="12"/>
      <c r="E770" s="12"/>
      <c r="F770" s="12"/>
      <c r="G770" s="12"/>
      <c r="H770" s="12"/>
      <c r="I770" s="12"/>
      <c r="J770" s="12"/>
      <c r="K770" s="12"/>
      <c r="L770" s="12"/>
      <c r="M770" s="11"/>
      <c r="N770" s="11"/>
      <c r="O770" s="11"/>
      <c r="P770" s="11"/>
      <c r="Q770" s="11"/>
      <c r="R770" s="11"/>
      <c r="S770" s="11"/>
      <c r="T770" s="11"/>
      <c r="U770" s="11"/>
      <c r="V770" s="11"/>
      <c r="W770" s="11"/>
      <c r="X770" s="11"/>
      <c r="Y770" s="11"/>
      <c r="Z770" s="11"/>
      <c r="AA770" s="11"/>
      <c r="AB770" s="11"/>
      <c r="AC770" s="11"/>
      <c r="AD770" s="11"/>
    </row>
    <row r="771" spans="1:30" ht="16" x14ac:dyDescent="0.2">
      <c r="A771" s="11"/>
      <c r="B771" s="12"/>
      <c r="C771" s="12"/>
      <c r="D771" s="12"/>
      <c r="E771" s="12"/>
      <c r="F771" s="12"/>
      <c r="G771" s="12"/>
      <c r="H771" s="12"/>
      <c r="I771" s="12"/>
      <c r="J771" s="12"/>
      <c r="K771" s="12"/>
      <c r="L771" s="12"/>
      <c r="M771" s="11"/>
      <c r="N771" s="11"/>
      <c r="O771" s="11"/>
      <c r="P771" s="11"/>
      <c r="Q771" s="11"/>
      <c r="R771" s="11"/>
      <c r="S771" s="11"/>
      <c r="T771" s="11"/>
      <c r="U771" s="11"/>
      <c r="V771" s="11"/>
      <c r="W771" s="11"/>
      <c r="X771" s="11"/>
      <c r="Y771" s="11"/>
      <c r="Z771" s="11"/>
      <c r="AA771" s="11"/>
      <c r="AB771" s="11"/>
      <c r="AC771" s="11"/>
      <c r="AD771" s="11"/>
    </row>
    <row r="772" spans="1:30" ht="16" x14ac:dyDescent="0.2">
      <c r="A772" s="11"/>
      <c r="B772" s="12"/>
      <c r="C772" s="12"/>
      <c r="D772" s="12"/>
      <c r="E772" s="12"/>
      <c r="F772" s="12"/>
      <c r="G772" s="12"/>
      <c r="H772" s="12"/>
      <c r="I772" s="12"/>
      <c r="J772" s="12"/>
      <c r="K772" s="12"/>
      <c r="L772" s="12"/>
      <c r="M772" s="11"/>
      <c r="N772" s="11"/>
      <c r="O772" s="11"/>
      <c r="P772" s="11"/>
      <c r="Q772" s="11"/>
      <c r="R772" s="11"/>
      <c r="S772" s="11"/>
      <c r="T772" s="11"/>
      <c r="U772" s="11"/>
      <c r="V772" s="11"/>
      <c r="W772" s="11"/>
      <c r="X772" s="11"/>
      <c r="Y772" s="11"/>
      <c r="Z772" s="11"/>
      <c r="AA772" s="11"/>
      <c r="AB772" s="11"/>
      <c r="AC772" s="11"/>
      <c r="AD772" s="11"/>
    </row>
    <row r="773" spans="1:30" ht="16" x14ac:dyDescent="0.2">
      <c r="A773" s="11"/>
      <c r="B773" s="12"/>
      <c r="C773" s="12"/>
      <c r="D773" s="12"/>
      <c r="E773" s="12"/>
      <c r="F773" s="12"/>
      <c r="G773" s="12"/>
      <c r="H773" s="12"/>
      <c r="I773" s="12"/>
      <c r="J773" s="12"/>
      <c r="K773" s="12"/>
      <c r="L773" s="12"/>
      <c r="M773" s="11"/>
      <c r="N773" s="11"/>
      <c r="O773" s="11"/>
      <c r="P773" s="11"/>
      <c r="Q773" s="11"/>
      <c r="R773" s="11"/>
      <c r="S773" s="11"/>
      <c r="T773" s="11"/>
      <c r="U773" s="11"/>
      <c r="V773" s="11"/>
      <c r="W773" s="11"/>
      <c r="X773" s="11"/>
      <c r="Y773" s="11"/>
      <c r="Z773" s="11"/>
      <c r="AA773" s="11"/>
      <c r="AB773" s="11"/>
      <c r="AC773" s="11"/>
      <c r="AD773" s="11"/>
    </row>
    <row r="774" spans="1:30" ht="16" x14ac:dyDescent="0.2">
      <c r="A774" s="11"/>
      <c r="B774" s="12"/>
      <c r="C774" s="12"/>
      <c r="D774" s="12"/>
      <c r="E774" s="12"/>
      <c r="F774" s="12"/>
      <c r="G774" s="12"/>
      <c r="H774" s="12"/>
      <c r="I774" s="12"/>
      <c r="J774" s="12"/>
      <c r="K774" s="12"/>
      <c r="L774" s="12"/>
      <c r="M774" s="11"/>
      <c r="N774" s="11"/>
      <c r="O774" s="11"/>
      <c r="P774" s="11"/>
      <c r="Q774" s="11"/>
      <c r="R774" s="11"/>
      <c r="S774" s="11"/>
      <c r="T774" s="11"/>
      <c r="U774" s="11"/>
      <c r="V774" s="11"/>
      <c r="W774" s="11"/>
      <c r="X774" s="11"/>
      <c r="Y774" s="11"/>
      <c r="Z774" s="11"/>
      <c r="AA774" s="11"/>
      <c r="AB774" s="11"/>
      <c r="AC774" s="11"/>
      <c r="AD774" s="11"/>
    </row>
    <row r="775" spans="1:30" ht="16" x14ac:dyDescent="0.2">
      <c r="A775" s="11"/>
      <c r="B775" s="12"/>
      <c r="C775" s="12"/>
      <c r="D775" s="12"/>
      <c r="E775" s="12"/>
      <c r="F775" s="12"/>
      <c r="G775" s="12"/>
      <c r="H775" s="12"/>
      <c r="I775" s="12"/>
      <c r="J775" s="12"/>
      <c r="K775" s="12"/>
      <c r="L775" s="12"/>
      <c r="M775" s="11"/>
      <c r="N775" s="11"/>
      <c r="O775" s="11"/>
      <c r="P775" s="11"/>
      <c r="Q775" s="11"/>
      <c r="R775" s="11"/>
      <c r="S775" s="11"/>
      <c r="T775" s="11"/>
      <c r="U775" s="11"/>
      <c r="V775" s="11"/>
      <c r="W775" s="11"/>
      <c r="X775" s="11"/>
      <c r="Y775" s="11"/>
      <c r="Z775" s="11"/>
      <c r="AA775" s="11"/>
      <c r="AB775" s="11"/>
      <c r="AC775" s="11"/>
      <c r="AD775" s="11"/>
    </row>
    <row r="776" spans="1:30" ht="16" x14ac:dyDescent="0.2">
      <c r="A776" s="11"/>
      <c r="B776" s="12"/>
      <c r="C776" s="12"/>
      <c r="D776" s="12"/>
      <c r="E776" s="12"/>
      <c r="F776" s="12"/>
      <c r="G776" s="12"/>
      <c r="H776" s="12"/>
      <c r="I776" s="12"/>
      <c r="J776" s="12"/>
      <c r="K776" s="12"/>
      <c r="L776" s="12"/>
      <c r="M776" s="11"/>
      <c r="N776" s="11"/>
      <c r="O776" s="11"/>
      <c r="P776" s="11"/>
      <c r="Q776" s="11"/>
      <c r="R776" s="11"/>
      <c r="S776" s="11"/>
      <c r="T776" s="11"/>
      <c r="U776" s="11"/>
      <c r="V776" s="11"/>
      <c r="W776" s="11"/>
      <c r="X776" s="11"/>
      <c r="Y776" s="11"/>
      <c r="Z776" s="11"/>
      <c r="AA776" s="11"/>
      <c r="AB776" s="11"/>
      <c r="AC776" s="11"/>
      <c r="AD776" s="11"/>
    </row>
    <row r="777" spans="1:30" ht="16" x14ac:dyDescent="0.2">
      <c r="A777" s="11"/>
      <c r="B777" s="12"/>
      <c r="C777" s="12"/>
      <c r="D777" s="12"/>
      <c r="E777" s="12"/>
      <c r="F777" s="12"/>
      <c r="G777" s="12"/>
      <c r="H777" s="12"/>
      <c r="I777" s="12"/>
      <c r="J777" s="12"/>
      <c r="K777" s="12"/>
      <c r="L777" s="12"/>
      <c r="M777" s="11"/>
      <c r="N777" s="11"/>
      <c r="O777" s="11"/>
      <c r="P777" s="11"/>
      <c r="Q777" s="11"/>
      <c r="R777" s="11"/>
      <c r="S777" s="11"/>
      <c r="T777" s="11"/>
      <c r="U777" s="11"/>
      <c r="V777" s="11"/>
      <c r="W777" s="11"/>
      <c r="X777" s="11"/>
      <c r="Y777" s="11"/>
      <c r="Z777" s="11"/>
      <c r="AA777" s="11"/>
      <c r="AB777" s="11"/>
      <c r="AC777" s="11"/>
      <c r="AD777" s="11"/>
    </row>
    <row r="778" spans="1:30" ht="16" x14ac:dyDescent="0.2">
      <c r="A778" s="11"/>
      <c r="B778" s="12"/>
      <c r="C778" s="12"/>
      <c r="D778" s="12"/>
      <c r="E778" s="12"/>
      <c r="F778" s="12"/>
      <c r="G778" s="12"/>
      <c r="H778" s="12"/>
      <c r="I778" s="12"/>
      <c r="J778" s="12"/>
      <c r="K778" s="12"/>
      <c r="L778" s="12"/>
      <c r="M778" s="11"/>
      <c r="N778" s="11"/>
      <c r="O778" s="11"/>
      <c r="P778" s="11"/>
      <c r="Q778" s="11"/>
      <c r="R778" s="11"/>
      <c r="S778" s="11"/>
      <c r="T778" s="11"/>
      <c r="U778" s="11"/>
      <c r="V778" s="11"/>
      <c r="W778" s="11"/>
      <c r="X778" s="11"/>
      <c r="Y778" s="11"/>
      <c r="Z778" s="11"/>
      <c r="AA778" s="11"/>
      <c r="AB778" s="11"/>
      <c r="AC778" s="11"/>
      <c r="AD778" s="11"/>
    </row>
    <row r="779" spans="1:30" ht="16" x14ac:dyDescent="0.2">
      <c r="A779" s="11"/>
      <c r="B779" s="12"/>
      <c r="C779" s="12"/>
      <c r="D779" s="12"/>
      <c r="E779" s="12"/>
      <c r="F779" s="12"/>
      <c r="G779" s="12"/>
      <c r="H779" s="12"/>
      <c r="I779" s="12"/>
      <c r="J779" s="12"/>
      <c r="K779" s="12"/>
      <c r="L779" s="12"/>
      <c r="M779" s="11"/>
      <c r="N779" s="11"/>
      <c r="O779" s="11"/>
      <c r="P779" s="11"/>
      <c r="Q779" s="11"/>
      <c r="R779" s="11"/>
      <c r="S779" s="11"/>
      <c r="T779" s="11"/>
      <c r="U779" s="11"/>
      <c r="V779" s="11"/>
      <c r="W779" s="11"/>
      <c r="X779" s="11"/>
      <c r="Y779" s="11"/>
      <c r="Z779" s="11"/>
      <c r="AA779" s="11"/>
      <c r="AB779" s="11"/>
      <c r="AC779" s="11"/>
      <c r="AD779" s="11"/>
    </row>
    <row r="780" spans="1:30" ht="16" x14ac:dyDescent="0.2">
      <c r="A780" s="11"/>
      <c r="B780" s="12"/>
      <c r="C780" s="12"/>
      <c r="D780" s="12"/>
      <c r="E780" s="12"/>
      <c r="F780" s="12"/>
      <c r="G780" s="12"/>
      <c r="H780" s="12"/>
      <c r="I780" s="12"/>
      <c r="J780" s="12"/>
      <c r="K780" s="12"/>
      <c r="L780" s="12"/>
      <c r="M780" s="11"/>
      <c r="N780" s="11"/>
      <c r="O780" s="11"/>
      <c r="P780" s="11"/>
      <c r="Q780" s="11"/>
      <c r="R780" s="11"/>
      <c r="S780" s="11"/>
      <c r="T780" s="11"/>
      <c r="U780" s="11"/>
      <c r="V780" s="11"/>
      <c r="W780" s="11"/>
      <c r="X780" s="11"/>
      <c r="Y780" s="11"/>
      <c r="Z780" s="11"/>
      <c r="AA780" s="11"/>
      <c r="AB780" s="11"/>
      <c r="AC780" s="11"/>
      <c r="AD780" s="11"/>
    </row>
    <row r="781" spans="1:30" ht="16" x14ac:dyDescent="0.2">
      <c r="A781" s="11"/>
      <c r="B781" s="12"/>
      <c r="C781" s="12"/>
      <c r="D781" s="12"/>
      <c r="E781" s="12"/>
      <c r="F781" s="12"/>
      <c r="G781" s="12"/>
      <c r="H781" s="12"/>
      <c r="I781" s="12"/>
      <c r="J781" s="12"/>
      <c r="K781" s="12"/>
      <c r="L781" s="12"/>
      <c r="M781" s="11"/>
      <c r="N781" s="11"/>
      <c r="O781" s="11"/>
      <c r="P781" s="11"/>
      <c r="Q781" s="11"/>
      <c r="R781" s="11"/>
      <c r="S781" s="11"/>
      <c r="T781" s="11"/>
      <c r="U781" s="11"/>
      <c r="V781" s="11"/>
      <c r="W781" s="11"/>
      <c r="X781" s="11"/>
      <c r="Y781" s="11"/>
      <c r="Z781" s="11"/>
      <c r="AA781" s="11"/>
      <c r="AB781" s="11"/>
      <c r="AC781" s="11"/>
      <c r="AD781" s="11"/>
    </row>
    <row r="782" spans="1:30" ht="16" x14ac:dyDescent="0.2">
      <c r="A782" s="11"/>
      <c r="B782" s="12"/>
      <c r="C782" s="12"/>
      <c r="D782" s="12"/>
      <c r="E782" s="12"/>
      <c r="F782" s="12"/>
      <c r="G782" s="12"/>
      <c r="H782" s="12"/>
      <c r="I782" s="12"/>
      <c r="J782" s="12"/>
      <c r="K782" s="12"/>
      <c r="L782" s="12"/>
      <c r="M782" s="11"/>
      <c r="N782" s="11"/>
      <c r="O782" s="11"/>
      <c r="P782" s="11"/>
      <c r="Q782" s="11"/>
      <c r="R782" s="11"/>
      <c r="S782" s="11"/>
      <c r="T782" s="11"/>
      <c r="U782" s="11"/>
      <c r="V782" s="11"/>
      <c r="W782" s="11"/>
      <c r="X782" s="11"/>
      <c r="Y782" s="11"/>
      <c r="Z782" s="11"/>
      <c r="AA782" s="11"/>
      <c r="AB782" s="11"/>
      <c r="AC782" s="11"/>
      <c r="AD782" s="11"/>
    </row>
    <row r="783" spans="1:30" ht="16" x14ac:dyDescent="0.2">
      <c r="A783" s="11"/>
      <c r="B783" s="12"/>
      <c r="C783" s="12"/>
      <c r="D783" s="12"/>
      <c r="E783" s="12"/>
      <c r="F783" s="12"/>
      <c r="G783" s="12"/>
      <c r="H783" s="12"/>
      <c r="I783" s="12"/>
      <c r="J783" s="12"/>
      <c r="K783" s="12"/>
      <c r="L783" s="12"/>
      <c r="M783" s="11"/>
      <c r="N783" s="11"/>
      <c r="O783" s="11"/>
      <c r="P783" s="11"/>
      <c r="Q783" s="11"/>
      <c r="R783" s="11"/>
      <c r="S783" s="11"/>
      <c r="T783" s="11"/>
      <c r="U783" s="11"/>
      <c r="V783" s="11"/>
      <c r="W783" s="11"/>
      <c r="X783" s="11"/>
      <c r="Y783" s="11"/>
      <c r="Z783" s="11"/>
      <c r="AA783" s="11"/>
      <c r="AB783" s="11"/>
      <c r="AC783" s="11"/>
      <c r="AD783" s="11"/>
    </row>
    <row r="784" spans="1:30" ht="16" x14ac:dyDescent="0.2">
      <c r="A784" s="11"/>
      <c r="B784" s="12"/>
      <c r="C784" s="12"/>
      <c r="D784" s="12"/>
      <c r="E784" s="12"/>
      <c r="F784" s="12"/>
      <c r="G784" s="12"/>
      <c r="H784" s="12"/>
      <c r="I784" s="12"/>
      <c r="J784" s="12"/>
      <c r="K784" s="12"/>
      <c r="L784" s="12"/>
      <c r="M784" s="11"/>
      <c r="N784" s="11"/>
      <c r="O784" s="11"/>
      <c r="P784" s="11"/>
      <c r="Q784" s="11"/>
      <c r="R784" s="11"/>
      <c r="S784" s="11"/>
      <c r="T784" s="11"/>
      <c r="U784" s="11"/>
      <c r="V784" s="11"/>
      <c r="W784" s="11"/>
      <c r="X784" s="11"/>
      <c r="Y784" s="11"/>
      <c r="Z784" s="11"/>
      <c r="AA784" s="11"/>
      <c r="AB784" s="11"/>
      <c r="AC784" s="11"/>
      <c r="AD784" s="11"/>
    </row>
    <row r="785" spans="1:30" ht="16" x14ac:dyDescent="0.2">
      <c r="A785" s="11"/>
      <c r="B785" s="12"/>
      <c r="C785" s="12"/>
      <c r="D785" s="12"/>
      <c r="E785" s="12"/>
      <c r="F785" s="12"/>
      <c r="G785" s="12"/>
      <c r="H785" s="12"/>
      <c r="I785" s="12"/>
      <c r="J785" s="12"/>
      <c r="K785" s="12"/>
      <c r="L785" s="12"/>
      <c r="M785" s="11"/>
      <c r="N785" s="11"/>
      <c r="O785" s="11"/>
      <c r="P785" s="11"/>
      <c r="Q785" s="11"/>
      <c r="R785" s="11"/>
      <c r="S785" s="11"/>
      <c r="T785" s="11"/>
      <c r="U785" s="11"/>
      <c r="V785" s="11"/>
      <c r="W785" s="11"/>
      <c r="X785" s="11"/>
      <c r="Y785" s="11"/>
      <c r="Z785" s="11"/>
      <c r="AA785" s="11"/>
      <c r="AB785" s="11"/>
      <c r="AC785" s="11"/>
      <c r="AD785" s="11"/>
    </row>
    <row r="786" spans="1:30" ht="16" x14ac:dyDescent="0.2">
      <c r="A786" s="11"/>
      <c r="B786" s="12"/>
      <c r="C786" s="12"/>
      <c r="D786" s="12"/>
      <c r="E786" s="12"/>
      <c r="F786" s="12"/>
      <c r="G786" s="12"/>
      <c r="H786" s="12"/>
      <c r="I786" s="12"/>
      <c r="J786" s="12"/>
      <c r="K786" s="12"/>
      <c r="L786" s="12"/>
      <c r="M786" s="11"/>
      <c r="N786" s="11"/>
      <c r="O786" s="11"/>
      <c r="P786" s="11"/>
      <c r="Q786" s="11"/>
      <c r="R786" s="11"/>
      <c r="S786" s="11"/>
      <c r="T786" s="11"/>
      <c r="U786" s="11"/>
      <c r="V786" s="11"/>
      <c r="W786" s="11"/>
      <c r="X786" s="11"/>
      <c r="Y786" s="11"/>
      <c r="Z786" s="11"/>
      <c r="AA786" s="11"/>
      <c r="AB786" s="11"/>
      <c r="AC786" s="11"/>
      <c r="AD786" s="11"/>
    </row>
    <row r="787" spans="1:30" ht="16" x14ac:dyDescent="0.2">
      <c r="A787" s="11"/>
      <c r="B787" s="12"/>
      <c r="C787" s="12"/>
      <c r="D787" s="12"/>
      <c r="E787" s="12"/>
      <c r="F787" s="12"/>
      <c r="G787" s="12"/>
      <c r="H787" s="12"/>
      <c r="I787" s="12"/>
      <c r="J787" s="12"/>
      <c r="K787" s="12"/>
      <c r="L787" s="12"/>
      <c r="M787" s="11"/>
      <c r="N787" s="11"/>
      <c r="O787" s="11"/>
      <c r="P787" s="11"/>
      <c r="Q787" s="11"/>
      <c r="R787" s="11"/>
      <c r="S787" s="11"/>
      <c r="T787" s="11"/>
      <c r="U787" s="11"/>
      <c r="V787" s="11"/>
      <c r="W787" s="11"/>
      <c r="X787" s="11"/>
      <c r="Y787" s="11"/>
      <c r="Z787" s="11"/>
      <c r="AA787" s="11"/>
      <c r="AB787" s="11"/>
      <c r="AC787" s="11"/>
      <c r="AD787" s="11"/>
    </row>
    <row r="788" spans="1:30" ht="16" x14ac:dyDescent="0.2">
      <c r="A788" s="11"/>
      <c r="B788" s="12"/>
      <c r="C788" s="12"/>
      <c r="D788" s="12"/>
      <c r="E788" s="12"/>
      <c r="F788" s="12"/>
      <c r="G788" s="12"/>
      <c r="H788" s="12"/>
      <c r="I788" s="12"/>
      <c r="J788" s="12"/>
      <c r="K788" s="12"/>
      <c r="L788" s="12"/>
      <c r="M788" s="11"/>
      <c r="N788" s="11"/>
      <c r="O788" s="11"/>
      <c r="P788" s="11"/>
      <c r="Q788" s="11"/>
      <c r="R788" s="11"/>
      <c r="S788" s="11"/>
      <c r="T788" s="11"/>
      <c r="U788" s="11"/>
      <c r="V788" s="11"/>
      <c r="W788" s="11"/>
      <c r="X788" s="11"/>
      <c r="Y788" s="11"/>
      <c r="Z788" s="11"/>
      <c r="AA788" s="11"/>
      <c r="AB788" s="11"/>
      <c r="AC788" s="11"/>
      <c r="AD788" s="11"/>
    </row>
    <row r="789" spans="1:30" ht="16" x14ac:dyDescent="0.2">
      <c r="A789" s="11"/>
      <c r="B789" s="12"/>
      <c r="C789" s="12"/>
      <c r="D789" s="12"/>
      <c r="E789" s="12"/>
      <c r="F789" s="12"/>
      <c r="G789" s="12"/>
      <c r="H789" s="12"/>
      <c r="I789" s="12"/>
      <c r="J789" s="12"/>
      <c r="K789" s="12"/>
      <c r="L789" s="12"/>
      <c r="M789" s="11"/>
      <c r="N789" s="11"/>
      <c r="O789" s="11"/>
      <c r="P789" s="11"/>
      <c r="Q789" s="11"/>
      <c r="R789" s="11"/>
      <c r="S789" s="11"/>
      <c r="T789" s="11"/>
      <c r="U789" s="11"/>
      <c r="V789" s="11"/>
      <c r="W789" s="11"/>
      <c r="X789" s="11"/>
      <c r="Y789" s="11"/>
      <c r="Z789" s="11"/>
      <c r="AA789" s="11"/>
      <c r="AB789" s="11"/>
      <c r="AC789" s="11"/>
      <c r="AD789" s="11"/>
    </row>
    <row r="790" spans="1:30" ht="16" x14ac:dyDescent="0.2">
      <c r="A790" s="11"/>
      <c r="B790" s="12"/>
      <c r="C790" s="12"/>
      <c r="D790" s="12"/>
      <c r="E790" s="12"/>
      <c r="F790" s="12"/>
      <c r="G790" s="12"/>
      <c r="H790" s="12"/>
      <c r="I790" s="12"/>
      <c r="J790" s="12"/>
      <c r="K790" s="12"/>
      <c r="L790" s="12"/>
      <c r="M790" s="11"/>
      <c r="N790" s="11"/>
      <c r="O790" s="11"/>
      <c r="P790" s="11"/>
      <c r="Q790" s="11"/>
      <c r="R790" s="11"/>
      <c r="S790" s="11"/>
      <c r="T790" s="11"/>
      <c r="U790" s="11"/>
      <c r="V790" s="11"/>
      <c r="W790" s="11"/>
      <c r="X790" s="11"/>
      <c r="Y790" s="11"/>
      <c r="Z790" s="11"/>
      <c r="AA790" s="11"/>
      <c r="AB790" s="11"/>
      <c r="AC790" s="11"/>
      <c r="AD790" s="11"/>
    </row>
    <row r="791" spans="1:30" ht="16" x14ac:dyDescent="0.2">
      <c r="A791" s="11"/>
      <c r="B791" s="12"/>
      <c r="C791" s="12"/>
      <c r="D791" s="12"/>
      <c r="E791" s="12"/>
      <c r="F791" s="12"/>
      <c r="G791" s="12"/>
      <c r="H791" s="12"/>
      <c r="I791" s="12"/>
      <c r="J791" s="12"/>
      <c r="K791" s="12"/>
      <c r="L791" s="12"/>
      <c r="M791" s="11"/>
      <c r="N791" s="11"/>
      <c r="O791" s="11"/>
      <c r="P791" s="11"/>
      <c r="Q791" s="11"/>
      <c r="R791" s="11"/>
      <c r="S791" s="11"/>
      <c r="T791" s="11"/>
      <c r="U791" s="11"/>
      <c r="V791" s="11"/>
      <c r="W791" s="11"/>
      <c r="X791" s="11"/>
      <c r="Y791" s="11"/>
      <c r="Z791" s="11"/>
      <c r="AA791" s="11"/>
      <c r="AB791" s="11"/>
      <c r="AC791" s="11"/>
      <c r="AD791" s="11"/>
    </row>
    <row r="792" spans="1:30" ht="16" x14ac:dyDescent="0.2">
      <c r="A792" s="11"/>
      <c r="B792" s="12"/>
      <c r="C792" s="12"/>
      <c r="D792" s="12"/>
      <c r="E792" s="12"/>
      <c r="F792" s="12"/>
      <c r="G792" s="12"/>
      <c r="H792" s="12"/>
      <c r="I792" s="12"/>
      <c r="J792" s="12"/>
      <c r="K792" s="12"/>
      <c r="L792" s="12"/>
      <c r="M792" s="11"/>
      <c r="N792" s="11"/>
      <c r="O792" s="11"/>
      <c r="P792" s="11"/>
      <c r="Q792" s="11"/>
      <c r="R792" s="11"/>
      <c r="S792" s="11"/>
      <c r="T792" s="11"/>
      <c r="U792" s="11"/>
      <c r="V792" s="11"/>
      <c r="W792" s="11"/>
      <c r="X792" s="11"/>
      <c r="Y792" s="11"/>
      <c r="Z792" s="11"/>
      <c r="AA792" s="11"/>
      <c r="AB792" s="11"/>
      <c r="AC792" s="11"/>
      <c r="AD792" s="11"/>
    </row>
    <row r="793" spans="1:30" ht="16" x14ac:dyDescent="0.2">
      <c r="A793" s="11"/>
      <c r="B793" s="12"/>
      <c r="C793" s="12"/>
      <c r="D793" s="12"/>
      <c r="E793" s="12"/>
      <c r="F793" s="12"/>
      <c r="G793" s="12"/>
      <c r="H793" s="12"/>
      <c r="I793" s="12"/>
      <c r="J793" s="12"/>
      <c r="K793" s="12"/>
      <c r="L793" s="12"/>
      <c r="M793" s="11"/>
      <c r="N793" s="11"/>
      <c r="O793" s="11"/>
      <c r="P793" s="11"/>
      <c r="Q793" s="11"/>
      <c r="R793" s="11"/>
      <c r="S793" s="11"/>
      <c r="T793" s="11"/>
      <c r="U793" s="11"/>
      <c r="V793" s="11"/>
      <c r="W793" s="11"/>
      <c r="X793" s="11"/>
      <c r="Y793" s="11"/>
      <c r="Z793" s="11"/>
      <c r="AA793" s="11"/>
      <c r="AB793" s="11"/>
      <c r="AC793" s="11"/>
      <c r="AD793" s="11"/>
    </row>
    <row r="794" spans="1:30" ht="16" x14ac:dyDescent="0.2">
      <c r="A794" s="11"/>
      <c r="B794" s="12"/>
      <c r="C794" s="12"/>
      <c r="D794" s="12"/>
      <c r="E794" s="12"/>
      <c r="F794" s="12"/>
      <c r="G794" s="12"/>
      <c r="H794" s="12"/>
      <c r="I794" s="12"/>
      <c r="J794" s="12"/>
      <c r="K794" s="12"/>
      <c r="L794" s="12"/>
      <c r="M794" s="11"/>
      <c r="N794" s="11"/>
      <c r="O794" s="11"/>
      <c r="P794" s="11"/>
      <c r="Q794" s="11"/>
      <c r="R794" s="11"/>
      <c r="S794" s="11"/>
      <c r="T794" s="11"/>
      <c r="U794" s="11"/>
      <c r="V794" s="11"/>
      <c r="W794" s="11"/>
      <c r="X794" s="11"/>
      <c r="Y794" s="11"/>
      <c r="Z794" s="11"/>
      <c r="AA794" s="11"/>
      <c r="AB794" s="11"/>
      <c r="AC794" s="11"/>
      <c r="AD794" s="11"/>
    </row>
    <row r="795" spans="1:30" ht="16" x14ac:dyDescent="0.2">
      <c r="A795" s="11"/>
      <c r="B795" s="12"/>
      <c r="C795" s="12"/>
      <c r="D795" s="12"/>
      <c r="E795" s="12"/>
      <c r="F795" s="12"/>
      <c r="G795" s="12"/>
      <c r="H795" s="12"/>
      <c r="I795" s="12"/>
      <c r="J795" s="12"/>
      <c r="K795" s="12"/>
      <c r="L795" s="12"/>
      <c r="M795" s="11"/>
      <c r="N795" s="11"/>
      <c r="O795" s="11"/>
      <c r="P795" s="11"/>
      <c r="Q795" s="11"/>
      <c r="R795" s="11"/>
      <c r="S795" s="11"/>
      <c r="T795" s="11"/>
      <c r="U795" s="11"/>
      <c r="V795" s="11"/>
      <c r="W795" s="11"/>
      <c r="X795" s="11"/>
      <c r="Y795" s="11"/>
      <c r="Z795" s="11"/>
      <c r="AA795" s="11"/>
      <c r="AB795" s="11"/>
      <c r="AC795" s="11"/>
      <c r="AD795" s="11"/>
    </row>
    <row r="796" spans="1:30" ht="16" x14ac:dyDescent="0.2">
      <c r="A796" s="11"/>
      <c r="B796" s="12"/>
      <c r="C796" s="12"/>
      <c r="D796" s="12"/>
      <c r="E796" s="12"/>
      <c r="F796" s="12"/>
      <c r="G796" s="12"/>
      <c r="H796" s="12"/>
      <c r="I796" s="12"/>
      <c r="J796" s="12"/>
      <c r="K796" s="12"/>
      <c r="L796" s="12"/>
      <c r="M796" s="11"/>
      <c r="N796" s="11"/>
      <c r="O796" s="11"/>
      <c r="P796" s="11"/>
      <c r="Q796" s="11"/>
      <c r="R796" s="11"/>
      <c r="S796" s="11"/>
      <c r="T796" s="11"/>
      <c r="U796" s="11"/>
      <c r="V796" s="11"/>
      <c r="W796" s="11"/>
      <c r="X796" s="11"/>
      <c r="Y796" s="11"/>
      <c r="Z796" s="11"/>
      <c r="AA796" s="11"/>
      <c r="AB796" s="11"/>
      <c r="AC796" s="11"/>
      <c r="AD796" s="11"/>
    </row>
    <row r="797" spans="1:30" ht="16" x14ac:dyDescent="0.2">
      <c r="A797" s="11"/>
      <c r="B797" s="12"/>
      <c r="C797" s="12"/>
      <c r="D797" s="12"/>
      <c r="E797" s="12"/>
      <c r="F797" s="12"/>
      <c r="G797" s="12"/>
      <c r="H797" s="12"/>
      <c r="I797" s="12"/>
      <c r="J797" s="12"/>
      <c r="K797" s="12"/>
      <c r="L797" s="12"/>
      <c r="M797" s="11"/>
      <c r="N797" s="11"/>
      <c r="O797" s="11"/>
      <c r="P797" s="11"/>
      <c r="Q797" s="11"/>
      <c r="R797" s="11"/>
      <c r="S797" s="11"/>
      <c r="T797" s="11"/>
      <c r="U797" s="11"/>
      <c r="V797" s="11"/>
      <c r="W797" s="11"/>
      <c r="X797" s="11"/>
      <c r="Y797" s="11"/>
      <c r="Z797" s="11"/>
      <c r="AA797" s="11"/>
      <c r="AB797" s="11"/>
      <c r="AC797" s="11"/>
      <c r="AD797" s="11"/>
    </row>
    <row r="798" spans="1:30" ht="16" x14ac:dyDescent="0.2">
      <c r="A798" s="11"/>
      <c r="B798" s="12"/>
      <c r="C798" s="12"/>
      <c r="D798" s="12"/>
      <c r="E798" s="12"/>
      <c r="F798" s="12"/>
      <c r="G798" s="12"/>
      <c r="H798" s="12"/>
      <c r="I798" s="12"/>
      <c r="J798" s="12"/>
      <c r="K798" s="12"/>
      <c r="L798" s="12"/>
      <c r="M798" s="11"/>
      <c r="N798" s="11"/>
      <c r="O798" s="11"/>
      <c r="P798" s="11"/>
      <c r="Q798" s="11"/>
      <c r="R798" s="11"/>
      <c r="S798" s="11"/>
      <c r="T798" s="11"/>
      <c r="U798" s="11"/>
      <c r="V798" s="11"/>
      <c r="W798" s="11"/>
      <c r="X798" s="11"/>
      <c r="Y798" s="11"/>
      <c r="Z798" s="11"/>
      <c r="AA798" s="11"/>
      <c r="AB798" s="11"/>
      <c r="AC798" s="11"/>
      <c r="AD798" s="11"/>
    </row>
    <row r="799" spans="1:30" ht="16" x14ac:dyDescent="0.2">
      <c r="A799" s="11"/>
      <c r="B799" s="12"/>
      <c r="C799" s="12"/>
      <c r="D799" s="12"/>
      <c r="E799" s="12"/>
      <c r="F799" s="12"/>
      <c r="G799" s="12"/>
      <c r="H799" s="12"/>
      <c r="I799" s="12"/>
      <c r="J799" s="12"/>
      <c r="K799" s="12"/>
      <c r="L799" s="12"/>
      <c r="M799" s="11"/>
      <c r="N799" s="11"/>
      <c r="O799" s="11"/>
      <c r="P799" s="11"/>
      <c r="Q799" s="11"/>
      <c r="R799" s="11"/>
      <c r="S799" s="11"/>
      <c r="T799" s="11"/>
      <c r="U799" s="11"/>
      <c r="V799" s="11"/>
      <c r="W799" s="11"/>
      <c r="X799" s="11"/>
      <c r="Y799" s="11"/>
      <c r="Z799" s="11"/>
      <c r="AA799" s="11"/>
      <c r="AB799" s="11"/>
      <c r="AC799" s="11"/>
      <c r="AD799" s="11"/>
    </row>
    <row r="800" spans="1:30" ht="16" x14ac:dyDescent="0.2">
      <c r="A800" s="11"/>
      <c r="B800" s="12"/>
      <c r="C800" s="12"/>
      <c r="D800" s="12"/>
      <c r="E800" s="12"/>
      <c r="F800" s="12"/>
      <c r="G800" s="12"/>
      <c r="H800" s="12"/>
      <c r="I800" s="12"/>
      <c r="J800" s="12"/>
      <c r="K800" s="12"/>
      <c r="L800" s="12"/>
      <c r="M800" s="11"/>
      <c r="N800" s="11"/>
      <c r="O800" s="11"/>
      <c r="P800" s="11"/>
      <c r="Q800" s="11"/>
      <c r="R800" s="11"/>
      <c r="S800" s="11"/>
      <c r="T800" s="11"/>
      <c r="U800" s="11"/>
      <c r="V800" s="11"/>
      <c r="W800" s="11"/>
      <c r="X800" s="11"/>
      <c r="Y800" s="11"/>
      <c r="Z800" s="11"/>
      <c r="AA800" s="11"/>
      <c r="AB800" s="11"/>
      <c r="AC800" s="11"/>
      <c r="AD800" s="11"/>
    </row>
    <row r="801" spans="1:30" ht="16" x14ac:dyDescent="0.2">
      <c r="A801" s="11"/>
      <c r="B801" s="12"/>
      <c r="C801" s="12"/>
      <c r="D801" s="12"/>
      <c r="E801" s="12"/>
      <c r="F801" s="12"/>
      <c r="G801" s="12"/>
      <c r="H801" s="12"/>
      <c r="I801" s="12"/>
      <c r="J801" s="12"/>
      <c r="K801" s="12"/>
      <c r="L801" s="12"/>
      <c r="M801" s="11"/>
      <c r="N801" s="11"/>
      <c r="O801" s="11"/>
      <c r="P801" s="11"/>
      <c r="Q801" s="11"/>
      <c r="R801" s="11"/>
      <c r="S801" s="11"/>
      <c r="T801" s="11"/>
      <c r="U801" s="11"/>
      <c r="V801" s="11"/>
      <c r="W801" s="11"/>
      <c r="X801" s="11"/>
      <c r="Y801" s="11"/>
      <c r="Z801" s="11"/>
      <c r="AA801" s="11"/>
      <c r="AB801" s="11"/>
      <c r="AC801" s="11"/>
      <c r="AD801" s="11"/>
    </row>
    <row r="802" spans="1:30" ht="16" x14ac:dyDescent="0.2">
      <c r="A802" s="11"/>
      <c r="B802" s="12"/>
      <c r="C802" s="12"/>
      <c r="D802" s="12"/>
      <c r="E802" s="12"/>
      <c r="F802" s="12"/>
      <c r="G802" s="12"/>
      <c r="H802" s="12"/>
      <c r="I802" s="12"/>
      <c r="J802" s="12"/>
      <c r="K802" s="12"/>
      <c r="L802" s="12"/>
      <c r="M802" s="11"/>
      <c r="N802" s="11"/>
      <c r="O802" s="11"/>
      <c r="P802" s="11"/>
      <c r="Q802" s="11"/>
      <c r="R802" s="11"/>
      <c r="S802" s="11"/>
      <c r="T802" s="11"/>
      <c r="U802" s="11"/>
      <c r="V802" s="11"/>
      <c r="W802" s="11"/>
      <c r="X802" s="11"/>
      <c r="Y802" s="11"/>
      <c r="Z802" s="11"/>
      <c r="AA802" s="11"/>
      <c r="AB802" s="11"/>
      <c r="AC802" s="11"/>
      <c r="AD802" s="11"/>
    </row>
    <row r="803" spans="1:30" ht="16" x14ac:dyDescent="0.2">
      <c r="A803" s="11"/>
      <c r="B803" s="12"/>
      <c r="C803" s="12"/>
      <c r="D803" s="12"/>
      <c r="E803" s="12"/>
      <c r="F803" s="12"/>
      <c r="G803" s="12"/>
      <c r="H803" s="12"/>
      <c r="I803" s="12"/>
      <c r="J803" s="12"/>
      <c r="K803" s="12"/>
      <c r="L803" s="12"/>
      <c r="M803" s="11"/>
      <c r="N803" s="11"/>
      <c r="O803" s="11"/>
      <c r="P803" s="11"/>
      <c r="Q803" s="11"/>
      <c r="R803" s="11"/>
      <c r="S803" s="11"/>
      <c r="T803" s="11"/>
      <c r="U803" s="11"/>
      <c r="V803" s="11"/>
      <c r="W803" s="11"/>
      <c r="X803" s="11"/>
      <c r="Y803" s="11"/>
      <c r="Z803" s="11"/>
      <c r="AA803" s="11"/>
      <c r="AB803" s="11"/>
      <c r="AC803" s="11"/>
      <c r="AD803" s="11"/>
    </row>
    <row r="804" spans="1:30" ht="16" x14ac:dyDescent="0.2">
      <c r="A804" s="11"/>
      <c r="B804" s="12"/>
      <c r="C804" s="12"/>
      <c r="D804" s="12"/>
      <c r="E804" s="12"/>
      <c r="F804" s="12"/>
      <c r="G804" s="12"/>
      <c r="H804" s="12"/>
      <c r="I804" s="12"/>
      <c r="J804" s="12"/>
      <c r="K804" s="12"/>
      <c r="L804" s="12"/>
      <c r="M804" s="11"/>
      <c r="N804" s="11"/>
      <c r="O804" s="11"/>
      <c r="P804" s="11"/>
      <c r="Q804" s="11"/>
      <c r="R804" s="11"/>
      <c r="S804" s="11"/>
      <c r="T804" s="11"/>
      <c r="U804" s="11"/>
      <c r="V804" s="11"/>
      <c r="W804" s="11"/>
      <c r="X804" s="11"/>
      <c r="Y804" s="11"/>
      <c r="Z804" s="11"/>
      <c r="AA804" s="11"/>
      <c r="AB804" s="11"/>
      <c r="AC804" s="11"/>
      <c r="AD804" s="11"/>
    </row>
    <row r="805" spans="1:30" ht="16" x14ac:dyDescent="0.2">
      <c r="A805" s="11"/>
      <c r="B805" s="12"/>
      <c r="C805" s="12"/>
      <c r="D805" s="12"/>
      <c r="E805" s="12"/>
      <c r="F805" s="12"/>
      <c r="G805" s="12"/>
      <c r="H805" s="12"/>
      <c r="I805" s="12"/>
      <c r="J805" s="12"/>
      <c r="K805" s="12"/>
      <c r="L805" s="12"/>
      <c r="M805" s="11"/>
      <c r="N805" s="11"/>
      <c r="O805" s="11"/>
      <c r="P805" s="11"/>
      <c r="Q805" s="11"/>
      <c r="R805" s="11"/>
      <c r="S805" s="11"/>
      <c r="T805" s="11"/>
      <c r="U805" s="11"/>
      <c r="V805" s="11"/>
      <c r="W805" s="11"/>
      <c r="X805" s="11"/>
      <c r="Y805" s="11"/>
      <c r="Z805" s="11"/>
      <c r="AA805" s="11"/>
      <c r="AB805" s="11"/>
      <c r="AC805" s="11"/>
      <c r="AD805" s="11"/>
    </row>
    <row r="806" spans="1:30" ht="16" x14ac:dyDescent="0.2">
      <c r="A806" s="11"/>
      <c r="B806" s="12"/>
      <c r="C806" s="12"/>
      <c r="D806" s="12"/>
      <c r="E806" s="12"/>
      <c r="F806" s="12"/>
      <c r="G806" s="12"/>
      <c r="H806" s="12"/>
      <c r="I806" s="12"/>
      <c r="J806" s="12"/>
      <c r="K806" s="12"/>
      <c r="L806" s="12"/>
      <c r="M806" s="11"/>
      <c r="N806" s="11"/>
      <c r="O806" s="11"/>
      <c r="P806" s="11"/>
      <c r="Q806" s="11"/>
      <c r="R806" s="11"/>
      <c r="S806" s="11"/>
      <c r="T806" s="11"/>
      <c r="U806" s="11"/>
      <c r="V806" s="11"/>
      <c r="W806" s="11"/>
      <c r="X806" s="11"/>
      <c r="Y806" s="11"/>
      <c r="Z806" s="11"/>
      <c r="AA806" s="11"/>
      <c r="AB806" s="11"/>
      <c r="AC806" s="11"/>
      <c r="AD806" s="11"/>
    </row>
    <row r="807" spans="1:30" ht="16" x14ac:dyDescent="0.2">
      <c r="A807" s="11"/>
      <c r="B807" s="12"/>
      <c r="C807" s="12"/>
      <c r="D807" s="12"/>
      <c r="E807" s="12"/>
      <c r="F807" s="12"/>
      <c r="G807" s="12"/>
      <c r="H807" s="12"/>
      <c r="I807" s="12"/>
      <c r="J807" s="12"/>
      <c r="K807" s="12"/>
      <c r="L807" s="12"/>
      <c r="M807" s="11"/>
      <c r="N807" s="11"/>
      <c r="O807" s="11"/>
      <c r="P807" s="11"/>
      <c r="Q807" s="11"/>
      <c r="R807" s="11"/>
      <c r="S807" s="11"/>
      <c r="T807" s="11"/>
      <c r="U807" s="11"/>
      <c r="V807" s="11"/>
      <c r="W807" s="11"/>
      <c r="X807" s="11"/>
      <c r="Y807" s="11"/>
      <c r="Z807" s="11"/>
      <c r="AA807" s="11"/>
      <c r="AB807" s="11"/>
      <c r="AC807" s="11"/>
      <c r="AD807" s="11"/>
    </row>
    <row r="808" spans="1:30" ht="16" x14ac:dyDescent="0.2">
      <c r="A808" s="11"/>
      <c r="B808" s="12"/>
      <c r="C808" s="12"/>
      <c r="D808" s="12"/>
      <c r="E808" s="12"/>
      <c r="F808" s="12"/>
      <c r="G808" s="12"/>
      <c r="H808" s="12"/>
      <c r="I808" s="12"/>
      <c r="J808" s="12"/>
      <c r="K808" s="12"/>
      <c r="L808" s="12"/>
      <c r="M808" s="11"/>
      <c r="N808" s="11"/>
      <c r="O808" s="11"/>
      <c r="P808" s="11"/>
      <c r="Q808" s="11"/>
      <c r="R808" s="11"/>
      <c r="S808" s="11"/>
      <c r="T808" s="11"/>
      <c r="U808" s="11"/>
      <c r="V808" s="11"/>
      <c r="W808" s="11"/>
      <c r="X808" s="11"/>
      <c r="Y808" s="11"/>
      <c r="Z808" s="11"/>
      <c r="AA808" s="11"/>
      <c r="AB808" s="11"/>
      <c r="AC808" s="11"/>
      <c r="AD808" s="11"/>
    </row>
    <row r="809" spans="1:30" ht="16" x14ac:dyDescent="0.2">
      <c r="A809" s="11"/>
      <c r="B809" s="12"/>
      <c r="C809" s="12"/>
      <c r="D809" s="12"/>
      <c r="E809" s="12"/>
      <c r="F809" s="12"/>
      <c r="G809" s="12"/>
      <c r="H809" s="12"/>
      <c r="I809" s="12"/>
      <c r="J809" s="12"/>
      <c r="K809" s="12"/>
      <c r="L809" s="12"/>
      <c r="M809" s="11"/>
      <c r="N809" s="11"/>
      <c r="O809" s="11"/>
      <c r="P809" s="11"/>
      <c r="Q809" s="11"/>
      <c r="R809" s="11"/>
      <c r="S809" s="11"/>
      <c r="T809" s="11"/>
      <c r="U809" s="11"/>
      <c r="V809" s="11"/>
      <c r="W809" s="11"/>
      <c r="X809" s="11"/>
      <c r="Y809" s="11"/>
      <c r="Z809" s="11"/>
      <c r="AA809" s="11"/>
      <c r="AB809" s="11"/>
      <c r="AC809" s="11"/>
      <c r="AD809" s="11"/>
    </row>
    <row r="810" spans="1:30" ht="16" x14ac:dyDescent="0.2">
      <c r="A810" s="11"/>
      <c r="B810" s="12"/>
      <c r="C810" s="12"/>
      <c r="D810" s="12"/>
      <c r="E810" s="12"/>
      <c r="F810" s="12"/>
      <c r="G810" s="12"/>
      <c r="H810" s="12"/>
      <c r="I810" s="12"/>
      <c r="J810" s="12"/>
      <c r="K810" s="12"/>
      <c r="L810" s="12"/>
      <c r="M810" s="11"/>
      <c r="N810" s="11"/>
      <c r="O810" s="11"/>
      <c r="P810" s="11"/>
      <c r="Q810" s="11"/>
      <c r="R810" s="11"/>
      <c r="S810" s="11"/>
      <c r="T810" s="11"/>
      <c r="U810" s="11"/>
      <c r="V810" s="11"/>
      <c r="W810" s="11"/>
      <c r="X810" s="11"/>
      <c r="Y810" s="11"/>
      <c r="Z810" s="11"/>
      <c r="AA810" s="11"/>
      <c r="AB810" s="11"/>
      <c r="AC810" s="11"/>
      <c r="AD810" s="11"/>
    </row>
    <row r="811" spans="1:30" ht="16" x14ac:dyDescent="0.2">
      <c r="A811" s="11"/>
      <c r="B811" s="12"/>
      <c r="C811" s="12"/>
      <c r="D811" s="12"/>
      <c r="E811" s="12"/>
      <c r="F811" s="12"/>
      <c r="G811" s="12"/>
      <c r="H811" s="12"/>
      <c r="I811" s="12"/>
      <c r="J811" s="12"/>
      <c r="K811" s="12"/>
      <c r="L811" s="12"/>
      <c r="M811" s="11"/>
      <c r="N811" s="11"/>
      <c r="O811" s="11"/>
      <c r="P811" s="11"/>
      <c r="Q811" s="11"/>
      <c r="R811" s="11"/>
      <c r="S811" s="11"/>
      <c r="T811" s="11"/>
      <c r="U811" s="11"/>
      <c r="V811" s="11"/>
      <c r="W811" s="11"/>
      <c r="X811" s="11"/>
      <c r="Y811" s="11"/>
      <c r="Z811" s="11"/>
      <c r="AA811" s="11"/>
      <c r="AB811" s="11"/>
      <c r="AC811" s="11"/>
      <c r="AD811" s="11"/>
    </row>
    <row r="812" spans="1:30" ht="16" x14ac:dyDescent="0.2">
      <c r="A812" s="11"/>
      <c r="B812" s="12"/>
      <c r="C812" s="12"/>
      <c r="D812" s="12"/>
      <c r="E812" s="12"/>
      <c r="F812" s="12"/>
      <c r="G812" s="12"/>
      <c r="H812" s="12"/>
      <c r="I812" s="12"/>
      <c r="J812" s="12"/>
      <c r="K812" s="12"/>
      <c r="L812" s="12"/>
      <c r="M812" s="11"/>
      <c r="N812" s="11"/>
      <c r="O812" s="11"/>
      <c r="P812" s="11"/>
      <c r="Q812" s="11"/>
      <c r="R812" s="11"/>
      <c r="S812" s="11"/>
      <c r="T812" s="11"/>
      <c r="U812" s="11"/>
      <c r="V812" s="11"/>
      <c r="W812" s="11"/>
      <c r="X812" s="11"/>
      <c r="Y812" s="11"/>
      <c r="Z812" s="11"/>
      <c r="AA812" s="11"/>
      <c r="AB812" s="11"/>
      <c r="AC812" s="11"/>
      <c r="AD812" s="11"/>
    </row>
    <row r="813" spans="1:30" ht="16" x14ac:dyDescent="0.2">
      <c r="A813" s="11"/>
      <c r="B813" s="12"/>
      <c r="C813" s="12"/>
      <c r="D813" s="12"/>
      <c r="E813" s="12"/>
      <c r="F813" s="12"/>
      <c r="G813" s="12"/>
      <c r="H813" s="12"/>
      <c r="I813" s="12"/>
      <c r="J813" s="12"/>
      <c r="K813" s="12"/>
      <c r="L813" s="12"/>
      <c r="M813" s="11"/>
      <c r="N813" s="11"/>
      <c r="O813" s="11"/>
      <c r="P813" s="11"/>
      <c r="Q813" s="11"/>
      <c r="R813" s="11"/>
      <c r="S813" s="11"/>
      <c r="T813" s="11"/>
      <c r="U813" s="11"/>
      <c r="V813" s="11"/>
      <c r="W813" s="11"/>
      <c r="X813" s="11"/>
      <c r="Y813" s="11"/>
      <c r="Z813" s="11"/>
      <c r="AA813" s="11"/>
      <c r="AB813" s="11"/>
      <c r="AC813" s="11"/>
      <c r="AD813" s="11"/>
    </row>
    <row r="814" spans="1:30" ht="16" x14ac:dyDescent="0.2">
      <c r="A814" s="11"/>
      <c r="B814" s="12"/>
      <c r="C814" s="12"/>
      <c r="D814" s="12"/>
      <c r="E814" s="12"/>
      <c r="F814" s="12"/>
      <c r="G814" s="12"/>
      <c r="H814" s="12"/>
      <c r="I814" s="12"/>
      <c r="J814" s="12"/>
      <c r="K814" s="12"/>
      <c r="L814" s="12"/>
      <c r="M814" s="11"/>
      <c r="N814" s="11"/>
      <c r="O814" s="11"/>
      <c r="P814" s="11"/>
      <c r="Q814" s="11"/>
      <c r="R814" s="11"/>
      <c r="S814" s="11"/>
      <c r="T814" s="11"/>
      <c r="U814" s="11"/>
      <c r="V814" s="11"/>
      <c r="W814" s="11"/>
      <c r="X814" s="11"/>
      <c r="Y814" s="11"/>
      <c r="Z814" s="11"/>
      <c r="AA814" s="11"/>
      <c r="AB814" s="11"/>
      <c r="AC814" s="11"/>
      <c r="AD814" s="11"/>
    </row>
    <row r="815" spans="1:30" ht="16" x14ac:dyDescent="0.2">
      <c r="A815" s="11"/>
      <c r="B815" s="12"/>
      <c r="C815" s="12"/>
      <c r="D815" s="12"/>
      <c r="E815" s="12"/>
      <c r="F815" s="12"/>
      <c r="G815" s="12"/>
      <c r="H815" s="12"/>
      <c r="I815" s="12"/>
      <c r="J815" s="12"/>
      <c r="K815" s="12"/>
      <c r="L815" s="12"/>
      <c r="M815" s="11"/>
      <c r="N815" s="11"/>
      <c r="O815" s="11"/>
      <c r="P815" s="11"/>
      <c r="Q815" s="11"/>
      <c r="R815" s="11"/>
      <c r="S815" s="11"/>
      <c r="T815" s="11"/>
      <c r="U815" s="11"/>
      <c r="V815" s="11"/>
      <c r="W815" s="11"/>
      <c r="X815" s="11"/>
      <c r="Y815" s="11"/>
      <c r="Z815" s="11"/>
      <c r="AA815" s="11"/>
      <c r="AB815" s="11"/>
      <c r="AC815" s="11"/>
      <c r="AD815" s="11"/>
    </row>
    <row r="816" spans="1:30" ht="16" x14ac:dyDescent="0.2">
      <c r="A816" s="11"/>
      <c r="B816" s="12"/>
      <c r="C816" s="12"/>
      <c r="D816" s="12"/>
      <c r="E816" s="12"/>
      <c r="F816" s="12"/>
      <c r="G816" s="12"/>
      <c r="H816" s="12"/>
      <c r="I816" s="12"/>
      <c r="J816" s="12"/>
      <c r="K816" s="12"/>
      <c r="L816" s="12"/>
      <c r="M816" s="11"/>
      <c r="N816" s="11"/>
      <c r="O816" s="11"/>
      <c r="P816" s="11"/>
      <c r="Q816" s="11"/>
      <c r="R816" s="11"/>
      <c r="S816" s="11"/>
      <c r="T816" s="11"/>
      <c r="U816" s="11"/>
      <c r="V816" s="11"/>
      <c r="W816" s="11"/>
      <c r="X816" s="11"/>
      <c r="Y816" s="11"/>
      <c r="Z816" s="11"/>
      <c r="AA816" s="11"/>
      <c r="AB816" s="11"/>
      <c r="AC816" s="11"/>
      <c r="AD816" s="11"/>
    </row>
    <row r="817" spans="1:30" ht="16" x14ac:dyDescent="0.2">
      <c r="A817" s="11"/>
      <c r="B817" s="12"/>
      <c r="C817" s="12"/>
      <c r="D817" s="12"/>
      <c r="E817" s="12"/>
      <c r="F817" s="12"/>
      <c r="G817" s="12"/>
      <c r="H817" s="12"/>
      <c r="I817" s="12"/>
      <c r="J817" s="12"/>
      <c r="K817" s="12"/>
      <c r="L817" s="12"/>
      <c r="M817" s="11"/>
      <c r="N817" s="11"/>
      <c r="O817" s="11"/>
      <c r="P817" s="11"/>
      <c r="Q817" s="11"/>
      <c r="R817" s="11"/>
      <c r="S817" s="11"/>
      <c r="T817" s="11"/>
      <c r="U817" s="11"/>
      <c r="V817" s="11"/>
      <c r="W817" s="11"/>
      <c r="X817" s="11"/>
      <c r="Y817" s="11"/>
      <c r="Z817" s="11"/>
      <c r="AA817" s="11"/>
      <c r="AB817" s="11"/>
      <c r="AC817" s="11"/>
      <c r="AD817" s="11"/>
    </row>
    <row r="818" spans="1:30" ht="16" x14ac:dyDescent="0.2">
      <c r="A818" s="11"/>
      <c r="B818" s="12"/>
      <c r="C818" s="12"/>
      <c r="D818" s="12"/>
      <c r="E818" s="12"/>
      <c r="F818" s="12"/>
      <c r="G818" s="12"/>
      <c r="H818" s="12"/>
      <c r="I818" s="12"/>
      <c r="J818" s="12"/>
      <c r="K818" s="12"/>
      <c r="L818" s="12"/>
      <c r="M818" s="11"/>
      <c r="N818" s="11"/>
      <c r="O818" s="11"/>
      <c r="P818" s="11"/>
      <c r="Q818" s="11"/>
      <c r="R818" s="11"/>
      <c r="S818" s="11"/>
      <c r="T818" s="11"/>
      <c r="U818" s="11"/>
      <c r="V818" s="11"/>
      <c r="W818" s="11"/>
      <c r="X818" s="11"/>
      <c r="Y818" s="11"/>
      <c r="Z818" s="11"/>
      <c r="AA818" s="11"/>
      <c r="AB818" s="11"/>
      <c r="AC818" s="11"/>
      <c r="AD818" s="11"/>
    </row>
    <row r="819" spans="1:30" ht="16" x14ac:dyDescent="0.2">
      <c r="A819" s="11"/>
      <c r="B819" s="12"/>
      <c r="C819" s="12"/>
      <c r="D819" s="12"/>
      <c r="E819" s="12"/>
      <c r="F819" s="12"/>
      <c r="G819" s="12"/>
      <c r="H819" s="12"/>
      <c r="I819" s="12"/>
      <c r="J819" s="12"/>
      <c r="K819" s="12"/>
      <c r="L819" s="12"/>
      <c r="M819" s="11"/>
      <c r="N819" s="11"/>
      <c r="O819" s="11"/>
      <c r="P819" s="11"/>
      <c r="Q819" s="11"/>
      <c r="R819" s="11"/>
      <c r="S819" s="11"/>
      <c r="T819" s="11"/>
      <c r="U819" s="11"/>
      <c r="V819" s="11"/>
      <c r="W819" s="11"/>
      <c r="X819" s="11"/>
      <c r="Y819" s="11"/>
      <c r="Z819" s="11"/>
      <c r="AA819" s="11"/>
      <c r="AB819" s="11"/>
      <c r="AC819" s="11"/>
      <c r="AD819" s="11"/>
    </row>
    <row r="820" spans="1:30" ht="16" x14ac:dyDescent="0.2">
      <c r="A820" s="11"/>
      <c r="B820" s="12"/>
      <c r="C820" s="12"/>
      <c r="D820" s="12"/>
      <c r="E820" s="12"/>
      <c r="F820" s="12"/>
      <c r="G820" s="12"/>
      <c r="H820" s="12"/>
      <c r="I820" s="12"/>
      <c r="J820" s="12"/>
      <c r="K820" s="12"/>
      <c r="L820" s="12"/>
      <c r="M820" s="11"/>
      <c r="N820" s="11"/>
      <c r="O820" s="11"/>
      <c r="P820" s="11"/>
      <c r="Q820" s="11"/>
      <c r="R820" s="11"/>
      <c r="S820" s="11"/>
      <c r="T820" s="11"/>
      <c r="U820" s="11"/>
      <c r="V820" s="11"/>
      <c r="W820" s="11"/>
      <c r="X820" s="11"/>
      <c r="Y820" s="11"/>
      <c r="Z820" s="11"/>
      <c r="AA820" s="11"/>
      <c r="AB820" s="11"/>
      <c r="AC820" s="11"/>
      <c r="AD820" s="11"/>
    </row>
    <row r="821" spans="1:30" ht="16" x14ac:dyDescent="0.2">
      <c r="A821" s="11"/>
      <c r="B821" s="12"/>
      <c r="C821" s="12"/>
      <c r="D821" s="12"/>
      <c r="E821" s="12"/>
      <c r="F821" s="12"/>
      <c r="G821" s="12"/>
      <c r="H821" s="12"/>
      <c r="I821" s="12"/>
      <c r="J821" s="12"/>
      <c r="K821" s="12"/>
      <c r="L821" s="12"/>
      <c r="M821" s="11"/>
      <c r="N821" s="11"/>
      <c r="O821" s="11"/>
      <c r="P821" s="11"/>
      <c r="Q821" s="11"/>
      <c r="R821" s="11"/>
      <c r="S821" s="11"/>
      <c r="T821" s="11"/>
      <c r="U821" s="11"/>
      <c r="V821" s="11"/>
      <c r="W821" s="11"/>
      <c r="X821" s="11"/>
      <c r="Y821" s="11"/>
      <c r="Z821" s="11"/>
      <c r="AA821" s="11"/>
      <c r="AB821" s="11"/>
      <c r="AC821" s="11"/>
      <c r="AD821" s="11"/>
    </row>
    <row r="822" spans="1:30" ht="16" x14ac:dyDescent="0.2">
      <c r="A822" s="11"/>
      <c r="B822" s="12"/>
      <c r="C822" s="12"/>
      <c r="D822" s="12"/>
      <c r="E822" s="12"/>
      <c r="F822" s="12"/>
      <c r="G822" s="12"/>
      <c r="H822" s="12"/>
      <c r="I822" s="12"/>
      <c r="J822" s="12"/>
      <c r="K822" s="12"/>
      <c r="L822" s="12"/>
      <c r="M822" s="11"/>
      <c r="N822" s="11"/>
      <c r="O822" s="11"/>
      <c r="P822" s="11"/>
      <c r="Q822" s="11"/>
      <c r="R822" s="11"/>
      <c r="S822" s="11"/>
      <c r="T822" s="11"/>
      <c r="U822" s="11"/>
      <c r="V822" s="11"/>
      <c r="W822" s="11"/>
      <c r="X822" s="11"/>
      <c r="Y822" s="11"/>
      <c r="Z822" s="11"/>
      <c r="AA822" s="11"/>
      <c r="AB822" s="11"/>
      <c r="AC822" s="11"/>
      <c r="AD822" s="11"/>
    </row>
    <row r="823" spans="1:30" ht="16" x14ac:dyDescent="0.2">
      <c r="A823" s="11"/>
      <c r="B823" s="12"/>
      <c r="C823" s="12"/>
      <c r="D823" s="12"/>
      <c r="E823" s="12"/>
      <c r="F823" s="12"/>
      <c r="G823" s="12"/>
      <c r="H823" s="12"/>
      <c r="I823" s="12"/>
      <c r="J823" s="12"/>
      <c r="K823" s="12"/>
      <c r="L823" s="12"/>
      <c r="M823" s="11"/>
      <c r="N823" s="11"/>
      <c r="O823" s="11"/>
      <c r="P823" s="11"/>
      <c r="Q823" s="11"/>
      <c r="R823" s="11"/>
      <c r="S823" s="11"/>
      <c r="T823" s="11"/>
      <c r="U823" s="11"/>
      <c r="V823" s="11"/>
      <c r="W823" s="11"/>
      <c r="X823" s="11"/>
      <c r="Y823" s="11"/>
      <c r="Z823" s="11"/>
      <c r="AA823" s="11"/>
      <c r="AB823" s="11"/>
      <c r="AC823" s="11"/>
      <c r="AD823" s="11"/>
    </row>
    <row r="824" spans="1:30" ht="16" x14ac:dyDescent="0.2">
      <c r="A824" s="11"/>
      <c r="B824" s="12"/>
      <c r="C824" s="12"/>
      <c r="D824" s="12"/>
      <c r="E824" s="12"/>
      <c r="F824" s="12"/>
      <c r="G824" s="12"/>
      <c r="H824" s="12"/>
      <c r="I824" s="12"/>
      <c r="J824" s="12"/>
      <c r="K824" s="12"/>
      <c r="L824" s="12"/>
      <c r="M824" s="11"/>
      <c r="N824" s="11"/>
      <c r="O824" s="11"/>
      <c r="P824" s="11"/>
      <c r="Q824" s="11"/>
      <c r="R824" s="11"/>
      <c r="S824" s="11"/>
      <c r="T824" s="11"/>
      <c r="U824" s="11"/>
      <c r="V824" s="11"/>
      <c r="W824" s="11"/>
      <c r="X824" s="11"/>
      <c r="Y824" s="11"/>
      <c r="Z824" s="11"/>
      <c r="AA824" s="11"/>
      <c r="AB824" s="11"/>
      <c r="AC824" s="11"/>
      <c r="AD824" s="11"/>
    </row>
    <row r="825" spans="1:30" ht="16" x14ac:dyDescent="0.2">
      <c r="A825" s="11"/>
      <c r="B825" s="12"/>
      <c r="C825" s="12"/>
      <c r="D825" s="12"/>
      <c r="E825" s="12"/>
      <c r="F825" s="12"/>
      <c r="G825" s="12"/>
      <c r="H825" s="12"/>
      <c r="I825" s="12"/>
      <c r="J825" s="12"/>
      <c r="K825" s="12"/>
      <c r="L825" s="12"/>
      <c r="M825" s="11"/>
      <c r="N825" s="11"/>
      <c r="O825" s="11"/>
      <c r="P825" s="11"/>
      <c r="Q825" s="11"/>
      <c r="R825" s="11"/>
      <c r="S825" s="11"/>
      <c r="T825" s="11"/>
      <c r="U825" s="11"/>
      <c r="V825" s="11"/>
      <c r="W825" s="11"/>
      <c r="X825" s="11"/>
      <c r="Y825" s="11"/>
      <c r="Z825" s="11"/>
      <c r="AA825" s="11"/>
      <c r="AB825" s="11"/>
      <c r="AC825" s="11"/>
      <c r="AD825" s="11"/>
    </row>
    <row r="826" spans="1:30" ht="16" x14ac:dyDescent="0.2">
      <c r="A826" s="11"/>
      <c r="B826" s="12"/>
      <c r="C826" s="12"/>
      <c r="D826" s="12"/>
      <c r="E826" s="12"/>
      <c r="F826" s="12"/>
      <c r="G826" s="12"/>
      <c r="H826" s="12"/>
      <c r="I826" s="12"/>
      <c r="J826" s="12"/>
      <c r="K826" s="12"/>
      <c r="L826" s="12"/>
      <c r="M826" s="11"/>
      <c r="N826" s="11"/>
      <c r="O826" s="11"/>
      <c r="P826" s="11"/>
      <c r="Q826" s="11"/>
      <c r="R826" s="11"/>
      <c r="S826" s="11"/>
      <c r="T826" s="11"/>
      <c r="U826" s="11"/>
      <c r="V826" s="11"/>
      <c r="W826" s="11"/>
      <c r="X826" s="11"/>
      <c r="Y826" s="11"/>
      <c r="Z826" s="11"/>
      <c r="AA826" s="11"/>
      <c r="AB826" s="11"/>
      <c r="AC826" s="11"/>
      <c r="AD826" s="11"/>
    </row>
    <row r="827" spans="1:30" ht="16" x14ac:dyDescent="0.2">
      <c r="A827" s="11"/>
      <c r="B827" s="12"/>
      <c r="C827" s="12"/>
      <c r="D827" s="12"/>
      <c r="E827" s="12"/>
      <c r="F827" s="12"/>
      <c r="G827" s="12"/>
      <c r="H827" s="12"/>
      <c r="I827" s="12"/>
      <c r="J827" s="12"/>
      <c r="K827" s="12"/>
      <c r="L827" s="12"/>
      <c r="M827" s="11"/>
      <c r="N827" s="11"/>
      <c r="O827" s="11"/>
      <c r="P827" s="11"/>
      <c r="Q827" s="11"/>
      <c r="R827" s="11"/>
      <c r="S827" s="11"/>
      <c r="T827" s="11"/>
      <c r="U827" s="11"/>
      <c r="V827" s="11"/>
      <c r="W827" s="11"/>
      <c r="X827" s="11"/>
      <c r="Y827" s="11"/>
      <c r="Z827" s="11"/>
      <c r="AA827" s="11"/>
      <c r="AB827" s="11"/>
      <c r="AC827" s="11"/>
      <c r="AD827" s="11"/>
    </row>
    <row r="828" spans="1:30" ht="16" x14ac:dyDescent="0.2">
      <c r="A828" s="11"/>
      <c r="B828" s="12"/>
      <c r="C828" s="12"/>
      <c r="D828" s="12"/>
      <c r="E828" s="12"/>
      <c r="F828" s="12"/>
      <c r="G828" s="12"/>
      <c r="H828" s="12"/>
      <c r="I828" s="12"/>
      <c r="J828" s="12"/>
      <c r="K828" s="12"/>
      <c r="L828" s="12"/>
      <c r="M828" s="11"/>
      <c r="N828" s="11"/>
      <c r="O828" s="11"/>
      <c r="P828" s="11"/>
      <c r="Q828" s="11"/>
      <c r="R828" s="11"/>
      <c r="S828" s="11"/>
      <c r="T828" s="11"/>
      <c r="U828" s="11"/>
      <c r="V828" s="11"/>
      <c r="W828" s="11"/>
      <c r="X828" s="11"/>
      <c r="Y828" s="11"/>
      <c r="Z828" s="11"/>
      <c r="AA828" s="11"/>
      <c r="AB828" s="11"/>
      <c r="AC828" s="11"/>
      <c r="AD828" s="11"/>
    </row>
    <row r="829" spans="1:30" ht="16" x14ac:dyDescent="0.2">
      <c r="A829" s="11"/>
      <c r="B829" s="12"/>
      <c r="C829" s="12"/>
      <c r="D829" s="12"/>
      <c r="E829" s="12"/>
      <c r="F829" s="12"/>
      <c r="G829" s="12"/>
      <c r="H829" s="12"/>
      <c r="I829" s="12"/>
      <c r="J829" s="12"/>
      <c r="K829" s="12"/>
      <c r="L829" s="12"/>
      <c r="M829" s="11"/>
      <c r="N829" s="11"/>
      <c r="O829" s="11"/>
      <c r="P829" s="11"/>
      <c r="Q829" s="11"/>
      <c r="R829" s="11"/>
      <c r="S829" s="11"/>
      <c r="T829" s="11"/>
      <c r="U829" s="11"/>
      <c r="V829" s="11"/>
      <c r="W829" s="11"/>
      <c r="X829" s="11"/>
      <c r="Y829" s="11"/>
      <c r="Z829" s="11"/>
      <c r="AA829" s="11"/>
      <c r="AB829" s="11"/>
      <c r="AC829" s="11"/>
      <c r="AD829" s="11"/>
    </row>
    <row r="830" spans="1:30" ht="16" x14ac:dyDescent="0.2">
      <c r="A830" s="11"/>
      <c r="B830" s="12"/>
      <c r="C830" s="12"/>
      <c r="D830" s="12"/>
      <c r="E830" s="12"/>
      <c r="F830" s="12"/>
      <c r="G830" s="12"/>
      <c r="H830" s="12"/>
      <c r="I830" s="12"/>
      <c r="J830" s="12"/>
      <c r="K830" s="12"/>
      <c r="L830" s="12"/>
      <c r="M830" s="11"/>
      <c r="N830" s="11"/>
      <c r="O830" s="11"/>
      <c r="P830" s="11"/>
      <c r="Q830" s="11"/>
      <c r="R830" s="11"/>
      <c r="S830" s="11"/>
      <c r="T830" s="11"/>
      <c r="U830" s="11"/>
      <c r="V830" s="11"/>
      <c r="W830" s="11"/>
      <c r="X830" s="11"/>
      <c r="Y830" s="11"/>
      <c r="Z830" s="11"/>
      <c r="AA830" s="11"/>
      <c r="AB830" s="11"/>
      <c r="AC830" s="11"/>
      <c r="AD830" s="11"/>
    </row>
    <row r="831" spans="1:30" ht="16" x14ac:dyDescent="0.2">
      <c r="A831" s="11"/>
      <c r="B831" s="12"/>
      <c r="C831" s="12"/>
      <c r="D831" s="12"/>
      <c r="E831" s="12"/>
      <c r="F831" s="12"/>
      <c r="G831" s="12"/>
      <c r="H831" s="12"/>
      <c r="I831" s="12"/>
      <c r="J831" s="12"/>
      <c r="K831" s="12"/>
      <c r="L831" s="12"/>
      <c r="M831" s="11"/>
      <c r="N831" s="11"/>
      <c r="O831" s="11"/>
      <c r="P831" s="11"/>
      <c r="Q831" s="11"/>
      <c r="R831" s="11"/>
      <c r="S831" s="11"/>
      <c r="T831" s="11"/>
      <c r="U831" s="11"/>
      <c r="V831" s="11"/>
      <c r="W831" s="11"/>
      <c r="X831" s="11"/>
      <c r="Y831" s="11"/>
      <c r="Z831" s="11"/>
      <c r="AA831" s="11"/>
      <c r="AB831" s="11"/>
      <c r="AC831" s="11"/>
      <c r="AD831" s="11"/>
    </row>
    <row r="832" spans="1:30" ht="16" x14ac:dyDescent="0.2">
      <c r="A832" s="11"/>
      <c r="B832" s="12"/>
      <c r="C832" s="12"/>
      <c r="D832" s="12"/>
      <c r="E832" s="12"/>
      <c r="F832" s="12"/>
      <c r="G832" s="12"/>
      <c r="H832" s="12"/>
      <c r="I832" s="12"/>
      <c r="J832" s="12"/>
      <c r="K832" s="12"/>
      <c r="L832" s="12"/>
      <c r="M832" s="11"/>
      <c r="N832" s="11"/>
      <c r="O832" s="11"/>
      <c r="P832" s="11"/>
      <c r="Q832" s="11"/>
      <c r="R832" s="11"/>
      <c r="S832" s="11"/>
      <c r="T832" s="11"/>
      <c r="U832" s="11"/>
      <c r="V832" s="11"/>
      <c r="W832" s="11"/>
      <c r="X832" s="11"/>
      <c r="Y832" s="11"/>
      <c r="Z832" s="11"/>
      <c r="AA832" s="11"/>
      <c r="AB832" s="11"/>
      <c r="AC832" s="11"/>
      <c r="AD832" s="11"/>
    </row>
    <row r="833" spans="1:30" ht="16" x14ac:dyDescent="0.2">
      <c r="A833" s="11"/>
      <c r="B833" s="12"/>
      <c r="C833" s="12"/>
      <c r="D833" s="12"/>
      <c r="E833" s="12"/>
      <c r="F833" s="12"/>
      <c r="G833" s="12"/>
      <c r="H833" s="12"/>
      <c r="I833" s="12"/>
      <c r="J833" s="12"/>
      <c r="K833" s="12"/>
      <c r="L833" s="12"/>
      <c r="M833" s="11"/>
      <c r="N833" s="11"/>
      <c r="O833" s="11"/>
      <c r="P833" s="11"/>
      <c r="Q833" s="11"/>
      <c r="R833" s="11"/>
      <c r="S833" s="11"/>
      <c r="T833" s="11"/>
      <c r="U833" s="11"/>
      <c r="V833" s="11"/>
      <c r="W833" s="11"/>
      <c r="X833" s="11"/>
      <c r="Y833" s="11"/>
      <c r="Z833" s="11"/>
      <c r="AA833" s="11"/>
      <c r="AB833" s="11"/>
      <c r="AC833" s="11"/>
      <c r="AD833" s="11"/>
    </row>
    <row r="834" spans="1:30" ht="16" x14ac:dyDescent="0.2">
      <c r="A834" s="11"/>
      <c r="B834" s="12"/>
      <c r="C834" s="12"/>
      <c r="D834" s="12"/>
      <c r="E834" s="12"/>
      <c r="F834" s="12"/>
      <c r="G834" s="12"/>
      <c r="H834" s="12"/>
      <c r="I834" s="12"/>
      <c r="J834" s="12"/>
      <c r="K834" s="12"/>
      <c r="L834" s="12"/>
      <c r="M834" s="11"/>
      <c r="N834" s="11"/>
      <c r="O834" s="11"/>
      <c r="P834" s="11"/>
      <c r="Q834" s="11"/>
      <c r="R834" s="11"/>
      <c r="S834" s="11"/>
      <c r="T834" s="11"/>
      <c r="U834" s="11"/>
      <c r="V834" s="11"/>
      <c r="W834" s="11"/>
      <c r="X834" s="11"/>
      <c r="Y834" s="11"/>
      <c r="Z834" s="11"/>
      <c r="AA834" s="11"/>
      <c r="AB834" s="11"/>
      <c r="AC834" s="11"/>
      <c r="AD834" s="11"/>
    </row>
    <row r="835" spans="1:30" ht="16" x14ac:dyDescent="0.2">
      <c r="A835" s="11"/>
      <c r="B835" s="12"/>
      <c r="C835" s="12"/>
      <c r="D835" s="12"/>
      <c r="E835" s="12"/>
      <c r="F835" s="12"/>
      <c r="G835" s="12"/>
      <c r="H835" s="12"/>
      <c r="I835" s="12"/>
      <c r="J835" s="12"/>
      <c r="K835" s="12"/>
      <c r="L835" s="12"/>
      <c r="M835" s="11"/>
      <c r="N835" s="11"/>
      <c r="O835" s="11"/>
      <c r="P835" s="11"/>
      <c r="Q835" s="11"/>
      <c r="R835" s="11"/>
      <c r="S835" s="11"/>
      <c r="T835" s="11"/>
      <c r="U835" s="11"/>
      <c r="V835" s="11"/>
      <c r="W835" s="11"/>
      <c r="X835" s="11"/>
      <c r="Y835" s="11"/>
      <c r="Z835" s="11"/>
      <c r="AA835" s="11"/>
      <c r="AB835" s="11"/>
      <c r="AC835" s="11"/>
      <c r="AD835" s="11"/>
    </row>
    <row r="836" spans="1:30" ht="16" x14ac:dyDescent="0.2">
      <c r="A836" s="11"/>
      <c r="B836" s="12"/>
      <c r="C836" s="12"/>
      <c r="D836" s="12"/>
      <c r="E836" s="12"/>
      <c r="F836" s="12"/>
      <c r="G836" s="12"/>
      <c r="H836" s="12"/>
      <c r="I836" s="12"/>
      <c r="J836" s="12"/>
      <c r="K836" s="12"/>
      <c r="L836" s="12"/>
      <c r="M836" s="11"/>
      <c r="N836" s="11"/>
      <c r="O836" s="11"/>
      <c r="P836" s="11"/>
      <c r="Q836" s="11"/>
      <c r="R836" s="11"/>
      <c r="S836" s="11"/>
      <c r="T836" s="11"/>
      <c r="U836" s="11"/>
      <c r="V836" s="11"/>
      <c r="W836" s="11"/>
      <c r="X836" s="11"/>
      <c r="Y836" s="11"/>
      <c r="Z836" s="11"/>
      <c r="AA836" s="11"/>
      <c r="AB836" s="11"/>
      <c r="AC836" s="11"/>
      <c r="AD836" s="11"/>
    </row>
    <row r="837" spans="1:30" ht="16" x14ac:dyDescent="0.2">
      <c r="A837" s="11"/>
      <c r="B837" s="12"/>
      <c r="C837" s="12"/>
      <c r="D837" s="12"/>
      <c r="E837" s="12"/>
      <c r="F837" s="12"/>
      <c r="G837" s="12"/>
      <c r="H837" s="12"/>
      <c r="I837" s="12"/>
      <c r="J837" s="12"/>
      <c r="K837" s="12"/>
      <c r="L837" s="12"/>
      <c r="M837" s="11"/>
      <c r="N837" s="11"/>
      <c r="O837" s="11"/>
      <c r="P837" s="11"/>
      <c r="Q837" s="11"/>
      <c r="R837" s="11"/>
      <c r="S837" s="11"/>
      <c r="T837" s="11"/>
      <c r="U837" s="11"/>
      <c r="V837" s="11"/>
      <c r="W837" s="11"/>
      <c r="X837" s="11"/>
      <c r="Y837" s="11"/>
      <c r="Z837" s="11"/>
      <c r="AA837" s="11"/>
      <c r="AB837" s="11"/>
      <c r="AC837" s="11"/>
      <c r="AD837" s="11"/>
    </row>
    <row r="838" spans="1:30" ht="16" x14ac:dyDescent="0.2">
      <c r="A838" s="11"/>
      <c r="B838" s="12"/>
      <c r="C838" s="12"/>
      <c r="D838" s="12"/>
      <c r="E838" s="12"/>
      <c r="F838" s="12"/>
      <c r="G838" s="12"/>
      <c r="H838" s="12"/>
      <c r="I838" s="12"/>
      <c r="J838" s="12"/>
      <c r="K838" s="12"/>
      <c r="L838" s="12"/>
      <c r="M838" s="11"/>
      <c r="N838" s="11"/>
      <c r="O838" s="11"/>
      <c r="P838" s="11"/>
      <c r="Q838" s="11"/>
      <c r="R838" s="11"/>
      <c r="S838" s="11"/>
      <c r="T838" s="11"/>
      <c r="U838" s="11"/>
      <c r="V838" s="11"/>
      <c r="W838" s="11"/>
      <c r="X838" s="11"/>
      <c r="Y838" s="11"/>
      <c r="Z838" s="11"/>
      <c r="AA838" s="11"/>
      <c r="AB838" s="11"/>
      <c r="AC838" s="11"/>
      <c r="AD838" s="11"/>
    </row>
    <row r="839" spans="1:30" ht="16" x14ac:dyDescent="0.2">
      <c r="A839" s="11"/>
      <c r="B839" s="12"/>
      <c r="C839" s="12"/>
      <c r="D839" s="12"/>
      <c r="E839" s="12"/>
      <c r="F839" s="12"/>
      <c r="G839" s="12"/>
      <c r="H839" s="12"/>
      <c r="I839" s="12"/>
      <c r="J839" s="12"/>
      <c r="K839" s="12"/>
      <c r="L839" s="12"/>
      <c r="M839" s="11"/>
      <c r="N839" s="11"/>
      <c r="O839" s="11"/>
      <c r="P839" s="11"/>
      <c r="Q839" s="11"/>
      <c r="R839" s="11"/>
      <c r="S839" s="11"/>
      <c r="T839" s="11"/>
      <c r="U839" s="11"/>
      <c r="V839" s="11"/>
      <c r="W839" s="11"/>
      <c r="X839" s="11"/>
      <c r="Y839" s="11"/>
      <c r="Z839" s="11"/>
      <c r="AA839" s="11"/>
      <c r="AB839" s="11"/>
      <c r="AC839" s="11"/>
      <c r="AD839" s="11"/>
    </row>
    <row r="840" spans="1:30" ht="16" x14ac:dyDescent="0.2">
      <c r="A840" s="11"/>
      <c r="B840" s="12"/>
      <c r="C840" s="12"/>
      <c r="D840" s="12"/>
      <c r="E840" s="12"/>
      <c r="F840" s="12"/>
      <c r="G840" s="12"/>
      <c r="H840" s="12"/>
      <c r="I840" s="12"/>
      <c r="J840" s="12"/>
      <c r="K840" s="12"/>
      <c r="L840" s="12"/>
      <c r="M840" s="11"/>
      <c r="N840" s="11"/>
      <c r="O840" s="11"/>
      <c r="P840" s="11"/>
      <c r="Q840" s="11"/>
      <c r="R840" s="11"/>
      <c r="S840" s="11"/>
      <c r="T840" s="11"/>
      <c r="U840" s="11"/>
      <c r="V840" s="11"/>
      <c r="W840" s="11"/>
      <c r="X840" s="11"/>
      <c r="Y840" s="11"/>
      <c r="Z840" s="11"/>
      <c r="AA840" s="11"/>
      <c r="AB840" s="11"/>
      <c r="AC840" s="11"/>
      <c r="AD840" s="11"/>
    </row>
    <row r="841" spans="1:30" ht="16" x14ac:dyDescent="0.2">
      <c r="A841" s="11"/>
      <c r="B841" s="12"/>
      <c r="C841" s="12"/>
      <c r="D841" s="12"/>
      <c r="E841" s="12"/>
      <c r="F841" s="12"/>
      <c r="G841" s="12"/>
      <c r="H841" s="12"/>
      <c r="I841" s="12"/>
      <c r="J841" s="12"/>
      <c r="K841" s="12"/>
      <c r="L841" s="12"/>
      <c r="M841" s="11"/>
      <c r="N841" s="11"/>
      <c r="O841" s="11"/>
      <c r="P841" s="11"/>
      <c r="Q841" s="11"/>
      <c r="R841" s="11"/>
      <c r="S841" s="11"/>
      <c r="T841" s="11"/>
      <c r="U841" s="11"/>
      <c r="V841" s="11"/>
      <c r="W841" s="11"/>
      <c r="X841" s="11"/>
      <c r="Y841" s="11"/>
      <c r="Z841" s="11"/>
      <c r="AA841" s="11"/>
      <c r="AB841" s="11"/>
      <c r="AC841" s="11"/>
      <c r="AD841" s="11"/>
    </row>
    <row r="842" spans="1:30" ht="16" x14ac:dyDescent="0.2">
      <c r="A842" s="11"/>
      <c r="B842" s="12"/>
      <c r="C842" s="12"/>
      <c r="D842" s="12"/>
      <c r="E842" s="12"/>
      <c r="F842" s="12"/>
      <c r="G842" s="12"/>
      <c r="H842" s="12"/>
      <c r="I842" s="12"/>
      <c r="J842" s="12"/>
      <c r="K842" s="12"/>
      <c r="L842" s="12"/>
      <c r="M842" s="11"/>
      <c r="N842" s="11"/>
      <c r="O842" s="11"/>
      <c r="P842" s="11"/>
      <c r="Q842" s="11"/>
      <c r="R842" s="11"/>
      <c r="S842" s="11"/>
      <c r="T842" s="11"/>
      <c r="U842" s="11"/>
      <c r="V842" s="11"/>
      <c r="W842" s="11"/>
      <c r="X842" s="11"/>
      <c r="Y842" s="11"/>
      <c r="Z842" s="11"/>
      <c r="AA842" s="11"/>
      <c r="AB842" s="11"/>
      <c r="AC842" s="11"/>
      <c r="AD842" s="11"/>
    </row>
    <row r="843" spans="1:30" ht="16" x14ac:dyDescent="0.2">
      <c r="A843" s="11"/>
      <c r="B843" s="12"/>
      <c r="C843" s="12"/>
      <c r="D843" s="12"/>
      <c r="E843" s="12"/>
      <c r="F843" s="12"/>
      <c r="G843" s="12"/>
      <c r="H843" s="12"/>
      <c r="I843" s="12"/>
      <c r="J843" s="12"/>
      <c r="K843" s="12"/>
      <c r="L843" s="12"/>
      <c r="M843" s="11"/>
      <c r="N843" s="11"/>
      <c r="O843" s="11"/>
      <c r="P843" s="11"/>
      <c r="Q843" s="11"/>
      <c r="R843" s="11"/>
      <c r="S843" s="11"/>
      <c r="T843" s="11"/>
      <c r="U843" s="11"/>
      <c r="V843" s="11"/>
      <c r="W843" s="11"/>
      <c r="X843" s="11"/>
      <c r="Y843" s="11"/>
      <c r="Z843" s="11"/>
      <c r="AA843" s="11"/>
      <c r="AB843" s="11"/>
      <c r="AC843" s="11"/>
      <c r="AD843" s="11"/>
    </row>
    <row r="844" spans="1:30" ht="16" x14ac:dyDescent="0.2">
      <c r="A844" s="11"/>
      <c r="B844" s="12"/>
      <c r="C844" s="12"/>
      <c r="D844" s="12"/>
      <c r="E844" s="12"/>
      <c r="F844" s="12"/>
      <c r="G844" s="12"/>
      <c r="H844" s="12"/>
      <c r="I844" s="12"/>
      <c r="J844" s="12"/>
      <c r="K844" s="12"/>
      <c r="L844" s="12"/>
      <c r="M844" s="11"/>
      <c r="N844" s="11"/>
      <c r="O844" s="11"/>
      <c r="P844" s="11"/>
      <c r="Q844" s="11"/>
      <c r="R844" s="11"/>
      <c r="S844" s="11"/>
      <c r="T844" s="11"/>
      <c r="U844" s="11"/>
      <c r="V844" s="11"/>
      <c r="W844" s="11"/>
      <c r="X844" s="11"/>
      <c r="Y844" s="11"/>
      <c r="Z844" s="11"/>
      <c r="AA844" s="11"/>
      <c r="AB844" s="11"/>
      <c r="AC844" s="11"/>
      <c r="AD844" s="11"/>
    </row>
    <row r="845" spans="1:30" ht="16" x14ac:dyDescent="0.2">
      <c r="A845" s="11"/>
      <c r="B845" s="12"/>
      <c r="C845" s="12"/>
      <c r="D845" s="12"/>
      <c r="E845" s="12"/>
      <c r="F845" s="12"/>
      <c r="G845" s="12"/>
      <c r="H845" s="12"/>
      <c r="I845" s="12"/>
      <c r="J845" s="12"/>
      <c r="K845" s="12"/>
      <c r="L845" s="12"/>
      <c r="M845" s="11"/>
      <c r="N845" s="11"/>
      <c r="O845" s="11"/>
      <c r="P845" s="11"/>
      <c r="Q845" s="11"/>
      <c r="R845" s="11"/>
      <c r="S845" s="11"/>
      <c r="T845" s="11"/>
      <c r="U845" s="11"/>
      <c r="V845" s="11"/>
      <c r="W845" s="11"/>
      <c r="X845" s="11"/>
      <c r="Y845" s="11"/>
      <c r="Z845" s="11"/>
      <c r="AA845" s="11"/>
      <c r="AB845" s="11"/>
      <c r="AC845" s="11"/>
      <c r="AD845" s="11"/>
    </row>
    <row r="846" spans="1:30" ht="16" x14ac:dyDescent="0.2">
      <c r="A846" s="11"/>
      <c r="B846" s="12"/>
      <c r="C846" s="12"/>
      <c r="D846" s="12"/>
      <c r="E846" s="12"/>
      <c r="F846" s="12"/>
      <c r="G846" s="12"/>
      <c r="H846" s="12"/>
      <c r="I846" s="12"/>
      <c r="J846" s="12"/>
      <c r="K846" s="12"/>
      <c r="L846" s="12"/>
      <c r="M846" s="11"/>
      <c r="N846" s="11"/>
      <c r="O846" s="11"/>
      <c r="P846" s="11"/>
      <c r="Q846" s="11"/>
      <c r="R846" s="11"/>
      <c r="S846" s="11"/>
      <c r="T846" s="11"/>
      <c r="U846" s="11"/>
      <c r="V846" s="11"/>
      <c r="W846" s="11"/>
      <c r="X846" s="11"/>
      <c r="Y846" s="11"/>
      <c r="Z846" s="11"/>
      <c r="AA846" s="11"/>
      <c r="AB846" s="11"/>
      <c r="AC846" s="11"/>
      <c r="AD846" s="11"/>
    </row>
    <row r="847" spans="1:30" ht="16" x14ac:dyDescent="0.2">
      <c r="A847" s="11"/>
      <c r="B847" s="12"/>
      <c r="C847" s="12"/>
      <c r="D847" s="12"/>
      <c r="E847" s="12"/>
      <c r="F847" s="12"/>
      <c r="G847" s="12"/>
      <c r="H847" s="12"/>
      <c r="I847" s="12"/>
      <c r="J847" s="12"/>
      <c r="K847" s="12"/>
      <c r="L847" s="12"/>
      <c r="M847" s="11"/>
      <c r="N847" s="11"/>
      <c r="O847" s="11"/>
      <c r="P847" s="11"/>
      <c r="Q847" s="11"/>
      <c r="R847" s="11"/>
      <c r="S847" s="11"/>
      <c r="T847" s="11"/>
      <c r="U847" s="11"/>
      <c r="V847" s="11"/>
      <c r="W847" s="11"/>
      <c r="X847" s="11"/>
      <c r="Y847" s="11"/>
      <c r="Z847" s="11"/>
      <c r="AA847" s="11"/>
      <c r="AB847" s="11"/>
      <c r="AC847" s="11"/>
      <c r="AD847" s="11"/>
    </row>
    <row r="848" spans="1:30" ht="16" x14ac:dyDescent="0.2">
      <c r="A848" s="11"/>
      <c r="B848" s="12"/>
      <c r="C848" s="12"/>
      <c r="D848" s="12"/>
      <c r="E848" s="12"/>
      <c r="F848" s="12"/>
      <c r="G848" s="12"/>
      <c r="H848" s="12"/>
      <c r="I848" s="12"/>
      <c r="J848" s="12"/>
      <c r="K848" s="12"/>
      <c r="L848" s="12"/>
      <c r="M848" s="11"/>
      <c r="N848" s="11"/>
      <c r="O848" s="11"/>
      <c r="P848" s="11"/>
      <c r="Q848" s="11"/>
      <c r="R848" s="11"/>
      <c r="S848" s="11"/>
      <c r="T848" s="11"/>
      <c r="U848" s="11"/>
      <c r="V848" s="11"/>
      <c r="W848" s="11"/>
      <c r="X848" s="11"/>
      <c r="Y848" s="11"/>
      <c r="Z848" s="11"/>
      <c r="AA848" s="11"/>
      <c r="AB848" s="11"/>
      <c r="AC848" s="11"/>
      <c r="AD848" s="11"/>
    </row>
    <row r="849" spans="1:30" ht="16" x14ac:dyDescent="0.2">
      <c r="A849" s="11"/>
      <c r="B849" s="12"/>
      <c r="C849" s="12"/>
      <c r="D849" s="12"/>
      <c r="E849" s="12"/>
      <c r="F849" s="12"/>
      <c r="G849" s="12"/>
      <c r="H849" s="12"/>
      <c r="I849" s="12"/>
      <c r="J849" s="12"/>
      <c r="K849" s="12"/>
      <c r="L849" s="12"/>
      <c r="M849" s="11"/>
      <c r="N849" s="11"/>
      <c r="O849" s="11"/>
      <c r="P849" s="11"/>
      <c r="Q849" s="11"/>
      <c r="R849" s="11"/>
      <c r="S849" s="11"/>
      <c r="T849" s="11"/>
      <c r="U849" s="11"/>
      <c r="V849" s="11"/>
      <c r="W849" s="11"/>
      <c r="X849" s="11"/>
      <c r="Y849" s="11"/>
      <c r="Z849" s="11"/>
      <c r="AA849" s="11"/>
      <c r="AB849" s="11"/>
      <c r="AC849" s="11"/>
      <c r="AD849" s="11"/>
    </row>
    <row r="850" spans="1:30" ht="16" x14ac:dyDescent="0.2">
      <c r="A850" s="11"/>
      <c r="B850" s="12"/>
      <c r="C850" s="12"/>
      <c r="D850" s="12"/>
      <c r="E850" s="12"/>
      <c r="F850" s="12"/>
      <c r="G850" s="12"/>
      <c r="H850" s="12"/>
      <c r="I850" s="12"/>
      <c r="J850" s="12"/>
      <c r="K850" s="12"/>
      <c r="L850" s="12"/>
      <c r="M850" s="11"/>
      <c r="N850" s="11"/>
      <c r="O850" s="11"/>
      <c r="P850" s="11"/>
      <c r="Q850" s="11"/>
      <c r="R850" s="11"/>
      <c r="S850" s="11"/>
      <c r="T850" s="11"/>
      <c r="U850" s="11"/>
      <c r="V850" s="11"/>
      <c r="W850" s="11"/>
      <c r="X850" s="11"/>
      <c r="Y850" s="11"/>
      <c r="Z850" s="11"/>
      <c r="AA850" s="11"/>
      <c r="AB850" s="11"/>
      <c r="AC850" s="11"/>
      <c r="AD850" s="11"/>
    </row>
    <row r="851" spans="1:30" ht="16" x14ac:dyDescent="0.2">
      <c r="A851" s="11"/>
      <c r="B851" s="12"/>
      <c r="C851" s="12"/>
      <c r="D851" s="12"/>
      <c r="E851" s="12"/>
      <c r="F851" s="12"/>
      <c r="G851" s="12"/>
      <c r="H851" s="12"/>
      <c r="I851" s="12"/>
      <c r="J851" s="12"/>
      <c r="K851" s="12"/>
      <c r="L851" s="12"/>
      <c r="M851" s="11"/>
      <c r="N851" s="11"/>
      <c r="O851" s="11"/>
      <c r="P851" s="11"/>
      <c r="Q851" s="11"/>
      <c r="R851" s="11"/>
      <c r="S851" s="11"/>
      <c r="T851" s="11"/>
      <c r="U851" s="11"/>
      <c r="V851" s="11"/>
      <c r="W851" s="11"/>
      <c r="X851" s="11"/>
      <c r="Y851" s="11"/>
      <c r="Z851" s="11"/>
      <c r="AA851" s="11"/>
      <c r="AB851" s="11"/>
      <c r="AC851" s="11"/>
      <c r="AD851" s="11"/>
    </row>
    <row r="852" spans="1:30" ht="16" x14ac:dyDescent="0.2">
      <c r="A852" s="11"/>
      <c r="B852" s="12"/>
      <c r="C852" s="12"/>
      <c r="D852" s="12"/>
      <c r="E852" s="12"/>
      <c r="F852" s="12"/>
      <c r="G852" s="12"/>
      <c r="H852" s="12"/>
      <c r="I852" s="12"/>
      <c r="J852" s="12"/>
      <c r="K852" s="12"/>
      <c r="L852" s="12"/>
      <c r="M852" s="11"/>
      <c r="N852" s="11"/>
      <c r="O852" s="11"/>
      <c r="P852" s="11"/>
      <c r="Q852" s="11"/>
      <c r="R852" s="11"/>
      <c r="S852" s="11"/>
      <c r="T852" s="11"/>
      <c r="U852" s="11"/>
      <c r="V852" s="11"/>
      <c r="W852" s="11"/>
      <c r="X852" s="11"/>
      <c r="Y852" s="11"/>
      <c r="Z852" s="11"/>
      <c r="AA852" s="11"/>
      <c r="AB852" s="11"/>
      <c r="AC852" s="11"/>
      <c r="AD852" s="11"/>
    </row>
    <row r="853" spans="1:30" ht="16" x14ac:dyDescent="0.2">
      <c r="A853" s="11"/>
      <c r="B853" s="12"/>
      <c r="C853" s="12"/>
      <c r="D853" s="12"/>
      <c r="E853" s="12"/>
      <c r="F853" s="12"/>
      <c r="G853" s="12"/>
      <c r="H853" s="12"/>
      <c r="I853" s="12"/>
      <c r="J853" s="12"/>
      <c r="K853" s="12"/>
      <c r="L853" s="12"/>
      <c r="M853" s="11"/>
      <c r="N853" s="11"/>
      <c r="O853" s="11"/>
      <c r="P853" s="11"/>
      <c r="Q853" s="11"/>
      <c r="R853" s="11"/>
      <c r="S853" s="11"/>
      <c r="T853" s="11"/>
      <c r="U853" s="11"/>
      <c r="V853" s="11"/>
      <c r="W853" s="11"/>
      <c r="X853" s="11"/>
      <c r="Y853" s="11"/>
      <c r="Z853" s="11"/>
      <c r="AA853" s="11"/>
      <c r="AB853" s="11"/>
      <c r="AC853" s="11"/>
      <c r="AD853" s="11"/>
    </row>
    <row r="854" spans="1:30" ht="16" x14ac:dyDescent="0.2">
      <c r="A854" s="11"/>
      <c r="B854" s="12"/>
      <c r="C854" s="12"/>
      <c r="D854" s="12"/>
      <c r="E854" s="12"/>
      <c r="F854" s="12"/>
      <c r="G854" s="12"/>
      <c r="H854" s="12"/>
      <c r="I854" s="12"/>
      <c r="J854" s="12"/>
      <c r="K854" s="12"/>
      <c r="L854" s="12"/>
      <c r="M854" s="11"/>
      <c r="N854" s="11"/>
      <c r="O854" s="11"/>
      <c r="P854" s="11"/>
      <c r="Q854" s="11"/>
      <c r="R854" s="11"/>
      <c r="S854" s="11"/>
      <c r="T854" s="11"/>
      <c r="U854" s="11"/>
      <c r="V854" s="11"/>
      <c r="W854" s="11"/>
      <c r="X854" s="11"/>
      <c r="Y854" s="11"/>
      <c r="Z854" s="11"/>
      <c r="AA854" s="11"/>
      <c r="AB854" s="11"/>
      <c r="AC854" s="11"/>
      <c r="AD854" s="11"/>
    </row>
    <row r="855" spans="1:30" ht="16" x14ac:dyDescent="0.2">
      <c r="A855" s="11"/>
      <c r="B855" s="12"/>
      <c r="C855" s="12"/>
      <c r="D855" s="12"/>
      <c r="E855" s="12"/>
      <c r="F855" s="12"/>
      <c r="G855" s="12"/>
      <c r="H855" s="12"/>
      <c r="I855" s="12"/>
      <c r="J855" s="12"/>
      <c r="K855" s="12"/>
      <c r="L855" s="12"/>
      <c r="M855" s="11"/>
      <c r="N855" s="11"/>
      <c r="O855" s="11"/>
      <c r="P855" s="11"/>
      <c r="Q855" s="11"/>
      <c r="R855" s="11"/>
      <c r="S855" s="11"/>
      <c r="T855" s="11"/>
      <c r="U855" s="11"/>
      <c r="V855" s="11"/>
      <c r="W855" s="11"/>
      <c r="X855" s="11"/>
      <c r="Y855" s="11"/>
      <c r="Z855" s="11"/>
      <c r="AA855" s="11"/>
      <c r="AB855" s="11"/>
      <c r="AC855" s="11"/>
      <c r="AD855" s="11"/>
    </row>
    <row r="856" spans="1:30" ht="16" x14ac:dyDescent="0.2">
      <c r="A856" s="11"/>
      <c r="B856" s="12"/>
      <c r="C856" s="12"/>
      <c r="D856" s="12"/>
      <c r="E856" s="12"/>
      <c r="F856" s="12"/>
      <c r="G856" s="12"/>
      <c r="H856" s="12"/>
      <c r="I856" s="12"/>
      <c r="J856" s="12"/>
      <c r="K856" s="12"/>
      <c r="L856" s="12"/>
      <c r="M856" s="11"/>
      <c r="N856" s="11"/>
      <c r="O856" s="11"/>
      <c r="P856" s="11"/>
      <c r="Q856" s="11"/>
      <c r="R856" s="11"/>
      <c r="S856" s="11"/>
      <c r="T856" s="11"/>
      <c r="U856" s="11"/>
      <c r="V856" s="11"/>
      <c r="W856" s="11"/>
      <c r="X856" s="11"/>
      <c r="Y856" s="11"/>
      <c r="Z856" s="11"/>
      <c r="AA856" s="11"/>
      <c r="AB856" s="11"/>
      <c r="AC856" s="11"/>
      <c r="AD856" s="11"/>
    </row>
    <row r="857" spans="1:30" ht="16" x14ac:dyDescent="0.2">
      <c r="A857" s="11"/>
      <c r="B857" s="12"/>
      <c r="C857" s="12"/>
      <c r="D857" s="12"/>
      <c r="E857" s="12"/>
      <c r="F857" s="12"/>
      <c r="G857" s="12"/>
      <c r="H857" s="12"/>
      <c r="I857" s="12"/>
      <c r="J857" s="12"/>
      <c r="K857" s="12"/>
      <c r="L857" s="12"/>
      <c r="M857" s="11"/>
      <c r="N857" s="11"/>
      <c r="O857" s="11"/>
      <c r="P857" s="11"/>
      <c r="Q857" s="11"/>
      <c r="R857" s="11"/>
      <c r="S857" s="11"/>
      <c r="T857" s="11"/>
      <c r="U857" s="11"/>
      <c r="V857" s="11"/>
      <c r="W857" s="11"/>
      <c r="X857" s="11"/>
      <c r="Y857" s="11"/>
      <c r="Z857" s="11"/>
      <c r="AA857" s="11"/>
      <c r="AB857" s="11"/>
      <c r="AC857" s="11"/>
      <c r="AD857" s="11"/>
    </row>
    <row r="858" spans="1:30" ht="16" x14ac:dyDescent="0.2">
      <c r="A858" s="11"/>
      <c r="B858" s="12"/>
      <c r="C858" s="12"/>
      <c r="D858" s="12"/>
      <c r="E858" s="12"/>
      <c r="F858" s="12"/>
      <c r="G858" s="12"/>
      <c r="H858" s="12"/>
      <c r="I858" s="12"/>
      <c r="J858" s="12"/>
      <c r="K858" s="12"/>
      <c r="L858" s="12"/>
      <c r="M858" s="11"/>
      <c r="N858" s="11"/>
      <c r="O858" s="11"/>
      <c r="P858" s="11"/>
      <c r="Q858" s="11"/>
      <c r="R858" s="11"/>
      <c r="S858" s="11"/>
      <c r="T858" s="11"/>
      <c r="U858" s="11"/>
      <c r="V858" s="11"/>
      <c r="W858" s="11"/>
      <c r="X858" s="11"/>
      <c r="Y858" s="11"/>
      <c r="Z858" s="11"/>
      <c r="AA858" s="11"/>
      <c r="AB858" s="11"/>
      <c r="AC858" s="11"/>
      <c r="AD858" s="11"/>
    </row>
    <row r="859" spans="1:30" ht="16" x14ac:dyDescent="0.2">
      <c r="A859" s="11"/>
      <c r="B859" s="12"/>
      <c r="C859" s="12"/>
      <c r="D859" s="12"/>
      <c r="E859" s="12"/>
      <c r="F859" s="12"/>
      <c r="G859" s="12"/>
      <c r="H859" s="12"/>
      <c r="I859" s="12"/>
      <c r="J859" s="12"/>
      <c r="K859" s="12"/>
      <c r="L859" s="12"/>
      <c r="M859" s="11"/>
      <c r="N859" s="11"/>
      <c r="O859" s="11"/>
      <c r="P859" s="11"/>
      <c r="Q859" s="11"/>
      <c r="R859" s="11"/>
      <c r="S859" s="11"/>
      <c r="T859" s="11"/>
      <c r="U859" s="11"/>
      <c r="V859" s="11"/>
      <c r="W859" s="11"/>
      <c r="X859" s="11"/>
      <c r="Y859" s="11"/>
      <c r="Z859" s="11"/>
      <c r="AA859" s="11"/>
      <c r="AB859" s="11"/>
      <c r="AC859" s="11"/>
      <c r="AD859" s="11"/>
    </row>
    <row r="860" spans="1:30" ht="16" x14ac:dyDescent="0.2">
      <c r="A860" s="11"/>
      <c r="B860" s="12"/>
      <c r="C860" s="12"/>
      <c r="D860" s="12"/>
      <c r="E860" s="12"/>
      <c r="F860" s="12"/>
      <c r="G860" s="12"/>
      <c r="H860" s="12"/>
      <c r="I860" s="12"/>
      <c r="J860" s="12"/>
      <c r="K860" s="12"/>
      <c r="L860" s="12"/>
      <c r="M860" s="11"/>
      <c r="N860" s="11"/>
      <c r="O860" s="11"/>
      <c r="P860" s="11"/>
      <c r="Q860" s="11"/>
      <c r="R860" s="11"/>
      <c r="S860" s="11"/>
      <c r="T860" s="11"/>
      <c r="U860" s="11"/>
      <c r="V860" s="11"/>
      <c r="W860" s="11"/>
      <c r="X860" s="11"/>
      <c r="Y860" s="11"/>
      <c r="Z860" s="11"/>
      <c r="AA860" s="11"/>
      <c r="AB860" s="11"/>
      <c r="AC860" s="11"/>
      <c r="AD860" s="11"/>
    </row>
    <row r="861" spans="1:30" ht="16" x14ac:dyDescent="0.2">
      <c r="A861" s="11"/>
      <c r="B861" s="12"/>
      <c r="C861" s="12"/>
      <c r="D861" s="12"/>
      <c r="E861" s="12"/>
      <c r="F861" s="12"/>
      <c r="G861" s="12"/>
      <c r="H861" s="12"/>
      <c r="I861" s="12"/>
      <c r="J861" s="12"/>
      <c r="K861" s="12"/>
      <c r="L861" s="12"/>
      <c r="M861" s="11"/>
      <c r="N861" s="11"/>
      <c r="O861" s="11"/>
      <c r="P861" s="11"/>
      <c r="Q861" s="11"/>
      <c r="R861" s="11"/>
      <c r="S861" s="11"/>
      <c r="T861" s="11"/>
      <c r="U861" s="11"/>
      <c r="V861" s="11"/>
      <c r="W861" s="11"/>
      <c r="X861" s="11"/>
      <c r="Y861" s="11"/>
      <c r="Z861" s="11"/>
      <c r="AA861" s="11"/>
      <c r="AB861" s="11"/>
      <c r="AC861" s="11"/>
      <c r="AD861" s="11"/>
    </row>
    <row r="862" spans="1:30" ht="16" x14ac:dyDescent="0.2">
      <c r="A862" s="11"/>
      <c r="B862" s="12"/>
      <c r="C862" s="12"/>
      <c r="D862" s="12"/>
      <c r="E862" s="12"/>
      <c r="F862" s="12"/>
      <c r="G862" s="12"/>
      <c r="H862" s="12"/>
      <c r="I862" s="12"/>
      <c r="J862" s="12"/>
      <c r="K862" s="12"/>
      <c r="L862" s="12"/>
      <c r="M862" s="11"/>
      <c r="N862" s="11"/>
      <c r="O862" s="11"/>
      <c r="P862" s="11"/>
      <c r="Q862" s="11"/>
      <c r="R862" s="11"/>
      <c r="S862" s="11"/>
      <c r="T862" s="11"/>
      <c r="U862" s="11"/>
      <c r="V862" s="11"/>
      <c r="W862" s="11"/>
      <c r="X862" s="11"/>
      <c r="Y862" s="11"/>
      <c r="Z862" s="11"/>
      <c r="AA862" s="11"/>
      <c r="AB862" s="11"/>
      <c r="AC862" s="11"/>
      <c r="AD862" s="11"/>
    </row>
    <row r="863" spans="1:30" ht="16" x14ac:dyDescent="0.2">
      <c r="A863" s="11"/>
      <c r="B863" s="12"/>
      <c r="C863" s="12"/>
      <c r="D863" s="12"/>
      <c r="E863" s="12"/>
      <c r="F863" s="12"/>
      <c r="G863" s="12"/>
      <c r="H863" s="12"/>
      <c r="I863" s="12"/>
      <c r="J863" s="12"/>
      <c r="K863" s="12"/>
      <c r="L863" s="12"/>
      <c r="M863" s="11"/>
      <c r="N863" s="11"/>
      <c r="O863" s="11"/>
      <c r="P863" s="11"/>
      <c r="Q863" s="11"/>
      <c r="R863" s="11"/>
      <c r="S863" s="11"/>
      <c r="T863" s="11"/>
      <c r="U863" s="11"/>
      <c r="V863" s="11"/>
      <c r="W863" s="11"/>
      <c r="X863" s="11"/>
      <c r="Y863" s="11"/>
      <c r="Z863" s="11"/>
      <c r="AA863" s="11"/>
      <c r="AB863" s="11"/>
      <c r="AC863" s="11"/>
      <c r="AD863" s="11"/>
    </row>
    <row r="864" spans="1:30" ht="16" x14ac:dyDescent="0.2">
      <c r="A864" s="11"/>
      <c r="B864" s="12"/>
      <c r="C864" s="12"/>
      <c r="D864" s="12"/>
      <c r="E864" s="12"/>
      <c r="F864" s="12"/>
      <c r="G864" s="12"/>
      <c r="H864" s="12"/>
      <c r="I864" s="12"/>
      <c r="J864" s="12"/>
      <c r="K864" s="12"/>
      <c r="L864" s="12"/>
      <c r="M864" s="11"/>
      <c r="N864" s="11"/>
      <c r="O864" s="11"/>
      <c r="P864" s="11"/>
      <c r="Q864" s="11"/>
      <c r="R864" s="11"/>
      <c r="S864" s="11"/>
      <c r="T864" s="11"/>
      <c r="U864" s="11"/>
      <c r="V864" s="11"/>
      <c r="W864" s="11"/>
      <c r="X864" s="11"/>
      <c r="Y864" s="11"/>
      <c r="Z864" s="11"/>
      <c r="AA864" s="11"/>
      <c r="AB864" s="11"/>
      <c r="AC864" s="11"/>
      <c r="AD864" s="11"/>
    </row>
    <row r="865" spans="1:30" ht="16" x14ac:dyDescent="0.2">
      <c r="A865" s="11"/>
      <c r="B865" s="12"/>
      <c r="C865" s="12"/>
      <c r="D865" s="12"/>
      <c r="E865" s="12"/>
      <c r="F865" s="12"/>
      <c r="G865" s="12"/>
      <c r="H865" s="12"/>
      <c r="I865" s="12"/>
      <c r="J865" s="12"/>
      <c r="K865" s="12"/>
      <c r="L865" s="12"/>
      <c r="M865" s="11"/>
      <c r="N865" s="11"/>
      <c r="O865" s="11"/>
      <c r="P865" s="11"/>
      <c r="Q865" s="11"/>
      <c r="R865" s="11"/>
      <c r="S865" s="11"/>
      <c r="T865" s="11"/>
      <c r="U865" s="11"/>
      <c r="V865" s="11"/>
      <c r="W865" s="11"/>
      <c r="X865" s="11"/>
      <c r="Y865" s="11"/>
      <c r="Z865" s="11"/>
      <c r="AA865" s="11"/>
      <c r="AB865" s="11"/>
      <c r="AC865" s="11"/>
      <c r="AD865" s="11"/>
    </row>
    <row r="866" spans="1:30" ht="16" x14ac:dyDescent="0.2">
      <c r="A866" s="11"/>
      <c r="B866" s="12"/>
      <c r="C866" s="12"/>
      <c r="D866" s="12"/>
      <c r="E866" s="12"/>
      <c r="F866" s="12"/>
      <c r="G866" s="12"/>
      <c r="H866" s="12"/>
      <c r="I866" s="12"/>
      <c r="J866" s="12"/>
      <c r="K866" s="12"/>
      <c r="L866" s="12"/>
      <c r="M866" s="11"/>
      <c r="N866" s="11"/>
      <c r="O866" s="11"/>
      <c r="P866" s="11"/>
      <c r="Q866" s="11"/>
      <c r="R866" s="11"/>
      <c r="S866" s="11"/>
      <c r="T866" s="11"/>
      <c r="U866" s="11"/>
      <c r="V866" s="11"/>
      <c r="W866" s="11"/>
      <c r="X866" s="11"/>
      <c r="Y866" s="11"/>
      <c r="Z866" s="11"/>
      <c r="AA866" s="11"/>
      <c r="AB866" s="11"/>
      <c r="AC866" s="11"/>
      <c r="AD866" s="11"/>
    </row>
    <row r="867" spans="1:30" ht="16" x14ac:dyDescent="0.2">
      <c r="A867" s="11"/>
      <c r="B867" s="12"/>
      <c r="C867" s="12"/>
      <c r="D867" s="12"/>
      <c r="E867" s="12"/>
      <c r="F867" s="12"/>
      <c r="G867" s="12"/>
      <c r="H867" s="12"/>
      <c r="I867" s="12"/>
      <c r="J867" s="12"/>
      <c r="K867" s="12"/>
      <c r="L867" s="12"/>
      <c r="M867" s="11"/>
      <c r="N867" s="11"/>
      <c r="O867" s="11"/>
      <c r="P867" s="11"/>
      <c r="Q867" s="11"/>
      <c r="R867" s="11"/>
      <c r="S867" s="11"/>
      <c r="T867" s="11"/>
      <c r="U867" s="11"/>
      <c r="V867" s="11"/>
      <c r="W867" s="11"/>
      <c r="X867" s="11"/>
      <c r="Y867" s="11"/>
      <c r="Z867" s="11"/>
      <c r="AA867" s="11"/>
      <c r="AB867" s="11"/>
      <c r="AC867" s="11"/>
      <c r="AD867" s="11"/>
    </row>
    <row r="868" spans="1:30" ht="16" x14ac:dyDescent="0.2">
      <c r="A868" s="11"/>
      <c r="B868" s="12"/>
      <c r="C868" s="12"/>
      <c r="D868" s="12"/>
      <c r="E868" s="12"/>
      <c r="F868" s="12"/>
      <c r="G868" s="12"/>
      <c r="H868" s="12"/>
      <c r="I868" s="12"/>
      <c r="J868" s="12"/>
      <c r="K868" s="12"/>
      <c r="L868" s="12"/>
      <c r="M868" s="11"/>
      <c r="N868" s="11"/>
      <c r="O868" s="11"/>
      <c r="P868" s="11"/>
      <c r="Q868" s="11"/>
      <c r="R868" s="11"/>
      <c r="S868" s="11"/>
      <c r="T868" s="11"/>
      <c r="U868" s="11"/>
      <c r="V868" s="11"/>
      <c r="W868" s="11"/>
      <c r="X868" s="11"/>
      <c r="Y868" s="11"/>
      <c r="Z868" s="11"/>
      <c r="AA868" s="11"/>
      <c r="AB868" s="11"/>
      <c r="AC868" s="11"/>
      <c r="AD868" s="11"/>
    </row>
    <row r="869" spans="1:30" ht="16" x14ac:dyDescent="0.2">
      <c r="A869" s="11"/>
      <c r="B869" s="12"/>
      <c r="C869" s="12"/>
      <c r="D869" s="12"/>
      <c r="E869" s="12"/>
      <c r="F869" s="12"/>
      <c r="G869" s="12"/>
      <c r="H869" s="12"/>
      <c r="I869" s="12"/>
      <c r="J869" s="12"/>
      <c r="K869" s="12"/>
      <c r="L869" s="12"/>
      <c r="M869" s="11"/>
      <c r="N869" s="11"/>
      <c r="O869" s="11"/>
      <c r="P869" s="11"/>
      <c r="Q869" s="11"/>
      <c r="R869" s="11"/>
      <c r="S869" s="11"/>
      <c r="T869" s="11"/>
      <c r="U869" s="11"/>
      <c r="V869" s="11"/>
      <c r="W869" s="11"/>
      <c r="X869" s="11"/>
      <c r="Y869" s="11"/>
      <c r="Z869" s="11"/>
      <c r="AA869" s="11"/>
      <c r="AB869" s="11"/>
      <c r="AC869" s="11"/>
      <c r="AD869" s="11"/>
    </row>
    <row r="870" spans="1:30" ht="16" x14ac:dyDescent="0.2">
      <c r="A870" s="11"/>
      <c r="B870" s="12"/>
      <c r="C870" s="12"/>
      <c r="D870" s="12"/>
      <c r="E870" s="12"/>
      <c r="F870" s="12"/>
      <c r="G870" s="12"/>
      <c r="H870" s="12"/>
      <c r="I870" s="12"/>
      <c r="J870" s="12"/>
      <c r="K870" s="12"/>
      <c r="L870" s="12"/>
      <c r="M870" s="11"/>
      <c r="N870" s="11"/>
      <c r="O870" s="11"/>
      <c r="P870" s="11"/>
      <c r="Q870" s="11"/>
      <c r="R870" s="11"/>
      <c r="S870" s="11"/>
      <c r="T870" s="11"/>
      <c r="U870" s="11"/>
      <c r="V870" s="11"/>
      <c r="W870" s="11"/>
      <c r="X870" s="11"/>
      <c r="Y870" s="11"/>
      <c r="Z870" s="11"/>
      <c r="AA870" s="11"/>
      <c r="AB870" s="11"/>
      <c r="AC870" s="11"/>
      <c r="AD870" s="11"/>
    </row>
    <row r="871" spans="1:30" ht="16" x14ac:dyDescent="0.2">
      <c r="A871" s="11"/>
      <c r="B871" s="12"/>
      <c r="C871" s="12"/>
      <c r="D871" s="12"/>
      <c r="E871" s="12"/>
      <c r="F871" s="12"/>
      <c r="G871" s="12"/>
      <c r="H871" s="12"/>
      <c r="I871" s="12"/>
      <c r="J871" s="12"/>
      <c r="K871" s="12"/>
      <c r="L871" s="12"/>
      <c r="M871" s="11"/>
      <c r="N871" s="11"/>
      <c r="O871" s="11"/>
      <c r="P871" s="11"/>
      <c r="Q871" s="11"/>
      <c r="R871" s="11"/>
      <c r="S871" s="11"/>
      <c r="T871" s="11"/>
      <c r="U871" s="11"/>
      <c r="V871" s="11"/>
      <c r="W871" s="11"/>
      <c r="X871" s="11"/>
      <c r="Y871" s="11"/>
      <c r="Z871" s="11"/>
      <c r="AA871" s="11"/>
      <c r="AB871" s="11"/>
      <c r="AC871" s="11"/>
      <c r="AD871" s="11"/>
    </row>
    <row r="872" spans="1:30" ht="16" x14ac:dyDescent="0.2">
      <c r="A872" s="11"/>
      <c r="B872" s="12"/>
      <c r="C872" s="12"/>
      <c r="D872" s="12"/>
      <c r="E872" s="12"/>
      <c r="F872" s="12"/>
      <c r="G872" s="12"/>
      <c r="H872" s="12"/>
      <c r="I872" s="12"/>
      <c r="J872" s="12"/>
      <c r="K872" s="12"/>
      <c r="L872" s="12"/>
      <c r="M872" s="11"/>
      <c r="N872" s="11"/>
      <c r="O872" s="11"/>
      <c r="P872" s="11"/>
      <c r="Q872" s="11"/>
      <c r="R872" s="11"/>
      <c r="S872" s="11"/>
      <c r="T872" s="11"/>
      <c r="U872" s="11"/>
      <c r="V872" s="11"/>
      <c r="W872" s="11"/>
      <c r="X872" s="11"/>
      <c r="Y872" s="11"/>
      <c r="Z872" s="11"/>
      <c r="AA872" s="11"/>
      <c r="AB872" s="11"/>
      <c r="AC872" s="11"/>
      <c r="AD872" s="11"/>
    </row>
    <row r="873" spans="1:30" ht="16" x14ac:dyDescent="0.2">
      <c r="A873" s="11"/>
      <c r="B873" s="12"/>
      <c r="C873" s="12"/>
      <c r="D873" s="12"/>
      <c r="E873" s="12"/>
      <c r="F873" s="12"/>
      <c r="G873" s="12"/>
      <c r="H873" s="12"/>
      <c r="I873" s="12"/>
      <c r="J873" s="12"/>
      <c r="K873" s="12"/>
      <c r="L873" s="12"/>
      <c r="M873" s="11"/>
      <c r="N873" s="11"/>
      <c r="O873" s="11"/>
      <c r="P873" s="11"/>
      <c r="Q873" s="11"/>
      <c r="R873" s="11"/>
      <c r="S873" s="11"/>
      <c r="T873" s="11"/>
      <c r="U873" s="11"/>
      <c r="V873" s="11"/>
      <c r="W873" s="11"/>
      <c r="X873" s="11"/>
      <c r="Y873" s="11"/>
      <c r="Z873" s="11"/>
      <c r="AA873" s="11"/>
      <c r="AB873" s="11"/>
      <c r="AC873" s="11"/>
      <c r="AD873" s="11"/>
    </row>
    <row r="874" spans="1:30" ht="16" x14ac:dyDescent="0.2">
      <c r="A874" s="11"/>
      <c r="B874" s="12"/>
      <c r="C874" s="12"/>
      <c r="D874" s="12"/>
      <c r="E874" s="12"/>
      <c r="F874" s="12"/>
      <c r="G874" s="12"/>
      <c r="H874" s="12"/>
      <c r="I874" s="12"/>
      <c r="J874" s="12"/>
      <c r="K874" s="12"/>
      <c r="L874" s="12"/>
      <c r="M874" s="11"/>
      <c r="N874" s="11"/>
      <c r="O874" s="11"/>
      <c r="P874" s="11"/>
      <c r="Q874" s="11"/>
      <c r="R874" s="11"/>
      <c r="S874" s="11"/>
      <c r="T874" s="11"/>
      <c r="U874" s="11"/>
      <c r="V874" s="11"/>
      <c r="W874" s="11"/>
      <c r="X874" s="11"/>
      <c r="Y874" s="11"/>
      <c r="Z874" s="11"/>
      <c r="AA874" s="11"/>
      <c r="AB874" s="11"/>
      <c r="AC874" s="11"/>
      <c r="AD874" s="11"/>
    </row>
    <row r="875" spans="1:30" ht="16" x14ac:dyDescent="0.2">
      <c r="A875" s="11"/>
      <c r="B875" s="12"/>
      <c r="C875" s="12"/>
      <c r="D875" s="12"/>
      <c r="E875" s="12"/>
      <c r="F875" s="12"/>
      <c r="G875" s="12"/>
      <c r="H875" s="12"/>
      <c r="I875" s="12"/>
      <c r="J875" s="12"/>
      <c r="K875" s="12"/>
      <c r="L875" s="12"/>
      <c r="M875" s="11"/>
      <c r="N875" s="11"/>
      <c r="O875" s="11"/>
      <c r="P875" s="11"/>
      <c r="Q875" s="11"/>
      <c r="R875" s="11"/>
      <c r="S875" s="11"/>
      <c r="T875" s="11"/>
      <c r="U875" s="11"/>
      <c r="V875" s="11"/>
      <c r="W875" s="11"/>
      <c r="X875" s="11"/>
      <c r="Y875" s="11"/>
      <c r="Z875" s="11"/>
      <c r="AA875" s="11"/>
      <c r="AB875" s="11"/>
      <c r="AC875" s="11"/>
      <c r="AD875" s="11"/>
    </row>
    <row r="876" spans="1:30" ht="16" x14ac:dyDescent="0.2">
      <c r="A876" s="11"/>
      <c r="B876" s="12"/>
      <c r="C876" s="12"/>
      <c r="D876" s="12"/>
      <c r="E876" s="12"/>
      <c r="F876" s="12"/>
      <c r="G876" s="12"/>
      <c r="H876" s="12"/>
      <c r="I876" s="12"/>
      <c r="J876" s="12"/>
      <c r="K876" s="12"/>
      <c r="L876" s="12"/>
      <c r="M876" s="11"/>
      <c r="N876" s="11"/>
      <c r="O876" s="11"/>
      <c r="P876" s="11"/>
      <c r="Q876" s="11"/>
      <c r="R876" s="11"/>
      <c r="S876" s="11"/>
      <c r="T876" s="11"/>
      <c r="U876" s="11"/>
      <c r="V876" s="11"/>
      <c r="W876" s="11"/>
      <c r="X876" s="11"/>
      <c r="Y876" s="11"/>
      <c r="Z876" s="11"/>
      <c r="AA876" s="11"/>
      <c r="AB876" s="11"/>
      <c r="AC876" s="11"/>
      <c r="AD876" s="11"/>
    </row>
    <row r="877" spans="1:30" ht="16" x14ac:dyDescent="0.2">
      <c r="A877" s="11"/>
      <c r="B877" s="12"/>
      <c r="C877" s="12"/>
      <c r="D877" s="12"/>
      <c r="E877" s="12"/>
      <c r="F877" s="12"/>
      <c r="G877" s="12"/>
      <c r="H877" s="12"/>
      <c r="I877" s="12"/>
      <c r="J877" s="12"/>
      <c r="K877" s="12"/>
      <c r="L877" s="12"/>
      <c r="M877" s="11"/>
      <c r="N877" s="11"/>
      <c r="O877" s="11"/>
      <c r="P877" s="11"/>
      <c r="Q877" s="11"/>
      <c r="R877" s="11"/>
      <c r="S877" s="11"/>
      <c r="T877" s="11"/>
      <c r="U877" s="11"/>
      <c r="V877" s="11"/>
      <c r="W877" s="11"/>
      <c r="X877" s="11"/>
      <c r="Y877" s="11"/>
      <c r="Z877" s="11"/>
      <c r="AA877" s="11"/>
      <c r="AB877" s="11"/>
      <c r="AC877" s="11"/>
      <c r="AD877" s="11"/>
    </row>
    <row r="878" spans="1:30" ht="16" x14ac:dyDescent="0.2">
      <c r="A878" s="11"/>
      <c r="B878" s="12"/>
      <c r="C878" s="12"/>
      <c r="D878" s="12"/>
      <c r="E878" s="12"/>
      <c r="F878" s="12"/>
      <c r="G878" s="12"/>
      <c r="H878" s="12"/>
      <c r="I878" s="12"/>
      <c r="J878" s="12"/>
      <c r="K878" s="12"/>
      <c r="L878" s="12"/>
      <c r="M878" s="11"/>
      <c r="N878" s="11"/>
      <c r="O878" s="11"/>
      <c r="P878" s="11"/>
      <c r="Q878" s="11"/>
      <c r="R878" s="11"/>
      <c r="S878" s="11"/>
      <c r="T878" s="11"/>
      <c r="U878" s="11"/>
      <c r="V878" s="11"/>
      <c r="W878" s="11"/>
      <c r="X878" s="11"/>
      <c r="Y878" s="11"/>
      <c r="Z878" s="11"/>
      <c r="AA878" s="11"/>
      <c r="AB878" s="11"/>
      <c r="AC878" s="11"/>
      <c r="AD878" s="11"/>
    </row>
    <row r="879" spans="1:30" ht="16" x14ac:dyDescent="0.2">
      <c r="A879" s="11"/>
      <c r="B879" s="12"/>
      <c r="C879" s="12"/>
      <c r="D879" s="12"/>
      <c r="E879" s="12"/>
      <c r="F879" s="12"/>
      <c r="G879" s="12"/>
      <c r="H879" s="12"/>
      <c r="I879" s="12"/>
      <c r="J879" s="12"/>
      <c r="K879" s="12"/>
      <c r="L879" s="12"/>
      <c r="M879" s="11"/>
      <c r="N879" s="11"/>
      <c r="O879" s="11"/>
      <c r="P879" s="11"/>
      <c r="Q879" s="11"/>
      <c r="R879" s="11"/>
      <c r="S879" s="11"/>
      <c r="T879" s="11"/>
      <c r="U879" s="11"/>
      <c r="V879" s="11"/>
      <c r="W879" s="11"/>
      <c r="X879" s="11"/>
      <c r="Y879" s="11"/>
      <c r="Z879" s="11"/>
      <c r="AA879" s="11"/>
      <c r="AB879" s="11"/>
      <c r="AC879" s="11"/>
      <c r="AD879" s="11"/>
    </row>
    <row r="880" spans="1:30" ht="16" x14ac:dyDescent="0.2">
      <c r="A880" s="11"/>
      <c r="B880" s="12"/>
      <c r="C880" s="12"/>
      <c r="D880" s="12"/>
      <c r="E880" s="12"/>
      <c r="F880" s="12"/>
      <c r="G880" s="12"/>
      <c r="H880" s="12"/>
      <c r="I880" s="12"/>
      <c r="J880" s="12"/>
      <c r="K880" s="12"/>
      <c r="L880" s="12"/>
      <c r="M880" s="11"/>
      <c r="N880" s="11"/>
      <c r="O880" s="11"/>
      <c r="P880" s="11"/>
      <c r="Q880" s="11"/>
      <c r="R880" s="11"/>
      <c r="S880" s="11"/>
      <c r="T880" s="11"/>
      <c r="U880" s="11"/>
      <c r="V880" s="11"/>
      <c r="W880" s="11"/>
      <c r="X880" s="11"/>
      <c r="Y880" s="11"/>
      <c r="Z880" s="11"/>
      <c r="AA880" s="11"/>
      <c r="AB880" s="11"/>
      <c r="AC880" s="11"/>
      <c r="AD880" s="11"/>
    </row>
    <row r="881" spans="1:30" ht="16" x14ac:dyDescent="0.2">
      <c r="A881" s="11"/>
      <c r="B881" s="12"/>
      <c r="C881" s="12"/>
      <c r="D881" s="12"/>
      <c r="E881" s="12"/>
      <c r="F881" s="12"/>
      <c r="G881" s="12"/>
      <c r="H881" s="12"/>
      <c r="I881" s="12"/>
      <c r="J881" s="12"/>
      <c r="K881" s="12"/>
      <c r="L881" s="12"/>
      <c r="M881" s="11"/>
      <c r="N881" s="11"/>
      <c r="O881" s="11"/>
      <c r="P881" s="11"/>
      <c r="Q881" s="11"/>
      <c r="R881" s="11"/>
      <c r="S881" s="11"/>
      <c r="T881" s="11"/>
      <c r="U881" s="11"/>
      <c r="V881" s="11"/>
      <c r="W881" s="11"/>
      <c r="X881" s="11"/>
      <c r="Y881" s="11"/>
      <c r="Z881" s="11"/>
      <c r="AA881" s="11"/>
      <c r="AB881" s="11"/>
      <c r="AC881" s="11"/>
      <c r="AD881" s="11"/>
    </row>
    <row r="882" spans="1:30" ht="16" x14ac:dyDescent="0.2">
      <c r="A882" s="11"/>
      <c r="B882" s="12"/>
      <c r="C882" s="12"/>
      <c r="D882" s="12"/>
      <c r="E882" s="12"/>
      <c r="F882" s="12"/>
      <c r="G882" s="12"/>
      <c r="H882" s="12"/>
      <c r="I882" s="12"/>
      <c r="J882" s="12"/>
      <c r="K882" s="12"/>
      <c r="L882" s="12"/>
      <c r="M882" s="11"/>
      <c r="N882" s="11"/>
      <c r="O882" s="11"/>
      <c r="P882" s="11"/>
      <c r="Q882" s="11"/>
      <c r="R882" s="11"/>
      <c r="S882" s="11"/>
      <c r="T882" s="11"/>
      <c r="U882" s="11"/>
      <c r="V882" s="11"/>
      <c r="W882" s="11"/>
      <c r="X882" s="11"/>
      <c r="Y882" s="11"/>
      <c r="Z882" s="11"/>
      <c r="AA882" s="11"/>
      <c r="AB882" s="11"/>
      <c r="AC882" s="11"/>
      <c r="AD882" s="11"/>
    </row>
    <row r="883" spans="1:30" ht="16" x14ac:dyDescent="0.2">
      <c r="A883" s="11"/>
      <c r="B883" s="12"/>
      <c r="C883" s="12"/>
      <c r="D883" s="12"/>
      <c r="E883" s="12"/>
      <c r="F883" s="12"/>
      <c r="G883" s="12"/>
      <c r="H883" s="12"/>
      <c r="I883" s="12"/>
      <c r="J883" s="12"/>
      <c r="K883" s="12"/>
      <c r="L883" s="12"/>
      <c r="M883" s="11"/>
      <c r="N883" s="11"/>
      <c r="O883" s="11"/>
      <c r="P883" s="11"/>
      <c r="Q883" s="11"/>
      <c r="R883" s="11"/>
      <c r="S883" s="11"/>
      <c r="T883" s="11"/>
      <c r="U883" s="11"/>
      <c r="V883" s="11"/>
      <c r="W883" s="11"/>
      <c r="X883" s="11"/>
      <c r="Y883" s="11"/>
      <c r="Z883" s="11"/>
      <c r="AA883" s="11"/>
      <c r="AB883" s="11"/>
      <c r="AC883" s="11"/>
      <c r="AD883" s="11"/>
    </row>
    <row r="884" spans="1:30" ht="16" x14ac:dyDescent="0.2">
      <c r="A884" s="11"/>
      <c r="B884" s="12"/>
      <c r="C884" s="12"/>
      <c r="D884" s="12"/>
      <c r="E884" s="12"/>
      <c r="F884" s="12"/>
      <c r="G884" s="12"/>
      <c r="H884" s="12"/>
      <c r="I884" s="12"/>
      <c r="J884" s="12"/>
      <c r="K884" s="12"/>
      <c r="L884" s="12"/>
      <c r="M884" s="11"/>
      <c r="N884" s="11"/>
      <c r="O884" s="11"/>
      <c r="P884" s="11"/>
      <c r="Q884" s="11"/>
      <c r="R884" s="11"/>
      <c r="S884" s="11"/>
      <c r="T884" s="11"/>
      <c r="U884" s="11"/>
      <c r="V884" s="11"/>
      <c r="W884" s="11"/>
      <c r="X884" s="11"/>
      <c r="Y884" s="11"/>
      <c r="Z884" s="11"/>
      <c r="AA884" s="11"/>
      <c r="AB884" s="11"/>
      <c r="AC884" s="11"/>
      <c r="AD884" s="11"/>
    </row>
    <row r="885" spans="1:30" ht="16" x14ac:dyDescent="0.2">
      <c r="A885" s="11"/>
      <c r="B885" s="12"/>
      <c r="C885" s="12"/>
      <c r="D885" s="12"/>
      <c r="E885" s="12"/>
      <c r="F885" s="12"/>
      <c r="G885" s="12"/>
      <c r="H885" s="12"/>
      <c r="I885" s="12"/>
      <c r="J885" s="12"/>
      <c r="K885" s="12"/>
      <c r="L885" s="12"/>
      <c r="M885" s="11"/>
      <c r="N885" s="11"/>
      <c r="O885" s="11"/>
      <c r="P885" s="11"/>
      <c r="Q885" s="11"/>
      <c r="R885" s="11"/>
      <c r="S885" s="11"/>
      <c r="T885" s="11"/>
      <c r="U885" s="11"/>
      <c r="V885" s="11"/>
      <c r="W885" s="11"/>
      <c r="X885" s="11"/>
      <c r="Y885" s="11"/>
      <c r="Z885" s="11"/>
      <c r="AA885" s="11"/>
      <c r="AB885" s="11"/>
      <c r="AC885" s="11"/>
      <c r="AD885" s="11"/>
    </row>
    <row r="886" spans="1:30" ht="16" x14ac:dyDescent="0.2">
      <c r="A886" s="11"/>
      <c r="B886" s="12"/>
      <c r="C886" s="12"/>
      <c r="D886" s="12"/>
      <c r="E886" s="12"/>
      <c r="F886" s="12"/>
      <c r="G886" s="12"/>
      <c r="H886" s="12"/>
      <c r="I886" s="12"/>
      <c r="J886" s="12"/>
      <c r="K886" s="12"/>
      <c r="L886" s="12"/>
      <c r="M886" s="11"/>
      <c r="N886" s="11"/>
      <c r="O886" s="11"/>
      <c r="P886" s="11"/>
      <c r="Q886" s="11"/>
      <c r="R886" s="11"/>
      <c r="S886" s="11"/>
      <c r="T886" s="11"/>
      <c r="U886" s="11"/>
      <c r="V886" s="11"/>
      <c r="W886" s="11"/>
      <c r="X886" s="11"/>
      <c r="Y886" s="11"/>
      <c r="Z886" s="11"/>
      <c r="AA886" s="11"/>
      <c r="AB886" s="11"/>
      <c r="AC886" s="11"/>
      <c r="AD886" s="11"/>
    </row>
    <row r="887" spans="1:30" ht="16" x14ac:dyDescent="0.2">
      <c r="A887" s="11"/>
      <c r="B887" s="12"/>
      <c r="C887" s="12"/>
      <c r="D887" s="12"/>
      <c r="E887" s="12"/>
      <c r="F887" s="12"/>
      <c r="G887" s="12"/>
      <c r="H887" s="12"/>
      <c r="I887" s="12"/>
      <c r="J887" s="12"/>
      <c r="K887" s="12"/>
      <c r="L887" s="12"/>
      <c r="M887" s="11"/>
      <c r="N887" s="11"/>
      <c r="O887" s="11"/>
      <c r="P887" s="11"/>
      <c r="Q887" s="11"/>
      <c r="R887" s="11"/>
      <c r="S887" s="11"/>
      <c r="T887" s="11"/>
      <c r="U887" s="11"/>
      <c r="V887" s="11"/>
      <c r="W887" s="11"/>
      <c r="X887" s="11"/>
      <c r="Y887" s="11"/>
      <c r="Z887" s="11"/>
      <c r="AA887" s="11"/>
      <c r="AB887" s="11"/>
      <c r="AC887" s="11"/>
      <c r="AD887" s="11"/>
    </row>
    <row r="888" spans="1:30" ht="16" x14ac:dyDescent="0.2">
      <c r="A888" s="11"/>
      <c r="B888" s="12"/>
      <c r="C888" s="12"/>
      <c r="D888" s="12"/>
      <c r="E888" s="12"/>
      <c r="F888" s="12"/>
      <c r="G888" s="12"/>
      <c r="H888" s="12"/>
      <c r="I888" s="12"/>
      <c r="J888" s="12"/>
      <c r="K888" s="12"/>
      <c r="L888" s="12"/>
      <c r="M888" s="11"/>
      <c r="N888" s="11"/>
      <c r="O888" s="11"/>
      <c r="P888" s="11"/>
      <c r="Q888" s="11"/>
      <c r="R888" s="11"/>
      <c r="S888" s="11"/>
      <c r="T888" s="11"/>
      <c r="U888" s="11"/>
      <c r="V888" s="11"/>
      <c r="W888" s="11"/>
      <c r="X888" s="11"/>
      <c r="Y888" s="11"/>
      <c r="Z888" s="11"/>
      <c r="AA888" s="11"/>
      <c r="AB888" s="11"/>
      <c r="AC888" s="11"/>
      <c r="AD888" s="11"/>
    </row>
    <row r="889" spans="1:30" ht="16" x14ac:dyDescent="0.2">
      <c r="A889" s="11"/>
      <c r="B889" s="12"/>
      <c r="C889" s="12"/>
      <c r="D889" s="12"/>
      <c r="E889" s="12"/>
      <c r="F889" s="12"/>
      <c r="G889" s="12"/>
      <c r="H889" s="12"/>
      <c r="I889" s="12"/>
      <c r="J889" s="12"/>
      <c r="K889" s="12"/>
      <c r="L889" s="12"/>
      <c r="M889" s="11"/>
      <c r="N889" s="11"/>
      <c r="O889" s="11"/>
      <c r="P889" s="11"/>
      <c r="Q889" s="11"/>
      <c r="R889" s="11"/>
      <c r="S889" s="11"/>
      <c r="T889" s="11"/>
      <c r="U889" s="11"/>
      <c r="V889" s="11"/>
      <c r="W889" s="11"/>
      <c r="X889" s="11"/>
      <c r="Y889" s="11"/>
      <c r="Z889" s="11"/>
      <c r="AA889" s="11"/>
      <c r="AB889" s="11"/>
      <c r="AC889" s="11"/>
      <c r="AD889" s="11"/>
    </row>
    <row r="890" spans="1:30" ht="16" x14ac:dyDescent="0.2">
      <c r="A890" s="11"/>
      <c r="B890" s="12"/>
      <c r="C890" s="12"/>
      <c r="D890" s="12"/>
      <c r="E890" s="12"/>
      <c r="F890" s="12"/>
      <c r="G890" s="12"/>
      <c r="H890" s="12"/>
      <c r="I890" s="12"/>
      <c r="J890" s="12"/>
      <c r="K890" s="12"/>
      <c r="L890" s="12"/>
      <c r="M890" s="11"/>
      <c r="N890" s="11"/>
      <c r="O890" s="11"/>
      <c r="P890" s="11"/>
      <c r="Q890" s="11"/>
      <c r="R890" s="11"/>
      <c r="S890" s="11"/>
      <c r="T890" s="11"/>
      <c r="U890" s="11"/>
      <c r="V890" s="11"/>
      <c r="W890" s="11"/>
      <c r="X890" s="11"/>
      <c r="Y890" s="11"/>
      <c r="Z890" s="11"/>
      <c r="AA890" s="11"/>
      <c r="AB890" s="11"/>
      <c r="AC890" s="11"/>
      <c r="AD890" s="11"/>
    </row>
    <row r="891" spans="1:30" ht="16" x14ac:dyDescent="0.2">
      <c r="A891" s="11"/>
      <c r="B891" s="12"/>
      <c r="C891" s="12"/>
      <c r="D891" s="12"/>
      <c r="E891" s="12"/>
      <c r="F891" s="12"/>
      <c r="G891" s="12"/>
      <c r="H891" s="12"/>
      <c r="I891" s="12"/>
      <c r="J891" s="12"/>
      <c r="K891" s="12"/>
      <c r="L891" s="12"/>
      <c r="M891" s="11"/>
      <c r="N891" s="11"/>
      <c r="O891" s="11"/>
      <c r="P891" s="11"/>
      <c r="Q891" s="11"/>
      <c r="R891" s="11"/>
      <c r="S891" s="11"/>
      <c r="T891" s="11"/>
      <c r="U891" s="11"/>
      <c r="V891" s="11"/>
      <c r="W891" s="11"/>
      <c r="X891" s="11"/>
      <c r="Y891" s="11"/>
      <c r="Z891" s="11"/>
      <c r="AA891" s="11"/>
      <c r="AB891" s="11"/>
      <c r="AC891" s="11"/>
      <c r="AD891" s="11"/>
    </row>
    <row r="892" spans="1:30" ht="16" x14ac:dyDescent="0.2">
      <c r="A892" s="11"/>
      <c r="B892" s="12"/>
      <c r="C892" s="12"/>
      <c r="D892" s="12"/>
      <c r="E892" s="12"/>
      <c r="F892" s="12"/>
      <c r="G892" s="12"/>
      <c r="H892" s="12"/>
      <c r="I892" s="12"/>
      <c r="J892" s="12"/>
      <c r="K892" s="12"/>
      <c r="L892" s="12"/>
      <c r="M892" s="11"/>
      <c r="N892" s="11"/>
      <c r="O892" s="11"/>
      <c r="P892" s="11"/>
      <c r="Q892" s="11"/>
      <c r="R892" s="11"/>
      <c r="S892" s="11"/>
      <c r="T892" s="11"/>
      <c r="U892" s="11"/>
      <c r="V892" s="11"/>
      <c r="W892" s="11"/>
      <c r="X892" s="11"/>
      <c r="Y892" s="11"/>
      <c r="Z892" s="11"/>
      <c r="AA892" s="11"/>
      <c r="AB892" s="11"/>
      <c r="AC892" s="11"/>
      <c r="AD892" s="11"/>
    </row>
    <row r="893" spans="1:30" ht="16" x14ac:dyDescent="0.2">
      <c r="A893" s="11"/>
      <c r="B893" s="12"/>
      <c r="C893" s="12"/>
      <c r="D893" s="12"/>
      <c r="E893" s="12"/>
      <c r="F893" s="12"/>
      <c r="G893" s="12"/>
      <c r="H893" s="12"/>
      <c r="I893" s="12"/>
      <c r="J893" s="12"/>
      <c r="K893" s="12"/>
      <c r="L893" s="12"/>
      <c r="M893" s="11"/>
      <c r="N893" s="11"/>
      <c r="O893" s="11"/>
      <c r="P893" s="11"/>
      <c r="Q893" s="11"/>
      <c r="R893" s="11"/>
      <c r="S893" s="11"/>
      <c r="T893" s="11"/>
      <c r="U893" s="11"/>
      <c r="V893" s="11"/>
      <c r="W893" s="11"/>
      <c r="X893" s="11"/>
      <c r="Y893" s="11"/>
      <c r="Z893" s="11"/>
      <c r="AA893" s="11"/>
      <c r="AB893" s="11"/>
      <c r="AC893" s="11"/>
      <c r="AD893" s="11"/>
    </row>
    <row r="894" spans="1:30" ht="16" x14ac:dyDescent="0.2">
      <c r="A894" s="11"/>
      <c r="B894" s="12"/>
      <c r="C894" s="12"/>
      <c r="D894" s="12"/>
      <c r="E894" s="12"/>
      <c r="F894" s="12"/>
      <c r="G894" s="12"/>
      <c r="H894" s="12"/>
      <c r="I894" s="12"/>
      <c r="J894" s="12"/>
      <c r="K894" s="12"/>
      <c r="L894" s="12"/>
      <c r="M894" s="11"/>
      <c r="N894" s="11"/>
      <c r="O894" s="11"/>
      <c r="P894" s="11"/>
      <c r="Q894" s="11"/>
      <c r="R894" s="11"/>
      <c r="S894" s="11"/>
      <c r="T894" s="11"/>
      <c r="U894" s="11"/>
      <c r="V894" s="11"/>
      <c r="W894" s="11"/>
      <c r="X894" s="11"/>
      <c r="Y894" s="11"/>
      <c r="Z894" s="11"/>
      <c r="AA894" s="11"/>
      <c r="AB894" s="11"/>
      <c r="AC894" s="11"/>
      <c r="AD894" s="11"/>
    </row>
    <row r="895" spans="1:30" ht="16" x14ac:dyDescent="0.2">
      <c r="A895" s="11"/>
      <c r="B895" s="12"/>
      <c r="C895" s="12"/>
      <c r="D895" s="12"/>
      <c r="E895" s="12"/>
      <c r="F895" s="12"/>
      <c r="G895" s="12"/>
      <c r="H895" s="12"/>
      <c r="I895" s="12"/>
      <c r="J895" s="12"/>
      <c r="K895" s="12"/>
      <c r="L895" s="12"/>
      <c r="M895" s="11"/>
      <c r="N895" s="11"/>
      <c r="O895" s="11"/>
      <c r="P895" s="11"/>
      <c r="Q895" s="11"/>
      <c r="R895" s="11"/>
      <c r="S895" s="11"/>
      <c r="T895" s="11"/>
      <c r="U895" s="11"/>
      <c r="V895" s="11"/>
      <c r="W895" s="11"/>
      <c r="X895" s="11"/>
      <c r="Y895" s="11"/>
      <c r="Z895" s="11"/>
      <c r="AA895" s="11"/>
      <c r="AB895" s="11"/>
      <c r="AC895" s="11"/>
      <c r="AD895" s="11"/>
    </row>
    <row r="896" spans="1:30" ht="16" x14ac:dyDescent="0.2">
      <c r="A896" s="11"/>
      <c r="B896" s="12"/>
      <c r="C896" s="12"/>
      <c r="D896" s="12"/>
      <c r="E896" s="12"/>
      <c r="F896" s="12"/>
      <c r="G896" s="12"/>
      <c r="H896" s="12"/>
      <c r="I896" s="12"/>
      <c r="J896" s="12"/>
      <c r="K896" s="12"/>
      <c r="L896" s="12"/>
      <c r="M896" s="11"/>
      <c r="N896" s="11"/>
      <c r="O896" s="11"/>
      <c r="P896" s="11"/>
      <c r="Q896" s="11"/>
      <c r="R896" s="11"/>
      <c r="S896" s="11"/>
      <c r="T896" s="11"/>
      <c r="U896" s="11"/>
      <c r="V896" s="11"/>
      <c r="W896" s="11"/>
      <c r="X896" s="11"/>
      <c r="Y896" s="11"/>
      <c r="Z896" s="11"/>
      <c r="AA896" s="11"/>
      <c r="AB896" s="11"/>
      <c r="AC896" s="11"/>
      <c r="AD896" s="11"/>
    </row>
    <row r="897" spans="1:30" ht="16" x14ac:dyDescent="0.2">
      <c r="A897" s="11"/>
      <c r="B897" s="12"/>
      <c r="C897" s="12"/>
      <c r="D897" s="12"/>
      <c r="E897" s="12"/>
      <c r="F897" s="12"/>
      <c r="G897" s="12"/>
      <c r="H897" s="12"/>
      <c r="I897" s="12"/>
      <c r="J897" s="12"/>
      <c r="K897" s="12"/>
      <c r="L897" s="12"/>
      <c r="M897" s="11"/>
      <c r="N897" s="11"/>
      <c r="O897" s="11"/>
      <c r="P897" s="11"/>
      <c r="Q897" s="11"/>
      <c r="R897" s="11"/>
      <c r="S897" s="11"/>
      <c r="T897" s="11"/>
      <c r="U897" s="11"/>
      <c r="V897" s="11"/>
      <c r="W897" s="11"/>
      <c r="X897" s="11"/>
      <c r="Y897" s="11"/>
      <c r="Z897" s="11"/>
      <c r="AA897" s="11"/>
      <c r="AB897" s="11"/>
      <c r="AC897" s="11"/>
      <c r="AD897" s="11"/>
    </row>
    <row r="898" spans="1:30" ht="16" x14ac:dyDescent="0.2">
      <c r="A898" s="11"/>
      <c r="B898" s="12"/>
      <c r="C898" s="12"/>
      <c r="D898" s="12"/>
      <c r="E898" s="12"/>
      <c r="F898" s="12"/>
      <c r="G898" s="12"/>
      <c r="H898" s="12"/>
      <c r="I898" s="12"/>
      <c r="J898" s="12"/>
      <c r="K898" s="12"/>
      <c r="L898" s="12"/>
      <c r="M898" s="11"/>
      <c r="N898" s="11"/>
      <c r="O898" s="11"/>
      <c r="P898" s="11"/>
      <c r="Q898" s="11"/>
      <c r="R898" s="11"/>
      <c r="S898" s="11"/>
      <c r="T898" s="11"/>
      <c r="U898" s="11"/>
      <c r="V898" s="11"/>
      <c r="W898" s="11"/>
      <c r="X898" s="11"/>
      <c r="Y898" s="11"/>
      <c r="Z898" s="11"/>
      <c r="AA898" s="11"/>
      <c r="AB898" s="11"/>
      <c r="AC898" s="11"/>
      <c r="AD898" s="11"/>
    </row>
    <row r="899" spans="1:30" ht="16" x14ac:dyDescent="0.2">
      <c r="A899" s="11"/>
      <c r="B899" s="12"/>
      <c r="C899" s="12"/>
      <c r="D899" s="12"/>
      <c r="E899" s="12"/>
      <c r="F899" s="12"/>
      <c r="G899" s="12"/>
      <c r="H899" s="12"/>
      <c r="I899" s="12"/>
      <c r="J899" s="12"/>
      <c r="K899" s="12"/>
      <c r="L899" s="12"/>
      <c r="M899" s="11"/>
      <c r="N899" s="11"/>
      <c r="O899" s="11"/>
      <c r="P899" s="11"/>
      <c r="Q899" s="11"/>
      <c r="R899" s="11"/>
      <c r="S899" s="11"/>
      <c r="T899" s="11"/>
      <c r="U899" s="11"/>
      <c r="V899" s="11"/>
      <c r="W899" s="11"/>
      <c r="X899" s="11"/>
      <c r="Y899" s="11"/>
      <c r="Z899" s="11"/>
      <c r="AA899" s="11"/>
      <c r="AB899" s="11"/>
      <c r="AC899" s="11"/>
      <c r="AD899" s="11"/>
    </row>
    <row r="900" spans="1:30" ht="16" x14ac:dyDescent="0.2">
      <c r="A900" s="11"/>
      <c r="B900" s="12"/>
      <c r="C900" s="12"/>
      <c r="D900" s="12"/>
      <c r="E900" s="12"/>
      <c r="F900" s="12"/>
      <c r="G900" s="12"/>
      <c r="H900" s="12"/>
      <c r="I900" s="12"/>
      <c r="J900" s="12"/>
      <c r="K900" s="12"/>
      <c r="L900" s="12"/>
      <c r="M900" s="11"/>
      <c r="N900" s="11"/>
      <c r="O900" s="11"/>
      <c r="P900" s="11"/>
      <c r="Q900" s="11"/>
      <c r="R900" s="11"/>
      <c r="S900" s="11"/>
      <c r="T900" s="11"/>
      <c r="U900" s="11"/>
      <c r="V900" s="11"/>
      <c r="W900" s="11"/>
      <c r="X900" s="11"/>
      <c r="Y900" s="11"/>
      <c r="Z900" s="11"/>
      <c r="AA900" s="11"/>
      <c r="AB900" s="11"/>
      <c r="AC900" s="11"/>
      <c r="AD900" s="11"/>
    </row>
    <row r="901" spans="1:30" ht="16" x14ac:dyDescent="0.2">
      <c r="A901" s="11"/>
      <c r="B901" s="12"/>
      <c r="C901" s="12"/>
      <c r="D901" s="12"/>
      <c r="E901" s="12"/>
      <c r="F901" s="12"/>
      <c r="G901" s="12"/>
      <c r="H901" s="12"/>
      <c r="I901" s="12"/>
      <c r="J901" s="12"/>
      <c r="K901" s="12"/>
      <c r="L901" s="12"/>
      <c r="M901" s="11"/>
      <c r="N901" s="11"/>
      <c r="O901" s="11"/>
      <c r="P901" s="11"/>
      <c r="Q901" s="11"/>
      <c r="R901" s="11"/>
      <c r="S901" s="11"/>
      <c r="T901" s="11"/>
      <c r="U901" s="11"/>
      <c r="V901" s="11"/>
      <c r="W901" s="11"/>
      <c r="X901" s="11"/>
      <c r="Y901" s="11"/>
      <c r="Z901" s="11"/>
      <c r="AA901" s="11"/>
      <c r="AB901" s="11"/>
      <c r="AC901" s="11"/>
      <c r="AD901" s="11"/>
    </row>
    <row r="902" spans="1:30" ht="16" x14ac:dyDescent="0.2">
      <c r="A902" s="11"/>
      <c r="B902" s="12"/>
      <c r="C902" s="12"/>
      <c r="D902" s="12"/>
      <c r="E902" s="12"/>
      <c r="F902" s="12"/>
      <c r="G902" s="12"/>
      <c r="H902" s="12"/>
      <c r="I902" s="12"/>
      <c r="J902" s="12"/>
      <c r="K902" s="12"/>
      <c r="L902" s="12"/>
      <c r="M902" s="11"/>
      <c r="N902" s="11"/>
      <c r="O902" s="11"/>
      <c r="P902" s="11"/>
      <c r="Q902" s="11"/>
      <c r="R902" s="11"/>
      <c r="S902" s="11"/>
      <c r="T902" s="11"/>
      <c r="U902" s="11"/>
      <c r="V902" s="11"/>
      <c r="W902" s="11"/>
      <c r="X902" s="11"/>
      <c r="Y902" s="11"/>
      <c r="Z902" s="11"/>
      <c r="AA902" s="11"/>
      <c r="AB902" s="11"/>
      <c r="AC902" s="11"/>
      <c r="AD902" s="11"/>
    </row>
    <row r="903" spans="1:30" ht="16" x14ac:dyDescent="0.2">
      <c r="A903" s="11"/>
      <c r="B903" s="12"/>
      <c r="C903" s="12"/>
      <c r="D903" s="12"/>
      <c r="E903" s="12"/>
      <c r="F903" s="12"/>
      <c r="G903" s="12"/>
      <c r="H903" s="12"/>
      <c r="I903" s="12"/>
      <c r="J903" s="12"/>
      <c r="K903" s="12"/>
      <c r="L903" s="12"/>
      <c r="M903" s="11"/>
      <c r="N903" s="11"/>
      <c r="O903" s="11"/>
      <c r="P903" s="11"/>
      <c r="Q903" s="11"/>
      <c r="R903" s="11"/>
      <c r="S903" s="11"/>
      <c r="T903" s="11"/>
      <c r="U903" s="11"/>
      <c r="V903" s="11"/>
      <c r="W903" s="11"/>
      <c r="X903" s="11"/>
      <c r="Y903" s="11"/>
      <c r="Z903" s="11"/>
      <c r="AA903" s="11"/>
      <c r="AB903" s="11"/>
      <c r="AC903" s="11"/>
      <c r="AD903" s="11"/>
    </row>
    <row r="904" spans="1:30" ht="16" x14ac:dyDescent="0.2">
      <c r="A904" s="11"/>
      <c r="B904" s="12"/>
      <c r="C904" s="12"/>
      <c r="D904" s="12"/>
      <c r="E904" s="12"/>
      <c r="F904" s="12"/>
      <c r="G904" s="12"/>
      <c r="H904" s="12"/>
      <c r="I904" s="12"/>
      <c r="J904" s="12"/>
      <c r="K904" s="12"/>
      <c r="L904" s="12"/>
      <c r="M904" s="11"/>
      <c r="N904" s="11"/>
      <c r="O904" s="11"/>
      <c r="P904" s="11"/>
      <c r="Q904" s="11"/>
      <c r="R904" s="11"/>
      <c r="S904" s="11"/>
      <c r="T904" s="11"/>
      <c r="U904" s="11"/>
      <c r="V904" s="11"/>
      <c r="W904" s="11"/>
      <c r="X904" s="11"/>
      <c r="Y904" s="11"/>
      <c r="Z904" s="11"/>
      <c r="AA904" s="11"/>
      <c r="AB904" s="11"/>
      <c r="AC904" s="11"/>
      <c r="AD904" s="11"/>
    </row>
    <row r="905" spans="1:30" ht="16" x14ac:dyDescent="0.2">
      <c r="A905" s="11"/>
      <c r="B905" s="12"/>
      <c r="C905" s="12"/>
      <c r="D905" s="12"/>
      <c r="E905" s="12"/>
      <c r="F905" s="12"/>
      <c r="G905" s="12"/>
      <c r="H905" s="12"/>
      <c r="I905" s="12"/>
      <c r="J905" s="12"/>
      <c r="K905" s="12"/>
      <c r="L905" s="12"/>
      <c r="M905" s="11"/>
      <c r="N905" s="11"/>
      <c r="O905" s="11"/>
      <c r="P905" s="11"/>
      <c r="Q905" s="11"/>
      <c r="R905" s="11"/>
      <c r="S905" s="11"/>
      <c r="T905" s="11"/>
      <c r="U905" s="11"/>
      <c r="V905" s="11"/>
      <c r="W905" s="11"/>
      <c r="X905" s="11"/>
      <c r="Y905" s="11"/>
      <c r="Z905" s="11"/>
      <c r="AA905" s="11"/>
      <c r="AB905" s="11"/>
      <c r="AC905" s="11"/>
      <c r="AD905" s="11"/>
    </row>
    <row r="906" spans="1:30" ht="16" x14ac:dyDescent="0.2">
      <c r="A906" s="11"/>
      <c r="B906" s="12"/>
      <c r="C906" s="12"/>
      <c r="D906" s="12"/>
      <c r="E906" s="12"/>
      <c r="F906" s="12"/>
      <c r="G906" s="12"/>
      <c r="H906" s="12"/>
      <c r="I906" s="12"/>
      <c r="J906" s="12"/>
      <c r="K906" s="12"/>
      <c r="L906" s="12"/>
      <c r="M906" s="11"/>
      <c r="N906" s="11"/>
      <c r="O906" s="11"/>
      <c r="P906" s="11"/>
      <c r="Q906" s="11"/>
      <c r="R906" s="11"/>
      <c r="S906" s="11"/>
      <c r="T906" s="11"/>
      <c r="U906" s="11"/>
      <c r="V906" s="11"/>
      <c r="W906" s="11"/>
      <c r="X906" s="11"/>
      <c r="Y906" s="11"/>
      <c r="Z906" s="11"/>
      <c r="AA906" s="11"/>
      <c r="AB906" s="11"/>
      <c r="AC906" s="11"/>
      <c r="AD906" s="11"/>
    </row>
    <row r="907" spans="1:30" ht="16" x14ac:dyDescent="0.2">
      <c r="A907" s="11"/>
      <c r="B907" s="12"/>
      <c r="C907" s="12"/>
      <c r="D907" s="12"/>
      <c r="E907" s="12"/>
      <c r="F907" s="12"/>
      <c r="G907" s="12"/>
      <c r="H907" s="12"/>
      <c r="I907" s="12"/>
      <c r="J907" s="12"/>
      <c r="K907" s="12"/>
      <c r="L907" s="12"/>
      <c r="M907" s="11"/>
      <c r="N907" s="11"/>
      <c r="O907" s="11"/>
      <c r="P907" s="11"/>
      <c r="Q907" s="11"/>
      <c r="R907" s="11"/>
      <c r="S907" s="11"/>
      <c r="T907" s="11"/>
      <c r="U907" s="11"/>
      <c r="V907" s="11"/>
      <c r="W907" s="11"/>
      <c r="X907" s="11"/>
      <c r="Y907" s="11"/>
      <c r="Z907" s="11"/>
      <c r="AA907" s="11"/>
      <c r="AB907" s="11"/>
      <c r="AC907" s="11"/>
      <c r="AD907" s="11"/>
    </row>
    <row r="908" spans="1:30" ht="16" x14ac:dyDescent="0.2">
      <c r="A908" s="11"/>
      <c r="B908" s="12"/>
      <c r="C908" s="12"/>
      <c r="D908" s="12"/>
      <c r="E908" s="12"/>
      <c r="F908" s="12"/>
      <c r="G908" s="12"/>
      <c r="H908" s="12"/>
      <c r="I908" s="12"/>
      <c r="J908" s="12"/>
      <c r="K908" s="12"/>
      <c r="L908" s="12"/>
      <c r="M908" s="11"/>
      <c r="N908" s="11"/>
      <c r="O908" s="11"/>
      <c r="P908" s="11"/>
      <c r="Q908" s="11"/>
      <c r="R908" s="11"/>
      <c r="S908" s="11"/>
      <c r="T908" s="11"/>
      <c r="U908" s="11"/>
      <c r="V908" s="11"/>
      <c r="W908" s="11"/>
      <c r="X908" s="11"/>
      <c r="Y908" s="11"/>
      <c r="Z908" s="11"/>
      <c r="AA908" s="11"/>
      <c r="AB908" s="11"/>
      <c r="AC908" s="11"/>
      <c r="AD908" s="11"/>
    </row>
    <row r="909" spans="1:30" ht="16" x14ac:dyDescent="0.2">
      <c r="A909" s="11"/>
      <c r="B909" s="12"/>
      <c r="C909" s="12"/>
      <c r="D909" s="12"/>
      <c r="E909" s="12"/>
      <c r="F909" s="12"/>
      <c r="G909" s="12"/>
      <c r="H909" s="12"/>
      <c r="I909" s="12"/>
      <c r="J909" s="12"/>
      <c r="K909" s="12"/>
      <c r="L909" s="12"/>
      <c r="M909" s="11"/>
      <c r="N909" s="11"/>
      <c r="O909" s="11"/>
      <c r="P909" s="11"/>
      <c r="Q909" s="11"/>
      <c r="R909" s="11"/>
      <c r="S909" s="11"/>
      <c r="T909" s="11"/>
      <c r="U909" s="11"/>
      <c r="V909" s="11"/>
      <c r="W909" s="11"/>
      <c r="X909" s="11"/>
      <c r="Y909" s="11"/>
      <c r="Z909" s="11"/>
      <c r="AA909" s="11"/>
      <c r="AB909" s="11"/>
      <c r="AC909" s="11"/>
      <c r="AD909" s="11"/>
    </row>
    <row r="910" spans="1:30" ht="16" x14ac:dyDescent="0.2">
      <c r="A910" s="11"/>
      <c r="B910" s="12"/>
      <c r="C910" s="12"/>
      <c r="D910" s="12"/>
      <c r="E910" s="12"/>
      <c r="F910" s="12"/>
      <c r="G910" s="12"/>
      <c r="H910" s="12"/>
      <c r="I910" s="12"/>
      <c r="J910" s="12"/>
      <c r="K910" s="12"/>
      <c r="L910" s="12"/>
      <c r="M910" s="11"/>
      <c r="N910" s="11"/>
      <c r="O910" s="11"/>
      <c r="P910" s="11"/>
      <c r="Q910" s="11"/>
      <c r="R910" s="11"/>
      <c r="S910" s="11"/>
      <c r="T910" s="11"/>
      <c r="U910" s="11"/>
      <c r="V910" s="11"/>
      <c r="W910" s="11"/>
      <c r="X910" s="11"/>
      <c r="Y910" s="11"/>
      <c r="Z910" s="11"/>
      <c r="AA910" s="11"/>
      <c r="AB910" s="11"/>
      <c r="AC910" s="11"/>
      <c r="AD910" s="11"/>
    </row>
    <row r="911" spans="1:30" ht="16" x14ac:dyDescent="0.2">
      <c r="A911" s="11"/>
      <c r="B911" s="12"/>
      <c r="C911" s="12"/>
      <c r="D911" s="12"/>
      <c r="E911" s="12"/>
      <c r="F911" s="12"/>
      <c r="G911" s="12"/>
      <c r="H911" s="12"/>
      <c r="I911" s="12"/>
      <c r="J911" s="12"/>
      <c r="K911" s="12"/>
      <c r="L911" s="12"/>
      <c r="M911" s="11"/>
      <c r="N911" s="11"/>
      <c r="O911" s="11"/>
      <c r="P911" s="11"/>
      <c r="Q911" s="11"/>
      <c r="R911" s="11"/>
      <c r="S911" s="11"/>
      <c r="T911" s="11"/>
      <c r="U911" s="11"/>
      <c r="V911" s="11"/>
      <c r="W911" s="11"/>
      <c r="X911" s="11"/>
      <c r="Y911" s="11"/>
      <c r="Z911" s="11"/>
      <c r="AA911" s="11"/>
      <c r="AB911" s="11"/>
      <c r="AC911" s="11"/>
      <c r="AD911" s="11"/>
    </row>
    <row r="912" spans="1:30" ht="16" x14ac:dyDescent="0.2">
      <c r="A912" s="11"/>
      <c r="B912" s="12"/>
      <c r="C912" s="12"/>
      <c r="D912" s="12"/>
      <c r="E912" s="12"/>
      <c r="F912" s="12"/>
      <c r="G912" s="12"/>
      <c r="H912" s="12"/>
      <c r="I912" s="12"/>
      <c r="J912" s="12"/>
      <c r="K912" s="12"/>
      <c r="L912" s="12"/>
      <c r="M912" s="11"/>
      <c r="N912" s="11"/>
      <c r="O912" s="11"/>
      <c r="P912" s="11"/>
      <c r="Q912" s="11"/>
      <c r="R912" s="11"/>
      <c r="S912" s="11"/>
      <c r="T912" s="11"/>
      <c r="U912" s="11"/>
      <c r="V912" s="11"/>
      <c r="W912" s="11"/>
      <c r="X912" s="11"/>
      <c r="Y912" s="11"/>
      <c r="Z912" s="11"/>
      <c r="AA912" s="11"/>
      <c r="AB912" s="11"/>
      <c r="AC912" s="11"/>
      <c r="AD912" s="11"/>
    </row>
    <row r="913" spans="1:30" ht="16" x14ac:dyDescent="0.2">
      <c r="A913" s="11"/>
      <c r="B913" s="12"/>
      <c r="C913" s="12"/>
      <c r="D913" s="12"/>
      <c r="E913" s="12"/>
      <c r="F913" s="12"/>
      <c r="G913" s="12"/>
      <c r="H913" s="12"/>
      <c r="I913" s="12"/>
      <c r="J913" s="12"/>
      <c r="K913" s="12"/>
      <c r="L913" s="12"/>
      <c r="M913" s="11"/>
      <c r="N913" s="11"/>
      <c r="O913" s="11"/>
      <c r="P913" s="11"/>
      <c r="Q913" s="11"/>
      <c r="R913" s="11"/>
      <c r="S913" s="11"/>
      <c r="T913" s="11"/>
      <c r="U913" s="11"/>
      <c r="V913" s="11"/>
      <c r="W913" s="11"/>
      <c r="X913" s="11"/>
      <c r="Y913" s="11"/>
      <c r="Z913" s="11"/>
      <c r="AA913" s="11"/>
      <c r="AB913" s="11"/>
      <c r="AC913" s="11"/>
      <c r="AD913" s="11"/>
    </row>
    <row r="914" spans="1:30" ht="16" x14ac:dyDescent="0.2">
      <c r="A914" s="11"/>
      <c r="B914" s="12"/>
      <c r="C914" s="12"/>
      <c r="D914" s="12"/>
      <c r="E914" s="12"/>
      <c r="F914" s="12"/>
      <c r="G914" s="12"/>
      <c r="H914" s="12"/>
      <c r="I914" s="12"/>
      <c r="J914" s="12"/>
      <c r="K914" s="12"/>
      <c r="L914" s="12"/>
      <c r="M914" s="11"/>
      <c r="N914" s="11"/>
      <c r="O914" s="11"/>
      <c r="P914" s="11"/>
      <c r="Q914" s="11"/>
      <c r="R914" s="11"/>
      <c r="S914" s="11"/>
      <c r="T914" s="11"/>
      <c r="U914" s="11"/>
      <c r="V914" s="11"/>
      <c r="W914" s="11"/>
      <c r="X914" s="11"/>
      <c r="Y914" s="11"/>
      <c r="Z914" s="11"/>
      <c r="AA914" s="11"/>
      <c r="AB914" s="11"/>
      <c r="AC914" s="11"/>
      <c r="AD914" s="11"/>
    </row>
    <row r="915" spans="1:30" ht="16" x14ac:dyDescent="0.2">
      <c r="A915" s="11"/>
      <c r="B915" s="12"/>
      <c r="C915" s="12"/>
      <c r="D915" s="12"/>
      <c r="E915" s="12"/>
      <c r="F915" s="12"/>
      <c r="G915" s="12"/>
      <c r="H915" s="12"/>
      <c r="I915" s="12"/>
      <c r="J915" s="12"/>
      <c r="K915" s="12"/>
      <c r="L915" s="12"/>
      <c r="M915" s="11"/>
      <c r="N915" s="11"/>
      <c r="O915" s="11"/>
      <c r="P915" s="11"/>
      <c r="Q915" s="11"/>
      <c r="R915" s="11"/>
      <c r="S915" s="11"/>
      <c r="T915" s="11"/>
      <c r="U915" s="11"/>
      <c r="V915" s="11"/>
      <c r="W915" s="11"/>
      <c r="X915" s="11"/>
      <c r="Y915" s="11"/>
      <c r="Z915" s="11"/>
      <c r="AA915" s="11"/>
      <c r="AB915" s="11"/>
      <c r="AC915" s="11"/>
      <c r="AD915" s="11"/>
    </row>
    <row r="916" spans="1:30" ht="16" x14ac:dyDescent="0.2">
      <c r="A916" s="11"/>
      <c r="B916" s="12"/>
      <c r="C916" s="12"/>
      <c r="D916" s="12"/>
      <c r="E916" s="12"/>
      <c r="F916" s="12"/>
      <c r="G916" s="12"/>
      <c r="H916" s="12"/>
      <c r="I916" s="12"/>
      <c r="J916" s="12"/>
      <c r="K916" s="12"/>
      <c r="L916" s="12"/>
      <c r="M916" s="11"/>
      <c r="N916" s="11"/>
      <c r="O916" s="11"/>
      <c r="P916" s="11"/>
      <c r="Q916" s="11"/>
      <c r="R916" s="11"/>
      <c r="S916" s="11"/>
      <c r="T916" s="11"/>
      <c r="U916" s="11"/>
      <c r="V916" s="11"/>
      <c r="W916" s="11"/>
      <c r="X916" s="11"/>
      <c r="Y916" s="11"/>
      <c r="Z916" s="11"/>
      <c r="AA916" s="11"/>
      <c r="AB916" s="11"/>
      <c r="AC916" s="11"/>
      <c r="AD916" s="11"/>
    </row>
    <row r="917" spans="1:30" ht="16" x14ac:dyDescent="0.2">
      <c r="A917" s="11"/>
      <c r="B917" s="12"/>
      <c r="C917" s="12"/>
      <c r="D917" s="12"/>
      <c r="E917" s="12"/>
      <c r="F917" s="12"/>
      <c r="G917" s="12"/>
      <c r="H917" s="12"/>
      <c r="I917" s="12"/>
      <c r="J917" s="12"/>
      <c r="K917" s="12"/>
      <c r="L917" s="12"/>
      <c r="M917" s="11"/>
      <c r="N917" s="11"/>
      <c r="O917" s="11"/>
      <c r="P917" s="11"/>
      <c r="Q917" s="11"/>
      <c r="R917" s="11"/>
      <c r="S917" s="11"/>
      <c r="T917" s="11"/>
      <c r="U917" s="11"/>
      <c r="V917" s="11"/>
      <c r="W917" s="11"/>
      <c r="X917" s="11"/>
      <c r="Y917" s="11"/>
      <c r="Z917" s="11"/>
      <c r="AA917" s="11"/>
      <c r="AB917" s="11"/>
      <c r="AC917" s="11"/>
      <c r="AD917" s="11"/>
    </row>
    <row r="918" spans="1:30" ht="16" x14ac:dyDescent="0.2">
      <c r="A918" s="11"/>
      <c r="B918" s="12"/>
      <c r="C918" s="12"/>
      <c r="D918" s="12"/>
      <c r="E918" s="12"/>
      <c r="F918" s="12"/>
      <c r="G918" s="12"/>
      <c r="H918" s="12"/>
      <c r="I918" s="12"/>
      <c r="J918" s="12"/>
      <c r="K918" s="12"/>
      <c r="L918" s="12"/>
      <c r="M918" s="11"/>
      <c r="N918" s="11"/>
      <c r="O918" s="11"/>
      <c r="P918" s="11"/>
      <c r="Q918" s="11"/>
      <c r="R918" s="11"/>
      <c r="S918" s="11"/>
      <c r="T918" s="11"/>
      <c r="U918" s="11"/>
      <c r="V918" s="11"/>
      <c r="W918" s="11"/>
      <c r="X918" s="11"/>
      <c r="Y918" s="11"/>
      <c r="Z918" s="11"/>
      <c r="AA918" s="11"/>
      <c r="AB918" s="11"/>
      <c r="AC918" s="11"/>
      <c r="AD918" s="11"/>
    </row>
    <row r="919" spans="1:30" ht="16" x14ac:dyDescent="0.2">
      <c r="A919" s="11"/>
      <c r="B919" s="12"/>
      <c r="C919" s="12"/>
      <c r="D919" s="12"/>
      <c r="E919" s="12"/>
      <c r="F919" s="12"/>
      <c r="G919" s="12"/>
      <c r="H919" s="12"/>
      <c r="I919" s="12"/>
      <c r="J919" s="12"/>
      <c r="K919" s="12"/>
      <c r="L919" s="12"/>
      <c r="M919" s="11"/>
      <c r="N919" s="11"/>
      <c r="O919" s="11"/>
      <c r="P919" s="11"/>
      <c r="Q919" s="11"/>
      <c r="R919" s="11"/>
      <c r="S919" s="11"/>
      <c r="T919" s="11"/>
      <c r="U919" s="11"/>
      <c r="V919" s="11"/>
      <c r="W919" s="11"/>
      <c r="X919" s="11"/>
      <c r="Y919" s="11"/>
      <c r="Z919" s="11"/>
      <c r="AA919" s="11"/>
      <c r="AB919" s="11"/>
      <c r="AC919" s="11"/>
      <c r="AD919" s="11"/>
    </row>
    <row r="920" spans="1:30" ht="16" x14ac:dyDescent="0.2">
      <c r="A920" s="11"/>
      <c r="B920" s="12"/>
      <c r="C920" s="12"/>
      <c r="D920" s="12"/>
      <c r="E920" s="12"/>
      <c r="F920" s="12"/>
      <c r="G920" s="12"/>
      <c r="H920" s="12"/>
      <c r="I920" s="12"/>
      <c r="J920" s="12"/>
      <c r="K920" s="12"/>
      <c r="L920" s="12"/>
      <c r="M920" s="11"/>
      <c r="N920" s="11"/>
      <c r="O920" s="11"/>
      <c r="P920" s="11"/>
      <c r="Q920" s="11"/>
      <c r="R920" s="11"/>
      <c r="S920" s="11"/>
      <c r="T920" s="11"/>
      <c r="U920" s="11"/>
      <c r="V920" s="11"/>
      <c r="W920" s="11"/>
      <c r="X920" s="11"/>
      <c r="Y920" s="11"/>
      <c r="Z920" s="11"/>
      <c r="AA920" s="11"/>
      <c r="AB920" s="11"/>
      <c r="AC920" s="11"/>
      <c r="AD920" s="11"/>
    </row>
    <row r="921" spans="1:30" ht="16" x14ac:dyDescent="0.2">
      <c r="A921" s="11"/>
      <c r="B921" s="12"/>
      <c r="C921" s="12"/>
      <c r="D921" s="12"/>
      <c r="E921" s="12"/>
      <c r="F921" s="12"/>
      <c r="G921" s="12"/>
      <c r="H921" s="12"/>
      <c r="I921" s="12"/>
      <c r="J921" s="12"/>
      <c r="K921" s="12"/>
      <c r="L921" s="12"/>
      <c r="M921" s="11"/>
      <c r="N921" s="11"/>
      <c r="O921" s="11"/>
      <c r="P921" s="11"/>
      <c r="Q921" s="11"/>
      <c r="R921" s="11"/>
      <c r="S921" s="11"/>
      <c r="T921" s="11"/>
      <c r="U921" s="11"/>
      <c r="V921" s="11"/>
      <c r="W921" s="11"/>
      <c r="X921" s="11"/>
      <c r="Y921" s="11"/>
      <c r="Z921" s="11"/>
      <c r="AA921" s="11"/>
      <c r="AB921" s="11"/>
      <c r="AC921" s="11"/>
      <c r="AD921" s="11"/>
    </row>
    <row r="922" spans="1:30" ht="16" x14ac:dyDescent="0.2">
      <c r="A922" s="11"/>
      <c r="B922" s="12"/>
      <c r="C922" s="12"/>
      <c r="D922" s="12"/>
      <c r="E922" s="12"/>
      <c r="F922" s="12"/>
      <c r="G922" s="12"/>
      <c r="H922" s="12"/>
      <c r="I922" s="12"/>
      <c r="J922" s="12"/>
      <c r="K922" s="12"/>
      <c r="L922" s="12"/>
      <c r="M922" s="11"/>
      <c r="N922" s="11"/>
      <c r="O922" s="11"/>
      <c r="P922" s="11"/>
      <c r="Q922" s="11"/>
      <c r="R922" s="11"/>
      <c r="S922" s="11"/>
      <c r="T922" s="11"/>
      <c r="U922" s="11"/>
      <c r="V922" s="11"/>
      <c r="W922" s="11"/>
      <c r="X922" s="11"/>
      <c r="Y922" s="11"/>
      <c r="Z922" s="11"/>
      <c r="AA922" s="11"/>
      <c r="AB922" s="11"/>
      <c r="AC922" s="11"/>
      <c r="AD922" s="11"/>
    </row>
    <row r="923" spans="1:30" ht="16" x14ac:dyDescent="0.2">
      <c r="A923" s="11"/>
      <c r="B923" s="12"/>
      <c r="C923" s="12"/>
      <c r="D923" s="12"/>
      <c r="E923" s="12"/>
      <c r="F923" s="12"/>
      <c r="G923" s="12"/>
      <c r="H923" s="12"/>
      <c r="I923" s="12"/>
      <c r="J923" s="12"/>
      <c r="K923" s="12"/>
      <c r="L923" s="12"/>
      <c r="M923" s="11"/>
      <c r="N923" s="11"/>
      <c r="O923" s="11"/>
      <c r="P923" s="11"/>
      <c r="Q923" s="11"/>
      <c r="R923" s="11"/>
      <c r="S923" s="11"/>
      <c r="T923" s="11"/>
      <c r="U923" s="11"/>
      <c r="V923" s="11"/>
      <c r="W923" s="11"/>
      <c r="X923" s="11"/>
      <c r="Y923" s="11"/>
      <c r="Z923" s="11"/>
      <c r="AA923" s="11"/>
      <c r="AB923" s="11"/>
      <c r="AC923" s="11"/>
      <c r="AD923" s="11"/>
    </row>
    <row r="924" spans="1:30" ht="16" x14ac:dyDescent="0.2">
      <c r="A924" s="11"/>
      <c r="B924" s="12"/>
      <c r="C924" s="12"/>
      <c r="D924" s="12"/>
      <c r="E924" s="12"/>
      <c r="F924" s="12"/>
      <c r="G924" s="12"/>
      <c r="H924" s="12"/>
      <c r="I924" s="12"/>
      <c r="J924" s="12"/>
      <c r="K924" s="12"/>
      <c r="L924" s="12"/>
      <c r="M924" s="11"/>
      <c r="N924" s="11"/>
      <c r="O924" s="11"/>
      <c r="P924" s="11"/>
      <c r="Q924" s="11"/>
      <c r="R924" s="11"/>
      <c r="S924" s="11"/>
      <c r="T924" s="11"/>
      <c r="U924" s="11"/>
      <c r="V924" s="11"/>
      <c r="W924" s="11"/>
      <c r="X924" s="11"/>
      <c r="Y924" s="11"/>
      <c r="Z924" s="11"/>
      <c r="AA924" s="11"/>
      <c r="AB924" s="11"/>
      <c r="AC924" s="11"/>
      <c r="AD924" s="11"/>
    </row>
    <row r="925" spans="1:30" ht="16" x14ac:dyDescent="0.2">
      <c r="A925" s="11"/>
      <c r="B925" s="12"/>
      <c r="C925" s="12"/>
      <c r="D925" s="12"/>
      <c r="E925" s="12"/>
      <c r="F925" s="12"/>
      <c r="G925" s="12"/>
      <c r="H925" s="12"/>
      <c r="I925" s="12"/>
      <c r="J925" s="12"/>
      <c r="K925" s="12"/>
      <c r="L925" s="12"/>
      <c r="M925" s="11"/>
      <c r="N925" s="11"/>
      <c r="O925" s="11"/>
      <c r="P925" s="11"/>
      <c r="Q925" s="11"/>
      <c r="R925" s="11"/>
      <c r="S925" s="11"/>
      <c r="T925" s="11"/>
      <c r="U925" s="11"/>
      <c r="V925" s="11"/>
      <c r="W925" s="11"/>
      <c r="X925" s="11"/>
      <c r="Y925" s="11"/>
      <c r="Z925" s="11"/>
      <c r="AA925" s="11"/>
      <c r="AB925" s="11"/>
      <c r="AC925" s="11"/>
      <c r="AD925" s="11"/>
    </row>
    <row r="926" spans="1:30" ht="16" x14ac:dyDescent="0.2">
      <c r="A926" s="11"/>
      <c r="B926" s="12"/>
      <c r="C926" s="12"/>
      <c r="D926" s="12"/>
      <c r="E926" s="12"/>
      <c r="F926" s="12"/>
      <c r="G926" s="12"/>
      <c r="H926" s="12"/>
      <c r="I926" s="12"/>
      <c r="J926" s="12"/>
      <c r="K926" s="12"/>
      <c r="L926" s="12"/>
      <c r="M926" s="11"/>
      <c r="N926" s="11"/>
      <c r="O926" s="11"/>
      <c r="P926" s="11"/>
      <c r="Q926" s="11"/>
      <c r="R926" s="11"/>
      <c r="S926" s="11"/>
      <c r="T926" s="11"/>
      <c r="U926" s="11"/>
      <c r="V926" s="11"/>
      <c r="W926" s="11"/>
      <c r="X926" s="11"/>
      <c r="Y926" s="11"/>
      <c r="Z926" s="11"/>
      <c r="AA926" s="11"/>
      <c r="AB926" s="11"/>
      <c r="AC926" s="11"/>
      <c r="AD926" s="11"/>
    </row>
    <row r="927" spans="1:30" ht="16" x14ac:dyDescent="0.2">
      <c r="A927" s="11"/>
      <c r="B927" s="12"/>
      <c r="C927" s="12"/>
      <c r="D927" s="12"/>
      <c r="E927" s="12"/>
      <c r="F927" s="12"/>
      <c r="G927" s="12"/>
      <c r="H927" s="12"/>
      <c r="I927" s="12"/>
      <c r="J927" s="12"/>
      <c r="K927" s="12"/>
      <c r="L927" s="12"/>
      <c r="M927" s="11"/>
      <c r="N927" s="11"/>
      <c r="O927" s="11"/>
      <c r="P927" s="11"/>
      <c r="Q927" s="11"/>
      <c r="R927" s="11"/>
      <c r="S927" s="11"/>
      <c r="T927" s="11"/>
      <c r="U927" s="11"/>
      <c r="V927" s="11"/>
      <c r="W927" s="11"/>
      <c r="X927" s="11"/>
      <c r="Y927" s="11"/>
      <c r="Z927" s="11"/>
      <c r="AA927" s="11"/>
      <c r="AB927" s="11"/>
      <c r="AC927" s="11"/>
      <c r="AD927" s="11"/>
    </row>
    <row r="928" spans="1:30" ht="16" x14ac:dyDescent="0.2">
      <c r="A928" s="11"/>
      <c r="B928" s="12"/>
      <c r="C928" s="12"/>
      <c r="D928" s="12"/>
      <c r="E928" s="12"/>
      <c r="F928" s="12"/>
      <c r="G928" s="12"/>
      <c r="H928" s="12"/>
      <c r="I928" s="12"/>
      <c r="J928" s="12"/>
      <c r="K928" s="12"/>
      <c r="L928" s="12"/>
      <c r="M928" s="11"/>
      <c r="N928" s="11"/>
      <c r="O928" s="11"/>
      <c r="P928" s="11"/>
      <c r="Q928" s="11"/>
      <c r="R928" s="11"/>
      <c r="S928" s="11"/>
      <c r="T928" s="11"/>
      <c r="U928" s="11"/>
      <c r="V928" s="11"/>
      <c r="W928" s="11"/>
      <c r="X928" s="11"/>
      <c r="Y928" s="11"/>
      <c r="Z928" s="11"/>
      <c r="AA928" s="11"/>
      <c r="AB928" s="11"/>
      <c r="AC928" s="11"/>
      <c r="AD928" s="11"/>
    </row>
    <row r="929" spans="1:30" ht="16" x14ac:dyDescent="0.2">
      <c r="A929" s="11"/>
      <c r="B929" s="12"/>
      <c r="C929" s="12"/>
      <c r="D929" s="12"/>
      <c r="E929" s="12"/>
      <c r="F929" s="12"/>
      <c r="G929" s="12"/>
      <c r="H929" s="12"/>
      <c r="I929" s="12"/>
      <c r="J929" s="12"/>
      <c r="K929" s="12"/>
      <c r="L929" s="12"/>
      <c r="M929" s="11"/>
      <c r="N929" s="11"/>
      <c r="O929" s="11"/>
      <c r="P929" s="11"/>
      <c r="Q929" s="11"/>
      <c r="R929" s="11"/>
      <c r="S929" s="11"/>
      <c r="T929" s="11"/>
      <c r="U929" s="11"/>
      <c r="V929" s="11"/>
      <c r="W929" s="11"/>
      <c r="X929" s="11"/>
      <c r="Y929" s="11"/>
      <c r="Z929" s="11"/>
      <c r="AA929" s="11"/>
      <c r="AB929" s="11"/>
      <c r="AC929" s="11"/>
      <c r="AD929" s="11"/>
    </row>
    <row r="930" spans="1:30" ht="16" x14ac:dyDescent="0.2">
      <c r="A930" s="11"/>
      <c r="B930" s="12"/>
      <c r="C930" s="12"/>
      <c r="D930" s="12"/>
      <c r="E930" s="12"/>
      <c r="F930" s="12"/>
      <c r="G930" s="12"/>
      <c r="H930" s="12"/>
      <c r="I930" s="12"/>
      <c r="J930" s="12"/>
      <c r="K930" s="12"/>
      <c r="L930" s="12"/>
      <c r="M930" s="11"/>
      <c r="N930" s="11"/>
      <c r="O930" s="11"/>
      <c r="P930" s="11"/>
      <c r="Q930" s="11"/>
      <c r="R930" s="11"/>
      <c r="S930" s="11"/>
      <c r="T930" s="11"/>
      <c r="U930" s="11"/>
      <c r="V930" s="11"/>
      <c r="W930" s="11"/>
      <c r="X930" s="11"/>
      <c r="Y930" s="11"/>
      <c r="Z930" s="11"/>
      <c r="AA930" s="11"/>
      <c r="AB930" s="11"/>
      <c r="AC930" s="11"/>
      <c r="AD930" s="11"/>
    </row>
    <row r="931" spans="1:30" ht="16" x14ac:dyDescent="0.2">
      <c r="A931" s="11"/>
      <c r="B931" s="12"/>
      <c r="C931" s="12"/>
      <c r="D931" s="12"/>
      <c r="E931" s="12"/>
      <c r="F931" s="12"/>
      <c r="G931" s="12"/>
      <c r="H931" s="12"/>
      <c r="I931" s="12"/>
      <c r="J931" s="12"/>
      <c r="K931" s="12"/>
      <c r="L931" s="12"/>
      <c r="M931" s="11"/>
      <c r="N931" s="11"/>
      <c r="O931" s="11"/>
      <c r="P931" s="11"/>
      <c r="Q931" s="11"/>
      <c r="R931" s="11"/>
      <c r="S931" s="11"/>
      <c r="T931" s="11"/>
      <c r="U931" s="11"/>
      <c r="V931" s="11"/>
      <c r="W931" s="11"/>
      <c r="X931" s="11"/>
      <c r="Y931" s="11"/>
      <c r="Z931" s="11"/>
      <c r="AA931" s="11"/>
      <c r="AB931" s="11"/>
      <c r="AC931" s="11"/>
      <c r="AD931" s="11"/>
    </row>
    <row r="932" spans="1:30" ht="16" x14ac:dyDescent="0.2">
      <c r="A932" s="11"/>
      <c r="B932" s="12"/>
      <c r="C932" s="12"/>
      <c r="D932" s="12"/>
      <c r="E932" s="12"/>
      <c r="F932" s="12"/>
      <c r="G932" s="12"/>
      <c r="H932" s="12"/>
      <c r="I932" s="12"/>
      <c r="J932" s="12"/>
      <c r="K932" s="12"/>
      <c r="L932" s="12"/>
      <c r="M932" s="11"/>
      <c r="N932" s="11"/>
      <c r="O932" s="11"/>
      <c r="P932" s="11"/>
      <c r="Q932" s="11"/>
      <c r="R932" s="11"/>
      <c r="S932" s="11"/>
      <c r="T932" s="11"/>
      <c r="U932" s="11"/>
      <c r="V932" s="11"/>
      <c r="W932" s="11"/>
      <c r="X932" s="11"/>
      <c r="Y932" s="11"/>
      <c r="Z932" s="11"/>
      <c r="AA932" s="11"/>
      <c r="AB932" s="11"/>
      <c r="AC932" s="11"/>
      <c r="AD932" s="11"/>
    </row>
    <row r="933" spans="1:30" ht="16" x14ac:dyDescent="0.2">
      <c r="A933" s="11"/>
      <c r="B933" s="12"/>
      <c r="C933" s="12"/>
      <c r="D933" s="12"/>
      <c r="E933" s="12"/>
      <c r="F933" s="12"/>
      <c r="G933" s="12"/>
      <c r="H933" s="12"/>
      <c r="I933" s="12"/>
      <c r="J933" s="12"/>
      <c r="K933" s="12"/>
      <c r="L933" s="12"/>
      <c r="M933" s="11"/>
      <c r="N933" s="11"/>
      <c r="O933" s="11"/>
      <c r="P933" s="11"/>
      <c r="Q933" s="11"/>
      <c r="R933" s="11"/>
      <c r="S933" s="11"/>
      <c r="T933" s="11"/>
      <c r="U933" s="11"/>
      <c r="V933" s="11"/>
      <c r="W933" s="11"/>
      <c r="X933" s="11"/>
      <c r="Y933" s="11"/>
      <c r="Z933" s="11"/>
      <c r="AA933" s="11"/>
      <c r="AB933" s="11"/>
      <c r="AC933" s="11"/>
      <c r="AD933" s="11"/>
    </row>
    <row r="934" spans="1:30" ht="16" x14ac:dyDescent="0.2">
      <c r="A934" s="11"/>
      <c r="B934" s="12"/>
      <c r="C934" s="12"/>
      <c r="D934" s="12"/>
      <c r="E934" s="12"/>
      <c r="F934" s="12"/>
      <c r="G934" s="12"/>
      <c r="H934" s="12"/>
      <c r="I934" s="12"/>
      <c r="J934" s="12"/>
      <c r="K934" s="12"/>
      <c r="L934" s="12"/>
      <c r="M934" s="11"/>
      <c r="N934" s="11"/>
      <c r="O934" s="11"/>
      <c r="P934" s="11"/>
      <c r="Q934" s="11"/>
      <c r="R934" s="11"/>
      <c r="S934" s="11"/>
      <c r="T934" s="11"/>
      <c r="U934" s="11"/>
      <c r="V934" s="11"/>
      <c r="W934" s="11"/>
      <c r="X934" s="11"/>
      <c r="Y934" s="11"/>
      <c r="Z934" s="11"/>
      <c r="AA934" s="11"/>
      <c r="AB934" s="11"/>
      <c r="AC934" s="11"/>
      <c r="AD934" s="11"/>
    </row>
    <row r="935" spans="1:30" ht="16" x14ac:dyDescent="0.2">
      <c r="A935" s="11"/>
      <c r="B935" s="12"/>
      <c r="C935" s="12"/>
      <c r="D935" s="12"/>
      <c r="E935" s="12"/>
      <c r="F935" s="12"/>
      <c r="G935" s="12"/>
      <c r="H935" s="12"/>
      <c r="I935" s="12"/>
      <c r="J935" s="12"/>
      <c r="K935" s="12"/>
      <c r="L935" s="12"/>
      <c r="M935" s="11"/>
      <c r="N935" s="11"/>
      <c r="O935" s="11"/>
      <c r="P935" s="11"/>
      <c r="Q935" s="11"/>
      <c r="R935" s="11"/>
      <c r="S935" s="11"/>
      <c r="T935" s="11"/>
      <c r="U935" s="11"/>
      <c r="V935" s="11"/>
      <c r="W935" s="11"/>
      <c r="X935" s="11"/>
      <c r="Y935" s="11"/>
      <c r="Z935" s="11"/>
      <c r="AA935" s="11"/>
      <c r="AB935" s="11"/>
      <c r="AC935" s="11"/>
      <c r="AD935" s="11"/>
    </row>
    <row r="936" spans="1:30" ht="16" x14ac:dyDescent="0.2">
      <c r="A936" s="11"/>
      <c r="B936" s="12"/>
      <c r="C936" s="12"/>
      <c r="D936" s="12"/>
      <c r="E936" s="12"/>
      <c r="F936" s="12"/>
      <c r="G936" s="12"/>
      <c r="H936" s="12"/>
      <c r="I936" s="12"/>
      <c r="J936" s="12"/>
      <c r="K936" s="12"/>
      <c r="L936" s="12"/>
      <c r="M936" s="11"/>
      <c r="N936" s="11"/>
      <c r="O936" s="11"/>
      <c r="P936" s="11"/>
      <c r="Q936" s="11"/>
      <c r="R936" s="11"/>
      <c r="S936" s="11"/>
      <c r="T936" s="11"/>
      <c r="U936" s="11"/>
      <c r="V936" s="11"/>
      <c r="W936" s="11"/>
      <c r="X936" s="11"/>
      <c r="Y936" s="11"/>
      <c r="Z936" s="11"/>
      <c r="AA936" s="11"/>
      <c r="AB936" s="11"/>
      <c r="AC936" s="11"/>
      <c r="AD936" s="11"/>
    </row>
    <row r="937" spans="1:30" ht="16" x14ac:dyDescent="0.2">
      <c r="A937" s="11"/>
      <c r="B937" s="12"/>
      <c r="C937" s="12"/>
      <c r="D937" s="12"/>
      <c r="E937" s="12"/>
      <c r="F937" s="12"/>
      <c r="G937" s="12"/>
      <c r="H937" s="12"/>
      <c r="I937" s="12"/>
      <c r="J937" s="12"/>
      <c r="K937" s="12"/>
      <c r="L937" s="12"/>
      <c r="M937" s="11"/>
      <c r="N937" s="11"/>
      <c r="O937" s="11"/>
      <c r="P937" s="11"/>
      <c r="Q937" s="11"/>
      <c r="R937" s="11"/>
      <c r="S937" s="11"/>
      <c r="T937" s="11"/>
      <c r="U937" s="11"/>
      <c r="V937" s="11"/>
      <c r="W937" s="11"/>
      <c r="X937" s="11"/>
      <c r="Y937" s="11"/>
      <c r="Z937" s="11"/>
      <c r="AA937" s="11"/>
      <c r="AB937" s="11"/>
      <c r="AC937" s="11"/>
      <c r="AD937" s="11"/>
    </row>
    <row r="938" spans="1:30" ht="16" x14ac:dyDescent="0.2">
      <c r="A938" s="11"/>
      <c r="B938" s="12"/>
      <c r="C938" s="12"/>
      <c r="D938" s="12"/>
      <c r="E938" s="12"/>
      <c r="F938" s="12"/>
      <c r="G938" s="12"/>
      <c r="H938" s="12"/>
      <c r="I938" s="12"/>
      <c r="J938" s="12"/>
      <c r="K938" s="12"/>
      <c r="L938" s="12"/>
      <c r="M938" s="11"/>
      <c r="N938" s="11"/>
      <c r="O938" s="11"/>
      <c r="P938" s="11"/>
      <c r="Q938" s="11"/>
      <c r="R938" s="11"/>
      <c r="S938" s="11"/>
      <c r="T938" s="11"/>
      <c r="U938" s="11"/>
      <c r="V938" s="11"/>
      <c r="W938" s="11"/>
      <c r="X938" s="11"/>
      <c r="Y938" s="11"/>
      <c r="Z938" s="11"/>
      <c r="AA938" s="11"/>
      <c r="AB938" s="11"/>
      <c r="AC938" s="11"/>
      <c r="AD938" s="11"/>
    </row>
    <row r="939" spans="1:30" ht="16" x14ac:dyDescent="0.2">
      <c r="A939" s="11"/>
      <c r="B939" s="12"/>
      <c r="C939" s="12"/>
      <c r="D939" s="12"/>
      <c r="E939" s="12"/>
      <c r="F939" s="12"/>
      <c r="G939" s="12"/>
      <c r="H939" s="12"/>
      <c r="I939" s="12"/>
      <c r="J939" s="12"/>
      <c r="K939" s="12"/>
      <c r="L939" s="12"/>
      <c r="M939" s="11"/>
      <c r="N939" s="11"/>
      <c r="O939" s="11"/>
      <c r="P939" s="11"/>
      <c r="Q939" s="11"/>
      <c r="R939" s="11"/>
      <c r="S939" s="11"/>
      <c r="T939" s="11"/>
      <c r="U939" s="11"/>
      <c r="V939" s="11"/>
      <c r="W939" s="11"/>
      <c r="X939" s="11"/>
      <c r="Y939" s="11"/>
      <c r="Z939" s="11"/>
      <c r="AA939" s="11"/>
      <c r="AB939" s="11"/>
      <c r="AC939" s="11"/>
      <c r="AD939" s="11"/>
    </row>
    <row r="940" spans="1:30" ht="16" x14ac:dyDescent="0.2">
      <c r="A940" s="11"/>
      <c r="B940" s="12"/>
      <c r="C940" s="12"/>
      <c r="D940" s="12"/>
      <c r="E940" s="12"/>
      <c r="F940" s="12"/>
      <c r="G940" s="12"/>
      <c r="H940" s="12"/>
      <c r="I940" s="12"/>
      <c r="J940" s="12"/>
      <c r="K940" s="12"/>
      <c r="L940" s="12"/>
      <c r="M940" s="11"/>
      <c r="N940" s="11"/>
      <c r="O940" s="11"/>
      <c r="P940" s="11"/>
      <c r="Q940" s="11"/>
      <c r="R940" s="11"/>
      <c r="S940" s="11"/>
      <c r="T940" s="11"/>
      <c r="U940" s="11"/>
      <c r="V940" s="11"/>
      <c r="W940" s="11"/>
      <c r="X940" s="11"/>
      <c r="Y940" s="11"/>
      <c r="Z940" s="11"/>
      <c r="AA940" s="11"/>
      <c r="AB940" s="11"/>
      <c r="AC940" s="11"/>
      <c r="AD940" s="11"/>
    </row>
    <row r="941" spans="1:30" ht="16" x14ac:dyDescent="0.2">
      <c r="A941" s="11"/>
      <c r="B941" s="12"/>
      <c r="C941" s="12"/>
      <c r="D941" s="12"/>
      <c r="E941" s="12"/>
      <c r="F941" s="12"/>
      <c r="G941" s="12"/>
      <c r="H941" s="12"/>
      <c r="I941" s="12"/>
      <c r="J941" s="12"/>
      <c r="K941" s="12"/>
      <c r="L941" s="12"/>
      <c r="M941" s="11"/>
      <c r="N941" s="11"/>
      <c r="O941" s="11"/>
      <c r="P941" s="11"/>
      <c r="Q941" s="11"/>
      <c r="R941" s="11"/>
      <c r="S941" s="11"/>
      <c r="T941" s="11"/>
      <c r="U941" s="11"/>
      <c r="V941" s="11"/>
      <c r="W941" s="11"/>
      <c r="X941" s="11"/>
      <c r="Y941" s="11"/>
      <c r="Z941" s="11"/>
      <c r="AA941" s="11"/>
      <c r="AB941" s="11"/>
      <c r="AC941" s="11"/>
      <c r="AD941" s="11"/>
    </row>
    <row r="942" spans="1:30" ht="16" x14ac:dyDescent="0.2">
      <c r="A942" s="11"/>
      <c r="B942" s="12"/>
      <c r="C942" s="12"/>
      <c r="D942" s="12"/>
      <c r="E942" s="12"/>
      <c r="F942" s="12"/>
      <c r="G942" s="12"/>
      <c r="H942" s="12"/>
      <c r="I942" s="12"/>
      <c r="J942" s="12"/>
      <c r="K942" s="12"/>
      <c r="L942" s="12"/>
      <c r="M942" s="11"/>
      <c r="N942" s="11"/>
      <c r="O942" s="11"/>
      <c r="P942" s="11"/>
      <c r="Q942" s="11"/>
      <c r="R942" s="11"/>
      <c r="S942" s="11"/>
      <c r="T942" s="11"/>
      <c r="U942" s="11"/>
      <c r="V942" s="11"/>
      <c r="W942" s="11"/>
      <c r="X942" s="11"/>
      <c r="Y942" s="11"/>
      <c r="Z942" s="11"/>
      <c r="AA942" s="11"/>
      <c r="AB942" s="11"/>
      <c r="AC942" s="11"/>
      <c r="AD942" s="11"/>
    </row>
    <row r="943" spans="1:30" ht="16" x14ac:dyDescent="0.2">
      <c r="A943" s="11"/>
      <c r="B943" s="12"/>
      <c r="C943" s="12"/>
      <c r="D943" s="12"/>
      <c r="E943" s="12"/>
      <c r="F943" s="12"/>
      <c r="G943" s="12"/>
      <c r="H943" s="12"/>
      <c r="I943" s="12"/>
      <c r="J943" s="12"/>
      <c r="K943" s="12"/>
      <c r="L943" s="12"/>
      <c r="M943" s="11"/>
      <c r="N943" s="11"/>
      <c r="O943" s="11"/>
      <c r="P943" s="11"/>
      <c r="Q943" s="11"/>
      <c r="R943" s="11"/>
      <c r="S943" s="11"/>
      <c r="T943" s="11"/>
      <c r="U943" s="11"/>
      <c r="V943" s="11"/>
      <c r="W943" s="11"/>
      <c r="X943" s="11"/>
      <c r="Y943" s="11"/>
      <c r="Z943" s="11"/>
      <c r="AA943" s="11"/>
      <c r="AB943" s="11"/>
      <c r="AC943" s="11"/>
      <c r="AD943" s="11"/>
    </row>
    <row r="944" spans="1:30" ht="16" x14ac:dyDescent="0.2">
      <c r="A944" s="11"/>
      <c r="B944" s="12"/>
      <c r="C944" s="12"/>
      <c r="D944" s="12"/>
      <c r="E944" s="12"/>
      <c r="F944" s="12"/>
      <c r="G944" s="12"/>
      <c r="H944" s="12"/>
      <c r="I944" s="12"/>
      <c r="J944" s="12"/>
      <c r="K944" s="12"/>
      <c r="L944" s="12"/>
      <c r="M944" s="11"/>
      <c r="N944" s="11"/>
      <c r="O944" s="11"/>
      <c r="P944" s="11"/>
      <c r="Q944" s="11"/>
      <c r="R944" s="11"/>
      <c r="S944" s="11"/>
      <c r="T944" s="11"/>
      <c r="U944" s="11"/>
      <c r="V944" s="11"/>
      <c r="W944" s="11"/>
      <c r="X944" s="11"/>
      <c r="Y944" s="11"/>
      <c r="Z944" s="11"/>
      <c r="AA944" s="11"/>
      <c r="AB944" s="11"/>
      <c r="AC944" s="11"/>
      <c r="AD944" s="11"/>
    </row>
    <row r="945" spans="1:30" ht="16" x14ac:dyDescent="0.2">
      <c r="A945" s="11"/>
      <c r="B945" s="12"/>
      <c r="C945" s="12"/>
      <c r="D945" s="12"/>
      <c r="E945" s="12"/>
      <c r="F945" s="12"/>
      <c r="G945" s="12"/>
      <c r="H945" s="12"/>
      <c r="I945" s="12"/>
      <c r="J945" s="12"/>
      <c r="K945" s="12"/>
      <c r="L945" s="12"/>
      <c r="M945" s="11"/>
      <c r="N945" s="11"/>
      <c r="O945" s="11"/>
      <c r="P945" s="11"/>
      <c r="Q945" s="11"/>
      <c r="R945" s="11"/>
      <c r="S945" s="11"/>
      <c r="T945" s="11"/>
      <c r="U945" s="11"/>
      <c r="V945" s="11"/>
      <c r="W945" s="11"/>
      <c r="X945" s="11"/>
      <c r="Y945" s="11"/>
      <c r="Z945" s="11"/>
      <c r="AA945" s="11"/>
      <c r="AB945" s="11"/>
      <c r="AC945" s="11"/>
      <c r="AD945" s="11"/>
    </row>
    <row r="946" spans="1:30" ht="16" x14ac:dyDescent="0.2">
      <c r="A946" s="11"/>
      <c r="B946" s="12"/>
      <c r="C946" s="12"/>
      <c r="D946" s="12"/>
      <c r="E946" s="12"/>
      <c r="F946" s="12"/>
      <c r="G946" s="12"/>
      <c r="H946" s="12"/>
      <c r="I946" s="12"/>
      <c r="J946" s="12"/>
      <c r="K946" s="12"/>
      <c r="L946" s="12"/>
      <c r="M946" s="11"/>
      <c r="N946" s="11"/>
      <c r="O946" s="11"/>
      <c r="P946" s="11"/>
      <c r="Q946" s="11"/>
      <c r="R946" s="11"/>
      <c r="S946" s="11"/>
      <c r="T946" s="11"/>
      <c r="U946" s="11"/>
      <c r="V946" s="11"/>
      <c r="W946" s="11"/>
      <c r="X946" s="11"/>
      <c r="Y946" s="11"/>
      <c r="Z946" s="11"/>
      <c r="AA946" s="11"/>
      <c r="AB946" s="11"/>
      <c r="AC946" s="11"/>
      <c r="AD946" s="11"/>
    </row>
    <row r="947" spans="1:30" ht="16" x14ac:dyDescent="0.2">
      <c r="A947" s="11"/>
      <c r="B947" s="12"/>
      <c r="C947" s="12"/>
      <c r="D947" s="12"/>
      <c r="E947" s="12"/>
      <c r="F947" s="12"/>
      <c r="G947" s="12"/>
      <c r="H947" s="12"/>
      <c r="I947" s="12"/>
      <c r="J947" s="12"/>
      <c r="K947" s="12"/>
      <c r="L947" s="12"/>
      <c r="M947" s="11"/>
      <c r="N947" s="11"/>
      <c r="O947" s="11"/>
      <c r="P947" s="11"/>
      <c r="Q947" s="11"/>
      <c r="R947" s="11"/>
      <c r="S947" s="11"/>
      <c r="T947" s="11"/>
      <c r="U947" s="11"/>
      <c r="V947" s="11"/>
      <c r="W947" s="11"/>
      <c r="X947" s="11"/>
      <c r="Y947" s="11"/>
      <c r="Z947" s="11"/>
      <c r="AA947" s="11"/>
      <c r="AB947" s="11"/>
      <c r="AC947" s="11"/>
      <c r="AD947" s="11"/>
    </row>
    <row r="948" spans="1:30" ht="16" x14ac:dyDescent="0.2">
      <c r="A948" s="11"/>
      <c r="B948" s="12"/>
      <c r="C948" s="12"/>
      <c r="D948" s="12"/>
      <c r="E948" s="12"/>
      <c r="F948" s="12"/>
      <c r="G948" s="12"/>
      <c r="H948" s="12"/>
      <c r="I948" s="12"/>
      <c r="J948" s="12"/>
      <c r="K948" s="12"/>
      <c r="L948" s="12"/>
      <c r="M948" s="11"/>
      <c r="N948" s="11"/>
      <c r="O948" s="11"/>
      <c r="P948" s="11"/>
      <c r="Q948" s="11"/>
      <c r="R948" s="11"/>
      <c r="S948" s="11"/>
      <c r="T948" s="11"/>
      <c r="U948" s="11"/>
      <c r="V948" s="11"/>
      <c r="W948" s="11"/>
      <c r="X948" s="11"/>
      <c r="Y948" s="11"/>
      <c r="Z948" s="11"/>
      <c r="AA948" s="11"/>
      <c r="AB948" s="11"/>
      <c r="AC948" s="11"/>
      <c r="AD948" s="11"/>
    </row>
    <row r="949" spans="1:30" ht="16" x14ac:dyDescent="0.2">
      <c r="A949" s="11"/>
      <c r="B949" s="12"/>
      <c r="C949" s="12"/>
      <c r="D949" s="12"/>
      <c r="E949" s="12"/>
      <c r="F949" s="12"/>
      <c r="G949" s="12"/>
      <c r="H949" s="12"/>
      <c r="I949" s="12"/>
      <c r="J949" s="12"/>
      <c r="K949" s="12"/>
      <c r="L949" s="12"/>
      <c r="M949" s="11"/>
      <c r="N949" s="11"/>
      <c r="O949" s="11"/>
      <c r="P949" s="11"/>
      <c r="Q949" s="11"/>
      <c r="R949" s="11"/>
      <c r="S949" s="11"/>
      <c r="T949" s="11"/>
      <c r="U949" s="11"/>
      <c r="V949" s="11"/>
      <c r="W949" s="11"/>
      <c r="X949" s="11"/>
      <c r="Y949" s="11"/>
      <c r="Z949" s="11"/>
      <c r="AA949" s="11"/>
      <c r="AB949" s="11"/>
      <c r="AC949" s="11"/>
      <c r="AD949" s="11"/>
    </row>
    <row r="950" spans="1:30" ht="16" x14ac:dyDescent="0.2">
      <c r="A950" s="11"/>
      <c r="B950" s="12"/>
      <c r="C950" s="12"/>
      <c r="D950" s="12"/>
      <c r="E950" s="12"/>
      <c r="F950" s="12"/>
      <c r="G950" s="12"/>
      <c r="H950" s="12"/>
      <c r="I950" s="12"/>
      <c r="J950" s="12"/>
      <c r="K950" s="12"/>
      <c r="L950" s="12"/>
      <c r="M950" s="11"/>
      <c r="N950" s="11"/>
      <c r="O950" s="11"/>
      <c r="P950" s="11"/>
      <c r="Q950" s="11"/>
      <c r="R950" s="11"/>
      <c r="S950" s="11"/>
      <c r="T950" s="11"/>
      <c r="U950" s="11"/>
      <c r="V950" s="11"/>
      <c r="W950" s="11"/>
      <c r="X950" s="11"/>
      <c r="Y950" s="11"/>
      <c r="Z950" s="11"/>
      <c r="AA950" s="11"/>
      <c r="AB950" s="11"/>
      <c r="AC950" s="11"/>
      <c r="AD950" s="11"/>
    </row>
    <row r="951" spans="1:30" ht="16" x14ac:dyDescent="0.2">
      <c r="A951" s="11"/>
      <c r="B951" s="12"/>
      <c r="C951" s="12"/>
      <c r="D951" s="12"/>
      <c r="E951" s="12"/>
      <c r="F951" s="12"/>
      <c r="G951" s="12"/>
      <c r="H951" s="12"/>
      <c r="I951" s="12"/>
      <c r="J951" s="12"/>
      <c r="K951" s="12"/>
      <c r="L951" s="12"/>
      <c r="M951" s="11"/>
      <c r="N951" s="11"/>
      <c r="O951" s="11"/>
      <c r="P951" s="11"/>
      <c r="Q951" s="11"/>
      <c r="R951" s="11"/>
      <c r="S951" s="11"/>
      <c r="T951" s="11"/>
      <c r="U951" s="11"/>
      <c r="V951" s="11"/>
      <c r="W951" s="11"/>
      <c r="X951" s="11"/>
      <c r="Y951" s="11"/>
      <c r="Z951" s="11"/>
      <c r="AA951" s="11"/>
      <c r="AB951" s="11"/>
      <c r="AC951" s="11"/>
      <c r="AD951" s="11"/>
    </row>
    <row r="952" spans="1:30" ht="16" x14ac:dyDescent="0.2">
      <c r="A952" s="11"/>
      <c r="B952" s="12"/>
      <c r="C952" s="12"/>
      <c r="D952" s="12"/>
      <c r="E952" s="12"/>
      <c r="F952" s="12"/>
      <c r="G952" s="12"/>
      <c r="H952" s="12"/>
      <c r="I952" s="12"/>
      <c r="J952" s="12"/>
      <c r="K952" s="12"/>
      <c r="L952" s="12"/>
      <c r="M952" s="11"/>
      <c r="N952" s="11"/>
      <c r="O952" s="11"/>
      <c r="P952" s="11"/>
      <c r="Q952" s="11"/>
      <c r="R952" s="11"/>
      <c r="S952" s="11"/>
      <c r="T952" s="11"/>
      <c r="U952" s="11"/>
      <c r="V952" s="11"/>
      <c r="W952" s="11"/>
      <c r="X952" s="11"/>
      <c r="Y952" s="11"/>
      <c r="Z952" s="11"/>
      <c r="AA952" s="11"/>
      <c r="AB952" s="11"/>
      <c r="AC952" s="11"/>
      <c r="AD952" s="11"/>
    </row>
    <row r="953" spans="1:30" ht="16" x14ac:dyDescent="0.2">
      <c r="A953" s="11"/>
      <c r="B953" s="12"/>
      <c r="C953" s="12"/>
      <c r="D953" s="12"/>
      <c r="E953" s="12"/>
      <c r="F953" s="12"/>
      <c r="G953" s="12"/>
      <c r="H953" s="12"/>
      <c r="I953" s="12"/>
      <c r="J953" s="12"/>
      <c r="K953" s="12"/>
      <c r="L953" s="12"/>
      <c r="M953" s="11"/>
      <c r="N953" s="11"/>
      <c r="O953" s="11"/>
      <c r="P953" s="11"/>
      <c r="Q953" s="11"/>
      <c r="R953" s="11"/>
      <c r="S953" s="11"/>
      <c r="T953" s="11"/>
      <c r="U953" s="11"/>
      <c r="V953" s="11"/>
      <c r="W953" s="11"/>
      <c r="X953" s="11"/>
      <c r="Y953" s="11"/>
      <c r="Z953" s="11"/>
      <c r="AA953" s="11"/>
      <c r="AB953" s="11"/>
      <c r="AC953" s="11"/>
      <c r="AD953" s="11"/>
    </row>
    <row r="954" spans="1:30" ht="16" x14ac:dyDescent="0.2">
      <c r="A954" s="11"/>
      <c r="B954" s="12"/>
      <c r="C954" s="12"/>
      <c r="D954" s="12"/>
      <c r="E954" s="12"/>
      <c r="F954" s="12"/>
      <c r="G954" s="12"/>
      <c r="H954" s="12"/>
      <c r="I954" s="12"/>
      <c r="J954" s="12"/>
      <c r="K954" s="12"/>
      <c r="L954" s="12"/>
      <c r="M954" s="11"/>
      <c r="N954" s="11"/>
      <c r="O954" s="11"/>
      <c r="P954" s="11"/>
      <c r="Q954" s="11"/>
      <c r="R954" s="11"/>
      <c r="S954" s="11"/>
      <c r="T954" s="11"/>
      <c r="U954" s="11"/>
      <c r="V954" s="11"/>
      <c r="W954" s="11"/>
      <c r="X954" s="11"/>
      <c r="Y954" s="11"/>
      <c r="Z954" s="11"/>
      <c r="AA954" s="11"/>
      <c r="AB954" s="11"/>
      <c r="AC954" s="11"/>
      <c r="AD954" s="11"/>
    </row>
    <row r="955" spans="1:30" ht="16" x14ac:dyDescent="0.2">
      <c r="A955" s="11"/>
      <c r="B955" s="12"/>
      <c r="C955" s="12"/>
      <c r="D955" s="12"/>
      <c r="E955" s="12"/>
      <c r="F955" s="12"/>
      <c r="G955" s="12"/>
      <c r="H955" s="12"/>
      <c r="I955" s="12"/>
      <c r="J955" s="12"/>
      <c r="K955" s="12"/>
      <c r="L955" s="12"/>
      <c r="M955" s="11"/>
      <c r="N955" s="11"/>
      <c r="O955" s="11"/>
      <c r="P955" s="11"/>
      <c r="Q955" s="11"/>
      <c r="R955" s="11"/>
      <c r="S955" s="11"/>
      <c r="T955" s="11"/>
      <c r="U955" s="11"/>
      <c r="V955" s="11"/>
      <c r="W955" s="11"/>
      <c r="X955" s="11"/>
      <c r="Y955" s="11"/>
      <c r="Z955" s="11"/>
      <c r="AA955" s="11"/>
      <c r="AB955" s="11"/>
      <c r="AC955" s="11"/>
      <c r="AD955" s="11"/>
    </row>
    <row r="956" spans="1:30" ht="16" x14ac:dyDescent="0.2">
      <c r="A956" s="11"/>
      <c r="B956" s="12"/>
      <c r="C956" s="12"/>
      <c r="D956" s="12"/>
      <c r="E956" s="12"/>
      <c r="F956" s="12"/>
      <c r="G956" s="12"/>
      <c r="H956" s="12"/>
      <c r="I956" s="12"/>
      <c r="J956" s="12"/>
      <c r="K956" s="12"/>
      <c r="L956" s="12"/>
      <c r="M956" s="11"/>
      <c r="N956" s="11"/>
      <c r="O956" s="11"/>
      <c r="P956" s="11"/>
      <c r="Q956" s="11"/>
      <c r="R956" s="11"/>
      <c r="S956" s="11"/>
      <c r="T956" s="11"/>
      <c r="U956" s="11"/>
      <c r="V956" s="11"/>
      <c r="W956" s="11"/>
      <c r="X956" s="11"/>
      <c r="Y956" s="11"/>
      <c r="Z956" s="11"/>
      <c r="AA956" s="11"/>
      <c r="AB956" s="11"/>
      <c r="AC956" s="11"/>
      <c r="AD956" s="11"/>
    </row>
    <row r="957" spans="1:30" ht="16" x14ac:dyDescent="0.2">
      <c r="A957" s="11"/>
      <c r="B957" s="12"/>
      <c r="C957" s="12"/>
      <c r="D957" s="12"/>
      <c r="E957" s="12"/>
      <c r="F957" s="12"/>
      <c r="G957" s="12"/>
      <c r="H957" s="12"/>
      <c r="I957" s="12"/>
      <c r="J957" s="12"/>
      <c r="K957" s="12"/>
      <c r="L957" s="12"/>
      <c r="M957" s="11"/>
      <c r="N957" s="11"/>
      <c r="O957" s="11"/>
      <c r="P957" s="11"/>
      <c r="Q957" s="11"/>
      <c r="R957" s="11"/>
      <c r="S957" s="11"/>
      <c r="T957" s="11"/>
      <c r="U957" s="11"/>
      <c r="V957" s="11"/>
      <c r="W957" s="11"/>
      <c r="X957" s="11"/>
      <c r="Y957" s="11"/>
      <c r="Z957" s="11"/>
      <c r="AA957" s="11"/>
      <c r="AB957" s="11"/>
      <c r="AC957" s="11"/>
      <c r="AD957" s="11"/>
    </row>
    <row r="958" spans="1:30" ht="16" x14ac:dyDescent="0.2">
      <c r="A958" s="11"/>
      <c r="B958" s="12"/>
      <c r="C958" s="12"/>
      <c r="D958" s="12"/>
      <c r="E958" s="12"/>
      <c r="F958" s="12"/>
      <c r="G958" s="12"/>
      <c r="H958" s="12"/>
      <c r="I958" s="12"/>
      <c r="J958" s="12"/>
      <c r="K958" s="12"/>
      <c r="L958" s="12"/>
      <c r="M958" s="11"/>
      <c r="N958" s="11"/>
      <c r="O958" s="11"/>
      <c r="P958" s="11"/>
      <c r="Q958" s="11"/>
      <c r="R958" s="11"/>
      <c r="S958" s="11"/>
      <c r="T958" s="11"/>
      <c r="U958" s="11"/>
      <c r="V958" s="11"/>
      <c r="W958" s="11"/>
      <c r="X958" s="11"/>
      <c r="Y958" s="11"/>
      <c r="Z958" s="11"/>
      <c r="AA958" s="11"/>
      <c r="AB958" s="11"/>
      <c r="AC958" s="11"/>
      <c r="AD958" s="11"/>
    </row>
    <row r="959" spans="1:30" ht="16" x14ac:dyDescent="0.2">
      <c r="A959" s="11"/>
      <c r="B959" s="12"/>
      <c r="C959" s="12"/>
      <c r="D959" s="12"/>
      <c r="E959" s="12"/>
      <c r="F959" s="12"/>
      <c r="G959" s="12"/>
      <c r="H959" s="12"/>
      <c r="I959" s="12"/>
      <c r="J959" s="12"/>
      <c r="K959" s="12"/>
      <c r="L959" s="12"/>
      <c r="M959" s="11"/>
      <c r="N959" s="11"/>
      <c r="O959" s="11"/>
      <c r="P959" s="11"/>
      <c r="Q959" s="11"/>
      <c r="R959" s="11"/>
      <c r="S959" s="11"/>
      <c r="T959" s="11"/>
      <c r="U959" s="11"/>
      <c r="V959" s="11"/>
      <c r="W959" s="11"/>
      <c r="X959" s="11"/>
      <c r="Y959" s="11"/>
      <c r="Z959" s="11"/>
      <c r="AA959" s="11"/>
      <c r="AB959" s="11"/>
      <c r="AC959" s="11"/>
      <c r="AD959" s="11"/>
    </row>
    <row r="960" spans="1:30" ht="16" x14ac:dyDescent="0.2">
      <c r="A960" s="11"/>
      <c r="B960" s="12"/>
      <c r="C960" s="12"/>
      <c r="D960" s="12"/>
      <c r="E960" s="12"/>
      <c r="F960" s="12"/>
      <c r="G960" s="12"/>
      <c r="H960" s="12"/>
      <c r="I960" s="12"/>
      <c r="J960" s="12"/>
      <c r="K960" s="12"/>
      <c r="L960" s="12"/>
      <c r="M960" s="11"/>
      <c r="N960" s="11"/>
      <c r="O960" s="11"/>
      <c r="P960" s="11"/>
      <c r="Q960" s="11"/>
      <c r="R960" s="11"/>
      <c r="S960" s="11"/>
      <c r="T960" s="11"/>
      <c r="U960" s="11"/>
      <c r="V960" s="11"/>
      <c r="W960" s="11"/>
      <c r="X960" s="11"/>
      <c r="Y960" s="11"/>
      <c r="Z960" s="11"/>
      <c r="AA960" s="11"/>
      <c r="AB960" s="11"/>
      <c r="AC960" s="11"/>
      <c r="AD960" s="11"/>
    </row>
    <row r="961" spans="1:30" ht="16" x14ac:dyDescent="0.2">
      <c r="A961" s="11"/>
      <c r="B961" s="12"/>
      <c r="C961" s="12"/>
      <c r="D961" s="12"/>
      <c r="E961" s="12"/>
      <c r="F961" s="12"/>
      <c r="G961" s="12"/>
      <c r="H961" s="12"/>
      <c r="I961" s="12"/>
      <c r="J961" s="12"/>
      <c r="K961" s="12"/>
      <c r="L961" s="12"/>
      <c r="M961" s="11"/>
      <c r="N961" s="11"/>
      <c r="O961" s="11"/>
      <c r="P961" s="11"/>
      <c r="Q961" s="11"/>
      <c r="R961" s="11"/>
      <c r="S961" s="11"/>
      <c r="T961" s="11"/>
      <c r="U961" s="11"/>
      <c r="V961" s="11"/>
      <c r="W961" s="11"/>
      <c r="X961" s="11"/>
      <c r="Y961" s="11"/>
      <c r="Z961" s="11"/>
      <c r="AA961" s="11"/>
      <c r="AB961" s="11"/>
      <c r="AC961" s="11"/>
      <c r="AD961" s="11"/>
    </row>
    <row r="962" spans="1:30" ht="16" x14ac:dyDescent="0.2">
      <c r="A962" s="11"/>
      <c r="B962" s="12"/>
      <c r="C962" s="12"/>
      <c r="D962" s="12"/>
      <c r="E962" s="12"/>
      <c r="F962" s="12"/>
      <c r="G962" s="12"/>
      <c r="H962" s="12"/>
      <c r="I962" s="12"/>
      <c r="J962" s="12"/>
      <c r="K962" s="12"/>
      <c r="L962" s="12"/>
      <c r="M962" s="11"/>
      <c r="N962" s="11"/>
      <c r="O962" s="11"/>
      <c r="P962" s="11"/>
      <c r="Q962" s="11"/>
      <c r="R962" s="11"/>
      <c r="S962" s="11"/>
      <c r="T962" s="11"/>
      <c r="U962" s="11"/>
      <c r="V962" s="11"/>
      <c r="W962" s="11"/>
      <c r="X962" s="11"/>
      <c r="Y962" s="11"/>
      <c r="Z962" s="11"/>
      <c r="AA962" s="11"/>
      <c r="AB962" s="11"/>
      <c r="AC962" s="11"/>
      <c r="AD962" s="11"/>
    </row>
    <row r="963" spans="1:30" ht="16" x14ac:dyDescent="0.2">
      <c r="A963" s="11"/>
      <c r="B963" s="12"/>
      <c r="C963" s="12"/>
      <c r="D963" s="12"/>
      <c r="E963" s="12"/>
      <c r="F963" s="12"/>
      <c r="G963" s="12"/>
      <c r="H963" s="12"/>
      <c r="I963" s="12"/>
      <c r="J963" s="12"/>
      <c r="K963" s="12"/>
      <c r="L963" s="12"/>
      <c r="M963" s="11"/>
      <c r="N963" s="11"/>
      <c r="O963" s="11"/>
      <c r="P963" s="11"/>
      <c r="Q963" s="11"/>
      <c r="R963" s="11"/>
      <c r="S963" s="11"/>
      <c r="T963" s="11"/>
      <c r="U963" s="11"/>
      <c r="V963" s="11"/>
      <c r="W963" s="11"/>
      <c r="X963" s="11"/>
      <c r="Y963" s="11"/>
      <c r="Z963" s="11"/>
      <c r="AA963" s="11"/>
      <c r="AB963" s="11"/>
      <c r="AC963" s="11"/>
      <c r="AD963" s="11"/>
    </row>
    <row r="964" spans="1:30" ht="16" x14ac:dyDescent="0.2">
      <c r="A964" s="11"/>
      <c r="B964" s="12"/>
      <c r="C964" s="12"/>
      <c r="D964" s="12"/>
      <c r="E964" s="12"/>
      <c r="F964" s="12"/>
      <c r="G964" s="12"/>
      <c r="H964" s="12"/>
      <c r="I964" s="12"/>
      <c r="J964" s="12"/>
      <c r="K964" s="12"/>
      <c r="L964" s="12"/>
      <c r="M964" s="11"/>
      <c r="N964" s="11"/>
      <c r="O964" s="11"/>
      <c r="P964" s="11"/>
      <c r="Q964" s="11"/>
      <c r="R964" s="11"/>
      <c r="S964" s="11"/>
      <c r="T964" s="11"/>
      <c r="U964" s="11"/>
      <c r="V964" s="11"/>
      <c r="W964" s="11"/>
      <c r="X964" s="11"/>
      <c r="Y964" s="11"/>
      <c r="Z964" s="11"/>
      <c r="AA964" s="11"/>
      <c r="AB964" s="11"/>
      <c r="AC964" s="11"/>
      <c r="AD964" s="11"/>
    </row>
    <row r="965" spans="1:30" ht="16" x14ac:dyDescent="0.2">
      <c r="A965" s="11"/>
      <c r="B965" s="12"/>
      <c r="C965" s="12"/>
      <c r="D965" s="12"/>
      <c r="E965" s="12"/>
      <c r="F965" s="12"/>
      <c r="G965" s="12"/>
      <c r="H965" s="12"/>
      <c r="I965" s="12"/>
      <c r="J965" s="12"/>
      <c r="K965" s="12"/>
      <c r="L965" s="12"/>
      <c r="M965" s="11"/>
      <c r="N965" s="11"/>
      <c r="O965" s="11"/>
      <c r="P965" s="11"/>
      <c r="Q965" s="11"/>
      <c r="R965" s="11"/>
      <c r="S965" s="11"/>
      <c r="T965" s="11"/>
      <c r="U965" s="11"/>
      <c r="V965" s="11"/>
      <c r="W965" s="11"/>
      <c r="X965" s="11"/>
      <c r="Y965" s="11"/>
      <c r="Z965" s="11"/>
      <c r="AA965" s="11"/>
      <c r="AB965" s="11"/>
      <c r="AC965" s="11"/>
      <c r="AD965" s="11"/>
    </row>
    <row r="966" spans="1:30" ht="16" x14ac:dyDescent="0.2">
      <c r="A966" s="11"/>
      <c r="B966" s="12"/>
      <c r="C966" s="12"/>
      <c r="D966" s="12"/>
      <c r="E966" s="12"/>
      <c r="F966" s="12"/>
      <c r="G966" s="12"/>
      <c r="H966" s="12"/>
      <c r="I966" s="12"/>
      <c r="J966" s="12"/>
      <c r="K966" s="12"/>
      <c r="L966" s="12"/>
      <c r="M966" s="11"/>
      <c r="N966" s="11"/>
      <c r="O966" s="11"/>
      <c r="P966" s="11"/>
      <c r="Q966" s="11"/>
      <c r="R966" s="11"/>
      <c r="S966" s="11"/>
      <c r="T966" s="11"/>
      <c r="U966" s="11"/>
      <c r="V966" s="11"/>
      <c r="W966" s="11"/>
      <c r="X966" s="11"/>
      <c r="Y966" s="11"/>
      <c r="Z966" s="11"/>
      <c r="AA966" s="11"/>
      <c r="AB966" s="11"/>
      <c r="AC966" s="11"/>
      <c r="AD966" s="11"/>
    </row>
    <row r="967" spans="1:30" ht="16" x14ac:dyDescent="0.2">
      <c r="A967" s="11"/>
      <c r="B967" s="12"/>
      <c r="C967" s="12"/>
      <c r="D967" s="12"/>
      <c r="E967" s="12"/>
      <c r="F967" s="12"/>
      <c r="G967" s="12"/>
      <c r="H967" s="12"/>
      <c r="I967" s="12"/>
      <c r="J967" s="12"/>
      <c r="K967" s="12"/>
      <c r="L967" s="12"/>
      <c r="M967" s="11"/>
      <c r="N967" s="11"/>
      <c r="O967" s="11"/>
      <c r="P967" s="11"/>
      <c r="Q967" s="11"/>
      <c r="R967" s="11"/>
      <c r="S967" s="11"/>
      <c r="T967" s="11"/>
      <c r="U967" s="11"/>
      <c r="V967" s="11"/>
      <c r="W967" s="11"/>
      <c r="X967" s="11"/>
      <c r="Y967" s="11"/>
      <c r="Z967" s="11"/>
      <c r="AA967" s="11"/>
      <c r="AB967" s="11"/>
      <c r="AC967" s="11"/>
      <c r="AD967" s="11"/>
    </row>
    <row r="968" spans="1:30" ht="16" x14ac:dyDescent="0.2">
      <c r="A968" s="11"/>
      <c r="B968" s="12"/>
      <c r="C968" s="12"/>
      <c r="D968" s="12"/>
      <c r="E968" s="12"/>
      <c r="F968" s="12"/>
      <c r="G968" s="12"/>
      <c r="H968" s="12"/>
      <c r="I968" s="12"/>
      <c r="J968" s="12"/>
      <c r="K968" s="12"/>
      <c r="L968" s="12"/>
      <c r="M968" s="11"/>
      <c r="N968" s="11"/>
      <c r="O968" s="11"/>
      <c r="P968" s="11"/>
      <c r="Q968" s="11"/>
      <c r="R968" s="11"/>
      <c r="S968" s="11"/>
      <c r="T968" s="11"/>
      <c r="U968" s="11"/>
      <c r="V968" s="11"/>
      <c r="W968" s="11"/>
      <c r="X968" s="11"/>
      <c r="Y968" s="11"/>
      <c r="Z968" s="11"/>
      <c r="AA968" s="11"/>
      <c r="AB968" s="11"/>
      <c r="AC968" s="11"/>
      <c r="AD968" s="11"/>
    </row>
    <row r="969" spans="1:30" ht="16" x14ac:dyDescent="0.2">
      <c r="A969" s="11"/>
      <c r="B969" s="12"/>
      <c r="C969" s="12"/>
      <c r="D969" s="12"/>
      <c r="E969" s="12"/>
      <c r="F969" s="12"/>
      <c r="G969" s="12"/>
      <c r="H969" s="12"/>
      <c r="I969" s="12"/>
      <c r="J969" s="12"/>
      <c r="K969" s="12"/>
      <c r="L969" s="12"/>
      <c r="M969" s="11"/>
      <c r="N969" s="11"/>
      <c r="O969" s="11"/>
      <c r="P969" s="11"/>
      <c r="Q969" s="11"/>
      <c r="R969" s="11"/>
      <c r="S969" s="11"/>
      <c r="T969" s="11"/>
      <c r="U969" s="11"/>
      <c r="V969" s="11"/>
      <c r="W969" s="11"/>
      <c r="X969" s="11"/>
      <c r="Y969" s="11"/>
      <c r="Z969" s="11"/>
      <c r="AA969" s="11"/>
      <c r="AB969" s="11"/>
      <c r="AC969" s="11"/>
      <c r="AD969" s="11"/>
    </row>
    <row r="970" spans="1:30" ht="16" x14ac:dyDescent="0.2">
      <c r="A970" s="11"/>
      <c r="B970" s="12"/>
      <c r="C970" s="12"/>
      <c r="D970" s="12"/>
      <c r="E970" s="12"/>
      <c r="F970" s="12"/>
      <c r="G970" s="12"/>
      <c r="H970" s="12"/>
      <c r="I970" s="12"/>
      <c r="J970" s="12"/>
      <c r="K970" s="12"/>
      <c r="L970" s="12"/>
      <c r="M970" s="11"/>
      <c r="N970" s="11"/>
      <c r="O970" s="11"/>
      <c r="P970" s="11"/>
      <c r="Q970" s="11"/>
      <c r="R970" s="11"/>
      <c r="S970" s="11"/>
      <c r="T970" s="11"/>
      <c r="U970" s="11"/>
      <c r="V970" s="11"/>
      <c r="W970" s="11"/>
      <c r="X970" s="11"/>
      <c r="Y970" s="11"/>
      <c r="Z970" s="11"/>
      <c r="AA970" s="11"/>
      <c r="AB970" s="11"/>
      <c r="AC970" s="11"/>
      <c r="AD970" s="11"/>
    </row>
    <row r="971" spans="1:30" ht="16" x14ac:dyDescent="0.2">
      <c r="A971" s="11"/>
      <c r="B971" s="12"/>
      <c r="C971" s="12"/>
      <c r="D971" s="12"/>
      <c r="E971" s="12"/>
      <c r="F971" s="12"/>
      <c r="G971" s="12"/>
      <c r="H971" s="12"/>
      <c r="I971" s="12"/>
      <c r="J971" s="12"/>
      <c r="K971" s="12"/>
      <c r="L971" s="12"/>
      <c r="M971" s="11"/>
      <c r="N971" s="11"/>
      <c r="O971" s="11"/>
      <c r="P971" s="11"/>
      <c r="Q971" s="11"/>
      <c r="R971" s="11"/>
      <c r="S971" s="11"/>
      <c r="T971" s="11"/>
      <c r="U971" s="11"/>
      <c r="V971" s="11"/>
      <c r="W971" s="11"/>
      <c r="X971" s="11"/>
      <c r="Y971" s="11"/>
      <c r="Z971" s="11"/>
      <c r="AA971" s="11"/>
      <c r="AB971" s="11"/>
      <c r="AC971" s="11"/>
      <c r="AD971" s="11"/>
    </row>
    <row r="972" spans="1:30" ht="16" x14ac:dyDescent="0.2">
      <c r="A972" s="11"/>
      <c r="B972" s="12"/>
      <c r="C972" s="12"/>
      <c r="D972" s="12"/>
      <c r="E972" s="12"/>
      <c r="F972" s="12"/>
      <c r="G972" s="12"/>
      <c r="H972" s="12"/>
      <c r="I972" s="12"/>
      <c r="J972" s="12"/>
      <c r="K972" s="12"/>
      <c r="L972" s="12"/>
      <c r="M972" s="11"/>
      <c r="N972" s="11"/>
      <c r="O972" s="11"/>
      <c r="P972" s="11"/>
      <c r="Q972" s="11"/>
      <c r="R972" s="11"/>
      <c r="S972" s="11"/>
      <c r="T972" s="11"/>
      <c r="U972" s="11"/>
      <c r="V972" s="11"/>
      <c r="W972" s="11"/>
      <c r="X972" s="11"/>
      <c r="Y972" s="11"/>
      <c r="Z972" s="11"/>
      <c r="AA972" s="11"/>
      <c r="AB972" s="11"/>
      <c r="AC972" s="11"/>
      <c r="AD972" s="11"/>
    </row>
    <row r="973" spans="1:30" ht="16" x14ac:dyDescent="0.2">
      <c r="A973" s="11"/>
      <c r="B973" s="12"/>
      <c r="C973" s="12"/>
      <c r="D973" s="12"/>
      <c r="E973" s="12"/>
      <c r="F973" s="12"/>
      <c r="G973" s="12"/>
      <c r="H973" s="12"/>
      <c r="I973" s="12"/>
      <c r="J973" s="12"/>
      <c r="K973" s="12"/>
      <c r="L973" s="12"/>
      <c r="M973" s="11"/>
      <c r="N973" s="11"/>
      <c r="O973" s="11"/>
      <c r="P973" s="11"/>
      <c r="Q973" s="11"/>
      <c r="R973" s="11"/>
      <c r="S973" s="11"/>
      <c r="T973" s="11"/>
      <c r="U973" s="11"/>
      <c r="V973" s="11"/>
      <c r="W973" s="11"/>
      <c r="X973" s="11"/>
      <c r="Y973" s="11"/>
      <c r="Z973" s="11"/>
      <c r="AA973" s="11"/>
      <c r="AB973" s="11"/>
      <c r="AC973" s="11"/>
      <c r="AD973" s="11"/>
    </row>
    <row r="974" spans="1:30" ht="16" x14ac:dyDescent="0.2">
      <c r="A974" s="11"/>
      <c r="B974" s="12"/>
      <c r="C974" s="12"/>
      <c r="D974" s="12"/>
      <c r="E974" s="12"/>
      <c r="F974" s="12"/>
      <c r="G974" s="12"/>
      <c r="H974" s="12"/>
      <c r="I974" s="12"/>
      <c r="J974" s="12"/>
      <c r="K974" s="12"/>
      <c r="L974" s="12"/>
      <c r="M974" s="11"/>
      <c r="N974" s="11"/>
      <c r="O974" s="11"/>
      <c r="P974" s="11"/>
      <c r="Q974" s="11"/>
      <c r="R974" s="11"/>
      <c r="S974" s="11"/>
      <c r="T974" s="11"/>
      <c r="U974" s="11"/>
      <c r="V974" s="11"/>
      <c r="W974" s="11"/>
      <c r="X974" s="11"/>
      <c r="Y974" s="11"/>
      <c r="Z974" s="11"/>
      <c r="AA974" s="11"/>
      <c r="AB974" s="11"/>
      <c r="AC974" s="11"/>
      <c r="AD974" s="11"/>
    </row>
    <row r="975" spans="1:30" ht="16" x14ac:dyDescent="0.2">
      <c r="A975" s="11"/>
      <c r="B975" s="12"/>
      <c r="C975" s="12"/>
      <c r="D975" s="12"/>
      <c r="E975" s="12"/>
      <c r="F975" s="12"/>
      <c r="G975" s="12"/>
      <c r="H975" s="12"/>
      <c r="I975" s="12"/>
      <c r="J975" s="12"/>
      <c r="K975" s="12"/>
      <c r="L975" s="12"/>
      <c r="M975" s="11"/>
      <c r="N975" s="11"/>
      <c r="O975" s="11"/>
      <c r="P975" s="11"/>
      <c r="Q975" s="11"/>
      <c r="R975" s="11"/>
      <c r="S975" s="11"/>
      <c r="T975" s="11"/>
      <c r="U975" s="11"/>
      <c r="V975" s="11"/>
      <c r="W975" s="11"/>
      <c r="X975" s="11"/>
      <c r="Y975" s="11"/>
      <c r="Z975" s="11"/>
      <c r="AA975" s="11"/>
      <c r="AB975" s="11"/>
      <c r="AC975" s="11"/>
      <c r="AD975" s="11"/>
    </row>
    <row r="976" spans="1:30" ht="16" x14ac:dyDescent="0.2">
      <c r="A976" s="11"/>
      <c r="B976" s="12"/>
      <c r="C976" s="12"/>
      <c r="D976" s="12"/>
      <c r="E976" s="12"/>
      <c r="F976" s="12"/>
      <c r="G976" s="12"/>
      <c r="H976" s="12"/>
      <c r="I976" s="12"/>
      <c r="J976" s="12"/>
      <c r="K976" s="12"/>
      <c r="L976" s="12"/>
      <c r="M976" s="11"/>
      <c r="N976" s="11"/>
      <c r="O976" s="11"/>
      <c r="P976" s="11"/>
      <c r="Q976" s="11"/>
      <c r="R976" s="11"/>
      <c r="S976" s="11"/>
      <c r="T976" s="11"/>
      <c r="U976" s="11"/>
      <c r="V976" s="11"/>
      <c r="W976" s="11"/>
      <c r="X976" s="11"/>
      <c r="Y976" s="11"/>
      <c r="Z976" s="11"/>
      <c r="AA976" s="11"/>
      <c r="AB976" s="11"/>
      <c r="AC976" s="11"/>
      <c r="AD976" s="11"/>
    </row>
    <row r="977" spans="1:30" ht="16" x14ac:dyDescent="0.2">
      <c r="A977" s="11"/>
      <c r="B977" s="12"/>
      <c r="C977" s="12"/>
      <c r="D977" s="12"/>
      <c r="E977" s="12"/>
      <c r="F977" s="12"/>
      <c r="G977" s="12"/>
      <c r="H977" s="12"/>
      <c r="I977" s="12"/>
      <c r="J977" s="12"/>
      <c r="K977" s="12"/>
      <c r="L977" s="12"/>
      <c r="M977" s="11"/>
      <c r="N977" s="11"/>
      <c r="O977" s="11"/>
      <c r="P977" s="11"/>
      <c r="Q977" s="11"/>
      <c r="R977" s="11"/>
      <c r="S977" s="11"/>
      <c r="T977" s="11"/>
      <c r="U977" s="11"/>
      <c r="V977" s="11"/>
      <c r="W977" s="11"/>
      <c r="X977" s="11"/>
      <c r="Y977" s="11"/>
      <c r="Z977" s="11"/>
      <c r="AA977" s="11"/>
      <c r="AB977" s="11"/>
      <c r="AC977" s="11"/>
      <c r="AD977" s="11"/>
    </row>
    <row r="978" spans="1:30" ht="16" x14ac:dyDescent="0.2">
      <c r="A978" s="11"/>
      <c r="B978" s="12"/>
      <c r="C978" s="12"/>
      <c r="D978" s="12"/>
      <c r="E978" s="12"/>
      <c r="F978" s="12"/>
      <c r="G978" s="12"/>
      <c r="H978" s="12"/>
      <c r="I978" s="12"/>
      <c r="J978" s="12"/>
      <c r="K978" s="12"/>
      <c r="L978" s="12"/>
      <c r="M978" s="11"/>
      <c r="N978" s="11"/>
      <c r="O978" s="11"/>
      <c r="P978" s="11"/>
      <c r="Q978" s="11"/>
      <c r="R978" s="11"/>
      <c r="S978" s="11"/>
      <c r="T978" s="11"/>
      <c r="U978" s="11"/>
      <c r="V978" s="11"/>
      <c r="W978" s="11"/>
      <c r="X978" s="11"/>
      <c r="Y978" s="11"/>
      <c r="Z978" s="11"/>
      <c r="AA978" s="11"/>
      <c r="AB978" s="11"/>
      <c r="AC978" s="11"/>
      <c r="AD978" s="11"/>
    </row>
    <row r="979" spans="1:30" ht="16" x14ac:dyDescent="0.2">
      <c r="A979" s="11"/>
      <c r="B979" s="12"/>
      <c r="C979" s="12"/>
      <c r="D979" s="12"/>
      <c r="E979" s="12"/>
      <c r="F979" s="12"/>
      <c r="G979" s="12"/>
      <c r="H979" s="12"/>
      <c r="I979" s="12"/>
      <c r="J979" s="12"/>
      <c r="K979" s="12"/>
      <c r="L979" s="12"/>
      <c r="M979" s="11"/>
      <c r="N979" s="11"/>
      <c r="O979" s="11"/>
      <c r="P979" s="11"/>
      <c r="Q979" s="11"/>
      <c r="R979" s="11"/>
      <c r="S979" s="11"/>
      <c r="T979" s="11"/>
      <c r="U979" s="11"/>
      <c r="V979" s="11"/>
      <c r="W979" s="11"/>
      <c r="X979" s="11"/>
      <c r="Y979" s="11"/>
      <c r="Z979" s="11"/>
      <c r="AA979" s="11"/>
      <c r="AB979" s="11"/>
      <c r="AC979" s="11"/>
      <c r="AD979" s="11"/>
    </row>
    <row r="980" spans="1:30" ht="16" x14ac:dyDescent="0.2">
      <c r="A980" s="11"/>
      <c r="B980" s="12"/>
      <c r="C980" s="12"/>
      <c r="D980" s="12"/>
      <c r="E980" s="12"/>
      <c r="F980" s="12"/>
      <c r="G980" s="12"/>
      <c r="H980" s="12"/>
      <c r="I980" s="12"/>
      <c r="J980" s="12"/>
      <c r="K980" s="12"/>
      <c r="L980" s="12"/>
      <c r="M980" s="11"/>
      <c r="N980" s="11"/>
      <c r="O980" s="11"/>
      <c r="P980" s="11"/>
      <c r="Q980" s="11"/>
      <c r="R980" s="11"/>
      <c r="S980" s="11"/>
      <c r="T980" s="11"/>
      <c r="U980" s="11"/>
      <c r="V980" s="11"/>
      <c r="W980" s="11"/>
      <c r="X980" s="11"/>
      <c r="Y980" s="11"/>
      <c r="Z980" s="11"/>
      <c r="AA980" s="11"/>
      <c r="AB980" s="11"/>
      <c r="AC980" s="11"/>
      <c r="AD980" s="11"/>
    </row>
    <row r="981" spans="1:30" ht="16" x14ac:dyDescent="0.2">
      <c r="A981" s="11"/>
      <c r="B981" s="12"/>
      <c r="C981" s="12"/>
      <c r="D981" s="12"/>
      <c r="E981" s="12"/>
      <c r="F981" s="12"/>
      <c r="G981" s="12"/>
      <c r="H981" s="12"/>
      <c r="I981" s="12"/>
      <c r="J981" s="12"/>
      <c r="K981" s="12"/>
      <c r="L981" s="12"/>
      <c r="M981" s="11"/>
      <c r="N981" s="11"/>
      <c r="O981" s="11"/>
      <c r="P981" s="11"/>
      <c r="Q981" s="11"/>
      <c r="R981" s="11"/>
      <c r="S981" s="11"/>
      <c r="T981" s="11"/>
      <c r="U981" s="11"/>
      <c r="V981" s="11"/>
      <c r="W981" s="11"/>
      <c r="X981" s="11"/>
      <c r="Y981" s="11"/>
      <c r="Z981" s="11"/>
      <c r="AA981" s="11"/>
      <c r="AB981" s="11"/>
      <c r="AC981" s="11"/>
      <c r="AD981" s="11"/>
    </row>
    <row r="982" spans="1:30" ht="16" x14ac:dyDescent="0.2">
      <c r="A982" s="11"/>
      <c r="B982" s="12"/>
      <c r="C982" s="12"/>
      <c r="D982" s="12"/>
      <c r="E982" s="12"/>
      <c r="F982" s="12"/>
      <c r="G982" s="12"/>
      <c r="H982" s="12"/>
      <c r="I982" s="12"/>
      <c r="J982" s="12"/>
      <c r="K982" s="12"/>
      <c r="L982" s="12"/>
      <c r="M982" s="11"/>
      <c r="N982" s="11"/>
      <c r="O982" s="11"/>
      <c r="P982" s="11"/>
      <c r="Q982" s="11"/>
      <c r="R982" s="11"/>
      <c r="S982" s="11"/>
      <c r="T982" s="11"/>
      <c r="U982" s="11"/>
      <c r="V982" s="11"/>
      <c r="W982" s="11"/>
      <c r="X982" s="11"/>
      <c r="Y982" s="11"/>
      <c r="Z982" s="11"/>
      <c r="AA982" s="11"/>
      <c r="AB982" s="11"/>
      <c r="AC982" s="11"/>
      <c r="AD982" s="11"/>
    </row>
    <row r="983" spans="1:30" ht="16" x14ac:dyDescent="0.2">
      <c r="A983" s="11"/>
      <c r="B983" s="12"/>
      <c r="C983" s="12"/>
      <c r="D983" s="12"/>
      <c r="E983" s="12"/>
      <c r="F983" s="12"/>
      <c r="G983" s="12"/>
      <c r="H983" s="12"/>
      <c r="I983" s="12"/>
      <c r="J983" s="12"/>
      <c r="K983" s="12"/>
      <c r="L983" s="12"/>
      <c r="M983" s="11"/>
      <c r="N983" s="11"/>
      <c r="O983" s="11"/>
      <c r="P983" s="11"/>
      <c r="Q983" s="11"/>
      <c r="R983" s="11"/>
      <c r="S983" s="11"/>
      <c r="T983" s="11"/>
      <c r="U983" s="11"/>
      <c r="V983" s="11"/>
      <c r="W983" s="11"/>
      <c r="X983" s="11"/>
      <c r="Y983" s="11"/>
      <c r="Z983" s="11"/>
      <c r="AA983" s="11"/>
      <c r="AB983" s="11"/>
      <c r="AC983" s="11"/>
      <c r="AD983" s="11"/>
    </row>
    <row r="984" spans="1:30" ht="16" x14ac:dyDescent="0.2">
      <c r="A984" s="11"/>
      <c r="B984" s="12"/>
      <c r="C984" s="12"/>
      <c r="D984" s="12"/>
      <c r="E984" s="12"/>
      <c r="F984" s="12"/>
      <c r="G984" s="12"/>
      <c r="H984" s="12"/>
      <c r="I984" s="12"/>
      <c r="J984" s="12"/>
      <c r="K984" s="12"/>
      <c r="L984" s="12"/>
      <c r="M984" s="11"/>
      <c r="N984" s="11"/>
      <c r="O984" s="11"/>
      <c r="P984" s="11"/>
      <c r="Q984" s="11"/>
      <c r="R984" s="11"/>
      <c r="S984" s="11"/>
      <c r="T984" s="11"/>
      <c r="U984" s="11"/>
      <c r="V984" s="11"/>
      <c r="W984" s="11"/>
      <c r="X984" s="11"/>
      <c r="Y984" s="11"/>
      <c r="Z984" s="11"/>
      <c r="AA984" s="11"/>
      <c r="AB984" s="11"/>
      <c r="AC984" s="11"/>
      <c r="AD984" s="11"/>
    </row>
    <row r="985" spans="1:30" ht="16" x14ac:dyDescent="0.2">
      <c r="A985" s="11"/>
      <c r="B985" s="12"/>
      <c r="C985" s="12"/>
      <c r="D985" s="12"/>
      <c r="E985" s="12"/>
      <c r="F985" s="12"/>
      <c r="G985" s="12"/>
      <c r="H985" s="12"/>
      <c r="I985" s="12"/>
      <c r="J985" s="12"/>
      <c r="K985" s="12"/>
      <c r="L985" s="12"/>
      <c r="M985" s="11"/>
      <c r="N985" s="11"/>
      <c r="O985" s="11"/>
      <c r="P985" s="11"/>
      <c r="Q985" s="11"/>
      <c r="R985" s="11"/>
      <c r="S985" s="11"/>
      <c r="T985" s="11"/>
      <c r="U985" s="11"/>
      <c r="V985" s="11"/>
      <c r="W985" s="11"/>
      <c r="X985" s="11"/>
      <c r="Y985" s="11"/>
      <c r="Z985" s="11"/>
      <c r="AA985" s="11"/>
      <c r="AB985" s="11"/>
      <c r="AC985" s="11"/>
      <c r="AD985" s="11"/>
    </row>
    <row r="986" spans="1:30" ht="16" x14ac:dyDescent="0.2">
      <c r="A986" s="11"/>
      <c r="B986" s="12"/>
      <c r="C986" s="12"/>
      <c r="D986" s="12"/>
      <c r="E986" s="12"/>
      <c r="F986" s="12"/>
      <c r="G986" s="12"/>
      <c r="H986" s="12"/>
      <c r="I986" s="12"/>
      <c r="J986" s="12"/>
      <c r="K986" s="12"/>
      <c r="L986" s="12"/>
      <c r="M986" s="11"/>
      <c r="N986" s="11"/>
      <c r="O986" s="11"/>
      <c r="P986" s="11"/>
      <c r="Q986" s="11"/>
      <c r="R986" s="11"/>
      <c r="S986" s="11"/>
      <c r="T986" s="11"/>
      <c r="U986" s="11"/>
      <c r="V986" s="11"/>
      <c r="W986" s="11"/>
      <c r="X986" s="11"/>
      <c r="Y986" s="11"/>
      <c r="Z986" s="11"/>
      <c r="AA986" s="11"/>
      <c r="AB986" s="11"/>
      <c r="AC986" s="11"/>
      <c r="AD986" s="11"/>
    </row>
    <row r="987" spans="1:30" ht="16" x14ac:dyDescent="0.2">
      <c r="A987" s="11"/>
      <c r="B987" s="12"/>
      <c r="C987" s="12"/>
      <c r="D987" s="12"/>
      <c r="E987" s="12"/>
      <c r="F987" s="12"/>
      <c r="G987" s="12"/>
      <c r="H987" s="12"/>
      <c r="I987" s="12"/>
      <c r="J987" s="12"/>
      <c r="K987" s="12"/>
      <c r="L987" s="12"/>
      <c r="M987" s="11"/>
      <c r="N987" s="11"/>
      <c r="O987" s="11"/>
      <c r="P987" s="11"/>
      <c r="Q987" s="11"/>
      <c r="R987" s="11"/>
      <c r="S987" s="11"/>
      <c r="T987" s="11"/>
      <c r="U987" s="11"/>
      <c r="V987" s="11"/>
      <c r="W987" s="11"/>
      <c r="X987" s="11"/>
      <c r="Y987" s="11"/>
      <c r="Z987" s="11"/>
      <c r="AA987" s="11"/>
      <c r="AB987" s="11"/>
      <c r="AC987" s="11"/>
      <c r="AD987" s="11"/>
    </row>
    <row r="988" spans="1:30" ht="16" x14ac:dyDescent="0.2">
      <c r="A988" s="11"/>
      <c r="B988" s="12"/>
      <c r="C988" s="12"/>
      <c r="D988" s="12"/>
      <c r="E988" s="12"/>
      <c r="F988" s="12"/>
      <c r="G988" s="12"/>
      <c r="H988" s="12"/>
      <c r="I988" s="12"/>
      <c r="J988" s="12"/>
      <c r="K988" s="12"/>
      <c r="L988" s="12"/>
      <c r="M988" s="11"/>
      <c r="N988" s="11"/>
      <c r="O988" s="11"/>
      <c r="P988" s="11"/>
      <c r="Q988" s="11"/>
      <c r="R988" s="11"/>
      <c r="S988" s="11"/>
      <c r="T988" s="11"/>
      <c r="U988" s="11"/>
      <c r="V988" s="11"/>
      <c r="W988" s="11"/>
      <c r="X988" s="11"/>
      <c r="Y988" s="11"/>
      <c r="Z988" s="11"/>
      <c r="AA988" s="11"/>
      <c r="AB988" s="11"/>
      <c r="AC988" s="11"/>
      <c r="AD988" s="11"/>
    </row>
    <row r="989" spans="1:30" ht="16" x14ac:dyDescent="0.2">
      <c r="A989" s="11"/>
      <c r="B989" s="12"/>
      <c r="C989" s="12"/>
      <c r="D989" s="12"/>
      <c r="E989" s="12"/>
      <c r="F989" s="12"/>
      <c r="G989" s="12"/>
      <c r="H989" s="12"/>
      <c r="I989" s="12"/>
      <c r="J989" s="12"/>
      <c r="K989" s="12"/>
      <c r="L989" s="12"/>
      <c r="M989" s="11"/>
      <c r="N989" s="11"/>
      <c r="O989" s="11"/>
      <c r="P989" s="11"/>
      <c r="Q989" s="11"/>
      <c r="R989" s="11"/>
      <c r="S989" s="11"/>
      <c r="T989" s="11"/>
      <c r="U989" s="11"/>
      <c r="V989" s="11"/>
      <c r="W989" s="11"/>
      <c r="X989" s="11"/>
      <c r="Y989" s="11"/>
      <c r="Z989" s="11"/>
      <c r="AA989" s="11"/>
      <c r="AB989" s="11"/>
      <c r="AC989" s="11"/>
      <c r="AD989" s="11"/>
    </row>
    <row r="990" spans="1:30" ht="16" x14ac:dyDescent="0.2">
      <c r="A990" s="11"/>
      <c r="B990" s="12"/>
      <c r="C990" s="12"/>
      <c r="D990" s="12"/>
      <c r="E990" s="12"/>
      <c r="F990" s="12"/>
      <c r="G990" s="12"/>
      <c r="H990" s="12"/>
      <c r="I990" s="12"/>
      <c r="J990" s="12"/>
      <c r="K990" s="12"/>
      <c r="L990" s="12"/>
      <c r="M990" s="11"/>
      <c r="N990" s="11"/>
      <c r="O990" s="11"/>
      <c r="P990" s="11"/>
      <c r="Q990" s="11"/>
      <c r="R990" s="11"/>
      <c r="S990" s="11"/>
      <c r="T990" s="11"/>
      <c r="U990" s="11"/>
      <c r="V990" s="11"/>
      <c r="W990" s="11"/>
      <c r="X990" s="11"/>
      <c r="Y990" s="11"/>
      <c r="Z990" s="11"/>
      <c r="AA990" s="11"/>
      <c r="AB990" s="11"/>
      <c r="AC990" s="11"/>
      <c r="AD990" s="11"/>
    </row>
    <row r="991" spans="1:30" ht="16" x14ac:dyDescent="0.2">
      <c r="A991" s="11"/>
      <c r="B991" s="12"/>
      <c r="C991" s="12"/>
      <c r="D991" s="12"/>
      <c r="E991" s="12"/>
      <c r="F991" s="12"/>
      <c r="G991" s="12"/>
      <c r="H991" s="12"/>
      <c r="I991" s="12"/>
      <c r="J991" s="12"/>
      <c r="K991" s="12"/>
      <c r="L991" s="12"/>
      <c r="M991" s="11"/>
      <c r="N991" s="11"/>
      <c r="O991" s="11"/>
      <c r="P991" s="11"/>
      <c r="Q991" s="11"/>
      <c r="R991" s="11"/>
      <c r="S991" s="11"/>
      <c r="T991" s="11"/>
      <c r="U991" s="11"/>
      <c r="V991" s="11"/>
      <c r="W991" s="11"/>
      <c r="X991" s="11"/>
      <c r="Y991" s="11"/>
      <c r="Z991" s="11"/>
      <c r="AA991" s="11"/>
      <c r="AB991" s="11"/>
      <c r="AC991" s="11"/>
      <c r="AD991" s="11"/>
    </row>
    <row r="992" spans="1:30" ht="16" x14ac:dyDescent="0.2">
      <c r="A992" s="11"/>
      <c r="B992" s="12"/>
      <c r="C992" s="12"/>
      <c r="D992" s="12"/>
      <c r="E992" s="12"/>
      <c r="F992" s="12"/>
      <c r="G992" s="12"/>
      <c r="H992" s="12"/>
      <c r="I992" s="12"/>
      <c r="J992" s="12"/>
      <c r="K992" s="12"/>
      <c r="L992" s="12"/>
      <c r="M992" s="11"/>
      <c r="N992" s="11"/>
      <c r="O992" s="11"/>
      <c r="P992" s="11"/>
      <c r="Q992" s="11"/>
      <c r="R992" s="11"/>
      <c r="S992" s="11"/>
      <c r="T992" s="11"/>
      <c r="U992" s="11"/>
      <c r="V992" s="11"/>
      <c r="W992" s="11"/>
      <c r="X992" s="11"/>
      <c r="Y992" s="11"/>
      <c r="Z992" s="11"/>
      <c r="AA992" s="11"/>
      <c r="AB992" s="11"/>
      <c r="AC992" s="11"/>
      <c r="AD992" s="11"/>
    </row>
    <row r="993" spans="1:30" ht="16" x14ac:dyDescent="0.2">
      <c r="A993" s="11"/>
      <c r="B993" s="12"/>
      <c r="C993" s="12"/>
      <c r="D993" s="12"/>
      <c r="E993" s="12"/>
      <c r="F993" s="12"/>
      <c r="G993" s="12"/>
      <c r="H993" s="12"/>
      <c r="I993" s="12"/>
      <c r="J993" s="12"/>
      <c r="K993" s="12"/>
      <c r="L993" s="12"/>
      <c r="M993" s="11"/>
      <c r="N993" s="11"/>
      <c r="O993" s="11"/>
      <c r="P993" s="11"/>
      <c r="Q993" s="11"/>
      <c r="R993" s="11"/>
      <c r="S993" s="11"/>
      <c r="T993" s="11"/>
      <c r="U993" s="11"/>
      <c r="V993" s="11"/>
      <c r="W993" s="11"/>
      <c r="X993" s="11"/>
      <c r="Y993" s="11"/>
      <c r="Z993" s="11"/>
      <c r="AA993" s="11"/>
      <c r="AB993" s="11"/>
      <c r="AC993" s="11"/>
      <c r="AD993" s="11"/>
    </row>
    <row r="994" spans="1:30" ht="16" x14ac:dyDescent="0.2">
      <c r="A994" s="11"/>
      <c r="B994" s="12"/>
      <c r="C994" s="12"/>
      <c r="D994" s="12"/>
      <c r="E994" s="12"/>
      <c r="F994" s="12"/>
      <c r="G994" s="12"/>
      <c r="H994" s="12"/>
      <c r="I994" s="12"/>
      <c r="J994" s="12"/>
      <c r="K994" s="12"/>
      <c r="L994" s="12"/>
      <c r="M994" s="11"/>
      <c r="N994" s="11"/>
      <c r="O994" s="11"/>
      <c r="P994" s="11"/>
      <c r="Q994" s="11"/>
      <c r="R994" s="11"/>
      <c r="S994" s="11"/>
      <c r="T994" s="11"/>
      <c r="U994" s="11"/>
      <c r="V994" s="11"/>
      <c r="W994" s="11"/>
      <c r="X994" s="11"/>
      <c r="Y994" s="11"/>
      <c r="Z994" s="11"/>
      <c r="AA994" s="11"/>
      <c r="AB994" s="11"/>
      <c r="AC994" s="11"/>
      <c r="AD994" s="11"/>
    </row>
    <row r="995" spans="1:30" ht="16" x14ac:dyDescent="0.2">
      <c r="A995" s="11"/>
      <c r="B995" s="12"/>
      <c r="C995" s="12"/>
      <c r="D995" s="12"/>
      <c r="E995" s="12"/>
      <c r="F995" s="12"/>
      <c r="G995" s="12"/>
      <c r="H995" s="12"/>
      <c r="I995" s="12"/>
      <c r="J995" s="12"/>
      <c r="K995" s="12"/>
      <c r="L995" s="12"/>
      <c r="M995" s="11"/>
      <c r="N995" s="11"/>
      <c r="O995" s="11"/>
      <c r="P995" s="11"/>
      <c r="Q995" s="11"/>
      <c r="R995" s="11"/>
      <c r="S995" s="11"/>
      <c r="T995" s="11"/>
      <c r="U995" s="11"/>
      <c r="V995" s="11"/>
      <c r="W995" s="11"/>
      <c r="X995" s="11"/>
      <c r="Y995" s="11"/>
      <c r="Z995" s="11"/>
      <c r="AA995" s="11"/>
      <c r="AB995" s="11"/>
      <c r="AC995" s="11"/>
      <c r="AD995" s="11"/>
    </row>
    <row r="996" spans="1:30" ht="16" x14ac:dyDescent="0.2">
      <c r="A996" s="11"/>
      <c r="B996" s="12"/>
      <c r="C996" s="12"/>
      <c r="D996" s="12"/>
      <c r="E996" s="12"/>
      <c r="F996" s="12"/>
      <c r="G996" s="12"/>
      <c r="H996" s="12"/>
      <c r="I996" s="12"/>
      <c r="J996" s="12"/>
      <c r="K996" s="12"/>
      <c r="L996" s="12"/>
      <c r="M996" s="11"/>
      <c r="N996" s="11"/>
      <c r="O996" s="11"/>
      <c r="P996" s="11"/>
      <c r="Q996" s="11"/>
      <c r="R996" s="11"/>
      <c r="S996" s="11"/>
      <c r="T996" s="11"/>
      <c r="U996" s="11"/>
      <c r="V996" s="11"/>
      <c r="W996" s="11"/>
      <c r="X996" s="11"/>
      <c r="Y996" s="11"/>
      <c r="Z996" s="11"/>
      <c r="AA996" s="11"/>
      <c r="AB996" s="11"/>
      <c r="AC996" s="11"/>
      <c r="AD996" s="11"/>
    </row>
    <row r="997" spans="1:30" ht="16" x14ac:dyDescent="0.2">
      <c r="A997" s="11"/>
      <c r="B997" s="12"/>
      <c r="C997" s="12"/>
      <c r="D997" s="12"/>
      <c r="E997" s="12"/>
      <c r="F997" s="12"/>
      <c r="G997" s="12"/>
      <c r="H997" s="12"/>
      <c r="I997" s="12"/>
      <c r="J997" s="12"/>
      <c r="K997" s="12"/>
      <c r="L997" s="12"/>
      <c r="M997" s="11"/>
      <c r="N997" s="11"/>
      <c r="O997" s="11"/>
      <c r="P997" s="11"/>
      <c r="Q997" s="11"/>
      <c r="R997" s="11"/>
      <c r="S997" s="11"/>
      <c r="T997" s="11"/>
      <c r="U997" s="11"/>
      <c r="V997" s="11"/>
      <c r="W997" s="11"/>
      <c r="X997" s="11"/>
      <c r="Y997" s="11"/>
      <c r="Z997" s="11"/>
      <c r="AA997" s="11"/>
      <c r="AB997" s="11"/>
      <c r="AC997" s="11"/>
      <c r="AD997" s="11"/>
    </row>
    <row r="998" spans="1:30" ht="16" x14ac:dyDescent="0.2">
      <c r="A998" s="11"/>
      <c r="B998" s="12"/>
      <c r="C998" s="12"/>
      <c r="D998" s="12"/>
      <c r="E998" s="12"/>
      <c r="F998" s="12"/>
      <c r="G998" s="12"/>
      <c r="H998" s="12"/>
      <c r="I998" s="12"/>
      <c r="J998" s="12"/>
      <c r="K998" s="12"/>
      <c r="L998" s="12"/>
      <c r="M998" s="11"/>
      <c r="N998" s="11"/>
      <c r="O998" s="11"/>
      <c r="P998" s="11"/>
      <c r="Q998" s="11"/>
      <c r="R998" s="11"/>
      <c r="S998" s="11"/>
      <c r="T998" s="11"/>
      <c r="U998" s="11"/>
      <c r="V998" s="11"/>
      <c r="W998" s="11"/>
      <c r="X998" s="11"/>
      <c r="Y998" s="11"/>
      <c r="Z998" s="11"/>
      <c r="AA998" s="11"/>
      <c r="AB998" s="11"/>
      <c r="AC998" s="11"/>
      <c r="AD998" s="11"/>
    </row>
    <row r="999" spans="1:30" ht="16" x14ac:dyDescent="0.2">
      <c r="A999" s="11"/>
      <c r="B999" s="12"/>
      <c r="C999" s="12"/>
      <c r="D999" s="12"/>
      <c r="E999" s="12"/>
      <c r="F999" s="12"/>
      <c r="G999" s="12"/>
      <c r="H999" s="12"/>
      <c r="I999" s="12"/>
      <c r="J999" s="12"/>
      <c r="K999" s="12"/>
      <c r="L999" s="12"/>
      <c r="M999" s="11"/>
      <c r="N999" s="11"/>
      <c r="O999" s="11"/>
      <c r="P999" s="11"/>
      <c r="Q999" s="11"/>
      <c r="R999" s="11"/>
      <c r="S999" s="11"/>
      <c r="T999" s="11"/>
      <c r="U999" s="11"/>
      <c r="V999" s="11"/>
      <c r="W999" s="11"/>
      <c r="X999" s="11"/>
      <c r="Y999" s="11"/>
      <c r="Z999" s="11"/>
      <c r="AA999" s="11"/>
      <c r="AB999" s="11"/>
      <c r="AC999" s="11"/>
      <c r="AD999" s="11"/>
    </row>
    <row r="1000" spans="1:30" ht="16" x14ac:dyDescent="0.2">
      <c r="A1000" s="11"/>
      <c r="B1000" s="12"/>
      <c r="C1000" s="12"/>
      <c r="D1000" s="12"/>
      <c r="E1000" s="12"/>
      <c r="F1000" s="12"/>
      <c r="G1000" s="12"/>
      <c r="H1000" s="12"/>
      <c r="I1000" s="12"/>
      <c r="J1000" s="12"/>
      <c r="K1000" s="12"/>
      <c r="L1000" s="12"/>
      <c r="M1000" s="11"/>
      <c r="N1000" s="11"/>
      <c r="O1000" s="11"/>
      <c r="P1000" s="11"/>
      <c r="Q1000" s="11"/>
      <c r="R1000" s="11"/>
      <c r="S1000" s="11"/>
      <c r="T1000" s="11"/>
      <c r="U1000" s="11"/>
      <c r="V1000" s="11"/>
      <c r="W1000" s="11"/>
      <c r="X1000" s="11"/>
      <c r="Y1000" s="11"/>
      <c r="Z1000" s="11"/>
      <c r="AA1000" s="11"/>
      <c r="AB1000" s="11"/>
      <c r="AC1000" s="11"/>
      <c r="AD1000" s="11"/>
    </row>
    <row r="1001" spans="1:30" ht="16" x14ac:dyDescent="0.2">
      <c r="A1001" s="11"/>
      <c r="B1001" s="12"/>
      <c r="C1001" s="12"/>
      <c r="D1001" s="12"/>
      <c r="E1001" s="12"/>
      <c r="F1001" s="12"/>
      <c r="G1001" s="12"/>
      <c r="H1001" s="12"/>
      <c r="I1001" s="12"/>
      <c r="J1001" s="12"/>
      <c r="K1001" s="12"/>
      <c r="L1001" s="12"/>
      <c r="M1001" s="11"/>
      <c r="N1001" s="11"/>
      <c r="O1001" s="11"/>
      <c r="P1001" s="11"/>
      <c r="Q1001" s="11"/>
      <c r="R1001" s="11"/>
      <c r="S1001" s="11"/>
      <c r="T1001" s="11"/>
      <c r="U1001" s="11"/>
      <c r="V1001" s="11"/>
      <c r="W1001" s="11"/>
      <c r="X1001" s="11"/>
      <c r="Y1001" s="11"/>
      <c r="Z1001" s="11"/>
      <c r="AA1001" s="11"/>
      <c r="AB1001" s="11"/>
      <c r="AC1001" s="11"/>
      <c r="AD1001" s="11"/>
    </row>
    <row r="1002" spans="1:30" ht="16" x14ac:dyDescent="0.2">
      <c r="A1002" s="11"/>
      <c r="B1002" s="12"/>
      <c r="C1002" s="12"/>
      <c r="D1002" s="12"/>
      <c r="E1002" s="12"/>
      <c r="F1002" s="12"/>
      <c r="G1002" s="12"/>
      <c r="H1002" s="12"/>
      <c r="I1002" s="12"/>
      <c r="J1002" s="12"/>
      <c r="K1002" s="12"/>
      <c r="L1002" s="12"/>
      <c r="M1002" s="11"/>
      <c r="N1002" s="11"/>
      <c r="O1002" s="11"/>
      <c r="P1002" s="11"/>
      <c r="Q1002" s="11"/>
      <c r="R1002" s="11"/>
      <c r="S1002" s="11"/>
      <c r="T1002" s="11"/>
      <c r="U1002" s="11"/>
      <c r="V1002" s="11"/>
      <c r="W1002" s="11"/>
      <c r="X1002" s="11"/>
      <c r="Y1002" s="11"/>
      <c r="Z1002" s="11"/>
      <c r="AA1002" s="11"/>
      <c r="AB1002" s="11"/>
      <c r="AC1002" s="11"/>
      <c r="AD1002" s="11"/>
    </row>
    <row r="1003" spans="1:30" ht="16" x14ac:dyDescent="0.2">
      <c r="A1003" s="11"/>
      <c r="B1003" s="12"/>
      <c r="C1003" s="12"/>
      <c r="D1003" s="12"/>
      <c r="E1003" s="12"/>
      <c r="F1003" s="12"/>
      <c r="G1003" s="12"/>
      <c r="H1003" s="12"/>
      <c r="I1003" s="12"/>
      <c r="J1003" s="12"/>
      <c r="K1003" s="12"/>
      <c r="L1003" s="12"/>
      <c r="M1003" s="11"/>
      <c r="N1003" s="11"/>
      <c r="O1003" s="11"/>
      <c r="P1003" s="11"/>
      <c r="Q1003" s="11"/>
      <c r="R1003" s="11"/>
      <c r="S1003" s="11"/>
      <c r="T1003" s="11"/>
      <c r="U1003" s="11"/>
      <c r="V1003" s="11"/>
      <c r="W1003" s="11"/>
      <c r="X1003" s="11"/>
      <c r="Y1003" s="11"/>
      <c r="Z1003" s="11"/>
      <c r="AA1003" s="11"/>
      <c r="AB1003" s="11"/>
      <c r="AC1003" s="11"/>
      <c r="AD1003" s="11"/>
    </row>
    <row r="1004" spans="1:30" ht="16" x14ac:dyDescent="0.2">
      <c r="A1004" s="11"/>
      <c r="B1004" s="12"/>
      <c r="C1004" s="12"/>
      <c r="D1004" s="12"/>
      <c r="E1004" s="12"/>
      <c r="F1004" s="12"/>
      <c r="G1004" s="12"/>
      <c r="H1004" s="12"/>
      <c r="I1004" s="12"/>
      <c r="J1004" s="12"/>
      <c r="K1004" s="12"/>
      <c r="L1004" s="12"/>
      <c r="M1004" s="11"/>
      <c r="N1004" s="11"/>
      <c r="O1004" s="11"/>
      <c r="P1004" s="11"/>
      <c r="Q1004" s="11"/>
      <c r="R1004" s="11"/>
      <c r="S1004" s="11"/>
      <c r="T1004" s="11"/>
      <c r="U1004" s="11"/>
      <c r="V1004" s="11"/>
      <c r="W1004" s="11"/>
      <c r="X1004" s="11"/>
      <c r="Y1004" s="11"/>
      <c r="Z1004" s="11"/>
      <c r="AA1004" s="11"/>
      <c r="AB1004" s="11"/>
      <c r="AC1004" s="11"/>
      <c r="AD1004" s="11"/>
    </row>
    <row r="1005" spans="1:30" ht="16" x14ac:dyDescent="0.2">
      <c r="A1005" s="11"/>
      <c r="B1005" s="12"/>
      <c r="C1005" s="12"/>
      <c r="D1005" s="12"/>
      <c r="E1005" s="12"/>
      <c r="F1005" s="12"/>
      <c r="G1005" s="12"/>
      <c r="H1005" s="12"/>
      <c r="I1005" s="12"/>
      <c r="J1005" s="12"/>
      <c r="K1005" s="12"/>
      <c r="L1005" s="12"/>
      <c r="M1005" s="11"/>
      <c r="N1005" s="11"/>
      <c r="O1005" s="11"/>
      <c r="P1005" s="11"/>
      <c r="Q1005" s="11"/>
      <c r="R1005" s="11"/>
      <c r="S1005" s="11"/>
      <c r="T1005" s="11"/>
      <c r="U1005" s="11"/>
      <c r="V1005" s="11"/>
      <c r="W1005" s="11"/>
      <c r="X1005" s="11"/>
      <c r="Y1005" s="11"/>
      <c r="Z1005" s="11"/>
      <c r="AA1005" s="11"/>
      <c r="AB1005" s="11"/>
      <c r="AC1005" s="11"/>
      <c r="AD1005" s="11"/>
    </row>
    <row r="1006" spans="1:30" ht="16" x14ac:dyDescent="0.2">
      <c r="A1006" s="11"/>
      <c r="B1006" s="12"/>
      <c r="C1006" s="12"/>
      <c r="D1006" s="12"/>
      <c r="E1006" s="12"/>
      <c r="F1006" s="12"/>
      <c r="G1006" s="12"/>
      <c r="H1006" s="12"/>
      <c r="I1006" s="12"/>
      <c r="J1006" s="12"/>
      <c r="K1006" s="12"/>
      <c r="L1006" s="12"/>
      <c r="M1006" s="11"/>
      <c r="N1006" s="11"/>
      <c r="O1006" s="11"/>
      <c r="P1006" s="11"/>
      <c r="Q1006" s="11"/>
      <c r="R1006" s="11"/>
      <c r="S1006" s="11"/>
      <c r="T1006" s="11"/>
      <c r="U1006" s="11"/>
      <c r="V1006" s="11"/>
      <c r="W1006" s="11"/>
      <c r="X1006" s="11"/>
      <c r="Y1006" s="11"/>
      <c r="Z1006" s="11"/>
      <c r="AA1006" s="11"/>
      <c r="AB1006" s="11"/>
      <c r="AC1006" s="11"/>
      <c r="AD1006" s="11"/>
    </row>
    <row r="1007" spans="1:30" ht="16" x14ac:dyDescent="0.2">
      <c r="A1007" s="11"/>
      <c r="B1007" s="12"/>
      <c r="C1007" s="12"/>
      <c r="D1007" s="12"/>
      <c r="E1007" s="12"/>
      <c r="F1007" s="12"/>
      <c r="G1007" s="12"/>
      <c r="H1007" s="12"/>
      <c r="I1007" s="12"/>
      <c r="J1007" s="12"/>
      <c r="K1007" s="12"/>
      <c r="L1007" s="12"/>
      <c r="M1007" s="11"/>
      <c r="N1007" s="11"/>
      <c r="O1007" s="11"/>
      <c r="P1007" s="11"/>
      <c r="Q1007" s="11"/>
      <c r="R1007" s="11"/>
      <c r="S1007" s="11"/>
      <c r="T1007" s="11"/>
      <c r="U1007" s="11"/>
      <c r="V1007" s="11"/>
      <c r="W1007" s="11"/>
      <c r="X1007" s="11"/>
      <c r="Y1007" s="11"/>
      <c r="Z1007" s="11"/>
      <c r="AA1007" s="11"/>
      <c r="AB1007" s="11"/>
      <c r="AC1007" s="11"/>
      <c r="AD1007" s="11"/>
    </row>
    <row r="1008" spans="1:30" ht="16" x14ac:dyDescent="0.2">
      <c r="A1008" s="11"/>
      <c r="B1008" s="12"/>
      <c r="C1008" s="12"/>
      <c r="D1008" s="12"/>
      <c r="E1008" s="12"/>
      <c r="F1008" s="12"/>
      <c r="G1008" s="12"/>
      <c r="H1008" s="12"/>
      <c r="I1008" s="12"/>
      <c r="J1008" s="12"/>
      <c r="K1008" s="12"/>
      <c r="L1008" s="12"/>
      <c r="M1008" s="11"/>
      <c r="N1008" s="11"/>
      <c r="O1008" s="11"/>
      <c r="P1008" s="11"/>
      <c r="Q1008" s="11"/>
      <c r="R1008" s="11"/>
      <c r="S1008" s="11"/>
      <c r="T1008" s="11"/>
      <c r="U1008" s="11"/>
      <c r="V1008" s="11"/>
      <c r="W1008" s="11"/>
      <c r="X1008" s="11"/>
      <c r="Y1008" s="11"/>
      <c r="Z1008" s="11"/>
      <c r="AA1008" s="11"/>
      <c r="AB1008" s="11"/>
      <c r="AC1008" s="11"/>
      <c r="AD1008" s="11"/>
    </row>
  </sheetData>
  <mergeCells count="3">
    <mergeCell ref="A5:A9"/>
    <mergeCell ref="C18:G18"/>
    <mergeCell ref="A20:A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F2070-F136-784D-BA47-CFD8C9ED2C5F}">
  <dimension ref="A2:C24"/>
  <sheetViews>
    <sheetView tabSelected="1" workbookViewId="0">
      <selection activeCell="A14" sqref="A14:C24"/>
    </sheetView>
  </sheetViews>
  <sheetFormatPr baseColWidth="10" defaultRowHeight="15" x14ac:dyDescent="0.2"/>
  <cols>
    <col min="1" max="1" width="26.83203125" bestFit="1" customWidth="1"/>
  </cols>
  <sheetData>
    <row r="2" spans="1:3" x14ac:dyDescent="0.2">
      <c r="A2" s="25" t="s">
        <v>748</v>
      </c>
      <c r="B2" t="s">
        <v>766</v>
      </c>
    </row>
    <row r="3" spans="1:3" x14ac:dyDescent="0.2">
      <c r="A3" s="26" t="s">
        <v>736</v>
      </c>
      <c r="B3" s="27">
        <v>112</v>
      </c>
    </row>
    <row r="4" spans="1:3" x14ac:dyDescent="0.2">
      <c r="A4" s="26" t="s">
        <v>742</v>
      </c>
      <c r="B4" s="27">
        <v>86</v>
      </c>
    </row>
    <row r="5" spans="1:3" x14ac:dyDescent="0.2">
      <c r="A5" s="26" t="s">
        <v>733</v>
      </c>
      <c r="B5" s="27">
        <v>29</v>
      </c>
    </row>
    <row r="6" spans="1:3" x14ac:dyDescent="0.2">
      <c r="A6" s="26" t="s">
        <v>734</v>
      </c>
      <c r="B6" s="27">
        <v>21</v>
      </c>
    </row>
    <row r="7" spans="1:3" x14ac:dyDescent="0.2">
      <c r="A7" s="26" t="s">
        <v>735</v>
      </c>
      <c r="B7" s="27">
        <v>20</v>
      </c>
    </row>
    <row r="8" spans="1:3" x14ac:dyDescent="0.2">
      <c r="A8" s="26" t="s">
        <v>738</v>
      </c>
      <c r="B8" s="27">
        <v>20</v>
      </c>
    </row>
    <row r="9" spans="1:3" x14ac:dyDescent="0.2">
      <c r="A9" s="26" t="s">
        <v>741</v>
      </c>
      <c r="B9" s="27">
        <v>9</v>
      </c>
    </row>
    <row r="10" spans="1:3" x14ac:dyDescent="0.2">
      <c r="A10" s="26" t="s">
        <v>740</v>
      </c>
      <c r="B10" s="27">
        <v>2</v>
      </c>
    </row>
    <row r="11" spans="1:3" x14ac:dyDescent="0.2">
      <c r="A11" s="26" t="s">
        <v>743</v>
      </c>
      <c r="B11" s="27">
        <v>1</v>
      </c>
    </row>
    <row r="12" spans="1:3" x14ac:dyDescent="0.2">
      <c r="A12" s="26" t="s">
        <v>747</v>
      </c>
      <c r="B12" s="27">
        <v>300</v>
      </c>
    </row>
    <row r="14" spans="1:3" ht="32" x14ac:dyDescent="0.2">
      <c r="A14" s="42" t="s">
        <v>767</v>
      </c>
      <c r="B14" s="42" t="s">
        <v>768</v>
      </c>
      <c r="C14" s="42" t="s">
        <v>769</v>
      </c>
    </row>
    <row r="15" spans="1:3" x14ac:dyDescent="0.2">
      <c r="A15" t="s">
        <v>736</v>
      </c>
      <c r="B15">
        <v>112</v>
      </c>
      <c r="C15" s="41">
        <f>B15/GETPIVOTDATA("DOI",$A$2)</f>
        <v>0.37333333333333335</v>
      </c>
    </row>
    <row r="16" spans="1:3" x14ac:dyDescent="0.2">
      <c r="A16" t="s">
        <v>742</v>
      </c>
      <c r="B16">
        <v>86</v>
      </c>
      <c r="C16" s="41">
        <f t="shared" ref="C16:C24" si="0">B16/GETPIVOTDATA("DOI",$A$2)</f>
        <v>0.28666666666666668</v>
      </c>
    </row>
    <row r="17" spans="1:3" x14ac:dyDescent="0.2">
      <c r="A17" t="s">
        <v>733</v>
      </c>
      <c r="B17">
        <v>29</v>
      </c>
      <c r="C17" s="41">
        <f t="shared" si="0"/>
        <v>9.6666666666666665E-2</v>
      </c>
    </row>
    <row r="18" spans="1:3" x14ac:dyDescent="0.2">
      <c r="A18" t="s">
        <v>734</v>
      </c>
      <c r="B18">
        <v>21</v>
      </c>
      <c r="C18" s="41">
        <f t="shared" si="0"/>
        <v>7.0000000000000007E-2</v>
      </c>
    </row>
    <row r="19" spans="1:3" x14ac:dyDescent="0.2">
      <c r="A19" t="s">
        <v>735</v>
      </c>
      <c r="B19">
        <v>20</v>
      </c>
      <c r="C19" s="41">
        <f t="shared" si="0"/>
        <v>6.6666666666666666E-2</v>
      </c>
    </row>
    <row r="20" spans="1:3" x14ac:dyDescent="0.2">
      <c r="A20" t="s">
        <v>738</v>
      </c>
      <c r="B20">
        <v>20</v>
      </c>
      <c r="C20" s="41">
        <f t="shared" si="0"/>
        <v>6.6666666666666666E-2</v>
      </c>
    </row>
    <row r="21" spans="1:3" x14ac:dyDescent="0.2">
      <c r="A21" t="s">
        <v>741</v>
      </c>
      <c r="B21">
        <v>9</v>
      </c>
      <c r="C21" s="41">
        <f t="shared" si="0"/>
        <v>0.03</v>
      </c>
    </row>
    <row r="22" spans="1:3" x14ac:dyDescent="0.2">
      <c r="A22" t="s">
        <v>740</v>
      </c>
      <c r="B22">
        <v>2</v>
      </c>
      <c r="C22" s="41">
        <f t="shared" si="0"/>
        <v>6.6666666666666671E-3</v>
      </c>
    </row>
    <row r="23" spans="1:3" x14ac:dyDescent="0.2">
      <c r="A23" t="s">
        <v>743</v>
      </c>
      <c r="B23">
        <v>1</v>
      </c>
      <c r="C23" s="41">
        <f t="shared" si="0"/>
        <v>3.3333333333333335E-3</v>
      </c>
    </row>
    <row r="24" spans="1:3" x14ac:dyDescent="0.2">
      <c r="A24" t="s">
        <v>747</v>
      </c>
      <c r="B24">
        <v>300</v>
      </c>
      <c r="C24" s="41">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raw_data</vt:lpstr>
      <vt:lpstr>Cohens Kappa - Raters A &amp; B</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2025-06-10T19:12:49Z</dcterms:created>
  <dcterms:modified xsi:type="dcterms:W3CDTF">2025-12-01T20:22:51Z</dcterms:modified>
</cp:coreProperties>
</file>