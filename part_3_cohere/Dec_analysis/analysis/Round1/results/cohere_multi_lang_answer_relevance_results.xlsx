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poppyriddle/Documents/PhD/Research_proposal/Part_3/part_3_cohere/analysis/Round1/results/"/>
    </mc:Choice>
  </mc:AlternateContent>
  <xr:revisionPtr revIDLastSave="0" documentId="13_ncr:1_{31C60125-3144-5448-B8F7-3D445745F2C0}" xr6:coauthVersionLast="47" xr6:coauthVersionMax="47" xr10:uidLastSave="{00000000-0000-0000-0000-000000000000}"/>
  <bookViews>
    <workbookView xWindow="40" yWindow="1060" windowWidth="29760" windowHeight="18880" xr2:uid="{00000000-000D-0000-FFFF-FFFF00000000}"/>
  </bookViews>
  <sheets>
    <sheet name="raw data" sheetId="1" r:id="rId1"/>
    <sheet name="Cohens Kappa - Raters A &amp; B" sheetId="2" r:id="rId2"/>
  </sheets>
  <calcPr calcId="191029"/>
  <pivotCaches>
    <pivotCache cacheId="39"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2" l="1"/>
  <c r="D13" i="2"/>
  <c r="C14" i="2"/>
  <c r="D14" i="2"/>
  <c r="B20" i="2"/>
  <c r="B21" i="2"/>
  <c r="C21" i="2" s="1"/>
  <c r="B22" i="2"/>
  <c r="C20" i="2" l="1"/>
  <c r="C23" i="2" s="1"/>
  <c r="B23" i="2"/>
</calcChain>
</file>

<file path=xl/sharedStrings.xml><?xml version="1.0" encoding="utf-8"?>
<sst xmlns="http://schemas.openxmlformats.org/spreadsheetml/2006/main" count="197" uniqueCount="119">
  <si>
    <t>Query</t>
  </si>
  <si>
    <t>Response</t>
  </si>
  <si>
    <t>['which studies examined the abstract in metadata?']</t>
  </si>
  <si>
    <t>Summary: Two studies examined the abstract in metadata.
DOI: 10.1177/09610006241239080 - A scoping review that analysed the co-occurrence of terms in the title and abstract of selected articles using VOSviewer 1.6.18 version, visualisation software.
DOI: 10.1109/ADL.1998.670425 - A study that analysed the content of metadata records and examined whether GILS is meeting users' expectations.
My lady, is there anything else I can help you with?</t>
  </si>
  <si>
    <t>['which studies examined citations?']</t>
  </si>
  <si>
    <t>Summary: Three studies examined citations.
DOI: 10.1108/JD-10-2022-0234 - The authors analysed reference elements, i.e. bibliographic references, mentions, quotations and respective in-text reference pointers, from 729 articles published in 147 journals across the 27 subject areas.
DOI: 10.1016/j.ipm.2023.103385 - Co-author analysis using author names and bibliometric evaluation using citations are the types of analyses that can be done with the data provided by most APIs.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My lady, is there anything else I can help you with?</t>
  </si>
  <si>
    <t>['Tell me about Crossref.']</t>
  </si>
  <si>
    <t>Summary: Crossref is a sustainable source of community-owned scholarly metadata, containing over 106 million records and expanding at an average rate of 11% a year. It has become one of the major sources of scholarly data for publishers, authors, librarians, funders, and researchers.
DOI: 10.1162/qss_a_00022
Crossref is a sustainable source of community-owned scholarly metadata, containing over 106 million records and expanding at an average rate of 11% a year. It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Is there anything else I can help you with, my lady?</t>
  </si>
  <si>
    <t>['Which papers evaluate the linguistic coverage or language-related metadata in scholarly databases?']</t>
  </si>
  <si>
    <t>Summary: Several papers evaluate the linguistic coverage or language-related metadata in scholarly databases.
DOI: 10.48550/arXiv.2409.10633 - This paper assesses the completeness and accuracy of OpenAlex's metadata related to language, comparing it with WoS and manually validating a sample of 6,836 articles. It finds that OpenAlex has more balanced linguistic coverage but overestimates English and underestimates other languages.
DOI: 10.1162/qss_a_00286 - This study compares the completeness of metadata, including language, in eight free-access scholarly databases. It finds that third-party databases like OpenAlex have higher metadata quality and completeness rates compared to academic search engines.
DOI: 10.48550/arXiv.2508.18620 - This research evaluates metadata quality in OpenAlex and WoS, focusing on language, document type, publication year, and author count. It addresses discrepancies and misattributions to improve bibliometric research and evaluation.
DOI: 10.1007/s11192-022-04289-7 - This paper introduces a method to estimate subject coverage in 56 English-focused bibliographic databases, including language-related metadata. It highlights differences in disciplinary coverage and encourages researchers to re-evaluate their database choices.
DOI: 10.1007/s11192-015-1765-5 - This study compares the journal coverage of WoS and Scopus, assessing language representation. It finds biases favoring English-language journals and recommends cautious use in comparative research evaluation.
My lady, these papers provide insights into the linguistic coverage and language-related metadata in various scholarly databases. If you would like more details on any specific study, please let me know.</t>
  </si>
  <si>
    <t>['Which papers address funding metadata, its availability, or its analysis in scholarly databases?']</t>
  </si>
  <si>
    <t>Summary: Four papers address funding metadata, its availability, or its analysis in scholarly databases.
DOI: 10.1162/qss_a_00210 - The availability and completeness of open funder metadata: Case study for publications funded by the Dutch Research Council.
DOI: 10.31222/osf.io/smxe5 - Crossref as a source of open bibliographic metadata.
DOI: 10.1162/qss_a_00212 - Funding COVID-19 research: Insights from an exploratory analysis using open data infrastructures.
DOI: 10.1162/qss_a_00286 - Completeness degree of publication metadata in eight free-access scholarly databases.
My lady, is there anything else I can help you with?</t>
  </si>
  <si>
    <t>['Which papers discuss the use of Retrieval-Augmented Generation (RAG) when used in applications?']</t>
  </si>
  <si>
    <t>Summary: I have found four papers that discuss the use of Retrieval-Augmented Generation (RAG) in applications.
DOI: 10.1016/j.caeai.2025.100417
This paper discusses the use of RAG in education, covering interactive learning systems, generation and assessment of educational content, and large-scale deployment in educational ecosystems.
DOI: 10.48550/arXiv.2312.10997
This paper provides an overview of RAG paradigms, including Naive RAG, Advanced RAG, and Modular RAG, and discusses their applications in knowledge-intensive tasks.
DOI: 10.48550/arXiv.2404.13948
This paper investigates the robustness of RAG in real-world applications, specifically focusing on its vulnerability to noisy documents and holistic evaluation.
DOI: 10.3390/app14199103
This paper examines the use of RAG in automating systematic literature reviews (SLRs), including data extraction, summarization, and trend identification.
DOI: 10.18653/v1/2024.eacl-demo.16
This paper introduces a framework for evaluating RAG pipelines, focusing on reference-free assessment and reducing the risk of hallucinations.
My lady, I hope this information is helpful. If you have any further questions or need more details, please let me know.</t>
  </si>
  <si>
    <t>['What is Crossref’s role in the scholarly research ecosystem?']</t>
  </si>
  <si>
    <t>Summary: Crossref is a sustainable source of community-owned scholarly metadata, providing over 106 million records that are valuable for research in scientometrics. It plays a central role in achieving indexing and supports funders in tracking publication outputs.
DOI: 10.1162/qss_a_00022: Crossref is described as a sustainable source of community-owned scholarly metadata, offering over 106 million records that are essential for scientometric research. It collects and provides metadata across 13 content types, including traditional and non-traditional scholarly outputs.
DOI: 10.1590/SciELOPreprints.11205: This study highlights the central role of Crossref DOIs in journal indexing, with 97% of journals using Crossref DOIs included in OpenAlex. However, it also notes structural inequities in representation.
DOI: 10.1162/qss_a_00210: Crossref’s FundRef initiative helps funders track publications associated with their funding, though coverage of funder metadata remains challenging to assess.
DOI: 10.31222/osf.io/smxe5: Crossref promotes the open availability of bibliographic metadata, with improvements over time, though full openness requires further publisher efforts.
DOI: 10.1007/s11192-022-04367-w: This work focuses on identifying and correcting invalid citations in Crossref data, highlighting the responsibility of a few publishers and proposing automated correction mechanisms.
My lady, if you have further questions or need additional details, please let me know.</t>
  </si>
  <si>
    <t>['What are the key features and limitations of OpenAlex as a bibliometric database?']</t>
  </si>
  <si>
    <t>Summary: OpenAlex is a fully-open scientific knowledge graph (SKG) that contains metadata for 209 million works. It is under active development and future work will improve accuracy and coverage of citation information and author/institution parsing and deduplication.
DOI: 10.48550/ARXIV.2205.01833
Is there anything else I can help you with, my lady?</t>
  </si>
  <si>
    <t>['What are the strengths and weaknesses of Web of Science (WoS) as a bibliometric database?']</t>
  </si>
  <si>
    <t>Summary: I'm sorry, my lady, I am unable to answer your question as there is no relevant information provided.
DOI: 10.1007/s11192-015-1765-5 - The use of either WoS or Scopus for research evaluation may introduce biases that favour Natural Sciences and Engineering as well as Biomedical Research to the detriment of Social Sciences and Arts and Humanities.
DOI: 10.48550/arXiv.2508.18620 - The Web of Science (WoS) was the main supporting infrastructure of the field for more than 30 years until several new competitors emerged.
DOI: 10.29173/cais1943 - The Web of Science (WoS) was the main supporting infrastructure of the field for more than 30 years until several new competitors emerged.
DOI: 10.1162/qss_a_00112 - We present a large-scale comparison of five multidisciplinary bibliographic data sources: Scopus, Web of Science, Dimensions, Crossref, and Microsoft Academic.
DOI: 10.1162/qss_a_00211 - Application of the framework reveals that WoS has the highest overall quality among the sets considered; and that the differences in quality can be explained primarily by how the data sources are organized.</t>
  </si>
  <si>
    <t>['How is RAG used to improve question answering or information retrieval systems?']</t>
  </si>
  <si>
    <t>Summary: Retrieval-Augmented Generation (RAG) is a method used to improve question answering and information retrieval systems by enhancing the capabilities of Large Language Models (LLMs). It involves augmenting LLMs with relevant documents or metadata before generating answers, which helps in providing accurate, informative, and contextualized responses.
DOI: 10.17821/srels/2024/v61i5/171583: This study demonstrates that RAG can significantly improve the performance of LLMs in question answering tasks by providing them with a set of relevant documents. The experiment shows that LLMs with RAG augmentation produce accurate and contextualized answers, whereas standard LLMs without RAG often generate incorrect and hallucinated responses.
DOI: 10.6109/jkiice.2023.27.12.1489: This paper introduces a Metadata Retrieval-Augmented Generation (M-RAG) method that enhances open-domain question answering systems by utilizing metadata and generative models. The method improves answer accuracy by understanding the order and context of documents through metadata.
DOI: 10.48550/arXiv.2406.13213: This research presents Multi-Meta-RAG, a method that improves RAG for multi-hop queries by using database filtering with LLM-extracted metadata. It enhances the selection of relevant documents, thereby improving the overall performance of RAG systems.
DOI: 10.48550/arXiv.2505.13557: This study introduces AMAQA, a metadata-based QA dataset for RAG systems, which highlights the importance of metadata integration in improving the accuracy of question answering tasks, especially in fields requiring rapid analysis of large data volumes.
DOI: 10.48550/arXiv.2505.18247: This research introduces MetaGen Blended RAG, a novel approach that enhances semantic retrievers for specialized domain question answering. It achieves high accuracy without fine-tuning, demonstrating the potential of RAG in handling complex, domain-specific datasets.
My lady, I hope this information is helpful. If you have any further questions or need more details, please let me know.</t>
  </si>
  <si>
    <t>['What are the main challenges in normalizing citation metrics across scientific fields?']</t>
  </si>
  <si>
    <t>Summary: I am unable to answer your question as there is no information about the main challenges in normalizing citation metrics across scientific fields.
DOI: 10.1045/september2016‐meschenmoser - discusses the challenges and presents strategies to programmatically access data in scientific Web repositories.
My lady, would you like me to answer a different question?</t>
  </si>
  <si>
    <t>['What methods are used to detect and correct errors in bibliographic datasets?']</t>
  </si>
  <si>
    <t>Summary: Bibliographic errors are perpetuated for decades.
DOI: 10.1108/JD-10-2022-0234 - Bibliographic errors are perpetuated for decades and their possible causes have increased, despite the encouraged use of technological facilities.
My lady, I am sorry but I could not find any information on methods used to detect and correct errors in bibliographic datasets. Is there anything else I can help you with?</t>
  </si>
  <si>
    <t>['tell me about how RAG works.']</t>
  </si>
  <si>
    <t>Summary: Retrieval-Augmented Generation (RAG) is a promising solution for addressing the limitations of LLMs.
DOI: 10.48550/ARXIV.2504.08231: RAG systems exhibit greater sensitivity to linguistic variations compared to LLM-only generations, highlighting their vulnerability to error propagation due to linguistic shifts.
DOI: 10.48550/arXiv.2406.13213: Traditional RAG applications perform poorly in answering multi-hop questions, which require retrieving and reasoning over multiple elements of supporting evidence.
DOI: 10.1145/3637528.3671470: Retrieval-Augmented Large Language Models (RA-LLMs) have emerged to harness external and authoritative knowledge bases, rather than solely relying on the model's internal knowledge, to augment the quality of the generated content of LLMs.
DOI: 10.48550/arXiv.2404.13948: Existing studies on the robustness of RAG often overlook the interconnected relationships between RAG components or the potential threats prevalent in real-world databases, such as minor textual errors.
DOI: 10.1007/978-3-031-88708-6_3: Unfortunately, there is no content provided for this DOI, my lady. Would you like to ask another question?</t>
  </si>
  <si>
    <t>['What are the key challenges and advancements in metadata quality assessment?']</t>
  </si>
  <si>
    <t>Summary: The quality of metadata is crucial for the discovery of digital objects through digital library interfaces.
DOI: 10.48550/arXiv.2303.17661
My lady, the quality of metadata is crucial for the discovery of digital objects through digital library interfaces. However, metadata often exhibits incomplete, inconsistent, and incorrect values. MetaEnhance is a framework that uses state-of-the-art artificial intelligence methods to improve the quality of metadata fields. It was tested on a benchmark of 500 electronic theses and dissertations (ETDs) and achieved nearly perfect F1-scores in detecting errors and correcting errors.
Is there anything else I can help you with?</t>
  </si>
  <si>
    <t>['What are the key challenges and potential solutions for improving metadata quality?']</t>
  </si>
  <si>
    <t>Summary: Metadata quality is crucial for digital objects to be discovered through digital library interfaces.
DOI: 10.48550/arXiv.2303.17661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My lady, I hope this information is helpful. If you have any further questions, please let me know.</t>
  </si>
  <si>
    <t>['What are the key challenges and advancements in Retrieval-Augmented Generation (RAG) systems?']</t>
  </si>
  <si>
    <t>Summary: Retrieval-Augmented Generation (RAG) systems face challenges such as semantic variability, computational costs, and vulnerability to noisy documents. Advancements include MetaGen Blended RAG, RAGAs for automated evaluation, and enhanced robustness through genetic attacks.
DOI: 10.48550/arXiv.2312.10997 - This paper explores the evolution of RAG paradigms, including Naive RAG, Advanced RAG, and Modular RAG. It highlights advancements in retrieval, generation, and augmentation techniques, emphasizing the integration of external databases to enhance accuracy and credibility.
DOI: 10.1016/j.caeai.2025.100417 - Focusing on educational applications, this study discusses challenges like hallucinations, completeness of retrieved knowledge, and computational costs. It introduces methods for generation optimization and multimodal support in RAG systems.
DOI: 10.18653/v1/2024.eacl-demo.16 - This work introduces RAGAs, a framework for reference-free evaluation of RAG pipelines. It addresses the difficulty of assessing RAG architectures by introducing metrics for retrieval accuracy, LLM fidelity, and generation quality.
DOI: 10.48550/arXiv.2505.18247 - This paper presents MetaGen Blended RAG, a novel approach for domain-specific enterprise datasets. It achieves high retrieval and RAG accuracy by enhancing semantic retrievers with metadata generation and hybrid query indexes.
DOI: 10.48550/arXiv.2404.13948 - This research investigates the robustness of RAG systems against noisy documents and introduces GARAG, a genetic attack method. It highlights the vulnerability of RAG components to minor textual inaccuracies.
My lady, these findings provide a comprehensive overview of the current state and future directions of RAG systems.</t>
  </si>
  <si>
    <t>Summary: Three studies examined the abstract in metadata.
DOI: 10.1162/qss_a_00286 - Seven characteristics were analysed, including the abstract.
DOI: 10.1177/09610006241239080 - The co-occurrence analysis was made on the title and abstract of selected articles.
DOI: 10.1109/ADL.1998.670425 - The authors used record content analysis and several other methods to examine whether GILS is helping agencies fulfil information dissemination and management responsibilities and the extent to which GILS is meeting users' expectations.
My lady, is there anything else I can help you with?</t>
  </si>
  <si>
    <t>Summary: Two studies examined citations.
DOI: 10.1108/JD-10-2022-0234
The authors of this study analysed reference elements from 729 articles published in 147 journals across 27 subject areas. They found that bibliographic errors have been perpetuated for decades and that their possible causes have increased, despite the encouraged use of technological facilities, i.e. the reference managers.
DOI: 10.1016/j.ipm.2023.103385
This study found that most organizations offer free access to APIs for non-commercial purposes, but some have limitations on metadata retrieval. Co-author analysis using author names and bibliometric evaluation using citations are the types of analyses that can be done with the data provided by most APIs.
Is there anything else I can help you with, my lady?</t>
  </si>
  <si>
    <t>Summary: Crossref is a sustainable source of community-owned scholarly metadata, providing over 106 million records and expanding at an average rate of 11% annually. It offers 13 content types, including traditional and non-traditional scholarly materials, and is accessible via APIs. Crossref also supports open bibliographic metadata and initiatives like FundRef to enhance funding metadata quality.
DOI: 10.1162/qss_a_00022 - Crossref is described as a sustainable source of community-owned scholarly metadata, offering over 106 million records across 13 content types, including journals, datasets, and preprints. The metadata includes abstracts, funding information, and citation links, making it valuable for scientometrics research.
DOI: 10.1162/qss_a_00210 - Crossref's FundRef initiative helps track funding information in publications, but coverage is incomplete. A case study on Dutch Research Council-funded publications found only 67% contained funding metadata in Crossref.
DOI: 10.31222/osf.io/smxe5 - Crossref's open bibliographic metadata availability has improved over time, particularly for journal articles. However, many publishers need to improve efforts for full openness.
DOI: 10.1007/s11192-022-04367-w - This study identifies DOI errors in Crossref data, finding that few publishers are responsible for most invalid citations. It proposes automated correction methods and emphasizes reproducibility under Open Science principles.
My lady, is there anything else you'd like to know about Crossref?</t>
  </si>
  <si>
    <t>Summary: Several papers evaluate the linguistic coverage or language-related metadata in scholarly databases.
DOI: 10.48550/arXiv.2409.10633 - This paper assesses the completeness and accuracy of OpenAlex's metadata related to language, comparing it with WoS and manually validating a sample of 6,836 articles. It finds that OpenAlex has more balanced linguistic coverage but overestimates English.
DOI: 10.1162/qss_a_00286 - This study compares metadata completeness in eight free-access scholarly databases, including OpenAlex, analyzing characteristics like language. It concludes that third-party databases have higher metadata quality but face information loss from integrating sources.
DOI: 10.48550/arXiv.2508.18620 - This research evaluates metadata quality in OpenAlex and WoS, focusing on language, document type, publication year, and author count. It addresses discrepancies to improve bibliometric research and evaluation.
DOI: 10.1007/s11192-022-04289-7 - This paper introduces a method to estimate subject coverage in 56 English-focused bibliographic databases, helping researchers select comprehensive databases for specific search needs.
DOI: 10.1007/s11192-015-1765-5 - This study compares journal coverage in WoS and Scopus, assessing biases in field, country, and language representation. It finds overrepresentation of English and certain fields, recommending cautious use in comparative research.
My lady, these papers provide insights into the linguistic coverage and metadata quality of various scholarly databases, highlighting both strengths and limitations.</t>
  </si>
  <si>
    <t>Summary: Three papers address funding metadata, its availability, or its analysis in scholarly databases.
DOI: 10.1162/qss_a_00210
This paper examines the availability and completeness of open funder metadata, using a case study of publications funded by the Dutch Research Council. It highlights the challenges in assessing the coverage of funder metadata and the potential to improve the quality of open metadata on funding.
DOI: 10.31222/osf.io/smxe5
This paper presents an overview of the availability of six metadata elements in Crossref, including funding information. It discusses the improvements in metadata availability over time and the need for publishers to make additional efforts to achieve full openness of bibliographic metadata.
DOI: 10.1162/qss_a_00212
This paper studies the open availability of funding data in Crossref, focusing on COVID-19 research. It compares funding data in Crossref with two proprietary bibliometric databases and provides recommendations for improving the open availability of funding data.
My lady, I hope this information is helpful. If you have any further questions or need more details, please let me know.</t>
  </si>
  <si>
    <t>Summary: I have found four papers that discuss the use of Retrieval-Augmented Generation (RAG) in applications.
DOI: 10.1016/j.caeai.2025.100417
This paper discusses the use of RAG in education, including interactive learning systems, generation and assessment of educational content, and large-scale deployment in educational ecosystems.
DOI: 10.48550/arXiv.2312.10997
This paper provides an overview of RAG paradigms, including Naive RAG, Advanced RAG, and Modular RAG, and discusses their applications in knowledge-intensive tasks.
DOI: 10.48550/arXiv.2404.13948
This paper investigates the robustness of RAG in real-world applications, specifically focusing on its vulnerability to noisy documents and holistic evaluation.
DOI: 10.3390/app14199103
This paper explores the use of RAG in automating systematic literature reviews (SLRs), including data extraction, summarization, and trend identification.
DOI: 10.18653/v1/2024.eacl-demo.16
This paper introduces a framework for evaluating RAG pipelines, specifically focusing on reference-free evaluation and reducing the risk of hallucinations.
My lady, I hope this information is helpful. If you have any further questions or need more details, please let me know.</t>
  </si>
  <si>
    <t>Summary: Crossref is a sustainable source of community-owned scholarly metadata, providing over 106 million records that are valuable for research in scientometrics. It plays a central role in achieving indexing and supports funders in tracking publication outputs.
DOI: 10.1162/qss_a_00022 - Crossref is described as a sustainable source of community-owned scholarly metadata, containing over 106 million records and expanding at an average rate of 11% annually. Its metadata is one of the major sources of scholarly data for various stakeholders, including publishers, authors, librarians, funders, and researchers. The metadata set includes 13 content types, such as journals, conference papers, datasets, reports, preprints, peer reviews, and grants. This scale and breadth make Crossref a valuable resource for scientometric research, including measuring the growth and impact of science and understanding new trends in scholarly communications.
DOI: 10.1590/SciELOPreprints.11205 - This study highlights the central role of Crossref DOIs in achieving indexing, with 97% of journals using Crossref DOIs included in OpenAlex. However, it also points out structural inequities, as resource-limited journals, particularly those from low-income countries and non-English language journals, remain underrepresented.
DOI: 10.1162/qss_a_00210 - Crossref's FundRef initiative, launched in 2013, helps funders track publication outputs by enabling publishers to register funding information using persistent identifiers. The study examines 5,004 publications funded by the Dutch Research Council and finds that only 67% contain funding information in Crossref. It highlights the potential to improve the quality of open metadata on funding.
My lady, I hope this summary meets your requirements. If you have any further questions or need additional information, please let me know.</t>
  </si>
  <si>
    <t>Summary: OpenAlex is a new, fully-open bibliographic database that contains metadata for 209 million works. It is a superset of Scopus and can be a reliable alternative for some analyses, particularly at the country level. However, issues of metadata accuracy and completeness show that additional research is needed to fully comprehend and address OpenAlex's limitations.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10.48550/ARXIV.2205.01833 - OpenAlex is a new, fully-open scientific knowledge graph (SKG) that contains metadata for 209 million works. It is fully and freely available via a web-based GUI, a full data dump, and high-volume REST API.
DOI: 10.48550/arXiv.2508.18620 - OpenAlex is a bibliographic database that distinguished itself for its openness and extensive coverage. However, one of the concerns that hinders its broader adoption for research and research evaluation is the quality of its metadata.
DOI: 10.3145/epi.2023.mar.09 - OpenAlex seems to be overall at least as suited for bibliometric analyses as MAG for publication years before 2021 or maybe even better because of the broader coverage of document type assignments.
DOI: 10.48550/arXiv.2409.10633 - OpenAlex exhibits a far more balanced linguistic coverage than WoS. However, language metadata is not always accurate, which leads OpenAlex to overestimate the place of English while underestimating that of other languages.
My lady, I hope this information is helpful. If you have any further questions, please let me know.</t>
  </si>
  <si>
    <t>Summary: I'm sorry, my lady, I could not find any information about the strengths and weaknesses of Web of Science (WoS) as a bibliometric database.
DOI: 10.1007/s11192-015-1765-5 - WoS and Scopus should be used with caution when comparing different fields, institutions, countries or languages.
DOI: 10.48550/arXiv.2508.18620 - WoS was the main supporting infrastructure of the field for more than 30 years until several new competitors emerged.
DOI: 10.29173/cais1943 - WoS was the main supporting infrastructure of the field for more than 30 years until several new competitors emerged.
DOI: 10.1162/qss_a_00112 - The strengths and weaknesses of the different data sources are discussed.
DOI: 10.1162/qss_a_00211 - WoS has the highest overall quality among the sets considered.</t>
  </si>
  <si>
    <t>Summary: Retrieval-Augmented Generation (RAG) is used to improve question answering and information retrieval systems by retrieving relevant information from external knowledge sources and allowing large language models (LLMs) to answer queries over previously unseen document collections.
DOI: 10.17821/srels/2024/v61i5/171583: RAG is used to enhance information retrieval in libraries by augmenting LLMs with relevant documents before generating answers. This approach improves the accuracy and contextualization of responses, making it a cost-effective solution for libraries.
DOI: 10.6109/jkiice.2023.27.12.1489: Metadata Retrieval-Augmented Generation (M-RAG) is proposed to enhance open-domain question answering by utilizing metadata and generative models to improve the accuracy and context-awareness of responses.
DOI: 10.48550/arXiv.2406.13213: Multi-Meta-RAG is introduced to improve RAG for multi-hop queries by using database filtering with LLM-extracted metadata, significantly enhancing the selection of relevant documents.
DOI: 10.48550/arXiv.2505.13557: The AMAQA dataset is presented to evaluate RAG systems in metadata-driven question answering tasks, demonstrating that leveraging metadata significantly boosts accuracy.
DOI: 10.48550/arXiv.2505.18247: MetaGen Blended RAG is introduced to achieve zero-shot precision in specialized domain question answering by enhancing semantic retrievers with metadata generation and hybrid query indexes.
My lady, these studies collectively demonstrate that RAG and its variants significantly improve question answering and information retrieval systems by leveraging external knowledge, metadata, and advanced retrieval techniques.</t>
  </si>
  <si>
    <t>Summary: I'm sorry, my lady, I am unable to answer your question as there is no relevant information in the document.
DOI: 10.1045/september2016‐meschenmoser</t>
  </si>
  <si>
    <t>Summary: Bibliographic errors have been perpetuated for decades and possible causes have increased, despite the encouraged use of technological facilities.
DOI: 10.1108/JD-10-2022-0234 - Bibliographic errors have been perpetuated for decades and possible causes have increased, despite the encouraged use of technological facilities.
My lady, I am unable to provide further information on this topic. Is there anything else I can help you with?</t>
  </si>
  <si>
    <t>Summary: Retrieval-Augmented Generation (RAG) is a promising solution for addressing the limitations of Large Language Models (LLMs).
DOI: 10.48550/ARXIV.2504.08231
RAG systems are vulnerable to error propagation due to linguistic shifts.
DOI: 10.48550/arXiv.2406.13213
RAG enables retrieval of relevant information from an external knowledge source and allows large language models (LLMs) to answer queries over previously unseen document collections.
DOI: 10.1145/3637528.3671470
RAG can offer reliable and up-to-date external knowledge, providing huge convenience for numerous tasks.
DOI: 10.48550/arXiv.2404.13948
RAG is a promising solution for addressing the limitations of LLMs.
DOI: 10.1007/978-3-031-88708-6_3
No content provided.
My lady, I hope this information is helpful.</t>
  </si>
  <si>
    <t>Summary: Metadata quality assessment is crucial for ensuring the usability, discoverability, and reliability of data across various platforms and disciplines. Key challenges include inconsistent definitions and measurements of quality dimensions, cultural and resource-related tensions affecting metadata consistency and completeness, and technical issues like incomplete or incorrect metadata values. Advancements include the development of automated frameworks for metadata quality assessment, application of AI methods for metadata enhancement, and rigorous methodologies for synthesizing metadata quality research.
DOI: 10.1145/2964909: This study focuses on developing a generic metadata quality assessment framework for Open Data portals. It addresses the challenge of increasingly published resources compromising searchability and usability by mapping metadata from different portal software frameworks to a standardized schema and defining quality metrics that can be automatically evaluated.
DOI: 10.1177/09610006241239080: This scoping review identifies commonly measured dimensions of metadata quality such as completeness, accuracy, and timeliness, but highlights a lack of consensus on their definitions and measurements. It emphasizes the need for further research and flexible assessment tools to improve metadata quality assurance.
DOI: 10.5860/crl.86.1.101: This study explores how metadata quality issues arise from sociocultural representations and resource constraints. It identifies 32 unique issues across 427 records, categorizing them to understand how metadata reflects cultural meanings and community pressures.
DOI: 10.48550/arXiv.2303.17661: This research introduces MetaEnhance, a framework using AI to improve metadata quality for electronic theses and dissertations. It demonstrates high effectiveness in detecting and correcting errors, addressing challenges like incomplete and inconsistent metadata values.
DOI: 10.48550/arXiv.2508.18620: This study assesses metadata quality in OpenAlex and Web of Science, focusing on discrepancies in document type, language, publication year, and author count. It aims to raise awareness of data quality issues that could impact bibliometric research.
My lady, these findings underscore the importance of ongoing research and innovation in metadata quality assessment to address existing challenges and enhance data reliability across diverse contexts.</t>
  </si>
  <si>
    <t>Summary: Metadata quality is crucial for digital objects to be discovered through digital library interfaces.
DOI: 10.48550/arXiv.2303.17661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My lady, I hope this response is helpful. If you have any other questions, please let me know.</t>
  </si>
  <si>
    <t>Summary: Retrieval-Augmented Generation (RAG) systems face challenges such as semantic variability, computational costs, and vulnerability to noisy documents, but advancements like MetaGen Blended RAG and RAGAs frameworks are addressing these issues.
DOI: 10.48550/arXiv.2312.10997 - This paper discusses the evolution of RAG paradigms, including Naive RAG, Advanced RAG, and Modular RAG, and highlights state-of-the-art technologies in retrieval, generation, and augmentation techniques. It also introduces an updated evaluation framework and benchmark.
DOI: 10.1016/j.caeai.2025.100417 - Focusing on educational applications, this paper explores practical uses of RAG in interactive learning systems and discusses challenges like mitigating hallucinations and reducing computational costs.
DOI: 10.18653/v1/2024.eacl-demo.16 - Introducing the RAGAs framework, this work provides a reference-free evaluation method for RAG systems, addressing the complexity of assessing retrieval and generation components.
DOI: 10.48550/arXiv.2505.18247 - This paper presents MetaGen Blended RAG, a novel approach to enhance semantic retrievers for domain-specific datasets, achieving high accuracy without fine-tuning.
DOI: 10.48550/arXiv.2404.13948 - Investigating RAG robustness, this study introduces the Genetic Attack on RAG (GARAG) method to test system vulnerability to noisy documents, highlighting the impact of minor textual inaccuracies.
My lady, these documents provide a comprehensive overview of the challenges and advancements in RAG systems, with each DOI contributing unique insights into specific aspects of RAG research and development.</t>
  </si>
  <si>
    <t>Summary: I found three studies that examined the abstract in metadata.
DOI: 10.1162/qss_a_00286
This study compares the amount of metadata and the completeness degree of research publications in new academic databases. Seven characteristics were analyzed (abstract, access, bibliographic info, document type, publication date, language, and identifiers).
DOI: 10.1177/09610006241239080
This study aims to identify the most commonly measured dimensions of metadata quality in existing studies on metadata quality assessment. The co-occurrence analysis is made on the title and abstract of selected articles using VOSviewer 1.6.18 version, visualization software.
DOI: 10.1109/ADL.1998.670425
This study discusses the application of qualitative and quantitative content analysis techniques to assess metadata records. The authors used record content analysis and several other methods to examine whether GILS is helping agencies fulfill information dissemination and management responsibilities and the extent to which GILS is meeting users' expectations.
My lady, I hope this information is helpful. If you have any further questions, please let me know.</t>
  </si>
  <si>
    <t>Summary: Three studies examined citations.
DOI: 10.1108/JD-10-2022-0234 - The authors analysed reference elements, i.e. bibliographic references, mentions, quotations and respective in-text reference pointers, from 729 articles published in 147 journals across the 27 subject areas.
DOI: 10.1016/j.ipm.2023.103385 - Co-author analysis using author names and bibliometric evaluation using citations are the types of analyses that can be done with the data provided by most APIs.
DOI: 10.1007/s11192-022-04367-w - By using a list of invalid cited DOIs gathered by OpenCitations while processing the OpenCitations Index of Crossref open DOI-to-DOI citations (COCI) in the past two years, we retrieved the citations in the January 2021 Crossref dump to such invalid DOIs.
My lady, can I help you with anything else?</t>
  </si>
  <si>
    <t>Summary: Crossref is a sustainable source of community-owned scholarly metadata, providing over 106 million records of 13 content types, including traditional and non-traditional scholarly materials. It plays a crucial role in the research ecosystem, offering valuable data for scientometrics and improving metadata quality. Crossref also supports funders in tracking research outputs and promotes open bibliographic metadata availability.
DOI: 10.1162/qss_a_00022: Crossref is described as a sustainable source of community-owned scholarly metadata, with over 106 million records expanding at an average annual rate of 11%. The metadata includes 13 content types, such as journals, datasets, and preprints, and is accessible via APIs like REST API and OAI-PMH. It is essential for scientometrics research, helping to measure the impact and trends in scholarly communications.
DOI: 10.1162/qss_a_00210: Crossref's FundRef initiative assists research funders in tracking publications by enabling publishers to register funding information using persistent identifiers. A case study on the Dutch Research Council revealed that only 67% of funded articles contained funding information in Crossref, highlighting opportunities to improve open metadata quality.
DOI: 10.31222/osf.io/smxe5: This paper discusses the availability of six metadata elements in Crossref, including reference lists, abstracts, and funding information. While availability has improved over time for journal articles, many publishers need to enhance efforts for full openness of bibliographic metadata.
DOI: 10.1007/s11192-022-04367-w: The study identifies and corrects invalid citations due to DOI errors in Crossref data, finding that only a few publishers were responsible for most errors. It proposes a DOI cleaning mechanism to automatically correct mistakes, contributing to improved data quality and reproducibility in open science.
DOI: 10.5281/ZENODO.6188748: This dataset evaluates the methodology for identifying and correcting invalid citations due to DOI errors in Crossref, providing 193 randomly selected corrected citations for further analysis and validation.
My lady, is there anything else you would like to know about Crossref?</t>
  </si>
  <si>
    <t>Summary: Several papers evaluate the linguistic coverage or language-related metadata in scholarly databases.
DOI: 10.48550/arXiv.2409.10633
Title: Αξιολόγηση της γλωσσικής κάλυψης του OpenAlex: An Assessment of Metadata Accuracy and Completeness Evaluating the Linguistic Coverage of OpenAlex: An Assessment of Metadata Accuracy and Completeness
Abstract: Το Web of Science (WoS) του Clarivate και το Scopus του Elsevier είναι για δεκαετίες οι κύριες πηγές βιβλιομετρικών πληροφοριών. Αν και έχουν μεγάλη επιμέλεια, αυτές οι κλειστές, αποκλειστικές βάσεις δεδομένων είναι σε μεγάλο βαθμό προκατειλημμένες προς τις αγγλόφωνες δημοσιεύσεις, υποτιμώντας τη χρήση άλλων γλωσσών στη διάδοση της έρευνας. Το OpenAlex, που κυκλοφόρησε το 2022, υποσχέθηκε ολοκληρωμένες, περιεκτικές και ανοιχτού κώδικα ερευνητικές πληροφορίες. Ενώ χρησιμοποιείται ήδη από μελετητές και ερευνητικά ιδρύματα, η ποιότητα των μεταδεδομένων του αξιολογείται επί του παρόντος. Αυτή η εργασία συμβάλλει σε αυτή τη βιβλιογραφία αξιολογώντας την πληρότητα και την ακρίβεια των μεταδεδομένων του OpenAlex που σχετίζονται με τη γλώσσα, μέσω σύγκρισης με το WoS, καθώς και μιας εις βάθος χειροκίνητης επικύρωσης δείγματος 6.836 άρθρων. Τα αποτελέσματα δείχνουν ότι το OpenAlex παρουσιάζει πολύ πιο ισορροπημένη γλωσσική κάλυψη από το WoS. Ωστόσο, τα μεταδεδομένα γλώσσας δεν είναι πάντα ακριβή, γεγονός που οδηγεί το OpenAlex να υπερεκτιμά τη θέση των αγγλικών ενώ υποτιμά τη θέση άλλων γλωσσών. Εάν χρησιμοποιηθεί κριτικά, το OpenAlex μπορεί να παρέχει ολοκληρωμένες και αντιπροσωπευτικές αναλύσεις των γλωσσών που χρησιμοποιούνται για επιστημονικές εκδόσεις. Ωστόσο, απαιτείται περισσότερη δουλειά σε επίπεδο υποδομής για να διασφαλιστεί η ποιότητα των μεταδεδομένων στη γλώσσα.
DOI: 10.1162/qss_a_00286
Title: Βαθμός πληρότητας μεταδεδομένων δημοσίευσης σε οκτώ επιστημονικές βάσεις δεδομένων ελεύθερης πρόσβασης Completeness degree of publication metadata in eight free-access scholarly databases
Abstract: Ο κύριος στόχος αυτής της μελέτης είναι η σύγκριση του όγκου των μεταδεδομένων και του βαθμού πληρότητας των ερευνητικών δημοσιεύσεων σε νέες ακαδημαϊκές βάσεις δεδομένων. Χρησιμοποιώντας μια ποσοτική προσέγγιση, επιλέξαμε ένα τυχαίο δείγμα Crossref με περισσότερες από 115.000 εγγραφές, το οποίο στη συνέχεια αναζητήθηκε σε επτά βάσεις δεδομένων (Dimensions, Google Scholar, Microsoft Academic, OpenAlex, Scilit, Semantic Scholar και The Lens). Αναλύθηκαν επτά χαρακτηριστικά (περίληψη, πρόσβαση, βιβλιογραφικές πληροφορίες, τύπος εγγράφου, ημερομηνία δημοσίευσης, γλώσσα και αναγνωριστικά), για την παρατήρηση πεδίων που περιγράφουν αυτές τις πληροφορίες, το ποσοστό πληρότητας αυτών των πεδίων και τη συμφωνία μεταξύ των βάσεων δεδομένων. Τα αποτελέσματα δείχνουν ότι οι ακαδημαϊκές μηχανές αναζήτησης (Google Scholar, Microsoft Academic και Semantic Scholar) συγκεντρώνουν λιγότερες πληροφορίες και έχουν χαμηλό βαθμό πληρότητας. Αντίθετα, οι βάσεις δεδομένων τρίτων (Dimensions, OpenAlex, Scilit και The Lens) έχουν μεγαλύτερη ποιότητα μεταδεδομένων και υψηλότερο ποσοστό πληρότητας. Συμπεραίνουμε ότι οι ακαδημαϊκές μηχανές αναζήτησης δεν έχουν την ικανότητα να ανακτούν αξιόπιστα περιγραφικά δεδομένα ανιχνεύοντας τον ιστό και το κύριο πρόβλημα των βάσεων δεδομένων τρίτων είναι η απώλεια πληροφοριών που προέρχονται από την ενσωμάτωση διαφορετικών πηγών.
DOI: 10.48550/arXiv.2508.18620
Title: Διερεύνηση του τύπου εγγράφου, της γλώσσας, του έτους έκδοσης και του αριθμού συγγραφέων μεταξύ του OpenAlex και του Web of Science Investigating Document Type, Language, Publication Year, and Author Count Discrepancies Between OpenAlex and Web of Science
Abstract: Η βιβλιομετρία, είτε χρησιμοποιείται για έρευνα είτε για ερευνητική αξιολόγηση, βασίζεται σε μεγάλες πολυεπιστημονικές βάσεις δεδομένων ερευνητικών αποτελεσμάτων και δεικτών παραπομπών. Το Web of Science (WoS) ήταν η κύρια υποστηρικτική υποδομή του πεδίου για περισσότερα από 30 χρόνια μέχρι να εμφανιστούν αρκετοί νέοι ανταγωνιστές. Το OpenAlex, μια βιβλιογραφική βάση δεδομένων που κυκλοφόρησε το 2022, έχει διακριθεί για τη διαφάνεια και την εκτεταμένη κάλυψη. Ενώ το OpenAlex μπορεί να μειώσει ή να εξαλείψει τα εμπόδια στην πρόσβαση σε βιβλιομετρικά δεδομένα, ένας από τους προβληματισμούς που εμποδίζει την ευρύτερη υιοθέτησή του για έρευνα και αξιολόγηση έρευνας είναι η ποιότητα των μεταδεδομένων του. Αυτή η μελέτη στοχεύει να αξιολογήσει την ποιότητα των μεταδεδομένων στο OpenAlex και το WoS, εστιάζοντας στον τύπο εγγράφου, το έτος δημοσίευσης, τη γλώσσα και τον αριθμό των συγγραφέων. Αντιμετωπίζοντας αποκλίσεις και λανθασμένες κατανομές στα μεταδεδομένα, αυτή η έρευνα επιδιώκει να ενισχύσει την ευαισθητοποίηση σχετικά με ζητήματα ποιότητας δεδομένων που θα μπορούσαν να επηρεάσουν τα αποτελέσματα της βιβλιομετρικής έρευνας και αξιολόγησης.
DOI: 10.1007/s11192-022-04289-7
Title: Αναζητήστε πού θα βρείτε τα περισσότερα: Σύγκριση της πειθαρχικής κάλυψης 56 βιβλιογραφικών βάσεων δεδομένων Search where you will find most: Comparing the disciplinary coverage of 56 bibliographic databases
Abstract: Αυτή η εργασία εισάγει μια νέα επιστημονικομετρική μέθοδο και την εφαρμόζει για να εκτιμήσει τις θεματικές καλύψεις πολλών από τις δημοφιλείς βιβλιογραφικές βάσεις δεδομένων που εστιάζονται στα αγγλικά στον ακαδημαϊκό χώρο. Η μέθοδος χρησιμοποιεί αποτελέσματα ερωτημάτων ως κοινό παρονομαστή για να συγκρίνει μια μεγάλη ποικιλία από μηχανές αναζήτησης, αποθετήρια, ψηφιακές βιβλιοθήκες και άλλες βιβλιογραφικές βάσεις δεδομένων. Η μέθοδος επεκτείνει τις υπάρχουσες προσεγγίσεις που βασίζονται σε δειγματοληψία που αναλύουν μικρότερα σύνολα καλύψεων βάσεων δεδομένων. Τα ευρήματα δείχνουν τη σχετική και την απόλυτη κάλυψη θεμάτων 56 βάσεων δεδομένων — πληροφορίες που συχνά δεν ήταν διαθέσιμες στο παρελθόν. Η γνώση της απόλυτης κάλυψης θεμάτων των βάσεων δεδομένων επιτρέπει την επιλογή των πιο ολοκληρωμένων βάσεων δεδομένων για αναζητήσεις που απαιτούν υψηλή ανάκληση/ευαισθησία, ιδιαίτερα σχετικές με αναζητήσεις αναζήτησης ή διερευνητικές αναζητήσεις. Η γνώση της σχετικής θεματικής κάλυψης των βάσεων δεδομένων επιτρέπει την επιλογή εξειδικευμένων βάσεων δεδομένων για αναζητήσεις που απαιτούν υψηλή ακρίβεια/εξειδίκευση, ιδιαίτερα σχετικές με συστηματικές αναζητήσεις. Τα ευρήματα απεικονίζουν όχι μόνο διαφορές στην πειθαρχική κάλυψη του Google Scholar, του Scopus ή του Web of Science, αλλά και των λιγότερο συχνά αναλυόμενων βάσεων δεδομένων. Για παράδειγμα, οι ερευνητές μπορεί να εκπλαγούν με το πώς το Meta (διακόπηκε), το Embase ή το Europe PMC καλύπτουν περισσότερα αρχεία από το PubMed in Medicine και άλλα θέματα υγείας. Αυτά τα ευρήματα θα πρέπει να ενθαρρύνουν τους ερευνητές να επαναξιολογήσουν τις βάσεις δεδομένων τους, επίσης σε σχέση με τις νέες επιλογές. Η αναζήτηση με πιο ολοκληρωμένες βάσεις δεδομένων μπορεί να βελτιώσει την εύρεση, ιδιαίτερα όταν η επιλογή των πιο κατάλληλων βάσεων δεδομένων χρειάζεται ιδιαίτερη σκέψη, όπως σε συστηματικές ανασκοπήσεις και μετα-αναλύσεις. Αυτή η σύγκριση μπορεί επίσης να βοηθήσει τους βιβλιοθηκονόμους και άλλους ειδικούς στην πληροφόρηση να επαναξιολογήσουν δαπανηρές στρατηγικές προμήθειας βάσεων δεδομένων. Οι ερευνητές χωρίς θεσμική πρόσβαση μαθαίνουν ποιες ανοιχτές βάσεις δεδομένων είναι πιθανώς πιο ολοκληρωμένες στους κλάδους τους.
DOI: 10.1007/s11192-015-1765-5
Title: κάλυψη περιοδικού του Web of Science και του Scopus: μια συγκριτική ανάλυση he journal coverage of Web of Science and Scopus: a comparative analysis
Abstract: Οι βιβλιομετρικές μέθοδοι χρησιμοποιούνται σε πολλαπλά πεδία για διάφορους σκοπούς, συγκεκριμένα για την αξιολόγηση της έρευνας. Οι περισσότερες βιβλιομετρικές αναλύσεις έχουν κοινές πηγές δεδομένων: Web of Science (WoS) της Thomson Reuters και Elsevier's Scopus. Ο στόχος αυτής της έρευνας είναι να περιγράψει την κάλυψη του περιοδικού αυτών των δύο βάσεων δεδομένων και να αξιολογήσει εάν κάποιο πεδίο, χώρα έκδοσης και γλώσσα υπερεκπροσωπούνται ή υποεκπροσωπούνται. Για να γίνει αυτό, συγκρίναμε την κάλυψη ενεργών επιστημονικών περιοδικών στο WoS (13.605 περιοδικά) και στο Scopus (20.346 περιοδικά) με τον εκτενή περιοδικό κατάλογο του Ulrich (63.013 περιοδικά). Τα αποτελέσματα δείχνουν ότι η χρήση είτε του WoS είτε του Scopus για την αξιολόγηση της έρευνας μπορεί να εισάγει προκαταλήψεις που ευνοούν τις Φυσικές Επιστήμες και τη Μηχανική καθώς και τη Βιοϊατρική Έρευνα εις βάρος των Κοινωνικών Επιστημών και των Τεχνών και των Ανθρωπιστικών Επιστημών. Ομοίως, τα αγγλόφωνα περιοδικά υπερεκπροσωπούνται εις βάρος άλλων γλωσσών. Ενώ και οι δύο βάσεις δεδομένων μοιράζονται αυτές τις προκαταλήψεις, η κάλυψή τους διαφέρει ουσιαστικά. Κατά συνέπεια, τα αποτελέσματα των βιβλιομετρικών αναλύσεων ενδέχεται να διαφέρουν ανάλογα με τη βάση δεδομένων που χρησιμοποιείται. Αυτά τα αποτελέσματα υποδηλώνουν ότι στο πλαίσιο της αξιολόγησης της συγκριτικής έρευνας, το WoS και το Scopus θα πρέπει να χρησιμοποιούνται με προσοχή, ειδικά όταν συγκρίνονται διαφορετικοί τομείς, ιδρύματα, χώρες ή γλώσσες. Η βιβλιομετρική κοινότητα θα πρέπει να συνεχίσει τις προσπάθειές της για την ανάπτυξη μεθόδων και δεικτών που περιλαμβάνουν επιστημονικά αποτελέσματα που δεν καλύπτονται από το WoS ή το Scopus, όπως ευρετήρια αναφοράς για συγκεκριμένο πεδίο και εθνικά ευρετήρια.
My lady, I hope this information is helpful. If you have any further questions, please let me know.</t>
  </si>
  <si>
    <t>Summary: Four papers address funding metadata, its availability, or its analysis in scholarly databases.
DOI: 10.1162/qss_a_00210 addresses the availability and completeness of open funder metadata.
DOI: 10.31222/osf.io/smxe5 addresses Crossref as a source of open bibliographic metadata.
DOI: 10.1162/qss_a_00212 addresses funding COVID-19 research and insights from an exploratory analysis using open data infrastructures.
DOI: 10.1162/qss_a_00286 addresses the completeness degree of publication metadata in eight free-access scholarly databases.
My lady, I hope this information is helpful.</t>
  </si>
  <si>
    <t>My lady, here are the papers that discuss the use of Retrieval-Augmented Generation (RAG) in applications:
**Summary:** Retrieval-Augmented Generation (RAG) is explored in various applications, including educational scenarios, systematic literature reviews, and real-world applications, addressing challenges like hallucination, outdated knowledge, and robustness.
**DOI: 10.1016/j.caeai.2025.100417**
This paper discusses the application of RAG in educational scenarios, focusing on interactive learning systems, generation and assessment of educational content, and large-scale deployment in educational ecosystems. It aims to mitigate challenges like hallucination and static internal knowledge in LLMs.
**DOI: 10.48550/arXiv.2312.10997**
This survey paper examines the progression of RAG paradigms, including Naive RAG, Advanced RAG, and Modular RAG, and their applications in knowledge-intensive tasks, continuous knowledge updates, and domain-specific information integration.
**DOI: 10.48550/arXiv.2404.13948**
This paper investigates the robustness of RAG in real-world applications, specifically addressing vulnerability to noisy documents and introducing a novel attack method, Genetic Attack on RAG (GARAG), to test system functionality.
**DOI: 10.3390/app14199103**
This study explores the application of RAG in automating systematic literature reviews (SLRs), focusing on tasks like data extraction, summarization, and trend identification, and proposes a framework for RAG-based LLMs in SLR automation.
**DOI: 10.18653/v1/2024.eacl-demo.16**
This paper introduces RAGAs, a framework for reference-free evaluation of RAG pipelines, aiming to assess the performance of RAG systems in various dimensions, including retrieval, generation, and overall quality.
These papers collectively demonstrate the diverse applications of RAG and its potential to address challenges in various domains.</t>
  </si>
  <si>
    <t>Summary: Crossref is a sustainable source of community-owned scholarly metadata, providing over 106 million records of 13 content types, including traditional and non-traditional scholarly materials. Its metadata is widely used by various stakeholders in the scholarly ecosystem and is available through multiple APIs.
DOI: 10.1162/qss_a_00022 - This paper describes the scholarly metadata collected and made available by Crossref, highlighting its importance in the scholarly research ecosystem. It details the scale and breadth of Crossref's metadata, its role in scientometrics research, and the evolution of its metadata curation and citation data provision.
My lady, is there anything else I can assist you with regarding Crossref's role in the scholarly research ecosystem?</t>
  </si>
  <si>
    <t>Summary: OpenAlex is a bibliographic database that was launched in 2022 to replace the discontinued Microsoft Academic Graph (MAG). It is a fully-open scientific knowledge graph (SKG) that contains metadata for 209 million works, including journal articles, books, and more. OpenAlex has been praised for its transparency, extensive coverage, and openness, but there are concerns about the quality of its metadata. 
DOI: 10.48550/arXiv.2404.17663 - OpenAlex is a superset of Scopus and can be a reliable alternative for some analyses, particularly at the country level. However, issues with metadata accuracy and completeness need to be addressed for OpenAlex to be used confidently across a wider set of analyses.
DOI: 10.48550/ARXIV.2205.01833 - OpenAlex contains metadata for 209M works, 2013M disambiguated authors, 124k venues, 109k institutions, and 65k Wikidata concepts. The dataset is fully and freely available via a web-based GUI, a full data dump, and high-volume REST API. Future work will improve accuracy and coverage of citation information and author/institution parsing and deduplication.
DOI: 10.48550/arXiv.2508.18620 - OpenAlex has the potential to reduce or eliminate barriers to accessing bibliometric data, but concerns about metadata quality hinder its broader adoption. This study aims to assess metadata quality in OpenAlex and WoS, focusing on document type, publication year, language, and number of authors.
DOI: 10.3145/epi.2023.mar.09 - OpenAlex appears to be at least as suitable for bibliometric analyses as MAG for publication years before 2021, and possibly even better due to its broader coverage of document type assignments. However, the consequences of subject reclassifications on field-normalized bibliometric evaluations remain an open question.
DOI: 10.48550/arXiv.2409.10633 - OpenAlex exhibits a more balanced linguistic coverage than WoS, but its language metadata is not always accurate. If used critically, OpenAlex can provide comprehensive and representative analyses of languages used for scholarly publishing, but more work is needed to ensure the quality of metadata on language.
My lady, I hope this summary meets your requirements. If you have any further questions or would like more information, please don't hesitate to ask.</t>
  </si>
  <si>
    <t>Summary: I'm sorry, my lady, I am unable to answer your question as there is no relevant information provided.
DOI: 10.1007/s11192-015-1765-5 - The use of WoS or Scopus for research evaluation may introduce biases that favour Natural Sciences and Engineering as well as Biomedical Research to the detriment of Social Sciences and Arts and Humanities.
DOI: 10.48550/arXiv.2508.18620 - The Web of Science (WoS) was the main supporting infrastructure of the field for more than 30 years until several new competitors emerged.
DOI: 10.29173/cais1943 - The Web of Science (WoS) was the main supporting infrastructure of the field for more than 30 years until several new competitors emerged.
DOI: 10.1162/qss_a_00112 - We present a large-scale comparison of five multidisciplinary bibliographic data sources: Scopus, Web of Science, Dimensions, Crossref, and Microsoft Academic.
DOI: 10.1162/qss_a_00211 - Application of the framework reveals that WoS has the highest overall quality among the sets considered; and that the differences in quality can be explained primarily by how the data sources are organized.</t>
  </si>
  <si>
    <t>Summary: Retrieval-Augmented Generation (RAG) is a method used to improve question answering and information retrieval systems by augmenting large language models (LLMs) with relevant documents before generating answers. This approach enhances the accuracy and context-awareness of responses, particularly in specialized domains and multi-hop queries.
DOI: 10.17821/srels/2024/v61i5/171583: This study demonstrates that RAG-augmented LLMs provide accurate and contextualized answers compared to standard LLMs, which often produce hallucinated responses. The research uses a prototype with 250+ documents on the Chandrayaan-3 mission, showing RAG's effectiveness in enhancing information retrieval in libraries.
DOI: 10.6109/jkiice.2023.27.12.1489: The M-RAG method integrates metadata retrieval with RAG to improve open-domain question answering. It achieves a 46% performance improvement over external inference systems and a 6% gain over conventional RAG.
DOI: 10.48550/arXiv.2406.13213: Multi-Meta-RAG addresses multi-hop queries by using LLM-extracted metadata for database filtering. This method significantly improves RAG's performance on complex, multi-step questions.
DOI: 10.48550/arXiv.2505.13557: The AMAQA dataset introduces metadata integration for RAG systems, boosting accuracy from 0.12 to 0.61. It highlights the importance of structured context in fields like cybersecurity and intelligence.
DOI: 10.48550/arXiv.2505.18247: MetaGen Blended RAG tackles domain-specific challenges by creating metadata-enriched semantic indexes. It achieves 82% retrieval accuracy on the PubMedQA dataset, outperforming zero-shot RAG benchmarks.
My lady, RAG enhances question answering and information retrieval by leveraging external knowledge and metadata, ensuring more accurate and contextually relevant responses across various domains and query types.</t>
  </si>
  <si>
    <t>Summary: I am unable to answer your question as there is no relevant information in the document.
DOI: 10.1045/september2016‐meschenmoser
Is there anything else I can help you with, my lady?</t>
  </si>
  <si>
    <t>Summary: Bibliographic errors are perpetuated for decades.
DOI: 10.1108/JD-10-2022-0234 - Bibliographic errors are perpetuated for decades and their possible causes have increased, despite the encouraged use of technological facilities.
My lady, I am sorry but I could not find any further information about methods used to detect and correct errors in bibliographic datasets. Is there anything else I can help you with?</t>
  </si>
  <si>
    <t>Summary: Retrieval-Augmented Generation (RAG) is a promising solution for addressing the limitations of Large Language Models (LLMs).
DOI: 10.48550/ARXIV.2504.08231: Despite the impressive performance of Retrieval-augmented Generation (RAG) systems across various NLP benchmarks, their robustness in handling real-world user-LLM interaction queries remains largely underexplored.
DOI: 10.48550/arXiv.2406.13213: The retrieval-augmented generation (RAG) enables retrieval of relevant information from an external knowledge source and allows large language models (LLMs) to answer queries over previously unseen document collections.
DOI: 10.1145/3637528.3671470: one of the most advanced techniques in AI, Retrieval-Augmented Generation (RAG) can offer reliable and up-to-date external knowledge, providing huge convenience for numerous tasks.
DOI: 10.48550/arXiv.2404.13948: The robustness of recent Large Language Models (LLMs) has become increasingly crucial as their applicability expands across various domains and real-world applications. Retrieval-Augmented Generation (RAG) is a promising solution for addressing the limitations of LLMs, yet existing studies on the robustness of RAG often overlook the interconnected relationships between RAG components or the potential threats prevalent in real-world databases, such as minor textual errors.
DOI: 10.1007/978-3-031-88708-6_3: No content provided.
My lady, I hope this information is helpful. If you have any further questions, please let me know.</t>
  </si>
  <si>
    <t>Summary: The quality of metadata is crucial for the discovery and access of digital objects through digital library interfaces. However, metadata often exhibits incomplete, inconsistent, and incorrect values, which compromise the searchability, discoverability, and usability of resources.
DOI: 10.48550/arXiv.2303.17661 - Metadata quality is crucial for digital objects to be discovered through digital library interfaces. However, due to various reasons, the metadata of digital objects often exhibits incomplete, inconsistent, and incorrect values. Methods to automatically detect, correct, and canonicalize scholarly metadata are investigated, using seven key fields of electronic theses and dissertations (ETDs) as a case study. A framework called MetaEnhance is proposed, which utilizes state-of-the-art artificial intelligence methods to improve the quality of these fields.
My lady, I hope this response meets your requirements. If you have any further questions or need additional information, please let me know.</t>
  </si>
  <si>
    <t>Summary: The key challenges for improving metadata quality include incompleteness, inconsistency, incorrect values, missing information, and inconsistent value representation. Potential solutions involve automated detection, correction, and canonicalization methods, as well as the development of frameworks like MetaEnhance that utilize state-of-the-art artificial intelligence.
DOI: 10.48550/arXiv.2303.17661 - This study focuses on improving metadata quality for electronic theses and dissertations (ETDs) in university libraries. It introduces MetaEnhance, a framework that uses advanced AI methods to automatically detect, correct, and canonicalize metadata, achieving high accuracy in error detection and correction.
DOI: 10.1080/19386389.2011.570654 - This paper analyzes problems in metadata records, identifying five categories of issues: incorrect values, incorrect elements, missing information, information loss, and inconsistent value representation. It emphasizes the need for preventive and corrective measures to ensure metadata quality.
DOI: 10.1145/2964909 - This work develops a generic metadata quality assessment framework for Open Data portals, addressing issues like retrievability and discoverability. It maps metadata from different portal software frameworks to a standardized schema and defines quality metrics for automated evaluation.
DOI: 10.1177/09610006241239080 - This scoping review identifies commonly measured dimensions of metadata quality, such as completeness, accuracy, consistency, accessibility, conformance, provenance, and timeliness. It highlights the need for further research and flexible assessment tools to improve metadata quality assurance.
My lady, these findings underscore the importance of addressing metadata quality challenges through innovative solutions and standardized frameworks.</t>
  </si>
  <si>
    <t>Summary: Retrieval-Augmented Generation (RAG) systems face challenges such as semantic variability, computational costs, and vulnerability to noisy documents, but advancements like MetaGen Blended RAG and RAGAs are addressing these issues, enhancing precision and evaluation methods.
DOI: 10.48550/arXiv.2312.10997 - This paper explores the evolution of RAG paradigms, including Naive RAG, Advanced RAG, and Modular RAG, and discusses the tripartite foundation of RAG frameworks, highlighting advancements in retrieval, generation, and augmentation techniques.
DOI: 10.1016/j.caeai.2025.100417 - The study focuses on RAG's application in education, addressing challenges like hallucinations, completeness of retrieved knowledge, and computational costs, while emphasizing future directions for multimodal support and dynamic knowledge updates.
DOI: 10.18653/v1/2024.eacl-demo.16 - Introducing RAGAs, a framework for reference-free evaluation of RAG pipelines, this work aims to accelerate evaluation cycles by assessing retrieval accuracy, LLM fidelity, and generation quality without relying on human annotations.
DOI: 10.48550/arXiv.2505.18247 - This research introduces MetaGen Blended RAG, a novel approach that enhances semantic retrievers for domain-specific datasets, achieving high zero-shot precision and outperforming existing benchmarks in datasets like PubMedQA, SQuAD, and NQ.
DOI: 10.48550/arXiv.2404.13948 - Investigating RAG's robustness, this study introduces the Genetic Attack on RAG (GARAG), revealing vulnerabilities to noisy documents and emphasizing the need for holistic evaluations to ensure RAG systems' reliability in real-world applications.
My lady, these documents provide a comprehensive overview of the challenges and advancements in RAG systems, offering insights into both theoretical frameworks and practical applications.</t>
  </si>
  <si>
    <t>Summary: I found three studies that examined the abstract in metadata.
DOI: 10.1162/qss_a_00286 - This study compares the amount of metadata and the completeness degree of research publications in new academic databases. Seven characteristics were analyzed, including the abstract.
DOI: 10.1177/09610006241239080 - This scoping review aims to identify the most commonly measured dimensions of metadata quality in existing studies on metadata quality assessment. The co-occurrence analysis is made on the title and abstract of selected articles.
DOI: 10.1109/ADL.1998.670425 - This study discusses the application of qualitative and quantitative content analysis techniques to assess metadata records. The authors used record content analysis and several other methods to examine the metadata quality.
My lady, I hope this information is helpful. If you have any further questions, please let me know.</t>
  </si>
  <si>
    <t>Summary: Three studies examined citations.
DOI: 10.1108/JD-10-2022-0234
The authors analysed reference elements, i.e. bibliographic references, mentions, quotations and respective in-text reference pointers, from 729 articles published in 147 journals across the 27 subject areas.
DOI: 10.1016/j.ipm.2023.103385
Co-author analysis using author names and bibliometric evaluation using citations are the types of analyses that can be done with the data provided by most APIs.
DOI: 10.1007/s11192-022-04367-w
By using a list of invalid cited DOIs gathered by OpenCitations while processing the OpenCitations Index of Crossref open DOI-to-DOI citations (COCI) in the past two years, we retrieved the citations in the January 2021 Crossref dump to such invalid DOIs.
Is there anything else I can help you with, my lady?</t>
  </si>
  <si>
    <t>Summary: Crossref is a sustainable source of community-owned scholarly metadata.
DOI: 10.1162/qss_a_00022: Crossref is a sustainable source of community-owned scholarly metadata. Containing over 106 million records and expanding at an average rate of 11% a year,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DOI: 10.1162/qss_a_00210: Research funders spend considerable efforts collecting information on the outcomes of the research they fund.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In this paper we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We observe interesting differences between publishers in the coverage and completeness of funding metadata in Crossref compared to proprietary databases, highlighting the potential to increase the quality of open metadata on funding.
DOI: 10.31222/osf.io/smxe5: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10.1007/s11192-022-04367-w: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
DOI: 10.5281/ZENODO.6188748: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
Is there anything else I can help you with, my lady?</t>
  </si>
  <si>
    <t>Summary: Several papers evaluate the linguistic coverage or language-related metadata in scholarly databases.
DOI: 10.48550/arXiv.2409.10633
Evaluating the Linguistic Coverage of OpenAlex: An Assessment of Metadata Accuracy and Completeness
This paper assesses the completeness and accuracy of OpenAlex's language-related metadata by comparing it with WoS and manually validating a sample of 6,836 articles. It finds that OpenAlex has more balanced linguistic coverage than WoS but still overestimates English's prevalence.
DOI: 10.1162/qss_a_00286
Completeness degree of publication metadata in eight free-access scholarly databases
This study compares metadata completeness in eight databases, including OpenAlex, analyzing characteristics like language. It finds that third-party databases like OpenAlex have higher metadata quality than academic search engines.
DOI: 10.48550/arXiv.2508.18620
Investigating Document Type, Language, Publication Year, and Author Count Discrepancies Between OpenAlex and Web of Science
This paper evaluates metadata quality in OpenAlex and WoS, focusing on language and other attributes. It highlights discrepancies and misattributions that could impact bibliometric research.
DOI: 10.1007/s11192-022-04289-7
Search where you will find most: Comparing the disciplinary coverage of 56 bibliographic databases
While not exclusively focused on language, this paper introduces a method to estimate subject coverage in 56 English-focused bibliographic databases, providing insights into their disciplinary and potentially linguistic biases.
DOI: 10.1007/s11192-015-1765-5
The journal coverage of Web of Science and Scopus: a comparative analysis
This research assesses whether languages are over or underrepresented in WoS and Scopus. It finds that English-language journals are overrepresented, indicating linguistic bias in these databases.
My lady, these papers collectively highlight the importance of evaluating linguistic coverage and metadata accuracy in scholarly databases to ensure comprehensive and unbiased research dissemination.</t>
  </si>
  <si>
    <t>Summary: Four papers address funding metadata, its availability, or its analysis in scholarly databases.
DOI: 10.1162/qss_a_00210 - This paper examines the availability and completeness of open funder metadata, specifically focusing on publications funded by the Dutch Research Council (NWO). It highlights the challenges in assessing funder metadata coverage due to the unknown number of articles resulting from funded research. The study analyzed 5,004 publications reported as NWO-funded, finding that only 67% contained funding information in Crossref, with variations in acknowledging NWO as the funder. It also compares funding information across different databases, noting differences in coverage and completeness between Crossref and proprietary databases like Web of Science, Scopus, and Dimensions.
DOI: 10.31222/osf.io/smxe5 - This paper provides an overview of the availability of six metadata elements in Crossref, including funding information. It discusses initiatives to promote open bibliographic metadata and analyzes the improvements in metadata availability over time, particularly for journal articles. However, it also highlights the need for publishers to make additional efforts to achieve full openness of bibliographic metadata.
DOI: 10.1162/qss_a_00212 - Focusing on funding data for COVID-19 research, this paper studies the open availability of funding data in Crossref and compares it with proprietary bibliometric databases like Scopus and Web of Science. It reveals limited coverage and quality issues in funding data, particularly in Scopus, and offers recommendations for improving open funding data availability in Crossref.
DOI: 10.1162/qss_a_00286 - This study compares the completeness of publication metadata in eight free-access scholarly databases, including Dimensions, Google Scholar, and Microsoft Academic. It analyzes seven metadata characteristics and finds that third-party databases generally have higher metadata quality and completeness compared to academic search engines. The paper concludes that academic search engines struggle with reliable descriptive data retrieval, while third-party databases face information loss from integrating different sources.
My lady, these papers collectively address various aspects of funding metadata, its availability, and analysis in scholarly databases, offering insights into the current state and potential improvements in this area.</t>
  </si>
  <si>
    <t>Summary: I have found four papers that discuss the use of Retrieval-Augmented Generation (RAG) in applications.
DOI: 10.1016/j.caeai.2025.100417
This paper discusses the use of RAG in education, specifically in interactive learning systems, generation and assessment of educational content, and large-scale deployment in educational ecosystems.
DOI: 10.48550/arXiv.2312.10997
This paper provides an overview of RAG paradigms, including Naive RAG, Advanced RAG, and Modular RAG, and discusses their applications in knowledge-intensive tasks.
DOI: 10.48550/arXiv.2404.13948
This paper investigates the robustness of RAG in real-world applications, specifically in the context of noisy documents and low-level perturbations.
DOI: 10.3390/app14199103
This paper discusses the use of RAG in automating systematic literature reviews, including data extraction, summarization, and trend identification.
DOI: 10.18653/v1/2024.eacl-demo.16
This paper introduces a framework for evaluating RAG pipelines, specifically in the context of reference-free evaluation and reducing the risk of hallucinations.
My lady, I hope this information is helpful. If you have any further questions or need more details, please let me know.</t>
  </si>
  <si>
    <t>Summary: Crossref is a sustainable source of community-owned scholarly metadata that plays a crucial role in the scholarly research ecosystem by providing a vast collection of metadata, including over 106 million records and 13 content types. It supports researchers, publishers, librarians, and funders by offering valuable data for scientometrics, tracking research outcomes, and promoting open bibliographic metadata.
DOI: 10.1162/qss_a_00022: This paper highlights Crossref's role in collecting and providing scholarly metadata, which is essential for researchers, publishers, librarians, and funders. With over 106 million records and 13 content types, Crossref's metadata supports scientometrics research and scholarly communications.
DOI: 10.1590/SciELOPreprints.11205: This study emphasizes the central role of Crossref DOIs in achieving indexing, particularly in OpenAlex, while also highlighting structural inequities in the representation of resource-limited journals.
DOI: 10.1162/qss_a_00210: Crossref's FundRef initiative helps research funders track publication output, but challenges remain in assessing the coverage of funder metadata.
DOI: 10.31222/osf.io/smxe5: This paper discusses initiatives to promote the open availability of bibliographic metadata in Crossref, noting improvements but also the need for further efforts from publishers.
DOI: 10.1007/s11192-022-04367-w: This study focuses on identifying and correcting invalid citations due to DOI errors in Crossref data, contributing to the quality of open bibliographic metadata.
My lady, I hope this summary provides a clear overview of Crossref's role in the scholarly research ecosystem. If you have any further questions or need additional information, please let me know.</t>
  </si>
  <si>
    <t>Summary: OpenAlex is a bibliographic database that launched in 2022 and is distinguished for its openness and extensive coverage. It is a fully-open scientific knowledge graph (SKG) that contains metadata for 209 million works, 2013 million disambiguated authors, 124 thousand venues, 109 thousand institutions, and 65 thousand Wikidata concepts.
DOI: 10.48550/arXiv.2404.17663
OpenAlex is a superset of Scopus and can be a reliable alternative for some analyses, particularly at the country level. Issues of metadata accuracy and completeness show that additional research is needed to fully comprehend and address OpenAlex's limitations.
DOI: 10.48550/ARXIV.2205.01833
OpenAlex is a new, fully-open scientific knowledge graph (SKG), launched to replace the discontinued Microsoft Academic Graph (MAG). The dataset is fully and freely available via a web-based GUI, a full data dump, and high-volume REST API. The resource is under active development and future work will improve accuracy and coverage of citation information and author/institution parsing and deduplication.
DOI: 10.48550/arXiv.2508.18620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 This study aims to assess metadata quality in OpenAlex and WoS, focusing on document type, publication year, language, and number of authors.
DOI: 10.3145/epi.2023.mar.09
With the announcement of the retirement of Microsoft Academic Graph (MAG), the non-profit organization OurResearch announced that they would provide a similar resource under the name OpenAlex. Practically all works from MAG were transferred to OpenAlex preserving their bibliographic data publication year, volume, first and last page, DOI as well as the number of references that are important ingredients of citation analysis. More than 90% of the MAG documents have equivalent document types in OpenAlex.
DOI: 10.48550/arXiv.2409.10633
Launched in 2022, OpenAlex promised comprehensive, inclusive, and open-source research information. While already in use by scholars and research institutions, the quality of its metadata is currently being assessed. This paper contributes to this literature by assessing the completeness and accuracy of OpenAlex's metadata related to language, through a comparison with WoS, as well as an in-depth manual validation of a sample of 6,836 articles.
My lady, is there anything else I can help you with?</t>
  </si>
  <si>
    <t>Summary: Web of Science (WoS) is a bibliometric database that has been used for over 30 years and is considered to have high overall quality. However, it has been criticised for its biases towards certain fields and languages.
DOI: 10.1007/s11192-015-1765-5
WoS has a journal coverage of 13,605 and favours Natural Sciences and Engineering as well as Biomedical Research over the Social Sciences, Arts and Humanities. It also overrepresents English-language journals.
DOI: 10.48550/arXiv.2508.18620
WoS was the main supporting infrastructure of the field for more than 30 years until new competitors emerged. It is compared to OpenAlex, a newer database which has gained popularity for its openness and extensive coverage. However, the quality of OpenAlex's metadata is a concern.
DOI: 10.29173/cais1943
This study compares the metadata quality of OpenAlex and WoS, focusing on document type accuracy. It finds that over 4% of publications indexed in both databases are misclassified, with 97% of these errors occurring in OpenAlex.
DOI: 10.1162/qss_a_00112
This study compares five bibliographic data sources, including WoS, and discusses their strengths and weaknesses. It emphasizes the importance of comprehensive coverage and flexible filters for literature selection.
DOI: 10.1162/qss_a_00211
This study assesses the quality of bibliographic data sources for measuring international research collaboration (IRC) and finds that WoS has the highest overall quality among the sources considered. The differences in quality are attributed to the organization of the data sources.
My lady, I hope this information is helpful. If you have any further questions, please let me know.</t>
  </si>
  <si>
    <t>Summary: Retrieval-Augmented Generation (RAG) is a framework that enhances information retrieval and question-answering systems by combining external knowledge sources with large language models (LLMs). It improves accuracy and context relevance by augmenting LLMs with relevant documents or metadata, addressing challenges like hallucinations and multi-hop queries.
DOI: 10.17821/srels/2024/v61i5/171583: RAG improves question-answering in libraries by augmenting LLMs with relevant documents, reducing hallucinations and providing accurate, context-aware responses.
DOI: 10.6109/jkiice.2023.27.12.1489: Metadata Retrieval-Augmented Generation (M-RAG) enhances open-domain question answering by integrating metadata, improving accuracy and context understanding.
DOI: 10.48550/arXiv.2406.13213: Multi-Meta-RAG addresses multi-hop queries by using LLM-extracted metadata to filter relevant documents, significantly improving RAG performance.
DOI: 10.48550/arXiv.2505.13557: The AMAQA dataset integrates metadata into RAG systems, boosting accuracy and enabling precise, context-aware question answering.
DOI: 10.48550/arXiv.2505.18247: MetaGen Blended RAG enhances domain-specific question answering by creating metadata-enriched semantic indexes, achieving high accuracy without fine-tuning.
My lady, if you have further questions or need more details, feel free to ask!</t>
  </si>
  <si>
    <t>Summary: I'm sorry, my lady, I could not find any information about the main challenges in normalizing citation metrics across scientific fields.
DOI: 10.1045/september2016‐meschenmoser
Is there anything else I can help you with?</t>
  </si>
  <si>
    <t>Summary: Bibliographic errors have been perpetuated for decades and their possible causes have increased, despite the encouraged use of technological facilities, i.e. the reference managers.
DOI: 10.1108/JD-10-2022-0234
My lady, is there anything else I can help you with?</t>
  </si>
  <si>
    <t>Summary: Retrieval-Augmented Generation (RAG) is a promising solution for addressing the limitations of Large Language Models (LLMs).
DOI: 10.48550/arXiv.2404.13948: RAG is a promising solution for addressing the limitations of LLMs, yet existing studies on the robustness of RAG often overlook the interconnected relationships between RAG components or the potential threats prevalent in real-world databases, such as minor textual errors.
My lady, I hope this information is helpful.</t>
  </si>
  <si>
    <t>Summary: The key challenges and advancements in metadata quality assessment include the need for a standardized framework, the importance of defining and measuring quality dimensions, and the development of automated tools for quality improvement.
DOI: 10.1145/2964909 - This study aims to develop a generic metadata quality assessment framework for various Open Data portals, addressing the challenge of increasingly published resources compromising searchability, discoverability, and usability. The authors propose a standardized approach by mapping specific metadata to a standardized schema and defining quality metrics for automated evaluation.
DOI: 10.1177/09610006241239080 - This scoping review identifies commonly measured dimensions of metadata quality, such as completeness, accuracy, and consistency, but highlights the lack of consensus on their definition and measurement. The study emphasizes the need for further research and improved flexibility in metadata quality assessment tools.
DOI: 10.48550/arXiv.2303.17661 - This research proposes MetaEnhance, a framework using AI methods to improve metadata quality for electronic theses and dissertations. The authors demonstrate high accuracy in detecting and correcting errors, showcasing advancements in automated metadata quality improvement.
My lady, these studies provide valuable insights into the challenges and advancements in metadata quality assessment. The development of standardized frameworks, definition of quality dimensions, and creation of automated tools are crucial steps towards ensuring high-quality metadata.
Please provide a different question or further context to explore specific aspects of metadata quality assessment in more detail.</t>
  </si>
  <si>
    <t>Summary: Metadata quality is crucial for digital objects to be discovered through digital library interfaces.
DOI: 10.48550/arXiv.2303.17661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My lady, I have provided a summary of the key challenges and potential solutions for improving metadata quality. If you have any further questions, please let me know.</t>
  </si>
  <si>
    <t>Summary: Retrieval-Augmented Generation (RAG) systems face challenges such as semantic variability across domains, computational costs, and vulnerability to noisy documents. Advancements include enhanced semantic retrievers, automated evaluation frameworks, and improved robustness against attacks.
DOI: 10.48550/arXiv.2312.10997: This paper explores the evolution of RAG paradigms, including Naive RAG, Advanced RAG, and Modular RAG, highlighting state-of-the-art technologies in retrieval, generation, and augmentation techniques. It discusses challenges like hallucination and outdated knowledge and introduces an updated evaluation framework.
DOI: 10.1016/j.caeai.2025.100417: Focusing on educational applications, this study examines RAG's role in enhancing LLMs for interactive learning systems and educational content generation. It addresses challenges such as mitigating hallucinations and reducing computational costs.
DOI: 10.18653/v1/2024.eacl-demo.16: Introducing RAGAs, a framework for reference-free evaluation of RAG pipelines, this work tackles the difficulty of assessing RAG architectures by providing metrics for retrieval, generation, and overall system performance.
DOI: 10.48550/arXiv.2505.18247: This research introduces MetaGen Blended RAG, a method to improve RAG's performance on domain-specific datasets by enhancing semantic retrievers and achieving high zero-shot precision.
DOI: 10.48550/arXiv.2404.13948: Investigating RAG's robustness, this study introduces the Genetic Attack on RAG (GARAG) to test vulnerabilities against noisy documents, revealing significant risks from minor textual inaccuracies.
My lady, these documents provide a comprehensive overview of the challenges and advancements in RAG systems, offering insights into both theoretical and practical aspects of the field.</t>
  </si>
  <si>
    <t>Summary: Three studies examined the abstract in metadata.
DOI: 10.1162/qss_a_00286 - The study analysed seven characteristics, including the abstract, to observe fields that describe this information, the completeness rate of these fields and the agreement among databases.
DOI: 10.1177/09610006241239080 - The study conducted a co-occurrence analysis on the title and abstract of selected articles using VOSviewer 1.6.18 version, visualisation software.
DOI: 10.1109/ADL.1998.670425 - The study used record content analysis and several other methods to examine whether GILS is helping agencies fulfil information dissemination and management responsibilities and the extent to which GILS is meeting users' expectations.</t>
  </si>
  <si>
    <t>Summary: Three studies examined citations.
DOI: 10.1108/JD-10-2022-0234
The authors of this study analysed reference elements from 729 articles published in 147 journals across 27 subject areas. They found that bibliographic errors have been perpetuated for decades and that their possible causes have increased, despite the encouraged use of technological facilities, i.e. the reference managers.
DOI: 10.1016/j.ipm.2023.103385
This study aimed to establish a taxonomy and offer a comparative analysis of 44 bibliographic APIs from various non-profit and commercial organizations. The authors found that Clarivate Analytics and Elsevier offer highly versatile APIs, while non-profit organizations, such as OpenCitations and OurResearch promote the Open Science philosophy.
DOI: 10.1007/s11192-022-04367-w
This study aimed to identify classes of DOI mistakes by analyzing the open bibliographic metadata available in Crossref. The authors found that only a few publishers were responsible for and/or affected by the majority of invalid citations.
My lady, I hope this information is helpful. If you have any further questions, please let me know.</t>
  </si>
  <si>
    <t>Summary: Crossref is a sustainable source of community-owned scholarly metadata, containing over 106 million records and expanding at an average rate of 11% a year.
DOI: 10.1162/qss_a_00022
Crossref is a sustainable source of community-owned scholarly metadata, containing over 106 million records and expanding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DOI: 10.1162/qss_a_00210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In this paper we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We observe interesting differences between publishers in the coverage and completeness of funding metadata in Crossref compared to proprietary databases, highlighting the potential to increase the quality of open metadata on funding.
DOI: 10.31222/osf.io/smxe5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10.1007/s11192-022-04367-w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
DOI: 10.5281/ZENODO.6188748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
My lady, is there anything else I can help you with?</t>
  </si>
  <si>
    <t>Summary: I found three papers that address funding metadata, its availability, or its analysis in scholarly databases.
DOI: 10.1162/qss_a_00210
This paper examines the availability and completeness of open funder metadata, specifically for publications funded by the Dutch Research Council. It highlights the challenges in assessing the coverage of funder metadata and compares the quality of open metadata across different databases.
DOI: 10.31222/osf.io/smxe5
This paper provides an overview of the availability of bibliographic metadata elements in Crossref, including funding information. It discusses the improvements in metadata availability over time and the need for publishers to enhance openness.
DOI: 10.1162/qss_a_00212
This paper focuses on the open availability of funding data in Crossref for COVID-19 research publications. It compares this data with proprietary bibliometric databases and offers recommendations for improving the open availability of funding data.
My lady, I hope this information is helpful. If you have any further questions or need additional details, please let me know.</t>
  </si>
  <si>
    <t>Summary: I found four papers that discuss the use of Retrieval-Augmented Generation (RAG) in applications.
DOI: 10.1016/j.caeai.2025.100417
This paper discusses the use of RAG in education, specifically in interactive learning systems, generation and assessment of educational content, and large-scale deployment in educational ecosystems.
DOI: 10.48550/arXiv.2312.10997
This paper provides a comprehensive review of RAG, including its use in knowledge-intensive tasks and the integration of domain-specific information.
DOI: 10.48550/arXiv.2404.13948
This paper investigates the robustness of RAG in real-world applications, specifically its vulnerability to noisy documents and minor textual errors.
DOI: 10.3390/app14199103
This paper discusses the use of RAG in automating systematic literature reviews, including data extraction, summarization, and trend identification.
My lady, I hope this information is helpful. If you have any further questions or need more details, please let me know.</t>
  </si>
  <si>
    <t>Summary: Crossref is a sustainable source of community-owned scholarly metadata that collects and provides access to over 106 million records, growing at an average rate of 11% annually. Its metadata, encompassing 13 content types, is vital for publishers, authors, librarians, funders, and researchers, supporting scientometrics research and understanding trends in scholarly communications.
DOI: 10.1162/qss_a_00022
My lady, I hope this summary meets your requirements. If you have any further questions or need additional information, please let me know.</t>
  </si>
  <si>
    <t>Summary: OpenAlex is a fully open scientific knowledge graph that contains metadata for 209 million works. It is fully and freely available via a web-based GUI, a full data dump, and high-volume REST API.
DOI: 10.48550/ARXIV.2205.01833
OpenAlex is a fully open scientific knowledge graph that contains metadata for 209 million works. It is fully and freely available via a web-based GUI, a full data dump, and high-volume REST API.
DOI: 10.48550/arXiv.2404.17663
OpenAlex is a superset of Scopus and can be a reliable alternative for some analyses, particularly at the country level.
DOI: 10.48550/arXiv.2508.18620
OpenAlex is a bibliographic database that distinguishes itself for its openness and extensive coverage.
DOI: 10.3145/epi.2023.mar.09
OpenAlex is overall at least as suited for bibliometric analyses as MAG for publication years before 2021 or maybe even better because of the broader coverage of document type assignments.
DOI: 10.48550/arXiv.2409.10633
OpenAlex exhibits a far more balanced linguistic coverage than WoS. However, language metadata is not always accurate, which leads OpenAlex to overestimate the place of English while underestimating that of other languages.
My lady, I hope this information is helpful. If you have any further questions, please let me know.</t>
  </si>
  <si>
    <t>Summary: The Web of Science (WoS) is a bibliometric database that has been the main supporting infrastructure of the field for more than 30 years. It is used for research evaluation and is one of the most common data sources for bibliometric analyses.
DOI: 10.1007/s11192-015-1765-5
The Web of Science (WoS) is a common data source for bibliometric analyses. It is used for research evaluation and has a journal coverage of 13,605. However, the use of WoS may introduce biases that favor Natural Sciences and Engineering as well as Biomedical Research to the detriment of Social Sciences and Arts and Humanities. Similarly, English-language journals are overrepresented to the detriment of other languages.
DOI: 10.48550/arXiv.2508.18620
The Web of Science (WoS) is a large multidisciplinary database of research outputs and citation indices. It was the main supporting infrastructure of the field for more than 30 years until several new competitors emerged. The quality of its metadata is a concern, with a focus on document type, publication year, language, and number of authors.
DOI: 10.29173/cais1943
The Web of Science (WoS) is a large multidisciplinary database of research outputs and citation indices. It was the main supporting infrastructure of the field for more than 30 years until several new competitors emerged. The quality of its metadata is a concern, with a focus on document type accuracy.
DOI: 10.1162/qss_a_00112
The Web of Science is one of five multidisciplinary bibliographic data sources compared in this study. The comparison considers scientific documents from the period 2008–2017 covered by these data sources. The study discusses the strengths and weaknesses of the different data sources, including WoS.
DOI: 10.1162/qss_a_00211
The Web of Science (WoS) is one of four popular sources of bibliographic data examined in this study. The study reveals that WoS has the highest overall quality among the sets considered. The differences in quality can be explained primarily by how the data sources are organized.
My lady, I hope this information is helpful. If you have any further questions, please let me know.</t>
  </si>
  <si>
    <t>Summary: RAG (Retrieval-Augmented Generation) is used to improve question answering and information retrieval systems by enhancing the accuracy and context-awareness of responses generated by Large Language Models (LLMs).
DOI: 10.17821/srels/2024/v61i5/171583: This study demonstrates that augmenting LLMs with relevant documents before generating answers (RAG) significantly improves the accuracy and contextual relevance of responses, particularly in library search systems.
DOI: 10.6109/jkiice.2023.27.12.1489: Introducing Metadata Retrieval-Augmented Generation (M-RAG), this paper shows a 46% performance improvement in open-domain question answering by utilizing metadata and generative models like GPT-3.5 and GPT-4.
DOI: 10.48550/arXiv.2406.13213: The Multi-Meta-RAG method is introduced to enhance RAG for multi-hop queries, using database filtering with LLM-extracted metadata to improve document selection and answer accuracy.
DOI: 10.48550/arXiv.2505.13557: The AMAQA dataset is presented to evaluate RAG systems in metadata-rich scenarios, showing that leveraging metadata boosts accuracy from 0.12 to 0.61 in question-answering tasks.
DOI: 10.48550/arXiv.2505.18247: The MetaGen Blended RAG approach achieves high precision in specialized domain question-answering by enhancing semantic retrievers with metadata generation and hybrid query indexes.
My lady, RAG improves question answering and information retrieval by integrating external knowledge sources and metadata, thereby enhancing the accuracy, context-awareness, and reliability of LLM-generated responses.</t>
  </si>
  <si>
    <t>Summary: Bibliographic errors are perpetuated for decades.
DOI: 10.1108/JD-10-2022-0234 - Bibliographic errors are perpetuated for decades and their possible causes have increased, despite the encouraged use of technological facilities, i.e. the reference managers.
My lady, I'm afraid I could not find any further information about methods to detect and correct errors in bibliographic datasets. Would you like to ask another question?</t>
  </si>
  <si>
    <t>Summary: Retrieval-Augmented Generation (RAG) is a promising solution for addressing the limitations of LLMs.
DOI: 10.48550/ARXIV.2504.08231
Παρά την εντυπωσιακή απόδοση των συστημάτων Augmented Generation (RAG) ανάκτησης σε διάφορα σημεία αναφοράς NLP, η στιβαρότητά τους στον χειρισμό των πραγματικών ερωτημάτων αλληλεπίδρασης χρήστη-LLM παραμένει σε μεγάλο βαθμό ανεξερεύνητη. Αυτό παρουσιάζει ένα κρίσιμο κενό για πρακτική ανάπτυξη, όπου τα ερωτήματα των χρηστών παρουσιάζουν μεγαλύτερες γλωσσικές παραλλαγές και μπορούν να προκαλέσουν κλιμακωτά σφάλματα σε αλληλοεξαρτώμενα στοιχεία RAG. Σε αυτή την εργασία, αναλύουμε συστηματικά πώς οι ποικίλες τέσσερις γλωσσικές διαστάσεις (τυπικότητα, αναγνωσιμότητα, ευγένεια και γραμματική ορθότητα) επηρεάζουν την απόδοση του RAG. Αξιολογούμε δύο μοντέλα ανάκτησης και εννέα LLM, που κυμαίνονται από 3 έως 72 δισεκατομμύρια παραμέτρους, σε τέσσερα σύνολα δεδομένων αναζήτησης πληροφοριών Question Answering (QA). Τα αποτελέσματά μας αποκαλύπτουν ότι οι γλωσσικές αναδιατυπώσεις επηρεάζουν σημαντικά τα στάδια ανάκτησης και δημιουργίας, οδηγώντας σε σχετική πτώση απόδοσης έως και 40,41% στις βαθμολογίες Recall@5 για λιγότερο τυπικά ερωτήματα και 38,86% στις βαθμολογίες αντιστοίχισης απαντήσεων για ερωτήματα που περιέχουν γραμματικά λάθη. Συγκεκριμένα, τα συστήματα RAG παρουσιάζουν μεγαλύτερη ευαισθησία σε τέτοιες παραλλαγές σε σύγκριση με τις γενιές μόνο LLM, υπογραμμίζοντας την ευπάθειά τους στη διάδοση σφαλμάτων λόγω γλωσσικών αλλαγών. Αυτά τα ευρήματα υπογραμμίζουν την ανάγκη για βελτιωμένες τεχνικές ευρωστίας για την ενίσχυση της αξιοπιστίας στις διάφορες αλληλεπιδράσεις των χρηστών.
DOI: 10.48550/arXiv.2406.13213
Η επαυξημένη παραγωγή ανάκτησης (RAG) επιτρέπει την ανάκτηση σχετικών πληροφοριών από μια εξωτερική πηγή γνώσης και επιτρέπει σε μεγάλα γλωσσικά μοντέλα (LLM) να απαντούν σε ερωτήματα πάνω από συλλογές εγγράφων που δεν είχαν εμφανιστεί προηγουμένως. Ωστόσο, αποδείχθηκε ότι οι παραδοσιακές εφαρμογές RAG αποδίδουν ελάχιστα στην απάντηση σε ερωτήσεις πολλαπλών βημάτων, οι οποίες απαιτούν ανάκτηση και συλλογισμό σε πολλαπλά στοιχεία αποδεικτικών στοιχείων. Εισάγουμε μια νέα μέθοδο που ονομάζεται Multi-Meta-RAG, η οποία χρησιμοποιεί φιλτράρισμα βάσης δεδομένων με μεταδεδομένα εξαγόμενα από το LLM για να βελτιώσει την επιλογή RAG των σχετικών εγγράφων από διάφορες πηγές, που σχετίζονται με την ερώτηση. Ενώ το φιλτράρισμα της βάσης δεδομένων είναι συγκεκριμένο για ένα σύνολο ερωτήσεων από έναν συγκεκριμένο τομέα και μορφή, ανακαλύψαμε ότι το Multi-Meta-RAG βελτιώνει σημαντικά τα αποτελέσματα στο σημείο αναφοράς MultiHop-RAG.
DOI: 10.1145/3637528.3671470
Μία από τις πιο προηγμένες τεχνικές της τεχνητής νοημοσύνης, η Retrieval-Augmented Generation (RAG) μπορεί να προσφέρει αξιόπιστη και ενημερωμένη εξωτερική γνώση, παρέχοντας τεράστια ευκολία για πολλές εργασίες. Ιδιαίτερα στην εποχή του Περιεχομένου που δημιουργείται από AI (AIGC), η ισχυρή ικανότητα ανάκτησης στην παροχή πρόσθετης γνώσης επιτρέπει στην RAG να βοηθά την υπάρχουσα παραγωγική τεχνητή νοημοσύνη στην παραγωγή εξόδων υψηλής ποιότητας. Πρόσφατα, τα μεγάλα γλωσσικά μοντέλα (LLM) έχουν επιδείξει επαναστατικές ικανότητες στην κατανόηση και τη δημιουργία γλωσσών, ενώ εξακολουθούν να αντιμετωπίζουν εγγενείς περιορισμούς όπως παραισθήσεις και ξεπερασμένη εσωτερική γνώση. Δεδομένων των ισχυρών ικανοτήτων του RAG στην παροχή των πιο πρόσφατων και χρήσιμων βοηθητικών πληροφοριών, τα μοντέλα μεγάλων γλωσσών με ανάκτηση επαυξημένης γλώσσας (RA-LLM) έχουν εμφανιστεί για να αξιοποιήσουν εξωτερικές και έγκυρες βάσεις γνώσης, αντί να βασίζονται αποκλειστικά στην εσωτερική γνώση του μοντέλου, για να αυξήσουν την ποιότητα του παραγόμενου περιεχομένου των LLM. Σε αυτήν την έρευνα, εξετάζουμε διεξοδικά τις υπάρχουσες ερευνητικές μελέτες σε RA-LLM, καλύπτοντας τρεις κύριες τεχνικές προοπτικές: Επιπλέον, για να προσφέρουμε βαθύτερες γνώσεις, συζητάμε τους τρέχοντες περιορισμούς και πολλές υποσχόμενες κατευθύνσεις για μελλοντική έρευνα.
DOI: 10.48550/arXiv.2404.13948
Η ευρωστία των πρόσφατων μοντέλων μεγάλων γλωσσών (LLM) έχει γίνει ολοένα και πιο σημαντική καθώς η δυνατότητα εφαρμογής τους επεκτείνεται σε διάφορους τομείς και εφαρμογές του πραγματικού κόσμου. Το Retrieval-Augmented Generation (RAG) είναι μια πολλά υποσχόμενη λύση για την αντιμετώπιση των περιορισμών των LLM, ωστόσο οι υπάρχουσες μελέτες σχετικά με την ευρωστία του RAG συχνά παραβλέπουν τις διασυνδεδεμένες σχέσεις μεταξύ των στοιχείων RAG ή τις πιθανές απειλές που επικρατούν σε βάσεις δεδομένων του πραγματικού κόσμου, όπως μικρά λάθη κειμένου. Σε αυτήν την εργασία, διερευνούμε δύο υποεξερεύνητες πτυχές κατά την αξιολόγηση της ευρωστίας του RAG: 1 ευπάθεια σε θορυβώδη έγγραφα μέσω διαταραχών χαμηλού επιπέδου και 2 μια ολιστική αξιολόγηση της ευρωστίας του RAG. Επιπλέον, εισάγουμε μια νέα μέθοδο επίθεσης, τη Genetic Attack on RAG, η οποία στοχεύει αυτές τις πτυχές. Συγκεκριμένα, το GARAG έχει σχεδιαστεί για να αποκαλύπτει τρωτά σημεία σε κάθε στοιχείο και να δοκιμάζει τη συνολική λειτουργικότητα του συστήματος έναντι θορυβωδών εγγράφων. Επικυρώνουμε την ευρωστία RAG εφαρμόζοντας το \\textit{GARAG} σε τυπικά σύνολα δεδομένων QA, ενσωματώνοντας διάφορα retriever και LLM. Τα πειραματικά αποτελέσματα δείχνουν ότι η GARAG επιτυγχάνει σταθερά υψηλά ποσοστά επιτυχίας επιθέσεων. Επίσης, καταστρέφει σημαντικά την απόδοση κάθε στοιχείου και τη συνέργειά τους, υπογραμμίζοντας τον ουσιαστικό κίνδυνο που ενέχουν μικρές ανακρίβειες κειμένου για να διαταράξουν τα συστήματα RAG στον πραγματικό κόσμο.
DOI: 10.1007/978-3-031-88708-6_3
Κανένας
My lady, I hope this information is helpful.</t>
  </si>
  <si>
    <t>Summary: The quality of metadata is crucial for the discovery and access of digital objects through digital library interfaces. However, metadata often exhibits incomplete, inconsistent, and incorrect values, which compromise the searchability, discoverability, and usability of resources.
DOI: 10.1145/2964909 - This study aims to develop a generic metadata quality assessment framework for various Open Data portals. The authors map the specific metadata of three widely used portal software frameworks to a standardized schema, define several quality metrics, and report findings based on monitoring over 260 Open Data portals.
DOI: 10.1177/09610006241239080 - This scoping review identifies the most commonly measured dimensions of metadata quality, including completeness, accuracy, consistency, accessibility, conformance, provenance, and timeliness. The study emphasizes the need for further research into less commonly assessed quality dimensions and improving the flexibility of metadata quality assessment tools.
DOI: 10.5860/crl.86.1.101 - This study examines how metadata quality, consistency, and completeness impact individuals and communities. The authors identify 32 unique issues and classify them into 5 categories, highlighting the tensions between sociocultural representations, resource constraints, and standardized systems.
DOI: 10.48550/arXiv.2303.17661 - This study proposes MetaEnhance, a framework using AI methods to improve metadata quality for electronic theses and dissertations. The authors evaluate MetaEnhance on a benchmark and achieve high F1-scores in detecting and correcting errors.
DOI: 10.48550/arXiv.2508.18620 - This study assesses metadata quality in OpenAlex and Web of Science, focusing on document type, publication year, language, and author count. The authors address discrepancies and misattributions in metadata to enhance awareness of data quality issues in bibliometric research.
My lady, the key challenges in metadata quality assessment include inconsistent definitions and measurements of quality dimensions, resource constraints, and discrepancies in metadata across different systems. Advancements include the development of automated assessment frameworks, use of AI methods for metadata enhancement, and efforts to standardize metadata schemas.</t>
  </si>
  <si>
    <t>Summary: Metadata quality is crucial for the discovery of digital objects through digital library interfaces.
DOI: 10.48550/arXiv.2303.17661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My lady, is there anything else I can help you with?</t>
  </si>
  <si>
    <t>Summary: Retrieval-Augmented Generation (RAG) systems face challenges such as semantic variability, computational costs, and vulnerability to noisy documents, but advancements like MetaGen Blended RAG and RAGAs frameworks are addressing these issues, enhancing accuracy, robustness, and evaluation efficiency.
DOI: 10.48550/arXiv.2312.10997 - This paper explores the evolution of RAG paradigms, including Naive RAG, Advanced RAG, and Modular RAG, highlighting advancements in retrieval, generation, and augmentation techniques. It emphasizes the integration of external databases to enhance accuracy and credibility, particularly for knowledge-intensive tasks.
DOI: 10.1016/j.caeai.2025.100417 - Focusing on educational applications, this study discusses challenges like hallucinations, static internal knowledge, and computational costs. It introduces methods to improve factual accuracy and multimodal support for RAG-based educational tools.
DOI: 10.18653/v1/2024.eacl-demo.16 - This work introduces RAGAs, a framework for reference-free evaluation of RAG systems, addressing the complexity of assessing retrieval accuracy, LLM fidelity, and generation quality. It aims to accelerate evaluation cycles for RAG architectures.
DOI: 10.48550/arXiv.2505.18247 - This paper presents MetaGen Blended RAG, a novel approach to enhance semantic retrievers for domain-specific datasets. It achieves high retrieval and RAG accuracy without fine-tuning, addressing challenges in specialized domains.
DOI: 10.48550/arXiv.2404.13948 - This research investigates the robustness of RAG systems against noisy documents and introduces GARAG, a genetic attack method to test system vulnerabilities. It highlights the impact of minor textual inaccuracies on RAG performance.
My lady, if you have further inquiries or need additional details, please let me know.</t>
  </si>
  <si>
    <t>Answer relevance</t>
  </si>
  <si>
    <t>RATER A</t>
  </si>
  <si>
    <t>RATER B</t>
  </si>
  <si>
    <t>fabrication</t>
  </si>
  <si>
    <t>Grand Total</t>
  </si>
  <si>
    <t>Row Labels</t>
  </si>
  <si>
    <t>Column Labels</t>
  </si>
  <si>
    <t>Count of Response</t>
  </si>
  <si>
    <t>(Red = inconsistent)</t>
  </si>
  <si>
    <t>Cohen's Kappa</t>
  </si>
  <si>
    <t>(Green = consistent)</t>
  </si>
  <si>
    <t>Ratings Given</t>
  </si>
  <si>
    <t>Consistent Ratings Expected</t>
  </si>
  <si>
    <t>Consistent Ratings Observed</t>
  </si>
  <si>
    <t>Proportion</t>
  </si>
  <si>
    <t>Frequency</t>
  </si>
  <si>
    <t>3. Summary Statistics &amp; Cohen's Kappa</t>
  </si>
  <si>
    <t>Total</t>
  </si>
  <si>
    <t>Rater A</t>
  </si>
  <si>
    <t>Rater B</t>
  </si>
  <si>
    <t>2. Expected Frequencies under Null Hypothesis of Zero Agreement Between 2 Raters</t>
  </si>
  <si>
    <t>these are just values</t>
  </si>
  <si>
    <t>1. Observed Frequencies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</si>
</sst>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7" x14ac:knownFonts="1">
    <font>
      <sz val="11"/>
      <color theme="1"/>
      <name val="Calibri"/>
      <family val="2"/>
      <scheme val="minor"/>
    </font>
    <font>
      <b/>
      <sz val="11"/>
      <name val="Calibri"/>
      <family val="2"/>
    </font>
    <font>
      <sz val="10"/>
      <color rgb="FF000000"/>
      <name val="Calibri"/>
      <family val="2"/>
      <scheme val="minor"/>
    </font>
    <font>
      <sz val="12"/>
      <color rgb="FF000000"/>
      <name val="Arial"/>
      <family val="2"/>
    </font>
    <font>
      <b/>
      <sz val="12"/>
      <color rgb="FF000000"/>
      <name val="Arial"/>
      <family val="2"/>
    </font>
    <font>
      <b/>
      <sz val="12"/>
      <color rgb="FFFF0000"/>
      <name val="Arial"/>
      <family val="2"/>
    </font>
    <font>
      <b/>
      <sz val="12"/>
      <color rgb="FF00FF00"/>
      <name val="Arial"/>
      <family val="2"/>
    </font>
  </fonts>
  <fills count="3">
    <fill>
      <patternFill patternType="none"/>
    </fill>
    <fill>
      <patternFill patternType="gray125"/>
    </fill>
    <fill>
      <patternFill patternType="solid">
        <fgColor rgb="FFF3F3F3"/>
        <bgColor rgb="FFF3F3F3"/>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23">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2" fillId="0" borderId="0" xfId="1"/>
    <xf numFmtId="0" fontId="3" fillId="0" borderId="0" xfId="1" applyFont="1"/>
    <xf numFmtId="0" fontId="3" fillId="0" borderId="0" xfId="1" applyFont="1" applyAlignment="1">
      <alignment horizontal="right"/>
    </xf>
    <xf numFmtId="0" fontId="0" fillId="0" borderId="0" xfId="0" applyAlignment="1">
      <alignment horizontal="left"/>
    </xf>
    <xf numFmtId="0" fontId="0" fillId="0" borderId="0" xfId="0" pivotButton="1"/>
    <xf numFmtId="0" fontId="3" fillId="2" borderId="0" xfId="1" applyFont="1" applyFill="1" applyAlignment="1">
      <alignment horizontal="right"/>
    </xf>
    <xf numFmtId="0" fontId="4" fillId="2" borderId="0" xfId="1" applyFont="1" applyFill="1"/>
    <xf numFmtId="0" fontId="4" fillId="0" borderId="0" xfId="1" applyFont="1"/>
    <xf numFmtId="0" fontId="5" fillId="0" borderId="0" xfId="1" applyFont="1" applyAlignment="1">
      <alignment horizontal="right"/>
    </xf>
    <xf numFmtId="0" fontId="4" fillId="0" borderId="0" xfId="1" applyFont="1" applyAlignment="1">
      <alignment horizontal="right"/>
    </xf>
    <xf numFmtId="164" fontId="4" fillId="0" borderId="0" xfId="1" applyNumberFormat="1" applyFont="1" applyAlignment="1">
      <alignment horizontal="right"/>
    </xf>
    <xf numFmtId="0" fontId="6" fillId="0" borderId="0" xfId="1" applyFont="1" applyAlignment="1">
      <alignment horizontal="right"/>
    </xf>
    <xf numFmtId="164" fontId="3" fillId="0" borderId="0" xfId="1" applyNumberFormat="1" applyFont="1" applyAlignment="1">
      <alignment horizontal="right"/>
    </xf>
    <xf numFmtId="0" fontId="3" fillId="0" borderId="0" xfId="1" applyFont="1" applyAlignment="1">
      <alignment vertical="top"/>
    </xf>
    <xf numFmtId="0" fontId="3" fillId="0" borderId="0" xfId="1" applyFont="1" applyAlignment="1">
      <alignment vertical="center"/>
    </xf>
    <xf numFmtId="0" fontId="2" fillId="0" borderId="0" xfId="1"/>
    <xf numFmtId="0" fontId="3" fillId="0" borderId="0" xfId="1" applyFont="1" applyAlignment="1">
      <alignment horizontal="center"/>
    </xf>
    <xf numFmtId="0" fontId="3" fillId="0" borderId="0" xfId="1" applyFont="1" applyAlignment="1">
      <alignment horizontal="left" vertical="top"/>
    </xf>
    <xf numFmtId="0" fontId="0" fillId="0" borderId="0" xfId="0" applyNumberFormat="1"/>
  </cellXfs>
  <cellStyles count="2">
    <cellStyle name="Normal" xfId="0" builtinId="0"/>
    <cellStyle name="Normal 2" xfId="1" xr:uid="{B5F52947-5020-2F4D-BC4E-FA48DD5ACB1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ppy Riddle" refreshedDate="45996.489491898152" createdVersion="8" refreshedVersion="8" minRefreshableVersion="3" recordCount="80" xr:uid="{E06A618D-C32B-F04D-A4FE-E8F24908A570}">
  <cacheSource type="worksheet">
    <worksheetSource ref="B1:F81" sheet="raw data"/>
  </cacheSource>
  <cacheFields count="5">
    <cacheField name="Query" numFmtId="0">
      <sharedItems/>
    </cacheField>
    <cacheField name="Response" numFmtId="0">
      <sharedItems longText="1"/>
    </cacheField>
    <cacheField name="Answer relevance" numFmtId="0">
      <sharedItems containsSemiMixedTypes="0" containsString="0" containsNumber="1" containsInteger="1" minValue="0" maxValue="1"/>
    </cacheField>
    <cacheField name="RATER A" numFmtId="0">
      <sharedItems containsSemiMixedTypes="0" containsString="0" containsNumber="1" containsInteger="1" minValue="0" maxValue="1" count="2">
        <n v="1"/>
        <n v="0"/>
      </sharedItems>
    </cacheField>
    <cacheField name="RATER B"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s v="['which studies examined the abstract in metadata?']"/>
    <s v="Summary: Two studies examined the abstract in metadata._x000a__x000a_DOI: 10.1177/09610006241239080 - A scoping review that analysed the co-occurrence of terms in the title and abstract of selected articles using VOSviewer 1.6.18 version, visualisation software._x000a__x000a_DOI: 10.1109/ADL.1998.670425 - A study that analysed the content of metadata records and examined whether GILS is meeting users' expectations._x000a__x000a_My lady, is there anything else I can help you with?"/>
    <n v="1"/>
    <x v="0"/>
    <x v="0"/>
  </r>
  <r>
    <s v="['which studies examined the abstract in metadata?']"/>
    <s v="Summary: Three studies examined the abstract in metadata._x000a__x000a_DOI: 10.1162/qss_a_00286 - Seven characteristics were analysed, including the abstract._x000a__x000a_DOI: 10.1177/09610006241239080 - The co-occurrence analysis was made on the title and abstract of selected articles._x000a__x000a_DOI: 10.1109/ADL.1998.670425 - The authors used record content analysis and several other methods to examine whether GILS is helping agencies fulfil information dissemination and management responsibilities and the extent to which GILS is meeting users' expectations._x000a__x000a_My lady, is there anything else I can help you with?"/>
    <n v="1"/>
    <x v="0"/>
    <x v="0"/>
  </r>
  <r>
    <s v="['which studies examined the abstract in metadata?']"/>
    <s v="Summary: I found three studies that examined the abstract in metadata._x000a__x000a_DOI: 10.1162/qss_a_00286_x000a_This study compares the amount of metadata and the completeness degree of research publications in new academic databases. Seven characteristics were analyzed (abstract, access, bibliographic info, document type, publication date, language, and identifiers)._x000a__x000a_DOI: 10.1177/09610006241239080_x000a_This study aims to identify the most commonly measured dimensions of metadata quality in existing studies on metadata quality assessment. The co-occurrence analysis is made on the title and abstract of selected articles using VOSviewer 1.6.18 version, visualization software._x000a__x000a_DOI: 10.1109/ADL.1998.670425_x000a_This study discusses the application of qualitative and quantitative content analysis techniques to assess metadata records. The authors used record content analysis and several other methods to examine whether GILS is helping agencies fulfill information dissemination and management responsibilities and the extent to which GILS is meeting users' expectations._x000a__x000a_My lady, I hope this information is helpful. If you have any further questions, please let me know."/>
    <n v="1"/>
    <x v="0"/>
    <x v="0"/>
  </r>
  <r>
    <s v="['which studies examined the abstract in metadata?']"/>
    <s v="Summary: I found three studies that examined the abstract in metadata._x000a__x000a_DOI: 10.1162/qss_a_00286 - This study compares the amount of metadata and the completeness degree of research publications in new academic databases. Seven characteristics were analyzed, including the abstract._x000a__x000a_DOI: 10.1177/09610006241239080 - This scoping review aims to identify the most commonly measured dimensions of metadata quality in existing studies on metadata quality assessment. The co-occurrence analysis is made on the title and abstract of selected articles._x000a__x000a_DOI: 10.1109/ADL.1998.670425 - This study discusses the application of qualitative and quantitative content analysis techniques to assess metadata records. The authors used record content analysis and several other methods to examine the metadata quality._x000a__x000a_My lady, I hope this information is helpful. If you have any further questions, please let me know."/>
    <n v="1"/>
    <x v="0"/>
    <x v="0"/>
  </r>
  <r>
    <s v="['which studies examined the abstract in metadata?']"/>
    <s v="Summary: Three studies examined the abstract in metadata._x000a__x000a_DOI: 10.1162/qss_a_00286 - The study analysed seven characteristics, including the abstract, to observe fields that describe this information, the completeness rate of these fields and the agreement among databases._x000a__x000a_DOI: 10.1177/09610006241239080 - The study conducted a co-occurrence analysis on the title and abstract of selected articles using VOSviewer 1.6.18 version, visualisation software._x000a__x000a_DOI: 10.1109/ADL.1998.670425 - The study used record content analysis and several other methods to examine whether GILS is helping agencies fulfil information dissemination and management responsibilities and the extent to which GILS is meeting users' expectations."/>
    <n v="1"/>
    <x v="0"/>
    <x v="0"/>
  </r>
  <r>
    <s v="['which studies examined citations?']"/>
    <s v="Summary: Three studies examined citations._x000a__x000a_DOI: 10.1108/JD-10-2022-0234 - The authors analysed reference elements, i.e. bibliographic references, mentions, quotations and respective in-text reference pointers, from 729 articles published in 147 journals across the 27 subject areas._x000a__x000a_DOI: 10.1016/j.ipm.2023.103385 - Co-author analysis using author names and bibliometric evaluation using citations are the types of analyses that can be done with the data provided by most APIs._x000a__x000a_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_x000a__x000a_My lady, is there anything else I can help you with?"/>
    <n v="1"/>
    <x v="0"/>
    <x v="0"/>
  </r>
  <r>
    <s v="['which studies examined citations?']"/>
    <s v="Summary: Two studies examined citations._x000a__x000a_DOI: 10.1108/JD-10-2022-0234_x000a_The authors of this study analysed reference elements from 729 articles published in 147 journals across 27 subject areas. They found that bibliographic errors have been perpetuated for decades and that their possible causes have increased, despite the encouraged use of technological facilities, i.e. the reference managers._x000a__x000a_DOI: 10.1016/j.ipm.2023.103385_x000a_This study found that most organizations offer free access to APIs for non-commercial purposes, but some have limitations on metadata retrieval. Co-author analysis using author names and bibliometric evaluation using citations are the types of analyses that can be done with the data provided by most APIs._x000a__x000a_Is there anything else I can help you with, my lady?"/>
    <n v="1"/>
    <x v="0"/>
    <x v="0"/>
  </r>
  <r>
    <s v="['which studies examined citations?']"/>
    <s v="Summary: Three studies examined citations._x000a__x000a_DOI: 10.1108/JD-10-2022-0234 - The authors analysed reference elements, i.e. bibliographic references, mentions, quotations and respective in-text reference pointers, from 729 articles published in 147 journals across the 27 subject areas._x000a__x000a_DOI: 10.1016/j.ipm.2023.103385 - Co-author analysis using author names and bibliometric evaluation using citations are the types of analyses that can be done with the data provided by most APIs._x000a__x000a_DOI: 10.1007/s11192-022-04367-w - By using a list of invalid cited DOIs gathered by OpenCitations while processing the OpenCitations Index of Crossref open DOI-to-DOI citations (COCI) in the past two years, we retrieved the citations in the January 2021 Crossref dump to such invalid DOIs._x000a__x000a_My lady, can I help you with anything else?"/>
    <n v="1"/>
    <x v="0"/>
    <x v="0"/>
  </r>
  <r>
    <s v="['which studies examined citations?']"/>
    <s v="Summary: Three studies examined citations._x000a__x000a_DOI: 10.1108/JD-10-2022-0234_x000a_The authors analysed reference elements, i.e. bibliographic references, mentions, quotations and respective in-text reference pointers, from 729 articles published in 147 journals across the 27 subject areas._x000a__x000a_DOI: 10.1016/j.ipm.2023.103385_x000a_Co-author analysis using author names and bibliometric evaluation using citations are the types of analyses that can be done with the data provided by most APIs._x000a__x000a_DOI: 10.1007/s11192-022-04367-w_x000a_By using a list of invalid cited DOIs gathered by OpenCitations while processing the OpenCitations Index of Crossref open DOI-to-DOI citations (COCI) in the past two years, we retrieved the citations in the January 2021 Crossref dump to such invalid DOIs._x000a__x000a_Is there anything else I can help you with, my lady?"/>
    <n v="1"/>
    <x v="0"/>
    <x v="0"/>
  </r>
  <r>
    <s v="['which studies examined citations?']"/>
    <s v="Summary: Three studies examined citations._x000a__x000a_DOI: 10.1108/JD-10-2022-0234_x000a_The authors of this study analysed reference elements from 729 articles published in 147 journals across 27 subject areas. They found that bibliographic errors have been perpetuated for decades and that their possible causes have increased, despite the encouraged use of technological facilities, i.e. the reference managers._x000a__x000a_DOI: 10.1016/j.ipm.2023.103385_x000a_This study aimed to establish a taxonomy and offer a comparative analysis of 44 bibliographic APIs from various non-profit and commercial organizations. The authors found that Clarivate Analytics and Elsevier offer highly versatile APIs, while non-profit organizations, such as OpenCitations and OurResearch promote the Open Science philosophy._x000a__x000a_DOI: 10.1007/s11192-022-04367-w_x000a_This study aimed to identify classes of DOI mistakes by analyzing the open bibliographic metadata available in Crossref. The authors found that only a few publishers were responsible for and/or affected by the majority of invalid citations._x000a__x000a_My lady, I hope this information is helpful. If you have any further questions, please let me know."/>
    <n v="1"/>
    <x v="0"/>
    <x v="0"/>
  </r>
  <r>
    <s v="['Which papers evaluate the linguistic coverage or language-related metadata in scholarly databases?']"/>
    <s v="Summary: Several papers evaluate the linguistic coverage or language-related metadata in scholarly databases._x000a__x000a_DOI: 10.48550/arXiv.2409.10633 - This paper assesses the completeness and accuracy of OpenAlex's metadata related to language, comparing it with WoS and manually validating a sample of 6,836 articles. It finds that OpenAlex has more balanced linguistic coverage but overestimates English and underestimates other languages._x000a__x000a_DOI: 10.1162/qss_a_00286 - This study compares the completeness of metadata, including language, in eight free-access scholarly databases. It finds that third-party databases like OpenAlex have higher metadata quality and completeness rates compared to academic search engines._x000a__x000a_DOI: 10.48550/arXiv.2508.18620 - This research evaluates metadata quality in OpenAlex and WoS, focusing on language, document type, publication year, and author count. It addresses discrepancies and misattributions to improve bibliometric research and evaluation._x000a__x000a_DOI: 10.1007/s11192-022-04289-7 - This paper introduces a method to estimate subject coverage in 56 English-focused bibliographic databases, including language-related metadata. It highlights differences in disciplinary coverage and encourages researchers to re-evaluate their database choices._x000a__x000a_DOI: 10.1007/s11192-015-1765-5 - This study compares the journal coverage of WoS and Scopus, assessing language representation. It finds biases favoring English-language journals and recommends cautious use in comparative research evaluation._x000a__x000a_My lady, these papers provide insights into the linguistic coverage and language-related metadata in various scholarly databases. If you would like more details on any specific study, please let me know."/>
    <n v="1"/>
    <x v="0"/>
    <x v="0"/>
  </r>
  <r>
    <s v="['Which papers evaluate the linguistic coverage or language-related metadata in scholarly databases?']"/>
    <s v="Summary: Several papers evaluate the linguistic coverage or language-related metadata in scholarly databases._x000a__x000a_DOI: 10.48550/arXiv.2409.10633 - This paper assesses the completeness and accuracy of OpenAlex's metadata related to language, comparing it with WoS and manually validating a sample of 6,836 articles. It finds that OpenAlex has more balanced linguistic coverage but overestimates English._x000a__x000a_DOI: 10.1162/qss_a_00286 - This study compares metadata completeness in eight free-access scholarly databases, including OpenAlex, analyzing characteristics like language. It concludes that third-party databases have higher metadata quality but face information loss from integrating sources._x000a__x000a_DOI: 10.48550/arXiv.2508.18620 - This research evaluates metadata quality in OpenAlex and WoS, focusing on language, document type, publication year, and author count. It addresses discrepancies to improve bibliometric research and evaluation._x000a__x000a_DOI: 10.1007/s11192-022-04289-7 - This paper introduces a method to estimate subject coverage in 56 English-focused bibliographic databases, helping researchers select comprehensive databases for specific search needs._x000a__x000a_DOI: 10.1007/s11192-015-1765-5 - This study compares journal coverage in WoS and Scopus, assessing biases in field, country, and language representation. It finds overrepresentation of English and certain fields, recommending cautious use in comparative research._x000a__x000a_My lady, these papers provide insights into the linguistic coverage and metadata quality of various scholarly databases, highlighting both strengths and limitations."/>
    <n v="1"/>
    <x v="0"/>
    <x v="0"/>
  </r>
  <r>
    <s v="['Which papers evaluate the linguistic coverage or language-related metadata in scholarly databases?']"/>
    <s v="Summary: Several papers evaluate the linguistic coverage or language-related metadata in scholarly databases._x000a__x000a_DOI: 10.48550/arXiv.2409.10633_x000a_Title: Αξιολόγηση της γλωσσικής κάλυψης του OpenAlex: An Assessment of Metadata Accuracy and Completeness Evaluating the Linguistic Coverage of OpenAlex: An Assessment of Metadata Accuracy and Completeness_x000a_Abstract: Το Web of Science (WoS) του Clarivate και το Scopus του Elsevier είναι για δεκαετίες οι κύριες πηγές βιβλιομετρικών πληροφοριών. Αν και έχουν μεγάλη επιμέλεια, αυτές οι κλειστές, αποκλειστικές βάσεις δεδομένων είναι σε μεγάλο βαθμό προκατειλημμένες προς τις αγγλόφωνες δημοσιεύσεις, υποτιμώντας τη χρήση άλλων γλωσσών στη διάδοση της έρευνας. Το OpenAlex, που κυκλοφόρησε το 2022, υποσχέθηκε ολοκληρωμένες, περιεκτικές και ανοιχτού κώδικα ερευνητικές πληροφορίες. Ενώ χρησιμοποιείται ήδη από μελετητές και ερευνητικά ιδρύματα, η ποιότητα των μεταδεδομένων του αξιολογείται επί του παρόντος. Αυτή η εργασία συμβάλλει σε αυτή τη βιβλιογραφία αξιολογώντας την πληρότητα και την ακρίβεια των μεταδεδομένων του OpenAlex που σχετίζονται με τη γλώσσα, μέσω σύγκρισης με το WoS, καθώς και μιας εις βάθος χειροκίνητης επικύρωσης δείγματος 6.836 άρθρων. Τα αποτελέσματα δείχνουν ότι το OpenAlex παρουσιάζει πολύ πιο ισορροπημένη γλωσσική κάλυψη από το WoS. Ωστόσο, τα μεταδεδομένα γλώσσας δεν είναι πάντα ακριβή, γεγονός που οδηγεί το OpenAlex να υπερεκτιμά τη θέση των αγγλικών ενώ υποτιμά τη θέση άλλων γλωσσών. Εάν χρησιμοποιηθεί κριτικά, το OpenAlex μπορεί να παρέχει ολοκληρωμένες και αντιπροσωπευτικές αναλύσεις των γλωσσών που χρησιμοποιούνται για επιστημονικές εκδόσεις. Ωστόσο, απαιτείται περισσότερη δουλειά σε επίπεδο υποδομής για να διασφαλιστεί η ποιότητα των μεταδεδομένων στη γλώσσα._x000a__x000a_DOI: 10.1162/qss_a_00286_x000a_Title: Βαθμός πληρότητας μεταδεδομένων δημοσίευσης σε οκτώ επιστημονικές βάσεις δεδομένων ελεύθερης πρόσβασης Completeness degree of publication metadata in eight free-access scholarly databases_x000a_Abstract: Ο κύριος στόχος αυτής της μελέτης είναι η σύγκριση του όγκου των μεταδεδομένων και του βαθμού πληρότητας των ερευνητικών δημοσιεύσεων σε νέες ακαδημαϊκές βάσεις δεδομένων. Χρησιμοποιώντας μια ποσοτική προσέγγιση, επιλέξαμε ένα τυχαίο δείγμα Crossref με περισσότερες από 115.000 εγγραφές, το οποίο στη συνέχεια αναζητήθηκε σε επτά βάσεις δεδομένων (Dimensions, Google Scholar, Microsoft Academic, OpenAlex, Scilit, Semantic Scholar και The Lens). Αναλύθηκαν επτά χαρακτηριστικά (περίληψη, πρόσβαση, βιβλιογραφικές πληροφορίες, τύπος εγγράφου, ημερομηνία δημοσίευσης, γλώσσα και αναγνωριστικά), για την παρατήρηση πεδίων που περιγράφουν αυτές τις πληροφορίες, το ποσοστό πληρότητας αυτών των πεδίων και τη συμφωνία μεταξύ των βάσεων δεδομένων. Τα αποτελέσματα δείχνουν ότι οι ακαδημαϊκές μηχανές αναζήτησης (Google Scholar, Microsoft Academic και Semantic Scholar) συγκεντρώνουν λιγότερες πληροφορίες και έχουν χαμηλό βαθμό πληρότητας. Αντίθετα, οι βάσεις δεδομένων τρίτων (Dimensions, OpenAlex, Scilit και The Lens) έχουν μεγαλύτερη ποιότητα μεταδεδομένων και υψηλότερο ποσοστό πληρότητας. Συμπεραίνουμε ότι οι ακαδημαϊκές μηχανές αναζήτησης δεν έχουν την ικανότητα να ανακτούν αξιόπιστα περιγραφικά δεδομένα ανιχνεύοντας τον ιστό και το κύριο πρόβλημα των βάσεων δεδομένων τρίτων είναι η απώλεια πληροφοριών που προέρχονται από την ενσωμάτωση διαφορετικών πηγών._x000a__x000a_DOI: 10.48550/arXiv.2508.18620_x000a_Title: Διερεύνηση του τύπου εγγράφου, της γλώσσας, του έτους έκδοσης και του αριθμού συγγραφέων μεταξύ του OpenAlex και του Web of Science Investigating Document Type, Language, Publication Year, and Author Count Discrepancies Between OpenAlex and Web of Science_x000a_Abstract: Η βιβλιομετρία, είτε χρησιμοποιείται για έρευνα είτε για ερευνητική αξιολόγηση, βασίζεται σε μεγάλες πολυεπιστημονικές βάσεις δεδομένων ερευνητικών αποτελεσμάτων και δεικτών παραπομπών. Το Web of Science (WoS) ήταν η κύρια υποστηρικτική υποδομή του πεδίου για περισσότερα από 30 χρόνια μέχρι να εμφανιστούν αρκετοί νέοι ανταγωνιστές. Το OpenAlex, μια βιβλιογραφική βάση δεδομένων που κυκλοφόρησε το 2022, έχει διακριθεί για τη διαφάνεια και την εκτεταμένη κάλυψη. Ενώ το OpenAlex μπορεί να μειώσει ή να εξαλείψει τα εμπόδια στην πρόσβαση σε βιβλιομετρικά δεδομένα, ένας από τους προβληματισμούς που εμποδίζει την ευρύτερη υιοθέτησή του για έρευνα και αξιολόγηση έρευνας είναι η ποιότητα των μεταδεδομένων του. Αυτή η μελέτη στοχεύει να αξιολογήσει την ποιότητα των μεταδεδομένων στο OpenAlex και το WoS, εστιάζοντας στον τύπο εγγράφου, το έτος δημοσίευσης, τη γλώσσα και τον αριθμό των συγγραφέων. Αντιμετωπίζοντας αποκλίσεις και λανθασμένες κατανομές στα μεταδεδομένα, αυτή η έρευνα επιδιώκει να ενισχύσει την ευαισθητοποίηση σχετικά με ζητήματα ποιότητας δεδομένων που θα μπορούσαν να επηρεάσουν τα αποτελέσματα της βιβλιομετρικής έρευνας και αξιολόγησης._x000a__x000a_DOI: 10.1007/s11192-022-04289-7_x000a_Title: Αναζητήστε πού θα βρείτε τα περισσότερα: Σύγκριση της πειθαρχικής κάλυψης 56 βιβλιογραφικών βάσεων δεδομένων Search where you will find most: Comparing the disciplinary coverage of 56 bibliographic databases_x000a_Abstract: Αυτή η εργασία εισάγει μια νέα επιστημονικομετρική μέθοδο και την εφαρμόζει για να εκτιμήσει τις θεματικές καλύψεις πολλών από τις δημοφιλείς βιβλιογραφικές βάσεις δεδομένων που εστιάζονται στα αγγλικά στον ακαδημαϊκό χώρο. Η μέθοδος χρησιμοποιεί αποτελέσματα ερωτημάτων ως κοινό παρονομαστή για να συγκρίνει μια μεγάλη ποικιλία από μηχανές αναζήτησης, αποθετήρια, ψηφιακές βιβλιοθήκες και άλλες βιβλιογραφικές βάσεις δεδομένων. Η μέθοδος επεκτείνει τις υπάρχουσες προσεγγίσεις που βασίζονται σε δειγματοληψία που αναλύουν μικρότερα σύνολα καλύψεων βάσεων δεδομένων. Τα ευρήματα δείχνουν τη σχετική και την απόλυτη κάλυψη θεμάτων 56 βάσεων δεδομένων — πληροφορίες που συχνά δεν ήταν διαθέσιμες στο παρελθόν. Η γνώση της απόλυτης κάλυψης θεμάτων των βάσεων δεδομένων επιτρέπει την επιλογή των πιο ολοκληρωμένων βάσεων δεδομένων για αναζητήσεις που απαιτούν υψηλή ανάκληση/ευαισθησία, ιδιαίτερα σχετικές με αναζητήσεις αναζήτησης ή διερευνητικές αναζητήσεις. Η γνώση της σχετικής θεματικής κάλυψης των βάσεων δεδομένων επιτρέπει την επιλογή εξειδικευμένων βάσεων δεδομένων για αναζητήσεις που απαιτούν υψηλή ακρίβεια/εξειδίκευση, ιδιαίτερα σχετικές με συστηματικές αναζητήσεις. Τα ευρήματα απεικονίζουν όχι μόνο διαφορές στην πειθαρχική κάλυψη του Google Scholar, του Scopus ή του Web of Science, αλλά και των λιγότερο συχνά αναλυόμενων βάσεων δεδομένων. Για παράδειγμα, οι ερευνητές μπορεί να εκπλαγούν με το πώς το Meta (διακόπηκε), το Embase ή το Europe PMC καλύπτουν περισσότερα αρχεία από το PubMed in Medicine και άλλα θέματα υγείας. Αυτά τα ευρήματα θα πρέπει να ενθαρρύνουν τους ερευνητές να επαναξιολογήσουν τις βάσεις δεδομένων τους, επίσης σε σχέση με τις νέες επιλογές. Η αναζήτηση με πιο ολοκληρωμένες βάσεις δεδομένων μπορεί να βελτιώσει την εύρεση, ιδιαίτερα όταν η επιλογή των πιο κατάλληλων βάσεων δεδομένων χρειάζεται ιδιαίτερη σκέψη, όπως σε συστηματικές ανασκοπήσεις και μετα-αναλύσεις. Αυτή η σύγκριση μπορεί επίσης να βοηθήσει τους βιβλιοθηκονόμους και άλλους ειδικούς στην πληροφόρηση να επαναξιολογήσουν δαπανηρές στρατηγικές προμήθειας βάσεων δεδομένων. Οι ερευνητές χωρίς θεσμική πρόσβαση μαθαίνουν ποιες ανοιχτές βάσεις δεδομένων είναι πιθανώς πιο ολοκληρωμένες στους κλάδους τους._x000a__x000a_DOI: 10.1007/s11192-015-1765-5_x000a_Title: κάλυψη περιοδικού του Web of Science και του Scopus: μια συγκριτική ανάλυση he journal coverage of Web of Science and Scopus: a comparative analysis_x000a_Abstract: Οι βιβλιομετρικές μέθοδοι χρησιμοποιούνται σε πολλαπλά πεδία για διάφορους σκοπούς, συγκεκριμένα για την αξιολόγηση της έρευνας. Οι περισσότερες βιβλιομετρικές αναλύσεις έχουν κοινές πηγές δεδομένων: Web of Science (WoS) της Thomson Reuters και Elsevier's Scopus. Ο στόχος αυτής της έρευνας είναι να περιγράψει την κάλυψη του περιοδικού αυτών των δύο βάσεων δεδομένων και να αξιολογήσει εάν κάποιο πεδίο, χώρα έκδοσης και γλώσσα υπερεκπροσωπούνται ή υποεκπροσωπούνται. Για να γίνει αυτό, συγκρίναμε την κάλυψη ενεργών επιστημονικών περιοδικών στο WoS (13.605 περιοδικά) και στο Scopus (20.346 περιοδικά) με τον εκτενή περιοδικό κατάλογο του Ulrich (63.013 περιοδικά). Τα αποτελέσματα δείχνουν ότι η χρήση είτε του WoS είτε του Scopus για την αξιολόγηση της έρευνας μπορεί να εισάγει προκαταλήψεις που ευνοούν τις Φυσικές Επιστήμες και τη Μηχανική καθώς και τη Βιοϊατρική Έρευνα εις βάρος των Κοινωνικών Επιστημών και των Τεχνών και των Ανθρωπιστικών Επιστημών. Ομοίως, τα αγγλόφωνα περιοδικά υπερεκπροσωπούνται εις βάρος άλλων γλωσσών. Ενώ και οι δύο βάσεις δεδομένων μοιράζονται αυτές τις προκαταλήψεις, η κάλυψή τους διαφέρει ουσιαστικά. Κατά συνέπεια, τα αποτελέσματα των βιβλιομετρικών αναλύσεων ενδέχεται να διαφέρουν ανάλογα με τη βάση δεδομένων που χρησιμοποιείται. Αυτά τα αποτελέσματα υποδηλώνουν ότι στο πλαίσιο της αξιολόγησης της συγκριτικής έρευνας, το WoS και το Scopus θα πρέπει να χρησιμοποιούνται με προσοχή, ειδικά όταν συγκρίνονται διαφορετικοί τομείς, ιδρύματα, χώρες ή γλώσσες. Η βιβλιομετρική κοινότητα θα πρέπει να συνεχίσει τις προσπάθειές της για την ανάπτυξη μεθόδων και δεικτών που περιλαμβάνουν επιστημονικά αποτελέσματα που δεν καλύπτονται από το WoS ή το Scopus, όπως ευρετήρια αναφοράς για συγκεκριμένο πεδίο και εθνικά ευρετήρια._x000a__x000a_My lady, I hope this information is helpful. If you have any further questions, please let me know."/>
    <n v="0"/>
    <x v="1"/>
    <x v="1"/>
  </r>
  <r>
    <s v="['Which papers evaluate the linguistic coverage or language-related metadata in scholarly databases?']"/>
    <s v="Summary: Several papers evaluate the linguistic coverage or language-related metadata in scholarly databases._x000a__x000a_DOI: 10.48550/arXiv.2409.10633_x000a_Evaluating the Linguistic Coverage of OpenAlex: An Assessment of Metadata Accuracy and Completeness_x000a_This paper assesses the completeness and accuracy of OpenAlex's language-related metadata by comparing it with WoS and manually validating a sample of 6,836 articles. It finds that OpenAlex has more balanced linguistic coverage than WoS but still overestimates English's prevalence._x000a__x000a_DOI: 10.1162/qss_a_00286_x000a_Completeness degree of publication metadata in eight free-access scholarly databases_x000a_This study compares metadata completeness in eight databases, including OpenAlex, analyzing characteristics like language. It finds that third-party databases like OpenAlex have higher metadata quality than academic search engines._x000a__x000a_DOI: 10.48550/arXiv.2508.18620_x000a_Investigating Document Type, Language, Publication Year, and Author Count Discrepancies Between OpenAlex and Web of Science_x000a_This paper evaluates metadata quality in OpenAlex and WoS, focusing on language and other attributes. It highlights discrepancies and misattributions that could impact bibliometric research._x000a__x000a_DOI: 10.1007/s11192-022-04289-7_x000a_Search where you will find most: Comparing the disciplinary coverage of 56 bibliographic databases_x000a_While not exclusively focused on language, this paper introduces a method to estimate subject coverage in 56 English-focused bibliographic databases, providing insights into their disciplinary and potentially linguistic biases._x000a__x000a_DOI: 10.1007/s11192-015-1765-5_x000a_The journal coverage of Web of Science and Scopus: a comparative analysis_x000a_This research assesses whether languages are over or underrepresented in WoS and Scopus. It finds that English-language journals are overrepresented, indicating linguistic bias in these databases._x000a__x000a_My lady, these papers collectively highlight the importance of evaluating linguistic coverage and metadata accuracy in scholarly databases to ensure comprehensive and unbiased research dissemination."/>
    <n v="1"/>
    <x v="0"/>
    <x v="0"/>
  </r>
  <r>
    <s v="['Which papers evaluate the linguistic coverage or language-related metadata in scholarly databases?']"/>
    <s v="Summary: Several papers evaluate the linguistic coverage or language-related metadata in scholarly databases._x000a__x000a_DOI: 10.48550/arXiv.2409.10633_x000a_Title: Αξιολόγηση της γλωσσικής κάλυψης του OpenAlex: An Assessment of Metadata Accuracy and Completeness Evaluating the Linguistic Coverage of OpenAlex: An Assessment of Metadata Accuracy and Completeness_x000a_Abstract: Το Web of Science (WoS) του Clarivate και το Scopus του Elsevier είναι για δεκαετίες οι κύριες πηγές βιβλιομετρικών πληροφοριών. Αν και έχουν μεγάλη επιμέλεια, αυτές οι κλειστές, αποκλειστικές βάσεις δεδομένων είναι σε μεγάλο βαθμό προκατειλημμένες προς τις αγγλόφωνες δημοσιεύσεις, υποτιμώντας τη χρήση άλλων γλωσσών στη διάδοση της έρευνας. Το OpenAlex, που κυκλοφόρησε το 2022, υποσχέθηκε ολοκληρωμένες, περιεκτικές και ανοιχτού κώδικα ερευνητικές πληροφορίες. Ενώ χρησιμοποιείται ήδη από μελετητές και ερευνητικά ιδρύματα, η ποιότητα των μεταδεδομένων του αξιολογείται επί του παρόντος. Αυτή η εργασία συμβάλλει σε αυτή τη βιβλιογραφία αξιολογώντας την πληρότητα και την ακρίβεια των μεταδεδομένων του OpenAlex που σχετίζονται με τη γλώσσα, μέσω σύγκρισης με το WoS, καθώς και μιας εις βάθος χειροκίνητης επικύρωσης δείγματος 6.836 άρθρων. Τα αποτελέσματα δείχνουν ότι το OpenAlex παρουσιάζει πολύ πιο ισορροπημένη γλωσσική κάλυψη από το WoS. Ωστόσο, τα μεταδεδομένα γλώσσας δεν είναι πάντα ακριβή, γεγονός που οδηγεί το OpenAlex να υπερεκτιμά τη θέση των αγγλικών ενώ υποτιμά τη θέση άλλων γλωσσών. Εάν χρησιμοποιηθεί κριτικά, το OpenAlex μπορεί να παρέχει ολοκληρωμένες και αντιπροσωπευτικές αναλύσεις των γλωσσών που χρησιμοποιούνται για επιστημονικές εκδόσεις. Ωστόσο, απαιτείται περισσότερη δουλειά σε επίπεδο υποδομής για να διασφαλιστεί η ποιότητα των μεταδεδομένων στη γλώσσα._x000a__x000a_DOI: 10.1162/qss_a_00286_x000a_Title: Βαθμός πληρότητας μεταδεδομένων δημοσίευσης σε οκτώ επιστημονικές βάσεις δεδομένων ελεύθερης πρόσβασης Completeness degree of publication metadata in eight free-access scholarly databases_x000a_Abstract: Ο κύριος στόχος αυτής της μελέτης είναι η σύγκριση του όγκου των μεταδεδομένων και του βαθμού πληρότητας των ερευνητικών δημοσιεύσεων σε νέες ακαδημαϊκές βάσεις δεδομένων. Χρησιμοποιώντας μια ποσοτική προσέγγιση, επιλέξαμε ένα τυχαίο δείγμα Crossref με περισσότερες από 115.000 εγγραφές, το οποίο στη συνέχεια αναζητήθηκε σε επτά βάσεις δεδομένων (Dimensions, Google Scholar, Microsoft Academic, OpenAlex, Scilit, Semantic Scholar και The Lens). Αναλύθηκαν επτά χαρακτηριστικά (περίληψη, πρόσβαση, βιβλιογραφικές πληροφορίες, τύπος εγγράφου, ημερομηνία δημοσίευσης, γλώσσα και αναγνωριστικά), για την παρατήρηση πεδίων που περιγράφουν αυτές τις πληροφορίες, το ποσοστό πληρότητας αυτών των πεδίων και τη συμφωνία μεταξύ των βάσεων δεδομένων. Τα αποτελέσματα δείχνουν ότι οι ακαδημαϊκές μηχανές αναζήτησης (Google Scholar, Microsoft Academic και Semantic Scholar) συγκεντρώνουν λιγότερες πληροφορίες και έχουν χαμηλό βαθμό πληρότητας. Αντίθετα, οι βάσεις δεδομένων τρίτων (Dimensions, OpenAlex, Scilit και The Lens) έχουν μεγαλύτερη ποιότητα μεταδεδομένων και υψηλότερο ποσοστό πληρότητας. Συμπεραίνουμε ότι οι ακαδημαϊκές μηχανές αναζήτησης δεν έχουν την ικανότητα να ανακτούν αξιόπιστα περιγραφικά δεδομένα ανιχνεύοντας τον ιστό και το κύριο πρόβλημα των βάσεων δεδομένων τρίτων είναι η απώλεια πληροφοριών που προέρχονται από την ενσωμάτωση διαφορετικών πηγών._x000a__x000a_DOI: 10.48550/arXiv.2508.18620_x000a_Title: Διερεύνηση του τύπου εγγράφου, της γλώσσας, του έτους έκδοσης και του αριθμού συγγραφέων μεταξύ του OpenAlex και του Web of Science Investigating Document Type, Language, Publication Year, and Author Count Discrepancies Between OpenAlex and Web of Science_x000a_Abstract: Η βιβλιομετρία, είτε χρησιμοποιείται για έρευνα είτε για ερευνητική αξιολόγηση, βασίζεται σε μεγάλες πολυεπιστημονικές βάσεις δεδομένων ερευνητικών αποτελεσμάτων και δεικτών παραπομπών. Το Web of Science (WoS) ήταν η κύρια υποστηρικτική υποδομή του πεδίου για περισσότερα από 30 χρόνια μέχρι να εμφανιστούν αρκετοί νέοι ανταγωνιστές. Το OpenAlex, μια βιβλιογραφική βάση δεδομένων που κυκλοφόρησε το 2022, έχει διακριθεί για τη διαφάνεια και την εκτεταμένη κάλυψη. Ενώ το OpenAlex μπορεί να μειώσει ή να εξαλείψει τα εμπόδια στην πρόσβαση σε βιβλιομετρικά δεδομένα, ένας από τους προβληματισμούς που εμποδίζει την ευρύτερη υιοθέτησή του για έρευνα και αξιολόγηση έρευνας είναι η ποιότητα των μεταδεδομένων του. Αυτή η μελέτη στοχεύει να αξιολογήσει την ποιότητα των μεταδεδομένων στο OpenAlex και το WoS, εστιάζοντας στον τύπο εγγράφου, το έτος δημοσίευσης, τη γλώσσα και τον αριθμό των συγγραφέων. Αντιμετωπίζοντας αποκλίσεις και λανθασμένες κατανομές στα μεταδεδομένα, αυτή η έρευνα επιδιώκει να ενισχύσει την ευαισθητοποίηση σχετικά με ζητήματα ποιότητας δεδομένων που θα μπορούσαν να επηρεάσουν τα αποτελέσματα της βιβλιομετρικής έρευνας και αξιολόγησης._x000a__x000a_DOI: 10.1007/s11192-022-04289-7_x000a_Title: Αναζητήστε πού θα βρείτε τα περισσότερα: Σύγκριση της πειθαρχικής κάλυψης 56 βιβλιογραφικών βάσεων δεδομένων Search where you will find most: Comparing the disciplinary coverage of 56 bibliographic databases_x000a_Abstract: Αυτή η εργασία εισάγει μια νέα επιστημονικομετρική μέθοδο και την εφαρμόζει για να εκτιμήσει τις θεματικές καλύψεις πολλών από τις δημοφιλείς βιβλιογραφικές βάσεις δεδομένων που εστιάζονται στα αγγλικά στον ακαδημαϊκό χώρο. Η μέθοδος χρησιμοποιεί αποτελέσματα ερωτημάτων ως κοινό παρονομαστή για να συγκρίνει μια μεγάλη ποικιλία από μηχανές αναζήτησης, αποθετήρια, ψηφιακές βιβλιοθήκες και άλλες βιβλιογραφικές βάσεις δεδομένων. Η μέθοδος επεκτείνει τις υπάρχουσες προσεγγίσεις που βασίζονται σε δειγματοληψία που αναλύουν μικρότερα σύνολα καλύψεων βάσεων δεδομένων. Τα ευρήματα δείχνουν τη σχετική και την απόλυτη κάλυψη θεμάτων 56 βάσεων δεδομένων — πληροφορίες που συχνά δεν ήταν διαθέσιμες στο παρελθόν. Η γνώση της απόλυτης κάλυψης θεμάτων των βάσεων δεδομένων επιτρέπει την επιλογή των πιο ολοκληρωμένων βάσεων δεδομένων για αναζητήσεις που απαιτούν υψηλή ανάκληση/ευαισθησία, ιδιαίτερα σχετικές με αναζητήσεις αναζήτησης ή διερευνητικές αναζητήσεις. Η γνώση της σχετικής θεματικής κάλυψης των βάσεων δεδομένων επιτρέπει την επιλογή εξειδικευμένων βάσεων δεδομένων για αναζητήσεις που απαιτούν υψηλή ακρίβεια/εξειδίκευση, ιδιαίτερα σχετικές με συστηματικές αναζητήσεις. Τα ευρήματα απεικονίζουν όχι μόνο διαφορές στην πειθαρχική κάλυψη του Google Scholar, του Scopus ή του Web of Science, αλλά και των λιγότερο συχνά αναλυόμενων βάσεων δεδομένων. Για παράδειγμα, οι ερευνητές μπορεί να εκπλαγούν με το πώς το Meta (διακόπηκε), το Embase ή το Europe PMC καλύπτουν περισσότερα αρχεία από το PubMed in Medicine και άλλα θέματα υγείας. Αυτά τα ευρήματα θα πρέπει να ενθαρρύνουν τους ερευνητές να επαναξιολογήσουν τις βάσεις δεδομένων τους, επίσης σε σχέση με τις νέες επιλογές. Η αναζήτηση με πιο ολοκληρωμένες βάσεις δεδομένων μπορεί να βελτιώσει την εύρεση, ιδιαίτερα όταν η επιλογή των πιο κατάλληλων βάσεων δεδομένων χρειάζεται ιδιαίτερη σκέψη, όπως σε συστηματικές ανασκοπήσεις και μετα-αναλύσεις. Αυτή η σύγκριση μπορεί επίσης να βοηθήσει τους βιβλιοθηκονόμους και άλλους ειδικούς στην πληροφόρηση να επαναξιολογήσουν δαπανηρές στρατηγικές προμήθειας βάσεων δεδομένων. Οι ερευνητές χωρίς θεσμική πρόσβαση μαθαίνουν ποιες ανοιχτές βάσεις δεδομένων είναι πιθανώς πιο ολοκληρωμένες στους κλάδους τους._x000a__x000a_DOI: 10.1007/s11192-015-1765-5_x000a_Title: κάλυψη περιοδικού του Web of Science και του Scopus: μια συγκριτική ανάλυση he journal coverage of Web of Science and Scopus: a comparative analysis_x000a_Abstract: Οι βιβλιομετρικές μέθοδοι χρησιμοποιούνται σε πολλαπλά πεδία για διάφορους σκοπούς, συγκεκριμένα για την αξιολόγηση της έρευνας. Οι περισσότερες βιβλιομετρικές αναλύσεις έχουν κοινές πηγές δεδομένων: Web of Science (WoS) της Thomson Reuters και Elsevier's Scopus. Ο στόχος αυτής της έρευνας είναι να περιγράψει την κάλυψη του περιοδικού αυτών των δύο βάσεων δεδομένων και να αξιολογήσει εάν κάποιο πεδίο, χώρα έκδοσης και γλώσσα υπερεκπροσωπούνται ή υποεκπροσωπούνται. Για να γίνει αυτό, συγκρίναμε την κάλυψη ενεργών επιστημονικών περιοδικών στο WoS (13.605 περιοδικά) και στο Scopus (20.346 περιοδικά) με τον εκτενή περιοδικό κατάλογο του Ulrich (63.013 περιοδικά). Τα αποτελέσματα δείχνουν ότι η χρήση είτε του WoS είτε του Scopus για την αξιολόγηση της έρευνας μπορεί να εισάγει προκαταλήψεις που ευνοούν τις Φυσικές Επιστήμες και τη Μηχανική καθώς και τη Βιοϊατρική Έρευνα εις βάρος των Κοινωνικών Επιστημών και των Τεχνών και των Ανθρωπιστικών Επιστημών. Ομοίως, τα αγγλόφωνα περιοδικά υπερεκπροσωπούνται εις βάρος άλλων γλωσσών. Ενώ και οι δύο βάσεις δεδομένων μοιράζονται αυτές τις προκαταλήψεις, η κάλυψή τους διαφέρει ουσιαστικά. Κατά συνέπεια, τα αποτελέσματα των βιβλιομετρικών αναλύσεων ενδέχεται να διαφέρουν ανάλογα με τη βάση δεδομένων που χρησιμοποιείται. Αυτά τα αποτελέσματα υποδηλώνουν ότι στο πλαίσιο της αξιολόγησης της συγκριτικής έρευνας, το WoS και το Scopus θα πρέπει να χρησιμοποιούνται με προσοχή, ειδικά όταν συγκρίνονται διαφορετικοί τομείς, ιδρύματα, χώρες ή γλώσσες. Η βιβλιομετρική κοινότητα θα πρέπει να συνεχίσει τις προσπάθειές της για την ανάπτυξη μεθόδων και δεικτών που περιλαμβάνουν επιστημονικά αποτελέσματα που δεν καλύπτονται από το WoS ή το Scopus, όπως ευρετήρια αναφοράς για συγκεκριμένο πεδίο και εθνικά ευρετήρια._x000a__x000a_My lady, I hope this information is helpful. If you have any further questions, please let me know."/>
    <n v="0"/>
    <x v="1"/>
    <x v="1"/>
  </r>
  <r>
    <s v="['Which papers discuss the use of Retrieval-Augmented Generation (RAG) when used in applications?']"/>
    <s v="Summary: I have found four papers that discuss the use of Retrieval-Augmented Generation (RAG) in applications._x000a__x000a_DOI: 10.1016/j.caeai.2025.100417_x000a_This paper discusses the use of RAG in education, covering interactive learning systems, generation and assessment of educational content, and large-scale deployment in educational ecosystems._x000a__x000a_DOI: 10.48550/arXiv.2312.10997_x000a_This paper provides an overview of RAG paradigms, including Naive RAG, Advanced RAG, and Modular RAG, and discusses their applications in knowledge-intensive tasks._x000a__x000a_DOI: 10.48550/arXiv.2404.13948_x000a_This paper investigates the robustness of RAG in real-world applications, specifically focusing on its vulnerability to noisy documents and holistic evaluation._x000a__x000a_DOI: 10.3390/app14199103_x000a_This paper examines the use of RAG in automating systematic literature reviews (SLRs), including data extraction, summarization, and trend identification._x000a__x000a_DOI: 10.18653/v1/2024.eacl-demo.16_x000a_This paper introduces a framework for evaluating RAG pipelines, focusing on reference-free assessment and reducing the risk of hallucinations._x000a__x000a_My lady, I hope this information is helpful. If you have any further questions or need more details, please let me know."/>
    <n v="1"/>
    <x v="0"/>
    <x v="0"/>
  </r>
  <r>
    <s v="['Which papers discuss the use of Retrieval-Augmented Generation (RAG) when used in applications?']"/>
    <s v="Summary: I have found four papers that discuss the use of Retrieval-Augmented Generation (RAG) in applications._x000a__x000a_DOI: 10.1016/j.caeai.2025.100417_x000a_This paper discusses the use of RAG in education, including interactive learning systems, generation and assessment of educational content, and large-scale deployment in educational ecosystems._x000a__x000a_DOI: 10.48550/arXiv.2312.10997_x000a_This paper provides an overview of RAG paradigms, including Naive RAG, Advanced RAG, and Modular RAG, and discusses their applications in knowledge-intensive tasks._x000a__x000a_DOI: 10.48550/arXiv.2404.13948_x000a_This paper investigates the robustness of RAG in real-world applications, specifically focusing on its vulnerability to noisy documents and holistic evaluation._x000a__x000a_DOI: 10.3390/app14199103_x000a_This paper explores the use of RAG in automating systematic literature reviews (SLRs), including data extraction, summarization, and trend identification._x000a__x000a_DOI: 10.18653/v1/2024.eacl-demo.16_x000a_This paper introduces a framework for evaluating RAG pipelines, specifically focusing on reference-free evaluation and reducing the risk of hallucinations._x000a__x000a_My lady, I hope this information is helpful. If you have any further questions or need more details, please let me know."/>
    <n v="1"/>
    <x v="0"/>
    <x v="0"/>
  </r>
  <r>
    <s v="['Which papers discuss the use of Retrieval-Augmented Generation (RAG) when used in applications?']"/>
    <s v="My lady, here are the papers that discuss the use of Retrieval-Augmented Generation (RAG) in applications:_x000a__x000a_**Summary:** Retrieval-Augmented Generation (RAG) is explored in various applications, including educational scenarios, systematic literature reviews, and real-world applications, addressing challenges like hallucination, outdated knowledge, and robustness._x000a__x000a_**DOI: 10.1016/j.caeai.2025.100417**_x000a_This paper discusses the application of RAG in educational scenarios, focusing on interactive learning systems, generation and assessment of educational content, and large-scale deployment in educational ecosystems. It aims to mitigate challenges like hallucination and static internal knowledge in LLMs._x000a__x000a_**DOI: 10.48550/arXiv.2312.10997**_x000a_This survey paper examines the progression of RAG paradigms, including Naive RAG, Advanced RAG, and Modular RAG, and their applications in knowledge-intensive tasks, continuous knowledge updates, and domain-specific information integration._x000a__x000a_**DOI: 10.48550/arXiv.2404.13948**_x000a_This paper investigates the robustness of RAG in real-world applications, specifically addressing vulnerability to noisy documents and introducing a novel attack method, Genetic Attack on RAG (GARAG), to test system functionality._x000a__x000a_**DOI: 10.3390/app14199103**_x000a_This study explores the application of RAG in automating systematic literature reviews (SLRs), focusing on tasks like data extraction, summarization, and trend identification, and proposes a framework for RAG-based LLMs in SLR automation._x000a__x000a_**DOI: 10.18653/v1/2024.eacl-demo.16**_x000a_This paper introduces RAGAs, a framework for reference-free evaluation of RAG pipelines, aiming to assess the performance of RAG systems in various dimensions, including retrieval, generation, and overall quality._x000a__x000a_These papers collectively demonstrate the diverse applications of RAG and its potential to address challenges in various domains."/>
    <n v="1"/>
    <x v="0"/>
    <x v="0"/>
  </r>
  <r>
    <s v="['Which papers discuss the use of Retrieval-Augmented Generation (RAG) when used in applications?']"/>
    <s v="Summary: I have found four papers that discuss the use of Retrieval-Augmented Generation (RAG) in applications._x000a__x000a_DOI: 10.1016/j.caeai.2025.100417_x000a_This paper discusses the use of RAG in education, specifically in interactive learning systems, generation and assessment of educational content, and large-scale deployment in educational ecosystems._x000a__x000a_DOI: 10.48550/arXiv.2312.10997_x000a_This paper provides an overview of RAG paradigms, including Naive RAG, Advanced RAG, and Modular RAG, and discusses their applications in knowledge-intensive tasks._x000a__x000a_DOI: 10.48550/arXiv.2404.13948_x000a_This paper investigates the robustness of RAG in real-world applications, specifically in the context of noisy documents and low-level perturbations._x000a__x000a_DOI: 10.3390/app14199103_x000a_This paper discusses the use of RAG in automating systematic literature reviews, including data extraction, summarization, and trend identification._x000a__x000a_DOI: 10.18653/v1/2024.eacl-demo.16_x000a_This paper introduces a framework for evaluating RAG pipelines, specifically in the context of reference-free evaluation and reducing the risk of hallucinations._x000a__x000a_My lady, I hope this information is helpful. If you have any further questions or need more details, please let me know."/>
    <n v="1"/>
    <x v="0"/>
    <x v="0"/>
  </r>
  <r>
    <s v="['Which papers discuss the use of Retrieval-Augmented Generation (RAG) when used in applications?']"/>
    <s v="Summary: I found four papers that discuss the use of Retrieval-Augmented Generation (RAG) in applications._x000a__x000a_DOI: 10.1016/j.caeai.2025.100417_x000a_This paper discusses the use of RAG in education, specifically in interactive learning systems, generation and assessment of educational content, and large-scale deployment in educational ecosystems._x000a__x000a_DOI: 10.48550/arXiv.2312.10997_x000a_This paper provides a comprehensive review of RAG, including its use in knowledge-intensive tasks and the integration of domain-specific information._x000a__x000a_DOI: 10.48550/arXiv.2404.13948_x000a_This paper investigates the robustness of RAG in real-world applications, specifically its vulnerability to noisy documents and minor textual errors._x000a__x000a_DOI: 10.3390/app14199103_x000a_This paper discusses the use of RAG in automating systematic literature reviews, including data extraction, summarization, and trend identification._x000a__x000a_My lady, I hope this information is helpful. If you have any further questions or need more details, please let me know."/>
    <n v="1"/>
    <x v="0"/>
    <x v="0"/>
  </r>
  <r>
    <s v="['Which papers address funding metadata, its availability, or its analysis in scholarly databases?']"/>
    <s v="Summary: Four papers address funding metadata, its availability, or its analysis in scholarly databases._x000a__x000a_DOI: 10.1162/qss_a_00210 - The availability and completeness of open funder metadata: Case study for publications funded by the Dutch Research Council._x000a_DOI: 10.31222/osf.io/smxe5 - Crossref as a source of open bibliographic metadata._x000a_DOI: 10.1162/qss_a_00212 - Funding COVID-19 research: Insights from an exploratory analysis using open data infrastructures._x000a_DOI: 10.1162/qss_a_00286 - Completeness degree of publication metadata in eight free-access scholarly databases._x000a__x000a_My lady, is there anything else I can help you with?"/>
    <n v="1"/>
    <x v="0"/>
    <x v="0"/>
  </r>
  <r>
    <s v="['Which papers address funding metadata, its availability, or its analysis in scholarly databases?']"/>
    <s v="Summary: Three papers address funding metadata, its availability, or its analysis in scholarly databases._x000a__x000a_DOI: 10.1162/qss_a_00210_x000a_This paper examines the availability and completeness of open funder metadata, using a case study of publications funded by the Dutch Research Council. It highlights the challenges in assessing the coverage of funder metadata and the potential to improve the quality of open metadata on funding._x000a__x000a_DOI: 10.31222/osf.io/smxe5_x000a_This paper presents an overview of the availability of six metadata elements in Crossref, including funding information. It discusses the improvements in metadata availability over time and the need for publishers to make additional efforts to achieve full openness of bibliographic metadata._x000a__x000a_DOI: 10.1162/qss_a_00212_x000a_This paper studies the open availability of funding data in Crossref, focusing on COVID-19 research. It compares funding data in Crossref with two proprietary bibliometric databases and provides recommendations for improving the open availability of funding data._x000a__x000a_My lady, I hope this information is helpful. If you have any further questions or need more details, please let me know."/>
    <n v="1"/>
    <x v="0"/>
    <x v="0"/>
  </r>
  <r>
    <s v="['Which papers address funding metadata, its availability, or its analysis in scholarly databases?']"/>
    <s v="Summary: Four papers address funding metadata, its availability, or its analysis in scholarly databases._x000a__x000a_DOI: 10.1162/qss_a_00210 addresses the availability and completeness of open funder metadata._x000a__x000a_DOI: 10.31222/osf.io/smxe5 addresses Crossref as a source of open bibliographic metadata._x000a__x000a_DOI: 10.1162/qss_a_00212 addresses funding COVID-19 research and insights from an exploratory analysis using open data infrastructures._x000a__x000a_DOI: 10.1162/qss_a_00286 addresses the completeness degree of publication metadata in eight free-access scholarly databases._x000a__x000a_My lady, I hope this information is helpful."/>
    <n v="1"/>
    <x v="0"/>
    <x v="0"/>
  </r>
  <r>
    <s v="['Which papers address funding metadata, its availability, or its analysis in scholarly databases?']"/>
    <s v="Summary: Four papers address funding metadata, its availability, or its analysis in scholarly databases._x000a__x000a_DOI: 10.1162/qss_a_00210 - This paper examines the availability and completeness of open funder metadata, specifically focusing on publications funded by the Dutch Research Council (NWO). It highlights the challenges in assessing funder metadata coverage due to the unknown number of articles resulting from funded research. The study analyzed 5,004 publications reported as NWO-funded, finding that only 67% contained funding information in Crossref, with variations in acknowledging NWO as the funder. It also compares funding information across different databases, noting differences in coverage and completeness between Crossref and proprietary databases like Web of Science, Scopus, and Dimensions._x000a__x000a_DOI: 10.31222/osf.io/smxe5 - This paper provides an overview of the availability of six metadata elements in Crossref, including funding information. It discusses initiatives to promote open bibliographic metadata and analyzes the improvements in metadata availability over time, particularly for journal articles. However, it also highlights the need for publishers to make additional efforts to achieve full openness of bibliographic metadata._x000a__x000a_DOI: 10.1162/qss_a_00212 - Focusing on funding data for COVID-19 research, this paper studies the open availability of funding data in Crossref and compares it with proprietary bibliometric databases like Scopus and Web of Science. It reveals limited coverage and quality issues in funding data, particularly in Scopus, and offers recommendations for improving open funding data availability in Crossref._x000a__x000a_DOI: 10.1162/qss_a_00286 - This study compares the completeness of publication metadata in eight free-access scholarly databases, including Dimensions, Google Scholar, and Microsoft Academic. It analyzes seven metadata characteristics and finds that third-party databases generally have higher metadata quality and completeness compared to academic search engines. The paper concludes that academic search engines struggle with reliable descriptive data retrieval, while third-party databases face information loss from integrating different sources._x000a__x000a_My lady, these papers collectively address various aspects of funding metadata, its availability, and analysis in scholarly databases, offering insights into the current state and potential improvements in this area."/>
    <n v="1"/>
    <x v="0"/>
    <x v="0"/>
  </r>
  <r>
    <s v="['Which papers address funding metadata, its availability, or its analysis in scholarly databases?']"/>
    <s v="Summary: I found three papers that address funding metadata, its availability, or its analysis in scholarly databases._x000a__x000a_DOI: 10.1162/qss_a_00210_x000a_This paper examines the availability and completeness of open funder metadata, specifically for publications funded by the Dutch Research Council. It highlights the challenges in assessing the coverage of funder metadata and compares the quality of open metadata across different databases._x000a__x000a_DOI: 10.31222/osf.io/smxe5_x000a_This paper provides an overview of the availability of bibliographic metadata elements in Crossref, including funding information. It discusses the improvements in metadata availability over time and the need for publishers to enhance openness._x000a__x000a_DOI: 10.1162/qss_a_00212_x000a_This paper focuses on the open availability of funding data in Crossref for COVID-19 research publications. It compares this data with proprietary bibliometric databases and offers recommendations for improving the open availability of funding data._x000a__x000a_My lady, I hope this information is helpful. If you have any further questions or need additional details, please let me know."/>
    <n v="1"/>
    <x v="0"/>
    <x v="0"/>
  </r>
  <r>
    <s v="['What methods are used to detect and correct errors in bibliographic datasets?']"/>
    <s v="Summary: Bibliographic errors are perpetuated for decades._x000a__x000a_DOI: 10.1108/JD-10-2022-0234 - Bibliographic errors are perpetuated for decades and their possible causes have increased, despite the encouraged use of technological facilities._x000a__x000a_My lady, I am sorry but I could not find any information on methods used to detect and correct errors in bibliographic datasets. Is there anything else I can help you with?"/>
    <n v="0"/>
    <x v="1"/>
    <x v="1"/>
  </r>
  <r>
    <s v="['What methods are used to detect and correct errors in bibliographic datasets?']"/>
    <s v="Summary: Bibliographic errors have been perpetuated for decades and possible causes have increased, despite the encouraged use of technological facilities._x000a__x000a_DOI: 10.1108/JD-10-2022-0234 - Bibliographic errors have been perpetuated for decades and possible causes have increased, despite the encouraged use of technological facilities._x000a__x000a_My lady, I am unable to provide further information on this topic. Is there anything else I can help you with?"/>
    <n v="0"/>
    <x v="1"/>
    <x v="1"/>
  </r>
  <r>
    <s v="['What methods are used to detect and correct errors in bibliographic datasets?']"/>
    <s v="Summary: Bibliographic errors are perpetuated for decades._x000a_DOI: 10.1108/JD-10-2022-0234 - Bibliographic errors are perpetuated for decades and their possible causes have increased, despite the encouraged use of technological facilities._x000a__x000a_My lady, I am sorry but I could not find any further information about methods used to detect and correct errors in bibliographic datasets. Is there anything else I can help you with?"/>
    <n v="0"/>
    <x v="1"/>
    <x v="1"/>
  </r>
  <r>
    <s v="['What methods are used to detect and correct errors in bibliographic datasets?']"/>
    <s v="Summary: Bibliographic errors have been perpetuated for decades and their possible causes have increased, despite the encouraged use of technological facilities, i.e. the reference managers._x000a__x000a_DOI: 10.1108/JD-10-2022-0234_x000a__x000a_My lady, is there anything else I can help you with?"/>
    <n v="0"/>
    <x v="1"/>
    <x v="1"/>
  </r>
  <r>
    <s v="['What methods are used to detect and correct errors in bibliographic datasets?']"/>
    <s v="Summary: Bibliographic errors are perpetuated for decades._x000a_DOI: 10.1108/JD-10-2022-0234 - Bibliographic errors are perpetuated for decades and their possible causes have increased, despite the encouraged use of technological facilities, i.e. the reference managers._x000a__x000a_My lady, I'm afraid I could not find any further information about methods to detect and correct errors in bibliographic datasets. Would you like to ask another question?"/>
    <n v="0"/>
    <x v="1"/>
    <x v="1"/>
  </r>
  <r>
    <s v="['What is Crossref’s role in the scholarly research ecosystem?']"/>
    <s v="Summary: Crossref is a sustainable source of community-owned scholarly metadata, providing over 106 million records that are valuable for research in scientometrics. It plays a central role in achieving indexing and supports funders in tracking publication outputs._x000a__x000a_DOI: 10.1162/qss_a_00022: Crossref is described as a sustainable source of community-owned scholarly metadata, offering over 106 million records that are essential for scientometric research. It collects and provides metadata across 13 content types, including traditional and non-traditional scholarly outputs._x000a__x000a_DOI: 10.1590/SciELOPreprints.11205: This study highlights the central role of Crossref DOIs in journal indexing, with 97% of journals using Crossref DOIs included in OpenAlex. However, it also notes structural inequities in representation._x000a__x000a_DOI: 10.1162/qss_a_00210: Crossref’s FundRef initiative helps funders track publications associated with their funding, though coverage of funder metadata remains challenging to assess._x000a__x000a_DOI: 10.31222/osf.io/smxe5: Crossref promotes the open availability of bibliographic metadata, with improvements over time, though full openness requires further publisher efforts._x000a__x000a_DOI: 10.1007/s11192-022-04367-w: This work focuses on identifying and correcting invalid citations in Crossref data, highlighting the responsibility of a few publishers and proposing automated correction mechanisms._x000a__x000a_My lady, if you have further questions or need additional details, please let me know."/>
    <n v="1"/>
    <x v="0"/>
    <x v="0"/>
  </r>
  <r>
    <s v="['What is Crossref’s role in the scholarly research ecosystem?']"/>
    <s v="Summary: Crossref is a sustainable source of community-owned scholarly metadata, providing over 106 million records that are valuable for research in scientometrics. It plays a central role in achieving indexing and supports funders in tracking publication outputs._x000a__x000a_DOI: 10.1162/qss_a_00022 - Crossref is described as a sustainable source of community-owned scholarly metadata, containing over 106 million records and expanding at an average rate of 11% annually. Its metadata is one of the major sources of scholarly data for various stakeholders, including publishers, authors, librarians, funders, and researchers. The metadata set includes 13 content types, such as journals, conference papers, datasets, reports, preprints, peer reviews, and grants. This scale and breadth make Crossref a valuable resource for scientometric research, including measuring the growth and impact of science and understanding new trends in scholarly communications._x000a__x000a_DOI: 10.1590/SciELOPreprints.11205 - This study highlights the central role of Crossref DOIs in achieving indexing, with 97% of journals using Crossref DOIs included in OpenAlex. However, it also points out structural inequities, as resource-limited journals, particularly those from low-income countries and non-English language journals, remain underrepresented._x000a__x000a_DOI: 10.1162/qss_a_00210 - Crossref's FundRef initiative, launched in 2013, helps funders track publication outputs by enabling publishers to register funding information using persistent identifiers. The study examines 5,004 publications funded by the Dutch Research Council and finds that only 67% contain funding information in Crossref. It highlights the potential to improve the quality of open metadata on funding._x000a__x000a_My lady, I hope this summary meets your requirements. If you have any further questions or need additional information, please let me know."/>
    <n v="1"/>
    <x v="0"/>
    <x v="0"/>
  </r>
  <r>
    <s v="['What is Crossref’s role in the scholarly research ecosystem?']"/>
    <s v="Summary: Crossref is a sustainable source of community-owned scholarly metadata, providing over 106 million records of 13 content types, including traditional and non-traditional scholarly materials. Its metadata is widely used by various stakeholders in the scholarly ecosystem and is available through multiple APIs._x000a__x000a_DOI: 10.1162/qss_a_00022 - This paper describes the scholarly metadata collected and made available by Crossref, highlighting its importance in the scholarly research ecosystem. It details the scale and breadth of Crossref's metadata, its role in scientometrics research, and the evolution of its metadata curation and citation data provision._x000a__x000a_My lady, is there anything else I can assist you with regarding Crossref's role in the scholarly research ecosystem?"/>
    <n v="1"/>
    <x v="0"/>
    <x v="0"/>
  </r>
  <r>
    <s v="['What is Crossref’s role in the scholarly research ecosystem?']"/>
    <s v="Summary: Crossref is a sustainable source of community-owned scholarly metadata that plays a crucial role in the scholarly research ecosystem by providing a vast collection of metadata, including over 106 million records and 13 content types. It supports researchers, publishers, librarians, and funders by offering valuable data for scientometrics, tracking research outcomes, and promoting open bibliographic metadata._x000a__x000a_DOI: 10.1162/qss_a_00022: This paper highlights Crossref's role in collecting and providing scholarly metadata, which is essential for researchers, publishers, librarians, and funders. With over 106 million records and 13 content types, Crossref's metadata supports scientometrics research and scholarly communications._x000a__x000a_DOI: 10.1590/SciELOPreprints.11205: This study emphasizes the central role of Crossref DOIs in achieving indexing, particularly in OpenAlex, while also highlighting structural inequities in the representation of resource-limited journals._x000a__x000a_DOI: 10.1162/qss_a_00210: Crossref's FundRef initiative helps research funders track publication output, but challenges remain in assessing the coverage of funder metadata._x000a__x000a_DOI: 10.31222/osf.io/smxe5: This paper discusses initiatives to promote the open availability of bibliographic metadata in Crossref, noting improvements but also the need for further efforts from publishers._x000a__x000a_DOI: 10.1007/s11192-022-04367-w: This study focuses on identifying and correcting invalid citations due to DOI errors in Crossref data, contributing to the quality of open bibliographic metadata._x000a__x000a_My lady, I hope this summary provides a clear overview of Crossref's role in the scholarly research ecosystem. If you have any further questions or need additional information, please let me know."/>
    <n v="1"/>
    <x v="0"/>
    <x v="0"/>
  </r>
  <r>
    <s v="['What is Crossref’s role in the scholarly research ecosystem?']"/>
    <s v="Summary: Crossref is a sustainable source of community-owned scholarly metadata that collects and provides access to over 106 million records, growing at an average rate of 11% annually. Its metadata, encompassing 13 content types, is vital for publishers, authors, librarians, funders, and researchers, supporting scientometrics research and understanding trends in scholarly communications._x000a__x000a_DOI: 10.1162/qss_a_00022_x000a__x000a_My lady, I hope this summary meets your requirements. If you have any further questions or need additional information, please let me know."/>
    <n v="0"/>
    <x v="1"/>
    <x v="1"/>
  </r>
  <r>
    <s v="['What are the strengths and weaknesses of Web of Science (WoS) as a bibliometric database?']"/>
    <s v="Summary: I'm sorry, my lady, I am unable to answer your question as there is no relevant information provided._x000a__x000a_DOI: 10.1007/s11192-015-1765-5 - The use of either WoS or Scopus for research evaluation may introduce biases that favour Natural Sciences and Engineering as well as Biomedical Research to the detriment of Social Sciences and Arts and Humanities._x000a__x000a_DOI: 10.48550/arXiv.2508.18620 - The Web of Science (WoS) was the main supporting infrastructure of the field for more than 30 years until several new competitors emerged._x000a__x000a_DOI: 10.29173/cais1943 - The Web of Science (WoS) was the main supporting infrastructure of the field for more than 30 years until several new competitors emerged._x000a__x000a_DOI: 10.1162/qss_a_00112 - We present a large-scale comparison of five multidisciplinary bibliographic data sources: Scopus, Web of Science, Dimensions, Crossref, and Microsoft Academic._x000a__x000a_DOI: 10.1162/qss_a_00211 - Application of the framework reveals that WoS has the highest overall quality among the sets considered; and that the differences in quality can be explained primarily by how the data sources are organized."/>
    <n v="0"/>
    <x v="1"/>
    <x v="1"/>
  </r>
  <r>
    <s v="['What are the strengths and weaknesses of Web of Science (WoS) as a bibliometric database?']"/>
    <s v="Summary: I'm sorry, my lady, I could not find any information about the strengths and weaknesses of Web of Science (WoS) as a bibliometric database._x000a__x000a_DOI: 10.1007/s11192-015-1765-5 - WoS and Scopus should be used with caution when comparing different fields, institutions, countries or languages._x000a_DOI: 10.48550/arXiv.2508.18620 - WoS was the main supporting infrastructure of the field for more than 30 years until several new competitors emerged._x000a_DOI: 10.29173/cais1943 - WoS was the main supporting infrastructure of the field for more than 30 years until several new competitors emerged._x000a_DOI: 10.1162/qss_a_00112 - The strengths and weaknesses of the different data sources are discussed._x000a_DOI: 10.1162/qss_a_00211 - WoS has the highest overall quality among the sets considered."/>
    <n v="0"/>
    <x v="1"/>
    <x v="1"/>
  </r>
  <r>
    <s v="['What are the strengths and weaknesses of Web of Science (WoS) as a bibliometric database?']"/>
    <s v="Summary: I'm sorry, my lady, I am unable to answer your question as there is no relevant information provided._x000a__x000a_DOI: 10.1007/s11192-015-1765-5 - The use of WoS or Scopus for research evaluation may introduce biases that favour Natural Sciences and Engineering as well as Biomedical Research to the detriment of Social Sciences and Arts and Humanities._x000a__x000a_DOI: 10.48550/arXiv.2508.18620 - The Web of Science (WoS) was the main supporting infrastructure of the field for more than 30 years until several new competitors emerged._x000a__x000a_DOI: 10.29173/cais1943 - The Web of Science (WoS) was the main supporting infrastructure of the field for more than 30 years until several new competitors emerged._x000a__x000a_DOI: 10.1162/qss_a_00112 - We present a large-scale comparison of five multidisciplinary bibliographic data sources: Scopus, Web of Science, Dimensions, Crossref, and Microsoft Academic._x000a__x000a_DOI: 10.1162/qss_a_00211 - Application of the framework reveals that WoS has the highest overall quality among the sets considered; and that the differences in quality can be explained primarily by how the data sources are organized."/>
    <n v="0"/>
    <x v="1"/>
    <x v="1"/>
  </r>
  <r>
    <s v="['What are the strengths and weaknesses of Web of Science (WoS) as a bibliometric database?']"/>
    <s v="Summary: Web of Science (WoS) is a bibliometric database that has been used for over 30 years and is considered to have high overall quality. However, it has been criticised for its biases towards certain fields and languages._x000a__x000a_DOI: 10.1007/s11192-015-1765-5_x000a_WoS has a journal coverage of 13,605 and favours Natural Sciences and Engineering as well as Biomedical Research over the Social Sciences, Arts and Humanities. It also overrepresents English-language journals._x000a__x000a_DOI: 10.48550/arXiv.2508.18620_x000a_WoS was the main supporting infrastructure of the field for more than 30 years until new competitors emerged. It is compared to OpenAlex, a newer database which has gained popularity for its openness and extensive coverage. However, the quality of OpenAlex's metadata is a concern._x000a__x000a_DOI: 10.29173/cais1943_x000a_This study compares the metadata quality of OpenAlex and WoS, focusing on document type accuracy. It finds that over 4% of publications indexed in both databases are misclassified, with 97% of these errors occurring in OpenAlex._x000a__x000a_DOI: 10.1162/qss_a_00112_x000a_This study compares five bibliographic data sources, including WoS, and discusses their strengths and weaknesses. It emphasizes the importance of comprehensive coverage and flexible filters for literature selection._x000a__x000a_DOI: 10.1162/qss_a_00211_x000a_This study assesses the quality of bibliographic data sources for measuring international research collaboration (IRC) and finds that WoS has the highest overall quality among the sources considered. The differences in quality are attributed to the organization of the data sources._x000a__x000a_My lady, I hope this information is helpful. If you have any further questions, please let me know."/>
    <n v="1"/>
    <x v="0"/>
    <x v="0"/>
  </r>
  <r>
    <s v="['What are the strengths and weaknesses of Web of Science (WoS) as a bibliometric database?']"/>
    <s v="Summary: The Web of Science (WoS) is a bibliometric database that has been the main supporting infrastructure of the field for more than 30 years. It is used for research evaluation and is one of the most common data sources for bibliometric analyses._x000a__x000a_DOI: 10.1007/s11192-015-1765-5_x000a_The Web of Science (WoS) is a common data source for bibliometric analyses. It is used for research evaluation and has a journal coverage of 13,605. However, the use of WoS may introduce biases that favor Natural Sciences and Engineering as well as Biomedical Research to the detriment of Social Sciences and Arts and Humanities. Similarly, English-language journals are overrepresented to the detriment of other languages._x000a__x000a_DOI: 10.48550/arXiv.2508.18620_x000a_The Web of Science (WoS) is a large multidisciplinary database of research outputs and citation indices. It was the main supporting infrastructure of the field for more than 30 years until several new competitors emerged. The quality of its metadata is a concern, with a focus on document type, publication year, language, and number of authors._x000a__x000a_DOI: 10.29173/cais1943_x000a_The Web of Science (WoS) is a large multidisciplinary database of research outputs and citation indices. It was the main supporting infrastructure of the field for more than 30 years until several new competitors emerged. The quality of its metadata is a concern, with a focus on document type accuracy._x000a__x000a_DOI: 10.1162/qss_a_00112_x000a_The Web of Science is one of five multidisciplinary bibliographic data sources compared in this study. The comparison considers scientific documents from the period 2008–2017 covered by these data sources. The study discusses the strengths and weaknesses of the different data sources, including WoS._x000a__x000a_DOI: 10.1162/qss_a_00211_x000a_The Web of Science (WoS) is one of four popular sources of bibliographic data examined in this study. The study reveals that WoS has the highest overall quality among the sets considered. The differences in quality can be explained primarily by how the data sources are organized._x000a__x000a_My lady, I hope this information is helpful. If you have any further questions, please let me know."/>
    <n v="1"/>
    <x v="0"/>
    <x v="0"/>
  </r>
  <r>
    <s v="['What are the main challenges in normalizing citation metrics across scientific fields?']"/>
    <s v="Summary: I am unable to answer your question as there is no information about the main challenges in normalizing citation metrics across scientific fields._x000a__x000a_DOI: 10.1045/september2016‐meschenmoser - discusses the challenges and presents strategies to programmatically access data in scientific Web repositories._x000a__x000a_My lady, would you like me to answer a different question?"/>
    <n v="0"/>
    <x v="1"/>
    <x v="1"/>
  </r>
  <r>
    <s v="['What are the main challenges in normalizing citation metrics across scientific fields?']"/>
    <s v="Summary: I'm sorry, my lady, I am unable to answer your question as there is no relevant information in the document._x000a__x000a_DOI: 10.1045/september2016‐meschenmoser"/>
    <n v="0"/>
    <x v="1"/>
    <x v="1"/>
  </r>
  <r>
    <s v="['What are the main challenges in normalizing citation metrics across scientific fields?']"/>
    <s v="Summary: I am unable to answer your question as there is no relevant information in the document._x000a__x000a_DOI: 10.1045/september2016‐meschenmoser_x000a__x000a_Is there anything else I can help you with, my lady?"/>
    <n v="0"/>
    <x v="1"/>
    <x v="1"/>
  </r>
  <r>
    <s v="['What are the main challenges in normalizing citation metrics across scientific fields?']"/>
    <s v="Summary: I'm sorry, my lady, I could not find any information about the main challenges in normalizing citation metrics across scientific fields._x000a__x000a_DOI: 10.1045/september2016‐meschenmoser_x000a__x000a_Is there anything else I can help you with?"/>
    <n v="0"/>
    <x v="1"/>
    <x v="1"/>
  </r>
  <r>
    <s v="['What are the main challenges in normalizing citation metrics across scientific fields?']"/>
    <s v="Summary: I am unable to answer your question as there is no relevant information in the document._x000a__x000a_DOI: 10.1045/september2016‐meschenmoser_x000a__x000a_Is there anything else I can help you with, my lady?"/>
    <n v="0"/>
    <x v="1"/>
    <x v="1"/>
  </r>
  <r>
    <s v="['What are the key features and limitations of OpenAlex as a bibliometric database?']"/>
    <s v="Summary: OpenAlex is a fully-open scientific knowledge graph (SKG) that contains metadata for 209 million works. It is under active development and future work will improve accuracy and coverage of citation information and author/institution parsing and deduplication._x000a__x000a_DOI: 10.48550/ARXIV.2205.01833_x000a__x000a_Is there anything else I can help you with, my lady?"/>
    <n v="0"/>
    <x v="1"/>
    <x v="1"/>
  </r>
  <r>
    <s v="['What are the key features and limitations of OpenAlex as a bibliometric database?']"/>
    <s v="Summary: OpenAlex is a new, fully-open bibliographic database that contains metadata for 209 million works. It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205.01833 - OpenAlex is a new, fully-open scientific knowledge graph (SKG) that contains metadata for 209 million works. It is fully and freely available via a web-based GUI, a full data dump, and high-volume REST API._x000a__x000a_DOI: 10.48550/arXiv.2508.18620 - OpenAlex is a bibliographic database that distinguished itself for its openness and extensive coverage. However, one of the concerns that hinders its broader adoption for research and research evaluation is the quality of its metadata._x000a__x000a_DOI: 10.3145/epi.2023.mar.09 - OpenAlex seems to be overall at least as suited for bibliometric analyses as MAG for publication years before 2021 or maybe even better because of the broader coverage of document type assignments._x000a__x000a_DOI: 10.48550/arXiv.2409.10633 - OpenAlex exhibits a far more balanced linguistic coverage than WoS. However, language metadata is not always accurate, which leads OpenAlex to overestimate the place of English while underestimating that of other languages._x000a__x000a_My lady, I hope this information is helpful. If you have any further questions, please let me know."/>
    <n v="1"/>
    <x v="0"/>
    <x v="0"/>
  </r>
  <r>
    <s v="['What are the key features and limitations of OpenAlex as a bibliometric database?']"/>
    <s v="Summary: OpenAlex is a bibliographic database that was launched in 2022 to replace the discontinued Microsoft Academic Graph (MAG). It is a fully-open scientific knowledge graph (SKG) that contains metadata for 209 million works, including journal articles, books, and more. OpenAlex has been praised for its transparency, extensive coverage, and openness, but there are concerns about the quality of its metadata. _x000a__x000a_DOI: 10.48550/arXiv.2404.17663 - OpenAlex is a superset of Scopus and can be a reliable alternative for some analyses, particularly at the country level. However, issues with metadata accuracy and completeness need to be addressed for OpenAlex to be used confidently across a wider set of analyses._x000a__x000a_DOI: 10.48550/ARXIV.2205.01833 - OpenAlex contains metadata for 209M works, 2013M disambiguated authors, 124k venues, 109k institutions, and 65k Wikidata concepts. The dataset is fully and freely available via a web-based GUI, a full data dump, and high-volume REST API. Future work will improve accuracy and coverage of citation information and author/institution parsing and deduplication._x000a__x000a_DOI: 10.48550/arXiv.2508.18620 - OpenAlex has the potential to reduce or eliminate barriers to accessing bibliometric data, but concerns about metadata quality hinder its broader adoption. This study aims to assess metadata quality in OpenAlex and WoS, focusing on document type, publication year, language, and number of authors._x000a__x000a_DOI: 10.3145/epi.2023.mar.09 - OpenAlex appears to be at least as suitable for bibliometric analyses as MAG for publication years before 2021, and possibly even better due to its broader coverage of document type assignments. However, the consequences of subject reclassifications on field-normalized bibliometric evaluations remain an open question._x000a__x000a_DOI: 10.48550/arXiv.2409.10633 - OpenAlex exhibits a more balanced linguistic coverage than WoS, but its language metadata is not always accurate. If used critically, OpenAlex can provide comprehensive and representative analyses of languages used for scholarly publishing, but more work is needed to ensure the quality of metadata on language._x000a__x000a_My lady, I hope this summary meets your requirements. If you have any further questions or would like more information, please don't hesitate to ask."/>
    <n v="1"/>
    <x v="0"/>
    <x v="0"/>
  </r>
  <r>
    <s v="['What are the key features and limitations of OpenAlex as a bibliometric database?']"/>
    <s v="Summary: OpenAlex is a bibliographic database that launched in 2022 and is distinguished for its openness and extensive coverage. It is a fully-open scientific knowledge graph (SKG) that contains metadata for 209 million works, 2013 million disambiguated authors, 124 thousand venues, 109 thousand institutions, and 65 thousand Wikidata concepts._x000a__x000a_DOI: 10.48550/arXiv.2404.17663_x000a_OpenAlex is a superset of Scopus and can be a reliable alternative for some analyses, particularly at the country level. Issues of metadata accuracy and completeness show that additional research is needed to fully comprehend and address OpenAlex's limitations._x000a__x000a_DOI: 10.48550/ARXIV.2205.01833_x000a_OpenAlex is a new, fully-open scientific knowledge graph (SKG), launched to replace the discontinued Microsoft Academic Graph (MAG). The dataset is fully and freely available via a web-based GUI, a full data dump, and high-volume REST API. The resource is under active development and future work will improve accuracy and coverage of citation information and author/institution parsing and deduplication._x000a__x000a_DOI: 10.48550/arXiv.2508.18620_x000a_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 This study aims to assess metadata quality in OpenAlex and WoS, focusing on document type, publication year, language, and number of authors._x000a__x000a_DOI: 10.3145/epi.2023.mar.09_x000a_With the announcement of the retirement of Microsoft Academic Graph (MAG), the non-profit organization OurResearch announced that they would provide a similar resource under the name OpenAlex. Practically all works from MAG were transferred to OpenAlex preserving their bibliographic data publication year, volume, first and last page, DOI as well as the number of references that are important ingredients of citation analysis. More than 90% of the MAG documents have equivalent document types in OpenAlex._x000a__x000a_DOI: 10.48550/arXiv.2409.10633_x000a_Launched in 2022, OpenAlex promised comprehensive, inclusive, and open-source research information. While already in use by scholars and research institutions, the quality of its metadata is currently being assessed. This paper contributes to this literature by assessing the completeness and accuracy of OpenAlex's metadata related to language, through a comparison with WoS, as well as an in-depth manual validation of a sample of 6,836 articles._x000a__x000a_My lady, is there anything else I can help you with?"/>
    <n v="1"/>
    <x v="0"/>
    <x v="0"/>
  </r>
  <r>
    <s v="['What are the key features and limitations of OpenAlex as a bibliometric database?']"/>
    <s v="Summary: OpenAlex is a fully open scientific knowledge graph that contains metadata for 209 million works. It is fully and freely available via a web-based GUI, a full data dump, and high-volume REST API._x000a__x000a_DOI: 10.48550/ARXIV.2205.01833_x000a__x000a_OpenAlex is a fully open scientific knowledge graph that contains metadata for 209 million works. It is fully and freely available via a web-based GUI, a full data dump, and high-volume REST API._x000a__x000a_DOI: 10.48550/arXiv.2404.17663_x000a__x000a_OpenAlex is a superset of Scopus and can be a reliable alternative for some analyses, particularly at the country level._x000a__x000a_DOI: 10.48550/arXiv.2508.18620_x000a__x000a_OpenAlex is a bibliographic database that distinguishes itself for its openness and extensive coverage._x000a__x000a_DOI: 10.3145/epi.2023.mar.09_x000a__x000a_OpenAlex is overall at least as suited for bibliometric analyses as MAG for publication years before 2021 or maybe even better because of the broader coverage of document type assignments._x000a__x000a_DOI: 10.48550/arXiv.2409.10633_x000a__x000a_OpenAlex exhibits a far more balanced linguistic coverage than WoS. However, language metadata is not always accurate, which leads OpenAlex to overestimate the place of English while underestimating that of other languages._x000a__x000a_My lady, I hope this information is helpful. If you have any further questions, please let me know."/>
    <n v="1"/>
    <x v="0"/>
    <x v="0"/>
  </r>
  <r>
    <s v="['What are the key challenges and potential solutions for improving metadata quality?']"/>
    <s v="Summary: Metadata quality is crucial for digital objects to be discovered through digital library interfaces._x000a__x000a_DOI: 10.48550/arXiv.2303.17661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_x000a__x000a_My lady, I hope this information is helpful. If you have any further questions, please let me know."/>
    <n v="1"/>
    <x v="0"/>
    <x v="0"/>
  </r>
  <r>
    <s v="['What are the key challenges and potential solutions for improving metadata quality?']"/>
    <s v="Summary: Metadata quality is crucial for digital objects to be discovered through digital library interfaces._x000a__x000a_DOI: 10.48550/arXiv.2303.17661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_x000a__x000a_My lady, I hope this response is helpful. If you have any other questions, please let me know."/>
    <n v="1"/>
    <x v="0"/>
    <x v="0"/>
  </r>
  <r>
    <s v="['What are the key challenges and potential solutions for improving metadata quality?']"/>
    <s v="Summary: The key challenges for improving metadata quality include incompleteness, inconsistency, incorrect values, missing information, and inconsistent value representation. Potential solutions involve automated detection, correction, and canonicalization methods, as well as the development of frameworks like MetaEnhance that utilize state-of-the-art artificial intelligence._x000a__x000a_DOI: 10.48550/arXiv.2303.17661 - This study focuses on improving metadata quality for electronic theses and dissertations (ETDs) in university libraries. It introduces MetaEnhance, a framework that uses advanced AI methods to automatically detect, correct, and canonicalize metadata, achieving high accuracy in error detection and correction._x000a__x000a_DOI: 10.1080/19386389.2011.570654 - This paper analyzes problems in metadata records, identifying five categories of issues: incorrect values, incorrect elements, missing information, information loss, and inconsistent value representation. It emphasizes the need for preventive and corrective measures to ensure metadata quality._x000a__x000a_DOI: 10.1145/2964909 - This work develops a generic metadata quality assessment framework for Open Data portals, addressing issues like retrievability and discoverability. It maps metadata from different portal software frameworks to a standardized schema and defines quality metrics for automated evaluation._x000a__x000a_DOI: 10.1177/09610006241239080 - This scoping review identifies commonly measured dimensions of metadata quality, such as completeness, accuracy, consistency, accessibility, conformance, provenance, and timeliness. It highlights the need for further research and flexible assessment tools to improve metadata quality assurance._x000a__x000a_My lady, these findings underscore the importance of addressing metadata quality challenges through innovative solutions and standardized frameworks."/>
    <n v="1"/>
    <x v="0"/>
    <x v="0"/>
  </r>
  <r>
    <s v="['What are the key challenges and potential solutions for improving metadata quality?']"/>
    <s v="Summary: Metadata quality is crucial for digital objects to be discovered through digital library interfaces._x000a__x000a_DOI: 10.48550/arXiv.2303.17661_x000a__x000a_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_x000a__x000a_My lady, I have provided a summary of the key challenges and potential solutions for improving metadata quality. If you have any further questions, please let me know."/>
    <n v="1"/>
    <x v="0"/>
    <x v="0"/>
  </r>
  <r>
    <s v="['What are the key challenges and potential solutions for improving metadata quality?']"/>
    <s v="Summary: Metadata quality is crucial for the discovery of digital objects through digital library interfaces._x000a__x000a_DOI: 10.48550/arXiv.2303.17661_x000a__x000a_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_x000a__x000a_My lady, is there anything else I can help you with?"/>
    <n v="1"/>
    <x v="0"/>
    <x v="0"/>
  </r>
  <r>
    <s v="['What are the key challenges and advancements in Retrieval-Augmented Generation (RAG) systems?']"/>
    <s v="Summary: Retrieval-Augmented Generation (RAG) systems face challenges such as semantic variability, computational costs, and vulnerability to noisy documents. Advancements include MetaGen Blended RAG, RAGAs for automated evaluation, and enhanced robustness through genetic attacks._x000a__x000a_DOI: 10.48550/arXiv.2312.10997 - This paper explores the evolution of RAG paradigms, including Naive RAG, Advanced RAG, and Modular RAG. It highlights advancements in retrieval, generation, and augmentation techniques, emphasizing the integration of external databases to enhance accuracy and credibility._x000a__x000a_DOI: 10.1016/j.caeai.2025.100417 - Focusing on educational applications, this study discusses challenges like hallucinations, completeness of retrieved knowledge, and computational costs. It introduces methods for generation optimization and multimodal support in RAG systems._x000a__x000a_DOI: 10.18653/v1/2024.eacl-demo.16 - This work introduces RAGAs, a framework for reference-free evaluation of RAG pipelines. It addresses the difficulty of assessing RAG architectures by introducing metrics for retrieval accuracy, LLM fidelity, and generation quality._x000a__x000a_DOI: 10.48550/arXiv.2505.18247 - This paper presents MetaGen Blended RAG, a novel approach for domain-specific enterprise datasets. It achieves high retrieval and RAG accuracy by enhancing semantic retrievers with metadata generation and hybrid query indexes._x000a__x000a_DOI: 10.48550/arXiv.2404.13948 - This research investigates the robustness of RAG systems against noisy documents and introduces GARAG, a genetic attack method. It highlights the vulnerability of RAG components to minor textual inaccuracies._x000a__x000a_My lady, these findings provide a comprehensive overview of the current state and future directions of RAG systems."/>
    <n v="1"/>
    <x v="0"/>
    <x v="0"/>
  </r>
  <r>
    <s v="['What are the key challenges and advancements in Retrieval-Augmented Generation (RAG) systems?']"/>
    <s v="Summary: Retrieval-Augmented Generation (RAG) systems face challenges such as semantic variability, computational costs, and vulnerability to noisy documents, but advancements like MetaGen Blended RAG and RAGAs frameworks are addressing these issues._x000a__x000a_DOI: 10.48550/arXiv.2312.10997 - This paper discusses the evolution of RAG paradigms, including Naive RAG, Advanced RAG, and Modular RAG, and highlights state-of-the-art technologies in retrieval, generation, and augmentation techniques. It also introduces an updated evaluation framework and benchmark._x000a__x000a_DOI: 10.1016/j.caeai.2025.100417 - Focusing on educational applications, this paper explores practical uses of RAG in interactive learning systems and discusses challenges like mitigating hallucinations and reducing computational costs._x000a__x000a_DOI: 10.18653/v1/2024.eacl-demo.16 - Introducing the RAGAs framework, this work provides a reference-free evaluation method for RAG systems, addressing the complexity of assessing retrieval and generation components._x000a__x000a_DOI: 10.48550/arXiv.2505.18247 - This paper presents MetaGen Blended RAG, a novel approach to enhance semantic retrievers for domain-specific datasets, achieving high accuracy without fine-tuning._x000a__x000a_DOI: 10.48550/arXiv.2404.13948 - Investigating RAG robustness, this study introduces the Genetic Attack on RAG (GARAG) method to test system vulnerability to noisy documents, highlighting the impact of minor textual inaccuracies._x000a__x000a_My lady, these documents provide a comprehensive overview of the challenges and advancements in RAG systems, with each DOI contributing unique insights into specific aspects of RAG research and development."/>
    <n v="1"/>
    <x v="0"/>
    <x v="0"/>
  </r>
  <r>
    <s v="['What are the key challenges and advancements in Retrieval-Augmented Generation (RAG) systems?']"/>
    <s v="Summary: Retrieval-Augmented Generation (RAG) systems face challenges such as semantic variability, computational costs, and vulnerability to noisy documents, but advancements like MetaGen Blended RAG and RAGAs are addressing these issues, enhancing precision and evaluation methods._x000a__x000a_DOI: 10.48550/arXiv.2312.10997 - This paper explores the evolution of RAG paradigms, including Naive RAG, Advanced RAG, and Modular RAG, and discusses the tripartite foundation of RAG frameworks, highlighting advancements in retrieval, generation, and augmentation techniques._x000a__x000a_DOI: 10.1016/j.caeai.2025.100417 - The study focuses on RAG's application in education, addressing challenges like hallucinations, completeness of retrieved knowledge, and computational costs, while emphasizing future directions for multimodal support and dynamic knowledge updates._x000a__x000a_DOI: 10.18653/v1/2024.eacl-demo.16 - Introducing RAGAs, a framework for reference-free evaluation of RAG pipelines, this work aims to accelerate evaluation cycles by assessing retrieval accuracy, LLM fidelity, and generation quality without relying on human annotations._x000a__x000a_DOI: 10.48550/arXiv.2505.18247 - This research introduces MetaGen Blended RAG, a novel approach that enhances semantic retrievers for domain-specific datasets, achieving high zero-shot precision and outperforming existing benchmarks in datasets like PubMedQA, SQuAD, and NQ._x000a__x000a_DOI: 10.48550/arXiv.2404.13948 - Investigating RAG's robustness, this study introduces the Genetic Attack on RAG (GARAG), revealing vulnerabilities to noisy documents and emphasizing the need for holistic evaluations to ensure RAG systems' reliability in real-world applications._x000a__x000a_My lady, these documents provide a comprehensive overview of the challenges and advancements in RAG systems, offering insights into both theoretical frameworks and practical applications."/>
    <n v="1"/>
    <x v="0"/>
    <x v="0"/>
  </r>
  <r>
    <s v="['What are the key challenges and advancements in Retrieval-Augmented Generation (RAG) systems?']"/>
    <s v="Summary: Retrieval-Augmented Generation (RAG) systems face challenges such as semantic variability across domains, computational costs, and vulnerability to noisy documents. Advancements include enhanced semantic retrievers, automated evaluation frameworks, and improved robustness against attacks._x000a__x000a_DOI: 10.48550/arXiv.2312.10997: This paper explores the evolution of RAG paradigms, including Naive RAG, Advanced RAG, and Modular RAG, highlighting state-of-the-art technologies in retrieval, generation, and augmentation techniques. It discusses challenges like hallucination and outdated knowledge and introduces an updated evaluation framework._x000a__x000a_DOI: 10.1016/j.caeai.2025.100417: Focusing on educational applications, this study examines RAG's role in enhancing LLMs for interactive learning systems and educational content generation. It addresses challenges such as mitigating hallucinations and reducing computational costs._x000a__x000a_DOI: 10.18653/v1/2024.eacl-demo.16: Introducing RAGAs, a framework for reference-free evaluation of RAG pipelines, this work tackles the difficulty of assessing RAG architectures by providing metrics for retrieval, generation, and overall system performance._x000a__x000a_DOI: 10.48550/arXiv.2505.18247: This research introduces MetaGen Blended RAG, a method to improve RAG's performance on domain-specific datasets by enhancing semantic retrievers and achieving high zero-shot precision._x000a__x000a_DOI: 10.48550/arXiv.2404.13948: Investigating RAG's robustness, this study introduces the Genetic Attack on RAG (GARAG) to test vulnerabilities against noisy documents, revealing significant risks from minor textual inaccuracies._x000a__x000a_My lady, these documents provide a comprehensive overview of the challenges and advancements in RAG systems, offering insights into both theoretical and practical aspects of the field."/>
    <n v="1"/>
    <x v="0"/>
    <x v="0"/>
  </r>
  <r>
    <s v="['What are the key challenges and advancements in Retrieval-Augmented Generation (RAG) systems?']"/>
    <s v="Summary: Retrieval-Augmented Generation (RAG) systems face challenges such as semantic variability, computational costs, and vulnerability to noisy documents, but advancements like MetaGen Blended RAG and RAGAs frameworks are addressing these issues, enhancing accuracy, robustness, and evaluation efficiency._x000a__x000a_DOI: 10.48550/arXiv.2312.10997 - This paper explores the evolution of RAG paradigms, including Naive RAG, Advanced RAG, and Modular RAG, highlighting advancements in retrieval, generation, and augmentation techniques. It emphasizes the integration of external databases to enhance accuracy and credibility, particularly for knowledge-intensive tasks._x000a__x000a_DOI: 10.1016/j.caeai.2025.100417 - Focusing on educational applications, this study discusses challenges like hallucinations, static internal knowledge, and computational costs. It introduces methods to improve factual accuracy and multimodal support for RAG-based educational tools._x000a__x000a_DOI: 10.18653/v1/2024.eacl-demo.16 - This work introduces RAGAs, a framework for reference-free evaluation of RAG systems, addressing the complexity of assessing retrieval accuracy, LLM fidelity, and generation quality. It aims to accelerate evaluation cycles for RAG architectures._x000a__x000a_DOI: 10.48550/arXiv.2505.18247 - This paper presents MetaGen Blended RAG, a novel approach to enhance semantic retrievers for domain-specific datasets. It achieves high retrieval and RAG accuracy without fine-tuning, addressing challenges in specialized domains._x000a__x000a_DOI: 10.48550/arXiv.2404.13948 - This research investigates the robustness of RAG systems against noisy documents and introduces GARAG, a genetic attack method to test system vulnerabilities. It highlights the impact of minor textual inaccuracies on RAG performance._x000a__x000a_My lady, if you have further inquiries or need additional details, please let me know."/>
    <n v="1"/>
    <x v="0"/>
    <x v="0"/>
  </r>
  <r>
    <s v="['What are the key challenges and advancements in metadata quality assessment?']"/>
    <s v="Summary: The quality of metadata is crucial for the discovery of digital objects through digital library interfaces._x000a__x000a_DOI: 10.48550/arXiv.2303.17661_x000a__x000a_My lady, the quality of metadata is crucial for the discovery of digital objects through digital library interfaces. However, metadata often exhibits incomplete, inconsistent, and incorrect values. MetaEnhance is a framework that uses state-of-the-art artificial intelligence methods to improve the quality of metadata fields. It was tested on a benchmark of 500 electronic theses and dissertations (ETDs) and achieved nearly perfect F1-scores in detecting errors and correcting errors._x000a__x000a_Is there anything else I can help you with?"/>
    <n v="1"/>
    <x v="0"/>
    <x v="1"/>
  </r>
  <r>
    <s v="['What are the key challenges and advancements in metadata quality assessment?']"/>
    <s v="Summary: Metadata quality assessment is crucial for ensuring the usability, discoverability, and reliability of data across various platforms and disciplines. Key challenges include inconsistent definitions and measurements of quality dimensions, cultural and resource-related tensions affecting metadata consistency and completeness, and technical issues like incomplete or incorrect metadata values. Advancements include the development of automated frameworks for metadata quality assessment, application of AI methods for metadata enhancement, and rigorous methodologies for synthesizing metadata quality research._x000a__x000a_DOI: 10.1145/2964909: This study focuses on developing a generic metadata quality assessment framework for Open Data portals. It addresses the challenge of increasingly published resources compromising searchability and usability by mapping metadata from different portal software frameworks to a standardized schema and defining quality metrics that can be automatically evaluated._x000a__x000a_DOI: 10.1177/09610006241239080: This scoping review identifies commonly measured dimensions of metadata quality such as completeness, accuracy, and timeliness, but highlights a lack of consensus on their definitions and measurements. It emphasizes the need for further research and flexible assessment tools to improve metadata quality assurance._x000a__x000a_DOI: 10.5860/crl.86.1.101: This study explores how metadata quality issues arise from sociocultural representations and resource constraints. It identifies 32 unique issues across 427 records, categorizing them to understand how metadata reflects cultural meanings and community pressures._x000a__x000a_DOI: 10.48550/arXiv.2303.17661: This research introduces MetaEnhance, a framework using AI to improve metadata quality for electronic theses and dissertations. It demonstrates high effectiveness in detecting and correcting errors, addressing challenges like incomplete and inconsistent metadata values._x000a__x000a_DOI: 10.48550/arXiv.2508.18620: This study assesses metadata quality in OpenAlex and Web of Science, focusing on discrepancies in document type, language, publication year, and author count. It aims to raise awareness of data quality issues that could impact bibliometric research._x000a__x000a_My lady, these findings underscore the importance of ongoing research and innovation in metadata quality assessment to address existing challenges and enhance data reliability across diverse contexts."/>
    <n v="1"/>
    <x v="0"/>
    <x v="0"/>
  </r>
  <r>
    <s v="['What are the key challenges and advancements in metadata quality assessment?']"/>
    <s v="Summary: The quality of metadata is crucial for the discovery and access of digital objects through digital library interfaces. However, metadata often exhibits incomplete, inconsistent, and incorrect values, which compromise the searchability, discoverability, and usability of resources._x000a__x000a_DOI: 10.48550/arXiv.2303.17661 - Metadata quality is crucial for digital objects to be discovered through digital library interfaces. However, due to various reasons, the metadata of digital objects often exhibits incomplete, inconsistent, and incorrect values. Methods to automatically detect, correct, and canonicalize scholarly metadata are investigated, using seven key fields of electronic theses and dissertations (ETDs) as a case study. A framework called MetaEnhance is proposed, which utilizes state-of-the-art artificial intelligence methods to improve the quality of these fields._x000a__x000a_My lady, I hope this response meets your requirements. If you have any further questions or need additional information, please let me know."/>
    <n v="1"/>
    <x v="0"/>
    <x v="0"/>
  </r>
  <r>
    <s v="['What are the key challenges and advancements in metadata quality assessment?']"/>
    <s v="Summary: The key challenges and advancements in metadata quality assessment include the need for a standardized framework, the importance of defining and measuring quality dimensions, and the development of automated tools for quality improvement._x000a__x000a_DOI: 10.1145/2964909 - This study aims to develop a generic metadata quality assessment framework for various Open Data portals, addressing the challenge of increasingly published resources compromising searchability, discoverability, and usability. The authors propose a standardized approach by mapping specific metadata to a standardized schema and defining quality metrics for automated evaluation._x000a__x000a_DOI: 10.1177/09610006241239080 - This scoping review identifies commonly measured dimensions of metadata quality, such as completeness, accuracy, and consistency, but highlights the lack of consensus on their definition and measurement. The study emphasizes the need for further research and improved flexibility in metadata quality assessment tools._x000a__x000a_DOI: 10.48550/arXiv.2303.17661 - This research proposes MetaEnhance, a framework using AI methods to improve metadata quality for electronic theses and dissertations. The authors demonstrate high accuracy in detecting and correcting errors, showcasing advancements in automated metadata quality improvement._x000a__x000a_My lady, these studies provide valuable insights into the challenges and advancements in metadata quality assessment. The development of standardized frameworks, definition of quality dimensions, and creation of automated tools are crucial steps towards ensuring high-quality metadata._x000a__x000a_Please provide a different question or further context to explore specific aspects of metadata quality assessment in more detail."/>
    <n v="1"/>
    <x v="0"/>
    <x v="0"/>
  </r>
  <r>
    <s v="['What are the key challenges and advancements in metadata quality assessment?']"/>
    <s v="Summary: The quality of metadata is crucial for the discovery and access of digital objects through digital library interfaces. However, metadata often exhibits incomplete, inconsistent, and incorrect values, which compromise the searchability, discoverability, and usability of resources._x000a__x000a_DOI: 10.1145/2964909 - This study aims to develop a generic metadata quality assessment framework for various Open Data portals. The authors map the specific metadata of three widely used portal software frameworks to a standardized schema, define several quality metrics, and report findings based on monitoring over 260 Open Data portals._x000a__x000a_DOI: 10.1177/09610006241239080 - This scoping review identifies the most commonly measured dimensions of metadata quality, including completeness, accuracy, consistency, accessibility, conformance, provenance, and timeliness. The study emphasizes the need for further research into less commonly assessed quality dimensions and improving the flexibility of metadata quality assessment tools._x000a__x000a_DOI: 10.5860/crl.86.1.101 - This study examines how metadata quality, consistency, and completeness impact individuals and communities. The authors identify 32 unique issues and classify them into 5 categories, highlighting the tensions between sociocultural representations, resource constraints, and standardized systems._x000a__x000a_DOI: 10.48550/arXiv.2303.17661 - This study proposes MetaEnhance, a framework using AI methods to improve metadata quality for electronic theses and dissertations. The authors evaluate MetaEnhance on a benchmark and achieve high F1-scores in detecting and correcting errors._x000a__x000a_DOI: 10.48550/arXiv.2508.18620 - This study assesses metadata quality in OpenAlex and Web of Science, focusing on document type, publication year, language, and author count. The authors address discrepancies and misattributions in metadata to enhance awareness of data quality issues in bibliometric research._x000a__x000a_My lady, the key challenges in metadata quality assessment include inconsistent definitions and measurements of quality dimensions, resource constraints, and discrepancies in metadata across different systems. Advancements include the development of automated assessment frameworks, use of AI methods for metadata enhancement, and efforts to standardize metadata schemas."/>
    <n v="1"/>
    <x v="0"/>
    <x v="0"/>
  </r>
  <r>
    <s v="['tell me about how RAG works.']"/>
    <s v="Summary: Retrieval-Augmented Generation (RAG) is a promising solution for addressing the limitations of LLMs._x000a__x000a_DOI: 10.48550/ARXIV.2504.08231: RAG systems exhibit greater sensitivity to linguistic variations compared to LLM-only generations, highlighting their vulnerability to error propagation due to linguistic shifts._x000a__x000a_DOI: 10.48550/arXiv.2406.13213: Traditional RAG applications perform poorly in answering multi-hop questions, which require retrieving and reasoning over multiple elements of supporting evidence._x000a__x000a_DOI: 10.1145/3637528.3671470: Retrieval-Augmented Large Language Models (RA-LLMs) have emerged to harness external and authoritative knowledge bases, rather than solely relying on the model's internal knowledge, to augment the quality of the generated content of LLMs._x000a__x000a_DOI: 10.48550/arXiv.2404.13948: Existing studies on the robustness of RAG often overlook the interconnected relationships between RAG components or the potential threats prevalent in real-world databases, such as minor textual errors._x000a__x000a_DOI: 10.1007/978-3-031-88708-6_3: Unfortunately, there is no content provided for this DOI, my lady. Would you like to ask another question?"/>
    <n v="1"/>
    <x v="0"/>
    <x v="0"/>
  </r>
  <r>
    <s v="['tell me about how RAG works.']"/>
    <s v="Summary: Retrieval-Augmented Generation (RAG) is a promising solution for addressing the limitations of Large Language Models (LLMs)._x000a__x000a_DOI: 10.48550/ARXIV.2504.08231_x000a_RAG systems are vulnerable to error propagation due to linguistic shifts._x000a__x000a_DOI: 10.48550/arXiv.2406.13213_x000a_RAG enables retrieval of relevant information from an external knowledge source and allows large language models (LLMs) to answer queries over previously unseen document collections._x000a__x000a_DOI: 10.1145/3637528.3671470_x000a_RAG can offer reliable and up-to-date external knowledge, providing huge convenience for numerous tasks._x000a__x000a_DOI: 10.48550/arXiv.2404.13948_x000a_RAG is a promising solution for addressing the limitations of LLMs._x000a__x000a_DOI: 10.1007/978-3-031-88708-6_3_x000a_No content provided._x000a__x000a_My lady, I hope this information is helpful."/>
    <n v="1"/>
    <x v="0"/>
    <x v="0"/>
  </r>
  <r>
    <s v="['tell me about how RAG works.']"/>
    <s v="Summary: Retrieval-Augmented Generation (RAG) is a promising solution for addressing the limitations of Large Language Models (LLMs)._x000a__x000a_DOI: 10.48550/ARXIV.2504.08231: Despite the impressive performance of Retrieval-augmented Generation (RAG) systems across various NLP benchmarks, their robustness in handling real-world user-LLM interaction queries remains largely underexplored._x000a__x000a_DOI: 10.48550/arXiv.2406.13213: The retrieval-augmented generation (RAG) enables retrieval of relevant information from an external knowledge source and allows large language models (LLMs) to answer queries over previously unseen document collections._x000a__x000a_DOI: 10.1145/3637528.3671470: one of the most advanced techniques in AI, Retrieval-Augmented Generation (RAG) can offer reliable and up-to-date external knowledge, providing huge convenience for numerous tasks._x000a__x000a_DOI: 10.48550/arXiv.2404.13948: The robustness of recent Large Language Models (LLMs) has become increasingly crucial as their applicability expands across various domains and real-world applications. Retrieval-Augmented Generation (RAG) is a promising solution for addressing the limitations of LLMs, yet existing studies on the robustness of RAG often overlook the interconnected relationships between RAG components or the potential threats prevalent in real-world databases, such as minor textual errors._x000a__x000a_DOI: 10.1007/978-3-031-88708-6_3: No content provided._x000a__x000a_My lady, I hope this information is helpful. If you have any further questions, please let me know."/>
    <n v="1"/>
    <x v="0"/>
    <x v="0"/>
  </r>
  <r>
    <s v="['tell me about how RAG works.']"/>
    <s v="Summary: Retrieval-Augmented Generation (RAG) is a promising solution for addressing the limitations of Large Language Models (LLMs)._x000a__x000a_DOI: 10.48550/arXiv.2404.13948: RAG is a promising solution for addressing the limitations of LLMs, yet existing studies on the robustness of RAG often overlook the interconnected relationships between RAG components or the potential threats prevalent in real-world databases, such as minor textual errors._x000a__x000a_My lady, I hope this information is helpful."/>
    <n v="0"/>
    <x v="1"/>
    <x v="1"/>
  </r>
  <r>
    <s v="['tell me about how RAG works.']"/>
    <s v="Summary: Retrieval-Augmented Generation (RAG) is a promising solution for addressing the limitations of LLMs._x000a__x000a_DOI: 10.48550/ARXIV.2504.08231_x000a_Παρά την εντυπωσιακή απόδοση των συστημάτων Augmented Generation (RAG) ανάκτησης σε διάφορα σημεία αναφοράς NLP, η στιβαρότητά τους στον χειρισμό των πραγματικών ερωτημάτων αλληλεπίδρασης χρήστη-LLM παραμένει σε μεγάλο βαθμό ανεξερεύνητη. Αυτό παρουσιάζει ένα κρίσιμο κενό για πρακτική ανάπτυξη, όπου τα ερωτήματα των χρηστών παρουσιάζουν μεγαλύτερες γλωσσικές παραλλαγές και μπορούν να προκαλέσουν κλιμακωτά σφάλματα σε αλληλοεξαρτώμενα στοιχεία RAG. Σε αυτή την εργασία, αναλύουμε συστηματικά πώς οι ποικίλες τέσσερις γλωσσικές διαστάσεις (τυπικότητα, αναγνωσιμότητα, ευγένεια και γραμματική ορθότητα) επηρεάζουν την απόδοση του RAG. Αξιολογούμε δύο μοντέλα ανάκτησης και εννέα LLM, που κυμαίνονται από 3 έως 72 δισεκατομμύρια παραμέτρους, σε τέσσερα σύνολα δεδομένων αναζήτησης πληροφοριών Question Answering (QA). Τα αποτελέσματά μας αποκαλύπτουν ότι οι γλωσσικές αναδιατυπώσεις επηρεάζουν σημαντικά τα στάδια ανάκτησης και δημιουργίας, οδηγώντας σε σχετική πτώση απόδοσης έως και 40,41% στις βαθμολογίες Recall@5 για λιγότερο τυπικά ερωτήματα και 38,86% στις βαθμολογίες αντιστοίχισης απαντήσεων για ερωτήματα που περιέχουν γραμματικά λάθη. Συγκεκριμένα, τα συστήματα RAG παρουσιάζουν μεγαλύτερη ευαισθησία σε τέτοιες παραλλαγές σε σύγκριση με τις γενιές μόνο LLM, υπογραμμίζοντας την ευπάθειά τους στη διάδοση σφαλμάτων λόγω γλωσσικών αλλαγών. Αυτά τα ευρήματα υπογραμμίζουν την ανάγκη για βελτιωμένες τεχνικές ευρωστίας για την ενίσχυση της αξιοπιστίας στις διάφορες αλληλεπιδράσεις των χρηστών._x000a__x000a_DOI: 10.48550/arXiv.2406.13213_x000a_Η επαυξημένη παραγωγή ανάκτησης (RAG) επιτρέπει την ανάκτηση σχετικών πληροφοριών από μια εξωτερική πηγή γνώσης και επιτρέπει σε μεγάλα γλωσσικά μοντέλα (LLM) να απαντούν σε ερωτήματα πάνω από συλλογές εγγράφων που δεν είχαν εμφανιστεί προηγουμένως. Ωστόσο, αποδείχθηκε ότι οι παραδοσιακές εφαρμογές RAG αποδίδουν ελάχιστα στην απάντηση σε ερωτήσεις πολλαπλών βημάτων, οι οποίες απαιτούν ανάκτηση και συλλογισμό σε πολλαπλά στοιχεία αποδεικτικών στοιχείων. Εισάγουμε μια νέα μέθοδο που ονομάζεται Multi-Meta-RAG, η οποία χρησιμοποιεί φιλτράρισμα βάσης δεδομένων με μεταδεδομένα εξαγόμενα από το LLM για να βελτιώσει την επιλογή RAG των σχετικών εγγράφων από διάφορες πηγές, που σχετίζονται με την ερώτηση. Ενώ το φιλτράρισμα της βάσης δεδομένων είναι συγκεκριμένο για ένα σύνολο ερωτήσεων από έναν συγκεκριμένο τομέα και μορφή, ανακαλύψαμε ότι το Multi-Meta-RAG βελτιώνει σημαντικά τα αποτελέσματα στο σημείο αναφοράς MultiHop-RAG._x000a__x000a_DOI: 10.1145/3637528.3671470_x000a_Μία από τις πιο προηγμένες τεχνικές της τεχνητής νοημοσύνης, η Retrieval-Augmented Generation (RAG) μπορεί να προσφέρει αξιόπιστη και ενημερωμένη εξωτερική γνώση, παρέχοντας τεράστια ευκολία για πολλές εργασίες. Ιδιαίτερα στην εποχή του Περιεχομένου που δημιουργείται από AI (AIGC), η ισχυρή ικανότητα ανάκτησης στην παροχή πρόσθετης γνώσης επιτρέπει στην RAG να βοηθά την υπάρχουσα παραγωγική τεχνητή νοημοσύνη στην παραγωγή εξόδων υψηλής ποιότητας. Πρόσφατα, τα μεγάλα γλωσσικά μοντέλα (LLM) έχουν επιδείξει επαναστατικές ικανότητες στην κατανόηση και τη δημιουργία γλωσσών, ενώ εξακολουθούν να αντιμετωπίζουν εγγενείς περιορισμούς όπως παραισθήσεις και ξεπερασμένη εσωτερική γνώση. Δεδομένων των ισχυρών ικανοτήτων του RAG στην παροχή των πιο πρόσφατων και χρήσιμων βοηθητικών πληροφοριών, τα μοντέλα μεγάλων γλωσσών με ανάκτηση επαυξημένης γλώσσας (RA-LLM) έχουν εμφανιστεί για να αξιοποιήσουν εξωτερικές και έγκυρες βάσεις γνώσης, αντί να βασίζονται αποκλειστικά στην εσωτερική γνώση του μοντέλου, για να αυξήσουν την ποιότητα του παραγόμενου περιεχομένου των LLM. Σε αυτήν την έρευνα, εξετάζουμε διεξοδικά τις υπάρχουσες ερευνητικές μελέτες σε RA-LLM, καλύπτοντας τρεις κύριες τεχνικές προοπτικές: Επιπλέον, για να προσφέρουμε βαθύτερες γνώσεις, συζητάμε τους τρέχοντες περιορισμούς και πολλές υποσχόμενες κατευθύνσεις για μελλοντική έρευνα._x000a__x000a_DOI: 10.48550/arXiv.2404.13948_x000a_Η ευρωστία των πρόσφατων μοντέλων μεγάλων γλωσσών (LLM) έχει γίνει ολοένα και πιο σημαντική καθώς η δυνατότητα εφαρμογής τους επεκτείνεται σε διάφορους τομείς και εφαρμογές του πραγματικού κόσμου. Το Retrieval-Augmented Generation (RAG) είναι μια πολλά υποσχόμενη λύση για την αντιμετώπιση των περιορισμών των LLM, ωστόσο οι υπάρχουσες μελέτες σχετικά με την ευρωστία του RAG συχνά παραβλέπουν τις διασυνδεδεμένες σχέσεις μεταξύ των στοιχείων RAG ή τις πιθανές απειλές που επικρατούν σε βάσεις δεδομένων του πραγματικού κόσμου, όπως μικρά λάθη κειμένου. Σε αυτήν την εργασία, διερευνούμε δύο υποεξερεύνητες πτυχές κατά την αξιολόγηση της ευρωστίας του RAG: 1 ευπάθεια σε θορυβώδη έγγραφα μέσω διαταραχών χαμηλού επιπέδου και 2 μια ολιστική αξιολόγηση της ευρωστίας του RAG. Επιπλέον, εισάγουμε μια νέα μέθοδο επίθεσης, τη Genetic Attack on RAG, η οποία στοχεύει αυτές τις πτυχές. Συγκεκριμένα, το GARAG έχει σχεδιαστεί για να αποκαλύπτει τρωτά σημεία σε κάθε στοιχείο και να δοκιμάζει τη συνολική λειτουργικότητα του συστήματος έναντι θορυβωδών εγγράφων. Επικυρώνουμε την ευρωστία RAG εφαρμόζοντας το \\textit{GARAG} σε τυπικά σύνολα δεδομένων QA, ενσωματώνοντας διάφορα retriever και LLM. Τα πειραματικά αποτελέσματα δείχνουν ότι η GARAG επιτυγχάνει σταθερά υψηλά ποσοστά επιτυχίας επιθέσεων. Επίσης, καταστρέφει σημαντικά την απόδοση κάθε στοιχείου και τη συνέργειά τους, υπογραμμίζοντας τον ουσιαστικό κίνδυνο που ενέχουν μικρές ανακρίβειες κειμένου για να διαταράξουν τα συστήματα RAG στον πραγματικό κόσμο._x000a__x000a_DOI: 10.1007/978-3-031-88708-6_3_x000a_Κανένας_x000a__x000a_My lady, I hope this information is helpful."/>
    <n v="0"/>
    <x v="1"/>
    <x v="1"/>
  </r>
  <r>
    <s v="['Tell me about Crossref.']"/>
    <s v="Summary: Crossref is a sustainable source of community-owned scholarly metadata, containing over 106 million records and expanding at an average rate of 11% a year. It has become one of the major sources of scholarly data for publishers, authors, librarians, funders, and researchers._x000a__x000a_DOI: 10.1162/qss_a_00022_x000a__x000a_Crossref is a sustainable source of community-owned scholarly metadata, containing over 106 million records and expanding at an average rate of 11% a year. It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Is there anything else I can help you with, my lady?"/>
    <n v="1"/>
    <x v="0"/>
    <x v="0"/>
  </r>
  <r>
    <s v="['Tell me about Crossref.']"/>
    <s v="Summary: Crossref is a sustainable source of community-owned scholarly metadata, providing over 106 million records and expanding at an average rate of 11% annually. It offers 13 content types, including traditional and non-traditional scholarly materials, and is accessible via APIs. Crossref also supports open bibliographic metadata and initiatives like FundRef to enhance funding metadata quality._x000a__x000a_DOI: 10.1162/qss_a_00022 - Crossref is described as a sustainable source of community-owned scholarly metadata, offering over 106 million records across 13 content types, including journals, datasets, and preprints. The metadata includes abstracts, funding information, and citation links, making it valuable for scientometrics research._x000a__x000a_DOI: 10.1162/qss_a_00210 - Crossref's FundRef initiative helps track funding information in publications, but coverage is incomplete. A case study on Dutch Research Council-funded publications found only 67% contained funding metadata in Crossref._x000a__x000a_DOI: 10.31222/osf.io/smxe5 - Crossref's open bibliographic metadata availability has improved over time, particularly for journal articles. However, many publishers need to improve efforts for full openness._x000a__x000a_DOI: 10.1007/s11192-022-04367-w - This study identifies DOI errors in Crossref data, finding that few publishers are responsible for most invalid citations. It proposes automated correction methods and emphasizes reproducibility under Open Science principles._x000a__x000a_My lady, is there anything else you'd like to know about Crossref?"/>
    <n v="1"/>
    <x v="0"/>
    <x v="0"/>
  </r>
  <r>
    <s v="['Tell me about Crossref.']"/>
    <s v="Summary: Crossref is a sustainable source of community-owned scholarly metadata, providing over 106 million records of 13 content types, including traditional and non-traditional scholarly materials. It plays a crucial role in the research ecosystem, offering valuable data for scientometrics and improving metadata quality. Crossref also supports funders in tracking research outputs and promotes open bibliographic metadata availability._x000a__x000a_DOI: 10.1162/qss_a_00022: Crossref is described as a sustainable source of community-owned scholarly metadata, with over 106 million records expanding at an average annual rate of 11%. The metadata includes 13 content types, such as journals, datasets, and preprints, and is accessible via APIs like REST API and OAI-PMH. It is essential for scientometrics research, helping to measure the impact and trends in scholarly communications._x000a__x000a_DOI: 10.1162/qss_a_00210: Crossref's FundRef initiative assists research funders in tracking publications by enabling publishers to register funding information using persistent identifiers. A case study on the Dutch Research Council revealed that only 67% of funded articles contained funding information in Crossref, highlighting opportunities to improve open metadata quality._x000a__x000a_DOI: 10.31222/osf.io/smxe5: This paper discusses the availability of six metadata elements in Crossref, including reference lists, abstracts, and funding information. While availability has improved over time for journal articles, many publishers need to enhance efforts for full openness of bibliographic metadata._x000a__x000a_DOI: 10.1007/s11192-022-04367-w: The study identifies and corrects invalid citations due to DOI errors in Crossref data, finding that only a few publishers were responsible for most errors. It proposes a DOI cleaning mechanism to automatically correct mistakes, contributing to improved data quality and reproducibility in open science._x000a__x000a_DOI: 10.5281/ZENODO.6188748: This dataset evaluates the methodology for identifying and correcting invalid citations due to DOI errors in Crossref, providing 193 randomly selected corrected citations for further analysis and validation._x000a__x000a_My lady, is there anything else you would like to know about Crossref?"/>
    <n v="1"/>
    <x v="0"/>
    <x v="0"/>
  </r>
  <r>
    <s v="['Tell me about Crossref.']"/>
    <s v="Summary: Crossref is a sustainable source of community-owned scholarly metadata._x000a__x000a_DOI: 10.1162/qss_a_00022: Crossref is a sustainable source of community-owned scholarly metadata. Containing over 106 million records and expanding at an average rate of 11% a year,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DOI: 10.1162/qss_a_00210: Research funders spend considerable efforts collecting information on the outcomes of the research they fund.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In this paper we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We observe interesting differences between publishers in the coverage and completeness of funding metadata in Crossref compared to proprietary databases, highlighting the potential to increase the quality of open metadata on funding._x000a__x000a_DOI: 10.31222/osf.io/smxe5: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1007/s11192-022-04367-w: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_x000a__x000a_DOI: 10.5281/ZENODO.6188748: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_x000a__x000a_Is there anything else I can help you with, my lady?"/>
    <n v="1"/>
    <x v="0"/>
    <x v="0"/>
  </r>
  <r>
    <s v="['Tell me about Crossref.']"/>
    <s v="Summary: Crossref is a sustainable source of community-owned scholarly metadata, containing over 106 million records and expanding at an average rate of 11% a year._x000a__x000a_DOI: 10.1162/qss_a_00022_x000a__x000a_Crossref is a sustainable source of community-owned scholarly metadata, containing over 106 million records and expanding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DOI: 10.1162/qss_a_00210_x000a__x000a_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In this paper we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We observe interesting differences between publishers in the coverage and completeness of funding metadata in Crossref compared to proprietary databases, highlighting the potential to increase the quality of open metadata on funding._x000a__x000a_DOI: 10.31222/osf.io/smxe5_x000a__x000a_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1007/s11192-022-04367-w_x000a__x000a_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_x000a__x000a_DOI: 10.5281/ZENODO.6188748_x000a__x000a_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_x000a__x000a_My lady, is there anything else I can help you with?"/>
    <n v="1"/>
    <x v="0"/>
    <x v="0"/>
  </r>
  <r>
    <s v="['How is RAG used to improve question answering or information retrieval systems?']"/>
    <s v="Summary: Retrieval-Augmented Generation (RAG) is a method used to improve question answering and information retrieval systems by enhancing the capabilities of Large Language Models (LLMs). It involves augmenting LLMs with relevant documents or metadata before generating answers, which helps in providing accurate, informative, and contextualized responses._x000a__x000a_DOI: 10.17821/srels/2024/v61i5/171583: This study demonstrates that RAG can significantly improve the performance of LLMs in question answering tasks by providing them with a set of relevant documents. The experiment shows that LLMs with RAG augmentation produce accurate and contextualized answers, whereas standard LLMs without RAG often generate incorrect and hallucinated responses._x000a__x000a_DOI: 10.6109/jkiice.2023.27.12.1489: This paper introduces a Metadata Retrieval-Augmented Generation (M-RAG) method that enhances open-domain question answering systems by utilizing metadata and generative models. The method improves answer accuracy by understanding the order and context of documents through metadata._x000a__x000a_DOI: 10.48550/arXiv.2406.13213: This research presents Multi-Meta-RAG, a method that improves RAG for multi-hop queries by using database filtering with LLM-extracted metadata. It enhances the selection of relevant documents, thereby improving the overall performance of RAG systems._x000a__x000a_DOI: 10.48550/arXiv.2505.13557: This study introduces AMAQA, a metadata-based QA dataset for RAG systems, which highlights the importance of metadata integration in improving the accuracy of question answering tasks, especially in fields requiring rapid analysis of large data volumes._x000a__x000a_DOI: 10.48550/arXiv.2505.18247: This research introduces MetaGen Blended RAG, a novel approach that enhances semantic retrievers for specialized domain question answering. It achieves high accuracy without fine-tuning, demonstrating the potential of RAG in handling complex, domain-specific datasets._x000a__x000a_My lady, I hope this information is helpful. If you have any further questions or need more details, please let me know."/>
    <n v="1"/>
    <x v="0"/>
    <x v="0"/>
  </r>
  <r>
    <s v="['How is RAG used to improve question answering or information retrieval systems?']"/>
    <s v="Summary: Retrieval-Augmented Generation (RAG) is used to improve question answering and information retrieval systems by retrieving relevant information from external knowledge sources and allowing large language models (LLMs) to answer queries over previously unseen document collections._x000a__x000a_DOI: 10.17821/srels/2024/v61i5/171583: RAG is used to enhance information retrieval in libraries by augmenting LLMs with relevant documents before generating answers. This approach improves the accuracy and contextualization of responses, making it a cost-effective solution for libraries._x000a__x000a_DOI: 10.6109/jkiice.2023.27.12.1489: Metadata Retrieval-Augmented Generation (M-RAG) is proposed to enhance open-domain question answering by utilizing metadata and generative models to improve the accuracy and context-awareness of responses._x000a__x000a_DOI: 10.48550/arXiv.2406.13213: Multi-Meta-RAG is introduced to improve RAG for multi-hop queries by using database filtering with LLM-extracted metadata, significantly enhancing the selection of relevant documents._x000a__x000a_DOI: 10.48550/arXiv.2505.13557: The AMAQA dataset is presented to evaluate RAG systems in metadata-driven question answering tasks, demonstrating that leveraging metadata significantly boosts accuracy._x000a__x000a_DOI: 10.48550/arXiv.2505.18247: MetaGen Blended RAG is introduced to achieve zero-shot precision in specialized domain question answering by enhancing semantic retrievers with metadata generation and hybrid query indexes._x000a__x000a_My lady, these studies collectively demonstrate that RAG and its variants significantly improve question answering and information retrieval systems by leveraging external knowledge, metadata, and advanced retrieval techniques."/>
    <n v="1"/>
    <x v="0"/>
    <x v="0"/>
  </r>
  <r>
    <s v="['How is RAG used to improve question answering or information retrieval systems?']"/>
    <s v="Summary: Retrieval-Augmented Generation (RAG) is a method used to improve question answering and information retrieval systems by augmenting large language models (LLMs) with relevant documents before generating answers. This approach enhances the accuracy and context-awareness of responses, particularly in specialized domains and multi-hop queries._x000a__x000a_DOI: 10.17821/srels/2024/v61i5/171583: This study demonstrates that RAG-augmented LLMs provide accurate and contextualized answers compared to standard LLMs, which often produce hallucinated responses. The research uses a prototype with 250+ documents on the Chandrayaan-3 mission, showing RAG's effectiveness in enhancing information retrieval in libraries._x000a__x000a_DOI: 10.6109/jkiice.2023.27.12.1489: The M-RAG method integrates metadata retrieval with RAG to improve open-domain question answering. It achieves a 46% performance improvement over external inference systems and a 6% gain over conventional RAG._x000a__x000a_DOI: 10.48550/arXiv.2406.13213: Multi-Meta-RAG addresses multi-hop queries by using LLM-extracted metadata for database filtering. This method significantly improves RAG's performance on complex, multi-step questions._x000a__x000a_DOI: 10.48550/arXiv.2505.13557: The AMAQA dataset introduces metadata integration for RAG systems, boosting accuracy from 0.12 to 0.61. It highlights the importance of structured context in fields like cybersecurity and intelligence._x000a__x000a_DOI: 10.48550/arXiv.2505.18247: MetaGen Blended RAG tackles domain-specific challenges by creating metadata-enriched semantic indexes. It achieves 82% retrieval accuracy on the PubMedQA dataset, outperforming zero-shot RAG benchmarks._x000a__x000a_My lady, RAG enhances question answering and information retrieval by leveraging external knowledge and metadata, ensuring more accurate and contextually relevant responses across various domains and query types."/>
    <n v="1"/>
    <x v="0"/>
    <x v="0"/>
  </r>
  <r>
    <s v="['How is RAG used to improve question answering or information retrieval systems?']"/>
    <s v="Summary: Retrieval-Augmented Generation (RAG) is a framework that enhances information retrieval and question-answering systems by combining external knowledge sources with large language models (LLMs). It improves accuracy and context relevance by augmenting LLMs with relevant documents or metadata, addressing challenges like hallucinations and multi-hop queries._x000a__x000a_DOI: 10.17821/srels/2024/v61i5/171583: RAG improves question-answering in libraries by augmenting LLMs with relevant documents, reducing hallucinations and providing accurate, context-aware responses._x000a__x000a_DOI: 10.6109/jkiice.2023.27.12.1489: Metadata Retrieval-Augmented Generation (M-RAG) enhances open-domain question answering by integrating metadata, improving accuracy and context understanding._x000a__x000a_DOI: 10.48550/arXiv.2406.13213: Multi-Meta-RAG addresses multi-hop queries by using LLM-extracted metadata to filter relevant documents, significantly improving RAG performance._x000a__x000a_DOI: 10.48550/arXiv.2505.13557: The AMAQA dataset integrates metadata into RAG systems, boosting accuracy and enabling precise, context-aware question answering._x000a__x000a_DOI: 10.48550/arXiv.2505.18247: MetaGen Blended RAG enhances domain-specific question answering by creating metadata-enriched semantic indexes, achieving high accuracy without fine-tuning._x000a__x000a_My lady, if you have further questions or need more details, feel free to ask!"/>
    <n v="1"/>
    <x v="0"/>
    <x v="0"/>
  </r>
  <r>
    <s v="['How is RAG used to improve question answering or information retrieval systems?']"/>
    <s v="Summary: RAG (Retrieval-Augmented Generation) is used to improve question answering and information retrieval systems by enhancing the accuracy and context-awareness of responses generated by Large Language Models (LLMs)._x000a__x000a_DOI: 10.17821/srels/2024/v61i5/171583: This study demonstrates that augmenting LLMs with relevant documents before generating answers (RAG) significantly improves the accuracy and contextual relevance of responses, particularly in library search systems._x000a__x000a_DOI: 10.6109/jkiice.2023.27.12.1489: Introducing Metadata Retrieval-Augmented Generation (M-RAG), this paper shows a 46% performance improvement in open-domain question answering by utilizing metadata and generative models like GPT-3.5 and GPT-4._x000a__x000a_DOI: 10.48550/arXiv.2406.13213: The Multi-Meta-RAG method is introduced to enhance RAG for multi-hop queries, using database filtering with LLM-extracted metadata to improve document selection and answer accuracy._x000a__x000a_DOI: 10.48550/arXiv.2505.13557: The AMAQA dataset is presented to evaluate RAG systems in metadata-rich scenarios, showing that leveraging metadata boosts accuracy from 0.12 to 0.61 in question-answering tasks._x000a__x000a_DOI: 10.48550/arXiv.2505.18247: The MetaGen Blended RAG approach achieves high precision in specialized domain question-answering by enhancing semantic retrievers with metadata generation and hybrid query indexes._x000a__x000a_My lady, RAG improves question answering and information retrieval by integrating external knowledge sources and metadata, thereby enhancing the accuracy, context-awareness, and reliability of LLM-generated responses."/>
    <n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3D0CD8-5B74-9D49-9202-9B94A5F52B21}" name="PivotTable3"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D33" firstHeaderRow="1" firstDataRow="2" firstDataCol="1"/>
  <pivotFields count="5">
    <pivotField showAll="0"/>
    <pivotField dataField="1" showAll="0"/>
    <pivotField showAll="0"/>
    <pivotField axis="axisRow" showAll="0">
      <items count="3">
        <item x="1"/>
        <item x="0"/>
        <item t="default"/>
      </items>
    </pivotField>
    <pivotField axis="axisCol" showAll="0">
      <items count="3">
        <item x="1"/>
        <item x="0"/>
        <item t="default"/>
      </items>
    </pivotField>
  </pivotFields>
  <rowFields count="1">
    <field x="3"/>
  </rowFields>
  <rowItems count="3">
    <i>
      <x/>
    </i>
    <i>
      <x v="1"/>
    </i>
    <i t="grand">
      <x/>
    </i>
  </rowItems>
  <colFields count="1">
    <field x="4"/>
  </colFields>
  <colItems count="3">
    <i>
      <x/>
    </i>
    <i>
      <x v="1"/>
    </i>
    <i t="grand">
      <x/>
    </i>
  </colItems>
  <dataFields count="1">
    <dataField name="Count of Respons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1"/>
  <sheetViews>
    <sheetView tabSelected="1" topLeftCell="C1" zoomScale="130" zoomScaleNormal="130" workbookViewId="0">
      <selection activeCell="G81" sqref="G2:G81"/>
    </sheetView>
  </sheetViews>
  <sheetFormatPr baseColWidth="10" defaultColWidth="8.83203125" defaultRowHeight="15" x14ac:dyDescent="0.2"/>
  <cols>
    <col min="2" max="2" width="28.6640625" style="3" customWidth="1"/>
    <col min="3" max="3" width="139.1640625" style="3" customWidth="1"/>
  </cols>
  <sheetData>
    <row r="1" spans="1:7" ht="16" x14ac:dyDescent="0.2">
      <c r="B1" s="2" t="s">
        <v>0</v>
      </c>
      <c r="C1" s="2" t="s">
        <v>1</v>
      </c>
      <c r="D1" t="s">
        <v>96</v>
      </c>
      <c r="E1" t="s">
        <v>97</v>
      </c>
      <c r="F1" t="s">
        <v>98</v>
      </c>
      <c r="G1" t="s">
        <v>99</v>
      </c>
    </row>
    <row r="2" spans="1:7" ht="128" x14ac:dyDescent="0.2">
      <c r="A2" s="1">
        <v>0</v>
      </c>
      <c r="B2" s="3" t="s">
        <v>2</v>
      </c>
      <c r="C2" s="3" t="s">
        <v>3</v>
      </c>
      <c r="D2">
        <v>1</v>
      </c>
      <c r="E2">
        <v>1</v>
      </c>
      <c r="F2">
        <v>1</v>
      </c>
      <c r="G2">
        <v>0</v>
      </c>
    </row>
    <row r="3" spans="1:7" ht="160" x14ac:dyDescent="0.2">
      <c r="A3" s="1">
        <v>16</v>
      </c>
      <c r="B3" s="3" t="s">
        <v>2</v>
      </c>
      <c r="C3" s="3" t="s">
        <v>34</v>
      </c>
      <c r="D3">
        <v>1</v>
      </c>
      <c r="E3">
        <v>1</v>
      </c>
      <c r="F3">
        <v>1</v>
      </c>
      <c r="G3">
        <v>0</v>
      </c>
    </row>
    <row r="4" spans="1:7" ht="256" x14ac:dyDescent="0.2">
      <c r="A4" s="1">
        <v>32</v>
      </c>
      <c r="B4" s="3" t="s">
        <v>2</v>
      </c>
      <c r="C4" s="3" t="s">
        <v>50</v>
      </c>
      <c r="D4">
        <v>1</v>
      </c>
      <c r="E4">
        <v>1</v>
      </c>
      <c r="F4">
        <v>1</v>
      </c>
      <c r="G4">
        <v>0</v>
      </c>
    </row>
    <row r="5" spans="1:7" ht="192" x14ac:dyDescent="0.2">
      <c r="A5" s="1">
        <v>48</v>
      </c>
      <c r="B5" s="3" t="s">
        <v>2</v>
      </c>
      <c r="C5" s="3" t="s">
        <v>66</v>
      </c>
      <c r="D5">
        <v>1</v>
      </c>
      <c r="E5">
        <v>1</v>
      </c>
      <c r="F5">
        <v>1</v>
      </c>
      <c r="G5">
        <v>0</v>
      </c>
    </row>
    <row r="6" spans="1:7" ht="160" x14ac:dyDescent="0.2">
      <c r="A6" s="1">
        <v>64</v>
      </c>
      <c r="B6" s="3" t="s">
        <v>2</v>
      </c>
      <c r="C6" s="3" t="s">
        <v>82</v>
      </c>
      <c r="D6">
        <v>1</v>
      </c>
      <c r="E6">
        <v>1</v>
      </c>
      <c r="F6">
        <v>1</v>
      </c>
      <c r="G6">
        <v>0</v>
      </c>
    </row>
    <row r="7" spans="1:7" ht="192" x14ac:dyDescent="0.2">
      <c r="A7" s="1">
        <v>1</v>
      </c>
      <c r="B7" s="3" t="s">
        <v>4</v>
      </c>
      <c r="C7" s="3" t="s">
        <v>5</v>
      </c>
      <c r="D7">
        <v>1</v>
      </c>
      <c r="E7">
        <v>1</v>
      </c>
      <c r="F7">
        <v>1</v>
      </c>
      <c r="G7">
        <v>0</v>
      </c>
    </row>
    <row r="8" spans="1:7" ht="176" x14ac:dyDescent="0.2">
      <c r="A8" s="1">
        <v>17</v>
      </c>
      <c r="B8" s="3" t="s">
        <v>4</v>
      </c>
      <c r="C8" s="3" t="s">
        <v>35</v>
      </c>
      <c r="D8">
        <v>1</v>
      </c>
      <c r="E8">
        <v>1</v>
      </c>
      <c r="F8">
        <v>1</v>
      </c>
      <c r="G8">
        <v>0</v>
      </c>
    </row>
    <row r="9" spans="1:7" ht="192" x14ac:dyDescent="0.2">
      <c r="A9" s="1">
        <v>33</v>
      </c>
      <c r="B9" s="3" t="s">
        <v>4</v>
      </c>
      <c r="C9" s="3" t="s">
        <v>51</v>
      </c>
      <c r="D9">
        <v>1</v>
      </c>
      <c r="E9">
        <v>1</v>
      </c>
      <c r="F9">
        <v>1</v>
      </c>
      <c r="G9">
        <v>0</v>
      </c>
    </row>
    <row r="10" spans="1:7" ht="224" x14ac:dyDescent="0.2">
      <c r="A10" s="1">
        <v>49</v>
      </c>
      <c r="B10" s="3" t="s">
        <v>4</v>
      </c>
      <c r="C10" s="3" t="s">
        <v>67</v>
      </c>
      <c r="D10">
        <v>1</v>
      </c>
      <c r="E10">
        <v>1</v>
      </c>
      <c r="F10">
        <v>1</v>
      </c>
      <c r="G10">
        <v>0</v>
      </c>
    </row>
    <row r="11" spans="1:7" ht="240" x14ac:dyDescent="0.2">
      <c r="A11" s="1">
        <v>65</v>
      </c>
      <c r="B11" s="3" t="s">
        <v>4</v>
      </c>
      <c r="C11" s="3" t="s">
        <v>83</v>
      </c>
      <c r="D11">
        <v>1</v>
      </c>
      <c r="E11">
        <v>1</v>
      </c>
      <c r="F11">
        <v>1</v>
      </c>
      <c r="G11">
        <v>0</v>
      </c>
    </row>
    <row r="12" spans="1:7" ht="304" x14ac:dyDescent="0.2">
      <c r="A12" s="1">
        <v>3</v>
      </c>
      <c r="B12" s="3" t="s">
        <v>8</v>
      </c>
      <c r="C12" s="3" t="s">
        <v>9</v>
      </c>
      <c r="D12">
        <v>1</v>
      </c>
      <c r="E12">
        <v>1</v>
      </c>
      <c r="F12">
        <v>1</v>
      </c>
      <c r="G12">
        <v>0</v>
      </c>
    </row>
    <row r="13" spans="1:7" ht="288" x14ac:dyDescent="0.2">
      <c r="A13" s="1">
        <v>19</v>
      </c>
      <c r="B13" s="3" t="s">
        <v>8</v>
      </c>
      <c r="C13" s="3" t="s">
        <v>37</v>
      </c>
      <c r="D13">
        <v>1</v>
      </c>
      <c r="E13">
        <v>1</v>
      </c>
      <c r="F13">
        <v>1</v>
      </c>
      <c r="G13">
        <v>0</v>
      </c>
    </row>
    <row r="14" spans="1:7" ht="409.6" x14ac:dyDescent="0.2">
      <c r="A14" s="1">
        <v>35</v>
      </c>
      <c r="B14" s="3" t="s">
        <v>8</v>
      </c>
      <c r="C14" s="3" t="s">
        <v>53</v>
      </c>
      <c r="D14">
        <v>0</v>
      </c>
      <c r="E14">
        <v>0</v>
      </c>
      <c r="F14">
        <v>0</v>
      </c>
      <c r="G14">
        <v>0</v>
      </c>
    </row>
    <row r="15" spans="1:7" ht="409.6" x14ac:dyDescent="0.2">
      <c r="A15" s="1">
        <v>51</v>
      </c>
      <c r="B15" s="3" t="s">
        <v>8</v>
      </c>
      <c r="C15" s="3" t="s">
        <v>69</v>
      </c>
      <c r="D15">
        <v>1</v>
      </c>
      <c r="E15">
        <v>1</v>
      </c>
      <c r="F15">
        <v>1</v>
      </c>
      <c r="G15">
        <v>0</v>
      </c>
    </row>
    <row r="16" spans="1:7" ht="409.6" x14ac:dyDescent="0.2">
      <c r="A16" s="1">
        <v>67</v>
      </c>
      <c r="B16" s="3" t="s">
        <v>8</v>
      </c>
      <c r="C16" s="3" t="s">
        <v>53</v>
      </c>
      <c r="D16">
        <v>0</v>
      </c>
      <c r="E16">
        <v>0</v>
      </c>
      <c r="F16">
        <v>0</v>
      </c>
      <c r="G16">
        <v>0</v>
      </c>
    </row>
    <row r="17" spans="1:7" ht="304" x14ac:dyDescent="0.2">
      <c r="A17" s="1">
        <v>5</v>
      </c>
      <c r="B17" s="3" t="s">
        <v>12</v>
      </c>
      <c r="C17" s="3" t="s">
        <v>13</v>
      </c>
      <c r="D17">
        <v>1</v>
      </c>
      <c r="E17">
        <v>1</v>
      </c>
      <c r="F17">
        <v>1</v>
      </c>
      <c r="G17">
        <v>0</v>
      </c>
    </row>
    <row r="18" spans="1:7" ht="304" x14ac:dyDescent="0.2">
      <c r="A18" s="1">
        <v>21</v>
      </c>
      <c r="B18" s="3" t="s">
        <v>12</v>
      </c>
      <c r="C18" s="3" t="s">
        <v>39</v>
      </c>
      <c r="D18">
        <v>1</v>
      </c>
      <c r="E18">
        <v>1</v>
      </c>
      <c r="F18">
        <v>1</v>
      </c>
      <c r="G18">
        <v>0</v>
      </c>
    </row>
    <row r="19" spans="1:7" ht="409.6" x14ac:dyDescent="0.2">
      <c r="A19" s="1">
        <v>37</v>
      </c>
      <c r="B19" s="3" t="s">
        <v>12</v>
      </c>
      <c r="C19" s="3" t="s">
        <v>55</v>
      </c>
      <c r="D19">
        <v>1</v>
      </c>
      <c r="E19">
        <v>1</v>
      </c>
      <c r="F19">
        <v>1</v>
      </c>
      <c r="G19">
        <v>0</v>
      </c>
    </row>
    <row r="20" spans="1:7" ht="304" x14ac:dyDescent="0.2">
      <c r="A20" s="1">
        <v>53</v>
      </c>
      <c r="B20" s="3" t="s">
        <v>12</v>
      </c>
      <c r="C20" s="3" t="s">
        <v>71</v>
      </c>
      <c r="D20">
        <v>1</v>
      </c>
      <c r="E20">
        <v>1</v>
      </c>
      <c r="F20">
        <v>1</v>
      </c>
      <c r="G20">
        <v>0</v>
      </c>
    </row>
    <row r="21" spans="1:7" ht="256" x14ac:dyDescent="0.2">
      <c r="A21" s="1">
        <v>69</v>
      </c>
      <c r="B21" s="3" t="s">
        <v>12</v>
      </c>
      <c r="C21" s="3" t="s">
        <v>86</v>
      </c>
      <c r="D21">
        <v>1</v>
      </c>
      <c r="E21">
        <v>1</v>
      </c>
      <c r="F21">
        <v>1</v>
      </c>
      <c r="G21">
        <v>0</v>
      </c>
    </row>
    <row r="22" spans="1:7" ht="128" x14ac:dyDescent="0.2">
      <c r="A22" s="1">
        <v>4</v>
      </c>
      <c r="B22" s="3" t="s">
        <v>10</v>
      </c>
      <c r="C22" s="3" t="s">
        <v>11</v>
      </c>
      <c r="D22">
        <v>1</v>
      </c>
      <c r="E22">
        <v>1</v>
      </c>
      <c r="F22">
        <v>1</v>
      </c>
      <c r="G22">
        <v>0</v>
      </c>
    </row>
    <row r="23" spans="1:7" ht="240" x14ac:dyDescent="0.2">
      <c r="A23" s="1">
        <v>20</v>
      </c>
      <c r="B23" s="3" t="s">
        <v>10</v>
      </c>
      <c r="C23" s="3" t="s">
        <v>38</v>
      </c>
      <c r="D23">
        <v>1</v>
      </c>
      <c r="E23">
        <v>1</v>
      </c>
      <c r="F23">
        <v>1</v>
      </c>
      <c r="G23">
        <v>0</v>
      </c>
    </row>
    <row r="24" spans="1:7" ht="176" x14ac:dyDescent="0.2">
      <c r="A24" s="1">
        <v>36</v>
      </c>
      <c r="B24" s="3" t="s">
        <v>10</v>
      </c>
      <c r="C24" s="3" t="s">
        <v>54</v>
      </c>
      <c r="D24">
        <v>1</v>
      </c>
      <c r="E24">
        <v>1</v>
      </c>
      <c r="F24">
        <v>1</v>
      </c>
      <c r="G24">
        <v>0</v>
      </c>
    </row>
    <row r="25" spans="1:7" ht="365" x14ac:dyDescent="0.2">
      <c r="A25" s="1">
        <v>52</v>
      </c>
      <c r="B25" s="3" t="s">
        <v>10</v>
      </c>
      <c r="C25" s="3" t="s">
        <v>70</v>
      </c>
      <c r="D25">
        <v>1</v>
      </c>
      <c r="E25">
        <v>1</v>
      </c>
      <c r="F25">
        <v>1</v>
      </c>
      <c r="G25">
        <v>0</v>
      </c>
    </row>
    <row r="26" spans="1:7" ht="240" x14ac:dyDescent="0.2">
      <c r="A26" s="1">
        <v>68</v>
      </c>
      <c r="B26" s="3" t="s">
        <v>10</v>
      </c>
      <c r="C26" s="3" t="s">
        <v>85</v>
      </c>
      <c r="D26">
        <v>1</v>
      </c>
      <c r="E26">
        <v>1</v>
      </c>
      <c r="F26">
        <v>1</v>
      </c>
      <c r="G26">
        <v>0</v>
      </c>
    </row>
    <row r="27" spans="1:7" ht="80" x14ac:dyDescent="0.2">
      <c r="A27" s="1">
        <v>11</v>
      </c>
      <c r="B27" s="3" t="s">
        <v>24</v>
      </c>
      <c r="C27" s="3" t="s">
        <v>25</v>
      </c>
      <c r="D27">
        <v>0</v>
      </c>
      <c r="E27">
        <v>0</v>
      </c>
      <c r="F27">
        <v>0</v>
      </c>
      <c r="G27">
        <v>0</v>
      </c>
    </row>
    <row r="28" spans="1:7" ht="80" x14ac:dyDescent="0.2">
      <c r="A28" s="1">
        <v>27</v>
      </c>
      <c r="B28" s="3" t="s">
        <v>24</v>
      </c>
      <c r="C28" s="3" t="s">
        <v>45</v>
      </c>
      <c r="D28">
        <v>0</v>
      </c>
      <c r="E28">
        <v>0</v>
      </c>
      <c r="F28">
        <v>0</v>
      </c>
      <c r="G28">
        <v>0</v>
      </c>
    </row>
    <row r="29" spans="1:7" ht="80" x14ac:dyDescent="0.2">
      <c r="A29" s="1">
        <v>43</v>
      </c>
      <c r="B29" s="3" t="s">
        <v>24</v>
      </c>
      <c r="C29" s="3" t="s">
        <v>61</v>
      </c>
      <c r="D29">
        <v>0</v>
      </c>
      <c r="E29">
        <v>0</v>
      </c>
      <c r="F29">
        <v>0</v>
      </c>
      <c r="G29">
        <v>0</v>
      </c>
    </row>
    <row r="30" spans="1:7" ht="96" x14ac:dyDescent="0.2">
      <c r="A30" s="1">
        <v>59</v>
      </c>
      <c r="B30" s="3" t="s">
        <v>24</v>
      </c>
      <c r="C30" s="3" t="s">
        <v>77</v>
      </c>
      <c r="D30">
        <v>0</v>
      </c>
      <c r="E30">
        <v>0</v>
      </c>
      <c r="F30">
        <v>0</v>
      </c>
      <c r="G30">
        <v>0</v>
      </c>
    </row>
    <row r="31" spans="1:7" ht="80" x14ac:dyDescent="0.2">
      <c r="A31" s="1">
        <v>75</v>
      </c>
      <c r="B31" s="3" t="s">
        <v>24</v>
      </c>
      <c r="C31" s="3" t="s">
        <v>91</v>
      </c>
      <c r="D31">
        <v>0</v>
      </c>
      <c r="E31">
        <v>0</v>
      </c>
      <c r="F31">
        <v>0</v>
      </c>
      <c r="G31">
        <v>0</v>
      </c>
    </row>
    <row r="32" spans="1:7" ht="304" x14ac:dyDescent="0.2">
      <c r="A32" s="1">
        <v>6</v>
      </c>
      <c r="B32" s="3" t="s">
        <v>14</v>
      </c>
      <c r="C32" s="3" t="s">
        <v>15</v>
      </c>
      <c r="D32">
        <v>1</v>
      </c>
      <c r="E32">
        <v>1</v>
      </c>
      <c r="F32">
        <v>1</v>
      </c>
      <c r="G32">
        <v>0</v>
      </c>
    </row>
    <row r="33" spans="1:7" ht="272" x14ac:dyDescent="0.2">
      <c r="A33" s="1">
        <v>22</v>
      </c>
      <c r="B33" s="3" t="s">
        <v>14</v>
      </c>
      <c r="C33" s="3" t="s">
        <v>40</v>
      </c>
      <c r="D33">
        <v>1</v>
      </c>
      <c r="E33">
        <v>1</v>
      </c>
      <c r="F33">
        <v>1</v>
      </c>
      <c r="G33">
        <v>0</v>
      </c>
    </row>
    <row r="34" spans="1:7" ht="112" x14ac:dyDescent="0.2">
      <c r="A34" s="1">
        <v>38</v>
      </c>
      <c r="B34" s="3" t="s">
        <v>14</v>
      </c>
      <c r="C34" s="3" t="s">
        <v>56</v>
      </c>
      <c r="D34">
        <v>1</v>
      </c>
      <c r="E34">
        <v>1</v>
      </c>
      <c r="F34">
        <v>1</v>
      </c>
      <c r="G34">
        <v>0</v>
      </c>
    </row>
    <row r="35" spans="1:7" ht="320" x14ac:dyDescent="0.2">
      <c r="A35" s="1">
        <v>54</v>
      </c>
      <c r="B35" s="3" t="s">
        <v>14</v>
      </c>
      <c r="C35" s="3" t="s">
        <v>72</v>
      </c>
      <c r="D35">
        <v>1</v>
      </c>
      <c r="E35">
        <v>1</v>
      </c>
      <c r="F35">
        <v>1</v>
      </c>
      <c r="G35">
        <v>0</v>
      </c>
    </row>
    <row r="36" spans="1:7" ht="112" x14ac:dyDescent="0.2">
      <c r="A36" s="1">
        <v>70</v>
      </c>
      <c r="B36" s="3" t="s">
        <v>14</v>
      </c>
      <c r="C36" s="3" t="s">
        <v>87</v>
      </c>
      <c r="D36">
        <v>0</v>
      </c>
      <c r="E36">
        <v>0</v>
      </c>
      <c r="F36">
        <v>0</v>
      </c>
      <c r="G36">
        <v>0</v>
      </c>
    </row>
    <row r="37" spans="1:7" ht="224" x14ac:dyDescent="0.2">
      <c r="A37" s="1">
        <v>8</v>
      </c>
      <c r="B37" s="3" t="s">
        <v>18</v>
      </c>
      <c r="C37" s="3" t="s">
        <v>19</v>
      </c>
      <c r="D37">
        <v>0</v>
      </c>
      <c r="E37">
        <v>0</v>
      </c>
      <c r="F37">
        <v>0</v>
      </c>
      <c r="G37">
        <v>0</v>
      </c>
    </row>
    <row r="38" spans="1:7" ht="112" x14ac:dyDescent="0.2">
      <c r="A38" s="1">
        <v>24</v>
      </c>
      <c r="B38" s="3" t="s">
        <v>18</v>
      </c>
      <c r="C38" s="3" t="s">
        <v>42</v>
      </c>
      <c r="D38">
        <v>0</v>
      </c>
      <c r="E38">
        <v>0</v>
      </c>
      <c r="F38">
        <v>0</v>
      </c>
      <c r="G38">
        <v>0</v>
      </c>
    </row>
    <row r="39" spans="1:7" ht="224" x14ac:dyDescent="0.2">
      <c r="A39" s="1">
        <v>40</v>
      </c>
      <c r="B39" s="3" t="s">
        <v>18</v>
      </c>
      <c r="C39" s="3" t="s">
        <v>58</v>
      </c>
      <c r="D39">
        <v>0</v>
      </c>
      <c r="E39">
        <v>0</v>
      </c>
      <c r="F39">
        <v>0</v>
      </c>
      <c r="G39">
        <v>0</v>
      </c>
    </row>
    <row r="40" spans="1:7" ht="380" x14ac:dyDescent="0.2">
      <c r="A40" s="1">
        <v>56</v>
      </c>
      <c r="B40" s="3" t="s">
        <v>18</v>
      </c>
      <c r="C40" s="3" t="s">
        <v>74</v>
      </c>
      <c r="D40">
        <v>1</v>
      </c>
      <c r="E40">
        <v>1</v>
      </c>
      <c r="F40">
        <v>1</v>
      </c>
      <c r="G40">
        <v>0</v>
      </c>
    </row>
    <row r="41" spans="1:7" ht="395" x14ac:dyDescent="0.2">
      <c r="A41" s="1">
        <v>72</v>
      </c>
      <c r="B41" s="3" t="s">
        <v>18</v>
      </c>
      <c r="C41" s="3" t="s">
        <v>89</v>
      </c>
      <c r="D41">
        <v>1</v>
      </c>
      <c r="E41">
        <v>1</v>
      </c>
      <c r="F41">
        <v>1</v>
      </c>
      <c r="G41">
        <v>0</v>
      </c>
    </row>
    <row r="42" spans="1:7" ht="80" x14ac:dyDescent="0.2">
      <c r="A42" s="1">
        <v>10</v>
      </c>
      <c r="B42" s="3" t="s">
        <v>22</v>
      </c>
      <c r="C42" s="3" t="s">
        <v>23</v>
      </c>
      <c r="D42">
        <v>0</v>
      </c>
      <c r="E42">
        <v>0</v>
      </c>
      <c r="F42">
        <v>0</v>
      </c>
      <c r="G42">
        <v>0</v>
      </c>
    </row>
    <row r="43" spans="1:7" ht="48" x14ac:dyDescent="0.2">
      <c r="A43" s="1">
        <v>26</v>
      </c>
      <c r="B43" s="3" t="s">
        <v>22</v>
      </c>
      <c r="C43" s="3" t="s">
        <v>44</v>
      </c>
      <c r="D43">
        <v>0</v>
      </c>
      <c r="E43">
        <v>0</v>
      </c>
      <c r="F43">
        <v>0</v>
      </c>
      <c r="G43">
        <v>0</v>
      </c>
    </row>
    <row r="44" spans="1:7" ht="80" x14ac:dyDescent="0.2">
      <c r="A44" s="1">
        <v>42</v>
      </c>
      <c r="B44" s="3" t="s">
        <v>22</v>
      </c>
      <c r="C44" s="3" t="s">
        <v>60</v>
      </c>
      <c r="D44">
        <v>0</v>
      </c>
      <c r="E44">
        <v>0</v>
      </c>
      <c r="F44">
        <v>0</v>
      </c>
      <c r="G44">
        <v>0</v>
      </c>
    </row>
    <row r="45" spans="1:7" ht="80" x14ac:dyDescent="0.2">
      <c r="A45" s="1">
        <v>58</v>
      </c>
      <c r="B45" s="3" t="s">
        <v>22</v>
      </c>
      <c r="C45" s="3" t="s">
        <v>76</v>
      </c>
      <c r="D45">
        <v>0</v>
      </c>
      <c r="E45">
        <v>0</v>
      </c>
      <c r="F45">
        <v>0</v>
      </c>
      <c r="G45">
        <v>0</v>
      </c>
    </row>
    <row r="46" spans="1:7" ht="80" x14ac:dyDescent="0.2">
      <c r="A46" s="1">
        <v>74</v>
      </c>
      <c r="B46" s="3" t="s">
        <v>22</v>
      </c>
      <c r="C46" s="3" t="s">
        <v>60</v>
      </c>
      <c r="D46">
        <v>0</v>
      </c>
      <c r="E46">
        <v>0</v>
      </c>
      <c r="F46">
        <v>0</v>
      </c>
      <c r="G46">
        <v>0</v>
      </c>
    </row>
    <row r="47" spans="1:7" ht="96" x14ac:dyDescent="0.2">
      <c r="A47" s="1">
        <v>7</v>
      </c>
      <c r="B47" s="3" t="s">
        <v>16</v>
      </c>
      <c r="C47" s="3" t="s">
        <v>17</v>
      </c>
      <c r="D47">
        <v>0</v>
      </c>
      <c r="E47">
        <v>0</v>
      </c>
      <c r="F47">
        <v>0</v>
      </c>
      <c r="G47">
        <v>0</v>
      </c>
    </row>
    <row r="48" spans="1:7" ht="320" x14ac:dyDescent="0.2">
      <c r="A48" s="1">
        <v>23</v>
      </c>
      <c r="B48" s="3" t="s">
        <v>16</v>
      </c>
      <c r="C48" s="3" t="s">
        <v>41</v>
      </c>
      <c r="D48">
        <v>1</v>
      </c>
      <c r="E48">
        <v>1</v>
      </c>
      <c r="F48">
        <v>1</v>
      </c>
      <c r="G48">
        <v>0</v>
      </c>
    </row>
    <row r="49" spans="1:7" ht="335" x14ac:dyDescent="0.2">
      <c r="A49" s="1">
        <v>39</v>
      </c>
      <c r="B49" s="3" t="s">
        <v>16</v>
      </c>
      <c r="C49" s="3" t="s">
        <v>57</v>
      </c>
      <c r="D49">
        <v>1</v>
      </c>
      <c r="E49">
        <v>1</v>
      </c>
      <c r="F49">
        <v>1</v>
      </c>
      <c r="G49">
        <v>0</v>
      </c>
    </row>
    <row r="50" spans="1:7" ht="409.6" x14ac:dyDescent="0.2">
      <c r="A50" s="1">
        <v>55</v>
      </c>
      <c r="B50" s="3" t="s">
        <v>16</v>
      </c>
      <c r="C50" s="3" t="s">
        <v>73</v>
      </c>
      <c r="D50">
        <v>1</v>
      </c>
      <c r="E50">
        <v>1</v>
      </c>
      <c r="F50">
        <v>1</v>
      </c>
      <c r="G50">
        <v>0</v>
      </c>
    </row>
    <row r="51" spans="1:7" ht="409.6" x14ac:dyDescent="0.2">
      <c r="A51" s="1">
        <v>71</v>
      </c>
      <c r="B51" s="3" t="s">
        <v>16</v>
      </c>
      <c r="C51" s="3" t="s">
        <v>88</v>
      </c>
      <c r="D51">
        <v>1</v>
      </c>
      <c r="E51">
        <v>1</v>
      </c>
      <c r="F51">
        <v>1</v>
      </c>
      <c r="G51">
        <v>0</v>
      </c>
    </row>
    <row r="52" spans="1:7" ht="160" x14ac:dyDescent="0.2">
      <c r="A52" s="1">
        <v>14</v>
      </c>
      <c r="B52" s="3" t="s">
        <v>30</v>
      </c>
      <c r="C52" s="3" t="s">
        <v>31</v>
      </c>
      <c r="D52">
        <v>1</v>
      </c>
      <c r="E52">
        <v>1</v>
      </c>
      <c r="F52">
        <v>1</v>
      </c>
      <c r="G52">
        <v>0</v>
      </c>
    </row>
    <row r="53" spans="1:7" ht="160" x14ac:dyDescent="0.2">
      <c r="A53" s="1">
        <v>30</v>
      </c>
      <c r="B53" s="3" t="s">
        <v>30</v>
      </c>
      <c r="C53" s="3" t="s">
        <v>48</v>
      </c>
      <c r="D53">
        <v>1</v>
      </c>
      <c r="E53">
        <v>1</v>
      </c>
      <c r="F53">
        <v>1</v>
      </c>
      <c r="G53">
        <v>0</v>
      </c>
    </row>
    <row r="54" spans="1:7" ht="272" x14ac:dyDescent="0.2">
      <c r="A54" s="1">
        <v>46</v>
      </c>
      <c r="B54" s="3" t="s">
        <v>30</v>
      </c>
      <c r="C54" s="3" t="s">
        <v>64</v>
      </c>
      <c r="D54">
        <v>1</v>
      </c>
      <c r="E54">
        <v>1</v>
      </c>
      <c r="F54">
        <v>1</v>
      </c>
      <c r="G54">
        <v>0</v>
      </c>
    </row>
    <row r="55" spans="1:7" ht="192" x14ac:dyDescent="0.2">
      <c r="A55" s="1">
        <v>62</v>
      </c>
      <c r="B55" s="3" t="s">
        <v>30</v>
      </c>
      <c r="C55" s="3" t="s">
        <v>80</v>
      </c>
      <c r="D55">
        <v>1</v>
      </c>
      <c r="E55">
        <v>1</v>
      </c>
      <c r="F55">
        <v>1</v>
      </c>
      <c r="G55">
        <v>0</v>
      </c>
    </row>
    <row r="56" spans="1:7" ht="192" x14ac:dyDescent="0.2">
      <c r="A56" s="1">
        <v>78</v>
      </c>
      <c r="B56" s="3" t="s">
        <v>30</v>
      </c>
      <c r="C56" s="3" t="s">
        <v>94</v>
      </c>
      <c r="D56">
        <v>1</v>
      </c>
      <c r="E56">
        <v>1</v>
      </c>
      <c r="F56">
        <v>1</v>
      </c>
      <c r="G56">
        <v>0</v>
      </c>
    </row>
    <row r="57" spans="1:7" ht="304" x14ac:dyDescent="0.2">
      <c r="A57" s="1">
        <v>15</v>
      </c>
      <c r="B57" s="3" t="s">
        <v>32</v>
      </c>
      <c r="C57" s="3" t="s">
        <v>33</v>
      </c>
      <c r="D57">
        <v>1</v>
      </c>
      <c r="E57">
        <v>1</v>
      </c>
      <c r="F57">
        <v>1</v>
      </c>
      <c r="G57">
        <v>0</v>
      </c>
    </row>
    <row r="58" spans="1:7" ht="320" x14ac:dyDescent="0.2">
      <c r="A58" s="1">
        <v>31</v>
      </c>
      <c r="B58" s="3" t="s">
        <v>32</v>
      </c>
      <c r="C58" s="3" t="s">
        <v>49</v>
      </c>
      <c r="D58">
        <v>1</v>
      </c>
      <c r="E58">
        <v>1</v>
      </c>
      <c r="F58">
        <v>1</v>
      </c>
      <c r="G58">
        <v>0</v>
      </c>
    </row>
    <row r="59" spans="1:7" ht="320" x14ac:dyDescent="0.2">
      <c r="A59" s="1">
        <v>47</v>
      </c>
      <c r="B59" s="3" t="s">
        <v>32</v>
      </c>
      <c r="C59" s="3" t="s">
        <v>65</v>
      </c>
      <c r="D59">
        <v>1</v>
      </c>
      <c r="E59">
        <v>1</v>
      </c>
      <c r="F59">
        <v>1</v>
      </c>
      <c r="G59">
        <v>0</v>
      </c>
    </row>
    <row r="60" spans="1:7" ht="335" x14ac:dyDescent="0.2">
      <c r="A60" s="1">
        <v>63</v>
      </c>
      <c r="B60" s="3" t="s">
        <v>32</v>
      </c>
      <c r="C60" s="3" t="s">
        <v>81</v>
      </c>
      <c r="D60">
        <v>1</v>
      </c>
      <c r="E60">
        <v>1</v>
      </c>
      <c r="F60">
        <v>1</v>
      </c>
      <c r="G60">
        <v>0</v>
      </c>
    </row>
    <row r="61" spans="1:7" ht="320" x14ac:dyDescent="0.2">
      <c r="A61" s="1">
        <v>79</v>
      </c>
      <c r="B61" s="3" t="s">
        <v>32</v>
      </c>
      <c r="C61" s="3" t="s">
        <v>95</v>
      </c>
      <c r="D61">
        <v>1</v>
      </c>
      <c r="E61">
        <v>1</v>
      </c>
      <c r="F61">
        <v>1</v>
      </c>
      <c r="G61">
        <v>0</v>
      </c>
    </row>
    <row r="62" spans="1:7" ht="144" x14ac:dyDescent="0.2">
      <c r="A62" s="1">
        <v>13</v>
      </c>
      <c r="B62" s="3" t="s">
        <v>28</v>
      </c>
      <c r="C62" s="3" t="s">
        <v>29</v>
      </c>
      <c r="D62">
        <v>1</v>
      </c>
      <c r="E62">
        <v>1</v>
      </c>
      <c r="F62">
        <v>0</v>
      </c>
      <c r="G62">
        <v>0</v>
      </c>
    </row>
    <row r="63" spans="1:7" ht="380" x14ac:dyDescent="0.2">
      <c r="A63" s="1">
        <v>29</v>
      </c>
      <c r="B63" s="3" t="s">
        <v>28</v>
      </c>
      <c r="C63" s="3" t="s">
        <v>47</v>
      </c>
      <c r="D63">
        <v>1</v>
      </c>
      <c r="E63">
        <v>1</v>
      </c>
      <c r="F63">
        <v>1</v>
      </c>
      <c r="G63">
        <v>0</v>
      </c>
    </row>
    <row r="64" spans="1:7" ht="144" x14ac:dyDescent="0.2">
      <c r="A64" s="1">
        <v>45</v>
      </c>
      <c r="B64" s="3" t="s">
        <v>28</v>
      </c>
      <c r="C64" s="3" t="s">
        <v>63</v>
      </c>
      <c r="D64">
        <v>1</v>
      </c>
      <c r="E64">
        <v>1</v>
      </c>
      <c r="F64">
        <v>1</v>
      </c>
      <c r="G64">
        <v>0</v>
      </c>
    </row>
    <row r="65" spans="1:7" ht="288" x14ac:dyDescent="0.2">
      <c r="A65" s="1">
        <v>61</v>
      </c>
      <c r="B65" s="3" t="s">
        <v>28</v>
      </c>
      <c r="C65" s="3" t="s">
        <v>79</v>
      </c>
      <c r="D65">
        <v>1</v>
      </c>
      <c r="E65">
        <v>1</v>
      </c>
      <c r="F65">
        <v>1</v>
      </c>
      <c r="G65">
        <v>0</v>
      </c>
    </row>
    <row r="66" spans="1:7" ht="350" x14ac:dyDescent="0.2">
      <c r="A66" s="1">
        <v>77</v>
      </c>
      <c r="B66" s="3" t="s">
        <v>28</v>
      </c>
      <c r="C66" s="3" t="s">
        <v>93</v>
      </c>
      <c r="D66">
        <v>1</v>
      </c>
      <c r="E66">
        <v>1</v>
      </c>
      <c r="F66">
        <v>1</v>
      </c>
      <c r="G66">
        <v>0</v>
      </c>
    </row>
    <row r="67" spans="1:7" ht="240" x14ac:dyDescent="0.2">
      <c r="A67" s="1">
        <v>12</v>
      </c>
      <c r="B67" s="3" t="s">
        <v>26</v>
      </c>
      <c r="C67" s="3" t="s">
        <v>27</v>
      </c>
      <c r="D67">
        <v>1</v>
      </c>
      <c r="E67">
        <v>1</v>
      </c>
      <c r="F67">
        <v>1</v>
      </c>
      <c r="G67">
        <v>0</v>
      </c>
    </row>
    <row r="68" spans="1:7" ht="304" x14ac:dyDescent="0.2">
      <c r="A68" s="1">
        <v>28</v>
      </c>
      <c r="B68" s="3" t="s">
        <v>26</v>
      </c>
      <c r="C68" s="3" t="s">
        <v>46</v>
      </c>
      <c r="D68">
        <v>1</v>
      </c>
      <c r="E68">
        <v>1</v>
      </c>
      <c r="F68">
        <v>1</v>
      </c>
      <c r="G68">
        <v>0</v>
      </c>
    </row>
    <row r="69" spans="1:7" ht="288" x14ac:dyDescent="0.2">
      <c r="A69" s="1">
        <v>44</v>
      </c>
      <c r="B69" s="3" t="s">
        <v>26</v>
      </c>
      <c r="C69" s="3" t="s">
        <v>62</v>
      </c>
      <c r="D69">
        <v>1</v>
      </c>
      <c r="E69">
        <v>1</v>
      </c>
      <c r="F69">
        <v>1</v>
      </c>
      <c r="G69">
        <v>0</v>
      </c>
    </row>
    <row r="70" spans="1:7" ht="96" x14ac:dyDescent="0.2">
      <c r="A70" s="1">
        <v>60</v>
      </c>
      <c r="B70" s="3" t="s">
        <v>26</v>
      </c>
      <c r="C70" s="3" t="s">
        <v>78</v>
      </c>
      <c r="D70">
        <v>0</v>
      </c>
      <c r="E70">
        <v>0</v>
      </c>
      <c r="F70">
        <v>0</v>
      </c>
      <c r="G70">
        <v>0</v>
      </c>
    </row>
    <row r="71" spans="1:7" ht="409.6" x14ac:dyDescent="0.2">
      <c r="A71" s="1">
        <v>76</v>
      </c>
      <c r="B71" s="3" t="s">
        <v>26</v>
      </c>
      <c r="C71" s="3" t="s">
        <v>92</v>
      </c>
      <c r="D71">
        <v>0</v>
      </c>
      <c r="E71">
        <v>0</v>
      </c>
      <c r="F71">
        <v>0</v>
      </c>
      <c r="G71">
        <v>0</v>
      </c>
    </row>
    <row r="72" spans="1:7" ht="208" x14ac:dyDescent="0.2">
      <c r="A72" s="1">
        <v>2</v>
      </c>
      <c r="B72" s="3" t="s">
        <v>6</v>
      </c>
      <c r="C72" s="3" t="s">
        <v>7</v>
      </c>
      <c r="D72">
        <v>1</v>
      </c>
      <c r="E72">
        <v>1</v>
      </c>
      <c r="F72">
        <v>1</v>
      </c>
      <c r="G72">
        <v>0</v>
      </c>
    </row>
    <row r="73" spans="1:7" ht="272" x14ac:dyDescent="0.2">
      <c r="A73" s="1">
        <v>18</v>
      </c>
      <c r="B73" s="3" t="s">
        <v>6</v>
      </c>
      <c r="C73" s="3" t="s">
        <v>36</v>
      </c>
      <c r="D73">
        <v>1</v>
      </c>
      <c r="E73">
        <v>1</v>
      </c>
      <c r="F73">
        <v>1</v>
      </c>
      <c r="G73">
        <v>0</v>
      </c>
    </row>
    <row r="74" spans="1:7" ht="350" x14ac:dyDescent="0.2">
      <c r="A74" s="1">
        <v>34</v>
      </c>
      <c r="B74" s="3" t="s">
        <v>6</v>
      </c>
      <c r="C74" s="3" t="s">
        <v>52</v>
      </c>
      <c r="D74">
        <v>1</v>
      </c>
      <c r="E74">
        <v>1</v>
      </c>
      <c r="F74">
        <v>1</v>
      </c>
      <c r="G74">
        <v>0</v>
      </c>
    </row>
    <row r="75" spans="1:7" ht="409.6" x14ac:dyDescent="0.2">
      <c r="A75" s="1">
        <v>50</v>
      </c>
      <c r="B75" s="3" t="s">
        <v>6</v>
      </c>
      <c r="C75" s="3" t="s">
        <v>68</v>
      </c>
      <c r="D75">
        <v>1</v>
      </c>
      <c r="E75">
        <v>1</v>
      </c>
      <c r="F75">
        <v>1</v>
      </c>
      <c r="G75">
        <v>0</v>
      </c>
    </row>
    <row r="76" spans="1:7" ht="409.6" x14ac:dyDescent="0.2">
      <c r="A76" s="1">
        <v>66</v>
      </c>
      <c r="B76" s="3" t="s">
        <v>6</v>
      </c>
      <c r="C76" s="3" t="s">
        <v>84</v>
      </c>
      <c r="D76">
        <v>1</v>
      </c>
      <c r="E76">
        <v>1</v>
      </c>
      <c r="F76">
        <v>1</v>
      </c>
      <c r="G76">
        <v>0</v>
      </c>
    </row>
    <row r="77" spans="1:7" ht="335" x14ac:dyDescent="0.2">
      <c r="A77" s="1">
        <v>9</v>
      </c>
      <c r="B77" s="3" t="s">
        <v>20</v>
      </c>
      <c r="C77" s="3" t="s">
        <v>21</v>
      </c>
      <c r="D77">
        <v>1</v>
      </c>
      <c r="E77">
        <v>1</v>
      </c>
      <c r="F77">
        <v>1</v>
      </c>
      <c r="G77">
        <v>0</v>
      </c>
    </row>
    <row r="78" spans="1:7" ht="320" x14ac:dyDescent="0.2">
      <c r="A78" s="1">
        <v>25</v>
      </c>
      <c r="B78" s="3" t="s">
        <v>20</v>
      </c>
      <c r="C78" s="3" t="s">
        <v>43</v>
      </c>
      <c r="D78">
        <v>1</v>
      </c>
      <c r="E78">
        <v>1</v>
      </c>
      <c r="F78">
        <v>1</v>
      </c>
      <c r="G78">
        <v>0</v>
      </c>
    </row>
    <row r="79" spans="1:7" ht="350" x14ac:dyDescent="0.2">
      <c r="A79" s="1">
        <v>41</v>
      </c>
      <c r="B79" s="3" t="s">
        <v>20</v>
      </c>
      <c r="C79" s="3" t="s">
        <v>59</v>
      </c>
      <c r="D79">
        <v>1</v>
      </c>
      <c r="E79">
        <v>1</v>
      </c>
      <c r="F79">
        <v>1</v>
      </c>
      <c r="G79">
        <v>0</v>
      </c>
    </row>
    <row r="80" spans="1:7" ht="304" x14ac:dyDescent="0.2">
      <c r="A80" s="1">
        <v>57</v>
      </c>
      <c r="B80" s="3" t="s">
        <v>20</v>
      </c>
      <c r="C80" s="3" t="s">
        <v>75</v>
      </c>
      <c r="D80">
        <v>1</v>
      </c>
      <c r="E80">
        <v>1</v>
      </c>
      <c r="F80">
        <v>1</v>
      </c>
      <c r="G80">
        <v>0</v>
      </c>
    </row>
    <row r="81" spans="1:7" ht="320" x14ac:dyDescent="0.2">
      <c r="A81" s="1">
        <v>73</v>
      </c>
      <c r="B81" s="3" t="s">
        <v>20</v>
      </c>
      <c r="C81" s="3" t="s">
        <v>90</v>
      </c>
      <c r="D81">
        <v>1</v>
      </c>
      <c r="E81">
        <v>1</v>
      </c>
      <c r="F81">
        <v>1</v>
      </c>
      <c r="G81">
        <v>0</v>
      </c>
    </row>
  </sheetData>
  <sortState xmlns:xlrd2="http://schemas.microsoft.com/office/spreadsheetml/2017/richdata2" ref="A2:G81">
    <sortCondition descending="1" ref="B2:B81"/>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F2CE8-2AFF-E348-BC91-6CDE6415BCAA}">
  <sheetPr>
    <outlinePr summaryBelow="0" summaryRight="0"/>
  </sheetPr>
  <dimension ref="A1:W994"/>
  <sheetViews>
    <sheetView workbookViewId="0">
      <selection activeCell="C25" sqref="C25"/>
    </sheetView>
  </sheetViews>
  <sheetFormatPr baseColWidth="10" defaultColWidth="12.6640625" defaultRowHeight="15.75" customHeight="1" x14ac:dyDescent="0.2"/>
  <cols>
    <col min="1" max="1" width="15.33203125" style="4" bestFit="1" customWidth="1"/>
    <col min="2" max="2" width="14.83203125" style="4" bestFit="1" customWidth="1"/>
    <col min="3" max="3" width="10.83203125" style="4" customWidth="1"/>
    <col min="4" max="4" width="10" style="4" bestFit="1" customWidth="1"/>
    <col min="5" max="5" width="17" style="4" customWidth="1"/>
    <col min="6" max="16384" width="12.6640625" style="4"/>
  </cols>
  <sheetData>
    <row r="1" spans="1:23" ht="16" x14ac:dyDescent="0.2">
      <c r="A1" s="10" t="s">
        <v>118</v>
      </c>
      <c r="B1" s="9"/>
      <c r="C1" s="9"/>
      <c r="D1" s="9"/>
      <c r="E1" s="9"/>
      <c r="F1" s="5"/>
      <c r="H1" s="5"/>
      <c r="I1" s="5"/>
      <c r="J1" s="5"/>
      <c r="K1" s="5"/>
      <c r="L1" s="5"/>
      <c r="M1" s="5"/>
      <c r="N1" s="5"/>
      <c r="O1" s="5"/>
      <c r="P1" s="5"/>
      <c r="Q1" s="5"/>
      <c r="R1" s="5"/>
      <c r="S1" s="5"/>
      <c r="T1" s="5"/>
      <c r="U1" s="5"/>
      <c r="V1" s="5"/>
      <c r="W1" s="5"/>
    </row>
    <row r="2" spans="1:23" ht="16" x14ac:dyDescent="0.2">
      <c r="A2" s="5"/>
      <c r="B2" s="6"/>
      <c r="C2" s="6"/>
      <c r="D2" s="6"/>
      <c r="E2" s="6"/>
      <c r="F2" s="5"/>
      <c r="H2" s="5"/>
      <c r="I2" s="5"/>
      <c r="J2" s="5"/>
      <c r="K2" s="5"/>
      <c r="L2" s="5"/>
      <c r="M2" s="5"/>
      <c r="N2" s="5"/>
      <c r="O2" s="5"/>
      <c r="P2" s="5"/>
      <c r="Q2" s="5"/>
      <c r="R2" s="5"/>
      <c r="S2" s="5"/>
      <c r="T2" s="5"/>
      <c r="U2" s="5"/>
      <c r="V2" s="5"/>
      <c r="W2" s="5"/>
    </row>
    <row r="3" spans="1:23" ht="16" x14ac:dyDescent="0.2">
      <c r="A3" s="5" t="s">
        <v>117</v>
      </c>
      <c r="C3" s="5" t="s">
        <v>115</v>
      </c>
      <c r="E3" s="5" t="s">
        <v>113</v>
      </c>
      <c r="F3" s="5"/>
      <c r="G3" s="5"/>
      <c r="H3" s="5"/>
      <c r="I3" s="5"/>
      <c r="J3" s="5"/>
      <c r="K3" s="5"/>
      <c r="L3" s="5"/>
      <c r="M3" s="5"/>
      <c r="N3" s="5"/>
      <c r="O3" s="5"/>
      <c r="P3" s="5"/>
      <c r="Q3" s="5"/>
      <c r="R3" s="5"/>
      <c r="S3" s="5"/>
      <c r="T3" s="5"/>
      <c r="U3" s="5"/>
      <c r="V3" s="5"/>
      <c r="W3" s="5"/>
    </row>
    <row r="4" spans="1:23" ht="16" x14ac:dyDescent="0.2">
      <c r="B4" t="s">
        <v>101</v>
      </c>
      <c r="C4">
        <v>0</v>
      </c>
      <c r="D4">
        <v>1</v>
      </c>
      <c r="E4" t="s">
        <v>100</v>
      </c>
      <c r="F4" s="5"/>
      <c r="G4" s="5"/>
      <c r="H4" s="5"/>
      <c r="I4" s="5"/>
      <c r="J4" s="5"/>
      <c r="K4" s="5"/>
      <c r="L4" s="5"/>
      <c r="M4" s="5"/>
      <c r="N4" s="5"/>
      <c r="O4" s="5"/>
      <c r="P4" s="5"/>
      <c r="Q4" s="5"/>
      <c r="R4" s="5"/>
      <c r="S4" s="5"/>
      <c r="T4" s="5"/>
      <c r="U4" s="5"/>
      <c r="V4" s="5"/>
      <c r="W4" s="5"/>
    </row>
    <row r="5" spans="1:23" ht="16" x14ac:dyDescent="0.2">
      <c r="A5" s="18" t="s">
        <v>114</v>
      </c>
      <c r="B5">
        <v>0</v>
      </c>
      <c r="C5">
        <v>19</v>
      </c>
      <c r="D5"/>
      <c r="E5">
        <v>19</v>
      </c>
      <c r="F5" s="5"/>
      <c r="G5" s="5"/>
      <c r="H5" s="5"/>
      <c r="I5" s="5"/>
      <c r="J5" s="5"/>
      <c r="K5" s="5"/>
      <c r="L5" s="5"/>
      <c r="M5" s="5"/>
      <c r="N5" s="5"/>
      <c r="O5" s="5"/>
      <c r="P5" s="5"/>
      <c r="Q5" s="5"/>
      <c r="R5" s="5"/>
      <c r="S5" s="5"/>
      <c r="T5" s="5"/>
      <c r="U5" s="5"/>
      <c r="V5" s="5"/>
      <c r="W5" s="5"/>
    </row>
    <row r="6" spans="1:23" ht="16" x14ac:dyDescent="0.2">
      <c r="B6">
        <v>1</v>
      </c>
      <c r="C6">
        <v>1</v>
      </c>
      <c r="D6">
        <v>60</v>
      </c>
      <c r="E6">
        <v>61</v>
      </c>
      <c r="F6" s="5"/>
      <c r="G6" s="5"/>
      <c r="H6" s="5"/>
      <c r="I6" s="5"/>
      <c r="J6" s="5"/>
      <c r="K6" s="5"/>
      <c r="L6" s="5"/>
      <c r="M6" s="5"/>
      <c r="N6" s="5"/>
      <c r="O6" s="5"/>
      <c r="P6" s="5"/>
      <c r="Q6" s="5"/>
      <c r="R6" s="5"/>
      <c r="S6" s="5"/>
      <c r="T6" s="5"/>
      <c r="U6" s="5"/>
      <c r="V6" s="5"/>
      <c r="W6" s="5"/>
    </row>
    <row r="7" spans="1:23" ht="16" x14ac:dyDescent="0.2">
      <c r="A7" s="21"/>
      <c r="B7" t="s">
        <v>100</v>
      </c>
      <c r="C7">
        <v>20</v>
      </c>
      <c r="D7">
        <v>60</v>
      </c>
      <c r="E7" s="6">
        <v>80</v>
      </c>
      <c r="H7" s="5"/>
      <c r="I7" s="5"/>
      <c r="J7" s="5"/>
      <c r="K7" s="5"/>
      <c r="L7" s="5"/>
      <c r="M7" s="5"/>
      <c r="N7" s="5"/>
      <c r="O7" s="5"/>
      <c r="P7" s="5"/>
      <c r="Q7" s="5"/>
      <c r="R7" s="5"/>
      <c r="S7" s="5"/>
      <c r="T7" s="5"/>
      <c r="U7" s="5"/>
      <c r="V7" s="5"/>
      <c r="W7" s="5"/>
    </row>
    <row r="8" spans="1:23" ht="16" x14ac:dyDescent="0.2">
      <c r="A8" s="5"/>
      <c r="B8" s="6"/>
      <c r="C8" s="6"/>
      <c r="D8" s="6"/>
      <c r="E8" s="6"/>
      <c r="F8" s="5"/>
      <c r="G8" s="5"/>
      <c r="H8" s="5"/>
      <c r="I8" s="5"/>
      <c r="J8" s="5"/>
      <c r="K8" s="5"/>
      <c r="L8" s="5"/>
      <c r="M8" s="5"/>
      <c r="N8" s="5"/>
      <c r="O8" s="5"/>
      <c r="P8" s="5"/>
      <c r="Q8" s="5"/>
      <c r="R8" s="5"/>
      <c r="S8" s="5"/>
      <c r="T8" s="5"/>
      <c r="U8" s="5"/>
      <c r="V8" s="5"/>
      <c r="W8" s="5"/>
    </row>
    <row r="9" spans="1:23" ht="16" x14ac:dyDescent="0.2">
      <c r="A9" s="10" t="s">
        <v>116</v>
      </c>
      <c r="B9" s="9"/>
      <c r="C9" s="9"/>
      <c r="D9" s="9"/>
      <c r="E9" s="9"/>
      <c r="F9" s="5"/>
      <c r="G9" s="5"/>
      <c r="H9" s="5"/>
      <c r="I9" s="5"/>
      <c r="J9" s="5"/>
      <c r="K9" s="5"/>
      <c r="L9" s="5"/>
      <c r="M9" s="5"/>
      <c r="N9" s="5"/>
      <c r="O9" s="5"/>
      <c r="P9" s="5"/>
      <c r="Q9" s="5"/>
      <c r="R9" s="5"/>
      <c r="S9" s="5"/>
      <c r="T9" s="5"/>
      <c r="U9" s="5"/>
      <c r="V9" s="5"/>
      <c r="W9" s="5"/>
    </row>
    <row r="10" spans="1:23" ht="16" x14ac:dyDescent="0.2">
      <c r="A10" s="5"/>
      <c r="B10" s="6"/>
      <c r="C10" s="6"/>
      <c r="D10" s="6"/>
      <c r="E10" s="6"/>
      <c r="F10" s="5"/>
      <c r="G10" s="5"/>
      <c r="H10" s="5"/>
      <c r="I10" s="5"/>
      <c r="J10" s="5"/>
      <c r="K10" s="5"/>
      <c r="L10" s="5"/>
      <c r="M10" s="5"/>
      <c r="N10" s="5"/>
      <c r="O10" s="5"/>
      <c r="P10" s="5"/>
      <c r="Q10" s="5"/>
      <c r="R10" s="5"/>
      <c r="S10" s="5"/>
      <c r="T10" s="5"/>
      <c r="U10" s="5"/>
      <c r="V10" s="5"/>
      <c r="W10" s="5"/>
    </row>
    <row r="11" spans="1:23" ht="16" x14ac:dyDescent="0.2">
      <c r="A11" s="5"/>
      <c r="C11" s="20" t="s">
        <v>115</v>
      </c>
      <c r="D11" s="19"/>
      <c r="E11" s="5" t="s">
        <v>113</v>
      </c>
      <c r="F11" s="5"/>
      <c r="G11" s="5"/>
      <c r="H11" s="5"/>
      <c r="I11" s="5"/>
      <c r="J11" s="5"/>
      <c r="K11" s="5"/>
      <c r="L11" s="5"/>
      <c r="M11" s="5"/>
      <c r="N11" s="5"/>
      <c r="O11" s="5"/>
      <c r="P11" s="5"/>
      <c r="Q11" s="5"/>
      <c r="R11" s="5"/>
      <c r="S11" s="5"/>
      <c r="T11" s="5"/>
      <c r="U11" s="5"/>
      <c r="V11" s="5"/>
      <c r="W11" s="5"/>
    </row>
    <row r="12" spans="1:23" ht="16" x14ac:dyDescent="0.2">
      <c r="C12" s="4">
        <v>0</v>
      </c>
      <c r="D12" s="4">
        <v>1</v>
      </c>
      <c r="E12" s="6" t="s">
        <v>100</v>
      </c>
      <c r="F12" s="5"/>
      <c r="G12" s="5"/>
      <c r="H12" s="5"/>
      <c r="I12" s="5"/>
      <c r="J12" s="5"/>
      <c r="K12" s="5"/>
      <c r="L12" s="5"/>
      <c r="M12" s="5"/>
      <c r="N12" s="5"/>
      <c r="O12" s="5"/>
      <c r="P12" s="5"/>
      <c r="Q12" s="5"/>
      <c r="R12" s="5"/>
      <c r="S12" s="5"/>
      <c r="T12" s="5"/>
      <c r="U12" s="5"/>
      <c r="V12" s="5"/>
      <c r="W12" s="5"/>
    </row>
    <row r="13" spans="1:23" ht="16" x14ac:dyDescent="0.2">
      <c r="A13" s="18" t="s">
        <v>114</v>
      </c>
      <c r="B13" s="4">
        <v>0</v>
      </c>
      <c r="C13" s="15">
        <f>C$15*$E13/$E$15</f>
        <v>4.75</v>
      </c>
      <c r="D13" s="12">
        <f>D$15*$E13/$E$15</f>
        <v>14.25</v>
      </c>
      <c r="E13">
        <v>19</v>
      </c>
      <c r="F13" s="5"/>
      <c r="G13" s="5"/>
      <c r="H13" s="5"/>
      <c r="I13" s="5"/>
      <c r="J13" s="5"/>
      <c r="K13" s="5"/>
      <c r="L13" s="5"/>
      <c r="M13" s="5"/>
      <c r="N13" s="5"/>
      <c r="O13" s="5"/>
      <c r="P13" s="5"/>
      <c r="Q13" s="5"/>
      <c r="R13" s="5"/>
      <c r="S13" s="5"/>
      <c r="T13" s="5"/>
      <c r="U13" s="5"/>
      <c r="V13" s="5"/>
      <c r="W13" s="5"/>
    </row>
    <row r="14" spans="1:23" ht="16" x14ac:dyDescent="0.2">
      <c r="B14" s="4">
        <v>1</v>
      </c>
      <c r="C14" s="12">
        <f>C$15*$E14/$E$15</f>
        <v>15.25</v>
      </c>
      <c r="D14" s="15">
        <f>D$15*$E14/$E$15</f>
        <v>45.75</v>
      </c>
      <c r="E14">
        <v>61</v>
      </c>
      <c r="F14" s="5"/>
      <c r="G14" s="5"/>
      <c r="H14" s="5"/>
      <c r="I14" s="5"/>
      <c r="J14" s="5"/>
      <c r="K14" s="5"/>
      <c r="L14" s="5"/>
      <c r="M14" s="5"/>
      <c r="N14" s="5"/>
      <c r="O14" s="5"/>
      <c r="P14" s="5"/>
      <c r="Q14" s="5"/>
      <c r="R14" s="5"/>
      <c r="S14" s="5"/>
      <c r="T14" s="5"/>
      <c r="U14" s="5"/>
      <c r="V14" s="5"/>
      <c r="W14" s="5"/>
    </row>
    <row r="15" spans="1:23" ht="16" x14ac:dyDescent="0.2">
      <c r="A15" s="17" t="s">
        <v>113</v>
      </c>
      <c r="C15">
        <v>20</v>
      </c>
      <c r="D15">
        <v>60</v>
      </c>
      <c r="E15" s="6">
        <v>80</v>
      </c>
      <c r="F15" s="5"/>
      <c r="G15" s="5"/>
      <c r="H15" s="5"/>
      <c r="I15" s="5"/>
      <c r="J15" s="5"/>
      <c r="K15" s="5"/>
      <c r="L15" s="5"/>
      <c r="M15" s="5"/>
      <c r="N15" s="5"/>
      <c r="O15" s="5"/>
      <c r="P15" s="5"/>
      <c r="Q15" s="5"/>
      <c r="R15" s="5"/>
      <c r="S15" s="5"/>
      <c r="T15" s="5"/>
      <c r="U15" s="5"/>
      <c r="V15" s="5"/>
      <c r="W15" s="5"/>
    </row>
    <row r="16" spans="1:23" ht="16" x14ac:dyDescent="0.2">
      <c r="A16" s="5"/>
      <c r="B16" s="6"/>
      <c r="C16" s="6"/>
      <c r="D16" s="6"/>
      <c r="E16" s="6"/>
      <c r="F16" s="5"/>
      <c r="G16" s="5"/>
      <c r="H16" s="5"/>
      <c r="I16" s="5"/>
      <c r="J16" s="5"/>
      <c r="K16" s="5"/>
      <c r="L16" s="5"/>
      <c r="M16" s="5"/>
      <c r="N16" s="5"/>
      <c r="O16" s="5"/>
      <c r="P16" s="5"/>
      <c r="Q16" s="5"/>
      <c r="R16" s="5"/>
      <c r="S16" s="5"/>
      <c r="T16" s="5"/>
      <c r="U16" s="5"/>
      <c r="V16" s="5"/>
      <c r="W16" s="5"/>
    </row>
    <row r="17" spans="1:23" ht="16" x14ac:dyDescent="0.2">
      <c r="A17" s="10" t="s">
        <v>112</v>
      </c>
      <c r="B17" s="9"/>
      <c r="C17" s="9"/>
      <c r="D17" s="9"/>
      <c r="E17" s="9"/>
      <c r="F17" s="5"/>
      <c r="G17" s="5"/>
      <c r="H17" s="5"/>
      <c r="I17" s="5"/>
      <c r="J17" s="5"/>
      <c r="K17" s="5"/>
      <c r="L17" s="5"/>
      <c r="M17" s="5"/>
      <c r="N17" s="5"/>
      <c r="O17" s="5"/>
      <c r="P17" s="5"/>
      <c r="Q17" s="5"/>
      <c r="R17" s="5"/>
      <c r="S17" s="5"/>
      <c r="T17" s="5"/>
      <c r="U17" s="5"/>
      <c r="V17" s="5"/>
      <c r="W17" s="5"/>
    </row>
    <row r="18" spans="1:23" ht="16" x14ac:dyDescent="0.2">
      <c r="B18" s="6"/>
      <c r="C18" s="6"/>
      <c r="D18" s="6"/>
      <c r="E18" s="6"/>
      <c r="F18" s="5"/>
      <c r="G18" s="5"/>
      <c r="H18" s="5"/>
      <c r="I18" s="5"/>
      <c r="J18" s="5"/>
      <c r="K18" s="5"/>
      <c r="L18" s="5"/>
      <c r="M18" s="5"/>
      <c r="N18" s="5"/>
      <c r="O18" s="5"/>
      <c r="P18" s="5"/>
      <c r="Q18" s="5"/>
      <c r="R18" s="5"/>
      <c r="S18" s="5"/>
      <c r="T18" s="5"/>
      <c r="U18" s="5"/>
      <c r="V18" s="5"/>
      <c r="W18" s="5"/>
    </row>
    <row r="19" spans="1:23" ht="16" x14ac:dyDescent="0.2">
      <c r="B19" s="6" t="s">
        <v>111</v>
      </c>
      <c r="C19" s="6" t="s">
        <v>110</v>
      </c>
      <c r="D19" s="6"/>
      <c r="E19" s="6"/>
      <c r="F19" s="5"/>
      <c r="G19" s="5"/>
      <c r="H19" s="5"/>
      <c r="I19" s="5"/>
      <c r="J19" s="5"/>
      <c r="K19" s="5"/>
      <c r="L19" s="5"/>
      <c r="M19" s="5"/>
      <c r="N19" s="5"/>
      <c r="O19" s="5"/>
      <c r="P19" s="5"/>
      <c r="Q19" s="5"/>
      <c r="R19" s="5"/>
      <c r="S19" s="5"/>
      <c r="T19" s="5"/>
      <c r="U19" s="5"/>
      <c r="V19" s="5"/>
      <c r="W19" s="5"/>
    </row>
    <row r="20" spans="1:23" ht="16" x14ac:dyDescent="0.2">
      <c r="A20" s="5" t="s">
        <v>109</v>
      </c>
      <c r="B20" s="6">
        <f>SUM(C5,D6)</f>
        <v>79</v>
      </c>
      <c r="C20" s="16">
        <f>B20/B22</f>
        <v>0.98750000000000004</v>
      </c>
      <c r="D20" s="6"/>
      <c r="E20" s="6"/>
      <c r="F20" s="5"/>
      <c r="G20" s="5"/>
      <c r="H20" s="5"/>
      <c r="I20" s="5"/>
      <c r="J20" s="5"/>
      <c r="K20" s="5"/>
      <c r="L20" s="5"/>
      <c r="M20" s="5"/>
      <c r="N20" s="5"/>
      <c r="O20" s="5"/>
      <c r="P20" s="5"/>
      <c r="Q20" s="5"/>
      <c r="R20" s="5"/>
      <c r="S20" s="5"/>
      <c r="T20" s="5"/>
      <c r="U20" s="5"/>
      <c r="V20" s="5"/>
      <c r="W20" s="5"/>
    </row>
    <row r="21" spans="1:23" ht="16" x14ac:dyDescent="0.2">
      <c r="A21" s="5" t="s">
        <v>108</v>
      </c>
      <c r="B21" s="6">
        <f>SUM(C13,D14)</f>
        <v>50.5</v>
      </c>
      <c r="C21" s="16">
        <f>B21/B22</f>
        <v>0.63124999999999998</v>
      </c>
      <c r="D21" s="6"/>
      <c r="E21" s="6"/>
      <c r="F21" s="5"/>
      <c r="G21" s="5"/>
      <c r="H21" s="5"/>
      <c r="I21" s="5"/>
      <c r="J21" s="5"/>
      <c r="K21" s="5"/>
      <c r="L21" s="5"/>
      <c r="M21" s="5"/>
      <c r="N21" s="5"/>
      <c r="O21" s="5"/>
      <c r="P21" s="5"/>
      <c r="Q21" s="5"/>
      <c r="R21" s="5"/>
      <c r="S21" s="5"/>
      <c r="T21" s="5"/>
      <c r="U21" s="5"/>
      <c r="V21" s="5"/>
      <c r="W21" s="5"/>
    </row>
    <row r="22" spans="1:23" ht="16" x14ac:dyDescent="0.2">
      <c r="A22" s="5" t="s">
        <v>107</v>
      </c>
      <c r="B22" s="6">
        <f>E15</f>
        <v>80</v>
      </c>
      <c r="C22" s="16">
        <v>1</v>
      </c>
      <c r="D22" s="6"/>
      <c r="E22" s="15" t="s">
        <v>106</v>
      </c>
      <c r="F22" s="5"/>
      <c r="G22" s="5"/>
      <c r="H22" s="5"/>
      <c r="I22" s="5"/>
      <c r="J22" s="5"/>
      <c r="K22" s="5"/>
      <c r="L22" s="5"/>
      <c r="M22" s="5"/>
      <c r="N22" s="5"/>
      <c r="O22" s="5"/>
      <c r="P22" s="5"/>
      <c r="Q22" s="5"/>
      <c r="R22" s="5"/>
      <c r="S22" s="5"/>
      <c r="T22" s="5"/>
      <c r="U22" s="5"/>
      <c r="V22" s="5"/>
      <c r="W22" s="5"/>
    </row>
    <row r="23" spans="1:23" ht="16" x14ac:dyDescent="0.2">
      <c r="A23" s="11" t="s">
        <v>105</v>
      </c>
      <c r="B23" s="14">
        <f>(B20-B21)/(B22-B21)</f>
        <v>0.96610169491525422</v>
      </c>
      <c r="C23" s="14">
        <f>(C20-C21)/(C22-C21)</f>
        <v>0.96610169491525433</v>
      </c>
      <c r="D23" s="13"/>
      <c r="E23" s="12" t="s">
        <v>104</v>
      </c>
      <c r="F23" s="11"/>
      <c r="G23" s="11"/>
      <c r="H23" s="11"/>
      <c r="I23" s="11"/>
      <c r="J23" s="11"/>
      <c r="K23" s="11"/>
      <c r="L23" s="11"/>
      <c r="M23" s="11"/>
      <c r="N23" s="11"/>
      <c r="O23" s="11"/>
      <c r="P23" s="11"/>
      <c r="Q23" s="11"/>
      <c r="R23" s="11"/>
      <c r="S23" s="11"/>
      <c r="T23" s="11"/>
      <c r="U23" s="11"/>
      <c r="V23" s="11"/>
      <c r="W23" s="11"/>
    </row>
    <row r="24" spans="1:23" ht="16" x14ac:dyDescent="0.2">
      <c r="A24" s="5"/>
      <c r="B24" s="6"/>
      <c r="C24" s="6"/>
      <c r="D24" s="6"/>
      <c r="E24" s="6"/>
      <c r="F24" s="5"/>
      <c r="G24" s="5"/>
      <c r="H24" s="5"/>
      <c r="I24" s="5"/>
      <c r="J24" s="5"/>
      <c r="K24" s="5"/>
      <c r="L24" s="5"/>
      <c r="M24" s="5"/>
      <c r="N24" s="5"/>
      <c r="O24" s="5"/>
      <c r="P24" s="5"/>
      <c r="Q24" s="5"/>
      <c r="R24" s="5"/>
      <c r="S24" s="5"/>
      <c r="T24" s="5"/>
      <c r="U24" s="5"/>
      <c r="V24" s="5"/>
      <c r="W24" s="5"/>
    </row>
    <row r="25" spans="1:23" ht="16" x14ac:dyDescent="0.2">
      <c r="A25" s="10"/>
      <c r="B25" s="9"/>
      <c r="C25" s="9"/>
      <c r="D25" s="9"/>
      <c r="E25" s="9"/>
      <c r="F25" s="5"/>
      <c r="G25" s="5"/>
      <c r="H25" s="5"/>
      <c r="I25" s="5"/>
      <c r="J25" s="5"/>
      <c r="K25" s="5"/>
      <c r="L25" s="5"/>
      <c r="M25" s="5"/>
      <c r="N25" s="5"/>
      <c r="O25" s="5"/>
      <c r="P25" s="5"/>
      <c r="Q25" s="5"/>
      <c r="R25" s="5"/>
      <c r="S25" s="5"/>
      <c r="T25" s="5"/>
      <c r="U25" s="5"/>
      <c r="V25" s="5"/>
      <c r="W25" s="5"/>
    </row>
    <row r="26" spans="1:23" ht="16" x14ac:dyDescent="0.2">
      <c r="A26" s="5"/>
      <c r="B26" s="6"/>
      <c r="C26" s="6"/>
      <c r="D26" s="6"/>
      <c r="E26" s="6"/>
      <c r="F26" s="5"/>
      <c r="G26" s="5"/>
      <c r="H26" s="5"/>
      <c r="I26" s="5"/>
      <c r="J26" s="5"/>
      <c r="K26" s="5"/>
      <c r="L26" s="5"/>
      <c r="M26" s="5"/>
      <c r="N26" s="5"/>
      <c r="O26" s="5"/>
      <c r="P26" s="5"/>
      <c r="Q26" s="5"/>
      <c r="R26" s="5"/>
      <c r="S26" s="5"/>
      <c r="T26" s="5"/>
      <c r="U26" s="5"/>
      <c r="V26" s="5"/>
      <c r="W26" s="5"/>
    </row>
    <row r="27" spans="1:23" ht="16" x14ac:dyDescent="0.2">
      <c r="A27" s="5"/>
      <c r="B27" s="6"/>
      <c r="C27" s="6"/>
      <c r="D27" s="6"/>
      <c r="E27" s="6"/>
      <c r="F27" s="5"/>
      <c r="G27" s="5"/>
      <c r="H27" s="5"/>
      <c r="I27" s="5"/>
      <c r="J27" s="5"/>
      <c r="K27" s="5"/>
      <c r="L27" s="5"/>
      <c r="M27" s="5"/>
      <c r="N27" s="5"/>
      <c r="O27" s="5"/>
      <c r="P27" s="5"/>
      <c r="Q27" s="5"/>
      <c r="R27" s="5"/>
      <c r="S27" s="5"/>
      <c r="T27" s="5"/>
      <c r="U27" s="5"/>
      <c r="V27" s="5"/>
      <c r="W27" s="5"/>
    </row>
    <row r="28" spans="1:23" ht="16" x14ac:dyDescent="0.2">
      <c r="A28"/>
      <c r="B28"/>
      <c r="C28"/>
      <c r="D28"/>
      <c r="E28" s="6"/>
      <c r="F28" s="5"/>
      <c r="G28" s="5"/>
      <c r="H28" s="5"/>
      <c r="I28" s="5"/>
      <c r="J28" s="5"/>
      <c r="K28" s="5"/>
      <c r="L28" s="5"/>
      <c r="M28" s="5"/>
      <c r="N28" s="5"/>
      <c r="O28" s="5"/>
      <c r="P28" s="5"/>
      <c r="Q28" s="5"/>
      <c r="R28" s="5"/>
      <c r="S28" s="5"/>
      <c r="T28" s="5"/>
      <c r="U28" s="5"/>
      <c r="V28" s="5"/>
      <c r="W28" s="5"/>
    </row>
    <row r="29" spans="1:23" ht="16" x14ac:dyDescent="0.2">
      <c r="A29" s="8" t="s">
        <v>103</v>
      </c>
      <c r="B29" s="8" t="s">
        <v>102</v>
      </c>
      <c r="C29"/>
      <c r="D29"/>
      <c r="E29" s="6"/>
      <c r="F29" s="5"/>
      <c r="G29" s="5"/>
      <c r="H29" s="5"/>
      <c r="I29" s="5"/>
      <c r="J29" s="5"/>
      <c r="K29" s="5"/>
      <c r="L29" s="5"/>
      <c r="M29" s="5"/>
      <c r="N29" s="5"/>
      <c r="O29" s="5"/>
      <c r="P29" s="5"/>
      <c r="Q29" s="5"/>
      <c r="R29" s="5"/>
      <c r="S29" s="5"/>
      <c r="T29" s="5"/>
      <c r="U29" s="5"/>
      <c r="V29" s="5"/>
      <c r="W29" s="5"/>
    </row>
    <row r="30" spans="1:23" ht="16" x14ac:dyDescent="0.2">
      <c r="A30" s="8" t="s">
        <v>101</v>
      </c>
      <c r="B30">
        <v>0</v>
      </c>
      <c r="C30">
        <v>1</v>
      </c>
      <c r="D30" t="s">
        <v>100</v>
      </c>
      <c r="E30" s="6"/>
      <c r="F30" s="5"/>
      <c r="G30" s="5"/>
      <c r="H30" s="5"/>
      <c r="I30" s="5"/>
      <c r="J30" s="5"/>
      <c r="K30" s="5"/>
      <c r="L30" s="5"/>
      <c r="M30" s="5"/>
      <c r="N30" s="5"/>
      <c r="O30" s="5"/>
      <c r="P30" s="5"/>
      <c r="Q30" s="5"/>
      <c r="R30" s="5"/>
      <c r="S30" s="5"/>
      <c r="T30" s="5"/>
      <c r="U30" s="5"/>
      <c r="V30" s="5"/>
      <c r="W30" s="5"/>
    </row>
    <row r="31" spans="1:23" ht="16" x14ac:dyDescent="0.2">
      <c r="A31" s="7">
        <v>0</v>
      </c>
      <c r="B31" s="22">
        <v>19</v>
      </c>
      <c r="C31" s="22"/>
      <c r="D31" s="22">
        <v>19</v>
      </c>
      <c r="E31" s="6"/>
      <c r="F31" s="5"/>
      <c r="G31" s="5"/>
      <c r="H31" s="5"/>
      <c r="I31" s="5"/>
      <c r="J31" s="5"/>
      <c r="K31" s="5"/>
      <c r="L31" s="5"/>
      <c r="M31" s="5"/>
      <c r="N31" s="5"/>
      <c r="O31" s="5"/>
      <c r="P31" s="5"/>
      <c r="Q31" s="5"/>
      <c r="R31" s="5"/>
      <c r="S31" s="5"/>
      <c r="T31" s="5"/>
      <c r="U31" s="5"/>
      <c r="V31" s="5"/>
      <c r="W31" s="5"/>
    </row>
    <row r="32" spans="1:23" ht="16" x14ac:dyDescent="0.2">
      <c r="A32" s="7">
        <v>1</v>
      </c>
      <c r="B32" s="22">
        <v>1</v>
      </c>
      <c r="C32" s="22">
        <v>60</v>
      </c>
      <c r="D32" s="22">
        <v>61</v>
      </c>
      <c r="E32" s="6"/>
      <c r="F32" s="5"/>
      <c r="G32" s="5"/>
      <c r="H32" s="5"/>
      <c r="I32" s="5"/>
      <c r="J32" s="5"/>
      <c r="K32" s="5"/>
      <c r="L32" s="5"/>
      <c r="M32" s="5"/>
      <c r="N32" s="5"/>
      <c r="O32" s="5"/>
      <c r="P32" s="5"/>
      <c r="Q32" s="5"/>
      <c r="R32" s="5"/>
      <c r="S32" s="5"/>
      <c r="T32" s="5"/>
      <c r="U32" s="5"/>
      <c r="V32" s="5"/>
      <c r="W32" s="5"/>
    </row>
    <row r="33" spans="1:23" ht="16" x14ac:dyDescent="0.2">
      <c r="A33" s="7" t="s">
        <v>100</v>
      </c>
      <c r="B33" s="22">
        <v>20</v>
      </c>
      <c r="C33" s="22">
        <v>60</v>
      </c>
      <c r="D33" s="22">
        <v>80</v>
      </c>
      <c r="E33" s="6"/>
      <c r="F33" s="5"/>
      <c r="G33" s="5"/>
      <c r="H33" s="5"/>
      <c r="I33" s="5"/>
      <c r="J33" s="5"/>
      <c r="K33" s="5"/>
      <c r="L33" s="5"/>
      <c r="M33" s="5"/>
      <c r="N33" s="5"/>
      <c r="O33" s="5"/>
      <c r="P33" s="5"/>
      <c r="Q33" s="5"/>
      <c r="R33" s="5"/>
      <c r="S33" s="5"/>
      <c r="T33" s="5"/>
      <c r="U33" s="5"/>
      <c r="V33" s="5"/>
      <c r="W33" s="5"/>
    </row>
    <row r="34" spans="1:23" ht="16" x14ac:dyDescent="0.2">
      <c r="A34"/>
      <c r="B34"/>
      <c r="C34"/>
      <c r="D34"/>
      <c r="E34" s="6"/>
      <c r="F34" s="5"/>
      <c r="G34" s="5"/>
      <c r="H34" s="5"/>
      <c r="I34" s="5"/>
      <c r="J34" s="5"/>
      <c r="K34" s="5"/>
      <c r="L34" s="5"/>
      <c r="M34" s="5"/>
      <c r="N34" s="5"/>
      <c r="O34" s="5"/>
      <c r="P34" s="5"/>
      <c r="Q34" s="5"/>
      <c r="R34" s="5"/>
      <c r="S34" s="5"/>
      <c r="T34" s="5"/>
      <c r="U34" s="5"/>
      <c r="V34" s="5"/>
      <c r="W34" s="5"/>
    </row>
    <row r="35" spans="1:23" ht="16" x14ac:dyDescent="0.2">
      <c r="A35"/>
      <c r="B35"/>
      <c r="C35"/>
      <c r="D35"/>
      <c r="E35" s="6"/>
      <c r="F35" s="5"/>
      <c r="G35" s="5"/>
      <c r="H35" s="5"/>
      <c r="I35" s="5"/>
      <c r="J35" s="5"/>
      <c r="K35" s="5"/>
      <c r="L35" s="5"/>
      <c r="M35" s="5"/>
      <c r="N35" s="5"/>
      <c r="O35" s="5"/>
      <c r="P35" s="5"/>
      <c r="Q35" s="5"/>
      <c r="R35" s="5"/>
      <c r="S35" s="5"/>
      <c r="T35" s="5"/>
      <c r="U35" s="5"/>
      <c r="V35" s="5"/>
      <c r="W35" s="5"/>
    </row>
    <row r="36" spans="1:23" ht="16" x14ac:dyDescent="0.2">
      <c r="A36" t="s">
        <v>101</v>
      </c>
      <c r="B36">
        <v>0</v>
      </c>
      <c r="C36">
        <v>1</v>
      </c>
      <c r="D36" t="s">
        <v>100</v>
      </c>
      <c r="E36" s="6"/>
      <c r="F36" s="5"/>
      <c r="G36" s="5"/>
      <c r="H36" s="5"/>
      <c r="I36" s="5"/>
      <c r="J36" s="5"/>
      <c r="K36" s="5"/>
      <c r="L36" s="5"/>
      <c r="M36" s="5"/>
      <c r="N36" s="5"/>
      <c r="O36" s="5"/>
      <c r="P36" s="5"/>
      <c r="Q36" s="5"/>
      <c r="R36" s="5"/>
      <c r="S36" s="5"/>
      <c r="T36" s="5"/>
      <c r="U36" s="5"/>
      <c r="V36" s="5"/>
      <c r="W36" s="5"/>
    </row>
    <row r="37" spans="1:23" ht="16" x14ac:dyDescent="0.2">
      <c r="A37">
        <v>0</v>
      </c>
      <c r="B37">
        <v>19</v>
      </c>
      <c r="C37"/>
      <c r="D37">
        <v>19</v>
      </c>
      <c r="E37" s="6"/>
      <c r="F37" s="5"/>
      <c r="G37" s="5"/>
      <c r="H37" s="5"/>
      <c r="I37" s="5"/>
      <c r="J37" s="5"/>
      <c r="K37" s="5"/>
      <c r="L37" s="5"/>
      <c r="M37" s="5"/>
      <c r="N37" s="5"/>
      <c r="O37" s="5"/>
      <c r="P37" s="5"/>
      <c r="Q37" s="5"/>
      <c r="R37" s="5"/>
      <c r="S37" s="5"/>
      <c r="T37" s="5"/>
      <c r="U37" s="5"/>
      <c r="V37" s="5"/>
      <c r="W37" s="5"/>
    </row>
    <row r="38" spans="1:23" ht="16" x14ac:dyDescent="0.2">
      <c r="A38">
        <v>1</v>
      </c>
      <c r="B38">
        <v>1</v>
      </c>
      <c r="C38">
        <v>60</v>
      </c>
      <c r="D38">
        <v>61</v>
      </c>
      <c r="E38" s="6"/>
      <c r="F38" s="5"/>
      <c r="G38" s="5"/>
      <c r="H38" s="5"/>
      <c r="I38" s="5"/>
      <c r="J38" s="5"/>
      <c r="K38" s="5"/>
      <c r="L38" s="5"/>
      <c r="M38" s="5"/>
      <c r="N38" s="5"/>
      <c r="O38" s="5"/>
      <c r="P38" s="5"/>
      <c r="Q38" s="5"/>
      <c r="R38" s="5"/>
      <c r="S38" s="5"/>
      <c r="T38" s="5"/>
      <c r="U38" s="5"/>
      <c r="V38" s="5"/>
      <c r="W38" s="5"/>
    </row>
    <row r="39" spans="1:23" ht="16" x14ac:dyDescent="0.2">
      <c r="A39" t="s">
        <v>100</v>
      </c>
      <c r="B39">
        <v>20</v>
      </c>
      <c r="C39">
        <v>60</v>
      </c>
      <c r="D39" s="6">
        <v>80</v>
      </c>
      <c r="E39" s="6"/>
      <c r="F39" s="5"/>
      <c r="G39" s="5"/>
      <c r="H39" s="5"/>
      <c r="I39" s="5"/>
      <c r="J39" s="5"/>
      <c r="K39" s="5"/>
      <c r="L39" s="5"/>
      <c r="M39" s="5"/>
      <c r="N39" s="5"/>
      <c r="O39" s="5"/>
      <c r="P39" s="5"/>
      <c r="Q39" s="5"/>
      <c r="R39" s="5"/>
      <c r="S39" s="5"/>
      <c r="T39" s="5"/>
      <c r="U39" s="5"/>
      <c r="V39" s="5"/>
      <c r="W39" s="5"/>
    </row>
    <row r="40" spans="1:23" ht="16" x14ac:dyDescent="0.2">
      <c r="A40"/>
      <c r="B40"/>
      <c r="C40"/>
      <c r="D40" s="6"/>
      <c r="E40" s="6"/>
      <c r="F40" s="5"/>
      <c r="G40" s="5"/>
      <c r="H40" s="5"/>
      <c r="I40" s="5"/>
      <c r="J40" s="5"/>
      <c r="K40" s="5"/>
      <c r="L40" s="5"/>
      <c r="M40" s="5"/>
      <c r="N40" s="5"/>
      <c r="O40" s="5"/>
      <c r="P40" s="5"/>
      <c r="Q40" s="5"/>
      <c r="R40" s="5"/>
      <c r="S40" s="5"/>
      <c r="T40" s="5"/>
      <c r="U40" s="5"/>
      <c r="V40" s="5"/>
      <c r="W40" s="5"/>
    </row>
    <row r="41" spans="1:23" ht="16" x14ac:dyDescent="0.2">
      <c r="A41"/>
      <c r="B41"/>
      <c r="C41"/>
      <c r="D41" s="6"/>
      <c r="E41" s="6"/>
      <c r="F41" s="5"/>
      <c r="G41" s="5"/>
      <c r="H41" s="5"/>
      <c r="I41" s="5"/>
      <c r="J41" s="5"/>
      <c r="K41" s="5"/>
      <c r="L41" s="5"/>
      <c r="M41" s="5"/>
      <c r="N41" s="5"/>
      <c r="O41" s="5"/>
      <c r="P41" s="5"/>
      <c r="Q41" s="5"/>
      <c r="R41" s="5"/>
      <c r="S41" s="5"/>
      <c r="T41" s="5"/>
      <c r="U41" s="5"/>
      <c r="V41" s="5"/>
      <c r="W41" s="5"/>
    </row>
    <row r="42" spans="1:23" ht="16" x14ac:dyDescent="0.2">
      <c r="A42"/>
      <c r="B42"/>
      <c r="C42"/>
      <c r="D42" s="6"/>
      <c r="E42" s="6"/>
      <c r="F42" s="5"/>
      <c r="G42" s="5"/>
      <c r="H42" s="5"/>
      <c r="I42" s="5"/>
      <c r="J42" s="5"/>
      <c r="K42" s="5"/>
      <c r="L42" s="5"/>
      <c r="M42" s="5"/>
      <c r="N42" s="5"/>
      <c r="O42" s="5"/>
      <c r="P42" s="5"/>
      <c r="Q42" s="5"/>
      <c r="R42" s="5"/>
      <c r="S42" s="5"/>
      <c r="T42" s="5"/>
      <c r="U42" s="5"/>
      <c r="V42" s="5"/>
      <c r="W42" s="5"/>
    </row>
    <row r="43" spans="1:23" ht="16" x14ac:dyDescent="0.2">
      <c r="A43"/>
      <c r="B43"/>
      <c r="C43"/>
      <c r="D43" s="6"/>
      <c r="E43" s="6"/>
      <c r="F43" s="5"/>
      <c r="G43" s="5"/>
      <c r="H43" s="5"/>
      <c r="I43" s="5"/>
      <c r="J43" s="5"/>
      <c r="K43" s="5"/>
      <c r="L43" s="5"/>
      <c r="M43" s="5"/>
      <c r="N43" s="5"/>
      <c r="O43" s="5"/>
      <c r="P43" s="5"/>
      <c r="Q43" s="5"/>
      <c r="R43" s="5"/>
      <c r="S43" s="5"/>
      <c r="T43" s="5"/>
      <c r="U43" s="5"/>
      <c r="V43" s="5"/>
      <c r="W43" s="5"/>
    </row>
    <row r="44" spans="1:23" ht="16" x14ac:dyDescent="0.2">
      <c r="A44"/>
      <c r="B44"/>
      <c r="C44"/>
      <c r="D44" s="6"/>
      <c r="E44" s="6"/>
      <c r="F44" s="5"/>
      <c r="G44" s="5"/>
      <c r="H44" s="5"/>
      <c r="I44" s="5"/>
      <c r="J44" s="5"/>
      <c r="K44" s="5"/>
      <c r="L44" s="5"/>
      <c r="M44" s="5"/>
      <c r="N44" s="5"/>
      <c r="O44" s="5"/>
      <c r="P44" s="5"/>
      <c r="Q44" s="5"/>
      <c r="R44" s="5"/>
      <c r="S44" s="5"/>
      <c r="T44" s="5"/>
      <c r="U44" s="5"/>
      <c r="V44" s="5"/>
      <c r="W44" s="5"/>
    </row>
    <row r="45" spans="1:23" ht="16" x14ac:dyDescent="0.2">
      <c r="A45"/>
      <c r="B45"/>
      <c r="C45"/>
      <c r="D45" s="6"/>
      <c r="E45" s="6"/>
      <c r="F45" s="5"/>
      <c r="G45" s="5"/>
      <c r="H45" s="5"/>
      <c r="I45" s="5"/>
      <c r="J45" s="5"/>
      <c r="K45" s="5"/>
      <c r="L45" s="5"/>
      <c r="M45" s="5"/>
      <c r="N45" s="5"/>
      <c r="O45" s="5"/>
      <c r="P45" s="5"/>
      <c r="Q45" s="5"/>
      <c r="R45" s="5"/>
      <c r="S45" s="5"/>
      <c r="T45" s="5"/>
      <c r="U45" s="5"/>
      <c r="V45" s="5"/>
      <c r="W45" s="5"/>
    </row>
    <row r="46" spans="1:23" ht="16" x14ac:dyDescent="0.2">
      <c r="A46"/>
      <c r="B46"/>
      <c r="C46"/>
      <c r="D46" s="6"/>
      <c r="E46" s="6"/>
      <c r="F46" s="5"/>
      <c r="G46" s="5"/>
      <c r="H46" s="5"/>
      <c r="I46" s="5"/>
      <c r="J46" s="5"/>
      <c r="K46" s="5"/>
      <c r="L46" s="5"/>
      <c r="M46" s="5"/>
      <c r="N46" s="5"/>
      <c r="O46" s="5"/>
      <c r="P46" s="5"/>
      <c r="Q46" s="5"/>
      <c r="R46" s="5"/>
      <c r="S46" s="5"/>
      <c r="T46" s="5"/>
      <c r="U46" s="5"/>
      <c r="V46" s="5"/>
      <c r="W46" s="5"/>
    </row>
    <row r="47" spans="1:23" ht="16" x14ac:dyDescent="0.2">
      <c r="A47" s="5"/>
      <c r="B47" s="6"/>
      <c r="C47" s="6"/>
      <c r="D47" s="6"/>
      <c r="E47" s="6"/>
      <c r="F47" s="5"/>
      <c r="G47" s="5"/>
      <c r="H47" s="5"/>
      <c r="I47" s="5"/>
      <c r="J47" s="5"/>
      <c r="K47" s="5"/>
      <c r="L47" s="5"/>
      <c r="M47" s="5"/>
      <c r="N47" s="5"/>
      <c r="O47" s="5"/>
      <c r="P47" s="5"/>
      <c r="Q47" s="5"/>
      <c r="R47" s="5"/>
      <c r="S47" s="5"/>
      <c r="T47" s="5"/>
      <c r="U47" s="5"/>
      <c r="V47" s="5"/>
      <c r="W47" s="5"/>
    </row>
    <row r="48" spans="1:23" ht="16" x14ac:dyDescent="0.2">
      <c r="A48" s="5"/>
      <c r="B48" s="6"/>
      <c r="C48" s="6"/>
      <c r="D48" s="6"/>
      <c r="E48" s="6"/>
      <c r="F48" s="5"/>
      <c r="G48" s="5"/>
      <c r="H48" s="5"/>
      <c r="I48" s="5"/>
      <c r="J48" s="5"/>
      <c r="K48" s="5"/>
      <c r="L48" s="5"/>
      <c r="M48" s="5"/>
      <c r="N48" s="5"/>
      <c r="O48" s="5"/>
      <c r="P48" s="5"/>
      <c r="Q48" s="5"/>
      <c r="R48" s="5"/>
      <c r="S48" s="5"/>
      <c r="T48" s="5"/>
      <c r="U48" s="5"/>
      <c r="V48" s="5"/>
      <c r="W48" s="5"/>
    </row>
    <row r="49" spans="1:23" ht="16" x14ac:dyDescent="0.2">
      <c r="A49" s="5"/>
      <c r="B49" s="6"/>
      <c r="C49" s="6"/>
      <c r="D49" s="6"/>
      <c r="E49" s="6"/>
      <c r="F49" s="5"/>
      <c r="G49" s="5"/>
      <c r="H49" s="5"/>
      <c r="I49" s="5"/>
      <c r="J49" s="5"/>
      <c r="K49" s="5"/>
      <c r="L49" s="5"/>
      <c r="M49" s="5"/>
      <c r="N49" s="5"/>
      <c r="O49" s="5"/>
      <c r="P49" s="5"/>
      <c r="Q49" s="5"/>
      <c r="R49" s="5"/>
      <c r="S49" s="5"/>
      <c r="T49" s="5"/>
      <c r="U49" s="5"/>
      <c r="V49" s="5"/>
      <c r="W49" s="5"/>
    </row>
    <row r="50" spans="1:23" ht="16" x14ac:dyDescent="0.2">
      <c r="A50" s="5"/>
      <c r="B50" s="6"/>
      <c r="C50" s="6"/>
      <c r="D50" s="6"/>
      <c r="E50" s="6"/>
      <c r="F50" s="5"/>
      <c r="G50" s="5"/>
      <c r="H50" s="5"/>
      <c r="I50" s="5"/>
      <c r="J50" s="5"/>
      <c r="K50" s="5"/>
      <c r="L50" s="5"/>
      <c r="M50" s="5"/>
      <c r="N50" s="5"/>
      <c r="O50" s="5"/>
      <c r="P50" s="5"/>
      <c r="Q50" s="5"/>
      <c r="R50" s="5"/>
      <c r="S50" s="5"/>
      <c r="T50" s="5"/>
      <c r="U50" s="5"/>
      <c r="V50" s="5"/>
      <c r="W50" s="5"/>
    </row>
    <row r="51" spans="1:23" ht="16" x14ac:dyDescent="0.2">
      <c r="A51" s="5"/>
      <c r="B51" s="6"/>
      <c r="C51" s="6"/>
      <c r="D51" s="6"/>
      <c r="E51" s="6"/>
      <c r="F51" s="5"/>
      <c r="G51" s="5"/>
      <c r="H51" s="5"/>
      <c r="I51" s="5"/>
      <c r="J51" s="5"/>
      <c r="K51" s="5"/>
      <c r="L51" s="5"/>
      <c r="M51" s="5"/>
      <c r="N51" s="5"/>
      <c r="O51" s="5"/>
      <c r="P51" s="5"/>
      <c r="Q51" s="5"/>
      <c r="R51" s="5"/>
      <c r="S51" s="5"/>
      <c r="T51" s="5"/>
      <c r="U51" s="5"/>
      <c r="V51" s="5"/>
      <c r="W51" s="5"/>
    </row>
    <row r="52" spans="1:23" ht="16" x14ac:dyDescent="0.2">
      <c r="A52" s="5"/>
      <c r="B52" s="6"/>
      <c r="C52" s="6"/>
      <c r="D52" s="6"/>
      <c r="E52" s="6"/>
      <c r="F52" s="5"/>
      <c r="G52" s="5"/>
      <c r="H52" s="5"/>
      <c r="I52" s="5"/>
      <c r="J52" s="5"/>
      <c r="K52" s="5"/>
      <c r="L52" s="5"/>
      <c r="M52" s="5"/>
      <c r="N52" s="5"/>
      <c r="O52" s="5"/>
      <c r="P52" s="5"/>
      <c r="Q52" s="5"/>
      <c r="R52" s="5"/>
      <c r="S52" s="5"/>
      <c r="T52" s="5"/>
      <c r="U52" s="5"/>
      <c r="V52" s="5"/>
      <c r="W52" s="5"/>
    </row>
    <row r="53" spans="1:23" ht="16" x14ac:dyDescent="0.2">
      <c r="A53" s="5"/>
      <c r="B53" s="6"/>
      <c r="C53" s="6"/>
      <c r="D53" s="6"/>
      <c r="E53" s="6"/>
      <c r="F53" s="5"/>
      <c r="G53" s="5"/>
      <c r="H53" s="5"/>
      <c r="I53" s="5"/>
      <c r="J53" s="5"/>
      <c r="K53" s="5"/>
      <c r="L53" s="5"/>
      <c r="M53" s="5"/>
      <c r="N53" s="5"/>
      <c r="O53" s="5"/>
      <c r="P53" s="5"/>
      <c r="Q53" s="5"/>
      <c r="R53" s="5"/>
      <c r="S53" s="5"/>
      <c r="T53" s="5"/>
      <c r="U53" s="5"/>
      <c r="V53" s="5"/>
      <c r="W53" s="5"/>
    </row>
    <row r="54" spans="1:23" ht="16" x14ac:dyDescent="0.2">
      <c r="A54" s="5"/>
      <c r="B54" s="6"/>
      <c r="C54" s="6"/>
      <c r="D54" s="6"/>
      <c r="E54" s="6"/>
      <c r="F54" s="5"/>
      <c r="G54" s="5"/>
      <c r="H54" s="5"/>
      <c r="I54" s="5"/>
      <c r="J54" s="5"/>
      <c r="K54" s="5"/>
      <c r="L54" s="5"/>
      <c r="M54" s="5"/>
      <c r="N54" s="5"/>
      <c r="O54" s="5"/>
      <c r="P54" s="5"/>
      <c r="Q54" s="5"/>
      <c r="R54" s="5"/>
      <c r="S54" s="5"/>
      <c r="T54" s="5"/>
      <c r="U54" s="5"/>
      <c r="V54" s="5"/>
      <c r="W54" s="5"/>
    </row>
    <row r="55" spans="1:23" ht="16" x14ac:dyDescent="0.2">
      <c r="A55" s="5"/>
      <c r="B55" s="6"/>
      <c r="C55" s="6"/>
      <c r="D55" s="6"/>
      <c r="E55" s="6"/>
      <c r="F55" s="5"/>
      <c r="G55" s="5"/>
      <c r="H55" s="5"/>
      <c r="I55" s="5"/>
      <c r="J55" s="5"/>
      <c r="K55" s="5"/>
      <c r="L55" s="5"/>
      <c r="M55" s="5"/>
      <c r="N55" s="5"/>
      <c r="O55" s="5"/>
      <c r="P55" s="5"/>
      <c r="Q55" s="5"/>
      <c r="R55" s="5"/>
      <c r="S55" s="5"/>
      <c r="T55" s="5"/>
      <c r="U55" s="5"/>
      <c r="V55" s="5"/>
      <c r="W55" s="5"/>
    </row>
    <row r="56" spans="1:23" ht="16" x14ac:dyDescent="0.2">
      <c r="A56" s="5"/>
      <c r="B56" s="6"/>
      <c r="C56" s="6"/>
      <c r="D56" s="6"/>
      <c r="E56" s="6"/>
      <c r="F56" s="5"/>
      <c r="G56" s="5"/>
      <c r="H56" s="5"/>
      <c r="I56" s="5"/>
      <c r="J56" s="5"/>
      <c r="K56" s="5"/>
      <c r="L56" s="5"/>
      <c r="M56" s="5"/>
      <c r="N56" s="5"/>
      <c r="O56" s="5"/>
      <c r="P56" s="5"/>
      <c r="Q56" s="5"/>
      <c r="R56" s="5"/>
      <c r="S56" s="5"/>
      <c r="T56" s="5"/>
      <c r="U56" s="5"/>
      <c r="V56" s="5"/>
      <c r="W56" s="5"/>
    </row>
    <row r="57" spans="1:23" ht="16" x14ac:dyDescent="0.2">
      <c r="A57" s="5"/>
      <c r="B57" s="6"/>
      <c r="C57" s="6"/>
      <c r="D57" s="6"/>
      <c r="E57" s="6"/>
      <c r="F57" s="5"/>
      <c r="G57" s="5"/>
      <c r="H57" s="5"/>
      <c r="I57" s="5"/>
      <c r="J57" s="5"/>
      <c r="K57" s="5"/>
      <c r="L57" s="5"/>
      <c r="M57" s="5"/>
      <c r="N57" s="5"/>
      <c r="O57" s="5"/>
      <c r="P57" s="5"/>
      <c r="Q57" s="5"/>
      <c r="R57" s="5"/>
      <c r="S57" s="5"/>
      <c r="T57" s="5"/>
      <c r="U57" s="5"/>
      <c r="V57" s="5"/>
      <c r="W57" s="5"/>
    </row>
    <row r="58" spans="1:23" ht="16" x14ac:dyDescent="0.2">
      <c r="A58" s="5"/>
      <c r="B58" s="6"/>
      <c r="C58" s="6"/>
      <c r="D58" s="6"/>
      <c r="E58" s="6"/>
      <c r="F58" s="5"/>
      <c r="G58" s="5"/>
      <c r="H58" s="5"/>
      <c r="I58" s="5"/>
      <c r="J58" s="5"/>
      <c r="K58" s="5"/>
      <c r="L58" s="5"/>
      <c r="M58" s="5"/>
      <c r="N58" s="5"/>
      <c r="O58" s="5"/>
      <c r="P58" s="5"/>
      <c r="Q58" s="5"/>
      <c r="R58" s="5"/>
      <c r="S58" s="5"/>
      <c r="T58" s="5"/>
      <c r="U58" s="5"/>
      <c r="V58" s="5"/>
      <c r="W58" s="5"/>
    </row>
    <row r="59" spans="1:23" ht="16" x14ac:dyDescent="0.2">
      <c r="A59" s="5"/>
      <c r="B59" s="6"/>
      <c r="C59" s="6"/>
      <c r="D59" s="6"/>
      <c r="E59" s="6"/>
      <c r="F59" s="5"/>
      <c r="G59" s="5"/>
      <c r="H59" s="5"/>
      <c r="I59" s="5"/>
      <c r="J59" s="5"/>
      <c r="K59" s="5"/>
      <c r="L59" s="5"/>
      <c r="M59" s="5"/>
      <c r="N59" s="5"/>
      <c r="O59" s="5"/>
      <c r="P59" s="5"/>
      <c r="Q59" s="5"/>
      <c r="R59" s="5"/>
      <c r="S59" s="5"/>
      <c r="T59" s="5"/>
      <c r="U59" s="5"/>
      <c r="V59" s="5"/>
      <c r="W59" s="5"/>
    </row>
    <row r="60" spans="1:23" ht="16" x14ac:dyDescent="0.2">
      <c r="A60" s="5"/>
      <c r="B60" s="6"/>
      <c r="C60" s="6"/>
      <c r="D60" s="6"/>
      <c r="E60" s="6"/>
      <c r="F60" s="5"/>
      <c r="G60" s="5"/>
      <c r="H60" s="5"/>
      <c r="I60" s="5"/>
      <c r="J60" s="5"/>
      <c r="K60" s="5"/>
      <c r="L60" s="5"/>
      <c r="M60" s="5"/>
      <c r="N60" s="5"/>
      <c r="O60" s="5"/>
      <c r="P60" s="5"/>
      <c r="Q60" s="5"/>
      <c r="R60" s="5"/>
      <c r="S60" s="5"/>
      <c r="T60" s="5"/>
      <c r="U60" s="5"/>
      <c r="V60" s="5"/>
      <c r="W60" s="5"/>
    </row>
    <row r="61" spans="1:23" ht="16" x14ac:dyDescent="0.2">
      <c r="A61" s="5"/>
      <c r="B61" s="6"/>
      <c r="C61" s="6"/>
      <c r="D61" s="6"/>
      <c r="E61" s="6"/>
      <c r="F61" s="5"/>
      <c r="G61" s="5"/>
      <c r="H61" s="5"/>
      <c r="I61" s="5"/>
      <c r="J61" s="5"/>
      <c r="K61" s="5"/>
      <c r="L61" s="5"/>
      <c r="M61" s="5"/>
      <c r="N61" s="5"/>
      <c r="O61" s="5"/>
      <c r="P61" s="5"/>
      <c r="Q61" s="5"/>
      <c r="R61" s="5"/>
      <c r="S61" s="5"/>
      <c r="T61" s="5"/>
      <c r="U61" s="5"/>
      <c r="V61" s="5"/>
      <c r="W61" s="5"/>
    </row>
    <row r="62" spans="1:23" ht="16" x14ac:dyDescent="0.2">
      <c r="A62" s="5"/>
      <c r="B62" s="6"/>
      <c r="C62" s="6"/>
      <c r="D62" s="6"/>
      <c r="E62" s="6"/>
      <c r="F62" s="5"/>
      <c r="G62" s="5"/>
      <c r="H62" s="5"/>
      <c r="I62" s="5"/>
      <c r="J62" s="5"/>
      <c r="K62" s="5"/>
      <c r="L62" s="5"/>
      <c r="M62" s="5"/>
      <c r="N62" s="5"/>
      <c r="O62" s="5"/>
      <c r="P62" s="5"/>
      <c r="Q62" s="5"/>
      <c r="R62" s="5"/>
      <c r="S62" s="5"/>
      <c r="T62" s="5"/>
      <c r="U62" s="5"/>
      <c r="V62" s="5"/>
      <c r="W62" s="5"/>
    </row>
    <row r="63" spans="1:23" ht="16" x14ac:dyDescent="0.2">
      <c r="A63" s="5"/>
      <c r="B63" s="6"/>
      <c r="C63" s="6"/>
      <c r="D63" s="6"/>
      <c r="E63" s="6"/>
      <c r="F63" s="5"/>
      <c r="G63" s="5"/>
      <c r="H63" s="5"/>
      <c r="I63" s="5"/>
      <c r="J63" s="5"/>
      <c r="K63" s="5"/>
      <c r="L63" s="5"/>
      <c r="M63" s="5"/>
      <c r="N63" s="5"/>
      <c r="O63" s="5"/>
      <c r="P63" s="5"/>
      <c r="Q63" s="5"/>
      <c r="R63" s="5"/>
      <c r="S63" s="5"/>
      <c r="T63" s="5"/>
      <c r="U63" s="5"/>
      <c r="V63" s="5"/>
      <c r="W63" s="5"/>
    </row>
    <row r="64" spans="1:23" ht="16" x14ac:dyDescent="0.2">
      <c r="A64" s="5"/>
      <c r="B64" s="6"/>
      <c r="C64" s="6"/>
      <c r="D64" s="6"/>
      <c r="E64" s="6"/>
      <c r="F64" s="5"/>
      <c r="G64" s="5"/>
      <c r="H64" s="5"/>
      <c r="I64" s="5"/>
      <c r="J64" s="5"/>
      <c r="K64" s="5"/>
      <c r="L64" s="5"/>
      <c r="M64" s="5"/>
      <c r="N64" s="5"/>
      <c r="O64" s="5"/>
      <c r="P64" s="5"/>
      <c r="Q64" s="5"/>
      <c r="R64" s="5"/>
      <c r="S64" s="5"/>
      <c r="T64" s="5"/>
      <c r="U64" s="5"/>
      <c r="V64" s="5"/>
      <c r="W64" s="5"/>
    </row>
    <row r="65" spans="1:23" ht="16" x14ac:dyDescent="0.2">
      <c r="A65" s="5"/>
      <c r="B65" s="6"/>
      <c r="C65" s="6"/>
      <c r="D65" s="6"/>
      <c r="E65" s="6"/>
      <c r="F65" s="5"/>
      <c r="G65" s="5"/>
      <c r="H65" s="5"/>
      <c r="I65" s="5"/>
      <c r="J65" s="5"/>
      <c r="K65" s="5"/>
      <c r="L65" s="5"/>
      <c r="M65" s="5"/>
      <c r="N65" s="5"/>
      <c r="O65" s="5"/>
      <c r="P65" s="5"/>
      <c r="Q65" s="5"/>
      <c r="R65" s="5"/>
      <c r="S65" s="5"/>
      <c r="T65" s="5"/>
      <c r="U65" s="5"/>
      <c r="V65" s="5"/>
      <c r="W65" s="5"/>
    </row>
    <row r="66" spans="1:23" ht="16" x14ac:dyDescent="0.2">
      <c r="A66" s="5"/>
      <c r="B66" s="6"/>
      <c r="C66" s="6"/>
      <c r="D66" s="6"/>
      <c r="E66" s="6"/>
      <c r="F66" s="5"/>
      <c r="G66" s="5"/>
      <c r="H66" s="5"/>
      <c r="I66" s="5"/>
      <c r="J66" s="5"/>
      <c r="K66" s="5"/>
      <c r="L66" s="5"/>
      <c r="M66" s="5"/>
      <c r="N66" s="5"/>
      <c r="O66" s="5"/>
      <c r="P66" s="5"/>
      <c r="Q66" s="5"/>
      <c r="R66" s="5"/>
      <c r="S66" s="5"/>
      <c r="T66" s="5"/>
      <c r="U66" s="5"/>
      <c r="V66" s="5"/>
      <c r="W66" s="5"/>
    </row>
    <row r="67" spans="1:23" ht="16" x14ac:dyDescent="0.2">
      <c r="A67" s="5"/>
      <c r="B67" s="6"/>
      <c r="C67" s="6"/>
      <c r="D67" s="6"/>
      <c r="E67" s="6"/>
      <c r="F67" s="5"/>
      <c r="G67" s="5"/>
      <c r="H67" s="5"/>
      <c r="I67" s="5"/>
      <c r="J67" s="5"/>
      <c r="K67" s="5"/>
      <c r="L67" s="5"/>
      <c r="M67" s="5"/>
      <c r="N67" s="5"/>
      <c r="O67" s="5"/>
      <c r="P67" s="5"/>
      <c r="Q67" s="5"/>
      <c r="R67" s="5"/>
      <c r="S67" s="5"/>
      <c r="T67" s="5"/>
      <c r="U67" s="5"/>
      <c r="V67" s="5"/>
      <c r="W67" s="5"/>
    </row>
    <row r="68" spans="1:23" ht="16" x14ac:dyDescent="0.2">
      <c r="A68" s="5"/>
      <c r="B68" s="6"/>
      <c r="C68" s="6"/>
      <c r="D68" s="6"/>
      <c r="E68" s="6"/>
      <c r="F68" s="5"/>
      <c r="G68" s="5"/>
      <c r="H68" s="5"/>
      <c r="I68" s="5"/>
      <c r="J68" s="5"/>
      <c r="K68" s="5"/>
      <c r="L68" s="5"/>
      <c r="M68" s="5"/>
      <c r="N68" s="5"/>
      <c r="O68" s="5"/>
      <c r="P68" s="5"/>
      <c r="Q68" s="5"/>
      <c r="R68" s="5"/>
      <c r="S68" s="5"/>
      <c r="T68" s="5"/>
      <c r="U68" s="5"/>
      <c r="V68" s="5"/>
      <c r="W68" s="5"/>
    </row>
    <row r="69" spans="1:23" ht="16" x14ac:dyDescent="0.2">
      <c r="A69" s="5"/>
      <c r="B69" s="6"/>
      <c r="C69" s="6"/>
      <c r="D69" s="6"/>
      <c r="E69" s="6"/>
      <c r="F69" s="5"/>
      <c r="G69" s="5"/>
      <c r="H69" s="5"/>
      <c r="I69" s="5"/>
      <c r="J69" s="5"/>
      <c r="K69" s="5"/>
      <c r="L69" s="5"/>
      <c r="M69" s="5"/>
      <c r="N69" s="5"/>
      <c r="O69" s="5"/>
      <c r="P69" s="5"/>
      <c r="Q69" s="5"/>
      <c r="R69" s="5"/>
      <c r="S69" s="5"/>
      <c r="T69" s="5"/>
      <c r="U69" s="5"/>
      <c r="V69" s="5"/>
      <c r="W69" s="5"/>
    </row>
    <row r="70" spans="1:23" ht="16" x14ac:dyDescent="0.2">
      <c r="A70" s="5"/>
      <c r="B70" s="6"/>
      <c r="C70" s="6"/>
      <c r="D70" s="6"/>
      <c r="E70" s="6"/>
      <c r="F70" s="5"/>
      <c r="G70" s="5"/>
      <c r="H70" s="5"/>
      <c r="I70" s="5"/>
      <c r="J70" s="5"/>
      <c r="K70" s="5"/>
      <c r="L70" s="5"/>
      <c r="M70" s="5"/>
      <c r="N70" s="5"/>
      <c r="O70" s="5"/>
      <c r="P70" s="5"/>
      <c r="Q70" s="5"/>
      <c r="R70" s="5"/>
      <c r="S70" s="5"/>
      <c r="T70" s="5"/>
      <c r="U70" s="5"/>
      <c r="V70" s="5"/>
      <c r="W70" s="5"/>
    </row>
    <row r="71" spans="1:23" ht="16" x14ac:dyDescent="0.2">
      <c r="A71" s="5"/>
      <c r="B71" s="6"/>
      <c r="C71" s="6"/>
      <c r="D71" s="6"/>
      <c r="E71" s="6"/>
      <c r="F71" s="5"/>
      <c r="G71" s="5"/>
      <c r="H71" s="5"/>
      <c r="I71" s="5"/>
      <c r="J71" s="5"/>
      <c r="K71" s="5"/>
      <c r="L71" s="5"/>
      <c r="M71" s="5"/>
      <c r="N71" s="5"/>
      <c r="O71" s="5"/>
      <c r="P71" s="5"/>
      <c r="Q71" s="5"/>
      <c r="R71" s="5"/>
      <c r="S71" s="5"/>
      <c r="T71" s="5"/>
      <c r="U71" s="5"/>
      <c r="V71" s="5"/>
      <c r="W71" s="5"/>
    </row>
    <row r="72" spans="1:23" ht="16" x14ac:dyDescent="0.2">
      <c r="A72" s="5"/>
      <c r="B72" s="6"/>
      <c r="C72" s="6"/>
      <c r="D72" s="6"/>
      <c r="E72" s="6"/>
      <c r="F72" s="5"/>
      <c r="G72" s="5"/>
      <c r="H72" s="5"/>
      <c r="I72" s="5"/>
      <c r="J72" s="5"/>
      <c r="K72" s="5"/>
      <c r="L72" s="5"/>
      <c r="M72" s="5"/>
      <c r="N72" s="5"/>
      <c r="O72" s="5"/>
      <c r="P72" s="5"/>
      <c r="Q72" s="5"/>
      <c r="R72" s="5"/>
      <c r="S72" s="5"/>
      <c r="T72" s="5"/>
      <c r="U72" s="5"/>
      <c r="V72" s="5"/>
      <c r="W72" s="5"/>
    </row>
    <row r="73" spans="1:23" ht="16" x14ac:dyDescent="0.2">
      <c r="A73" s="5"/>
      <c r="B73" s="6"/>
      <c r="C73" s="6"/>
      <c r="D73" s="6"/>
      <c r="E73" s="6"/>
      <c r="F73" s="5"/>
      <c r="G73" s="5"/>
      <c r="H73" s="5"/>
      <c r="I73" s="5"/>
      <c r="J73" s="5"/>
      <c r="K73" s="5"/>
      <c r="L73" s="5"/>
      <c r="M73" s="5"/>
      <c r="N73" s="5"/>
      <c r="O73" s="5"/>
      <c r="P73" s="5"/>
      <c r="Q73" s="5"/>
      <c r="R73" s="5"/>
      <c r="S73" s="5"/>
      <c r="T73" s="5"/>
      <c r="U73" s="5"/>
      <c r="V73" s="5"/>
      <c r="W73" s="5"/>
    </row>
    <row r="74" spans="1:23" ht="16" x14ac:dyDescent="0.2">
      <c r="A74" s="5"/>
      <c r="B74" s="6"/>
      <c r="C74" s="6"/>
      <c r="D74" s="6"/>
      <c r="E74" s="6"/>
      <c r="F74" s="5"/>
      <c r="G74" s="5"/>
      <c r="H74" s="5"/>
      <c r="I74" s="5"/>
      <c r="J74" s="5"/>
      <c r="K74" s="5"/>
      <c r="L74" s="5"/>
      <c r="M74" s="5"/>
      <c r="N74" s="5"/>
      <c r="O74" s="5"/>
      <c r="P74" s="5"/>
      <c r="Q74" s="5"/>
      <c r="R74" s="5"/>
      <c r="S74" s="5"/>
      <c r="T74" s="5"/>
      <c r="U74" s="5"/>
      <c r="V74" s="5"/>
      <c r="W74" s="5"/>
    </row>
    <row r="75" spans="1:23" ht="16" x14ac:dyDescent="0.2">
      <c r="A75" s="5"/>
      <c r="B75" s="6"/>
      <c r="C75" s="6"/>
      <c r="D75" s="6"/>
      <c r="E75" s="6"/>
      <c r="F75" s="5"/>
      <c r="G75" s="5"/>
      <c r="H75" s="5"/>
      <c r="I75" s="5"/>
      <c r="J75" s="5"/>
      <c r="K75" s="5"/>
      <c r="L75" s="5"/>
      <c r="M75" s="5"/>
      <c r="N75" s="5"/>
      <c r="O75" s="5"/>
      <c r="P75" s="5"/>
      <c r="Q75" s="5"/>
      <c r="R75" s="5"/>
      <c r="S75" s="5"/>
      <c r="T75" s="5"/>
      <c r="U75" s="5"/>
      <c r="V75" s="5"/>
      <c r="W75" s="5"/>
    </row>
    <row r="76" spans="1:23" ht="16" x14ac:dyDescent="0.2">
      <c r="A76" s="5"/>
      <c r="B76" s="6"/>
      <c r="C76" s="6"/>
      <c r="D76" s="6"/>
      <c r="E76" s="6"/>
      <c r="F76" s="5"/>
      <c r="G76" s="5"/>
      <c r="H76" s="5"/>
      <c r="I76" s="5"/>
      <c r="J76" s="5"/>
      <c r="K76" s="5"/>
      <c r="L76" s="5"/>
      <c r="M76" s="5"/>
      <c r="N76" s="5"/>
      <c r="O76" s="5"/>
      <c r="P76" s="5"/>
      <c r="Q76" s="5"/>
      <c r="R76" s="5"/>
      <c r="S76" s="5"/>
      <c r="T76" s="5"/>
      <c r="U76" s="5"/>
      <c r="V76" s="5"/>
      <c r="W76" s="5"/>
    </row>
    <row r="77" spans="1:23" ht="16" x14ac:dyDescent="0.2">
      <c r="A77" s="5"/>
      <c r="B77" s="6"/>
      <c r="C77" s="6"/>
      <c r="D77" s="6"/>
      <c r="E77" s="6"/>
      <c r="F77" s="5"/>
      <c r="G77" s="5"/>
      <c r="H77" s="5"/>
      <c r="I77" s="5"/>
      <c r="J77" s="5"/>
      <c r="K77" s="5"/>
      <c r="L77" s="5"/>
      <c r="M77" s="5"/>
      <c r="N77" s="5"/>
      <c r="O77" s="5"/>
      <c r="P77" s="5"/>
      <c r="Q77" s="5"/>
      <c r="R77" s="5"/>
      <c r="S77" s="5"/>
      <c r="T77" s="5"/>
      <c r="U77" s="5"/>
      <c r="V77" s="5"/>
      <c r="W77" s="5"/>
    </row>
    <row r="78" spans="1:23" ht="16" x14ac:dyDescent="0.2">
      <c r="A78" s="5"/>
      <c r="B78" s="6"/>
      <c r="C78" s="6"/>
      <c r="D78" s="6"/>
      <c r="E78" s="6"/>
      <c r="F78" s="5"/>
      <c r="G78" s="5"/>
      <c r="H78" s="5"/>
      <c r="I78" s="5"/>
      <c r="J78" s="5"/>
      <c r="K78" s="5"/>
      <c r="L78" s="5"/>
      <c r="M78" s="5"/>
      <c r="N78" s="5"/>
      <c r="O78" s="5"/>
      <c r="P78" s="5"/>
      <c r="Q78" s="5"/>
      <c r="R78" s="5"/>
      <c r="S78" s="5"/>
      <c r="T78" s="5"/>
      <c r="U78" s="5"/>
      <c r="V78" s="5"/>
      <c r="W78" s="5"/>
    </row>
    <row r="79" spans="1:23" ht="16" x14ac:dyDescent="0.2">
      <c r="A79" s="5"/>
      <c r="B79" s="6"/>
      <c r="C79" s="6"/>
      <c r="D79" s="6"/>
      <c r="E79" s="6"/>
      <c r="F79" s="5"/>
      <c r="G79" s="5"/>
      <c r="H79" s="5"/>
      <c r="I79" s="5"/>
      <c r="J79" s="5"/>
      <c r="K79" s="5"/>
      <c r="L79" s="5"/>
      <c r="M79" s="5"/>
      <c r="N79" s="5"/>
      <c r="O79" s="5"/>
      <c r="P79" s="5"/>
      <c r="Q79" s="5"/>
      <c r="R79" s="5"/>
      <c r="S79" s="5"/>
      <c r="T79" s="5"/>
      <c r="U79" s="5"/>
      <c r="V79" s="5"/>
      <c r="W79" s="5"/>
    </row>
    <row r="80" spans="1:23" ht="16" x14ac:dyDescent="0.2">
      <c r="A80" s="5"/>
      <c r="B80" s="6"/>
      <c r="C80" s="6"/>
      <c r="D80" s="6"/>
      <c r="E80" s="6"/>
      <c r="F80" s="5"/>
      <c r="G80" s="5"/>
      <c r="H80" s="5"/>
      <c r="I80" s="5"/>
      <c r="J80" s="5"/>
      <c r="K80" s="5"/>
      <c r="L80" s="5"/>
      <c r="M80" s="5"/>
      <c r="N80" s="5"/>
      <c r="O80" s="5"/>
      <c r="P80" s="5"/>
      <c r="Q80" s="5"/>
      <c r="R80" s="5"/>
      <c r="S80" s="5"/>
      <c r="T80" s="5"/>
      <c r="U80" s="5"/>
      <c r="V80" s="5"/>
      <c r="W80" s="5"/>
    </row>
    <row r="81" spans="1:23" ht="16" x14ac:dyDescent="0.2">
      <c r="A81" s="5"/>
      <c r="B81" s="6"/>
      <c r="C81" s="6"/>
      <c r="D81" s="6"/>
      <c r="E81" s="6"/>
      <c r="F81" s="5"/>
      <c r="G81" s="5"/>
      <c r="H81" s="5"/>
      <c r="I81" s="5"/>
      <c r="J81" s="5"/>
      <c r="K81" s="5"/>
      <c r="L81" s="5"/>
      <c r="M81" s="5"/>
      <c r="N81" s="5"/>
      <c r="O81" s="5"/>
      <c r="P81" s="5"/>
      <c r="Q81" s="5"/>
      <c r="R81" s="5"/>
      <c r="S81" s="5"/>
      <c r="T81" s="5"/>
      <c r="U81" s="5"/>
      <c r="V81" s="5"/>
      <c r="W81" s="5"/>
    </row>
    <row r="82" spans="1:23" ht="16" x14ac:dyDescent="0.2">
      <c r="A82" s="5"/>
      <c r="B82" s="6"/>
      <c r="C82" s="6"/>
      <c r="D82" s="6"/>
      <c r="E82" s="6"/>
      <c r="F82" s="5"/>
      <c r="G82" s="5"/>
      <c r="H82" s="5"/>
      <c r="I82" s="5"/>
      <c r="J82" s="5"/>
      <c r="K82" s="5"/>
      <c r="L82" s="5"/>
      <c r="M82" s="5"/>
      <c r="N82" s="5"/>
      <c r="O82" s="5"/>
      <c r="P82" s="5"/>
      <c r="Q82" s="5"/>
      <c r="R82" s="5"/>
      <c r="S82" s="5"/>
      <c r="T82" s="5"/>
      <c r="U82" s="5"/>
      <c r="V82" s="5"/>
      <c r="W82" s="5"/>
    </row>
    <row r="83" spans="1:23" ht="16" x14ac:dyDescent="0.2">
      <c r="A83" s="5"/>
      <c r="B83" s="6"/>
      <c r="C83" s="6"/>
      <c r="D83" s="6"/>
      <c r="E83" s="6"/>
      <c r="F83" s="5"/>
      <c r="G83" s="5"/>
      <c r="H83" s="5"/>
      <c r="I83" s="5"/>
      <c r="J83" s="5"/>
      <c r="K83" s="5"/>
      <c r="L83" s="5"/>
      <c r="M83" s="5"/>
      <c r="N83" s="5"/>
      <c r="O83" s="5"/>
      <c r="P83" s="5"/>
      <c r="Q83" s="5"/>
      <c r="R83" s="5"/>
      <c r="S83" s="5"/>
      <c r="T83" s="5"/>
      <c r="U83" s="5"/>
      <c r="V83" s="5"/>
      <c r="W83" s="5"/>
    </row>
    <row r="84" spans="1:23" ht="16" x14ac:dyDescent="0.2">
      <c r="A84" s="5"/>
      <c r="B84" s="6"/>
      <c r="C84" s="6"/>
      <c r="D84" s="6"/>
      <c r="E84" s="6"/>
      <c r="F84" s="5"/>
      <c r="G84" s="5"/>
      <c r="H84" s="5"/>
      <c r="I84" s="5"/>
      <c r="J84" s="5"/>
      <c r="K84" s="5"/>
      <c r="L84" s="5"/>
      <c r="M84" s="5"/>
      <c r="N84" s="5"/>
      <c r="O84" s="5"/>
      <c r="P84" s="5"/>
      <c r="Q84" s="5"/>
      <c r="R84" s="5"/>
      <c r="S84" s="5"/>
      <c r="T84" s="5"/>
      <c r="U84" s="5"/>
      <c r="V84" s="5"/>
      <c r="W84" s="5"/>
    </row>
    <row r="85" spans="1:23" ht="16" x14ac:dyDescent="0.2">
      <c r="A85" s="5"/>
      <c r="B85" s="6"/>
      <c r="C85" s="6"/>
      <c r="D85" s="6"/>
      <c r="E85" s="6"/>
      <c r="F85" s="5"/>
      <c r="G85" s="5"/>
      <c r="H85" s="5"/>
      <c r="I85" s="5"/>
      <c r="J85" s="5"/>
      <c r="K85" s="5"/>
      <c r="L85" s="5"/>
      <c r="M85" s="5"/>
      <c r="N85" s="5"/>
      <c r="O85" s="5"/>
      <c r="P85" s="5"/>
      <c r="Q85" s="5"/>
      <c r="R85" s="5"/>
      <c r="S85" s="5"/>
      <c r="T85" s="5"/>
      <c r="U85" s="5"/>
      <c r="V85" s="5"/>
      <c r="W85" s="5"/>
    </row>
    <row r="86" spans="1:23" ht="16" x14ac:dyDescent="0.2">
      <c r="A86" s="5"/>
      <c r="B86" s="6"/>
      <c r="C86" s="6"/>
      <c r="D86" s="6"/>
      <c r="E86" s="6"/>
      <c r="F86" s="5"/>
      <c r="G86" s="5"/>
      <c r="H86" s="5"/>
      <c r="I86" s="5"/>
      <c r="J86" s="5"/>
      <c r="K86" s="5"/>
      <c r="L86" s="5"/>
      <c r="M86" s="5"/>
      <c r="N86" s="5"/>
      <c r="O86" s="5"/>
      <c r="P86" s="5"/>
      <c r="Q86" s="5"/>
      <c r="R86" s="5"/>
      <c r="S86" s="5"/>
      <c r="T86" s="5"/>
      <c r="U86" s="5"/>
      <c r="V86" s="5"/>
      <c r="W86" s="5"/>
    </row>
    <row r="87" spans="1:23" ht="16" x14ac:dyDescent="0.2">
      <c r="A87" s="5"/>
      <c r="B87" s="6"/>
      <c r="C87" s="6"/>
      <c r="D87" s="6"/>
      <c r="E87" s="6"/>
      <c r="F87" s="5"/>
      <c r="G87" s="5"/>
      <c r="H87" s="5"/>
      <c r="I87" s="5"/>
      <c r="J87" s="5"/>
      <c r="K87" s="5"/>
      <c r="L87" s="5"/>
      <c r="M87" s="5"/>
      <c r="N87" s="5"/>
      <c r="O87" s="5"/>
      <c r="P87" s="5"/>
      <c r="Q87" s="5"/>
      <c r="R87" s="5"/>
      <c r="S87" s="5"/>
      <c r="T87" s="5"/>
      <c r="U87" s="5"/>
      <c r="V87" s="5"/>
      <c r="W87" s="5"/>
    </row>
    <row r="88" spans="1:23" ht="16" x14ac:dyDescent="0.2">
      <c r="A88" s="5"/>
      <c r="B88" s="6"/>
      <c r="C88" s="6"/>
      <c r="D88" s="6"/>
      <c r="E88" s="6"/>
      <c r="F88" s="5"/>
      <c r="G88" s="5"/>
      <c r="H88" s="5"/>
      <c r="I88" s="5"/>
      <c r="J88" s="5"/>
      <c r="K88" s="5"/>
      <c r="L88" s="5"/>
      <c r="M88" s="5"/>
      <c r="N88" s="5"/>
      <c r="O88" s="5"/>
      <c r="P88" s="5"/>
      <c r="Q88" s="5"/>
      <c r="R88" s="5"/>
      <c r="S88" s="5"/>
      <c r="T88" s="5"/>
      <c r="U88" s="5"/>
      <c r="V88" s="5"/>
      <c r="W88" s="5"/>
    </row>
    <row r="89" spans="1:23" ht="16" x14ac:dyDescent="0.2">
      <c r="A89" s="5"/>
      <c r="B89" s="6"/>
      <c r="C89" s="6"/>
      <c r="D89" s="6"/>
      <c r="E89" s="6"/>
      <c r="F89" s="5"/>
      <c r="G89" s="5"/>
      <c r="H89" s="5"/>
      <c r="I89" s="5"/>
      <c r="J89" s="5"/>
      <c r="K89" s="5"/>
      <c r="L89" s="5"/>
      <c r="M89" s="5"/>
      <c r="N89" s="5"/>
      <c r="O89" s="5"/>
      <c r="P89" s="5"/>
      <c r="Q89" s="5"/>
      <c r="R89" s="5"/>
      <c r="S89" s="5"/>
      <c r="T89" s="5"/>
      <c r="U89" s="5"/>
      <c r="V89" s="5"/>
      <c r="W89" s="5"/>
    </row>
    <row r="90" spans="1:23" ht="16" x14ac:dyDescent="0.2">
      <c r="A90" s="5"/>
      <c r="B90" s="6"/>
      <c r="C90" s="6"/>
      <c r="D90" s="6"/>
      <c r="E90" s="6"/>
      <c r="F90" s="5"/>
      <c r="G90" s="5"/>
      <c r="H90" s="5"/>
      <c r="I90" s="5"/>
      <c r="J90" s="5"/>
      <c r="K90" s="5"/>
      <c r="L90" s="5"/>
      <c r="M90" s="5"/>
      <c r="N90" s="5"/>
      <c r="O90" s="5"/>
      <c r="P90" s="5"/>
      <c r="Q90" s="5"/>
      <c r="R90" s="5"/>
      <c r="S90" s="5"/>
      <c r="T90" s="5"/>
      <c r="U90" s="5"/>
      <c r="V90" s="5"/>
      <c r="W90" s="5"/>
    </row>
    <row r="91" spans="1:23" ht="16" x14ac:dyDescent="0.2">
      <c r="A91" s="5"/>
      <c r="B91" s="6"/>
      <c r="C91" s="6"/>
      <c r="D91" s="6"/>
      <c r="E91" s="6"/>
      <c r="F91" s="5"/>
      <c r="G91" s="5"/>
      <c r="H91" s="5"/>
      <c r="I91" s="5"/>
      <c r="J91" s="5"/>
      <c r="K91" s="5"/>
      <c r="L91" s="5"/>
      <c r="M91" s="5"/>
      <c r="N91" s="5"/>
      <c r="O91" s="5"/>
      <c r="P91" s="5"/>
      <c r="Q91" s="5"/>
      <c r="R91" s="5"/>
      <c r="S91" s="5"/>
      <c r="T91" s="5"/>
      <c r="U91" s="5"/>
      <c r="V91" s="5"/>
      <c r="W91" s="5"/>
    </row>
    <row r="92" spans="1:23" ht="16" x14ac:dyDescent="0.2">
      <c r="A92" s="5"/>
      <c r="B92" s="6"/>
      <c r="C92" s="6"/>
      <c r="D92" s="6"/>
      <c r="E92" s="6"/>
      <c r="F92" s="5"/>
      <c r="G92" s="5"/>
      <c r="H92" s="5"/>
      <c r="I92" s="5"/>
      <c r="J92" s="5"/>
      <c r="K92" s="5"/>
      <c r="L92" s="5"/>
      <c r="M92" s="5"/>
      <c r="N92" s="5"/>
      <c r="O92" s="5"/>
      <c r="P92" s="5"/>
      <c r="Q92" s="5"/>
      <c r="R92" s="5"/>
      <c r="S92" s="5"/>
      <c r="T92" s="5"/>
      <c r="U92" s="5"/>
      <c r="V92" s="5"/>
      <c r="W92" s="5"/>
    </row>
    <row r="93" spans="1:23" ht="16" x14ac:dyDescent="0.2">
      <c r="A93" s="5"/>
      <c r="B93" s="6"/>
      <c r="C93" s="6"/>
      <c r="D93" s="6"/>
      <c r="E93" s="6"/>
      <c r="F93" s="5"/>
      <c r="G93" s="5"/>
      <c r="H93" s="5"/>
      <c r="I93" s="5"/>
      <c r="J93" s="5"/>
      <c r="K93" s="5"/>
      <c r="L93" s="5"/>
      <c r="M93" s="5"/>
      <c r="N93" s="5"/>
      <c r="O93" s="5"/>
      <c r="P93" s="5"/>
      <c r="Q93" s="5"/>
      <c r="R93" s="5"/>
      <c r="S93" s="5"/>
      <c r="T93" s="5"/>
      <c r="U93" s="5"/>
      <c r="V93" s="5"/>
      <c r="W93" s="5"/>
    </row>
    <row r="94" spans="1:23" ht="16" x14ac:dyDescent="0.2">
      <c r="A94" s="5"/>
      <c r="B94" s="6"/>
      <c r="C94" s="6"/>
      <c r="D94" s="6"/>
      <c r="E94" s="6"/>
      <c r="F94" s="5"/>
      <c r="G94" s="5"/>
      <c r="H94" s="5"/>
      <c r="I94" s="5"/>
      <c r="J94" s="5"/>
      <c r="K94" s="5"/>
      <c r="L94" s="5"/>
      <c r="M94" s="5"/>
      <c r="N94" s="5"/>
      <c r="O94" s="5"/>
      <c r="P94" s="5"/>
      <c r="Q94" s="5"/>
      <c r="R94" s="5"/>
      <c r="S94" s="5"/>
      <c r="T94" s="5"/>
      <c r="U94" s="5"/>
      <c r="V94" s="5"/>
      <c r="W94" s="5"/>
    </row>
    <row r="95" spans="1:23" ht="16" x14ac:dyDescent="0.2">
      <c r="A95" s="5"/>
      <c r="B95" s="6"/>
      <c r="C95" s="6"/>
      <c r="D95" s="6"/>
      <c r="E95" s="6"/>
      <c r="F95" s="5"/>
      <c r="G95" s="5"/>
      <c r="H95" s="5"/>
      <c r="I95" s="5"/>
      <c r="J95" s="5"/>
      <c r="K95" s="5"/>
      <c r="L95" s="5"/>
      <c r="M95" s="5"/>
      <c r="N95" s="5"/>
      <c r="O95" s="5"/>
      <c r="P95" s="5"/>
      <c r="Q95" s="5"/>
      <c r="R95" s="5"/>
      <c r="S95" s="5"/>
      <c r="T95" s="5"/>
      <c r="U95" s="5"/>
      <c r="V95" s="5"/>
      <c r="W95" s="5"/>
    </row>
    <row r="96" spans="1:23" ht="16" x14ac:dyDescent="0.2">
      <c r="A96" s="5"/>
      <c r="B96" s="6"/>
      <c r="C96" s="6"/>
      <c r="D96" s="6"/>
      <c r="E96" s="6"/>
      <c r="F96" s="5"/>
      <c r="G96" s="5"/>
      <c r="H96" s="5"/>
      <c r="I96" s="5"/>
      <c r="J96" s="5"/>
      <c r="K96" s="5"/>
      <c r="L96" s="5"/>
      <c r="M96" s="5"/>
      <c r="N96" s="5"/>
      <c r="O96" s="5"/>
      <c r="P96" s="5"/>
      <c r="Q96" s="5"/>
      <c r="R96" s="5"/>
      <c r="S96" s="5"/>
      <c r="T96" s="5"/>
      <c r="U96" s="5"/>
      <c r="V96" s="5"/>
      <c r="W96" s="5"/>
    </row>
    <row r="97" spans="1:23" ht="16" x14ac:dyDescent="0.2">
      <c r="A97" s="5"/>
      <c r="B97" s="6"/>
      <c r="C97" s="6"/>
      <c r="D97" s="6"/>
      <c r="E97" s="6"/>
      <c r="F97" s="5"/>
      <c r="G97" s="5"/>
      <c r="H97" s="5"/>
      <c r="I97" s="5"/>
      <c r="J97" s="5"/>
      <c r="K97" s="5"/>
      <c r="L97" s="5"/>
      <c r="M97" s="5"/>
      <c r="N97" s="5"/>
      <c r="O97" s="5"/>
      <c r="P97" s="5"/>
      <c r="Q97" s="5"/>
      <c r="R97" s="5"/>
      <c r="S97" s="5"/>
      <c r="T97" s="5"/>
      <c r="U97" s="5"/>
      <c r="V97" s="5"/>
      <c r="W97" s="5"/>
    </row>
    <row r="98" spans="1:23" ht="16" x14ac:dyDescent="0.2">
      <c r="A98" s="5"/>
      <c r="B98" s="6"/>
      <c r="C98" s="6"/>
      <c r="D98" s="6"/>
      <c r="E98" s="6"/>
      <c r="F98" s="5"/>
      <c r="G98" s="5"/>
      <c r="H98" s="5"/>
      <c r="I98" s="5"/>
      <c r="J98" s="5"/>
      <c r="K98" s="5"/>
      <c r="L98" s="5"/>
      <c r="M98" s="5"/>
      <c r="N98" s="5"/>
      <c r="O98" s="5"/>
      <c r="P98" s="5"/>
      <c r="Q98" s="5"/>
      <c r="R98" s="5"/>
      <c r="S98" s="5"/>
      <c r="T98" s="5"/>
      <c r="U98" s="5"/>
      <c r="V98" s="5"/>
      <c r="W98" s="5"/>
    </row>
    <row r="99" spans="1:23" ht="16" x14ac:dyDescent="0.2">
      <c r="A99" s="5"/>
      <c r="B99" s="6"/>
      <c r="C99" s="6"/>
      <c r="D99" s="6"/>
      <c r="E99" s="6"/>
      <c r="F99" s="5"/>
      <c r="G99" s="5"/>
      <c r="H99" s="5"/>
      <c r="I99" s="5"/>
      <c r="J99" s="5"/>
      <c r="K99" s="5"/>
      <c r="L99" s="5"/>
      <c r="M99" s="5"/>
      <c r="N99" s="5"/>
      <c r="O99" s="5"/>
      <c r="P99" s="5"/>
      <c r="Q99" s="5"/>
      <c r="R99" s="5"/>
      <c r="S99" s="5"/>
      <c r="T99" s="5"/>
      <c r="U99" s="5"/>
      <c r="V99" s="5"/>
      <c r="W99" s="5"/>
    </row>
    <row r="100" spans="1:23" ht="16" x14ac:dyDescent="0.2">
      <c r="A100" s="5"/>
      <c r="B100" s="6"/>
      <c r="C100" s="6"/>
      <c r="D100" s="6"/>
      <c r="E100" s="6"/>
      <c r="F100" s="5"/>
      <c r="G100" s="5"/>
      <c r="H100" s="5"/>
      <c r="I100" s="5"/>
      <c r="J100" s="5"/>
      <c r="K100" s="5"/>
      <c r="L100" s="5"/>
      <c r="M100" s="5"/>
      <c r="N100" s="5"/>
      <c r="O100" s="5"/>
      <c r="P100" s="5"/>
      <c r="Q100" s="5"/>
      <c r="R100" s="5"/>
      <c r="S100" s="5"/>
      <c r="T100" s="5"/>
      <c r="U100" s="5"/>
      <c r="V100" s="5"/>
      <c r="W100" s="5"/>
    </row>
    <row r="101" spans="1:23" ht="16" x14ac:dyDescent="0.2">
      <c r="A101" s="5"/>
      <c r="B101" s="6"/>
      <c r="C101" s="6"/>
      <c r="D101" s="6"/>
      <c r="E101" s="6"/>
      <c r="F101" s="5"/>
      <c r="G101" s="5"/>
      <c r="H101" s="5"/>
      <c r="I101" s="5"/>
      <c r="J101" s="5"/>
      <c r="K101" s="5"/>
      <c r="L101" s="5"/>
      <c r="M101" s="5"/>
      <c r="N101" s="5"/>
      <c r="O101" s="5"/>
      <c r="P101" s="5"/>
      <c r="Q101" s="5"/>
      <c r="R101" s="5"/>
      <c r="S101" s="5"/>
      <c r="T101" s="5"/>
      <c r="U101" s="5"/>
      <c r="V101" s="5"/>
      <c r="W101" s="5"/>
    </row>
    <row r="102" spans="1:23" ht="16" x14ac:dyDescent="0.2">
      <c r="A102" s="5"/>
      <c r="B102" s="6"/>
      <c r="C102" s="6"/>
      <c r="D102" s="6"/>
      <c r="E102" s="6"/>
      <c r="F102" s="5"/>
      <c r="G102" s="5"/>
      <c r="H102" s="5"/>
      <c r="I102" s="5"/>
      <c r="J102" s="5"/>
      <c r="K102" s="5"/>
      <c r="L102" s="5"/>
      <c r="M102" s="5"/>
      <c r="N102" s="5"/>
      <c r="O102" s="5"/>
      <c r="P102" s="5"/>
      <c r="Q102" s="5"/>
      <c r="R102" s="5"/>
      <c r="S102" s="5"/>
      <c r="T102" s="5"/>
      <c r="U102" s="5"/>
      <c r="V102" s="5"/>
      <c r="W102" s="5"/>
    </row>
    <row r="103" spans="1:23" ht="16" x14ac:dyDescent="0.2">
      <c r="A103" s="5"/>
      <c r="B103" s="6"/>
      <c r="C103" s="6"/>
      <c r="D103" s="6"/>
      <c r="E103" s="6"/>
      <c r="F103" s="5"/>
      <c r="G103" s="5"/>
      <c r="H103" s="5"/>
      <c r="I103" s="5"/>
      <c r="J103" s="5"/>
      <c r="K103" s="5"/>
      <c r="L103" s="5"/>
      <c r="M103" s="5"/>
      <c r="N103" s="5"/>
      <c r="O103" s="5"/>
      <c r="P103" s="5"/>
      <c r="Q103" s="5"/>
      <c r="R103" s="5"/>
      <c r="S103" s="5"/>
      <c r="T103" s="5"/>
      <c r="U103" s="5"/>
      <c r="V103" s="5"/>
      <c r="W103" s="5"/>
    </row>
    <row r="104" spans="1:23" ht="16" x14ac:dyDescent="0.2">
      <c r="A104" s="5"/>
      <c r="B104" s="6"/>
      <c r="C104" s="6"/>
      <c r="D104" s="6"/>
      <c r="E104" s="6"/>
      <c r="F104" s="5"/>
      <c r="G104" s="5"/>
      <c r="H104" s="5"/>
      <c r="I104" s="5"/>
      <c r="J104" s="5"/>
      <c r="K104" s="5"/>
      <c r="L104" s="5"/>
      <c r="M104" s="5"/>
      <c r="N104" s="5"/>
      <c r="O104" s="5"/>
      <c r="P104" s="5"/>
      <c r="Q104" s="5"/>
      <c r="R104" s="5"/>
      <c r="S104" s="5"/>
      <c r="T104" s="5"/>
      <c r="U104" s="5"/>
      <c r="V104" s="5"/>
      <c r="W104" s="5"/>
    </row>
    <row r="105" spans="1:23" ht="16" x14ac:dyDescent="0.2">
      <c r="A105" s="5"/>
      <c r="B105" s="6"/>
      <c r="C105" s="6"/>
      <c r="D105" s="6"/>
      <c r="E105" s="6"/>
      <c r="F105" s="5"/>
      <c r="G105" s="5"/>
      <c r="H105" s="5"/>
      <c r="I105" s="5"/>
      <c r="J105" s="5"/>
      <c r="K105" s="5"/>
      <c r="L105" s="5"/>
      <c r="M105" s="5"/>
      <c r="N105" s="5"/>
      <c r="O105" s="5"/>
      <c r="P105" s="5"/>
      <c r="Q105" s="5"/>
      <c r="R105" s="5"/>
      <c r="S105" s="5"/>
      <c r="T105" s="5"/>
      <c r="U105" s="5"/>
      <c r="V105" s="5"/>
      <c r="W105" s="5"/>
    </row>
    <row r="106" spans="1:23" ht="16" x14ac:dyDescent="0.2">
      <c r="A106" s="5"/>
      <c r="B106" s="6"/>
      <c r="C106" s="6"/>
      <c r="D106" s="6"/>
      <c r="E106" s="6"/>
      <c r="F106" s="5"/>
      <c r="G106" s="5"/>
      <c r="H106" s="5"/>
      <c r="I106" s="5"/>
      <c r="J106" s="5"/>
      <c r="K106" s="5"/>
      <c r="L106" s="5"/>
      <c r="M106" s="5"/>
      <c r="N106" s="5"/>
      <c r="O106" s="5"/>
      <c r="P106" s="5"/>
      <c r="Q106" s="5"/>
      <c r="R106" s="5"/>
      <c r="S106" s="5"/>
      <c r="T106" s="5"/>
      <c r="U106" s="5"/>
      <c r="V106" s="5"/>
      <c r="W106" s="5"/>
    </row>
    <row r="107" spans="1:23" ht="16" x14ac:dyDescent="0.2">
      <c r="A107" s="5"/>
      <c r="B107" s="6"/>
      <c r="C107" s="6"/>
      <c r="D107" s="6"/>
      <c r="E107" s="6"/>
      <c r="F107" s="5"/>
      <c r="G107" s="5"/>
      <c r="H107" s="5"/>
      <c r="I107" s="5"/>
      <c r="J107" s="5"/>
      <c r="K107" s="5"/>
      <c r="L107" s="5"/>
      <c r="M107" s="5"/>
      <c r="N107" s="5"/>
      <c r="O107" s="5"/>
      <c r="P107" s="5"/>
      <c r="Q107" s="5"/>
      <c r="R107" s="5"/>
      <c r="S107" s="5"/>
      <c r="T107" s="5"/>
      <c r="U107" s="5"/>
      <c r="V107" s="5"/>
      <c r="W107" s="5"/>
    </row>
    <row r="108" spans="1:23" ht="16" x14ac:dyDescent="0.2">
      <c r="A108" s="5"/>
      <c r="B108" s="6"/>
      <c r="C108" s="6"/>
      <c r="D108" s="6"/>
      <c r="E108" s="6"/>
      <c r="F108" s="5"/>
      <c r="G108" s="5"/>
      <c r="H108" s="5"/>
      <c r="I108" s="5"/>
      <c r="J108" s="5"/>
      <c r="K108" s="5"/>
      <c r="L108" s="5"/>
      <c r="M108" s="5"/>
      <c r="N108" s="5"/>
      <c r="O108" s="5"/>
      <c r="P108" s="5"/>
      <c r="Q108" s="5"/>
      <c r="R108" s="5"/>
      <c r="S108" s="5"/>
      <c r="T108" s="5"/>
      <c r="U108" s="5"/>
      <c r="V108" s="5"/>
      <c r="W108" s="5"/>
    </row>
    <row r="109" spans="1:23" ht="16" x14ac:dyDescent="0.2">
      <c r="A109" s="5"/>
      <c r="B109" s="6"/>
      <c r="C109" s="6"/>
      <c r="D109" s="6"/>
      <c r="E109" s="6"/>
      <c r="F109" s="5"/>
      <c r="G109" s="5"/>
      <c r="H109" s="5"/>
      <c r="I109" s="5"/>
      <c r="J109" s="5"/>
      <c r="K109" s="5"/>
      <c r="L109" s="5"/>
      <c r="M109" s="5"/>
      <c r="N109" s="5"/>
      <c r="O109" s="5"/>
      <c r="P109" s="5"/>
      <c r="Q109" s="5"/>
      <c r="R109" s="5"/>
      <c r="S109" s="5"/>
      <c r="T109" s="5"/>
      <c r="U109" s="5"/>
      <c r="V109" s="5"/>
      <c r="W109" s="5"/>
    </row>
    <row r="110" spans="1:23" ht="16" x14ac:dyDescent="0.2">
      <c r="A110" s="5"/>
      <c r="B110" s="6"/>
      <c r="C110" s="6"/>
      <c r="D110" s="6"/>
      <c r="E110" s="6"/>
      <c r="F110" s="5"/>
      <c r="G110" s="5"/>
      <c r="H110" s="5"/>
      <c r="I110" s="5"/>
      <c r="J110" s="5"/>
      <c r="K110" s="5"/>
      <c r="L110" s="5"/>
      <c r="M110" s="5"/>
      <c r="N110" s="5"/>
      <c r="O110" s="5"/>
      <c r="P110" s="5"/>
      <c r="Q110" s="5"/>
      <c r="R110" s="5"/>
      <c r="S110" s="5"/>
      <c r="T110" s="5"/>
      <c r="U110" s="5"/>
      <c r="V110" s="5"/>
      <c r="W110" s="5"/>
    </row>
    <row r="111" spans="1:23" ht="16" x14ac:dyDescent="0.2">
      <c r="A111" s="5"/>
      <c r="B111" s="6"/>
      <c r="C111" s="6"/>
      <c r="D111" s="6"/>
      <c r="E111" s="6"/>
      <c r="F111" s="5"/>
      <c r="G111" s="5"/>
      <c r="H111" s="5"/>
      <c r="I111" s="5"/>
      <c r="J111" s="5"/>
      <c r="K111" s="5"/>
      <c r="L111" s="5"/>
      <c r="M111" s="5"/>
      <c r="N111" s="5"/>
      <c r="O111" s="5"/>
      <c r="P111" s="5"/>
      <c r="Q111" s="5"/>
      <c r="R111" s="5"/>
      <c r="S111" s="5"/>
      <c r="T111" s="5"/>
      <c r="U111" s="5"/>
      <c r="V111" s="5"/>
      <c r="W111" s="5"/>
    </row>
    <row r="112" spans="1:23" ht="16" x14ac:dyDescent="0.2">
      <c r="A112" s="5"/>
      <c r="B112" s="6"/>
      <c r="C112" s="6"/>
      <c r="D112" s="6"/>
      <c r="E112" s="6"/>
      <c r="F112" s="5"/>
      <c r="G112" s="5"/>
      <c r="H112" s="5"/>
      <c r="I112" s="5"/>
      <c r="J112" s="5"/>
      <c r="K112" s="5"/>
      <c r="L112" s="5"/>
      <c r="M112" s="5"/>
      <c r="N112" s="5"/>
      <c r="O112" s="5"/>
      <c r="P112" s="5"/>
      <c r="Q112" s="5"/>
      <c r="R112" s="5"/>
      <c r="S112" s="5"/>
      <c r="T112" s="5"/>
      <c r="U112" s="5"/>
      <c r="V112" s="5"/>
      <c r="W112" s="5"/>
    </row>
    <row r="113" spans="1:23" ht="16" x14ac:dyDescent="0.2">
      <c r="A113" s="5"/>
      <c r="B113" s="6"/>
      <c r="C113" s="6"/>
      <c r="D113" s="6"/>
      <c r="E113" s="6"/>
      <c r="F113" s="5"/>
      <c r="G113" s="5"/>
      <c r="H113" s="5"/>
      <c r="I113" s="5"/>
      <c r="J113" s="5"/>
      <c r="K113" s="5"/>
      <c r="L113" s="5"/>
      <c r="M113" s="5"/>
      <c r="N113" s="5"/>
      <c r="O113" s="5"/>
      <c r="P113" s="5"/>
      <c r="Q113" s="5"/>
      <c r="R113" s="5"/>
      <c r="S113" s="5"/>
      <c r="T113" s="5"/>
      <c r="U113" s="5"/>
      <c r="V113" s="5"/>
      <c r="W113" s="5"/>
    </row>
    <row r="114" spans="1:23" ht="16" x14ac:dyDescent="0.2">
      <c r="A114" s="5"/>
      <c r="B114" s="6"/>
      <c r="C114" s="6"/>
      <c r="D114" s="6"/>
      <c r="E114" s="6"/>
      <c r="F114" s="5"/>
      <c r="G114" s="5"/>
      <c r="H114" s="5"/>
      <c r="I114" s="5"/>
      <c r="J114" s="5"/>
      <c r="K114" s="5"/>
      <c r="L114" s="5"/>
      <c r="M114" s="5"/>
      <c r="N114" s="5"/>
      <c r="O114" s="5"/>
      <c r="P114" s="5"/>
      <c r="Q114" s="5"/>
      <c r="R114" s="5"/>
      <c r="S114" s="5"/>
      <c r="T114" s="5"/>
      <c r="U114" s="5"/>
      <c r="V114" s="5"/>
      <c r="W114" s="5"/>
    </row>
    <row r="115" spans="1:23" ht="16" x14ac:dyDescent="0.2">
      <c r="A115" s="5"/>
      <c r="B115" s="6"/>
      <c r="C115" s="6"/>
      <c r="D115" s="6"/>
      <c r="E115" s="6"/>
      <c r="F115" s="5"/>
      <c r="G115" s="5"/>
      <c r="H115" s="5"/>
      <c r="I115" s="5"/>
      <c r="J115" s="5"/>
      <c r="K115" s="5"/>
      <c r="L115" s="5"/>
      <c r="M115" s="5"/>
      <c r="N115" s="5"/>
      <c r="O115" s="5"/>
      <c r="P115" s="5"/>
      <c r="Q115" s="5"/>
      <c r="R115" s="5"/>
      <c r="S115" s="5"/>
      <c r="T115" s="5"/>
      <c r="U115" s="5"/>
      <c r="V115" s="5"/>
      <c r="W115" s="5"/>
    </row>
    <row r="116" spans="1:23" ht="16" x14ac:dyDescent="0.2">
      <c r="A116" s="5"/>
      <c r="B116" s="6"/>
      <c r="C116" s="6"/>
      <c r="D116" s="6"/>
      <c r="E116" s="6"/>
      <c r="F116" s="5"/>
      <c r="G116" s="5"/>
      <c r="H116" s="5"/>
      <c r="I116" s="5"/>
      <c r="J116" s="5"/>
      <c r="K116" s="5"/>
      <c r="L116" s="5"/>
      <c r="M116" s="5"/>
      <c r="N116" s="5"/>
      <c r="O116" s="5"/>
      <c r="P116" s="5"/>
      <c r="Q116" s="5"/>
      <c r="R116" s="5"/>
      <c r="S116" s="5"/>
      <c r="T116" s="5"/>
      <c r="U116" s="5"/>
      <c r="V116" s="5"/>
      <c r="W116" s="5"/>
    </row>
    <row r="117" spans="1:23" ht="16" x14ac:dyDescent="0.2">
      <c r="A117" s="5"/>
      <c r="B117" s="6"/>
      <c r="C117" s="6"/>
      <c r="D117" s="6"/>
      <c r="E117" s="6"/>
      <c r="F117" s="5"/>
      <c r="G117" s="5"/>
      <c r="H117" s="5"/>
      <c r="I117" s="5"/>
      <c r="J117" s="5"/>
      <c r="K117" s="5"/>
      <c r="L117" s="5"/>
      <c r="M117" s="5"/>
      <c r="N117" s="5"/>
      <c r="O117" s="5"/>
      <c r="P117" s="5"/>
      <c r="Q117" s="5"/>
      <c r="R117" s="5"/>
      <c r="S117" s="5"/>
      <c r="T117" s="5"/>
      <c r="U117" s="5"/>
      <c r="V117" s="5"/>
      <c r="W117" s="5"/>
    </row>
    <row r="118" spans="1:23" ht="16" x14ac:dyDescent="0.2">
      <c r="A118" s="5"/>
      <c r="B118" s="6"/>
      <c r="C118" s="6"/>
      <c r="D118" s="6"/>
      <c r="E118" s="6"/>
      <c r="F118" s="5"/>
      <c r="G118" s="5"/>
      <c r="H118" s="5"/>
      <c r="I118" s="5"/>
      <c r="J118" s="5"/>
      <c r="K118" s="5"/>
      <c r="L118" s="5"/>
      <c r="M118" s="5"/>
      <c r="N118" s="5"/>
      <c r="O118" s="5"/>
      <c r="P118" s="5"/>
      <c r="Q118" s="5"/>
      <c r="R118" s="5"/>
      <c r="S118" s="5"/>
      <c r="T118" s="5"/>
      <c r="U118" s="5"/>
      <c r="V118" s="5"/>
      <c r="W118" s="5"/>
    </row>
    <row r="119" spans="1:23" ht="16" x14ac:dyDescent="0.2">
      <c r="A119" s="5"/>
      <c r="B119" s="6"/>
      <c r="C119" s="6"/>
      <c r="D119" s="6"/>
      <c r="E119" s="6"/>
      <c r="F119" s="5"/>
      <c r="G119" s="5"/>
      <c r="H119" s="5"/>
      <c r="I119" s="5"/>
      <c r="J119" s="5"/>
      <c r="K119" s="5"/>
      <c r="L119" s="5"/>
      <c r="M119" s="5"/>
      <c r="N119" s="5"/>
      <c r="O119" s="5"/>
      <c r="P119" s="5"/>
      <c r="Q119" s="5"/>
      <c r="R119" s="5"/>
      <c r="S119" s="5"/>
      <c r="T119" s="5"/>
      <c r="U119" s="5"/>
      <c r="V119" s="5"/>
      <c r="W119" s="5"/>
    </row>
    <row r="120" spans="1:23" ht="16" x14ac:dyDescent="0.2">
      <c r="A120" s="5"/>
      <c r="B120" s="6"/>
      <c r="C120" s="6"/>
      <c r="D120" s="6"/>
      <c r="E120" s="6"/>
      <c r="F120" s="5"/>
      <c r="G120" s="5"/>
      <c r="H120" s="5"/>
      <c r="I120" s="5"/>
      <c r="J120" s="5"/>
      <c r="K120" s="5"/>
      <c r="L120" s="5"/>
      <c r="M120" s="5"/>
      <c r="N120" s="5"/>
      <c r="O120" s="5"/>
      <c r="P120" s="5"/>
      <c r="Q120" s="5"/>
      <c r="R120" s="5"/>
      <c r="S120" s="5"/>
      <c r="T120" s="5"/>
      <c r="U120" s="5"/>
      <c r="V120" s="5"/>
      <c r="W120" s="5"/>
    </row>
    <row r="121" spans="1:23" ht="16" x14ac:dyDescent="0.2">
      <c r="A121" s="5"/>
      <c r="B121" s="6"/>
      <c r="C121" s="6"/>
      <c r="D121" s="6"/>
      <c r="E121" s="6"/>
      <c r="F121" s="5"/>
      <c r="G121" s="5"/>
      <c r="H121" s="5"/>
      <c r="I121" s="5"/>
      <c r="J121" s="5"/>
      <c r="K121" s="5"/>
      <c r="L121" s="5"/>
      <c r="M121" s="5"/>
      <c r="N121" s="5"/>
      <c r="O121" s="5"/>
      <c r="P121" s="5"/>
      <c r="Q121" s="5"/>
      <c r="R121" s="5"/>
      <c r="S121" s="5"/>
      <c r="T121" s="5"/>
      <c r="U121" s="5"/>
      <c r="V121" s="5"/>
      <c r="W121" s="5"/>
    </row>
    <row r="122" spans="1:23" ht="16" x14ac:dyDescent="0.2">
      <c r="A122" s="5"/>
      <c r="B122" s="6"/>
      <c r="C122" s="6"/>
      <c r="D122" s="6"/>
      <c r="E122" s="6"/>
      <c r="F122" s="5"/>
      <c r="G122" s="5"/>
      <c r="H122" s="5"/>
      <c r="I122" s="5"/>
      <c r="J122" s="5"/>
      <c r="K122" s="5"/>
      <c r="L122" s="5"/>
      <c r="M122" s="5"/>
      <c r="N122" s="5"/>
      <c r="O122" s="5"/>
      <c r="P122" s="5"/>
      <c r="Q122" s="5"/>
      <c r="R122" s="5"/>
      <c r="S122" s="5"/>
      <c r="T122" s="5"/>
      <c r="U122" s="5"/>
      <c r="V122" s="5"/>
      <c r="W122" s="5"/>
    </row>
    <row r="123" spans="1:23" ht="16" x14ac:dyDescent="0.2">
      <c r="A123" s="5"/>
      <c r="B123" s="6"/>
      <c r="C123" s="6"/>
      <c r="D123" s="6"/>
      <c r="E123" s="6"/>
      <c r="F123" s="5"/>
      <c r="G123" s="5"/>
      <c r="H123" s="5"/>
      <c r="I123" s="5"/>
      <c r="J123" s="5"/>
      <c r="K123" s="5"/>
      <c r="L123" s="5"/>
      <c r="M123" s="5"/>
      <c r="N123" s="5"/>
      <c r="O123" s="5"/>
      <c r="P123" s="5"/>
      <c r="Q123" s="5"/>
      <c r="R123" s="5"/>
      <c r="S123" s="5"/>
      <c r="T123" s="5"/>
      <c r="U123" s="5"/>
      <c r="V123" s="5"/>
      <c r="W123" s="5"/>
    </row>
    <row r="124" spans="1:23" ht="16" x14ac:dyDescent="0.2">
      <c r="A124" s="5"/>
      <c r="B124" s="6"/>
      <c r="C124" s="6"/>
      <c r="D124" s="6"/>
      <c r="E124" s="6"/>
      <c r="F124" s="5"/>
      <c r="G124" s="5"/>
      <c r="H124" s="5"/>
      <c r="I124" s="5"/>
      <c r="J124" s="5"/>
      <c r="K124" s="5"/>
      <c r="L124" s="5"/>
      <c r="M124" s="5"/>
      <c r="N124" s="5"/>
      <c r="O124" s="5"/>
      <c r="P124" s="5"/>
      <c r="Q124" s="5"/>
      <c r="R124" s="5"/>
      <c r="S124" s="5"/>
      <c r="T124" s="5"/>
      <c r="U124" s="5"/>
      <c r="V124" s="5"/>
      <c r="W124" s="5"/>
    </row>
    <row r="125" spans="1:23" ht="16" x14ac:dyDescent="0.2">
      <c r="A125" s="5"/>
      <c r="B125" s="6"/>
      <c r="C125" s="6"/>
      <c r="D125" s="6"/>
      <c r="E125" s="6"/>
      <c r="F125" s="5"/>
      <c r="G125" s="5"/>
      <c r="H125" s="5"/>
      <c r="I125" s="5"/>
      <c r="J125" s="5"/>
      <c r="K125" s="5"/>
      <c r="L125" s="5"/>
      <c r="M125" s="5"/>
      <c r="N125" s="5"/>
      <c r="O125" s="5"/>
      <c r="P125" s="5"/>
      <c r="Q125" s="5"/>
      <c r="R125" s="5"/>
      <c r="S125" s="5"/>
      <c r="T125" s="5"/>
      <c r="U125" s="5"/>
      <c r="V125" s="5"/>
      <c r="W125" s="5"/>
    </row>
    <row r="126" spans="1:23" ht="16" x14ac:dyDescent="0.2">
      <c r="A126" s="5"/>
      <c r="B126" s="6"/>
      <c r="C126" s="6"/>
      <c r="D126" s="6"/>
      <c r="E126" s="6"/>
      <c r="F126" s="5"/>
      <c r="G126" s="5"/>
      <c r="H126" s="5"/>
      <c r="I126" s="5"/>
      <c r="J126" s="5"/>
      <c r="K126" s="5"/>
      <c r="L126" s="5"/>
      <c r="M126" s="5"/>
      <c r="N126" s="5"/>
      <c r="O126" s="5"/>
      <c r="P126" s="5"/>
      <c r="Q126" s="5"/>
      <c r="R126" s="5"/>
      <c r="S126" s="5"/>
      <c r="T126" s="5"/>
      <c r="U126" s="5"/>
      <c r="V126" s="5"/>
      <c r="W126" s="5"/>
    </row>
    <row r="127" spans="1:23" ht="16" x14ac:dyDescent="0.2">
      <c r="A127" s="5"/>
      <c r="B127" s="6"/>
      <c r="C127" s="6"/>
      <c r="D127" s="6"/>
      <c r="E127" s="6"/>
      <c r="F127" s="5"/>
      <c r="G127" s="5"/>
      <c r="H127" s="5"/>
      <c r="I127" s="5"/>
      <c r="J127" s="5"/>
      <c r="K127" s="5"/>
      <c r="L127" s="5"/>
      <c r="M127" s="5"/>
      <c r="N127" s="5"/>
      <c r="O127" s="5"/>
      <c r="P127" s="5"/>
      <c r="Q127" s="5"/>
      <c r="R127" s="5"/>
      <c r="S127" s="5"/>
      <c r="T127" s="5"/>
      <c r="U127" s="5"/>
      <c r="V127" s="5"/>
      <c r="W127" s="5"/>
    </row>
    <row r="128" spans="1:23" ht="16" x14ac:dyDescent="0.2">
      <c r="A128" s="5"/>
      <c r="B128" s="6"/>
      <c r="C128" s="6"/>
      <c r="D128" s="6"/>
      <c r="E128" s="6"/>
      <c r="F128" s="5"/>
      <c r="G128" s="5"/>
      <c r="H128" s="5"/>
      <c r="I128" s="5"/>
      <c r="J128" s="5"/>
      <c r="K128" s="5"/>
      <c r="L128" s="5"/>
      <c r="M128" s="5"/>
      <c r="N128" s="5"/>
      <c r="O128" s="5"/>
      <c r="P128" s="5"/>
      <c r="Q128" s="5"/>
      <c r="R128" s="5"/>
      <c r="S128" s="5"/>
      <c r="T128" s="5"/>
      <c r="U128" s="5"/>
      <c r="V128" s="5"/>
      <c r="W128" s="5"/>
    </row>
    <row r="129" spans="1:23" ht="16" x14ac:dyDescent="0.2">
      <c r="A129" s="5"/>
      <c r="B129" s="6"/>
      <c r="C129" s="6"/>
      <c r="D129" s="6"/>
      <c r="E129" s="6"/>
      <c r="F129" s="5"/>
      <c r="G129" s="5"/>
      <c r="H129" s="5"/>
      <c r="I129" s="5"/>
      <c r="J129" s="5"/>
      <c r="K129" s="5"/>
      <c r="L129" s="5"/>
      <c r="M129" s="5"/>
      <c r="N129" s="5"/>
      <c r="O129" s="5"/>
      <c r="P129" s="5"/>
      <c r="Q129" s="5"/>
      <c r="R129" s="5"/>
      <c r="S129" s="5"/>
      <c r="T129" s="5"/>
      <c r="U129" s="5"/>
      <c r="V129" s="5"/>
      <c r="W129" s="5"/>
    </row>
    <row r="130" spans="1:23" ht="16" x14ac:dyDescent="0.2">
      <c r="A130" s="5"/>
      <c r="B130" s="6"/>
      <c r="C130" s="6"/>
      <c r="D130" s="6"/>
      <c r="E130" s="6"/>
      <c r="F130" s="5"/>
      <c r="G130" s="5"/>
      <c r="H130" s="5"/>
      <c r="I130" s="5"/>
      <c r="J130" s="5"/>
      <c r="K130" s="5"/>
      <c r="L130" s="5"/>
      <c r="M130" s="5"/>
      <c r="N130" s="5"/>
      <c r="O130" s="5"/>
      <c r="P130" s="5"/>
      <c r="Q130" s="5"/>
      <c r="R130" s="5"/>
      <c r="S130" s="5"/>
      <c r="T130" s="5"/>
      <c r="U130" s="5"/>
      <c r="V130" s="5"/>
      <c r="W130" s="5"/>
    </row>
    <row r="131" spans="1:23" ht="16" x14ac:dyDescent="0.2">
      <c r="A131" s="5"/>
      <c r="B131" s="6"/>
      <c r="C131" s="6"/>
      <c r="D131" s="6"/>
      <c r="E131" s="6"/>
      <c r="F131" s="5"/>
      <c r="G131" s="5"/>
      <c r="H131" s="5"/>
      <c r="I131" s="5"/>
      <c r="J131" s="5"/>
      <c r="K131" s="5"/>
      <c r="L131" s="5"/>
      <c r="M131" s="5"/>
      <c r="N131" s="5"/>
      <c r="O131" s="5"/>
      <c r="P131" s="5"/>
      <c r="Q131" s="5"/>
      <c r="R131" s="5"/>
      <c r="S131" s="5"/>
      <c r="T131" s="5"/>
      <c r="U131" s="5"/>
      <c r="V131" s="5"/>
      <c r="W131" s="5"/>
    </row>
    <row r="132" spans="1:23" ht="16" x14ac:dyDescent="0.2">
      <c r="A132" s="5"/>
      <c r="B132" s="6"/>
      <c r="C132" s="6"/>
      <c r="D132" s="6"/>
      <c r="E132" s="6"/>
      <c r="F132" s="5"/>
      <c r="G132" s="5"/>
      <c r="H132" s="5"/>
      <c r="I132" s="5"/>
      <c r="J132" s="5"/>
      <c r="K132" s="5"/>
      <c r="L132" s="5"/>
      <c r="M132" s="5"/>
      <c r="N132" s="5"/>
      <c r="O132" s="5"/>
      <c r="P132" s="5"/>
      <c r="Q132" s="5"/>
      <c r="R132" s="5"/>
      <c r="S132" s="5"/>
      <c r="T132" s="5"/>
      <c r="U132" s="5"/>
      <c r="V132" s="5"/>
      <c r="W132" s="5"/>
    </row>
    <row r="133" spans="1:23" ht="16" x14ac:dyDescent="0.2">
      <c r="A133" s="5"/>
      <c r="B133" s="6"/>
      <c r="C133" s="6"/>
      <c r="D133" s="6"/>
      <c r="E133" s="6"/>
      <c r="F133" s="5"/>
      <c r="G133" s="5"/>
      <c r="H133" s="5"/>
      <c r="I133" s="5"/>
      <c r="J133" s="5"/>
      <c r="K133" s="5"/>
      <c r="L133" s="5"/>
      <c r="M133" s="5"/>
      <c r="N133" s="5"/>
      <c r="O133" s="5"/>
      <c r="P133" s="5"/>
      <c r="Q133" s="5"/>
      <c r="R133" s="5"/>
      <c r="S133" s="5"/>
      <c r="T133" s="5"/>
      <c r="U133" s="5"/>
      <c r="V133" s="5"/>
      <c r="W133" s="5"/>
    </row>
    <row r="134" spans="1:23" ht="16" x14ac:dyDescent="0.2">
      <c r="A134" s="5"/>
      <c r="B134" s="6"/>
      <c r="C134" s="6"/>
      <c r="D134" s="6"/>
      <c r="E134" s="6"/>
      <c r="F134" s="5"/>
      <c r="G134" s="5"/>
      <c r="H134" s="5"/>
      <c r="I134" s="5"/>
      <c r="J134" s="5"/>
      <c r="K134" s="5"/>
      <c r="L134" s="5"/>
      <c r="M134" s="5"/>
      <c r="N134" s="5"/>
      <c r="O134" s="5"/>
      <c r="P134" s="5"/>
      <c r="Q134" s="5"/>
      <c r="R134" s="5"/>
      <c r="S134" s="5"/>
      <c r="T134" s="5"/>
      <c r="U134" s="5"/>
      <c r="V134" s="5"/>
      <c r="W134" s="5"/>
    </row>
    <row r="135" spans="1:23" ht="16" x14ac:dyDescent="0.2">
      <c r="A135" s="5"/>
      <c r="B135" s="6"/>
      <c r="C135" s="6"/>
      <c r="D135" s="6"/>
      <c r="E135" s="6"/>
      <c r="F135" s="5"/>
      <c r="G135" s="5"/>
      <c r="H135" s="5"/>
      <c r="I135" s="5"/>
      <c r="J135" s="5"/>
      <c r="K135" s="5"/>
      <c r="L135" s="5"/>
      <c r="M135" s="5"/>
      <c r="N135" s="5"/>
      <c r="O135" s="5"/>
      <c r="P135" s="5"/>
      <c r="Q135" s="5"/>
      <c r="R135" s="5"/>
      <c r="S135" s="5"/>
      <c r="T135" s="5"/>
      <c r="U135" s="5"/>
      <c r="V135" s="5"/>
      <c r="W135" s="5"/>
    </row>
    <row r="136" spans="1:23" ht="16" x14ac:dyDescent="0.2">
      <c r="A136" s="5"/>
      <c r="B136" s="6"/>
      <c r="C136" s="6"/>
      <c r="D136" s="6"/>
      <c r="E136" s="6"/>
      <c r="F136" s="5"/>
      <c r="G136" s="5"/>
      <c r="H136" s="5"/>
      <c r="I136" s="5"/>
      <c r="J136" s="5"/>
      <c r="K136" s="5"/>
      <c r="L136" s="5"/>
      <c r="M136" s="5"/>
      <c r="N136" s="5"/>
      <c r="O136" s="5"/>
      <c r="P136" s="5"/>
      <c r="Q136" s="5"/>
      <c r="R136" s="5"/>
      <c r="S136" s="5"/>
      <c r="T136" s="5"/>
      <c r="U136" s="5"/>
      <c r="V136" s="5"/>
      <c r="W136" s="5"/>
    </row>
    <row r="137" spans="1:23" ht="16" x14ac:dyDescent="0.2">
      <c r="A137" s="5"/>
      <c r="B137" s="6"/>
      <c r="C137" s="6"/>
      <c r="D137" s="6"/>
      <c r="E137" s="6"/>
      <c r="F137" s="5"/>
      <c r="G137" s="5"/>
      <c r="H137" s="5"/>
      <c r="I137" s="5"/>
      <c r="J137" s="5"/>
      <c r="K137" s="5"/>
      <c r="L137" s="5"/>
      <c r="M137" s="5"/>
      <c r="N137" s="5"/>
      <c r="O137" s="5"/>
      <c r="P137" s="5"/>
      <c r="Q137" s="5"/>
      <c r="R137" s="5"/>
      <c r="S137" s="5"/>
      <c r="T137" s="5"/>
      <c r="U137" s="5"/>
      <c r="V137" s="5"/>
      <c r="W137" s="5"/>
    </row>
    <row r="138" spans="1:23" ht="16" x14ac:dyDescent="0.2">
      <c r="A138" s="5"/>
      <c r="B138" s="6"/>
      <c r="C138" s="6"/>
      <c r="D138" s="6"/>
      <c r="E138" s="6"/>
      <c r="F138" s="5"/>
      <c r="G138" s="5"/>
      <c r="H138" s="5"/>
      <c r="I138" s="5"/>
      <c r="J138" s="5"/>
      <c r="K138" s="5"/>
      <c r="L138" s="5"/>
      <c r="M138" s="5"/>
      <c r="N138" s="5"/>
      <c r="O138" s="5"/>
      <c r="P138" s="5"/>
      <c r="Q138" s="5"/>
      <c r="R138" s="5"/>
      <c r="S138" s="5"/>
      <c r="T138" s="5"/>
      <c r="U138" s="5"/>
      <c r="V138" s="5"/>
      <c r="W138" s="5"/>
    </row>
    <row r="139" spans="1:23" ht="16" x14ac:dyDescent="0.2">
      <c r="A139" s="5"/>
      <c r="B139" s="6"/>
      <c r="C139" s="6"/>
      <c r="D139" s="6"/>
      <c r="E139" s="6"/>
      <c r="F139" s="5"/>
      <c r="G139" s="5"/>
      <c r="H139" s="5"/>
      <c r="I139" s="5"/>
      <c r="J139" s="5"/>
      <c r="K139" s="5"/>
      <c r="L139" s="5"/>
      <c r="M139" s="5"/>
      <c r="N139" s="5"/>
      <c r="O139" s="5"/>
      <c r="P139" s="5"/>
      <c r="Q139" s="5"/>
      <c r="R139" s="5"/>
      <c r="S139" s="5"/>
      <c r="T139" s="5"/>
      <c r="U139" s="5"/>
      <c r="V139" s="5"/>
      <c r="W139" s="5"/>
    </row>
    <row r="140" spans="1:23" ht="16" x14ac:dyDescent="0.2">
      <c r="A140" s="5"/>
      <c r="B140" s="6"/>
      <c r="C140" s="6"/>
      <c r="D140" s="6"/>
      <c r="E140" s="6"/>
      <c r="F140" s="5"/>
      <c r="G140" s="5"/>
      <c r="H140" s="5"/>
      <c r="I140" s="5"/>
      <c r="J140" s="5"/>
      <c r="K140" s="5"/>
      <c r="L140" s="5"/>
      <c r="M140" s="5"/>
      <c r="N140" s="5"/>
      <c r="O140" s="5"/>
      <c r="P140" s="5"/>
      <c r="Q140" s="5"/>
      <c r="R140" s="5"/>
      <c r="S140" s="5"/>
      <c r="T140" s="5"/>
      <c r="U140" s="5"/>
      <c r="V140" s="5"/>
      <c r="W140" s="5"/>
    </row>
    <row r="141" spans="1:23" ht="16" x14ac:dyDescent="0.2">
      <c r="A141" s="5"/>
      <c r="B141" s="6"/>
      <c r="C141" s="6"/>
      <c r="D141" s="6"/>
      <c r="E141" s="6"/>
      <c r="F141" s="5"/>
      <c r="G141" s="5"/>
      <c r="H141" s="5"/>
      <c r="I141" s="5"/>
      <c r="J141" s="5"/>
      <c r="K141" s="5"/>
      <c r="L141" s="5"/>
      <c r="M141" s="5"/>
      <c r="N141" s="5"/>
      <c r="O141" s="5"/>
      <c r="P141" s="5"/>
      <c r="Q141" s="5"/>
      <c r="R141" s="5"/>
      <c r="S141" s="5"/>
      <c r="T141" s="5"/>
      <c r="U141" s="5"/>
      <c r="V141" s="5"/>
      <c r="W141" s="5"/>
    </row>
    <row r="142" spans="1:23" ht="16" x14ac:dyDescent="0.2">
      <c r="A142" s="5"/>
      <c r="B142" s="6"/>
      <c r="C142" s="6"/>
      <c r="D142" s="6"/>
      <c r="E142" s="6"/>
      <c r="F142" s="5"/>
      <c r="G142" s="5"/>
      <c r="H142" s="5"/>
      <c r="I142" s="5"/>
      <c r="J142" s="5"/>
      <c r="K142" s="5"/>
      <c r="L142" s="5"/>
      <c r="M142" s="5"/>
      <c r="N142" s="5"/>
      <c r="O142" s="5"/>
      <c r="P142" s="5"/>
      <c r="Q142" s="5"/>
      <c r="R142" s="5"/>
      <c r="S142" s="5"/>
      <c r="T142" s="5"/>
      <c r="U142" s="5"/>
      <c r="V142" s="5"/>
      <c r="W142" s="5"/>
    </row>
    <row r="143" spans="1:23" ht="16" x14ac:dyDescent="0.2">
      <c r="A143" s="5"/>
      <c r="B143" s="6"/>
      <c r="C143" s="6"/>
      <c r="D143" s="6"/>
      <c r="E143" s="6"/>
      <c r="F143" s="5"/>
      <c r="G143" s="5"/>
      <c r="H143" s="5"/>
      <c r="I143" s="5"/>
      <c r="J143" s="5"/>
      <c r="K143" s="5"/>
      <c r="L143" s="5"/>
      <c r="M143" s="5"/>
      <c r="N143" s="5"/>
      <c r="O143" s="5"/>
      <c r="P143" s="5"/>
      <c r="Q143" s="5"/>
      <c r="R143" s="5"/>
      <c r="S143" s="5"/>
      <c r="T143" s="5"/>
      <c r="U143" s="5"/>
      <c r="V143" s="5"/>
      <c r="W143" s="5"/>
    </row>
    <row r="144" spans="1:23" ht="16" x14ac:dyDescent="0.2">
      <c r="A144" s="5"/>
      <c r="B144" s="6"/>
      <c r="C144" s="6"/>
      <c r="D144" s="6"/>
      <c r="E144" s="6"/>
      <c r="F144" s="5"/>
      <c r="G144" s="5"/>
      <c r="H144" s="5"/>
      <c r="I144" s="5"/>
      <c r="J144" s="5"/>
      <c r="K144" s="5"/>
      <c r="L144" s="5"/>
      <c r="M144" s="5"/>
      <c r="N144" s="5"/>
      <c r="O144" s="5"/>
      <c r="P144" s="5"/>
      <c r="Q144" s="5"/>
      <c r="R144" s="5"/>
      <c r="S144" s="5"/>
      <c r="T144" s="5"/>
      <c r="U144" s="5"/>
      <c r="V144" s="5"/>
      <c r="W144" s="5"/>
    </row>
    <row r="145" spans="1:23" ht="16" x14ac:dyDescent="0.2">
      <c r="A145" s="5"/>
      <c r="B145" s="6"/>
      <c r="C145" s="6"/>
      <c r="D145" s="6"/>
      <c r="E145" s="6"/>
      <c r="F145" s="5"/>
      <c r="G145" s="5"/>
      <c r="H145" s="5"/>
      <c r="I145" s="5"/>
      <c r="J145" s="5"/>
      <c r="K145" s="5"/>
      <c r="L145" s="5"/>
      <c r="M145" s="5"/>
      <c r="N145" s="5"/>
      <c r="O145" s="5"/>
      <c r="P145" s="5"/>
      <c r="Q145" s="5"/>
      <c r="R145" s="5"/>
      <c r="S145" s="5"/>
      <c r="T145" s="5"/>
      <c r="U145" s="5"/>
      <c r="V145" s="5"/>
      <c r="W145" s="5"/>
    </row>
    <row r="146" spans="1:23" ht="16" x14ac:dyDescent="0.2">
      <c r="A146" s="5"/>
      <c r="B146" s="6"/>
      <c r="C146" s="6"/>
      <c r="D146" s="6"/>
      <c r="E146" s="6"/>
      <c r="F146" s="5"/>
      <c r="G146" s="5"/>
      <c r="H146" s="5"/>
      <c r="I146" s="5"/>
      <c r="J146" s="5"/>
      <c r="K146" s="5"/>
      <c r="L146" s="5"/>
      <c r="M146" s="5"/>
      <c r="N146" s="5"/>
      <c r="O146" s="5"/>
      <c r="P146" s="5"/>
      <c r="Q146" s="5"/>
      <c r="R146" s="5"/>
      <c r="S146" s="5"/>
      <c r="T146" s="5"/>
      <c r="U146" s="5"/>
      <c r="V146" s="5"/>
      <c r="W146" s="5"/>
    </row>
    <row r="147" spans="1:23" ht="16" x14ac:dyDescent="0.2">
      <c r="A147" s="5"/>
      <c r="B147" s="6"/>
      <c r="C147" s="6"/>
      <c r="D147" s="6"/>
      <c r="E147" s="6"/>
      <c r="F147" s="5"/>
      <c r="G147" s="5"/>
      <c r="H147" s="5"/>
      <c r="I147" s="5"/>
      <c r="J147" s="5"/>
      <c r="K147" s="5"/>
      <c r="L147" s="5"/>
      <c r="M147" s="5"/>
      <c r="N147" s="5"/>
      <c r="O147" s="5"/>
      <c r="P147" s="5"/>
      <c r="Q147" s="5"/>
      <c r="R147" s="5"/>
      <c r="S147" s="5"/>
      <c r="T147" s="5"/>
      <c r="U147" s="5"/>
      <c r="V147" s="5"/>
      <c r="W147" s="5"/>
    </row>
    <row r="148" spans="1:23" ht="16" x14ac:dyDescent="0.2">
      <c r="A148" s="5"/>
      <c r="B148" s="6"/>
      <c r="C148" s="6"/>
      <c r="D148" s="6"/>
      <c r="E148" s="6"/>
      <c r="F148" s="5"/>
      <c r="G148" s="5"/>
      <c r="H148" s="5"/>
      <c r="I148" s="5"/>
      <c r="J148" s="5"/>
      <c r="K148" s="5"/>
      <c r="L148" s="5"/>
      <c r="M148" s="5"/>
      <c r="N148" s="5"/>
      <c r="O148" s="5"/>
      <c r="P148" s="5"/>
      <c r="Q148" s="5"/>
      <c r="R148" s="5"/>
      <c r="S148" s="5"/>
      <c r="T148" s="5"/>
      <c r="U148" s="5"/>
      <c r="V148" s="5"/>
      <c r="W148" s="5"/>
    </row>
    <row r="149" spans="1:23" ht="16" x14ac:dyDescent="0.2">
      <c r="A149" s="5"/>
      <c r="B149" s="6"/>
      <c r="C149" s="6"/>
      <c r="D149" s="6"/>
      <c r="E149" s="6"/>
      <c r="F149" s="5"/>
      <c r="G149" s="5"/>
      <c r="H149" s="5"/>
      <c r="I149" s="5"/>
      <c r="J149" s="5"/>
      <c r="K149" s="5"/>
      <c r="L149" s="5"/>
      <c r="M149" s="5"/>
      <c r="N149" s="5"/>
      <c r="O149" s="5"/>
      <c r="P149" s="5"/>
      <c r="Q149" s="5"/>
      <c r="R149" s="5"/>
      <c r="S149" s="5"/>
      <c r="T149" s="5"/>
      <c r="U149" s="5"/>
      <c r="V149" s="5"/>
      <c r="W149" s="5"/>
    </row>
    <row r="150" spans="1:23" ht="16" x14ac:dyDescent="0.2">
      <c r="A150" s="5"/>
      <c r="B150" s="6"/>
      <c r="C150" s="6"/>
      <c r="D150" s="6"/>
      <c r="E150" s="6"/>
      <c r="F150" s="5"/>
      <c r="G150" s="5"/>
      <c r="H150" s="5"/>
      <c r="I150" s="5"/>
      <c r="J150" s="5"/>
      <c r="K150" s="5"/>
      <c r="L150" s="5"/>
      <c r="M150" s="5"/>
      <c r="N150" s="5"/>
      <c r="O150" s="5"/>
      <c r="P150" s="5"/>
      <c r="Q150" s="5"/>
      <c r="R150" s="5"/>
      <c r="S150" s="5"/>
      <c r="T150" s="5"/>
      <c r="U150" s="5"/>
      <c r="V150" s="5"/>
      <c r="W150" s="5"/>
    </row>
    <row r="151" spans="1:23" ht="16" x14ac:dyDescent="0.2">
      <c r="A151" s="5"/>
      <c r="B151" s="6"/>
      <c r="C151" s="6"/>
      <c r="D151" s="6"/>
      <c r="E151" s="6"/>
      <c r="F151" s="5"/>
      <c r="G151" s="5"/>
      <c r="H151" s="5"/>
      <c r="I151" s="5"/>
      <c r="J151" s="5"/>
      <c r="K151" s="5"/>
      <c r="L151" s="5"/>
      <c r="M151" s="5"/>
      <c r="N151" s="5"/>
      <c r="O151" s="5"/>
      <c r="P151" s="5"/>
      <c r="Q151" s="5"/>
      <c r="R151" s="5"/>
      <c r="S151" s="5"/>
      <c r="T151" s="5"/>
      <c r="U151" s="5"/>
      <c r="V151" s="5"/>
      <c r="W151" s="5"/>
    </row>
    <row r="152" spans="1:23" ht="16" x14ac:dyDescent="0.2">
      <c r="A152" s="5"/>
      <c r="B152" s="6"/>
      <c r="C152" s="6"/>
      <c r="D152" s="6"/>
      <c r="E152" s="6"/>
      <c r="F152" s="5"/>
      <c r="G152" s="5"/>
      <c r="H152" s="5"/>
      <c r="I152" s="5"/>
      <c r="J152" s="5"/>
      <c r="K152" s="5"/>
      <c r="L152" s="5"/>
      <c r="M152" s="5"/>
      <c r="N152" s="5"/>
      <c r="O152" s="5"/>
      <c r="P152" s="5"/>
      <c r="Q152" s="5"/>
      <c r="R152" s="5"/>
      <c r="S152" s="5"/>
      <c r="T152" s="5"/>
      <c r="U152" s="5"/>
      <c r="V152" s="5"/>
      <c r="W152" s="5"/>
    </row>
    <row r="153" spans="1:23" ht="16" x14ac:dyDescent="0.2">
      <c r="A153" s="5"/>
      <c r="B153" s="6"/>
      <c r="C153" s="6"/>
      <c r="D153" s="6"/>
      <c r="E153" s="6"/>
      <c r="F153" s="5"/>
      <c r="G153" s="5"/>
      <c r="H153" s="5"/>
      <c r="I153" s="5"/>
      <c r="J153" s="5"/>
      <c r="K153" s="5"/>
      <c r="L153" s="5"/>
      <c r="M153" s="5"/>
      <c r="N153" s="5"/>
      <c r="O153" s="5"/>
      <c r="P153" s="5"/>
      <c r="Q153" s="5"/>
      <c r="R153" s="5"/>
      <c r="S153" s="5"/>
      <c r="T153" s="5"/>
      <c r="U153" s="5"/>
      <c r="V153" s="5"/>
      <c r="W153" s="5"/>
    </row>
    <row r="154" spans="1:23" ht="16" x14ac:dyDescent="0.2">
      <c r="A154" s="5"/>
      <c r="B154" s="6"/>
      <c r="C154" s="6"/>
      <c r="D154" s="6"/>
      <c r="E154" s="6"/>
      <c r="F154" s="5"/>
      <c r="G154" s="5"/>
      <c r="H154" s="5"/>
      <c r="I154" s="5"/>
      <c r="J154" s="5"/>
      <c r="K154" s="5"/>
      <c r="L154" s="5"/>
      <c r="M154" s="5"/>
      <c r="N154" s="5"/>
      <c r="O154" s="5"/>
      <c r="P154" s="5"/>
      <c r="Q154" s="5"/>
      <c r="R154" s="5"/>
      <c r="S154" s="5"/>
      <c r="T154" s="5"/>
      <c r="U154" s="5"/>
      <c r="V154" s="5"/>
      <c r="W154" s="5"/>
    </row>
    <row r="155" spans="1:23" ht="16" x14ac:dyDescent="0.2">
      <c r="A155" s="5"/>
      <c r="B155" s="6"/>
      <c r="C155" s="6"/>
      <c r="D155" s="6"/>
      <c r="E155" s="6"/>
      <c r="F155" s="5"/>
      <c r="G155" s="5"/>
      <c r="H155" s="5"/>
      <c r="I155" s="5"/>
      <c r="J155" s="5"/>
      <c r="K155" s="5"/>
      <c r="L155" s="5"/>
      <c r="M155" s="5"/>
      <c r="N155" s="5"/>
      <c r="O155" s="5"/>
      <c r="P155" s="5"/>
      <c r="Q155" s="5"/>
      <c r="R155" s="5"/>
      <c r="S155" s="5"/>
      <c r="T155" s="5"/>
      <c r="U155" s="5"/>
      <c r="V155" s="5"/>
      <c r="W155" s="5"/>
    </row>
    <row r="156" spans="1:23" ht="16" x14ac:dyDescent="0.2">
      <c r="A156" s="5"/>
      <c r="B156" s="6"/>
      <c r="C156" s="6"/>
      <c r="D156" s="6"/>
      <c r="E156" s="6"/>
      <c r="F156" s="5"/>
      <c r="G156" s="5"/>
      <c r="H156" s="5"/>
      <c r="I156" s="5"/>
      <c r="J156" s="5"/>
      <c r="K156" s="5"/>
      <c r="L156" s="5"/>
      <c r="M156" s="5"/>
      <c r="N156" s="5"/>
      <c r="O156" s="5"/>
      <c r="P156" s="5"/>
      <c r="Q156" s="5"/>
      <c r="R156" s="5"/>
      <c r="S156" s="5"/>
      <c r="T156" s="5"/>
      <c r="U156" s="5"/>
      <c r="V156" s="5"/>
      <c r="W156" s="5"/>
    </row>
    <row r="157" spans="1:23" ht="16" x14ac:dyDescent="0.2">
      <c r="A157" s="5"/>
      <c r="B157" s="6"/>
      <c r="C157" s="6"/>
      <c r="D157" s="6"/>
      <c r="E157" s="6"/>
      <c r="F157" s="5"/>
      <c r="G157" s="5"/>
      <c r="H157" s="5"/>
      <c r="I157" s="5"/>
      <c r="J157" s="5"/>
      <c r="K157" s="5"/>
      <c r="L157" s="5"/>
      <c r="M157" s="5"/>
      <c r="N157" s="5"/>
      <c r="O157" s="5"/>
      <c r="P157" s="5"/>
      <c r="Q157" s="5"/>
      <c r="R157" s="5"/>
      <c r="S157" s="5"/>
      <c r="T157" s="5"/>
      <c r="U157" s="5"/>
      <c r="V157" s="5"/>
      <c r="W157" s="5"/>
    </row>
    <row r="158" spans="1:23" ht="16" x14ac:dyDescent="0.2">
      <c r="A158" s="5"/>
      <c r="B158" s="6"/>
      <c r="C158" s="6"/>
      <c r="D158" s="6"/>
      <c r="E158" s="6"/>
      <c r="F158" s="5"/>
      <c r="G158" s="5"/>
      <c r="H158" s="5"/>
      <c r="I158" s="5"/>
      <c r="J158" s="5"/>
      <c r="K158" s="5"/>
      <c r="L158" s="5"/>
      <c r="M158" s="5"/>
      <c r="N158" s="5"/>
      <c r="O158" s="5"/>
      <c r="P158" s="5"/>
      <c r="Q158" s="5"/>
      <c r="R158" s="5"/>
      <c r="S158" s="5"/>
      <c r="T158" s="5"/>
      <c r="U158" s="5"/>
      <c r="V158" s="5"/>
      <c r="W158" s="5"/>
    </row>
    <row r="159" spans="1:23" ht="16" x14ac:dyDescent="0.2">
      <c r="A159" s="5"/>
      <c r="B159" s="6"/>
      <c r="C159" s="6"/>
      <c r="D159" s="6"/>
      <c r="E159" s="6"/>
      <c r="F159" s="5"/>
      <c r="G159" s="5"/>
      <c r="H159" s="5"/>
      <c r="I159" s="5"/>
      <c r="J159" s="5"/>
      <c r="K159" s="5"/>
      <c r="L159" s="5"/>
      <c r="M159" s="5"/>
      <c r="N159" s="5"/>
      <c r="O159" s="5"/>
      <c r="P159" s="5"/>
      <c r="Q159" s="5"/>
      <c r="R159" s="5"/>
      <c r="S159" s="5"/>
      <c r="T159" s="5"/>
      <c r="U159" s="5"/>
      <c r="V159" s="5"/>
      <c r="W159" s="5"/>
    </row>
    <row r="160" spans="1:23" ht="16" x14ac:dyDescent="0.2">
      <c r="A160" s="5"/>
      <c r="B160" s="6"/>
      <c r="C160" s="6"/>
      <c r="D160" s="6"/>
      <c r="E160" s="6"/>
      <c r="F160" s="5"/>
      <c r="G160" s="5"/>
      <c r="H160" s="5"/>
      <c r="I160" s="5"/>
      <c r="J160" s="5"/>
      <c r="K160" s="5"/>
      <c r="L160" s="5"/>
      <c r="M160" s="5"/>
      <c r="N160" s="5"/>
      <c r="O160" s="5"/>
      <c r="P160" s="5"/>
      <c r="Q160" s="5"/>
      <c r="R160" s="5"/>
      <c r="S160" s="5"/>
      <c r="T160" s="5"/>
      <c r="U160" s="5"/>
      <c r="V160" s="5"/>
      <c r="W160" s="5"/>
    </row>
    <row r="161" spans="1:23" ht="16" x14ac:dyDescent="0.2">
      <c r="A161" s="5"/>
      <c r="B161" s="6"/>
      <c r="C161" s="6"/>
      <c r="D161" s="6"/>
      <c r="E161" s="6"/>
      <c r="F161" s="5"/>
      <c r="G161" s="5"/>
      <c r="H161" s="5"/>
      <c r="I161" s="5"/>
      <c r="J161" s="5"/>
      <c r="K161" s="5"/>
      <c r="L161" s="5"/>
      <c r="M161" s="5"/>
      <c r="N161" s="5"/>
      <c r="O161" s="5"/>
      <c r="P161" s="5"/>
      <c r="Q161" s="5"/>
      <c r="R161" s="5"/>
      <c r="S161" s="5"/>
      <c r="T161" s="5"/>
      <c r="U161" s="5"/>
      <c r="V161" s="5"/>
      <c r="W161" s="5"/>
    </row>
    <row r="162" spans="1:23" ht="16" x14ac:dyDescent="0.2">
      <c r="A162" s="5"/>
      <c r="B162" s="6"/>
      <c r="C162" s="6"/>
      <c r="D162" s="6"/>
      <c r="E162" s="6"/>
      <c r="F162" s="5"/>
      <c r="G162" s="5"/>
      <c r="H162" s="5"/>
      <c r="I162" s="5"/>
      <c r="J162" s="5"/>
      <c r="K162" s="5"/>
      <c r="L162" s="5"/>
      <c r="M162" s="5"/>
      <c r="N162" s="5"/>
      <c r="O162" s="5"/>
      <c r="P162" s="5"/>
      <c r="Q162" s="5"/>
      <c r="R162" s="5"/>
      <c r="S162" s="5"/>
      <c r="T162" s="5"/>
      <c r="U162" s="5"/>
      <c r="V162" s="5"/>
      <c r="W162" s="5"/>
    </row>
    <row r="163" spans="1:23" ht="16" x14ac:dyDescent="0.2">
      <c r="A163" s="5"/>
      <c r="B163" s="6"/>
      <c r="C163" s="6"/>
      <c r="D163" s="6"/>
      <c r="E163" s="6"/>
      <c r="F163" s="5"/>
      <c r="G163" s="5"/>
      <c r="H163" s="5"/>
      <c r="I163" s="5"/>
      <c r="J163" s="5"/>
      <c r="K163" s="5"/>
      <c r="L163" s="5"/>
      <c r="M163" s="5"/>
      <c r="N163" s="5"/>
      <c r="O163" s="5"/>
      <c r="P163" s="5"/>
      <c r="Q163" s="5"/>
      <c r="R163" s="5"/>
      <c r="S163" s="5"/>
      <c r="T163" s="5"/>
      <c r="U163" s="5"/>
      <c r="V163" s="5"/>
      <c r="W163" s="5"/>
    </row>
    <row r="164" spans="1:23" ht="16" x14ac:dyDescent="0.2">
      <c r="A164" s="5"/>
      <c r="B164" s="6"/>
      <c r="C164" s="6"/>
      <c r="D164" s="6"/>
      <c r="E164" s="6"/>
      <c r="F164" s="5"/>
      <c r="G164" s="5"/>
      <c r="H164" s="5"/>
      <c r="I164" s="5"/>
      <c r="J164" s="5"/>
      <c r="K164" s="5"/>
      <c r="L164" s="5"/>
      <c r="M164" s="5"/>
      <c r="N164" s="5"/>
      <c r="O164" s="5"/>
      <c r="P164" s="5"/>
      <c r="Q164" s="5"/>
      <c r="R164" s="5"/>
      <c r="S164" s="5"/>
      <c r="T164" s="5"/>
      <c r="U164" s="5"/>
      <c r="V164" s="5"/>
      <c r="W164" s="5"/>
    </row>
    <row r="165" spans="1:23" ht="16" x14ac:dyDescent="0.2">
      <c r="A165" s="5"/>
      <c r="B165" s="6"/>
      <c r="C165" s="6"/>
      <c r="D165" s="6"/>
      <c r="E165" s="6"/>
      <c r="F165" s="5"/>
      <c r="G165" s="5"/>
      <c r="H165" s="5"/>
      <c r="I165" s="5"/>
      <c r="J165" s="5"/>
      <c r="K165" s="5"/>
      <c r="L165" s="5"/>
      <c r="M165" s="5"/>
      <c r="N165" s="5"/>
      <c r="O165" s="5"/>
      <c r="P165" s="5"/>
      <c r="Q165" s="5"/>
      <c r="R165" s="5"/>
      <c r="S165" s="5"/>
      <c r="T165" s="5"/>
      <c r="U165" s="5"/>
      <c r="V165" s="5"/>
      <c r="W165" s="5"/>
    </row>
    <row r="166" spans="1:23" ht="16" x14ac:dyDescent="0.2">
      <c r="A166" s="5"/>
      <c r="B166" s="6"/>
      <c r="C166" s="6"/>
      <c r="D166" s="6"/>
      <c r="E166" s="6"/>
      <c r="F166" s="5"/>
      <c r="G166" s="5"/>
      <c r="H166" s="5"/>
      <c r="I166" s="5"/>
      <c r="J166" s="5"/>
      <c r="K166" s="5"/>
      <c r="L166" s="5"/>
      <c r="M166" s="5"/>
      <c r="N166" s="5"/>
      <c r="O166" s="5"/>
      <c r="P166" s="5"/>
      <c r="Q166" s="5"/>
      <c r="R166" s="5"/>
      <c r="S166" s="5"/>
      <c r="T166" s="5"/>
      <c r="U166" s="5"/>
      <c r="V166" s="5"/>
      <c r="W166" s="5"/>
    </row>
    <row r="167" spans="1:23" ht="16" x14ac:dyDescent="0.2">
      <c r="A167" s="5"/>
      <c r="B167" s="6"/>
      <c r="C167" s="6"/>
      <c r="D167" s="6"/>
      <c r="E167" s="6"/>
      <c r="F167" s="5"/>
      <c r="G167" s="5"/>
      <c r="H167" s="5"/>
      <c r="I167" s="5"/>
      <c r="J167" s="5"/>
      <c r="K167" s="5"/>
      <c r="L167" s="5"/>
      <c r="M167" s="5"/>
      <c r="N167" s="5"/>
      <c r="O167" s="5"/>
      <c r="P167" s="5"/>
      <c r="Q167" s="5"/>
      <c r="R167" s="5"/>
      <c r="S167" s="5"/>
      <c r="T167" s="5"/>
      <c r="U167" s="5"/>
      <c r="V167" s="5"/>
      <c r="W167" s="5"/>
    </row>
    <row r="168" spans="1:23" ht="16" x14ac:dyDescent="0.2">
      <c r="A168" s="5"/>
      <c r="B168" s="6"/>
      <c r="C168" s="6"/>
      <c r="D168" s="6"/>
      <c r="E168" s="6"/>
      <c r="F168" s="5"/>
      <c r="G168" s="5"/>
      <c r="H168" s="5"/>
      <c r="I168" s="5"/>
      <c r="J168" s="5"/>
      <c r="K168" s="5"/>
      <c r="L168" s="5"/>
      <c r="M168" s="5"/>
      <c r="N168" s="5"/>
      <c r="O168" s="5"/>
      <c r="P168" s="5"/>
      <c r="Q168" s="5"/>
      <c r="R168" s="5"/>
      <c r="S168" s="5"/>
      <c r="T168" s="5"/>
      <c r="U168" s="5"/>
      <c r="V168" s="5"/>
      <c r="W168" s="5"/>
    </row>
    <row r="169" spans="1:23" ht="16" x14ac:dyDescent="0.2">
      <c r="A169" s="5"/>
      <c r="B169" s="6"/>
      <c r="C169" s="6"/>
      <c r="D169" s="6"/>
      <c r="E169" s="6"/>
      <c r="F169" s="5"/>
      <c r="G169" s="5"/>
      <c r="H169" s="5"/>
      <c r="I169" s="5"/>
      <c r="J169" s="5"/>
      <c r="K169" s="5"/>
      <c r="L169" s="5"/>
      <c r="M169" s="5"/>
      <c r="N169" s="5"/>
      <c r="O169" s="5"/>
      <c r="P169" s="5"/>
      <c r="Q169" s="5"/>
      <c r="R169" s="5"/>
      <c r="S169" s="5"/>
      <c r="T169" s="5"/>
      <c r="U169" s="5"/>
      <c r="V169" s="5"/>
      <c r="W169" s="5"/>
    </row>
    <row r="170" spans="1:23" ht="16" x14ac:dyDescent="0.2">
      <c r="A170" s="5"/>
      <c r="B170" s="6"/>
      <c r="C170" s="6"/>
      <c r="D170" s="6"/>
      <c r="E170" s="6"/>
      <c r="F170" s="5"/>
      <c r="G170" s="5"/>
      <c r="H170" s="5"/>
      <c r="I170" s="5"/>
      <c r="J170" s="5"/>
      <c r="K170" s="5"/>
      <c r="L170" s="5"/>
      <c r="M170" s="5"/>
      <c r="N170" s="5"/>
      <c r="O170" s="5"/>
      <c r="P170" s="5"/>
      <c r="Q170" s="5"/>
      <c r="R170" s="5"/>
      <c r="S170" s="5"/>
      <c r="T170" s="5"/>
      <c r="U170" s="5"/>
      <c r="V170" s="5"/>
      <c r="W170" s="5"/>
    </row>
    <row r="171" spans="1:23" ht="16" x14ac:dyDescent="0.2">
      <c r="A171" s="5"/>
      <c r="B171" s="6"/>
      <c r="C171" s="6"/>
      <c r="D171" s="6"/>
      <c r="E171" s="6"/>
      <c r="F171" s="5"/>
      <c r="G171" s="5"/>
      <c r="H171" s="5"/>
      <c r="I171" s="5"/>
      <c r="J171" s="5"/>
      <c r="K171" s="5"/>
      <c r="L171" s="5"/>
      <c r="M171" s="5"/>
      <c r="N171" s="5"/>
      <c r="O171" s="5"/>
      <c r="P171" s="5"/>
      <c r="Q171" s="5"/>
      <c r="R171" s="5"/>
      <c r="S171" s="5"/>
      <c r="T171" s="5"/>
      <c r="U171" s="5"/>
      <c r="V171" s="5"/>
      <c r="W171" s="5"/>
    </row>
    <row r="172" spans="1:23" ht="16" x14ac:dyDescent="0.2">
      <c r="A172" s="5"/>
      <c r="B172" s="6"/>
      <c r="C172" s="6"/>
      <c r="D172" s="6"/>
      <c r="E172" s="6"/>
      <c r="F172" s="5"/>
      <c r="G172" s="5"/>
      <c r="H172" s="5"/>
      <c r="I172" s="5"/>
      <c r="J172" s="5"/>
      <c r="K172" s="5"/>
      <c r="L172" s="5"/>
      <c r="M172" s="5"/>
      <c r="N172" s="5"/>
      <c r="O172" s="5"/>
      <c r="P172" s="5"/>
      <c r="Q172" s="5"/>
      <c r="R172" s="5"/>
      <c r="S172" s="5"/>
      <c r="T172" s="5"/>
      <c r="U172" s="5"/>
      <c r="V172" s="5"/>
      <c r="W172" s="5"/>
    </row>
    <row r="173" spans="1:23" ht="16" x14ac:dyDescent="0.2">
      <c r="A173" s="5"/>
      <c r="B173" s="6"/>
      <c r="C173" s="6"/>
      <c r="D173" s="6"/>
      <c r="E173" s="6"/>
      <c r="F173" s="5"/>
      <c r="G173" s="5"/>
      <c r="H173" s="5"/>
      <c r="I173" s="5"/>
      <c r="J173" s="5"/>
      <c r="K173" s="5"/>
      <c r="L173" s="5"/>
      <c r="M173" s="5"/>
      <c r="N173" s="5"/>
      <c r="O173" s="5"/>
      <c r="P173" s="5"/>
      <c r="Q173" s="5"/>
      <c r="R173" s="5"/>
      <c r="S173" s="5"/>
      <c r="T173" s="5"/>
      <c r="U173" s="5"/>
      <c r="V173" s="5"/>
      <c r="W173" s="5"/>
    </row>
    <row r="174" spans="1:23" ht="16" x14ac:dyDescent="0.2">
      <c r="A174" s="5"/>
      <c r="B174" s="6"/>
      <c r="C174" s="6"/>
      <c r="D174" s="6"/>
      <c r="E174" s="6"/>
      <c r="F174" s="5"/>
      <c r="G174" s="5"/>
      <c r="H174" s="5"/>
      <c r="I174" s="5"/>
      <c r="J174" s="5"/>
      <c r="K174" s="5"/>
      <c r="L174" s="5"/>
      <c r="M174" s="5"/>
      <c r="N174" s="5"/>
      <c r="O174" s="5"/>
      <c r="P174" s="5"/>
      <c r="Q174" s="5"/>
      <c r="R174" s="5"/>
      <c r="S174" s="5"/>
      <c r="T174" s="5"/>
      <c r="U174" s="5"/>
      <c r="V174" s="5"/>
      <c r="W174" s="5"/>
    </row>
    <row r="175" spans="1:23" ht="16" x14ac:dyDescent="0.2">
      <c r="A175" s="5"/>
      <c r="B175" s="6"/>
      <c r="C175" s="6"/>
      <c r="D175" s="6"/>
      <c r="E175" s="6"/>
      <c r="F175" s="5"/>
      <c r="G175" s="5"/>
      <c r="H175" s="5"/>
      <c r="I175" s="5"/>
      <c r="J175" s="5"/>
      <c r="K175" s="5"/>
      <c r="L175" s="5"/>
      <c r="M175" s="5"/>
      <c r="N175" s="5"/>
      <c r="O175" s="5"/>
      <c r="P175" s="5"/>
      <c r="Q175" s="5"/>
      <c r="R175" s="5"/>
      <c r="S175" s="5"/>
      <c r="T175" s="5"/>
      <c r="U175" s="5"/>
      <c r="V175" s="5"/>
      <c r="W175" s="5"/>
    </row>
    <row r="176" spans="1:23" ht="16" x14ac:dyDescent="0.2">
      <c r="A176" s="5"/>
      <c r="B176" s="6"/>
      <c r="C176" s="6"/>
      <c r="D176" s="6"/>
      <c r="E176" s="6"/>
      <c r="F176" s="5"/>
      <c r="G176" s="5"/>
      <c r="H176" s="5"/>
      <c r="I176" s="5"/>
      <c r="J176" s="5"/>
      <c r="K176" s="5"/>
      <c r="L176" s="5"/>
      <c r="M176" s="5"/>
      <c r="N176" s="5"/>
      <c r="O176" s="5"/>
      <c r="P176" s="5"/>
      <c r="Q176" s="5"/>
      <c r="R176" s="5"/>
      <c r="S176" s="5"/>
      <c r="T176" s="5"/>
      <c r="U176" s="5"/>
      <c r="V176" s="5"/>
      <c r="W176" s="5"/>
    </row>
    <row r="177" spans="1:23" ht="16" x14ac:dyDescent="0.2">
      <c r="A177" s="5"/>
      <c r="B177" s="6"/>
      <c r="C177" s="6"/>
      <c r="D177" s="6"/>
      <c r="E177" s="6"/>
      <c r="F177" s="5"/>
      <c r="G177" s="5"/>
      <c r="H177" s="5"/>
      <c r="I177" s="5"/>
      <c r="J177" s="5"/>
      <c r="K177" s="5"/>
      <c r="L177" s="5"/>
      <c r="M177" s="5"/>
      <c r="N177" s="5"/>
      <c r="O177" s="5"/>
      <c r="P177" s="5"/>
      <c r="Q177" s="5"/>
      <c r="R177" s="5"/>
      <c r="S177" s="5"/>
      <c r="T177" s="5"/>
      <c r="U177" s="5"/>
      <c r="V177" s="5"/>
      <c r="W177" s="5"/>
    </row>
    <row r="178" spans="1:23" ht="16" x14ac:dyDescent="0.2">
      <c r="A178" s="5"/>
      <c r="B178" s="6"/>
      <c r="C178" s="6"/>
      <c r="D178" s="6"/>
      <c r="E178" s="6"/>
      <c r="F178" s="5"/>
      <c r="G178" s="5"/>
      <c r="H178" s="5"/>
      <c r="I178" s="5"/>
      <c r="J178" s="5"/>
      <c r="K178" s="5"/>
      <c r="L178" s="5"/>
      <c r="M178" s="5"/>
      <c r="N178" s="5"/>
      <c r="O178" s="5"/>
      <c r="P178" s="5"/>
      <c r="Q178" s="5"/>
      <c r="R178" s="5"/>
      <c r="S178" s="5"/>
      <c r="T178" s="5"/>
      <c r="U178" s="5"/>
      <c r="V178" s="5"/>
      <c r="W178" s="5"/>
    </row>
    <row r="179" spans="1:23" ht="16" x14ac:dyDescent="0.2">
      <c r="A179" s="5"/>
      <c r="B179" s="6"/>
      <c r="C179" s="6"/>
      <c r="D179" s="6"/>
      <c r="E179" s="6"/>
      <c r="F179" s="5"/>
      <c r="G179" s="5"/>
      <c r="H179" s="5"/>
      <c r="I179" s="5"/>
      <c r="J179" s="5"/>
      <c r="K179" s="5"/>
      <c r="L179" s="5"/>
      <c r="M179" s="5"/>
      <c r="N179" s="5"/>
      <c r="O179" s="5"/>
      <c r="P179" s="5"/>
      <c r="Q179" s="5"/>
      <c r="R179" s="5"/>
      <c r="S179" s="5"/>
      <c r="T179" s="5"/>
      <c r="U179" s="5"/>
      <c r="V179" s="5"/>
      <c r="W179" s="5"/>
    </row>
    <row r="180" spans="1:23" ht="16" x14ac:dyDescent="0.2">
      <c r="A180" s="5"/>
      <c r="B180" s="6"/>
      <c r="C180" s="6"/>
      <c r="D180" s="6"/>
      <c r="E180" s="6"/>
      <c r="F180" s="5"/>
      <c r="G180" s="5"/>
      <c r="H180" s="5"/>
      <c r="I180" s="5"/>
      <c r="J180" s="5"/>
      <c r="K180" s="5"/>
      <c r="L180" s="5"/>
      <c r="M180" s="5"/>
      <c r="N180" s="5"/>
      <c r="O180" s="5"/>
      <c r="P180" s="5"/>
      <c r="Q180" s="5"/>
      <c r="R180" s="5"/>
      <c r="S180" s="5"/>
      <c r="T180" s="5"/>
      <c r="U180" s="5"/>
      <c r="V180" s="5"/>
      <c r="W180" s="5"/>
    </row>
    <row r="181" spans="1:23" ht="16" x14ac:dyDescent="0.2">
      <c r="A181" s="5"/>
      <c r="B181" s="6"/>
      <c r="C181" s="6"/>
      <c r="D181" s="6"/>
      <c r="E181" s="6"/>
      <c r="F181" s="5"/>
      <c r="G181" s="5"/>
      <c r="H181" s="5"/>
      <c r="I181" s="5"/>
      <c r="J181" s="5"/>
      <c r="K181" s="5"/>
      <c r="L181" s="5"/>
      <c r="M181" s="5"/>
      <c r="N181" s="5"/>
      <c r="O181" s="5"/>
      <c r="P181" s="5"/>
      <c r="Q181" s="5"/>
      <c r="R181" s="5"/>
      <c r="S181" s="5"/>
      <c r="T181" s="5"/>
      <c r="U181" s="5"/>
      <c r="V181" s="5"/>
      <c r="W181" s="5"/>
    </row>
    <row r="182" spans="1:23" ht="16" x14ac:dyDescent="0.2">
      <c r="A182" s="5"/>
      <c r="B182" s="6"/>
      <c r="C182" s="6"/>
      <c r="D182" s="6"/>
      <c r="E182" s="6"/>
      <c r="F182" s="5"/>
      <c r="G182" s="5"/>
      <c r="H182" s="5"/>
      <c r="I182" s="5"/>
      <c r="J182" s="5"/>
      <c r="K182" s="5"/>
      <c r="L182" s="5"/>
      <c r="M182" s="5"/>
      <c r="N182" s="5"/>
      <c r="O182" s="5"/>
      <c r="P182" s="5"/>
      <c r="Q182" s="5"/>
      <c r="R182" s="5"/>
      <c r="S182" s="5"/>
      <c r="T182" s="5"/>
      <c r="U182" s="5"/>
      <c r="V182" s="5"/>
      <c r="W182" s="5"/>
    </row>
    <row r="183" spans="1:23" ht="16" x14ac:dyDescent="0.2">
      <c r="A183" s="5"/>
      <c r="B183" s="6"/>
      <c r="C183" s="6"/>
      <c r="D183" s="6"/>
      <c r="E183" s="6"/>
      <c r="F183" s="5"/>
      <c r="G183" s="5"/>
      <c r="H183" s="5"/>
      <c r="I183" s="5"/>
      <c r="J183" s="5"/>
      <c r="K183" s="5"/>
      <c r="L183" s="5"/>
      <c r="M183" s="5"/>
      <c r="N183" s="5"/>
      <c r="O183" s="5"/>
      <c r="P183" s="5"/>
      <c r="Q183" s="5"/>
      <c r="R183" s="5"/>
      <c r="S183" s="5"/>
      <c r="T183" s="5"/>
      <c r="U183" s="5"/>
      <c r="V183" s="5"/>
      <c r="W183" s="5"/>
    </row>
    <row r="184" spans="1:23" ht="16" x14ac:dyDescent="0.2">
      <c r="A184" s="5"/>
      <c r="B184" s="6"/>
      <c r="C184" s="6"/>
      <c r="D184" s="6"/>
      <c r="E184" s="6"/>
      <c r="F184" s="5"/>
      <c r="G184" s="5"/>
      <c r="H184" s="5"/>
      <c r="I184" s="5"/>
      <c r="J184" s="5"/>
      <c r="K184" s="5"/>
      <c r="L184" s="5"/>
      <c r="M184" s="5"/>
      <c r="N184" s="5"/>
      <c r="O184" s="5"/>
      <c r="P184" s="5"/>
      <c r="Q184" s="5"/>
      <c r="R184" s="5"/>
      <c r="S184" s="5"/>
      <c r="T184" s="5"/>
      <c r="U184" s="5"/>
      <c r="V184" s="5"/>
      <c r="W184" s="5"/>
    </row>
    <row r="185" spans="1:23" ht="16" x14ac:dyDescent="0.2">
      <c r="A185" s="5"/>
      <c r="B185" s="6"/>
      <c r="C185" s="6"/>
      <c r="D185" s="6"/>
      <c r="E185" s="6"/>
      <c r="F185" s="5"/>
      <c r="G185" s="5"/>
      <c r="H185" s="5"/>
      <c r="I185" s="5"/>
      <c r="J185" s="5"/>
      <c r="K185" s="5"/>
      <c r="L185" s="5"/>
      <c r="M185" s="5"/>
      <c r="N185" s="5"/>
      <c r="O185" s="5"/>
      <c r="P185" s="5"/>
      <c r="Q185" s="5"/>
      <c r="R185" s="5"/>
      <c r="S185" s="5"/>
      <c r="T185" s="5"/>
      <c r="U185" s="5"/>
      <c r="V185" s="5"/>
      <c r="W185" s="5"/>
    </row>
    <row r="186" spans="1:23" ht="16" x14ac:dyDescent="0.2">
      <c r="A186" s="5"/>
      <c r="B186" s="6"/>
      <c r="C186" s="6"/>
      <c r="D186" s="6"/>
      <c r="E186" s="6"/>
      <c r="F186" s="5"/>
      <c r="G186" s="5"/>
      <c r="H186" s="5"/>
      <c r="I186" s="5"/>
      <c r="J186" s="5"/>
      <c r="K186" s="5"/>
      <c r="L186" s="5"/>
      <c r="M186" s="5"/>
      <c r="N186" s="5"/>
      <c r="O186" s="5"/>
      <c r="P186" s="5"/>
      <c r="Q186" s="5"/>
      <c r="R186" s="5"/>
      <c r="S186" s="5"/>
      <c r="T186" s="5"/>
      <c r="U186" s="5"/>
      <c r="V186" s="5"/>
      <c r="W186" s="5"/>
    </row>
    <row r="187" spans="1:23" ht="16" x14ac:dyDescent="0.2">
      <c r="A187" s="5"/>
      <c r="B187" s="6"/>
      <c r="C187" s="6"/>
      <c r="D187" s="6"/>
      <c r="E187" s="6"/>
      <c r="F187" s="5"/>
      <c r="G187" s="5"/>
      <c r="H187" s="5"/>
      <c r="I187" s="5"/>
      <c r="J187" s="5"/>
      <c r="K187" s="5"/>
      <c r="L187" s="5"/>
      <c r="M187" s="5"/>
      <c r="N187" s="5"/>
      <c r="O187" s="5"/>
      <c r="P187" s="5"/>
      <c r="Q187" s="5"/>
      <c r="R187" s="5"/>
      <c r="S187" s="5"/>
      <c r="T187" s="5"/>
      <c r="U187" s="5"/>
      <c r="V187" s="5"/>
      <c r="W187" s="5"/>
    </row>
    <row r="188" spans="1:23" ht="16" x14ac:dyDescent="0.2">
      <c r="A188" s="5"/>
      <c r="B188" s="6"/>
      <c r="C188" s="6"/>
      <c r="D188" s="6"/>
      <c r="E188" s="6"/>
      <c r="F188" s="5"/>
      <c r="G188" s="5"/>
      <c r="H188" s="5"/>
      <c r="I188" s="5"/>
      <c r="J188" s="5"/>
      <c r="K188" s="5"/>
      <c r="L188" s="5"/>
      <c r="M188" s="5"/>
      <c r="N188" s="5"/>
      <c r="O188" s="5"/>
      <c r="P188" s="5"/>
      <c r="Q188" s="5"/>
      <c r="R188" s="5"/>
      <c r="S188" s="5"/>
      <c r="T188" s="5"/>
      <c r="U188" s="5"/>
      <c r="V188" s="5"/>
      <c r="W188" s="5"/>
    </row>
    <row r="189" spans="1:23" ht="16" x14ac:dyDescent="0.2">
      <c r="A189" s="5"/>
      <c r="B189" s="6"/>
      <c r="C189" s="6"/>
      <c r="D189" s="6"/>
      <c r="E189" s="6"/>
      <c r="F189" s="5"/>
      <c r="G189" s="5"/>
      <c r="H189" s="5"/>
      <c r="I189" s="5"/>
      <c r="J189" s="5"/>
      <c r="K189" s="5"/>
      <c r="L189" s="5"/>
      <c r="M189" s="5"/>
      <c r="N189" s="5"/>
      <c r="O189" s="5"/>
      <c r="P189" s="5"/>
      <c r="Q189" s="5"/>
      <c r="R189" s="5"/>
      <c r="S189" s="5"/>
      <c r="T189" s="5"/>
      <c r="U189" s="5"/>
      <c r="V189" s="5"/>
      <c r="W189" s="5"/>
    </row>
    <row r="190" spans="1:23" ht="16" x14ac:dyDescent="0.2">
      <c r="A190" s="5"/>
      <c r="B190" s="6"/>
      <c r="C190" s="6"/>
      <c r="D190" s="6"/>
      <c r="E190" s="6"/>
      <c r="F190" s="5"/>
      <c r="G190" s="5"/>
      <c r="H190" s="5"/>
      <c r="I190" s="5"/>
      <c r="J190" s="5"/>
      <c r="K190" s="5"/>
      <c r="L190" s="5"/>
      <c r="M190" s="5"/>
      <c r="N190" s="5"/>
      <c r="O190" s="5"/>
      <c r="P190" s="5"/>
      <c r="Q190" s="5"/>
      <c r="R190" s="5"/>
      <c r="S190" s="5"/>
      <c r="T190" s="5"/>
      <c r="U190" s="5"/>
      <c r="V190" s="5"/>
      <c r="W190" s="5"/>
    </row>
    <row r="191" spans="1:23" ht="16" x14ac:dyDescent="0.2">
      <c r="A191" s="5"/>
      <c r="B191" s="6"/>
      <c r="C191" s="6"/>
      <c r="D191" s="6"/>
      <c r="E191" s="6"/>
      <c r="F191" s="5"/>
      <c r="G191" s="5"/>
      <c r="H191" s="5"/>
      <c r="I191" s="5"/>
      <c r="J191" s="5"/>
      <c r="K191" s="5"/>
      <c r="L191" s="5"/>
      <c r="M191" s="5"/>
      <c r="N191" s="5"/>
      <c r="O191" s="5"/>
      <c r="P191" s="5"/>
      <c r="Q191" s="5"/>
      <c r="R191" s="5"/>
      <c r="S191" s="5"/>
      <c r="T191" s="5"/>
      <c r="U191" s="5"/>
      <c r="V191" s="5"/>
      <c r="W191" s="5"/>
    </row>
    <row r="192" spans="1:23" ht="16" x14ac:dyDescent="0.2">
      <c r="A192" s="5"/>
      <c r="B192" s="6"/>
      <c r="C192" s="6"/>
      <c r="D192" s="6"/>
      <c r="E192" s="6"/>
      <c r="F192" s="5"/>
      <c r="G192" s="5"/>
      <c r="H192" s="5"/>
      <c r="I192" s="5"/>
      <c r="J192" s="5"/>
      <c r="K192" s="5"/>
      <c r="L192" s="5"/>
      <c r="M192" s="5"/>
      <c r="N192" s="5"/>
      <c r="O192" s="5"/>
      <c r="P192" s="5"/>
      <c r="Q192" s="5"/>
      <c r="R192" s="5"/>
      <c r="S192" s="5"/>
      <c r="T192" s="5"/>
      <c r="U192" s="5"/>
      <c r="V192" s="5"/>
      <c r="W192" s="5"/>
    </row>
    <row r="193" spans="1:23" ht="16" x14ac:dyDescent="0.2">
      <c r="A193" s="5"/>
      <c r="B193" s="6"/>
      <c r="C193" s="6"/>
      <c r="D193" s="6"/>
      <c r="E193" s="6"/>
      <c r="F193" s="5"/>
      <c r="G193" s="5"/>
      <c r="H193" s="5"/>
      <c r="I193" s="5"/>
      <c r="J193" s="5"/>
      <c r="K193" s="5"/>
      <c r="L193" s="5"/>
      <c r="M193" s="5"/>
      <c r="N193" s="5"/>
      <c r="O193" s="5"/>
      <c r="P193" s="5"/>
      <c r="Q193" s="5"/>
      <c r="R193" s="5"/>
      <c r="S193" s="5"/>
      <c r="T193" s="5"/>
      <c r="U193" s="5"/>
      <c r="V193" s="5"/>
      <c r="W193" s="5"/>
    </row>
    <row r="194" spans="1:23" ht="16" x14ac:dyDescent="0.2">
      <c r="A194" s="5"/>
      <c r="B194" s="6"/>
      <c r="C194" s="6"/>
      <c r="D194" s="6"/>
      <c r="E194" s="6"/>
      <c r="F194" s="5"/>
      <c r="G194" s="5"/>
      <c r="H194" s="5"/>
      <c r="I194" s="5"/>
      <c r="J194" s="5"/>
      <c r="K194" s="5"/>
      <c r="L194" s="5"/>
      <c r="M194" s="5"/>
      <c r="N194" s="5"/>
      <c r="O194" s="5"/>
      <c r="P194" s="5"/>
      <c r="Q194" s="5"/>
      <c r="R194" s="5"/>
      <c r="S194" s="5"/>
      <c r="T194" s="5"/>
      <c r="U194" s="5"/>
      <c r="V194" s="5"/>
      <c r="W194" s="5"/>
    </row>
    <row r="195" spans="1:23" ht="16" x14ac:dyDescent="0.2">
      <c r="A195" s="5"/>
      <c r="B195" s="6"/>
      <c r="C195" s="6"/>
      <c r="D195" s="6"/>
      <c r="E195" s="6"/>
      <c r="F195" s="5"/>
      <c r="G195" s="5"/>
      <c r="H195" s="5"/>
      <c r="I195" s="5"/>
      <c r="J195" s="5"/>
      <c r="K195" s="5"/>
      <c r="L195" s="5"/>
      <c r="M195" s="5"/>
      <c r="N195" s="5"/>
      <c r="O195" s="5"/>
      <c r="P195" s="5"/>
      <c r="Q195" s="5"/>
      <c r="R195" s="5"/>
      <c r="S195" s="5"/>
      <c r="T195" s="5"/>
      <c r="U195" s="5"/>
      <c r="V195" s="5"/>
      <c r="W195" s="5"/>
    </row>
    <row r="196" spans="1:23" ht="16" x14ac:dyDescent="0.2">
      <c r="A196" s="5"/>
      <c r="B196" s="6"/>
      <c r="C196" s="6"/>
      <c r="D196" s="6"/>
      <c r="E196" s="6"/>
      <c r="F196" s="5"/>
      <c r="G196" s="5"/>
      <c r="H196" s="5"/>
      <c r="I196" s="5"/>
      <c r="J196" s="5"/>
      <c r="K196" s="5"/>
      <c r="L196" s="5"/>
      <c r="M196" s="5"/>
      <c r="N196" s="5"/>
      <c r="O196" s="5"/>
      <c r="P196" s="5"/>
      <c r="Q196" s="5"/>
      <c r="R196" s="5"/>
      <c r="S196" s="5"/>
      <c r="T196" s="5"/>
      <c r="U196" s="5"/>
      <c r="V196" s="5"/>
      <c r="W196" s="5"/>
    </row>
    <row r="197" spans="1:23" ht="16" x14ac:dyDescent="0.2">
      <c r="A197" s="5"/>
      <c r="B197" s="6"/>
      <c r="C197" s="6"/>
      <c r="D197" s="6"/>
      <c r="E197" s="6"/>
      <c r="F197" s="5"/>
      <c r="G197" s="5"/>
      <c r="H197" s="5"/>
      <c r="I197" s="5"/>
      <c r="J197" s="5"/>
      <c r="K197" s="5"/>
      <c r="L197" s="5"/>
      <c r="M197" s="5"/>
      <c r="N197" s="5"/>
      <c r="O197" s="5"/>
      <c r="P197" s="5"/>
      <c r="Q197" s="5"/>
      <c r="R197" s="5"/>
      <c r="S197" s="5"/>
      <c r="T197" s="5"/>
      <c r="U197" s="5"/>
      <c r="V197" s="5"/>
      <c r="W197" s="5"/>
    </row>
    <row r="198" spans="1:23" ht="16" x14ac:dyDescent="0.2">
      <c r="A198" s="5"/>
      <c r="B198" s="6"/>
      <c r="C198" s="6"/>
      <c r="D198" s="6"/>
      <c r="E198" s="6"/>
      <c r="F198" s="5"/>
      <c r="G198" s="5"/>
      <c r="H198" s="5"/>
      <c r="I198" s="5"/>
      <c r="J198" s="5"/>
      <c r="K198" s="5"/>
      <c r="L198" s="5"/>
      <c r="M198" s="5"/>
      <c r="N198" s="5"/>
      <c r="O198" s="5"/>
      <c r="P198" s="5"/>
      <c r="Q198" s="5"/>
      <c r="R198" s="5"/>
      <c r="S198" s="5"/>
      <c r="T198" s="5"/>
      <c r="U198" s="5"/>
      <c r="V198" s="5"/>
      <c r="W198" s="5"/>
    </row>
    <row r="199" spans="1:23" ht="16" x14ac:dyDescent="0.2">
      <c r="A199" s="5"/>
      <c r="B199" s="6"/>
      <c r="C199" s="6"/>
      <c r="D199" s="6"/>
      <c r="E199" s="6"/>
      <c r="F199" s="5"/>
      <c r="G199" s="5"/>
      <c r="H199" s="5"/>
      <c r="I199" s="5"/>
      <c r="J199" s="5"/>
      <c r="K199" s="5"/>
      <c r="L199" s="5"/>
      <c r="M199" s="5"/>
      <c r="N199" s="5"/>
      <c r="O199" s="5"/>
      <c r="P199" s="5"/>
      <c r="Q199" s="5"/>
      <c r="R199" s="5"/>
      <c r="S199" s="5"/>
      <c r="T199" s="5"/>
      <c r="U199" s="5"/>
      <c r="V199" s="5"/>
      <c r="W199" s="5"/>
    </row>
    <row r="200" spans="1:23" ht="16" x14ac:dyDescent="0.2">
      <c r="A200" s="5"/>
      <c r="B200" s="6"/>
      <c r="C200" s="6"/>
      <c r="D200" s="6"/>
      <c r="E200" s="6"/>
      <c r="F200" s="5"/>
      <c r="G200" s="5"/>
      <c r="H200" s="5"/>
      <c r="I200" s="5"/>
      <c r="J200" s="5"/>
      <c r="K200" s="5"/>
      <c r="L200" s="5"/>
      <c r="M200" s="5"/>
      <c r="N200" s="5"/>
      <c r="O200" s="5"/>
      <c r="P200" s="5"/>
      <c r="Q200" s="5"/>
      <c r="R200" s="5"/>
      <c r="S200" s="5"/>
      <c r="T200" s="5"/>
      <c r="U200" s="5"/>
      <c r="V200" s="5"/>
      <c r="W200" s="5"/>
    </row>
    <row r="201" spans="1:23" ht="16" x14ac:dyDescent="0.2">
      <c r="A201" s="5"/>
      <c r="B201" s="6"/>
      <c r="C201" s="6"/>
      <c r="D201" s="6"/>
      <c r="E201" s="6"/>
      <c r="F201" s="5"/>
      <c r="G201" s="5"/>
      <c r="H201" s="5"/>
      <c r="I201" s="5"/>
      <c r="J201" s="5"/>
      <c r="K201" s="5"/>
      <c r="L201" s="5"/>
      <c r="M201" s="5"/>
      <c r="N201" s="5"/>
      <c r="O201" s="5"/>
      <c r="P201" s="5"/>
      <c r="Q201" s="5"/>
      <c r="R201" s="5"/>
      <c r="S201" s="5"/>
      <c r="T201" s="5"/>
      <c r="U201" s="5"/>
      <c r="V201" s="5"/>
      <c r="W201" s="5"/>
    </row>
    <row r="202" spans="1:23" ht="16" x14ac:dyDescent="0.2">
      <c r="A202" s="5"/>
      <c r="B202" s="6"/>
      <c r="C202" s="6"/>
      <c r="D202" s="6"/>
      <c r="E202" s="6"/>
      <c r="F202" s="5"/>
      <c r="G202" s="5"/>
      <c r="H202" s="5"/>
      <c r="I202" s="5"/>
      <c r="J202" s="5"/>
      <c r="K202" s="5"/>
      <c r="L202" s="5"/>
      <c r="M202" s="5"/>
      <c r="N202" s="5"/>
      <c r="O202" s="5"/>
      <c r="P202" s="5"/>
      <c r="Q202" s="5"/>
      <c r="R202" s="5"/>
      <c r="S202" s="5"/>
      <c r="T202" s="5"/>
      <c r="U202" s="5"/>
      <c r="V202" s="5"/>
      <c r="W202" s="5"/>
    </row>
    <row r="203" spans="1:23" ht="16" x14ac:dyDescent="0.2">
      <c r="A203" s="5"/>
      <c r="B203" s="6"/>
      <c r="C203" s="6"/>
      <c r="D203" s="6"/>
      <c r="E203" s="6"/>
      <c r="F203" s="5"/>
      <c r="G203" s="5"/>
      <c r="H203" s="5"/>
      <c r="I203" s="5"/>
      <c r="J203" s="5"/>
      <c r="K203" s="5"/>
      <c r="L203" s="5"/>
      <c r="M203" s="5"/>
      <c r="N203" s="5"/>
      <c r="O203" s="5"/>
      <c r="P203" s="5"/>
      <c r="Q203" s="5"/>
      <c r="R203" s="5"/>
      <c r="S203" s="5"/>
      <c r="T203" s="5"/>
      <c r="U203" s="5"/>
      <c r="V203" s="5"/>
      <c r="W203" s="5"/>
    </row>
    <row r="204" spans="1:23" ht="16" x14ac:dyDescent="0.2">
      <c r="A204" s="5"/>
      <c r="B204" s="6"/>
      <c r="C204" s="6"/>
      <c r="D204" s="6"/>
      <c r="E204" s="6"/>
      <c r="F204" s="5"/>
      <c r="G204" s="5"/>
      <c r="H204" s="5"/>
      <c r="I204" s="5"/>
      <c r="J204" s="5"/>
      <c r="K204" s="5"/>
      <c r="L204" s="5"/>
      <c r="M204" s="5"/>
      <c r="N204" s="5"/>
      <c r="O204" s="5"/>
      <c r="P204" s="5"/>
      <c r="Q204" s="5"/>
      <c r="R204" s="5"/>
      <c r="S204" s="5"/>
      <c r="T204" s="5"/>
      <c r="U204" s="5"/>
      <c r="V204" s="5"/>
      <c r="W204" s="5"/>
    </row>
    <row r="205" spans="1:23" ht="16" x14ac:dyDescent="0.2">
      <c r="A205" s="5"/>
      <c r="B205" s="6"/>
      <c r="C205" s="6"/>
      <c r="D205" s="6"/>
      <c r="E205" s="6"/>
      <c r="F205" s="5"/>
      <c r="G205" s="5"/>
      <c r="H205" s="5"/>
      <c r="I205" s="5"/>
      <c r="J205" s="5"/>
      <c r="K205" s="5"/>
      <c r="L205" s="5"/>
      <c r="M205" s="5"/>
      <c r="N205" s="5"/>
      <c r="O205" s="5"/>
      <c r="P205" s="5"/>
      <c r="Q205" s="5"/>
      <c r="R205" s="5"/>
      <c r="S205" s="5"/>
      <c r="T205" s="5"/>
      <c r="U205" s="5"/>
      <c r="V205" s="5"/>
      <c r="W205" s="5"/>
    </row>
    <row r="206" spans="1:23" ht="16" x14ac:dyDescent="0.2">
      <c r="A206" s="5"/>
      <c r="B206" s="6"/>
      <c r="C206" s="6"/>
      <c r="D206" s="6"/>
      <c r="E206" s="6"/>
      <c r="F206" s="5"/>
      <c r="G206" s="5"/>
      <c r="H206" s="5"/>
      <c r="I206" s="5"/>
      <c r="J206" s="5"/>
      <c r="K206" s="5"/>
      <c r="L206" s="5"/>
      <c r="M206" s="5"/>
      <c r="N206" s="5"/>
      <c r="O206" s="5"/>
      <c r="P206" s="5"/>
      <c r="Q206" s="5"/>
      <c r="R206" s="5"/>
      <c r="S206" s="5"/>
      <c r="T206" s="5"/>
      <c r="U206" s="5"/>
      <c r="V206" s="5"/>
      <c r="W206" s="5"/>
    </row>
    <row r="207" spans="1:23" ht="16" x14ac:dyDescent="0.2">
      <c r="A207" s="5"/>
      <c r="B207" s="6"/>
      <c r="C207" s="6"/>
      <c r="D207" s="6"/>
      <c r="E207" s="6"/>
      <c r="F207" s="5"/>
      <c r="G207" s="5"/>
      <c r="H207" s="5"/>
      <c r="I207" s="5"/>
      <c r="J207" s="5"/>
      <c r="K207" s="5"/>
      <c r="L207" s="5"/>
      <c r="M207" s="5"/>
      <c r="N207" s="5"/>
      <c r="O207" s="5"/>
      <c r="P207" s="5"/>
      <c r="Q207" s="5"/>
      <c r="R207" s="5"/>
      <c r="S207" s="5"/>
      <c r="T207" s="5"/>
      <c r="U207" s="5"/>
      <c r="V207" s="5"/>
      <c r="W207" s="5"/>
    </row>
    <row r="208" spans="1:23" ht="16" x14ac:dyDescent="0.2">
      <c r="A208" s="5"/>
      <c r="B208" s="6"/>
      <c r="C208" s="6"/>
      <c r="D208" s="6"/>
      <c r="E208" s="6"/>
      <c r="F208" s="5"/>
      <c r="G208" s="5"/>
      <c r="H208" s="5"/>
      <c r="I208" s="5"/>
      <c r="J208" s="5"/>
      <c r="K208" s="5"/>
      <c r="L208" s="5"/>
      <c r="M208" s="5"/>
      <c r="N208" s="5"/>
      <c r="O208" s="5"/>
      <c r="P208" s="5"/>
      <c r="Q208" s="5"/>
      <c r="R208" s="5"/>
      <c r="S208" s="5"/>
      <c r="T208" s="5"/>
      <c r="U208" s="5"/>
      <c r="V208" s="5"/>
      <c r="W208" s="5"/>
    </row>
    <row r="209" spans="1:23" ht="16" x14ac:dyDescent="0.2">
      <c r="A209" s="5"/>
      <c r="B209" s="6"/>
      <c r="C209" s="6"/>
      <c r="D209" s="6"/>
      <c r="E209" s="6"/>
      <c r="F209" s="5"/>
      <c r="G209" s="5"/>
      <c r="H209" s="5"/>
      <c r="I209" s="5"/>
      <c r="J209" s="5"/>
      <c r="K209" s="5"/>
      <c r="L209" s="5"/>
      <c r="M209" s="5"/>
      <c r="N209" s="5"/>
      <c r="O209" s="5"/>
      <c r="P209" s="5"/>
      <c r="Q209" s="5"/>
      <c r="R209" s="5"/>
      <c r="S209" s="5"/>
      <c r="T209" s="5"/>
      <c r="U209" s="5"/>
      <c r="V209" s="5"/>
      <c r="W209" s="5"/>
    </row>
    <row r="210" spans="1:23" ht="16" x14ac:dyDescent="0.2">
      <c r="A210" s="5"/>
      <c r="B210" s="6"/>
      <c r="C210" s="6"/>
      <c r="D210" s="6"/>
      <c r="E210" s="6"/>
      <c r="F210" s="5"/>
      <c r="G210" s="5"/>
      <c r="H210" s="5"/>
      <c r="I210" s="5"/>
      <c r="J210" s="5"/>
      <c r="K210" s="5"/>
      <c r="L210" s="5"/>
      <c r="M210" s="5"/>
      <c r="N210" s="5"/>
      <c r="O210" s="5"/>
      <c r="P210" s="5"/>
      <c r="Q210" s="5"/>
      <c r="R210" s="5"/>
      <c r="S210" s="5"/>
      <c r="T210" s="5"/>
      <c r="U210" s="5"/>
      <c r="V210" s="5"/>
      <c r="W210" s="5"/>
    </row>
    <row r="211" spans="1:23" ht="16" x14ac:dyDescent="0.2">
      <c r="A211" s="5"/>
      <c r="B211" s="6"/>
      <c r="C211" s="6"/>
      <c r="D211" s="6"/>
      <c r="E211" s="6"/>
      <c r="F211" s="5"/>
      <c r="G211" s="5"/>
      <c r="H211" s="5"/>
      <c r="I211" s="5"/>
      <c r="J211" s="5"/>
      <c r="K211" s="5"/>
      <c r="L211" s="5"/>
      <c r="M211" s="5"/>
      <c r="N211" s="5"/>
      <c r="O211" s="5"/>
      <c r="P211" s="5"/>
      <c r="Q211" s="5"/>
      <c r="R211" s="5"/>
      <c r="S211" s="5"/>
      <c r="T211" s="5"/>
      <c r="U211" s="5"/>
      <c r="V211" s="5"/>
      <c r="W211" s="5"/>
    </row>
    <row r="212" spans="1:23" ht="16" x14ac:dyDescent="0.2">
      <c r="A212" s="5"/>
      <c r="B212" s="6"/>
      <c r="C212" s="6"/>
      <c r="D212" s="6"/>
      <c r="E212" s="6"/>
      <c r="F212" s="5"/>
      <c r="G212" s="5"/>
      <c r="H212" s="5"/>
      <c r="I212" s="5"/>
      <c r="J212" s="5"/>
      <c r="K212" s="5"/>
      <c r="L212" s="5"/>
      <c r="M212" s="5"/>
      <c r="N212" s="5"/>
      <c r="O212" s="5"/>
      <c r="P212" s="5"/>
      <c r="Q212" s="5"/>
      <c r="R212" s="5"/>
      <c r="S212" s="5"/>
      <c r="T212" s="5"/>
      <c r="U212" s="5"/>
      <c r="V212" s="5"/>
      <c r="W212" s="5"/>
    </row>
    <row r="213" spans="1:23" ht="16" x14ac:dyDescent="0.2">
      <c r="A213" s="5"/>
      <c r="B213" s="6"/>
      <c r="C213" s="6"/>
      <c r="D213" s="6"/>
      <c r="E213" s="6"/>
      <c r="F213" s="5"/>
      <c r="G213" s="5"/>
      <c r="H213" s="5"/>
      <c r="I213" s="5"/>
      <c r="J213" s="5"/>
      <c r="K213" s="5"/>
      <c r="L213" s="5"/>
      <c r="M213" s="5"/>
      <c r="N213" s="5"/>
      <c r="O213" s="5"/>
      <c r="P213" s="5"/>
      <c r="Q213" s="5"/>
      <c r="R213" s="5"/>
      <c r="S213" s="5"/>
      <c r="T213" s="5"/>
      <c r="U213" s="5"/>
      <c r="V213" s="5"/>
      <c r="W213" s="5"/>
    </row>
    <row r="214" spans="1:23" ht="16" x14ac:dyDescent="0.2">
      <c r="A214" s="5"/>
      <c r="B214" s="6"/>
      <c r="C214" s="6"/>
      <c r="D214" s="6"/>
      <c r="E214" s="6"/>
      <c r="F214" s="5"/>
      <c r="G214" s="5"/>
      <c r="H214" s="5"/>
      <c r="I214" s="5"/>
      <c r="J214" s="5"/>
      <c r="K214" s="5"/>
      <c r="L214" s="5"/>
      <c r="M214" s="5"/>
      <c r="N214" s="5"/>
      <c r="O214" s="5"/>
      <c r="P214" s="5"/>
      <c r="Q214" s="5"/>
      <c r="R214" s="5"/>
      <c r="S214" s="5"/>
      <c r="T214" s="5"/>
      <c r="U214" s="5"/>
      <c r="V214" s="5"/>
      <c r="W214" s="5"/>
    </row>
    <row r="215" spans="1:23" ht="16" x14ac:dyDescent="0.2">
      <c r="A215" s="5"/>
      <c r="B215" s="6"/>
      <c r="C215" s="6"/>
      <c r="D215" s="6"/>
      <c r="E215" s="6"/>
      <c r="F215" s="5"/>
      <c r="G215" s="5"/>
      <c r="H215" s="5"/>
      <c r="I215" s="5"/>
      <c r="J215" s="5"/>
      <c r="K215" s="5"/>
      <c r="L215" s="5"/>
      <c r="M215" s="5"/>
      <c r="N215" s="5"/>
      <c r="O215" s="5"/>
      <c r="P215" s="5"/>
      <c r="Q215" s="5"/>
      <c r="R215" s="5"/>
      <c r="S215" s="5"/>
      <c r="T215" s="5"/>
      <c r="U215" s="5"/>
      <c r="V215" s="5"/>
      <c r="W215" s="5"/>
    </row>
    <row r="216" spans="1:23" ht="16" x14ac:dyDescent="0.2">
      <c r="A216" s="5"/>
      <c r="B216" s="6"/>
      <c r="C216" s="6"/>
      <c r="D216" s="6"/>
      <c r="E216" s="6"/>
      <c r="F216" s="5"/>
      <c r="G216" s="5"/>
      <c r="H216" s="5"/>
      <c r="I216" s="5"/>
      <c r="J216" s="5"/>
      <c r="K216" s="5"/>
      <c r="L216" s="5"/>
      <c r="M216" s="5"/>
      <c r="N216" s="5"/>
      <c r="O216" s="5"/>
      <c r="P216" s="5"/>
      <c r="Q216" s="5"/>
      <c r="R216" s="5"/>
      <c r="S216" s="5"/>
      <c r="T216" s="5"/>
      <c r="U216" s="5"/>
      <c r="V216" s="5"/>
      <c r="W216" s="5"/>
    </row>
    <row r="217" spans="1:23" ht="16" x14ac:dyDescent="0.2">
      <c r="A217" s="5"/>
      <c r="B217" s="6"/>
      <c r="C217" s="6"/>
      <c r="D217" s="6"/>
      <c r="E217" s="6"/>
      <c r="F217" s="5"/>
      <c r="G217" s="5"/>
      <c r="H217" s="5"/>
      <c r="I217" s="5"/>
      <c r="J217" s="5"/>
      <c r="K217" s="5"/>
      <c r="L217" s="5"/>
      <c r="M217" s="5"/>
      <c r="N217" s="5"/>
      <c r="O217" s="5"/>
      <c r="P217" s="5"/>
      <c r="Q217" s="5"/>
      <c r="R217" s="5"/>
      <c r="S217" s="5"/>
      <c r="T217" s="5"/>
      <c r="U217" s="5"/>
      <c r="V217" s="5"/>
      <c r="W217" s="5"/>
    </row>
    <row r="218" spans="1:23" ht="16" x14ac:dyDescent="0.2">
      <c r="A218" s="5"/>
      <c r="B218" s="6"/>
      <c r="C218" s="6"/>
      <c r="D218" s="6"/>
      <c r="E218" s="6"/>
      <c r="F218" s="5"/>
      <c r="G218" s="5"/>
      <c r="H218" s="5"/>
      <c r="I218" s="5"/>
      <c r="J218" s="5"/>
      <c r="K218" s="5"/>
      <c r="L218" s="5"/>
      <c r="M218" s="5"/>
      <c r="N218" s="5"/>
      <c r="O218" s="5"/>
      <c r="P218" s="5"/>
      <c r="Q218" s="5"/>
      <c r="R218" s="5"/>
      <c r="S218" s="5"/>
      <c r="T218" s="5"/>
      <c r="U218" s="5"/>
      <c r="V218" s="5"/>
      <c r="W218" s="5"/>
    </row>
    <row r="219" spans="1:23" ht="16" x14ac:dyDescent="0.2">
      <c r="A219" s="5"/>
      <c r="B219" s="6"/>
      <c r="C219" s="6"/>
      <c r="D219" s="6"/>
      <c r="E219" s="6"/>
      <c r="F219" s="5"/>
      <c r="G219" s="5"/>
      <c r="H219" s="5"/>
      <c r="I219" s="5"/>
      <c r="J219" s="5"/>
      <c r="K219" s="5"/>
      <c r="L219" s="5"/>
      <c r="M219" s="5"/>
      <c r="N219" s="5"/>
      <c r="O219" s="5"/>
      <c r="P219" s="5"/>
      <c r="Q219" s="5"/>
      <c r="R219" s="5"/>
      <c r="S219" s="5"/>
      <c r="T219" s="5"/>
      <c r="U219" s="5"/>
      <c r="V219" s="5"/>
      <c r="W219" s="5"/>
    </row>
    <row r="220" spans="1:23" ht="16" x14ac:dyDescent="0.2">
      <c r="A220" s="5"/>
      <c r="B220" s="6"/>
      <c r="C220" s="6"/>
      <c r="D220" s="6"/>
      <c r="E220" s="6"/>
      <c r="F220" s="5"/>
      <c r="G220" s="5"/>
      <c r="H220" s="5"/>
      <c r="I220" s="5"/>
      <c r="J220" s="5"/>
      <c r="K220" s="5"/>
      <c r="L220" s="5"/>
      <c r="M220" s="5"/>
      <c r="N220" s="5"/>
      <c r="O220" s="5"/>
      <c r="P220" s="5"/>
      <c r="Q220" s="5"/>
      <c r="R220" s="5"/>
      <c r="S220" s="5"/>
      <c r="T220" s="5"/>
      <c r="U220" s="5"/>
      <c r="V220" s="5"/>
      <c r="W220" s="5"/>
    </row>
    <row r="221" spans="1:23" ht="16" x14ac:dyDescent="0.2">
      <c r="A221" s="5"/>
      <c r="B221" s="6"/>
      <c r="C221" s="6"/>
      <c r="D221" s="6"/>
      <c r="E221" s="6"/>
      <c r="F221" s="5"/>
      <c r="G221" s="5"/>
      <c r="H221" s="5"/>
      <c r="I221" s="5"/>
      <c r="J221" s="5"/>
      <c r="K221" s="5"/>
      <c r="L221" s="5"/>
      <c r="M221" s="5"/>
      <c r="N221" s="5"/>
      <c r="O221" s="5"/>
      <c r="P221" s="5"/>
      <c r="Q221" s="5"/>
      <c r="R221" s="5"/>
      <c r="S221" s="5"/>
      <c r="T221" s="5"/>
      <c r="U221" s="5"/>
      <c r="V221" s="5"/>
      <c r="W221" s="5"/>
    </row>
    <row r="222" spans="1:23" ht="16" x14ac:dyDescent="0.2">
      <c r="A222" s="5"/>
      <c r="B222" s="6"/>
      <c r="C222" s="6"/>
      <c r="D222" s="6"/>
      <c r="E222" s="6"/>
      <c r="F222" s="5"/>
      <c r="G222" s="5"/>
      <c r="H222" s="5"/>
      <c r="I222" s="5"/>
      <c r="J222" s="5"/>
      <c r="K222" s="5"/>
      <c r="L222" s="5"/>
      <c r="M222" s="5"/>
      <c r="N222" s="5"/>
      <c r="O222" s="5"/>
      <c r="P222" s="5"/>
      <c r="Q222" s="5"/>
      <c r="R222" s="5"/>
      <c r="S222" s="5"/>
      <c r="T222" s="5"/>
      <c r="U222" s="5"/>
      <c r="V222" s="5"/>
      <c r="W222" s="5"/>
    </row>
    <row r="223" spans="1:23" ht="16" x14ac:dyDescent="0.2">
      <c r="A223" s="5"/>
      <c r="B223" s="6"/>
      <c r="C223" s="6"/>
      <c r="D223" s="6"/>
      <c r="E223" s="6"/>
      <c r="F223" s="5"/>
      <c r="G223" s="5"/>
      <c r="H223" s="5"/>
      <c r="I223" s="5"/>
      <c r="J223" s="5"/>
      <c r="K223" s="5"/>
      <c r="L223" s="5"/>
      <c r="M223" s="5"/>
      <c r="N223" s="5"/>
      <c r="O223" s="5"/>
      <c r="P223" s="5"/>
      <c r="Q223" s="5"/>
      <c r="R223" s="5"/>
      <c r="S223" s="5"/>
      <c r="T223" s="5"/>
      <c r="U223" s="5"/>
      <c r="V223" s="5"/>
      <c r="W223" s="5"/>
    </row>
    <row r="224" spans="1:23" ht="16" x14ac:dyDescent="0.2">
      <c r="A224" s="5"/>
      <c r="B224" s="6"/>
      <c r="C224" s="6"/>
      <c r="D224" s="6"/>
      <c r="E224" s="6"/>
      <c r="F224" s="5"/>
      <c r="G224" s="5"/>
      <c r="H224" s="5"/>
      <c r="I224" s="5"/>
      <c r="J224" s="5"/>
      <c r="K224" s="5"/>
      <c r="L224" s="5"/>
      <c r="M224" s="5"/>
      <c r="N224" s="5"/>
      <c r="O224" s="5"/>
      <c r="P224" s="5"/>
      <c r="Q224" s="5"/>
      <c r="R224" s="5"/>
      <c r="S224" s="5"/>
      <c r="T224" s="5"/>
      <c r="U224" s="5"/>
      <c r="V224" s="5"/>
      <c r="W224" s="5"/>
    </row>
    <row r="225" spans="1:23" ht="16" x14ac:dyDescent="0.2">
      <c r="A225" s="5"/>
      <c r="B225" s="6"/>
      <c r="C225" s="6"/>
      <c r="D225" s="6"/>
      <c r="E225" s="6"/>
      <c r="F225" s="5"/>
      <c r="G225" s="5"/>
      <c r="H225" s="5"/>
      <c r="I225" s="5"/>
      <c r="J225" s="5"/>
      <c r="K225" s="5"/>
      <c r="L225" s="5"/>
      <c r="M225" s="5"/>
      <c r="N225" s="5"/>
      <c r="O225" s="5"/>
      <c r="P225" s="5"/>
      <c r="Q225" s="5"/>
      <c r="R225" s="5"/>
      <c r="S225" s="5"/>
      <c r="T225" s="5"/>
      <c r="U225" s="5"/>
      <c r="V225" s="5"/>
      <c r="W225" s="5"/>
    </row>
    <row r="226" spans="1:23" ht="16" x14ac:dyDescent="0.2">
      <c r="A226" s="5"/>
      <c r="B226" s="6"/>
      <c r="C226" s="6"/>
      <c r="D226" s="6"/>
      <c r="E226" s="6"/>
      <c r="F226" s="5"/>
      <c r="G226" s="5"/>
      <c r="H226" s="5"/>
      <c r="I226" s="5"/>
      <c r="J226" s="5"/>
      <c r="K226" s="5"/>
      <c r="L226" s="5"/>
      <c r="M226" s="5"/>
      <c r="N226" s="5"/>
      <c r="O226" s="5"/>
      <c r="P226" s="5"/>
      <c r="Q226" s="5"/>
      <c r="R226" s="5"/>
      <c r="S226" s="5"/>
      <c r="T226" s="5"/>
      <c r="U226" s="5"/>
      <c r="V226" s="5"/>
      <c r="W226" s="5"/>
    </row>
    <row r="227" spans="1:23" ht="16" x14ac:dyDescent="0.2">
      <c r="A227" s="5"/>
      <c r="B227" s="6"/>
      <c r="C227" s="6"/>
      <c r="D227" s="6"/>
      <c r="E227" s="6"/>
      <c r="F227" s="5"/>
      <c r="G227" s="5"/>
      <c r="H227" s="5"/>
      <c r="I227" s="5"/>
      <c r="J227" s="5"/>
      <c r="K227" s="5"/>
      <c r="L227" s="5"/>
      <c r="M227" s="5"/>
      <c r="N227" s="5"/>
      <c r="O227" s="5"/>
      <c r="P227" s="5"/>
      <c r="Q227" s="5"/>
      <c r="R227" s="5"/>
      <c r="S227" s="5"/>
      <c r="T227" s="5"/>
      <c r="U227" s="5"/>
      <c r="V227" s="5"/>
      <c r="W227" s="5"/>
    </row>
    <row r="228" spans="1:23" ht="16" x14ac:dyDescent="0.2">
      <c r="A228" s="5"/>
      <c r="B228" s="6"/>
      <c r="C228" s="6"/>
      <c r="D228" s="6"/>
      <c r="E228" s="6"/>
      <c r="F228" s="5"/>
      <c r="G228" s="5"/>
      <c r="H228" s="5"/>
      <c r="I228" s="5"/>
      <c r="J228" s="5"/>
      <c r="K228" s="5"/>
      <c r="L228" s="5"/>
      <c r="M228" s="5"/>
      <c r="N228" s="5"/>
      <c r="O228" s="5"/>
      <c r="P228" s="5"/>
      <c r="Q228" s="5"/>
      <c r="R228" s="5"/>
      <c r="S228" s="5"/>
      <c r="T228" s="5"/>
      <c r="U228" s="5"/>
      <c r="V228" s="5"/>
      <c r="W228" s="5"/>
    </row>
    <row r="229" spans="1:23" ht="16" x14ac:dyDescent="0.2">
      <c r="A229" s="5"/>
      <c r="B229" s="6"/>
      <c r="C229" s="6"/>
      <c r="D229" s="6"/>
      <c r="E229" s="6"/>
      <c r="F229" s="5"/>
      <c r="G229" s="5"/>
      <c r="H229" s="5"/>
      <c r="I229" s="5"/>
      <c r="J229" s="5"/>
      <c r="K229" s="5"/>
      <c r="L229" s="5"/>
      <c r="M229" s="5"/>
      <c r="N229" s="5"/>
      <c r="O229" s="5"/>
      <c r="P229" s="5"/>
      <c r="Q229" s="5"/>
      <c r="R229" s="5"/>
      <c r="S229" s="5"/>
      <c r="T229" s="5"/>
      <c r="U229" s="5"/>
      <c r="V229" s="5"/>
      <c r="W229" s="5"/>
    </row>
    <row r="230" spans="1:23" ht="16" x14ac:dyDescent="0.2">
      <c r="A230" s="5"/>
      <c r="B230" s="6"/>
      <c r="C230" s="6"/>
      <c r="D230" s="6"/>
      <c r="E230" s="6"/>
      <c r="F230" s="5"/>
      <c r="G230" s="5"/>
      <c r="H230" s="5"/>
      <c r="I230" s="5"/>
      <c r="J230" s="5"/>
      <c r="K230" s="5"/>
      <c r="L230" s="5"/>
      <c r="M230" s="5"/>
      <c r="N230" s="5"/>
      <c r="O230" s="5"/>
      <c r="P230" s="5"/>
      <c r="Q230" s="5"/>
      <c r="R230" s="5"/>
      <c r="S230" s="5"/>
      <c r="T230" s="5"/>
      <c r="U230" s="5"/>
      <c r="V230" s="5"/>
      <c r="W230" s="5"/>
    </row>
    <row r="231" spans="1:23" ht="16" x14ac:dyDescent="0.2">
      <c r="A231" s="5"/>
      <c r="B231" s="6"/>
      <c r="C231" s="6"/>
      <c r="D231" s="6"/>
      <c r="E231" s="6"/>
      <c r="F231" s="5"/>
      <c r="G231" s="5"/>
      <c r="H231" s="5"/>
      <c r="I231" s="5"/>
      <c r="J231" s="5"/>
      <c r="K231" s="5"/>
      <c r="L231" s="5"/>
      <c r="M231" s="5"/>
      <c r="N231" s="5"/>
      <c r="O231" s="5"/>
      <c r="P231" s="5"/>
      <c r="Q231" s="5"/>
      <c r="R231" s="5"/>
      <c r="S231" s="5"/>
      <c r="T231" s="5"/>
      <c r="U231" s="5"/>
      <c r="V231" s="5"/>
      <c r="W231" s="5"/>
    </row>
    <row r="232" spans="1:23" ht="16" x14ac:dyDescent="0.2">
      <c r="A232" s="5"/>
      <c r="B232" s="6"/>
      <c r="C232" s="6"/>
      <c r="D232" s="6"/>
      <c r="E232" s="6"/>
      <c r="F232" s="5"/>
      <c r="G232" s="5"/>
      <c r="H232" s="5"/>
      <c r="I232" s="5"/>
      <c r="J232" s="5"/>
      <c r="K232" s="5"/>
      <c r="L232" s="5"/>
      <c r="M232" s="5"/>
      <c r="N232" s="5"/>
      <c r="O232" s="5"/>
      <c r="P232" s="5"/>
      <c r="Q232" s="5"/>
      <c r="R232" s="5"/>
      <c r="S232" s="5"/>
      <c r="T232" s="5"/>
      <c r="U232" s="5"/>
      <c r="V232" s="5"/>
      <c r="W232" s="5"/>
    </row>
    <row r="233" spans="1:23" ht="16" x14ac:dyDescent="0.2">
      <c r="A233" s="5"/>
      <c r="B233" s="6"/>
      <c r="C233" s="6"/>
      <c r="D233" s="6"/>
      <c r="E233" s="6"/>
      <c r="F233" s="5"/>
      <c r="G233" s="5"/>
      <c r="H233" s="5"/>
      <c r="I233" s="5"/>
      <c r="J233" s="5"/>
      <c r="K233" s="5"/>
      <c r="L233" s="5"/>
      <c r="M233" s="5"/>
      <c r="N233" s="5"/>
      <c r="O233" s="5"/>
      <c r="P233" s="5"/>
      <c r="Q233" s="5"/>
      <c r="R233" s="5"/>
      <c r="S233" s="5"/>
      <c r="T233" s="5"/>
      <c r="U233" s="5"/>
      <c r="V233" s="5"/>
      <c r="W233" s="5"/>
    </row>
    <row r="234" spans="1:23" ht="16" x14ac:dyDescent="0.2">
      <c r="A234" s="5"/>
      <c r="B234" s="6"/>
      <c r="C234" s="6"/>
      <c r="D234" s="6"/>
      <c r="E234" s="6"/>
      <c r="F234" s="5"/>
      <c r="G234" s="5"/>
      <c r="H234" s="5"/>
      <c r="I234" s="5"/>
      <c r="J234" s="5"/>
      <c r="K234" s="5"/>
      <c r="L234" s="5"/>
      <c r="M234" s="5"/>
      <c r="N234" s="5"/>
      <c r="O234" s="5"/>
      <c r="P234" s="5"/>
      <c r="Q234" s="5"/>
      <c r="R234" s="5"/>
      <c r="S234" s="5"/>
      <c r="T234" s="5"/>
      <c r="U234" s="5"/>
      <c r="V234" s="5"/>
      <c r="W234" s="5"/>
    </row>
    <row r="235" spans="1:23" ht="16" x14ac:dyDescent="0.2">
      <c r="A235" s="5"/>
      <c r="B235" s="6"/>
      <c r="C235" s="6"/>
      <c r="D235" s="6"/>
      <c r="E235" s="6"/>
      <c r="F235" s="5"/>
      <c r="G235" s="5"/>
      <c r="H235" s="5"/>
      <c r="I235" s="5"/>
      <c r="J235" s="5"/>
      <c r="K235" s="5"/>
      <c r="L235" s="5"/>
      <c r="M235" s="5"/>
      <c r="N235" s="5"/>
      <c r="O235" s="5"/>
      <c r="P235" s="5"/>
      <c r="Q235" s="5"/>
      <c r="R235" s="5"/>
      <c r="S235" s="5"/>
      <c r="T235" s="5"/>
      <c r="U235" s="5"/>
      <c r="V235" s="5"/>
      <c r="W235" s="5"/>
    </row>
    <row r="236" spans="1:23" ht="16" x14ac:dyDescent="0.2">
      <c r="A236" s="5"/>
      <c r="B236" s="6"/>
      <c r="C236" s="6"/>
      <c r="D236" s="6"/>
      <c r="E236" s="6"/>
      <c r="F236" s="5"/>
      <c r="G236" s="5"/>
      <c r="H236" s="5"/>
      <c r="I236" s="5"/>
      <c r="J236" s="5"/>
      <c r="K236" s="5"/>
      <c r="L236" s="5"/>
      <c r="M236" s="5"/>
      <c r="N236" s="5"/>
      <c r="O236" s="5"/>
      <c r="P236" s="5"/>
      <c r="Q236" s="5"/>
      <c r="R236" s="5"/>
      <c r="S236" s="5"/>
      <c r="T236" s="5"/>
      <c r="U236" s="5"/>
      <c r="V236" s="5"/>
      <c r="W236" s="5"/>
    </row>
    <row r="237" spans="1:23" ht="16" x14ac:dyDescent="0.2">
      <c r="A237" s="5"/>
      <c r="B237" s="6"/>
      <c r="C237" s="6"/>
      <c r="D237" s="6"/>
      <c r="E237" s="6"/>
      <c r="F237" s="5"/>
      <c r="G237" s="5"/>
      <c r="H237" s="5"/>
      <c r="I237" s="5"/>
      <c r="J237" s="5"/>
      <c r="K237" s="5"/>
      <c r="L237" s="5"/>
      <c r="M237" s="5"/>
      <c r="N237" s="5"/>
      <c r="O237" s="5"/>
      <c r="P237" s="5"/>
      <c r="Q237" s="5"/>
      <c r="R237" s="5"/>
      <c r="S237" s="5"/>
      <c r="T237" s="5"/>
      <c r="U237" s="5"/>
      <c r="V237" s="5"/>
      <c r="W237" s="5"/>
    </row>
    <row r="238" spans="1:23" ht="16" x14ac:dyDescent="0.2">
      <c r="A238" s="5"/>
      <c r="B238" s="6"/>
      <c r="C238" s="6"/>
      <c r="D238" s="6"/>
      <c r="E238" s="6"/>
      <c r="F238" s="5"/>
      <c r="G238" s="5"/>
      <c r="H238" s="5"/>
      <c r="I238" s="5"/>
      <c r="J238" s="5"/>
      <c r="K238" s="5"/>
      <c r="L238" s="5"/>
      <c r="M238" s="5"/>
      <c r="N238" s="5"/>
      <c r="O238" s="5"/>
      <c r="P238" s="5"/>
      <c r="Q238" s="5"/>
      <c r="R238" s="5"/>
      <c r="S238" s="5"/>
      <c r="T238" s="5"/>
      <c r="U238" s="5"/>
      <c r="V238" s="5"/>
      <c r="W238" s="5"/>
    </row>
    <row r="239" spans="1:23" ht="16" x14ac:dyDescent="0.2">
      <c r="A239" s="5"/>
      <c r="B239" s="6"/>
      <c r="C239" s="6"/>
      <c r="D239" s="6"/>
      <c r="E239" s="6"/>
      <c r="F239" s="5"/>
      <c r="G239" s="5"/>
      <c r="H239" s="5"/>
      <c r="I239" s="5"/>
      <c r="J239" s="5"/>
      <c r="K239" s="5"/>
      <c r="L239" s="5"/>
      <c r="M239" s="5"/>
      <c r="N239" s="5"/>
      <c r="O239" s="5"/>
      <c r="P239" s="5"/>
      <c r="Q239" s="5"/>
      <c r="R239" s="5"/>
      <c r="S239" s="5"/>
      <c r="T239" s="5"/>
      <c r="U239" s="5"/>
      <c r="V239" s="5"/>
      <c r="W239" s="5"/>
    </row>
    <row r="240" spans="1:23" ht="16" x14ac:dyDescent="0.2">
      <c r="A240" s="5"/>
      <c r="B240" s="6"/>
      <c r="C240" s="6"/>
      <c r="D240" s="6"/>
      <c r="E240" s="6"/>
      <c r="F240" s="5"/>
      <c r="G240" s="5"/>
      <c r="H240" s="5"/>
      <c r="I240" s="5"/>
      <c r="J240" s="5"/>
      <c r="K240" s="5"/>
      <c r="L240" s="5"/>
      <c r="M240" s="5"/>
      <c r="N240" s="5"/>
      <c r="O240" s="5"/>
      <c r="P240" s="5"/>
      <c r="Q240" s="5"/>
      <c r="R240" s="5"/>
      <c r="S240" s="5"/>
      <c r="T240" s="5"/>
      <c r="U240" s="5"/>
      <c r="V240" s="5"/>
      <c r="W240" s="5"/>
    </row>
    <row r="241" spans="1:23" ht="16" x14ac:dyDescent="0.2">
      <c r="A241" s="5"/>
      <c r="B241" s="6"/>
      <c r="C241" s="6"/>
      <c r="D241" s="6"/>
      <c r="E241" s="6"/>
      <c r="F241" s="5"/>
      <c r="G241" s="5"/>
      <c r="H241" s="5"/>
      <c r="I241" s="5"/>
      <c r="J241" s="5"/>
      <c r="K241" s="5"/>
      <c r="L241" s="5"/>
      <c r="M241" s="5"/>
      <c r="N241" s="5"/>
      <c r="O241" s="5"/>
      <c r="P241" s="5"/>
      <c r="Q241" s="5"/>
      <c r="R241" s="5"/>
      <c r="S241" s="5"/>
      <c r="T241" s="5"/>
      <c r="U241" s="5"/>
      <c r="V241" s="5"/>
      <c r="W241" s="5"/>
    </row>
    <row r="242" spans="1:23" ht="16" x14ac:dyDescent="0.2">
      <c r="A242" s="5"/>
      <c r="B242" s="6"/>
      <c r="C242" s="6"/>
      <c r="D242" s="6"/>
      <c r="E242" s="6"/>
      <c r="F242" s="5"/>
      <c r="G242" s="5"/>
      <c r="H242" s="5"/>
      <c r="I242" s="5"/>
      <c r="J242" s="5"/>
      <c r="K242" s="5"/>
      <c r="L242" s="5"/>
      <c r="M242" s="5"/>
      <c r="N242" s="5"/>
      <c r="O242" s="5"/>
      <c r="P242" s="5"/>
      <c r="Q242" s="5"/>
      <c r="R242" s="5"/>
      <c r="S242" s="5"/>
      <c r="T242" s="5"/>
      <c r="U242" s="5"/>
      <c r="V242" s="5"/>
      <c r="W242" s="5"/>
    </row>
    <row r="243" spans="1:23" ht="16" x14ac:dyDescent="0.2">
      <c r="A243" s="5"/>
      <c r="B243" s="6"/>
      <c r="C243" s="6"/>
      <c r="D243" s="6"/>
      <c r="E243" s="6"/>
      <c r="F243" s="5"/>
      <c r="G243" s="5"/>
      <c r="H243" s="5"/>
      <c r="I243" s="5"/>
      <c r="J243" s="5"/>
      <c r="K243" s="5"/>
      <c r="L243" s="5"/>
      <c r="M243" s="5"/>
      <c r="N243" s="5"/>
      <c r="O243" s="5"/>
      <c r="P243" s="5"/>
      <c r="Q243" s="5"/>
      <c r="R243" s="5"/>
      <c r="S243" s="5"/>
      <c r="T243" s="5"/>
      <c r="U243" s="5"/>
      <c r="V243" s="5"/>
      <c r="W243" s="5"/>
    </row>
    <row r="244" spans="1:23" ht="16" x14ac:dyDescent="0.2">
      <c r="A244" s="5"/>
      <c r="B244" s="6"/>
      <c r="C244" s="6"/>
      <c r="D244" s="6"/>
      <c r="E244" s="6"/>
      <c r="F244" s="5"/>
      <c r="G244" s="5"/>
      <c r="H244" s="5"/>
      <c r="I244" s="5"/>
      <c r="J244" s="5"/>
      <c r="K244" s="5"/>
      <c r="L244" s="5"/>
      <c r="M244" s="5"/>
      <c r="N244" s="5"/>
      <c r="O244" s="5"/>
      <c r="P244" s="5"/>
      <c r="Q244" s="5"/>
      <c r="R244" s="5"/>
      <c r="S244" s="5"/>
      <c r="T244" s="5"/>
      <c r="U244" s="5"/>
      <c r="V244" s="5"/>
      <c r="W244" s="5"/>
    </row>
    <row r="245" spans="1:23" ht="16" x14ac:dyDescent="0.2">
      <c r="A245" s="5"/>
      <c r="B245" s="6"/>
      <c r="C245" s="6"/>
      <c r="D245" s="6"/>
      <c r="E245" s="6"/>
      <c r="F245" s="5"/>
      <c r="G245" s="5"/>
      <c r="H245" s="5"/>
      <c r="I245" s="5"/>
      <c r="J245" s="5"/>
      <c r="K245" s="5"/>
      <c r="L245" s="5"/>
      <c r="M245" s="5"/>
      <c r="N245" s="5"/>
      <c r="O245" s="5"/>
      <c r="P245" s="5"/>
      <c r="Q245" s="5"/>
      <c r="R245" s="5"/>
      <c r="S245" s="5"/>
      <c r="T245" s="5"/>
      <c r="U245" s="5"/>
      <c r="V245" s="5"/>
      <c r="W245" s="5"/>
    </row>
    <row r="246" spans="1:23" ht="16" x14ac:dyDescent="0.2">
      <c r="A246" s="5"/>
      <c r="B246" s="6"/>
      <c r="C246" s="6"/>
      <c r="D246" s="6"/>
      <c r="E246" s="6"/>
      <c r="F246" s="5"/>
      <c r="G246" s="5"/>
      <c r="H246" s="5"/>
      <c r="I246" s="5"/>
      <c r="J246" s="5"/>
      <c r="K246" s="5"/>
      <c r="L246" s="5"/>
      <c r="M246" s="5"/>
      <c r="N246" s="5"/>
      <c r="O246" s="5"/>
      <c r="P246" s="5"/>
      <c r="Q246" s="5"/>
      <c r="R246" s="5"/>
      <c r="S246" s="5"/>
      <c r="T246" s="5"/>
      <c r="U246" s="5"/>
      <c r="V246" s="5"/>
      <c r="W246" s="5"/>
    </row>
    <row r="247" spans="1:23" ht="16" x14ac:dyDescent="0.2">
      <c r="A247" s="5"/>
      <c r="B247" s="6"/>
      <c r="C247" s="6"/>
      <c r="D247" s="6"/>
      <c r="E247" s="6"/>
      <c r="F247" s="5"/>
      <c r="G247" s="5"/>
      <c r="H247" s="5"/>
      <c r="I247" s="5"/>
      <c r="J247" s="5"/>
      <c r="K247" s="5"/>
      <c r="L247" s="5"/>
      <c r="M247" s="5"/>
      <c r="N247" s="5"/>
      <c r="O247" s="5"/>
      <c r="P247" s="5"/>
      <c r="Q247" s="5"/>
      <c r="R247" s="5"/>
      <c r="S247" s="5"/>
      <c r="T247" s="5"/>
      <c r="U247" s="5"/>
      <c r="V247" s="5"/>
      <c r="W247" s="5"/>
    </row>
    <row r="248" spans="1:23" ht="16" x14ac:dyDescent="0.2">
      <c r="A248" s="5"/>
      <c r="B248" s="6"/>
      <c r="C248" s="6"/>
      <c r="D248" s="6"/>
      <c r="E248" s="6"/>
      <c r="F248" s="5"/>
      <c r="G248" s="5"/>
      <c r="H248" s="5"/>
      <c r="I248" s="5"/>
      <c r="J248" s="5"/>
      <c r="K248" s="5"/>
      <c r="L248" s="5"/>
      <c r="M248" s="5"/>
      <c r="N248" s="5"/>
      <c r="O248" s="5"/>
      <c r="P248" s="5"/>
      <c r="Q248" s="5"/>
      <c r="R248" s="5"/>
      <c r="S248" s="5"/>
      <c r="T248" s="5"/>
      <c r="U248" s="5"/>
      <c r="V248" s="5"/>
      <c r="W248" s="5"/>
    </row>
    <row r="249" spans="1:23" ht="16" x14ac:dyDescent="0.2">
      <c r="A249" s="5"/>
      <c r="B249" s="6"/>
      <c r="C249" s="6"/>
      <c r="D249" s="6"/>
      <c r="E249" s="6"/>
      <c r="F249" s="5"/>
      <c r="G249" s="5"/>
      <c r="H249" s="5"/>
      <c r="I249" s="5"/>
      <c r="J249" s="5"/>
      <c r="K249" s="5"/>
      <c r="L249" s="5"/>
      <c r="M249" s="5"/>
      <c r="N249" s="5"/>
      <c r="O249" s="5"/>
      <c r="P249" s="5"/>
      <c r="Q249" s="5"/>
      <c r="R249" s="5"/>
      <c r="S249" s="5"/>
      <c r="T249" s="5"/>
      <c r="U249" s="5"/>
      <c r="V249" s="5"/>
      <c r="W249" s="5"/>
    </row>
    <row r="250" spans="1:23" ht="16" x14ac:dyDescent="0.2">
      <c r="A250" s="5"/>
      <c r="B250" s="6"/>
      <c r="C250" s="6"/>
      <c r="D250" s="6"/>
      <c r="E250" s="6"/>
      <c r="F250" s="5"/>
      <c r="G250" s="5"/>
      <c r="H250" s="5"/>
      <c r="I250" s="5"/>
      <c r="J250" s="5"/>
      <c r="K250" s="5"/>
      <c r="L250" s="5"/>
      <c r="M250" s="5"/>
      <c r="N250" s="5"/>
      <c r="O250" s="5"/>
      <c r="P250" s="5"/>
      <c r="Q250" s="5"/>
      <c r="R250" s="5"/>
      <c r="S250" s="5"/>
      <c r="T250" s="5"/>
      <c r="U250" s="5"/>
      <c r="V250" s="5"/>
      <c r="W250" s="5"/>
    </row>
    <row r="251" spans="1:23" ht="16" x14ac:dyDescent="0.2">
      <c r="A251" s="5"/>
      <c r="B251" s="6"/>
      <c r="C251" s="6"/>
      <c r="D251" s="6"/>
      <c r="E251" s="6"/>
      <c r="F251" s="5"/>
      <c r="G251" s="5"/>
      <c r="H251" s="5"/>
      <c r="I251" s="5"/>
      <c r="J251" s="5"/>
      <c r="K251" s="5"/>
      <c r="L251" s="5"/>
      <c r="M251" s="5"/>
      <c r="N251" s="5"/>
      <c r="O251" s="5"/>
      <c r="P251" s="5"/>
      <c r="Q251" s="5"/>
      <c r="R251" s="5"/>
      <c r="S251" s="5"/>
      <c r="T251" s="5"/>
      <c r="U251" s="5"/>
      <c r="V251" s="5"/>
      <c r="W251" s="5"/>
    </row>
    <row r="252" spans="1:23" ht="16" x14ac:dyDescent="0.2">
      <c r="A252" s="5"/>
      <c r="B252" s="6"/>
      <c r="C252" s="6"/>
      <c r="D252" s="6"/>
      <c r="E252" s="6"/>
      <c r="F252" s="5"/>
      <c r="G252" s="5"/>
      <c r="H252" s="5"/>
      <c r="I252" s="5"/>
      <c r="J252" s="5"/>
      <c r="K252" s="5"/>
      <c r="L252" s="5"/>
      <c r="M252" s="5"/>
      <c r="N252" s="5"/>
      <c r="O252" s="5"/>
      <c r="P252" s="5"/>
      <c r="Q252" s="5"/>
      <c r="R252" s="5"/>
      <c r="S252" s="5"/>
      <c r="T252" s="5"/>
      <c r="U252" s="5"/>
      <c r="V252" s="5"/>
      <c r="W252" s="5"/>
    </row>
    <row r="253" spans="1:23" ht="16" x14ac:dyDescent="0.2">
      <c r="A253" s="5"/>
      <c r="B253" s="6"/>
      <c r="C253" s="6"/>
      <c r="D253" s="6"/>
      <c r="E253" s="6"/>
      <c r="F253" s="5"/>
      <c r="G253" s="5"/>
      <c r="H253" s="5"/>
      <c r="I253" s="5"/>
      <c r="J253" s="5"/>
      <c r="K253" s="5"/>
      <c r="L253" s="5"/>
      <c r="M253" s="5"/>
      <c r="N253" s="5"/>
      <c r="O253" s="5"/>
      <c r="P253" s="5"/>
      <c r="Q253" s="5"/>
      <c r="R253" s="5"/>
      <c r="S253" s="5"/>
      <c r="T253" s="5"/>
      <c r="U253" s="5"/>
      <c r="V253" s="5"/>
      <c r="W253" s="5"/>
    </row>
    <row r="254" spans="1:23" ht="16" x14ac:dyDescent="0.2">
      <c r="A254" s="5"/>
      <c r="B254" s="6"/>
      <c r="C254" s="6"/>
      <c r="D254" s="6"/>
      <c r="E254" s="6"/>
      <c r="F254" s="5"/>
      <c r="G254" s="5"/>
      <c r="H254" s="5"/>
      <c r="I254" s="5"/>
      <c r="J254" s="5"/>
      <c r="K254" s="5"/>
      <c r="L254" s="5"/>
      <c r="M254" s="5"/>
      <c r="N254" s="5"/>
      <c r="O254" s="5"/>
      <c r="P254" s="5"/>
      <c r="Q254" s="5"/>
      <c r="R254" s="5"/>
      <c r="S254" s="5"/>
      <c r="T254" s="5"/>
      <c r="U254" s="5"/>
      <c r="V254" s="5"/>
      <c r="W254" s="5"/>
    </row>
    <row r="255" spans="1:23" ht="16" x14ac:dyDescent="0.2">
      <c r="A255" s="5"/>
      <c r="B255" s="6"/>
      <c r="C255" s="6"/>
      <c r="D255" s="6"/>
      <c r="E255" s="6"/>
      <c r="F255" s="5"/>
      <c r="G255" s="5"/>
      <c r="H255" s="5"/>
      <c r="I255" s="5"/>
      <c r="J255" s="5"/>
      <c r="K255" s="5"/>
      <c r="L255" s="5"/>
      <c r="M255" s="5"/>
      <c r="N255" s="5"/>
      <c r="O255" s="5"/>
      <c r="P255" s="5"/>
      <c r="Q255" s="5"/>
      <c r="R255" s="5"/>
      <c r="S255" s="5"/>
      <c r="T255" s="5"/>
      <c r="U255" s="5"/>
      <c r="V255" s="5"/>
      <c r="W255" s="5"/>
    </row>
    <row r="256" spans="1:23" ht="16" x14ac:dyDescent="0.2">
      <c r="A256" s="5"/>
      <c r="B256" s="6"/>
      <c r="C256" s="6"/>
      <c r="D256" s="6"/>
      <c r="E256" s="6"/>
      <c r="F256" s="5"/>
      <c r="G256" s="5"/>
      <c r="H256" s="5"/>
      <c r="I256" s="5"/>
      <c r="J256" s="5"/>
      <c r="K256" s="5"/>
      <c r="L256" s="5"/>
      <c r="M256" s="5"/>
      <c r="N256" s="5"/>
      <c r="O256" s="5"/>
      <c r="P256" s="5"/>
      <c r="Q256" s="5"/>
      <c r="R256" s="5"/>
      <c r="S256" s="5"/>
      <c r="T256" s="5"/>
      <c r="U256" s="5"/>
      <c r="V256" s="5"/>
      <c r="W256" s="5"/>
    </row>
    <row r="257" spans="1:23" ht="16" x14ac:dyDescent="0.2">
      <c r="A257" s="5"/>
      <c r="B257" s="6"/>
      <c r="C257" s="6"/>
      <c r="D257" s="6"/>
      <c r="E257" s="6"/>
      <c r="F257" s="5"/>
      <c r="G257" s="5"/>
      <c r="H257" s="5"/>
      <c r="I257" s="5"/>
      <c r="J257" s="5"/>
      <c r="K257" s="5"/>
      <c r="L257" s="5"/>
      <c r="M257" s="5"/>
      <c r="N257" s="5"/>
      <c r="O257" s="5"/>
      <c r="P257" s="5"/>
      <c r="Q257" s="5"/>
      <c r="R257" s="5"/>
      <c r="S257" s="5"/>
      <c r="T257" s="5"/>
      <c r="U257" s="5"/>
      <c r="V257" s="5"/>
      <c r="W257" s="5"/>
    </row>
    <row r="258" spans="1:23" ht="16" x14ac:dyDescent="0.2">
      <c r="A258" s="5"/>
      <c r="B258" s="6"/>
      <c r="C258" s="6"/>
      <c r="D258" s="6"/>
      <c r="E258" s="6"/>
      <c r="F258" s="5"/>
      <c r="G258" s="5"/>
      <c r="H258" s="5"/>
      <c r="I258" s="5"/>
      <c r="J258" s="5"/>
      <c r="K258" s="5"/>
      <c r="L258" s="5"/>
      <c r="M258" s="5"/>
      <c r="N258" s="5"/>
      <c r="O258" s="5"/>
      <c r="P258" s="5"/>
      <c r="Q258" s="5"/>
      <c r="R258" s="5"/>
      <c r="S258" s="5"/>
      <c r="T258" s="5"/>
      <c r="U258" s="5"/>
      <c r="V258" s="5"/>
      <c r="W258" s="5"/>
    </row>
    <row r="259" spans="1:23" ht="16" x14ac:dyDescent="0.2">
      <c r="A259" s="5"/>
      <c r="B259" s="6"/>
      <c r="C259" s="6"/>
      <c r="D259" s="6"/>
      <c r="E259" s="6"/>
      <c r="F259" s="5"/>
      <c r="G259" s="5"/>
      <c r="H259" s="5"/>
      <c r="I259" s="5"/>
      <c r="J259" s="5"/>
      <c r="K259" s="5"/>
      <c r="L259" s="5"/>
      <c r="M259" s="5"/>
      <c r="N259" s="5"/>
      <c r="O259" s="5"/>
      <c r="P259" s="5"/>
      <c r="Q259" s="5"/>
      <c r="R259" s="5"/>
      <c r="S259" s="5"/>
      <c r="T259" s="5"/>
      <c r="U259" s="5"/>
      <c r="V259" s="5"/>
      <c r="W259" s="5"/>
    </row>
    <row r="260" spans="1:23" ht="16" x14ac:dyDescent="0.2">
      <c r="A260" s="5"/>
      <c r="B260" s="6"/>
      <c r="C260" s="6"/>
      <c r="D260" s="6"/>
      <c r="E260" s="6"/>
      <c r="F260" s="5"/>
      <c r="G260" s="5"/>
      <c r="H260" s="5"/>
      <c r="I260" s="5"/>
      <c r="J260" s="5"/>
      <c r="K260" s="5"/>
      <c r="L260" s="5"/>
      <c r="M260" s="5"/>
      <c r="N260" s="5"/>
      <c r="O260" s="5"/>
      <c r="P260" s="5"/>
      <c r="Q260" s="5"/>
      <c r="R260" s="5"/>
      <c r="S260" s="5"/>
      <c r="T260" s="5"/>
      <c r="U260" s="5"/>
      <c r="V260" s="5"/>
      <c r="W260" s="5"/>
    </row>
    <row r="261" spans="1:23" ht="16" x14ac:dyDescent="0.2">
      <c r="A261" s="5"/>
      <c r="B261" s="6"/>
      <c r="C261" s="6"/>
      <c r="D261" s="6"/>
      <c r="E261" s="6"/>
      <c r="F261" s="5"/>
      <c r="G261" s="5"/>
      <c r="H261" s="5"/>
      <c r="I261" s="5"/>
      <c r="J261" s="5"/>
      <c r="K261" s="5"/>
      <c r="L261" s="5"/>
      <c r="M261" s="5"/>
      <c r="N261" s="5"/>
      <c r="O261" s="5"/>
      <c r="P261" s="5"/>
      <c r="Q261" s="5"/>
      <c r="R261" s="5"/>
      <c r="S261" s="5"/>
      <c r="T261" s="5"/>
      <c r="U261" s="5"/>
      <c r="V261" s="5"/>
      <c r="W261" s="5"/>
    </row>
    <row r="262" spans="1:23" ht="16" x14ac:dyDescent="0.2">
      <c r="A262" s="5"/>
      <c r="B262" s="6"/>
      <c r="C262" s="6"/>
      <c r="D262" s="6"/>
      <c r="E262" s="6"/>
      <c r="F262" s="5"/>
      <c r="G262" s="5"/>
      <c r="H262" s="5"/>
      <c r="I262" s="5"/>
      <c r="J262" s="5"/>
      <c r="K262" s="5"/>
      <c r="L262" s="5"/>
      <c r="M262" s="5"/>
      <c r="N262" s="5"/>
      <c r="O262" s="5"/>
      <c r="P262" s="5"/>
      <c r="Q262" s="5"/>
      <c r="R262" s="5"/>
      <c r="S262" s="5"/>
      <c r="T262" s="5"/>
      <c r="U262" s="5"/>
      <c r="V262" s="5"/>
      <c r="W262" s="5"/>
    </row>
    <row r="263" spans="1:23" ht="16" x14ac:dyDescent="0.2">
      <c r="A263" s="5"/>
      <c r="B263" s="6"/>
      <c r="C263" s="6"/>
      <c r="D263" s="6"/>
      <c r="E263" s="6"/>
      <c r="F263" s="5"/>
      <c r="G263" s="5"/>
      <c r="H263" s="5"/>
      <c r="I263" s="5"/>
      <c r="J263" s="5"/>
      <c r="K263" s="5"/>
      <c r="L263" s="5"/>
      <c r="M263" s="5"/>
      <c r="N263" s="5"/>
      <c r="O263" s="5"/>
      <c r="P263" s="5"/>
      <c r="Q263" s="5"/>
      <c r="R263" s="5"/>
      <c r="S263" s="5"/>
      <c r="T263" s="5"/>
      <c r="U263" s="5"/>
      <c r="V263" s="5"/>
      <c r="W263" s="5"/>
    </row>
    <row r="264" spans="1:23" ht="16" x14ac:dyDescent="0.2">
      <c r="A264" s="5"/>
      <c r="B264" s="6"/>
      <c r="C264" s="6"/>
      <c r="D264" s="6"/>
      <c r="E264" s="6"/>
      <c r="F264" s="5"/>
      <c r="G264" s="5"/>
      <c r="H264" s="5"/>
      <c r="I264" s="5"/>
      <c r="J264" s="5"/>
      <c r="K264" s="5"/>
      <c r="L264" s="5"/>
      <c r="M264" s="5"/>
      <c r="N264" s="5"/>
      <c r="O264" s="5"/>
      <c r="P264" s="5"/>
      <c r="Q264" s="5"/>
      <c r="R264" s="5"/>
      <c r="S264" s="5"/>
      <c r="T264" s="5"/>
      <c r="U264" s="5"/>
      <c r="V264" s="5"/>
      <c r="W264" s="5"/>
    </row>
    <row r="265" spans="1:23" ht="16" x14ac:dyDescent="0.2">
      <c r="A265" s="5"/>
      <c r="B265" s="6"/>
      <c r="C265" s="6"/>
      <c r="D265" s="6"/>
      <c r="E265" s="6"/>
      <c r="F265" s="5"/>
      <c r="G265" s="5"/>
      <c r="H265" s="5"/>
      <c r="I265" s="5"/>
      <c r="J265" s="5"/>
      <c r="K265" s="5"/>
      <c r="L265" s="5"/>
      <c r="M265" s="5"/>
      <c r="N265" s="5"/>
      <c r="O265" s="5"/>
      <c r="P265" s="5"/>
      <c r="Q265" s="5"/>
      <c r="R265" s="5"/>
      <c r="S265" s="5"/>
      <c r="T265" s="5"/>
      <c r="U265" s="5"/>
      <c r="V265" s="5"/>
      <c r="W265" s="5"/>
    </row>
    <row r="266" spans="1:23" ht="16" x14ac:dyDescent="0.2">
      <c r="A266" s="5"/>
      <c r="B266" s="6"/>
      <c r="C266" s="6"/>
      <c r="D266" s="6"/>
      <c r="E266" s="6"/>
      <c r="F266" s="5"/>
      <c r="G266" s="5"/>
      <c r="H266" s="5"/>
      <c r="I266" s="5"/>
      <c r="J266" s="5"/>
      <c r="K266" s="5"/>
      <c r="L266" s="5"/>
      <c r="M266" s="5"/>
      <c r="N266" s="5"/>
      <c r="O266" s="5"/>
      <c r="P266" s="5"/>
      <c r="Q266" s="5"/>
      <c r="R266" s="5"/>
      <c r="S266" s="5"/>
      <c r="T266" s="5"/>
      <c r="U266" s="5"/>
      <c r="V266" s="5"/>
      <c r="W266" s="5"/>
    </row>
    <row r="267" spans="1:23" ht="16" x14ac:dyDescent="0.2">
      <c r="A267" s="5"/>
      <c r="B267" s="6"/>
      <c r="C267" s="6"/>
      <c r="D267" s="6"/>
      <c r="E267" s="6"/>
      <c r="F267" s="5"/>
      <c r="G267" s="5"/>
      <c r="H267" s="5"/>
      <c r="I267" s="5"/>
      <c r="J267" s="5"/>
      <c r="K267" s="5"/>
      <c r="L267" s="5"/>
      <c r="M267" s="5"/>
      <c r="N267" s="5"/>
      <c r="O267" s="5"/>
      <c r="P267" s="5"/>
      <c r="Q267" s="5"/>
      <c r="R267" s="5"/>
      <c r="S267" s="5"/>
      <c r="T267" s="5"/>
      <c r="U267" s="5"/>
      <c r="V267" s="5"/>
      <c r="W267" s="5"/>
    </row>
    <row r="268" spans="1:23" ht="16" x14ac:dyDescent="0.2">
      <c r="A268" s="5"/>
      <c r="B268" s="6"/>
      <c r="C268" s="6"/>
      <c r="D268" s="6"/>
      <c r="E268" s="6"/>
      <c r="F268" s="5"/>
      <c r="G268" s="5"/>
      <c r="H268" s="5"/>
      <c r="I268" s="5"/>
      <c r="J268" s="5"/>
      <c r="K268" s="5"/>
      <c r="L268" s="5"/>
      <c r="M268" s="5"/>
      <c r="N268" s="5"/>
      <c r="O268" s="5"/>
      <c r="P268" s="5"/>
      <c r="Q268" s="5"/>
      <c r="R268" s="5"/>
      <c r="S268" s="5"/>
      <c r="T268" s="5"/>
      <c r="U268" s="5"/>
      <c r="V268" s="5"/>
      <c r="W268" s="5"/>
    </row>
    <row r="269" spans="1:23" ht="16" x14ac:dyDescent="0.2">
      <c r="A269" s="5"/>
      <c r="B269" s="6"/>
      <c r="C269" s="6"/>
      <c r="D269" s="6"/>
      <c r="E269" s="6"/>
      <c r="F269" s="5"/>
      <c r="G269" s="5"/>
      <c r="H269" s="5"/>
      <c r="I269" s="5"/>
      <c r="J269" s="5"/>
      <c r="K269" s="5"/>
      <c r="L269" s="5"/>
      <c r="M269" s="5"/>
      <c r="N269" s="5"/>
      <c r="O269" s="5"/>
      <c r="P269" s="5"/>
      <c r="Q269" s="5"/>
      <c r="R269" s="5"/>
      <c r="S269" s="5"/>
      <c r="T269" s="5"/>
      <c r="U269" s="5"/>
      <c r="V269" s="5"/>
      <c r="W269" s="5"/>
    </row>
    <row r="270" spans="1:23" ht="16" x14ac:dyDescent="0.2">
      <c r="A270" s="5"/>
      <c r="B270" s="6"/>
      <c r="C270" s="6"/>
      <c r="D270" s="6"/>
      <c r="E270" s="6"/>
      <c r="F270" s="5"/>
      <c r="G270" s="5"/>
      <c r="H270" s="5"/>
      <c r="I270" s="5"/>
      <c r="J270" s="5"/>
      <c r="K270" s="5"/>
      <c r="L270" s="5"/>
      <c r="M270" s="5"/>
      <c r="N270" s="5"/>
      <c r="O270" s="5"/>
      <c r="P270" s="5"/>
      <c r="Q270" s="5"/>
      <c r="R270" s="5"/>
      <c r="S270" s="5"/>
      <c r="T270" s="5"/>
      <c r="U270" s="5"/>
      <c r="V270" s="5"/>
      <c r="W270" s="5"/>
    </row>
    <row r="271" spans="1:23" ht="16" x14ac:dyDescent="0.2">
      <c r="A271" s="5"/>
      <c r="B271" s="6"/>
      <c r="C271" s="6"/>
      <c r="D271" s="6"/>
      <c r="E271" s="6"/>
      <c r="F271" s="5"/>
      <c r="G271" s="5"/>
      <c r="H271" s="5"/>
      <c r="I271" s="5"/>
      <c r="J271" s="5"/>
      <c r="K271" s="5"/>
      <c r="L271" s="5"/>
      <c r="M271" s="5"/>
      <c r="N271" s="5"/>
      <c r="O271" s="5"/>
      <c r="P271" s="5"/>
      <c r="Q271" s="5"/>
      <c r="R271" s="5"/>
      <c r="S271" s="5"/>
      <c r="T271" s="5"/>
      <c r="U271" s="5"/>
      <c r="V271" s="5"/>
      <c r="W271" s="5"/>
    </row>
    <row r="272" spans="1:23" ht="16" x14ac:dyDescent="0.2">
      <c r="A272" s="5"/>
      <c r="B272" s="6"/>
      <c r="C272" s="6"/>
      <c r="D272" s="6"/>
      <c r="E272" s="6"/>
      <c r="F272" s="5"/>
      <c r="G272" s="5"/>
      <c r="H272" s="5"/>
      <c r="I272" s="5"/>
      <c r="J272" s="5"/>
      <c r="K272" s="5"/>
      <c r="L272" s="5"/>
      <c r="M272" s="5"/>
      <c r="N272" s="5"/>
      <c r="O272" s="5"/>
      <c r="P272" s="5"/>
      <c r="Q272" s="5"/>
      <c r="R272" s="5"/>
      <c r="S272" s="5"/>
      <c r="T272" s="5"/>
      <c r="U272" s="5"/>
      <c r="V272" s="5"/>
      <c r="W272" s="5"/>
    </row>
    <row r="273" spans="1:23" ht="16" x14ac:dyDescent="0.2">
      <c r="A273" s="5"/>
      <c r="B273" s="6"/>
      <c r="C273" s="6"/>
      <c r="D273" s="6"/>
      <c r="E273" s="6"/>
      <c r="F273" s="5"/>
      <c r="G273" s="5"/>
      <c r="H273" s="5"/>
      <c r="I273" s="5"/>
      <c r="J273" s="5"/>
      <c r="K273" s="5"/>
      <c r="L273" s="5"/>
      <c r="M273" s="5"/>
      <c r="N273" s="5"/>
      <c r="O273" s="5"/>
      <c r="P273" s="5"/>
      <c r="Q273" s="5"/>
      <c r="R273" s="5"/>
      <c r="S273" s="5"/>
      <c r="T273" s="5"/>
      <c r="U273" s="5"/>
      <c r="V273" s="5"/>
      <c r="W273" s="5"/>
    </row>
    <row r="274" spans="1:23" ht="16" x14ac:dyDescent="0.2">
      <c r="A274" s="5"/>
      <c r="B274" s="6"/>
      <c r="C274" s="6"/>
      <c r="D274" s="6"/>
      <c r="E274" s="6"/>
      <c r="F274" s="5"/>
      <c r="G274" s="5"/>
      <c r="H274" s="5"/>
      <c r="I274" s="5"/>
      <c r="J274" s="5"/>
      <c r="K274" s="5"/>
      <c r="L274" s="5"/>
      <c r="M274" s="5"/>
      <c r="N274" s="5"/>
      <c r="O274" s="5"/>
      <c r="P274" s="5"/>
      <c r="Q274" s="5"/>
      <c r="R274" s="5"/>
      <c r="S274" s="5"/>
      <c r="T274" s="5"/>
      <c r="U274" s="5"/>
      <c r="V274" s="5"/>
      <c r="W274" s="5"/>
    </row>
    <row r="275" spans="1:23" ht="16" x14ac:dyDescent="0.2">
      <c r="A275" s="5"/>
      <c r="B275" s="6"/>
      <c r="C275" s="6"/>
      <c r="D275" s="6"/>
      <c r="E275" s="6"/>
      <c r="F275" s="5"/>
      <c r="G275" s="5"/>
      <c r="H275" s="5"/>
      <c r="I275" s="5"/>
      <c r="J275" s="5"/>
      <c r="K275" s="5"/>
      <c r="L275" s="5"/>
      <c r="M275" s="5"/>
      <c r="N275" s="5"/>
      <c r="O275" s="5"/>
      <c r="P275" s="5"/>
      <c r="Q275" s="5"/>
      <c r="R275" s="5"/>
      <c r="S275" s="5"/>
      <c r="T275" s="5"/>
      <c r="U275" s="5"/>
      <c r="V275" s="5"/>
      <c r="W275" s="5"/>
    </row>
    <row r="276" spans="1:23" ht="16" x14ac:dyDescent="0.2">
      <c r="A276" s="5"/>
      <c r="B276" s="6"/>
      <c r="C276" s="6"/>
      <c r="D276" s="6"/>
      <c r="E276" s="6"/>
      <c r="F276" s="5"/>
      <c r="G276" s="5"/>
      <c r="H276" s="5"/>
      <c r="I276" s="5"/>
      <c r="J276" s="5"/>
      <c r="K276" s="5"/>
      <c r="L276" s="5"/>
      <c r="M276" s="5"/>
      <c r="N276" s="5"/>
      <c r="O276" s="5"/>
      <c r="P276" s="5"/>
      <c r="Q276" s="5"/>
      <c r="R276" s="5"/>
      <c r="S276" s="5"/>
      <c r="T276" s="5"/>
      <c r="U276" s="5"/>
      <c r="V276" s="5"/>
      <c r="W276" s="5"/>
    </row>
    <row r="277" spans="1:23" ht="16" x14ac:dyDescent="0.2">
      <c r="A277" s="5"/>
      <c r="B277" s="6"/>
      <c r="C277" s="6"/>
      <c r="D277" s="6"/>
      <c r="E277" s="6"/>
      <c r="F277" s="5"/>
      <c r="G277" s="5"/>
      <c r="H277" s="5"/>
      <c r="I277" s="5"/>
      <c r="J277" s="5"/>
      <c r="K277" s="5"/>
      <c r="L277" s="5"/>
      <c r="M277" s="5"/>
      <c r="N277" s="5"/>
      <c r="O277" s="5"/>
      <c r="P277" s="5"/>
      <c r="Q277" s="5"/>
      <c r="R277" s="5"/>
      <c r="S277" s="5"/>
      <c r="T277" s="5"/>
      <c r="U277" s="5"/>
      <c r="V277" s="5"/>
      <c r="W277" s="5"/>
    </row>
    <row r="278" spans="1:23" ht="16" x14ac:dyDescent="0.2">
      <c r="A278" s="5"/>
      <c r="B278" s="6"/>
      <c r="C278" s="6"/>
      <c r="D278" s="6"/>
      <c r="E278" s="6"/>
      <c r="F278" s="5"/>
      <c r="G278" s="5"/>
      <c r="H278" s="5"/>
      <c r="I278" s="5"/>
      <c r="J278" s="5"/>
      <c r="K278" s="5"/>
      <c r="L278" s="5"/>
      <c r="M278" s="5"/>
      <c r="N278" s="5"/>
      <c r="O278" s="5"/>
      <c r="P278" s="5"/>
      <c r="Q278" s="5"/>
      <c r="R278" s="5"/>
      <c r="S278" s="5"/>
      <c r="T278" s="5"/>
      <c r="U278" s="5"/>
      <c r="V278" s="5"/>
      <c r="W278" s="5"/>
    </row>
    <row r="279" spans="1:23" ht="16" x14ac:dyDescent="0.2">
      <c r="A279" s="5"/>
      <c r="B279" s="6"/>
      <c r="C279" s="6"/>
      <c r="D279" s="6"/>
      <c r="E279" s="6"/>
      <c r="F279" s="5"/>
      <c r="G279" s="5"/>
      <c r="H279" s="5"/>
      <c r="I279" s="5"/>
      <c r="J279" s="5"/>
      <c r="K279" s="5"/>
      <c r="L279" s="5"/>
      <c r="M279" s="5"/>
      <c r="N279" s="5"/>
      <c r="O279" s="5"/>
      <c r="P279" s="5"/>
      <c r="Q279" s="5"/>
      <c r="R279" s="5"/>
      <c r="S279" s="5"/>
      <c r="T279" s="5"/>
      <c r="U279" s="5"/>
      <c r="V279" s="5"/>
      <c r="W279" s="5"/>
    </row>
    <row r="280" spans="1:23" ht="16" x14ac:dyDescent="0.2">
      <c r="A280" s="5"/>
      <c r="B280" s="6"/>
      <c r="C280" s="6"/>
      <c r="D280" s="6"/>
      <c r="E280" s="6"/>
      <c r="F280" s="5"/>
      <c r="G280" s="5"/>
      <c r="H280" s="5"/>
      <c r="I280" s="5"/>
      <c r="J280" s="5"/>
      <c r="K280" s="5"/>
      <c r="L280" s="5"/>
      <c r="M280" s="5"/>
      <c r="N280" s="5"/>
      <c r="O280" s="5"/>
      <c r="P280" s="5"/>
      <c r="Q280" s="5"/>
      <c r="R280" s="5"/>
      <c r="S280" s="5"/>
      <c r="T280" s="5"/>
      <c r="U280" s="5"/>
      <c r="V280" s="5"/>
      <c r="W280" s="5"/>
    </row>
    <row r="281" spans="1:23" ht="16" x14ac:dyDescent="0.2">
      <c r="A281" s="5"/>
      <c r="B281" s="6"/>
      <c r="C281" s="6"/>
      <c r="D281" s="6"/>
      <c r="E281" s="6"/>
      <c r="F281" s="5"/>
      <c r="G281" s="5"/>
      <c r="H281" s="5"/>
      <c r="I281" s="5"/>
      <c r="J281" s="5"/>
      <c r="K281" s="5"/>
      <c r="L281" s="5"/>
      <c r="M281" s="5"/>
      <c r="N281" s="5"/>
      <c r="O281" s="5"/>
      <c r="P281" s="5"/>
      <c r="Q281" s="5"/>
      <c r="R281" s="5"/>
      <c r="S281" s="5"/>
      <c r="T281" s="5"/>
      <c r="U281" s="5"/>
      <c r="V281" s="5"/>
      <c r="W281" s="5"/>
    </row>
    <row r="282" spans="1:23" ht="16" x14ac:dyDescent="0.2">
      <c r="A282" s="5"/>
      <c r="B282" s="6"/>
      <c r="C282" s="6"/>
      <c r="D282" s="6"/>
      <c r="E282" s="6"/>
      <c r="F282" s="5"/>
      <c r="G282" s="5"/>
      <c r="H282" s="5"/>
      <c r="I282" s="5"/>
      <c r="J282" s="5"/>
      <c r="K282" s="5"/>
      <c r="L282" s="5"/>
      <c r="M282" s="5"/>
      <c r="N282" s="5"/>
      <c r="O282" s="5"/>
      <c r="P282" s="5"/>
      <c r="Q282" s="5"/>
      <c r="R282" s="5"/>
      <c r="S282" s="5"/>
      <c r="T282" s="5"/>
      <c r="U282" s="5"/>
      <c r="V282" s="5"/>
      <c r="W282" s="5"/>
    </row>
    <row r="283" spans="1:23" ht="16" x14ac:dyDescent="0.2">
      <c r="A283" s="5"/>
      <c r="B283" s="6"/>
      <c r="C283" s="6"/>
      <c r="D283" s="6"/>
      <c r="E283" s="6"/>
      <c r="F283" s="5"/>
      <c r="G283" s="5"/>
      <c r="H283" s="5"/>
      <c r="I283" s="5"/>
      <c r="J283" s="5"/>
      <c r="K283" s="5"/>
      <c r="L283" s="5"/>
      <c r="M283" s="5"/>
      <c r="N283" s="5"/>
      <c r="O283" s="5"/>
      <c r="P283" s="5"/>
      <c r="Q283" s="5"/>
      <c r="R283" s="5"/>
      <c r="S283" s="5"/>
      <c r="T283" s="5"/>
      <c r="U283" s="5"/>
      <c r="V283" s="5"/>
      <c r="W283" s="5"/>
    </row>
    <row r="284" spans="1:23" ht="16" x14ac:dyDescent="0.2">
      <c r="A284" s="5"/>
      <c r="B284" s="6"/>
      <c r="C284" s="6"/>
      <c r="D284" s="6"/>
      <c r="E284" s="6"/>
      <c r="F284" s="5"/>
      <c r="G284" s="5"/>
      <c r="H284" s="5"/>
      <c r="I284" s="5"/>
      <c r="J284" s="5"/>
      <c r="K284" s="5"/>
      <c r="L284" s="5"/>
      <c r="M284" s="5"/>
      <c r="N284" s="5"/>
      <c r="O284" s="5"/>
      <c r="P284" s="5"/>
      <c r="Q284" s="5"/>
      <c r="R284" s="5"/>
      <c r="S284" s="5"/>
      <c r="T284" s="5"/>
      <c r="U284" s="5"/>
      <c r="V284" s="5"/>
      <c r="W284" s="5"/>
    </row>
    <row r="285" spans="1:23" ht="16" x14ac:dyDescent="0.2">
      <c r="A285" s="5"/>
      <c r="B285" s="6"/>
      <c r="C285" s="6"/>
      <c r="D285" s="6"/>
      <c r="E285" s="6"/>
      <c r="F285" s="5"/>
      <c r="G285" s="5"/>
      <c r="H285" s="5"/>
      <c r="I285" s="5"/>
      <c r="J285" s="5"/>
      <c r="K285" s="5"/>
      <c r="L285" s="5"/>
      <c r="M285" s="5"/>
      <c r="N285" s="5"/>
      <c r="O285" s="5"/>
      <c r="P285" s="5"/>
      <c r="Q285" s="5"/>
      <c r="R285" s="5"/>
      <c r="S285" s="5"/>
      <c r="T285" s="5"/>
      <c r="U285" s="5"/>
      <c r="V285" s="5"/>
      <c r="W285" s="5"/>
    </row>
    <row r="286" spans="1:23" ht="16" x14ac:dyDescent="0.2">
      <c r="A286" s="5"/>
      <c r="B286" s="6"/>
      <c r="C286" s="6"/>
      <c r="D286" s="6"/>
      <c r="E286" s="6"/>
      <c r="F286" s="5"/>
      <c r="G286" s="5"/>
      <c r="H286" s="5"/>
      <c r="I286" s="5"/>
      <c r="J286" s="5"/>
      <c r="K286" s="5"/>
      <c r="L286" s="5"/>
      <c r="M286" s="5"/>
      <c r="N286" s="5"/>
      <c r="O286" s="5"/>
      <c r="P286" s="5"/>
      <c r="Q286" s="5"/>
      <c r="R286" s="5"/>
      <c r="S286" s="5"/>
      <c r="T286" s="5"/>
      <c r="U286" s="5"/>
      <c r="V286" s="5"/>
      <c r="W286" s="5"/>
    </row>
    <row r="287" spans="1:23" ht="16" x14ac:dyDescent="0.2">
      <c r="A287" s="5"/>
      <c r="B287" s="6"/>
      <c r="C287" s="6"/>
      <c r="D287" s="6"/>
      <c r="E287" s="6"/>
      <c r="F287" s="5"/>
      <c r="G287" s="5"/>
      <c r="H287" s="5"/>
      <c r="I287" s="5"/>
      <c r="J287" s="5"/>
      <c r="K287" s="5"/>
      <c r="L287" s="5"/>
      <c r="M287" s="5"/>
      <c r="N287" s="5"/>
      <c r="O287" s="5"/>
      <c r="P287" s="5"/>
      <c r="Q287" s="5"/>
      <c r="R287" s="5"/>
      <c r="S287" s="5"/>
      <c r="T287" s="5"/>
      <c r="U287" s="5"/>
      <c r="V287" s="5"/>
      <c r="W287" s="5"/>
    </row>
    <row r="288" spans="1:23" ht="16" x14ac:dyDescent="0.2">
      <c r="A288" s="5"/>
      <c r="B288" s="6"/>
      <c r="C288" s="6"/>
      <c r="D288" s="6"/>
      <c r="E288" s="6"/>
      <c r="F288" s="5"/>
      <c r="G288" s="5"/>
      <c r="H288" s="5"/>
      <c r="I288" s="5"/>
      <c r="J288" s="5"/>
      <c r="K288" s="5"/>
      <c r="L288" s="5"/>
      <c r="M288" s="5"/>
      <c r="N288" s="5"/>
      <c r="O288" s="5"/>
      <c r="P288" s="5"/>
      <c r="Q288" s="5"/>
      <c r="R288" s="5"/>
      <c r="S288" s="5"/>
      <c r="T288" s="5"/>
      <c r="U288" s="5"/>
      <c r="V288" s="5"/>
      <c r="W288" s="5"/>
    </row>
    <row r="289" spans="1:23" ht="16" x14ac:dyDescent="0.2">
      <c r="A289" s="5"/>
      <c r="B289" s="6"/>
      <c r="C289" s="6"/>
      <c r="D289" s="6"/>
      <c r="E289" s="6"/>
      <c r="F289" s="5"/>
      <c r="G289" s="5"/>
      <c r="H289" s="5"/>
      <c r="I289" s="5"/>
      <c r="J289" s="5"/>
      <c r="K289" s="5"/>
      <c r="L289" s="5"/>
      <c r="M289" s="5"/>
      <c r="N289" s="5"/>
      <c r="O289" s="5"/>
      <c r="P289" s="5"/>
      <c r="Q289" s="5"/>
      <c r="R289" s="5"/>
      <c r="S289" s="5"/>
      <c r="T289" s="5"/>
      <c r="U289" s="5"/>
      <c r="V289" s="5"/>
      <c r="W289" s="5"/>
    </row>
    <row r="290" spans="1:23" ht="16" x14ac:dyDescent="0.2">
      <c r="A290" s="5"/>
      <c r="B290" s="6"/>
      <c r="C290" s="6"/>
      <c r="D290" s="6"/>
      <c r="E290" s="6"/>
      <c r="F290" s="5"/>
      <c r="G290" s="5"/>
      <c r="H290" s="5"/>
      <c r="I290" s="5"/>
      <c r="J290" s="5"/>
      <c r="K290" s="5"/>
      <c r="L290" s="5"/>
      <c r="M290" s="5"/>
      <c r="N290" s="5"/>
      <c r="O290" s="5"/>
      <c r="P290" s="5"/>
      <c r="Q290" s="5"/>
      <c r="R290" s="5"/>
      <c r="S290" s="5"/>
      <c r="T290" s="5"/>
      <c r="U290" s="5"/>
      <c r="V290" s="5"/>
      <c r="W290" s="5"/>
    </row>
    <row r="291" spans="1:23" ht="16" x14ac:dyDescent="0.2">
      <c r="A291" s="5"/>
      <c r="B291" s="6"/>
      <c r="C291" s="6"/>
      <c r="D291" s="6"/>
      <c r="E291" s="6"/>
      <c r="F291" s="5"/>
      <c r="G291" s="5"/>
      <c r="H291" s="5"/>
      <c r="I291" s="5"/>
      <c r="J291" s="5"/>
      <c r="K291" s="5"/>
      <c r="L291" s="5"/>
      <c r="M291" s="5"/>
      <c r="N291" s="5"/>
      <c r="O291" s="5"/>
      <c r="P291" s="5"/>
      <c r="Q291" s="5"/>
      <c r="R291" s="5"/>
      <c r="S291" s="5"/>
      <c r="T291" s="5"/>
      <c r="U291" s="5"/>
      <c r="V291" s="5"/>
      <c r="W291" s="5"/>
    </row>
    <row r="292" spans="1:23" ht="16" x14ac:dyDescent="0.2">
      <c r="A292" s="5"/>
      <c r="B292" s="6"/>
      <c r="C292" s="6"/>
      <c r="D292" s="6"/>
      <c r="E292" s="6"/>
      <c r="F292" s="5"/>
      <c r="G292" s="5"/>
      <c r="H292" s="5"/>
      <c r="I292" s="5"/>
      <c r="J292" s="5"/>
      <c r="K292" s="5"/>
      <c r="L292" s="5"/>
      <c r="M292" s="5"/>
      <c r="N292" s="5"/>
      <c r="O292" s="5"/>
      <c r="P292" s="5"/>
      <c r="Q292" s="5"/>
      <c r="R292" s="5"/>
      <c r="S292" s="5"/>
      <c r="T292" s="5"/>
      <c r="U292" s="5"/>
      <c r="V292" s="5"/>
      <c r="W292" s="5"/>
    </row>
    <row r="293" spans="1:23" ht="16" x14ac:dyDescent="0.2">
      <c r="A293" s="5"/>
      <c r="B293" s="6"/>
      <c r="C293" s="6"/>
      <c r="D293" s="6"/>
      <c r="E293" s="6"/>
      <c r="F293" s="5"/>
      <c r="G293" s="5"/>
      <c r="H293" s="5"/>
      <c r="I293" s="5"/>
      <c r="J293" s="5"/>
      <c r="K293" s="5"/>
      <c r="L293" s="5"/>
      <c r="M293" s="5"/>
      <c r="N293" s="5"/>
      <c r="O293" s="5"/>
      <c r="P293" s="5"/>
      <c r="Q293" s="5"/>
      <c r="R293" s="5"/>
      <c r="S293" s="5"/>
      <c r="T293" s="5"/>
      <c r="U293" s="5"/>
      <c r="V293" s="5"/>
      <c r="W293" s="5"/>
    </row>
    <row r="294" spans="1:23" ht="16" x14ac:dyDescent="0.2">
      <c r="A294" s="5"/>
      <c r="B294" s="6"/>
      <c r="C294" s="6"/>
      <c r="D294" s="6"/>
      <c r="E294" s="6"/>
      <c r="F294" s="5"/>
      <c r="G294" s="5"/>
      <c r="H294" s="5"/>
      <c r="I294" s="5"/>
      <c r="J294" s="5"/>
      <c r="K294" s="5"/>
      <c r="L294" s="5"/>
      <c r="M294" s="5"/>
      <c r="N294" s="5"/>
      <c r="O294" s="5"/>
      <c r="P294" s="5"/>
      <c r="Q294" s="5"/>
      <c r="R294" s="5"/>
      <c r="S294" s="5"/>
      <c r="T294" s="5"/>
      <c r="U294" s="5"/>
      <c r="V294" s="5"/>
      <c r="W294" s="5"/>
    </row>
    <row r="295" spans="1:23" ht="16" x14ac:dyDescent="0.2">
      <c r="A295" s="5"/>
      <c r="B295" s="6"/>
      <c r="C295" s="6"/>
      <c r="D295" s="6"/>
      <c r="E295" s="6"/>
      <c r="F295" s="5"/>
      <c r="G295" s="5"/>
      <c r="H295" s="5"/>
      <c r="I295" s="5"/>
      <c r="J295" s="5"/>
      <c r="K295" s="5"/>
      <c r="L295" s="5"/>
      <c r="M295" s="5"/>
      <c r="N295" s="5"/>
      <c r="O295" s="5"/>
      <c r="P295" s="5"/>
      <c r="Q295" s="5"/>
      <c r="R295" s="5"/>
      <c r="S295" s="5"/>
      <c r="T295" s="5"/>
      <c r="U295" s="5"/>
      <c r="V295" s="5"/>
      <c r="W295" s="5"/>
    </row>
    <row r="296" spans="1:23" ht="16" x14ac:dyDescent="0.2">
      <c r="A296" s="5"/>
      <c r="B296" s="6"/>
      <c r="C296" s="6"/>
      <c r="D296" s="6"/>
      <c r="E296" s="6"/>
      <c r="F296" s="5"/>
      <c r="G296" s="5"/>
      <c r="H296" s="5"/>
      <c r="I296" s="5"/>
      <c r="J296" s="5"/>
      <c r="K296" s="5"/>
      <c r="L296" s="5"/>
      <c r="M296" s="5"/>
      <c r="N296" s="5"/>
      <c r="O296" s="5"/>
      <c r="P296" s="5"/>
      <c r="Q296" s="5"/>
      <c r="R296" s="5"/>
      <c r="S296" s="5"/>
      <c r="T296" s="5"/>
      <c r="U296" s="5"/>
      <c r="V296" s="5"/>
      <c r="W296" s="5"/>
    </row>
    <row r="297" spans="1:23" ht="16" x14ac:dyDescent="0.2">
      <c r="A297" s="5"/>
      <c r="B297" s="6"/>
      <c r="C297" s="6"/>
      <c r="D297" s="6"/>
      <c r="E297" s="6"/>
      <c r="F297" s="5"/>
      <c r="G297" s="5"/>
      <c r="H297" s="5"/>
      <c r="I297" s="5"/>
      <c r="J297" s="5"/>
      <c r="K297" s="5"/>
      <c r="L297" s="5"/>
      <c r="M297" s="5"/>
      <c r="N297" s="5"/>
      <c r="O297" s="5"/>
      <c r="P297" s="5"/>
      <c r="Q297" s="5"/>
      <c r="R297" s="5"/>
      <c r="S297" s="5"/>
      <c r="T297" s="5"/>
      <c r="U297" s="5"/>
      <c r="V297" s="5"/>
      <c r="W297" s="5"/>
    </row>
    <row r="298" spans="1:23" ht="16" x14ac:dyDescent="0.2">
      <c r="A298" s="5"/>
      <c r="B298" s="6"/>
      <c r="C298" s="6"/>
      <c r="D298" s="6"/>
      <c r="E298" s="6"/>
      <c r="F298" s="5"/>
      <c r="G298" s="5"/>
      <c r="H298" s="5"/>
      <c r="I298" s="5"/>
      <c r="J298" s="5"/>
      <c r="K298" s="5"/>
      <c r="L298" s="5"/>
      <c r="M298" s="5"/>
      <c r="N298" s="5"/>
      <c r="O298" s="5"/>
      <c r="P298" s="5"/>
      <c r="Q298" s="5"/>
      <c r="R298" s="5"/>
      <c r="S298" s="5"/>
      <c r="T298" s="5"/>
      <c r="U298" s="5"/>
      <c r="V298" s="5"/>
      <c r="W298" s="5"/>
    </row>
    <row r="299" spans="1:23" ht="16" x14ac:dyDescent="0.2">
      <c r="A299" s="5"/>
      <c r="B299" s="6"/>
      <c r="C299" s="6"/>
      <c r="D299" s="6"/>
      <c r="E299" s="6"/>
      <c r="F299" s="5"/>
      <c r="G299" s="5"/>
      <c r="H299" s="5"/>
      <c r="I299" s="5"/>
      <c r="J299" s="5"/>
      <c r="K299" s="5"/>
      <c r="L299" s="5"/>
      <c r="M299" s="5"/>
      <c r="N299" s="5"/>
      <c r="O299" s="5"/>
      <c r="P299" s="5"/>
      <c r="Q299" s="5"/>
      <c r="R299" s="5"/>
      <c r="S299" s="5"/>
      <c r="T299" s="5"/>
      <c r="U299" s="5"/>
      <c r="V299" s="5"/>
      <c r="W299" s="5"/>
    </row>
    <row r="300" spans="1:23" ht="16" x14ac:dyDescent="0.2">
      <c r="A300" s="5"/>
      <c r="B300" s="6"/>
      <c r="C300" s="6"/>
      <c r="D300" s="6"/>
      <c r="E300" s="6"/>
      <c r="F300" s="5"/>
      <c r="G300" s="5"/>
      <c r="H300" s="5"/>
      <c r="I300" s="5"/>
      <c r="J300" s="5"/>
      <c r="K300" s="5"/>
      <c r="L300" s="5"/>
      <c r="M300" s="5"/>
      <c r="N300" s="5"/>
      <c r="O300" s="5"/>
      <c r="P300" s="5"/>
      <c r="Q300" s="5"/>
      <c r="R300" s="5"/>
      <c r="S300" s="5"/>
      <c r="T300" s="5"/>
      <c r="U300" s="5"/>
      <c r="V300" s="5"/>
      <c r="W300" s="5"/>
    </row>
    <row r="301" spans="1:23" ht="16" x14ac:dyDescent="0.2">
      <c r="A301" s="5"/>
      <c r="B301" s="6"/>
      <c r="C301" s="6"/>
      <c r="D301" s="6"/>
      <c r="E301" s="6"/>
      <c r="F301" s="5"/>
      <c r="G301" s="5"/>
      <c r="H301" s="5"/>
      <c r="I301" s="5"/>
      <c r="J301" s="5"/>
      <c r="K301" s="5"/>
      <c r="L301" s="5"/>
      <c r="M301" s="5"/>
      <c r="N301" s="5"/>
      <c r="O301" s="5"/>
      <c r="P301" s="5"/>
      <c r="Q301" s="5"/>
      <c r="R301" s="5"/>
      <c r="S301" s="5"/>
      <c r="T301" s="5"/>
      <c r="U301" s="5"/>
      <c r="V301" s="5"/>
      <c r="W301" s="5"/>
    </row>
    <row r="302" spans="1:23" ht="16" x14ac:dyDescent="0.2">
      <c r="A302" s="5"/>
      <c r="B302" s="6"/>
      <c r="C302" s="6"/>
      <c r="D302" s="6"/>
      <c r="E302" s="6"/>
      <c r="F302" s="5"/>
      <c r="G302" s="5"/>
      <c r="H302" s="5"/>
      <c r="I302" s="5"/>
      <c r="J302" s="5"/>
      <c r="K302" s="5"/>
      <c r="L302" s="5"/>
      <c r="M302" s="5"/>
      <c r="N302" s="5"/>
      <c r="O302" s="5"/>
      <c r="P302" s="5"/>
      <c r="Q302" s="5"/>
      <c r="R302" s="5"/>
      <c r="S302" s="5"/>
      <c r="T302" s="5"/>
      <c r="U302" s="5"/>
      <c r="V302" s="5"/>
      <c r="W302" s="5"/>
    </row>
    <row r="303" spans="1:23" ht="16" x14ac:dyDescent="0.2">
      <c r="A303" s="5"/>
      <c r="B303" s="6"/>
      <c r="C303" s="6"/>
      <c r="D303" s="6"/>
      <c r="E303" s="6"/>
      <c r="F303" s="5"/>
      <c r="G303" s="5"/>
      <c r="H303" s="5"/>
      <c r="I303" s="5"/>
      <c r="J303" s="5"/>
      <c r="K303" s="5"/>
      <c r="L303" s="5"/>
      <c r="M303" s="5"/>
      <c r="N303" s="5"/>
      <c r="O303" s="5"/>
      <c r="P303" s="5"/>
      <c r="Q303" s="5"/>
      <c r="R303" s="5"/>
      <c r="S303" s="5"/>
      <c r="T303" s="5"/>
      <c r="U303" s="5"/>
      <c r="V303" s="5"/>
      <c r="W303" s="5"/>
    </row>
    <row r="304" spans="1:23" ht="16" x14ac:dyDescent="0.2">
      <c r="A304" s="5"/>
      <c r="B304" s="6"/>
      <c r="C304" s="6"/>
      <c r="D304" s="6"/>
      <c r="E304" s="6"/>
      <c r="F304" s="5"/>
      <c r="G304" s="5"/>
      <c r="H304" s="5"/>
      <c r="I304" s="5"/>
      <c r="J304" s="5"/>
      <c r="K304" s="5"/>
      <c r="L304" s="5"/>
      <c r="M304" s="5"/>
      <c r="N304" s="5"/>
      <c r="O304" s="5"/>
      <c r="P304" s="5"/>
      <c r="Q304" s="5"/>
      <c r="R304" s="5"/>
      <c r="S304" s="5"/>
      <c r="T304" s="5"/>
      <c r="U304" s="5"/>
      <c r="V304" s="5"/>
      <c r="W304" s="5"/>
    </row>
    <row r="305" spans="1:23" ht="16" x14ac:dyDescent="0.2">
      <c r="A305" s="5"/>
      <c r="B305" s="6"/>
      <c r="C305" s="6"/>
      <c r="D305" s="6"/>
      <c r="E305" s="6"/>
      <c r="F305" s="5"/>
      <c r="G305" s="5"/>
      <c r="H305" s="5"/>
      <c r="I305" s="5"/>
      <c r="J305" s="5"/>
      <c r="K305" s="5"/>
      <c r="L305" s="5"/>
      <c r="M305" s="5"/>
      <c r="N305" s="5"/>
      <c r="O305" s="5"/>
      <c r="P305" s="5"/>
      <c r="Q305" s="5"/>
      <c r="R305" s="5"/>
      <c r="S305" s="5"/>
      <c r="T305" s="5"/>
      <c r="U305" s="5"/>
      <c r="V305" s="5"/>
      <c r="W305" s="5"/>
    </row>
    <row r="306" spans="1:23" ht="16" x14ac:dyDescent="0.2">
      <c r="A306" s="5"/>
      <c r="B306" s="6"/>
      <c r="C306" s="6"/>
      <c r="D306" s="6"/>
      <c r="E306" s="6"/>
      <c r="F306" s="5"/>
      <c r="G306" s="5"/>
      <c r="H306" s="5"/>
      <c r="I306" s="5"/>
      <c r="J306" s="5"/>
      <c r="K306" s="5"/>
      <c r="L306" s="5"/>
      <c r="M306" s="5"/>
      <c r="N306" s="5"/>
      <c r="O306" s="5"/>
      <c r="P306" s="5"/>
      <c r="Q306" s="5"/>
      <c r="R306" s="5"/>
      <c r="S306" s="5"/>
      <c r="T306" s="5"/>
      <c r="U306" s="5"/>
      <c r="V306" s="5"/>
      <c r="W306" s="5"/>
    </row>
    <row r="307" spans="1:23" ht="16" x14ac:dyDescent="0.2">
      <c r="A307" s="5"/>
      <c r="B307" s="6"/>
      <c r="C307" s="6"/>
      <c r="D307" s="6"/>
      <c r="E307" s="6"/>
      <c r="F307" s="5"/>
      <c r="G307" s="5"/>
      <c r="H307" s="5"/>
      <c r="I307" s="5"/>
      <c r="J307" s="5"/>
      <c r="K307" s="5"/>
      <c r="L307" s="5"/>
      <c r="M307" s="5"/>
      <c r="N307" s="5"/>
      <c r="O307" s="5"/>
      <c r="P307" s="5"/>
      <c r="Q307" s="5"/>
      <c r="R307" s="5"/>
      <c r="S307" s="5"/>
      <c r="T307" s="5"/>
      <c r="U307" s="5"/>
      <c r="V307" s="5"/>
      <c r="W307" s="5"/>
    </row>
    <row r="308" spans="1:23" ht="16" x14ac:dyDescent="0.2">
      <c r="A308" s="5"/>
      <c r="B308" s="6"/>
      <c r="C308" s="6"/>
      <c r="D308" s="6"/>
      <c r="E308" s="6"/>
      <c r="F308" s="5"/>
      <c r="G308" s="5"/>
      <c r="H308" s="5"/>
      <c r="I308" s="5"/>
      <c r="J308" s="5"/>
      <c r="K308" s="5"/>
      <c r="L308" s="5"/>
      <c r="M308" s="5"/>
      <c r="N308" s="5"/>
      <c r="O308" s="5"/>
      <c r="P308" s="5"/>
      <c r="Q308" s="5"/>
      <c r="R308" s="5"/>
      <c r="S308" s="5"/>
      <c r="T308" s="5"/>
      <c r="U308" s="5"/>
      <c r="V308" s="5"/>
      <c r="W308" s="5"/>
    </row>
    <row r="309" spans="1:23" ht="16" x14ac:dyDescent="0.2">
      <c r="A309" s="5"/>
      <c r="B309" s="6"/>
      <c r="C309" s="6"/>
      <c r="D309" s="6"/>
      <c r="E309" s="6"/>
      <c r="F309" s="5"/>
      <c r="G309" s="5"/>
      <c r="H309" s="5"/>
      <c r="I309" s="5"/>
      <c r="J309" s="5"/>
      <c r="K309" s="5"/>
      <c r="L309" s="5"/>
      <c r="M309" s="5"/>
      <c r="N309" s="5"/>
      <c r="O309" s="5"/>
      <c r="P309" s="5"/>
      <c r="Q309" s="5"/>
      <c r="R309" s="5"/>
      <c r="S309" s="5"/>
      <c r="T309" s="5"/>
      <c r="U309" s="5"/>
      <c r="V309" s="5"/>
      <c r="W309" s="5"/>
    </row>
    <row r="310" spans="1:23" ht="16" x14ac:dyDescent="0.2">
      <c r="A310" s="5"/>
      <c r="B310" s="6"/>
      <c r="C310" s="6"/>
      <c r="D310" s="6"/>
      <c r="E310" s="6"/>
      <c r="F310" s="5"/>
      <c r="G310" s="5"/>
      <c r="H310" s="5"/>
      <c r="I310" s="5"/>
      <c r="J310" s="5"/>
      <c r="K310" s="5"/>
      <c r="L310" s="5"/>
      <c r="M310" s="5"/>
      <c r="N310" s="5"/>
      <c r="O310" s="5"/>
      <c r="P310" s="5"/>
      <c r="Q310" s="5"/>
      <c r="R310" s="5"/>
      <c r="S310" s="5"/>
      <c r="T310" s="5"/>
      <c r="U310" s="5"/>
      <c r="V310" s="5"/>
      <c r="W310" s="5"/>
    </row>
    <row r="311" spans="1:23" ht="16" x14ac:dyDescent="0.2">
      <c r="A311" s="5"/>
      <c r="B311" s="6"/>
      <c r="C311" s="6"/>
      <c r="D311" s="6"/>
      <c r="E311" s="6"/>
      <c r="F311" s="5"/>
      <c r="G311" s="5"/>
      <c r="H311" s="5"/>
      <c r="I311" s="5"/>
      <c r="J311" s="5"/>
      <c r="K311" s="5"/>
      <c r="L311" s="5"/>
      <c r="M311" s="5"/>
      <c r="N311" s="5"/>
      <c r="O311" s="5"/>
      <c r="P311" s="5"/>
      <c r="Q311" s="5"/>
      <c r="R311" s="5"/>
      <c r="S311" s="5"/>
      <c r="T311" s="5"/>
      <c r="U311" s="5"/>
      <c r="V311" s="5"/>
      <c r="W311" s="5"/>
    </row>
    <row r="312" spans="1:23" ht="16" x14ac:dyDescent="0.2">
      <c r="A312" s="5"/>
      <c r="B312" s="6"/>
      <c r="C312" s="6"/>
      <c r="D312" s="6"/>
      <c r="E312" s="6"/>
      <c r="F312" s="5"/>
      <c r="G312" s="5"/>
      <c r="H312" s="5"/>
      <c r="I312" s="5"/>
      <c r="J312" s="5"/>
      <c r="K312" s="5"/>
      <c r="L312" s="5"/>
      <c r="M312" s="5"/>
      <c r="N312" s="5"/>
      <c r="O312" s="5"/>
      <c r="P312" s="5"/>
      <c r="Q312" s="5"/>
      <c r="R312" s="5"/>
      <c r="S312" s="5"/>
      <c r="T312" s="5"/>
      <c r="U312" s="5"/>
      <c r="V312" s="5"/>
      <c r="W312" s="5"/>
    </row>
    <row r="313" spans="1:23" ht="16" x14ac:dyDescent="0.2">
      <c r="A313" s="5"/>
      <c r="B313" s="6"/>
      <c r="C313" s="6"/>
      <c r="D313" s="6"/>
      <c r="E313" s="6"/>
      <c r="F313" s="5"/>
      <c r="G313" s="5"/>
      <c r="H313" s="5"/>
      <c r="I313" s="5"/>
      <c r="J313" s="5"/>
      <c r="K313" s="5"/>
      <c r="L313" s="5"/>
      <c r="M313" s="5"/>
      <c r="N313" s="5"/>
      <c r="O313" s="5"/>
      <c r="P313" s="5"/>
      <c r="Q313" s="5"/>
      <c r="R313" s="5"/>
      <c r="S313" s="5"/>
      <c r="T313" s="5"/>
      <c r="U313" s="5"/>
      <c r="V313" s="5"/>
      <c r="W313" s="5"/>
    </row>
    <row r="314" spans="1:23" ht="16" x14ac:dyDescent="0.2">
      <c r="A314" s="5"/>
      <c r="B314" s="6"/>
      <c r="C314" s="6"/>
      <c r="D314" s="6"/>
      <c r="E314" s="6"/>
      <c r="F314" s="5"/>
      <c r="G314" s="5"/>
      <c r="H314" s="5"/>
      <c r="I314" s="5"/>
      <c r="J314" s="5"/>
      <c r="K314" s="5"/>
      <c r="L314" s="5"/>
      <c r="M314" s="5"/>
      <c r="N314" s="5"/>
      <c r="O314" s="5"/>
      <c r="P314" s="5"/>
      <c r="Q314" s="5"/>
      <c r="R314" s="5"/>
      <c r="S314" s="5"/>
      <c r="T314" s="5"/>
      <c r="U314" s="5"/>
      <c r="V314" s="5"/>
      <c r="W314" s="5"/>
    </row>
    <row r="315" spans="1:23" ht="16" x14ac:dyDescent="0.2">
      <c r="A315" s="5"/>
      <c r="B315" s="6"/>
      <c r="C315" s="6"/>
      <c r="D315" s="6"/>
      <c r="E315" s="6"/>
      <c r="F315" s="5"/>
      <c r="G315" s="5"/>
      <c r="H315" s="5"/>
      <c r="I315" s="5"/>
      <c r="J315" s="5"/>
      <c r="K315" s="5"/>
      <c r="L315" s="5"/>
      <c r="M315" s="5"/>
      <c r="N315" s="5"/>
      <c r="O315" s="5"/>
      <c r="P315" s="5"/>
      <c r="Q315" s="5"/>
      <c r="R315" s="5"/>
      <c r="S315" s="5"/>
      <c r="T315" s="5"/>
      <c r="U315" s="5"/>
      <c r="V315" s="5"/>
      <c r="W315" s="5"/>
    </row>
    <row r="316" spans="1:23" ht="16" x14ac:dyDescent="0.2">
      <c r="A316" s="5"/>
      <c r="B316" s="6"/>
      <c r="C316" s="6"/>
      <c r="D316" s="6"/>
      <c r="E316" s="6"/>
      <c r="F316" s="5"/>
      <c r="G316" s="5"/>
      <c r="H316" s="5"/>
      <c r="I316" s="5"/>
      <c r="J316" s="5"/>
      <c r="K316" s="5"/>
      <c r="L316" s="5"/>
      <c r="M316" s="5"/>
      <c r="N316" s="5"/>
      <c r="O316" s="5"/>
      <c r="P316" s="5"/>
      <c r="Q316" s="5"/>
      <c r="R316" s="5"/>
      <c r="S316" s="5"/>
      <c r="T316" s="5"/>
      <c r="U316" s="5"/>
      <c r="V316" s="5"/>
      <c r="W316" s="5"/>
    </row>
    <row r="317" spans="1:23" ht="16" x14ac:dyDescent="0.2">
      <c r="A317" s="5"/>
      <c r="B317" s="6"/>
      <c r="C317" s="6"/>
      <c r="D317" s="6"/>
      <c r="E317" s="6"/>
      <c r="F317" s="5"/>
      <c r="G317" s="5"/>
      <c r="H317" s="5"/>
      <c r="I317" s="5"/>
      <c r="J317" s="5"/>
      <c r="K317" s="5"/>
      <c r="L317" s="5"/>
      <c r="M317" s="5"/>
      <c r="N317" s="5"/>
      <c r="O317" s="5"/>
      <c r="P317" s="5"/>
      <c r="Q317" s="5"/>
      <c r="R317" s="5"/>
      <c r="S317" s="5"/>
      <c r="T317" s="5"/>
      <c r="U317" s="5"/>
      <c r="V317" s="5"/>
      <c r="W317" s="5"/>
    </row>
    <row r="318" spans="1:23" ht="16" x14ac:dyDescent="0.2">
      <c r="A318" s="5"/>
      <c r="B318" s="6"/>
      <c r="C318" s="6"/>
      <c r="D318" s="6"/>
      <c r="E318" s="6"/>
      <c r="F318" s="5"/>
      <c r="G318" s="5"/>
      <c r="H318" s="5"/>
      <c r="I318" s="5"/>
      <c r="J318" s="5"/>
      <c r="K318" s="5"/>
      <c r="L318" s="5"/>
      <c r="M318" s="5"/>
      <c r="N318" s="5"/>
      <c r="O318" s="5"/>
      <c r="P318" s="5"/>
      <c r="Q318" s="5"/>
      <c r="R318" s="5"/>
      <c r="S318" s="5"/>
      <c r="T318" s="5"/>
      <c r="U318" s="5"/>
      <c r="V318" s="5"/>
      <c r="W318" s="5"/>
    </row>
    <row r="319" spans="1:23" ht="16" x14ac:dyDescent="0.2">
      <c r="A319" s="5"/>
      <c r="B319" s="6"/>
      <c r="C319" s="6"/>
      <c r="D319" s="6"/>
      <c r="E319" s="6"/>
      <c r="F319" s="5"/>
      <c r="G319" s="5"/>
      <c r="H319" s="5"/>
      <c r="I319" s="5"/>
      <c r="J319" s="5"/>
      <c r="K319" s="5"/>
      <c r="L319" s="5"/>
      <c r="M319" s="5"/>
      <c r="N319" s="5"/>
      <c r="O319" s="5"/>
      <c r="P319" s="5"/>
      <c r="Q319" s="5"/>
      <c r="R319" s="5"/>
      <c r="S319" s="5"/>
      <c r="T319" s="5"/>
      <c r="U319" s="5"/>
      <c r="V319" s="5"/>
      <c r="W319" s="5"/>
    </row>
    <row r="320" spans="1:23" ht="16" x14ac:dyDescent="0.2">
      <c r="A320" s="5"/>
      <c r="B320" s="6"/>
      <c r="C320" s="6"/>
      <c r="D320" s="6"/>
      <c r="E320" s="6"/>
      <c r="F320" s="5"/>
      <c r="G320" s="5"/>
      <c r="H320" s="5"/>
      <c r="I320" s="5"/>
      <c r="J320" s="5"/>
      <c r="K320" s="5"/>
      <c r="L320" s="5"/>
      <c r="M320" s="5"/>
      <c r="N320" s="5"/>
      <c r="O320" s="5"/>
      <c r="P320" s="5"/>
      <c r="Q320" s="5"/>
      <c r="R320" s="5"/>
      <c r="S320" s="5"/>
      <c r="T320" s="5"/>
      <c r="U320" s="5"/>
      <c r="V320" s="5"/>
      <c r="W320" s="5"/>
    </row>
    <row r="321" spans="1:23" ht="16" x14ac:dyDescent="0.2">
      <c r="A321" s="5"/>
      <c r="B321" s="6"/>
      <c r="C321" s="6"/>
      <c r="D321" s="6"/>
      <c r="E321" s="6"/>
      <c r="F321" s="5"/>
      <c r="G321" s="5"/>
      <c r="H321" s="5"/>
      <c r="I321" s="5"/>
      <c r="J321" s="5"/>
      <c r="K321" s="5"/>
      <c r="L321" s="5"/>
      <c r="M321" s="5"/>
      <c r="N321" s="5"/>
      <c r="O321" s="5"/>
      <c r="P321" s="5"/>
      <c r="Q321" s="5"/>
      <c r="R321" s="5"/>
      <c r="S321" s="5"/>
      <c r="T321" s="5"/>
      <c r="U321" s="5"/>
      <c r="V321" s="5"/>
      <c r="W321" s="5"/>
    </row>
    <row r="322" spans="1:23" ht="16" x14ac:dyDescent="0.2">
      <c r="A322" s="5"/>
      <c r="B322" s="6"/>
      <c r="C322" s="6"/>
      <c r="D322" s="6"/>
      <c r="E322" s="6"/>
      <c r="F322" s="5"/>
      <c r="G322" s="5"/>
      <c r="H322" s="5"/>
      <c r="I322" s="5"/>
      <c r="J322" s="5"/>
      <c r="K322" s="5"/>
      <c r="L322" s="5"/>
      <c r="M322" s="5"/>
      <c r="N322" s="5"/>
      <c r="O322" s="5"/>
      <c r="P322" s="5"/>
      <c r="Q322" s="5"/>
      <c r="R322" s="5"/>
      <c r="S322" s="5"/>
      <c r="T322" s="5"/>
      <c r="U322" s="5"/>
      <c r="V322" s="5"/>
      <c r="W322" s="5"/>
    </row>
    <row r="323" spans="1:23" ht="16" x14ac:dyDescent="0.2">
      <c r="A323" s="5"/>
      <c r="B323" s="6"/>
      <c r="C323" s="6"/>
      <c r="D323" s="6"/>
      <c r="E323" s="6"/>
      <c r="F323" s="5"/>
      <c r="G323" s="5"/>
      <c r="H323" s="5"/>
      <c r="I323" s="5"/>
      <c r="J323" s="5"/>
      <c r="K323" s="5"/>
      <c r="L323" s="5"/>
      <c r="M323" s="5"/>
      <c r="N323" s="5"/>
      <c r="O323" s="5"/>
      <c r="P323" s="5"/>
      <c r="Q323" s="5"/>
      <c r="R323" s="5"/>
      <c r="S323" s="5"/>
      <c r="T323" s="5"/>
      <c r="U323" s="5"/>
      <c r="V323" s="5"/>
      <c r="W323" s="5"/>
    </row>
    <row r="324" spans="1:23" ht="16" x14ac:dyDescent="0.2">
      <c r="A324" s="5"/>
      <c r="B324" s="6"/>
      <c r="C324" s="6"/>
      <c r="D324" s="6"/>
      <c r="E324" s="6"/>
      <c r="F324" s="5"/>
      <c r="G324" s="5"/>
      <c r="H324" s="5"/>
      <c r="I324" s="5"/>
      <c r="J324" s="5"/>
      <c r="K324" s="5"/>
      <c r="L324" s="5"/>
      <c r="M324" s="5"/>
      <c r="N324" s="5"/>
      <c r="O324" s="5"/>
      <c r="P324" s="5"/>
      <c r="Q324" s="5"/>
      <c r="R324" s="5"/>
      <c r="S324" s="5"/>
      <c r="T324" s="5"/>
      <c r="U324" s="5"/>
      <c r="V324" s="5"/>
      <c r="W324" s="5"/>
    </row>
    <row r="325" spans="1:23" ht="16" x14ac:dyDescent="0.2">
      <c r="A325" s="5"/>
      <c r="B325" s="6"/>
      <c r="C325" s="6"/>
      <c r="D325" s="6"/>
      <c r="E325" s="6"/>
      <c r="F325" s="5"/>
      <c r="G325" s="5"/>
      <c r="H325" s="5"/>
      <c r="I325" s="5"/>
      <c r="J325" s="5"/>
      <c r="K325" s="5"/>
      <c r="L325" s="5"/>
      <c r="M325" s="5"/>
      <c r="N325" s="5"/>
      <c r="O325" s="5"/>
      <c r="P325" s="5"/>
      <c r="Q325" s="5"/>
      <c r="R325" s="5"/>
      <c r="S325" s="5"/>
      <c r="T325" s="5"/>
      <c r="U325" s="5"/>
      <c r="V325" s="5"/>
      <c r="W325" s="5"/>
    </row>
    <row r="326" spans="1:23" ht="16" x14ac:dyDescent="0.2">
      <c r="A326" s="5"/>
      <c r="B326" s="6"/>
      <c r="C326" s="6"/>
      <c r="D326" s="6"/>
      <c r="E326" s="6"/>
      <c r="F326" s="5"/>
      <c r="G326" s="5"/>
      <c r="H326" s="5"/>
      <c r="I326" s="5"/>
      <c r="J326" s="5"/>
      <c r="K326" s="5"/>
      <c r="L326" s="5"/>
      <c r="M326" s="5"/>
      <c r="N326" s="5"/>
      <c r="O326" s="5"/>
      <c r="P326" s="5"/>
      <c r="Q326" s="5"/>
      <c r="R326" s="5"/>
      <c r="S326" s="5"/>
      <c r="T326" s="5"/>
      <c r="U326" s="5"/>
      <c r="V326" s="5"/>
      <c r="W326" s="5"/>
    </row>
    <row r="327" spans="1:23" ht="16" x14ac:dyDescent="0.2">
      <c r="A327" s="5"/>
      <c r="B327" s="6"/>
      <c r="C327" s="6"/>
      <c r="D327" s="6"/>
      <c r="E327" s="6"/>
      <c r="F327" s="5"/>
      <c r="G327" s="5"/>
      <c r="H327" s="5"/>
      <c r="I327" s="5"/>
      <c r="J327" s="5"/>
      <c r="K327" s="5"/>
      <c r="L327" s="5"/>
      <c r="M327" s="5"/>
      <c r="N327" s="5"/>
      <c r="O327" s="5"/>
      <c r="P327" s="5"/>
      <c r="Q327" s="5"/>
      <c r="R327" s="5"/>
      <c r="S327" s="5"/>
      <c r="T327" s="5"/>
      <c r="U327" s="5"/>
      <c r="V327" s="5"/>
      <c r="W327" s="5"/>
    </row>
    <row r="328" spans="1:23" ht="16" x14ac:dyDescent="0.2">
      <c r="A328" s="5"/>
      <c r="B328" s="6"/>
      <c r="C328" s="6"/>
      <c r="D328" s="6"/>
      <c r="E328" s="6"/>
      <c r="F328" s="5"/>
      <c r="G328" s="5"/>
      <c r="H328" s="5"/>
      <c r="I328" s="5"/>
      <c r="J328" s="5"/>
      <c r="K328" s="5"/>
      <c r="L328" s="5"/>
      <c r="M328" s="5"/>
      <c r="N328" s="5"/>
      <c r="O328" s="5"/>
      <c r="P328" s="5"/>
      <c r="Q328" s="5"/>
      <c r="R328" s="5"/>
      <c r="S328" s="5"/>
      <c r="T328" s="5"/>
      <c r="U328" s="5"/>
      <c r="V328" s="5"/>
      <c r="W328" s="5"/>
    </row>
    <row r="329" spans="1:23" ht="16" x14ac:dyDescent="0.2">
      <c r="A329" s="5"/>
      <c r="B329" s="6"/>
      <c r="C329" s="6"/>
      <c r="D329" s="6"/>
      <c r="E329" s="6"/>
      <c r="F329" s="5"/>
      <c r="G329" s="5"/>
      <c r="H329" s="5"/>
      <c r="I329" s="5"/>
      <c r="J329" s="5"/>
      <c r="K329" s="5"/>
      <c r="L329" s="5"/>
      <c r="M329" s="5"/>
      <c r="N329" s="5"/>
      <c r="O329" s="5"/>
      <c r="P329" s="5"/>
      <c r="Q329" s="5"/>
      <c r="R329" s="5"/>
      <c r="S329" s="5"/>
      <c r="T329" s="5"/>
      <c r="U329" s="5"/>
      <c r="V329" s="5"/>
      <c r="W329" s="5"/>
    </row>
    <row r="330" spans="1:23" ht="16" x14ac:dyDescent="0.2">
      <c r="A330" s="5"/>
      <c r="B330" s="6"/>
      <c r="C330" s="6"/>
      <c r="D330" s="6"/>
      <c r="E330" s="6"/>
      <c r="F330" s="5"/>
      <c r="G330" s="5"/>
      <c r="H330" s="5"/>
      <c r="I330" s="5"/>
      <c r="J330" s="5"/>
      <c r="K330" s="5"/>
      <c r="L330" s="5"/>
      <c r="M330" s="5"/>
      <c r="N330" s="5"/>
      <c r="O330" s="5"/>
      <c r="P330" s="5"/>
      <c r="Q330" s="5"/>
      <c r="R330" s="5"/>
      <c r="S330" s="5"/>
      <c r="T330" s="5"/>
      <c r="U330" s="5"/>
      <c r="V330" s="5"/>
      <c r="W330" s="5"/>
    </row>
    <row r="331" spans="1:23" ht="16" x14ac:dyDescent="0.2">
      <c r="A331" s="5"/>
      <c r="B331" s="6"/>
      <c r="C331" s="6"/>
      <c r="D331" s="6"/>
      <c r="E331" s="6"/>
      <c r="F331" s="5"/>
      <c r="G331" s="5"/>
      <c r="H331" s="5"/>
      <c r="I331" s="5"/>
      <c r="J331" s="5"/>
      <c r="K331" s="5"/>
      <c r="L331" s="5"/>
      <c r="M331" s="5"/>
      <c r="N331" s="5"/>
      <c r="O331" s="5"/>
      <c r="P331" s="5"/>
      <c r="Q331" s="5"/>
      <c r="R331" s="5"/>
      <c r="S331" s="5"/>
      <c r="T331" s="5"/>
      <c r="U331" s="5"/>
      <c r="V331" s="5"/>
      <c r="W331" s="5"/>
    </row>
    <row r="332" spans="1:23" ht="16" x14ac:dyDescent="0.2">
      <c r="A332" s="5"/>
      <c r="B332" s="6"/>
      <c r="C332" s="6"/>
      <c r="D332" s="6"/>
      <c r="E332" s="6"/>
      <c r="F332" s="5"/>
      <c r="G332" s="5"/>
      <c r="H332" s="5"/>
      <c r="I332" s="5"/>
      <c r="J332" s="5"/>
      <c r="K332" s="5"/>
      <c r="L332" s="5"/>
      <c r="M332" s="5"/>
      <c r="N332" s="5"/>
      <c r="O332" s="5"/>
      <c r="P332" s="5"/>
      <c r="Q332" s="5"/>
      <c r="R332" s="5"/>
      <c r="S332" s="5"/>
      <c r="T332" s="5"/>
      <c r="U332" s="5"/>
      <c r="V332" s="5"/>
      <c r="W332" s="5"/>
    </row>
    <row r="333" spans="1:23" ht="16" x14ac:dyDescent="0.2">
      <c r="A333" s="5"/>
      <c r="B333" s="6"/>
      <c r="C333" s="6"/>
      <c r="D333" s="6"/>
      <c r="E333" s="6"/>
      <c r="F333" s="5"/>
      <c r="G333" s="5"/>
      <c r="H333" s="5"/>
      <c r="I333" s="5"/>
      <c r="J333" s="5"/>
      <c r="K333" s="5"/>
      <c r="L333" s="5"/>
      <c r="M333" s="5"/>
      <c r="N333" s="5"/>
      <c r="O333" s="5"/>
      <c r="P333" s="5"/>
      <c r="Q333" s="5"/>
      <c r="R333" s="5"/>
      <c r="S333" s="5"/>
      <c r="T333" s="5"/>
      <c r="U333" s="5"/>
      <c r="V333" s="5"/>
      <c r="W333" s="5"/>
    </row>
    <row r="334" spans="1:23" ht="16" x14ac:dyDescent="0.2">
      <c r="A334" s="5"/>
      <c r="B334" s="6"/>
      <c r="C334" s="6"/>
      <c r="D334" s="6"/>
      <c r="E334" s="6"/>
      <c r="F334" s="5"/>
      <c r="G334" s="5"/>
      <c r="H334" s="5"/>
      <c r="I334" s="5"/>
      <c r="J334" s="5"/>
      <c r="K334" s="5"/>
      <c r="L334" s="5"/>
      <c r="M334" s="5"/>
      <c r="N334" s="5"/>
      <c r="O334" s="5"/>
      <c r="P334" s="5"/>
      <c r="Q334" s="5"/>
      <c r="R334" s="5"/>
      <c r="S334" s="5"/>
      <c r="T334" s="5"/>
      <c r="U334" s="5"/>
      <c r="V334" s="5"/>
      <c r="W334" s="5"/>
    </row>
    <row r="335" spans="1:23" ht="16" x14ac:dyDescent="0.2">
      <c r="A335" s="5"/>
      <c r="B335" s="6"/>
      <c r="C335" s="6"/>
      <c r="D335" s="6"/>
      <c r="E335" s="6"/>
      <c r="F335" s="5"/>
      <c r="G335" s="5"/>
      <c r="H335" s="5"/>
      <c r="I335" s="5"/>
      <c r="J335" s="5"/>
      <c r="K335" s="5"/>
      <c r="L335" s="5"/>
      <c r="M335" s="5"/>
      <c r="N335" s="5"/>
      <c r="O335" s="5"/>
      <c r="P335" s="5"/>
      <c r="Q335" s="5"/>
      <c r="R335" s="5"/>
      <c r="S335" s="5"/>
      <c r="T335" s="5"/>
      <c r="U335" s="5"/>
      <c r="V335" s="5"/>
      <c r="W335" s="5"/>
    </row>
    <row r="336" spans="1:23" ht="16" x14ac:dyDescent="0.2">
      <c r="A336" s="5"/>
      <c r="B336" s="6"/>
      <c r="C336" s="6"/>
      <c r="D336" s="6"/>
      <c r="E336" s="6"/>
      <c r="F336" s="5"/>
      <c r="G336" s="5"/>
      <c r="H336" s="5"/>
      <c r="I336" s="5"/>
      <c r="J336" s="5"/>
      <c r="K336" s="5"/>
      <c r="L336" s="5"/>
      <c r="M336" s="5"/>
      <c r="N336" s="5"/>
      <c r="O336" s="5"/>
      <c r="P336" s="5"/>
      <c r="Q336" s="5"/>
      <c r="R336" s="5"/>
      <c r="S336" s="5"/>
      <c r="T336" s="5"/>
      <c r="U336" s="5"/>
      <c r="V336" s="5"/>
      <c r="W336" s="5"/>
    </row>
    <row r="337" spans="1:23" ht="16" x14ac:dyDescent="0.2">
      <c r="A337" s="5"/>
      <c r="B337" s="6"/>
      <c r="C337" s="6"/>
      <c r="D337" s="6"/>
      <c r="E337" s="6"/>
      <c r="F337" s="5"/>
      <c r="G337" s="5"/>
      <c r="H337" s="5"/>
      <c r="I337" s="5"/>
      <c r="J337" s="5"/>
      <c r="K337" s="5"/>
      <c r="L337" s="5"/>
      <c r="M337" s="5"/>
      <c r="N337" s="5"/>
      <c r="O337" s="5"/>
      <c r="P337" s="5"/>
      <c r="Q337" s="5"/>
      <c r="R337" s="5"/>
      <c r="S337" s="5"/>
      <c r="T337" s="5"/>
      <c r="U337" s="5"/>
      <c r="V337" s="5"/>
      <c r="W337" s="5"/>
    </row>
    <row r="338" spans="1:23" ht="16" x14ac:dyDescent="0.2">
      <c r="A338" s="5"/>
      <c r="B338" s="6"/>
      <c r="C338" s="6"/>
      <c r="D338" s="6"/>
      <c r="E338" s="6"/>
      <c r="F338" s="5"/>
      <c r="G338" s="5"/>
      <c r="H338" s="5"/>
      <c r="I338" s="5"/>
      <c r="J338" s="5"/>
      <c r="K338" s="5"/>
      <c r="L338" s="5"/>
      <c r="M338" s="5"/>
      <c r="N338" s="5"/>
      <c r="O338" s="5"/>
      <c r="P338" s="5"/>
      <c r="Q338" s="5"/>
      <c r="R338" s="5"/>
      <c r="S338" s="5"/>
      <c r="T338" s="5"/>
      <c r="U338" s="5"/>
      <c r="V338" s="5"/>
      <c r="W338" s="5"/>
    </row>
    <row r="339" spans="1:23" ht="16" x14ac:dyDescent="0.2">
      <c r="A339" s="5"/>
      <c r="B339" s="6"/>
      <c r="C339" s="6"/>
      <c r="D339" s="6"/>
      <c r="E339" s="6"/>
      <c r="F339" s="5"/>
      <c r="G339" s="5"/>
      <c r="H339" s="5"/>
      <c r="I339" s="5"/>
      <c r="J339" s="5"/>
      <c r="K339" s="5"/>
      <c r="L339" s="5"/>
      <c r="M339" s="5"/>
      <c r="N339" s="5"/>
      <c r="O339" s="5"/>
      <c r="P339" s="5"/>
      <c r="Q339" s="5"/>
      <c r="R339" s="5"/>
      <c r="S339" s="5"/>
      <c r="T339" s="5"/>
      <c r="U339" s="5"/>
      <c r="V339" s="5"/>
      <c r="W339" s="5"/>
    </row>
    <row r="340" spans="1:23" ht="16" x14ac:dyDescent="0.2">
      <c r="A340" s="5"/>
      <c r="B340" s="6"/>
      <c r="C340" s="6"/>
      <c r="D340" s="6"/>
      <c r="E340" s="6"/>
      <c r="F340" s="5"/>
      <c r="G340" s="5"/>
      <c r="H340" s="5"/>
      <c r="I340" s="5"/>
      <c r="J340" s="5"/>
      <c r="K340" s="5"/>
      <c r="L340" s="5"/>
      <c r="M340" s="5"/>
      <c r="N340" s="5"/>
      <c r="O340" s="5"/>
      <c r="P340" s="5"/>
      <c r="Q340" s="5"/>
      <c r="R340" s="5"/>
      <c r="S340" s="5"/>
      <c r="T340" s="5"/>
      <c r="U340" s="5"/>
      <c r="V340" s="5"/>
      <c r="W340" s="5"/>
    </row>
    <row r="341" spans="1:23" ht="16" x14ac:dyDescent="0.2">
      <c r="A341" s="5"/>
      <c r="B341" s="6"/>
      <c r="C341" s="6"/>
      <c r="D341" s="6"/>
      <c r="E341" s="6"/>
      <c r="F341" s="5"/>
      <c r="G341" s="5"/>
      <c r="H341" s="5"/>
      <c r="I341" s="5"/>
      <c r="J341" s="5"/>
      <c r="K341" s="5"/>
      <c r="L341" s="5"/>
      <c r="M341" s="5"/>
      <c r="N341" s="5"/>
      <c r="O341" s="5"/>
      <c r="P341" s="5"/>
      <c r="Q341" s="5"/>
      <c r="R341" s="5"/>
      <c r="S341" s="5"/>
      <c r="T341" s="5"/>
      <c r="U341" s="5"/>
      <c r="V341" s="5"/>
      <c r="W341" s="5"/>
    </row>
    <row r="342" spans="1:23" ht="16" x14ac:dyDescent="0.2">
      <c r="A342" s="5"/>
      <c r="B342" s="6"/>
      <c r="C342" s="6"/>
      <c r="D342" s="6"/>
      <c r="E342" s="6"/>
      <c r="F342" s="5"/>
      <c r="G342" s="5"/>
      <c r="H342" s="5"/>
      <c r="I342" s="5"/>
      <c r="J342" s="5"/>
      <c r="K342" s="5"/>
      <c r="L342" s="5"/>
      <c r="M342" s="5"/>
      <c r="N342" s="5"/>
      <c r="O342" s="5"/>
      <c r="P342" s="5"/>
      <c r="Q342" s="5"/>
      <c r="R342" s="5"/>
      <c r="S342" s="5"/>
      <c r="T342" s="5"/>
      <c r="U342" s="5"/>
      <c r="V342" s="5"/>
      <c r="W342" s="5"/>
    </row>
    <row r="343" spans="1:23" ht="16" x14ac:dyDescent="0.2">
      <c r="A343" s="5"/>
      <c r="B343" s="6"/>
      <c r="C343" s="6"/>
      <c r="D343" s="6"/>
      <c r="E343" s="6"/>
      <c r="F343" s="5"/>
      <c r="G343" s="5"/>
      <c r="H343" s="5"/>
      <c r="I343" s="5"/>
      <c r="J343" s="5"/>
      <c r="K343" s="5"/>
      <c r="L343" s="5"/>
      <c r="M343" s="5"/>
      <c r="N343" s="5"/>
      <c r="O343" s="5"/>
      <c r="P343" s="5"/>
      <c r="Q343" s="5"/>
      <c r="R343" s="5"/>
      <c r="S343" s="5"/>
      <c r="T343" s="5"/>
      <c r="U343" s="5"/>
      <c r="V343" s="5"/>
      <c r="W343" s="5"/>
    </row>
    <row r="344" spans="1:23" ht="16" x14ac:dyDescent="0.2">
      <c r="A344" s="5"/>
      <c r="B344" s="6"/>
      <c r="C344" s="6"/>
      <c r="D344" s="6"/>
      <c r="E344" s="6"/>
      <c r="F344" s="5"/>
      <c r="G344" s="5"/>
      <c r="H344" s="5"/>
      <c r="I344" s="5"/>
      <c r="J344" s="5"/>
      <c r="K344" s="5"/>
      <c r="L344" s="5"/>
      <c r="M344" s="5"/>
      <c r="N344" s="5"/>
      <c r="O344" s="5"/>
      <c r="P344" s="5"/>
      <c r="Q344" s="5"/>
      <c r="R344" s="5"/>
      <c r="S344" s="5"/>
      <c r="T344" s="5"/>
      <c r="U344" s="5"/>
      <c r="V344" s="5"/>
      <c r="W344" s="5"/>
    </row>
    <row r="345" spans="1:23" ht="16" x14ac:dyDescent="0.2">
      <c r="A345" s="5"/>
      <c r="B345" s="6"/>
      <c r="C345" s="6"/>
      <c r="D345" s="6"/>
      <c r="E345" s="6"/>
      <c r="F345" s="5"/>
      <c r="G345" s="5"/>
      <c r="H345" s="5"/>
      <c r="I345" s="5"/>
      <c r="J345" s="5"/>
      <c r="K345" s="5"/>
      <c r="L345" s="5"/>
      <c r="M345" s="5"/>
      <c r="N345" s="5"/>
      <c r="O345" s="5"/>
      <c r="P345" s="5"/>
      <c r="Q345" s="5"/>
      <c r="R345" s="5"/>
      <c r="S345" s="5"/>
      <c r="T345" s="5"/>
      <c r="U345" s="5"/>
      <c r="V345" s="5"/>
      <c r="W345" s="5"/>
    </row>
    <row r="346" spans="1:23" ht="16" x14ac:dyDescent="0.2">
      <c r="A346" s="5"/>
      <c r="B346" s="6"/>
      <c r="C346" s="6"/>
      <c r="D346" s="6"/>
      <c r="E346" s="6"/>
      <c r="F346" s="5"/>
      <c r="G346" s="5"/>
      <c r="H346" s="5"/>
      <c r="I346" s="5"/>
      <c r="J346" s="5"/>
      <c r="K346" s="5"/>
      <c r="L346" s="5"/>
      <c r="M346" s="5"/>
      <c r="N346" s="5"/>
      <c r="O346" s="5"/>
      <c r="P346" s="5"/>
      <c r="Q346" s="5"/>
      <c r="R346" s="5"/>
      <c r="S346" s="5"/>
      <c r="T346" s="5"/>
      <c r="U346" s="5"/>
      <c r="V346" s="5"/>
      <c r="W346" s="5"/>
    </row>
    <row r="347" spans="1:23" ht="16" x14ac:dyDescent="0.2">
      <c r="A347" s="5"/>
      <c r="B347" s="6"/>
      <c r="C347" s="6"/>
      <c r="D347" s="6"/>
      <c r="E347" s="6"/>
      <c r="F347" s="5"/>
      <c r="G347" s="5"/>
      <c r="H347" s="5"/>
      <c r="I347" s="5"/>
      <c r="J347" s="5"/>
      <c r="K347" s="5"/>
      <c r="L347" s="5"/>
      <c r="M347" s="5"/>
      <c r="N347" s="5"/>
      <c r="O347" s="5"/>
      <c r="P347" s="5"/>
      <c r="Q347" s="5"/>
      <c r="R347" s="5"/>
      <c r="S347" s="5"/>
      <c r="T347" s="5"/>
      <c r="U347" s="5"/>
      <c r="V347" s="5"/>
      <c r="W347" s="5"/>
    </row>
    <row r="348" spans="1:23" ht="16" x14ac:dyDescent="0.2">
      <c r="A348" s="5"/>
      <c r="B348" s="6"/>
      <c r="C348" s="6"/>
      <c r="D348" s="6"/>
      <c r="E348" s="6"/>
      <c r="F348" s="5"/>
      <c r="G348" s="5"/>
      <c r="H348" s="5"/>
      <c r="I348" s="5"/>
      <c r="J348" s="5"/>
      <c r="K348" s="5"/>
      <c r="L348" s="5"/>
      <c r="M348" s="5"/>
      <c r="N348" s="5"/>
      <c r="O348" s="5"/>
      <c r="P348" s="5"/>
      <c r="Q348" s="5"/>
      <c r="R348" s="5"/>
      <c r="S348" s="5"/>
      <c r="T348" s="5"/>
      <c r="U348" s="5"/>
      <c r="V348" s="5"/>
      <c r="W348" s="5"/>
    </row>
    <row r="349" spans="1:23" ht="16" x14ac:dyDescent="0.2">
      <c r="A349" s="5"/>
      <c r="B349" s="6"/>
      <c r="C349" s="6"/>
      <c r="D349" s="6"/>
      <c r="E349" s="6"/>
      <c r="F349" s="5"/>
      <c r="G349" s="5"/>
      <c r="H349" s="5"/>
      <c r="I349" s="5"/>
      <c r="J349" s="5"/>
      <c r="K349" s="5"/>
      <c r="L349" s="5"/>
      <c r="M349" s="5"/>
      <c r="N349" s="5"/>
      <c r="O349" s="5"/>
      <c r="P349" s="5"/>
      <c r="Q349" s="5"/>
      <c r="R349" s="5"/>
      <c r="S349" s="5"/>
      <c r="T349" s="5"/>
      <c r="U349" s="5"/>
      <c r="V349" s="5"/>
      <c r="W349" s="5"/>
    </row>
    <row r="350" spans="1:23" ht="16" x14ac:dyDescent="0.2">
      <c r="A350" s="5"/>
      <c r="B350" s="6"/>
      <c r="C350" s="6"/>
      <c r="D350" s="6"/>
      <c r="E350" s="6"/>
      <c r="F350" s="5"/>
      <c r="G350" s="5"/>
      <c r="H350" s="5"/>
      <c r="I350" s="5"/>
      <c r="J350" s="5"/>
      <c r="K350" s="5"/>
      <c r="L350" s="5"/>
      <c r="M350" s="5"/>
      <c r="N350" s="5"/>
      <c r="O350" s="5"/>
      <c r="P350" s="5"/>
      <c r="Q350" s="5"/>
      <c r="R350" s="5"/>
      <c r="S350" s="5"/>
      <c r="T350" s="5"/>
      <c r="U350" s="5"/>
      <c r="V350" s="5"/>
      <c r="W350" s="5"/>
    </row>
    <row r="351" spans="1:23" ht="16" x14ac:dyDescent="0.2">
      <c r="A351" s="5"/>
      <c r="B351" s="6"/>
      <c r="C351" s="6"/>
      <c r="D351" s="6"/>
      <c r="E351" s="6"/>
      <c r="F351" s="5"/>
      <c r="G351" s="5"/>
      <c r="H351" s="5"/>
      <c r="I351" s="5"/>
      <c r="J351" s="5"/>
      <c r="K351" s="5"/>
      <c r="L351" s="5"/>
      <c r="M351" s="5"/>
      <c r="N351" s="5"/>
      <c r="O351" s="5"/>
      <c r="P351" s="5"/>
      <c r="Q351" s="5"/>
      <c r="R351" s="5"/>
      <c r="S351" s="5"/>
      <c r="T351" s="5"/>
      <c r="U351" s="5"/>
      <c r="V351" s="5"/>
      <c r="W351" s="5"/>
    </row>
    <row r="352" spans="1:23" ht="16" x14ac:dyDescent="0.2">
      <c r="A352" s="5"/>
      <c r="B352" s="6"/>
      <c r="C352" s="6"/>
      <c r="D352" s="6"/>
      <c r="E352" s="6"/>
      <c r="F352" s="5"/>
      <c r="G352" s="5"/>
      <c r="H352" s="5"/>
      <c r="I352" s="5"/>
      <c r="J352" s="5"/>
      <c r="K352" s="5"/>
      <c r="L352" s="5"/>
      <c r="M352" s="5"/>
      <c r="N352" s="5"/>
      <c r="O352" s="5"/>
      <c r="P352" s="5"/>
      <c r="Q352" s="5"/>
      <c r="R352" s="5"/>
      <c r="S352" s="5"/>
      <c r="T352" s="5"/>
      <c r="U352" s="5"/>
      <c r="V352" s="5"/>
      <c r="W352" s="5"/>
    </row>
    <row r="353" spans="1:23" ht="16" x14ac:dyDescent="0.2">
      <c r="A353" s="5"/>
      <c r="B353" s="6"/>
      <c r="C353" s="6"/>
      <c r="D353" s="6"/>
      <c r="E353" s="6"/>
      <c r="F353" s="5"/>
      <c r="G353" s="5"/>
      <c r="H353" s="5"/>
      <c r="I353" s="5"/>
      <c r="J353" s="5"/>
      <c r="K353" s="5"/>
      <c r="L353" s="5"/>
      <c r="M353" s="5"/>
      <c r="N353" s="5"/>
      <c r="O353" s="5"/>
      <c r="P353" s="5"/>
      <c r="Q353" s="5"/>
      <c r="R353" s="5"/>
      <c r="S353" s="5"/>
      <c r="T353" s="5"/>
      <c r="U353" s="5"/>
      <c r="V353" s="5"/>
      <c r="W353" s="5"/>
    </row>
    <row r="354" spans="1:23" ht="16" x14ac:dyDescent="0.2">
      <c r="A354" s="5"/>
      <c r="B354" s="6"/>
      <c r="C354" s="6"/>
      <c r="D354" s="6"/>
      <c r="E354" s="6"/>
      <c r="F354" s="5"/>
      <c r="G354" s="5"/>
      <c r="H354" s="5"/>
      <c r="I354" s="5"/>
      <c r="J354" s="5"/>
      <c r="K354" s="5"/>
      <c r="L354" s="5"/>
      <c r="M354" s="5"/>
      <c r="N354" s="5"/>
      <c r="O354" s="5"/>
      <c r="P354" s="5"/>
      <c r="Q354" s="5"/>
      <c r="R354" s="5"/>
      <c r="S354" s="5"/>
      <c r="T354" s="5"/>
      <c r="U354" s="5"/>
      <c r="V354" s="5"/>
      <c r="W354" s="5"/>
    </row>
    <row r="355" spans="1:23" ht="16" x14ac:dyDescent="0.2">
      <c r="A355" s="5"/>
      <c r="B355" s="6"/>
      <c r="C355" s="6"/>
      <c r="D355" s="6"/>
      <c r="E355" s="6"/>
      <c r="F355" s="5"/>
      <c r="G355" s="5"/>
      <c r="H355" s="5"/>
      <c r="I355" s="5"/>
      <c r="J355" s="5"/>
      <c r="K355" s="5"/>
      <c r="L355" s="5"/>
      <c r="M355" s="5"/>
      <c r="N355" s="5"/>
      <c r="O355" s="5"/>
      <c r="P355" s="5"/>
      <c r="Q355" s="5"/>
      <c r="R355" s="5"/>
      <c r="S355" s="5"/>
      <c r="T355" s="5"/>
      <c r="U355" s="5"/>
      <c r="V355" s="5"/>
      <c r="W355" s="5"/>
    </row>
    <row r="356" spans="1:23" ht="16" x14ac:dyDescent="0.2">
      <c r="A356" s="5"/>
      <c r="B356" s="6"/>
      <c r="C356" s="6"/>
      <c r="D356" s="6"/>
      <c r="E356" s="6"/>
      <c r="F356" s="5"/>
      <c r="G356" s="5"/>
      <c r="H356" s="5"/>
      <c r="I356" s="5"/>
      <c r="J356" s="5"/>
      <c r="K356" s="5"/>
      <c r="L356" s="5"/>
      <c r="M356" s="5"/>
      <c r="N356" s="5"/>
      <c r="O356" s="5"/>
      <c r="P356" s="5"/>
      <c r="Q356" s="5"/>
      <c r="R356" s="5"/>
      <c r="S356" s="5"/>
      <c r="T356" s="5"/>
      <c r="U356" s="5"/>
      <c r="V356" s="5"/>
      <c r="W356" s="5"/>
    </row>
    <row r="357" spans="1:23" ht="16" x14ac:dyDescent="0.2">
      <c r="A357" s="5"/>
      <c r="B357" s="6"/>
      <c r="C357" s="6"/>
      <c r="D357" s="6"/>
      <c r="E357" s="6"/>
      <c r="F357" s="5"/>
      <c r="G357" s="5"/>
      <c r="H357" s="5"/>
      <c r="I357" s="5"/>
      <c r="J357" s="5"/>
      <c r="K357" s="5"/>
      <c r="L357" s="5"/>
      <c r="M357" s="5"/>
      <c r="N357" s="5"/>
      <c r="O357" s="5"/>
      <c r="P357" s="5"/>
      <c r="Q357" s="5"/>
      <c r="R357" s="5"/>
      <c r="S357" s="5"/>
      <c r="T357" s="5"/>
      <c r="U357" s="5"/>
      <c r="V357" s="5"/>
      <c r="W357" s="5"/>
    </row>
    <row r="358" spans="1:23" ht="16" x14ac:dyDescent="0.2">
      <c r="A358" s="5"/>
      <c r="B358" s="6"/>
      <c r="C358" s="6"/>
      <c r="D358" s="6"/>
      <c r="E358" s="6"/>
      <c r="F358" s="5"/>
      <c r="G358" s="5"/>
      <c r="H358" s="5"/>
      <c r="I358" s="5"/>
      <c r="J358" s="5"/>
      <c r="K358" s="5"/>
      <c r="L358" s="5"/>
      <c r="M358" s="5"/>
      <c r="N358" s="5"/>
      <c r="O358" s="5"/>
      <c r="P358" s="5"/>
      <c r="Q358" s="5"/>
      <c r="R358" s="5"/>
      <c r="S358" s="5"/>
      <c r="T358" s="5"/>
      <c r="U358" s="5"/>
      <c r="V358" s="5"/>
      <c r="W358" s="5"/>
    </row>
    <row r="359" spans="1:23" ht="16" x14ac:dyDescent="0.2">
      <c r="A359" s="5"/>
      <c r="B359" s="6"/>
      <c r="C359" s="6"/>
      <c r="D359" s="6"/>
      <c r="E359" s="6"/>
      <c r="F359" s="5"/>
      <c r="G359" s="5"/>
      <c r="H359" s="5"/>
      <c r="I359" s="5"/>
      <c r="J359" s="5"/>
      <c r="K359" s="5"/>
      <c r="L359" s="5"/>
      <c r="M359" s="5"/>
      <c r="N359" s="5"/>
      <c r="O359" s="5"/>
      <c r="P359" s="5"/>
      <c r="Q359" s="5"/>
      <c r="R359" s="5"/>
      <c r="S359" s="5"/>
      <c r="T359" s="5"/>
      <c r="U359" s="5"/>
      <c r="V359" s="5"/>
      <c r="W359" s="5"/>
    </row>
    <row r="360" spans="1:23" ht="16" x14ac:dyDescent="0.2">
      <c r="A360" s="5"/>
      <c r="B360" s="6"/>
      <c r="C360" s="6"/>
      <c r="D360" s="6"/>
      <c r="E360" s="6"/>
      <c r="F360" s="5"/>
      <c r="G360" s="5"/>
      <c r="H360" s="5"/>
      <c r="I360" s="5"/>
      <c r="J360" s="5"/>
      <c r="K360" s="5"/>
      <c r="L360" s="5"/>
      <c r="M360" s="5"/>
      <c r="N360" s="5"/>
      <c r="O360" s="5"/>
      <c r="P360" s="5"/>
      <c r="Q360" s="5"/>
      <c r="R360" s="5"/>
      <c r="S360" s="5"/>
      <c r="T360" s="5"/>
      <c r="U360" s="5"/>
      <c r="V360" s="5"/>
      <c r="W360" s="5"/>
    </row>
    <row r="361" spans="1:23" ht="16" x14ac:dyDescent="0.2">
      <c r="A361" s="5"/>
      <c r="B361" s="6"/>
      <c r="C361" s="6"/>
      <c r="D361" s="6"/>
      <c r="E361" s="6"/>
      <c r="F361" s="5"/>
      <c r="G361" s="5"/>
      <c r="H361" s="5"/>
      <c r="I361" s="5"/>
      <c r="J361" s="5"/>
      <c r="K361" s="5"/>
      <c r="L361" s="5"/>
      <c r="M361" s="5"/>
      <c r="N361" s="5"/>
      <c r="O361" s="5"/>
      <c r="P361" s="5"/>
      <c r="Q361" s="5"/>
      <c r="R361" s="5"/>
      <c r="S361" s="5"/>
      <c r="T361" s="5"/>
      <c r="U361" s="5"/>
      <c r="V361" s="5"/>
      <c r="W361" s="5"/>
    </row>
    <row r="362" spans="1:23" ht="16" x14ac:dyDescent="0.2">
      <c r="A362" s="5"/>
      <c r="B362" s="6"/>
      <c r="C362" s="6"/>
      <c r="D362" s="6"/>
      <c r="E362" s="6"/>
      <c r="F362" s="5"/>
      <c r="G362" s="5"/>
      <c r="H362" s="5"/>
      <c r="I362" s="5"/>
      <c r="J362" s="5"/>
      <c r="K362" s="5"/>
      <c r="L362" s="5"/>
      <c r="M362" s="5"/>
      <c r="N362" s="5"/>
      <c r="O362" s="5"/>
      <c r="P362" s="5"/>
      <c r="Q362" s="5"/>
      <c r="R362" s="5"/>
      <c r="S362" s="5"/>
      <c r="T362" s="5"/>
      <c r="U362" s="5"/>
      <c r="V362" s="5"/>
      <c r="W362" s="5"/>
    </row>
    <row r="363" spans="1:23" ht="16" x14ac:dyDescent="0.2">
      <c r="A363" s="5"/>
      <c r="B363" s="6"/>
      <c r="C363" s="6"/>
      <c r="D363" s="6"/>
      <c r="E363" s="6"/>
      <c r="F363" s="5"/>
      <c r="G363" s="5"/>
      <c r="H363" s="5"/>
      <c r="I363" s="5"/>
      <c r="J363" s="5"/>
      <c r="K363" s="5"/>
      <c r="L363" s="5"/>
      <c r="M363" s="5"/>
      <c r="N363" s="5"/>
      <c r="O363" s="5"/>
      <c r="P363" s="5"/>
      <c r="Q363" s="5"/>
      <c r="R363" s="5"/>
      <c r="S363" s="5"/>
      <c r="T363" s="5"/>
      <c r="U363" s="5"/>
      <c r="V363" s="5"/>
      <c r="W363" s="5"/>
    </row>
    <row r="364" spans="1:23" ht="16" x14ac:dyDescent="0.2">
      <c r="A364" s="5"/>
      <c r="B364" s="6"/>
      <c r="C364" s="6"/>
      <c r="D364" s="6"/>
      <c r="E364" s="6"/>
      <c r="F364" s="5"/>
      <c r="G364" s="5"/>
      <c r="H364" s="5"/>
      <c r="I364" s="5"/>
      <c r="J364" s="5"/>
      <c r="K364" s="5"/>
      <c r="L364" s="5"/>
      <c r="M364" s="5"/>
      <c r="N364" s="5"/>
      <c r="O364" s="5"/>
      <c r="P364" s="5"/>
      <c r="Q364" s="5"/>
      <c r="R364" s="5"/>
      <c r="S364" s="5"/>
      <c r="T364" s="5"/>
      <c r="U364" s="5"/>
      <c r="V364" s="5"/>
      <c r="W364" s="5"/>
    </row>
    <row r="365" spans="1:23" ht="16" x14ac:dyDescent="0.2">
      <c r="A365" s="5"/>
      <c r="B365" s="6"/>
      <c r="C365" s="6"/>
      <c r="D365" s="6"/>
      <c r="E365" s="6"/>
      <c r="F365" s="5"/>
      <c r="G365" s="5"/>
      <c r="H365" s="5"/>
      <c r="I365" s="5"/>
      <c r="J365" s="5"/>
      <c r="K365" s="5"/>
      <c r="L365" s="5"/>
      <c r="M365" s="5"/>
      <c r="N365" s="5"/>
      <c r="O365" s="5"/>
      <c r="P365" s="5"/>
      <c r="Q365" s="5"/>
      <c r="R365" s="5"/>
      <c r="S365" s="5"/>
      <c r="T365" s="5"/>
      <c r="U365" s="5"/>
      <c r="V365" s="5"/>
      <c r="W365" s="5"/>
    </row>
    <row r="366" spans="1:23" ht="16" x14ac:dyDescent="0.2">
      <c r="A366" s="5"/>
      <c r="B366" s="6"/>
      <c r="C366" s="6"/>
      <c r="D366" s="6"/>
      <c r="E366" s="6"/>
      <c r="F366" s="5"/>
      <c r="G366" s="5"/>
      <c r="H366" s="5"/>
      <c r="I366" s="5"/>
      <c r="J366" s="5"/>
      <c r="K366" s="5"/>
      <c r="L366" s="5"/>
      <c r="M366" s="5"/>
      <c r="N366" s="5"/>
      <c r="O366" s="5"/>
      <c r="P366" s="5"/>
      <c r="Q366" s="5"/>
      <c r="R366" s="5"/>
      <c r="S366" s="5"/>
      <c r="T366" s="5"/>
      <c r="U366" s="5"/>
      <c r="V366" s="5"/>
      <c r="W366" s="5"/>
    </row>
    <row r="367" spans="1:23" ht="16" x14ac:dyDescent="0.2">
      <c r="A367" s="5"/>
      <c r="B367" s="6"/>
      <c r="C367" s="6"/>
      <c r="D367" s="6"/>
      <c r="E367" s="6"/>
      <c r="F367" s="5"/>
      <c r="G367" s="5"/>
      <c r="H367" s="5"/>
      <c r="I367" s="5"/>
      <c r="J367" s="5"/>
      <c r="K367" s="5"/>
      <c r="L367" s="5"/>
      <c r="M367" s="5"/>
      <c r="N367" s="5"/>
      <c r="O367" s="5"/>
      <c r="P367" s="5"/>
      <c r="Q367" s="5"/>
      <c r="R367" s="5"/>
      <c r="S367" s="5"/>
      <c r="T367" s="5"/>
      <c r="U367" s="5"/>
      <c r="V367" s="5"/>
      <c r="W367" s="5"/>
    </row>
    <row r="368" spans="1:23" ht="16" x14ac:dyDescent="0.2">
      <c r="A368" s="5"/>
      <c r="B368" s="6"/>
      <c r="C368" s="6"/>
      <c r="D368" s="6"/>
      <c r="E368" s="6"/>
      <c r="F368" s="5"/>
      <c r="G368" s="5"/>
      <c r="H368" s="5"/>
      <c r="I368" s="5"/>
      <c r="J368" s="5"/>
      <c r="K368" s="5"/>
      <c r="L368" s="5"/>
      <c r="M368" s="5"/>
      <c r="N368" s="5"/>
      <c r="O368" s="5"/>
      <c r="P368" s="5"/>
      <c r="Q368" s="5"/>
      <c r="R368" s="5"/>
      <c r="S368" s="5"/>
      <c r="T368" s="5"/>
      <c r="U368" s="5"/>
      <c r="V368" s="5"/>
      <c r="W368" s="5"/>
    </row>
    <row r="369" spans="1:23" ht="16" x14ac:dyDescent="0.2">
      <c r="A369" s="5"/>
      <c r="B369" s="6"/>
      <c r="C369" s="6"/>
      <c r="D369" s="6"/>
      <c r="E369" s="6"/>
      <c r="F369" s="5"/>
      <c r="G369" s="5"/>
      <c r="H369" s="5"/>
      <c r="I369" s="5"/>
      <c r="J369" s="5"/>
      <c r="K369" s="5"/>
      <c r="L369" s="5"/>
      <c r="M369" s="5"/>
      <c r="N369" s="5"/>
      <c r="O369" s="5"/>
      <c r="P369" s="5"/>
      <c r="Q369" s="5"/>
      <c r="R369" s="5"/>
      <c r="S369" s="5"/>
      <c r="T369" s="5"/>
      <c r="U369" s="5"/>
      <c r="V369" s="5"/>
      <c r="W369" s="5"/>
    </row>
    <row r="370" spans="1:23" ht="16" x14ac:dyDescent="0.2">
      <c r="A370" s="5"/>
      <c r="B370" s="6"/>
      <c r="C370" s="6"/>
      <c r="D370" s="6"/>
      <c r="E370" s="6"/>
      <c r="F370" s="5"/>
      <c r="G370" s="5"/>
      <c r="H370" s="5"/>
      <c r="I370" s="5"/>
      <c r="J370" s="5"/>
      <c r="K370" s="5"/>
      <c r="L370" s="5"/>
      <c r="M370" s="5"/>
      <c r="N370" s="5"/>
      <c r="O370" s="5"/>
      <c r="P370" s="5"/>
      <c r="Q370" s="5"/>
      <c r="R370" s="5"/>
      <c r="S370" s="5"/>
      <c r="T370" s="5"/>
      <c r="U370" s="5"/>
      <c r="V370" s="5"/>
      <c r="W370" s="5"/>
    </row>
    <row r="371" spans="1:23" ht="16" x14ac:dyDescent="0.2">
      <c r="A371" s="5"/>
      <c r="B371" s="6"/>
      <c r="C371" s="6"/>
      <c r="D371" s="6"/>
      <c r="E371" s="6"/>
      <c r="F371" s="5"/>
      <c r="G371" s="5"/>
      <c r="H371" s="5"/>
      <c r="I371" s="5"/>
      <c r="J371" s="5"/>
      <c r="K371" s="5"/>
      <c r="L371" s="5"/>
      <c r="M371" s="5"/>
      <c r="N371" s="5"/>
      <c r="O371" s="5"/>
      <c r="P371" s="5"/>
      <c r="Q371" s="5"/>
      <c r="R371" s="5"/>
      <c r="S371" s="5"/>
      <c r="T371" s="5"/>
      <c r="U371" s="5"/>
      <c r="V371" s="5"/>
      <c r="W371" s="5"/>
    </row>
    <row r="372" spans="1:23" ht="16" x14ac:dyDescent="0.2">
      <c r="A372" s="5"/>
      <c r="B372" s="6"/>
      <c r="C372" s="6"/>
      <c r="D372" s="6"/>
      <c r="E372" s="6"/>
      <c r="F372" s="5"/>
      <c r="G372" s="5"/>
      <c r="H372" s="5"/>
      <c r="I372" s="5"/>
      <c r="J372" s="5"/>
      <c r="K372" s="5"/>
      <c r="L372" s="5"/>
      <c r="M372" s="5"/>
      <c r="N372" s="5"/>
      <c r="O372" s="5"/>
      <c r="P372" s="5"/>
      <c r="Q372" s="5"/>
      <c r="R372" s="5"/>
      <c r="S372" s="5"/>
      <c r="T372" s="5"/>
      <c r="U372" s="5"/>
      <c r="V372" s="5"/>
      <c r="W372" s="5"/>
    </row>
    <row r="373" spans="1:23" ht="16" x14ac:dyDescent="0.2">
      <c r="A373" s="5"/>
      <c r="B373" s="6"/>
      <c r="C373" s="6"/>
      <c r="D373" s="6"/>
      <c r="E373" s="6"/>
      <c r="F373" s="5"/>
      <c r="G373" s="5"/>
      <c r="H373" s="5"/>
      <c r="I373" s="5"/>
      <c r="J373" s="5"/>
      <c r="K373" s="5"/>
      <c r="L373" s="5"/>
      <c r="M373" s="5"/>
      <c r="N373" s="5"/>
      <c r="O373" s="5"/>
      <c r="P373" s="5"/>
      <c r="Q373" s="5"/>
      <c r="R373" s="5"/>
      <c r="S373" s="5"/>
      <c r="T373" s="5"/>
      <c r="U373" s="5"/>
      <c r="V373" s="5"/>
      <c r="W373" s="5"/>
    </row>
    <row r="374" spans="1:23" ht="16" x14ac:dyDescent="0.2">
      <c r="A374" s="5"/>
      <c r="B374" s="6"/>
      <c r="C374" s="6"/>
      <c r="D374" s="6"/>
      <c r="E374" s="6"/>
      <c r="F374" s="5"/>
      <c r="G374" s="5"/>
      <c r="H374" s="5"/>
      <c r="I374" s="5"/>
      <c r="J374" s="5"/>
      <c r="K374" s="5"/>
      <c r="L374" s="5"/>
      <c r="M374" s="5"/>
      <c r="N374" s="5"/>
      <c r="O374" s="5"/>
      <c r="P374" s="5"/>
      <c r="Q374" s="5"/>
      <c r="R374" s="5"/>
      <c r="S374" s="5"/>
      <c r="T374" s="5"/>
      <c r="U374" s="5"/>
      <c r="V374" s="5"/>
      <c r="W374" s="5"/>
    </row>
    <row r="375" spans="1:23" ht="16" x14ac:dyDescent="0.2">
      <c r="A375" s="5"/>
      <c r="B375" s="6"/>
      <c r="C375" s="6"/>
      <c r="D375" s="6"/>
      <c r="E375" s="6"/>
      <c r="F375" s="5"/>
      <c r="G375" s="5"/>
      <c r="H375" s="5"/>
      <c r="I375" s="5"/>
      <c r="J375" s="5"/>
      <c r="K375" s="5"/>
      <c r="L375" s="5"/>
      <c r="M375" s="5"/>
      <c r="N375" s="5"/>
      <c r="O375" s="5"/>
      <c r="P375" s="5"/>
      <c r="Q375" s="5"/>
      <c r="R375" s="5"/>
      <c r="S375" s="5"/>
      <c r="T375" s="5"/>
      <c r="U375" s="5"/>
      <c r="V375" s="5"/>
      <c r="W375" s="5"/>
    </row>
    <row r="376" spans="1:23" ht="16" x14ac:dyDescent="0.2">
      <c r="A376" s="5"/>
      <c r="B376" s="6"/>
      <c r="C376" s="6"/>
      <c r="D376" s="6"/>
      <c r="E376" s="6"/>
      <c r="F376" s="5"/>
      <c r="G376" s="5"/>
      <c r="H376" s="5"/>
      <c r="I376" s="5"/>
      <c r="J376" s="5"/>
      <c r="K376" s="5"/>
      <c r="L376" s="5"/>
      <c r="M376" s="5"/>
      <c r="N376" s="5"/>
      <c r="O376" s="5"/>
      <c r="P376" s="5"/>
      <c r="Q376" s="5"/>
      <c r="R376" s="5"/>
      <c r="S376" s="5"/>
      <c r="T376" s="5"/>
      <c r="U376" s="5"/>
      <c r="V376" s="5"/>
      <c r="W376" s="5"/>
    </row>
    <row r="377" spans="1:23" ht="16" x14ac:dyDescent="0.2">
      <c r="A377" s="5"/>
      <c r="B377" s="6"/>
      <c r="C377" s="6"/>
      <c r="D377" s="6"/>
      <c r="E377" s="6"/>
      <c r="F377" s="5"/>
      <c r="G377" s="5"/>
      <c r="H377" s="5"/>
      <c r="I377" s="5"/>
      <c r="J377" s="5"/>
      <c r="K377" s="5"/>
      <c r="L377" s="5"/>
      <c r="M377" s="5"/>
      <c r="N377" s="5"/>
      <c r="O377" s="5"/>
      <c r="P377" s="5"/>
      <c r="Q377" s="5"/>
      <c r="R377" s="5"/>
      <c r="S377" s="5"/>
      <c r="T377" s="5"/>
      <c r="U377" s="5"/>
      <c r="V377" s="5"/>
      <c r="W377" s="5"/>
    </row>
    <row r="378" spans="1:23" ht="16" x14ac:dyDescent="0.2">
      <c r="A378" s="5"/>
      <c r="B378" s="6"/>
      <c r="C378" s="6"/>
      <c r="D378" s="6"/>
      <c r="E378" s="6"/>
      <c r="F378" s="5"/>
      <c r="G378" s="5"/>
      <c r="H378" s="5"/>
      <c r="I378" s="5"/>
      <c r="J378" s="5"/>
      <c r="K378" s="5"/>
      <c r="L378" s="5"/>
      <c r="M378" s="5"/>
      <c r="N378" s="5"/>
      <c r="O378" s="5"/>
      <c r="P378" s="5"/>
      <c r="Q378" s="5"/>
      <c r="R378" s="5"/>
      <c r="S378" s="5"/>
      <c r="T378" s="5"/>
      <c r="U378" s="5"/>
      <c r="V378" s="5"/>
      <c r="W378" s="5"/>
    </row>
    <row r="379" spans="1:23" ht="16" x14ac:dyDescent="0.2">
      <c r="A379" s="5"/>
      <c r="B379" s="6"/>
      <c r="C379" s="6"/>
      <c r="D379" s="6"/>
      <c r="E379" s="6"/>
      <c r="F379" s="5"/>
      <c r="G379" s="5"/>
      <c r="H379" s="5"/>
      <c r="I379" s="5"/>
      <c r="J379" s="5"/>
      <c r="K379" s="5"/>
      <c r="L379" s="5"/>
      <c r="M379" s="5"/>
      <c r="N379" s="5"/>
      <c r="O379" s="5"/>
      <c r="P379" s="5"/>
      <c r="Q379" s="5"/>
      <c r="R379" s="5"/>
      <c r="S379" s="5"/>
      <c r="T379" s="5"/>
      <c r="U379" s="5"/>
      <c r="V379" s="5"/>
      <c r="W379" s="5"/>
    </row>
    <row r="380" spans="1:23" ht="16" x14ac:dyDescent="0.2">
      <c r="A380" s="5"/>
      <c r="B380" s="6"/>
      <c r="C380" s="6"/>
      <c r="D380" s="6"/>
      <c r="E380" s="6"/>
      <c r="F380" s="5"/>
      <c r="G380" s="5"/>
      <c r="H380" s="5"/>
      <c r="I380" s="5"/>
      <c r="J380" s="5"/>
      <c r="K380" s="5"/>
      <c r="L380" s="5"/>
      <c r="M380" s="5"/>
      <c r="N380" s="5"/>
      <c r="O380" s="5"/>
      <c r="P380" s="5"/>
      <c r="Q380" s="5"/>
      <c r="R380" s="5"/>
      <c r="S380" s="5"/>
      <c r="T380" s="5"/>
      <c r="U380" s="5"/>
      <c r="V380" s="5"/>
      <c r="W380" s="5"/>
    </row>
    <row r="381" spans="1:23" ht="16" x14ac:dyDescent="0.2">
      <c r="A381" s="5"/>
      <c r="B381" s="6"/>
      <c r="C381" s="6"/>
      <c r="D381" s="6"/>
      <c r="E381" s="6"/>
      <c r="F381" s="5"/>
      <c r="G381" s="5"/>
      <c r="H381" s="5"/>
      <c r="I381" s="5"/>
      <c r="J381" s="5"/>
      <c r="K381" s="5"/>
      <c r="L381" s="5"/>
      <c r="M381" s="5"/>
      <c r="N381" s="5"/>
      <c r="O381" s="5"/>
      <c r="P381" s="5"/>
      <c r="Q381" s="5"/>
      <c r="R381" s="5"/>
      <c r="S381" s="5"/>
      <c r="T381" s="5"/>
      <c r="U381" s="5"/>
      <c r="V381" s="5"/>
      <c r="W381" s="5"/>
    </row>
    <row r="382" spans="1:23" ht="16" x14ac:dyDescent="0.2">
      <c r="A382" s="5"/>
      <c r="B382" s="6"/>
      <c r="C382" s="6"/>
      <c r="D382" s="6"/>
      <c r="E382" s="6"/>
      <c r="F382" s="5"/>
      <c r="G382" s="5"/>
      <c r="H382" s="5"/>
      <c r="I382" s="5"/>
      <c r="J382" s="5"/>
      <c r="K382" s="5"/>
      <c r="L382" s="5"/>
      <c r="M382" s="5"/>
      <c r="N382" s="5"/>
      <c r="O382" s="5"/>
      <c r="P382" s="5"/>
      <c r="Q382" s="5"/>
      <c r="R382" s="5"/>
      <c r="S382" s="5"/>
      <c r="T382" s="5"/>
      <c r="U382" s="5"/>
      <c r="V382" s="5"/>
      <c r="W382" s="5"/>
    </row>
    <row r="383" spans="1:23" ht="16" x14ac:dyDescent="0.2">
      <c r="A383" s="5"/>
      <c r="B383" s="6"/>
      <c r="C383" s="6"/>
      <c r="D383" s="6"/>
      <c r="E383" s="6"/>
      <c r="F383" s="5"/>
      <c r="G383" s="5"/>
      <c r="H383" s="5"/>
      <c r="I383" s="5"/>
      <c r="J383" s="5"/>
      <c r="K383" s="5"/>
      <c r="L383" s="5"/>
      <c r="M383" s="5"/>
      <c r="N383" s="5"/>
      <c r="O383" s="5"/>
      <c r="P383" s="5"/>
      <c r="Q383" s="5"/>
      <c r="R383" s="5"/>
      <c r="S383" s="5"/>
      <c r="T383" s="5"/>
      <c r="U383" s="5"/>
      <c r="V383" s="5"/>
      <c r="W383" s="5"/>
    </row>
    <row r="384" spans="1:23" ht="16" x14ac:dyDescent="0.2">
      <c r="A384" s="5"/>
      <c r="B384" s="6"/>
      <c r="C384" s="6"/>
      <c r="D384" s="6"/>
      <c r="E384" s="6"/>
      <c r="F384" s="5"/>
      <c r="G384" s="5"/>
      <c r="H384" s="5"/>
      <c r="I384" s="5"/>
      <c r="J384" s="5"/>
      <c r="K384" s="5"/>
      <c r="L384" s="5"/>
      <c r="M384" s="5"/>
      <c r="N384" s="5"/>
      <c r="O384" s="5"/>
      <c r="P384" s="5"/>
      <c r="Q384" s="5"/>
      <c r="R384" s="5"/>
      <c r="S384" s="5"/>
      <c r="T384" s="5"/>
      <c r="U384" s="5"/>
      <c r="V384" s="5"/>
      <c r="W384" s="5"/>
    </row>
    <row r="385" spans="1:23" ht="16" x14ac:dyDescent="0.2">
      <c r="A385" s="5"/>
      <c r="B385" s="6"/>
      <c r="C385" s="6"/>
      <c r="D385" s="6"/>
      <c r="E385" s="6"/>
      <c r="F385" s="5"/>
      <c r="G385" s="5"/>
      <c r="H385" s="5"/>
      <c r="I385" s="5"/>
      <c r="J385" s="5"/>
      <c r="K385" s="5"/>
      <c r="L385" s="5"/>
      <c r="M385" s="5"/>
      <c r="N385" s="5"/>
      <c r="O385" s="5"/>
      <c r="P385" s="5"/>
      <c r="Q385" s="5"/>
      <c r="R385" s="5"/>
      <c r="S385" s="5"/>
      <c r="T385" s="5"/>
      <c r="U385" s="5"/>
      <c r="V385" s="5"/>
      <c r="W385" s="5"/>
    </row>
    <row r="386" spans="1:23" ht="16" x14ac:dyDescent="0.2">
      <c r="A386" s="5"/>
      <c r="B386" s="6"/>
      <c r="C386" s="6"/>
      <c r="D386" s="6"/>
      <c r="E386" s="6"/>
      <c r="F386" s="5"/>
      <c r="G386" s="5"/>
      <c r="H386" s="5"/>
      <c r="I386" s="5"/>
      <c r="J386" s="5"/>
      <c r="K386" s="5"/>
      <c r="L386" s="5"/>
      <c r="M386" s="5"/>
      <c r="N386" s="5"/>
      <c r="O386" s="5"/>
      <c r="P386" s="5"/>
      <c r="Q386" s="5"/>
      <c r="R386" s="5"/>
      <c r="S386" s="5"/>
      <c r="T386" s="5"/>
      <c r="U386" s="5"/>
      <c r="V386" s="5"/>
      <c r="W386" s="5"/>
    </row>
    <row r="387" spans="1:23" ht="16" x14ac:dyDescent="0.2">
      <c r="A387" s="5"/>
      <c r="B387" s="6"/>
      <c r="C387" s="6"/>
      <c r="D387" s="6"/>
      <c r="E387" s="6"/>
      <c r="F387" s="5"/>
      <c r="G387" s="5"/>
      <c r="H387" s="5"/>
      <c r="I387" s="5"/>
      <c r="J387" s="5"/>
      <c r="K387" s="5"/>
      <c r="L387" s="5"/>
      <c r="M387" s="5"/>
      <c r="N387" s="5"/>
      <c r="O387" s="5"/>
      <c r="P387" s="5"/>
      <c r="Q387" s="5"/>
      <c r="R387" s="5"/>
      <c r="S387" s="5"/>
      <c r="T387" s="5"/>
      <c r="U387" s="5"/>
      <c r="V387" s="5"/>
      <c r="W387" s="5"/>
    </row>
    <row r="388" spans="1:23" ht="16" x14ac:dyDescent="0.2">
      <c r="A388" s="5"/>
      <c r="B388" s="6"/>
      <c r="C388" s="6"/>
      <c r="D388" s="6"/>
      <c r="E388" s="6"/>
      <c r="F388" s="5"/>
      <c r="G388" s="5"/>
      <c r="H388" s="5"/>
      <c r="I388" s="5"/>
      <c r="J388" s="5"/>
      <c r="K388" s="5"/>
      <c r="L388" s="5"/>
      <c r="M388" s="5"/>
      <c r="N388" s="5"/>
      <c r="O388" s="5"/>
      <c r="P388" s="5"/>
      <c r="Q388" s="5"/>
      <c r="R388" s="5"/>
      <c r="S388" s="5"/>
      <c r="T388" s="5"/>
      <c r="U388" s="5"/>
      <c r="V388" s="5"/>
      <c r="W388" s="5"/>
    </row>
    <row r="389" spans="1:23" ht="16" x14ac:dyDescent="0.2">
      <c r="A389" s="5"/>
      <c r="B389" s="6"/>
      <c r="C389" s="6"/>
      <c r="D389" s="6"/>
      <c r="E389" s="6"/>
      <c r="F389" s="5"/>
      <c r="G389" s="5"/>
      <c r="H389" s="5"/>
      <c r="I389" s="5"/>
      <c r="J389" s="5"/>
      <c r="K389" s="5"/>
      <c r="L389" s="5"/>
      <c r="M389" s="5"/>
      <c r="N389" s="5"/>
      <c r="O389" s="5"/>
      <c r="P389" s="5"/>
      <c r="Q389" s="5"/>
      <c r="R389" s="5"/>
      <c r="S389" s="5"/>
      <c r="T389" s="5"/>
      <c r="U389" s="5"/>
      <c r="V389" s="5"/>
      <c r="W389" s="5"/>
    </row>
    <row r="390" spans="1:23" ht="16" x14ac:dyDescent="0.2">
      <c r="A390" s="5"/>
      <c r="B390" s="6"/>
      <c r="C390" s="6"/>
      <c r="D390" s="6"/>
      <c r="E390" s="6"/>
      <c r="F390" s="5"/>
      <c r="G390" s="5"/>
      <c r="H390" s="5"/>
      <c r="I390" s="5"/>
      <c r="J390" s="5"/>
      <c r="K390" s="5"/>
      <c r="L390" s="5"/>
      <c r="M390" s="5"/>
      <c r="N390" s="5"/>
      <c r="O390" s="5"/>
      <c r="P390" s="5"/>
      <c r="Q390" s="5"/>
      <c r="R390" s="5"/>
      <c r="S390" s="5"/>
      <c r="T390" s="5"/>
      <c r="U390" s="5"/>
      <c r="V390" s="5"/>
      <c r="W390" s="5"/>
    </row>
    <row r="391" spans="1:23" ht="16" x14ac:dyDescent="0.2">
      <c r="A391" s="5"/>
      <c r="B391" s="6"/>
      <c r="C391" s="6"/>
      <c r="D391" s="6"/>
      <c r="E391" s="6"/>
      <c r="F391" s="5"/>
      <c r="G391" s="5"/>
      <c r="H391" s="5"/>
      <c r="I391" s="5"/>
      <c r="J391" s="5"/>
      <c r="K391" s="5"/>
      <c r="L391" s="5"/>
      <c r="M391" s="5"/>
      <c r="N391" s="5"/>
      <c r="O391" s="5"/>
      <c r="P391" s="5"/>
      <c r="Q391" s="5"/>
      <c r="R391" s="5"/>
      <c r="S391" s="5"/>
      <c r="T391" s="5"/>
      <c r="U391" s="5"/>
      <c r="V391" s="5"/>
      <c r="W391" s="5"/>
    </row>
    <row r="392" spans="1:23" ht="16" x14ac:dyDescent="0.2">
      <c r="A392" s="5"/>
      <c r="B392" s="6"/>
      <c r="C392" s="6"/>
      <c r="D392" s="6"/>
      <c r="E392" s="6"/>
      <c r="F392" s="5"/>
      <c r="G392" s="5"/>
      <c r="H392" s="5"/>
      <c r="I392" s="5"/>
      <c r="J392" s="5"/>
      <c r="K392" s="5"/>
      <c r="L392" s="5"/>
      <c r="M392" s="5"/>
      <c r="N392" s="5"/>
      <c r="O392" s="5"/>
      <c r="P392" s="5"/>
      <c r="Q392" s="5"/>
      <c r="R392" s="5"/>
      <c r="S392" s="5"/>
      <c r="T392" s="5"/>
      <c r="U392" s="5"/>
      <c r="V392" s="5"/>
      <c r="W392" s="5"/>
    </row>
    <row r="393" spans="1:23" ht="16" x14ac:dyDescent="0.2">
      <c r="A393" s="5"/>
      <c r="B393" s="6"/>
      <c r="C393" s="6"/>
      <c r="D393" s="6"/>
      <c r="E393" s="6"/>
      <c r="F393" s="5"/>
      <c r="G393" s="5"/>
      <c r="H393" s="5"/>
      <c r="I393" s="5"/>
      <c r="J393" s="5"/>
      <c r="K393" s="5"/>
      <c r="L393" s="5"/>
      <c r="M393" s="5"/>
      <c r="N393" s="5"/>
      <c r="O393" s="5"/>
      <c r="P393" s="5"/>
      <c r="Q393" s="5"/>
      <c r="R393" s="5"/>
      <c r="S393" s="5"/>
      <c r="T393" s="5"/>
      <c r="U393" s="5"/>
      <c r="V393" s="5"/>
      <c r="W393" s="5"/>
    </row>
    <row r="394" spans="1:23" ht="16" x14ac:dyDescent="0.2">
      <c r="A394" s="5"/>
      <c r="B394" s="6"/>
      <c r="C394" s="6"/>
      <c r="D394" s="6"/>
      <c r="E394" s="6"/>
      <c r="F394" s="5"/>
      <c r="G394" s="5"/>
      <c r="H394" s="5"/>
      <c r="I394" s="5"/>
      <c r="J394" s="5"/>
      <c r="K394" s="5"/>
      <c r="L394" s="5"/>
      <c r="M394" s="5"/>
      <c r="N394" s="5"/>
      <c r="O394" s="5"/>
      <c r="P394" s="5"/>
      <c r="Q394" s="5"/>
      <c r="R394" s="5"/>
      <c r="S394" s="5"/>
      <c r="T394" s="5"/>
      <c r="U394" s="5"/>
      <c r="V394" s="5"/>
      <c r="W394" s="5"/>
    </row>
    <row r="395" spans="1:23" ht="16" x14ac:dyDescent="0.2">
      <c r="A395" s="5"/>
      <c r="B395" s="6"/>
      <c r="C395" s="6"/>
      <c r="D395" s="6"/>
      <c r="E395" s="6"/>
      <c r="F395" s="5"/>
      <c r="G395" s="5"/>
      <c r="H395" s="5"/>
      <c r="I395" s="5"/>
      <c r="J395" s="5"/>
      <c r="K395" s="5"/>
      <c r="L395" s="5"/>
      <c r="M395" s="5"/>
      <c r="N395" s="5"/>
      <c r="O395" s="5"/>
      <c r="P395" s="5"/>
      <c r="Q395" s="5"/>
      <c r="R395" s="5"/>
      <c r="S395" s="5"/>
      <c r="T395" s="5"/>
      <c r="U395" s="5"/>
      <c r="V395" s="5"/>
      <c r="W395" s="5"/>
    </row>
    <row r="396" spans="1:23" ht="16" x14ac:dyDescent="0.2">
      <c r="A396" s="5"/>
      <c r="B396" s="6"/>
      <c r="C396" s="6"/>
      <c r="D396" s="6"/>
      <c r="E396" s="6"/>
      <c r="F396" s="5"/>
      <c r="G396" s="5"/>
      <c r="H396" s="5"/>
      <c r="I396" s="5"/>
      <c r="J396" s="5"/>
      <c r="K396" s="5"/>
      <c r="L396" s="5"/>
      <c r="M396" s="5"/>
      <c r="N396" s="5"/>
      <c r="O396" s="5"/>
      <c r="P396" s="5"/>
      <c r="Q396" s="5"/>
      <c r="R396" s="5"/>
      <c r="S396" s="5"/>
      <c r="T396" s="5"/>
      <c r="U396" s="5"/>
      <c r="V396" s="5"/>
      <c r="W396" s="5"/>
    </row>
    <row r="397" spans="1:23" ht="16" x14ac:dyDescent="0.2">
      <c r="A397" s="5"/>
      <c r="B397" s="6"/>
      <c r="C397" s="6"/>
      <c r="D397" s="6"/>
      <c r="E397" s="6"/>
      <c r="F397" s="5"/>
      <c r="G397" s="5"/>
      <c r="H397" s="5"/>
      <c r="I397" s="5"/>
      <c r="J397" s="5"/>
      <c r="K397" s="5"/>
      <c r="L397" s="5"/>
      <c r="M397" s="5"/>
      <c r="N397" s="5"/>
      <c r="O397" s="5"/>
      <c r="P397" s="5"/>
      <c r="Q397" s="5"/>
      <c r="R397" s="5"/>
      <c r="S397" s="5"/>
      <c r="T397" s="5"/>
      <c r="U397" s="5"/>
      <c r="V397" s="5"/>
      <c r="W397" s="5"/>
    </row>
    <row r="398" spans="1:23" ht="16" x14ac:dyDescent="0.2">
      <c r="A398" s="5"/>
      <c r="B398" s="6"/>
      <c r="C398" s="6"/>
      <c r="D398" s="6"/>
      <c r="E398" s="6"/>
      <c r="F398" s="5"/>
      <c r="G398" s="5"/>
      <c r="H398" s="5"/>
      <c r="I398" s="5"/>
      <c r="J398" s="5"/>
      <c r="K398" s="5"/>
      <c r="L398" s="5"/>
      <c r="M398" s="5"/>
      <c r="N398" s="5"/>
      <c r="O398" s="5"/>
      <c r="P398" s="5"/>
      <c r="Q398" s="5"/>
      <c r="R398" s="5"/>
      <c r="S398" s="5"/>
      <c r="T398" s="5"/>
      <c r="U398" s="5"/>
      <c r="V398" s="5"/>
      <c r="W398" s="5"/>
    </row>
    <row r="399" spans="1:23" ht="16" x14ac:dyDescent="0.2">
      <c r="A399" s="5"/>
      <c r="B399" s="6"/>
      <c r="C399" s="6"/>
      <c r="D399" s="6"/>
      <c r="E399" s="6"/>
      <c r="F399" s="5"/>
      <c r="G399" s="5"/>
      <c r="H399" s="5"/>
      <c r="I399" s="5"/>
      <c r="J399" s="5"/>
      <c r="K399" s="5"/>
      <c r="L399" s="5"/>
      <c r="M399" s="5"/>
      <c r="N399" s="5"/>
      <c r="O399" s="5"/>
      <c r="P399" s="5"/>
      <c r="Q399" s="5"/>
      <c r="R399" s="5"/>
      <c r="S399" s="5"/>
      <c r="T399" s="5"/>
      <c r="U399" s="5"/>
      <c r="V399" s="5"/>
      <c r="W399" s="5"/>
    </row>
    <row r="400" spans="1:23" ht="16" x14ac:dyDescent="0.2">
      <c r="A400" s="5"/>
      <c r="B400" s="6"/>
      <c r="C400" s="6"/>
      <c r="D400" s="6"/>
      <c r="E400" s="6"/>
      <c r="F400" s="5"/>
      <c r="G400" s="5"/>
      <c r="H400" s="5"/>
      <c r="I400" s="5"/>
      <c r="J400" s="5"/>
      <c r="K400" s="5"/>
      <c r="L400" s="5"/>
      <c r="M400" s="5"/>
      <c r="N400" s="5"/>
      <c r="O400" s="5"/>
      <c r="P400" s="5"/>
      <c r="Q400" s="5"/>
      <c r="R400" s="5"/>
      <c r="S400" s="5"/>
      <c r="T400" s="5"/>
      <c r="U400" s="5"/>
      <c r="V400" s="5"/>
      <c r="W400" s="5"/>
    </row>
    <row r="401" spans="1:23" ht="16" x14ac:dyDescent="0.2">
      <c r="A401" s="5"/>
      <c r="B401" s="6"/>
      <c r="C401" s="6"/>
      <c r="D401" s="6"/>
      <c r="E401" s="6"/>
      <c r="F401" s="5"/>
      <c r="G401" s="5"/>
      <c r="H401" s="5"/>
      <c r="I401" s="5"/>
      <c r="J401" s="5"/>
      <c r="K401" s="5"/>
      <c r="L401" s="5"/>
      <c r="M401" s="5"/>
      <c r="N401" s="5"/>
      <c r="O401" s="5"/>
      <c r="P401" s="5"/>
      <c r="Q401" s="5"/>
      <c r="R401" s="5"/>
      <c r="S401" s="5"/>
      <c r="T401" s="5"/>
      <c r="U401" s="5"/>
      <c r="V401" s="5"/>
      <c r="W401" s="5"/>
    </row>
    <row r="402" spans="1:23" ht="16" x14ac:dyDescent="0.2">
      <c r="A402" s="5"/>
      <c r="B402" s="6"/>
      <c r="C402" s="6"/>
      <c r="D402" s="6"/>
      <c r="E402" s="6"/>
      <c r="F402" s="5"/>
      <c r="G402" s="5"/>
      <c r="H402" s="5"/>
      <c r="I402" s="5"/>
      <c r="J402" s="5"/>
      <c r="K402" s="5"/>
      <c r="L402" s="5"/>
      <c r="M402" s="5"/>
      <c r="N402" s="5"/>
      <c r="O402" s="5"/>
      <c r="P402" s="5"/>
      <c r="Q402" s="5"/>
      <c r="R402" s="5"/>
      <c r="S402" s="5"/>
      <c r="T402" s="5"/>
      <c r="U402" s="5"/>
      <c r="V402" s="5"/>
      <c r="W402" s="5"/>
    </row>
    <row r="403" spans="1:23" ht="16" x14ac:dyDescent="0.2">
      <c r="A403" s="5"/>
      <c r="B403" s="6"/>
      <c r="C403" s="6"/>
      <c r="D403" s="6"/>
      <c r="E403" s="6"/>
      <c r="F403" s="5"/>
      <c r="G403" s="5"/>
      <c r="H403" s="5"/>
      <c r="I403" s="5"/>
      <c r="J403" s="5"/>
      <c r="K403" s="5"/>
      <c r="L403" s="5"/>
      <c r="M403" s="5"/>
      <c r="N403" s="5"/>
      <c r="O403" s="5"/>
      <c r="P403" s="5"/>
      <c r="Q403" s="5"/>
      <c r="R403" s="5"/>
      <c r="S403" s="5"/>
      <c r="T403" s="5"/>
      <c r="U403" s="5"/>
      <c r="V403" s="5"/>
      <c r="W403" s="5"/>
    </row>
    <row r="404" spans="1:23" ht="16" x14ac:dyDescent="0.2">
      <c r="A404" s="5"/>
      <c r="B404" s="6"/>
      <c r="C404" s="6"/>
      <c r="D404" s="6"/>
      <c r="E404" s="6"/>
      <c r="F404" s="5"/>
      <c r="G404" s="5"/>
      <c r="H404" s="5"/>
      <c r="I404" s="5"/>
      <c r="J404" s="5"/>
      <c r="K404" s="5"/>
      <c r="L404" s="5"/>
      <c r="M404" s="5"/>
      <c r="N404" s="5"/>
      <c r="O404" s="5"/>
      <c r="P404" s="5"/>
      <c r="Q404" s="5"/>
      <c r="R404" s="5"/>
      <c r="S404" s="5"/>
      <c r="T404" s="5"/>
      <c r="U404" s="5"/>
      <c r="V404" s="5"/>
      <c r="W404" s="5"/>
    </row>
    <row r="405" spans="1:23" ht="16" x14ac:dyDescent="0.2">
      <c r="A405" s="5"/>
      <c r="B405" s="6"/>
      <c r="C405" s="6"/>
      <c r="D405" s="6"/>
      <c r="E405" s="6"/>
      <c r="F405" s="5"/>
      <c r="G405" s="5"/>
      <c r="H405" s="5"/>
      <c r="I405" s="5"/>
      <c r="J405" s="5"/>
      <c r="K405" s="5"/>
      <c r="L405" s="5"/>
      <c r="M405" s="5"/>
      <c r="N405" s="5"/>
      <c r="O405" s="5"/>
      <c r="P405" s="5"/>
      <c r="Q405" s="5"/>
      <c r="R405" s="5"/>
      <c r="S405" s="5"/>
      <c r="T405" s="5"/>
      <c r="U405" s="5"/>
      <c r="V405" s="5"/>
      <c r="W405" s="5"/>
    </row>
    <row r="406" spans="1:23" ht="16" x14ac:dyDescent="0.2">
      <c r="A406" s="5"/>
      <c r="B406" s="6"/>
      <c r="C406" s="6"/>
      <c r="D406" s="6"/>
      <c r="E406" s="6"/>
      <c r="F406" s="5"/>
      <c r="G406" s="5"/>
      <c r="H406" s="5"/>
      <c r="I406" s="5"/>
      <c r="J406" s="5"/>
      <c r="K406" s="5"/>
      <c r="L406" s="5"/>
      <c r="M406" s="5"/>
      <c r="N406" s="5"/>
      <c r="O406" s="5"/>
      <c r="P406" s="5"/>
      <c r="Q406" s="5"/>
      <c r="R406" s="5"/>
      <c r="S406" s="5"/>
      <c r="T406" s="5"/>
      <c r="U406" s="5"/>
      <c r="V406" s="5"/>
      <c r="W406" s="5"/>
    </row>
    <row r="407" spans="1:23" ht="16" x14ac:dyDescent="0.2">
      <c r="A407" s="5"/>
      <c r="B407" s="6"/>
      <c r="C407" s="6"/>
      <c r="D407" s="6"/>
      <c r="E407" s="6"/>
      <c r="F407" s="5"/>
      <c r="G407" s="5"/>
      <c r="H407" s="5"/>
      <c r="I407" s="5"/>
      <c r="J407" s="5"/>
      <c r="K407" s="5"/>
      <c r="L407" s="5"/>
      <c r="M407" s="5"/>
      <c r="N407" s="5"/>
      <c r="O407" s="5"/>
      <c r="P407" s="5"/>
      <c r="Q407" s="5"/>
      <c r="R407" s="5"/>
      <c r="S407" s="5"/>
      <c r="T407" s="5"/>
      <c r="U407" s="5"/>
      <c r="V407" s="5"/>
      <c r="W407" s="5"/>
    </row>
    <row r="408" spans="1:23" ht="16" x14ac:dyDescent="0.2">
      <c r="A408" s="5"/>
      <c r="B408" s="6"/>
      <c r="C408" s="6"/>
      <c r="D408" s="6"/>
      <c r="E408" s="6"/>
      <c r="F408" s="5"/>
      <c r="G408" s="5"/>
      <c r="H408" s="5"/>
      <c r="I408" s="5"/>
      <c r="J408" s="5"/>
      <c r="K408" s="5"/>
      <c r="L408" s="5"/>
      <c r="M408" s="5"/>
      <c r="N408" s="5"/>
      <c r="O408" s="5"/>
      <c r="P408" s="5"/>
      <c r="Q408" s="5"/>
      <c r="R408" s="5"/>
      <c r="S408" s="5"/>
      <c r="T408" s="5"/>
      <c r="U408" s="5"/>
      <c r="V408" s="5"/>
      <c r="W408" s="5"/>
    </row>
    <row r="409" spans="1:23" ht="16" x14ac:dyDescent="0.2">
      <c r="A409" s="5"/>
      <c r="B409" s="6"/>
      <c r="C409" s="6"/>
      <c r="D409" s="6"/>
      <c r="E409" s="6"/>
      <c r="F409" s="5"/>
      <c r="G409" s="5"/>
      <c r="H409" s="5"/>
      <c r="I409" s="5"/>
      <c r="J409" s="5"/>
      <c r="K409" s="5"/>
      <c r="L409" s="5"/>
      <c r="M409" s="5"/>
      <c r="N409" s="5"/>
      <c r="O409" s="5"/>
      <c r="P409" s="5"/>
      <c r="Q409" s="5"/>
      <c r="R409" s="5"/>
      <c r="S409" s="5"/>
      <c r="T409" s="5"/>
      <c r="U409" s="5"/>
      <c r="V409" s="5"/>
      <c r="W409" s="5"/>
    </row>
    <row r="410" spans="1:23" ht="16" x14ac:dyDescent="0.2">
      <c r="A410" s="5"/>
      <c r="B410" s="6"/>
      <c r="C410" s="6"/>
      <c r="D410" s="6"/>
      <c r="E410" s="6"/>
      <c r="F410" s="5"/>
      <c r="G410" s="5"/>
      <c r="H410" s="5"/>
      <c r="I410" s="5"/>
      <c r="J410" s="5"/>
      <c r="K410" s="5"/>
      <c r="L410" s="5"/>
      <c r="M410" s="5"/>
      <c r="N410" s="5"/>
      <c r="O410" s="5"/>
      <c r="P410" s="5"/>
      <c r="Q410" s="5"/>
      <c r="R410" s="5"/>
      <c r="S410" s="5"/>
      <c r="T410" s="5"/>
      <c r="U410" s="5"/>
      <c r="V410" s="5"/>
      <c r="W410" s="5"/>
    </row>
    <row r="411" spans="1:23" ht="16" x14ac:dyDescent="0.2">
      <c r="A411" s="5"/>
      <c r="B411" s="6"/>
      <c r="C411" s="6"/>
      <c r="D411" s="6"/>
      <c r="E411" s="6"/>
      <c r="F411" s="5"/>
      <c r="G411" s="5"/>
      <c r="H411" s="5"/>
      <c r="I411" s="5"/>
      <c r="J411" s="5"/>
      <c r="K411" s="5"/>
      <c r="L411" s="5"/>
      <c r="M411" s="5"/>
      <c r="N411" s="5"/>
      <c r="O411" s="5"/>
      <c r="P411" s="5"/>
      <c r="Q411" s="5"/>
      <c r="R411" s="5"/>
      <c r="S411" s="5"/>
      <c r="T411" s="5"/>
      <c r="U411" s="5"/>
      <c r="V411" s="5"/>
      <c r="W411" s="5"/>
    </row>
    <row r="412" spans="1:23" ht="16" x14ac:dyDescent="0.2">
      <c r="A412" s="5"/>
      <c r="B412" s="6"/>
      <c r="C412" s="6"/>
      <c r="D412" s="6"/>
      <c r="E412" s="6"/>
      <c r="F412" s="5"/>
      <c r="G412" s="5"/>
      <c r="H412" s="5"/>
      <c r="I412" s="5"/>
      <c r="J412" s="5"/>
      <c r="K412" s="5"/>
      <c r="L412" s="5"/>
      <c r="M412" s="5"/>
      <c r="N412" s="5"/>
      <c r="O412" s="5"/>
      <c r="P412" s="5"/>
      <c r="Q412" s="5"/>
      <c r="R412" s="5"/>
      <c r="S412" s="5"/>
      <c r="T412" s="5"/>
      <c r="U412" s="5"/>
      <c r="V412" s="5"/>
      <c r="W412" s="5"/>
    </row>
    <row r="413" spans="1:23" ht="16" x14ac:dyDescent="0.2">
      <c r="A413" s="5"/>
      <c r="B413" s="6"/>
      <c r="C413" s="6"/>
      <c r="D413" s="6"/>
      <c r="E413" s="6"/>
      <c r="F413" s="5"/>
      <c r="G413" s="5"/>
      <c r="H413" s="5"/>
      <c r="I413" s="5"/>
      <c r="J413" s="5"/>
      <c r="K413" s="5"/>
      <c r="L413" s="5"/>
      <c r="M413" s="5"/>
      <c r="N413" s="5"/>
      <c r="O413" s="5"/>
      <c r="P413" s="5"/>
      <c r="Q413" s="5"/>
      <c r="R413" s="5"/>
      <c r="S413" s="5"/>
      <c r="T413" s="5"/>
      <c r="U413" s="5"/>
      <c r="V413" s="5"/>
      <c r="W413" s="5"/>
    </row>
    <row r="414" spans="1:23" ht="16" x14ac:dyDescent="0.2">
      <c r="A414" s="5"/>
      <c r="B414" s="6"/>
      <c r="C414" s="6"/>
      <c r="D414" s="6"/>
      <c r="E414" s="6"/>
      <c r="F414" s="5"/>
      <c r="G414" s="5"/>
      <c r="H414" s="5"/>
      <c r="I414" s="5"/>
      <c r="J414" s="5"/>
      <c r="K414" s="5"/>
      <c r="L414" s="5"/>
      <c r="M414" s="5"/>
      <c r="N414" s="5"/>
      <c r="O414" s="5"/>
      <c r="P414" s="5"/>
      <c r="Q414" s="5"/>
      <c r="R414" s="5"/>
      <c r="S414" s="5"/>
      <c r="T414" s="5"/>
      <c r="U414" s="5"/>
      <c r="V414" s="5"/>
      <c r="W414" s="5"/>
    </row>
    <row r="415" spans="1:23" ht="16" x14ac:dyDescent="0.2">
      <c r="A415" s="5"/>
      <c r="B415" s="6"/>
      <c r="C415" s="6"/>
      <c r="D415" s="6"/>
      <c r="E415" s="6"/>
      <c r="F415" s="5"/>
      <c r="G415" s="5"/>
      <c r="H415" s="5"/>
      <c r="I415" s="5"/>
      <c r="J415" s="5"/>
      <c r="K415" s="5"/>
      <c r="L415" s="5"/>
      <c r="M415" s="5"/>
      <c r="N415" s="5"/>
      <c r="O415" s="5"/>
      <c r="P415" s="5"/>
      <c r="Q415" s="5"/>
      <c r="R415" s="5"/>
      <c r="S415" s="5"/>
      <c r="T415" s="5"/>
      <c r="U415" s="5"/>
      <c r="V415" s="5"/>
      <c r="W415" s="5"/>
    </row>
    <row r="416" spans="1:23" ht="16" x14ac:dyDescent="0.2">
      <c r="A416" s="5"/>
      <c r="B416" s="6"/>
      <c r="C416" s="6"/>
      <c r="D416" s="6"/>
      <c r="E416" s="6"/>
      <c r="F416" s="5"/>
      <c r="G416" s="5"/>
      <c r="H416" s="5"/>
      <c r="I416" s="5"/>
      <c r="J416" s="5"/>
      <c r="K416" s="5"/>
      <c r="L416" s="5"/>
      <c r="M416" s="5"/>
      <c r="N416" s="5"/>
      <c r="O416" s="5"/>
      <c r="P416" s="5"/>
      <c r="Q416" s="5"/>
      <c r="R416" s="5"/>
      <c r="S416" s="5"/>
      <c r="T416" s="5"/>
      <c r="U416" s="5"/>
      <c r="V416" s="5"/>
      <c r="W416" s="5"/>
    </row>
    <row r="417" spans="1:23" ht="16" x14ac:dyDescent="0.2">
      <c r="A417" s="5"/>
      <c r="B417" s="6"/>
      <c r="C417" s="6"/>
      <c r="D417" s="6"/>
      <c r="E417" s="6"/>
      <c r="F417" s="5"/>
      <c r="G417" s="5"/>
      <c r="H417" s="5"/>
      <c r="I417" s="5"/>
      <c r="J417" s="5"/>
      <c r="K417" s="5"/>
      <c r="L417" s="5"/>
      <c r="M417" s="5"/>
      <c r="N417" s="5"/>
      <c r="O417" s="5"/>
      <c r="P417" s="5"/>
      <c r="Q417" s="5"/>
      <c r="R417" s="5"/>
      <c r="S417" s="5"/>
      <c r="T417" s="5"/>
      <c r="U417" s="5"/>
      <c r="V417" s="5"/>
      <c r="W417" s="5"/>
    </row>
    <row r="418" spans="1:23" ht="16" x14ac:dyDescent="0.2">
      <c r="A418" s="5"/>
      <c r="B418" s="6"/>
      <c r="C418" s="6"/>
      <c r="D418" s="6"/>
      <c r="E418" s="6"/>
      <c r="F418" s="5"/>
      <c r="G418" s="5"/>
      <c r="H418" s="5"/>
      <c r="I418" s="5"/>
      <c r="J418" s="5"/>
      <c r="K418" s="5"/>
      <c r="L418" s="5"/>
      <c r="M418" s="5"/>
      <c r="N418" s="5"/>
      <c r="O418" s="5"/>
      <c r="P418" s="5"/>
      <c r="Q418" s="5"/>
      <c r="R418" s="5"/>
      <c r="S418" s="5"/>
      <c r="T418" s="5"/>
      <c r="U418" s="5"/>
      <c r="V418" s="5"/>
      <c r="W418" s="5"/>
    </row>
    <row r="419" spans="1:23" ht="16" x14ac:dyDescent="0.2">
      <c r="A419" s="5"/>
      <c r="B419" s="6"/>
      <c r="C419" s="6"/>
      <c r="D419" s="6"/>
      <c r="E419" s="6"/>
      <c r="F419" s="5"/>
      <c r="G419" s="5"/>
      <c r="H419" s="5"/>
      <c r="I419" s="5"/>
      <c r="J419" s="5"/>
      <c r="K419" s="5"/>
      <c r="L419" s="5"/>
      <c r="M419" s="5"/>
      <c r="N419" s="5"/>
      <c r="O419" s="5"/>
      <c r="P419" s="5"/>
      <c r="Q419" s="5"/>
      <c r="R419" s="5"/>
      <c r="S419" s="5"/>
      <c r="T419" s="5"/>
      <c r="U419" s="5"/>
      <c r="V419" s="5"/>
      <c r="W419" s="5"/>
    </row>
    <row r="420" spans="1:23" ht="16" x14ac:dyDescent="0.2">
      <c r="A420" s="5"/>
      <c r="B420" s="6"/>
      <c r="C420" s="6"/>
      <c r="D420" s="6"/>
      <c r="E420" s="6"/>
      <c r="F420" s="5"/>
      <c r="G420" s="5"/>
      <c r="H420" s="5"/>
      <c r="I420" s="5"/>
      <c r="J420" s="5"/>
      <c r="K420" s="5"/>
      <c r="L420" s="5"/>
      <c r="M420" s="5"/>
      <c r="N420" s="5"/>
      <c r="O420" s="5"/>
      <c r="P420" s="5"/>
      <c r="Q420" s="5"/>
      <c r="R420" s="5"/>
      <c r="S420" s="5"/>
      <c r="T420" s="5"/>
      <c r="U420" s="5"/>
      <c r="V420" s="5"/>
      <c r="W420" s="5"/>
    </row>
    <row r="421" spans="1:23" ht="16" x14ac:dyDescent="0.2">
      <c r="A421" s="5"/>
      <c r="B421" s="6"/>
      <c r="C421" s="6"/>
      <c r="D421" s="6"/>
      <c r="E421" s="6"/>
      <c r="F421" s="5"/>
      <c r="G421" s="5"/>
      <c r="H421" s="5"/>
      <c r="I421" s="5"/>
      <c r="J421" s="5"/>
      <c r="K421" s="5"/>
      <c r="L421" s="5"/>
      <c r="M421" s="5"/>
      <c r="N421" s="5"/>
      <c r="O421" s="5"/>
      <c r="P421" s="5"/>
      <c r="Q421" s="5"/>
      <c r="R421" s="5"/>
      <c r="S421" s="5"/>
      <c r="T421" s="5"/>
      <c r="U421" s="5"/>
      <c r="V421" s="5"/>
      <c r="W421" s="5"/>
    </row>
    <row r="422" spans="1:23" ht="16" x14ac:dyDescent="0.2">
      <c r="A422" s="5"/>
      <c r="B422" s="6"/>
      <c r="C422" s="6"/>
      <c r="D422" s="6"/>
      <c r="E422" s="6"/>
      <c r="F422" s="5"/>
      <c r="G422" s="5"/>
      <c r="H422" s="5"/>
      <c r="I422" s="5"/>
      <c r="J422" s="5"/>
      <c r="K422" s="5"/>
      <c r="L422" s="5"/>
      <c r="M422" s="5"/>
      <c r="N422" s="5"/>
      <c r="O422" s="5"/>
      <c r="P422" s="5"/>
      <c r="Q422" s="5"/>
      <c r="R422" s="5"/>
      <c r="S422" s="5"/>
      <c r="T422" s="5"/>
      <c r="U422" s="5"/>
      <c r="V422" s="5"/>
      <c r="W422" s="5"/>
    </row>
    <row r="423" spans="1:23" ht="16" x14ac:dyDescent="0.2">
      <c r="A423" s="5"/>
      <c r="B423" s="6"/>
      <c r="C423" s="6"/>
      <c r="D423" s="6"/>
      <c r="E423" s="6"/>
      <c r="F423" s="5"/>
      <c r="G423" s="5"/>
      <c r="H423" s="5"/>
      <c r="I423" s="5"/>
      <c r="J423" s="5"/>
      <c r="K423" s="5"/>
      <c r="L423" s="5"/>
      <c r="M423" s="5"/>
      <c r="N423" s="5"/>
      <c r="O423" s="5"/>
      <c r="P423" s="5"/>
      <c r="Q423" s="5"/>
      <c r="R423" s="5"/>
      <c r="S423" s="5"/>
      <c r="T423" s="5"/>
      <c r="U423" s="5"/>
      <c r="V423" s="5"/>
      <c r="W423" s="5"/>
    </row>
    <row r="424" spans="1:23" ht="16" x14ac:dyDescent="0.2">
      <c r="A424" s="5"/>
      <c r="B424" s="6"/>
      <c r="C424" s="6"/>
      <c r="D424" s="6"/>
      <c r="E424" s="6"/>
      <c r="F424" s="5"/>
      <c r="G424" s="5"/>
      <c r="H424" s="5"/>
      <c r="I424" s="5"/>
      <c r="J424" s="5"/>
      <c r="K424" s="5"/>
      <c r="L424" s="5"/>
      <c r="M424" s="5"/>
      <c r="N424" s="5"/>
      <c r="O424" s="5"/>
      <c r="P424" s="5"/>
      <c r="Q424" s="5"/>
      <c r="R424" s="5"/>
      <c r="S424" s="5"/>
      <c r="T424" s="5"/>
      <c r="U424" s="5"/>
      <c r="V424" s="5"/>
      <c r="W424" s="5"/>
    </row>
    <row r="425" spans="1:23" ht="16" x14ac:dyDescent="0.2">
      <c r="A425" s="5"/>
      <c r="B425" s="6"/>
      <c r="C425" s="6"/>
      <c r="D425" s="6"/>
      <c r="E425" s="6"/>
      <c r="F425" s="5"/>
      <c r="G425" s="5"/>
      <c r="H425" s="5"/>
      <c r="I425" s="5"/>
      <c r="J425" s="5"/>
      <c r="K425" s="5"/>
      <c r="L425" s="5"/>
      <c r="M425" s="5"/>
      <c r="N425" s="5"/>
      <c r="O425" s="5"/>
      <c r="P425" s="5"/>
      <c r="Q425" s="5"/>
      <c r="R425" s="5"/>
      <c r="S425" s="5"/>
      <c r="T425" s="5"/>
      <c r="U425" s="5"/>
      <c r="V425" s="5"/>
      <c r="W425" s="5"/>
    </row>
    <row r="426" spans="1:23" ht="16" x14ac:dyDescent="0.2">
      <c r="A426" s="5"/>
      <c r="B426" s="6"/>
      <c r="C426" s="6"/>
      <c r="D426" s="6"/>
      <c r="E426" s="6"/>
      <c r="F426" s="5"/>
      <c r="G426" s="5"/>
      <c r="H426" s="5"/>
      <c r="I426" s="5"/>
      <c r="J426" s="5"/>
      <c r="K426" s="5"/>
      <c r="L426" s="5"/>
      <c r="M426" s="5"/>
      <c r="N426" s="5"/>
      <c r="O426" s="5"/>
      <c r="P426" s="5"/>
      <c r="Q426" s="5"/>
      <c r="R426" s="5"/>
      <c r="S426" s="5"/>
      <c r="T426" s="5"/>
      <c r="U426" s="5"/>
      <c r="V426" s="5"/>
      <c r="W426" s="5"/>
    </row>
    <row r="427" spans="1:23" ht="16" x14ac:dyDescent="0.2">
      <c r="A427" s="5"/>
      <c r="B427" s="6"/>
      <c r="C427" s="6"/>
      <c r="D427" s="6"/>
      <c r="E427" s="6"/>
      <c r="F427" s="5"/>
      <c r="G427" s="5"/>
      <c r="H427" s="5"/>
      <c r="I427" s="5"/>
      <c r="J427" s="5"/>
      <c r="K427" s="5"/>
      <c r="L427" s="5"/>
      <c r="M427" s="5"/>
      <c r="N427" s="5"/>
      <c r="O427" s="5"/>
      <c r="P427" s="5"/>
      <c r="Q427" s="5"/>
      <c r="R427" s="5"/>
      <c r="S427" s="5"/>
      <c r="T427" s="5"/>
      <c r="U427" s="5"/>
      <c r="V427" s="5"/>
      <c r="W427" s="5"/>
    </row>
    <row r="428" spans="1:23" ht="16" x14ac:dyDescent="0.2">
      <c r="A428" s="5"/>
      <c r="B428" s="6"/>
      <c r="C428" s="6"/>
      <c r="D428" s="6"/>
      <c r="E428" s="6"/>
      <c r="F428" s="5"/>
      <c r="G428" s="5"/>
      <c r="H428" s="5"/>
      <c r="I428" s="5"/>
      <c r="J428" s="5"/>
      <c r="K428" s="5"/>
      <c r="L428" s="5"/>
      <c r="M428" s="5"/>
      <c r="N428" s="5"/>
      <c r="O428" s="5"/>
      <c r="P428" s="5"/>
      <c r="Q428" s="5"/>
      <c r="R428" s="5"/>
      <c r="S428" s="5"/>
      <c r="T428" s="5"/>
      <c r="U428" s="5"/>
      <c r="V428" s="5"/>
      <c r="W428" s="5"/>
    </row>
    <row r="429" spans="1:23" ht="16" x14ac:dyDescent="0.2">
      <c r="A429" s="5"/>
      <c r="B429" s="6"/>
      <c r="C429" s="6"/>
      <c r="D429" s="6"/>
      <c r="E429" s="6"/>
      <c r="F429" s="5"/>
      <c r="G429" s="5"/>
      <c r="H429" s="5"/>
      <c r="I429" s="5"/>
      <c r="J429" s="5"/>
      <c r="K429" s="5"/>
      <c r="L429" s="5"/>
      <c r="M429" s="5"/>
      <c r="N429" s="5"/>
      <c r="O429" s="5"/>
      <c r="P429" s="5"/>
      <c r="Q429" s="5"/>
      <c r="R429" s="5"/>
      <c r="S429" s="5"/>
      <c r="T429" s="5"/>
      <c r="U429" s="5"/>
      <c r="V429" s="5"/>
      <c r="W429" s="5"/>
    </row>
    <row r="430" spans="1:23" ht="16" x14ac:dyDescent="0.2">
      <c r="A430" s="5"/>
      <c r="B430" s="6"/>
      <c r="C430" s="6"/>
      <c r="D430" s="6"/>
      <c r="E430" s="6"/>
      <c r="F430" s="5"/>
      <c r="G430" s="5"/>
      <c r="H430" s="5"/>
      <c r="I430" s="5"/>
      <c r="J430" s="5"/>
      <c r="K430" s="5"/>
      <c r="L430" s="5"/>
      <c r="M430" s="5"/>
      <c r="N430" s="5"/>
      <c r="O430" s="5"/>
      <c r="P430" s="5"/>
      <c r="Q430" s="5"/>
      <c r="R430" s="5"/>
      <c r="S430" s="5"/>
      <c r="T430" s="5"/>
      <c r="U430" s="5"/>
      <c r="V430" s="5"/>
      <c r="W430" s="5"/>
    </row>
    <row r="431" spans="1:23" ht="16" x14ac:dyDescent="0.2">
      <c r="A431" s="5"/>
      <c r="B431" s="6"/>
      <c r="C431" s="6"/>
      <c r="D431" s="6"/>
      <c r="E431" s="6"/>
      <c r="F431" s="5"/>
      <c r="G431" s="5"/>
      <c r="H431" s="5"/>
      <c r="I431" s="5"/>
      <c r="J431" s="5"/>
      <c r="K431" s="5"/>
      <c r="L431" s="5"/>
      <c r="M431" s="5"/>
      <c r="N431" s="5"/>
      <c r="O431" s="5"/>
      <c r="P431" s="5"/>
      <c r="Q431" s="5"/>
      <c r="R431" s="5"/>
      <c r="S431" s="5"/>
      <c r="T431" s="5"/>
      <c r="U431" s="5"/>
      <c r="V431" s="5"/>
      <c r="W431" s="5"/>
    </row>
    <row r="432" spans="1:23" ht="16" x14ac:dyDescent="0.2">
      <c r="A432" s="5"/>
      <c r="B432" s="6"/>
      <c r="C432" s="6"/>
      <c r="D432" s="6"/>
      <c r="E432" s="6"/>
      <c r="F432" s="5"/>
      <c r="G432" s="5"/>
      <c r="H432" s="5"/>
      <c r="I432" s="5"/>
      <c r="J432" s="5"/>
      <c r="K432" s="5"/>
      <c r="L432" s="5"/>
      <c r="M432" s="5"/>
      <c r="N432" s="5"/>
      <c r="O432" s="5"/>
      <c r="P432" s="5"/>
      <c r="Q432" s="5"/>
      <c r="R432" s="5"/>
      <c r="S432" s="5"/>
      <c r="T432" s="5"/>
      <c r="U432" s="5"/>
      <c r="V432" s="5"/>
      <c r="W432" s="5"/>
    </row>
    <row r="433" spans="1:23" ht="16" x14ac:dyDescent="0.2">
      <c r="A433" s="5"/>
      <c r="B433" s="6"/>
      <c r="C433" s="6"/>
      <c r="D433" s="6"/>
      <c r="E433" s="6"/>
      <c r="F433" s="5"/>
      <c r="G433" s="5"/>
      <c r="H433" s="5"/>
      <c r="I433" s="5"/>
      <c r="J433" s="5"/>
      <c r="K433" s="5"/>
      <c r="L433" s="5"/>
      <c r="M433" s="5"/>
      <c r="N433" s="5"/>
      <c r="O433" s="5"/>
      <c r="P433" s="5"/>
      <c r="Q433" s="5"/>
      <c r="R433" s="5"/>
      <c r="S433" s="5"/>
      <c r="T433" s="5"/>
      <c r="U433" s="5"/>
      <c r="V433" s="5"/>
      <c r="W433" s="5"/>
    </row>
    <row r="434" spans="1:23" ht="16" x14ac:dyDescent="0.2">
      <c r="A434" s="5"/>
      <c r="B434" s="6"/>
      <c r="C434" s="6"/>
      <c r="D434" s="6"/>
      <c r="E434" s="6"/>
      <c r="F434" s="5"/>
      <c r="G434" s="5"/>
      <c r="H434" s="5"/>
      <c r="I434" s="5"/>
      <c r="J434" s="5"/>
      <c r="K434" s="5"/>
      <c r="L434" s="5"/>
      <c r="M434" s="5"/>
      <c r="N434" s="5"/>
      <c r="O434" s="5"/>
      <c r="P434" s="5"/>
      <c r="Q434" s="5"/>
      <c r="R434" s="5"/>
      <c r="S434" s="5"/>
      <c r="T434" s="5"/>
      <c r="U434" s="5"/>
      <c r="V434" s="5"/>
      <c r="W434" s="5"/>
    </row>
    <row r="435" spans="1:23" ht="16" x14ac:dyDescent="0.2">
      <c r="A435" s="5"/>
      <c r="B435" s="6"/>
      <c r="C435" s="6"/>
      <c r="D435" s="6"/>
      <c r="E435" s="6"/>
      <c r="F435" s="5"/>
      <c r="G435" s="5"/>
      <c r="H435" s="5"/>
      <c r="I435" s="5"/>
      <c r="J435" s="5"/>
      <c r="K435" s="5"/>
      <c r="L435" s="5"/>
      <c r="M435" s="5"/>
      <c r="N435" s="5"/>
      <c r="O435" s="5"/>
      <c r="P435" s="5"/>
      <c r="Q435" s="5"/>
      <c r="R435" s="5"/>
      <c r="S435" s="5"/>
      <c r="T435" s="5"/>
      <c r="U435" s="5"/>
      <c r="V435" s="5"/>
      <c r="W435" s="5"/>
    </row>
    <row r="436" spans="1:23" ht="16" x14ac:dyDescent="0.2">
      <c r="A436" s="5"/>
      <c r="B436" s="6"/>
      <c r="C436" s="6"/>
      <c r="D436" s="6"/>
      <c r="E436" s="6"/>
      <c r="F436" s="5"/>
      <c r="G436" s="5"/>
      <c r="H436" s="5"/>
      <c r="I436" s="5"/>
      <c r="J436" s="5"/>
      <c r="K436" s="5"/>
      <c r="L436" s="5"/>
      <c r="M436" s="5"/>
      <c r="N436" s="5"/>
      <c r="O436" s="5"/>
      <c r="P436" s="5"/>
      <c r="Q436" s="5"/>
      <c r="R436" s="5"/>
      <c r="S436" s="5"/>
      <c r="T436" s="5"/>
      <c r="U436" s="5"/>
      <c r="V436" s="5"/>
      <c r="W436" s="5"/>
    </row>
    <row r="437" spans="1:23" ht="16" x14ac:dyDescent="0.2">
      <c r="A437" s="5"/>
      <c r="B437" s="6"/>
      <c r="C437" s="6"/>
      <c r="D437" s="6"/>
      <c r="E437" s="6"/>
      <c r="F437" s="5"/>
      <c r="G437" s="5"/>
      <c r="H437" s="5"/>
      <c r="I437" s="5"/>
      <c r="J437" s="5"/>
      <c r="K437" s="5"/>
      <c r="L437" s="5"/>
      <c r="M437" s="5"/>
      <c r="N437" s="5"/>
      <c r="O437" s="5"/>
      <c r="P437" s="5"/>
      <c r="Q437" s="5"/>
      <c r="R437" s="5"/>
      <c r="S437" s="5"/>
      <c r="T437" s="5"/>
      <c r="U437" s="5"/>
      <c r="V437" s="5"/>
      <c r="W437" s="5"/>
    </row>
    <row r="438" spans="1:23" ht="16" x14ac:dyDescent="0.2">
      <c r="A438" s="5"/>
      <c r="B438" s="6"/>
      <c r="C438" s="6"/>
      <c r="D438" s="6"/>
      <c r="E438" s="6"/>
      <c r="F438" s="5"/>
      <c r="G438" s="5"/>
      <c r="H438" s="5"/>
      <c r="I438" s="5"/>
      <c r="J438" s="5"/>
      <c r="K438" s="5"/>
      <c r="L438" s="5"/>
      <c r="M438" s="5"/>
      <c r="N438" s="5"/>
      <c r="O438" s="5"/>
      <c r="P438" s="5"/>
      <c r="Q438" s="5"/>
      <c r="R438" s="5"/>
      <c r="S438" s="5"/>
      <c r="T438" s="5"/>
      <c r="U438" s="5"/>
      <c r="V438" s="5"/>
      <c r="W438" s="5"/>
    </row>
    <row r="439" spans="1:23" ht="16" x14ac:dyDescent="0.2">
      <c r="A439" s="5"/>
      <c r="B439" s="6"/>
      <c r="C439" s="6"/>
      <c r="D439" s="6"/>
      <c r="E439" s="6"/>
      <c r="F439" s="5"/>
      <c r="G439" s="5"/>
      <c r="H439" s="5"/>
      <c r="I439" s="5"/>
      <c r="J439" s="5"/>
      <c r="K439" s="5"/>
      <c r="L439" s="5"/>
      <c r="M439" s="5"/>
      <c r="N439" s="5"/>
      <c r="O439" s="5"/>
      <c r="P439" s="5"/>
      <c r="Q439" s="5"/>
      <c r="R439" s="5"/>
      <c r="S439" s="5"/>
      <c r="T439" s="5"/>
      <c r="U439" s="5"/>
      <c r="V439" s="5"/>
      <c r="W439" s="5"/>
    </row>
    <row r="440" spans="1:23" ht="16" x14ac:dyDescent="0.2">
      <c r="A440" s="5"/>
      <c r="B440" s="6"/>
      <c r="C440" s="6"/>
      <c r="D440" s="6"/>
      <c r="E440" s="6"/>
      <c r="F440" s="5"/>
      <c r="G440" s="5"/>
      <c r="H440" s="5"/>
      <c r="I440" s="5"/>
      <c r="J440" s="5"/>
      <c r="K440" s="5"/>
      <c r="L440" s="5"/>
      <c r="M440" s="5"/>
      <c r="N440" s="5"/>
      <c r="O440" s="5"/>
      <c r="P440" s="5"/>
      <c r="Q440" s="5"/>
      <c r="R440" s="5"/>
      <c r="S440" s="5"/>
      <c r="T440" s="5"/>
      <c r="U440" s="5"/>
      <c r="V440" s="5"/>
      <c r="W440" s="5"/>
    </row>
    <row r="441" spans="1:23" ht="16" x14ac:dyDescent="0.2">
      <c r="A441" s="5"/>
      <c r="B441" s="6"/>
      <c r="C441" s="6"/>
      <c r="D441" s="6"/>
      <c r="E441" s="6"/>
      <c r="F441" s="5"/>
      <c r="G441" s="5"/>
      <c r="H441" s="5"/>
      <c r="I441" s="5"/>
      <c r="J441" s="5"/>
      <c r="K441" s="5"/>
      <c r="L441" s="5"/>
      <c r="M441" s="5"/>
      <c r="N441" s="5"/>
      <c r="O441" s="5"/>
      <c r="P441" s="5"/>
      <c r="Q441" s="5"/>
      <c r="R441" s="5"/>
      <c r="S441" s="5"/>
      <c r="T441" s="5"/>
      <c r="U441" s="5"/>
      <c r="V441" s="5"/>
      <c r="W441" s="5"/>
    </row>
    <row r="442" spans="1:23" ht="16" x14ac:dyDescent="0.2">
      <c r="A442" s="5"/>
      <c r="B442" s="6"/>
      <c r="C442" s="6"/>
      <c r="D442" s="6"/>
      <c r="E442" s="6"/>
      <c r="F442" s="5"/>
      <c r="G442" s="5"/>
      <c r="H442" s="5"/>
      <c r="I442" s="5"/>
      <c r="J442" s="5"/>
      <c r="K442" s="5"/>
      <c r="L442" s="5"/>
      <c r="M442" s="5"/>
      <c r="N442" s="5"/>
      <c r="O442" s="5"/>
      <c r="P442" s="5"/>
      <c r="Q442" s="5"/>
      <c r="R442" s="5"/>
      <c r="S442" s="5"/>
      <c r="T442" s="5"/>
      <c r="U442" s="5"/>
      <c r="V442" s="5"/>
      <c r="W442" s="5"/>
    </row>
    <row r="443" spans="1:23" ht="16" x14ac:dyDescent="0.2">
      <c r="A443" s="5"/>
      <c r="B443" s="6"/>
      <c r="C443" s="6"/>
      <c r="D443" s="6"/>
      <c r="E443" s="6"/>
      <c r="F443" s="5"/>
      <c r="G443" s="5"/>
      <c r="H443" s="5"/>
      <c r="I443" s="5"/>
      <c r="J443" s="5"/>
      <c r="K443" s="5"/>
      <c r="L443" s="5"/>
      <c r="M443" s="5"/>
      <c r="N443" s="5"/>
      <c r="O443" s="5"/>
      <c r="P443" s="5"/>
      <c r="Q443" s="5"/>
      <c r="R443" s="5"/>
      <c r="S443" s="5"/>
      <c r="T443" s="5"/>
      <c r="U443" s="5"/>
      <c r="V443" s="5"/>
      <c r="W443" s="5"/>
    </row>
    <row r="444" spans="1:23" ht="16" x14ac:dyDescent="0.2">
      <c r="A444" s="5"/>
      <c r="B444" s="6"/>
      <c r="C444" s="6"/>
      <c r="D444" s="6"/>
      <c r="E444" s="6"/>
      <c r="F444" s="5"/>
      <c r="G444" s="5"/>
      <c r="H444" s="5"/>
      <c r="I444" s="5"/>
      <c r="J444" s="5"/>
      <c r="K444" s="5"/>
      <c r="L444" s="5"/>
      <c r="M444" s="5"/>
      <c r="N444" s="5"/>
      <c r="O444" s="5"/>
      <c r="P444" s="5"/>
      <c r="Q444" s="5"/>
      <c r="R444" s="5"/>
      <c r="S444" s="5"/>
      <c r="T444" s="5"/>
      <c r="U444" s="5"/>
      <c r="V444" s="5"/>
      <c r="W444" s="5"/>
    </row>
    <row r="445" spans="1:23" ht="16" x14ac:dyDescent="0.2">
      <c r="A445" s="5"/>
      <c r="B445" s="6"/>
      <c r="C445" s="6"/>
      <c r="D445" s="6"/>
      <c r="E445" s="6"/>
      <c r="F445" s="5"/>
      <c r="G445" s="5"/>
      <c r="H445" s="5"/>
      <c r="I445" s="5"/>
      <c r="J445" s="5"/>
      <c r="K445" s="5"/>
      <c r="L445" s="5"/>
      <c r="M445" s="5"/>
      <c r="N445" s="5"/>
      <c r="O445" s="5"/>
      <c r="P445" s="5"/>
      <c r="Q445" s="5"/>
      <c r="R445" s="5"/>
      <c r="S445" s="5"/>
      <c r="T445" s="5"/>
      <c r="U445" s="5"/>
      <c r="V445" s="5"/>
      <c r="W445" s="5"/>
    </row>
    <row r="446" spans="1:23" ht="16" x14ac:dyDescent="0.2">
      <c r="A446" s="5"/>
      <c r="B446" s="6"/>
      <c r="C446" s="6"/>
      <c r="D446" s="6"/>
      <c r="E446" s="6"/>
      <c r="F446" s="5"/>
      <c r="G446" s="5"/>
      <c r="H446" s="5"/>
      <c r="I446" s="5"/>
      <c r="J446" s="5"/>
      <c r="K446" s="5"/>
      <c r="L446" s="5"/>
      <c r="M446" s="5"/>
      <c r="N446" s="5"/>
      <c r="O446" s="5"/>
      <c r="P446" s="5"/>
      <c r="Q446" s="5"/>
      <c r="R446" s="5"/>
      <c r="S446" s="5"/>
      <c r="T446" s="5"/>
      <c r="U446" s="5"/>
      <c r="V446" s="5"/>
      <c r="W446" s="5"/>
    </row>
    <row r="447" spans="1:23" ht="16" x14ac:dyDescent="0.2">
      <c r="A447" s="5"/>
      <c r="B447" s="6"/>
      <c r="C447" s="6"/>
      <c r="D447" s="6"/>
      <c r="E447" s="6"/>
      <c r="F447" s="5"/>
      <c r="G447" s="5"/>
      <c r="H447" s="5"/>
      <c r="I447" s="5"/>
      <c r="J447" s="5"/>
      <c r="K447" s="5"/>
      <c r="L447" s="5"/>
      <c r="M447" s="5"/>
      <c r="N447" s="5"/>
      <c r="O447" s="5"/>
      <c r="P447" s="5"/>
      <c r="Q447" s="5"/>
      <c r="R447" s="5"/>
      <c r="S447" s="5"/>
      <c r="T447" s="5"/>
      <c r="U447" s="5"/>
      <c r="V447" s="5"/>
      <c r="W447" s="5"/>
    </row>
    <row r="448" spans="1:23" ht="16" x14ac:dyDescent="0.2">
      <c r="A448" s="5"/>
      <c r="B448" s="6"/>
      <c r="C448" s="6"/>
      <c r="D448" s="6"/>
      <c r="E448" s="6"/>
      <c r="F448" s="5"/>
      <c r="G448" s="5"/>
      <c r="H448" s="5"/>
      <c r="I448" s="5"/>
      <c r="J448" s="5"/>
      <c r="K448" s="5"/>
      <c r="L448" s="5"/>
      <c r="M448" s="5"/>
      <c r="N448" s="5"/>
      <c r="O448" s="5"/>
      <c r="P448" s="5"/>
      <c r="Q448" s="5"/>
      <c r="R448" s="5"/>
      <c r="S448" s="5"/>
      <c r="T448" s="5"/>
      <c r="U448" s="5"/>
      <c r="V448" s="5"/>
      <c r="W448" s="5"/>
    </row>
    <row r="449" spans="1:23" ht="16" x14ac:dyDescent="0.2">
      <c r="A449" s="5"/>
      <c r="B449" s="6"/>
      <c r="C449" s="6"/>
      <c r="D449" s="6"/>
      <c r="E449" s="6"/>
      <c r="F449" s="5"/>
      <c r="G449" s="5"/>
      <c r="H449" s="5"/>
      <c r="I449" s="5"/>
      <c r="J449" s="5"/>
      <c r="K449" s="5"/>
      <c r="L449" s="5"/>
      <c r="M449" s="5"/>
      <c r="N449" s="5"/>
      <c r="O449" s="5"/>
      <c r="P449" s="5"/>
      <c r="Q449" s="5"/>
      <c r="R449" s="5"/>
      <c r="S449" s="5"/>
      <c r="T449" s="5"/>
      <c r="U449" s="5"/>
      <c r="V449" s="5"/>
      <c r="W449" s="5"/>
    </row>
    <row r="450" spans="1:23" ht="16" x14ac:dyDescent="0.2">
      <c r="A450" s="5"/>
      <c r="B450" s="6"/>
      <c r="C450" s="6"/>
      <c r="D450" s="6"/>
      <c r="E450" s="6"/>
      <c r="F450" s="5"/>
      <c r="G450" s="5"/>
      <c r="H450" s="5"/>
      <c r="I450" s="5"/>
      <c r="J450" s="5"/>
      <c r="K450" s="5"/>
      <c r="L450" s="5"/>
      <c r="M450" s="5"/>
      <c r="N450" s="5"/>
      <c r="O450" s="5"/>
      <c r="P450" s="5"/>
      <c r="Q450" s="5"/>
      <c r="R450" s="5"/>
      <c r="S450" s="5"/>
      <c r="T450" s="5"/>
      <c r="U450" s="5"/>
      <c r="V450" s="5"/>
      <c r="W450" s="5"/>
    </row>
    <row r="451" spans="1:23" ht="16" x14ac:dyDescent="0.2">
      <c r="A451" s="5"/>
      <c r="B451" s="6"/>
      <c r="C451" s="6"/>
      <c r="D451" s="6"/>
      <c r="E451" s="6"/>
      <c r="F451" s="5"/>
      <c r="G451" s="5"/>
      <c r="H451" s="5"/>
      <c r="I451" s="5"/>
      <c r="J451" s="5"/>
      <c r="K451" s="5"/>
      <c r="L451" s="5"/>
      <c r="M451" s="5"/>
      <c r="N451" s="5"/>
      <c r="O451" s="5"/>
      <c r="P451" s="5"/>
      <c r="Q451" s="5"/>
      <c r="R451" s="5"/>
      <c r="S451" s="5"/>
      <c r="T451" s="5"/>
      <c r="U451" s="5"/>
      <c r="V451" s="5"/>
      <c r="W451" s="5"/>
    </row>
    <row r="452" spans="1:23" ht="16" x14ac:dyDescent="0.2">
      <c r="A452" s="5"/>
      <c r="B452" s="6"/>
      <c r="C452" s="6"/>
      <c r="D452" s="6"/>
      <c r="E452" s="6"/>
      <c r="F452" s="5"/>
      <c r="G452" s="5"/>
      <c r="H452" s="5"/>
      <c r="I452" s="5"/>
      <c r="J452" s="5"/>
      <c r="K452" s="5"/>
      <c r="L452" s="5"/>
      <c r="M452" s="5"/>
      <c r="N452" s="5"/>
      <c r="O452" s="5"/>
      <c r="P452" s="5"/>
      <c r="Q452" s="5"/>
      <c r="R452" s="5"/>
      <c r="S452" s="5"/>
      <c r="T452" s="5"/>
      <c r="U452" s="5"/>
      <c r="V452" s="5"/>
      <c r="W452" s="5"/>
    </row>
    <row r="453" spans="1:23" ht="16" x14ac:dyDescent="0.2">
      <c r="A453" s="5"/>
      <c r="B453" s="6"/>
      <c r="C453" s="6"/>
      <c r="D453" s="6"/>
      <c r="E453" s="6"/>
      <c r="F453" s="5"/>
      <c r="G453" s="5"/>
      <c r="H453" s="5"/>
      <c r="I453" s="5"/>
      <c r="J453" s="5"/>
      <c r="K453" s="5"/>
      <c r="L453" s="5"/>
      <c r="M453" s="5"/>
      <c r="N453" s="5"/>
      <c r="O453" s="5"/>
      <c r="P453" s="5"/>
      <c r="Q453" s="5"/>
      <c r="R453" s="5"/>
      <c r="S453" s="5"/>
      <c r="T453" s="5"/>
      <c r="U453" s="5"/>
      <c r="V453" s="5"/>
      <c r="W453" s="5"/>
    </row>
    <row r="454" spans="1:23" ht="16" x14ac:dyDescent="0.2">
      <c r="A454" s="5"/>
      <c r="B454" s="6"/>
      <c r="C454" s="6"/>
      <c r="D454" s="6"/>
      <c r="E454" s="6"/>
      <c r="F454" s="5"/>
      <c r="G454" s="5"/>
      <c r="H454" s="5"/>
      <c r="I454" s="5"/>
      <c r="J454" s="5"/>
      <c r="K454" s="5"/>
      <c r="L454" s="5"/>
      <c r="M454" s="5"/>
      <c r="N454" s="5"/>
      <c r="O454" s="5"/>
      <c r="P454" s="5"/>
      <c r="Q454" s="5"/>
      <c r="R454" s="5"/>
      <c r="S454" s="5"/>
      <c r="T454" s="5"/>
      <c r="U454" s="5"/>
      <c r="V454" s="5"/>
      <c r="W454" s="5"/>
    </row>
    <row r="455" spans="1:23" ht="16" x14ac:dyDescent="0.2">
      <c r="A455" s="5"/>
      <c r="B455" s="6"/>
      <c r="C455" s="6"/>
      <c r="D455" s="6"/>
      <c r="E455" s="6"/>
      <c r="F455" s="5"/>
      <c r="G455" s="5"/>
      <c r="H455" s="5"/>
      <c r="I455" s="5"/>
      <c r="J455" s="5"/>
      <c r="K455" s="5"/>
      <c r="L455" s="5"/>
      <c r="M455" s="5"/>
      <c r="N455" s="5"/>
      <c r="O455" s="5"/>
      <c r="P455" s="5"/>
      <c r="Q455" s="5"/>
      <c r="R455" s="5"/>
      <c r="S455" s="5"/>
      <c r="T455" s="5"/>
      <c r="U455" s="5"/>
      <c r="V455" s="5"/>
      <c r="W455" s="5"/>
    </row>
    <row r="456" spans="1:23" ht="16" x14ac:dyDescent="0.2">
      <c r="A456" s="5"/>
      <c r="B456" s="6"/>
      <c r="C456" s="6"/>
      <c r="D456" s="6"/>
      <c r="E456" s="6"/>
      <c r="F456" s="5"/>
      <c r="G456" s="5"/>
      <c r="H456" s="5"/>
      <c r="I456" s="5"/>
      <c r="J456" s="5"/>
      <c r="K456" s="5"/>
      <c r="L456" s="5"/>
      <c r="M456" s="5"/>
      <c r="N456" s="5"/>
      <c r="O456" s="5"/>
      <c r="P456" s="5"/>
      <c r="Q456" s="5"/>
      <c r="R456" s="5"/>
      <c r="S456" s="5"/>
      <c r="T456" s="5"/>
      <c r="U456" s="5"/>
      <c r="V456" s="5"/>
      <c r="W456" s="5"/>
    </row>
    <row r="457" spans="1:23" ht="16" x14ac:dyDescent="0.2">
      <c r="A457" s="5"/>
      <c r="B457" s="6"/>
      <c r="C457" s="6"/>
      <c r="D457" s="6"/>
      <c r="E457" s="6"/>
      <c r="F457" s="5"/>
      <c r="G457" s="5"/>
      <c r="H457" s="5"/>
      <c r="I457" s="5"/>
      <c r="J457" s="5"/>
      <c r="K457" s="5"/>
      <c r="L457" s="5"/>
      <c r="M457" s="5"/>
      <c r="N457" s="5"/>
      <c r="O457" s="5"/>
      <c r="P457" s="5"/>
      <c r="Q457" s="5"/>
      <c r="R457" s="5"/>
      <c r="S457" s="5"/>
      <c r="T457" s="5"/>
      <c r="U457" s="5"/>
      <c r="V457" s="5"/>
      <c r="W457" s="5"/>
    </row>
    <row r="458" spans="1:23" ht="16" x14ac:dyDescent="0.2">
      <c r="A458" s="5"/>
      <c r="B458" s="6"/>
      <c r="C458" s="6"/>
      <c r="D458" s="6"/>
      <c r="E458" s="6"/>
      <c r="F458" s="5"/>
      <c r="G458" s="5"/>
      <c r="H458" s="5"/>
      <c r="I458" s="5"/>
      <c r="J458" s="5"/>
      <c r="K458" s="5"/>
      <c r="L458" s="5"/>
      <c r="M458" s="5"/>
      <c r="N458" s="5"/>
      <c r="O458" s="5"/>
      <c r="P458" s="5"/>
      <c r="Q458" s="5"/>
      <c r="R458" s="5"/>
      <c r="S458" s="5"/>
      <c r="T458" s="5"/>
      <c r="U458" s="5"/>
      <c r="V458" s="5"/>
      <c r="W458" s="5"/>
    </row>
    <row r="459" spans="1:23" ht="16" x14ac:dyDescent="0.2">
      <c r="A459" s="5"/>
      <c r="B459" s="6"/>
      <c r="C459" s="6"/>
      <c r="D459" s="6"/>
      <c r="E459" s="6"/>
      <c r="F459" s="5"/>
      <c r="G459" s="5"/>
      <c r="H459" s="5"/>
      <c r="I459" s="5"/>
      <c r="J459" s="5"/>
      <c r="K459" s="5"/>
      <c r="L459" s="5"/>
      <c r="M459" s="5"/>
      <c r="N459" s="5"/>
      <c r="O459" s="5"/>
      <c r="P459" s="5"/>
      <c r="Q459" s="5"/>
      <c r="R459" s="5"/>
      <c r="S459" s="5"/>
      <c r="T459" s="5"/>
      <c r="U459" s="5"/>
      <c r="V459" s="5"/>
      <c r="W459" s="5"/>
    </row>
    <row r="460" spans="1:23" ht="16" x14ac:dyDescent="0.2">
      <c r="A460" s="5"/>
      <c r="B460" s="6"/>
      <c r="C460" s="6"/>
      <c r="D460" s="6"/>
      <c r="E460" s="6"/>
      <c r="F460" s="5"/>
      <c r="G460" s="5"/>
      <c r="H460" s="5"/>
      <c r="I460" s="5"/>
      <c r="J460" s="5"/>
      <c r="K460" s="5"/>
      <c r="L460" s="5"/>
      <c r="M460" s="5"/>
      <c r="N460" s="5"/>
      <c r="O460" s="5"/>
      <c r="P460" s="5"/>
      <c r="Q460" s="5"/>
      <c r="R460" s="5"/>
      <c r="S460" s="5"/>
      <c r="T460" s="5"/>
      <c r="U460" s="5"/>
      <c r="V460" s="5"/>
      <c r="W460" s="5"/>
    </row>
    <row r="461" spans="1:23" ht="16" x14ac:dyDescent="0.2">
      <c r="A461" s="5"/>
      <c r="B461" s="6"/>
      <c r="C461" s="6"/>
      <c r="D461" s="6"/>
      <c r="E461" s="6"/>
      <c r="F461" s="5"/>
      <c r="G461" s="5"/>
      <c r="H461" s="5"/>
      <c r="I461" s="5"/>
      <c r="J461" s="5"/>
      <c r="K461" s="5"/>
      <c r="L461" s="5"/>
      <c r="M461" s="5"/>
      <c r="N461" s="5"/>
      <c r="O461" s="5"/>
      <c r="P461" s="5"/>
      <c r="Q461" s="5"/>
      <c r="R461" s="5"/>
      <c r="S461" s="5"/>
      <c r="T461" s="5"/>
      <c r="U461" s="5"/>
      <c r="V461" s="5"/>
      <c r="W461" s="5"/>
    </row>
    <row r="462" spans="1:23" ht="16" x14ac:dyDescent="0.2">
      <c r="A462" s="5"/>
      <c r="B462" s="6"/>
      <c r="C462" s="6"/>
      <c r="D462" s="6"/>
      <c r="E462" s="6"/>
      <c r="F462" s="5"/>
      <c r="G462" s="5"/>
      <c r="H462" s="5"/>
      <c r="I462" s="5"/>
      <c r="J462" s="5"/>
      <c r="K462" s="5"/>
      <c r="L462" s="5"/>
      <c r="M462" s="5"/>
      <c r="N462" s="5"/>
      <c r="O462" s="5"/>
      <c r="P462" s="5"/>
      <c r="Q462" s="5"/>
      <c r="R462" s="5"/>
      <c r="S462" s="5"/>
      <c r="T462" s="5"/>
      <c r="U462" s="5"/>
      <c r="V462" s="5"/>
      <c r="W462" s="5"/>
    </row>
    <row r="463" spans="1:23" ht="16" x14ac:dyDescent="0.2">
      <c r="A463" s="5"/>
      <c r="B463" s="6"/>
      <c r="C463" s="6"/>
      <c r="D463" s="6"/>
      <c r="E463" s="6"/>
      <c r="F463" s="5"/>
      <c r="G463" s="5"/>
      <c r="H463" s="5"/>
      <c r="I463" s="5"/>
      <c r="J463" s="5"/>
      <c r="K463" s="5"/>
      <c r="L463" s="5"/>
      <c r="M463" s="5"/>
      <c r="N463" s="5"/>
      <c r="O463" s="5"/>
      <c r="P463" s="5"/>
      <c r="Q463" s="5"/>
      <c r="R463" s="5"/>
      <c r="S463" s="5"/>
      <c r="T463" s="5"/>
      <c r="U463" s="5"/>
      <c r="V463" s="5"/>
      <c r="W463" s="5"/>
    </row>
    <row r="464" spans="1:23" ht="16" x14ac:dyDescent="0.2">
      <c r="A464" s="5"/>
      <c r="B464" s="6"/>
      <c r="C464" s="6"/>
      <c r="D464" s="6"/>
      <c r="E464" s="6"/>
      <c r="F464" s="5"/>
      <c r="G464" s="5"/>
      <c r="H464" s="5"/>
      <c r="I464" s="5"/>
      <c r="J464" s="5"/>
      <c r="K464" s="5"/>
      <c r="L464" s="5"/>
      <c r="M464" s="5"/>
      <c r="N464" s="5"/>
      <c r="O464" s="5"/>
      <c r="P464" s="5"/>
      <c r="Q464" s="5"/>
      <c r="R464" s="5"/>
      <c r="S464" s="5"/>
      <c r="T464" s="5"/>
      <c r="U464" s="5"/>
      <c r="V464" s="5"/>
      <c r="W464" s="5"/>
    </row>
    <row r="465" spans="1:23" ht="16" x14ac:dyDescent="0.2">
      <c r="A465" s="5"/>
      <c r="B465" s="6"/>
      <c r="C465" s="6"/>
      <c r="D465" s="6"/>
      <c r="E465" s="6"/>
      <c r="F465" s="5"/>
      <c r="G465" s="5"/>
      <c r="H465" s="5"/>
      <c r="I465" s="5"/>
      <c r="J465" s="5"/>
      <c r="K465" s="5"/>
      <c r="L465" s="5"/>
      <c r="M465" s="5"/>
      <c r="N465" s="5"/>
      <c r="O465" s="5"/>
      <c r="P465" s="5"/>
      <c r="Q465" s="5"/>
      <c r="R465" s="5"/>
      <c r="S465" s="5"/>
      <c r="T465" s="5"/>
      <c r="U465" s="5"/>
      <c r="V465" s="5"/>
      <c r="W465" s="5"/>
    </row>
    <row r="466" spans="1:23" ht="16" x14ac:dyDescent="0.2">
      <c r="A466" s="5"/>
      <c r="B466" s="6"/>
      <c r="C466" s="6"/>
      <c r="D466" s="6"/>
      <c r="E466" s="6"/>
      <c r="F466" s="5"/>
      <c r="G466" s="5"/>
      <c r="H466" s="5"/>
      <c r="I466" s="5"/>
      <c r="J466" s="5"/>
      <c r="K466" s="5"/>
      <c r="L466" s="5"/>
      <c r="M466" s="5"/>
      <c r="N466" s="5"/>
      <c r="O466" s="5"/>
      <c r="P466" s="5"/>
      <c r="Q466" s="5"/>
      <c r="R466" s="5"/>
      <c r="S466" s="5"/>
      <c r="T466" s="5"/>
      <c r="U466" s="5"/>
      <c r="V466" s="5"/>
      <c r="W466" s="5"/>
    </row>
    <row r="467" spans="1:23" ht="16" x14ac:dyDescent="0.2">
      <c r="A467" s="5"/>
      <c r="B467" s="6"/>
      <c r="C467" s="6"/>
      <c r="D467" s="6"/>
      <c r="E467" s="6"/>
      <c r="F467" s="5"/>
      <c r="G467" s="5"/>
      <c r="H467" s="5"/>
      <c r="I467" s="5"/>
      <c r="J467" s="5"/>
      <c r="K467" s="5"/>
      <c r="L467" s="5"/>
      <c r="M467" s="5"/>
      <c r="N467" s="5"/>
      <c r="O467" s="5"/>
      <c r="P467" s="5"/>
      <c r="Q467" s="5"/>
      <c r="R467" s="5"/>
      <c r="S467" s="5"/>
      <c r="T467" s="5"/>
      <c r="U467" s="5"/>
      <c r="V467" s="5"/>
      <c r="W467" s="5"/>
    </row>
    <row r="468" spans="1:23" ht="16" x14ac:dyDescent="0.2">
      <c r="A468" s="5"/>
      <c r="B468" s="6"/>
      <c r="C468" s="6"/>
      <c r="D468" s="6"/>
      <c r="E468" s="6"/>
      <c r="F468" s="5"/>
      <c r="G468" s="5"/>
      <c r="H468" s="5"/>
      <c r="I468" s="5"/>
      <c r="J468" s="5"/>
      <c r="K468" s="5"/>
      <c r="L468" s="5"/>
      <c r="M468" s="5"/>
      <c r="N468" s="5"/>
      <c r="O468" s="5"/>
      <c r="P468" s="5"/>
      <c r="Q468" s="5"/>
      <c r="R468" s="5"/>
      <c r="S468" s="5"/>
      <c r="T468" s="5"/>
      <c r="U468" s="5"/>
      <c r="V468" s="5"/>
      <c r="W468" s="5"/>
    </row>
    <row r="469" spans="1:23" ht="16" x14ac:dyDescent="0.2">
      <c r="A469" s="5"/>
      <c r="B469" s="6"/>
      <c r="C469" s="6"/>
      <c r="D469" s="6"/>
      <c r="E469" s="6"/>
      <c r="F469" s="5"/>
      <c r="G469" s="5"/>
      <c r="H469" s="5"/>
      <c r="I469" s="5"/>
      <c r="J469" s="5"/>
      <c r="K469" s="5"/>
      <c r="L469" s="5"/>
      <c r="M469" s="5"/>
      <c r="N469" s="5"/>
      <c r="O469" s="5"/>
      <c r="P469" s="5"/>
      <c r="Q469" s="5"/>
      <c r="R469" s="5"/>
      <c r="S469" s="5"/>
      <c r="T469" s="5"/>
      <c r="U469" s="5"/>
      <c r="V469" s="5"/>
      <c r="W469" s="5"/>
    </row>
    <row r="470" spans="1:23" ht="16" x14ac:dyDescent="0.2">
      <c r="A470" s="5"/>
      <c r="B470" s="6"/>
      <c r="C470" s="6"/>
      <c r="D470" s="6"/>
      <c r="E470" s="6"/>
      <c r="F470" s="5"/>
      <c r="G470" s="5"/>
      <c r="H470" s="5"/>
      <c r="I470" s="5"/>
      <c r="J470" s="5"/>
      <c r="K470" s="5"/>
      <c r="L470" s="5"/>
      <c r="M470" s="5"/>
      <c r="N470" s="5"/>
      <c r="O470" s="5"/>
      <c r="P470" s="5"/>
      <c r="Q470" s="5"/>
      <c r="R470" s="5"/>
      <c r="S470" s="5"/>
      <c r="T470" s="5"/>
      <c r="U470" s="5"/>
      <c r="V470" s="5"/>
      <c r="W470" s="5"/>
    </row>
    <row r="471" spans="1:23" ht="16" x14ac:dyDescent="0.2">
      <c r="A471" s="5"/>
      <c r="B471" s="6"/>
      <c r="C471" s="6"/>
      <c r="D471" s="6"/>
      <c r="E471" s="6"/>
      <c r="F471" s="5"/>
      <c r="G471" s="5"/>
      <c r="H471" s="5"/>
      <c r="I471" s="5"/>
      <c r="J471" s="5"/>
      <c r="K471" s="5"/>
      <c r="L471" s="5"/>
      <c r="M471" s="5"/>
      <c r="N471" s="5"/>
      <c r="O471" s="5"/>
      <c r="P471" s="5"/>
      <c r="Q471" s="5"/>
      <c r="R471" s="5"/>
      <c r="S471" s="5"/>
      <c r="T471" s="5"/>
      <c r="U471" s="5"/>
      <c r="V471" s="5"/>
      <c r="W471" s="5"/>
    </row>
    <row r="472" spans="1:23" ht="16" x14ac:dyDescent="0.2">
      <c r="A472" s="5"/>
      <c r="B472" s="6"/>
      <c r="C472" s="6"/>
      <c r="D472" s="6"/>
      <c r="E472" s="6"/>
      <c r="F472" s="5"/>
      <c r="G472" s="5"/>
      <c r="H472" s="5"/>
      <c r="I472" s="5"/>
      <c r="J472" s="5"/>
      <c r="K472" s="5"/>
      <c r="L472" s="5"/>
      <c r="M472" s="5"/>
      <c r="N472" s="5"/>
      <c r="O472" s="5"/>
      <c r="P472" s="5"/>
      <c r="Q472" s="5"/>
      <c r="R472" s="5"/>
      <c r="S472" s="5"/>
      <c r="T472" s="5"/>
      <c r="U472" s="5"/>
      <c r="V472" s="5"/>
      <c r="W472" s="5"/>
    </row>
    <row r="473" spans="1:23" ht="16" x14ac:dyDescent="0.2">
      <c r="A473" s="5"/>
      <c r="B473" s="6"/>
      <c r="C473" s="6"/>
      <c r="D473" s="6"/>
      <c r="E473" s="6"/>
      <c r="F473" s="5"/>
      <c r="G473" s="5"/>
      <c r="H473" s="5"/>
      <c r="I473" s="5"/>
      <c r="J473" s="5"/>
      <c r="K473" s="5"/>
      <c r="L473" s="5"/>
      <c r="M473" s="5"/>
      <c r="N473" s="5"/>
      <c r="O473" s="5"/>
      <c r="P473" s="5"/>
      <c r="Q473" s="5"/>
      <c r="R473" s="5"/>
      <c r="S473" s="5"/>
      <c r="T473" s="5"/>
      <c r="U473" s="5"/>
      <c r="V473" s="5"/>
      <c r="W473" s="5"/>
    </row>
    <row r="474" spans="1:23" ht="16" x14ac:dyDescent="0.2">
      <c r="A474" s="5"/>
      <c r="B474" s="6"/>
      <c r="C474" s="6"/>
      <c r="D474" s="6"/>
      <c r="E474" s="6"/>
      <c r="F474" s="5"/>
      <c r="G474" s="5"/>
      <c r="H474" s="5"/>
      <c r="I474" s="5"/>
      <c r="J474" s="5"/>
      <c r="K474" s="5"/>
      <c r="L474" s="5"/>
      <c r="M474" s="5"/>
      <c r="N474" s="5"/>
      <c r="O474" s="5"/>
      <c r="P474" s="5"/>
      <c r="Q474" s="5"/>
      <c r="R474" s="5"/>
      <c r="S474" s="5"/>
      <c r="T474" s="5"/>
      <c r="U474" s="5"/>
      <c r="V474" s="5"/>
      <c r="W474" s="5"/>
    </row>
    <row r="475" spans="1:23" ht="16" x14ac:dyDescent="0.2">
      <c r="A475" s="5"/>
      <c r="B475" s="6"/>
      <c r="C475" s="6"/>
      <c r="D475" s="6"/>
      <c r="E475" s="6"/>
      <c r="F475" s="5"/>
      <c r="G475" s="5"/>
      <c r="H475" s="5"/>
      <c r="I475" s="5"/>
      <c r="J475" s="5"/>
      <c r="K475" s="5"/>
      <c r="L475" s="5"/>
      <c r="M475" s="5"/>
      <c r="N475" s="5"/>
      <c r="O475" s="5"/>
      <c r="P475" s="5"/>
      <c r="Q475" s="5"/>
      <c r="R475" s="5"/>
      <c r="S475" s="5"/>
      <c r="T475" s="5"/>
      <c r="U475" s="5"/>
      <c r="V475" s="5"/>
      <c r="W475" s="5"/>
    </row>
    <row r="476" spans="1:23" ht="16" x14ac:dyDescent="0.2">
      <c r="A476" s="5"/>
      <c r="B476" s="6"/>
      <c r="C476" s="6"/>
      <c r="D476" s="6"/>
      <c r="E476" s="6"/>
      <c r="F476" s="5"/>
      <c r="G476" s="5"/>
      <c r="H476" s="5"/>
      <c r="I476" s="5"/>
      <c r="J476" s="5"/>
      <c r="K476" s="5"/>
      <c r="L476" s="5"/>
      <c r="M476" s="5"/>
      <c r="N476" s="5"/>
      <c r="O476" s="5"/>
      <c r="P476" s="5"/>
      <c r="Q476" s="5"/>
      <c r="R476" s="5"/>
      <c r="S476" s="5"/>
      <c r="T476" s="5"/>
      <c r="U476" s="5"/>
      <c r="V476" s="5"/>
      <c r="W476" s="5"/>
    </row>
    <row r="477" spans="1:23" ht="16" x14ac:dyDescent="0.2">
      <c r="A477" s="5"/>
      <c r="B477" s="6"/>
      <c r="C477" s="6"/>
      <c r="D477" s="6"/>
      <c r="E477" s="6"/>
      <c r="F477" s="5"/>
      <c r="G477" s="5"/>
      <c r="H477" s="5"/>
      <c r="I477" s="5"/>
      <c r="J477" s="5"/>
      <c r="K477" s="5"/>
      <c r="L477" s="5"/>
      <c r="M477" s="5"/>
      <c r="N477" s="5"/>
      <c r="O477" s="5"/>
      <c r="P477" s="5"/>
      <c r="Q477" s="5"/>
      <c r="R477" s="5"/>
      <c r="S477" s="5"/>
      <c r="T477" s="5"/>
      <c r="U477" s="5"/>
      <c r="V477" s="5"/>
      <c r="W477" s="5"/>
    </row>
    <row r="478" spans="1:23" ht="16" x14ac:dyDescent="0.2">
      <c r="A478" s="5"/>
      <c r="B478" s="6"/>
      <c r="C478" s="6"/>
      <c r="D478" s="6"/>
      <c r="E478" s="6"/>
      <c r="F478" s="5"/>
      <c r="G478" s="5"/>
      <c r="H478" s="5"/>
      <c r="I478" s="5"/>
      <c r="J478" s="5"/>
      <c r="K478" s="5"/>
      <c r="L478" s="5"/>
      <c r="M478" s="5"/>
      <c r="N478" s="5"/>
      <c r="O478" s="5"/>
      <c r="P478" s="5"/>
      <c r="Q478" s="5"/>
      <c r="R478" s="5"/>
      <c r="S478" s="5"/>
      <c r="T478" s="5"/>
      <c r="U478" s="5"/>
      <c r="V478" s="5"/>
      <c r="W478" s="5"/>
    </row>
    <row r="479" spans="1:23" ht="16" x14ac:dyDescent="0.2">
      <c r="A479" s="5"/>
      <c r="B479" s="6"/>
      <c r="C479" s="6"/>
      <c r="D479" s="6"/>
      <c r="E479" s="6"/>
      <c r="F479" s="5"/>
      <c r="G479" s="5"/>
      <c r="H479" s="5"/>
      <c r="I479" s="5"/>
      <c r="J479" s="5"/>
      <c r="K479" s="5"/>
      <c r="L479" s="5"/>
      <c r="M479" s="5"/>
      <c r="N479" s="5"/>
      <c r="O479" s="5"/>
      <c r="P479" s="5"/>
      <c r="Q479" s="5"/>
      <c r="R479" s="5"/>
      <c r="S479" s="5"/>
      <c r="T479" s="5"/>
      <c r="U479" s="5"/>
      <c r="V479" s="5"/>
      <c r="W479" s="5"/>
    </row>
    <row r="480" spans="1:23" ht="16" x14ac:dyDescent="0.2">
      <c r="A480" s="5"/>
      <c r="B480" s="6"/>
      <c r="C480" s="6"/>
      <c r="D480" s="6"/>
      <c r="E480" s="6"/>
      <c r="F480" s="5"/>
      <c r="G480" s="5"/>
      <c r="H480" s="5"/>
      <c r="I480" s="5"/>
      <c r="J480" s="5"/>
      <c r="K480" s="5"/>
      <c r="L480" s="5"/>
      <c r="M480" s="5"/>
      <c r="N480" s="5"/>
      <c r="O480" s="5"/>
      <c r="P480" s="5"/>
      <c r="Q480" s="5"/>
      <c r="R480" s="5"/>
      <c r="S480" s="5"/>
      <c r="T480" s="5"/>
      <c r="U480" s="5"/>
      <c r="V480" s="5"/>
      <c r="W480" s="5"/>
    </row>
    <row r="481" spans="1:23" ht="16" x14ac:dyDescent="0.2">
      <c r="A481" s="5"/>
      <c r="B481" s="6"/>
      <c r="C481" s="6"/>
      <c r="D481" s="6"/>
      <c r="E481" s="6"/>
      <c r="F481" s="5"/>
      <c r="G481" s="5"/>
      <c r="H481" s="5"/>
      <c r="I481" s="5"/>
      <c r="J481" s="5"/>
      <c r="K481" s="5"/>
      <c r="L481" s="5"/>
      <c r="M481" s="5"/>
      <c r="N481" s="5"/>
      <c r="O481" s="5"/>
      <c r="P481" s="5"/>
      <c r="Q481" s="5"/>
      <c r="R481" s="5"/>
      <c r="S481" s="5"/>
      <c r="T481" s="5"/>
      <c r="U481" s="5"/>
      <c r="V481" s="5"/>
      <c r="W481" s="5"/>
    </row>
    <row r="482" spans="1:23" ht="16" x14ac:dyDescent="0.2">
      <c r="A482" s="5"/>
      <c r="B482" s="6"/>
      <c r="C482" s="6"/>
      <c r="D482" s="6"/>
      <c r="E482" s="6"/>
      <c r="F482" s="5"/>
      <c r="G482" s="5"/>
      <c r="H482" s="5"/>
      <c r="I482" s="5"/>
      <c r="J482" s="5"/>
      <c r="K482" s="5"/>
      <c r="L482" s="5"/>
      <c r="M482" s="5"/>
      <c r="N482" s="5"/>
      <c r="O482" s="5"/>
      <c r="P482" s="5"/>
      <c r="Q482" s="5"/>
      <c r="R482" s="5"/>
      <c r="S482" s="5"/>
      <c r="T482" s="5"/>
      <c r="U482" s="5"/>
      <c r="V482" s="5"/>
      <c r="W482" s="5"/>
    </row>
    <row r="483" spans="1:23" ht="16" x14ac:dyDescent="0.2">
      <c r="A483" s="5"/>
      <c r="B483" s="6"/>
      <c r="C483" s="6"/>
      <c r="D483" s="6"/>
      <c r="E483" s="6"/>
      <c r="F483" s="5"/>
      <c r="G483" s="5"/>
      <c r="H483" s="5"/>
      <c r="I483" s="5"/>
      <c r="J483" s="5"/>
      <c r="K483" s="5"/>
      <c r="L483" s="5"/>
      <c r="M483" s="5"/>
      <c r="N483" s="5"/>
      <c r="O483" s="5"/>
      <c r="P483" s="5"/>
      <c r="Q483" s="5"/>
      <c r="R483" s="5"/>
      <c r="S483" s="5"/>
      <c r="T483" s="5"/>
      <c r="U483" s="5"/>
      <c r="V483" s="5"/>
      <c r="W483" s="5"/>
    </row>
    <row r="484" spans="1:23" ht="16" x14ac:dyDescent="0.2">
      <c r="A484" s="5"/>
      <c r="B484" s="6"/>
      <c r="C484" s="6"/>
      <c r="D484" s="6"/>
      <c r="E484" s="6"/>
      <c r="F484" s="5"/>
      <c r="G484" s="5"/>
      <c r="H484" s="5"/>
      <c r="I484" s="5"/>
      <c r="J484" s="5"/>
      <c r="K484" s="5"/>
      <c r="L484" s="5"/>
      <c r="M484" s="5"/>
      <c r="N484" s="5"/>
      <c r="O484" s="5"/>
      <c r="P484" s="5"/>
      <c r="Q484" s="5"/>
      <c r="R484" s="5"/>
      <c r="S484" s="5"/>
      <c r="T484" s="5"/>
      <c r="U484" s="5"/>
      <c r="V484" s="5"/>
      <c r="W484" s="5"/>
    </row>
    <row r="485" spans="1:23" ht="16" x14ac:dyDescent="0.2">
      <c r="A485" s="5"/>
      <c r="B485" s="6"/>
      <c r="C485" s="6"/>
      <c r="D485" s="6"/>
      <c r="E485" s="6"/>
      <c r="F485" s="5"/>
      <c r="G485" s="5"/>
      <c r="H485" s="5"/>
      <c r="I485" s="5"/>
      <c r="J485" s="5"/>
      <c r="K485" s="5"/>
      <c r="L485" s="5"/>
      <c r="M485" s="5"/>
      <c r="N485" s="5"/>
      <c r="O485" s="5"/>
      <c r="P485" s="5"/>
      <c r="Q485" s="5"/>
      <c r="R485" s="5"/>
      <c r="S485" s="5"/>
      <c r="T485" s="5"/>
      <c r="U485" s="5"/>
      <c r="V485" s="5"/>
      <c r="W485" s="5"/>
    </row>
    <row r="486" spans="1:23" ht="16" x14ac:dyDescent="0.2">
      <c r="A486" s="5"/>
      <c r="B486" s="6"/>
      <c r="C486" s="6"/>
      <c r="D486" s="6"/>
      <c r="E486" s="6"/>
      <c r="F486" s="5"/>
      <c r="G486" s="5"/>
      <c r="H486" s="5"/>
      <c r="I486" s="5"/>
      <c r="J486" s="5"/>
      <c r="K486" s="5"/>
      <c r="L486" s="5"/>
      <c r="M486" s="5"/>
      <c r="N486" s="5"/>
      <c r="O486" s="5"/>
      <c r="P486" s="5"/>
      <c r="Q486" s="5"/>
      <c r="R486" s="5"/>
      <c r="S486" s="5"/>
      <c r="T486" s="5"/>
      <c r="U486" s="5"/>
      <c r="V486" s="5"/>
      <c r="W486" s="5"/>
    </row>
    <row r="487" spans="1:23" ht="16" x14ac:dyDescent="0.2">
      <c r="A487" s="5"/>
      <c r="B487" s="6"/>
      <c r="C487" s="6"/>
      <c r="D487" s="6"/>
      <c r="E487" s="6"/>
      <c r="F487" s="5"/>
      <c r="G487" s="5"/>
      <c r="H487" s="5"/>
      <c r="I487" s="5"/>
      <c r="J487" s="5"/>
      <c r="K487" s="5"/>
      <c r="L487" s="5"/>
      <c r="M487" s="5"/>
      <c r="N487" s="5"/>
      <c r="O487" s="5"/>
      <c r="P487" s="5"/>
      <c r="Q487" s="5"/>
      <c r="R487" s="5"/>
      <c r="S487" s="5"/>
      <c r="T487" s="5"/>
      <c r="U487" s="5"/>
      <c r="V487" s="5"/>
      <c r="W487" s="5"/>
    </row>
    <row r="488" spans="1:23" ht="16" x14ac:dyDescent="0.2">
      <c r="A488" s="5"/>
      <c r="B488" s="6"/>
      <c r="C488" s="6"/>
      <c r="D488" s="6"/>
      <c r="E488" s="6"/>
      <c r="F488" s="5"/>
      <c r="G488" s="5"/>
      <c r="H488" s="5"/>
      <c r="I488" s="5"/>
      <c r="J488" s="5"/>
      <c r="K488" s="5"/>
      <c r="L488" s="5"/>
      <c r="M488" s="5"/>
      <c r="N488" s="5"/>
      <c r="O488" s="5"/>
      <c r="P488" s="5"/>
      <c r="Q488" s="5"/>
      <c r="R488" s="5"/>
      <c r="S488" s="5"/>
      <c r="T488" s="5"/>
      <c r="U488" s="5"/>
      <c r="V488" s="5"/>
      <c r="W488" s="5"/>
    </row>
    <row r="489" spans="1:23" ht="16" x14ac:dyDescent="0.2">
      <c r="A489" s="5"/>
      <c r="B489" s="6"/>
      <c r="C489" s="6"/>
      <c r="D489" s="6"/>
      <c r="E489" s="6"/>
      <c r="F489" s="5"/>
      <c r="G489" s="5"/>
      <c r="H489" s="5"/>
      <c r="I489" s="5"/>
      <c r="J489" s="5"/>
      <c r="K489" s="5"/>
      <c r="L489" s="5"/>
      <c r="M489" s="5"/>
      <c r="N489" s="5"/>
      <c r="O489" s="5"/>
      <c r="P489" s="5"/>
      <c r="Q489" s="5"/>
      <c r="R489" s="5"/>
      <c r="S489" s="5"/>
      <c r="T489" s="5"/>
      <c r="U489" s="5"/>
      <c r="V489" s="5"/>
      <c r="W489" s="5"/>
    </row>
    <row r="490" spans="1:23" ht="16" x14ac:dyDescent="0.2">
      <c r="A490" s="5"/>
      <c r="B490" s="6"/>
      <c r="C490" s="6"/>
      <c r="D490" s="6"/>
      <c r="E490" s="6"/>
      <c r="F490" s="5"/>
      <c r="G490" s="5"/>
      <c r="H490" s="5"/>
      <c r="I490" s="5"/>
      <c r="J490" s="5"/>
      <c r="K490" s="5"/>
      <c r="L490" s="5"/>
      <c r="M490" s="5"/>
      <c r="N490" s="5"/>
      <c r="O490" s="5"/>
      <c r="P490" s="5"/>
      <c r="Q490" s="5"/>
      <c r="R490" s="5"/>
      <c r="S490" s="5"/>
      <c r="T490" s="5"/>
      <c r="U490" s="5"/>
      <c r="V490" s="5"/>
      <c r="W490" s="5"/>
    </row>
    <row r="491" spans="1:23" ht="16" x14ac:dyDescent="0.2">
      <c r="A491" s="5"/>
      <c r="B491" s="6"/>
      <c r="C491" s="6"/>
      <c r="D491" s="6"/>
      <c r="E491" s="6"/>
      <c r="F491" s="5"/>
      <c r="G491" s="5"/>
      <c r="H491" s="5"/>
      <c r="I491" s="5"/>
      <c r="J491" s="5"/>
      <c r="K491" s="5"/>
      <c r="L491" s="5"/>
      <c r="M491" s="5"/>
      <c r="N491" s="5"/>
      <c r="O491" s="5"/>
      <c r="P491" s="5"/>
      <c r="Q491" s="5"/>
      <c r="R491" s="5"/>
      <c r="S491" s="5"/>
      <c r="T491" s="5"/>
      <c r="U491" s="5"/>
      <c r="V491" s="5"/>
      <c r="W491" s="5"/>
    </row>
    <row r="492" spans="1:23" ht="16" x14ac:dyDescent="0.2">
      <c r="A492" s="5"/>
      <c r="B492" s="6"/>
      <c r="C492" s="6"/>
      <c r="D492" s="6"/>
      <c r="E492" s="6"/>
      <c r="F492" s="5"/>
      <c r="G492" s="5"/>
      <c r="H492" s="5"/>
      <c r="I492" s="5"/>
      <c r="J492" s="5"/>
      <c r="K492" s="5"/>
      <c r="L492" s="5"/>
      <c r="M492" s="5"/>
      <c r="N492" s="5"/>
      <c r="O492" s="5"/>
      <c r="P492" s="5"/>
      <c r="Q492" s="5"/>
      <c r="R492" s="5"/>
      <c r="S492" s="5"/>
      <c r="T492" s="5"/>
      <c r="U492" s="5"/>
      <c r="V492" s="5"/>
      <c r="W492" s="5"/>
    </row>
    <row r="493" spans="1:23" ht="16" x14ac:dyDescent="0.2">
      <c r="A493" s="5"/>
      <c r="B493" s="6"/>
      <c r="C493" s="6"/>
      <c r="D493" s="6"/>
      <c r="E493" s="6"/>
      <c r="F493" s="5"/>
      <c r="G493" s="5"/>
      <c r="H493" s="5"/>
      <c r="I493" s="5"/>
      <c r="J493" s="5"/>
      <c r="K493" s="5"/>
      <c r="L493" s="5"/>
      <c r="M493" s="5"/>
      <c r="N493" s="5"/>
      <c r="O493" s="5"/>
      <c r="P493" s="5"/>
      <c r="Q493" s="5"/>
      <c r="R493" s="5"/>
      <c r="S493" s="5"/>
      <c r="T493" s="5"/>
      <c r="U493" s="5"/>
      <c r="V493" s="5"/>
      <c r="W493" s="5"/>
    </row>
    <row r="494" spans="1:23" ht="16" x14ac:dyDescent="0.2">
      <c r="A494" s="5"/>
      <c r="B494" s="6"/>
      <c r="C494" s="6"/>
      <c r="D494" s="6"/>
      <c r="E494" s="6"/>
      <c r="F494" s="5"/>
      <c r="G494" s="5"/>
      <c r="H494" s="5"/>
      <c r="I494" s="5"/>
      <c r="J494" s="5"/>
      <c r="K494" s="5"/>
      <c r="L494" s="5"/>
      <c r="M494" s="5"/>
      <c r="N494" s="5"/>
      <c r="O494" s="5"/>
      <c r="P494" s="5"/>
      <c r="Q494" s="5"/>
      <c r="R494" s="5"/>
      <c r="S494" s="5"/>
      <c r="T494" s="5"/>
      <c r="U494" s="5"/>
      <c r="V494" s="5"/>
      <c r="W494" s="5"/>
    </row>
    <row r="495" spans="1:23" ht="16" x14ac:dyDescent="0.2">
      <c r="A495" s="5"/>
      <c r="B495" s="6"/>
      <c r="C495" s="6"/>
      <c r="D495" s="6"/>
      <c r="E495" s="6"/>
      <c r="F495" s="5"/>
      <c r="G495" s="5"/>
      <c r="H495" s="5"/>
      <c r="I495" s="5"/>
      <c r="J495" s="5"/>
      <c r="K495" s="5"/>
      <c r="L495" s="5"/>
      <c r="M495" s="5"/>
      <c r="N495" s="5"/>
      <c r="O495" s="5"/>
      <c r="P495" s="5"/>
      <c r="Q495" s="5"/>
      <c r="R495" s="5"/>
      <c r="S495" s="5"/>
      <c r="T495" s="5"/>
      <c r="U495" s="5"/>
      <c r="V495" s="5"/>
      <c r="W495" s="5"/>
    </row>
    <row r="496" spans="1:23" ht="16" x14ac:dyDescent="0.2">
      <c r="A496" s="5"/>
      <c r="B496" s="6"/>
      <c r="C496" s="6"/>
      <c r="D496" s="6"/>
      <c r="E496" s="6"/>
      <c r="F496" s="5"/>
      <c r="G496" s="5"/>
      <c r="H496" s="5"/>
      <c r="I496" s="5"/>
      <c r="J496" s="5"/>
      <c r="K496" s="5"/>
      <c r="L496" s="5"/>
      <c r="M496" s="5"/>
      <c r="N496" s="5"/>
      <c r="O496" s="5"/>
      <c r="P496" s="5"/>
      <c r="Q496" s="5"/>
      <c r="R496" s="5"/>
      <c r="S496" s="5"/>
      <c r="T496" s="5"/>
      <c r="U496" s="5"/>
      <c r="V496" s="5"/>
      <c r="W496" s="5"/>
    </row>
    <row r="497" spans="1:23" ht="16" x14ac:dyDescent="0.2">
      <c r="A497" s="5"/>
      <c r="B497" s="6"/>
      <c r="C497" s="6"/>
      <c r="D497" s="6"/>
      <c r="E497" s="6"/>
      <c r="F497" s="5"/>
      <c r="G497" s="5"/>
      <c r="H497" s="5"/>
      <c r="I497" s="5"/>
      <c r="J497" s="5"/>
      <c r="K497" s="5"/>
      <c r="L497" s="5"/>
      <c r="M497" s="5"/>
      <c r="N497" s="5"/>
      <c r="O497" s="5"/>
      <c r="P497" s="5"/>
      <c r="Q497" s="5"/>
      <c r="R497" s="5"/>
      <c r="S497" s="5"/>
      <c r="T497" s="5"/>
      <c r="U497" s="5"/>
      <c r="V497" s="5"/>
      <c r="W497" s="5"/>
    </row>
    <row r="498" spans="1:23" ht="16" x14ac:dyDescent="0.2">
      <c r="A498" s="5"/>
      <c r="B498" s="6"/>
      <c r="C498" s="6"/>
      <c r="D498" s="6"/>
      <c r="E498" s="6"/>
      <c r="F498" s="5"/>
      <c r="G498" s="5"/>
      <c r="H498" s="5"/>
      <c r="I498" s="5"/>
      <c r="J498" s="5"/>
      <c r="K498" s="5"/>
      <c r="L498" s="5"/>
      <c r="M498" s="5"/>
      <c r="N498" s="5"/>
      <c r="O498" s="5"/>
      <c r="P498" s="5"/>
      <c r="Q498" s="5"/>
      <c r="R498" s="5"/>
      <c r="S498" s="5"/>
      <c r="T498" s="5"/>
      <c r="U498" s="5"/>
      <c r="V498" s="5"/>
      <c r="W498" s="5"/>
    </row>
    <row r="499" spans="1:23" ht="16" x14ac:dyDescent="0.2">
      <c r="A499" s="5"/>
      <c r="B499" s="6"/>
      <c r="C499" s="6"/>
      <c r="D499" s="6"/>
      <c r="E499" s="6"/>
      <c r="F499" s="5"/>
      <c r="G499" s="5"/>
      <c r="H499" s="5"/>
      <c r="I499" s="5"/>
      <c r="J499" s="5"/>
      <c r="K499" s="5"/>
      <c r="L499" s="5"/>
      <c r="M499" s="5"/>
      <c r="N499" s="5"/>
      <c r="O499" s="5"/>
      <c r="P499" s="5"/>
      <c r="Q499" s="5"/>
      <c r="R499" s="5"/>
      <c r="S499" s="5"/>
      <c r="T499" s="5"/>
      <c r="U499" s="5"/>
      <c r="V499" s="5"/>
      <c r="W499" s="5"/>
    </row>
    <row r="500" spans="1:23" ht="16" x14ac:dyDescent="0.2">
      <c r="A500" s="5"/>
      <c r="B500" s="6"/>
      <c r="C500" s="6"/>
      <c r="D500" s="6"/>
      <c r="E500" s="6"/>
      <c r="F500" s="5"/>
      <c r="G500" s="5"/>
      <c r="H500" s="5"/>
      <c r="I500" s="5"/>
      <c r="J500" s="5"/>
      <c r="K500" s="5"/>
      <c r="L500" s="5"/>
      <c r="M500" s="5"/>
      <c r="N500" s="5"/>
      <c r="O500" s="5"/>
      <c r="P500" s="5"/>
      <c r="Q500" s="5"/>
      <c r="R500" s="5"/>
      <c r="S500" s="5"/>
      <c r="T500" s="5"/>
      <c r="U500" s="5"/>
      <c r="V500" s="5"/>
      <c r="W500" s="5"/>
    </row>
    <row r="501" spans="1:23" ht="16" x14ac:dyDescent="0.2">
      <c r="A501" s="5"/>
      <c r="B501" s="6"/>
      <c r="C501" s="6"/>
      <c r="D501" s="6"/>
      <c r="E501" s="6"/>
      <c r="F501" s="5"/>
      <c r="G501" s="5"/>
      <c r="H501" s="5"/>
      <c r="I501" s="5"/>
      <c r="J501" s="5"/>
      <c r="K501" s="5"/>
      <c r="L501" s="5"/>
      <c r="M501" s="5"/>
      <c r="N501" s="5"/>
      <c r="O501" s="5"/>
      <c r="P501" s="5"/>
      <c r="Q501" s="5"/>
      <c r="R501" s="5"/>
      <c r="S501" s="5"/>
      <c r="T501" s="5"/>
      <c r="U501" s="5"/>
      <c r="V501" s="5"/>
      <c r="W501" s="5"/>
    </row>
    <row r="502" spans="1:23" ht="16" x14ac:dyDescent="0.2">
      <c r="A502" s="5"/>
      <c r="B502" s="6"/>
      <c r="C502" s="6"/>
      <c r="D502" s="6"/>
      <c r="E502" s="6"/>
      <c r="F502" s="5"/>
      <c r="G502" s="5"/>
      <c r="H502" s="5"/>
      <c r="I502" s="5"/>
      <c r="J502" s="5"/>
      <c r="K502" s="5"/>
      <c r="L502" s="5"/>
      <c r="M502" s="5"/>
      <c r="N502" s="5"/>
      <c r="O502" s="5"/>
      <c r="P502" s="5"/>
      <c r="Q502" s="5"/>
      <c r="R502" s="5"/>
      <c r="S502" s="5"/>
      <c r="T502" s="5"/>
      <c r="U502" s="5"/>
      <c r="V502" s="5"/>
      <c r="W502" s="5"/>
    </row>
    <row r="503" spans="1:23" ht="16" x14ac:dyDescent="0.2">
      <c r="A503" s="5"/>
      <c r="B503" s="6"/>
      <c r="C503" s="6"/>
      <c r="D503" s="6"/>
      <c r="E503" s="6"/>
      <c r="F503" s="5"/>
      <c r="G503" s="5"/>
      <c r="H503" s="5"/>
      <c r="I503" s="5"/>
      <c r="J503" s="5"/>
      <c r="K503" s="5"/>
      <c r="L503" s="5"/>
      <c r="M503" s="5"/>
      <c r="N503" s="5"/>
      <c r="O503" s="5"/>
      <c r="P503" s="5"/>
      <c r="Q503" s="5"/>
      <c r="R503" s="5"/>
      <c r="S503" s="5"/>
      <c r="T503" s="5"/>
      <c r="U503" s="5"/>
      <c r="V503" s="5"/>
      <c r="W503" s="5"/>
    </row>
    <row r="504" spans="1:23" ht="16" x14ac:dyDescent="0.2">
      <c r="A504" s="5"/>
      <c r="B504" s="6"/>
      <c r="C504" s="6"/>
      <c r="D504" s="6"/>
      <c r="E504" s="6"/>
      <c r="F504" s="5"/>
      <c r="G504" s="5"/>
      <c r="H504" s="5"/>
      <c r="I504" s="5"/>
      <c r="J504" s="5"/>
      <c r="K504" s="5"/>
      <c r="L504" s="5"/>
      <c r="M504" s="5"/>
      <c r="N504" s="5"/>
      <c r="O504" s="5"/>
      <c r="P504" s="5"/>
      <c r="Q504" s="5"/>
      <c r="R504" s="5"/>
      <c r="S504" s="5"/>
      <c r="T504" s="5"/>
      <c r="U504" s="5"/>
      <c r="V504" s="5"/>
      <c r="W504" s="5"/>
    </row>
    <row r="505" spans="1:23" ht="16" x14ac:dyDescent="0.2">
      <c r="A505" s="5"/>
      <c r="B505" s="6"/>
      <c r="C505" s="6"/>
      <c r="D505" s="6"/>
      <c r="E505" s="6"/>
      <c r="F505" s="5"/>
      <c r="G505" s="5"/>
      <c r="H505" s="5"/>
      <c r="I505" s="5"/>
      <c r="J505" s="5"/>
      <c r="K505" s="5"/>
      <c r="L505" s="5"/>
      <c r="M505" s="5"/>
      <c r="N505" s="5"/>
      <c r="O505" s="5"/>
      <c r="P505" s="5"/>
      <c r="Q505" s="5"/>
      <c r="R505" s="5"/>
      <c r="S505" s="5"/>
      <c r="T505" s="5"/>
      <c r="U505" s="5"/>
      <c r="V505" s="5"/>
      <c r="W505" s="5"/>
    </row>
    <row r="506" spans="1:23" ht="16" x14ac:dyDescent="0.2">
      <c r="A506" s="5"/>
      <c r="B506" s="6"/>
      <c r="C506" s="6"/>
      <c r="D506" s="6"/>
      <c r="E506" s="6"/>
      <c r="F506" s="5"/>
      <c r="G506" s="5"/>
      <c r="H506" s="5"/>
      <c r="I506" s="5"/>
      <c r="J506" s="5"/>
      <c r="K506" s="5"/>
      <c r="L506" s="5"/>
      <c r="M506" s="5"/>
      <c r="N506" s="5"/>
      <c r="O506" s="5"/>
      <c r="P506" s="5"/>
      <c r="Q506" s="5"/>
      <c r="R506" s="5"/>
      <c r="S506" s="5"/>
      <c r="T506" s="5"/>
      <c r="U506" s="5"/>
      <c r="V506" s="5"/>
      <c r="W506" s="5"/>
    </row>
    <row r="507" spans="1:23" ht="16" x14ac:dyDescent="0.2">
      <c r="A507" s="5"/>
      <c r="B507" s="6"/>
      <c r="C507" s="6"/>
      <c r="D507" s="6"/>
      <c r="E507" s="6"/>
      <c r="F507" s="5"/>
      <c r="G507" s="5"/>
      <c r="H507" s="5"/>
      <c r="I507" s="5"/>
      <c r="J507" s="5"/>
      <c r="K507" s="5"/>
      <c r="L507" s="5"/>
      <c r="M507" s="5"/>
      <c r="N507" s="5"/>
      <c r="O507" s="5"/>
      <c r="P507" s="5"/>
      <c r="Q507" s="5"/>
      <c r="R507" s="5"/>
      <c r="S507" s="5"/>
      <c r="T507" s="5"/>
      <c r="U507" s="5"/>
      <c r="V507" s="5"/>
      <c r="W507" s="5"/>
    </row>
    <row r="508" spans="1:23" ht="16" x14ac:dyDescent="0.2">
      <c r="A508" s="5"/>
      <c r="B508" s="6"/>
      <c r="C508" s="6"/>
      <c r="D508" s="6"/>
      <c r="E508" s="6"/>
      <c r="F508" s="5"/>
      <c r="G508" s="5"/>
      <c r="H508" s="5"/>
      <c r="I508" s="5"/>
      <c r="J508" s="5"/>
      <c r="K508" s="5"/>
      <c r="L508" s="5"/>
      <c r="M508" s="5"/>
      <c r="N508" s="5"/>
      <c r="O508" s="5"/>
      <c r="P508" s="5"/>
      <c r="Q508" s="5"/>
      <c r="R508" s="5"/>
      <c r="S508" s="5"/>
      <c r="T508" s="5"/>
      <c r="U508" s="5"/>
      <c r="V508" s="5"/>
      <c r="W508" s="5"/>
    </row>
    <row r="509" spans="1:23" ht="16" x14ac:dyDescent="0.2">
      <c r="A509" s="5"/>
      <c r="B509" s="6"/>
      <c r="C509" s="6"/>
      <c r="D509" s="6"/>
      <c r="E509" s="6"/>
      <c r="F509" s="5"/>
      <c r="G509" s="5"/>
      <c r="H509" s="5"/>
      <c r="I509" s="5"/>
      <c r="J509" s="5"/>
      <c r="K509" s="5"/>
      <c r="L509" s="5"/>
      <c r="M509" s="5"/>
      <c r="N509" s="5"/>
      <c r="O509" s="5"/>
      <c r="P509" s="5"/>
      <c r="Q509" s="5"/>
      <c r="R509" s="5"/>
      <c r="S509" s="5"/>
      <c r="T509" s="5"/>
      <c r="U509" s="5"/>
      <c r="V509" s="5"/>
      <c r="W509" s="5"/>
    </row>
    <row r="510" spans="1:23" ht="16" x14ac:dyDescent="0.2">
      <c r="A510" s="5"/>
      <c r="B510" s="6"/>
      <c r="C510" s="6"/>
      <c r="D510" s="6"/>
      <c r="E510" s="6"/>
      <c r="F510" s="5"/>
      <c r="G510" s="5"/>
      <c r="H510" s="5"/>
      <c r="I510" s="5"/>
      <c r="J510" s="5"/>
      <c r="K510" s="5"/>
      <c r="L510" s="5"/>
      <c r="M510" s="5"/>
      <c r="N510" s="5"/>
      <c r="O510" s="5"/>
      <c r="P510" s="5"/>
      <c r="Q510" s="5"/>
      <c r="R510" s="5"/>
      <c r="S510" s="5"/>
      <c r="T510" s="5"/>
      <c r="U510" s="5"/>
      <c r="V510" s="5"/>
      <c r="W510" s="5"/>
    </row>
    <row r="511" spans="1:23" ht="16" x14ac:dyDescent="0.2">
      <c r="A511" s="5"/>
      <c r="B511" s="6"/>
      <c r="C511" s="6"/>
      <c r="D511" s="6"/>
      <c r="E511" s="6"/>
      <c r="F511" s="5"/>
      <c r="G511" s="5"/>
      <c r="H511" s="5"/>
      <c r="I511" s="5"/>
      <c r="J511" s="5"/>
      <c r="K511" s="5"/>
      <c r="L511" s="5"/>
      <c r="M511" s="5"/>
      <c r="N511" s="5"/>
      <c r="O511" s="5"/>
      <c r="P511" s="5"/>
      <c r="Q511" s="5"/>
      <c r="R511" s="5"/>
      <c r="S511" s="5"/>
      <c r="T511" s="5"/>
      <c r="U511" s="5"/>
      <c r="V511" s="5"/>
      <c r="W511" s="5"/>
    </row>
    <row r="512" spans="1:23" ht="16" x14ac:dyDescent="0.2">
      <c r="A512" s="5"/>
      <c r="B512" s="6"/>
      <c r="C512" s="6"/>
      <c r="D512" s="6"/>
      <c r="E512" s="6"/>
      <c r="F512" s="5"/>
      <c r="G512" s="5"/>
      <c r="H512" s="5"/>
      <c r="I512" s="5"/>
      <c r="J512" s="5"/>
      <c r="K512" s="5"/>
      <c r="L512" s="5"/>
      <c r="M512" s="5"/>
      <c r="N512" s="5"/>
      <c r="O512" s="5"/>
      <c r="P512" s="5"/>
      <c r="Q512" s="5"/>
      <c r="R512" s="5"/>
      <c r="S512" s="5"/>
      <c r="T512" s="5"/>
      <c r="U512" s="5"/>
      <c r="V512" s="5"/>
      <c r="W512" s="5"/>
    </row>
    <row r="513" spans="1:23" ht="16" x14ac:dyDescent="0.2">
      <c r="A513" s="5"/>
      <c r="B513" s="6"/>
      <c r="C513" s="6"/>
      <c r="D513" s="6"/>
      <c r="E513" s="6"/>
      <c r="F513" s="5"/>
      <c r="G513" s="5"/>
      <c r="H513" s="5"/>
      <c r="I513" s="5"/>
      <c r="J513" s="5"/>
      <c r="K513" s="5"/>
      <c r="L513" s="5"/>
      <c r="M513" s="5"/>
      <c r="N513" s="5"/>
      <c r="O513" s="5"/>
      <c r="P513" s="5"/>
      <c r="Q513" s="5"/>
      <c r="R513" s="5"/>
      <c r="S513" s="5"/>
      <c r="T513" s="5"/>
      <c r="U513" s="5"/>
      <c r="V513" s="5"/>
      <c r="W513" s="5"/>
    </row>
    <row r="514" spans="1:23" ht="16" x14ac:dyDescent="0.2">
      <c r="A514" s="5"/>
      <c r="B514" s="6"/>
      <c r="C514" s="6"/>
      <c r="D514" s="6"/>
      <c r="E514" s="6"/>
      <c r="F514" s="5"/>
      <c r="G514" s="5"/>
      <c r="H514" s="5"/>
      <c r="I514" s="5"/>
      <c r="J514" s="5"/>
      <c r="K514" s="5"/>
      <c r="L514" s="5"/>
      <c r="M514" s="5"/>
      <c r="N514" s="5"/>
      <c r="O514" s="5"/>
      <c r="P514" s="5"/>
      <c r="Q514" s="5"/>
      <c r="R514" s="5"/>
      <c r="S514" s="5"/>
      <c r="T514" s="5"/>
      <c r="U514" s="5"/>
      <c r="V514" s="5"/>
      <c r="W514" s="5"/>
    </row>
    <row r="515" spans="1:23" ht="16" x14ac:dyDescent="0.2">
      <c r="A515" s="5"/>
      <c r="B515" s="6"/>
      <c r="C515" s="6"/>
      <c r="D515" s="6"/>
      <c r="E515" s="6"/>
      <c r="F515" s="5"/>
      <c r="G515" s="5"/>
      <c r="H515" s="5"/>
      <c r="I515" s="5"/>
      <c r="J515" s="5"/>
      <c r="K515" s="5"/>
      <c r="L515" s="5"/>
      <c r="M515" s="5"/>
      <c r="N515" s="5"/>
      <c r="O515" s="5"/>
      <c r="P515" s="5"/>
      <c r="Q515" s="5"/>
      <c r="R515" s="5"/>
      <c r="S515" s="5"/>
      <c r="T515" s="5"/>
      <c r="U515" s="5"/>
      <c r="V515" s="5"/>
      <c r="W515" s="5"/>
    </row>
    <row r="516" spans="1:23" ht="16" x14ac:dyDescent="0.2">
      <c r="A516" s="5"/>
      <c r="B516" s="6"/>
      <c r="C516" s="6"/>
      <c r="D516" s="6"/>
      <c r="E516" s="6"/>
      <c r="F516" s="5"/>
      <c r="G516" s="5"/>
      <c r="H516" s="5"/>
      <c r="I516" s="5"/>
      <c r="J516" s="5"/>
      <c r="K516" s="5"/>
      <c r="L516" s="5"/>
      <c r="M516" s="5"/>
      <c r="N516" s="5"/>
      <c r="O516" s="5"/>
      <c r="P516" s="5"/>
      <c r="Q516" s="5"/>
      <c r="R516" s="5"/>
      <c r="S516" s="5"/>
      <c r="T516" s="5"/>
      <c r="U516" s="5"/>
      <c r="V516" s="5"/>
      <c r="W516" s="5"/>
    </row>
    <row r="517" spans="1:23" ht="16" x14ac:dyDescent="0.2">
      <c r="A517" s="5"/>
      <c r="B517" s="6"/>
      <c r="C517" s="6"/>
      <c r="D517" s="6"/>
      <c r="E517" s="6"/>
      <c r="F517" s="5"/>
      <c r="G517" s="5"/>
      <c r="H517" s="5"/>
      <c r="I517" s="5"/>
      <c r="J517" s="5"/>
      <c r="K517" s="5"/>
      <c r="L517" s="5"/>
      <c r="M517" s="5"/>
      <c r="N517" s="5"/>
      <c r="O517" s="5"/>
      <c r="P517" s="5"/>
      <c r="Q517" s="5"/>
      <c r="R517" s="5"/>
      <c r="S517" s="5"/>
      <c r="T517" s="5"/>
      <c r="U517" s="5"/>
      <c r="V517" s="5"/>
      <c r="W517" s="5"/>
    </row>
    <row r="518" spans="1:23" ht="16" x14ac:dyDescent="0.2">
      <c r="A518" s="5"/>
      <c r="B518" s="6"/>
      <c r="C518" s="6"/>
      <c r="D518" s="6"/>
      <c r="E518" s="6"/>
      <c r="F518" s="5"/>
      <c r="G518" s="5"/>
      <c r="H518" s="5"/>
      <c r="I518" s="5"/>
      <c r="J518" s="5"/>
      <c r="K518" s="5"/>
      <c r="L518" s="5"/>
      <c r="M518" s="5"/>
      <c r="N518" s="5"/>
      <c r="O518" s="5"/>
      <c r="P518" s="5"/>
      <c r="Q518" s="5"/>
      <c r="R518" s="5"/>
      <c r="S518" s="5"/>
      <c r="T518" s="5"/>
      <c r="U518" s="5"/>
      <c r="V518" s="5"/>
      <c r="W518" s="5"/>
    </row>
    <row r="519" spans="1:23" ht="16" x14ac:dyDescent="0.2">
      <c r="A519" s="5"/>
      <c r="B519" s="6"/>
      <c r="C519" s="6"/>
      <c r="D519" s="6"/>
      <c r="E519" s="6"/>
      <c r="F519" s="5"/>
      <c r="G519" s="5"/>
      <c r="H519" s="5"/>
      <c r="I519" s="5"/>
      <c r="J519" s="5"/>
      <c r="K519" s="5"/>
      <c r="L519" s="5"/>
      <c r="M519" s="5"/>
      <c r="N519" s="5"/>
      <c r="O519" s="5"/>
      <c r="P519" s="5"/>
      <c r="Q519" s="5"/>
      <c r="R519" s="5"/>
      <c r="S519" s="5"/>
      <c r="T519" s="5"/>
      <c r="U519" s="5"/>
      <c r="V519" s="5"/>
      <c r="W519" s="5"/>
    </row>
    <row r="520" spans="1:23" ht="16" x14ac:dyDescent="0.2">
      <c r="A520" s="5"/>
      <c r="B520" s="6"/>
      <c r="C520" s="6"/>
      <c r="D520" s="6"/>
      <c r="E520" s="6"/>
      <c r="F520" s="5"/>
      <c r="G520" s="5"/>
      <c r="H520" s="5"/>
      <c r="I520" s="5"/>
      <c r="J520" s="5"/>
      <c r="K520" s="5"/>
      <c r="L520" s="5"/>
      <c r="M520" s="5"/>
      <c r="N520" s="5"/>
      <c r="O520" s="5"/>
      <c r="P520" s="5"/>
      <c r="Q520" s="5"/>
      <c r="R520" s="5"/>
      <c r="S520" s="5"/>
      <c r="T520" s="5"/>
      <c r="U520" s="5"/>
      <c r="V520" s="5"/>
      <c r="W520" s="5"/>
    </row>
    <row r="521" spans="1:23" ht="16" x14ac:dyDescent="0.2">
      <c r="A521" s="5"/>
      <c r="B521" s="6"/>
      <c r="C521" s="6"/>
      <c r="D521" s="6"/>
      <c r="E521" s="6"/>
      <c r="F521" s="5"/>
      <c r="G521" s="5"/>
      <c r="H521" s="5"/>
      <c r="I521" s="5"/>
      <c r="J521" s="5"/>
      <c r="K521" s="5"/>
      <c r="L521" s="5"/>
      <c r="M521" s="5"/>
      <c r="N521" s="5"/>
      <c r="O521" s="5"/>
      <c r="P521" s="5"/>
      <c r="Q521" s="5"/>
      <c r="R521" s="5"/>
      <c r="S521" s="5"/>
      <c r="T521" s="5"/>
      <c r="U521" s="5"/>
      <c r="V521" s="5"/>
      <c r="W521" s="5"/>
    </row>
    <row r="522" spans="1:23" ht="16" x14ac:dyDescent="0.2">
      <c r="A522" s="5"/>
      <c r="B522" s="6"/>
      <c r="C522" s="6"/>
      <c r="D522" s="6"/>
      <c r="E522" s="6"/>
      <c r="F522" s="5"/>
      <c r="G522" s="5"/>
      <c r="H522" s="5"/>
      <c r="I522" s="5"/>
      <c r="J522" s="5"/>
      <c r="K522" s="5"/>
      <c r="L522" s="5"/>
      <c r="M522" s="5"/>
      <c r="N522" s="5"/>
      <c r="O522" s="5"/>
      <c r="P522" s="5"/>
      <c r="Q522" s="5"/>
      <c r="R522" s="5"/>
      <c r="S522" s="5"/>
      <c r="T522" s="5"/>
      <c r="U522" s="5"/>
      <c r="V522" s="5"/>
      <c r="W522" s="5"/>
    </row>
    <row r="523" spans="1:23" ht="16" x14ac:dyDescent="0.2">
      <c r="A523" s="5"/>
      <c r="B523" s="6"/>
      <c r="C523" s="6"/>
      <c r="D523" s="6"/>
      <c r="E523" s="6"/>
      <c r="F523" s="5"/>
      <c r="G523" s="5"/>
      <c r="H523" s="5"/>
      <c r="I523" s="5"/>
      <c r="J523" s="5"/>
      <c r="K523" s="5"/>
      <c r="L523" s="5"/>
      <c r="M523" s="5"/>
      <c r="N523" s="5"/>
      <c r="O523" s="5"/>
      <c r="P523" s="5"/>
      <c r="Q523" s="5"/>
      <c r="R523" s="5"/>
      <c r="S523" s="5"/>
      <c r="T523" s="5"/>
      <c r="U523" s="5"/>
      <c r="V523" s="5"/>
      <c r="W523" s="5"/>
    </row>
    <row r="524" spans="1:23" ht="16" x14ac:dyDescent="0.2">
      <c r="A524" s="5"/>
      <c r="B524" s="6"/>
      <c r="C524" s="6"/>
      <c r="D524" s="6"/>
      <c r="E524" s="6"/>
      <c r="F524" s="5"/>
      <c r="G524" s="5"/>
      <c r="H524" s="5"/>
      <c r="I524" s="5"/>
      <c r="J524" s="5"/>
      <c r="K524" s="5"/>
      <c r="L524" s="5"/>
      <c r="M524" s="5"/>
      <c r="N524" s="5"/>
      <c r="O524" s="5"/>
      <c r="P524" s="5"/>
      <c r="Q524" s="5"/>
      <c r="R524" s="5"/>
      <c r="S524" s="5"/>
      <c r="T524" s="5"/>
      <c r="U524" s="5"/>
      <c r="V524" s="5"/>
      <c r="W524" s="5"/>
    </row>
    <row r="525" spans="1:23" ht="16" x14ac:dyDescent="0.2">
      <c r="A525" s="5"/>
      <c r="B525" s="6"/>
      <c r="C525" s="6"/>
      <c r="D525" s="6"/>
      <c r="E525" s="6"/>
      <c r="F525" s="5"/>
      <c r="G525" s="5"/>
      <c r="H525" s="5"/>
      <c r="I525" s="5"/>
      <c r="J525" s="5"/>
      <c r="K525" s="5"/>
      <c r="L525" s="5"/>
      <c r="M525" s="5"/>
      <c r="N525" s="5"/>
      <c r="O525" s="5"/>
      <c r="P525" s="5"/>
      <c r="Q525" s="5"/>
      <c r="R525" s="5"/>
      <c r="S525" s="5"/>
      <c r="T525" s="5"/>
      <c r="U525" s="5"/>
      <c r="V525" s="5"/>
      <c r="W525" s="5"/>
    </row>
    <row r="526" spans="1:23" ht="16" x14ac:dyDescent="0.2">
      <c r="A526" s="5"/>
      <c r="B526" s="6"/>
      <c r="C526" s="6"/>
      <c r="D526" s="6"/>
      <c r="E526" s="6"/>
      <c r="F526" s="5"/>
      <c r="G526" s="5"/>
      <c r="H526" s="5"/>
      <c r="I526" s="5"/>
      <c r="J526" s="5"/>
      <c r="K526" s="5"/>
      <c r="L526" s="5"/>
      <c r="M526" s="5"/>
      <c r="N526" s="5"/>
      <c r="O526" s="5"/>
      <c r="P526" s="5"/>
      <c r="Q526" s="5"/>
      <c r="R526" s="5"/>
      <c r="S526" s="5"/>
      <c r="T526" s="5"/>
      <c r="U526" s="5"/>
      <c r="V526" s="5"/>
      <c r="W526" s="5"/>
    </row>
    <row r="527" spans="1:23" ht="16" x14ac:dyDescent="0.2">
      <c r="A527" s="5"/>
      <c r="B527" s="6"/>
      <c r="C527" s="6"/>
      <c r="D527" s="6"/>
      <c r="E527" s="6"/>
      <c r="F527" s="5"/>
      <c r="G527" s="5"/>
      <c r="H527" s="5"/>
      <c r="I527" s="5"/>
      <c r="J527" s="5"/>
      <c r="K527" s="5"/>
      <c r="L527" s="5"/>
      <c r="M527" s="5"/>
      <c r="N527" s="5"/>
      <c r="O527" s="5"/>
      <c r="P527" s="5"/>
      <c r="Q527" s="5"/>
      <c r="R527" s="5"/>
      <c r="S527" s="5"/>
      <c r="T527" s="5"/>
      <c r="U527" s="5"/>
      <c r="V527" s="5"/>
      <c r="W527" s="5"/>
    </row>
    <row r="528" spans="1:23" ht="16" x14ac:dyDescent="0.2">
      <c r="A528" s="5"/>
      <c r="B528" s="6"/>
      <c r="C528" s="6"/>
      <c r="D528" s="6"/>
      <c r="E528" s="6"/>
      <c r="F528" s="5"/>
      <c r="G528" s="5"/>
      <c r="H528" s="5"/>
      <c r="I528" s="5"/>
      <c r="J528" s="5"/>
      <c r="K528" s="5"/>
      <c r="L528" s="5"/>
      <c r="M528" s="5"/>
      <c r="N528" s="5"/>
      <c r="O528" s="5"/>
      <c r="P528" s="5"/>
      <c r="Q528" s="5"/>
      <c r="R528" s="5"/>
      <c r="S528" s="5"/>
      <c r="T528" s="5"/>
      <c r="U528" s="5"/>
      <c r="V528" s="5"/>
      <c r="W528" s="5"/>
    </row>
    <row r="529" spans="1:23" ht="16" x14ac:dyDescent="0.2">
      <c r="A529" s="5"/>
      <c r="B529" s="6"/>
      <c r="C529" s="6"/>
      <c r="D529" s="6"/>
      <c r="E529" s="6"/>
      <c r="F529" s="5"/>
      <c r="G529" s="5"/>
      <c r="H529" s="5"/>
      <c r="I529" s="5"/>
      <c r="J529" s="5"/>
      <c r="K529" s="5"/>
      <c r="L529" s="5"/>
      <c r="M529" s="5"/>
      <c r="N529" s="5"/>
      <c r="O529" s="5"/>
      <c r="P529" s="5"/>
      <c r="Q529" s="5"/>
      <c r="R529" s="5"/>
      <c r="S529" s="5"/>
      <c r="T529" s="5"/>
      <c r="U529" s="5"/>
      <c r="V529" s="5"/>
      <c r="W529" s="5"/>
    </row>
    <row r="530" spans="1:23" ht="16" x14ac:dyDescent="0.2">
      <c r="A530" s="5"/>
      <c r="B530" s="6"/>
      <c r="C530" s="6"/>
      <c r="D530" s="6"/>
      <c r="E530" s="6"/>
      <c r="F530" s="5"/>
      <c r="G530" s="5"/>
      <c r="H530" s="5"/>
      <c r="I530" s="5"/>
      <c r="J530" s="5"/>
      <c r="K530" s="5"/>
      <c r="L530" s="5"/>
      <c r="M530" s="5"/>
      <c r="N530" s="5"/>
      <c r="O530" s="5"/>
      <c r="P530" s="5"/>
      <c r="Q530" s="5"/>
      <c r="R530" s="5"/>
      <c r="S530" s="5"/>
      <c r="T530" s="5"/>
      <c r="U530" s="5"/>
      <c r="V530" s="5"/>
      <c r="W530" s="5"/>
    </row>
    <row r="531" spans="1:23" ht="16" x14ac:dyDescent="0.2">
      <c r="A531" s="5"/>
      <c r="B531" s="6"/>
      <c r="C531" s="6"/>
      <c r="D531" s="6"/>
      <c r="E531" s="6"/>
      <c r="F531" s="5"/>
      <c r="G531" s="5"/>
      <c r="H531" s="5"/>
      <c r="I531" s="5"/>
      <c r="J531" s="5"/>
      <c r="K531" s="5"/>
      <c r="L531" s="5"/>
      <c r="M531" s="5"/>
      <c r="N531" s="5"/>
      <c r="O531" s="5"/>
      <c r="P531" s="5"/>
      <c r="Q531" s="5"/>
      <c r="R531" s="5"/>
      <c r="S531" s="5"/>
      <c r="T531" s="5"/>
      <c r="U531" s="5"/>
      <c r="V531" s="5"/>
      <c r="W531" s="5"/>
    </row>
    <row r="532" spans="1:23" ht="16" x14ac:dyDescent="0.2">
      <c r="A532" s="5"/>
      <c r="B532" s="6"/>
      <c r="C532" s="6"/>
      <c r="D532" s="6"/>
      <c r="E532" s="6"/>
      <c r="F532" s="5"/>
      <c r="G532" s="5"/>
      <c r="H532" s="5"/>
      <c r="I532" s="5"/>
      <c r="J532" s="5"/>
      <c r="K532" s="5"/>
      <c r="L532" s="5"/>
      <c r="M532" s="5"/>
      <c r="N532" s="5"/>
      <c r="O532" s="5"/>
      <c r="P532" s="5"/>
      <c r="Q532" s="5"/>
      <c r="R532" s="5"/>
      <c r="S532" s="5"/>
      <c r="T532" s="5"/>
      <c r="U532" s="5"/>
      <c r="V532" s="5"/>
      <c r="W532" s="5"/>
    </row>
    <row r="533" spans="1:23" ht="16" x14ac:dyDescent="0.2">
      <c r="A533" s="5"/>
      <c r="B533" s="6"/>
      <c r="C533" s="6"/>
      <c r="D533" s="6"/>
      <c r="E533" s="6"/>
      <c r="F533" s="5"/>
      <c r="G533" s="5"/>
      <c r="H533" s="5"/>
      <c r="I533" s="5"/>
      <c r="J533" s="5"/>
      <c r="K533" s="5"/>
      <c r="L533" s="5"/>
      <c r="M533" s="5"/>
      <c r="N533" s="5"/>
      <c r="O533" s="5"/>
      <c r="P533" s="5"/>
      <c r="Q533" s="5"/>
      <c r="R533" s="5"/>
      <c r="S533" s="5"/>
      <c r="T533" s="5"/>
      <c r="U533" s="5"/>
      <c r="V533" s="5"/>
      <c r="W533" s="5"/>
    </row>
    <row r="534" spans="1:23" ht="16" x14ac:dyDescent="0.2">
      <c r="A534" s="5"/>
      <c r="B534" s="6"/>
      <c r="C534" s="6"/>
      <c r="D534" s="6"/>
      <c r="E534" s="6"/>
      <c r="F534" s="5"/>
      <c r="G534" s="5"/>
      <c r="H534" s="5"/>
      <c r="I534" s="5"/>
      <c r="J534" s="5"/>
      <c r="K534" s="5"/>
      <c r="L534" s="5"/>
      <c r="M534" s="5"/>
      <c r="N534" s="5"/>
      <c r="O534" s="5"/>
      <c r="P534" s="5"/>
      <c r="Q534" s="5"/>
      <c r="R534" s="5"/>
      <c r="S534" s="5"/>
      <c r="T534" s="5"/>
      <c r="U534" s="5"/>
      <c r="V534" s="5"/>
      <c r="W534" s="5"/>
    </row>
    <row r="535" spans="1:23" ht="16" x14ac:dyDescent="0.2">
      <c r="A535" s="5"/>
      <c r="B535" s="6"/>
      <c r="C535" s="6"/>
      <c r="D535" s="6"/>
      <c r="E535" s="6"/>
      <c r="F535" s="5"/>
      <c r="G535" s="5"/>
      <c r="H535" s="5"/>
      <c r="I535" s="5"/>
      <c r="J535" s="5"/>
      <c r="K535" s="5"/>
      <c r="L535" s="5"/>
      <c r="M535" s="5"/>
      <c r="N535" s="5"/>
      <c r="O535" s="5"/>
      <c r="P535" s="5"/>
      <c r="Q535" s="5"/>
      <c r="R535" s="5"/>
      <c r="S535" s="5"/>
      <c r="T535" s="5"/>
      <c r="U535" s="5"/>
      <c r="V535" s="5"/>
      <c r="W535" s="5"/>
    </row>
    <row r="536" spans="1:23" ht="16" x14ac:dyDescent="0.2">
      <c r="A536" s="5"/>
      <c r="B536" s="6"/>
      <c r="C536" s="6"/>
      <c r="D536" s="6"/>
      <c r="E536" s="6"/>
      <c r="F536" s="5"/>
      <c r="G536" s="5"/>
      <c r="H536" s="5"/>
      <c r="I536" s="5"/>
      <c r="J536" s="5"/>
      <c r="K536" s="5"/>
      <c r="L536" s="5"/>
      <c r="M536" s="5"/>
      <c r="N536" s="5"/>
      <c r="O536" s="5"/>
      <c r="P536" s="5"/>
      <c r="Q536" s="5"/>
      <c r="R536" s="5"/>
      <c r="S536" s="5"/>
      <c r="T536" s="5"/>
      <c r="U536" s="5"/>
      <c r="V536" s="5"/>
      <c r="W536" s="5"/>
    </row>
    <row r="537" spans="1:23" ht="16" x14ac:dyDescent="0.2">
      <c r="A537" s="5"/>
      <c r="B537" s="6"/>
      <c r="C537" s="6"/>
      <c r="D537" s="6"/>
      <c r="E537" s="6"/>
      <c r="F537" s="5"/>
      <c r="G537" s="5"/>
      <c r="H537" s="5"/>
      <c r="I537" s="5"/>
      <c r="J537" s="5"/>
      <c r="K537" s="5"/>
      <c r="L537" s="5"/>
      <c r="M537" s="5"/>
      <c r="N537" s="5"/>
      <c r="O537" s="5"/>
      <c r="P537" s="5"/>
      <c r="Q537" s="5"/>
      <c r="R537" s="5"/>
      <c r="S537" s="5"/>
      <c r="T537" s="5"/>
      <c r="U537" s="5"/>
      <c r="V537" s="5"/>
      <c r="W537" s="5"/>
    </row>
    <row r="538" spans="1:23" ht="16" x14ac:dyDescent="0.2">
      <c r="A538" s="5"/>
      <c r="B538" s="6"/>
      <c r="C538" s="6"/>
      <c r="D538" s="6"/>
      <c r="E538" s="6"/>
      <c r="F538" s="5"/>
      <c r="G538" s="5"/>
      <c r="H538" s="5"/>
      <c r="I538" s="5"/>
      <c r="J538" s="5"/>
      <c r="K538" s="5"/>
      <c r="L538" s="5"/>
      <c r="M538" s="5"/>
      <c r="N538" s="5"/>
      <c r="O538" s="5"/>
      <c r="P538" s="5"/>
      <c r="Q538" s="5"/>
      <c r="R538" s="5"/>
      <c r="S538" s="5"/>
      <c r="T538" s="5"/>
      <c r="U538" s="5"/>
      <c r="V538" s="5"/>
      <c r="W538" s="5"/>
    </row>
    <row r="539" spans="1:23" ht="16" x14ac:dyDescent="0.2">
      <c r="A539" s="5"/>
      <c r="B539" s="6"/>
      <c r="C539" s="6"/>
      <c r="D539" s="6"/>
      <c r="E539" s="6"/>
      <c r="F539" s="5"/>
      <c r="G539" s="5"/>
      <c r="H539" s="5"/>
      <c r="I539" s="5"/>
      <c r="J539" s="5"/>
      <c r="K539" s="5"/>
      <c r="L539" s="5"/>
      <c r="M539" s="5"/>
      <c r="N539" s="5"/>
      <c r="O539" s="5"/>
      <c r="P539" s="5"/>
      <c r="Q539" s="5"/>
      <c r="R539" s="5"/>
      <c r="S539" s="5"/>
      <c r="T539" s="5"/>
      <c r="U539" s="5"/>
      <c r="V539" s="5"/>
      <c r="W539" s="5"/>
    </row>
    <row r="540" spans="1:23" ht="16" x14ac:dyDescent="0.2">
      <c r="A540" s="5"/>
      <c r="B540" s="6"/>
      <c r="C540" s="6"/>
      <c r="D540" s="6"/>
      <c r="E540" s="6"/>
      <c r="F540" s="5"/>
      <c r="G540" s="5"/>
      <c r="H540" s="5"/>
      <c r="I540" s="5"/>
      <c r="J540" s="5"/>
      <c r="K540" s="5"/>
      <c r="L540" s="5"/>
      <c r="M540" s="5"/>
      <c r="N540" s="5"/>
      <c r="O540" s="5"/>
      <c r="P540" s="5"/>
      <c r="Q540" s="5"/>
      <c r="R540" s="5"/>
      <c r="S540" s="5"/>
      <c r="T540" s="5"/>
      <c r="U540" s="5"/>
      <c r="V540" s="5"/>
      <c r="W540" s="5"/>
    </row>
    <row r="541" spans="1:23" ht="16" x14ac:dyDescent="0.2">
      <c r="A541" s="5"/>
      <c r="B541" s="6"/>
      <c r="C541" s="6"/>
      <c r="D541" s="6"/>
      <c r="E541" s="6"/>
      <c r="F541" s="5"/>
      <c r="G541" s="5"/>
      <c r="H541" s="5"/>
      <c r="I541" s="5"/>
      <c r="J541" s="5"/>
      <c r="K541" s="5"/>
      <c r="L541" s="5"/>
      <c r="M541" s="5"/>
      <c r="N541" s="5"/>
      <c r="O541" s="5"/>
      <c r="P541" s="5"/>
      <c r="Q541" s="5"/>
      <c r="R541" s="5"/>
      <c r="S541" s="5"/>
      <c r="T541" s="5"/>
      <c r="U541" s="5"/>
      <c r="V541" s="5"/>
      <c r="W541" s="5"/>
    </row>
    <row r="542" spans="1:23" ht="16" x14ac:dyDescent="0.2">
      <c r="A542" s="5"/>
      <c r="B542" s="6"/>
      <c r="C542" s="6"/>
      <c r="D542" s="6"/>
      <c r="E542" s="6"/>
      <c r="F542" s="5"/>
      <c r="G542" s="5"/>
      <c r="H542" s="5"/>
      <c r="I542" s="5"/>
      <c r="J542" s="5"/>
      <c r="K542" s="5"/>
      <c r="L542" s="5"/>
      <c r="M542" s="5"/>
      <c r="N542" s="5"/>
      <c r="O542" s="5"/>
      <c r="P542" s="5"/>
      <c r="Q542" s="5"/>
      <c r="R542" s="5"/>
      <c r="S542" s="5"/>
      <c r="T542" s="5"/>
      <c r="U542" s="5"/>
      <c r="V542" s="5"/>
      <c r="W542" s="5"/>
    </row>
    <row r="543" spans="1:23" ht="16" x14ac:dyDescent="0.2">
      <c r="A543" s="5"/>
      <c r="B543" s="6"/>
      <c r="C543" s="6"/>
      <c r="D543" s="6"/>
      <c r="E543" s="6"/>
      <c r="F543" s="5"/>
      <c r="G543" s="5"/>
      <c r="H543" s="5"/>
      <c r="I543" s="5"/>
      <c r="J543" s="5"/>
      <c r="K543" s="5"/>
      <c r="L543" s="5"/>
      <c r="M543" s="5"/>
      <c r="N543" s="5"/>
      <c r="O543" s="5"/>
      <c r="P543" s="5"/>
      <c r="Q543" s="5"/>
      <c r="R543" s="5"/>
      <c r="S543" s="5"/>
      <c r="T543" s="5"/>
      <c r="U543" s="5"/>
      <c r="V543" s="5"/>
      <c r="W543" s="5"/>
    </row>
    <row r="544" spans="1:23" ht="16" x14ac:dyDescent="0.2">
      <c r="A544" s="5"/>
      <c r="B544" s="6"/>
      <c r="C544" s="6"/>
      <c r="D544" s="6"/>
      <c r="E544" s="6"/>
      <c r="F544" s="5"/>
      <c r="G544" s="5"/>
      <c r="H544" s="5"/>
      <c r="I544" s="5"/>
      <c r="J544" s="5"/>
      <c r="K544" s="5"/>
      <c r="L544" s="5"/>
      <c r="M544" s="5"/>
      <c r="N544" s="5"/>
      <c r="O544" s="5"/>
      <c r="P544" s="5"/>
      <c r="Q544" s="5"/>
      <c r="R544" s="5"/>
      <c r="S544" s="5"/>
      <c r="T544" s="5"/>
      <c r="U544" s="5"/>
      <c r="V544" s="5"/>
      <c r="W544" s="5"/>
    </row>
    <row r="545" spans="1:23" ht="16" x14ac:dyDescent="0.2">
      <c r="A545" s="5"/>
      <c r="B545" s="6"/>
      <c r="C545" s="6"/>
      <c r="D545" s="6"/>
      <c r="E545" s="6"/>
      <c r="F545" s="5"/>
      <c r="G545" s="5"/>
      <c r="H545" s="5"/>
      <c r="I545" s="5"/>
      <c r="J545" s="5"/>
      <c r="K545" s="5"/>
      <c r="L545" s="5"/>
      <c r="M545" s="5"/>
      <c r="N545" s="5"/>
      <c r="O545" s="5"/>
      <c r="P545" s="5"/>
      <c r="Q545" s="5"/>
      <c r="R545" s="5"/>
      <c r="S545" s="5"/>
      <c r="T545" s="5"/>
      <c r="U545" s="5"/>
      <c r="V545" s="5"/>
      <c r="W545" s="5"/>
    </row>
    <row r="546" spans="1:23" ht="16" x14ac:dyDescent="0.2">
      <c r="A546" s="5"/>
      <c r="B546" s="6"/>
      <c r="C546" s="6"/>
      <c r="D546" s="6"/>
      <c r="E546" s="6"/>
      <c r="F546" s="5"/>
      <c r="G546" s="5"/>
      <c r="H546" s="5"/>
      <c r="I546" s="5"/>
      <c r="J546" s="5"/>
      <c r="K546" s="5"/>
      <c r="L546" s="5"/>
      <c r="M546" s="5"/>
      <c r="N546" s="5"/>
      <c r="O546" s="5"/>
      <c r="P546" s="5"/>
      <c r="Q546" s="5"/>
      <c r="R546" s="5"/>
      <c r="S546" s="5"/>
      <c r="T546" s="5"/>
      <c r="U546" s="5"/>
      <c r="V546" s="5"/>
      <c r="W546" s="5"/>
    </row>
    <row r="547" spans="1:23" ht="16" x14ac:dyDescent="0.2">
      <c r="A547" s="5"/>
      <c r="B547" s="6"/>
      <c r="C547" s="6"/>
      <c r="D547" s="6"/>
      <c r="E547" s="6"/>
      <c r="F547" s="5"/>
      <c r="G547" s="5"/>
      <c r="H547" s="5"/>
      <c r="I547" s="5"/>
      <c r="J547" s="5"/>
      <c r="K547" s="5"/>
      <c r="L547" s="5"/>
      <c r="M547" s="5"/>
      <c r="N547" s="5"/>
      <c r="O547" s="5"/>
      <c r="P547" s="5"/>
      <c r="Q547" s="5"/>
      <c r="R547" s="5"/>
      <c r="S547" s="5"/>
      <c r="T547" s="5"/>
      <c r="U547" s="5"/>
      <c r="V547" s="5"/>
      <c r="W547" s="5"/>
    </row>
    <row r="548" spans="1:23" ht="16" x14ac:dyDescent="0.2">
      <c r="A548" s="5"/>
      <c r="B548" s="6"/>
      <c r="C548" s="6"/>
      <c r="D548" s="6"/>
      <c r="E548" s="6"/>
      <c r="F548" s="5"/>
      <c r="G548" s="5"/>
      <c r="H548" s="5"/>
      <c r="I548" s="5"/>
      <c r="J548" s="5"/>
      <c r="K548" s="5"/>
      <c r="L548" s="5"/>
      <c r="M548" s="5"/>
      <c r="N548" s="5"/>
      <c r="O548" s="5"/>
      <c r="P548" s="5"/>
      <c r="Q548" s="5"/>
      <c r="R548" s="5"/>
      <c r="S548" s="5"/>
      <c r="T548" s="5"/>
      <c r="U548" s="5"/>
      <c r="V548" s="5"/>
      <c r="W548" s="5"/>
    </row>
    <row r="549" spans="1:23" ht="16" x14ac:dyDescent="0.2">
      <c r="A549" s="5"/>
      <c r="B549" s="6"/>
      <c r="C549" s="6"/>
      <c r="D549" s="6"/>
      <c r="E549" s="6"/>
      <c r="F549" s="5"/>
      <c r="G549" s="5"/>
      <c r="H549" s="5"/>
      <c r="I549" s="5"/>
      <c r="J549" s="5"/>
      <c r="K549" s="5"/>
      <c r="L549" s="5"/>
      <c r="M549" s="5"/>
      <c r="N549" s="5"/>
      <c r="O549" s="5"/>
      <c r="P549" s="5"/>
      <c r="Q549" s="5"/>
      <c r="R549" s="5"/>
      <c r="S549" s="5"/>
      <c r="T549" s="5"/>
      <c r="U549" s="5"/>
      <c r="V549" s="5"/>
      <c r="W549" s="5"/>
    </row>
    <row r="550" spans="1:23" ht="16" x14ac:dyDescent="0.2">
      <c r="A550" s="5"/>
      <c r="B550" s="6"/>
      <c r="C550" s="6"/>
      <c r="D550" s="6"/>
      <c r="E550" s="6"/>
      <c r="F550" s="5"/>
      <c r="G550" s="5"/>
      <c r="H550" s="5"/>
      <c r="I550" s="5"/>
      <c r="J550" s="5"/>
      <c r="K550" s="5"/>
      <c r="L550" s="5"/>
      <c r="M550" s="5"/>
      <c r="N550" s="5"/>
      <c r="O550" s="5"/>
      <c r="P550" s="5"/>
      <c r="Q550" s="5"/>
      <c r="R550" s="5"/>
      <c r="S550" s="5"/>
      <c r="T550" s="5"/>
      <c r="U550" s="5"/>
      <c r="V550" s="5"/>
      <c r="W550" s="5"/>
    </row>
    <row r="551" spans="1:23" ht="16" x14ac:dyDescent="0.2">
      <c r="A551" s="5"/>
      <c r="B551" s="6"/>
      <c r="C551" s="6"/>
      <c r="D551" s="6"/>
      <c r="E551" s="6"/>
      <c r="F551" s="5"/>
      <c r="G551" s="5"/>
      <c r="H551" s="5"/>
      <c r="I551" s="5"/>
      <c r="J551" s="5"/>
      <c r="K551" s="5"/>
      <c r="L551" s="5"/>
      <c r="M551" s="5"/>
      <c r="N551" s="5"/>
      <c r="O551" s="5"/>
      <c r="P551" s="5"/>
      <c r="Q551" s="5"/>
      <c r="R551" s="5"/>
      <c r="S551" s="5"/>
      <c r="T551" s="5"/>
      <c r="U551" s="5"/>
      <c r="V551" s="5"/>
      <c r="W551" s="5"/>
    </row>
    <row r="552" spans="1:23" ht="16" x14ac:dyDescent="0.2">
      <c r="A552" s="5"/>
      <c r="B552" s="6"/>
      <c r="C552" s="6"/>
      <c r="D552" s="6"/>
      <c r="E552" s="6"/>
      <c r="F552" s="5"/>
      <c r="G552" s="5"/>
      <c r="H552" s="5"/>
      <c r="I552" s="5"/>
      <c r="J552" s="5"/>
      <c r="K552" s="5"/>
      <c r="L552" s="5"/>
      <c r="M552" s="5"/>
      <c r="N552" s="5"/>
      <c r="O552" s="5"/>
      <c r="P552" s="5"/>
      <c r="Q552" s="5"/>
      <c r="R552" s="5"/>
      <c r="S552" s="5"/>
      <c r="T552" s="5"/>
      <c r="U552" s="5"/>
      <c r="V552" s="5"/>
      <c r="W552" s="5"/>
    </row>
    <row r="553" spans="1:23" ht="16" x14ac:dyDescent="0.2">
      <c r="A553" s="5"/>
      <c r="B553" s="6"/>
      <c r="C553" s="6"/>
      <c r="D553" s="6"/>
      <c r="E553" s="6"/>
      <c r="F553" s="5"/>
      <c r="G553" s="5"/>
      <c r="H553" s="5"/>
      <c r="I553" s="5"/>
      <c r="J553" s="5"/>
      <c r="K553" s="5"/>
      <c r="L553" s="5"/>
      <c r="M553" s="5"/>
      <c r="N553" s="5"/>
      <c r="O553" s="5"/>
      <c r="P553" s="5"/>
      <c r="Q553" s="5"/>
      <c r="R553" s="5"/>
      <c r="S553" s="5"/>
      <c r="T553" s="5"/>
      <c r="U553" s="5"/>
      <c r="V553" s="5"/>
      <c r="W553" s="5"/>
    </row>
    <row r="554" spans="1:23" ht="16" x14ac:dyDescent="0.2">
      <c r="A554" s="5"/>
      <c r="B554" s="6"/>
      <c r="C554" s="6"/>
      <c r="D554" s="6"/>
      <c r="E554" s="6"/>
      <c r="F554" s="5"/>
      <c r="G554" s="5"/>
      <c r="H554" s="5"/>
      <c r="I554" s="5"/>
      <c r="J554" s="5"/>
      <c r="K554" s="5"/>
      <c r="L554" s="5"/>
      <c r="M554" s="5"/>
      <c r="N554" s="5"/>
      <c r="O554" s="5"/>
      <c r="P554" s="5"/>
      <c r="Q554" s="5"/>
      <c r="R554" s="5"/>
      <c r="S554" s="5"/>
      <c r="T554" s="5"/>
      <c r="U554" s="5"/>
      <c r="V554" s="5"/>
      <c r="W554" s="5"/>
    </row>
    <row r="555" spans="1:23" ht="16" x14ac:dyDescent="0.2">
      <c r="A555" s="5"/>
      <c r="B555" s="6"/>
      <c r="C555" s="6"/>
      <c r="D555" s="6"/>
      <c r="E555" s="6"/>
      <c r="F555" s="5"/>
      <c r="G555" s="5"/>
      <c r="H555" s="5"/>
      <c r="I555" s="5"/>
      <c r="J555" s="5"/>
      <c r="K555" s="5"/>
      <c r="L555" s="5"/>
      <c r="M555" s="5"/>
      <c r="N555" s="5"/>
      <c r="O555" s="5"/>
      <c r="P555" s="5"/>
      <c r="Q555" s="5"/>
      <c r="R555" s="5"/>
      <c r="S555" s="5"/>
      <c r="T555" s="5"/>
      <c r="U555" s="5"/>
      <c r="V555" s="5"/>
      <c r="W555" s="5"/>
    </row>
    <row r="556" spans="1:23" ht="16" x14ac:dyDescent="0.2">
      <c r="A556" s="5"/>
      <c r="B556" s="6"/>
      <c r="C556" s="6"/>
      <c r="D556" s="6"/>
      <c r="E556" s="6"/>
      <c r="F556" s="5"/>
      <c r="G556" s="5"/>
      <c r="H556" s="5"/>
      <c r="I556" s="5"/>
      <c r="J556" s="5"/>
      <c r="K556" s="5"/>
      <c r="L556" s="5"/>
      <c r="M556" s="5"/>
      <c r="N556" s="5"/>
      <c r="O556" s="5"/>
      <c r="P556" s="5"/>
      <c r="Q556" s="5"/>
      <c r="R556" s="5"/>
      <c r="S556" s="5"/>
      <c r="T556" s="5"/>
      <c r="U556" s="5"/>
      <c r="V556" s="5"/>
      <c r="W556" s="5"/>
    </row>
    <row r="557" spans="1:23" ht="16" x14ac:dyDescent="0.2">
      <c r="A557" s="5"/>
      <c r="B557" s="6"/>
      <c r="C557" s="6"/>
      <c r="D557" s="6"/>
      <c r="E557" s="6"/>
      <c r="F557" s="5"/>
      <c r="G557" s="5"/>
      <c r="H557" s="5"/>
      <c r="I557" s="5"/>
      <c r="J557" s="5"/>
      <c r="K557" s="5"/>
      <c r="L557" s="5"/>
      <c r="M557" s="5"/>
      <c r="N557" s="5"/>
      <c r="O557" s="5"/>
      <c r="P557" s="5"/>
      <c r="Q557" s="5"/>
      <c r="R557" s="5"/>
      <c r="S557" s="5"/>
      <c r="T557" s="5"/>
      <c r="U557" s="5"/>
      <c r="V557" s="5"/>
      <c r="W557" s="5"/>
    </row>
    <row r="558" spans="1:23" ht="16" x14ac:dyDescent="0.2">
      <c r="A558" s="5"/>
      <c r="B558" s="6"/>
      <c r="C558" s="6"/>
      <c r="D558" s="6"/>
      <c r="E558" s="6"/>
      <c r="F558" s="5"/>
      <c r="G558" s="5"/>
      <c r="H558" s="5"/>
      <c r="I558" s="5"/>
      <c r="J558" s="5"/>
      <c r="K558" s="5"/>
      <c r="L558" s="5"/>
      <c r="M558" s="5"/>
      <c r="N558" s="5"/>
      <c r="O558" s="5"/>
      <c r="P558" s="5"/>
      <c r="Q558" s="5"/>
      <c r="R558" s="5"/>
      <c r="S558" s="5"/>
      <c r="T558" s="5"/>
      <c r="U558" s="5"/>
      <c r="V558" s="5"/>
      <c r="W558" s="5"/>
    </row>
    <row r="559" spans="1:23" ht="16" x14ac:dyDescent="0.2">
      <c r="A559" s="5"/>
      <c r="B559" s="6"/>
      <c r="C559" s="6"/>
      <c r="D559" s="6"/>
      <c r="E559" s="6"/>
      <c r="F559" s="5"/>
      <c r="G559" s="5"/>
      <c r="H559" s="5"/>
      <c r="I559" s="5"/>
      <c r="J559" s="5"/>
      <c r="K559" s="5"/>
      <c r="L559" s="5"/>
      <c r="M559" s="5"/>
      <c r="N559" s="5"/>
      <c r="O559" s="5"/>
      <c r="P559" s="5"/>
      <c r="Q559" s="5"/>
      <c r="R559" s="5"/>
      <c r="S559" s="5"/>
      <c r="T559" s="5"/>
      <c r="U559" s="5"/>
      <c r="V559" s="5"/>
      <c r="W559" s="5"/>
    </row>
    <row r="560" spans="1:23" ht="16" x14ac:dyDescent="0.2">
      <c r="A560" s="5"/>
      <c r="B560" s="6"/>
      <c r="C560" s="6"/>
      <c r="D560" s="6"/>
      <c r="E560" s="6"/>
      <c r="F560" s="5"/>
      <c r="G560" s="5"/>
      <c r="H560" s="5"/>
      <c r="I560" s="5"/>
      <c r="J560" s="5"/>
      <c r="K560" s="5"/>
      <c r="L560" s="5"/>
      <c r="M560" s="5"/>
      <c r="N560" s="5"/>
      <c r="O560" s="5"/>
      <c r="P560" s="5"/>
      <c r="Q560" s="5"/>
      <c r="R560" s="5"/>
      <c r="S560" s="5"/>
      <c r="T560" s="5"/>
      <c r="U560" s="5"/>
      <c r="V560" s="5"/>
      <c r="W560" s="5"/>
    </row>
    <row r="561" spans="1:23" ht="16" x14ac:dyDescent="0.2">
      <c r="A561" s="5"/>
      <c r="B561" s="6"/>
      <c r="C561" s="6"/>
      <c r="D561" s="6"/>
      <c r="E561" s="6"/>
      <c r="F561" s="5"/>
      <c r="G561" s="5"/>
      <c r="H561" s="5"/>
      <c r="I561" s="5"/>
      <c r="J561" s="5"/>
      <c r="K561" s="5"/>
      <c r="L561" s="5"/>
      <c r="M561" s="5"/>
      <c r="N561" s="5"/>
      <c r="O561" s="5"/>
      <c r="P561" s="5"/>
      <c r="Q561" s="5"/>
      <c r="R561" s="5"/>
      <c r="S561" s="5"/>
      <c r="T561" s="5"/>
      <c r="U561" s="5"/>
      <c r="V561" s="5"/>
      <c r="W561" s="5"/>
    </row>
    <row r="562" spans="1:23" ht="16" x14ac:dyDescent="0.2">
      <c r="A562" s="5"/>
      <c r="B562" s="6"/>
      <c r="C562" s="6"/>
      <c r="D562" s="6"/>
      <c r="E562" s="6"/>
      <c r="F562" s="5"/>
      <c r="G562" s="5"/>
      <c r="H562" s="5"/>
      <c r="I562" s="5"/>
      <c r="J562" s="5"/>
      <c r="K562" s="5"/>
      <c r="L562" s="5"/>
      <c r="M562" s="5"/>
      <c r="N562" s="5"/>
      <c r="O562" s="5"/>
      <c r="P562" s="5"/>
      <c r="Q562" s="5"/>
      <c r="R562" s="5"/>
      <c r="S562" s="5"/>
      <c r="T562" s="5"/>
      <c r="U562" s="5"/>
      <c r="V562" s="5"/>
      <c r="W562" s="5"/>
    </row>
    <row r="563" spans="1:23" ht="16" x14ac:dyDescent="0.2">
      <c r="A563" s="5"/>
      <c r="B563" s="6"/>
      <c r="C563" s="6"/>
      <c r="D563" s="6"/>
      <c r="E563" s="6"/>
      <c r="F563" s="5"/>
      <c r="G563" s="5"/>
      <c r="H563" s="5"/>
      <c r="I563" s="5"/>
      <c r="J563" s="5"/>
      <c r="K563" s="5"/>
      <c r="L563" s="5"/>
      <c r="M563" s="5"/>
      <c r="N563" s="5"/>
      <c r="O563" s="5"/>
      <c r="P563" s="5"/>
      <c r="Q563" s="5"/>
      <c r="R563" s="5"/>
      <c r="S563" s="5"/>
      <c r="T563" s="5"/>
      <c r="U563" s="5"/>
      <c r="V563" s="5"/>
      <c r="W563" s="5"/>
    </row>
    <row r="564" spans="1:23" ht="16" x14ac:dyDescent="0.2">
      <c r="A564" s="5"/>
      <c r="B564" s="6"/>
      <c r="C564" s="6"/>
      <c r="D564" s="6"/>
      <c r="E564" s="6"/>
      <c r="F564" s="5"/>
      <c r="G564" s="5"/>
      <c r="H564" s="5"/>
      <c r="I564" s="5"/>
      <c r="J564" s="5"/>
      <c r="K564" s="5"/>
      <c r="L564" s="5"/>
      <c r="M564" s="5"/>
      <c r="N564" s="5"/>
      <c r="O564" s="5"/>
      <c r="P564" s="5"/>
      <c r="Q564" s="5"/>
      <c r="R564" s="5"/>
      <c r="S564" s="5"/>
      <c r="T564" s="5"/>
      <c r="U564" s="5"/>
      <c r="V564" s="5"/>
      <c r="W564" s="5"/>
    </row>
    <row r="565" spans="1:23" ht="16" x14ac:dyDescent="0.2">
      <c r="A565" s="5"/>
      <c r="B565" s="6"/>
      <c r="C565" s="6"/>
      <c r="D565" s="6"/>
      <c r="E565" s="6"/>
      <c r="F565" s="5"/>
      <c r="G565" s="5"/>
      <c r="H565" s="5"/>
      <c r="I565" s="5"/>
      <c r="J565" s="5"/>
      <c r="K565" s="5"/>
      <c r="L565" s="5"/>
      <c r="M565" s="5"/>
      <c r="N565" s="5"/>
      <c r="O565" s="5"/>
      <c r="P565" s="5"/>
      <c r="Q565" s="5"/>
      <c r="R565" s="5"/>
      <c r="S565" s="5"/>
      <c r="T565" s="5"/>
      <c r="U565" s="5"/>
      <c r="V565" s="5"/>
      <c r="W565" s="5"/>
    </row>
    <row r="566" spans="1:23" ht="16" x14ac:dyDescent="0.2">
      <c r="A566" s="5"/>
      <c r="B566" s="6"/>
      <c r="C566" s="6"/>
      <c r="D566" s="6"/>
      <c r="E566" s="6"/>
      <c r="F566" s="5"/>
      <c r="G566" s="5"/>
      <c r="H566" s="5"/>
      <c r="I566" s="5"/>
      <c r="J566" s="5"/>
      <c r="K566" s="5"/>
      <c r="L566" s="5"/>
      <c r="M566" s="5"/>
      <c r="N566" s="5"/>
      <c r="O566" s="5"/>
      <c r="P566" s="5"/>
      <c r="Q566" s="5"/>
      <c r="R566" s="5"/>
      <c r="S566" s="5"/>
      <c r="T566" s="5"/>
      <c r="U566" s="5"/>
      <c r="V566" s="5"/>
      <c r="W566" s="5"/>
    </row>
    <row r="567" spans="1:23" ht="16" x14ac:dyDescent="0.2">
      <c r="A567" s="5"/>
      <c r="B567" s="6"/>
      <c r="C567" s="6"/>
      <c r="D567" s="6"/>
      <c r="E567" s="6"/>
      <c r="F567" s="5"/>
      <c r="G567" s="5"/>
      <c r="H567" s="5"/>
      <c r="I567" s="5"/>
      <c r="J567" s="5"/>
      <c r="K567" s="5"/>
      <c r="L567" s="5"/>
      <c r="M567" s="5"/>
      <c r="N567" s="5"/>
      <c r="O567" s="5"/>
      <c r="P567" s="5"/>
      <c r="Q567" s="5"/>
      <c r="R567" s="5"/>
      <c r="S567" s="5"/>
      <c r="T567" s="5"/>
      <c r="U567" s="5"/>
      <c r="V567" s="5"/>
      <c r="W567" s="5"/>
    </row>
    <row r="568" spans="1:23" ht="16" x14ac:dyDescent="0.2">
      <c r="A568" s="5"/>
      <c r="B568" s="6"/>
      <c r="C568" s="6"/>
      <c r="D568" s="6"/>
      <c r="E568" s="6"/>
      <c r="F568" s="5"/>
      <c r="G568" s="5"/>
      <c r="H568" s="5"/>
      <c r="I568" s="5"/>
      <c r="J568" s="5"/>
      <c r="K568" s="5"/>
      <c r="L568" s="5"/>
      <c r="M568" s="5"/>
      <c r="N568" s="5"/>
      <c r="O568" s="5"/>
      <c r="P568" s="5"/>
      <c r="Q568" s="5"/>
      <c r="R568" s="5"/>
      <c r="S568" s="5"/>
      <c r="T568" s="5"/>
      <c r="U568" s="5"/>
      <c r="V568" s="5"/>
      <c r="W568" s="5"/>
    </row>
    <row r="569" spans="1:23" ht="16" x14ac:dyDescent="0.2">
      <c r="A569" s="5"/>
      <c r="B569" s="6"/>
      <c r="C569" s="6"/>
      <c r="D569" s="6"/>
      <c r="E569" s="6"/>
      <c r="F569" s="5"/>
      <c r="G569" s="5"/>
      <c r="H569" s="5"/>
      <c r="I569" s="5"/>
      <c r="J569" s="5"/>
      <c r="K569" s="5"/>
      <c r="L569" s="5"/>
      <c r="M569" s="5"/>
      <c r="N569" s="5"/>
      <c r="O569" s="5"/>
      <c r="P569" s="5"/>
      <c r="Q569" s="5"/>
      <c r="R569" s="5"/>
      <c r="S569" s="5"/>
      <c r="T569" s="5"/>
      <c r="U569" s="5"/>
      <c r="V569" s="5"/>
      <c r="W569" s="5"/>
    </row>
    <row r="570" spans="1:23" ht="16" x14ac:dyDescent="0.2">
      <c r="A570" s="5"/>
      <c r="B570" s="6"/>
      <c r="C570" s="6"/>
      <c r="D570" s="6"/>
      <c r="E570" s="6"/>
      <c r="F570" s="5"/>
      <c r="G570" s="5"/>
      <c r="H570" s="5"/>
      <c r="I570" s="5"/>
      <c r="J570" s="5"/>
      <c r="K570" s="5"/>
      <c r="L570" s="5"/>
      <c r="M570" s="5"/>
      <c r="N570" s="5"/>
      <c r="O570" s="5"/>
      <c r="P570" s="5"/>
      <c r="Q570" s="5"/>
      <c r="R570" s="5"/>
      <c r="S570" s="5"/>
      <c r="T570" s="5"/>
      <c r="U570" s="5"/>
      <c r="V570" s="5"/>
      <c r="W570" s="5"/>
    </row>
    <row r="571" spans="1:23" ht="16" x14ac:dyDescent="0.2">
      <c r="A571" s="5"/>
      <c r="B571" s="6"/>
      <c r="C571" s="6"/>
      <c r="D571" s="6"/>
      <c r="E571" s="6"/>
      <c r="F571" s="5"/>
      <c r="G571" s="5"/>
      <c r="H571" s="5"/>
      <c r="I571" s="5"/>
      <c r="J571" s="5"/>
      <c r="K571" s="5"/>
      <c r="L571" s="5"/>
      <c r="M571" s="5"/>
      <c r="N571" s="5"/>
      <c r="O571" s="5"/>
      <c r="P571" s="5"/>
      <c r="Q571" s="5"/>
      <c r="R571" s="5"/>
      <c r="S571" s="5"/>
      <c r="T571" s="5"/>
      <c r="U571" s="5"/>
      <c r="V571" s="5"/>
      <c r="W571" s="5"/>
    </row>
    <row r="572" spans="1:23" ht="16" x14ac:dyDescent="0.2">
      <c r="A572" s="5"/>
      <c r="B572" s="6"/>
      <c r="C572" s="6"/>
      <c r="D572" s="6"/>
      <c r="E572" s="6"/>
      <c r="F572" s="5"/>
      <c r="G572" s="5"/>
      <c r="H572" s="5"/>
      <c r="I572" s="5"/>
      <c r="J572" s="5"/>
      <c r="K572" s="5"/>
      <c r="L572" s="5"/>
      <c r="M572" s="5"/>
      <c r="N572" s="5"/>
      <c r="O572" s="5"/>
      <c r="P572" s="5"/>
      <c r="Q572" s="5"/>
      <c r="R572" s="5"/>
      <c r="S572" s="5"/>
      <c r="T572" s="5"/>
      <c r="U572" s="5"/>
      <c r="V572" s="5"/>
      <c r="W572" s="5"/>
    </row>
    <row r="573" spans="1:23" ht="16" x14ac:dyDescent="0.2">
      <c r="A573" s="5"/>
      <c r="B573" s="6"/>
      <c r="C573" s="6"/>
      <c r="D573" s="6"/>
      <c r="E573" s="6"/>
      <c r="F573" s="5"/>
      <c r="G573" s="5"/>
      <c r="H573" s="5"/>
      <c r="I573" s="5"/>
      <c r="J573" s="5"/>
      <c r="K573" s="5"/>
      <c r="L573" s="5"/>
      <c r="M573" s="5"/>
      <c r="N573" s="5"/>
      <c r="O573" s="5"/>
      <c r="P573" s="5"/>
      <c r="Q573" s="5"/>
      <c r="R573" s="5"/>
      <c r="S573" s="5"/>
      <c r="T573" s="5"/>
      <c r="U573" s="5"/>
      <c r="V573" s="5"/>
      <c r="W573" s="5"/>
    </row>
    <row r="574" spans="1:23" ht="16" x14ac:dyDescent="0.2">
      <c r="A574" s="5"/>
      <c r="B574" s="6"/>
      <c r="C574" s="6"/>
      <c r="D574" s="6"/>
      <c r="E574" s="6"/>
      <c r="F574" s="5"/>
      <c r="G574" s="5"/>
      <c r="H574" s="5"/>
      <c r="I574" s="5"/>
      <c r="J574" s="5"/>
      <c r="K574" s="5"/>
      <c r="L574" s="5"/>
      <c r="M574" s="5"/>
      <c r="N574" s="5"/>
      <c r="O574" s="5"/>
      <c r="P574" s="5"/>
      <c r="Q574" s="5"/>
      <c r="R574" s="5"/>
      <c r="S574" s="5"/>
      <c r="T574" s="5"/>
      <c r="U574" s="5"/>
      <c r="V574" s="5"/>
      <c r="W574" s="5"/>
    </row>
    <row r="575" spans="1:23" ht="16" x14ac:dyDescent="0.2">
      <c r="A575" s="5"/>
      <c r="B575" s="6"/>
      <c r="C575" s="6"/>
      <c r="D575" s="6"/>
      <c r="E575" s="6"/>
      <c r="F575" s="5"/>
      <c r="G575" s="5"/>
      <c r="H575" s="5"/>
      <c r="I575" s="5"/>
      <c r="J575" s="5"/>
      <c r="K575" s="5"/>
      <c r="L575" s="5"/>
      <c r="M575" s="5"/>
      <c r="N575" s="5"/>
      <c r="O575" s="5"/>
      <c r="P575" s="5"/>
      <c r="Q575" s="5"/>
      <c r="R575" s="5"/>
      <c r="S575" s="5"/>
      <c r="T575" s="5"/>
      <c r="U575" s="5"/>
      <c r="V575" s="5"/>
      <c r="W575" s="5"/>
    </row>
    <row r="576" spans="1:23" ht="16" x14ac:dyDescent="0.2">
      <c r="A576" s="5"/>
      <c r="B576" s="6"/>
      <c r="C576" s="6"/>
      <c r="D576" s="6"/>
      <c r="E576" s="6"/>
      <c r="F576" s="5"/>
      <c r="G576" s="5"/>
      <c r="H576" s="5"/>
      <c r="I576" s="5"/>
      <c r="J576" s="5"/>
      <c r="K576" s="5"/>
      <c r="L576" s="5"/>
      <c r="M576" s="5"/>
      <c r="N576" s="5"/>
      <c r="O576" s="5"/>
      <c r="P576" s="5"/>
      <c r="Q576" s="5"/>
      <c r="R576" s="5"/>
      <c r="S576" s="5"/>
      <c r="T576" s="5"/>
      <c r="U576" s="5"/>
      <c r="V576" s="5"/>
      <c r="W576" s="5"/>
    </row>
    <row r="577" spans="1:23" ht="16" x14ac:dyDescent="0.2">
      <c r="A577" s="5"/>
      <c r="B577" s="6"/>
      <c r="C577" s="6"/>
      <c r="D577" s="6"/>
      <c r="E577" s="6"/>
      <c r="F577" s="5"/>
      <c r="G577" s="5"/>
      <c r="H577" s="5"/>
      <c r="I577" s="5"/>
      <c r="J577" s="5"/>
      <c r="K577" s="5"/>
      <c r="L577" s="5"/>
      <c r="M577" s="5"/>
      <c r="N577" s="5"/>
      <c r="O577" s="5"/>
      <c r="P577" s="5"/>
      <c r="Q577" s="5"/>
      <c r="R577" s="5"/>
      <c r="S577" s="5"/>
      <c r="T577" s="5"/>
      <c r="U577" s="5"/>
      <c r="V577" s="5"/>
      <c r="W577" s="5"/>
    </row>
    <row r="578" spans="1:23" ht="16" x14ac:dyDescent="0.2">
      <c r="A578" s="5"/>
      <c r="B578" s="6"/>
      <c r="C578" s="6"/>
      <c r="D578" s="6"/>
      <c r="E578" s="6"/>
      <c r="F578" s="5"/>
      <c r="G578" s="5"/>
      <c r="H578" s="5"/>
      <c r="I578" s="5"/>
      <c r="J578" s="5"/>
      <c r="K578" s="5"/>
      <c r="L578" s="5"/>
      <c r="M578" s="5"/>
      <c r="N578" s="5"/>
      <c r="O578" s="5"/>
      <c r="P578" s="5"/>
      <c r="Q578" s="5"/>
      <c r="R578" s="5"/>
      <c r="S578" s="5"/>
      <c r="T578" s="5"/>
      <c r="U578" s="5"/>
      <c r="V578" s="5"/>
      <c r="W578" s="5"/>
    </row>
    <row r="579" spans="1:23" ht="16" x14ac:dyDescent="0.2">
      <c r="A579" s="5"/>
      <c r="B579" s="6"/>
      <c r="C579" s="6"/>
      <c r="D579" s="6"/>
      <c r="E579" s="6"/>
      <c r="F579" s="5"/>
      <c r="G579" s="5"/>
      <c r="H579" s="5"/>
      <c r="I579" s="5"/>
      <c r="J579" s="5"/>
      <c r="K579" s="5"/>
      <c r="L579" s="5"/>
      <c r="M579" s="5"/>
      <c r="N579" s="5"/>
      <c r="O579" s="5"/>
      <c r="P579" s="5"/>
      <c r="Q579" s="5"/>
      <c r="R579" s="5"/>
      <c r="S579" s="5"/>
      <c r="T579" s="5"/>
      <c r="U579" s="5"/>
      <c r="V579" s="5"/>
      <c r="W579" s="5"/>
    </row>
    <row r="580" spans="1:23" ht="16" x14ac:dyDescent="0.2">
      <c r="A580" s="5"/>
      <c r="B580" s="6"/>
      <c r="C580" s="6"/>
      <c r="D580" s="6"/>
      <c r="E580" s="6"/>
      <c r="F580" s="5"/>
      <c r="G580" s="5"/>
      <c r="H580" s="5"/>
      <c r="I580" s="5"/>
      <c r="J580" s="5"/>
      <c r="K580" s="5"/>
      <c r="L580" s="5"/>
      <c r="M580" s="5"/>
      <c r="N580" s="5"/>
      <c r="O580" s="5"/>
      <c r="P580" s="5"/>
      <c r="Q580" s="5"/>
      <c r="R580" s="5"/>
      <c r="S580" s="5"/>
      <c r="T580" s="5"/>
      <c r="U580" s="5"/>
      <c r="V580" s="5"/>
      <c r="W580" s="5"/>
    </row>
    <row r="581" spans="1:23" ht="16" x14ac:dyDescent="0.2">
      <c r="A581" s="5"/>
      <c r="B581" s="6"/>
      <c r="C581" s="6"/>
      <c r="D581" s="6"/>
      <c r="E581" s="6"/>
      <c r="F581" s="5"/>
      <c r="G581" s="5"/>
      <c r="H581" s="5"/>
      <c r="I581" s="5"/>
      <c r="J581" s="5"/>
      <c r="K581" s="5"/>
      <c r="L581" s="5"/>
      <c r="M581" s="5"/>
      <c r="N581" s="5"/>
      <c r="O581" s="5"/>
      <c r="P581" s="5"/>
      <c r="Q581" s="5"/>
      <c r="R581" s="5"/>
      <c r="S581" s="5"/>
      <c r="T581" s="5"/>
      <c r="U581" s="5"/>
      <c r="V581" s="5"/>
      <c r="W581" s="5"/>
    </row>
    <row r="582" spans="1:23" ht="16" x14ac:dyDescent="0.2">
      <c r="A582" s="5"/>
      <c r="B582" s="6"/>
      <c r="C582" s="6"/>
      <c r="D582" s="6"/>
      <c r="E582" s="6"/>
      <c r="F582" s="5"/>
      <c r="G582" s="5"/>
      <c r="H582" s="5"/>
      <c r="I582" s="5"/>
      <c r="J582" s="5"/>
      <c r="K582" s="5"/>
      <c r="L582" s="5"/>
      <c r="M582" s="5"/>
      <c r="N582" s="5"/>
      <c r="O582" s="5"/>
      <c r="P582" s="5"/>
      <c r="Q582" s="5"/>
      <c r="R582" s="5"/>
      <c r="S582" s="5"/>
      <c r="T582" s="5"/>
      <c r="U582" s="5"/>
      <c r="V582" s="5"/>
      <c r="W582" s="5"/>
    </row>
    <row r="583" spans="1:23" ht="16" x14ac:dyDescent="0.2">
      <c r="A583" s="5"/>
      <c r="B583" s="6"/>
      <c r="C583" s="6"/>
      <c r="D583" s="6"/>
      <c r="E583" s="6"/>
      <c r="F583" s="5"/>
      <c r="G583" s="5"/>
      <c r="H583" s="5"/>
      <c r="I583" s="5"/>
      <c r="J583" s="5"/>
      <c r="K583" s="5"/>
      <c r="L583" s="5"/>
      <c r="M583" s="5"/>
      <c r="N583" s="5"/>
      <c r="O583" s="5"/>
      <c r="P583" s="5"/>
      <c r="Q583" s="5"/>
      <c r="R583" s="5"/>
      <c r="S583" s="5"/>
      <c r="T583" s="5"/>
      <c r="U583" s="5"/>
      <c r="V583" s="5"/>
      <c r="W583" s="5"/>
    </row>
    <row r="584" spans="1:23" ht="16" x14ac:dyDescent="0.2">
      <c r="A584" s="5"/>
      <c r="B584" s="6"/>
      <c r="C584" s="6"/>
      <c r="D584" s="6"/>
      <c r="E584" s="6"/>
      <c r="F584" s="5"/>
      <c r="G584" s="5"/>
      <c r="H584" s="5"/>
      <c r="I584" s="5"/>
      <c r="J584" s="5"/>
      <c r="K584" s="5"/>
      <c r="L584" s="5"/>
      <c r="M584" s="5"/>
      <c r="N584" s="5"/>
      <c r="O584" s="5"/>
      <c r="P584" s="5"/>
      <c r="Q584" s="5"/>
      <c r="R584" s="5"/>
      <c r="S584" s="5"/>
      <c r="T584" s="5"/>
      <c r="U584" s="5"/>
      <c r="V584" s="5"/>
      <c r="W584" s="5"/>
    </row>
    <row r="585" spans="1:23" ht="16" x14ac:dyDescent="0.2">
      <c r="A585" s="5"/>
      <c r="B585" s="6"/>
      <c r="C585" s="6"/>
      <c r="D585" s="6"/>
      <c r="E585" s="6"/>
      <c r="F585" s="5"/>
      <c r="G585" s="5"/>
      <c r="H585" s="5"/>
      <c r="I585" s="5"/>
      <c r="J585" s="5"/>
      <c r="K585" s="5"/>
      <c r="L585" s="5"/>
      <c r="M585" s="5"/>
      <c r="N585" s="5"/>
      <c r="O585" s="5"/>
      <c r="P585" s="5"/>
      <c r="Q585" s="5"/>
      <c r="R585" s="5"/>
      <c r="S585" s="5"/>
      <c r="T585" s="5"/>
      <c r="U585" s="5"/>
      <c r="V585" s="5"/>
      <c r="W585" s="5"/>
    </row>
    <row r="586" spans="1:23" ht="16" x14ac:dyDescent="0.2">
      <c r="A586" s="5"/>
      <c r="B586" s="6"/>
      <c r="C586" s="6"/>
      <c r="D586" s="6"/>
      <c r="E586" s="6"/>
      <c r="F586" s="5"/>
      <c r="G586" s="5"/>
      <c r="H586" s="5"/>
      <c r="I586" s="5"/>
      <c r="J586" s="5"/>
      <c r="K586" s="5"/>
      <c r="L586" s="5"/>
      <c r="M586" s="5"/>
      <c r="N586" s="5"/>
      <c r="O586" s="5"/>
      <c r="P586" s="5"/>
      <c r="Q586" s="5"/>
      <c r="R586" s="5"/>
      <c r="S586" s="5"/>
      <c r="T586" s="5"/>
      <c r="U586" s="5"/>
      <c r="V586" s="5"/>
      <c r="W586" s="5"/>
    </row>
    <row r="587" spans="1:23" ht="16" x14ac:dyDescent="0.2">
      <c r="A587" s="5"/>
      <c r="B587" s="6"/>
      <c r="C587" s="6"/>
      <c r="D587" s="6"/>
      <c r="E587" s="6"/>
      <c r="F587" s="5"/>
      <c r="G587" s="5"/>
      <c r="H587" s="5"/>
      <c r="I587" s="5"/>
      <c r="J587" s="5"/>
      <c r="K587" s="5"/>
      <c r="L587" s="5"/>
      <c r="M587" s="5"/>
      <c r="N587" s="5"/>
      <c r="O587" s="5"/>
      <c r="P587" s="5"/>
      <c r="Q587" s="5"/>
      <c r="R587" s="5"/>
      <c r="S587" s="5"/>
      <c r="T587" s="5"/>
      <c r="U587" s="5"/>
      <c r="V587" s="5"/>
      <c r="W587" s="5"/>
    </row>
    <row r="588" spans="1:23" ht="16" x14ac:dyDescent="0.2">
      <c r="A588" s="5"/>
      <c r="B588" s="6"/>
      <c r="C588" s="6"/>
      <c r="D588" s="6"/>
      <c r="E588" s="6"/>
      <c r="F588" s="5"/>
      <c r="G588" s="5"/>
      <c r="H588" s="5"/>
      <c r="I588" s="5"/>
      <c r="J588" s="5"/>
      <c r="K588" s="5"/>
      <c r="L588" s="5"/>
      <c r="M588" s="5"/>
      <c r="N588" s="5"/>
      <c r="O588" s="5"/>
      <c r="P588" s="5"/>
      <c r="Q588" s="5"/>
      <c r="R588" s="5"/>
      <c r="S588" s="5"/>
      <c r="T588" s="5"/>
      <c r="U588" s="5"/>
      <c r="V588" s="5"/>
      <c r="W588" s="5"/>
    </row>
    <row r="589" spans="1:23" ht="16" x14ac:dyDescent="0.2">
      <c r="A589" s="5"/>
      <c r="B589" s="6"/>
      <c r="C589" s="6"/>
      <c r="D589" s="6"/>
      <c r="E589" s="6"/>
      <c r="F589" s="5"/>
      <c r="G589" s="5"/>
      <c r="H589" s="5"/>
      <c r="I589" s="5"/>
      <c r="J589" s="5"/>
      <c r="K589" s="5"/>
      <c r="L589" s="5"/>
      <c r="M589" s="5"/>
      <c r="N589" s="5"/>
      <c r="O589" s="5"/>
      <c r="P589" s="5"/>
      <c r="Q589" s="5"/>
      <c r="R589" s="5"/>
      <c r="S589" s="5"/>
      <c r="T589" s="5"/>
      <c r="U589" s="5"/>
      <c r="V589" s="5"/>
      <c r="W589" s="5"/>
    </row>
    <row r="590" spans="1:23" ht="16" x14ac:dyDescent="0.2">
      <c r="A590" s="5"/>
      <c r="B590" s="6"/>
      <c r="C590" s="6"/>
      <c r="D590" s="6"/>
      <c r="E590" s="6"/>
      <c r="F590" s="5"/>
      <c r="G590" s="5"/>
      <c r="H590" s="5"/>
      <c r="I590" s="5"/>
      <c r="J590" s="5"/>
      <c r="K590" s="5"/>
      <c r="L590" s="5"/>
      <c r="M590" s="5"/>
      <c r="N590" s="5"/>
      <c r="O590" s="5"/>
      <c r="P590" s="5"/>
      <c r="Q590" s="5"/>
      <c r="R590" s="5"/>
      <c r="S590" s="5"/>
      <c r="T590" s="5"/>
      <c r="U590" s="5"/>
      <c r="V590" s="5"/>
      <c r="W590" s="5"/>
    </row>
    <row r="591" spans="1:23" ht="16" x14ac:dyDescent="0.2">
      <c r="A591" s="5"/>
      <c r="B591" s="6"/>
      <c r="C591" s="6"/>
      <c r="D591" s="6"/>
      <c r="E591" s="6"/>
      <c r="F591" s="5"/>
      <c r="G591" s="5"/>
      <c r="H591" s="5"/>
      <c r="I591" s="5"/>
      <c r="J591" s="5"/>
      <c r="K591" s="5"/>
      <c r="L591" s="5"/>
      <c r="M591" s="5"/>
      <c r="N591" s="5"/>
      <c r="O591" s="5"/>
      <c r="P591" s="5"/>
      <c r="Q591" s="5"/>
      <c r="R591" s="5"/>
      <c r="S591" s="5"/>
      <c r="T591" s="5"/>
      <c r="U591" s="5"/>
      <c r="V591" s="5"/>
      <c r="W591" s="5"/>
    </row>
    <row r="592" spans="1:23" ht="16" x14ac:dyDescent="0.2">
      <c r="A592" s="5"/>
      <c r="B592" s="6"/>
      <c r="C592" s="6"/>
      <c r="D592" s="6"/>
      <c r="E592" s="6"/>
      <c r="F592" s="5"/>
      <c r="G592" s="5"/>
      <c r="H592" s="5"/>
      <c r="I592" s="5"/>
      <c r="J592" s="5"/>
      <c r="K592" s="5"/>
      <c r="L592" s="5"/>
      <c r="M592" s="5"/>
      <c r="N592" s="5"/>
      <c r="O592" s="5"/>
      <c r="P592" s="5"/>
      <c r="Q592" s="5"/>
      <c r="R592" s="5"/>
      <c r="S592" s="5"/>
      <c r="T592" s="5"/>
      <c r="U592" s="5"/>
      <c r="V592" s="5"/>
      <c r="W592" s="5"/>
    </row>
    <row r="593" spans="1:23" ht="16" x14ac:dyDescent="0.2">
      <c r="A593" s="5"/>
      <c r="B593" s="6"/>
      <c r="C593" s="6"/>
      <c r="D593" s="6"/>
      <c r="E593" s="6"/>
      <c r="F593" s="5"/>
      <c r="G593" s="5"/>
      <c r="H593" s="5"/>
      <c r="I593" s="5"/>
      <c r="J593" s="5"/>
      <c r="K593" s="5"/>
      <c r="L593" s="5"/>
      <c r="M593" s="5"/>
      <c r="N593" s="5"/>
      <c r="O593" s="5"/>
      <c r="P593" s="5"/>
      <c r="Q593" s="5"/>
      <c r="R593" s="5"/>
      <c r="S593" s="5"/>
      <c r="T593" s="5"/>
      <c r="U593" s="5"/>
      <c r="V593" s="5"/>
      <c r="W593" s="5"/>
    </row>
    <row r="594" spans="1:23" ht="16" x14ac:dyDescent="0.2">
      <c r="A594" s="5"/>
      <c r="B594" s="6"/>
      <c r="C594" s="6"/>
      <c r="D594" s="6"/>
      <c r="E594" s="6"/>
      <c r="F594" s="5"/>
      <c r="G594" s="5"/>
      <c r="H594" s="5"/>
      <c r="I594" s="5"/>
      <c r="J594" s="5"/>
      <c r="K594" s="5"/>
      <c r="L594" s="5"/>
      <c r="M594" s="5"/>
      <c r="N594" s="5"/>
      <c r="O594" s="5"/>
      <c r="P594" s="5"/>
      <c r="Q594" s="5"/>
      <c r="R594" s="5"/>
      <c r="S594" s="5"/>
      <c r="T594" s="5"/>
      <c r="U594" s="5"/>
      <c r="V594" s="5"/>
      <c r="W594" s="5"/>
    </row>
    <row r="595" spans="1:23" ht="16" x14ac:dyDescent="0.2">
      <c r="A595" s="5"/>
      <c r="B595" s="6"/>
      <c r="C595" s="6"/>
      <c r="D595" s="6"/>
      <c r="E595" s="6"/>
      <c r="F595" s="5"/>
      <c r="G595" s="5"/>
      <c r="H595" s="5"/>
      <c r="I595" s="5"/>
      <c r="J595" s="5"/>
      <c r="K595" s="5"/>
      <c r="L595" s="5"/>
      <c r="M595" s="5"/>
      <c r="N595" s="5"/>
      <c r="O595" s="5"/>
      <c r="P595" s="5"/>
      <c r="Q595" s="5"/>
      <c r="R595" s="5"/>
      <c r="S595" s="5"/>
      <c r="T595" s="5"/>
      <c r="U595" s="5"/>
      <c r="V595" s="5"/>
      <c r="W595" s="5"/>
    </row>
    <row r="596" spans="1:23" ht="16" x14ac:dyDescent="0.2">
      <c r="A596" s="5"/>
      <c r="B596" s="6"/>
      <c r="C596" s="6"/>
      <c r="D596" s="6"/>
      <c r="E596" s="6"/>
      <c r="F596" s="5"/>
      <c r="G596" s="5"/>
      <c r="H596" s="5"/>
      <c r="I596" s="5"/>
      <c r="J596" s="5"/>
      <c r="K596" s="5"/>
      <c r="L596" s="5"/>
      <c r="M596" s="5"/>
      <c r="N596" s="5"/>
      <c r="O596" s="5"/>
      <c r="P596" s="5"/>
      <c r="Q596" s="5"/>
      <c r="R596" s="5"/>
      <c r="S596" s="5"/>
      <c r="T596" s="5"/>
      <c r="U596" s="5"/>
      <c r="V596" s="5"/>
      <c r="W596" s="5"/>
    </row>
    <row r="597" spans="1:23" ht="16" x14ac:dyDescent="0.2">
      <c r="A597" s="5"/>
      <c r="B597" s="6"/>
      <c r="C597" s="6"/>
      <c r="D597" s="6"/>
      <c r="E597" s="6"/>
      <c r="F597" s="5"/>
      <c r="G597" s="5"/>
      <c r="H597" s="5"/>
      <c r="I597" s="5"/>
      <c r="J597" s="5"/>
      <c r="K597" s="5"/>
      <c r="L597" s="5"/>
      <c r="M597" s="5"/>
      <c r="N597" s="5"/>
      <c r="O597" s="5"/>
      <c r="P597" s="5"/>
      <c r="Q597" s="5"/>
      <c r="R597" s="5"/>
      <c r="S597" s="5"/>
      <c r="T597" s="5"/>
      <c r="U597" s="5"/>
      <c r="V597" s="5"/>
      <c r="W597" s="5"/>
    </row>
    <row r="598" spans="1:23" ht="16" x14ac:dyDescent="0.2">
      <c r="A598" s="5"/>
      <c r="B598" s="6"/>
      <c r="C598" s="6"/>
      <c r="D598" s="6"/>
      <c r="E598" s="6"/>
      <c r="F598" s="5"/>
      <c r="G598" s="5"/>
      <c r="H598" s="5"/>
      <c r="I598" s="5"/>
      <c r="J598" s="5"/>
      <c r="K598" s="5"/>
      <c r="L598" s="5"/>
      <c r="M598" s="5"/>
      <c r="N598" s="5"/>
      <c r="O598" s="5"/>
      <c r="P598" s="5"/>
      <c r="Q598" s="5"/>
      <c r="R598" s="5"/>
      <c r="S598" s="5"/>
      <c r="T598" s="5"/>
      <c r="U598" s="5"/>
      <c r="V598" s="5"/>
      <c r="W598" s="5"/>
    </row>
    <row r="599" spans="1:23" ht="16" x14ac:dyDescent="0.2">
      <c r="A599" s="5"/>
      <c r="B599" s="6"/>
      <c r="C599" s="6"/>
      <c r="D599" s="6"/>
      <c r="E599" s="6"/>
      <c r="F599" s="5"/>
      <c r="G599" s="5"/>
      <c r="H599" s="5"/>
      <c r="I599" s="5"/>
      <c r="J599" s="5"/>
      <c r="K599" s="5"/>
      <c r="L599" s="5"/>
      <c r="M599" s="5"/>
      <c r="N599" s="5"/>
      <c r="O599" s="5"/>
      <c r="P599" s="5"/>
      <c r="Q599" s="5"/>
      <c r="R599" s="5"/>
      <c r="S599" s="5"/>
      <c r="T599" s="5"/>
      <c r="U599" s="5"/>
      <c r="V599" s="5"/>
      <c r="W599" s="5"/>
    </row>
    <row r="600" spans="1:23" ht="16" x14ac:dyDescent="0.2">
      <c r="A600" s="5"/>
      <c r="B600" s="6"/>
      <c r="C600" s="6"/>
      <c r="D600" s="6"/>
      <c r="E600" s="6"/>
      <c r="F600" s="5"/>
      <c r="G600" s="5"/>
      <c r="H600" s="5"/>
      <c r="I600" s="5"/>
      <c r="J600" s="5"/>
      <c r="K600" s="5"/>
      <c r="L600" s="5"/>
      <c r="M600" s="5"/>
      <c r="N600" s="5"/>
      <c r="O600" s="5"/>
      <c r="P600" s="5"/>
      <c r="Q600" s="5"/>
      <c r="R600" s="5"/>
      <c r="S600" s="5"/>
      <c r="T600" s="5"/>
      <c r="U600" s="5"/>
      <c r="V600" s="5"/>
      <c r="W600" s="5"/>
    </row>
    <row r="601" spans="1:23" ht="16" x14ac:dyDescent="0.2">
      <c r="A601" s="5"/>
      <c r="B601" s="6"/>
      <c r="C601" s="6"/>
      <c r="D601" s="6"/>
      <c r="E601" s="6"/>
      <c r="F601" s="5"/>
      <c r="G601" s="5"/>
      <c r="H601" s="5"/>
      <c r="I601" s="5"/>
      <c r="J601" s="5"/>
      <c r="K601" s="5"/>
      <c r="L601" s="5"/>
      <c r="M601" s="5"/>
      <c r="N601" s="5"/>
      <c r="O601" s="5"/>
      <c r="P601" s="5"/>
      <c r="Q601" s="5"/>
      <c r="R601" s="5"/>
      <c r="S601" s="5"/>
      <c r="T601" s="5"/>
      <c r="U601" s="5"/>
      <c r="V601" s="5"/>
      <c r="W601" s="5"/>
    </row>
    <row r="602" spans="1:23" ht="16" x14ac:dyDescent="0.2">
      <c r="A602" s="5"/>
      <c r="B602" s="6"/>
      <c r="C602" s="6"/>
      <c r="D602" s="6"/>
      <c r="E602" s="6"/>
      <c r="F602" s="5"/>
      <c r="G602" s="5"/>
      <c r="H602" s="5"/>
      <c r="I602" s="5"/>
      <c r="J602" s="5"/>
      <c r="K602" s="5"/>
      <c r="L602" s="5"/>
      <c r="M602" s="5"/>
      <c r="N602" s="5"/>
      <c r="O602" s="5"/>
      <c r="P602" s="5"/>
      <c r="Q602" s="5"/>
      <c r="R602" s="5"/>
      <c r="S602" s="5"/>
      <c r="T602" s="5"/>
      <c r="U602" s="5"/>
      <c r="V602" s="5"/>
      <c r="W602" s="5"/>
    </row>
    <row r="603" spans="1:23" ht="16" x14ac:dyDescent="0.2">
      <c r="A603" s="5"/>
      <c r="B603" s="6"/>
      <c r="C603" s="6"/>
      <c r="D603" s="6"/>
      <c r="E603" s="6"/>
      <c r="F603" s="5"/>
      <c r="G603" s="5"/>
      <c r="H603" s="5"/>
      <c r="I603" s="5"/>
      <c r="J603" s="5"/>
      <c r="K603" s="5"/>
      <c r="L603" s="5"/>
      <c r="M603" s="5"/>
      <c r="N603" s="5"/>
      <c r="O603" s="5"/>
      <c r="P603" s="5"/>
      <c r="Q603" s="5"/>
      <c r="R603" s="5"/>
      <c r="S603" s="5"/>
      <c r="T603" s="5"/>
      <c r="U603" s="5"/>
      <c r="V603" s="5"/>
      <c r="W603" s="5"/>
    </row>
    <row r="604" spans="1:23" ht="16" x14ac:dyDescent="0.2">
      <c r="A604" s="5"/>
      <c r="B604" s="6"/>
      <c r="C604" s="6"/>
      <c r="D604" s="6"/>
      <c r="E604" s="6"/>
      <c r="F604" s="5"/>
      <c r="G604" s="5"/>
      <c r="H604" s="5"/>
      <c r="I604" s="5"/>
      <c r="J604" s="5"/>
      <c r="K604" s="5"/>
      <c r="L604" s="5"/>
      <c r="M604" s="5"/>
      <c r="N604" s="5"/>
      <c r="O604" s="5"/>
      <c r="P604" s="5"/>
      <c r="Q604" s="5"/>
      <c r="R604" s="5"/>
      <c r="S604" s="5"/>
      <c r="T604" s="5"/>
      <c r="U604" s="5"/>
      <c r="V604" s="5"/>
      <c r="W604" s="5"/>
    </row>
    <row r="605" spans="1:23" ht="16" x14ac:dyDescent="0.2">
      <c r="A605" s="5"/>
      <c r="B605" s="6"/>
      <c r="C605" s="6"/>
      <c r="D605" s="6"/>
      <c r="E605" s="6"/>
      <c r="F605" s="5"/>
      <c r="G605" s="5"/>
      <c r="H605" s="5"/>
      <c r="I605" s="5"/>
      <c r="J605" s="5"/>
      <c r="K605" s="5"/>
      <c r="L605" s="5"/>
      <c r="M605" s="5"/>
      <c r="N605" s="5"/>
      <c r="O605" s="5"/>
      <c r="P605" s="5"/>
      <c r="Q605" s="5"/>
      <c r="R605" s="5"/>
      <c r="S605" s="5"/>
      <c r="T605" s="5"/>
      <c r="U605" s="5"/>
      <c r="V605" s="5"/>
      <c r="W605" s="5"/>
    </row>
    <row r="606" spans="1:23" ht="16" x14ac:dyDescent="0.2">
      <c r="A606" s="5"/>
      <c r="B606" s="6"/>
      <c r="C606" s="6"/>
      <c r="D606" s="6"/>
      <c r="E606" s="6"/>
      <c r="F606" s="5"/>
      <c r="G606" s="5"/>
      <c r="H606" s="5"/>
      <c r="I606" s="5"/>
      <c r="J606" s="5"/>
      <c r="K606" s="5"/>
      <c r="L606" s="5"/>
      <c r="M606" s="5"/>
      <c r="N606" s="5"/>
      <c r="O606" s="5"/>
      <c r="P606" s="5"/>
      <c r="Q606" s="5"/>
      <c r="R606" s="5"/>
      <c r="S606" s="5"/>
      <c r="T606" s="5"/>
      <c r="U606" s="5"/>
      <c r="V606" s="5"/>
      <c r="W606" s="5"/>
    </row>
    <row r="607" spans="1:23" ht="16" x14ac:dyDescent="0.2">
      <c r="A607" s="5"/>
      <c r="B607" s="6"/>
      <c r="C607" s="6"/>
      <c r="D607" s="6"/>
      <c r="E607" s="6"/>
      <c r="F607" s="5"/>
      <c r="G607" s="5"/>
      <c r="H607" s="5"/>
      <c r="I607" s="5"/>
      <c r="J607" s="5"/>
      <c r="K607" s="5"/>
      <c r="L607" s="5"/>
      <c r="M607" s="5"/>
      <c r="N607" s="5"/>
      <c r="O607" s="5"/>
      <c r="P607" s="5"/>
      <c r="Q607" s="5"/>
      <c r="R607" s="5"/>
      <c r="S607" s="5"/>
      <c r="T607" s="5"/>
      <c r="U607" s="5"/>
      <c r="V607" s="5"/>
      <c r="W607" s="5"/>
    </row>
    <row r="608" spans="1:23" ht="16" x14ac:dyDescent="0.2">
      <c r="A608" s="5"/>
      <c r="B608" s="6"/>
      <c r="C608" s="6"/>
      <c r="D608" s="6"/>
      <c r="E608" s="6"/>
      <c r="F608" s="5"/>
      <c r="G608" s="5"/>
      <c r="H608" s="5"/>
      <c r="I608" s="5"/>
      <c r="J608" s="5"/>
      <c r="K608" s="5"/>
      <c r="L608" s="5"/>
      <c r="M608" s="5"/>
      <c r="N608" s="5"/>
      <c r="O608" s="5"/>
      <c r="P608" s="5"/>
      <c r="Q608" s="5"/>
      <c r="R608" s="5"/>
      <c r="S608" s="5"/>
      <c r="T608" s="5"/>
      <c r="U608" s="5"/>
      <c r="V608" s="5"/>
      <c r="W608" s="5"/>
    </row>
    <row r="609" spans="1:23" ht="16" x14ac:dyDescent="0.2">
      <c r="A609" s="5"/>
      <c r="B609" s="6"/>
      <c r="C609" s="6"/>
      <c r="D609" s="6"/>
      <c r="E609" s="6"/>
      <c r="F609" s="5"/>
      <c r="G609" s="5"/>
      <c r="H609" s="5"/>
      <c r="I609" s="5"/>
      <c r="J609" s="5"/>
      <c r="K609" s="5"/>
      <c r="L609" s="5"/>
      <c r="M609" s="5"/>
      <c r="N609" s="5"/>
      <c r="O609" s="5"/>
      <c r="P609" s="5"/>
      <c r="Q609" s="5"/>
      <c r="R609" s="5"/>
      <c r="S609" s="5"/>
      <c r="T609" s="5"/>
      <c r="U609" s="5"/>
      <c r="V609" s="5"/>
      <c r="W609" s="5"/>
    </row>
    <row r="610" spans="1:23" ht="16" x14ac:dyDescent="0.2">
      <c r="A610" s="5"/>
      <c r="B610" s="6"/>
      <c r="C610" s="6"/>
      <c r="D610" s="6"/>
      <c r="E610" s="6"/>
      <c r="F610" s="5"/>
      <c r="G610" s="5"/>
      <c r="H610" s="5"/>
      <c r="I610" s="5"/>
      <c r="J610" s="5"/>
      <c r="K610" s="5"/>
      <c r="L610" s="5"/>
      <c r="M610" s="5"/>
      <c r="N610" s="5"/>
      <c r="O610" s="5"/>
      <c r="P610" s="5"/>
      <c r="Q610" s="5"/>
      <c r="R610" s="5"/>
      <c r="S610" s="5"/>
      <c r="T610" s="5"/>
      <c r="U610" s="5"/>
      <c r="V610" s="5"/>
      <c r="W610" s="5"/>
    </row>
    <row r="611" spans="1:23" ht="16" x14ac:dyDescent="0.2">
      <c r="A611" s="5"/>
      <c r="B611" s="6"/>
      <c r="C611" s="6"/>
      <c r="D611" s="6"/>
      <c r="E611" s="6"/>
      <c r="F611" s="5"/>
      <c r="G611" s="5"/>
      <c r="H611" s="5"/>
      <c r="I611" s="5"/>
      <c r="J611" s="5"/>
      <c r="K611" s="5"/>
      <c r="L611" s="5"/>
      <c r="M611" s="5"/>
      <c r="N611" s="5"/>
      <c r="O611" s="5"/>
      <c r="P611" s="5"/>
      <c r="Q611" s="5"/>
      <c r="R611" s="5"/>
      <c r="S611" s="5"/>
      <c r="T611" s="5"/>
      <c r="U611" s="5"/>
      <c r="V611" s="5"/>
      <c r="W611" s="5"/>
    </row>
    <row r="612" spans="1:23" ht="16" x14ac:dyDescent="0.2">
      <c r="A612" s="5"/>
      <c r="B612" s="6"/>
      <c r="C612" s="6"/>
      <c r="D612" s="6"/>
      <c r="E612" s="6"/>
      <c r="F612" s="5"/>
      <c r="G612" s="5"/>
      <c r="H612" s="5"/>
      <c r="I612" s="5"/>
      <c r="J612" s="5"/>
      <c r="K612" s="5"/>
      <c r="L612" s="5"/>
      <c r="M612" s="5"/>
      <c r="N612" s="5"/>
      <c r="O612" s="5"/>
      <c r="P612" s="5"/>
      <c r="Q612" s="5"/>
      <c r="R612" s="5"/>
      <c r="S612" s="5"/>
      <c r="T612" s="5"/>
      <c r="U612" s="5"/>
      <c r="V612" s="5"/>
      <c r="W612" s="5"/>
    </row>
    <row r="613" spans="1:23" ht="16" x14ac:dyDescent="0.2">
      <c r="A613" s="5"/>
      <c r="B613" s="6"/>
      <c r="C613" s="6"/>
      <c r="D613" s="6"/>
      <c r="E613" s="6"/>
      <c r="F613" s="5"/>
      <c r="G613" s="5"/>
      <c r="H613" s="5"/>
      <c r="I613" s="5"/>
      <c r="J613" s="5"/>
      <c r="K613" s="5"/>
      <c r="L613" s="5"/>
      <c r="M613" s="5"/>
      <c r="N613" s="5"/>
      <c r="O613" s="5"/>
      <c r="P613" s="5"/>
      <c r="Q613" s="5"/>
      <c r="R613" s="5"/>
      <c r="S613" s="5"/>
      <c r="T613" s="5"/>
      <c r="U613" s="5"/>
      <c r="V613" s="5"/>
      <c r="W613" s="5"/>
    </row>
    <row r="614" spans="1:23" ht="16" x14ac:dyDescent="0.2">
      <c r="A614" s="5"/>
      <c r="B614" s="6"/>
      <c r="C614" s="6"/>
      <c r="D614" s="6"/>
      <c r="E614" s="6"/>
      <c r="F614" s="5"/>
      <c r="G614" s="5"/>
      <c r="H614" s="5"/>
      <c r="I614" s="5"/>
      <c r="J614" s="5"/>
      <c r="K614" s="5"/>
      <c r="L614" s="5"/>
      <c r="M614" s="5"/>
      <c r="N614" s="5"/>
      <c r="O614" s="5"/>
      <c r="P614" s="5"/>
      <c r="Q614" s="5"/>
      <c r="R614" s="5"/>
      <c r="S614" s="5"/>
      <c r="T614" s="5"/>
      <c r="U614" s="5"/>
      <c r="V614" s="5"/>
      <c r="W614" s="5"/>
    </row>
    <row r="615" spans="1:23" ht="16" x14ac:dyDescent="0.2">
      <c r="A615" s="5"/>
      <c r="B615" s="6"/>
      <c r="C615" s="6"/>
      <c r="D615" s="6"/>
      <c r="E615" s="6"/>
      <c r="F615" s="5"/>
      <c r="G615" s="5"/>
      <c r="H615" s="5"/>
      <c r="I615" s="5"/>
      <c r="J615" s="5"/>
      <c r="K615" s="5"/>
      <c r="L615" s="5"/>
      <c r="M615" s="5"/>
      <c r="N615" s="5"/>
      <c r="O615" s="5"/>
      <c r="P615" s="5"/>
      <c r="Q615" s="5"/>
      <c r="R615" s="5"/>
      <c r="S615" s="5"/>
      <c r="T615" s="5"/>
      <c r="U615" s="5"/>
      <c r="V615" s="5"/>
      <c r="W615" s="5"/>
    </row>
    <row r="616" spans="1:23" ht="16" x14ac:dyDescent="0.2">
      <c r="A616" s="5"/>
      <c r="B616" s="6"/>
      <c r="C616" s="6"/>
      <c r="D616" s="6"/>
      <c r="E616" s="6"/>
      <c r="F616" s="5"/>
      <c r="G616" s="5"/>
      <c r="H616" s="5"/>
      <c r="I616" s="5"/>
      <c r="J616" s="5"/>
      <c r="K616" s="5"/>
      <c r="L616" s="5"/>
      <c r="M616" s="5"/>
      <c r="N616" s="5"/>
      <c r="O616" s="5"/>
      <c r="P616" s="5"/>
      <c r="Q616" s="5"/>
      <c r="R616" s="5"/>
      <c r="S616" s="5"/>
      <c r="T616" s="5"/>
      <c r="U616" s="5"/>
      <c r="V616" s="5"/>
      <c r="W616" s="5"/>
    </row>
    <row r="617" spans="1:23" ht="16" x14ac:dyDescent="0.2">
      <c r="A617" s="5"/>
      <c r="B617" s="6"/>
      <c r="C617" s="6"/>
      <c r="D617" s="6"/>
      <c r="E617" s="6"/>
      <c r="F617" s="5"/>
      <c r="G617" s="5"/>
      <c r="H617" s="5"/>
      <c r="I617" s="5"/>
      <c r="J617" s="5"/>
      <c r="K617" s="5"/>
      <c r="L617" s="5"/>
      <c r="M617" s="5"/>
      <c r="N617" s="5"/>
      <c r="O617" s="5"/>
      <c r="P617" s="5"/>
      <c r="Q617" s="5"/>
      <c r="R617" s="5"/>
      <c r="S617" s="5"/>
      <c r="T617" s="5"/>
      <c r="U617" s="5"/>
      <c r="V617" s="5"/>
      <c r="W617" s="5"/>
    </row>
    <row r="618" spans="1:23" ht="16" x14ac:dyDescent="0.2">
      <c r="A618" s="5"/>
      <c r="B618" s="6"/>
      <c r="C618" s="6"/>
      <c r="D618" s="6"/>
      <c r="E618" s="6"/>
      <c r="F618" s="5"/>
      <c r="G618" s="5"/>
      <c r="H618" s="5"/>
      <c r="I618" s="5"/>
      <c r="J618" s="5"/>
      <c r="K618" s="5"/>
      <c r="L618" s="5"/>
      <c r="M618" s="5"/>
      <c r="N618" s="5"/>
      <c r="O618" s="5"/>
      <c r="P618" s="5"/>
      <c r="Q618" s="5"/>
      <c r="R618" s="5"/>
      <c r="S618" s="5"/>
      <c r="T618" s="5"/>
      <c r="U618" s="5"/>
      <c r="V618" s="5"/>
      <c r="W618" s="5"/>
    </row>
    <row r="619" spans="1:23" ht="16" x14ac:dyDescent="0.2">
      <c r="A619" s="5"/>
      <c r="B619" s="6"/>
      <c r="C619" s="6"/>
      <c r="D619" s="6"/>
      <c r="E619" s="6"/>
      <c r="F619" s="5"/>
      <c r="G619" s="5"/>
      <c r="H619" s="5"/>
      <c r="I619" s="5"/>
      <c r="J619" s="5"/>
      <c r="K619" s="5"/>
      <c r="L619" s="5"/>
      <c r="M619" s="5"/>
      <c r="N619" s="5"/>
      <c r="O619" s="5"/>
      <c r="P619" s="5"/>
      <c r="Q619" s="5"/>
      <c r="R619" s="5"/>
      <c r="S619" s="5"/>
      <c r="T619" s="5"/>
      <c r="U619" s="5"/>
      <c r="V619" s="5"/>
      <c r="W619" s="5"/>
    </row>
    <row r="620" spans="1:23" ht="16" x14ac:dyDescent="0.2">
      <c r="A620" s="5"/>
      <c r="B620" s="6"/>
      <c r="C620" s="6"/>
      <c r="D620" s="6"/>
      <c r="E620" s="6"/>
      <c r="F620" s="5"/>
      <c r="G620" s="5"/>
      <c r="H620" s="5"/>
      <c r="I620" s="5"/>
      <c r="J620" s="5"/>
      <c r="K620" s="5"/>
      <c r="L620" s="5"/>
      <c r="M620" s="5"/>
      <c r="N620" s="5"/>
      <c r="O620" s="5"/>
      <c r="P620" s="5"/>
      <c r="Q620" s="5"/>
      <c r="R620" s="5"/>
      <c r="S620" s="5"/>
      <c r="T620" s="5"/>
      <c r="U620" s="5"/>
      <c r="V620" s="5"/>
      <c r="W620" s="5"/>
    </row>
    <row r="621" spans="1:23" ht="16" x14ac:dyDescent="0.2">
      <c r="A621" s="5"/>
      <c r="B621" s="6"/>
      <c r="C621" s="6"/>
      <c r="D621" s="6"/>
      <c r="E621" s="6"/>
      <c r="F621" s="5"/>
      <c r="G621" s="5"/>
      <c r="H621" s="5"/>
      <c r="I621" s="5"/>
      <c r="J621" s="5"/>
      <c r="K621" s="5"/>
      <c r="L621" s="5"/>
      <c r="M621" s="5"/>
      <c r="N621" s="5"/>
      <c r="O621" s="5"/>
      <c r="P621" s="5"/>
      <c r="Q621" s="5"/>
      <c r="R621" s="5"/>
      <c r="S621" s="5"/>
      <c r="T621" s="5"/>
      <c r="U621" s="5"/>
      <c r="V621" s="5"/>
      <c r="W621" s="5"/>
    </row>
    <row r="622" spans="1:23" ht="16" x14ac:dyDescent="0.2">
      <c r="A622" s="5"/>
      <c r="B622" s="6"/>
      <c r="C622" s="6"/>
      <c r="D622" s="6"/>
      <c r="E622" s="6"/>
      <c r="F622" s="5"/>
      <c r="G622" s="5"/>
      <c r="H622" s="5"/>
      <c r="I622" s="5"/>
      <c r="J622" s="5"/>
      <c r="K622" s="5"/>
      <c r="L622" s="5"/>
      <c r="M622" s="5"/>
      <c r="N622" s="5"/>
      <c r="O622" s="5"/>
      <c r="P622" s="5"/>
      <c r="Q622" s="5"/>
      <c r="R622" s="5"/>
      <c r="S622" s="5"/>
      <c r="T622" s="5"/>
      <c r="U622" s="5"/>
      <c r="V622" s="5"/>
      <c r="W622" s="5"/>
    </row>
    <row r="623" spans="1:23" ht="16" x14ac:dyDescent="0.2">
      <c r="A623" s="5"/>
      <c r="B623" s="6"/>
      <c r="C623" s="6"/>
      <c r="D623" s="6"/>
      <c r="E623" s="6"/>
      <c r="F623" s="5"/>
      <c r="G623" s="5"/>
      <c r="H623" s="5"/>
      <c r="I623" s="5"/>
      <c r="J623" s="5"/>
      <c r="K623" s="5"/>
      <c r="L623" s="5"/>
      <c r="M623" s="5"/>
      <c r="N623" s="5"/>
      <c r="O623" s="5"/>
      <c r="P623" s="5"/>
      <c r="Q623" s="5"/>
      <c r="R623" s="5"/>
      <c r="S623" s="5"/>
      <c r="T623" s="5"/>
      <c r="U623" s="5"/>
      <c r="V623" s="5"/>
      <c r="W623" s="5"/>
    </row>
    <row r="624" spans="1:23" ht="16" x14ac:dyDescent="0.2">
      <c r="A624" s="5"/>
      <c r="B624" s="6"/>
      <c r="C624" s="6"/>
      <c r="D624" s="6"/>
      <c r="E624" s="6"/>
      <c r="F624" s="5"/>
      <c r="G624" s="5"/>
      <c r="H624" s="5"/>
      <c r="I624" s="5"/>
      <c r="J624" s="5"/>
      <c r="K624" s="5"/>
      <c r="L624" s="5"/>
      <c r="M624" s="5"/>
      <c r="N624" s="5"/>
      <c r="O624" s="5"/>
      <c r="P624" s="5"/>
      <c r="Q624" s="5"/>
      <c r="R624" s="5"/>
      <c r="S624" s="5"/>
      <c r="T624" s="5"/>
      <c r="U624" s="5"/>
      <c r="V624" s="5"/>
      <c r="W624" s="5"/>
    </row>
    <row r="625" spans="1:23" ht="16" x14ac:dyDescent="0.2">
      <c r="A625" s="5"/>
      <c r="B625" s="6"/>
      <c r="C625" s="6"/>
      <c r="D625" s="6"/>
      <c r="E625" s="6"/>
      <c r="F625" s="5"/>
      <c r="G625" s="5"/>
      <c r="H625" s="5"/>
      <c r="I625" s="5"/>
      <c r="J625" s="5"/>
      <c r="K625" s="5"/>
      <c r="L625" s="5"/>
      <c r="M625" s="5"/>
      <c r="N625" s="5"/>
      <c r="O625" s="5"/>
      <c r="P625" s="5"/>
      <c r="Q625" s="5"/>
      <c r="R625" s="5"/>
      <c r="S625" s="5"/>
      <c r="T625" s="5"/>
      <c r="U625" s="5"/>
      <c r="V625" s="5"/>
      <c r="W625" s="5"/>
    </row>
    <row r="626" spans="1:23" ht="16" x14ac:dyDescent="0.2">
      <c r="A626" s="5"/>
      <c r="B626" s="6"/>
      <c r="C626" s="6"/>
      <c r="D626" s="6"/>
      <c r="E626" s="6"/>
      <c r="F626" s="5"/>
      <c r="G626" s="5"/>
      <c r="H626" s="5"/>
      <c r="I626" s="5"/>
      <c r="J626" s="5"/>
      <c r="K626" s="5"/>
      <c r="L626" s="5"/>
      <c r="M626" s="5"/>
      <c r="N626" s="5"/>
      <c r="O626" s="5"/>
      <c r="P626" s="5"/>
      <c r="Q626" s="5"/>
      <c r="R626" s="5"/>
      <c r="S626" s="5"/>
      <c r="T626" s="5"/>
      <c r="U626" s="5"/>
      <c r="V626" s="5"/>
      <c r="W626" s="5"/>
    </row>
    <row r="627" spans="1:23" ht="16" x14ac:dyDescent="0.2">
      <c r="A627" s="5"/>
      <c r="B627" s="6"/>
      <c r="C627" s="6"/>
      <c r="D627" s="6"/>
      <c r="E627" s="6"/>
      <c r="F627" s="5"/>
      <c r="G627" s="5"/>
      <c r="H627" s="5"/>
      <c r="I627" s="5"/>
      <c r="J627" s="5"/>
      <c r="K627" s="5"/>
      <c r="L627" s="5"/>
      <c r="M627" s="5"/>
      <c r="N627" s="5"/>
      <c r="O627" s="5"/>
      <c r="P627" s="5"/>
      <c r="Q627" s="5"/>
      <c r="R627" s="5"/>
      <c r="S627" s="5"/>
      <c r="T627" s="5"/>
      <c r="U627" s="5"/>
      <c r="V627" s="5"/>
      <c r="W627" s="5"/>
    </row>
    <row r="628" spans="1:23" ht="16" x14ac:dyDescent="0.2">
      <c r="A628" s="5"/>
      <c r="B628" s="6"/>
      <c r="C628" s="6"/>
      <c r="D628" s="6"/>
      <c r="E628" s="6"/>
      <c r="F628" s="5"/>
      <c r="G628" s="5"/>
      <c r="H628" s="5"/>
      <c r="I628" s="5"/>
      <c r="J628" s="5"/>
      <c r="K628" s="5"/>
      <c r="L628" s="5"/>
      <c r="M628" s="5"/>
      <c r="N628" s="5"/>
      <c r="O628" s="5"/>
      <c r="P628" s="5"/>
      <c r="Q628" s="5"/>
      <c r="R628" s="5"/>
      <c r="S628" s="5"/>
      <c r="T628" s="5"/>
      <c r="U628" s="5"/>
      <c r="V628" s="5"/>
      <c r="W628" s="5"/>
    </row>
    <row r="629" spans="1:23" ht="16" x14ac:dyDescent="0.2">
      <c r="A629" s="5"/>
      <c r="B629" s="6"/>
      <c r="C629" s="6"/>
      <c r="D629" s="6"/>
      <c r="E629" s="6"/>
      <c r="F629" s="5"/>
      <c r="G629" s="5"/>
      <c r="H629" s="5"/>
      <c r="I629" s="5"/>
      <c r="J629" s="5"/>
      <c r="K629" s="5"/>
      <c r="L629" s="5"/>
      <c r="M629" s="5"/>
      <c r="N629" s="5"/>
      <c r="O629" s="5"/>
      <c r="P629" s="5"/>
      <c r="Q629" s="5"/>
      <c r="R629" s="5"/>
      <c r="S629" s="5"/>
      <c r="T629" s="5"/>
      <c r="U629" s="5"/>
      <c r="V629" s="5"/>
      <c r="W629" s="5"/>
    </row>
    <row r="630" spans="1:23" ht="16" x14ac:dyDescent="0.2">
      <c r="A630" s="5"/>
      <c r="B630" s="6"/>
      <c r="C630" s="6"/>
      <c r="D630" s="6"/>
      <c r="E630" s="6"/>
      <c r="F630" s="5"/>
      <c r="G630" s="5"/>
      <c r="H630" s="5"/>
      <c r="I630" s="5"/>
      <c r="J630" s="5"/>
      <c r="K630" s="5"/>
      <c r="L630" s="5"/>
      <c r="M630" s="5"/>
      <c r="N630" s="5"/>
      <c r="O630" s="5"/>
      <c r="P630" s="5"/>
      <c r="Q630" s="5"/>
      <c r="R630" s="5"/>
      <c r="S630" s="5"/>
      <c r="T630" s="5"/>
      <c r="U630" s="5"/>
      <c r="V630" s="5"/>
      <c r="W630" s="5"/>
    </row>
    <row r="631" spans="1:23" ht="16" x14ac:dyDescent="0.2">
      <c r="A631" s="5"/>
      <c r="B631" s="6"/>
      <c r="C631" s="6"/>
      <c r="D631" s="6"/>
      <c r="E631" s="6"/>
      <c r="F631" s="5"/>
      <c r="G631" s="5"/>
      <c r="H631" s="5"/>
      <c r="I631" s="5"/>
      <c r="J631" s="5"/>
      <c r="K631" s="5"/>
      <c r="L631" s="5"/>
      <c r="M631" s="5"/>
      <c r="N631" s="5"/>
      <c r="O631" s="5"/>
      <c r="P631" s="5"/>
      <c r="Q631" s="5"/>
      <c r="R631" s="5"/>
      <c r="S631" s="5"/>
      <c r="T631" s="5"/>
      <c r="U631" s="5"/>
      <c r="V631" s="5"/>
      <c r="W631" s="5"/>
    </row>
    <row r="632" spans="1:23" ht="16" x14ac:dyDescent="0.2">
      <c r="A632" s="5"/>
      <c r="B632" s="6"/>
      <c r="C632" s="6"/>
      <c r="D632" s="6"/>
      <c r="E632" s="6"/>
      <c r="F632" s="5"/>
      <c r="G632" s="5"/>
      <c r="H632" s="5"/>
      <c r="I632" s="5"/>
      <c r="J632" s="5"/>
      <c r="K632" s="5"/>
      <c r="L632" s="5"/>
      <c r="M632" s="5"/>
      <c r="N632" s="5"/>
      <c r="O632" s="5"/>
      <c r="P632" s="5"/>
      <c r="Q632" s="5"/>
      <c r="R632" s="5"/>
      <c r="S632" s="5"/>
      <c r="T632" s="5"/>
      <c r="U632" s="5"/>
      <c r="V632" s="5"/>
      <c r="W632" s="5"/>
    </row>
    <row r="633" spans="1:23" ht="16" x14ac:dyDescent="0.2">
      <c r="A633" s="5"/>
      <c r="B633" s="6"/>
      <c r="C633" s="6"/>
      <c r="D633" s="6"/>
      <c r="E633" s="6"/>
      <c r="F633" s="5"/>
      <c r="G633" s="5"/>
      <c r="H633" s="5"/>
      <c r="I633" s="5"/>
      <c r="J633" s="5"/>
      <c r="K633" s="5"/>
      <c r="L633" s="5"/>
      <c r="M633" s="5"/>
      <c r="N633" s="5"/>
      <c r="O633" s="5"/>
      <c r="P633" s="5"/>
      <c r="Q633" s="5"/>
      <c r="R633" s="5"/>
      <c r="S633" s="5"/>
      <c r="T633" s="5"/>
      <c r="U633" s="5"/>
      <c r="V633" s="5"/>
      <c r="W633" s="5"/>
    </row>
    <row r="634" spans="1:23" ht="16" x14ac:dyDescent="0.2">
      <c r="A634" s="5"/>
      <c r="B634" s="6"/>
      <c r="C634" s="6"/>
      <c r="D634" s="6"/>
      <c r="E634" s="6"/>
      <c r="F634" s="5"/>
      <c r="G634" s="5"/>
      <c r="H634" s="5"/>
      <c r="I634" s="5"/>
      <c r="J634" s="5"/>
      <c r="K634" s="5"/>
      <c r="L634" s="5"/>
      <c r="M634" s="5"/>
      <c r="N634" s="5"/>
      <c r="O634" s="5"/>
      <c r="P634" s="5"/>
      <c r="Q634" s="5"/>
      <c r="R634" s="5"/>
      <c r="S634" s="5"/>
      <c r="T634" s="5"/>
      <c r="U634" s="5"/>
      <c r="V634" s="5"/>
      <c r="W634" s="5"/>
    </row>
    <row r="635" spans="1:23" ht="16" x14ac:dyDescent="0.2">
      <c r="A635" s="5"/>
      <c r="B635" s="6"/>
      <c r="C635" s="6"/>
      <c r="D635" s="6"/>
      <c r="E635" s="6"/>
      <c r="F635" s="5"/>
      <c r="G635" s="5"/>
      <c r="H635" s="5"/>
      <c r="I635" s="5"/>
      <c r="J635" s="5"/>
      <c r="K635" s="5"/>
      <c r="L635" s="5"/>
      <c r="M635" s="5"/>
      <c r="N635" s="5"/>
      <c r="O635" s="5"/>
      <c r="P635" s="5"/>
      <c r="Q635" s="5"/>
      <c r="R635" s="5"/>
      <c r="S635" s="5"/>
      <c r="T635" s="5"/>
      <c r="U635" s="5"/>
      <c r="V635" s="5"/>
      <c r="W635" s="5"/>
    </row>
    <row r="636" spans="1:23" ht="16" x14ac:dyDescent="0.2">
      <c r="A636" s="5"/>
      <c r="B636" s="6"/>
      <c r="C636" s="6"/>
      <c r="D636" s="6"/>
      <c r="E636" s="6"/>
      <c r="F636" s="5"/>
      <c r="G636" s="5"/>
      <c r="H636" s="5"/>
      <c r="I636" s="5"/>
      <c r="J636" s="5"/>
      <c r="K636" s="5"/>
      <c r="L636" s="5"/>
      <c r="M636" s="5"/>
      <c r="N636" s="5"/>
      <c r="O636" s="5"/>
      <c r="P636" s="5"/>
      <c r="Q636" s="5"/>
      <c r="R636" s="5"/>
      <c r="S636" s="5"/>
      <c r="T636" s="5"/>
      <c r="U636" s="5"/>
      <c r="V636" s="5"/>
      <c r="W636" s="5"/>
    </row>
    <row r="637" spans="1:23" ht="16" x14ac:dyDescent="0.2">
      <c r="A637" s="5"/>
      <c r="B637" s="6"/>
      <c r="C637" s="6"/>
      <c r="D637" s="6"/>
      <c r="E637" s="6"/>
      <c r="F637" s="5"/>
      <c r="G637" s="5"/>
      <c r="H637" s="5"/>
      <c r="I637" s="5"/>
      <c r="J637" s="5"/>
      <c r="K637" s="5"/>
      <c r="L637" s="5"/>
      <c r="M637" s="5"/>
      <c r="N637" s="5"/>
      <c r="O637" s="5"/>
      <c r="P637" s="5"/>
      <c r="Q637" s="5"/>
      <c r="R637" s="5"/>
      <c r="S637" s="5"/>
      <c r="T637" s="5"/>
      <c r="U637" s="5"/>
      <c r="V637" s="5"/>
      <c r="W637" s="5"/>
    </row>
    <row r="638" spans="1:23" ht="16" x14ac:dyDescent="0.2">
      <c r="A638" s="5"/>
      <c r="B638" s="6"/>
      <c r="C638" s="6"/>
      <c r="D638" s="6"/>
      <c r="E638" s="6"/>
      <c r="F638" s="5"/>
      <c r="G638" s="5"/>
      <c r="H638" s="5"/>
      <c r="I638" s="5"/>
      <c r="J638" s="5"/>
      <c r="K638" s="5"/>
      <c r="L638" s="5"/>
      <c r="M638" s="5"/>
      <c r="N638" s="5"/>
      <c r="O638" s="5"/>
      <c r="P638" s="5"/>
      <c r="Q638" s="5"/>
      <c r="R638" s="5"/>
      <c r="S638" s="5"/>
      <c r="T638" s="5"/>
      <c r="U638" s="5"/>
      <c r="V638" s="5"/>
      <c r="W638" s="5"/>
    </row>
    <row r="639" spans="1:23" ht="16" x14ac:dyDescent="0.2">
      <c r="A639" s="5"/>
      <c r="B639" s="6"/>
      <c r="C639" s="6"/>
      <c r="D639" s="6"/>
      <c r="E639" s="6"/>
      <c r="F639" s="5"/>
      <c r="G639" s="5"/>
      <c r="H639" s="5"/>
      <c r="I639" s="5"/>
      <c r="J639" s="5"/>
      <c r="K639" s="5"/>
      <c r="L639" s="5"/>
      <c r="M639" s="5"/>
      <c r="N639" s="5"/>
      <c r="O639" s="5"/>
      <c r="P639" s="5"/>
      <c r="Q639" s="5"/>
      <c r="R639" s="5"/>
      <c r="S639" s="5"/>
      <c r="T639" s="5"/>
      <c r="U639" s="5"/>
      <c r="V639" s="5"/>
      <c r="W639" s="5"/>
    </row>
    <row r="640" spans="1:23" ht="16" x14ac:dyDescent="0.2">
      <c r="A640" s="5"/>
      <c r="B640" s="6"/>
      <c r="C640" s="6"/>
      <c r="D640" s="6"/>
      <c r="E640" s="6"/>
      <c r="F640" s="5"/>
      <c r="G640" s="5"/>
      <c r="H640" s="5"/>
      <c r="I640" s="5"/>
      <c r="J640" s="5"/>
      <c r="K640" s="5"/>
      <c r="L640" s="5"/>
      <c r="M640" s="5"/>
      <c r="N640" s="5"/>
      <c r="O640" s="5"/>
      <c r="P640" s="5"/>
      <c r="Q640" s="5"/>
      <c r="R640" s="5"/>
      <c r="S640" s="5"/>
      <c r="T640" s="5"/>
      <c r="U640" s="5"/>
      <c r="V640" s="5"/>
      <c r="W640" s="5"/>
    </row>
    <row r="641" spans="1:23" ht="16" x14ac:dyDescent="0.2">
      <c r="A641" s="5"/>
      <c r="B641" s="6"/>
      <c r="C641" s="6"/>
      <c r="D641" s="6"/>
      <c r="E641" s="6"/>
      <c r="F641" s="5"/>
      <c r="G641" s="5"/>
      <c r="H641" s="5"/>
      <c r="I641" s="5"/>
      <c r="J641" s="5"/>
      <c r="K641" s="5"/>
      <c r="L641" s="5"/>
      <c r="M641" s="5"/>
      <c r="N641" s="5"/>
      <c r="O641" s="5"/>
      <c r="P641" s="5"/>
      <c r="Q641" s="5"/>
      <c r="R641" s="5"/>
      <c r="S641" s="5"/>
      <c r="T641" s="5"/>
      <c r="U641" s="5"/>
      <c r="V641" s="5"/>
      <c r="W641" s="5"/>
    </row>
    <row r="642" spans="1:23" ht="16" x14ac:dyDescent="0.2">
      <c r="A642" s="5"/>
      <c r="B642" s="6"/>
      <c r="C642" s="6"/>
      <c r="D642" s="6"/>
      <c r="E642" s="6"/>
      <c r="F642" s="5"/>
      <c r="G642" s="5"/>
      <c r="H642" s="5"/>
      <c r="I642" s="5"/>
      <c r="J642" s="5"/>
      <c r="K642" s="5"/>
      <c r="L642" s="5"/>
      <c r="M642" s="5"/>
      <c r="N642" s="5"/>
      <c r="O642" s="5"/>
      <c r="P642" s="5"/>
      <c r="Q642" s="5"/>
      <c r="R642" s="5"/>
      <c r="S642" s="5"/>
      <c r="T642" s="5"/>
      <c r="U642" s="5"/>
      <c r="V642" s="5"/>
      <c r="W642" s="5"/>
    </row>
    <row r="643" spans="1:23" ht="16" x14ac:dyDescent="0.2">
      <c r="A643" s="5"/>
      <c r="B643" s="6"/>
      <c r="C643" s="6"/>
      <c r="D643" s="6"/>
      <c r="E643" s="6"/>
      <c r="F643" s="5"/>
      <c r="G643" s="5"/>
      <c r="H643" s="5"/>
      <c r="I643" s="5"/>
      <c r="J643" s="5"/>
      <c r="K643" s="5"/>
      <c r="L643" s="5"/>
      <c r="M643" s="5"/>
      <c r="N643" s="5"/>
      <c r="O643" s="5"/>
      <c r="P643" s="5"/>
      <c r="Q643" s="5"/>
      <c r="R643" s="5"/>
      <c r="S643" s="5"/>
      <c r="T643" s="5"/>
      <c r="U643" s="5"/>
      <c r="V643" s="5"/>
      <c r="W643" s="5"/>
    </row>
    <row r="644" spans="1:23" ht="16" x14ac:dyDescent="0.2">
      <c r="A644" s="5"/>
      <c r="B644" s="6"/>
      <c r="C644" s="6"/>
      <c r="D644" s="6"/>
      <c r="E644" s="6"/>
      <c r="F644" s="5"/>
      <c r="G644" s="5"/>
      <c r="H644" s="5"/>
      <c r="I644" s="5"/>
      <c r="J644" s="5"/>
      <c r="K644" s="5"/>
      <c r="L644" s="5"/>
      <c r="M644" s="5"/>
      <c r="N644" s="5"/>
      <c r="O644" s="5"/>
      <c r="P644" s="5"/>
      <c r="Q644" s="5"/>
      <c r="R644" s="5"/>
      <c r="S644" s="5"/>
      <c r="T644" s="5"/>
      <c r="U644" s="5"/>
      <c r="V644" s="5"/>
      <c r="W644" s="5"/>
    </row>
    <row r="645" spans="1:23" ht="16" x14ac:dyDescent="0.2">
      <c r="A645" s="5"/>
      <c r="B645" s="6"/>
      <c r="C645" s="6"/>
      <c r="D645" s="6"/>
      <c r="E645" s="6"/>
      <c r="F645" s="5"/>
      <c r="G645" s="5"/>
      <c r="H645" s="5"/>
      <c r="I645" s="5"/>
      <c r="J645" s="5"/>
      <c r="K645" s="5"/>
      <c r="L645" s="5"/>
      <c r="M645" s="5"/>
      <c r="N645" s="5"/>
      <c r="O645" s="5"/>
      <c r="P645" s="5"/>
      <c r="Q645" s="5"/>
      <c r="R645" s="5"/>
      <c r="S645" s="5"/>
      <c r="T645" s="5"/>
      <c r="U645" s="5"/>
      <c r="V645" s="5"/>
      <c r="W645" s="5"/>
    </row>
    <row r="646" spans="1:23" ht="16" x14ac:dyDescent="0.2">
      <c r="A646" s="5"/>
      <c r="B646" s="6"/>
      <c r="C646" s="6"/>
      <c r="D646" s="6"/>
      <c r="E646" s="6"/>
      <c r="F646" s="5"/>
      <c r="G646" s="5"/>
      <c r="H646" s="5"/>
      <c r="I646" s="5"/>
      <c r="J646" s="5"/>
      <c r="K646" s="5"/>
      <c r="L646" s="5"/>
      <c r="M646" s="5"/>
      <c r="N646" s="5"/>
      <c r="O646" s="5"/>
      <c r="P646" s="5"/>
      <c r="Q646" s="5"/>
      <c r="R646" s="5"/>
      <c r="S646" s="5"/>
      <c r="T646" s="5"/>
      <c r="U646" s="5"/>
      <c r="V646" s="5"/>
      <c r="W646" s="5"/>
    </row>
    <row r="647" spans="1:23" ht="16" x14ac:dyDescent="0.2">
      <c r="A647" s="5"/>
      <c r="B647" s="6"/>
      <c r="C647" s="6"/>
      <c r="D647" s="6"/>
      <c r="E647" s="6"/>
      <c r="F647" s="5"/>
      <c r="G647" s="5"/>
      <c r="H647" s="5"/>
      <c r="I647" s="5"/>
      <c r="J647" s="5"/>
      <c r="K647" s="5"/>
      <c r="L647" s="5"/>
      <c r="M647" s="5"/>
      <c r="N647" s="5"/>
      <c r="O647" s="5"/>
      <c r="P647" s="5"/>
      <c r="Q647" s="5"/>
      <c r="R647" s="5"/>
      <c r="S647" s="5"/>
      <c r="T647" s="5"/>
      <c r="U647" s="5"/>
      <c r="V647" s="5"/>
      <c r="W647" s="5"/>
    </row>
    <row r="648" spans="1:23" ht="16" x14ac:dyDescent="0.2">
      <c r="A648" s="5"/>
      <c r="B648" s="6"/>
      <c r="C648" s="6"/>
      <c r="D648" s="6"/>
      <c r="E648" s="6"/>
      <c r="F648" s="5"/>
      <c r="G648" s="5"/>
      <c r="H648" s="5"/>
      <c r="I648" s="5"/>
      <c r="J648" s="5"/>
      <c r="K648" s="5"/>
      <c r="L648" s="5"/>
      <c r="M648" s="5"/>
      <c r="N648" s="5"/>
      <c r="O648" s="5"/>
      <c r="P648" s="5"/>
      <c r="Q648" s="5"/>
      <c r="R648" s="5"/>
      <c r="S648" s="5"/>
      <c r="T648" s="5"/>
      <c r="U648" s="5"/>
      <c r="V648" s="5"/>
      <c r="W648" s="5"/>
    </row>
    <row r="649" spans="1:23" ht="16" x14ac:dyDescent="0.2">
      <c r="A649" s="5"/>
      <c r="B649" s="6"/>
      <c r="C649" s="6"/>
      <c r="D649" s="6"/>
      <c r="E649" s="6"/>
      <c r="F649" s="5"/>
      <c r="G649" s="5"/>
      <c r="H649" s="5"/>
      <c r="I649" s="5"/>
      <c r="J649" s="5"/>
      <c r="K649" s="5"/>
      <c r="L649" s="5"/>
      <c r="M649" s="5"/>
      <c r="N649" s="5"/>
      <c r="O649" s="5"/>
      <c r="P649" s="5"/>
      <c r="Q649" s="5"/>
      <c r="R649" s="5"/>
      <c r="S649" s="5"/>
      <c r="T649" s="5"/>
      <c r="U649" s="5"/>
      <c r="V649" s="5"/>
      <c r="W649" s="5"/>
    </row>
    <row r="650" spans="1:23" ht="16" x14ac:dyDescent="0.2">
      <c r="A650" s="5"/>
      <c r="B650" s="6"/>
      <c r="C650" s="6"/>
      <c r="D650" s="6"/>
      <c r="E650" s="6"/>
      <c r="F650" s="5"/>
      <c r="G650" s="5"/>
      <c r="H650" s="5"/>
      <c r="I650" s="5"/>
      <c r="J650" s="5"/>
      <c r="K650" s="5"/>
      <c r="L650" s="5"/>
      <c r="M650" s="5"/>
      <c r="N650" s="5"/>
      <c r="O650" s="5"/>
      <c r="P650" s="5"/>
      <c r="Q650" s="5"/>
      <c r="R650" s="5"/>
      <c r="S650" s="5"/>
      <c r="T650" s="5"/>
      <c r="U650" s="5"/>
      <c r="V650" s="5"/>
      <c r="W650" s="5"/>
    </row>
    <row r="651" spans="1:23" ht="16" x14ac:dyDescent="0.2">
      <c r="A651" s="5"/>
      <c r="B651" s="6"/>
      <c r="C651" s="6"/>
      <c r="D651" s="6"/>
      <c r="E651" s="6"/>
      <c r="F651" s="5"/>
      <c r="G651" s="5"/>
      <c r="H651" s="5"/>
      <c r="I651" s="5"/>
      <c r="J651" s="5"/>
      <c r="K651" s="5"/>
      <c r="L651" s="5"/>
      <c r="M651" s="5"/>
      <c r="N651" s="5"/>
      <c r="O651" s="5"/>
      <c r="P651" s="5"/>
      <c r="Q651" s="5"/>
      <c r="R651" s="5"/>
      <c r="S651" s="5"/>
      <c r="T651" s="5"/>
      <c r="U651" s="5"/>
      <c r="V651" s="5"/>
      <c r="W651" s="5"/>
    </row>
    <row r="652" spans="1:23" ht="16" x14ac:dyDescent="0.2">
      <c r="A652" s="5"/>
      <c r="B652" s="6"/>
      <c r="C652" s="6"/>
      <c r="D652" s="6"/>
      <c r="E652" s="6"/>
      <c r="F652" s="5"/>
      <c r="G652" s="5"/>
      <c r="H652" s="5"/>
      <c r="I652" s="5"/>
      <c r="J652" s="5"/>
      <c r="K652" s="5"/>
      <c r="L652" s="5"/>
      <c r="M652" s="5"/>
      <c r="N652" s="5"/>
      <c r="O652" s="5"/>
      <c r="P652" s="5"/>
      <c r="Q652" s="5"/>
      <c r="R652" s="5"/>
      <c r="S652" s="5"/>
      <c r="T652" s="5"/>
      <c r="U652" s="5"/>
      <c r="V652" s="5"/>
      <c r="W652" s="5"/>
    </row>
    <row r="653" spans="1:23" ht="16" x14ac:dyDescent="0.2">
      <c r="A653" s="5"/>
      <c r="B653" s="6"/>
      <c r="C653" s="6"/>
      <c r="D653" s="6"/>
      <c r="E653" s="6"/>
      <c r="F653" s="5"/>
      <c r="G653" s="5"/>
      <c r="H653" s="5"/>
      <c r="I653" s="5"/>
      <c r="J653" s="5"/>
      <c r="K653" s="5"/>
      <c r="L653" s="5"/>
      <c r="M653" s="5"/>
      <c r="N653" s="5"/>
      <c r="O653" s="5"/>
      <c r="P653" s="5"/>
      <c r="Q653" s="5"/>
      <c r="R653" s="5"/>
      <c r="S653" s="5"/>
      <c r="T653" s="5"/>
      <c r="U653" s="5"/>
      <c r="V653" s="5"/>
      <c r="W653" s="5"/>
    </row>
    <row r="654" spans="1:23" ht="16" x14ac:dyDescent="0.2">
      <c r="A654" s="5"/>
      <c r="B654" s="6"/>
      <c r="C654" s="6"/>
      <c r="D654" s="6"/>
      <c r="E654" s="6"/>
      <c r="F654" s="5"/>
      <c r="G654" s="5"/>
      <c r="H654" s="5"/>
      <c r="I654" s="5"/>
      <c r="J654" s="5"/>
      <c r="K654" s="5"/>
      <c r="L654" s="5"/>
      <c r="M654" s="5"/>
      <c r="N654" s="5"/>
      <c r="O654" s="5"/>
      <c r="P654" s="5"/>
      <c r="Q654" s="5"/>
      <c r="R654" s="5"/>
      <c r="S654" s="5"/>
      <c r="T654" s="5"/>
      <c r="U654" s="5"/>
      <c r="V654" s="5"/>
      <c r="W654" s="5"/>
    </row>
    <row r="655" spans="1:23" ht="16" x14ac:dyDescent="0.2">
      <c r="A655" s="5"/>
      <c r="B655" s="6"/>
      <c r="C655" s="6"/>
      <c r="D655" s="6"/>
      <c r="E655" s="6"/>
      <c r="F655" s="5"/>
      <c r="G655" s="5"/>
      <c r="H655" s="5"/>
      <c r="I655" s="5"/>
      <c r="J655" s="5"/>
      <c r="K655" s="5"/>
      <c r="L655" s="5"/>
      <c r="M655" s="5"/>
      <c r="N655" s="5"/>
      <c r="O655" s="5"/>
      <c r="P655" s="5"/>
      <c r="Q655" s="5"/>
      <c r="R655" s="5"/>
      <c r="S655" s="5"/>
      <c r="T655" s="5"/>
      <c r="U655" s="5"/>
      <c r="V655" s="5"/>
      <c r="W655" s="5"/>
    </row>
    <row r="656" spans="1:23" ht="16" x14ac:dyDescent="0.2">
      <c r="A656" s="5"/>
      <c r="B656" s="6"/>
      <c r="C656" s="6"/>
      <c r="D656" s="6"/>
      <c r="E656" s="6"/>
      <c r="F656" s="5"/>
      <c r="G656" s="5"/>
      <c r="H656" s="5"/>
      <c r="I656" s="5"/>
      <c r="J656" s="5"/>
      <c r="K656" s="5"/>
      <c r="L656" s="5"/>
      <c r="M656" s="5"/>
      <c r="N656" s="5"/>
      <c r="O656" s="5"/>
      <c r="P656" s="5"/>
      <c r="Q656" s="5"/>
      <c r="R656" s="5"/>
      <c r="S656" s="5"/>
      <c r="T656" s="5"/>
      <c r="U656" s="5"/>
      <c r="V656" s="5"/>
      <c r="W656" s="5"/>
    </row>
    <row r="657" spans="1:23" ht="16" x14ac:dyDescent="0.2">
      <c r="A657" s="5"/>
      <c r="B657" s="6"/>
      <c r="C657" s="6"/>
      <c r="D657" s="6"/>
      <c r="E657" s="6"/>
      <c r="F657" s="5"/>
      <c r="G657" s="5"/>
      <c r="H657" s="5"/>
      <c r="I657" s="5"/>
      <c r="J657" s="5"/>
      <c r="K657" s="5"/>
      <c r="L657" s="5"/>
      <c r="M657" s="5"/>
      <c r="N657" s="5"/>
      <c r="O657" s="5"/>
      <c r="P657" s="5"/>
      <c r="Q657" s="5"/>
      <c r="R657" s="5"/>
      <c r="S657" s="5"/>
      <c r="T657" s="5"/>
      <c r="U657" s="5"/>
      <c r="V657" s="5"/>
      <c r="W657" s="5"/>
    </row>
    <row r="658" spans="1:23" ht="16" x14ac:dyDescent="0.2">
      <c r="A658" s="5"/>
      <c r="B658" s="6"/>
      <c r="C658" s="6"/>
      <c r="D658" s="6"/>
      <c r="E658" s="6"/>
      <c r="F658" s="5"/>
      <c r="G658" s="5"/>
      <c r="H658" s="5"/>
      <c r="I658" s="5"/>
      <c r="J658" s="5"/>
      <c r="K658" s="5"/>
      <c r="L658" s="5"/>
      <c r="M658" s="5"/>
      <c r="N658" s="5"/>
      <c r="O658" s="5"/>
      <c r="P658" s="5"/>
      <c r="Q658" s="5"/>
      <c r="R658" s="5"/>
      <c r="S658" s="5"/>
      <c r="T658" s="5"/>
      <c r="U658" s="5"/>
      <c r="V658" s="5"/>
      <c r="W658" s="5"/>
    </row>
    <row r="659" spans="1:23" ht="16" x14ac:dyDescent="0.2">
      <c r="A659" s="5"/>
      <c r="B659" s="6"/>
      <c r="C659" s="6"/>
      <c r="D659" s="6"/>
      <c r="E659" s="6"/>
      <c r="F659" s="5"/>
      <c r="G659" s="5"/>
      <c r="H659" s="5"/>
      <c r="I659" s="5"/>
      <c r="J659" s="5"/>
      <c r="K659" s="5"/>
      <c r="L659" s="5"/>
      <c r="M659" s="5"/>
      <c r="N659" s="5"/>
      <c r="O659" s="5"/>
      <c r="P659" s="5"/>
      <c r="Q659" s="5"/>
      <c r="R659" s="5"/>
      <c r="S659" s="5"/>
      <c r="T659" s="5"/>
      <c r="U659" s="5"/>
      <c r="V659" s="5"/>
      <c r="W659" s="5"/>
    </row>
    <row r="660" spans="1:23" ht="16" x14ac:dyDescent="0.2">
      <c r="A660" s="5"/>
      <c r="B660" s="6"/>
      <c r="C660" s="6"/>
      <c r="D660" s="6"/>
      <c r="E660" s="6"/>
      <c r="F660" s="5"/>
      <c r="G660" s="5"/>
      <c r="H660" s="5"/>
      <c r="I660" s="5"/>
      <c r="J660" s="5"/>
      <c r="K660" s="5"/>
      <c r="L660" s="5"/>
      <c r="M660" s="5"/>
      <c r="N660" s="5"/>
      <c r="O660" s="5"/>
      <c r="P660" s="5"/>
      <c r="Q660" s="5"/>
      <c r="R660" s="5"/>
      <c r="S660" s="5"/>
      <c r="T660" s="5"/>
      <c r="U660" s="5"/>
      <c r="V660" s="5"/>
      <c r="W660" s="5"/>
    </row>
    <row r="661" spans="1:23" ht="16" x14ac:dyDescent="0.2">
      <c r="A661" s="5"/>
      <c r="B661" s="6"/>
      <c r="C661" s="6"/>
      <c r="D661" s="6"/>
      <c r="E661" s="6"/>
      <c r="F661" s="5"/>
      <c r="G661" s="5"/>
      <c r="H661" s="5"/>
      <c r="I661" s="5"/>
      <c r="J661" s="5"/>
      <c r="K661" s="5"/>
      <c r="L661" s="5"/>
      <c r="M661" s="5"/>
      <c r="N661" s="5"/>
      <c r="O661" s="5"/>
      <c r="P661" s="5"/>
      <c r="Q661" s="5"/>
      <c r="R661" s="5"/>
      <c r="S661" s="5"/>
      <c r="T661" s="5"/>
      <c r="U661" s="5"/>
      <c r="V661" s="5"/>
      <c r="W661" s="5"/>
    </row>
    <row r="662" spans="1:23" ht="16" x14ac:dyDescent="0.2">
      <c r="A662" s="5"/>
      <c r="B662" s="6"/>
      <c r="C662" s="6"/>
      <c r="D662" s="6"/>
      <c r="E662" s="6"/>
      <c r="F662" s="5"/>
      <c r="G662" s="5"/>
      <c r="H662" s="5"/>
      <c r="I662" s="5"/>
      <c r="J662" s="5"/>
      <c r="K662" s="5"/>
      <c r="L662" s="5"/>
      <c r="M662" s="5"/>
      <c r="N662" s="5"/>
      <c r="O662" s="5"/>
      <c r="P662" s="5"/>
      <c r="Q662" s="5"/>
      <c r="R662" s="5"/>
      <c r="S662" s="5"/>
      <c r="T662" s="5"/>
      <c r="U662" s="5"/>
      <c r="V662" s="5"/>
      <c r="W662" s="5"/>
    </row>
    <row r="663" spans="1:23" ht="16" x14ac:dyDescent="0.2">
      <c r="A663" s="5"/>
      <c r="B663" s="6"/>
      <c r="C663" s="6"/>
      <c r="D663" s="6"/>
      <c r="E663" s="6"/>
      <c r="F663" s="5"/>
      <c r="G663" s="5"/>
      <c r="H663" s="5"/>
      <c r="I663" s="5"/>
      <c r="J663" s="5"/>
      <c r="K663" s="5"/>
      <c r="L663" s="5"/>
      <c r="M663" s="5"/>
      <c r="N663" s="5"/>
      <c r="O663" s="5"/>
      <c r="P663" s="5"/>
      <c r="Q663" s="5"/>
      <c r="R663" s="5"/>
      <c r="S663" s="5"/>
      <c r="T663" s="5"/>
      <c r="U663" s="5"/>
      <c r="V663" s="5"/>
      <c r="W663" s="5"/>
    </row>
    <row r="664" spans="1:23" ht="16" x14ac:dyDescent="0.2">
      <c r="A664" s="5"/>
      <c r="B664" s="6"/>
      <c r="C664" s="6"/>
      <c r="D664" s="6"/>
      <c r="E664" s="6"/>
      <c r="F664" s="5"/>
      <c r="G664" s="5"/>
      <c r="H664" s="5"/>
      <c r="I664" s="5"/>
      <c r="J664" s="5"/>
      <c r="K664" s="5"/>
      <c r="L664" s="5"/>
      <c r="M664" s="5"/>
      <c r="N664" s="5"/>
      <c r="O664" s="5"/>
      <c r="P664" s="5"/>
      <c r="Q664" s="5"/>
      <c r="R664" s="5"/>
      <c r="S664" s="5"/>
      <c r="T664" s="5"/>
      <c r="U664" s="5"/>
      <c r="V664" s="5"/>
      <c r="W664" s="5"/>
    </row>
    <row r="665" spans="1:23" ht="16" x14ac:dyDescent="0.2">
      <c r="A665" s="5"/>
      <c r="B665" s="6"/>
      <c r="C665" s="6"/>
      <c r="D665" s="6"/>
      <c r="E665" s="6"/>
      <c r="F665" s="5"/>
      <c r="G665" s="5"/>
      <c r="H665" s="5"/>
      <c r="I665" s="5"/>
      <c r="J665" s="5"/>
      <c r="K665" s="5"/>
      <c r="L665" s="5"/>
      <c r="M665" s="5"/>
      <c r="N665" s="5"/>
      <c r="O665" s="5"/>
      <c r="P665" s="5"/>
      <c r="Q665" s="5"/>
      <c r="R665" s="5"/>
      <c r="S665" s="5"/>
      <c r="T665" s="5"/>
      <c r="U665" s="5"/>
      <c r="V665" s="5"/>
      <c r="W665" s="5"/>
    </row>
    <row r="666" spans="1:23" ht="16" x14ac:dyDescent="0.2">
      <c r="A666" s="5"/>
      <c r="B666" s="6"/>
      <c r="C666" s="6"/>
      <c r="D666" s="6"/>
      <c r="E666" s="6"/>
      <c r="F666" s="5"/>
      <c r="G666" s="5"/>
      <c r="H666" s="5"/>
      <c r="I666" s="5"/>
      <c r="J666" s="5"/>
      <c r="K666" s="5"/>
      <c r="L666" s="5"/>
      <c r="M666" s="5"/>
      <c r="N666" s="5"/>
      <c r="O666" s="5"/>
      <c r="P666" s="5"/>
      <c r="Q666" s="5"/>
      <c r="R666" s="5"/>
      <c r="S666" s="5"/>
      <c r="T666" s="5"/>
      <c r="U666" s="5"/>
      <c r="V666" s="5"/>
      <c r="W666" s="5"/>
    </row>
    <row r="667" spans="1:23" ht="16" x14ac:dyDescent="0.2">
      <c r="A667" s="5"/>
      <c r="B667" s="6"/>
      <c r="C667" s="6"/>
      <c r="D667" s="6"/>
      <c r="E667" s="6"/>
      <c r="F667" s="5"/>
      <c r="G667" s="5"/>
      <c r="H667" s="5"/>
      <c r="I667" s="5"/>
      <c r="J667" s="5"/>
      <c r="K667" s="5"/>
      <c r="L667" s="5"/>
      <c r="M667" s="5"/>
      <c r="N667" s="5"/>
      <c r="O667" s="5"/>
      <c r="P667" s="5"/>
      <c r="Q667" s="5"/>
      <c r="R667" s="5"/>
      <c r="S667" s="5"/>
      <c r="T667" s="5"/>
      <c r="U667" s="5"/>
      <c r="V667" s="5"/>
      <c r="W667" s="5"/>
    </row>
    <row r="668" spans="1:23" ht="16" x14ac:dyDescent="0.2">
      <c r="A668" s="5"/>
      <c r="B668" s="6"/>
      <c r="C668" s="6"/>
      <c r="D668" s="6"/>
      <c r="E668" s="6"/>
      <c r="F668" s="5"/>
      <c r="G668" s="5"/>
      <c r="H668" s="5"/>
      <c r="I668" s="5"/>
      <c r="J668" s="5"/>
      <c r="K668" s="5"/>
      <c r="L668" s="5"/>
      <c r="M668" s="5"/>
      <c r="N668" s="5"/>
      <c r="O668" s="5"/>
      <c r="P668" s="5"/>
      <c r="Q668" s="5"/>
      <c r="R668" s="5"/>
      <c r="S668" s="5"/>
      <c r="T668" s="5"/>
      <c r="U668" s="5"/>
      <c r="V668" s="5"/>
      <c r="W668" s="5"/>
    </row>
    <row r="669" spans="1:23" ht="16" x14ac:dyDescent="0.2">
      <c r="A669" s="5"/>
      <c r="B669" s="6"/>
      <c r="C669" s="6"/>
      <c r="D669" s="6"/>
      <c r="E669" s="6"/>
      <c r="F669" s="5"/>
      <c r="G669" s="5"/>
      <c r="H669" s="5"/>
      <c r="I669" s="5"/>
      <c r="J669" s="5"/>
      <c r="K669" s="5"/>
      <c r="L669" s="5"/>
      <c r="M669" s="5"/>
      <c r="N669" s="5"/>
      <c r="O669" s="5"/>
      <c r="P669" s="5"/>
      <c r="Q669" s="5"/>
      <c r="R669" s="5"/>
      <c r="S669" s="5"/>
      <c r="T669" s="5"/>
      <c r="U669" s="5"/>
      <c r="V669" s="5"/>
      <c r="W669" s="5"/>
    </row>
    <row r="670" spans="1:23" ht="16" x14ac:dyDescent="0.2">
      <c r="A670" s="5"/>
      <c r="B670" s="6"/>
      <c r="C670" s="6"/>
      <c r="D670" s="6"/>
      <c r="E670" s="6"/>
      <c r="F670" s="5"/>
      <c r="G670" s="5"/>
      <c r="H670" s="5"/>
      <c r="I670" s="5"/>
      <c r="J670" s="5"/>
      <c r="K670" s="5"/>
      <c r="L670" s="5"/>
      <c r="M670" s="5"/>
      <c r="N670" s="5"/>
      <c r="O670" s="5"/>
      <c r="P670" s="5"/>
      <c r="Q670" s="5"/>
      <c r="R670" s="5"/>
      <c r="S670" s="5"/>
      <c r="T670" s="5"/>
      <c r="U670" s="5"/>
      <c r="V670" s="5"/>
      <c r="W670" s="5"/>
    </row>
    <row r="671" spans="1:23" ht="16" x14ac:dyDescent="0.2">
      <c r="A671" s="5"/>
      <c r="B671" s="6"/>
      <c r="C671" s="6"/>
      <c r="D671" s="6"/>
      <c r="E671" s="6"/>
      <c r="F671" s="5"/>
      <c r="G671" s="5"/>
      <c r="H671" s="5"/>
      <c r="I671" s="5"/>
      <c r="J671" s="5"/>
      <c r="K671" s="5"/>
      <c r="L671" s="5"/>
      <c r="M671" s="5"/>
      <c r="N671" s="5"/>
      <c r="O671" s="5"/>
      <c r="P671" s="5"/>
      <c r="Q671" s="5"/>
      <c r="R671" s="5"/>
      <c r="S671" s="5"/>
      <c r="T671" s="5"/>
      <c r="U671" s="5"/>
      <c r="V671" s="5"/>
      <c r="W671" s="5"/>
    </row>
    <row r="672" spans="1:23" ht="16" x14ac:dyDescent="0.2">
      <c r="A672" s="5"/>
      <c r="B672" s="6"/>
      <c r="C672" s="6"/>
      <c r="D672" s="6"/>
      <c r="E672" s="6"/>
      <c r="F672" s="5"/>
      <c r="G672" s="5"/>
      <c r="H672" s="5"/>
      <c r="I672" s="5"/>
      <c r="J672" s="5"/>
      <c r="K672" s="5"/>
      <c r="L672" s="5"/>
      <c r="M672" s="5"/>
      <c r="N672" s="5"/>
      <c r="O672" s="5"/>
      <c r="P672" s="5"/>
      <c r="Q672" s="5"/>
      <c r="R672" s="5"/>
      <c r="S672" s="5"/>
      <c r="T672" s="5"/>
      <c r="U672" s="5"/>
      <c r="V672" s="5"/>
      <c r="W672" s="5"/>
    </row>
    <row r="673" spans="1:23" ht="16" x14ac:dyDescent="0.2">
      <c r="A673" s="5"/>
      <c r="B673" s="6"/>
      <c r="C673" s="6"/>
      <c r="D673" s="6"/>
      <c r="E673" s="6"/>
      <c r="F673" s="5"/>
      <c r="G673" s="5"/>
      <c r="H673" s="5"/>
      <c r="I673" s="5"/>
      <c r="J673" s="5"/>
      <c r="K673" s="5"/>
      <c r="L673" s="5"/>
      <c r="M673" s="5"/>
      <c r="N673" s="5"/>
      <c r="O673" s="5"/>
      <c r="P673" s="5"/>
      <c r="Q673" s="5"/>
      <c r="R673" s="5"/>
      <c r="S673" s="5"/>
      <c r="T673" s="5"/>
      <c r="U673" s="5"/>
      <c r="V673" s="5"/>
      <c r="W673" s="5"/>
    </row>
    <row r="674" spans="1:23" ht="16" x14ac:dyDescent="0.2">
      <c r="A674" s="5"/>
      <c r="B674" s="6"/>
      <c r="C674" s="6"/>
      <c r="D674" s="6"/>
      <c r="E674" s="6"/>
      <c r="F674" s="5"/>
      <c r="G674" s="5"/>
      <c r="H674" s="5"/>
      <c r="I674" s="5"/>
      <c r="J674" s="5"/>
      <c r="K674" s="5"/>
      <c r="L674" s="5"/>
      <c r="M674" s="5"/>
      <c r="N674" s="5"/>
      <c r="O674" s="5"/>
      <c r="P674" s="5"/>
      <c r="Q674" s="5"/>
      <c r="R674" s="5"/>
      <c r="S674" s="5"/>
      <c r="T674" s="5"/>
      <c r="U674" s="5"/>
      <c r="V674" s="5"/>
      <c r="W674" s="5"/>
    </row>
    <row r="675" spans="1:23" ht="16" x14ac:dyDescent="0.2">
      <c r="A675" s="5"/>
      <c r="B675" s="6"/>
      <c r="C675" s="6"/>
      <c r="D675" s="6"/>
      <c r="E675" s="6"/>
      <c r="F675" s="5"/>
      <c r="G675" s="5"/>
      <c r="H675" s="5"/>
      <c r="I675" s="5"/>
      <c r="J675" s="5"/>
      <c r="K675" s="5"/>
      <c r="L675" s="5"/>
      <c r="M675" s="5"/>
      <c r="N675" s="5"/>
      <c r="O675" s="5"/>
      <c r="P675" s="5"/>
      <c r="Q675" s="5"/>
      <c r="R675" s="5"/>
      <c r="S675" s="5"/>
      <c r="T675" s="5"/>
      <c r="U675" s="5"/>
      <c r="V675" s="5"/>
      <c r="W675" s="5"/>
    </row>
    <row r="676" spans="1:23" ht="16" x14ac:dyDescent="0.2">
      <c r="A676" s="5"/>
      <c r="B676" s="6"/>
      <c r="C676" s="6"/>
      <c r="D676" s="6"/>
      <c r="E676" s="6"/>
      <c r="F676" s="5"/>
      <c r="G676" s="5"/>
      <c r="H676" s="5"/>
      <c r="I676" s="5"/>
      <c r="J676" s="5"/>
      <c r="K676" s="5"/>
      <c r="L676" s="5"/>
      <c r="M676" s="5"/>
      <c r="N676" s="5"/>
      <c r="O676" s="5"/>
      <c r="P676" s="5"/>
      <c r="Q676" s="5"/>
      <c r="R676" s="5"/>
      <c r="S676" s="5"/>
      <c r="T676" s="5"/>
      <c r="U676" s="5"/>
      <c r="V676" s="5"/>
      <c r="W676" s="5"/>
    </row>
    <row r="677" spans="1:23" ht="16" x14ac:dyDescent="0.2">
      <c r="A677" s="5"/>
      <c r="B677" s="6"/>
      <c r="C677" s="6"/>
      <c r="D677" s="6"/>
      <c r="E677" s="6"/>
      <c r="F677" s="5"/>
      <c r="G677" s="5"/>
      <c r="H677" s="5"/>
      <c r="I677" s="5"/>
      <c r="J677" s="5"/>
      <c r="K677" s="5"/>
      <c r="L677" s="5"/>
      <c r="M677" s="5"/>
      <c r="N677" s="5"/>
      <c r="O677" s="5"/>
      <c r="P677" s="5"/>
      <c r="Q677" s="5"/>
      <c r="R677" s="5"/>
      <c r="S677" s="5"/>
      <c r="T677" s="5"/>
      <c r="U677" s="5"/>
      <c r="V677" s="5"/>
      <c r="W677" s="5"/>
    </row>
    <row r="678" spans="1:23" ht="16" x14ac:dyDescent="0.2">
      <c r="A678" s="5"/>
      <c r="B678" s="6"/>
      <c r="C678" s="6"/>
      <c r="D678" s="6"/>
      <c r="E678" s="6"/>
      <c r="F678" s="5"/>
      <c r="G678" s="5"/>
      <c r="H678" s="5"/>
      <c r="I678" s="5"/>
      <c r="J678" s="5"/>
      <c r="K678" s="5"/>
      <c r="L678" s="5"/>
      <c r="M678" s="5"/>
      <c r="N678" s="5"/>
      <c r="O678" s="5"/>
      <c r="P678" s="5"/>
      <c r="Q678" s="5"/>
      <c r="R678" s="5"/>
      <c r="S678" s="5"/>
      <c r="T678" s="5"/>
      <c r="U678" s="5"/>
      <c r="V678" s="5"/>
      <c r="W678" s="5"/>
    </row>
    <row r="679" spans="1:23" ht="16" x14ac:dyDescent="0.2">
      <c r="A679" s="5"/>
      <c r="B679" s="6"/>
      <c r="C679" s="6"/>
      <c r="D679" s="6"/>
      <c r="E679" s="6"/>
      <c r="F679" s="5"/>
      <c r="G679" s="5"/>
      <c r="H679" s="5"/>
      <c r="I679" s="5"/>
      <c r="J679" s="5"/>
      <c r="K679" s="5"/>
      <c r="L679" s="5"/>
      <c r="M679" s="5"/>
      <c r="N679" s="5"/>
      <c r="O679" s="5"/>
      <c r="P679" s="5"/>
      <c r="Q679" s="5"/>
      <c r="R679" s="5"/>
      <c r="S679" s="5"/>
      <c r="T679" s="5"/>
      <c r="U679" s="5"/>
      <c r="V679" s="5"/>
      <c r="W679" s="5"/>
    </row>
    <row r="680" spans="1:23" ht="16" x14ac:dyDescent="0.2">
      <c r="A680" s="5"/>
      <c r="B680" s="6"/>
      <c r="C680" s="6"/>
      <c r="D680" s="6"/>
      <c r="E680" s="6"/>
      <c r="F680" s="5"/>
      <c r="G680" s="5"/>
      <c r="H680" s="5"/>
      <c r="I680" s="5"/>
      <c r="J680" s="5"/>
      <c r="K680" s="5"/>
      <c r="L680" s="5"/>
      <c r="M680" s="5"/>
      <c r="N680" s="5"/>
      <c r="O680" s="5"/>
      <c r="P680" s="5"/>
      <c r="Q680" s="5"/>
      <c r="R680" s="5"/>
      <c r="S680" s="5"/>
      <c r="T680" s="5"/>
      <c r="U680" s="5"/>
      <c r="V680" s="5"/>
      <c r="W680" s="5"/>
    </row>
    <row r="681" spans="1:23" ht="16" x14ac:dyDescent="0.2">
      <c r="A681" s="5"/>
      <c r="B681" s="6"/>
      <c r="C681" s="6"/>
      <c r="D681" s="6"/>
      <c r="E681" s="6"/>
      <c r="F681" s="5"/>
      <c r="G681" s="5"/>
      <c r="H681" s="5"/>
      <c r="I681" s="5"/>
      <c r="J681" s="5"/>
      <c r="K681" s="5"/>
      <c r="L681" s="5"/>
      <c r="M681" s="5"/>
      <c r="N681" s="5"/>
      <c r="O681" s="5"/>
      <c r="P681" s="5"/>
      <c r="Q681" s="5"/>
      <c r="R681" s="5"/>
      <c r="S681" s="5"/>
      <c r="T681" s="5"/>
      <c r="U681" s="5"/>
      <c r="V681" s="5"/>
      <c r="W681" s="5"/>
    </row>
    <row r="682" spans="1:23" ht="16" x14ac:dyDescent="0.2">
      <c r="A682" s="5"/>
      <c r="B682" s="6"/>
      <c r="C682" s="6"/>
      <c r="D682" s="6"/>
      <c r="E682" s="6"/>
      <c r="F682" s="5"/>
      <c r="G682" s="5"/>
      <c r="H682" s="5"/>
      <c r="I682" s="5"/>
      <c r="J682" s="5"/>
      <c r="K682" s="5"/>
      <c r="L682" s="5"/>
      <c r="M682" s="5"/>
      <c r="N682" s="5"/>
      <c r="O682" s="5"/>
      <c r="P682" s="5"/>
      <c r="Q682" s="5"/>
      <c r="R682" s="5"/>
      <c r="S682" s="5"/>
      <c r="T682" s="5"/>
      <c r="U682" s="5"/>
      <c r="V682" s="5"/>
      <c r="W682" s="5"/>
    </row>
    <row r="683" spans="1:23" ht="16" x14ac:dyDescent="0.2">
      <c r="A683" s="5"/>
      <c r="B683" s="6"/>
      <c r="C683" s="6"/>
      <c r="D683" s="6"/>
      <c r="E683" s="6"/>
      <c r="F683" s="5"/>
      <c r="G683" s="5"/>
      <c r="H683" s="5"/>
      <c r="I683" s="5"/>
      <c r="J683" s="5"/>
      <c r="K683" s="5"/>
      <c r="L683" s="5"/>
      <c r="M683" s="5"/>
      <c r="N683" s="5"/>
      <c r="O683" s="5"/>
      <c r="P683" s="5"/>
      <c r="Q683" s="5"/>
      <c r="R683" s="5"/>
      <c r="S683" s="5"/>
      <c r="T683" s="5"/>
      <c r="U683" s="5"/>
      <c r="V683" s="5"/>
      <c r="W683" s="5"/>
    </row>
    <row r="684" spans="1:23" ht="16" x14ac:dyDescent="0.2">
      <c r="A684" s="5"/>
      <c r="B684" s="6"/>
      <c r="C684" s="6"/>
      <c r="D684" s="6"/>
      <c r="E684" s="6"/>
      <c r="F684" s="5"/>
      <c r="G684" s="5"/>
      <c r="H684" s="5"/>
      <c r="I684" s="5"/>
      <c r="J684" s="5"/>
      <c r="K684" s="5"/>
      <c r="L684" s="5"/>
      <c r="M684" s="5"/>
      <c r="N684" s="5"/>
      <c r="O684" s="5"/>
      <c r="P684" s="5"/>
      <c r="Q684" s="5"/>
      <c r="R684" s="5"/>
      <c r="S684" s="5"/>
      <c r="T684" s="5"/>
      <c r="U684" s="5"/>
      <c r="V684" s="5"/>
      <c r="W684" s="5"/>
    </row>
    <row r="685" spans="1:23" ht="16" x14ac:dyDescent="0.2">
      <c r="A685" s="5"/>
      <c r="B685" s="6"/>
      <c r="C685" s="6"/>
      <c r="D685" s="6"/>
      <c r="E685" s="6"/>
      <c r="F685" s="5"/>
      <c r="G685" s="5"/>
      <c r="H685" s="5"/>
      <c r="I685" s="5"/>
      <c r="J685" s="5"/>
      <c r="K685" s="5"/>
      <c r="L685" s="5"/>
      <c r="M685" s="5"/>
      <c r="N685" s="5"/>
      <c r="O685" s="5"/>
      <c r="P685" s="5"/>
      <c r="Q685" s="5"/>
      <c r="R685" s="5"/>
      <c r="S685" s="5"/>
      <c r="T685" s="5"/>
      <c r="U685" s="5"/>
      <c r="V685" s="5"/>
      <c r="W685" s="5"/>
    </row>
    <row r="686" spans="1:23" ht="16" x14ac:dyDescent="0.2">
      <c r="A686" s="5"/>
      <c r="B686" s="6"/>
      <c r="C686" s="6"/>
      <c r="D686" s="6"/>
      <c r="E686" s="6"/>
      <c r="F686" s="5"/>
      <c r="G686" s="5"/>
      <c r="H686" s="5"/>
      <c r="I686" s="5"/>
      <c r="J686" s="5"/>
      <c r="K686" s="5"/>
      <c r="L686" s="5"/>
      <c r="M686" s="5"/>
      <c r="N686" s="5"/>
      <c r="O686" s="5"/>
      <c r="P686" s="5"/>
      <c r="Q686" s="5"/>
      <c r="R686" s="5"/>
      <c r="S686" s="5"/>
      <c r="T686" s="5"/>
      <c r="U686" s="5"/>
      <c r="V686" s="5"/>
      <c r="W686" s="5"/>
    </row>
    <row r="687" spans="1:23" ht="16" x14ac:dyDescent="0.2">
      <c r="A687" s="5"/>
      <c r="B687" s="6"/>
      <c r="C687" s="6"/>
      <c r="D687" s="6"/>
      <c r="E687" s="6"/>
      <c r="F687" s="5"/>
      <c r="G687" s="5"/>
      <c r="H687" s="5"/>
      <c r="I687" s="5"/>
      <c r="J687" s="5"/>
      <c r="K687" s="5"/>
      <c r="L687" s="5"/>
      <c r="M687" s="5"/>
      <c r="N687" s="5"/>
      <c r="O687" s="5"/>
      <c r="P687" s="5"/>
      <c r="Q687" s="5"/>
      <c r="R687" s="5"/>
      <c r="S687" s="5"/>
      <c r="T687" s="5"/>
      <c r="U687" s="5"/>
      <c r="V687" s="5"/>
      <c r="W687" s="5"/>
    </row>
    <row r="688" spans="1:23" ht="16" x14ac:dyDescent="0.2">
      <c r="A688" s="5"/>
      <c r="B688" s="6"/>
      <c r="C688" s="6"/>
      <c r="D688" s="6"/>
      <c r="E688" s="6"/>
      <c r="F688" s="5"/>
      <c r="G688" s="5"/>
      <c r="H688" s="5"/>
      <c r="I688" s="5"/>
      <c r="J688" s="5"/>
      <c r="K688" s="5"/>
      <c r="L688" s="5"/>
      <c r="M688" s="5"/>
      <c r="N688" s="5"/>
      <c r="O688" s="5"/>
      <c r="P688" s="5"/>
      <c r="Q688" s="5"/>
      <c r="R688" s="5"/>
      <c r="S688" s="5"/>
      <c r="T688" s="5"/>
      <c r="U688" s="5"/>
      <c r="V688" s="5"/>
      <c r="W688" s="5"/>
    </row>
    <row r="689" spans="1:23" ht="16" x14ac:dyDescent="0.2">
      <c r="A689" s="5"/>
      <c r="B689" s="6"/>
      <c r="C689" s="6"/>
      <c r="D689" s="6"/>
      <c r="E689" s="6"/>
      <c r="F689" s="5"/>
      <c r="G689" s="5"/>
      <c r="H689" s="5"/>
      <c r="I689" s="5"/>
      <c r="J689" s="5"/>
      <c r="K689" s="5"/>
      <c r="L689" s="5"/>
      <c r="M689" s="5"/>
      <c r="N689" s="5"/>
      <c r="O689" s="5"/>
      <c r="P689" s="5"/>
      <c r="Q689" s="5"/>
      <c r="R689" s="5"/>
      <c r="S689" s="5"/>
      <c r="T689" s="5"/>
      <c r="U689" s="5"/>
      <c r="V689" s="5"/>
      <c r="W689" s="5"/>
    </row>
    <row r="690" spans="1:23" ht="16" x14ac:dyDescent="0.2">
      <c r="A690" s="5"/>
      <c r="B690" s="6"/>
      <c r="C690" s="6"/>
      <c r="D690" s="6"/>
      <c r="E690" s="6"/>
      <c r="F690" s="5"/>
      <c r="G690" s="5"/>
      <c r="H690" s="5"/>
      <c r="I690" s="5"/>
      <c r="J690" s="5"/>
      <c r="K690" s="5"/>
      <c r="L690" s="5"/>
      <c r="M690" s="5"/>
      <c r="N690" s="5"/>
      <c r="O690" s="5"/>
      <c r="P690" s="5"/>
      <c r="Q690" s="5"/>
      <c r="R690" s="5"/>
      <c r="S690" s="5"/>
      <c r="T690" s="5"/>
      <c r="U690" s="5"/>
      <c r="V690" s="5"/>
      <c r="W690" s="5"/>
    </row>
    <row r="691" spans="1:23" ht="16" x14ac:dyDescent="0.2">
      <c r="A691" s="5"/>
      <c r="B691" s="6"/>
      <c r="C691" s="6"/>
      <c r="D691" s="6"/>
      <c r="E691" s="6"/>
      <c r="F691" s="5"/>
      <c r="G691" s="5"/>
      <c r="H691" s="5"/>
      <c r="I691" s="5"/>
      <c r="J691" s="5"/>
      <c r="K691" s="5"/>
      <c r="L691" s="5"/>
      <c r="M691" s="5"/>
      <c r="N691" s="5"/>
      <c r="O691" s="5"/>
      <c r="P691" s="5"/>
      <c r="Q691" s="5"/>
      <c r="R691" s="5"/>
      <c r="S691" s="5"/>
      <c r="T691" s="5"/>
      <c r="U691" s="5"/>
      <c r="V691" s="5"/>
      <c r="W691" s="5"/>
    </row>
    <row r="692" spans="1:23" ht="16" x14ac:dyDescent="0.2">
      <c r="A692" s="5"/>
      <c r="B692" s="6"/>
      <c r="C692" s="6"/>
      <c r="D692" s="6"/>
      <c r="E692" s="6"/>
      <c r="F692" s="5"/>
      <c r="G692" s="5"/>
      <c r="H692" s="5"/>
      <c r="I692" s="5"/>
      <c r="J692" s="5"/>
      <c r="K692" s="5"/>
      <c r="L692" s="5"/>
      <c r="M692" s="5"/>
      <c r="N692" s="5"/>
      <c r="O692" s="5"/>
      <c r="P692" s="5"/>
      <c r="Q692" s="5"/>
      <c r="R692" s="5"/>
      <c r="S692" s="5"/>
      <c r="T692" s="5"/>
      <c r="U692" s="5"/>
      <c r="V692" s="5"/>
      <c r="W692" s="5"/>
    </row>
    <row r="693" spans="1:23" ht="16" x14ac:dyDescent="0.2">
      <c r="A693" s="5"/>
      <c r="B693" s="6"/>
      <c r="C693" s="6"/>
      <c r="D693" s="6"/>
      <c r="E693" s="6"/>
      <c r="F693" s="5"/>
      <c r="G693" s="5"/>
      <c r="H693" s="5"/>
      <c r="I693" s="5"/>
      <c r="J693" s="5"/>
      <c r="K693" s="5"/>
      <c r="L693" s="5"/>
      <c r="M693" s="5"/>
      <c r="N693" s="5"/>
      <c r="O693" s="5"/>
      <c r="P693" s="5"/>
      <c r="Q693" s="5"/>
      <c r="R693" s="5"/>
      <c r="S693" s="5"/>
      <c r="T693" s="5"/>
      <c r="U693" s="5"/>
      <c r="V693" s="5"/>
      <c r="W693" s="5"/>
    </row>
    <row r="694" spans="1:23" ht="16" x14ac:dyDescent="0.2">
      <c r="A694" s="5"/>
      <c r="B694" s="6"/>
      <c r="C694" s="6"/>
      <c r="D694" s="6"/>
      <c r="E694" s="6"/>
      <c r="F694" s="5"/>
      <c r="G694" s="5"/>
      <c r="H694" s="5"/>
      <c r="I694" s="5"/>
      <c r="J694" s="5"/>
      <c r="K694" s="5"/>
      <c r="L694" s="5"/>
      <c r="M694" s="5"/>
      <c r="N694" s="5"/>
      <c r="O694" s="5"/>
      <c r="P694" s="5"/>
      <c r="Q694" s="5"/>
      <c r="R694" s="5"/>
      <c r="S694" s="5"/>
      <c r="T694" s="5"/>
      <c r="U694" s="5"/>
      <c r="V694" s="5"/>
      <c r="W694" s="5"/>
    </row>
    <row r="695" spans="1:23" ht="16" x14ac:dyDescent="0.2">
      <c r="A695" s="5"/>
      <c r="B695" s="6"/>
      <c r="C695" s="6"/>
      <c r="D695" s="6"/>
      <c r="E695" s="6"/>
      <c r="F695" s="5"/>
      <c r="G695" s="5"/>
      <c r="H695" s="5"/>
      <c r="I695" s="5"/>
      <c r="J695" s="5"/>
      <c r="K695" s="5"/>
      <c r="L695" s="5"/>
      <c r="M695" s="5"/>
      <c r="N695" s="5"/>
      <c r="O695" s="5"/>
      <c r="P695" s="5"/>
      <c r="Q695" s="5"/>
      <c r="R695" s="5"/>
      <c r="S695" s="5"/>
      <c r="T695" s="5"/>
      <c r="U695" s="5"/>
      <c r="V695" s="5"/>
      <c r="W695" s="5"/>
    </row>
    <row r="696" spans="1:23" ht="16" x14ac:dyDescent="0.2">
      <c r="A696" s="5"/>
      <c r="B696" s="6"/>
      <c r="C696" s="6"/>
      <c r="D696" s="6"/>
      <c r="E696" s="6"/>
      <c r="F696" s="5"/>
      <c r="G696" s="5"/>
      <c r="H696" s="5"/>
      <c r="I696" s="5"/>
      <c r="J696" s="5"/>
      <c r="K696" s="5"/>
      <c r="L696" s="5"/>
      <c r="M696" s="5"/>
      <c r="N696" s="5"/>
      <c r="O696" s="5"/>
      <c r="P696" s="5"/>
      <c r="Q696" s="5"/>
      <c r="R696" s="5"/>
      <c r="S696" s="5"/>
      <c r="T696" s="5"/>
      <c r="U696" s="5"/>
      <c r="V696" s="5"/>
      <c r="W696" s="5"/>
    </row>
    <row r="697" spans="1:23" ht="16" x14ac:dyDescent="0.2">
      <c r="A697" s="5"/>
      <c r="B697" s="6"/>
      <c r="C697" s="6"/>
      <c r="D697" s="6"/>
      <c r="E697" s="6"/>
      <c r="F697" s="5"/>
      <c r="G697" s="5"/>
      <c r="H697" s="5"/>
      <c r="I697" s="5"/>
      <c r="J697" s="5"/>
      <c r="K697" s="5"/>
      <c r="L697" s="5"/>
      <c r="M697" s="5"/>
      <c r="N697" s="5"/>
      <c r="O697" s="5"/>
      <c r="P697" s="5"/>
      <c r="Q697" s="5"/>
      <c r="R697" s="5"/>
      <c r="S697" s="5"/>
      <c r="T697" s="5"/>
      <c r="U697" s="5"/>
      <c r="V697" s="5"/>
      <c r="W697" s="5"/>
    </row>
    <row r="698" spans="1:23" ht="16" x14ac:dyDescent="0.2">
      <c r="A698" s="5"/>
      <c r="B698" s="6"/>
      <c r="C698" s="6"/>
      <c r="D698" s="6"/>
      <c r="E698" s="6"/>
      <c r="F698" s="5"/>
      <c r="G698" s="5"/>
      <c r="H698" s="5"/>
      <c r="I698" s="5"/>
      <c r="J698" s="5"/>
      <c r="K698" s="5"/>
      <c r="L698" s="5"/>
      <c r="M698" s="5"/>
      <c r="N698" s="5"/>
      <c r="O698" s="5"/>
      <c r="P698" s="5"/>
      <c r="Q698" s="5"/>
      <c r="R698" s="5"/>
      <c r="S698" s="5"/>
      <c r="T698" s="5"/>
      <c r="U698" s="5"/>
      <c r="V698" s="5"/>
      <c r="W698" s="5"/>
    </row>
    <row r="699" spans="1:23" ht="16" x14ac:dyDescent="0.2">
      <c r="A699" s="5"/>
      <c r="B699" s="6"/>
      <c r="C699" s="6"/>
      <c r="D699" s="6"/>
      <c r="E699" s="6"/>
      <c r="F699" s="5"/>
      <c r="G699" s="5"/>
      <c r="H699" s="5"/>
      <c r="I699" s="5"/>
      <c r="J699" s="5"/>
      <c r="K699" s="5"/>
      <c r="L699" s="5"/>
      <c r="M699" s="5"/>
      <c r="N699" s="5"/>
      <c r="O699" s="5"/>
      <c r="P699" s="5"/>
      <c r="Q699" s="5"/>
      <c r="R699" s="5"/>
      <c r="S699" s="5"/>
      <c r="T699" s="5"/>
      <c r="U699" s="5"/>
      <c r="V699" s="5"/>
      <c r="W699" s="5"/>
    </row>
    <row r="700" spans="1:23" ht="16" x14ac:dyDescent="0.2">
      <c r="A700" s="5"/>
      <c r="B700" s="6"/>
      <c r="C700" s="6"/>
      <c r="D700" s="6"/>
      <c r="E700" s="6"/>
      <c r="F700" s="5"/>
      <c r="G700" s="5"/>
      <c r="H700" s="5"/>
      <c r="I700" s="5"/>
      <c r="J700" s="5"/>
      <c r="K700" s="5"/>
      <c r="L700" s="5"/>
      <c r="M700" s="5"/>
      <c r="N700" s="5"/>
      <c r="O700" s="5"/>
      <c r="P700" s="5"/>
      <c r="Q700" s="5"/>
      <c r="R700" s="5"/>
      <c r="S700" s="5"/>
      <c r="T700" s="5"/>
      <c r="U700" s="5"/>
      <c r="V700" s="5"/>
      <c r="W700" s="5"/>
    </row>
    <row r="701" spans="1:23" ht="16" x14ac:dyDescent="0.2">
      <c r="A701" s="5"/>
      <c r="B701" s="6"/>
      <c r="C701" s="6"/>
      <c r="D701" s="6"/>
      <c r="E701" s="6"/>
      <c r="F701" s="5"/>
      <c r="G701" s="5"/>
      <c r="H701" s="5"/>
      <c r="I701" s="5"/>
      <c r="J701" s="5"/>
      <c r="K701" s="5"/>
      <c r="L701" s="5"/>
      <c r="M701" s="5"/>
      <c r="N701" s="5"/>
      <c r="O701" s="5"/>
      <c r="P701" s="5"/>
      <c r="Q701" s="5"/>
      <c r="R701" s="5"/>
      <c r="S701" s="5"/>
      <c r="T701" s="5"/>
      <c r="U701" s="5"/>
      <c r="V701" s="5"/>
      <c r="W701" s="5"/>
    </row>
    <row r="702" spans="1:23" ht="16" x14ac:dyDescent="0.2">
      <c r="A702" s="5"/>
      <c r="B702" s="6"/>
      <c r="C702" s="6"/>
      <c r="D702" s="6"/>
      <c r="E702" s="6"/>
      <c r="F702" s="5"/>
      <c r="G702" s="5"/>
      <c r="H702" s="5"/>
      <c r="I702" s="5"/>
      <c r="J702" s="5"/>
      <c r="K702" s="5"/>
      <c r="L702" s="5"/>
      <c r="M702" s="5"/>
      <c r="N702" s="5"/>
      <c r="O702" s="5"/>
      <c r="P702" s="5"/>
      <c r="Q702" s="5"/>
      <c r="R702" s="5"/>
      <c r="S702" s="5"/>
      <c r="T702" s="5"/>
      <c r="U702" s="5"/>
      <c r="V702" s="5"/>
      <c r="W702" s="5"/>
    </row>
    <row r="703" spans="1:23" ht="16" x14ac:dyDescent="0.2">
      <c r="A703" s="5"/>
      <c r="B703" s="6"/>
      <c r="C703" s="6"/>
      <c r="D703" s="6"/>
      <c r="E703" s="6"/>
      <c r="F703" s="5"/>
      <c r="G703" s="5"/>
      <c r="H703" s="5"/>
      <c r="I703" s="5"/>
      <c r="J703" s="5"/>
      <c r="K703" s="5"/>
      <c r="L703" s="5"/>
      <c r="M703" s="5"/>
      <c r="N703" s="5"/>
      <c r="O703" s="5"/>
      <c r="P703" s="5"/>
      <c r="Q703" s="5"/>
      <c r="R703" s="5"/>
      <c r="S703" s="5"/>
      <c r="T703" s="5"/>
      <c r="U703" s="5"/>
      <c r="V703" s="5"/>
      <c r="W703" s="5"/>
    </row>
    <row r="704" spans="1:23" ht="16" x14ac:dyDescent="0.2">
      <c r="A704" s="5"/>
      <c r="B704" s="6"/>
      <c r="C704" s="6"/>
      <c r="D704" s="6"/>
      <c r="E704" s="6"/>
      <c r="F704" s="5"/>
      <c r="G704" s="5"/>
      <c r="H704" s="5"/>
      <c r="I704" s="5"/>
      <c r="J704" s="5"/>
      <c r="K704" s="5"/>
      <c r="L704" s="5"/>
      <c r="M704" s="5"/>
      <c r="N704" s="5"/>
      <c r="O704" s="5"/>
      <c r="P704" s="5"/>
      <c r="Q704" s="5"/>
      <c r="R704" s="5"/>
      <c r="S704" s="5"/>
      <c r="T704" s="5"/>
      <c r="U704" s="5"/>
      <c r="V704" s="5"/>
      <c r="W704" s="5"/>
    </row>
    <row r="705" spans="1:23" ht="16" x14ac:dyDescent="0.2">
      <c r="A705" s="5"/>
      <c r="B705" s="6"/>
      <c r="C705" s="6"/>
      <c r="D705" s="6"/>
      <c r="E705" s="6"/>
      <c r="F705" s="5"/>
      <c r="G705" s="5"/>
      <c r="H705" s="5"/>
      <c r="I705" s="5"/>
      <c r="J705" s="5"/>
      <c r="K705" s="5"/>
      <c r="L705" s="5"/>
      <c r="M705" s="5"/>
      <c r="N705" s="5"/>
      <c r="O705" s="5"/>
      <c r="P705" s="5"/>
      <c r="Q705" s="5"/>
      <c r="R705" s="5"/>
      <c r="S705" s="5"/>
      <c r="T705" s="5"/>
      <c r="U705" s="5"/>
      <c r="V705" s="5"/>
      <c r="W705" s="5"/>
    </row>
    <row r="706" spans="1:23" ht="16" x14ac:dyDescent="0.2">
      <c r="A706" s="5"/>
      <c r="B706" s="6"/>
      <c r="C706" s="6"/>
      <c r="D706" s="6"/>
      <c r="E706" s="6"/>
      <c r="F706" s="5"/>
      <c r="G706" s="5"/>
      <c r="H706" s="5"/>
      <c r="I706" s="5"/>
      <c r="J706" s="5"/>
      <c r="K706" s="5"/>
      <c r="L706" s="5"/>
      <c r="M706" s="5"/>
      <c r="N706" s="5"/>
      <c r="O706" s="5"/>
      <c r="P706" s="5"/>
      <c r="Q706" s="5"/>
      <c r="R706" s="5"/>
      <c r="S706" s="5"/>
      <c r="T706" s="5"/>
      <c r="U706" s="5"/>
      <c r="V706" s="5"/>
      <c r="W706" s="5"/>
    </row>
    <row r="707" spans="1:23" ht="16" x14ac:dyDescent="0.2">
      <c r="A707" s="5"/>
      <c r="B707" s="6"/>
      <c r="C707" s="6"/>
      <c r="D707" s="6"/>
      <c r="E707" s="6"/>
      <c r="F707" s="5"/>
      <c r="G707" s="5"/>
      <c r="H707" s="5"/>
      <c r="I707" s="5"/>
      <c r="J707" s="5"/>
      <c r="K707" s="5"/>
      <c r="L707" s="5"/>
      <c r="M707" s="5"/>
      <c r="N707" s="5"/>
      <c r="O707" s="5"/>
      <c r="P707" s="5"/>
      <c r="Q707" s="5"/>
      <c r="R707" s="5"/>
      <c r="S707" s="5"/>
      <c r="T707" s="5"/>
      <c r="U707" s="5"/>
      <c r="V707" s="5"/>
      <c r="W707" s="5"/>
    </row>
    <row r="708" spans="1:23" ht="16" x14ac:dyDescent="0.2">
      <c r="A708" s="5"/>
      <c r="B708" s="6"/>
      <c r="C708" s="6"/>
      <c r="D708" s="6"/>
      <c r="E708" s="6"/>
      <c r="F708" s="5"/>
      <c r="G708" s="5"/>
      <c r="H708" s="5"/>
      <c r="I708" s="5"/>
      <c r="J708" s="5"/>
      <c r="K708" s="5"/>
      <c r="L708" s="5"/>
      <c r="M708" s="5"/>
      <c r="N708" s="5"/>
      <c r="O708" s="5"/>
      <c r="P708" s="5"/>
      <c r="Q708" s="5"/>
      <c r="R708" s="5"/>
      <c r="S708" s="5"/>
      <c r="T708" s="5"/>
      <c r="U708" s="5"/>
      <c r="V708" s="5"/>
      <c r="W708" s="5"/>
    </row>
    <row r="709" spans="1:23" ht="16" x14ac:dyDescent="0.2">
      <c r="A709" s="5"/>
      <c r="B709" s="6"/>
      <c r="C709" s="6"/>
      <c r="D709" s="6"/>
      <c r="E709" s="6"/>
      <c r="F709" s="5"/>
      <c r="G709" s="5"/>
      <c r="H709" s="5"/>
      <c r="I709" s="5"/>
      <c r="J709" s="5"/>
      <c r="K709" s="5"/>
      <c r="L709" s="5"/>
      <c r="M709" s="5"/>
      <c r="N709" s="5"/>
      <c r="O709" s="5"/>
      <c r="P709" s="5"/>
      <c r="Q709" s="5"/>
      <c r="R709" s="5"/>
      <c r="S709" s="5"/>
      <c r="T709" s="5"/>
      <c r="U709" s="5"/>
      <c r="V709" s="5"/>
      <c r="W709" s="5"/>
    </row>
    <row r="710" spans="1:23" ht="16" x14ac:dyDescent="0.2">
      <c r="A710" s="5"/>
      <c r="B710" s="6"/>
      <c r="C710" s="6"/>
      <c r="D710" s="6"/>
      <c r="E710" s="6"/>
      <c r="F710" s="5"/>
      <c r="G710" s="5"/>
      <c r="H710" s="5"/>
      <c r="I710" s="5"/>
      <c r="J710" s="5"/>
      <c r="K710" s="5"/>
      <c r="L710" s="5"/>
      <c r="M710" s="5"/>
      <c r="N710" s="5"/>
      <c r="O710" s="5"/>
      <c r="P710" s="5"/>
      <c r="Q710" s="5"/>
      <c r="R710" s="5"/>
      <c r="S710" s="5"/>
      <c r="T710" s="5"/>
      <c r="U710" s="5"/>
      <c r="V710" s="5"/>
      <c r="W710" s="5"/>
    </row>
    <row r="711" spans="1:23" ht="16" x14ac:dyDescent="0.2">
      <c r="A711" s="5"/>
      <c r="B711" s="6"/>
      <c r="C711" s="6"/>
      <c r="D711" s="6"/>
      <c r="E711" s="6"/>
      <c r="F711" s="5"/>
      <c r="G711" s="5"/>
      <c r="H711" s="5"/>
      <c r="I711" s="5"/>
      <c r="J711" s="5"/>
      <c r="K711" s="5"/>
      <c r="L711" s="5"/>
      <c r="M711" s="5"/>
      <c r="N711" s="5"/>
      <c r="O711" s="5"/>
      <c r="P711" s="5"/>
      <c r="Q711" s="5"/>
      <c r="R711" s="5"/>
      <c r="S711" s="5"/>
      <c r="T711" s="5"/>
      <c r="U711" s="5"/>
      <c r="V711" s="5"/>
      <c r="W711" s="5"/>
    </row>
    <row r="712" spans="1:23" ht="16" x14ac:dyDescent="0.2">
      <c r="A712" s="5"/>
      <c r="B712" s="6"/>
      <c r="C712" s="6"/>
      <c r="D712" s="6"/>
      <c r="E712" s="6"/>
      <c r="F712" s="5"/>
      <c r="G712" s="5"/>
      <c r="H712" s="5"/>
      <c r="I712" s="5"/>
      <c r="J712" s="5"/>
      <c r="K712" s="5"/>
      <c r="L712" s="5"/>
      <c r="M712" s="5"/>
      <c r="N712" s="5"/>
      <c r="O712" s="5"/>
      <c r="P712" s="5"/>
      <c r="Q712" s="5"/>
      <c r="R712" s="5"/>
      <c r="S712" s="5"/>
      <c r="T712" s="5"/>
      <c r="U712" s="5"/>
      <c r="V712" s="5"/>
      <c r="W712" s="5"/>
    </row>
    <row r="713" spans="1:23" ht="16" x14ac:dyDescent="0.2">
      <c r="A713" s="5"/>
      <c r="B713" s="6"/>
      <c r="C713" s="6"/>
      <c r="D713" s="6"/>
      <c r="E713" s="6"/>
      <c r="F713" s="5"/>
      <c r="G713" s="5"/>
      <c r="H713" s="5"/>
      <c r="I713" s="5"/>
      <c r="J713" s="5"/>
      <c r="K713" s="5"/>
      <c r="L713" s="5"/>
      <c r="M713" s="5"/>
      <c r="N713" s="5"/>
      <c r="O713" s="5"/>
      <c r="P713" s="5"/>
      <c r="Q713" s="5"/>
      <c r="R713" s="5"/>
      <c r="S713" s="5"/>
      <c r="T713" s="5"/>
      <c r="U713" s="5"/>
      <c r="V713" s="5"/>
      <c r="W713" s="5"/>
    </row>
    <row r="714" spans="1:23" ht="16" x14ac:dyDescent="0.2">
      <c r="A714" s="5"/>
      <c r="B714" s="6"/>
      <c r="C714" s="6"/>
      <c r="D714" s="6"/>
      <c r="E714" s="6"/>
      <c r="F714" s="5"/>
      <c r="G714" s="5"/>
      <c r="H714" s="5"/>
      <c r="I714" s="5"/>
      <c r="J714" s="5"/>
      <c r="K714" s="5"/>
      <c r="L714" s="5"/>
      <c r="M714" s="5"/>
      <c r="N714" s="5"/>
      <c r="O714" s="5"/>
      <c r="P714" s="5"/>
      <c r="Q714" s="5"/>
      <c r="R714" s="5"/>
      <c r="S714" s="5"/>
      <c r="T714" s="5"/>
      <c r="U714" s="5"/>
      <c r="V714" s="5"/>
      <c r="W714" s="5"/>
    </row>
    <row r="715" spans="1:23" ht="16" x14ac:dyDescent="0.2">
      <c r="A715" s="5"/>
      <c r="B715" s="6"/>
      <c r="C715" s="6"/>
      <c r="D715" s="6"/>
      <c r="E715" s="6"/>
      <c r="F715" s="5"/>
      <c r="G715" s="5"/>
      <c r="H715" s="5"/>
      <c r="I715" s="5"/>
      <c r="J715" s="5"/>
      <c r="K715" s="5"/>
      <c r="L715" s="5"/>
      <c r="M715" s="5"/>
      <c r="N715" s="5"/>
      <c r="O715" s="5"/>
      <c r="P715" s="5"/>
      <c r="Q715" s="5"/>
      <c r="R715" s="5"/>
      <c r="S715" s="5"/>
      <c r="T715" s="5"/>
      <c r="U715" s="5"/>
      <c r="V715" s="5"/>
      <c r="W715" s="5"/>
    </row>
    <row r="716" spans="1:23" ht="16" x14ac:dyDescent="0.2">
      <c r="A716" s="5"/>
      <c r="B716" s="6"/>
      <c r="C716" s="6"/>
      <c r="D716" s="6"/>
      <c r="E716" s="6"/>
      <c r="F716" s="5"/>
      <c r="G716" s="5"/>
      <c r="H716" s="5"/>
      <c r="I716" s="5"/>
      <c r="J716" s="5"/>
      <c r="K716" s="5"/>
      <c r="L716" s="5"/>
      <c r="M716" s="5"/>
      <c r="N716" s="5"/>
      <c r="O716" s="5"/>
      <c r="P716" s="5"/>
      <c r="Q716" s="5"/>
      <c r="R716" s="5"/>
      <c r="S716" s="5"/>
      <c r="T716" s="5"/>
      <c r="U716" s="5"/>
      <c r="V716" s="5"/>
      <c r="W716" s="5"/>
    </row>
    <row r="717" spans="1:23" ht="16" x14ac:dyDescent="0.2">
      <c r="A717" s="5"/>
      <c r="B717" s="6"/>
      <c r="C717" s="6"/>
      <c r="D717" s="6"/>
      <c r="E717" s="6"/>
      <c r="F717" s="5"/>
      <c r="G717" s="5"/>
      <c r="H717" s="5"/>
      <c r="I717" s="5"/>
      <c r="J717" s="5"/>
      <c r="K717" s="5"/>
      <c r="L717" s="5"/>
      <c r="M717" s="5"/>
      <c r="N717" s="5"/>
      <c r="O717" s="5"/>
      <c r="P717" s="5"/>
      <c r="Q717" s="5"/>
      <c r="R717" s="5"/>
      <c r="S717" s="5"/>
      <c r="T717" s="5"/>
      <c r="U717" s="5"/>
      <c r="V717" s="5"/>
      <c r="W717" s="5"/>
    </row>
    <row r="718" spans="1:23" ht="16" x14ac:dyDescent="0.2">
      <c r="A718" s="5"/>
      <c r="B718" s="6"/>
      <c r="C718" s="6"/>
      <c r="D718" s="6"/>
      <c r="E718" s="6"/>
      <c r="F718" s="5"/>
      <c r="G718" s="5"/>
      <c r="H718" s="5"/>
      <c r="I718" s="5"/>
      <c r="J718" s="5"/>
      <c r="K718" s="5"/>
      <c r="L718" s="5"/>
      <c r="M718" s="5"/>
      <c r="N718" s="5"/>
      <c r="O718" s="5"/>
      <c r="P718" s="5"/>
      <c r="Q718" s="5"/>
      <c r="R718" s="5"/>
      <c r="S718" s="5"/>
      <c r="T718" s="5"/>
      <c r="U718" s="5"/>
      <c r="V718" s="5"/>
      <c r="W718" s="5"/>
    </row>
    <row r="719" spans="1:23" ht="16" x14ac:dyDescent="0.2">
      <c r="A719" s="5"/>
      <c r="B719" s="6"/>
      <c r="C719" s="6"/>
      <c r="D719" s="6"/>
      <c r="E719" s="6"/>
      <c r="F719" s="5"/>
      <c r="G719" s="5"/>
      <c r="H719" s="5"/>
      <c r="I719" s="5"/>
      <c r="J719" s="5"/>
      <c r="K719" s="5"/>
      <c r="L719" s="5"/>
      <c r="M719" s="5"/>
      <c r="N719" s="5"/>
      <c r="O719" s="5"/>
      <c r="P719" s="5"/>
      <c r="Q719" s="5"/>
      <c r="R719" s="5"/>
      <c r="S719" s="5"/>
      <c r="T719" s="5"/>
      <c r="U719" s="5"/>
      <c r="V719" s="5"/>
      <c r="W719" s="5"/>
    </row>
    <row r="720" spans="1:23" ht="16" x14ac:dyDescent="0.2">
      <c r="A720" s="5"/>
      <c r="B720" s="6"/>
      <c r="C720" s="6"/>
      <c r="D720" s="6"/>
      <c r="E720" s="6"/>
      <c r="F720" s="5"/>
      <c r="G720" s="5"/>
      <c r="H720" s="5"/>
      <c r="I720" s="5"/>
      <c r="J720" s="5"/>
      <c r="K720" s="5"/>
      <c r="L720" s="5"/>
      <c r="M720" s="5"/>
      <c r="N720" s="5"/>
      <c r="O720" s="5"/>
      <c r="P720" s="5"/>
      <c r="Q720" s="5"/>
      <c r="R720" s="5"/>
      <c r="S720" s="5"/>
      <c r="T720" s="5"/>
      <c r="U720" s="5"/>
      <c r="V720" s="5"/>
      <c r="W720" s="5"/>
    </row>
    <row r="721" spans="1:23" ht="16" x14ac:dyDescent="0.2">
      <c r="A721" s="5"/>
      <c r="B721" s="6"/>
      <c r="C721" s="6"/>
      <c r="D721" s="6"/>
      <c r="E721" s="6"/>
      <c r="F721" s="5"/>
      <c r="G721" s="5"/>
      <c r="H721" s="5"/>
      <c r="I721" s="5"/>
      <c r="J721" s="5"/>
      <c r="K721" s="5"/>
      <c r="L721" s="5"/>
      <c r="M721" s="5"/>
      <c r="N721" s="5"/>
      <c r="O721" s="5"/>
      <c r="P721" s="5"/>
      <c r="Q721" s="5"/>
      <c r="R721" s="5"/>
      <c r="S721" s="5"/>
      <c r="T721" s="5"/>
      <c r="U721" s="5"/>
      <c r="V721" s="5"/>
      <c r="W721" s="5"/>
    </row>
    <row r="722" spans="1:23" ht="16" x14ac:dyDescent="0.2">
      <c r="A722" s="5"/>
      <c r="B722" s="6"/>
      <c r="C722" s="6"/>
      <c r="D722" s="6"/>
      <c r="E722" s="6"/>
      <c r="F722" s="5"/>
      <c r="G722" s="5"/>
      <c r="H722" s="5"/>
      <c r="I722" s="5"/>
      <c r="J722" s="5"/>
      <c r="K722" s="5"/>
      <c r="L722" s="5"/>
      <c r="M722" s="5"/>
      <c r="N722" s="5"/>
      <c r="O722" s="5"/>
      <c r="P722" s="5"/>
      <c r="Q722" s="5"/>
      <c r="R722" s="5"/>
      <c r="S722" s="5"/>
      <c r="T722" s="5"/>
      <c r="U722" s="5"/>
      <c r="V722" s="5"/>
      <c r="W722" s="5"/>
    </row>
    <row r="723" spans="1:23" ht="16" x14ac:dyDescent="0.2">
      <c r="A723" s="5"/>
      <c r="B723" s="6"/>
      <c r="C723" s="6"/>
      <c r="D723" s="6"/>
      <c r="E723" s="6"/>
      <c r="F723" s="5"/>
      <c r="G723" s="5"/>
      <c r="H723" s="5"/>
      <c r="I723" s="5"/>
      <c r="J723" s="5"/>
      <c r="K723" s="5"/>
      <c r="L723" s="5"/>
      <c r="M723" s="5"/>
      <c r="N723" s="5"/>
      <c r="O723" s="5"/>
      <c r="P723" s="5"/>
      <c r="Q723" s="5"/>
      <c r="R723" s="5"/>
      <c r="S723" s="5"/>
      <c r="T723" s="5"/>
      <c r="U723" s="5"/>
      <c r="V723" s="5"/>
      <c r="W723" s="5"/>
    </row>
    <row r="724" spans="1:23" ht="16" x14ac:dyDescent="0.2">
      <c r="A724" s="5"/>
      <c r="B724" s="6"/>
      <c r="C724" s="6"/>
      <c r="D724" s="6"/>
      <c r="E724" s="6"/>
      <c r="F724" s="5"/>
      <c r="G724" s="5"/>
      <c r="H724" s="5"/>
      <c r="I724" s="5"/>
      <c r="J724" s="5"/>
      <c r="K724" s="5"/>
      <c r="L724" s="5"/>
      <c r="M724" s="5"/>
      <c r="N724" s="5"/>
      <c r="O724" s="5"/>
      <c r="P724" s="5"/>
      <c r="Q724" s="5"/>
      <c r="R724" s="5"/>
      <c r="S724" s="5"/>
      <c r="T724" s="5"/>
      <c r="U724" s="5"/>
      <c r="V724" s="5"/>
      <c r="W724" s="5"/>
    </row>
    <row r="725" spans="1:23" ht="16" x14ac:dyDescent="0.2">
      <c r="A725" s="5"/>
      <c r="B725" s="6"/>
      <c r="C725" s="6"/>
      <c r="D725" s="6"/>
      <c r="E725" s="6"/>
      <c r="F725" s="5"/>
      <c r="G725" s="5"/>
      <c r="H725" s="5"/>
      <c r="I725" s="5"/>
      <c r="J725" s="5"/>
      <c r="K725" s="5"/>
      <c r="L725" s="5"/>
      <c r="M725" s="5"/>
      <c r="N725" s="5"/>
      <c r="O725" s="5"/>
      <c r="P725" s="5"/>
      <c r="Q725" s="5"/>
      <c r="R725" s="5"/>
      <c r="S725" s="5"/>
      <c r="T725" s="5"/>
      <c r="U725" s="5"/>
      <c r="V725" s="5"/>
      <c r="W725" s="5"/>
    </row>
    <row r="726" spans="1:23" ht="16" x14ac:dyDescent="0.2">
      <c r="A726" s="5"/>
      <c r="B726" s="6"/>
      <c r="C726" s="6"/>
      <c r="D726" s="6"/>
      <c r="E726" s="6"/>
      <c r="F726" s="5"/>
      <c r="G726" s="5"/>
      <c r="H726" s="5"/>
      <c r="I726" s="5"/>
      <c r="J726" s="5"/>
      <c r="K726" s="5"/>
      <c r="L726" s="5"/>
      <c r="M726" s="5"/>
      <c r="N726" s="5"/>
      <c r="O726" s="5"/>
      <c r="P726" s="5"/>
      <c r="Q726" s="5"/>
      <c r="R726" s="5"/>
      <c r="S726" s="5"/>
      <c r="T726" s="5"/>
      <c r="U726" s="5"/>
      <c r="V726" s="5"/>
      <c r="W726" s="5"/>
    </row>
    <row r="727" spans="1:23" ht="16" x14ac:dyDescent="0.2">
      <c r="A727" s="5"/>
      <c r="B727" s="6"/>
      <c r="C727" s="6"/>
      <c r="D727" s="6"/>
      <c r="E727" s="6"/>
      <c r="F727" s="5"/>
      <c r="G727" s="5"/>
      <c r="H727" s="5"/>
      <c r="I727" s="5"/>
      <c r="J727" s="5"/>
      <c r="K727" s="5"/>
      <c r="L727" s="5"/>
      <c r="M727" s="5"/>
      <c r="N727" s="5"/>
      <c r="O727" s="5"/>
      <c r="P727" s="5"/>
      <c r="Q727" s="5"/>
      <c r="R727" s="5"/>
      <c r="S727" s="5"/>
      <c r="T727" s="5"/>
      <c r="U727" s="5"/>
      <c r="V727" s="5"/>
      <c r="W727" s="5"/>
    </row>
    <row r="728" spans="1:23" ht="16" x14ac:dyDescent="0.2">
      <c r="A728" s="5"/>
      <c r="B728" s="6"/>
      <c r="C728" s="6"/>
      <c r="D728" s="6"/>
      <c r="E728" s="6"/>
      <c r="F728" s="5"/>
      <c r="G728" s="5"/>
      <c r="H728" s="5"/>
      <c r="I728" s="5"/>
      <c r="J728" s="5"/>
      <c r="K728" s="5"/>
      <c r="L728" s="5"/>
      <c r="M728" s="5"/>
      <c r="N728" s="5"/>
      <c r="O728" s="5"/>
      <c r="P728" s="5"/>
      <c r="Q728" s="5"/>
      <c r="R728" s="5"/>
      <c r="S728" s="5"/>
      <c r="T728" s="5"/>
      <c r="U728" s="5"/>
      <c r="V728" s="5"/>
      <c r="W728" s="5"/>
    </row>
    <row r="729" spans="1:23" ht="16" x14ac:dyDescent="0.2">
      <c r="A729" s="5"/>
      <c r="B729" s="6"/>
      <c r="C729" s="6"/>
      <c r="D729" s="6"/>
      <c r="E729" s="6"/>
      <c r="F729" s="5"/>
      <c r="G729" s="5"/>
      <c r="H729" s="5"/>
      <c r="I729" s="5"/>
      <c r="J729" s="5"/>
      <c r="K729" s="5"/>
      <c r="L729" s="5"/>
      <c r="M729" s="5"/>
      <c r="N729" s="5"/>
      <c r="O729" s="5"/>
      <c r="P729" s="5"/>
      <c r="Q729" s="5"/>
      <c r="R729" s="5"/>
      <c r="S729" s="5"/>
      <c r="T729" s="5"/>
      <c r="U729" s="5"/>
      <c r="V729" s="5"/>
      <c r="W729" s="5"/>
    </row>
    <row r="730" spans="1:23" ht="16" x14ac:dyDescent="0.2">
      <c r="A730" s="5"/>
      <c r="B730" s="6"/>
      <c r="C730" s="6"/>
      <c r="D730" s="6"/>
      <c r="E730" s="6"/>
      <c r="F730" s="5"/>
      <c r="G730" s="5"/>
      <c r="H730" s="5"/>
      <c r="I730" s="5"/>
      <c r="J730" s="5"/>
      <c r="K730" s="5"/>
      <c r="L730" s="5"/>
      <c r="M730" s="5"/>
      <c r="N730" s="5"/>
      <c r="O730" s="5"/>
      <c r="P730" s="5"/>
      <c r="Q730" s="5"/>
      <c r="R730" s="5"/>
      <c r="S730" s="5"/>
      <c r="T730" s="5"/>
      <c r="U730" s="5"/>
      <c r="V730" s="5"/>
      <c r="W730" s="5"/>
    </row>
    <row r="731" spans="1:23" ht="16" x14ac:dyDescent="0.2">
      <c r="A731" s="5"/>
      <c r="B731" s="6"/>
      <c r="C731" s="6"/>
      <c r="D731" s="6"/>
      <c r="E731" s="6"/>
      <c r="F731" s="5"/>
      <c r="G731" s="5"/>
      <c r="H731" s="5"/>
      <c r="I731" s="5"/>
      <c r="J731" s="5"/>
      <c r="K731" s="5"/>
      <c r="L731" s="5"/>
      <c r="M731" s="5"/>
      <c r="N731" s="5"/>
      <c r="O731" s="5"/>
      <c r="P731" s="5"/>
      <c r="Q731" s="5"/>
      <c r="R731" s="5"/>
      <c r="S731" s="5"/>
      <c r="T731" s="5"/>
      <c r="U731" s="5"/>
      <c r="V731" s="5"/>
      <c r="W731" s="5"/>
    </row>
    <row r="732" spans="1:23" ht="16" x14ac:dyDescent="0.2">
      <c r="A732" s="5"/>
      <c r="B732" s="6"/>
      <c r="C732" s="6"/>
      <c r="D732" s="6"/>
      <c r="E732" s="6"/>
      <c r="F732" s="5"/>
      <c r="G732" s="5"/>
      <c r="H732" s="5"/>
      <c r="I732" s="5"/>
      <c r="J732" s="5"/>
      <c r="K732" s="5"/>
      <c r="L732" s="5"/>
      <c r="M732" s="5"/>
      <c r="N732" s="5"/>
      <c r="O732" s="5"/>
      <c r="P732" s="5"/>
      <c r="Q732" s="5"/>
      <c r="R732" s="5"/>
      <c r="S732" s="5"/>
      <c r="T732" s="5"/>
      <c r="U732" s="5"/>
      <c r="V732" s="5"/>
      <c r="W732" s="5"/>
    </row>
    <row r="733" spans="1:23" ht="16" x14ac:dyDescent="0.2">
      <c r="A733" s="5"/>
      <c r="B733" s="6"/>
      <c r="C733" s="6"/>
      <c r="D733" s="6"/>
      <c r="E733" s="6"/>
      <c r="F733" s="5"/>
      <c r="G733" s="5"/>
      <c r="H733" s="5"/>
      <c r="I733" s="5"/>
      <c r="J733" s="5"/>
      <c r="K733" s="5"/>
      <c r="L733" s="5"/>
      <c r="M733" s="5"/>
      <c r="N733" s="5"/>
      <c r="O733" s="5"/>
      <c r="P733" s="5"/>
      <c r="Q733" s="5"/>
      <c r="R733" s="5"/>
      <c r="S733" s="5"/>
      <c r="T733" s="5"/>
      <c r="U733" s="5"/>
      <c r="V733" s="5"/>
      <c r="W733" s="5"/>
    </row>
    <row r="734" spans="1:23" ht="16" x14ac:dyDescent="0.2">
      <c r="A734" s="5"/>
      <c r="B734" s="6"/>
      <c r="C734" s="6"/>
      <c r="D734" s="6"/>
      <c r="E734" s="6"/>
      <c r="F734" s="5"/>
      <c r="G734" s="5"/>
      <c r="H734" s="5"/>
      <c r="I734" s="5"/>
      <c r="J734" s="5"/>
      <c r="K734" s="5"/>
      <c r="L734" s="5"/>
      <c r="M734" s="5"/>
      <c r="N734" s="5"/>
      <c r="O734" s="5"/>
      <c r="P734" s="5"/>
      <c r="Q734" s="5"/>
      <c r="R734" s="5"/>
      <c r="S734" s="5"/>
      <c r="T734" s="5"/>
      <c r="U734" s="5"/>
      <c r="V734" s="5"/>
      <c r="W734" s="5"/>
    </row>
    <row r="735" spans="1:23" ht="16" x14ac:dyDescent="0.2">
      <c r="A735" s="5"/>
      <c r="B735" s="6"/>
      <c r="C735" s="6"/>
      <c r="D735" s="6"/>
      <c r="E735" s="6"/>
      <c r="F735" s="5"/>
      <c r="G735" s="5"/>
      <c r="H735" s="5"/>
      <c r="I735" s="5"/>
      <c r="J735" s="5"/>
      <c r="K735" s="5"/>
      <c r="L735" s="5"/>
      <c r="M735" s="5"/>
      <c r="N735" s="5"/>
      <c r="O735" s="5"/>
      <c r="P735" s="5"/>
      <c r="Q735" s="5"/>
      <c r="R735" s="5"/>
      <c r="S735" s="5"/>
      <c r="T735" s="5"/>
      <c r="U735" s="5"/>
      <c r="V735" s="5"/>
      <c r="W735" s="5"/>
    </row>
    <row r="736" spans="1:23" ht="16" x14ac:dyDescent="0.2">
      <c r="A736" s="5"/>
      <c r="B736" s="6"/>
      <c r="C736" s="6"/>
      <c r="D736" s="6"/>
      <c r="E736" s="6"/>
      <c r="F736" s="5"/>
      <c r="G736" s="5"/>
      <c r="H736" s="5"/>
      <c r="I736" s="5"/>
      <c r="J736" s="5"/>
      <c r="K736" s="5"/>
      <c r="L736" s="5"/>
      <c r="M736" s="5"/>
      <c r="N736" s="5"/>
      <c r="O736" s="5"/>
      <c r="P736" s="5"/>
      <c r="Q736" s="5"/>
      <c r="R736" s="5"/>
      <c r="S736" s="5"/>
      <c r="T736" s="5"/>
      <c r="U736" s="5"/>
      <c r="V736" s="5"/>
      <c r="W736" s="5"/>
    </row>
    <row r="737" spans="1:23" ht="16" x14ac:dyDescent="0.2">
      <c r="A737" s="5"/>
      <c r="B737" s="6"/>
      <c r="C737" s="6"/>
      <c r="D737" s="6"/>
      <c r="E737" s="6"/>
      <c r="F737" s="5"/>
      <c r="G737" s="5"/>
      <c r="H737" s="5"/>
      <c r="I737" s="5"/>
      <c r="J737" s="5"/>
      <c r="K737" s="5"/>
      <c r="L737" s="5"/>
      <c r="M737" s="5"/>
      <c r="N737" s="5"/>
      <c r="O737" s="5"/>
      <c r="P737" s="5"/>
      <c r="Q737" s="5"/>
      <c r="R737" s="5"/>
      <c r="S737" s="5"/>
      <c r="T737" s="5"/>
      <c r="U737" s="5"/>
      <c r="V737" s="5"/>
      <c r="W737" s="5"/>
    </row>
    <row r="738" spans="1:23" ht="16" x14ac:dyDescent="0.2">
      <c r="A738" s="5"/>
      <c r="B738" s="6"/>
      <c r="C738" s="6"/>
      <c r="D738" s="6"/>
      <c r="E738" s="6"/>
      <c r="F738" s="5"/>
      <c r="G738" s="5"/>
      <c r="H738" s="5"/>
      <c r="I738" s="5"/>
      <c r="J738" s="5"/>
      <c r="K738" s="5"/>
      <c r="L738" s="5"/>
      <c r="M738" s="5"/>
      <c r="N738" s="5"/>
      <c r="O738" s="5"/>
      <c r="P738" s="5"/>
      <c r="Q738" s="5"/>
      <c r="R738" s="5"/>
      <c r="S738" s="5"/>
      <c r="T738" s="5"/>
      <c r="U738" s="5"/>
      <c r="V738" s="5"/>
      <c r="W738" s="5"/>
    </row>
    <row r="739" spans="1:23" ht="16" x14ac:dyDescent="0.2">
      <c r="A739" s="5"/>
      <c r="B739" s="6"/>
      <c r="C739" s="6"/>
      <c r="D739" s="6"/>
      <c r="E739" s="6"/>
      <c r="F739" s="5"/>
      <c r="G739" s="5"/>
      <c r="H739" s="5"/>
      <c r="I739" s="5"/>
      <c r="J739" s="5"/>
      <c r="K739" s="5"/>
      <c r="L739" s="5"/>
      <c r="M739" s="5"/>
      <c r="N739" s="5"/>
      <c r="O739" s="5"/>
      <c r="P739" s="5"/>
      <c r="Q739" s="5"/>
      <c r="R739" s="5"/>
      <c r="S739" s="5"/>
      <c r="T739" s="5"/>
      <c r="U739" s="5"/>
      <c r="V739" s="5"/>
      <c r="W739" s="5"/>
    </row>
    <row r="740" spans="1:23" ht="16" x14ac:dyDescent="0.2">
      <c r="A740" s="5"/>
      <c r="B740" s="6"/>
      <c r="C740" s="6"/>
      <c r="D740" s="6"/>
      <c r="E740" s="6"/>
      <c r="F740" s="5"/>
      <c r="G740" s="5"/>
      <c r="H740" s="5"/>
      <c r="I740" s="5"/>
      <c r="J740" s="5"/>
      <c r="K740" s="5"/>
      <c r="L740" s="5"/>
      <c r="M740" s="5"/>
      <c r="N740" s="5"/>
      <c r="O740" s="5"/>
      <c r="P740" s="5"/>
      <c r="Q740" s="5"/>
      <c r="R740" s="5"/>
      <c r="S740" s="5"/>
      <c r="T740" s="5"/>
      <c r="U740" s="5"/>
      <c r="V740" s="5"/>
      <c r="W740" s="5"/>
    </row>
    <row r="741" spans="1:23" ht="16" x14ac:dyDescent="0.2">
      <c r="A741" s="5"/>
      <c r="B741" s="6"/>
      <c r="C741" s="6"/>
      <c r="D741" s="6"/>
      <c r="E741" s="6"/>
      <c r="F741" s="5"/>
      <c r="G741" s="5"/>
      <c r="H741" s="5"/>
      <c r="I741" s="5"/>
      <c r="J741" s="5"/>
      <c r="K741" s="5"/>
      <c r="L741" s="5"/>
      <c r="M741" s="5"/>
      <c r="N741" s="5"/>
      <c r="O741" s="5"/>
      <c r="P741" s="5"/>
      <c r="Q741" s="5"/>
      <c r="R741" s="5"/>
      <c r="S741" s="5"/>
      <c r="T741" s="5"/>
      <c r="U741" s="5"/>
      <c r="V741" s="5"/>
      <c r="W741" s="5"/>
    </row>
    <row r="742" spans="1:23" ht="16" x14ac:dyDescent="0.2">
      <c r="A742" s="5"/>
      <c r="B742" s="6"/>
      <c r="C742" s="6"/>
      <c r="D742" s="6"/>
      <c r="E742" s="6"/>
      <c r="F742" s="5"/>
      <c r="G742" s="5"/>
      <c r="H742" s="5"/>
      <c r="I742" s="5"/>
      <c r="J742" s="5"/>
      <c r="K742" s="5"/>
      <c r="L742" s="5"/>
      <c r="M742" s="5"/>
      <c r="N742" s="5"/>
      <c r="O742" s="5"/>
      <c r="P742" s="5"/>
      <c r="Q742" s="5"/>
      <c r="R742" s="5"/>
      <c r="S742" s="5"/>
      <c r="T742" s="5"/>
      <c r="U742" s="5"/>
      <c r="V742" s="5"/>
      <c r="W742" s="5"/>
    </row>
    <row r="743" spans="1:23" ht="16" x14ac:dyDescent="0.2">
      <c r="A743" s="5"/>
      <c r="B743" s="6"/>
      <c r="C743" s="6"/>
      <c r="D743" s="6"/>
      <c r="E743" s="6"/>
      <c r="F743" s="5"/>
      <c r="G743" s="5"/>
      <c r="H743" s="5"/>
      <c r="I743" s="5"/>
      <c r="J743" s="5"/>
      <c r="K743" s="5"/>
      <c r="L743" s="5"/>
      <c r="M743" s="5"/>
      <c r="N743" s="5"/>
      <c r="O743" s="5"/>
      <c r="P743" s="5"/>
      <c r="Q743" s="5"/>
      <c r="R743" s="5"/>
      <c r="S743" s="5"/>
      <c r="T743" s="5"/>
      <c r="U743" s="5"/>
      <c r="V743" s="5"/>
      <c r="W743" s="5"/>
    </row>
    <row r="744" spans="1:23" ht="16" x14ac:dyDescent="0.2">
      <c r="A744" s="5"/>
      <c r="B744" s="6"/>
      <c r="C744" s="6"/>
      <c r="D744" s="6"/>
      <c r="E744" s="6"/>
      <c r="F744" s="5"/>
      <c r="G744" s="5"/>
      <c r="H744" s="5"/>
      <c r="I744" s="5"/>
      <c r="J744" s="5"/>
      <c r="K744" s="5"/>
      <c r="L744" s="5"/>
      <c r="M744" s="5"/>
      <c r="N744" s="5"/>
      <c r="O744" s="5"/>
      <c r="P744" s="5"/>
      <c r="Q744" s="5"/>
      <c r="R744" s="5"/>
      <c r="S744" s="5"/>
      <c r="T744" s="5"/>
      <c r="U744" s="5"/>
      <c r="V744" s="5"/>
      <c r="W744" s="5"/>
    </row>
    <row r="745" spans="1:23" ht="16" x14ac:dyDescent="0.2">
      <c r="A745" s="5"/>
      <c r="B745" s="6"/>
      <c r="C745" s="6"/>
      <c r="D745" s="6"/>
      <c r="E745" s="6"/>
      <c r="F745" s="5"/>
      <c r="G745" s="5"/>
      <c r="H745" s="5"/>
      <c r="I745" s="5"/>
      <c r="J745" s="5"/>
      <c r="K745" s="5"/>
      <c r="L745" s="5"/>
      <c r="M745" s="5"/>
      <c r="N745" s="5"/>
      <c r="O745" s="5"/>
      <c r="P745" s="5"/>
      <c r="Q745" s="5"/>
      <c r="R745" s="5"/>
      <c r="S745" s="5"/>
      <c r="T745" s="5"/>
      <c r="U745" s="5"/>
      <c r="V745" s="5"/>
      <c r="W745" s="5"/>
    </row>
    <row r="746" spans="1:23" ht="16" x14ac:dyDescent="0.2">
      <c r="A746" s="5"/>
      <c r="B746" s="6"/>
      <c r="C746" s="6"/>
      <c r="D746" s="6"/>
      <c r="E746" s="6"/>
      <c r="F746" s="5"/>
      <c r="G746" s="5"/>
      <c r="H746" s="5"/>
      <c r="I746" s="5"/>
      <c r="J746" s="5"/>
      <c r="K746" s="5"/>
      <c r="L746" s="5"/>
      <c r="M746" s="5"/>
      <c r="N746" s="5"/>
      <c r="O746" s="5"/>
      <c r="P746" s="5"/>
      <c r="Q746" s="5"/>
      <c r="R746" s="5"/>
      <c r="S746" s="5"/>
      <c r="T746" s="5"/>
      <c r="U746" s="5"/>
      <c r="V746" s="5"/>
      <c r="W746" s="5"/>
    </row>
    <row r="747" spans="1:23" ht="16" x14ac:dyDescent="0.2">
      <c r="A747" s="5"/>
      <c r="B747" s="6"/>
      <c r="C747" s="6"/>
      <c r="D747" s="6"/>
      <c r="E747" s="6"/>
      <c r="F747" s="5"/>
      <c r="G747" s="5"/>
      <c r="H747" s="5"/>
      <c r="I747" s="5"/>
      <c r="J747" s="5"/>
      <c r="K747" s="5"/>
      <c r="L747" s="5"/>
      <c r="M747" s="5"/>
      <c r="N747" s="5"/>
      <c r="O747" s="5"/>
      <c r="P747" s="5"/>
      <c r="Q747" s="5"/>
      <c r="R747" s="5"/>
      <c r="S747" s="5"/>
      <c r="T747" s="5"/>
      <c r="U747" s="5"/>
      <c r="V747" s="5"/>
      <c r="W747" s="5"/>
    </row>
    <row r="748" spans="1:23" ht="16" x14ac:dyDescent="0.2">
      <c r="A748" s="5"/>
      <c r="B748" s="6"/>
      <c r="C748" s="6"/>
      <c r="D748" s="6"/>
      <c r="E748" s="6"/>
      <c r="F748" s="5"/>
      <c r="G748" s="5"/>
      <c r="H748" s="5"/>
      <c r="I748" s="5"/>
      <c r="J748" s="5"/>
      <c r="K748" s="5"/>
      <c r="L748" s="5"/>
      <c r="M748" s="5"/>
      <c r="N748" s="5"/>
      <c r="O748" s="5"/>
      <c r="P748" s="5"/>
      <c r="Q748" s="5"/>
      <c r="R748" s="5"/>
      <c r="S748" s="5"/>
      <c r="T748" s="5"/>
      <c r="U748" s="5"/>
      <c r="V748" s="5"/>
      <c r="W748" s="5"/>
    </row>
    <row r="749" spans="1:23" ht="16" x14ac:dyDescent="0.2">
      <c r="A749" s="5"/>
      <c r="B749" s="6"/>
      <c r="C749" s="6"/>
      <c r="D749" s="6"/>
      <c r="E749" s="6"/>
      <c r="F749" s="5"/>
      <c r="G749" s="5"/>
      <c r="H749" s="5"/>
      <c r="I749" s="5"/>
      <c r="J749" s="5"/>
      <c r="K749" s="5"/>
      <c r="L749" s="5"/>
      <c r="M749" s="5"/>
      <c r="N749" s="5"/>
      <c r="O749" s="5"/>
      <c r="P749" s="5"/>
      <c r="Q749" s="5"/>
      <c r="R749" s="5"/>
      <c r="S749" s="5"/>
      <c r="T749" s="5"/>
      <c r="U749" s="5"/>
      <c r="V749" s="5"/>
      <c r="W749" s="5"/>
    </row>
    <row r="750" spans="1:23" ht="16" x14ac:dyDescent="0.2">
      <c r="A750" s="5"/>
      <c r="B750" s="6"/>
      <c r="C750" s="6"/>
      <c r="D750" s="6"/>
      <c r="E750" s="6"/>
      <c r="F750" s="5"/>
      <c r="G750" s="5"/>
      <c r="H750" s="5"/>
      <c r="I750" s="5"/>
      <c r="J750" s="5"/>
      <c r="K750" s="5"/>
      <c r="L750" s="5"/>
      <c r="M750" s="5"/>
      <c r="N750" s="5"/>
      <c r="O750" s="5"/>
      <c r="P750" s="5"/>
      <c r="Q750" s="5"/>
      <c r="R750" s="5"/>
      <c r="S750" s="5"/>
      <c r="T750" s="5"/>
      <c r="U750" s="5"/>
      <c r="V750" s="5"/>
      <c r="W750" s="5"/>
    </row>
    <row r="751" spans="1:23" ht="16" x14ac:dyDescent="0.2">
      <c r="A751" s="5"/>
      <c r="B751" s="6"/>
      <c r="C751" s="6"/>
      <c r="D751" s="6"/>
      <c r="E751" s="6"/>
      <c r="F751" s="5"/>
      <c r="G751" s="5"/>
      <c r="H751" s="5"/>
      <c r="I751" s="5"/>
      <c r="J751" s="5"/>
      <c r="K751" s="5"/>
      <c r="L751" s="5"/>
      <c r="M751" s="5"/>
      <c r="N751" s="5"/>
      <c r="O751" s="5"/>
      <c r="P751" s="5"/>
      <c r="Q751" s="5"/>
      <c r="R751" s="5"/>
      <c r="S751" s="5"/>
      <c r="T751" s="5"/>
      <c r="U751" s="5"/>
      <c r="V751" s="5"/>
      <c r="W751" s="5"/>
    </row>
    <row r="752" spans="1:23" ht="16" x14ac:dyDescent="0.2">
      <c r="A752" s="5"/>
      <c r="B752" s="6"/>
      <c r="C752" s="6"/>
      <c r="D752" s="6"/>
      <c r="E752" s="6"/>
      <c r="F752" s="5"/>
      <c r="G752" s="5"/>
      <c r="H752" s="5"/>
      <c r="I752" s="5"/>
      <c r="J752" s="5"/>
      <c r="K752" s="5"/>
      <c r="L752" s="5"/>
      <c r="M752" s="5"/>
      <c r="N752" s="5"/>
      <c r="O752" s="5"/>
      <c r="P752" s="5"/>
      <c r="Q752" s="5"/>
      <c r="R752" s="5"/>
      <c r="S752" s="5"/>
      <c r="T752" s="5"/>
      <c r="U752" s="5"/>
      <c r="V752" s="5"/>
      <c r="W752" s="5"/>
    </row>
    <row r="753" spans="1:23" ht="16" x14ac:dyDescent="0.2">
      <c r="A753" s="5"/>
      <c r="B753" s="6"/>
      <c r="C753" s="6"/>
      <c r="D753" s="6"/>
      <c r="E753" s="6"/>
      <c r="F753" s="5"/>
      <c r="G753" s="5"/>
      <c r="H753" s="5"/>
      <c r="I753" s="5"/>
      <c r="J753" s="5"/>
      <c r="K753" s="5"/>
      <c r="L753" s="5"/>
      <c r="M753" s="5"/>
      <c r="N753" s="5"/>
      <c r="O753" s="5"/>
      <c r="P753" s="5"/>
      <c r="Q753" s="5"/>
      <c r="R753" s="5"/>
      <c r="S753" s="5"/>
      <c r="T753" s="5"/>
      <c r="U753" s="5"/>
      <c r="V753" s="5"/>
      <c r="W753" s="5"/>
    </row>
    <row r="754" spans="1:23" ht="16" x14ac:dyDescent="0.2">
      <c r="A754" s="5"/>
      <c r="B754" s="6"/>
      <c r="C754" s="6"/>
      <c r="D754" s="6"/>
      <c r="E754" s="6"/>
      <c r="F754" s="5"/>
      <c r="G754" s="5"/>
      <c r="H754" s="5"/>
      <c r="I754" s="5"/>
      <c r="J754" s="5"/>
      <c r="K754" s="5"/>
      <c r="L754" s="5"/>
      <c r="M754" s="5"/>
      <c r="N754" s="5"/>
      <c r="O754" s="5"/>
      <c r="P754" s="5"/>
      <c r="Q754" s="5"/>
      <c r="R754" s="5"/>
      <c r="S754" s="5"/>
      <c r="T754" s="5"/>
      <c r="U754" s="5"/>
      <c r="V754" s="5"/>
      <c r="W754" s="5"/>
    </row>
    <row r="755" spans="1:23" ht="16" x14ac:dyDescent="0.2">
      <c r="A755" s="5"/>
      <c r="B755" s="6"/>
      <c r="C755" s="6"/>
      <c r="D755" s="6"/>
      <c r="E755" s="6"/>
      <c r="F755" s="5"/>
      <c r="G755" s="5"/>
      <c r="H755" s="5"/>
      <c r="I755" s="5"/>
      <c r="J755" s="5"/>
      <c r="K755" s="5"/>
      <c r="L755" s="5"/>
      <c r="M755" s="5"/>
      <c r="N755" s="5"/>
      <c r="O755" s="5"/>
      <c r="P755" s="5"/>
      <c r="Q755" s="5"/>
      <c r="R755" s="5"/>
      <c r="S755" s="5"/>
      <c r="T755" s="5"/>
      <c r="U755" s="5"/>
      <c r="V755" s="5"/>
      <c r="W755" s="5"/>
    </row>
    <row r="756" spans="1:23" ht="16" x14ac:dyDescent="0.2">
      <c r="A756" s="5"/>
      <c r="B756" s="6"/>
      <c r="C756" s="6"/>
      <c r="D756" s="6"/>
      <c r="E756" s="6"/>
      <c r="F756" s="5"/>
      <c r="G756" s="5"/>
      <c r="H756" s="5"/>
      <c r="I756" s="5"/>
      <c r="J756" s="5"/>
      <c r="K756" s="5"/>
      <c r="L756" s="5"/>
      <c r="M756" s="5"/>
      <c r="N756" s="5"/>
      <c r="O756" s="5"/>
      <c r="P756" s="5"/>
      <c r="Q756" s="5"/>
      <c r="R756" s="5"/>
      <c r="S756" s="5"/>
      <c r="T756" s="5"/>
      <c r="U756" s="5"/>
      <c r="V756" s="5"/>
      <c r="W756" s="5"/>
    </row>
    <row r="757" spans="1:23" ht="16" x14ac:dyDescent="0.2">
      <c r="A757" s="5"/>
      <c r="B757" s="6"/>
      <c r="C757" s="6"/>
      <c r="D757" s="6"/>
      <c r="E757" s="6"/>
      <c r="F757" s="5"/>
      <c r="G757" s="5"/>
      <c r="H757" s="5"/>
      <c r="I757" s="5"/>
      <c r="J757" s="5"/>
      <c r="K757" s="5"/>
      <c r="L757" s="5"/>
      <c r="M757" s="5"/>
      <c r="N757" s="5"/>
      <c r="O757" s="5"/>
      <c r="P757" s="5"/>
      <c r="Q757" s="5"/>
      <c r="R757" s="5"/>
      <c r="S757" s="5"/>
      <c r="T757" s="5"/>
      <c r="U757" s="5"/>
      <c r="V757" s="5"/>
      <c r="W757" s="5"/>
    </row>
    <row r="758" spans="1:23" ht="16" x14ac:dyDescent="0.2">
      <c r="A758" s="5"/>
      <c r="B758" s="6"/>
      <c r="C758" s="6"/>
      <c r="D758" s="6"/>
      <c r="E758" s="6"/>
      <c r="F758" s="5"/>
      <c r="G758" s="5"/>
      <c r="H758" s="5"/>
      <c r="I758" s="5"/>
      <c r="J758" s="5"/>
      <c r="K758" s="5"/>
      <c r="L758" s="5"/>
      <c r="M758" s="5"/>
      <c r="N758" s="5"/>
      <c r="O758" s="5"/>
      <c r="P758" s="5"/>
      <c r="Q758" s="5"/>
      <c r="R758" s="5"/>
      <c r="S758" s="5"/>
      <c r="T758" s="5"/>
      <c r="U758" s="5"/>
      <c r="V758" s="5"/>
      <c r="W758" s="5"/>
    </row>
    <row r="759" spans="1:23" ht="16" x14ac:dyDescent="0.2">
      <c r="A759" s="5"/>
      <c r="B759" s="6"/>
      <c r="C759" s="6"/>
      <c r="D759" s="6"/>
      <c r="E759" s="6"/>
      <c r="F759" s="5"/>
      <c r="G759" s="5"/>
      <c r="H759" s="5"/>
      <c r="I759" s="5"/>
      <c r="J759" s="5"/>
      <c r="K759" s="5"/>
      <c r="L759" s="5"/>
      <c r="M759" s="5"/>
      <c r="N759" s="5"/>
      <c r="O759" s="5"/>
      <c r="P759" s="5"/>
      <c r="Q759" s="5"/>
      <c r="R759" s="5"/>
      <c r="S759" s="5"/>
      <c r="T759" s="5"/>
      <c r="U759" s="5"/>
      <c r="V759" s="5"/>
      <c r="W759" s="5"/>
    </row>
    <row r="760" spans="1:23" ht="16" x14ac:dyDescent="0.2">
      <c r="A760" s="5"/>
      <c r="B760" s="6"/>
      <c r="C760" s="6"/>
      <c r="D760" s="6"/>
      <c r="E760" s="6"/>
      <c r="F760" s="5"/>
      <c r="G760" s="5"/>
      <c r="H760" s="5"/>
      <c r="I760" s="5"/>
      <c r="J760" s="5"/>
      <c r="K760" s="5"/>
      <c r="L760" s="5"/>
      <c r="M760" s="5"/>
      <c r="N760" s="5"/>
      <c r="O760" s="5"/>
      <c r="P760" s="5"/>
      <c r="Q760" s="5"/>
      <c r="R760" s="5"/>
      <c r="S760" s="5"/>
      <c r="T760" s="5"/>
      <c r="U760" s="5"/>
      <c r="V760" s="5"/>
      <c r="W760" s="5"/>
    </row>
    <row r="761" spans="1:23" ht="16" x14ac:dyDescent="0.2">
      <c r="A761" s="5"/>
      <c r="B761" s="6"/>
      <c r="C761" s="6"/>
      <c r="D761" s="6"/>
      <c r="E761" s="6"/>
      <c r="F761" s="5"/>
      <c r="G761" s="5"/>
      <c r="H761" s="5"/>
      <c r="I761" s="5"/>
      <c r="J761" s="5"/>
      <c r="K761" s="5"/>
      <c r="L761" s="5"/>
      <c r="M761" s="5"/>
      <c r="N761" s="5"/>
      <c r="O761" s="5"/>
      <c r="P761" s="5"/>
      <c r="Q761" s="5"/>
      <c r="R761" s="5"/>
      <c r="S761" s="5"/>
      <c r="T761" s="5"/>
      <c r="U761" s="5"/>
      <c r="V761" s="5"/>
      <c r="W761" s="5"/>
    </row>
    <row r="762" spans="1:23" ht="16" x14ac:dyDescent="0.2">
      <c r="A762" s="5"/>
      <c r="B762" s="6"/>
      <c r="C762" s="6"/>
      <c r="D762" s="6"/>
      <c r="E762" s="6"/>
      <c r="F762" s="5"/>
      <c r="G762" s="5"/>
      <c r="H762" s="5"/>
      <c r="I762" s="5"/>
      <c r="J762" s="5"/>
      <c r="K762" s="5"/>
      <c r="L762" s="5"/>
      <c r="M762" s="5"/>
      <c r="N762" s="5"/>
      <c r="O762" s="5"/>
      <c r="P762" s="5"/>
      <c r="Q762" s="5"/>
      <c r="R762" s="5"/>
      <c r="S762" s="5"/>
      <c r="T762" s="5"/>
      <c r="U762" s="5"/>
      <c r="V762" s="5"/>
      <c r="W762" s="5"/>
    </row>
    <row r="763" spans="1:23" ht="16" x14ac:dyDescent="0.2">
      <c r="A763" s="5"/>
      <c r="B763" s="6"/>
      <c r="C763" s="6"/>
      <c r="D763" s="6"/>
      <c r="E763" s="6"/>
      <c r="F763" s="5"/>
      <c r="G763" s="5"/>
      <c r="H763" s="5"/>
      <c r="I763" s="5"/>
      <c r="J763" s="5"/>
      <c r="K763" s="5"/>
      <c r="L763" s="5"/>
      <c r="M763" s="5"/>
      <c r="N763" s="5"/>
      <c r="O763" s="5"/>
      <c r="P763" s="5"/>
      <c r="Q763" s="5"/>
      <c r="R763" s="5"/>
      <c r="S763" s="5"/>
      <c r="T763" s="5"/>
      <c r="U763" s="5"/>
      <c r="V763" s="5"/>
      <c r="W763" s="5"/>
    </row>
    <row r="764" spans="1:23" ht="16" x14ac:dyDescent="0.2">
      <c r="A764" s="5"/>
      <c r="B764" s="6"/>
      <c r="C764" s="6"/>
      <c r="D764" s="6"/>
      <c r="E764" s="6"/>
      <c r="F764" s="5"/>
      <c r="G764" s="5"/>
      <c r="H764" s="5"/>
      <c r="I764" s="5"/>
      <c r="J764" s="5"/>
      <c r="K764" s="5"/>
      <c r="L764" s="5"/>
      <c r="M764" s="5"/>
      <c r="N764" s="5"/>
      <c r="O764" s="5"/>
      <c r="P764" s="5"/>
      <c r="Q764" s="5"/>
      <c r="R764" s="5"/>
      <c r="S764" s="5"/>
      <c r="T764" s="5"/>
      <c r="U764" s="5"/>
      <c r="V764" s="5"/>
      <c r="W764" s="5"/>
    </row>
    <row r="765" spans="1:23" ht="16" x14ac:dyDescent="0.2">
      <c r="A765" s="5"/>
      <c r="B765" s="6"/>
      <c r="C765" s="6"/>
      <c r="D765" s="6"/>
      <c r="E765" s="6"/>
      <c r="F765" s="5"/>
      <c r="G765" s="5"/>
      <c r="H765" s="5"/>
      <c r="I765" s="5"/>
      <c r="J765" s="5"/>
      <c r="K765" s="5"/>
      <c r="L765" s="5"/>
      <c r="M765" s="5"/>
      <c r="N765" s="5"/>
      <c r="O765" s="5"/>
      <c r="P765" s="5"/>
      <c r="Q765" s="5"/>
      <c r="R765" s="5"/>
      <c r="S765" s="5"/>
      <c r="T765" s="5"/>
      <c r="U765" s="5"/>
      <c r="V765" s="5"/>
      <c r="W765" s="5"/>
    </row>
    <row r="766" spans="1:23" ht="16" x14ac:dyDescent="0.2">
      <c r="A766" s="5"/>
      <c r="B766" s="6"/>
      <c r="C766" s="6"/>
      <c r="D766" s="6"/>
      <c r="E766" s="6"/>
      <c r="F766" s="5"/>
      <c r="G766" s="5"/>
      <c r="H766" s="5"/>
      <c r="I766" s="5"/>
      <c r="J766" s="5"/>
      <c r="K766" s="5"/>
      <c r="L766" s="5"/>
      <c r="M766" s="5"/>
      <c r="N766" s="5"/>
      <c r="O766" s="5"/>
      <c r="P766" s="5"/>
      <c r="Q766" s="5"/>
      <c r="R766" s="5"/>
      <c r="S766" s="5"/>
      <c r="T766" s="5"/>
      <c r="U766" s="5"/>
      <c r="V766" s="5"/>
      <c r="W766" s="5"/>
    </row>
    <row r="767" spans="1:23" ht="16" x14ac:dyDescent="0.2">
      <c r="A767" s="5"/>
      <c r="B767" s="6"/>
      <c r="C767" s="6"/>
      <c r="D767" s="6"/>
      <c r="E767" s="6"/>
      <c r="F767" s="5"/>
      <c r="G767" s="5"/>
      <c r="H767" s="5"/>
      <c r="I767" s="5"/>
      <c r="J767" s="5"/>
      <c r="K767" s="5"/>
      <c r="L767" s="5"/>
      <c r="M767" s="5"/>
      <c r="N767" s="5"/>
      <c r="O767" s="5"/>
      <c r="P767" s="5"/>
      <c r="Q767" s="5"/>
      <c r="R767" s="5"/>
      <c r="S767" s="5"/>
      <c r="T767" s="5"/>
      <c r="U767" s="5"/>
      <c r="V767" s="5"/>
      <c r="W767" s="5"/>
    </row>
    <row r="768" spans="1:23" ht="16" x14ac:dyDescent="0.2">
      <c r="A768" s="5"/>
      <c r="B768" s="6"/>
      <c r="C768" s="6"/>
      <c r="D768" s="6"/>
      <c r="E768" s="6"/>
      <c r="F768" s="5"/>
      <c r="G768" s="5"/>
      <c r="H768" s="5"/>
      <c r="I768" s="5"/>
      <c r="J768" s="5"/>
      <c r="K768" s="5"/>
      <c r="L768" s="5"/>
      <c r="M768" s="5"/>
      <c r="N768" s="5"/>
      <c r="O768" s="5"/>
      <c r="P768" s="5"/>
      <c r="Q768" s="5"/>
      <c r="R768" s="5"/>
      <c r="S768" s="5"/>
      <c r="T768" s="5"/>
      <c r="U768" s="5"/>
      <c r="V768" s="5"/>
      <c r="W768" s="5"/>
    </row>
    <row r="769" spans="1:23" ht="16" x14ac:dyDescent="0.2">
      <c r="A769" s="5"/>
      <c r="B769" s="6"/>
      <c r="C769" s="6"/>
      <c r="D769" s="6"/>
      <c r="E769" s="6"/>
      <c r="F769" s="5"/>
      <c r="G769" s="5"/>
      <c r="H769" s="5"/>
      <c r="I769" s="5"/>
      <c r="J769" s="5"/>
      <c r="K769" s="5"/>
      <c r="L769" s="5"/>
      <c r="M769" s="5"/>
      <c r="N769" s="5"/>
      <c r="O769" s="5"/>
      <c r="P769" s="5"/>
      <c r="Q769" s="5"/>
      <c r="R769" s="5"/>
      <c r="S769" s="5"/>
      <c r="T769" s="5"/>
      <c r="U769" s="5"/>
      <c r="V769" s="5"/>
      <c r="W769" s="5"/>
    </row>
    <row r="770" spans="1:23" ht="16" x14ac:dyDescent="0.2">
      <c r="A770" s="5"/>
      <c r="B770" s="6"/>
      <c r="C770" s="6"/>
      <c r="D770" s="6"/>
      <c r="E770" s="6"/>
      <c r="F770" s="5"/>
      <c r="G770" s="5"/>
      <c r="H770" s="5"/>
      <c r="I770" s="5"/>
      <c r="J770" s="5"/>
      <c r="K770" s="5"/>
      <c r="L770" s="5"/>
      <c r="M770" s="5"/>
      <c r="N770" s="5"/>
      <c r="O770" s="5"/>
      <c r="P770" s="5"/>
      <c r="Q770" s="5"/>
      <c r="R770" s="5"/>
      <c r="S770" s="5"/>
      <c r="T770" s="5"/>
      <c r="U770" s="5"/>
      <c r="V770" s="5"/>
      <c r="W770" s="5"/>
    </row>
    <row r="771" spans="1:23" ht="16" x14ac:dyDescent="0.2">
      <c r="A771" s="5"/>
      <c r="B771" s="6"/>
      <c r="C771" s="6"/>
      <c r="D771" s="6"/>
      <c r="E771" s="6"/>
      <c r="F771" s="5"/>
      <c r="G771" s="5"/>
      <c r="H771" s="5"/>
      <c r="I771" s="5"/>
      <c r="J771" s="5"/>
      <c r="K771" s="5"/>
      <c r="L771" s="5"/>
      <c r="M771" s="5"/>
      <c r="N771" s="5"/>
      <c r="O771" s="5"/>
      <c r="P771" s="5"/>
      <c r="Q771" s="5"/>
      <c r="R771" s="5"/>
      <c r="S771" s="5"/>
      <c r="T771" s="5"/>
      <c r="U771" s="5"/>
      <c r="V771" s="5"/>
      <c r="W771" s="5"/>
    </row>
    <row r="772" spans="1:23" ht="16" x14ac:dyDescent="0.2">
      <c r="A772" s="5"/>
      <c r="B772" s="6"/>
      <c r="C772" s="6"/>
      <c r="D772" s="6"/>
      <c r="E772" s="6"/>
      <c r="F772" s="5"/>
      <c r="G772" s="5"/>
      <c r="H772" s="5"/>
      <c r="I772" s="5"/>
      <c r="J772" s="5"/>
      <c r="K772" s="5"/>
      <c r="L772" s="5"/>
      <c r="M772" s="5"/>
      <c r="N772" s="5"/>
      <c r="O772" s="5"/>
      <c r="P772" s="5"/>
      <c r="Q772" s="5"/>
      <c r="R772" s="5"/>
      <c r="S772" s="5"/>
      <c r="T772" s="5"/>
      <c r="U772" s="5"/>
      <c r="V772" s="5"/>
      <c r="W772" s="5"/>
    </row>
    <row r="773" spans="1:23" ht="16" x14ac:dyDescent="0.2">
      <c r="A773" s="5"/>
      <c r="B773" s="6"/>
      <c r="C773" s="6"/>
      <c r="D773" s="6"/>
      <c r="E773" s="6"/>
      <c r="F773" s="5"/>
      <c r="G773" s="5"/>
      <c r="H773" s="5"/>
      <c r="I773" s="5"/>
      <c r="J773" s="5"/>
      <c r="K773" s="5"/>
      <c r="L773" s="5"/>
      <c r="M773" s="5"/>
      <c r="N773" s="5"/>
      <c r="O773" s="5"/>
      <c r="P773" s="5"/>
      <c r="Q773" s="5"/>
      <c r="R773" s="5"/>
      <c r="S773" s="5"/>
      <c r="T773" s="5"/>
      <c r="U773" s="5"/>
      <c r="V773" s="5"/>
      <c r="W773" s="5"/>
    </row>
    <row r="774" spans="1:23" ht="16" x14ac:dyDescent="0.2">
      <c r="A774" s="5"/>
      <c r="B774" s="6"/>
      <c r="C774" s="6"/>
      <c r="D774" s="6"/>
      <c r="E774" s="6"/>
      <c r="F774" s="5"/>
      <c r="G774" s="5"/>
      <c r="H774" s="5"/>
      <c r="I774" s="5"/>
      <c r="J774" s="5"/>
      <c r="K774" s="5"/>
      <c r="L774" s="5"/>
      <c r="M774" s="5"/>
      <c r="N774" s="5"/>
      <c r="O774" s="5"/>
      <c r="P774" s="5"/>
      <c r="Q774" s="5"/>
      <c r="R774" s="5"/>
      <c r="S774" s="5"/>
      <c r="T774" s="5"/>
      <c r="U774" s="5"/>
      <c r="V774" s="5"/>
      <c r="W774" s="5"/>
    </row>
    <row r="775" spans="1:23" ht="16" x14ac:dyDescent="0.2">
      <c r="A775" s="5"/>
      <c r="B775" s="6"/>
      <c r="C775" s="6"/>
      <c r="D775" s="6"/>
      <c r="E775" s="6"/>
      <c r="F775" s="5"/>
      <c r="G775" s="5"/>
      <c r="H775" s="5"/>
      <c r="I775" s="5"/>
      <c r="J775" s="5"/>
      <c r="K775" s="5"/>
      <c r="L775" s="5"/>
      <c r="M775" s="5"/>
      <c r="N775" s="5"/>
      <c r="O775" s="5"/>
      <c r="P775" s="5"/>
      <c r="Q775" s="5"/>
      <c r="R775" s="5"/>
      <c r="S775" s="5"/>
      <c r="T775" s="5"/>
      <c r="U775" s="5"/>
      <c r="V775" s="5"/>
      <c r="W775" s="5"/>
    </row>
    <row r="776" spans="1:23" ht="16" x14ac:dyDescent="0.2">
      <c r="A776" s="5"/>
      <c r="B776" s="6"/>
      <c r="C776" s="6"/>
      <c r="D776" s="6"/>
      <c r="E776" s="6"/>
      <c r="F776" s="5"/>
      <c r="G776" s="5"/>
      <c r="H776" s="5"/>
      <c r="I776" s="5"/>
      <c r="J776" s="5"/>
      <c r="K776" s="5"/>
      <c r="L776" s="5"/>
      <c r="M776" s="5"/>
      <c r="N776" s="5"/>
      <c r="O776" s="5"/>
      <c r="P776" s="5"/>
      <c r="Q776" s="5"/>
      <c r="R776" s="5"/>
      <c r="S776" s="5"/>
      <c r="T776" s="5"/>
      <c r="U776" s="5"/>
      <c r="V776" s="5"/>
      <c r="W776" s="5"/>
    </row>
    <row r="777" spans="1:23" ht="16" x14ac:dyDescent="0.2">
      <c r="A777" s="5"/>
      <c r="B777" s="6"/>
      <c r="C777" s="6"/>
      <c r="D777" s="6"/>
      <c r="E777" s="6"/>
      <c r="F777" s="5"/>
      <c r="G777" s="5"/>
      <c r="H777" s="5"/>
      <c r="I777" s="5"/>
      <c r="J777" s="5"/>
      <c r="K777" s="5"/>
      <c r="L777" s="5"/>
      <c r="M777" s="5"/>
      <c r="N777" s="5"/>
      <c r="O777" s="5"/>
      <c r="P777" s="5"/>
      <c r="Q777" s="5"/>
      <c r="R777" s="5"/>
      <c r="S777" s="5"/>
      <c r="T777" s="5"/>
      <c r="U777" s="5"/>
      <c r="V777" s="5"/>
      <c r="W777" s="5"/>
    </row>
    <row r="778" spans="1:23" ht="16" x14ac:dyDescent="0.2">
      <c r="A778" s="5"/>
      <c r="B778" s="6"/>
      <c r="C778" s="6"/>
      <c r="D778" s="6"/>
      <c r="E778" s="6"/>
      <c r="F778" s="5"/>
      <c r="G778" s="5"/>
      <c r="H778" s="5"/>
      <c r="I778" s="5"/>
      <c r="J778" s="5"/>
      <c r="K778" s="5"/>
      <c r="L778" s="5"/>
      <c r="M778" s="5"/>
      <c r="N778" s="5"/>
      <c r="O778" s="5"/>
      <c r="P778" s="5"/>
      <c r="Q778" s="5"/>
      <c r="R778" s="5"/>
      <c r="S778" s="5"/>
      <c r="T778" s="5"/>
      <c r="U778" s="5"/>
      <c r="V778" s="5"/>
      <c r="W778" s="5"/>
    </row>
    <row r="779" spans="1:23" ht="16" x14ac:dyDescent="0.2">
      <c r="A779" s="5"/>
      <c r="B779" s="6"/>
      <c r="C779" s="6"/>
      <c r="D779" s="6"/>
      <c r="E779" s="6"/>
      <c r="F779" s="5"/>
      <c r="G779" s="5"/>
      <c r="H779" s="5"/>
      <c r="I779" s="5"/>
      <c r="J779" s="5"/>
      <c r="K779" s="5"/>
      <c r="L779" s="5"/>
      <c r="M779" s="5"/>
      <c r="N779" s="5"/>
      <c r="O779" s="5"/>
      <c r="P779" s="5"/>
      <c r="Q779" s="5"/>
      <c r="R779" s="5"/>
      <c r="S779" s="5"/>
      <c r="T779" s="5"/>
      <c r="U779" s="5"/>
      <c r="V779" s="5"/>
      <c r="W779" s="5"/>
    </row>
    <row r="780" spans="1:23" ht="16" x14ac:dyDescent="0.2">
      <c r="A780" s="5"/>
      <c r="B780" s="6"/>
      <c r="C780" s="6"/>
      <c r="D780" s="6"/>
      <c r="E780" s="6"/>
      <c r="F780" s="5"/>
      <c r="G780" s="5"/>
      <c r="H780" s="5"/>
      <c r="I780" s="5"/>
      <c r="J780" s="5"/>
      <c r="K780" s="5"/>
      <c r="L780" s="5"/>
      <c r="M780" s="5"/>
      <c r="N780" s="5"/>
      <c r="O780" s="5"/>
      <c r="P780" s="5"/>
      <c r="Q780" s="5"/>
      <c r="R780" s="5"/>
      <c r="S780" s="5"/>
      <c r="T780" s="5"/>
      <c r="U780" s="5"/>
      <c r="V780" s="5"/>
      <c r="W780" s="5"/>
    </row>
    <row r="781" spans="1:23" ht="16" x14ac:dyDescent="0.2">
      <c r="A781" s="5"/>
      <c r="B781" s="6"/>
      <c r="C781" s="6"/>
      <c r="D781" s="6"/>
      <c r="E781" s="6"/>
      <c r="F781" s="5"/>
      <c r="G781" s="5"/>
      <c r="H781" s="5"/>
      <c r="I781" s="5"/>
      <c r="J781" s="5"/>
      <c r="K781" s="5"/>
      <c r="L781" s="5"/>
      <c r="M781" s="5"/>
      <c r="N781" s="5"/>
      <c r="O781" s="5"/>
      <c r="P781" s="5"/>
      <c r="Q781" s="5"/>
      <c r="R781" s="5"/>
      <c r="S781" s="5"/>
      <c r="T781" s="5"/>
      <c r="U781" s="5"/>
      <c r="V781" s="5"/>
      <c r="W781" s="5"/>
    </row>
    <row r="782" spans="1:23" ht="16" x14ac:dyDescent="0.2">
      <c r="A782" s="5"/>
      <c r="B782" s="6"/>
      <c r="C782" s="6"/>
      <c r="D782" s="6"/>
      <c r="E782" s="6"/>
      <c r="F782" s="5"/>
      <c r="G782" s="5"/>
      <c r="H782" s="5"/>
      <c r="I782" s="5"/>
      <c r="J782" s="5"/>
      <c r="K782" s="5"/>
      <c r="L782" s="5"/>
      <c r="M782" s="5"/>
      <c r="N782" s="5"/>
      <c r="O782" s="5"/>
      <c r="P782" s="5"/>
      <c r="Q782" s="5"/>
      <c r="R782" s="5"/>
      <c r="S782" s="5"/>
      <c r="T782" s="5"/>
      <c r="U782" s="5"/>
      <c r="V782" s="5"/>
      <c r="W782" s="5"/>
    </row>
    <row r="783" spans="1:23" ht="16" x14ac:dyDescent="0.2">
      <c r="A783" s="5"/>
      <c r="B783" s="6"/>
      <c r="C783" s="6"/>
      <c r="D783" s="6"/>
      <c r="E783" s="6"/>
      <c r="F783" s="5"/>
      <c r="G783" s="5"/>
      <c r="H783" s="5"/>
      <c r="I783" s="5"/>
      <c r="J783" s="5"/>
      <c r="K783" s="5"/>
      <c r="L783" s="5"/>
      <c r="M783" s="5"/>
      <c r="N783" s="5"/>
      <c r="O783" s="5"/>
      <c r="P783" s="5"/>
      <c r="Q783" s="5"/>
      <c r="R783" s="5"/>
      <c r="S783" s="5"/>
      <c r="T783" s="5"/>
      <c r="U783" s="5"/>
      <c r="V783" s="5"/>
      <c r="W783" s="5"/>
    </row>
    <row r="784" spans="1:23" ht="16" x14ac:dyDescent="0.2">
      <c r="A784" s="5"/>
      <c r="B784" s="6"/>
      <c r="C784" s="6"/>
      <c r="D784" s="6"/>
      <c r="E784" s="6"/>
      <c r="F784" s="5"/>
      <c r="G784" s="5"/>
      <c r="H784" s="5"/>
      <c r="I784" s="5"/>
      <c r="J784" s="5"/>
      <c r="K784" s="5"/>
      <c r="L784" s="5"/>
      <c r="M784" s="5"/>
      <c r="N784" s="5"/>
      <c r="O784" s="5"/>
      <c r="P784" s="5"/>
      <c r="Q784" s="5"/>
      <c r="R784" s="5"/>
      <c r="S784" s="5"/>
      <c r="T784" s="5"/>
      <c r="U784" s="5"/>
      <c r="V784" s="5"/>
      <c r="W784" s="5"/>
    </row>
    <row r="785" spans="1:23" ht="16" x14ac:dyDescent="0.2">
      <c r="A785" s="5"/>
      <c r="B785" s="6"/>
      <c r="C785" s="6"/>
      <c r="D785" s="6"/>
      <c r="E785" s="6"/>
      <c r="F785" s="5"/>
      <c r="G785" s="5"/>
      <c r="H785" s="5"/>
      <c r="I785" s="5"/>
      <c r="J785" s="5"/>
      <c r="K785" s="5"/>
      <c r="L785" s="5"/>
      <c r="M785" s="5"/>
      <c r="N785" s="5"/>
      <c r="O785" s="5"/>
      <c r="P785" s="5"/>
      <c r="Q785" s="5"/>
      <c r="R785" s="5"/>
      <c r="S785" s="5"/>
      <c r="T785" s="5"/>
      <c r="U785" s="5"/>
      <c r="V785" s="5"/>
      <c r="W785" s="5"/>
    </row>
    <row r="786" spans="1:23" ht="16" x14ac:dyDescent="0.2">
      <c r="A786" s="5"/>
      <c r="B786" s="6"/>
      <c r="C786" s="6"/>
      <c r="D786" s="6"/>
      <c r="E786" s="6"/>
      <c r="F786" s="5"/>
      <c r="G786" s="5"/>
      <c r="H786" s="5"/>
      <c r="I786" s="5"/>
      <c r="J786" s="5"/>
      <c r="K786" s="5"/>
      <c r="L786" s="5"/>
      <c r="M786" s="5"/>
      <c r="N786" s="5"/>
      <c r="O786" s="5"/>
      <c r="P786" s="5"/>
      <c r="Q786" s="5"/>
      <c r="R786" s="5"/>
      <c r="S786" s="5"/>
      <c r="T786" s="5"/>
      <c r="U786" s="5"/>
      <c r="V786" s="5"/>
      <c r="W786" s="5"/>
    </row>
    <row r="787" spans="1:23" ht="16" x14ac:dyDescent="0.2">
      <c r="A787" s="5"/>
      <c r="B787" s="6"/>
      <c r="C787" s="6"/>
      <c r="D787" s="6"/>
      <c r="E787" s="6"/>
      <c r="F787" s="5"/>
      <c r="G787" s="5"/>
      <c r="H787" s="5"/>
      <c r="I787" s="5"/>
      <c r="J787" s="5"/>
      <c r="K787" s="5"/>
      <c r="L787" s="5"/>
      <c r="M787" s="5"/>
      <c r="N787" s="5"/>
      <c r="O787" s="5"/>
      <c r="P787" s="5"/>
      <c r="Q787" s="5"/>
      <c r="R787" s="5"/>
      <c r="S787" s="5"/>
      <c r="T787" s="5"/>
      <c r="U787" s="5"/>
      <c r="V787" s="5"/>
      <c r="W787" s="5"/>
    </row>
    <row r="788" spans="1:23" ht="16" x14ac:dyDescent="0.2">
      <c r="A788" s="5"/>
      <c r="B788" s="6"/>
      <c r="C788" s="6"/>
      <c r="D788" s="6"/>
      <c r="E788" s="6"/>
      <c r="F788" s="5"/>
      <c r="G788" s="5"/>
      <c r="H788" s="5"/>
      <c r="I788" s="5"/>
      <c r="J788" s="5"/>
      <c r="K788" s="5"/>
      <c r="L788" s="5"/>
      <c r="M788" s="5"/>
      <c r="N788" s="5"/>
      <c r="O788" s="5"/>
      <c r="P788" s="5"/>
      <c r="Q788" s="5"/>
      <c r="R788" s="5"/>
      <c r="S788" s="5"/>
      <c r="T788" s="5"/>
      <c r="U788" s="5"/>
      <c r="V788" s="5"/>
      <c r="W788" s="5"/>
    </row>
    <row r="789" spans="1:23" ht="16" x14ac:dyDescent="0.2">
      <c r="A789" s="5"/>
      <c r="B789" s="6"/>
      <c r="C789" s="6"/>
      <c r="D789" s="6"/>
      <c r="E789" s="6"/>
      <c r="F789" s="5"/>
      <c r="G789" s="5"/>
      <c r="H789" s="5"/>
      <c r="I789" s="5"/>
      <c r="J789" s="5"/>
      <c r="K789" s="5"/>
      <c r="L789" s="5"/>
      <c r="M789" s="5"/>
      <c r="N789" s="5"/>
      <c r="O789" s="5"/>
      <c r="P789" s="5"/>
      <c r="Q789" s="5"/>
      <c r="R789" s="5"/>
      <c r="S789" s="5"/>
      <c r="T789" s="5"/>
      <c r="U789" s="5"/>
      <c r="V789" s="5"/>
      <c r="W789" s="5"/>
    </row>
    <row r="790" spans="1:23" ht="16" x14ac:dyDescent="0.2">
      <c r="A790" s="5"/>
      <c r="B790" s="6"/>
      <c r="C790" s="6"/>
      <c r="D790" s="6"/>
      <c r="E790" s="6"/>
      <c r="F790" s="5"/>
      <c r="G790" s="5"/>
      <c r="H790" s="5"/>
      <c r="I790" s="5"/>
      <c r="J790" s="5"/>
      <c r="K790" s="5"/>
      <c r="L790" s="5"/>
      <c r="M790" s="5"/>
      <c r="N790" s="5"/>
      <c r="O790" s="5"/>
      <c r="P790" s="5"/>
      <c r="Q790" s="5"/>
      <c r="R790" s="5"/>
      <c r="S790" s="5"/>
      <c r="T790" s="5"/>
      <c r="U790" s="5"/>
      <c r="V790" s="5"/>
      <c r="W790" s="5"/>
    </row>
    <row r="791" spans="1:23" ht="16" x14ac:dyDescent="0.2">
      <c r="A791" s="5"/>
      <c r="B791" s="6"/>
      <c r="C791" s="6"/>
      <c r="D791" s="6"/>
      <c r="E791" s="6"/>
      <c r="F791" s="5"/>
      <c r="G791" s="5"/>
      <c r="H791" s="5"/>
      <c r="I791" s="5"/>
      <c r="J791" s="5"/>
      <c r="K791" s="5"/>
      <c r="L791" s="5"/>
      <c r="M791" s="5"/>
      <c r="N791" s="5"/>
      <c r="O791" s="5"/>
      <c r="P791" s="5"/>
      <c r="Q791" s="5"/>
      <c r="R791" s="5"/>
      <c r="S791" s="5"/>
      <c r="T791" s="5"/>
      <c r="U791" s="5"/>
      <c r="V791" s="5"/>
      <c r="W791" s="5"/>
    </row>
    <row r="792" spans="1:23" ht="16" x14ac:dyDescent="0.2">
      <c r="A792" s="5"/>
      <c r="B792" s="6"/>
      <c r="C792" s="6"/>
      <c r="D792" s="6"/>
      <c r="E792" s="6"/>
      <c r="F792" s="5"/>
      <c r="G792" s="5"/>
      <c r="H792" s="5"/>
      <c r="I792" s="5"/>
      <c r="J792" s="5"/>
      <c r="K792" s="5"/>
      <c r="L792" s="5"/>
      <c r="M792" s="5"/>
      <c r="N792" s="5"/>
      <c r="O792" s="5"/>
      <c r="P792" s="5"/>
      <c r="Q792" s="5"/>
      <c r="R792" s="5"/>
      <c r="S792" s="5"/>
      <c r="T792" s="5"/>
      <c r="U792" s="5"/>
      <c r="V792" s="5"/>
      <c r="W792" s="5"/>
    </row>
    <row r="793" spans="1:23" ht="16" x14ac:dyDescent="0.2">
      <c r="A793" s="5"/>
      <c r="B793" s="6"/>
      <c r="C793" s="6"/>
      <c r="D793" s="6"/>
      <c r="E793" s="6"/>
      <c r="F793" s="5"/>
      <c r="G793" s="5"/>
      <c r="H793" s="5"/>
      <c r="I793" s="5"/>
      <c r="J793" s="5"/>
      <c r="K793" s="5"/>
      <c r="L793" s="5"/>
      <c r="M793" s="5"/>
      <c r="N793" s="5"/>
      <c r="O793" s="5"/>
      <c r="P793" s="5"/>
      <c r="Q793" s="5"/>
      <c r="R793" s="5"/>
      <c r="S793" s="5"/>
      <c r="T793" s="5"/>
      <c r="U793" s="5"/>
      <c r="V793" s="5"/>
      <c r="W793" s="5"/>
    </row>
    <row r="794" spans="1:23" ht="16" x14ac:dyDescent="0.2">
      <c r="A794" s="5"/>
      <c r="B794" s="6"/>
      <c r="C794" s="6"/>
      <c r="D794" s="6"/>
      <c r="E794" s="6"/>
      <c r="F794" s="5"/>
      <c r="G794" s="5"/>
      <c r="H794" s="5"/>
      <c r="I794" s="5"/>
      <c r="J794" s="5"/>
      <c r="K794" s="5"/>
      <c r="L794" s="5"/>
      <c r="M794" s="5"/>
      <c r="N794" s="5"/>
      <c r="O794" s="5"/>
      <c r="P794" s="5"/>
      <c r="Q794" s="5"/>
      <c r="R794" s="5"/>
      <c r="S794" s="5"/>
      <c r="T794" s="5"/>
      <c r="U794" s="5"/>
      <c r="V794" s="5"/>
      <c r="W794" s="5"/>
    </row>
    <row r="795" spans="1:23" ht="16" x14ac:dyDescent="0.2">
      <c r="A795" s="5"/>
      <c r="B795" s="6"/>
      <c r="C795" s="6"/>
      <c r="D795" s="6"/>
      <c r="E795" s="6"/>
      <c r="F795" s="5"/>
      <c r="G795" s="5"/>
      <c r="H795" s="5"/>
      <c r="I795" s="5"/>
      <c r="J795" s="5"/>
      <c r="K795" s="5"/>
      <c r="L795" s="5"/>
      <c r="M795" s="5"/>
      <c r="N795" s="5"/>
      <c r="O795" s="5"/>
      <c r="P795" s="5"/>
      <c r="Q795" s="5"/>
      <c r="R795" s="5"/>
      <c r="S795" s="5"/>
      <c r="T795" s="5"/>
      <c r="U795" s="5"/>
      <c r="V795" s="5"/>
      <c r="W795" s="5"/>
    </row>
    <row r="796" spans="1:23" ht="16" x14ac:dyDescent="0.2">
      <c r="A796" s="5"/>
      <c r="B796" s="6"/>
      <c r="C796" s="6"/>
      <c r="D796" s="6"/>
      <c r="E796" s="6"/>
      <c r="F796" s="5"/>
      <c r="G796" s="5"/>
      <c r="H796" s="5"/>
      <c r="I796" s="5"/>
      <c r="J796" s="5"/>
      <c r="K796" s="5"/>
      <c r="L796" s="5"/>
      <c r="M796" s="5"/>
      <c r="N796" s="5"/>
      <c r="O796" s="5"/>
      <c r="P796" s="5"/>
      <c r="Q796" s="5"/>
      <c r="R796" s="5"/>
      <c r="S796" s="5"/>
      <c r="T796" s="5"/>
      <c r="U796" s="5"/>
      <c r="V796" s="5"/>
      <c r="W796" s="5"/>
    </row>
    <row r="797" spans="1:23" ht="16" x14ac:dyDescent="0.2">
      <c r="A797" s="5"/>
      <c r="B797" s="6"/>
      <c r="C797" s="6"/>
      <c r="D797" s="6"/>
      <c r="E797" s="6"/>
      <c r="F797" s="5"/>
      <c r="G797" s="5"/>
      <c r="H797" s="5"/>
      <c r="I797" s="5"/>
      <c r="J797" s="5"/>
      <c r="K797" s="5"/>
      <c r="L797" s="5"/>
      <c r="M797" s="5"/>
      <c r="N797" s="5"/>
      <c r="O797" s="5"/>
      <c r="P797" s="5"/>
      <c r="Q797" s="5"/>
      <c r="R797" s="5"/>
      <c r="S797" s="5"/>
      <c r="T797" s="5"/>
      <c r="U797" s="5"/>
      <c r="V797" s="5"/>
      <c r="W797" s="5"/>
    </row>
    <row r="798" spans="1:23" ht="16" x14ac:dyDescent="0.2">
      <c r="A798" s="5"/>
      <c r="B798" s="6"/>
      <c r="C798" s="6"/>
      <c r="D798" s="6"/>
      <c r="E798" s="6"/>
      <c r="F798" s="5"/>
      <c r="G798" s="5"/>
      <c r="H798" s="5"/>
      <c r="I798" s="5"/>
      <c r="J798" s="5"/>
      <c r="K798" s="5"/>
      <c r="L798" s="5"/>
      <c r="M798" s="5"/>
      <c r="N798" s="5"/>
      <c r="O798" s="5"/>
      <c r="P798" s="5"/>
      <c r="Q798" s="5"/>
      <c r="R798" s="5"/>
      <c r="S798" s="5"/>
      <c r="T798" s="5"/>
      <c r="U798" s="5"/>
      <c r="V798" s="5"/>
      <c r="W798" s="5"/>
    </row>
    <row r="799" spans="1:23" ht="16" x14ac:dyDescent="0.2">
      <c r="A799" s="5"/>
      <c r="B799" s="6"/>
      <c r="C799" s="6"/>
      <c r="D799" s="6"/>
      <c r="E799" s="6"/>
      <c r="F799" s="5"/>
      <c r="G799" s="5"/>
      <c r="H799" s="5"/>
      <c r="I799" s="5"/>
      <c r="J799" s="5"/>
      <c r="K799" s="5"/>
      <c r="L799" s="5"/>
      <c r="M799" s="5"/>
      <c r="N799" s="5"/>
      <c r="O799" s="5"/>
      <c r="P799" s="5"/>
      <c r="Q799" s="5"/>
      <c r="R799" s="5"/>
      <c r="S799" s="5"/>
      <c r="T799" s="5"/>
      <c r="U799" s="5"/>
      <c r="V799" s="5"/>
      <c r="W799" s="5"/>
    </row>
    <row r="800" spans="1:23" ht="16" x14ac:dyDescent="0.2">
      <c r="A800" s="5"/>
      <c r="B800" s="6"/>
      <c r="C800" s="6"/>
      <c r="D800" s="6"/>
      <c r="E800" s="6"/>
      <c r="F800" s="5"/>
      <c r="G800" s="5"/>
      <c r="H800" s="5"/>
      <c r="I800" s="5"/>
      <c r="J800" s="5"/>
      <c r="K800" s="5"/>
      <c r="L800" s="5"/>
      <c r="M800" s="5"/>
      <c r="N800" s="5"/>
      <c r="O800" s="5"/>
      <c r="P800" s="5"/>
      <c r="Q800" s="5"/>
      <c r="R800" s="5"/>
      <c r="S800" s="5"/>
      <c r="T800" s="5"/>
      <c r="U800" s="5"/>
      <c r="V800" s="5"/>
      <c r="W800" s="5"/>
    </row>
    <row r="801" spans="1:23" ht="16" x14ac:dyDescent="0.2">
      <c r="A801" s="5"/>
      <c r="B801" s="6"/>
      <c r="C801" s="6"/>
      <c r="D801" s="6"/>
      <c r="E801" s="6"/>
      <c r="F801" s="5"/>
      <c r="G801" s="5"/>
      <c r="H801" s="5"/>
      <c r="I801" s="5"/>
      <c r="J801" s="5"/>
      <c r="K801" s="5"/>
      <c r="L801" s="5"/>
      <c r="M801" s="5"/>
      <c r="N801" s="5"/>
      <c r="O801" s="5"/>
      <c r="P801" s="5"/>
      <c r="Q801" s="5"/>
      <c r="R801" s="5"/>
      <c r="S801" s="5"/>
      <c r="T801" s="5"/>
      <c r="U801" s="5"/>
      <c r="V801" s="5"/>
      <c r="W801" s="5"/>
    </row>
    <row r="802" spans="1:23" ht="16" x14ac:dyDescent="0.2">
      <c r="A802" s="5"/>
      <c r="B802" s="6"/>
      <c r="C802" s="6"/>
      <c r="D802" s="6"/>
      <c r="E802" s="6"/>
      <c r="F802" s="5"/>
      <c r="G802" s="5"/>
      <c r="H802" s="5"/>
      <c r="I802" s="5"/>
      <c r="J802" s="5"/>
      <c r="K802" s="5"/>
      <c r="L802" s="5"/>
      <c r="M802" s="5"/>
      <c r="N802" s="5"/>
      <c r="O802" s="5"/>
      <c r="P802" s="5"/>
      <c r="Q802" s="5"/>
      <c r="R802" s="5"/>
      <c r="S802" s="5"/>
      <c r="T802" s="5"/>
      <c r="U802" s="5"/>
      <c r="V802" s="5"/>
      <c r="W802" s="5"/>
    </row>
    <row r="803" spans="1:23" ht="16" x14ac:dyDescent="0.2">
      <c r="A803" s="5"/>
      <c r="B803" s="6"/>
      <c r="C803" s="6"/>
      <c r="D803" s="6"/>
      <c r="E803" s="6"/>
      <c r="F803" s="5"/>
      <c r="G803" s="5"/>
      <c r="H803" s="5"/>
      <c r="I803" s="5"/>
      <c r="J803" s="5"/>
      <c r="K803" s="5"/>
      <c r="L803" s="5"/>
      <c r="M803" s="5"/>
      <c r="N803" s="5"/>
      <c r="O803" s="5"/>
      <c r="P803" s="5"/>
      <c r="Q803" s="5"/>
      <c r="R803" s="5"/>
      <c r="S803" s="5"/>
      <c r="T803" s="5"/>
      <c r="U803" s="5"/>
      <c r="V803" s="5"/>
      <c r="W803" s="5"/>
    </row>
    <row r="804" spans="1:23" ht="16" x14ac:dyDescent="0.2">
      <c r="A804" s="5"/>
      <c r="B804" s="6"/>
      <c r="C804" s="6"/>
      <c r="D804" s="6"/>
      <c r="E804" s="6"/>
      <c r="F804" s="5"/>
      <c r="G804" s="5"/>
      <c r="H804" s="5"/>
      <c r="I804" s="5"/>
      <c r="J804" s="5"/>
      <c r="K804" s="5"/>
      <c r="L804" s="5"/>
      <c r="M804" s="5"/>
      <c r="N804" s="5"/>
      <c r="O804" s="5"/>
      <c r="P804" s="5"/>
      <c r="Q804" s="5"/>
      <c r="R804" s="5"/>
      <c r="S804" s="5"/>
      <c r="T804" s="5"/>
      <c r="U804" s="5"/>
      <c r="V804" s="5"/>
      <c r="W804" s="5"/>
    </row>
    <row r="805" spans="1:23" ht="16" x14ac:dyDescent="0.2">
      <c r="A805" s="5"/>
      <c r="B805" s="6"/>
      <c r="C805" s="6"/>
      <c r="D805" s="6"/>
      <c r="E805" s="6"/>
      <c r="F805" s="5"/>
      <c r="G805" s="5"/>
      <c r="H805" s="5"/>
      <c r="I805" s="5"/>
      <c r="J805" s="5"/>
      <c r="K805" s="5"/>
      <c r="L805" s="5"/>
      <c r="M805" s="5"/>
      <c r="N805" s="5"/>
      <c r="O805" s="5"/>
      <c r="P805" s="5"/>
      <c r="Q805" s="5"/>
      <c r="R805" s="5"/>
      <c r="S805" s="5"/>
      <c r="T805" s="5"/>
      <c r="U805" s="5"/>
      <c r="V805" s="5"/>
      <c r="W805" s="5"/>
    </row>
    <row r="806" spans="1:23" ht="16" x14ac:dyDescent="0.2">
      <c r="A806" s="5"/>
      <c r="B806" s="6"/>
      <c r="C806" s="6"/>
      <c r="D806" s="6"/>
      <c r="E806" s="6"/>
      <c r="F806" s="5"/>
      <c r="G806" s="5"/>
      <c r="H806" s="5"/>
      <c r="I806" s="5"/>
      <c r="J806" s="5"/>
      <c r="K806" s="5"/>
      <c r="L806" s="5"/>
      <c r="M806" s="5"/>
      <c r="N806" s="5"/>
      <c r="O806" s="5"/>
      <c r="P806" s="5"/>
      <c r="Q806" s="5"/>
      <c r="R806" s="5"/>
      <c r="S806" s="5"/>
      <c r="T806" s="5"/>
      <c r="U806" s="5"/>
      <c r="V806" s="5"/>
      <c r="W806" s="5"/>
    </row>
    <row r="807" spans="1:23" ht="16" x14ac:dyDescent="0.2">
      <c r="A807" s="5"/>
      <c r="B807" s="6"/>
      <c r="C807" s="6"/>
      <c r="D807" s="6"/>
      <c r="E807" s="6"/>
      <c r="F807" s="5"/>
      <c r="G807" s="5"/>
      <c r="H807" s="5"/>
      <c r="I807" s="5"/>
      <c r="J807" s="5"/>
      <c r="K807" s="5"/>
      <c r="L807" s="5"/>
      <c r="M807" s="5"/>
      <c r="N807" s="5"/>
      <c r="O807" s="5"/>
      <c r="P807" s="5"/>
      <c r="Q807" s="5"/>
      <c r="R807" s="5"/>
      <c r="S807" s="5"/>
      <c r="T807" s="5"/>
      <c r="U807" s="5"/>
      <c r="V807" s="5"/>
      <c r="W807" s="5"/>
    </row>
    <row r="808" spans="1:23" ht="16" x14ac:dyDescent="0.2">
      <c r="A808" s="5"/>
      <c r="B808" s="6"/>
      <c r="C808" s="6"/>
      <c r="D808" s="6"/>
      <c r="E808" s="6"/>
      <c r="F808" s="5"/>
      <c r="G808" s="5"/>
      <c r="H808" s="5"/>
      <c r="I808" s="5"/>
      <c r="J808" s="5"/>
      <c r="K808" s="5"/>
      <c r="L808" s="5"/>
      <c r="M808" s="5"/>
      <c r="N808" s="5"/>
      <c r="O808" s="5"/>
      <c r="P808" s="5"/>
      <c r="Q808" s="5"/>
      <c r="R808" s="5"/>
      <c r="S808" s="5"/>
      <c r="T808" s="5"/>
      <c r="U808" s="5"/>
      <c r="V808" s="5"/>
      <c r="W808" s="5"/>
    </row>
    <row r="809" spans="1:23" ht="16" x14ac:dyDescent="0.2">
      <c r="A809" s="5"/>
      <c r="B809" s="6"/>
      <c r="C809" s="6"/>
      <c r="D809" s="6"/>
      <c r="E809" s="6"/>
      <c r="F809" s="5"/>
      <c r="G809" s="5"/>
      <c r="H809" s="5"/>
      <c r="I809" s="5"/>
      <c r="J809" s="5"/>
      <c r="K809" s="5"/>
      <c r="L809" s="5"/>
      <c r="M809" s="5"/>
      <c r="N809" s="5"/>
      <c r="O809" s="5"/>
      <c r="P809" s="5"/>
      <c r="Q809" s="5"/>
      <c r="R809" s="5"/>
      <c r="S809" s="5"/>
      <c r="T809" s="5"/>
      <c r="U809" s="5"/>
      <c r="V809" s="5"/>
      <c r="W809" s="5"/>
    </row>
    <row r="810" spans="1:23" ht="16" x14ac:dyDescent="0.2">
      <c r="A810" s="5"/>
      <c r="B810" s="6"/>
      <c r="C810" s="6"/>
      <c r="D810" s="6"/>
      <c r="E810" s="6"/>
      <c r="F810" s="5"/>
      <c r="G810" s="5"/>
      <c r="H810" s="5"/>
      <c r="I810" s="5"/>
      <c r="J810" s="5"/>
      <c r="K810" s="5"/>
      <c r="L810" s="5"/>
      <c r="M810" s="5"/>
      <c r="N810" s="5"/>
      <c r="O810" s="5"/>
      <c r="P810" s="5"/>
      <c r="Q810" s="5"/>
      <c r="R810" s="5"/>
      <c r="S810" s="5"/>
      <c r="T810" s="5"/>
      <c r="U810" s="5"/>
      <c r="V810" s="5"/>
      <c r="W810" s="5"/>
    </row>
    <row r="811" spans="1:23" ht="16" x14ac:dyDescent="0.2">
      <c r="A811" s="5"/>
      <c r="B811" s="6"/>
      <c r="C811" s="6"/>
      <c r="D811" s="6"/>
      <c r="E811" s="6"/>
      <c r="F811" s="5"/>
      <c r="G811" s="5"/>
      <c r="H811" s="5"/>
      <c r="I811" s="5"/>
      <c r="J811" s="5"/>
      <c r="K811" s="5"/>
      <c r="L811" s="5"/>
      <c r="M811" s="5"/>
      <c r="N811" s="5"/>
      <c r="O811" s="5"/>
      <c r="P811" s="5"/>
      <c r="Q811" s="5"/>
      <c r="R811" s="5"/>
      <c r="S811" s="5"/>
      <c r="T811" s="5"/>
      <c r="U811" s="5"/>
      <c r="V811" s="5"/>
      <c r="W811" s="5"/>
    </row>
    <row r="812" spans="1:23" ht="16" x14ac:dyDescent="0.2">
      <c r="A812" s="5"/>
      <c r="B812" s="6"/>
      <c r="C812" s="6"/>
      <c r="D812" s="6"/>
      <c r="E812" s="6"/>
      <c r="F812" s="5"/>
      <c r="G812" s="5"/>
      <c r="H812" s="5"/>
      <c r="I812" s="5"/>
      <c r="J812" s="5"/>
      <c r="K812" s="5"/>
      <c r="L812" s="5"/>
      <c r="M812" s="5"/>
      <c r="N812" s="5"/>
      <c r="O812" s="5"/>
      <c r="P812" s="5"/>
      <c r="Q812" s="5"/>
      <c r="R812" s="5"/>
      <c r="S812" s="5"/>
      <c r="T812" s="5"/>
      <c r="U812" s="5"/>
      <c r="V812" s="5"/>
      <c r="W812" s="5"/>
    </row>
    <row r="813" spans="1:23" ht="16" x14ac:dyDescent="0.2">
      <c r="A813" s="5"/>
      <c r="B813" s="6"/>
      <c r="C813" s="6"/>
      <c r="D813" s="6"/>
      <c r="E813" s="6"/>
      <c r="F813" s="5"/>
      <c r="G813" s="5"/>
      <c r="H813" s="5"/>
      <c r="I813" s="5"/>
      <c r="J813" s="5"/>
      <c r="K813" s="5"/>
      <c r="L813" s="5"/>
      <c r="M813" s="5"/>
      <c r="N813" s="5"/>
      <c r="O813" s="5"/>
      <c r="P813" s="5"/>
      <c r="Q813" s="5"/>
      <c r="R813" s="5"/>
      <c r="S813" s="5"/>
      <c r="T813" s="5"/>
      <c r="U813" s="5"/>
      <c r="V813" s="5"/>
      <c r="W813" s="5"/>
    </row>
    <row r="814" spans="1:23" ht="16" x14ac:dyDescent="0.2">
      <c r="A814" s="5"/>
      <c r="B814" s="6"/>
      <c r="C814" s="6"/>
      <c r="D814" s="6"/>
      <c r="E814" s="6"/>
      <c r="F814" s="5"/>
      <c r="G814" s="5"/>
      <c r="H814" s="5"/>
      <c r="I814" s="5"/>
      <c r="J814" s="5"/>
      <c r="K814" s="5"/>
      <c r="L814" s="5"/>
      <c r="M814" s="5"/>
      <c r="N814" s="5"/>
      <c r="O814" s="5"/>
      <c r="P814" s="5"/>
      <c r="Q814" s="5"/>
      <c r="R814" s="5"/>
      <c r="S814" s="5"/>
      <c r="T814" s="5"/>
      <c r="U814" s="5"/>
      <c r="V814" s="5"/>
      <c r="W814" s="5"/>
    </row>
    <row r="815" spans="1:23" ht="16" x14ac:dyDescent="0.2">
      <c r="A815" s="5"/>
      <c r="B815" s="6"/>
      <c r="C815" s="6"/>
      <c r="D815" s="6"/>
      <c r="E815" s="6"/>
      <c r="F815" s="5"/>
      <c r="G815" s="5"/>
      <c r="H815" s="5"/>
      <c r="I815" s="5"/>
      <c r="J815" s="5"/>
      <c r="K815" s="5"/>
      <c r="L815" s="5"/>
      <c r="M815" s="5"/>
      <c r="N815" s="5"/>
      <c r="O815" s="5"/>
      <c r="P815" s="5"/>
      <c r="Q815" s="5"/>
      <c r="R815" s="5"/>
      <c r="S815" s="5"/>
      <c r="T815" s="5"/>
      <c r="U815" s="5"/>
      <c r="V815" s="5"/>
      <c r="W815" s="5"/>
    </row>
    <row r="816" spans="1:23" ht="16" x14ac:dyDescent="0.2">
      <c r="A816" s="5"/>
      <c r="B816" s="6"/>
      <c r="C816" s="6"/>
      <c r="D816" s="6"/>
      <c r="E816" s="6"/>
      <c r="F816" s="5"/>
      <c r="G816" s="5"/>
      <c r="H816" s="5"/>
      <c r="I816" s="5"/>
      <c r="J816" s="5"/>
      <c r="K816" s="5"/>
      <c r="L816" s="5"/>
      <c r="M816" s="5"/>
      <c r="N816" s="5"/>
      <c r="O816" s="5"/>
      <c r="P816" s="5"/>
      <c r="Q816" s="5"/>
      <c r="R816" s="5"/>
      <c r="S816" s="5"/>
      <c r="T816" s="5"/>
      <c r="U816" s="5"/>
      <c r="V816" s="5"/>
      <c r="W816" s="5"/>
    </row>
    <row r="817" spans="1:23" ht="16" x14ac:dyDescent="0.2">
      <c r="A817" s="5"/>
      <c r="B817" s="6"/>
      <c r="C817" s="6"/>
      <c r="D817" s="6"/>
      <c r="E817" s="6"/>
      <c r="F817" s="5"/>
      <c r="G817" s="5"/>
      <c r="H817" s="5"/>
      <c r="I817" s="5"/>
      <c r="J817" s="5"/>
      <c r="K817" s="5"/>
      <c r="L817" s="5"/>
      <c r="M817" s="5"/>
      <c r="N817" s="5"/>
      <c r="O817" s="5"/>
      <c r="P817" s="5"/>
      <c r="Q817" s="5"/>
      <c r="R817" s="5"/>
      <c r="S817" s="5"/>
      <c r="T817" s="5"/>
      <c r="U817" s="5"/>
      <c r="V817" s="5"/>
      <c r="W817" s="5"/>
    </row>
    <row r="818" spans="1:23" ht="16" x14ac:dyDescent="0.2">
      <c r="A818" s="5"/>
      <c r="B818" s="6"/>
      <c r="C818" s="6"/>
      <c r="D818" s="6"/>
      <c r="E818" s="6"/>
      <c r="F818" s="5"/>
      <c r="G818" s="5"/>
      <c r="H818" s="5"/>
      <c r="I818" s="5"/>
      <c r="J818" s="5"/>
      <c r="K818" s="5"/>
      <c r="L818" s="5"/>
      <c r="M818" s="5"/>
      <c r="N818" s="5"/>
      <c r="O818" s="5"/>
      <c r="P818" s="5"/>
      <c r="Q818" s="5"/>
      <c r="R818" s="5"/>
      <c r="S818" s="5"/>
      <c r="T818" s="5"/>
      <c r="U818" s="5"/>
      <c r="V818" s="5"/>
      <c r="W818" s="5"/>
    </row>
    <row r="819" spans="1:23" ht="16" x14ac:dyDescent="0.2">
      <c r="A819" s="5"/>
      <c r="B819" s="6"/>
      <c r="C819" s="6"/>
      <c r="D819" s="6"/>
      <c r="E819" s="6"/>
      <c r="F819" s="5"/>
      <c r="G819" s="5"/>
      <c r="H819" s="5"/>
      <c r="I819" s="5"/>
      <c r="J819" s="5"/>
      <c r="K819" s="5"/>
      <c r="L819" s="5"/>
      <c r="M819" s="5"/>
      <c r="N819" s="5"/>
      <c r="O819" s="5"/>
      <c r="P819" s="5"/>
      <c r="Q819" s="5"/>
      <c r="R819" s="5"/>
      <c r="S819" s="5"/>
      <c r="T819" s="5"/>
      <c r="U819" s="5"/>
      <c r="V819" s="5"/>
      <c r="W819" s="5"/>
    </row>
    <row r="820" spans="1:23" ht="16" x14ac:dyDescent="0.2">
      <c r="A820" s="5"/>
      <c r="B820" s="6"/>
      <c r="C820" s="6"/>
      <c r="D820" s="6"/>
      <c r="E820" s="6"/>
      <c r="F820" s="5"/>
      <c r="G820" s="5"/>
      <c r="H820" s="5"/>
      <c r="I820" s="5"/>
      <c r="J820" s="5"/>
      <c r="K820" s="5"/>
      <c r="L820" s="5"/>
      <c r="M820" s="5"/>
      <c r="N820" s="5"/>
      <c r="O820" s="5"/>
      <c r="P820" s="5"/>
      <c r="Q820" s="5"/>
      <c r="R820" s="5"/>
      <c r="S820" s="5"/>
      <c r="T820" s="5"/>
      <c r="U820" s="5"/>
      <c r="V820" s="5"/>
      <c r="W820" s="5"/>
    </row>
    <row r="821" spans="1:23" ht="16" x14ac:dyDescent="0.2">
      <c r="A821" s="5"/>
      <c r="B821" s="6"/>
      <c r="C821" s="6"/>
      <c r="D821" s="6"/>
      <c r="E821" s="6"/>
      <c r="F821" s="5"/>
      <c r="G821" s="5"/>
      <c r="H821" s="5"/>
      <c r="I821" s="5"/>
      <c r="J821" s="5"/>
      <c r="K821" s="5"/>
      <c r="L821" s="5"/>
      <c r="M821" s="5"/>
      <c r="N821" s="5"/>
      <c r="O821" s="5"/>
      <c r="P821" s="5"/>
      <c r="Q821" s="5"/>
      <c r="R821" s="5"/>
      <c r="S821" s="5"/>
      <c r="T821" s="5"/>
      <c r="U821" s="5"/>
      <c r="V821" s="5"/>
      <c r="W821" s="5"/>
    </row>
    <row r="822" spans="1:23" ht="16" x14ac:dyDescent="0.2">
      <c r="A822" s="5"/>
      <c r="B822" s="6"/>
      <c r="C822" s="6"/>
      <c r="D822" s="6"/>
      <c r="E822" s="6"/>
      <c r="F822" s="5"/>
      <c r="G822" s="5"/>
      <c r="H822" s="5"/>
      <c r="I822" s="5"/>
      <c r="J822" s="5"/>
      <c r="K822" s="5"/>
      <c r="L822" s="5"/>
      <c r="M822" s="5"/>
      <c r="N822" s="5"/>
      <c r="O822" s="5"/>
      <c r="P822" s="5"/>
      <c r="Q822" s="5"/>
      <c r="R822" s="5"/>
      <c r="S822" s="5"/>
      <c r="T822" s="5"/>
      <c r="U822" s="5"/>
      <c r="V822" s="5"/>
      <c r="W822" s="5"/>
    </row>
    <row r="823" spans="1:23" ht="16" x14ac:dyDescent="0.2">
      <c r="A823" s="5"/>
      <c r="B823" s="6"/>
      <c r="C823" s="6"/>
      <c r="D823" s="6"/>
      <c r="E823" s="6"/>
      <c r="F823" s="5"/>
      <c r="G823" s="5"/>
      <c r="H823" s="5"/>
      <c r="I823" s="5"/>
      <c r="J823" s="5"/>
      <c r="K823" s="5"/>
      <c r="L823" s="5"/>
      <c r="M823" s="5"/>
      <c r="N823" s="5"/>
      <c r="O823" s="5"/>
      <c r="P823" s="5"/>
      <c r="Q823" s="5"/>
      <c r="R823" s="5"/>
      <c r="S823" s="5"/>
      <c r="T823" s="5"/>
      <c r="U823" s="5"/>
      <c r="V823" s="5"/>
      <c r="W823" s="5"/>
    </row>
    <row r="824" spans="1:23" ht="16" x14ac:dyDescent="0.2">
      <c r="A824" s="5"/>
      <c r="B824" s="6"/>
      <c r="C824" s="6"/>
      <c r="D824" s="6"/>
      <c r="E824" s="6"/>
      <c r="F824" s="5"/>
      <c r="G824" s="5"/>
      <c r="H824" s="5"/>
      <c r="I824" s="5"/>
      <c r="J824" s="5"/>
      <c r="K824" s="5"/>
      <c r="L824" s="5"/>
      <c r="M824" s="5"/>
      <c r="N824" s="5"/>
      <c r="O824" s="5"/>
      <c r="P824" s="5"/>
      <c r="Q824" s="5"/>
      <c r="R824" s="5"/>
      <c r="S824" s="5"/>
      <c r="T824" s="5"/>
      <c r="U824" s="5"/>
      <c r="V824" s="5"/>
      <c r="W824" s="5"/>
    </row>
    <row r="825" spans="1:23" ht="16" x14ac:dyDescent="0.2">
      <c r="A825" s="5"/>
      <c r="B825" s="6"/>
      <c r="C825" s="6"/>
      <c r="D825" s="6"/>
      <c r="E825" s="6"/>
      <c r="F825" s="5"/>
      <c r="G825" s="5"/>
      <c r="H825" s="5"/>
      <c r="I825" s="5"/>
      <c r="J825" s="5"/>
      <c r="K825" s="5"/>
      <c r="L825" s="5"/>
      <c r="M825" s="5"/>
      <c r="N825" s="5"/>
      <c r="O825" s="5"/>
      <c r="P825" s="5"/>
      <c r="Q825" s="5"/>
      <c r="R825" s="5"/>
      <c r="S825" s="5"/>
      <c r="T825" s="5"/>
      <c r="U825" s="5"/>
      <c r="V825" s="5"/>
      <c r="W825" s="5"/>
    </row>
    <row r="826" spans="1:23" ht="16" x14ac:dyDescent="0.2">
      <c r="A826" s="5"/>
      <c r="B826" s="6"/>
      <c r="C826" s="6"/>
      <c r="D826" s="6"/>
      <c r="E826" s="6"/>
      <c r="F826" s="5"/>
      <c r="G826" s="5"/>
      <c r="H826" s="5"/>
      <c r="I826" s="5"/>
      <c r="J826" s="5"/>
      <c r="K826" s="5"/>
      <c r="L826" s="5"/>
      <c r="M826" s="5"/>
      <c r="N826" s="5"/>
      <c r="O826" s="5"/>
      <c r="P826" s="5"/>
      <c r="Q826" s="5"/>
      <c r="R826" s="5"/>
      <c r="S826" s="5"/>
      <c r="T826" s="5"/>
      <c r="U826" s="5"/>
      <c r="V826" s="5"/>
      <c r="W826" s="5"/>
    </row>
    <row r="827" spans="1:23" ht="16" x14ac:dyDescent="0.2">
      <c r="A827" s="5"/>
      <c r="B827" s="6"/>
      <c r="C827" s="6"/>
      <c r="D827" s="6"/>
      <c r="E827" s="6"/>
      <c r="F827" s="5"/>
      <c r="G827" s="5"/>
      <c r="H827" s="5"/>
      <c r="I827" s="5"/>
      <c r="J827" s="5"/>
      <c r="K827" s="5"/>
      <c r="L827" s="5"/>
      <c r="M827" s="5"/>
      <c r="N827" s="5"/>
      <c r="O827" s="5"/>
      <c r="P827" s="5"/>
      <c r="Q827" s="5"/>
      <c r="R827" s="5"/>
      <c r="S827" s="5"/>
      <c r="T827" s="5"/>
      <c r="U827" s="5"/>
      <c r="V827" s="5"/>
      <c r="W827" s="5"/>
    </row>
    <row r="828" spans="1:23" ht="16" x14ac:dyDescent="0.2">
      <c r="A828" s="5"/>
      <c r="B828" s="6"/>
      <c r="C828" s="6"/>
      <c r="D828" s="6"/>
      <c r="E828" s="6"/>
      <c r="F828" s="5"/>
      <c r="G828" s="5"/>
      <c r="H828" s="5"/>
      <c r="I828" s="5"/>
      <c r="J828" s="5"/>
      <c r="K828" s="5"/>
      <c r="L828" s="5"/>
      <c r="M828" s="5"/>
      <c r="N828" s="5"/>
      <c r="O828" s="5"/>
      <c r="P828" s="5"/>
      <c r="Q828" s="5"/>
      <c r="R828" s="5"/>
      <c r="S828" s="5"/>
      <c r="T828" s="5"/>
      <c r="U828" s="5"/>
      <c r="V828" s="5"/>
      <c r="W828" s="5"/>
    </row>
    <row r="829" spans="1:23" ht="16" x14ac:dyDescent="0.2">
      <c r="A829" s="5"/>
      <c r="B829" s="6"/>
      <c r="C829" s="6"/>
      <c r="D829" s="6"/>
      <c r="E829" s="6"/>
      <c r="F829" s="5"/>
      <c r="G829" s="5"/>
      <c r="H829" s="5"/>
      <c r="I829" s="5"/>
      <c r="J829" s="5"/>
      <c r="K829" s="5"/>
      <c r="L829" s="5"/>
      <c r="M829" s="5"/>
      <c r="N829" s="5"/>
      <c r="O829" s="5"/>
      <c r="P829" s="5"/>
      <c r="Q829" s="5"/>
      <c r="R829" s="5"/>
      <c r="S829" s="5"/>
      <c r="T829" s="5"/>
      <c r="U829" s="5"/>
      <c r="V829" s="5"/>
      <c r="W829" s="5"/>
    </row>
    <row r="830" spans="1:23" ht="16" x14ac:dyDescent="0.2">
      <c r="A830" s="5"/>
      <c r="B830" s="6"/>
      <c r="C830" s="6"/>
      <c r="D830" s="6"/>
      <c r="E830" s="6"/>
      <c r="F830" s="5"/>
      <c r="G830" s="5"/>
      <c r="H830" s="5"/>
      <c r="I830" s="5"/>
      <c r="J830" s="5"/>
      <c r="K830" s="5"/>
      <c r="L830" s="5"/>
      <c r="M830" s="5"/>
      <c r="N830" s="5"/>
      <c r="O830" s="5"/>
      <c r="P830" s="5"/>
      <c r="Q830" s="5"/>
      <c r="R830" s="5"/>
      <c r="S830" s="5"/>
      <c r="T830" s="5"/>
      <c r="U830" s="5"/>
      <c r="V830" s="5"/>
      <c r="W830" s="5"/>
    </row>
    <row r="831" spans="1:23" ht="16" x14ac:dyDescent="0.2">
      <c r="A831" s="5"/>
      <c r="B831" s="6"/>
      <c r="C831" s="6"/>
      <c r="D831" s="6"/>
      <c r="E831" s="6"/>
      <c r="F831" s="5"/>
      <c r="G831" s="5"/>
      <c r="H831" s="5"/>
      <c r="I831" s="5"/>
      <c r="J831" s="5"/>
      <c r="K831" s="5"/>
      <c r="L831" s="5"/>
      <c r="M831" s="5"/>
      <c r="N831" s="5"/>
      <c r="O831" s="5"/>
      <c r="P831" s="5"/>
      <c r="Q831" s="5"/>
      <c r="R831" s="5"/>
      <c r="S831" s="5"/>
      <c r="T831" s="5"/>
      <c r="U831" s="5"/>
      <c r="V831" s="5"/>
      <c r="W831" s="5"/>
    </row>
    <row r="832" spans="1:23" ht="16" x14ac:dyDescent="0.2">
      <c r="A832" s="5"/>
      <c r="B832" s="6"/>
      <c r="C832" s="6"/>
      <c r="D832" s="6"/>
      <c r="E832" s="6"/>
      <c r="F832" s="5"/>
      <c r="G832" s="5"/>
      <c r="H832" s="5"/>
      <c r="I832" s="5"/>
      <c r="J832" s="5"/>
      <c r="K832" s="5"/>
      <c r="L832" s="5"/>
      <c r="M832" s="5"/>
      <c r="N832" s="5"/>
      <c r="O832" s="5"/>
      <c r="P832" s="5"/>
      <c r="Q832" s="5"/>
      <c r="R832" s="5"/>
      <c r="S832" s="5"/>
      <c r="T832" s="5"/>
      <c r="U832" s="5"/>
      <c r="V832" s="5"/>
      <c r="W832" s="5"/>
    </row>
    <row r="833" spans="1:23" ht="16" x14ac:dyDescent="0.2">
      <c r="A833" s="5"/>
      <c r="B833" s="6"/>
      <c r="C833" s="6"/>
      <c r="D833" s="6"/>
      <c r="E833" s="6"/>
      <c r="F833" s="5"/>
      <c r="G833" s="5"/>
      <c r="H833" s="5"/>
      <c r="I833" s="5"/>
      <c r="J833" s="5"/>
      <c r="K833" s="5"/>
      <c r="L833" s="5"/>
      <c r="M833" s="5"/>
      <c r="N833" s="5"/>
      <c r="O833" s="5"/>
      <c r="P833" s="5"/>
      <c r="Q833" s="5"/>
      <c r="R833" s="5"/>
      <c r="S833" s="5"/>
      <c r="T833" s="5"/>
      <c r="U833" s="5"/>
      <c r="V833" s="5"/>
      <c r="W833" s="5"/>
    </row>
    <row r="834" spans="1:23" ht="16" x14ac:dyDescent="0.2">
      <c r="A834" s="5"/>
      <c r="B834" s="6"/>
      <c r="C834" s="6"/>
      <c r="D834" s="6"/>
      <c r="E834" s="6"/>
      <c r="F834" s="5"/>
      <c r="G834" s="5"/>
      <c r="H834" s="5"/>
      <c r="I834" s="5"/>
      <c r="J834" s="5"/>
      <c r="K834" s="5"/>
      <c r="L834" s="5"/>
      <c r="M834" s="5"/>
      <c r="N834" s="5"/>
      <c r="O834" s="5"/>
      <c r="P834" s="5"/>
      <c r="Q834" s="5"/>
      <c r="R834" s="5"/>
      <c r="S834" s="5"/>
      <c r="T834" s="5"/>
      <c r="U834" s="5"/>
      <c r="V834" s="5"/>
      <c r="W834" s="5"/>
    </row>
    <row r="835" spans="1:23" ht="16" x14ac:dyDescent="0.2">
      <c r="A835" s="5"/>
      <c r="B835" s="6"/>
      <c r="C835" s="6"/>
      <c r="D835" s="6"/>
      <c r="E835" s="6"/>
      <c r="F835" s="5"/>
      <c r="G835" s="5"/>
      <c r="H835" s="5"/>
      <c r="I835" s="5"/>
      <c r="J835" s="5"/>
      <c r="K835" s="5"/>
      <c r="L835" s="5"/>
      <c r="M835" s="5"/>
      <c r="N835" s="5"/>
      <c r="O835" s="5"/>
      <c r="P835" s="5"/>
      <c r="Q835" s="5"/>
      <c r="R835" s="5"/>
      <c r="S835" s="5"/>
      <c r="T835" s="5"/>
      <c r="U835" s="5"/>
      <c r="V835" s="5"/>
      <c r="W835" s="5"/>
    </row>
    <row r="836" spans="1:23" ht="16" x14ac:dyDescent="0.2">
      <c r="A836" s="5"/>
      <c r="B836" s="6"/>
      <c r="C836" s="6"/>
      <c r="D836" s="6"/>
      <c r="E836" s="6"/>
      <c r="F836" s="5"/>
      <c r="G836" s="5"/>
      <c r="H836" s="5"/>
      <c r="I836" s="5"/>
      <c r="J836" s="5"/>
      <c r="K836" s="5"/>
      <c r="L836" s="5"/>
      <c r="M836" s="5"/>
      <c r="N836" s="5"/>
      <c r="O836" s="5"/>
      <c r="P836" s="5"/>
      <c r="Q836" s="5"/>
      <c r="R836" s="5"/>
      <c r="S836" s="5"/>
      <c r="T836" s="5"/>
      <c r="U836" s="5"/>
      <c r="V836" s="5"/>
      <c r="W836" s="5"/>
    </row>
    <row r="837" spans="1:23" ht="16" x14ac:dyDescent="0.2">
      <c r="A837" s="5"/>
      <c r="B837" s="6"/>
      <c r="C837" s="6"/>
      <c r="D837" s="6"/>
      <c r="E837" s="6"/>
      <c r="F837" s="5"/>
      <c r="G837" s="5"/>
      <c r="H837" s="5"/>
      <c r="I837" s="5"/>
      <c r="J837" s="5"/>
      <c r="K837" s="5"/>
      <c r="L837" s="5"/>
      <c r="M837" s="5"/>
      <c r="N837" s="5"/>
      <c r="O837" s="5"/>
      <c r="P837" s="5"/>
      <c r="Q837" s="5"/>
      <c r="R837" s="5"/>
      <c r="S837" s="5"/>
      <c r="T837" s="5"/>
      <c r="U837" s="5"/>
      <c r="V837" s="5"/>
      <c r="W837" s="5"/>
    </row>
    <row r="838" spans="1:23" ht="16" x14ac:dyDescent="0.2">
      <c r="A838" s="5"/>
      <c r="B838" s="6"/>
      <c r="C838" s="6"/>
      <c r="D838" s="6"/>
      <c r="E838" s="6"/>
      <c r="F838" s="5"/>
      <c r="G838" s="5"/>
      <c r="H838" s="5"/>
      <c r="I838" s="5"/>
      <c r="J838" s="5"/>
      <c r="K838" s="5"/>
      <c r="L838" s="5"/>
      <c r="M838" s="5"/>
      <c r="N838" s="5"/>
      <c r="O838" s="5"/>
      <c r="P838" s="5"/>
      <c r="Q838" s="5"/>
      <c r="R838" s="5"/>
      <c r="S838" s="5"/>
      <c r="T838" s="5"/>
      <c r="U838" s="5"/>
      <c r="V838" s="5"/>
      <c r="W838" s="5"/>
    </row>
    <row r="839" spans="1:23" ht="16" x14ac:dyDescent="0.2">
      <c r="A839" s="5"/>
      <c r="B839" s="6"/>
      <c r="C839" s="6"/>
      <c r="D839" s="6"/>
      <c r="E839" s="6"/>
      <c r="F839" s="5"/>
      <c r="G839" s="5"/>
      <c r="H839" s="5"/>
      <c r="I839" s="5"/>
      <c r="J839" s="5"/>
      <c r="K839" s="5"/>
      <c r="L839" s="5"/>
      <c r="M839" s="5"/>
      <c r="N839" s="5"/>
      <c r="O839" s="5"/>
      <c r="P839" s="5"/>
      <c r="Q839" s="5"/>
      <c r="R839" s="5"/>
      <c r="S839" s="5"/>
      <c r="T839" s="5"/>
      <c r="U839" s="5"/>
      <c r="V839" s="5"/>
      <c r="W839" s="5"/>
    </row>
    <row r="840" spans="1:23" ht="16" x14ac:dyDescent="0.2">
      <c r="A840" s="5"/>
      <c r="B840" s="6"/>
      <c r="C840" s="6"/>
      <c r="D840" s="6"/>
      <c r="E840" s="6"/>
      <c r="F840" s="5"/>
      <c r="G840" s="5"/>
      <c r="H840" s="5"/>
      <c r="I840" s="5"/>
      <c r="J840" s="5"/>
      <c r="K840" s="5"/>
      <c r="L840" s="5"/>
      <c r="M840" s="5"/>
      <c r="N840" s="5"/>
      <c r="O840" s="5"/>
      <c r="P840" s="5"/>
      <c r="Q840" s="5"/>
      <c r="R840" s="5"/>
      <c r="S840" s="5"/>
      <c r="T840" s="5"/>
      <c r="U840" s="5"/>
      <c r="V840" s="5"/>
      <c r="W840" s="5"/>
    </row>
    <row r="841" spans="1:23" ht="16" x14ac:dyDescent="0.2">
      <c r="A841" s="5"/>
      <c r="B841" s="6"/>
      <c r="C841" s="6"/>
      <c r="D841" s="6"/>
      <c r="E841" s="6"/>
      <c r="F841" s="5"/>
      <c r="G841" s="5"/>
      <c r="H841" s="5"/>
      <c r="I841" s="5"/>
      <c r="J841" s="5"/>
      <c r="K841" s="5"/>
      <c r="L841" s="5"/>
      <c r="M841" s="5"/>
      <c r="N841" s="5"/>
      <c r="O841" s="5"/>
      <c r="P841" s="5"/>
      <c r="Q841" s="5"/>
      <c r="R841" s="5"/>
      <c r="S841" s="5"/>
      <c r="T841" s="5"/>
      <c r="U841" s="5"/>
      <c r="V841" s="5"/>
      <c r="W841" s="5"/>
    </row>
    <row r="842" spans="1:23" ht="16" x14ac:dyDescent="0.2">
      <c r="A842" s="5"/>
      <c r="B842" s="6"/>
      <c r="C842" s="6"/>
      <c r="D842" s="6"/>
      <c r="E842" s="6"/>
      <c r="F842" s="5"/>
      <c r="G842" s="5"/>
      <c r="H842" s="5"/>
      <c r="I842" s="5"/>
      <c r="J842" s="5"/>
      <c r="K842" s="5"/>
      <c r="L842" s="5"/>
      <c r="M842" s="5"/>
      <c r="N842" s="5"/>
      <c r="O842" s="5"/>
      <c r="P842" s="5"/>
      <c r="Q842" s="5"/>
      <c r="R842" s="5"/>
      <c r="S842" s="5"/>
      <c r="T842" s="5"/>
      <c r="U842" s="5"/>
      <c r="V842" s="5"/>
      <c r="W842" s="5"/>
    </row>
    <row r="843" spans="1:23" ht="16" x14ac:dyDescent="0.2">
      <c r="A843" s="5"/>
      <c r="B843" s="6"/>
      <c r="C843" s="6"/>
      <c r="D843" s="6"/>
      <c r="E843" s="6"/>
      <c r="F843" s="5"/>
      <c r="G843" s="5"/>
      <c r="H843" s="5"/>
      <c r="I843" s="5"/>
      <c r="J843" s="5"/>
      <c r="K843" s="5"/>
      <c r="L843" s="5"/>
      <c r="M843" s="5"/>
      <c r="N843" s="5"/>
      <c r="O843" s="5"/>
      <c r="P843" s="5"/>
      <c r="Q843" s="5"/>
      <c r="R843" s="5"/>
      <c r="S843" s="5"/>
      <c r="T843" s="5"/>
      <c r="U843" s="5"/>
      <c r="V843" s="5"/>
      <c r="W843" s="5"/>
    </row>
    <row r="844" spans="1:23" ht="16" x14ac:dyDescent="0.2">
      <c r="A844" s="5"/>
      <c r="B844" s="6"/>
      <c r="C844" s="6"/>
      <c r="D844" s="6"/>
      <c r="E844" s="6"/>
      <c r="F844" s="5"/>
      <c r="G844" s="5"/>
      <c r="H844" s="5"/>
      <c r="I844" s="5"/>
      <c r="J844" s="5"/>
      <c r="K844" s="5"/>
      <c r="L844" s="5"/>
      <c r="M844" s="5"/>
      <c r="N844" s="5"/>
      <c r="O844" s="5"/>
      <c r="P844" s="5"/>
      <c r="Q844" s="5"/>
      <c r="R844" s="5"/>
      <c r="S844" s="5"/>
      <c r="T844" s="5"/>
      <c r="U844" s="5"/>
      <c r="V844" s="5"/>
      <c r="W844" s="5"/>
    </row>
    <row r="845" spans="1:23" ht="16" x14ac:dyDescent="0.2">
      <c r="A845" s="5"/>
      <c r="B845" s="6"/>
      <c r="C845" s="6"/>
      <c r="D845" s="6"/>
      <c r="E845" s="6"/>
      <c r="F845" s="5"/>
      <c r="G845" s="5"/>
      <c r="H845" s="5"/>
      <c r="I845" s="5"/>
      <c r="J845" s="5"/>
      <c r="K845" s="5"/>
      <c r="L845" s="5"/>
      <c r="M845" s="5"/>
      <c r="N845" s="5"/>
      <c r="O845" s="5"/>
      <c r="P845" s="5"/>
      <c r="Q845" s="5"/>
      <c r="R845" s="5"/>
      <c r="S845" s="5"/>
      <c r="T845" s="5"/>
      <c r="U845" s="5"/>
      <c r="V845" s="5"/>
      <c r="W845" s="5"/>
    </row>
    <row r="846" spans="1:23" ht="16" x14ac:dyDescent="0.2">
      <c r="A846" s="5"/>
      <c r="B846" s="6"/>
      <c r="C846" s="6"/>
      <c r="D846" s="6"/>
      <c r="E846" s="6"/>
      <c r="F846" s="5"/>
      <c r="G846" s="5"/>
      <c r="H846" s="5"/>
      <c r="I846" s="5"/>
      <c r="J846" s="5"/>
      <c r="K846" s="5"/>
      <c r="L846" s="5"/>
      <c r="M846" s="5"/>
      <c r="N846" s="5"/>
      <c r="O846" s="5"/>
      <c r="P846" s="5"/>
      <c r="Q846" s="5"/>
      <c r="R846" s="5"/>
      <c r="S846" s="5"/>
      <c r="T846" s="5"/>
      <c r="U846" s="5"/>
      <c r="V846" s="5"/>
      <c r="W846" s="5"/>
    </row>
    <row r="847" spans="1:23" ht="16" x14ac:dyDescent="0.2">
      <c r="A847" s="5"/>
      <c r="B847" s="6"/>
      <c r="C847" s="6"/>
      <c r="D847" s="6"/>
      <c r="E847" s="6"/>
      <c r="F847" s="5"/>
      <c r="G847" s="5"/>
      <c r="H847" s="5"/>
      <c r="I847" s="5"/>
      <c r="J847" s="5"/>
      <c r="K847" s="5"/>
      <c r="L847" s="5"/>
      <c r="M847" s="5"/>
      <c r="N847" s="5"/>
      <c r="O847" s="5"/>
      <c r="P847" s="5"/>
      <c r="Q847" s="5"/>
      <c r="R847" s="5"/>
      <c r="S847" s="5"/>
      <c r="T847" s="5"/>
      <c r="U847" s="5"/>
      <c r="V847" s="5"/>
      <c r="W847" s="5"/>
    </row>
    <row r="848" spans="1:23" ht="16" x14ac:dyDescent="0.2">
      <c r="A848" s="5"/>
      <c r="B848" s="6"/>
      <c r="C848" s="6"/>
      <c r="D848" s="6"/>
      <c r="E848" s="6"/>
      <c r="F848" s="5"/>
      <c r="G848" s="5"/>
      <c r="H848" s="5"/>
      <c r="I848" s="5"/>
      <c r="J848" s="5"/>
      <c r="K848" s="5"/>
      <c r="L848" s="5"/>
      <c r="M848" s="5"/>
      <c r="N848" s="5"/>
      <c r="O848" s="5"/>
      <c r="P848" s="5"/>
      <c r="Q848" s="5"/>
      <c r="R848" s="5"/>
      <c r="S848" s="5"/>
      <c r="T848" s="5"/>
      <c r="U848" s="5"/>
      <c r="V848" s="5"/>
      <c r="W848" s="5"/>
    </row>
    <row r="849" spans="1:23" ht="16" x14ac:dyDescent="0.2">
      <c r="A849" s="5"/>
      <c r="B849" s="6"/>
      <c r="C849" s="6"/>
      <c r="D849" s="6"/>
      <c r="E849" s="6"/>
      <c r="F849" s="5"/>
      <c r="G849" s="5"/>
      <c r="H849" s="5"/>
      <c r="I849" s="5"/>
      <c r="J849" s="5"/>
      <c r="K849" s="5"/>
      <c r="L849" s="5"/>
      <c r="M849" s="5"/>
      <c r="N849" s="5"/>
      <c r="O849" s="5"/>
      <c r="P849" s="5"/>
      <c r="Q849" s="5"/>
      <c r="R849" s="5"/>
      <c r="S849" s="5"/>
      <c r="T849" s="5"/>
      <c r="U849" s="5"/>
      <c r="V849" s="5"/>
      <c r="W849" s="5"/>
    </row>
    <row r="850" spans="1:23" ht="16" x14ac:dyDescent="0.2">
      <c r="A850" s="5"/>
      <c r="B850" s="6"/>
      <c r="C850" s="6"/>
      <c r="D850" s="6"/>
      <c r="E850" s="6"/>
      <c r="F850" s="5"/>
      <c r="G850" s="5"/>
      <c r="H850" s="5"/>
      <c r="I850" s="5"/>
      <c r="J850" s="5"/>
      <c r="K850" s="5"/>
      <c r="L850" s="5"/>
      <c r="M850" s="5"/>
      <c r="N850" s="5"/>
      <c r="O850" s="5"/>
      <c r="P850" s="5"/>
      <c r="Q850" s="5"/>
      <c r="R850" s="5"/>
      <c r="S850" s="5"/>
      <c r="T850" s="5"/>
      <c r="U850" s="5"/>
      <c r="V850" s="5"/>
      <c r="W850" s="5"/>
    </row>
    <row r="851" spans="1:23" ht="16" x14ac:dyDescent="0.2">
      <c r="A851" s="5"/>
      <c r="B851" s="6"/>
      <c r="C851" s="6"/>
      <c r="D851" s="6"/>
      <c r="E851" s="6"/>
      <c r="F851" s="5"/>
      <c r="G851" s="5"/>
      <c r="H851" s="5"/>
      <c r="I851" s="5"/>
      <c r="J851" s="5"/>
      <c r="K851" s="5"/>
      <c r="L851" s="5"/>
      <c r="M851" s="5"/>
      <c r="N851" s="5"/>
      <c r="O851" s="5"/>
      <c r="P851" s="5"/>
      <c r="Q851" s="5"/>
      <c r="R851" s="5"/>
      <c r="S851" s="5"/>
      <c r="T851" s="5"/>
      <c r="U851" s="5"/>
      <c r="V851" s="5"/>
      <c r="W851" s="5"/>
    </row>
    <row r="852" spans="1:23" ht="16" x14ac:dyDescent="0.2">
      <c r="A852" s="5"/>
      <c r="B852" s="6"/>
      <c r="C852" s="6"/>
      <c r="D852" s="6"/>
      <c r="E852" s="6"/>
      <c r="F852" s="5"/>
      <c r="G852" s="5"/>
      <c r="H852" s="5"/>
      <c r="I852" s="5"/>
      <c r="J852" s="5"/>
      <c r="K852" s="5"/>
      <c r="L852" s="5"/>
      <c r="M852" s="5"/>
      <c r="N852" s="5"/>
      <c r="O852" s="5"/>
      <c r="P852" s="5"/>
      <c r="Q852" s="5"/>
      <c r="R852" s="5"/>
      <c r="S852" s="5"/>
      <c r="T852" s="5"/>
      <c r="U852" s="5"/>
      <c r="V852" s="5"/>
      <c r="W852" s="5"/>
    </row>
    <row r="853" spans="1:23" ht="16" x14ac:dyDescent="0.2">
      <c r="A853" s="5"/>
      <c r="B853" s="6"/>
      <c r="C853" s="6"/>
      <c r="D853" s="6"/>
      <c r="E853" s="6"/>
      <c r="F853" s="5"/>
      <c r="G853" s="5"/>
      <c r="H853" s="5"/>
      <c r="I853" s="5"/>
      <c r="J853" s="5"/>
      <c r="K853" s="5"/>
      <c r="L853" s="5"/>
      <c r="M853" s="5"/>
      <c r="N853" s="5"/>
      <c r="O853" s="5"/>
      <c r="P853" s="5"/>
      <c r="Q853" s="5"/>
      <c r="R853" s="5"/>
      <c r="S853" s="5"/>
      <c r="T853" s="5"/>
      <c r="U853" s="5"/>
      <c r="V853" s="5"/>
      <c r="W853" s="5"/>
    </row>
    <row r="854" spans="1:23" ht="16" x14ac:dyDescent="0.2">
      <c r="A854" s="5"/>
      <c r="B854" s="6"/>
      <c r="C854" s="6"/>
      <c r="D854" s="6"/>
      <c r="E854" s="6"/>
      <c r="F854" s="5"/>
      <c r="G854" s="5"/>
      <c r="H854" s="5"/>
      <c r="I854" s="5"/>
      <c r="J854" s="5"/>
      <c r="K854" s="5"/>
      <c r="L854" s="5"/>
      <c r="M854" s="5"/>
      <c r="N854" s="5"/>
      <c r="O854" s="5"/>
      <c r="P854" s="5"/>
      <c r="Q854" s="5"/>
      <c r="R854" s="5"/>
      <c r="S854" s="5"/>
      <c r="T854" s="5"/>
      <c r="U854" s="5"/>
      <c r="V854" s="5"/>
      <c r="W854" s="5"/>
    </row>
    <row r="855" spans="1:23" ht="16" x14ac:dyDescent="0.2">
      <c r="A855" s="5"/>
      <c r="B855" s="6"/>
      <c r="C855" s="6"/>
      <c r="D855" s="6"/>
      <c r="E855" s="6"/>
      <c r="F855" s="5"/>
      <c r="G855" s="5"/>
      <c r="H855" s="5"/>
      <c r="I855" s="5"/>
      <c r="J855" s="5"/>
      <c r="K855" s="5"/>
      <c r="L855" s="5"/>
      <c r="M855" s="5"/>
      <c r="N855" s="5"/>
      <c r="O855" s="5"/>
      <c r="P855" s="5"/>
      <c r="Q855" s="5"/>
      <c r="R855" s="5"/>
      <c r="S855" s="5"/>
      <c r="T855" s="5"/>
      <c r="U855" s="5"/>
      <c r="V855" s="5"/>
      <c r="W855" s="5"/>
    </row>
    <row r="856" spans="1:23" ht="16" x14ac:dyDescent="0.2">
      <c r="A856" s="5"/>
      <c r="B856" s="6"/>
      <c r="C856" s="6"/>
      <c r="D856" s="6"/>
      <c r="E856" s="6"/>
      <c r="F856" s="5"/>
      <c r="G856" s="5"/>
      <c r="H856" s="5"/>
      <c r="I856" s="5"/>
      <c r="J856" s="5"/>
      <c r="K856" s="5"/>
      <c r="L856" s="5"/>
      <c r="M856" s="5"/>
      <c r="N856" s="5"/>
      <c r="O856" s="5"/>
      <c r="P856" s="5"/>
      <c r="Q856" s="5"/>
      <c r="R856" s="5"/>
      <c r="S856" s="5"/>
      <c r="T856" s="5"/>
      <c r="U856" s="5"/>
      <c r="V856" s="5"/>
      <c r="W856" s="5"/>
    </row>
    <row r="857" spans="1:23" ht="16" x14ac:dyDescent="0.2">
      <c r="A857" s="5"/>
      <c r="B857" s="6"/>
      <c r="C857" s="6"/>
      <c r="D857" s="6"/>
      <c r="E857" s="6"/>
      <c r="F857" s="5"/>
      <c r="G857" s="5"/>
      <c r="H857" s="5"/>
      <c r="I857" s="5"/>
      <c r="J857" s="5"/>
      <c r="K857" s="5"/>
      <c r="L857" s="5"/>
      <c r="M857" s="5"/>
      <c r="N857" s="5"/>
      <c r="O857" s="5"/>
      <c r="P857" s="5"/>
      <c r="Q857" s="5"/>
      <c r="R857" s="5"/>
      <c r="S857" s="5"/>
      <c r="T857" s="5"/>
      <c r="U857" s="5"/>
      <c r="V857" s="5"/>
      <c r="W857" s="5"/>
    </row>
    <row r="858" spans="1:23" ht="16" x14ac:dyDescent="0.2">
      <c r="A858" s="5"/>
      <c r="B858" s="6"/>
      <c r="C858" s="6"/>
      <c r="D858" s="6"/>
      <c r="E858" s="6"/>
      <c r="F858" s="5"/>
      <c r="G858" s="5"/>
      <c r="H858" s="5"/>
      <c r="I858" s="5"/>
      <c r="J858" s="5"/>
      <c r="K858" s="5"/>
      <c r="L858" s="5"/>
      <c r="M858" s="5"/>
      <c r="N858" s="5"/>
      <c r="O858" s="5"/>
      <c r="P858" s="5"/>
      <c r="Q858" s="5"/>
      <c r="R858" s="5"/>
      <c r="S858" s="5"/>
      <c r="T858" s="5"/>
      <c r="U858" s="5"/>
      <c r="V858" s="5"/>
      <c r="W858" s="5"/>
    </row>
    <row r="859" spans="1:23" ht="16" x14ac:dyDescent="0.2">
      <c r="A859" s="5"/>
      <c r="B859" s="6"/>
      <c r="C859" s="6"/>
      <c r="D859" s="6"/>
      <c r="E859" s="6"/>
      <c r="F859" s="5"/>
      <c r="G859" s="5"/>
      <c r="H859" s="5"/>
      <c r="I859" s="5"/>
      <c r="J859" s="5"/>
      <c r="K859" s="5"/>
      <c r="L859" s="5"/>
      <c r="M859" s="5"/>
      <c r="N859" s="5"/>
      <c r="O859" s="5"/>
      <c r="P859" s="5"/>
      <c r="Q859" s="5"/>
      <c r="R859" s="5"/>
      <c r="S859" s="5"/>
      <c r="T859" s="5"/>
      <c r="U859" s="5"/>
      <c r="V859" s="5"/>
      <c r="W859" s="5"/>
    </row>
    <row r="860" spans="1:23" ht="16" x14ac:dyDescent="0.2">
      <c r="A860" s="5"/>
      <c r="B860" s="6"/>
      <c r="C860" s="6"/>
      <c r="D860" s="6"/>
      <c r="E860" s="6"/>
      <c r="F860" s="5"/>
      <c r="G860" s="5"/>
      <c r="H860" s="5"/>
      <c r="I860" s="5"/>
      <c r="J860" s="5"/>
      <c r="K860" s="5"/>
      <c r="L860" s="5"/>
      <c r="M860" s="5"/>
      <c r="N860" s="5"/>
      <c r="O860" s="5"/>
      <c r="P860" s="5"/>
      <c r="Q860" s="5"/>
      <c r="R860" s="5"/>
      <c r="S860" s="5"/>
      <c r="T860" s="5"/>
      <c r="U860" s="5"/>
      <c r="V860" s="5"/>
      <c r="W860" s="5"/>
    </row>
    <row r="861" spans="1:23" ht="16" x14ac:dyDescent="0.2">
      <c r="A861" s="5"/>
      <c r="B861" s="6"/>
      <c r="C861" s="6"/>
      <c r="D861" s="6"/>
      <c r="E861" s="6"/>
      <c r="F861" s="5"/>
      <c r="G861" s="5"/>
      <c r="H861" s="5"/>
      <c r="I861" s="5"/>
      <c r="J861" s="5"/>
      <c r="K861" s="5"/>
      <c r="L861" s="5"/>
      <c r="M861" s="5"/>
      <c r="N861" s="5"/>
      <c r="O861" s="5"/>
      <c r="P861" s="5"/>
      <c r="Q861" s="5"/>
      <c r="R861" s="5"/>
      <c r="S861" s="5"/>
      <c r="T861" s="5"/>
      <c r="U861" s="5"/>
      <c r="V861" s="5"/>
      <c r="W861" s="5"/>
    </row>
    <row r="862" spans="1:23" ht="16" x14ac:dyDescent="0.2">
      <c r="A862" s="5"/>
      <c r="B862" s="6"/>
      <c r="C862" s="6"/>
      <c r="D862" s="6"/>
      <c r="E862" s="6"/>
      <c r="F862" s="5"/>
      <c r="G862" s="5"/>
      <c r="H862" s="5"/>
      <c r="I862" s="5"/>
      <c r="J862" s="5"/>
      <c r="K862" s="5"/>
      <c r="L862" s="5"/>
      <c r="M862" s="5"/>
      <c r="N862" s="5"/>
      <c r="O862" s="5"/>
      <c r="P862" s="5"/>
      <c r="Q862" s="5"/>
      <c r="R862" s="5"/>
      <c r="S862" s="5"/>
      <c r="T862" s="5"/>
      <c r="U862" s="5"/>
      <c r="V862" s="5"/>
      <c r="W862" s="5"/>
    </row>
    <row r="863" spans="1:23" ht="16" x14ac:dyDescent="0.2">
      <c r="A863" s="5"/>
      <c r="B863" s="6"/>
      <c r="C863" s="6"/>
      <c r="D863" s="6"/>
      <c r="E863" s="6"/>
      <c r="F863" s="5"/>
      <c r="G863" s="5"/>
      <c r="H863" s="5"/>
      <c r="I863" s="5"/>
      <c r="J863" s="5"/>
      <c r="K863" s="5"/>
      <c r="L863" s="5"/>
      <c r="M863" s="5"/>
      <c r="N863" s="5"/>
      <c r="O863" s="5"/>
      <c r="P863" s="5"/>
      <c r="Q863" s="5"/>
      <c r="R863" s="5"/>
      <c r="S863" s="5"/>
      <c r="T863" s="5"/>
      <c r="U863" s="5"/>
      <c r="V863" s="5"/>
      <c r="W863" s="5"/>
    </row>
    <row r="864" spans="1:23" ht="16" x14ac:dyDescent="0.2">
      <c r="A864" s="5"/>
      <c r="B864" s="6"/>
      <c r="C864" s="6"/>
      <c r="D864" s="6"/>
      <c r="E864" s="6"/>
      <c r="F864" s="5"/>
      <c r="G864" s="5"/>
      <c r="H864" s="5"/>
      <c r="I864" s="5"/>
      <c r="J864" s="5"/>
      <c r="K864" s="5"/>
      <c r="L864" s="5"/>
      <c r="M864" s="5"/>
      <c r="N864" s="5"/>
      <c r="O864" s="5"/>
      <c r="P864" s="5"/>
      <c r="Q864" s="5"/>
      <c r="R864" s="5"/>
      <c r="S864" s="5"/>
      <c r="T864" s="5"/>
      <c r="U864" s="5"/>
      <c r="V864" s="5"/>
      <c r="W864" s="5"/>
    </row>
    <row r="865" spans="1:23" ht="16" x14ac:dyDescent="0.2">
      <c r="A865" s="5"/>
      <c r="B865" s="6"/>
      <c r="C865" s="6"/>
      <c r="D865" s="6"/>
      <c r="E865" s="6"/>
      <c r="F865" s="5"/>
      <c r="G865" s="5"/>
      <c r="H865" s="5"/>
      <c r="I865" s="5"/>
      <c r="J865" s="5"/>
      <c r="K865" s="5"/>
      <c r="L865" s="5"/>
      <c r="M865" s="5"/>
      <c r="N865" s="5"/>
      <c r="O865" s="5"/>
      <c r="P865" s="5"/>
      <c r="Q865" s="5"/>
      <c r="R865" s="5"/>
      <c r="S865" s="5"/>
      <c r="T865" s="5"/>
      <c r="U865" s="5"/>
      <c r="V865" s="5"/>
      <c r="W865" s="5"/>
    </row>
    <row r="866" spans="1:23" ht="16" x14ac:dyDescent="0.2">
      <c r="A866" s="5"/>
      <c r="B866" s="6"/>
      <c r="C866" s="6"/>
      <c r="D866" s="6"/>
      <c r="E866" s="6"/>
      <c r="F866" s="5"/>
      <c r="G866" s="5"/>
      <c r="H866" s="5"/>
      <c r="I866" s="5"/>
      <c r="J866" s="5"/>
      <c r="K866" s="5"/>
      <c r="L866" s="5"/>
      <c r="M866" s="5"/>
      <c r="N866" s="5"/>
      <c r="O866" s="5"/>
      <c r="P866" s="5"/>
      <c r="Q866" s="5"/>
      <c r="R866" s="5"/>
      <c r="S866" s="5"/>
      <c r="T866" s="5"/>
      <c r="U866" s="5"/>
      <c r="V866" s="5"/>
      <c r="W866" s="5"/>
    </row>
    <row r="867" spans="1:23" ht="16" x14ac:dyDescent="0.2">
      <c r="A867" s="5"/>
      <c r="B867" s="6"/>
      <c r="C867" s="6"/>
      <c r="D867" s="6"/>
      <c r="E867" s="6"/>
      <c r="F867" s="5"/>
      <c r="G867" s="5"/>
      <c r="H867" s="5"/>
      <c r="I867" s="5"/>
      <c r="J867" s="5"/>
      <c r="K867" s="5"/>
      <c r="L867" s="5"/>
      <c r="M867" s="5"/>
      <c r="N867" s="5"/>
      <c r="O867" s="5"/>
      <c r="P867" s="5"/>
      <c r="Q867" s="5"/>
      <c r="R867" s="5"/>
      <c r="S867" s="5"/>
      <c r="T867" s="5"/>
      <c r="U867" s="5"/>
      <c r="V867" s="5"/>
      <c r="W867" s="5"/>
    </row>
    <row r="868" spans="1:23" ht="16" x14ac:dyDescent="0.2">
      <c r="A868" s="5"/>
      <c r="B868" s="6"/>
      <c r="C868" s="6"/>
      <c r="D868" s="6"/>
      <c r="E868" s="6"/>
      <c r="F868" s="5"/>
      <c r="G868" s="5"/>
      <c r="H868" s="5"/>
      <c r="I868" s="5"/>
      <c r="J868" s="5"/>
      <c r="K868" s="5"/>
      <c r="L868" s="5"/>
      <c r="M868" s="5"/>
      <c r="N868" s="5"/>
      <c r="O868" s="5"/>
      <c r="P868" s="5"/>
      <c r="Q868" s="5"/>
      <c r="R868" s="5"/>
      <c r="S868" s="5"/>
      <c r="T868" s="5"/>
      <c r="U868" s="5"/>
      <c r="V868" s="5"/>
      <c r="W868" s="5"/>
    </row>
    <row r="869" spans="1:23" ht="16" x14ac:dyDescent="0.2">
      <c r="A869" s="5"/>
      <c r="B869" s="6"/>
      <c r="C869" s="6"/>
      <c r="D869" s="6"/>
      <c r="E869" s="6"/>
      <c r="F869" s="5"/>
      <c r="G869" s="5"/>
      <c r="H869" s="5"/>
      <c r="I869" s="5"/>
      <c r="J869" s="5"/>
      <c r="K869" s="5"/>
      <c r="L869" s="5"/>
      <c r="M869" s="5"/>
      <c r="N869" s="5"/>
      <c r="O869" s="5"/>
      <c r="P869" s="5"/>
      <c r="Q869" s="5"/>
      <c r="R869" s="5"/>
      <c r="S869" s="5"/>
      <c r="T869" s="5"/>
      <c r="U869" s="5"/>
      <c r="V869" s="5"/>
      <c r="W869" s="5"/>
    </row>
    <row r="870" spans="1:23" ht="16" x14ac:dyDescent="0.2">
      <c r="A870" s="5"/>
      <c r="B870" s="6"/>
      <c r="C870" s="6"/>
      <c r="D870" s="6"/>
      <c r="E870" s="6"/>
      <c r="F870" s="5"/>
      <c r="G870" s="5"/>
      <c r="H870" s="5"/>
      <c r="I870" s="5"/>
      <c r="J870" s="5"/>
      <c r="K870" s="5"/>
      <c r="L870" s="5"/>
      <c r="M870" s="5"/>
      <c r="N870" s="5"/>
      <c r="O870" s="5"/>
      <c r="P870" s="5"/>
      <c r="Q870" s="5"/>
      <c r="R870" s="5"/>
      <c r="S870" s="5"/>
      <c r="T870" s="5"/>
      <c r="U870" s="5"/>
      <c r="V870" s="5"/>
      <c r="W870" s="5"/>
    </row>
    <row r="871" spans="1:23" ht="16" x14ac:dyDescent="0.2">
      <c r="A871" s="5"/>
      <c r="B871" s="6"/>
      <c r="C871" s="6"/>
      <c r="D871" s="6"/>
      <c r="E871" s="6"/>
      <c r="F871" s="5"/>
      <c r="G871" s="5"/>
      <c r="H871" s="5"/>
      <c r="I871" s="5"/>
      <c r="J871" s="5"/>
      <c r="K871" s="5"/>
      <c r="L871" s="5"/>
      <c r="M871" s="5"/>
      <c r="N871" s="5"/>
      <c r="O871" s="5"/>
      <c r="P871" s="5"/>
      <c r="Q871" s="5"/>
      <c r="R871" s="5"/>
      <c r="S871" s="5"/>
      <c r="T871" s="5"/>
      <c r="U871" s="5"/>
      <c r="V871" s="5"/>
      <c r="W871" s="5"/>
    </row>
    <row r="872" spans="1:23" ht="16" x14ac:dyDescent="0.2">
      <c r="A872" s="5"/>
      <c r="B872" s="6"/>
      <c r="C872" s="6"/>
      <c r="D872" s="6"/>
      <c r="E872" s="6"/>
      <c r="F872" s="5"/>
      <c r="G872" s="5"/>
      <c r="H872" s="5"/>
      <c r="I872" s="5"/>
      <c r="J872" s="5"/>
      <c r="K872" s="5"/>
      <c r="L872" s="5"/>
      <c r="M872" s="5"/>
      <c r="N872" s="5"/>
      <c r="O872" s="5"/>
      <c r="P872" s="5"/>
      <c r="Q872" s="5"/>
      <c r="R872" s="5"/>
      <c r="S872" s="5"/>
      <c r="T872" s="5"/>
      <c r="U872" s="5"/>
      <c r="V872" s="5"/>
      <c r="W872" s="5"/>
    </row>
    <row r="873" spans="1:23" ht="16" x14ac:dyDescent="0.2">
      <c r="A873" s="5"/>
      <c r="B873" s="6"/>
      <c r="C873" s="6"/>
      <c r="D873" s="6"/>
      <c r="E873" s="6"/>
      <c r="F873" s="5"/>
      <c r="G873" s="5"/>
      <c r="H873" s="5"/>
      <c r="I873" s="5"/>
      <c r="J873" s="5"/>
      <c r="K873" s="5"/>
      <c r="L873" s="5"/>
      <c r="M873" s="5"/>
      <c r="N873" s="5"/>
      <c r="O873" s="5"/>
      <c r="P873" s="5"/>
      <c r="Q873" s="5"/>
      <c r="R873" s="5"/>
      <c r="S873" s="5"/>
      <c r="T873" s="5"/>
      <c r="U873" s="5"/>
      <c r="V873" s="5"/>
      <c r="W873" s="5"/>
    </row>
    <row r="874" spans="1:23" ht="16" x14ac:dyDescent="0.2">
      <c r="A874" s="5"/>
      <c r="B874" s="6"/>
      <c r="C874" s="6"/>
      <c r="D874" s="6"/>
      <c r="E874" s="6"/>
      <c r="F874" s="5"/>
      <c r="G874" s="5"/>
      <c r="H874" s="5"/>
      <c r="I874" s="5"/>
      <c r="J874" s="5"/>
      <c r="K874" s="5"/>
      <c r="L874" s="5"/>
      <c r="M874" s="5"/>
      <c r="N874" s="5"/>
      <c r="O874" s="5"/>
      <c r="P874" s="5"/>
      <c r="Q874" s="5"/>
      <c r="R874" s="5"/>
      <c r="S874" s="5"/>
      <c r="T874" s="5"/>
      <c r="U874" s="5"/>
      <c r="V874" s="5"/>
      <c r="W874" s="5"/>
    </row>
    <row r="875" spans="1:23" ht="16" x14ac:dyDescent="0.2">
      <c r="A875" s="5"/>
      <c r="B875" s="6"/>
      <c r="C875" s="6"/>
      <c r="D875" s="6"/>
      <c r="E875" s="6"/>
      <c r="F875" s="5"/>
      <c r="G875" s="5"/>
      <c r="H875" s="5"/>
      <c r="I875" s="5"/>
      <c r="J875" s="5"/>
      <c r="K875" s="5"/>
      <c r="L875" s="5"/>
      <c r="M875" s="5"/>
      <c r="N875" s="5"/>
      <c r="O875" s="5"/>
      <c r="P875" s="5"/>
      <c r="Q875" s="5"/>
      <c r="R875" s="5"/>
      <c r="S875" s="5"/>
      <c r="T875" s="5"/>
      <c r="U875" s="5"/>
      <c r="V875" s="5"/>
      <c r="W875" s="5"/>
    </row>
    <row r="876" spans="1:23" ht="16" x14ac:dyDescent="0.2">
      <c r="A876" s="5"/>
      <c r="B876" s="6"/>
      <c r="C876" s="6"/>
      <c r="D876" s="6"/>
      <c r="E876" s="6"/>
      <c r="F876" s="5"/>
      <c r="G876" s="5"/>
      <c r="H876" s="5"/>
      <c r="I876" s="5"/>
      <c r="J876" s="5"/>
      <c r="K876" s="5"/>
      <c r="L876" s="5"/>
      <c r="M876" s="5"/>
      <c r="N876" s="5"/>
      <c r="O876" s="5"/>
      <c r="P876" s="5"/>
      <c r="Q876" s="5"/>
      <c r="R876" s="5"/>
      <c r="S876" s="5"/>
      <c r="T876" s="5"/>
      <c r="U876" s="5"/>
      <c r="V876" s="5"/>
      <c r="W876" s="5"/>
    </row>
    <row r="877" spans="1:23" ht="16" x14ac:dyDescent="0.2">
      <c r="A877" s="5"/>
      <c r="B877" s="6"/>
      <c r="C877" s="6"/>
      <c r="D877" s="6"/>
      <c r="E877" s="6"/>
      <c r="F877" s="5"/>
      <c r="G877" s="5"/>
      <c r="H877" s="5"/>
      <c r="I877" s="5"/>
      <c r="J877" s="5"/>
      <c r="K877" s="5"/>
      <c r="L877" s="5"/>
      <c r="M877" s="5"/>
      <c r="N877" s="5"/>
      <c r="O877" s="5"/>
      <c r="P877" s="5"/>
      <c r="Q877" s="5"/>
      <c r="R877" s="5"/>
      <c r="S877" s="5"/>
      <c r="T877" s="5"/>
      <c r="U877" s="5"/>
      <c r="V877" s="5"/>
      <c r="W877" s="5"/>
    </row>
    <row r="878" spans="1:23" ht="16" x14ac:dyDescent="0.2">
      <c r="A878" s="5"/>
      <c r="B878" s="6"/>
      <c r="C878" s="6"/>
      <c r="D878" s="6"/>
      <c r="E878" s="6"/>
      <c r="F878" s="5"/>
      <c r="G878" s="5"/>
      <c r="H878" s="5"/>
      <c r="I878" s="5"/>
      <c r="J878" s="5"/>
      <c r="K878" s="5"/>
      <c r="L878" s="5"/>
      <c r="M878" s="5"/>
      <c r="N878" s="5"/>
      <c r="O878" s="5"/>
      <c r="P878" s="5"/>
      <c r="Q878" s="5"/>
      <c r="R878" s="5"/>
      <c r="S878" s="5"/>
      <c r="T878" s="5"/>
      <c r="U878" s="5"/>
      <c r="V878" s="5"/>
      <c r="W878" s="5"/>
    </row>
    <row r="879" spans="1:23" ht="16" x14ac:dyDescent="0.2">
      <c r="A879" s="5"/>
      <c r="B879" s="6"/>
      <c r="C879" s="6"/>
      <c r="D879" s="6"/>
      <c r="E879" s="6"/>
      <c r="F879" s="5"/>
      <c r="G879" s="5"/>
      <c r="H879" s="5"/>
      <c r="I879" s="5"/>
      <c r="J879" s="5"/>
      <c r="K879" s="5"/>
      <c r="L879" s="5"/>
      <c r="M879" s="5"/>
      <c r="N879" s="5"/>
      <c r="O879" s="5"/>
      <c r="P879" s="5"/>
      <c r="Q879" s="5"/>
      <c r="R879" s="5"/>
      <c r="S879" s="5"/>
      <c r="T879" s="5"/>
      <c r="U879" s="5"/>
      <c r="V879" s="5"/>
      <c r="W879" s="5"/>
    </row>
    <row r="880" spans="1:23" ht="16" x14ac:dyDescent="0.2">
      <c r="A880" s="5"/>
      <c r="B880" s="6"/>
      <c r="C880" s="6"/>
      <c r="D880" s="6"/>
      <c r="E880" s="6"/>
      <c r="F880" s="5"/>
      <c r="G880" s="5"/>
      <c r="H880" s="5"/>
      <c r="I880" s="5"/>
      <c r="J880" s="5"/>
      <c r="K880" s="5"/>
      <c r="L880" s="5"/>
      <c r="M880" s="5"/>
      <c r="N880" s="5"/>
      <c r="O880" s="5"/>
      <c r="P880" s="5"/>
      <c r="Q880" s="5"/>
      <c r="R880" s="5"/>
      <c r="S880" s="5"/>
      <c r="T880" s="5"/>
      <c r="U880" s="5"/>
      <c r="V880" s="5"/>
      <c r="W880" s="5"/>
    </row>
    <row r="881" spans="1:23" ht="16" x14ac:dyDescent="0.2">
      <c r="A881" s="5"/>
      <c r="B881" s="6"/>
      <c r="C881" s="6"/>
      <c r="D881" s="6"/>
      <c r="E881" s="6"/>
      <c r="F881" s="5"/>
      <c r="G881" s="5"/>
      <c r="H881" s="5"/>
      <c r="I881" s="5"/>
      <c r="J881" s="5"/>
      <c r="K881" s="5"/>
      <c r="L881" s="5"/>
      <c r="M881" s="5"/>
      <c r="N881" s="5"/>
      <c r="O881" s="5"/>
      <c r="P881" s="5"/>
      <c r="Q881" s="5"/>
      <c r="R881" s="5"/>
      <c r="S881" s="5"/>
      <c r="T881" s="5"/>
      <c r="U881" s="5"/>
      <c r="V881" s="5"/>
      <c r="W881" s="5"/>
    </row>
    <row r="882" spans="1:23" ht="16" x14ac:dyDescent="0.2">
      <c r="A882" s="5"/>
      <c r="B882" s="6"/>
      <c r="C882" s="6"/>
      <c r="D882" s="6"/>
      <c r="E882" s="6"/>
      <c r="F882" s="5"/>
      <c r="G882" s="5"/>
      <c r="H882" s="5"/>
      <c r="I882" s="5"/>
      <c r="J882" s="5"/>
      <c r="K882" s="5"/>
      <c r="L882" s="5"/>
      <c r="M882" s="5"/>
      <c r="N882" s="5"/>
      <c r="O882" s="5"/>
      <c r="P882" s="5"/>
      <c r="Q882" s="5"/>
      <c r="R882" s="5"/>
      <c r="S882" s="5"/>
      <c r="T882" s="5"/>
      <c r="U882" s="5"/>
      <c r="V882" s="5"/>
      <c r="W882" s="5"/>
    </row>
    <row r="883" spans="1:23" ht="16" x14ac:dyDescent="0.2">
      <c r="A883" s="5"/>
      <c r="B883" s="6"/>
      <c r="C883" s="6"/>
      <c r="D883" s="6"/>
      <c r="E883" s="6"/>
      <c r="F883" s="5"/>
      <c r="G883" s="5"/>
      <c r="H883" s="5"/>
      <c r="I883" s="5"/>
      <c r="J883" s="5"/>
      <c r="K883" s="5"/>
      <c r="L883" s="5"/>
      <c r="M883" s="5"/>
      <c r="N883" s="5"/>
      <c r="O883" s="5"/>
      <c r="P883" s="5"/>
      <c r="Q883" s="5"/>
      <c r="R883" s="5"/>
      <c r="S883" s="5"/>
      <c r="T883" s="5"/>
      <c r="U883" s="5"/>
      <c r="V883" s="5"/>
      <c r="W883" s="5"/>
    </row>
    <row r="884" spans="1:23" ht="16" x14ac:dyDescent="0.2">
      <c r="A884" s="5"/>
      <c r="B884" s="6"/>
      <c r="C884" s="6"/>
      <c r="D884" s="6"/>
      <c r="E884" s="6"/>
      <c r="F884" s="5"/>
      <c r="G884" s="5"/>
      <c r="H884" s="5"/>
      <c r="I884" s="5"/>
      <c r="J884" s="5"/>
      <c r="K884" s="5"/>
      <c r="L884" s="5"/>
      <c r="M884" s="5"/>
      <c r="N884" s="5"/>
      <c r="O884" s="5"/>
      <c r="P884" s="5"/>
      <c r="Q884" s="5"/>
      <c r="R884" s="5"/>
      <c r="S884" s="5"/>
      <c r="T884" s="5"/>
      <c r="U884" s="5"/>
      <c r="V884" s="5"/>
      <c r="W884" s="5"/>
    </row>
    <row r="885" spans="1:23" ht="16" x14ac:dyDescent="0.2">
      <c r="A885" s="5"/>
      <c r="B885" s="6"/>
      <c r="C885" s="6"/>
      <c r="D885" s="6"/>
      <c r="E885" s="6"/>
      <c r="F885" s="5"/>
      <c r="G885" s="5"/>
      <c r="H885" s="5"/>
      <c r="I885" s="5"/>
      <c r="J885" s="5"/>
      <c r="K885" s="5"/>
      <c r="L885" s="5"/>
      <c r="M885" s="5"/>
      <c r="N885" s="5"/>
      <c r="O885" s="5"/>
      <c r="P885" s="5"/>
      <c r="Q885" s="5"/>
      <c r="R885" s="5"/>
      <c r="S885" s="5"/>
      <c r="T885" s="5"/>
      <c r="U885" s="5"/>
      <c r="V885" s="5"/>
      <c r="W885" s="5"/>
    </row>
    <row r="886" spans="1:23" ht="16" x14ac:dyDescent="0.2">
      <c r="A886" s="5"/>
      <c r="B886" s="6"/>
      <c r="C886" s="6"/>
      <c r="D886" s="6"/>
      <c r="E886" s="6"/>
      <c r="F886" s="5"/>
      <c r="G886" s="5"/>
      <c r="H886" s="5"/>
      <c r="I886" s="5"/>
      <c r="J886" s="5"/>
      <c r="K886" s="5"/>
      <c r="L886" s="5"/>
      <c r="M886" s="5"/>
      <c r="N886" s="5"/>
      <c r="O886" s="5"/>
      <c r="P886" s="5"/>
      <c r="Q886" s="5"/>
      <c r="R886" s="5"/>
      <c r="S886" s="5"/>
      <c r="T886" s="5"/>
      <c r="U886" s="5"/>
      <c r="V886" s="5"/>
      <c r="W886" s="5"/>
    </row>
    <row r="887" spans="1:23" ht="16" x14ac:dyDescent="0.2">
      <c r="A887" s="5"/>
      <c r="B887" s="6"/>
      <c r="C887" s="6"/>
      <c r="D887" s="6"/>
      <c r="E887" s="6"/>
      <c r="F887" s="5"/>
      <c r="G887" s="5"/>
      <c r="H887" s="5"/>
      <c r="I887" s="5"/>
      <c r="J887" s="5"/>
      <c r="K887" s="5"/>
      <c r="L887" s="5"/>
      <c r="M887" s="5"/>
      <c r="N887" s="5"/>
      <c r="O887" s="5"/>
      <c r="P887" s="5"/>
      <c r="Q887" s="5"/>
      <c r="R887" s="5"/>
      <c r="S887" s="5"/>
      <c r="T887" s="5"/>
      <c r="U887" s="5"/>
      <c r="V887" s="5"/>
      <c r="W887" s="5"/>
    </row>
    <row r="888" spans="1:23" ht="16" x14ac:dyDescent="0.2">
      <c r="A888" s="5"/>
      <c r="B888" s="6"/>
      <c r="C888" s="6"/>
      <c r="D888" s="6"/>
      <c r="E888" s="6"/>
      <c r="F888" s="5"/>
      <c r="G888" s="5"/>
      <c r="H888" s="5"/>
      <c r="I888" s="5"/>
      <c r="J888" s="5"/>
      <c r="K888" s="5"/>
      <c r="L888" s="5"/>
      <c r="M888" s="5"/>
      <c r="N888" s="5"/>
      <c r="O888" s="5"/>
      <c r="P888" s="5"/>
      <c r="Q888" s="5"/>
      <c r="R888" s="5"/>
      <c r="S888" s="5"/>
      <c r="T888" s="5"/>
      <c r="U888" s="5"/>
      <c r="V888" s="5"/>
      <c r="W888" s="5"/>
    </row>
    <row r="889" spans="1:23" ht="16" x14ac:dyDescent="0.2">
      <c r="A889" s="5"/>
      <c r="B889" s="6"/>
      <c r="C889" s="6"/>
      <c r="D889" s="6"/>
      <c r="E889" s="6"/>
      <c r="F889" s="5"/>
      <c r="G889" s="5"/>
      <c r="H889" s="5"/>
      <c r="I889" s="5"/>
      <c r="J889" s="5"/>
      <c r="K889" s="5"/>
      <c r="L889" s="5"/>
      <c r="M889" s="5"/>
      <c r="N889" s="5"/>
      <c r="O889" s="5"/>
      <c r="P889" s="5"/>
      <c r="Q889" s="5"/>
      <c r="R889" s="5"/>
      <c r="S889" s="5"/>
      <c r="T889" s="5"/>
      <c r="U889" s="5"/>
      <c r="V889" s="5"/>
      <c r="W889" s="5"/>
    </row>
    <row r="890" spans="1:23" ht="16" x14ac:dyDescent="0.2">
      <c r="A890" s="5"/>
      <c r="B890" s="6"/>
      <c r="C890" s="6"/>
      <c r="D890" s="6"/>
      <c r="E890" s="6"/>
      <c r="F890" s="5"/>
      <c r="G890" s="5"/>
      <c r="H890" s="5"/>
      <c r="I890" s="5"/>
      <c r="J890" s="5"/>
      <c r="K890" s="5"/>
      <c r="L890" s="5"/>
      <c r="M890" s="5"/>
      <c r="N890" s="5"/>
      <c r="O890" s="5"/>
      <c r="P890" s="5"/>
      <c r="Q890" s="5"/>
      <c r="R890" s="5"/>
      <c r="S890" s="5"/>
      <c r="T890" s="5"/>
      <c r="U890" s="5"/>
      <c r="V890" s="5"/>
      <c r="W890" s="5"/>
    </row>
    <row r="891" spans="1:23" ht="16" x14ac:dyDescent="0.2">
      <c r="A891" s="5"/>
      <c r="B891" s="6"/>
      <c r="C891" s="6"/>
      <c r="D891" s="6"/>
      <c r="E891" s="6"/>
      <c r="F891" s="5"/>
      <c r="G891" s="5"/>
      <c r="H891" s="5"/>
      <c r="I891" s="5"/>
      <c r="J891" s="5"/>
      <c r="K891" s="5"/>
      <c r="L891" s="5"/>
      <c r="M891" s="5"/>
      <c r="N891" s="5"/>
      <c r="O891" s="5"/>
      <c r="P891" s="5"/>
      <c r="Q891" s="5"/>
      <c r="R891" s="5"/>
      <c r="S891" s="5"/>
      <c r="T891" s="5"/>
      <c r="U891" s="5"/>
      <c r="V891" s="5"/>
      <c r="W891" s="5"/>
    </row>
    <row r="892" spans="1:23" ht="16" x14ac:dyDescent="0.2">
      <c r="A892" s="5"/>
      <c r="B892" s="6"/>
      <c r="C892" s="6"/>
      <c r="D892" s="6"/>
      <c r="E892" s="6"/>
      <c r="F892" s="5"/>
      <c r="G892" s="5"/>
      <c r="H892" s="5"/>
      <c r="I892" s="5"/>
      <c r="J892" s="5"/>
      <c r="K892" s="5"/>
      <c r="L892" s="5"/>
      <c r="M892" s="5"/>
      <c r="N892" s="5"/>
      <c r="O892" s="5"/>
      <c r="P892" s="5"/>
      <c r="Q892" s="5"/>
      <c r="R892" s="5"/>
      <c r="S892" s="5"/>
      <c r="T892" s="5"/>
      <c r="U892" s="5"/>
      <c r="V892" s="5"/>
      <c r="W892" s="5"/>
    </row>
    <row r="893" spans="1:23" ht="16" x14ac:dyDescent="0.2">
      <c r="A893" s="5"/>
      <c r="B893" s="6"/>
      <c r="C893" s="6"/>
      <c r="D893" s="6"/>
      <c r="E893" s="6"/>
      <c r="F893" s="5"/>
      <c r="G893" s="5"/>
      <c r="H893" s="5"/>
      <c r="I893" s="5"/>
      <c r="J893" s="5"/>
      <c r="K893" s="5"/>
      <c r="L893" s="5"/>
      <c r="M893" s="5"/>
      <c r="N893" s="5"/>
      <c r="O893" s="5"/>
      <c r="P893" s="5"/>
      <c r="Q893" s="5"/>
      <c r="R893" s="5"/>
      <c r="S893" s="5"/>
      <c r="T893" s="5"/>
      <c r="U893" s="5"/>
      <c r="V893" s="5"/>
      <c r="W893" s="5"/>
    </row>
    <row r="894" spans="1:23" ht="16" x14ac:dyDescent="0.2">
      <c r="A894" s="5"/>
      <c r="B894" s="6"/>
      <c r="C894" s="6"/>
      <c r="D894" s="6"/>
      <c r="E894" s="6"/>
      <c r="F894" s="5"/>
      <c r="G894" s="5"/>
      <c r="H894" s="5"/>
      <c r="I894" s="5"/>
      <c r="J894" s="5"/>
      <c r="K894" s="5"/>
      <c r="L894" s="5"/>
      <c r="M894" s="5"/>
      <c r="N894" s="5"/>
      <c r="O894" s="5"/>
      <c r="P894" s="5"/>
      <c r="Q894" s="5"/>
      <c r="R894" s="5"/>
      <c r="S894" s="5"/>
      <c r="T894" s="5"/>
      <c r="U894" s="5"/>
      <c r="V894" s="5"/>
      <c r="W894" s="5"/>
    </row>
    <row r="895" spans="1:23" ht="16" x14ac:dyDescent="0.2">
      <c r="A895" s="5"/>
      <c r="B895" s="6"/>
      <c r="C895" s="6"/>
      <c r="D895" s="6"/>
      <c r="E895" s="6"/>
      <c r="F895" s="5"/>
      <c r="G895" s="5"/>
      <c r="H895" s="5"/>
      <c r="I895" s="5"/>
      <c r="J895" s="5"/>
      <c r="K895" s="5"/>
      <c r="L895" s="5"/>
      <c r="M895" s="5"/>
      <c r="N895" s="5"/>
      <c r="O895" s="5"/>
      <c r="P895" s="5"/>
      <c r="Q895" s="5"/>
      <c r="R895" s="5"/>
      <c r="S895" s="5"/>
      <c r="T895" s="5"/>
      <c r="U895" s="5"/>
      <c r="V895" s="5"/>
      <c r="W895" s="5"/>
    </row>
    <row r="896" spans="1:23" ht="16" x14ac:dyDescent="0.2">
      <c r="A896" s="5"/>
      <c r="B896" s="6"/>
      <c r="C896" s="6"/>
      <c r="D896" s="6"/>
      <c r="E896" s="6"/>
      <c r="F896" s="5"/>
      <c r="G896" s="5"/>
      <c r="H896" s="5"/>
      <c r="I896" s="5"/>
      <c r="J896" s="5"/>
      <c r="K896" s="5"/>
      <c r="L896" s="5"/>
      <c r="M896" s="5"/>
      <c r="N896" s="5"/>
      <c r="O896" s="5"/>
      <c r="P896" s="5"/>
      <c r="Q896" s="5"/>
      <c r="R896" s="5"/>
      <c r="S896" s="5"/>
      <c r="T896" s="5"/>
      <c r="U896" s="5"/>
      <c r="V896" s="5"/>
      <c r="W896" s="5"/>
    </row>
    <row r="897" spans="1:23" ht="16" x14ac:dyDescent="0.2">
      <c r="A897" s="5"/>
      <c r="B897" s="6"/>
      <c r="C897" s="6"/>
      <c r="D897" s="6"/>
      <c r="E897" s="6"/>
      <c r="F897" s="5"/>
      <c r="G897" s="5"/>
      <c r="H897" s="5"/>
      <c r="I897" s="5"/>
      <c r="J897" s="5"/>
      <c r="K897" s="5"/>
      <c r="L897" s="5"/>
      <c r="M897" s="5"/>
      <c r="N897" s="5"/>
      <c r="O897" s="5"/>
      <c r="P897" s="5"/>
      <c r="Q897" s="5"/>
      <c r="R897" s="5"/>
      <c r="S897" s="5"/>
      <c r="T897" s="5"/>
      <c r="U897" s="5"/>
      <c r="V897" s="5"/>
      <c r="W897" s="5"/>
    </row>
    <row r="898" spans="1:23" ht="16" x14ac:dyDescent="0.2">
      <c r="A898" s="5"/>
      <c r="B898" s="6"/>
      <c r="C898" s="6"/>
      <c r="D898" s="6"/>
      <c r="E898" s="6"/>
      <c r="F898" s="5"/>
      <c r="G898" s="5"/>
      <c r="H898" s="5"/>
      <c r="I898" s="5"/>
      <c r="J898" s="5"/>
      <c r="K898" s="5"/>
      <c r="L898" s="5"/>
      <c r="M898" s="5"/>
      <c r="N898" s="5"/>
      <c r="O898" s="5"/>
      <c r="P898" s="5"/>
      <c r="Q898" s="5"/>
      <c r="R898" s="5"/>
      <c r="S898" s="5"/>
      <c r="T898" s="5"/>
      <c r="U898" s="5"/>
      <c r="V898" s="5"/>
      <c r="W898" s="5"/>
    </row>
    <row r="899" spans="1:23" ht="16" x14ac:dyDescent="0.2">
      <c r="A899" s="5"/>
      <c r="B899" s="6"/>
      <c r="C899" s="6"/>
      <c r="D899" s="6"/>
      <c r="E899" s="6"/>
      <c r="F899" s="5"/>
      <c r="G899" s="5"/>
      <c r="H899" s="5"/>
      <c r="I899" s="5"/>
      <c r="J899" s="5"/>
      <c r="K899" s="5"/>
      <c r="L899" s="5"/>
      <c r="M899" s="5"/>
      <c r="N899" s="5"/>
      <c r="O899" s="5"/>
      <c r="P899" s="5"/>
      <c r="Q899" s="5"/>
      <c r="R899" s="5"/>
      <c r="S899" s="5"/>
      <c r="T899" s="5"/>
      <c r="U899" s="5"/>
      <c r="V899" s="5"/>
      <c r="W899" s="5"/>
    </row>
    <row r="900" spans="1:23" ht="16" x14ac:dyDescent="0.2">
      <c r="A900" s="5"/>
      <c r="B900" s="6"/>
      <c r="C900" s="6"/>
      <c r="D900" s="6"/>
      <c r="E900" s="6"/>
      <c r="F900" s="5"/>
      <c r="G900" s="5"/>
      <c r="H900" s="5"/>
      <c r="I900" s="5"/>
      <c r="J900" s="5"/>
      <c r="K900" s="5"/>
      <c r="L900" s="5"/>
      <c r="M900" s="5"/>
      <c r="N900" s="5"/>
      <c r="O900" s="5"/>
      <c r="P900" s="5"/>
      <c r="Q900" s="5"/>
      <c r="R900" s="5"/>
      <c r="S900" s="5"/>
      <c r="T900" s="5"/>
      <c r="U900" s="5"/>
      <c r="V900" s="5"/>
      <c r="W900" s="5"/>
    </row>
    <row r="901" spans="1:23" ht="16" x14ac:dyDescent="0.2">
      <c r="A901" s="5"/>
      <c r="B901" s="6"/>
      <c r="C901" s="6"/>
      <c r="D901" s="6"/>
      <c r="E901" s="6"/>
      <c r="F901" s="5"/>
      <c r="G901" s="5"/>
      <c r="H901" s="5"/>
      <c r="I901" s="5"/>
      <c r="J901" s="5"/>
      <c r="K901" s="5"/>
      <c r="L901" s="5"/>
      <c r="M901" s="5"/>
      <c r="N901" s="5"/>
      <c r="O901" s="5"/>
      <c r="P901" s="5"/>
      <c r="Q901" s="5"/>
      <c r="R901" s="5"/>
      <c r="S901" s="5"/>
      <c r="T901" s="5"/>
      <c r="U901" s="5"/>
      <c r="V901" s="5"/>
      <c r="W901" s="5"/>
    </row>
    <row r="902" spans="1:23" ht="16" x14ac:dyDescent="0.2">
      <c r="A902" s="5"/>
      <c r="B902" s="6"/>
      <c r="C902" s="6"/>
      <c r="D902" s="6"/>
      <c r="E902" s="6"/>
      <c r="F902" s="5"/>
      <c r="G902" s="5"/>
      <c r="H902" s="5"/>
      <c r="I902" s="5"/>
      <c r="J902" s="5"/>
      <c r="K902" s="5"/>
      <c r="L902" s="5"/>
      <c r="M902" s="5"/>
      <c r="N902" s="5"/>
      <c r="O902" s="5"/>
      <c r="P902" s="5"/>
      <c r="Q902" s="5"/>
      <c r="R902" s="5"/>
      <c r="S902" s="5"/>
      <c r="T902" s="5"/>
      <c r="U902" s="5"/>
      <c r="V902" s="5"/>
      <c r="W902" s="5"/>
    </row>
    <row r="903" spans="1:23" ht="16" x14ac:dyDescent="0.2">
      <c r="A903" s="5"/>
      <c r="B903" s="6"/>
      <c r="C903" s="6"/>
      <c r="D903" s="6"/>
      <c r="E903" s="6"/>
      <c r="F903" s="5"/>
      <c r="G903" s="5"/>
      <c r="H903" s="5"/>
      <c r="I903" s="5"/>
      <c r="J903" s="5"/>
      <c r="K903" s="5"/>
      <c r="L903" s="5"/>
      <c r="M903" s="5"/>
      <c r="N903" s="5"/>
      <c r="O903" s="5"/>
      <c r="P903" s="5"/>
      <c r="Q903" s="5"/>
      <c r="R903" s="5"/>
      <c r="S903" s="5"/>
      <c r="T903" s="5"/>
      <c r="U903" s="5"/>
      <c r="V903" s="5"/>
      <c r="W903" s="5"/>
    </row>
    <row r="904" spans="1:23" ht="16" x14ac:dyDescent="0.2">
      <c r="A904" s="5"/>
      <c r="B904" s="6"/>
      <c r="C904" s="6"/>
      <c r="D904" s="6"/>
      <c r="E904" s="6"/>
      <c r="F904" s="5"/>
      <c r="G904" s="5"/>
      <c r="H904" s="5"/>
      <c r="I904" s="5"/>
      <c r="J904" s="5"/>
      <c r="K904" s="5"/>
      <c r="L904" s="5"/>
      <c r="M904" s="5"/>
      <c r="N904" s="5"/>
      <c r="O904" s="5"/>
      <c r="P904" s="5"/>
      <c r="Q904" s="5"/>
      <c r="R904" s="5"/>
      <c r="S904" s="5"/>
      <c r="T904" s="5"/>
      <c r="U904" s="5"/>
      <c r="V904" s="5"/>
      <c r="W904" s="5"/>
    </row>
    <row r="905" spans="1:23" ht="16" x14ac:dyDescent="0.2">
      <c r="A905" s="5"/>
      <c r="B905" s="6"/>
      <c r="C905" s="6"/>
      <c r="D905" s="6"/>
      <c r="E905" s="6"/>
      <c r="F905" s="5"/>
      <c r="G905" s="5"/>
      <c r="H905" s="5"/>
      <c r="I905" s="5"/>
      <c r="J905" s="5"/>
      <c r="K905" s="5"/>
      <c r="L905" s="5"/>
      <c r="M905" s="5"/>
      <c r="N905" s="5"/>
      <c r="O905" s="5"/>
      <c r="P905" s="5"/>
      <c r="Q905" s="5"/>
      <c r="R905" s="5"/>
      <c r="S905" s="5"/>
      <c r="T905" s="5"/>
      <c r="U905" s="5"/>
      <c r="V905" s="5"/>
      <c r="W905" s="5"/>
    </row>
    <row r="906" spans="1:23" ht="16" x14ac:dyDescent="0.2">
      <c r="A906" s="5"/>
      <c r="B906" s="6"/>
      <c r="C906" s="6"/>
      <c r="D906" s="6"/>
      <c r="E906" s="6"/>
      <c r="F906" s="5"/>
      <c r="G906" s="5"/>
      <c r="H906" s="5"/>
      <c r="I906" s="5"/>
      <c r="J906" s="5"/>
      <c r="K906" s="5"/>
      <c r="L906" s="5"/>
      <c r="M906" s="5"/>
      <c r="N906" s="5"/>
      <c r="O906" s="5"/>
      <c r="P906" s="5"/>
      <c r="Q906" s="5"/>
      <c r="R906" s="5"/>
      <c r="S906" s="5"/>
      <c r="T906" s="5"/>
      <c r="U906" s="5"/>
      <c r="V906" s="5"/>
      <c r="W906" s="5"/>
    </row>
    <row r="907" spans="1:23" ht="16" x14ac:dyDescent="0.2">
      <c r="A907" s="5"/>
      <c r="B907" s="6"/>
      <c r="C907" s="6"/>
      <c r="D907" s="6"/>
      <c r="E907" s="6"/>
      <c r="F907" s="5"/>
      <c r="G907" s="5"/>
      <c r="H907" s="5"/>
      <c r="I907" s="5"/>
      <c r="J907" s="5"/>
      <c r="K907" s="5"/>
      <c r="L907" s="5"/>
      <c r="M907" s="5"/>
      <c r="N907" s="5"/>
      <c r="O907" s="5"/>
      <c r="P907" s="5"/>
      <c r="Q907" s="5"/>
      <c r="R907" s="5"/>
      <c r="S907" s="5"/>
      <c r="T907" s="5"/>
      <c r="U907" s="5"/>
      <c r="V907" s="5"/>
      <c r="W907" s="5"/>
    </row>
    <row r="908" spans="1:23" ht="16" x14ac:dyDescent="0.2">
      <c r="A908" s="5"/>
      <c r="B908" s="6"/>
      <c r="C908" s="6"/>
      <c r="D908" s="6"/>
      <c r="E908" s="6"/>
      <c r="F908" s="5"/>
      <c r="G908" s="5"/>
      <c r="H908" s="5"/>
      <c r="I908" s="5"/>
      <c r="J908" s="5"/>
      <c r="K908" s="5"/>
      <c r="L908" s="5"/>
      <c r="M908" s="5"/>
      <c r="N908" s="5"/>
      <c r="O908" s="5"/>
      <c r="P908" s="5"/>
      <c r="Q908" s="5"/>
      <c r="R908" s="5"/>
      <c r="S908" s="5"/>
      <c r="T908" s="5"/>
      <c r="U908" s="5"/>
      <c r="V908" s="5"/>
      <c r="W908" s="5"/>
    </row>
    <row r="909" spans="1:23" ht="16" x14ac:dyDescent="0.2">
      <c r="A909" s="5"/>
      <c r="B909" s="6"/>
      <c r="C909" s="6"/>
      <c r="D909" s="6"/>
      <c r="E909" s="6"/>
      <c r="F909" s="5"/>
      <c r="G909" s="5"/>
      <c r="H909" s="5"/>
      <c r="I909" s="5"/>
      <c r="J909" s="5"/>
      <c r="K909" s="5"/>
      <c r="L909" s="5"/>
      <c r="M909" s="5"/>
      <c r="N909" s="5"/>
      <c r="O909" s="5"/>
      <c r="P909" s="5"/>
      <c r="Q909" s="5"/>
      <c r="R909" s="5"/>
      <c r="S909" s="5"/>
      <c r="T909" s="5"/>
      <c r="U909" s="5"/>
      <c r="V909" s="5"/>
      <c r="W909" s="5"/>
    </row>
    <row r="910" spans="1:23" ht="16" x14ac:dyDescent="0.2">
      <c r="A910" s="5"/>
      <c r="B910" s="6"/>
      <c r="C910" s="6"/>
      <c r="D910" s="6"/>
      <c r="E910" s="6"/>
      <c r="F910" s="5"/>
      <c r="G910" s="5"/>
      <c r="H910" s="5"/>
      <c r="I910" s="5"/>
      <c r="J910" s="5"/>
      <c r="K910" s="5"/>
      <c r="L910" s="5"/>
      <c r="M910" s="5"/>
      <c r="N910" s="5"/>
      <c r="O910" s="5"/>
      <c r="P910" s="5"/>
      <c r="Q910" s="5"/>
      <c r="R910" s="5"/>
      <c r="S910" s="5"/>
      <c r="T910" s="5"/>
      <c r="U910" s="5"/>
      <c r="V910" s="5"/>
      <c r="W910" s="5"/>
    </row>
    <row r="911" spans="1:23" ht="16" x14ac:dyDescent="0.2">
      <c r="A911" s="5"/>
      <c r="B911" s="6"/>
      <c r="C911" s="6"/>
      <c r="D911" s="6"/>
      <c r="E911" s="6"/>
      <c r="F911" s="5"/>
      <c r="G911" s="5"/>
      <c r="H911" s="5"/>
      <c r="I911" s="5"/>
      <c r="J911" s="5"/>
      <c r="K911" s="5"/>
      <c r="L911" s="5"/>
      <c r="M911" s="5"/>
      <c r="N911" s="5"/>
      <c r="O911" s="5"/>
      <c r="P911" s="5"/>
      <c r="Q911" s="5"/>
      <c r="R911" s="5"/>
      <c r="S911" s="5"/>
      <c r="T911" s="5"/>
      <c r="U911" s="5"/>
      <c r="V911" s="5"/>
      <c r="W911" s="5"/>
    </row>
    <row r="912" spans="1:23" ht="16" x14ac:dyDescent="0.2">
      <c r="A912" s="5"/>
      <c r="B912" s="6"/>
      <c r="C912" s="6"/>
      <c r="D912" s="6"/>
      <c r="E912" s="6"/>
      <c r="F912" s="5"/>
      <c r="G912" s="5"/>
      <c r="H912" s="5"/>
      <c r="I912" s="5"/>
      <c r="J912" s="5"/>
      <c r="K912" s="5"/>
      <c r="L912" s="5"/>
      <c r="M912" s="5"/>
      <c r="N912" s="5"/>
      <c r="O912" s="5"/>
      <c r="P912" s="5"/>
      <c r="Q912" s="5"/>
      <c r="R912" s="5"/>
      <c r="S912" s="5"/>
      <c r="T912" s="5"/>
      <c r="U912" s="5"/>
      <c r="V912" s="5"/>
      <c r="W912" s="5"/>
    </row>
    <row r="913" spans="1:23" ht="16" x14ac:dyDescent="0.2">
      <c r="A913" s="5"/>
      <c r="B913" s="6"/>
      <c r="C913" s="6"/>
      <c r="D913" s="6"/>
      <c r="E913" s="6"/>
      <c r="F913" s="5"/>
      <c r="G913" s="5"/>
      <c r="H913" s="5"/>
      <c r="I913" s="5"/>
      <c r="J913" s="5"/>
      <c r="K913" s="5"/>
      <c r="L913" s="5"/>
      <c r="M913" s="5"/>
      <c r="N913" s="5"/>
      <c r="O913" s="5"/>
      <c r="P913" s="5"/>
      <c r="Q913" s="5"/>
      <c r="R913" s="5"/>
      <c r="S913" s="5"/>
      <c r="T913" s="5"/>
      <c r="U913" s="5"/>
      <c r="V913" s="5"/>
      <c r="W913" s="5"/>
    </row>
    <row r="914" spans="1:23" ht="16" x14ac:dyDescent="0.2">
      <c r="A914" s="5"/>
      <c r="B914" s="6"/>
      <c r="C914" s="6"/>
      <c r="D914" s="6"/>
      <c r="E914" s="6"/>
      <c r="F914" s="5"/>
      <c r="G914" s="5"/>
      <c r="H914" s="5"/>
      <c r="I914" s="5"/>
      <c r="J914" s="5"/>
      <c r="K914" s="5"/>
      <c r="L914" s="5"/>
      <c r="M914" s="5"/>
      <c r="N914" s="5"/>
      <c r="O914" s="5"/>
      <c r="P914" s="5"/>
      <c r="Q914" s="5"/>
      <c r="R914" s="5"/>
      <c r="S914" s="5"/>
      <c r="T914" s="5"/>
      <c r="U914" s="5"/>
      <c r="V914" s="5"/>
      <c r="W914" s="5"/>
    </row>
    <row r="915" spans="1:23" ht="16" x14ac:dyDescent="0.2">
      <c r="A915" s="5"/>
      <c r="B915" s="6"/>
      <c r="C915" s="6"/>
      <c r="D915" s="6"/>
      <c r="E915" s="6"/>
      <c r="F915" s="5"/>
      <c r="G915" s="5"/>
      <c r="H915" s="5"/>
      <c r="I915" s="5"/>
      <c r="J915" s="5"/>
      <c r="K915" s="5"/>
      <c r="L915" s="5"/>
      <c r="M915" s="5"/>
      <c r="N915" s="5"/>
      <c r="O915" s="5"/>
      <c r="P915" s="5"/>
      <c r="Q915" s="5"/>
      <c r="R915" s="5"/>
      <c r="S915" s="5"/>
      <c r="T915" s="5"/>
      <c r="U915" s="5"/>
      <c r="V915" s="5"/>
      <c r="W915" s="5"/>
    </row>
    <row r="916" spans="1:23" ht="16" x14ac:dyDescent="0.2">
      <c r="A916" s="5"/>
      <c r="B916" s="6"/>
      <c r="C916" s="6"/>
      <c r="D916" s="6"/>
      <c r="E916" s="6"/>
      <c r="F916" s="5"/>
      <c r="G916" s="5"/>
      <c r="H916" s="5"/>
      <c r="I916" s="5"/>
      <c r="J916" s="5"/>
      <c r="K916" s="5"/>
      <c r="L916" s="5"/>
      <c r="M916" s="5"/>
      <c r="N916" s="5"/>
      <c r="O916" s="5"/>
      <c r="P916" s="5"/>
      <c r="Q916" s="5"/>
      <c r="R916" s="5"/>
      <c r="S916" s="5"/>
      <c r="T916" s="5"/>
      <c r="U916" s="5"/>
      <c r="V916" s="5"/>
      <c r="W916" s="5"/>
    </row>
    <row r="917" spans="1:23" ht="16" x14ac:dyDescent="0.2">
      <c r="A917" s="5"/>
      <c r="B917" s="6"/>
      <c r="C917" s="6"/>
      <c r="D917" s="6"/>
      <c r="E917" s="6"/>
      <c r="F917" s="5"/>
      <c r="G917" s="5"/>
      <c r="H917" s="5"/>
      <c r="I917" s="5"/>
      <c r="J917" s="5"/>
      <c r="K917" s="5"/>
      <c r="L917" s="5"/>
      <c r="M917" s="5"/>
      <c r="N917" s="5"/>
      <c r="O917" s="5"/>
      <c r="P917" s="5"/>
      <c r="Q917" s="5"/>
      <c r="R917" s="5"/>
      <c r="S917" s="5"/>
      <c r="T917" s="5"/>
      <c r="U917" s="5"/>
      <c r="V917" s="5"/>
      <c r="W917" s="5"/>
    </row>
    <row r="918" spans="1:23" ht="16" x14ac:dyDescent="0.2">
      <c r="A918" s="5"/>
      <c r="B918" s="6"/>
      <c r="C918" s="6"/>
      <c r="D918" s="6"/>
      <c r="E918" s="6"/>
      <c r="F918" s="5"/>
      <c r="G918" s="5"/>
      <c r="H918" s="5"/>
      <c r="I918" s="5"/>
      <c r="J918" s="5"/>
      <c r="K918" s="5"/>
      <c r="L918" s="5"/>
      <c r="M918" s="5"/>
      <c r="N918" s="5"/>
      <c r="O918" s="5"/>
      <c r="P918" s="5"/>
      <c r="Q918" s="5"/>
      <c r="R918" s="5"/>
      <c r="S918" s="5"/>
      <c r="T918" s="5"/>
      <c r="U918" s="5"/>
      <c r="V918" s="5"/>
      <c r="W918" s="5"/>
    </row>
    <row r="919" spans="1:23" ht="16" x14ac:dyDescent="0.2">
      <c r="A919" s="5"/>
      <c r="B919" s="6"/>
      <c r="C919" s="6"/>
      <c r="D919" s="6"/>
      <c r="E919" s="6"/>
      <c r="F919" s="5"/>
      <c r="G919" s="5"/>
      <c r="H919" s="5"/>
      <c r="I919" s="5"/>
      <c r="J919" s="5"/>
      <c r="K919" s="5"/>
      <c r="L919" s="5"/>
      <c r="M919" s="5"/>
      <c r="N919" s="5"/>
      <c r="O919" s="5"/>
      <c r="P919" s="5"/>
      <c r="Q919" s="5"/>
      <c r="R919" s="5"/>
      <c r="S919" s="5"/>
      <c r="T919" s="5"/>
      <c r="U919" s="5"/>
      <c r="V919" s="5"/>
      <c r="W919" s="5"/>
    </row>
    <row r="920" spans="1:23" ht="16" x14ac:dyDescent="0.2">
      <c r="A920" s="5"/>
      <c r="B920" s="6"/>
      <c r="C920" s="6"/>
      <c r="D920" s="6"/>
      <c r="E920" s="6"/>
      <c r="F920" s="5"/>
      <c r="G920" s="5"/>
      <c r="H920" s="5"/>
      <c r="I920" s="5"/>
      <c r="J920" s="5"/>
      <c r="K920" s="5"/>
      <c r="L920" s="5"/>
      <c r="M920" s="5"/>
      <c r="N920" s="5"/>
      <c r="O920" s="5"/>
      <c r="P920" s="5"/>
      <c r="Q920" s="5"/>
      <c r="R920" s="5"/>
      <c r="S920" s="5"/>
      <c r="T920" s="5"/>
      <c r="U920" s="5"/>
      <c r="V920" s="5"/>
      <c r="W920" s="5"/>
    </row>
    <row r="921" spans="1:23" ht="16" x14ac:dyDescent="0.2">
      <c r="A921" s="5"/>
      <c r="B921" s="6"/>
      <c r="C921" s="6"/>
      <c r="D921" s="6"/>
      <c r="E921" s="6"/>
      <c r="F921" s="5"/>
      <c r="G921" s="5"/>
      <c r="H921" s="5"/>
      <c r="I921" s="5"/>
      <c r="J921" s="5"/>
      <c r="K921" s="5"/>
      <c r="L921" s="5"/>
      <c r="M921" s="5"/>
      <c r="N921" s="5"/>
      <c r="O921" s="5"/>
      <c r="P921" s="5"/>
      <c r="Q921" s="5"/>
      <c r="R921" s="5"/>
      <c r="S921" s="5"/>
      <c r="T921" s="5"/>
      <c r="U921" s="5"/>
      <c r="V921" s="5"/>
      <c r="W921" s="5"/>
    </row>
    <row r="922" spans="1:23" ht="16" x14ac:dyDescent="0.2">
      <c r="A922" s="5"/>
      <c r="B922" s="6"/>
      <c r="C922" s="6"/>
      <c r="D922" s="6"/>
      <c r="E922" s="6"/>
      <c r="F922" s="5"/>
      <c r="G922" s="5"/>
      <c r="H922" s="5"/>
      <c r="I922" s="5"/>
      <c r="J922" s="5"/>
      <c r="K922" s="5"/>
      <c r="L922" s="5"/>
      <c r="M922" s="5"/>
      <c r="N922" s="5"/>
      <c r="O922" s="5"/>
      <c r="P922" s="5"/>
      <c r="Q922" s="5"/>
      <c r="R922" s="5"/>
      <c r="S922" s="5"/>
      <c r="T922" s="5"/>
      <c r="U922" s="5"/>
      <c r="V922" s="5"/>
      <c r="W922" s="5"/>
    </row>
    <row r="923" spans="1:23" ht="16" x14ac:dyDescent="0.2">
      <c r="A923" s="5"/>
      <c r="B923" s="6"/>
      <c r="C923" s="6"/>
      <c r="D923" s="6"/>
      <c r="E923" s="6"/>
      <c r="F923" s="5"/>
      <c r="G923" s="5"/>
      <c r="H923" s="5"/>
      <c r="I923" s="5"/>
      <c r="J923" s="5"/>
      <c r="K923" s="5"/>
      <c r="L923" s="5"/>
      <c r="M923" s="5"/>
      <c r="N923" s="5"/>
      <c r="O923" s="5"/>
      <c r="P923" s="5"/>
      <c r="Q923" s="5"/>
      <c r="R923" s="5"/>
      <c r="S923" s="5"/>
      <c r="T923" s="5"/>
      <c r="U923" s="5"/>
      <c r="V923" s="5"/>
      <c r="W923" s="5"/>
    </row>
    <row r="924" spans="1:23" ht="16" x14ac:dyDescent="0.2">
      <c r="A924" s="5"/>
      <c r="B924" s="6"/>
      <c r="C924" s="6"/>
      <c r="D924" s="6"/>
      <c r="E924" s="6"/>
      <c r="F924" s="5"/>
      <c r="G924" s="5"/>
      <c r="H924" s="5"/>
      <c r="I924" s="5"/>
      <c r="J924" s="5"/>
      <c r="K924" s="5"/>
      <c r="L924" s="5"/>
      <c r="M924" s="5"/>
      <c r="N924" s="5"/>
      <c r="O924" s="5"/>
      <c r="P924" s="5"/>
      <c r="Q924" s="5"/>
      <c r="R924" s="5"/>
      <c r="S924" s="5"/>
      <c r="T924" s="5"/>
      <c r="U924" s="5"/>
      <c r="V924" s="5"/>
      <c r="W924" s="5"/>
    </row>
    <row r="925" spans="1:23" ht="16" x14ac:dyDescent="0.2">
      <c r="A925" s="5"/>
      <c r="B925" s="6"/>
      <c r="C925" s="6"/>
      <c r="D925" s="6"/>
      <c r="E925" s="6"/>
      <c r="F925" s="5"/>
      <c r="G925" s="5"/>
      <c r="H925" s="5"/>
      <c r="I925" s="5"/>
      <c r="J925" s="5"/>
      <c r="K925" s="5"/>
      <c r="L925" s="5"/>
      <c r="M925" s="5"/>
      <c r="N925" s="5"/>
      <c r="O925" s="5"/>
      <c r="P925" s="5"/>
      <c r="Q925" s="5"/>
      <c r="R925" s="5"/>
      <c r="S925" s="5"/>
      <c r="T925" s="5"/>
      <c r="U925" s="5"/>
      <c r="V925" s="5"/>
      <c r="W925" s="5"/>
    </row>
    <row r="926" spans="1:23" ht="16" x14ac:dyDescent="0.2">
      <c r="A926" s="5"/>
      <c r="B926" s="6"/>
      <c r="C926" s="6"/>
      <c r="D926" s="6"/>
      <c r="E926" s="6"/>
      <c r="F926" s="5"/>
      <c r="G926" s="5"/>
      <c r="H926" s="5"/>
      <c r="I926" s="5"/>
      <c r="J926" s="5"/>
      <c r="K926" s="5"/>
      <c r="L926" s="5"/>
      <c r="M926" s="5"/>
      <c r="N926" s="5"/>
      <c r="O926" s="5"/>
      <c r="P926" s="5"/>
      <c r="Q926" s="5"/>
      <c r="R926" s="5"/>
      <c r="S926" s="5"/>
      <c r="T926" s="5"/>
      <c r="U926" s="5"/>
      <c r="V926" s="5"/>
      <c r="W926" s="5"/>
    </row>
    <row r="927" spans="1:23" ht="16" x14ac:dyDescent="0.2">
      <c r="A927" s="5"/>
      <c r="B927" s="6"/>
      <c r="C927" s="6"/>
      <c r="D927" s="6"/>
      <c r="E927" s="6"/>
      <c r="F927" s="5"/>
      <c r="G927" s="5"/>
      <c r="H927" s="5"/>
      <c r="I927" s="5"/>
      <c r="J927" s="5"/>
      <c r="K927" s="5"/>
      <c r="L927" s="5"/>
      <c r="M927" s="5"/>
      <c r="N927" s="5"/>
      <c r="O927" s="5"/>
      <c r="P927" s="5"/>
      <c r="Q927" s="5"/>
      <c r="R927" s="5"/>
      <c r="S927" s="5"/>
      <c r="T927" s="5"/>
      <c r="U927" s="5"/>
      <c r="V927" s="5"/>
      <c r="W927" s="5"/>
    </row>
    <row r="928" spans="1:23" ht="16" x14ac:dyDescent="0.2">
      <c r="A928" s="5"/>
      <c r="B928" s="6"/>
      <c r="C928" s="6"/>
      <c r="D928" s="6"/>
      <c r="E928" s="6"/>
      <c r="F928" s="5"/>
      <c r="G928" s="5"/>
      <c r="H928" s="5"/>
      <c r="I928" s="5"/>
      <c r="J928" s="5"/>
      <c r="K928" s="5"/>
      <c r="L928" s="5"/>
      <c r="M928" s="5"/>
      <c r="N928" s="5"/>
      <c r="O928" s="5"/>
      <c r="P928" s="5"/>
      <c r="Q928" s="5"/>
      <c r="R928" s="5"/>
      <c r="S928" s="5"/>
      <c r="T928" s="5"/>
      <c r="U928" s="5"/>
      <c r="V928" s="5"/>
      <c r="W928" s="5"/>
    </row>
    <row r="929" spans="1:23" ht="16" x14ac:dyDescent="0.2">
      <c r="A929" s="5"/>
      <c r="B929" s="6"/>
      <c r="C929" s="6"/>
      <c r="D929" s="6"/>
      <c r="E929" s="6"/>
      <c r="F929" s="5"/>
      <c r="G929" s="5"/>
      <c r="H929" s="5"/>
      <c r="I929" s="5"/>
      <c r="J929" s="5"/>
      <c r="K929" s="5"/>
      <c r="L929" s="5"/>
      <c r="M929" s="5"/>
      <c r="N929" s="5"/>
      <c r="O929" s="5"/>
      <c r="P929" s="5"/>
      <c r="Q929" s="5"/>
      <c r="R929" s="5"/>
      <c r="S929" s="5"/>
      <c r="T929" s="5"/>
      <c r="U929" s="5"/>
      <c r="V929" s="5"/>
      <c r="W929" s="5"/>
    </row>
    <row r="930" spans="1:23" ht="16" x14ac:dyDescent="0.2">
      <c r="A930" s="5"/>
      <c r="B930" s="6"/>
      <c r="C930" s="6"/>
      <c r="D930" s="6"/>
      <c r="E930" s="6"/>
      <c r="F930" s="5"/>
      <c r="G930" s="5"/>
      <c r="H930" s="5"/>
      <c r="I930" s="5"/>
      <c r="J930" s="5"/>
      <c r="K930" s="5"/>
      <c r="L930" s="5"/>
      <c r="M930" s="5"/>
      <c r="N930" s="5"/>
      <c r="O930" s="5"/>
      <c r="P930" s="5"/>
      <c r="Q930" s="5"/>
      <c r="R930" s="5"/>
      <c r="S930" s="5"/>
      <c r="T930" s="5"/>
      <c r="U930" s="5"/>
      <c r="V930" s="5"/>
      <c r="W930" s="5"/>
    </row>
    <row r="931" spans="1:23" ht="16" x14ac:dyDescent="0.2">
      <c r="A931" s="5"/>
      <c r="B931" s="6"/>
      <c r="C931" s="6"/>
      <c r="D931" s="6"/>
      <c r="E931" s="6"/>
      <c r="F931" s="5"/>
      <c r="G931" s="5"/>
      <c r="H931" s="5"/>
      <c r="I931" s="5"/>
      <c r="J931" s="5"/>
      <c r="K931" s="5"/>
      <c r="L931" s="5"/>
      <c r="M931" s="5"/>
      <c r="N931" s="5"/>
      <c r="O931" s="5"/>
      <c r="P931" s="5"/>
      <c r="Q931" s="5"/>
      <c r="R931" s="5"/>
      <c r="S931" s="5"/>
      <c r="T931" s="5"/>
      <c r="U931" s="5"/>
      <c r="V931" s="5"/>
      <c r="W931" s="5"/>
    </row>
    <row r="932" spans="1:23" ht="16" x14ac:dyDescent="0.2">
      <c r="A932" s="5"/>
      <c r="B932" s="6"/>
      <c r="C932" s="6"/>
      <c r="D932" s="6"/>
      <c r="E932" s="6"/>
      <c r="F932" s="5"/>
      <c r="G932" s="5"/>
      <c r="H932" s="5"/>
      <c r="I932" s="5"/>
      <c r="J932" s="5"/>
      <c r="K932" s="5"/>
      <c r="L932" s="5"/>
      <c r="M932" s="5"/>
      <c r="N932" s="5"/>
      <c r="O932" s="5"/>
      <c r="P932" s="5"/>
      <c r="Q932" s="5"/>
      <c r="R932" s="5"/>
      <c r="S932" s="5"/>
      <c r="T932" s="5"/>
      <c r="U932" s="5"/>
      <c r="V932" s="5"/>
      <c r="W932" s="5"/>
    </row>
    <row r="933" spans="1:23" ht="16" x14ac:dyDescent="0.2">
      <c r="A933" s="5"/>
      <c r="B933" s="6"/>
      <c r="C933" s="6"/>
      <c r="D933" s="6"/>
      <c r="E933" s="6"/>
      <c r="F933" s="5"/>
      <c r="G933" s="5"/>
      <c r="H933" s="5"/>
      <c r="I933" s="5"/>
      <c r="J933" s="5"/>
      <c r="K933" s="5"/>
      <c r="L933" s="5"/>
      <c r="M933" s="5"/>
      <c r="N933" s="5"/>
      <c r="O933" s="5"/>
      <c r="P933" s="5"/>
      <c r="Q933" s="5"/>
      <c r="R933" s="5"/>
      <c r="S933" s="5"/>
      <c r="T933" s="5"/>
      <c r="U933" s="5"/>
      <c r="V933" s="5"/>
      <c r="W933" s="5"/>
    </row>
    <row r="934" spans="1:23" ht="16" x14ac:dyDescent="0.2">
      <c r="A934" s="5"/>
      <c r="B934" s="6"/>
      <c r="C934" s="6"/>
      <c r="D934" s="6"/>
      <c r="E934" s="6"/>
      <c r="F934" s="5"/>
      <c r="G934" s="5"/>
      <c r="H934" s="5"/>
      <c r="I934" s="5"/>
      <c r="J934" s="5"/>
      <c r="K934" s="5"/>
      <c r="L934" s="5"/>
      <c r="M934" s="5"/>
      <c r="N934" s="5"/>
      <c r="O934" s="5"/>
      <c r="P934" s="5"/>
      <c r="Q934" s="5"/>
      <c r="R934" s="5"/>
      <c r="S934" s="5"/>
      <c r="T934" s="5"/>
      <c r="U934" s="5"/>
      <c r="V934" s="5"/>
      <c r="W934" s="5"/>
    </row>
    <row r="935" spans="1:23" ht="16" x14ac:dyDescent="0.2">
      <c r="A935" s="5"/>
      <c r="B935" s="6"/>
      <c r="C935" s="6"/>
      <c r="D935" s="6"/>
      <c r="E935" s="6"/>
      <c r="F935" s="5"/>
      <c r="G935" s="5"/>
      <c r="H935" s="5"/>
      <c r="I935" s="5"/>
      <c r="J935" s="5"/>
      <c r="K935" s="5"/>
      <c r="L935" s="5"/>
      <c r="M935" s="5"/>
      <c r="N935" s="5"/>
      <c r="O935" s="5"/>
      <c r="P935" s="5"/>
      <c r="Q935" s="5"/>
      <c r="R935" s="5"/>
      <c r="S935" s="5"/>
      <c r="T935" s="5"/>
      <c r="U935" s="5"/>
      <c r="V935" s="5"/>
      <c r="W935" s="5"/>
    </row>
    <row r="936" spans="1:23" ht="16" x14ac:dyDescent="0.2">
      <c r="A936" s="5"/>
      <c r="B936" s="6"/>
      <c r="C936" s="6"/>
      <c r="D936" s="6"/>
      <c r="E936" s="6"/>
      <c r="F936" s="5"/>
      <c r="G936" s="5"/>
      <c r="H936" s="5"/>
      <c r="I936" s="5"/>
      <c r="J936" s="5"/>
      <c r="K936" s="5"/>
      <c r="L936" s="5"/>
      <c r="M936" s="5"/>
      <c r="N936" s="5"/>
      <c r="O936" s="5"/>
      <c r="P936" s="5"/>
      <c r="Q936" s="5"/>
      <c r="R936" s="5"/>
      <c r="S936" s="5"/>
      <c r="T936" s="5"/>
      <c r="U936" s="5"/>
      <c r="V936" s="5"/>
      <c r="W936" s="5"/>
    </row>
    <row r="937" spans="1:23" ht="16" x14ac:dyDescent="0.2">
      <c r="A937" s="5"/>
      <c r="B937" s="6"/>
      <c r="C937" s="6"/>
      <c r="D937" s="6"/>
      <c r="E937" s="6"/>
      <c r="F937" s="5"/>
      <c r="G937" s="5"/>
      <c r="H937" s="5"/>
      <c r="I937" s="5"/>
      <c r="J937" s="5"/>
      <c r="K937" s="5"/>
      <c r="L937" s="5"/>
      <c r="M937" s="5"/>
      <c r="N937" s="5"/>
      <c r="O937" s="5"/>
      <c r="P937" s="5"/>
      <c r="Q937" s="5"/>
      <c r="R937" s="5"/>
      <c r="S937" s="5"/>
      <c r="T937" s="5"/>
      <c r="U937" s="5"/>
      <c r="V937" s="5"/>
      <c r="W937" s="5"/>
    </row>
    <row r="938" spans="1:23" ht="16" x14ac:dyDescent="0.2">
      <c r="A938" s="5"/>
      <c r="B938" s="6"/>
      <c r="C938" s="6"/>
      <c r="D938" s="6"/>
      <c r="E938" s="6"/>
      <c r="F938" s="5"/>
      <c r="G938" s="5"/>
      <c r="H938" s="5"/>
      <c r="I938" s="5"/>
      <c r="J938" s="5"/>
      <c r="K938" s="5"/>
      <c r="L938" s="5"/>
      <c r="M938" s="5"/>
      <c r="N938" s="5"/>
      <c r="O938" s="5"/>
      <c r="P938" s="5"/>
      <c r="Q938" s="5"/>
      <c r="R938" s="5"/>
      <c r="S938" s="5"/>
      <c r="T938" s="5"/>
      <c r="U938" s="5"/>
      <c r="V938" s="5"/>
      <c r="W938" s="5"/>
    </row>
    <row r="939" spans="1:23" ht="16" x14ac:dyDescent="0.2">
      <c r="A939" s="5"/>
      <c r="B939" s="6"/>
      <c r="C939" s="6"/>
      <c r="D939" s="6"/>
      <c r="E939" s="6"/>
      <c r="F939" s="5"/>
      <c r="G939" s="5"/>
      <c r="H939" s="5"/>
      <c r="I939" s="5"/>
      <c r="J939" s="5"/>
      <c r="K939" s="5"/>
      <c r="L939" s="5"/>
      <c r="M939" s="5"/>
      <c r="N939" s="5"/>
      <c r="O939" s="5"/>
      <c r="P939" s="5"/>
      <c r="Q939" s="5"/>
      <c r="R939" s="5"/>
      <c r="S939" s="5"/>
      <c r="T939" s="5"/>
      <c r="U939" s="5"/>
      <c r="V939" s="5"/>
      <c r="W939" s="5"/>
    </row>
    <row r="940" spans="1:23" ht="16" x14ac:dyDescent="0.2">
      <c r="A940" s="5"/>
      <c r="B940" s="6"/>
      <c r="C940" s="6"/>
      <c r="D940" s="6"/>
      <c r="E940" s="6"/>
      <c r="F940" s="5"/>
      <c r="G940" s="5"/>
      <c r="H940" s="5"/>
      <c r="I940" s="5"/>
      <c r="J940" s="5"/>
      <c r="K940" s="5"/>
      <c r="L940" s="5"/>
      <c r="M940" s="5"/>
      <c r="N940" s="5"/>
      <c r="O940" s="5"/>
      <c r="P940" s="5"/>
      <c r="Q940" s="5"/>
      <c r="R940" s="5"/>
      <c r="S940" s="5"/>
      <c r="T940" s="5"/>
      <c r="U940" s="5"/>
      <c r="V940" s="5"/>
      <c r="W940" s="5"/>
    </row>
    <row r="941" spans="1:23" ht="16" x14ac:dyDescent="0.2">
      <c r="A941" s="5"/>
      <c r="B941" s="6"/>
      <c r="C941" s="6"/>
      <c r="D941" s="6"/>
      <c r="E941" s="6"/>
      <c r="F941" s="5"/>
      <c r="G941" s="5"/>
      <c r="H941" s="5"/>
      <c r="I941" s="5"/>
      <c r="J941" s="5"/>
      <c r="K941" s="5"/>
      <c r="L941" s="5"/>
      <c r="M941" s="5"/>
      <c r="N941" s="5"/>
      <c r="O941" s="5"/>
      <c r="P941" s="5"/>
      <c r="Q941" s="5"/>
      <c r="R941" s="5"/>
      <c r="S941" s="5"/>
      <c r="T941" s="5"/>
      <c r="U941" s="5"/>
      <c r="V941" s="5"/>
      <c r="W941" s="5"/>
    </row>
    <row r="942" spans="1:23" ht="16" x14ac:dyDescent="0.2">
      <c r="A942" s="5"/>
      <c r="B942" s="6"/>
      <c r="C942" s="6"/>
      <c r="D942" s="6"/>
      <c r="E942" s="6"/>
      <c r="F942" s="5"/>
      <c r="G942" s="5"/>
      <c r="H942" s="5"/>
      <c r="I942" s="5"/>
      <c r="J942" s="5"/>
      <c r="K942" s="5"/>
      <c r="L942" s="5"/>
      <c r="M942" s="5"/>
      <c r="N942" s="5"/>
      <c r="O942" s="5"/>
      <c r="P942" s="5"/>
      <c r="Q942" s="5"/>
      <c r="R942" s="5"/>
      <c r="S942" s="5"/>
      <c r="T942" s="5"/>
      <c r="U942" s="5"/>
      <c r="V942" s="5"/>
      <c r="W942" s="5"/>
    </row>
    <row r="943" spans="1:23" ht="16" x14ac:dyDescent="0.2">
      <c r="A943" s="5"/>
      <c r="B943" s="6"/>
      <c r="C943" s="6"/>
      <c r="D943" s="6"/>
      <c r="E943" s="6"/>
      <c r="F943" s="5"/>
      <c r="G943" s="5"/>
      <c r="H943" s="5"/>
      <c r="I943" s="5"/>
      <c r="J943" s="5"/>
      <c r="K943" s="5"/>
      <c r="L943" s="5"/>
      <c r="M943" s="5"/>
      <c r="N943" s="5"/>
      <c r="O943" s="5"/>
      <c r="P943" s="5"/>
      <c r="Q943" s="5"/>
      <c r="R943" s="5"/>
      <c r="S943" s="5"/>
      <c r="T943" s="5"/>
      <c r="U943" s="5"/>
      <c r="V943" s="5"/>
      <c r="W943" s="5"/>
    </row>
    <row r="944" spans="1:23" ht="16" x14ac:dyDescent="0.2">
      <c r="A944" s="5"/>
      <c r="B944" s="6"/>
      <c r="C944" s="6"/>
      <c r="D944" s="6"/>
      <c r="E944" s="6"/>
      <c r="F944" s="5"/>
      <c r="G944" s="5"/>
      <c r="H944" s="5"/>
      <c r="I944" s="5"/>
      <c r="J944" s="5"/>
      <c r="K944" s="5"/>
      <c r="L944" s="5"/>
      <c r="M944" s="5"/>
      <c r="N944" s="5"/>
      <c r="O944" s="5"/>
      <c r="P944" s="5"/>
      <c r="Q944" s="5"/>
      <c r="R944" s="5"/>
      <c r="S944" s="5"/>
      <c r="T944" s="5"/>
      <c r="U944" s="5"/>
      <c r="V944" s="5"/>
      <c r="W944" s="5"/>
    </row>
    <row r="945" spans="1:23" ht="16" x14ac:dyDescent="0.2">
      <c r="A945" s="5"/>
      <c r="B945" s="6"/>
      <c r="C945" s="6"/>
      <c r="D945" s="6"/>
      <c r="E945" s="6"/>
      <c r="F945" s="5"/>
      <c r="G945" s="5"/>
      <c r="H945" s="5"/>
      <c r="I945" s="5"/>
      <c r="J945" s="5"/>
      <c r="K945" s="5"/>
      <c r="L945" s="5"/>
      <c r="M945" s="5"/>
      <c r="N945" s="5"/>
      <c r="O945" s="5"/>
      <c r="P945" s="5"/>
      <c r="Q945" s="5"/>
      <c r="R945" s="5"/>
      <c r="S945" s="5"/>
      <c r="T945" s="5"/>
      <c r="U945" s="5"/>
      <c r="V945" s="5"/>
      <c r="W945" s="5"/>
    </row>
    <row r="946" spans="1:23" ht="16" x14ac:dyDescent="0.2">
      <c r="A946" s="5"/>
      <c r="B946" s="6"/>
      <c r="C946" s="6"/>
      <c r="D946" s="6"/>
      <c r="E946" s="6"/>
      <c r="F946" s="5"/>
      <c r="G946" s="5"/>
      <c r="H946" s="5"/>
      <c r="I946" s="5"/>
      <c r="J946" s="5"/>
      <c r="K946" s="5"/>
      <c r="L946" s="5"/>
      <c r="M946" s="5"/>
      <c r="N946" s="5"/>
      <c r="O946" s="5"/>
      <c r="P946" s="5"/>
      <c r="Q946" s="5"/>
      <c r="R946" s="5"/>
      <c r="S946" s="5"/>
      <c r="T946" s="5"/>
      <c r="U946" s="5"/>
      <c r="V946" s="5"/>
      <c r="W946" s="5"/>
    </row>
    <row r="947" spans="1:23" ht="16" x14ac:dyDescent="0.2">
      <c r="A947" s="5"/>
      <c r="B947" s="6"/>
      <c r="C947" s="6"/>
      <c r="D947" s="6"/>
      <c r="E947" s="6"/>
      <c r="F947" s="5"/>
      <c r="G947" s="5"/>
      <c r="H947" s="5"/>
      <c r="I947" s="5"/>
      <c r="J947" s="5"/>
      <c r="K947" s="5"/>
      <c r="L947" s="5"/>
      <c r="M947" s="5"/>
      <c r="N947" s="5"/>
      <c r="O947" s="5"/>
      <c r="P947" s="5"/>
      <c r="Q947" s="5"/>
      <c r="R947" s="5"/>
      <c r="S947" s="5"/>
      <c r="T947" s="5"/>
      <c r="U947" s="5"/>
      <c r="V947" s="5"/>
      <c r="W947" s="5"/>
    </row>
    <row r="948" spans="1:23" ht="16" x14ac:dyDescent="0.2">
      <c r="A948" s="5"/>
      <c r="B948" s="6"/>
      <c r="C948" s="6"/>
      <c r="D948" s="6"/>
      <c r="E948" s="6"/>
      <c r="F948" s="5"/>
      <c r="G948" s="5"/>
      <c r="H948" s="5"/>
      <c r="I948" s="5"/>
      <c r="J948" s="5"/>
      <c r="K948" s="5"/>
      <c r="L948" s="5"/>
      <c r="M948" s="5"/>
      <c r="N948" s="5"/>
      <c r="O948" s="5"/>
      <c r="P948" s="5"/>
      <c r="Q948" s="5"/>
      <c r="R948" s="5"/>
      <c r="S948" s="5"/>
      <c r="T948" s="5"/>
      <c r="U948" s="5"/>
      <c r="V948" s="5"/>
      <c r="W948" s="5"/>
    </row>
    <row r="949" spans="1:23" ht="16" x14ac:dyDescent="0.2">
      <c r="A949" s="5"/>
      <c r="B949" s="6"/>
      <c r="C949" s="6"/>
      <c r="D949" s="6"/>
      <c r="E949" s="6"/>
      <c r="F949" s="5"/>
      <c r="G949" s="5"/>
      <c r="H949" s="5"/>
      <c r="I949" s="5"/>
      <c r="J949" s="5"/>
      <c r="K949" s="5"/>
      <c r="L949" s="5"/>
      <c r="M949" s="5"/>
      <c r="N949" s="5"/>
      <c r="O949" s="5"/>
      <c r="P949" s="5"/>
      <c r="Q949" s="5"/>
      <c r="R949" s="5"/>
      <c r="S949" s="5"/>
      <c r="T949" s="5"/>
      <c r="U949" s="5"/>
      <c r="V949" s="5"/>
      <c r="W949" s="5"/>
    </row>
    <row r="950" spans="1:23" ht="16" x14ac:dyDescent="0.2">
      <c r="A950" s="5"/>
      <c r="B950" s="6"/>
      <c r="C950" s="6"/>
      <c r="D950" s="6"/>
      <c r="E950" s="6"/>
      <c r="F950" s="5"/>
      <c r="G950" s="5"/>
      <c r="H950" s="5"/>
      <c r="I950" s="5"/>
      <c r="J950" s="5"/>
      <c r="K950" s="5"/>
      <c r="L950" s="5"/>
      <c r="M950" s="5"/>
      <c r="N950" s="5"/>
      <c r="O950" s="5"/>
      <c r="P950" s="5"/>
      <c r="Q950" s="5"/>
      <c r="R950" s="5"/>
      <c r="S950" s="5"/>
      <c r="T950" s="5"/>
      <c r="U950" s="5"/>
      <c r="V950" s="5"/>
      <c r="W950" s="5"/>
    </row>
    <row r="951" spans="1:23" ht="16" x14ac:dyDescent="0.2">
      <c r="A951" s="5"/>
      <c r="B951" s="6"/>
      <c r="C951" s="6"/>
      <c r="D951" s="6"/>
      <c r="E951" s="6"/>
      <c r="F951" s="5"/>
      <c r="G951" s="5"/>
      <c r="H951" s="5"/>
      <c r="I951" s="5"/>
      <c r="J951" s="5"/>
      <c r="K951" s="5"/>
      <c r="L951" s="5"/>
      <c r="M951" s="5"/>
      <c r="N951" s="5"/>
      <c r="O951" s="5"/>
      <c r="P951" s="5"/>
      <c r="Q951" s="5"/>
      <c r="R951" s="5"/>
      <c r="S951" s="5"/>
      <c r="T951" s="5"/>
      <c r="U951" s="5"/>
      <c r="V951" s="5"/>
      <c r="W951" s="5"/>
    </row>
    <row r="952" spans="1:23" ht="16" x14ac:dyDescent="0.2">
      <c r="A952" s="5"/>
      <c r="B952" s="6"/>
      <c r="C952" s="6"/>
      <c r="D952" s="6"/>
      <c r="E952" s="6"/>
      <c r="F952" s="5"/>
      <c r="G952" s="5"/>
      <c r="H952" s="5"/>
      <c r="I952" s="5"/>
      <c r="J952" s="5"/>
      <c r="K952" s="5"/>
      <c r="L952" s="5"/>
      <c r="M952" s="5"/>
      <c r="N952" s="5"/>
      <c r="O952" s="5"/>
      <c r="P952" s="5"/>
      <c r="Q952" s="5"/>
      <c r="R952" s="5"/>
      <c r="S952" s="5"/>
      <c r="T952" s="5"/>
      <c r="U952" s="5"/>
      <c r="V952" s="5"/>
      <c r="W952" s="5"/>
    </row>
    <row r="953" spans="1:23" ht="16" x14ac:dyDescent="0.2">
      <c r="A953" s="5"/>
      <c r="B953" s="6"/>
      <c r="C953" s="6"/>
      <c r="D953" s="6"/>
      <c r="E953" s="6"/>
      <c r="F953" s="5"/>
      <c r="G953" s="5"/>
      <c r="H953" s="5"/>
      <c r="I953" s="5"/>
      <c r="J953" s="5"/>
      <c r="K953" s="5"/>
      <c r="L953" s="5"/>
      <c r="M953" s="5"/>
      <c r="N953" s="5"/>
      <c r="O953" s="5"/>
      <c r="P953" s="5"/>
      <c r="Q953" s="5"/>
      <c r="R953" s="5"/>
      <c r="S953" s="5"/>
      <c r="T953" s="5"/>
      <c r="U953" s="5"/>
      <c r="V953" s="5"/>
      <c r="W953" s="5"/>
    </row>
    <row r="954" spans="1:23" ht="16" x14ac:dyDescent="0.2">
      <c r="A954" s="5"/>
      <c r="B954" s="6"/>
      <c r="C954" s="6"/>
      <c r="D954" s="6"/>
      <c r="E954" s="6"/>
      <c r="F954" s="5"/>
      <c r="G954" s="5"/>
      <c r="H954" s="5"/>
      <c r="I954" s="5"/>
      <c r="J954" s="5"/>
      <c r="K954" s="5"/>
      <c r="L954" s="5"/>
      <c r="M954" s="5"/>
      <c r="N954" s="5"/>
      <c r="O954" s="5"/>
      <c r="P954" s="5"/>
      <c r="Q954" s="5"/>
      <c r="R954" s="5"/>
      <c r="S954" s="5"/>
      <c r="T954" s="5"/>
      <c r="U954" s="5"/>
      <c r="V954" s="5"/>
      <c r="W954" s="5"/>
    </row>
    <row r="955" spans="1:23" ht="16" x14ac:dyDescent="0.2">
      <c r="A955" s="5"/>
      <c r="B955" s="6"/>
      <c r="C955" s="6"/>
      <c r="D955" s="6"/>
      <c r="E955" s="6"/>
      <c r="F955" s="5"/>
      <c r="G955" s="5"/>
      <c r="H955" s="5"/>
      <c r="I955" s="5"/>
      <c r="J955" s="5"/>
      <c r="K955" s="5"/>
      <c r="L955" s="5"/>
      <c r="M955" s="5"/>
      <c r="N955" s="5"/>
      <c r="O955" s="5"/>
      <c r="P955" s="5"/>
      <c r="Q955" s="5"/>
      <c r="R955" s="5"/>
      <c r="S955" s="5"/>
      <c r="T955" s="5"/>
      <c r="U955" s="5"/>
      <c r="V955" s="5"/>
      <c r="W955" s="5"/>
    </row>
    <row r="956" spans="1:23" ht="16" x14ac:dyDescent="0.2">
      <c r="A956" s="5"/>
      <c r="B956" s="6"/>
      <c r="C956" s="6"/>
      <c r="D956" s="6"/>
      <c r="E956" s="6"/>
      <c r="F956" s="5"/>
      <c r="G956" s="5"/>
      <c r="H956" s="5"/>
      <c r="I956" s="5"/>
      <c r="J956" s="5"/>
      <c r="K956" s="5"/>
      <c r="L956" s="5"/>
      <c r="M956" s="5"/>
      <c r="N956" s="5"/>
      <c r="O956" s="5"/>
      <c r="P956" s="5"/>
      <c r="Q956" s="5"/>
      <c r="R956" s="5"/>
      <c r="S956" s="5"/>
      <c r="T956" s="5"/>
      <c r="U956" s="5"/>
      <c r="V956" s="5"/>
      <c r="W956" s="5"/>
    </row>
    <row r="957" spans="1:23" ht="16" x14ac:dyDescent="0.2">
      <c r="A957" s="5"/>
      <c r="B957" s="6"/>
      <c r="C957" s="6"/>
      <c r="D957" s="6"/>
      <c r="E957" s="6"/>
      <c r="F957" s="5"/>
      <c r="G957" s="5"/>
      <c r="H957" s="5"/>
      <c r="I957" s="5"/>
      <c r="J957" s="5"/>
      <c r="K957" s="5"/>
      <c r="L957" s="5"/>
      <c r="M957" s="5"/>
      <c r="N957" s="5"/>
      <c r="O957" s="5"/>
      <c r="P957" s="5"/>
      <c r="Q957" s="5"/>
      <c r="R957" s="5"/>
      <c r="S957" s="5"/>
      <c r="T957" s="5"/>
      <c r="U957" s="5"/>
      <c r="V957" s="5"/>
      <c r="W957" s="5"/>
    </row>
    <row r="958" spans="1:23" ht="16" x14ac:dyDescent="0.2">
      <c r="A958" s="5"/>
      <c r="B958" s="6"/>
      <c r="C958" s="6"/>
      <c r="D958" s="6"/>
      <c r="E958" s="6"/>
      <c r="F958" s="5"/>
      <c r="G958" s="5"/>
      <c r="H958" s="5"/>
      <c r="I958" s="5"/>
      <c r="J958" s="5"/>
      <c r="K958" s="5"/>
      <c r="L958" s="5"/>
      <c r="M958" s="5"/>
      <c r="N958" s="5"/>
      <c r="O958" s="5"/>
      <c r="P958" s="5"/>
      <c r="Q958" s="5"/>
      <c r="R958" s="5"/>
      <c r="S958" s="5"/>
      <c r="T958" s="5"/>
      <c r="U958" s="5"/>
      <c r="V958" s="5"/>
      <c r="W958" s="5"/>
    </row>
    <row r="959" spans="1:23" ht="16" x14ac:dyDescent="0.2">
      <c r="A959" s="5"/>
      <c r="B959" s="6"/>
      <c r="C959" s="6"/>
      <c r="D959" s="6"/>
      <c r="E959" s="6"/>
      <c r="F959" s="5"/>
      <c r="G959" s="5"/>
      <c r="H959" s="5"/>
      <c r="I959" s="5"/>
      <c r="J959" s="5"/>
      <c r="K959" s="5"/>
      <c r="L959" s="5"/>
      <c r="M959" s="5"/>
      <c r="N959" s="5"/>
      <c r="O959" s="5"/>
      <c r="P959" s="5"/>
      <c r="Q959" s="5"/>
      <c r="R959" s="5"/>
      <c r="S959" s="5"/>
      <c r="T959" s="5"/>
      <c r="U959" s="5"/>
      <c r="V959" s="5"/>
      <c r="W959" s="5"/>
    </row>
    <row r="960" spans="1:23" ht="16" x14ac:dyDescent="0.2">
      <c r="A960" s="5"/>
      <c r="B960" s="6"/>
      <c r="C960" s="6"/>
      <c r="D960" s="6"/>
      <c r="E960" s="6"/>
      <c r="F960" s="5"/>
      <c r="G960" s="5"/>
      <c r="H960" s="5"/>
      <c r="I960" s="5"/>
      <c r="J960" s="5"/>
      <c r="K960" s="5"/>
      <c r="L960" s="5"/>
      <c r="M960" s="5"/>
      <c r="N960" s="5"/>
      <c r="O960" s="5"/>
      <c r="P960" s="5"/>
      <c r="Q960" s="5"/>
      <c r="R960" s="5"/>
      <c r="S960" s="5"/>
      <c r="T960" s="5"/>
      <c r="U960" s="5"/>
      <c r="V960" s="5"/>
      <c r="W960" s="5"/>
    </row>
    <row r="961" spans="1:23" ht="16" x14ac:dyDescent="0.2">
      <c r="A961" s="5"/>
      <c r="B961" s="6"/>
      <c r="C961" s="6"/>
      <c r="D961" s="6"/>
      <c r="E961" s="6"/>
      <c r="F961" s="5"/>
      <c r="G961" s="5"/>
      <c r="H961" s="5"/>
      <c r="I961" s="5"/>
      <c r="J961" s="5"/>
      <c r="K961" s="5"/>
      <c r="L961" s="5"/>
      <c r="M961" s="5"/>
      <c r="N961" s="5"/>
      <c r="O961" s="5"/>
      <c r="P961" s="5"/>
      <c r="Q961" s="5"/>
      <c r="R961" s="5"/>
      <c r="S961" s="5"/>
      <c r="T961" s="5"/>
      <c r="U961" s="5"/>
      <c r="V961" s="5"/>
      <c r="W961" s="5"/>
    </row>
    <row r="962" spans="1:23" ht="16" x14ac:dyDescent="0.2">
      <c r="A962" s="5"/>
      <c r="B962" s="6"/>
      <c r="C962" s="6"/>
      <c r="D962" s="6"/>
      <c r="E962" s="6"/>
      <c r="F962" s="5"/>
      <c r="G962" s="5"/>
      <c r="H962" s="5"/>
      <c r="I962" s="5"/>
      <c r="J962" s="5"/>
      <c r="K962" s="5"/>
      <c r="L962" s="5"/>
      <c r="M962" s="5"/>
      <c r="N962" s="5"/>
      <c r="O962" s="5"/>
      <c r="P962" s="5"/>
      <c r="Q962" s="5"/>
      <c r="R962" s="5"/>
      <c r="S962" s="5"/>
      <c r="T962" s="5"/>
      <c r="U962" s="5"/>
      <c r="V962" s="5"/>
      <c r="W962" s="5"/>
    </row>
    <row r="963" spans="1:23" ht="16" x14ac:dyDescent="0.2">
      <c r="A963" s="5"/>
      <c r="B963" s="6"/>
      <c r="C963" s="6"/>
      <c r="D963" s="6"/>
      <c r="E963" s="6"/>
      <c r="F963" s="5"/>
      <c r="G963" s="5"/>
      <c r="H963" s="5"/>
      <c r="I963" s="5"/>
      <c r="J963" s="5"/>
      <c r="K963" s="5"/>
      <c r="L963" s="5"/>
      <c r="M963" s="5"/>
      <c r="N963" s="5"/>
      <c r="O963" s="5"/>
      <c r="P963" s="5"/>
      <c r="Q963" s="5"/>
      <c r="R963" s="5"/>
      <c r="S963" s="5"/>
      <c r="T963" s="5"/>
      <c r="U963" s="5"/>
      <c r="V963" s="5"/>
      <c r="W963" s="5"/>
    </row>
    <row r="964" spans="1:23" ht="16" x14ac:dyDescent="0.2">
      <c r="A964" s="5"/>
      <c r="B964" s="6"/>
      <c r="C964" s="6"/>
      <c r="D964" s="6"/>
      <c r="E964" s="6"/>
      <c r="F964" s="5"/>
      <c r="G964" s="5"/>
      <c r="H964" s="5"/>
      <c r="I964" s="5"/>
      <c r="J964" s="5"/>
      <c r="K964" s="5"/>
      <c r="L964" s="5"/>
      <c r="M964" s="5"/>
      <c r="N964" s="5"/>
      <c r="O964" s="5"/>
      <c r="P964" s="5"/>
      <c r="Q964" s="5"/>
      <c r="R964" s="5"/>
      <c r="S964" s="5"/>
      <c r="T964" s="5"/>
      <c r="U964" s="5"/>
      <c r="V964" s="5"/>
      <c r="W964" s="5"/>
    </row>
    <row r="965" spans="1:23" ht="16" x14ac:dyDescent="0.2">
      <c r="A965" s="5"/>
      <c r="B965" s="6"/>
      <c r="C965" s="6"/>
      <c r="D965" s="6"/>
      <c r="E965" s="6"/>
      <c r="F965" s="5"/>
      <c r="G965" s="5"/>
      <c r="H965" s="5"/>
      <c r="I965" s="5"/>
      <c r="J965" s="5"/>
      <c r="K965" s="5"/>
      <c r="L965" s="5"/>
      <c r="M965" s="5"/>
      <c r="N965" s="5"/>
      <c r="O965" s="5"/>
      <c r="P965" s="5"/>
      <c r="Q965" s="5"/>
      <c r="R965" s="5"/>
      <c r="S965" s="5"/>
      <c r="T965" s="5"/>
      <c r="U965" s="5"/>
      <c r="V965" s="5"/>
      <c r="W965" s="5"/>
    </row>
    <row r="966" spans="1:23" ht="16" x14ac:dyDescent="0.2">
      <c r="A966" s="5"/>
      <c r="B966" s="6"/>
      <c r="C966" s="6"/>
      <c r="D966" s="6"/>
      <c r="E966" s="6"/>
      <c r="F966" s="5"/>
      <c r="G966" s="5"/>
      <c r="H966" s="5"/>
      <c r="I966" s="5"/>
      <c r="J966" s="5"/>
      <c r="K966" s="5"/>
      <c r="L966" s="5"/>
      <c r="M966" s="5"/>
      <c r="N966" s="5"/>
      <c r="O966" s="5"/>
      <c r="P966" s="5"/>
      <c r="Q966" s="5"/>
      <c r="R966" s="5"/>
      <c r="S966" s="5"/>
      <c r="T966" s="5"/>
      <c r="U966" s="5"/>
      <c r="V966" s="5"/>
      <c r="W966" s="5"/>
    </row>
    <row r="967" spans="1:23" ht="16" x14ac:dyDescent="0.2">
      <c r="A967" s="5"/>
      <c r="B967" s="6"/>
      <c r="C967" s="6"/>
      <c r="D967" s="6"/>
      <c r="E967" s="6"/>
      <c r="F967" s="5"/>
      <c r="G967" s="5"/>
      <c r="H967" s="5"/>
      <c r="I967" s="5"/>
      <c r="J967" s="5"/>
      <c r="K967" s="5"/>
      <c r="L967" s="5"/>
      <c r="M967" s="5"/>
      <c r="N967" s="5"/>
      <c r="O967" s="5"/>
      <c r="P967" s="5"/>
      <c r="Q967" s="5"/>
      <c r="R967" s="5"/>
      <c r="S967" s="5"/>
      <c r="T967" s="5"/>
      <c r="U967" s="5"/>
      <c r="V967" s="5"/>
      <c r="W967" s="5"/>
    </row>
    <row r="968" spans="1:23" ht="16" x14ac:dyDescent="0.2">
      <c r="A968" s="5"/>
      <c r="B968" s="6"/>
      <c r="C968" s="6"/>
      <c r="D968" s="6"/>
      <c r="E968" s="6"/>
      <c r="F968" s="5"/>
      <c r="G968" s="5"/>
      <c r="H968" s="5"/>
      <c r="I968" s="5"/>
      <c r="J968" s="5"/>
      <c r="K968" s="5"/>
      <c r="L968" s="5"/>
      <c r="M968" s="5"/>
      <c r="N968" s="5"/>
      <c r="O968" s="5"/>
      <c r="P968" s="5"/>
      <c r="Q968" s="5"/>
      <c r="R968" s="5"/>
      <c r="S968" s="5"/>
      <c r="T968" s="5"/>
      <c r="U968" s="5"/>
      <c r="V968" s="5"/>
      <c r="W968" s="5"/>
    </row>
    <row r="969" spans="1:23" ht="16" x14ac:dyDescent="0.2">
      <c r="A969" s="5"/>
      <c r="B969" s="6"/>
      <c r="C969" s="6"/>
      <c r="D969" s="6"/>
      <c r="E969" s="6"/>
      <c r="F969" s="5"/>
      <c r="G969" s="5"/>
      <c r="H969" s="5"/>
      <c r="I969" s="5"/>
      <c r="J969" s="5"/>
      <c r="K969" s="5"/>
      <c r="L969" s="5"/>
      <c r="M969" s="5"/>
      <c r="N969" s="5"/>
      <c r="O969" s="5"/>
      <c r="P969" s="5"/>
      <c r="Q969" s="5"/>
      <c r="R969" s="5"/>
      <c r="S969" s="5"/>
      <c r="T969" s="5"/>
      <c r="U969" s="5"/>
      <c r="V969" s="5"/>
      <c r="W969" s="5"/>
    </row>
    <row r="970" spans="1:23" ht="16" x14ac:dyDescent="0.2">
      <c r="A970" s="5"/>
      <c r="B970" s="6"/>
      <c r="C970" s="6"/>
      <c r="D970" s="6"/>
      <c r="E970" s="6"/>
      <c r="F970" s="5"/>
      <c r="G970" s="5"/>
      <c r="H970" s="5"/>
      <c r="I970" s="5"/>
      <c r="J970" s="5"/>
      <c r="K970" s="5"/>
      <c r="L970" s="5"/>
      <c r="M970" s="5"/>
      <c r="N970" s="5"/>
      <c r="O970" s="5"/>
      <c r="P970" s="5"/>
      <c r="Q970" s="5"/>
      <c r="R970" s="5"/>
      <c r="S970" s="5"/>
      <c r="T970" s="5"/>
      <c r="U970" s="5"/>
      <c r="V970" s="5"/>
      <c r="W970" s="5"/>
    </row>
    <row r="971" spans="1:23" ht="16" x14ac:dyDescent="0.2">
      <c r="A971" s="5"/>
      <c r="B971" s="6"/>
      <c r="C971" s="6"/>
      <c r="D971" s="6"/>
      <c r="E971" s="6"/>
      <c r="F971" s="5"/>
      <c r="G971" s="5"/>
      <c r="H971" s="5"/>
      <c r="I971" s="5"/>
      <c r="J971" s="5"/>
      <c r="K971" s="5"/>
      <c r="L971" s="5"/>
      <c r="M971" s="5"/>
      <c r="N971" s="5"/>
      <c r="O971" s="5"/>
      <c r="P971" s="5"/>
      <c r="Q971" s="5"/>
      <c r="R971" s="5"/>
      <c r="S971" s="5"/>
      <c r="T971" s="5"/>
      <c r="U971" s="5"/>
      <c r="V971" s="5"/>
      <c r="W971" s="5"/>
    </row>
    <row r="972" spans="1:23" ht="16" x14ac:dyDescent="0.2">
      <c r="A972" s="5"/>
      <c r="B972" s="6"/>
      <c r="C972" s="6"/>
      <c r="D972" s="6"/>
      <c r="E972" s="6"/>
      <c r="F972" s="5"/>
      <c r="G972" s="5"/>
      <c r="H972" s="5"/>
      <c r="I972" s="5"/>
      <c r="J972" s="5"/>
      <c r="K972" s="5"/>
      <c r="L972" s="5"/>
      <c r="M972" s="5"/>
      <c r="N972" s="5"/>
      <c r="O972" s="5"/>
      <c r="P972" s="5"/>
      <c r="Q972" s="5"/>
      <c r="R972" s="5"/>
      <c r="S972" s="5"/>
      <c r="T972" s="5"/>
      <c r="U972" s="5"/>
      <c r="V972" s="5"/>
      <c r="W972" s="5"/>
    </row>
    <row r="973" spans="1:23" ht="16" x14ac:dyDescent="0.2">
      <c r="A973" s="5"/>
      <c r="B973" s="6"/>
      <c r="C973" s="6"/>
      <c r="D973" s="6"/>
      <c r="E973" s="6"/>
      <c r="F973" s="5"/>
      <c r="G973" s="5"/>
      <c r="H973" s="5"/>
      <c r="I973" s="5"/>
      <c r="J973" s="5"/>
      <c r="K973" s="5"/>
      <c r="L973" s="5"/>
      <c r="M973" s="5"/>
      <c r="N973" s="5"/>
      <c r="O973" s="5"/>
      <c r="P973" s="5"/>
      <c r="Q973" s="5"/>
      <c r="R973" s="5"/>
      <c r="S973" s="5"/>
      <c r="T973" s="5"/>
      <c r="U973" s="5"/>
      <c r="V973" s="5"/>
      <c r="W973" s="5"/>
    </row>
    <row r="974" spans="1:23" ht="16" x14ac:dyDescent="0.2">
      <c r="A974" s="5"/>
      <c r="B974" s="6"/>
      <c r="C974" s="6"/>
      <c r="D974" s="6"/>
      <c r="E974" s="6"/>
      <c r="F974" s="5"/>
      <c r="G974" s="5"/>
      <c r="H974" s="5"/>
      <c r="I974" s="5"/>
      <c r="J974" s="5"/>
      <c r="K974" s="5"/>
      <c r="L974" s="5"/>
      <c r="M974" s="5"/>
      <c r="N974" s="5"/>
      <c r="O974" s="5"/>
      <c r="P974" s="5"/>
      <c r="Q974" s="5"/>
      <c r="R974" s="5"/>
      <c r="S974" s="5"/>
      <c r="T974" s="5"/>
      <c r="U974" s="5"/>
      <c r="V974" s="5"/>
      <c r="W974" s="5"/>
    </row>
    <row r="975" spans="1:23" ht="16" x14ac:dyDescent="0.2">
      <c r="A975" s="5"/>
      <c r="B975" s="6"/>
      <c r="C975" s="6"/>
      <c r="D975" s="6"/>
      <c r="E975" s="6"/>
      <c r="F975" s="5"/>
      <c r="G975" s="5"/>
      <c r="H975" s="5"/>
      <c r="I975" s="5"/>
      <c r="J975" s="5"/>
      <c r="K975" s="5"/>
      <c r="L975" s="5"/>
      <c r="M975" s="5"/>
      <c r="N975" s="5"/>
      <c r="O975" s="5"/>
      <c r="P975" s="5"/>
      <c r="Q975" s="5"/>
      <c r="R975" s="5"/>
      <c r="S975" s="5"/>
      <c r="T975" s="5"/>
      <c r="U975" s="5"/>
      <c r="V975" s="5"/>
      <c r="W975" s="5"/>
    </row>
    <row r="976" spans="1:23" ht="16" x14ac:dyDescent="0.2">
      <c r="A976" s="5"/>
      <c r="B976" s="6"/>
      <c r="C976" s="6"/>
      <c r="D976" s="6"/>
      <c r="E976" s="6"/>
      <c r="F976" s="5"/>
      <c r="G976" s="5"/>
      <c r="H976" s="5"/>
      <c r="I976" s="5"/>
      <c r="J976" s="5"/>
      <c r="K976" s="5"/>
      <c r="L976" s="5"/>
      <c r="M976" s="5"/>
      <c r="N976" s="5"/>
      <c r="O976" s="5"/>
      <c r="P976" s="5"/>
      <c r="Q976" s="5"/>
      <c r="R976" s="5"/>
      <c r="S976" s="5"/>
      <c r="T976" s="5"/>
      <c r="U976" s="5"/>
      <c r="V976" s="5"/>
      <c r="W976" s="5"/>
    </row>
    <row r="977" spans="1:23" ht="16" x14ac:dyDescent="0.2">
      <c r="A977" s="5"/>
      <c r="B977" s="6"/>
      <c r="C977" s="6"/>
      <c r="D977" s="6"/>
      <c r="E977" s="6"/>
      <c r="F977" s="5"/>
      <c r="G977" s="5"/>
      <c r="H977" s="5"/>
      <c r="I977" s="5"/>
      <c r="J977" s="5"/>
      <c r="K977" s="5"/>
      <c r="L977" s="5"/>
      <c r="M977" s="5"/>
      <c r="N977" s="5"/>
      <c r="O977" s="5"/>
      <c r="P977" s="5"/>
      <c r="Q977" s="5"/>
      <c r="R977" s="5"/>
      <c r="S977" s="5"/>
      <c r="T977" s="5"/>
      <c r="U977" s="5"/>
      <c r="V977" s="5"/>
      <c r="W977" s="5"/>
    </row>
    <row r="978" spans="1:23" ht="16" x14ac:dyDescent="0.2">
      <c r="A978" s="5"/>
      <c r="B978" s="6"/>
      <c r="C978" s="6"/>
      <c r="D978" s="6"/>
      <c r="E978" s="6"/>
      <c r="F978" s="5"/>
      <c r="G978" s="5"/>
      <c r="H978" s="5"/>
      <c r="I978" s="5"/>
      <c r="J978" s="5"/>
      <c r="K978" s="5"/>
      <c r="L978" s="5"/>
      <c r="M978" s="5"/>
      <c r="N978" s="5"/>
      <c r="O978" s="5"/>
      <c r="P978" s="5"/>
      <c r="Q978" s="5"/>
      <c r="R978" s="5"/>
      <c r="S978" s="5"/>
      <c r="T978" s="5"/>
      <c r="U978" s="5"/>
      <c r="V978" s="5"/>
      <c r="W978" s="5"/>
    </row>
    <row r="979" spans="1:23" ht="16" x14ac:dyDescent="0.2">
      <c r="A979" s="5"/>
      <c r="B979" s="6"/>
      <c r="C979" s="6"/>
      <c r="D979" s="6"/>
      <c r="E979" s="6"/>
      <c r="F979" s="5"/>
      <c r="G979" s="5"/>
      <c r="H979" s="5"/>
      <c r="I979" s="5"/>
      <c r="J979" s="5"/>
      <c r="K979" s="5"/>
      <c r="L979" s="5"/>
      <c r="M979" s="5"/>
      <c r="N979" s="5"/>
      <c r="O979" s="5"/>
      <c r="P979" s="5"/>
      <c r="Q979" s="5"/>
      <c r="R979" s="5"/>
      <c r="S979" s="5"/>
      <c r="T979" s="5"/>
      <c r="U979" s="5"/>
      <c r="V979" s="5"/>
      <c r="W979" s="5"/>
    </row>
    <row r="980" spans="1:23" ht="16" x14ac:dyDescent="0.2">
      <c r="A980" s="5"/>
      <c r="B980" s="6"/>
      <c r="C980" s="6"/>
      <c r="D980" s="6"/>
      <c r="E980" s="6"/>
      <c r="F980" s="5"/>
      <c r="G980" s="5"/>
      <c r="H980" s="5"/>
      <c r="I980" s="5"/>
      <c r="J980" s="5"/>
      <c r="K980" s="5"/>
      <c r="L980" s="5"/>
      <c r="M980" s="5"/>
      <c r="N980" s="5"/>
      <c r="O980" s="5"/>
      <c r="P980" s="5"/>
      <c r="Q980" s="5"/>
      <c r="R980" s="5"/>
      <c r="S980" s="5"/>
      <c r="T980" s="5"/>
      <c r="U980" s="5"/>
      <c r="V980" s="5"/>
      <c r="W980" s="5"/>
    </row>
    <row r="981" spans="1:23" ht="16" x14ac:dyDescent="0.2">
      <c r="A981" s="5"/>
      <c r="B981" s="6"/>
      <c r="C981" s="6"/>
      <c r="D981" s="6"/>
      <c r="E981" s="6"/>
      <c r="F981" s="5"/>
      <c r="G981" s="5"/>
      <c r="H981" s="5"/>
      <c r="I981" s="5"/>
      <c r="J981" s="5"/>
      <c r="K981" s="5"/>
      <c r="L981" s="5"/>
      <c r="M981" s="5"/>
      <c r="N981" s="5"/>
      <c r="O981" s="5"/>
      <c r="P981" s="5"/>
      <c r="Q981" s="5"/>
      <c r="R981" s="5"/>
      <c r="S981" s="5"/>
      <c r="T981" s="5"/>
      <c r="U981" s="5"/>
      <c r="V981" s="5"/>
      <c r="W981" s="5"/>
    </row>
    <row r="982" spans="1:23" ht="16" x14ac:dyDescent="0.2">
      <c r="A982" s="5"/>
      <c r="B982" s="6"/>
      <c r="C982" s="6"/>
      <c r="D982" s="6"/>
      <c r="E982" s="6"/>
      <c r="F982" s="5"/>
      <c r="G982" s="5"/>
      <c r="H982" s="5"/>
      <c r="I982" s="5"/>
      <c r="J982" s="5"/>
      <c r="K982" s="5"/>
      <c r="L982" s="5"/>
      <c r="M982" s="5"/>
      <c r="N982" s="5"/>
      <c r="O982" s="5"/>
      <c r="P982" s="5"/>
      <c r="Q982" s="5"/>
      <c r="R982" s="5"/>
      <c r="S982" s="5"/>
      <c r="T982" s="5"/>
      <c r="U982" s="5"/>
      <c r="V982" s="5"/>
      <c r="W982" s="5"/>
    </row>
    <row r="983" spans="1:23" ht="16" x14ac:dyDescent="0.2">
      <c r="A983" s="5"/>
      <c r="B983" s="6"/>
      <c r="C983" s="6"/>
      <c r="D983" s="6"/>
      <c r="E983" s="6"/>
      <c r="F983" s="5"/>
      <c r="G983" s="5"/>
      <c r="H983" s="5"/>
      <c r="I983" s="5"/>
      <c r="J983" s="5"/>
      <c r="K983" s="5"/>
      <c r="L983" s="5"/>
      <c r="M983" s="5"/>
      <c r="N983" s="5"/>
      <c r="O983" s="5"/>
      <c r="P983" s="5"/>
      <c r="Q983" s="5"/>
      <c r="R983" s="5"/>
      <c r="S983" s="5"/>
      <c r="T983" s="5"/>
      <c r="U983" s="5"/>
      <c r="V983" s="5"/>
      <c r="W983" s="5"/>
    </row>
    <row r="984" spans="1:23" ht="16" x14ac:dyDescent="0.2">
      <c r="A984" s="5"/>
      <c r="B984" s="6"/>
      <c r="C984" s="6"/>
      <c r="D984" s="6"/>
      <c r="E984" s="6"/>
      <c r="F984" s="5"/>
      <c r="G984" s="5"/>
      <c r="H984" s="5"/>
      <c r="I984" s="5"/>
      <c r="J984" s="5"/>
      <c r="K984" s="5"/>
      <c r="L984" s="5"/>
      <c r="M984" s="5"/>
      <c r="N984" s="5"/>
      <c r="O984" s="5"/>
      <c r="P984" s="5"/>
      <c r="Q984" s="5"/>
      <c r="R984" s="5"/>
      <c r="S984" s="5"/>
      <c r="T984" s="5"/>
      <c r="U984" s="5"/>
      <c r="V984" s="5"/>
      <c r="W984" s="5"/>
    </row>
    <row r="985" spans="1:23" ht="16" x14ac:dyDescent="0.2">
      <c r="A985" s="5"/>
      <c r="B985" s="6"/>
      <c r="C985" s="6"/>
      <c r="D985" s="6"/>
      <c r="E985" s="6"/>
      <c r="F985" s="5"/>
      <c r="G985" s="5"/>
      <c r="H985" s="5"/>
      <c r="I985" s="5"/>
      <c r="J985" s="5"/>
      <c r="K985" s="5"/>
      <c r="L985" s="5"/>
      <c r="M985" s="5"/>
      <c r="N985" s="5"/>
      <c r="O985" s="5"/>
      <c r="P985" s="5"/>
      <c r="Q985" s="5"/>
      <c r="R985" s="5"/>
      <c r="S985" s="5"/>
      <c r="T985" s="5"/>
      <c r="U985" s="5"/>
      <c r="V985" s="5"/>
      <c r="W985" s="5"/>
    </row>
    <row r="986" spans="1:23" ht="16" x14ac:dyDescent="0.2">
      <c r="A986" s="5"/>
      <c r="B986" s="6"/>
      <c r="C986" s="6"/>
      <c r="D986" s="6"/>
      <c r="E986" s="6"/>
      <c r="F986" s="5"/>
      <c r="G986" s="5"/>
      <c r="H986" s="5"/>
      <c r="I986" s="5"/>
      <c r="J986" s="5"/>
      <c r="K986" s="5"/>
      <c r="L986" s="5"/>
      <c r="M986" s="5"/>
      <c r="N986" s="5"/>
      <c r="O986" s="5"/>
      <c r="P986" s="5"/>
      <c r="Q986" s="5"/>
      <c r="R986" s="5"/>
      <c r="S986" s="5"/>
      <c r="T986" s="5"/>
      <c r="U986" s="5"/>
      <c r="V986" s="5"/>
      <c r="W986" s="5"/>
    </row>
    <row r="987" spans="1:23" ht="16" x14ac:dyDescent="0.2">
      <c r="A987" s="5"/>
      <c r="B987" s="6"/>
      <c r="C987" s="6"/>
      <c r="D987" s="6"/>
      <c r="E987" s="6"/>
      <c r="F987" s="5"/>
      <c r="G987" s="5"/>
      <c r="H987" s="5"/>
      <c r="I987" s="5"/>
      <c r="J987" s="5"/>
      <c r="K987" s="5"/>
      <c r="L987" s="5"/>
      <c r="M987" s="5"/>
      <c r="N987" s="5"/>
      <c r="O987" s="5"/>
      <c r="P987" s="5"/>
      <c r="Q987" s="5"/>
      <c r="R987" s="5"/>
      <c r="S987" s="5"/>
      <c r="T987" s="5"/>
      <c r="U987" s="5"/>
      <c r="V987" s="5"/>
      <c r="W987" s="5"/>
    </row>
    <row r="988" spans="1:23" ht="16" x14ac:dyDescent="0.2">
      <c r="A988" s="5"/>
      <c r="B988" s="6"/>
      <c r="C988" s="6"/>
      <c r="D988" s="6"/>
      <c r="E988" s="6"/>
      <c r="F988" s="5"/>
      <c r="G988" s="5"/>
      <c r="H988" s="5"/>
      <c r="I988" s="5"/>
      <c r="J988" s="5"/>
      <c r="K988" s="5"/>
      <c r="L988" s="5"/>
      <c r="M988" s="5"/>
      <c r="N988" s="5"/>
      <c r="O988" s="5"/>
      <c r="P988" s="5"/>
      <c r="Q988" s="5"/>
      <c r="R988" s="5"/>
      <c r="S988" s="5"/>
      <c r="T988" s="5"/>
      <c r="U988" s="5"/>
      <c r="V988" s="5"/>
      <c r="W988" s="5"/>
    </row>
    <row r="989" spans="1:23" ht="16" x14ac:dyDescent="0.2">
      <c r="A989" s="5"/>
      <c r="B989" s="6"/>
      <c r="C989" s="6"/>
      <c r="D989" s="6"/>
      <c r="E989" s="6"/>
      <c r="F989" s="5"/>
      <c r="G989" s="5"/>
      <c r="H989" s="5"/>
      <c r="I989" s="5"/>
      <c r="J989" s="5"/>
      <c r="K989" s="5"/>
      <c r="L989" s="5"/>
      <c r="M989" s="5"/>
      <c r="N989" s="5"/>
      <c r="O989" s="5"/>
      <c r="P989" s="5"/>
      <c r="Q989" s="5"/>
      <c r="R989" s="5"/>
      <c r="S989" s="5"/>
      <c r="T989" s="5"/>
      <c r="U989" s="5"/>
      <c r="V989" s="5"/>
      <c r="W989" s="5"/>
    </row>
    <row r="990" spans="1:23" ht="16" x14ac:dyDescent="0.2">
      <c r="A990" s="5"/>
      <c r="B990" s="6"/>
      <c r="C990" s="6"/>
      <c r="D990" s="6"/>
      <c r="E990" s="6"/>
      <c r="F990" s="5"/>
      <c r="G990" s="5"/>
      <c r="H990" s="5"/>
      <c r="I990" s="5"/>
      <c r="J990" s="5"/>
      <c r="K990" s="5"/>
      <c r="L990" s="5"/>
      <c r="M990" s="5"/>
      <c r="N990" s="5"/>
      <c r="O990" s="5"/>
      <c r="P990" s="5"/>
      <c r="Q990" s="5"/>
      <c r="R990" s="5"/>
      <c r="S990" s="5"/>
      <c r="T990" s="5"/>
      <c r="U990" s="5"/>
      <c r="V990" s="5"/>
      <c r="W990" s="5"/>
    </row>
    <row r="991" spans="1:23" ht="16" x14ac:dyDescent="0.2">
      <c r="A991" s="5"/>
      <c r="B991" s="6"/>
      <c r="C991" s="6"/>
      <c r="D991" s="6"/>
      <c r="E991" s="6"/>
      <c r="F991" s="5"/>
      <c r="G991" s="5"/>
      <c r="H991" s="5"/>
      <c r="I991" s="5"/>
      <c r="J991" s="5"/>
      <c r="K991" s="5"/>
      <c r="L991" s="5"/>
      <c r="M991" s="5"/>
      <c r="N991" s="5"/>
      <c r="O991" s="5"/>
      <c r="P991" s="5"/>
      <c r="Q991" s="5"/>
      <c r="R991" s="5"/>
      <c r="S991" s="5"/>
      <c r="T991" s="5"/>
      <c r="U991" s="5"/>
      <c r="V991" s="5"/>
      <c r="W991" s="5"/>
    </row>
    <row r="992" spans="1:23" ht="16" x14ac:dyDescent="0.2">
      <c r="A992" s="5"/>
      <c r="B992" s="6"/>
      <c r="C992" s="6"/>
      <c r="D992" s="6"/>
      <c r="E992" s="6"/>
      <c r="F992" s="5"/>
      <c r="G992" s="5"/>
      <c r="H992" s="5"/>
      <c r="I992" s="5"/>
      <c r="J992" s="5"/>
      <c r="K992" s="5"/>
      <c r="L992" s="5"/>
      <c r="M992" s="5"/>
      <c r="N992" s="5"/>
      <c r="O992" s="5"/>
      <c r="P992" s="5"/>
      <c r="Q992" s="5"/>
      <c r="R992" s="5"/>
      <c r="S992" s="5"/>
      <c r="T992" s="5"/>
      <c r="U992" s="5"/>
      <c r="V992" s="5"/>
      <c r="W992" s="5"/>
    </row>
    <row r="993" spans="1:23" ht="16" x14ac:dyDescent="0.2">
      <c r="A993" s="5"/>
      <c r="B993" s="6"/>
      <c r="C993" s="6"/>
      <c r="D993" s="6"/>
      <c r="E993" s="6"/>
      <c r="F993" s="5"/>
      <c r="G993" s="5"/>
      <c r="H993" s="5"/>
      <c r="I993" s="5"/>
      <c r="J993" s="5"/>
      <c r="K993" s="5"/>
      <c r="L993" s="5"/>
      <c r="M993" s="5"/>
      <c r="N993" s="5"/>
      <c r="O993" s="5"/>
      <c r="P993" s="5"/>
      <c r="Q993" s="5"/>
      <c r="R993" s="5"/>
      <c r="S993" s="5"/>
      <c r="T993" s="5"/>
      <c r="U993" s="5"/>
      <c r="V993" s="5"/>
      <c r="W993" s="5"/>
    </row>
    <row r="994" spans="1:23" ht="16" x14ac:dyDescent="0.2">
      <c r="A994" s="5"/>
      <c r="B994" s="6"/>
      <c r="C994" s="6"/>
      <c r="D994" s="6"/>
      <c r="E994" s="6"/>
      <c r="F994" s="5"/>
      <c r="G994" s="5"/>
      <c r="H994" s="5"/>
      <c r="I994" s="5"/>
      <c r="J994" s="5"/>
      <c r="K994" s="5"/>
      <c r="L994" s="5"/>
      <c r="M994" s="5"/>
      <c r="N994" s="5"/>
      <c r="O994" s="5"/>
      <c r="P994" s="5"/>
      <c r="Q994" s="5"/>
      <c r="R994" s="5"/>
      <c r="S994" s="5"/>
      <c r="T994" s="5"/>
      <c r="U994" s="5"/>
      <c r="V994" s="5"/>
      <c r="W994" s="5"/>
    </row>
  </sheetData>
  <mergeCells count="1">
    <mergeCell ref="C11:D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raw data</vt:lpstr>
      <vt:lpstr>Cohens Kappa - Raters A &amp; 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2025-12-04T19:27:50Z</dcterms:created>
  <dcterms:modified xsi:type="dcterms:W3CDTF">2025-12-05T15:45:43Z</dcterms:modified>
</cp:coreProperties>
</file>