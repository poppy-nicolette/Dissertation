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8E621DC8-45E7-4B4B-84D8-0A69DD223011}" xr6:coauthVersionLast="47" xr6:coauthVersionMax="47" xr10:uidLastSave="{00000000-0000-0000-0000-000000000000}"/>
  <bookViews>
    <workbookView xWindow="34900" yWindow="2120" windowWidth="30240" windowHeight="18880" xr2:uid="{00000000-000D-0000-FFFF-FFFF00000000}"/>
  </bookViews>
  <sheets>
    <sheet name="raw data" sheetId="1" r:id="rId1"/>
    <sheet name="Cohens Kappa - Raters A &amp; B" sheetId="2" r:id="rId2"/>
  </sheets>
  <calcPr calcId="191029"/>
  <pivotCaches>
    <pivotCache cacheId="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2" l="1"/>
  <c r="B20" i="2"/>
  <c r="B22" i="2"/>
  <c r="C13" i="2"/>
  <c r="D13" i="2"/>
  <c r="C14" i="2"/>
  <c r="D14" i="2"/>
  <c r="C21" i="2" l="1"/>
  <c r="C20" i="2"/>
  <c r="C23" i="2" s="1"/>
  <c r="B23" i="2"/>
</calcChain>
</file>

<file path=xl/sharedStrings.xml><?xml version="1.0" encoding="utf-8"?>
<sst xmlns="http://schemas.openxmlformats.org/spreadsheetml/2006/main" count="197" uniqueCount="117">
  <si>
    <t>Query</t>
  </si>
  <si>
    <t>Response</t>
  </si>
  <si>
    <t>['which studies examined the abstract in metadata?']</t>
  </si>
  <si>
    <t>Summary: Two studies examined the abstract in metadata.
DOI: 10.1162/qss_a_00286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is made on the title and abstract of selected articles using VOSviewer 1.6.18 version, visualization software.
My lady, is there anything else I can help you with?</t>
  </si>
  <si>
    <t>['which studies examined citations?']</t>
  </si>
  <si>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</si>
  <si>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['Tell me about Crossref.']</t>
  </si>
  <si>
    <t>Summary: Crossref is a sustainable source of community-owned scholarly metadata that contains over 106 million records and expands at an average rate of 11% a year.
DOI: 10.1162/qss_a_00022
Is there anything else I can help you with, my lady?</t>
  </si>
  <si>
    <t>['Which papers evaluate the linguistic coverage or language-related metadata in scholarly databases?']</t>
  </si>
  <si>
    <t>Summary: Several papers evaluate the linguistic coverage or language-related metadata in scholarly databases.
DOI: 10.48550/arXiv.2409.10633 - Evaluates the linguistic coverage of OpenAlex, comparing it with Web of Science (WoS) and conducting manual validation. Finds OpenAlex has more balanced linguistic coverage but with inaccuracies in language metadata.
DOI: 10.1162/qss_a_00286 - Compares metadata completeness in eight free-access scholarly databases, including language-related metadata. Finds third-party databases like OpenAlex have higher metadata quality and completeness than academic search engines.
DOI: 10.5281/zenodo.14006424 - Analyzes OpenAlex's coverage and metadata availability of African publications, comparing it with Scopus, WoS, and African Journals Online (AJOL). Finds OpenAlex offers extensive publication coverage but performs worse on affiliations, references, and funder information.
DOI: 10.48550/arXiv.2508.18620 - Assesses metadata quality in OpenAlex and WoS, focusing on document type, publication year, language, and author count. Aims to enhance awareness of data quality issues impacting bibliometric research.
DOI: 10.1007/s11192-022-04289-7 - Compares disciplinary coverage of 56 bibliographic databases, including language-focused databases. Provides insights into absolute and relative subject coverages, encouraging researchers to re-evaluate their database choices.
My lady, these papers provide valuable insights into the linguistic coverage and language-related metadata in various scholarly databases. If you would like more information or have a specific question, please let me know.</t>
  </si>
  <si>
    <t>['Which papers address funding metadata, its availability, or its analysis in scholarly databases?']</t>
  </si>
  <si>
    <t>Summary: There are four papers that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DOI: 10.1162/qss_a_00212 - This paper studies the open availability of funding data in Crossref, focusing on funding data for publications that report research related to COVID-19.
My lady, is there anything else I can help you with?</t>
  </si>
  <si>
    <t>['Which papers discuss the use of Retrieval-Augmented Generation (RAG) when used in applications?']</t>
  </si>
  <si>
    <t>Summary: Retrieval-Augmented Generation (RAG) is a technique that enhances the capabilities of Large Language Models (LLMs) by retrieving relevant information from external knowledge bases and incorporating it into the generation process.
DOI: 10.1016/j.caeai.2025.100417 - This paper discusses the application of RAG in educational settings, addressing challenges such as hallucination and static internal knowledge in LLMs. It explores practical applications in interactive learning systems, educational content generation, and large-scale deployment in educational ecosystems.
DOI: 10.3390/app14199103 - This study examines the use of RAG in automating systematic literature reviews (SLRs), highlighting its potential to mitigate limitations of LLMs in generating human-like text and interpreting complex linguistic nuances. It proposes a framework for RAG-based LLMs in SLR automation, covering literature search, screening, data extraction, and information synthesis.
DOI: 10.48550/arXiv.2312.10997 - This comprehensive review paper provides a detailed examination of the progression of RAG paradigms, including Naive RAG, Advanced RAG, and Modular RAG. It discusses the tripartite foundation of RAG frameworks, comprising retrieval, generation, and augmentation techniques, and highlights state-of-the-art technologies in each component.
DOI: 10.1145/3637528.3671470 - This survey reviews existing research on Retrieval-Augmented Large Language Models (RA-LLMs), focusing on their ability to harness external knowledge bases and improve the quality of generated content. It covers three primary technical perspectives and discusses current limitations and future research directions.
DOI: 10.6109/jkiice.2023.27.12.1489 - This paper proposes a Metadata Retrieval-Augmented Generation (M-RAG) method for open-domain question answering, utilizing embeddings with metadata and generative models like GPT-3.5-turbo-16K and GPT-4. The method demonstrates significant performance improvements compared to conventional RAG and external inference ODQA systems.
My lady, I hope this information is helpful. If you have any further questions or need additional details, please let me know.</t>
  </si>
  <si>
    <t>['What is Crossref’s role in the scholarly research ecosystem?']</t>
  </si>
  <si>
    <t>Summary: Crossref is a major source of scholarly data for publishers, authors, librarians, funders, and researchers.
DOI: 10.1162/qss_a_00022 - Crossref is a sustainable source of community-owned scholarly metadata, with over 106 million records and expanding at an average rate of 11% a year.
DOI: 10.31222/osf.io/smxe5 - Crossref is a source of open bibliographic metadata, with several initiatives taken to promote the open availability of bibliographic metadata of scholarly publications.
DOI: 10.1162/qss_a_00210 - Crossref initiated FundRef in 2013, enabling publishers to register funding information using persistent identifiers.
My lady, is there anything else I can help you with?</t>
  </si>
  <si>
    <t>['What are the key features and limitations of OpenAlex as a bibliometric database?']</t>
  </si>
  <si>
    <t>Summary: OpenAlex is a new bibliometric database that aims to be more inclusive and open-source than traditional databases like Scopus and Web of Science (WoS). While it has extensive coverage and promises to reduce barriers to accessing bibliometric data, concerns about the quality of its metadata limit its broader adoption.
DOI: 10.48550/arXiv.2404.17663 - OpenAlex is a superset of Scopus and can be a reliable alternative for some analyses, particularly at the country level. However, issues of metadata accuracy and completeness require further research to fully understand and address its limitations.
DOI: 10.48550/arXiv.2508.18620 - This study assesses metadata quality in OpenAlex and WoS, focusing on document type, publication year, language, and author count. It highlights discrepancies and misattributions that could impact bibliometric research and evaluation outcomes.
DOI: 10.29173/cais1943 - The study compares document type accuracy in OpenAlex and WoS, finding that over 4% of publications are misclassified, with 97% of these errors occurring in OpenAlex.
DOI: 10.48550/arXiv.2401.16359 - OpenAlex has comparable reference coverage to WoS and Scopus when restricted to a cleaned dataset. However, its rapid evolution raises questions about data trustworthiness.
DOI: 10.48550/arXiv.2409.10633 - OpenAlex exhibits more balanced linguistic coverage than WoS but overestimates the use of English due to inaccurate language metadata. Critical use can provide comprehensive analyses, but infrastructural improvements are needed.
My lady, I hope this summary meets your requirements. If you have any further questions or need additional information, please let me know.</t>
  </si>
  <si>
    <t>['What are the strengths and weaknesses of Web of Science (WoS) as a bibliometric database?']</t>
  </si>
  <si>
    <t>Summary: Web of Science (WoS) is a bibliometric database that has been the main supporting infrastructure of the field for more than 30 years. However, it has some strengths and weaknesses when compared to other databases.
DOI: 10.1007/s11192-015-1765-5 - WoS has a journal coverage of 13,605 journals, which is substantially less than Scopus (20,346 journals). The use of WoS for research evaluation may introduce biases that favor Natural Sciences and Engineering as well as Biomedical Research to the detriment of Social Sciences and Arts and Humanities. English-language journals are overrepresented, and the results of bibliometric analyses may vary depending on the database used.
DOI: 10.1162/qss_a_00211 - WoS has the highest overall quality among the sets considered, and the differences in quality can be explained primarily by how the data sources are organized.
DOI: 10.29173/cais1943 and 10.48550/arXiv.2508.18620 - WoS has fewer discrepancies and misattributions in metadata compared to OpenAlex, particularly in document type accuracy.
My lady, I hope this information is helpful. If you have any further questions or would like more details, please let me know.</t>
  </si>
  <si>
    <t>['How is RAG used to improve question answering or information retrieval systems?']</t>
  </si>
  <si>
    <t>Summary: Retrieval-Augmented Generation (RAG) is used to improve question answering or information retrieval systems by augmenting Large Language Models (LLMs) with relevant documents before generating answers. This approach reduces hallucination and provides more accurate, contextualized responses.
DOI: 10.17821/srels/2024/v61i5/171583: This study demonstrates that LLMs augmented with RAG consistently provide accurate and informative answers, particularly in library search systems. The use of open-source tools like LangChain and Llama3 makes it a cost-effective solution for enhancing information retrieval.
DOI: 10.6109/jkiice.2023.27.12.1489: The M-RAG method enhances open-domain question answering by utilizing metadata and generative models like GPT-3.5-turbo-16K and GPT-4. This approach improves performance by up to 46% compared to traditional ODQA systems.
DOI: 10.48550/arXiv.2406.13213: The Multi-Meta-RAG method addresses the limitations of traditional RAG in handling multi-hop queries by using database filtering with LLM-extracted metadata. This significantly improves the selection of relevant documents.
DOI: 10.48550/arXiv.2505.13557: The AMAQA dataset introduces metadata integration to enhance RAG systems for question-answering tasks. Leveraging metadata boosts accuracy and enables precise, contextualized queries.
DOI: 10.48550/arXiv.2505.18247: The MetaGen Blended RAG approach achieves zero-shot precision in specialized domain question-answering by enhancing semantic retrievers with metadata generation and hybrid query indexes. It outperforms prior benchmarks on datasets like PubMedQA.
My lady, I hope this summary meets your requirements. If you have any further questions or need additional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</si>
  <si>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</si>
  <si>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10.1073/pnas.1616273114  
This article, "The shifting sands of disciplinary reputations" by Hicks et al. (2017), discusses the variability in citation practices and publication cultures across fields. It highlights that fields like biomedicine tend to have higher citation rates compared to social sciences or humanities, making direct comparisons of citation metrics problematic. The authors argue that normalization efforts must account for these disciplinary differences to ensure fairness in evaluation.
**Additional Challenges:**  
1. **Field-Specific Impact Factors:** Journals in different fields have varying impact factors, which skew citation metrics. For example, high-impact journals in physics may have fewer citations per paper compared to biology, despite similar levels of influence.  
2. **Publication Rates:** Some fields produce more publications per researcher than others, leading to higher citation counts that may not reflect individual impact.  
3. **Citation Lifecycles:** The time it takes for research to be cited varies across fields. For instance, humanities research may take longer to accrue citations compared to fast-paced fields like computer science.  
Normalization efforts often involve field-normalized metrics like the **Field-Weighted Citation Impact (FWCI)** or **Citation Percentiles**, but these methods are not without limitations.  
If you'd like further details or a different perspective, my lady, please let me know!</t>
  </si>
  <si>
    <t>['What methods are used to detect and correct errors in bibliographic datasets?']</t>
  </si>
  <si>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</si>
  <si>
    <t>['tell me about how RAG works.']</t>
  </si>
  <si>
    <t>Summary: Retrieval-Augmented Generation (RAG) is a promising solution for addressing the limitations of LLMs and improving the quality of generated content.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DOI: 10.18653/v1/2024.eacl-demo.16 - RAG systems are composed of a retrieval and an LLM-based generation module. They provide LLMs with knowledge from a reference textual database, enabling them to act as a natural language layer between a user and textual databases.
DOI: 10.48550/arXiv.2404.13948 - RAG is a promising solution for addressing the limitations of LLMs, yet existing studies on the robustness of RAG often overlook the interconnected relationships between RAG components. A novel attack method, the Genetic Attack on RAG (GARAG), is introduced to reveal vulnerabilities within each component.
My lady, I hope this information is helpful. If you have any further questions or need more details, please let me know.</t>
  </si>
  <si>
    <t>['What are the key challenges and advancements in metadata quality assessment?']</t>
  </si>
  <si>
    <t>Summary: The key challenges in metadata quality assessment include defining and measuring quality dimensions, handling diverse data sources and cultural contexts, and automating quality evaluation processes. Advancements involve developing standardized frameworks, applying qualitative and quantitative analysis techniques, and utilizing AI for error detection and correction.
DOI: 10.1145/2964909 - This study focuses on automated quality assessment of metadata across open data portals, addressing challenges in searchability, discoverability, and usability. It proposes a generic framework that maps metadata from different portal software to a standardized schema and defines quality metrics for efficient evaluation.
DOI: 10.1109/ADL.1998.670425 - This research discusses the application of qualitative and quantitative content analysis to assess metadata records, highlighting the need for diverse criteria and procedures for evaluating different types of metadata.
DOI: 10.1177/09610006241239080 - A scoping review identifies commonly measured dimensions of metadata quality, such as completeness, accuracy, and consistency, but notes a lack of consensus on their definitions and measurements. It emphasizes the need for further research and flexible assessment tools.
DOI: 10.5860/crl.86.1.101 - This study explores metadata quality issues across cultures, identifying tensions between sociocultural representations and standardized systems. It classifies metadata issues into categories to understand their impact on individuals and communities.
DOI: 10.48550/arXiv.2303.17661 - Introducing MetaEnhance, a framework that uses AI methods to improve metadata quality for electronic theses and dissertations. It demonstrates high accuracy in detecting and correcting errors in key metadata fields.
My lady, I hope this summary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</si>
  <si>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</si>
  <si>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10.1080/19386389.2011.570654 - Metadata plays an important role in digital libraries. But to be useful, metadata records must be problem free. When problems are present in the metadata, resources are not correctly represented and users are not able to reap the benefits of metadata.
DOI: 10.1177/09610006241239080 - Assessing metadata is of paramount importance for several critical reasons. Metadata plays a pivotal role in various aspects, including data retrieval and search, data organization, interoperability, data preservation, and the overall user experience.
DOI: 10.1109/ADL.1998.670425 - Discusses the application of qualitative and quantitative content analysis techniques to assess metadata records.
My lady, I hope this information is helpful. If you have any further questions, please let me know.</t>
  </si>
  <si>
    <t>['What are the key challenges and advancements in Retrieval-Augmented Generation (RAG) systems?']</t>
  </si>
  <si>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Focusing on educational applications, this paper discusses the practical use of RAG in interactive learning systems and emphasizes the need to mitigate hallucinations, ensure knowledge completeness, and reduce computational costs.
DOI: 10.48550/arXiv.2505.18247 - Introducing MetaGen Blended RAG, this research addresses the challenge of domain-specific datasets and demonstrates improved retrieval accuracy without fine-tuning.
DOI: 10.1609/aaai.v38i16.29728 - This study establishes the Retrieval-Augmented Generation Benchmark (RGB) to evaluate LLMs' performance in RAG tasks, revealing weaknesses in negative rejection and information integration.
DOI: 10.1145/3637528.3671470 - A survey on Retrieval-Augmented Large Language Models (RA-LLMs), this paper explores the integration of external knowledge bases to enhance LLM-generated content quality.
My lady, I hope this summary meets your requirements. If you have any further questions or need additional information, please let me know.</t>
  </si>
  <si>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
My lady, I hope this information is helpful. If you have any further questions, please let me know.</t>
  </si>
  <si>
    <t>Summary: Three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DOI: 10.1007/s11192-022-04367-w
This study aimed to identify classes of DOI mistakes by analysing the open bibliographic metadata available in Crossref. The authors found that only a few publishers were responsible for and/or affected by the majority of invalid citations. They extended the taxonomy of DOI name errors proposed in past studies and defined more elaborated regular expressions that can clean a higher number of mistakes in invalid DOIs than prior approaches.
DOI: 10.1162/qss_a_00112
This study presented a large-scale comparison of five multidisciplinary bibliographic data sources: Scopus, Web of Science, Dimensions, Crossref, and Microsoft Academic. The authors analysed differences between the data sources in the coverage of documents, focusing on differences over time, differences per document type, and differences per discipline. They then studied differences in the completeness and accuracy of citation links.
Is there anything else I can help you with, my lady?</t>
  </si>
  <si>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</si>
  <si>
    <t>Summary: OpenAlex is a bibliographic database that promises comprehensive, inclusive, and open-source research information.
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t>
  </si>
  <si>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new academic databases.
My lady, I hope this information is helpful. If you have any further questions, please let me know.</t>
  </si>
  <si>
    <t>Summary: Retrieval-Augmented Generation (RAG) is a promising solution to enhance the accuracy and credibility of the generation, particularly for knowledge-intensive tasks.
DOI: 10.1016/j.caeai.2025.100417 discusses the use of RAG in education.
DOI: 10.3390/app14199103 discusses the use of RAG in systematic literature reviews.
DOI: 10.48550/arXiv.2312.10997 discusses the use of RAG in knowledge-intensive tasks.
DOI: 10.1145/3637528.3671470 discusses the use of RAG in AI-Generated Content.
DOI: 10.6109/jkiice.2023.27.12.1489 discusses the use of RAG in open-domain question answering.
My lady, I hope this information is helpful.</t>
  </si>
  <si>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My lady, I hope this information is helpful. If you have any further questions, please let me know.</t>
  </si>
  <si>
    <t>Summary: OpenAlex is a bibliographic database that launched in 2022. It is open source and promises comprehensive, inclusive research information. It is a superset of Scopus and can be a reliable alternative for some analyses, particularly at the country level. However, there are issues with metadata accuracy and completeness.
DOI: 10.48550/arXiv.2404.17663 - OpenAlex is a superset of Scopus and can be a reliable alternative for some analyses, particularly at the country level. However, there are issues with metadata accuracy and completeness.
DOI: 10.48550/arXiv.2508.18620 - OpenAlex is a bibliographic database that launched in 2022. It is open source and promises comprehensive, inclusive research information. However, there are issues with metadata accuracy and completeness.
DOI: 10.29173/cais1943 - OpenAlex is a bibliographic database that launched in 2022. However, there are issues with metadata accuracy and completeness.
DOI: 10.48550/arXiv.2401.16359 - OpenAlex is a promising open source of scholarly metadata. However, there are issues with metadata accuracy and completeness.
DOI: 10.48550/arXiv.2409.10633 - OpenAlex is open source and promises comprehensive, inclusive research information. However, there are issues with metadata accuracy and completeness.
My lady, I hope this information is helpful. If you have any further questions, please let me know.</t>
  </si>
  <si>
    <t>Summary: Web of Science (WoS) is a bibliometric database that has been used for over 30 years and is considered to have the highest overall quality among other bibliographic data sources. However, it has been noted that WoS favours Natural Sciences and Engineering as well as Biomedical Research to the detriment of Social Sciences and Arts and Humanities.
DOI: 10.1007/s11192-015-1765-5 - WoS and Scopus favour Natural Sciences and Engineering as well as Biomedical Research to the detriment of Social Sciences and Arts and Humanities.
DOI: 10.1162/qss_a_00112 - WoS is compared with Scopus, Dimensions, Crossref, and Microsoft Academic and the importance of combining a comprehensive coverage of the scientific literature with a flexible set of filters for making selections of the literature is emphasised.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but one of the concerns that hinder its broader adoption for research and research evaluation is the quality of its metadata.
DOI: 10.1162/qss_a_00211 - WoS has the highest overall quality among the sets considered; and the differences in quality can be explained primarily by how the data sources are organized.
My lady, is there anything else I can help you with?</t>
  </si>
  <si>
    <t>Summary: Retrieval-Augmented Generation (RAG) is used to improve question answering and information retrieval systems by providing contextualised, relevant responses when augmented with a set of relevant documents.
DOI: 10.17821/srels/2024/v61i5/171583 - This study demonstrates that libraries can develop a low-cost conversational search system using open-source software tools and Large Language Models (LLMs) through a Retrieval-Augmented Generation (RAG) framework.
DOI: 10.6109/jkiice.2023.27.12.1489 - This paper proposes a Metadata Retrieval-Augmented Generation (M-RAG) method that can effectively search and answer questions with an open-domain Question Answering (ODQA) system for one or more documents and compare their performance.
DOI: 10.48550/arXiv.2406.13213 - This study introduces a new method called Multi-Meta-RAG, which uses database filtering with LLM-extracted metadata to improve the RAG selection of the relevant documents from various sources, relevant to the question.
DOI: 10.48550/arXiv.2505.13557 - This study presents AMAQA, a new open-access QA dataset designed to evaluate tasks combining text and metadata.
DOI: 10.48550/arXiv.2505.18247 - This study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</si>
  <si>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"field-weighted citation impact" to address these issues.
**DOI:** 10.1002/asi.21340  
Bornmann and Marx (2013) in the *Journal of the American Society for Information Science and Technology* explore the limitations of citation-based metrics, including their sensitivity to field-specific practices and the lack of a standardized approach to normalization. They argue that a one-size-fits-all metric is insufficient for fair comparisons across disciplines.
These challenges necessitate the development of field-specific normalization methods and a deeper understanding of disciplinary differences in citation behavior. My lady, if you wish to explore a different aspect of academic research or citation metrics, please let me know!</t>
  </si>
  <si>
    <t>Summary: Retrieval-Augmented Generation (RAG) is a technique that enables large language models (LLMs) to retrieve relevant information from external knowledge sources and answer queries over previously unseen document collections.
DOI: 10.48550/arXiv.2406.13213 - RAG is a technique that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10.1145/3637528.3671470 - RAG is one of the most advanced techniques in AI, offering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</si>
  <si>
    <t>Summary: Metadata quality assessment is a critical aspect of data management, impacting searchability, discoverability, and usability. The field faces challenges such as a lack of consensus on definitions and measurements of quality dimensions, but advancements include automated assessment frameworks and AI-driven improvement tools.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assessment methods.
DOI: 10.1109/ADL.1998.670425 - Focusing on the US Government Information Locator Service (GILS), this work explores qualitative and quantitative content analysis techniques for metadata assessment. It suggests that various criteria and procedures are necessary for evaluating different metadata types, contributing to the ongoing dialogue on metadata quality.
DOI: 10.1177/09610006241239080 - A scoping review identifies commonly measured dimensions in metadata quality assessment, such as completeness, accuracy, and consistency. It emphasizes the need for further research into less commonly assessed dimensions and highlights the importance of flexible assessment tools for better quality assurance.
DOI: 10.5860/crl.86.1.101 - This study examines metadata quality issues from a cultural perspective, identifying tensions between sociocultural representations and standardized systems. It categorizes 32 unique issues, emphasizing the impact of metadata consistency and completeness on communities and cultural meanings.
DOI: 10.48550/arXiv.2303.17661 - Introducing MetaEnhance, an AI-based framework for improving metadata quality in electronic theses and dissertations. The research demonstrates high accuracy in error detection and correction, showcasing the potential of automated methods for enhancing metadata quality.
My lady, these DOIs provide a comprehensive overview of the challenges and advancements in metadata quality assessment, each contributing unique insights to the field.</t>
  </si>
  <si>
    <t>Summary: Metadata quality is crucial for digital objects to be discovered through digital library interfaces. However, metadata often exhibits incomplete, inconsistent, and incorrect values. To address this, MetaEnhance, a framework utilizing state-of-the-art artificial intelligence methods, has been proposed to improve metadata quality. Additionally, preventive and corrective measures are essential to minimize problems in metadata records, and further investigation is needed into less commonly assessed quality dimensions.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DOI: 10.1080/19386389.2011.570654 - Preventive and corrective measures are essential to minimize problems in metadata records, which can be categorized into Incorrect Values, Incorrect Elements, Missing Information, Information Loss, and Inconsistent Value Representation.
DOI: 10.1177/09610006241239080 - Further investigation is needed into less commonly assessed quality dimensions, as there is no consensus on their exact definition and measurement.
My lady, I hope this information is helpful. If you have any further questions or would like more details on a specific aspect, please let me know.</t>
  </si>
  <si>
    <t>Summary: Retrieval-Augmented Generation (RAG) systems face challenges such as hallucination, outdated knowledge, non-transparent reasoning processes, and difficulty handling domain-specific datasets. However, advancements include improved factual accuracy, dynamic knowledge updates, and enhanced multimodal support.
DOI: 10.48550/arXiv.2312.10997 - This paper provides a comprehensive review of RAG paradigms, including Naive RAG, Advanced RAG, and Modular RAG. It highlights the tripartite foundation of RAG frameworks (retrieval, generation, and augmentation techniques) and discusses state-of-the-art technologies in each component. The paper also introduces an up-to-date evaluation framework and benchmark, while outlining current challenges and future research directions.
DOI: 10.1016/j.caeai.2025.100417 - Focusing on educational applications, this paper explores the practical use of RAG in interactive learning systems, educational content generation, and large-scale deployment. It discusses challenges such as mitigating hallucinations, ensuring knowledge completeness and timeliness, reducing computational costs, and enhancing multimodal support.
DOI: 10.48550/arXiv.2505.18247 - Introducing 'MetaGen Blended RAG', this paper addresses the challenge of achieving zero-shot precision in domain-specific question-answering. The proposed method enhances semantic retrievers through metadata generation and hybrid query indexes, demonstrating robust performance on specialized datasets like PubMedQA.
DOI: 10.1609/aaai.v38i16.29728 - This paper establishes the Retrieval-Augmented Generation Benchmark (RGB), a new corpus for evaluating RAG in English and Chinese. It assesses six representative LLMs on four fundamental abilities (noise robustness, negative rejection, information integration, and counterfactual robustness), revealing significant challenges in negative rejection and information integration.
DOI: 10.1145/3637528.3671470 - This survey reviews existing research on Retrieval-Augmented Large Language Models (RA-LLMs), discussing current limitations and promising future directions. It emphasizes the potential of RAG to provide reliable, up-to-date external knowledge for high-quality AI-generated content.
My lady, I hope this summary meets your requirements. If you have any further questions or need additional information, please let me know.</t>
  </si>
  <si>
    <t>Summary: Two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10.1002/leap.1411 -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t>
  </si>
  <si>
    <t>Summary: Three studies examined citations.
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
DOI: 10.1162/qss_a_00112 - This study compared five multidisciplinary bibliographic data sources: Scopus, Web of Science, Dimensions, Crossref, and Microsoft Academic. The comparison considered scientific documents from the period 2008–2017 covered by these data sources.
My lady, I hope this information is helpful.</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</si>
  <si>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</si>
  <si>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10.1162/qss_a_00286 - Completeness degree of publication metadata in eight free-access scholarly databases - This study compares the amount of metadata and the completeness degree of research publications in new academic databases, including an analysis of language-related metadata.
DOI: 10.5281/zenodo.14006424 - Coverage and metadata availability of African publications in OpenAlex: A comparative analysis - This paper analyses OpenAlex’s coverage and metadata availability of African-based publications, including a comparison of metadata related to language.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While this paper does not explicitly focus on linguistic coverage, it introduces a method to estimate subject coverages of bibliographic databases, which can be relevant for evaluating language-related metadata.
My lady, I hope this information is helpful. If you have any further questions or need more details, please let me know.</t>
  </si>
  <si>
    <t>Summary: Four papers address funding metadata, its availability, or its analysis in scholarly databases.
DOI: 10.5281/zenodo.14006424
This paper analyses OpenAlex’s coverage and metadata availability of African-based publications. It compares OpenAlex with Scopus, WoS, and African Journals Online (AJOL). It finds that OpenAlex offers the most extensive publication coverage, but performs worse regarding funder information.
DOI: 10.31222/osf.io/smxe5
This paper presents an up-to-date overview of the availability of six metadata elements in Crossref, including funding information. It finds that the availability of these metadata elements has improved over time, but that many publishers need to make additional efforts to realize full openness of bibliographic metadata.
DOI: 10.1162/qss_a_00210
This paper looks at 5,004 publications reported by researchers to be the result of funding by the Dutch Research Council NWO. It finds that only 67% of these articles contain funding information in Crossref, and observes interesting differences between publishers in the coverage and completeness of funding metadata in Crossref compared to proprietary databases.
DOI: 10.1162/qss_a_00212
This paper studies the open availability of funding data in Crossref, focusing on funding data for publications that report research related to COVID-19. It finds limited coverage of funding data in Crossref, and offers recommendations for improving the open availability of funding data in Crossref.
My lady, I hope this information is helpful.</t>
  </si>
  <si>
    <t>Summary: Retrieval-Augmented Generation (RAG) is discussed in the following papers:
DOI: 10.1016/j.caeai.2025.100417
Title: Retrieval-augmented generation for educational application: A systematic survey
Abstract: This paper reviews existing research that integrates RAG into educational scenarios, covering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the application of RAG-based LLMs to SLR automation, highlighting future research topics, including integration of domain-specific LLMs, multimodal data processing and generation, and utilization of multiple retrieval sources.
DOI: 10.48550/arXiv.2312.10997
Title: Retrieval-Augmented Generation for Large Language Models: A Survey
Abstract: This comprehensive review paper offers a detailed examination of the progression of RAG paradigms, encompassing the Naive RAG, the Advanced RAG, and the Modular RAG, and highlights the state-of-the-art technologies embedded in each of these critical components.
DOI: 10.1145/3637528.3671470
Title: A Survey on RAG Meeting LLMs: Towards Retrieval-Augmented Large Language Models
Abstract: This survey comprehensively reviews existing research studies in RA-LLMs, covering three primary technical perspectives, and discusses current limitations and several promising directions for future research.
DOI: 10.6109/jkiice.2023.27.12.1489
Title: M-RAG: Enhancing Open-domain Question Answering with Metadata Retrieval-Augmented Generation
Abstract: This paper proposes a Metadata Retrieval-Augmented Generation (M-RAG) method that can effectively search and answer questions with an open-domain Question Answering (ODQA) system for one or more documents and compare their performance.
My lady, I hope this information is helpful. If you have any further questions or need more details, please let me know.</t>
  </si>
  <si>
    <t>Summary: Crossref is a sustainable source of community-owned scholarly metadata that is available to publishers, authors, librarians, funders, and researchers.
DOI: 10.1162/qss_a_00022 - Crossref is a major source of scholarly data that contains over 106 million records and expands at an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that promotes the open availability of bibliographic metadata of scholarly publications.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My lady, I hope this information is helpful. If you have any further questions, please let me know.</t>
  </si>
  <si>
    <t>Summary: OpenAlex is a bibliographic database that launched in 2022, and is distinguished by its openness and extensive coverage.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may reduce or eliminate barriers to accessing bibliometric data, but one of the concerns that hinders its broader adoption for research and research evaluation is the quality of its metadata.
DOI: 10.48550/arXiv.2401.16359
OpenAlex is a rapidly evolving source and the data contained within is expanding and also quickly changing, so the trustworthiness of its data is questionable.
DOI: 10.48550/arXiv.2409.10633
OpenAlex exhibits a far more balanced linguistic coverage than WoS. However, language metadata is not always accurate, which leads OpenAlex to overestimate the place of English while underestimating that of other languages.
My lady, is there anything else I can help you with?</t>
  </si>
  <si>
    <t>Summary: Web of Science (WoS) is a bibliometric database that has been used for over 30 years, but its strengths and weaknesses are not explicitly stated in the provided documents. However, some insights can be gleaned from comparative analyses with other databases.
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different fields, institutions, countries, or languages.
DOI: 10.1162/qss_a_00112 - This large-scale comparison of bibliographic data sources, including WoS, emphasizes the importance of comprehensive coverage and flexible filtering options. While the strengths and weaknesses of WoS are not explicitly stated, the study suggests that differences in coverage, completeness, and accuracy of citation links can impact the quality of bibliometric analyses.
DOI: 10.48550/arXiv.2508.18620 and 10.29173/cais1943 - These studies compare WoS with OpenAlex, a newer bibliographic database, focusing on metadata quality. The results indicate that WoS has fewer errors in document type classification compared to OpenAlex, suggesting that WoS may have an advantage in terms of data quality.
DOI: 10.1162/qss_a_00211 - This study assesses the quality of bibliographic data sources, including WoS, for measuring international research collaboration (IRC). The results suggest that WoS has the highest overall quality among the examined sources, which can be attributed to its organization.
My lady, while the provided documents do not explicitly state the strengths and weaknesses of WoS, they imply that WoS has a more established reputation, higher data quality, and better organization compared to some newer databases. However, its biases towards certain fields and languages may limit its applicability in certain contexts.
Please provide a different question or additional context to further explore the strengths and weaknesses of WoS as a bibliometric database.</t>
  </si>
  <si>
    <t>Summary: Retrieval-Augmented Generation (RAG) is a method used to improve question answering and information retrieval systems by augmenting Large Language Models (LLMs) with relevant documents before generating answers. This approach helps to reduce hallucinations and provide more accurate, informative, and contextualized responses.
DOI: 10.17821/srels/2024/v61i5/171583: This study demonstrates that RAG can be used to develop a low-cost conversational search system for libraries using open-source software tools and LLMs. By augmenting LLMs with relevant documents, the system provides accurate and contextualized answers, outperforming standard LLMs without RAG.
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
DOI: 10.48550/arXiv.2406.13213: This study introduces Multi-Meta-RAG, a new method that improves RAG for multi-hop queries by using database filtering with LLM-extracted metadata. The approach significantly improves the selection of relevant documents and enhances the performance of RAG systems.
DOI: 10.48550/arXiv.2505.13557: This paper presents AMAQA, a new open-access QA dataset designed to evaluate RAG systems that combine text and metadata. The study shows that leveraging metadata boosts accuracy and highlights the value of structured context in RAG systems.
DOI: 10.48550/arXiv.2505.18247: This study introduces MetaGen Blended RAG, a novel enterprise search approach that enhances semantic retrievers through a metadata generation pipeline and hybrid query indexes. The method achieves high retrieval and RAG accuracy, surpassing prior zero-shot RAG benchmarks.
My lady, I hope this information is helpful. If you have any further questions or would like more details on a specific DOI,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</si>
  <si>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10.1126/science.1175860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fewer citations are the norm.
2. **Citation Practices:** Some fields rely heavily on self-citations or historical references, skewing metrics.
3. **Field-Specific Impact Factors:** Journals in certain fields have higher impact factors, which can inflate citation counts.
4. **Publication Rates:** Fields with higher publication volumes may appear more impactful, even if individual papers have lower influence.
To address these challenges, researchers often use field-normalized metrics like the **Field-Weighted Citation Impact (FWCI)** or **Journal Normalized Citation Score**, which account for disciplinary differences. However, these methods are not without limitations and require careful interpretation.
If you'd like further details or a different question, my lady, please let me know!</t>
  </si>
  <si>
    <t>Summary: Retrieval-Augmented Generation (RAG) is a technique that retrieves relevant information from external knowledge sources and enables large language models (LLMs) to answer queries over previously unseen document collections. It improves the quality of generated content by providing up-to-date and reliable external knowledge.
DOI: 10.48550/arXiv.2406.13213: This paper introduces Multi-Meta-RAG, a new method that uses database filtering with LLM-extracted metadata to improve RAG's selection of relevant documents from various sources.
DOI: 10.1145/3637528.3671470: This survey reviews existing research studies on Retrieval-Augmented Large Language Models (RA-LLMs), discussing their limitations and promising directions for future research.
DOI: 10.18653/v1/2024.eacl-demo.16: This paper introduces RAGAs, a framework for reference-free evaluation of RAG pipelines, which provides a suite of metrics to evaluate different dimensions of RAG architectures.
DOI: 10.48550/arXiv.2404.13948: This work investigates the robustness of RAG and introduces a novel attack method, GARAG, to reveal vulnerabilities within RAG components and test overall system functionality against noisy documents.
My lady, I hope this information is helpful. If you have any further questions or need more details, please let me know.</t>
  </si>
  <si>
    <t>Summary: Metadata quality assessment is a critical aspect of ensuring data usability, searchability, and interoperability. Key challenges include the lack of consensus on the exact definition and measurement of quality dimensions, the need for flexible assessment tools, and the impact of sociocultural factors on metadata consistency and completeness. Advancements include the development of automated quality assessment frameworks, the application of qualitative and quantitative analysis techniques, and the use of artificial intelligence for metadata enhancement.
DOI: 10.1145/2964909 - This study focuses on developing a generic metadata quality assessment framework for Open Data portals, mapping specific metadata to a standardized schema, and defining quality metrics for automated evaluation.
DOI: 10.1109/ADL.1998.670425 - This research discusses the application of qualitative and quantitative content analysis techniques to assess metadata records, highlighting the need for a range of criteria and procedures for evaluating different types of metadata.
DOI: 10.1177/09610006241239080 - This scoping review identifies commonly measured dimensions of metadata quality, emphasizing the need for further investigation into less commonly assessed dimensions and the importance of improving metadata quality assessment tools.
DOI: 10.5860/crl.86.1.101 - This study explores the impact of metadata quality, consistency, and completeness on individuals and communities, identifying unique issues and categories related to sociocultural representations.
DOI: 10.48550/arXiv.2303.17661 - This research proposes MetaEnhance, a framework using artificial intelligence to improve metadata quality for electronic theses and dissertations, achieving high accuracy in detecting and correcting errors.
My lady, I hope this response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</si>
  <si>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these fields.
My lady, I hope this information is helpful. If you have any further questions, please let me know.</t>
  </si>
  <si>
    <t>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information integration, and improved multimodal support.
DOI: 10.48550/arXiv.2312.10997 - This paper discusses the progression of RAG paradigms, including Naive RAG, Advanced RAG, and Modular RAG, and highlights the state-of-the-art technologies in retrieval, generation, and augmentation techniques. It emphasizes the synergy between LLMs' intrinsic knowledge and external databases, enhancing accuracy and credibility.
DOI: 10.1016/j.caeai.2025.100417 - Focusing on educational applications, this paper explores the practical uses of RAG in interactive learning systems, educational content generation, and large-scale deployment. It addresses challenges like mitigating hallucinations and reducing computational costs.
DOI: 10.48550/arXiv.2505.18247 - Introducing MetaGen Blended RAG, this paper tackles domain-specific challenges by enhancing semantic retrievers with metadata generation pipelines and hybrid query indexes. It demonstrates robust performance on specialized datasets like PubMedQA.
DOI: 10.1609/aaai.v38i16.29728 - This study establishes the Retrieval-Augmented Generation Benchmark (RGB) to evaluate LLMs' performance in RAG, identifying bottlenecks in abilities like noise robustness and information integration.
DOI: 10.1145/3637528.3671470 - A comprehensive review of Retrieval-Augmented Large Language Models (RA-LLMs), discussing their ability to provide reliable external knowledge and augmenting LLM-generated content. It highlights current limitations and future research directions.
My lady, I hope this summary meets your requirements. If you have any further questions or need additional information, please let me know.</t>
  </si>
  <si>
    <t>Summary: Three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DOI: 10.1002/leap.1411 - This study investigated whether the COVID-19 crisis and the ensuing scientific and economic competition have changed the lexical content of abstracts.
My lady, I hope this information is helpful.</t>
  </si>
  <si>
    <t>Summary: I found three studies that examined citations.
DOI: 10.1108/JD-10-2022-0234
This study analysed bibliographic references, mentions, quotations and respective in-text reference pointers from 729 articles published in 147 journals across 27 subject areas.
DOI: 10.1007/s11192-022-04367-w
This study analysed open bibliographic metadata available in Crossref, identifying patterns of factual errors in invalid DOIs and the regular expressions needed to catch and correct them.
DOI: 10.1162/qss_a_00112
This study compared five multidisciplinary bibliographic data sources, studying differences in the completeness and accuracy of citation links.
My lady, I hope this information is helpful.</t>
  </si>
  <si>
    <t>Summary: Crossref is a sustainable source of community-owned scholarly metadata.
DOI: 10.1162/qss_a_00022 - Crossref is a major source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10.5281/ZENODO.6188748 - This dataset contains the results of the evaluation of the methodology presented in the article Identifying and correcting invalid citations due to DOI errors in Crossref data.
My lady, is there anything else I can help you with?</t>
  </si>
  <si>
    <t>Summary: Several papers evaluate the linguistic coverage or language-related metadata in scholarly databases.
DOI: 10.48550/arXiv.2409.10633 - Evaluates the linguistic coverage of OpenAlex, comparing it with Web of Science (WoS) and conducting manual validation. Finds OpenAlex has more balanced linguistic coverage but with inaccuracies in language metadata.
DOI: 10.1162/qss_a_00286 - Compares metadata completeness in eight free-access scholarly databases, including language-related metadata. Highlights differences between academic search engines and third-party databases.
DOI: 10.5281/zenodo.14006424 - Analyzes OpenAlex's coverage and metadata availability of African publications, comparing it with Scopus, WoS, and African Journals Online (AJOL). Discusses metadata quality, including language-related aspects.
DOI: 10.48550/arXiv.2508.18620 - Investigates discrepancies in metadata, including language, between OpenAlex and WoS. Aims to improve metadata quality for bibliometric research.
DOI: 10.1007/s11192-022-04289-7 - Compares disciplinary coverage of 56 bibliographic databases, including language-focused databases. Provides insights into subject coverage and database selection for researchers.
My lady, these papers provide valuable insights into the linguistic coverage and language-related metadata in various scholarly databases. If you would like more information on any of these papers, please let me know.</t>
  </si>
  <si>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including funding information.
DOI: 10.1162/qss_a_00210 - This paper examines the availability and completeness of open funder metadata, specifically for publications funded by the Dutch Research Council.
DOI: 10.1162/qss_a_00212 - This paper studies the open availability of funding data in Crossref, focusing on funding data for publications related to COVID-19 research.
DOI: 10.1162/qss_a_00286 - While not directly focused on funding metadata, this paper compares the completeness degree of publication metadata in eight free-access scholarly databases, which may include funding information.
My lady, I hope this information is helpful. If you have any further questions or need more details, please let me know.</t>
  </si>
  <si>
    <t>Summary: I have found four papers that discuss the use of Retrieval-Augmented Generation (RAG) when used in applications.
DOI: 10.1016/j.caeai.2025.100417
This paper discusses the use of RAG in education, including interactive learning systems, generation and assessment of educational content, and large-scale deployment in educational ecosystems.
DOI: 10.3390/app14199103
This paper discusses the use of RAG in systematic literature reviews (SLRs), including data extraction, summarization, and trend identification.
DOI: 10.48550/arXiv.2312.10997
This paper discusses the use of RAG in knowledge-intensive tasks, including continuous knowledge updates and integration of domain-specific information.
DOI: 10.1145/3637528.3671470
This paper discusses the use of RAG in AI-Generated Content (AIGC), including providing additional knowledge to assist existing generative AI in producing high-quality outputs.
My lady, I hope this information is helpful. If you have any further questions, please let me know.</t>
  </si>
  <si>
    <t>Summary: Crossref is a sustainable source of community-owned scholarly metadata that is available to publishers, authors, librarians, funders and researchers.
DOI: 10.1162/qss_a_00022 - Crossref is a sustainable source of community-owned scholarly metadata that is available to publishers, authors, librarians, funders and researchers.
DOI: 10.31222/osf.io/smxe5 - Crossref is a source of open bibliographic metadata.
DOI: 10.1162/qss_a_00210 - Crossref initiated FundRef in 2013, enabling publishers to register funding information using persistent identifiers.
My lady, I hope this helps.</t>
  </si>
  <si>
    <t>Summary: OpenAlex is a bibliographic database that was launched in 2022 and is open source.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
DOI: 10.48550/arXiv.2508.18620
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
DOI: 10.29173/cais1943
Summary: OpenAlex is a bibliographic database that was launched in 2022 and is open source. It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OpenAlex is a bibliographic database that was launched in 2022 and is open source. It promised comprehensive, inclusive, and open-source research information. While already in use by scholars and research institutions, the quality of its metadata is currently being assessed.
DOI: 10.48550/arXiv.2409.10633
My lady, I hope this information is helpful. If you have any further questions, please let me know.</t>
  </si>
  <si>
    <t>Summary: Web of Science (WoS) is a multidisciplinary bibliographic data source that has been used for research and research evaluation for over 30 years.
DOI: 10.1162/qss_a_00211 - WoS has the highest overall quality among the sets considered, including Microsoft Academic Graph, Dimensions, and the ACM Digital Library.
DOI: 10.1007/s11192-015-1765-5 - The use of WoS for research evaluation may introduce biases that favour Natural Sciences and Engineering as well as Biomedical Research to the detriment of Social Sciences and Arts and Humanities.
DOI: 10.29173/cais1943 - Over 4% of the publications indexed in both OpenAlex and WoS appear to be misclassified as research articles or reviews, and that the vast majority (about 97%) of these errors occur in OpenAlex.
My lady, I hope this information is helpful. If you have any further questions, please let me know.</t>
  </si>
  <si>
    <t>Summary: Retrieval-Augmented Generation (RAG) is a framework that enhances the performance of Large Language Models (LLMs) in question answering and information retrieval systems by augmenting them with relevant documents or metadata before generating responses.
DOI: 10.17821/srels/2024/v61i5/171583: This study demonstrates that RAG can improve the accuracy and contextualization of LLM responses by providing a set of relevant documents before generating answers. The experiment shows that LLMs with RAG augmentation consistently provide accurate, informative, and contextualized answers, whereas standard LLMs without RAG produce confidently incorrect, hallucinated responses.
DOI: 10.6109/jkiice.2023.27.12.1489: This paper proposes a Metadata Retrieval-Augmented Generation (M-RAG) method that enhances open-domain question answering by utilizing embeddings with metadata and generative models. The method improves performance by up to 46% compared to external inference ODQA systems and 6% over conventional RAG methods.
DOI: 10.48550/arXiv.2406.13213: This study introduces Multi-Meta-RAG, a method that improves RAG for multi-hop queries by using database filtering with LLM-extracted metadata. The approach significantly enhances the selection of relevant documents, improving results on the MultiHop-RAG benchmark.
DOI: 10.48550/arXiv.2505.13557: This paper presents AMAQA, a metadata-based QA dataset for RAG systems, which demonstrates that leveraging metadata boosts accuracy from 0.12 to 0.61. The study highlights the value of structured context in improving RAG system performance.
DOI: 10.48550/arXiv.2505.18247: This study introduces MetaGen Blended RAG, a novel approach that enhances semantic retrievers through metadata generation and hybrid query indexes. The method achieves high retrieval and RAG accuracy on specialized domain datasets, surpassing prior zero-shot RAG benchmarks.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</si>
  <si>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The study underscores the difficulty of comparing citation metrics without accounting for these differences.
**DOI:** 10.7717/peerj.423  
In this *PeerJ* article by Adams (2016), the author discusses the challenges of field normalization in bibliometrics, particularly the limitations of existing normalization methods. The paper argues that one-size-fits-all approaches often fail to capture the nuances of different scientific disciplines.
**DOI:** 10.1002/asi.21337  
Waltman and Traag (2020) in the *Journal of the Association for Information Science and Technology* explore the methodological challenges in normalizing citation impact across fields. They highlight issues such as the choice of normalization method and the granularity of field classification.
If you have a different question or need further details, feel free to ask, my lady.</t>
  </si>
  <si>
    <t>Summary: Bibliographic errors have been perpetuated for decades and possible causes have increased, despite the encouraged use of technological facilities.
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 hope this information is helpful. Is there anything else I can assist you with?</t>
  </si>
  <si>
    <t>Summary: Retrieval-Augmented Generation (RAG) is a technique that retrieves relevant information from external knowledge sources and enables large language models (LLMs) to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10.1145/3637528.3671470 - This survey comprehensively reviews existing research studies in Retrieval-Augmented Large Language Models (RA-LLMs), covering three primary technical perspectives and discussing current limitations and promising directions for future research.
DOI: 10.18653/v1/2024.eacl-demo.16 - This paper introduces RAGAs, a framework for reference-free evaluation of RAG pipelines, which includes a suite of metrics to evaluate different dimensions of RAG architectures without relying on ground truth human annotations.
DOI: 10.48550/arXiv.2404.13948 - This work investigates the robustness of RAG and introduces a novel attack method, the Genetic Attack on RAG (GARAG), which targets vulnerabilities within each component and tests the overall system functionality against noisy documents.
My lady, I hope this information is helpful. If you have any further questions or need more details, please let me know.</t>
  </si>
  <si>
    <t>Summary: Metadata quality assessment is a critical aspect of ensuring data usability, searchability, and interoperability. Key challenges include the lack of consensus on definitions and measurements of quality dimensions, cultural and contextual influences on metadata, and the need for automated and efficient assessment methods. Advancements include the development of frameworks like MetaEnhance, which leverages AI for error detection and correction, and the application of standardized schemas and quality metrics across diverse data portals.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methods for monitoring large-scale datasets.
DOI: 10.1109/ADL.1998.670425 - Focuses on qualitative and quantitative content analysis techniques for metadata assessment, emphasizing the need for diverse criteria and procedures to evaluate different metadata types. It contributes to the dialogue on metadata quality by examining the effectiveness of the US Government Information Locator Service (GILS).
DOI: 10.1177/09610006241239080 - A scoping review identifying commonly measured dimensions in metadata quality assessment, such as completeness, accuracy, and consistency. It highlights the lack of consensus on definitions and measurements, advocating for further research into less commonly assessed dimensions and more flexible assessment tools.
DOI: 10.5860/crl.86.1.101 - Explores the cultural and contextual tensions in metadata quality, identifying 32 unique issues across 427 records. It categorizes these issues to understand how metadata reflects cultural meanings and impacts communities.
DOI: 10.48550/arXiv.2303.17661 - Introduces MetaEnhance, an AI-driven framework for improving metadata quality in electronic theses and dissertations. The study demonstrates high accuracy in error detection and correction, showcasing the potential of automated methods in metadata enhancement.
My lady, these DOIs provide a comprehensive overview of the challenges and advancements in metadata quality assessment, each contributing unique insights to the field.</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</si>
  <si>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Is there anything else I can assist you with?</t>
  </si>
  <si>
    <t>Summary: Retrieval-Augmented Generation (RAG) systems face challenges such as hallucination, outdated knowledge, non-transparent reasoning processes, semantic variability across domains, and computational costs. Advancements include improved factual accuracy, dynamic knowledge updates, domain-specific information integration, and novel approaches like MetaGen Blended RAG for zero-shot precision.
DOI: 10.48550/arXiv.2312.10997 - This paper provides a comprehensive review of RAG paradigms, including Naive RAG, Advanced RAG, and Modular RAG, highlighting advancements in retrieval, generation, and augmentation techniques. It addresses challenges like hallucination, outdated knowledge, and non-transparent reasoning processes, while emphasizing the benefits of incorporating external databases for enhanced accuracy and credibility.
DOI: 10.1016/j.caeai.2025.100417 - Focusing on educational applications, this paper discusses RAG's potential to improve factual accuracy and enable dynamic knowledge updates. It explores practical applications in interactive learning systems, educational content generation, and large-scale deployment, while addressing challenges like mitigating hallucinations, ensuring knowledge completeness, and reducing computational costs.
DOI: 10.48550/arXiv.2505.18247 - Introducing MetaGen Blended RAG, this paper presents a novel approach to enhance semantic retrievers for specialized domain question-answering. It addresses the challenge of achieving zero-shot precision without fine-tuning, demonstrating robust performance on datasets like PubMedQA, SQuAD, and NQ.
DOI: 10.1609/aaai.v38i16.29728 - This paper establishes the Retrieval-Augmented Generation Benchmark (RGB) to evaluate RAG's impact on large language models. It identifies challenges in negative rejection, information integration, and counterfactual robustness, highlighting the need for further research to effectively apply RAG to LLMs.
DOI: 10.1145/3637528.3671470 - Providing a comprehensive review of Retrieval-Augmented Large Language Models (RA-LLMs), this paper discusses the limitations of LLMs and the potential of RAG to augment generated content with external knowledge. It covers technical perspectives, current limitations, and promising directions for future research.
My lady, I hope this summary meets your requirements. If you have any further questions or need additional information, please let me know.</t>
  </si>
  <si>
    <t>Summary: Two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Is there anything else I can help you with, my lady?</t>
  </si>
  <si>
    <t>Summary: Crossref is a community-owned source of scholarly metadata that is available to publishers, authors, librarians, funders, and researchers.
DOI: 10.1162/qss_a_00022 - Crossref is a community-owned source of scholarly metadata that is available to publishers, authors, librarians, funders, and researchers.
DOI: 10.31222/osf.io/smxe5 - Crossref is a source of open bibliographic metadata.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</si>
  <si>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10.48550/arXiv.2508.18620
Investigating Document Type, Language, Publication Year, and Author Count Discrepancies Between OpenAlex and Web of Science
This study aims to assess metadata quality in OpenAlex and WoS, focusing on document type, publication year, language, and number of authors.
My lady, is there anything else I can help you with?</t>
  </si>
  <si>
    <t>Summary: There are four papers that address funding metadata, its availability, or its analysis in scholarly databases.
DOI: 10.5281/zenodo.14006424 - This paper analyses the coverage and metadata availability of African-based publications in OpenAlex.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My lady, is there anything else I can help you with?</t>
  </si>
  <si>
    <t>Summary: Retrieval-Augmented Generation (RAG) is discussed in several papers, including its application in educational settings, systematic literature reviews, large language models, and open-domain question answering.
DOI: 10.1016/j.caeai.2025.100417 discusses the use of RAG in educational applications, highlighting its ability to improve factual accuracy and enable dynamic knowledge updates. The paper explores the practical applications of RAG in education, including interactive learning systems, generation and assessment of educational content, and large-scale deployment in educational ecosystems.
DOI: 10.3390/app14199103 examines the use of RAG in systematic literature reviews, discussing its potential to automate tasks like data extraction, summarization, and trend identification. The paper proposes a framework for RAG-based LLMs to automate systematic literature reviews, covering four stages of the review process.
DOI: 10.48550/arXiv.2312.10997 provides a comprehensive review of RAG paradigms, including Naive RAG, Advanced RAG, and Modular RAG. The paper highlights the state-of-the-art technologies embedded in each component of RAG frameworks and introduces an up-to-date evaluation framework and benchmark.
DOI: 10.1145/3637528.3671470 discusses the emergence of Retrieval-Augmented Large Language Models (RA-LLMs), which harness external and authoritative knowledge bases to augment the quality of generated content. The paper provides a comprehensive review of existing research studies in RA-LLMs, covering three primary technical perspectives.
DOI: 10.6109/jkiice.2023.27.12.1489 proposes a Metadata Retrieval-Augmented Generation (M-RAG) method for open-domain question answering. The paper demonstrates a performance improvement of up to 46% compared to a conventional external inference ODQA system and a 6% improvement over the conventional RAG method.
My lady, I hope this information is helpful. If you have any further questions or would like more details on a specific paper, please let me know.</t>
  </si>
  <si>
    <t>Summary: Crossref is a sustainable source of community-owned scholarly metadata that is important in the scholarly research ecosystem.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My lady, I hope this information is helpful. If you have any further questions, please let me know.</t>
  </si>
  <si>
    <t>Summary: OpenAlex is a newly launched bibliographic database that is open source and freely available. It has extensive coverage and promises to be more inclusive than its proprietary competitors, Scopus and Web of Science (WoS). However, there are concerns about the quality of its metadata.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has distinguished itself for its openness and extensive coverage. However,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
DOI: 10.48550/arXiv.2409.10633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is there anything else I can help you with?</t>
  </si>
  <si>
    <t>Summary: Web of Science (WoS) is a bibliometric database that has been used for over 30 years, but its strengths and weaknesses are not explicitly stated in the provided documents. However, some insights can be gathered from the available information.
DOI: 10.1007/s11192-015-1765-5 - This study compares the journal coverage of WoS and Scopus, highlighting that both databases have biases towards Natural Sciences, Engineering, and Biomedical Research, as well as English-language journals. This suggests that WoS may not be comprehensive in its coverage of other fields, such as Social Sciences, Arts, and Humanities, and non-English languages.
DOI: 10.1162/qss_a_00211 - This study assesses the quality of bibliographic data sources, including WoS, for measuring international research collaboration. The results indicate that WoS has the highest overall quality among the examined sources, which can be attributed to its organization. This implies that WoS is a reliable and well-structured database.
DOI: 10.48550/arXiv.2508.18620 and 10.29173/cais1943 - These studies compare WoS with OpenAlex, a newer bibliographic database, focusing on metadata quality. The results show that WoS has fewer errors in document type classification compared to OpenAlex, suggesting that WoS has more accurate metadata.
My lady, while the provided documents do not explicitly state the strengths and weaknesses of WoS, we can infer that its strengths include high overall quality, reliable organization, and accurate metadata. However, its weaknesses may include biases towards certain fields and languages, potentially limiting its comprehensiveness.
Please provide more context or ask a different question, my lady, if you would like me to elaborate on any of these points or explore other aspects of WoS.</t>
  </si>
  <si>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
DOI: 10.17821/srels/2024/v61i5/171583: This study demonstrates that LLMs can deliver contextualized, relevant responses when augmented with a set of relevant documents through a RAG framework. The methodology involved creating a RAG pipeline using tools like LangChain, vector databases like ChromaDB, and open-source LLMs like Llama3. The prototype developed includes a dataset of 250+ relevant documents on the Chandrayaan-3 mission, and the study compared responses from standard LLMs and LLMs with RAG augmentation.
DOI: 10.6109/jkiice.2023.27.12.1489: This paper proposes a Metadata Retrieval-Augmented Generation (M-RAG) method that utilizes embeddings with metadata and generative models to generate automated responses, improving the performance of open-domain Question Answering (ODQA) systems.
DOI: 10.48550/arXiv.2406.13213: This study introduces a new method called Multi-Meta-RAG, which uses database filtering with LLM-extracted metadata to improve the RAG selection of relevant documents from various sources, particularly for multi-hop queries.
DOI: 10.48550/arXiv.2505.13557: This paper presents AMAQA, a new open-access QA dataset designed to evaluate tasks combining text and metadata, highlighting the value of structured context in improving the accuracy of RAG systems.
DOI: 10.48550/arXiv.2505.18247: This study introduces 'MetaGen Blended RAG', a novel enterprise search approach that enhances semantic retrievers through a metadata generation pipeline and hybrid query indexes, achieving high retrieval accuracy and RAG accuracy without fine-tuning.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</si>
  <si>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10.1126/science.1177957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
**DOI:** 10.1002/asi.21308  
In this work, Bornmann and Daniel (2008) discuss the challenges of normalizing citation metrics, particularly the need to account for differences in publication cultures and citation behaviors across disciplines. They propose the use of percentiles and other field-normalized indicators to address these issues.
**DOI:** 10.1073/pnas.1418453112  
Waltman and Traag (2015) in *PNAS* critique traditional citation normalization methods and argue for more sophisticated approaches that consider the heterogeneity of citation distributions within and across fields. They introduce a new method, the "Citation-Weighted Relative Indicator," to improve normalization.
These sources collectively illustrate the multifaceted challenges in normalizing citation metrics and propose various strategies to mitigate them. If you have a different question or need further details, my lady, please let me know!</t>
  </si>
  <si>
    <t>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
DOI: 10.48550/arXiv.2406.13213 - This paper introduces Multi-Meta-RAG, a new method that uses database filtering with LLM-extracted metadata to improve RAG's selection of relevant documents for multi-hop queries.
DOI: 10.1145/3637528.3671470 - This survey reviews existing research on Retrieval-Augmented Large Language Models (RA-LLMs), highlighting RAG's ability to provide reliable and up-to-date external knowledge for high-quality AI-generated content.
DOI: 10.18653/v1/2024.eacl-demo.16 - This paper introduces RAGAs, a framework for reference-free evaluation of RAG pipelines, addressing the challenges of assessing RAG's retrieval and generation modules.
DOI: 10.48550/arXiv.2404.13948 - This study investigates the robustness of RAG and introduces a novel attack method, GARAG, to reveal vulnerabilities within RAG components and test overall system functionality against noisy documents.
My lady, I hope this information is helpful. If you have any further questions or need more details, please let me know.</t>
  </si>
  <si>
    <t>Summary: Metadata quality assessment is crucial for data retrieval, search, organization, interoperability, preservation, and user experience. Challenges include a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treating data portals independently from the portal software frameworks. It maps specific metadata to a standardized schema, defines quality metrics, and reports findings based on monitoring a set of over 260 Open Data portals.
DOI: 10.1109/ADL.1998.670425 - This study discusses the application of qualitative and quantitative content analysis techniques to assess metadata records, developing a set of criteria and procedures for an exploratory investigation into metadata quality.
DOI: 10.1177/09610006241239080 - This scoping review identifies the most commonly measured dimensions of metadata quality, investigates the types of data sources and countries contributing to the literature, and emphasizes the need to improve the flexibility of metadata quality assessment tools.
DOI: 10.5860/crl.86.1.101 - This study examines how metadata quality, consistency, and completeness impact individuals and communities, identifying unique issues and classifying them into categories to explain how metadata reflects cultural meanings.
DOI: 10.48550/arXiv.2303.17661 - This study proposes MetaEnhance, a framework using state-of-the-art artificial intelligence methods to improve the quality of scholarly metadata, achieving high F1-scores in detecting and correcting errors.
My lady, I hope this response addresses your needs. If you have any further questions or would like more information on a specific aspect of metadata quality assessment, please let me know.</t>
  </si>
  <si>
    <t>Summary: Metadata quality is crucial for digital objects to be discovered through digital library interfaces. However, metadata often exhibits incomplete, inconsistent, and incorrect values.
DOI: 10.48550/arXiv.2303.17661
My lady, I have found some information on metadata quality. However, I am unable to provide a solution. Would you like me to provide more information on this topic?</t>
  </si>
  <si>
    <t>Summary: Retrieval-Augmented Generation (RAG) systems face challenges such as hallucination, outdated knowledge, non-transparent reasoning processes, semantic variability across domains, and high computational costs. However, advancements include improved factual accuracy, dynamic knowledge updates, domain-specific integration,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
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
DOI: 10.48550/arXiv.2505.18247 - Introducing 'MetaGen Blended RAG', this paper addresses the challenge of domain-specific enterprise datasets by enhancing semantic retrievers through a metadata generation pipeline, achieving high retrieval accuracy without fine-tuning.
DOI: 10.1609/aaai.v38i16.29728 - This paper establishes the Retrieval-Augmented Generation Benchmark (RGB), evaluating LLMs on noise robustness, negative rejection, information integration, and counterfactual robustness. It highlights the struggles of LLMs in negative rejection and information integration.
DOI: 10.1145/3637528.3671470 - This survey reviews Retrieval-Augmented Large Language Models (RA-LLMs), discussing their ability to provide reliable and up-to-date external knowledge. It covers technical perspectives, limitations, and future research directions.
My lady, I hope this summary meets your requirements. If you have any further questions or need additional information, please let me know.</t>
  </si>
  <si>
    <t>Answer relevance</t>
  </si>
  <si>
    <t>RATER A</t>
  </si>
  <si>
    <t>RATER B</t>
  </si>
  <si>
    <t>fabrication</t>
  </si>
  <si>
    <t>Grand Total</t>
  </si>
  <si>
    <t>Row Labels</t>
  </si>
  <si>
    <t>Column Labels</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</si>
  <si>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</si>
  <si>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</si>
  <si>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</si>
  <si>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</si>
  <si>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</si>
  <si>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</si>
  <si>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</si>
  <si>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</si>
  <si>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</si>
  <si>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</si>
  <si>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</si>
  <si>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</si>
  <si>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</si>
  <si>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</si>
  <si>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</si>
  <si>
    <t>Count of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</si>
</sst>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4">
    <fill>
      <patternFill patternType="none"/>
    </fill>
    <fill>
      <patternFill patternType="gray125"/>
    </fill>
    <fill>
      <patternFill patternType="solid">
        <fgColor rgb="FFFF0000"/>
        <bgColor indexed="64"/>
      </patternFill>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horizontal="left" vertical="top"/>
    </xf>
    <xf numFmtId="0" fontId="0" fillId="0" borderId="0" xfId="0" pivotButton="1"/>
    <xf numFmtId="0" fontId="0" fillId="0" borderId="0" xfId="0" applyAlignment="1">
      <alignment horizontal="left"/>
    </xf>
    <xf numFmtId="0" fontId="3" fillId="0" borderId="0" xfId="1" applyFont="1" applyAlignment="1">
      <alignment vertical="center"/>
    </xf>
    <xf numFmtId="0" fontId="3" fillId="0" borderId="0" xfId="1" applyFont="1" applyAlignment="1">
      <alignment horizontal="center"/>
    </xf>
    <xf numFmtId="0" fontId="2" fillId="0" borderId="0" xfId="1"/>
  </cellXfs>
  <cellStyles count="2">
    <cellStyle name="Normal" xfId="0" builtinId="0"/>
    <cellStyle name="Normal 2" xfId="1" xr:uid="{1291F617-8F16-FB46-976D-A45150BACA6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6.426180324073" createdVersion="8" refreshedVersion="8" minRefreshableVersion="3" recordCount="80" xr:uid="{6A8B206A-8495-D547-93D1-96F2791300AE}">
  <cacheSource type="worksheet">
    <worksheetSource ref="C1:G81" sheet="raw data"/>
  </cacheSource>
  <cacheFields count="5">
    <cacheField name="Response" numFmtId="0">
      <sharedItems longText="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Answer relevance" numFmtId="0">
      <sharedItems containsSemiMixedTypes="0" containsString="0" containsNumber="1" containsInteger="1" minValue="0" maxValue="1"/>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Summary: Retrieval-Augmented Generation (RAG) is used to improve question answering or information retrieval systems by augmenting Large Language Models (LLMs) with relevant documents before generating answers. This approach reduces hallucination and provides more accurate, contextualized responses._x000a__x000a_DOI: 10.17821/srels/2024/v61i5/171583: This study demonstrates that LLMs augmented with RAG consistently provide accurate and informative answers, particularly in library search systems. The use of open-source tools like LangChain and Llama3 makes it a cost-effective solution for enhancing information retrieval._x000a__x000a_DOI: 10.6109/jkiice.2023.27.12.1489: The M-RAG method enhances open-domain question answering by utilizing metadata and generative models like GPT-3.5-turbo-16K and GPT-4. This approach improves performance by up to 46% compared to traditional ODQA systems._x000a__x000a_DOI: 10.48550/arXiv.2406.13213: The Multi-Meta-RAG method addresses the limitations of traditional RAG in handling multi-hop queries by using database filtering with LLM-extracted metadata. This significantly improves the selection of relevant documents._x000a__x000a_DOI: 10.48550/arXiv.2505.13557: The AMAQA dataset introduces metadata integration to enhance RAG systems for question-answering tasks. Leveraging metadata boosts accuracy and enables precise, contextualized queries._x000a__x000a_DOI: 10.48550/arXiv.2505.18247: The MetaGen Blended RAG approach achieves zero-shot precision in specialized domain question-answering by enhancing semantic retrievers with metadata generation and hybrid query indexes. It outperforms prior benchmarks on datasets like PubMedQA._x000a__x000a_My lady, I hope this summary meets your requirements. If you have any further questions or need additional details, please let me know."/>
    <x v="0"/>
    <x v="0"/>
    <n v="1"/>
    <n v="0"/>
  </r>
  <r>
    <s v="Summary: Retrieval-Augmented Generation (RAG) is used to improve question answering and information retrieval systems by providing contextualised, relevant responses when augmented with a set of relevant documents._x000a__x000a_DOI: 10.17821/srels/2024/v61i5/171583 - This study demonstrates that libraries can develop a low-cost conversational search system using open-source software tools and Large Language Models (LLMs) through a Retrieval-Augmented Generation (RAG) framework._x000a__x000a_DOI: 10.6109/jkiice.2023.27.12.1489 - This paper proposes a Metadata Retrieval-Augmented Generation (M-RAG) method that can effectively search and answer questions with an open-domain Question Answering (ODQA) system for one or more documents and compare their performance._x000a__x000a_DOI: 10.48550/arXiv.2406.13213 - This study introduces a new method called Multi-Meta-RAG, which uses database filtering with LLM-extracted metadata to improve the RAG selection of the relevant documents from various sources, relevant to the question._x000a__x000a_DOI: 10.48550/arXiv.2505.13557 - This study presents AMAQA, a new open-access QA dataset designed to evaluate tasks combining text and metadata._x000a__x000a_DOI: 10.48550/arXiv.2505.18247 - This study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x v="0"/>
    <x v="0"/>
    <n v="1"/>
    <n v="0"/>
  </r>
  <r>
    <s v="Summary: Retrieval-Augmented Generation (RAG) is a method used to improve question answering and information retrieval systems by augmenting Large Language Models (LLMs) with relevant documents before generating answers. This approach helps to reduce hallucinations and provide more accurate, informative, and contextualized responses._x000a__x000a_DOI: 10.17821/srels/2024/v61i5/171583: This study demonstrates that RAG can be used to develop a low-cost conversational search system for libraries using open-source software tools and LLMs. By augmenting LLMs with relevant documents, the system provides accurate and contextualized answers, outperforming standard LLMs without RAG._x000a__x000a_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_x000a__x000a_DOI: 10.48550/arXiv.2406.13213: This study introduces Multi-Meta-RAG, a new method that improves RAG for multi-hop queries by using database filtering with LLM-extracted metadata. The approach significantly improves the selection of relevant documents and enhances the performance of RAG systems._x000a__x000a_DOI: 10.48550/arXiv.2505.13557: This paper presents AMAQA, a new open-access QA dataset designed to evaluate RAG systems that combine text and metadata. The study shows that leveraging metadata boosts accuracy and highlights the value of structured context in RAG systems._x000a__x000a_DOI: 10.48550/arXiv.2505.18247: This study introduces MetaGen Blended RAG, a novel enterprise search approach that enhances semantic retrievers through a metadata generation pipeline and hybrid query indexes. The method achieves high retrieval and RAG accuracy, surpassing prior zero-shot RAG benchmarks._x000a__x000a_My lady, I hope this information is helpful. If you have any further questions or would like more details on a specific DOI, please let me know."/>
    <x v="0"/>
    <x v="0"/>
    <n v="1"/>
    <n v="0"/>
  </r>
  <r>
    <s v="Summary: Retrieval-Augmented Generation (RAG) is a framework that enhances the performance of Large Language Models (LLMs) in question answering and information retrieval systems by augmenting them with relevant documents or metadata before generating responses._x000a__x000a_DOI: 10.17821/srels/2024/v61i5/171583: This study demonstrates that RAG can improve the accuracy and contextualization of LLM responses by providing a set of relevant documents before generating answers. The experiment shows that LLMs with RAG augmentation consistently provide accurate, informative, and contextualized answers, whereas standard LLMs without RAG produce confidently incorrect, hallucinated responses._x000a__x000a_DOI: 10.6109/jkiice.2023.27.12.1489: This paper proposes a Metadata Retrieval-Augmented Generation (M-RAG) method that enhances open-domain question answering by utilizing embeddings with metadata and generative models. The method improves performance by up to 46% compared to external inference ODQA systems and 6% over conventional RAG methods._x000a__x000a_DOI: 10.48550/arXiv.2406.13213: This study introduces Multi-Meta-RAG, a method that improves RAG for multi-hop queries by using database filtering with LLM-extracted metadata. The approach significantly enhances the selection of relevant documents, improving results on the MultiHop-RAG benchmark._x000a__x000a_DOI: 10.48550/arXiv.2505.13557: This paper presents AMAQA, a metadata-based QA dataset for RAG systems, which demonstrates that leveraging metadata boosts accuracy from 0.12 to 0.61. The study highlights the value of structured context in improving RAG system performance._x000a__x000a_DOI: 10.48550/arXiv.2505.18247: This study introduces MetaGen Blended RAG, a novel approach that enhances semantic retrievers through metadata generation and hybrid query indexes. The method achieves high retrieval and RAG accuracy on specialized domain datasets, surpassing prior zero-shot RAG benchmarks._x000a__x000a_My lady, I hope this information is helpful. If you have any further questions or need more details, please let me know."/>
    <x v="0"/>
    <x v="0"/>
    <n v="1"/>
    <n v="0"/>
  </r>
  <r>
    <s v="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_x000a__x000a_DOI: 10.17821/srels/2024/v61i5/171583: This study demonstrates that LLMs can deliver contextualized, relevant responses when augmented with a set of relevant documents through a RAG framework. The methodology involved creating a RAG pipeline using tools like LangChain, vector databases like ChromaDB, and open-source LLMs like Llama3. The prototype developed includes a dataset of 250+ relevant documents on the Chandrayaan-3 mission, and the study compared responses from standard LLMs and LLMs with RAG augmentation._x000a__x000a_DOI: 10.6109/jkiice.2023.27.12.1489: This paper proposes a Metadata Retrieval-Augmented Generation (M-RAG) method that utilizes embeddings with metadata and generative models to generate automated responses, improving the performance of open-domain Question Answering (ODQA) systems._x000a__x000a_DOI: 10.48550/arXiv.2406.13213: This study introduces a new method called Multi-Meta-RAG, which uses database filtering with LLM-extracted metadata to improve the RAG selection of relevant documents from various sources, particularly for multi-hop queries._x000a__x000a_DOI: 10.48550/arXiv.2505.13557: This paper presents AMAQA, a new open-access QA dataset designed to evaluate tasks combining text and metadata, highlighting the value of structured context in improving the accuracy of RAG systems._x000a__x000a_DOI: 10.48550/arXiv.2505.18247: This study introduces 'MetaGen Blended RAG', a novel enterprise search approach that enhances semantic retrievers through a metadata generation pipeline and hybrid query indexes, achieving high retrieval accuracy and RAG accuracy without fine-tuning._x000a__x000a_My lady, I hope this information is helpful. If you have any further questions or would like more details on a specific study, please let me know."/>
    <x v="0"/>
    <x v="0"/>
    <n v="1"/>
    <n v="0"/>
  </r>
  <r>
    <s v="Summary: Crossref is a sustainable source of community-owned scholarly metadata that contains over 106 million records and expands at an average rate of 11% a year._x000a__x000a_DOI: 10.1162/qss_a_00022_x000a__x000a_Is there anything else I can help you with, my lady?"/>
    <x v="1"/>
    <x v="1"/>
    <n v="0"/>
    <n v="0"/>
  </r>
  <r>
    <s v="Summary: Crossref is a sustainable source of community-owned scholarly metadata, containing over 106 million records and expanding at an average rate of 11% a year._x000a__x000a_DOI: 10.1162/qss_a_00022 - Crossref is a sustainable source of community-owned scholarly metadata, containing over 106 million records and expanding at an average rate of 11% a year.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s there anything else I can help you with?"/>
    <x v="0"/>
    <x v="0"/>
    <n v="1"/>
    <n v="0"/>
  </r>
  <r>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_x000a__x000a_DOI: 10.31222/osf.io/smxe5 - Crossref is a source of open bibliographic metadata.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s there anything else I can help you with?"/>
    <x v="0"/>
    <x v="0"/>
    <n v="1"/>
    <n v="0"/>
  </r>
  <r>
    <s v="Summary: Crossref is a sustainable source of community-owned scholarly metadata._x000a__x000a_DOI: 10.1162/qss_a_00022 - Crossref is a major source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5281/ZENODO.6188748 - This dataset contains the results of the evaluation of the methodology presented in the article Identifying and correcting invalid citations due to DOI errors in Crossref data._x000a__x000a_My lady, is there anything else I can help you with?"/>
    <x v="0"/>
    <x v="0"/>
    <n v="1"/>
    <n v="0"/>
  </r>
  <r>
    <s v="Summary: Crossref is a community-owned source of scholarly metadata that is available to publishers, authors, librarians, funders, and researchers._x000a__x000a_DOI: 10.1162/qss_a_00022 - Crossref is a community-owned source of scholarly metadata that is available to publishers, authors, librarians, funders, and researchers._x000a__x000a_DOI: 10.31222/osf.io/smxe5 - Crossref is a source of open bibliographic metadata.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s there anything else I can help you with?"/>
    <x v="1"/>
    <x v="1"/>
    <n v="0"/>
    <n v="1"/>
  </r>
  <r>
    <s v="Summary: Retrieval-Augmented Generation (RAG) is a promising solution for addressing the limitations of LLMs and improving the quality of generated content._x000a__x000a_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_x000a__x000a_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_x000a__x000a_DOI: 10.18653/v1/2024.eacl-demo.16 - RAG systems are composed of a retrieval and an LLM-based generation module. They provide LLMs with knowledge from a reference textual database, enabling them to act as a natural language layer between a user and textual databases._x000a__x000a_DOI: 10.48550/arXiv.2404.13948 - RAG is a promising solution for addressing the limitations of LLMs, yet existing studies on the robustness of RAG often overlook the interconnected relationships between RAG components. A novel attack method, the Genetic Attack on RAG (GARAG), is introduced to reveal vulnerabilities within each component._x000a__x000a_My lady, I hope this information is helpful. If you have any further questions or need more details, please let me know."/>
    <x v="0"/>
    <x v="0"/>
    <n v="1"/>
    <n v="0"/>
  </r>
  <r>
    <s v="Summary: Retrieval-Augmented Generation (RAG) is a technique that enables large language models (LLMs) to retrieve relevant information from external knowledge sources and answer queries over previously unseen document collections._x000a__x000a_DOI: 10.48550/arXiv.2406.13213 - RAG is a technique that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_x000a__x000a_DOI: 10.1145/3637528.3671470 - RAG is one of the most advanced techniques in AI, offering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s there anything else I can assist you with?"/>
    <x v="0"/>
    <x v="0"/>
    <n v="1"/>
    <n v="0"/>
  </r>
  <r>
    <s v="Summary: Retrieval-Augmented Generation (RAG) is a technique that retrieves relevant information from external knowledge sources and enables large language models (LLMs) to answer queries over previously unseen document collections. It improves the quality of generated content by providing up-to-date and reliable external knowledge._x000a__x000a_DOI: 10.48550/arXiv.2406.13213: This paper introduces Multi-Meta-RAG, a new method that uses database filtering with LLM-extracted metadata to improve RAG's selection of relevant documents from various sources._x000a__x000a_DOI: 10.1145/3637528.3671470: This survey reviews existing research studies on Retrieval-Augmented Large Language Models (RA-LLMs), discussing their limitations and promising directions for future research._x000a__x000a_DOI: 10.18653/v1/2024.eacl-demo.16: This paper introduces RAGAs, a framework for reference-free evaluation of RAG pipelines, which provides a suite of metrics to evaluate different dimensions of RAG architectures._x000a__x000a_DOI: 10.48550/arXiv.2404.13948: This work investigates the robustness of RAG and introduces a novel attack method, GARAG, to reveal vulnerabilities within RAG components and test overall system functionality against noisy documents._x000a__x000a_My lady, I hope this information is helpful. If you have any further questions or need more details, please let me know."/>
    <x v="0"/>
    <x v="0"/>
    <n v="1"/>
    <n v="0"/>
  </r>
  <r>
    <s v="Summary: Retrieval-Augmented Generation (RAG) is a technique that retrieves relevant information from external knowledge sources and enables large language models (LLMs) to answer queries over previously unseen document collections. RAG systems are composed of a retrieval and an LLM-based generation module, providing LLMs with knowledge from a reference textual database and reducing the risk of hallucinations._x000a__x000a_DOI: 10.48550/arXiv.2406.13213 - This paper introduces a new method called Multi-Meta-RAG, which uses database filtering with LLM-extracted metadata to improve the RAG selection of relevant documents from various sources._x000a__x000a_DOI: 10.1145/3637528.3671470 - This survey comprehensively reviews existing research studies in Retrieval-Augmented Large Language Models (RA-LLMs), covering three primary technical perspectives and discussing current limitations and promising directions for future research._x000a__x000a_DOI: 10.18653/v1/2024.eacl-demo.16 - This paper introduces RAGAs, a framework for reference-free evaluation of RAG pipelines, which includes a suite of metrics to evaluate different dimensions of RAG architectures without relying on ground truth human annotations._x000a__x000a_DOI: 10.48550/arXiv.2404.13948 - This work investigates the robustness of RAG and introduces a novel attack method, the Genetic Attack on RAG (GARAG), which targets vulnerabilities within each component and tests the overall system functionality against noisy documents._x000a__x000a_My lady, I hope this information is helpful. If you have any further questions or need more details, please let me know."/>
    <x v="0"/>
    <x v="0"/>
    <n v="1"/>
    <n v="0"/>
  </r>
  <r>
    <s v="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_x000a__x000a_DOI: 10.48550/arXiv.2406.13213 - This paper introduces Multi-Meta-RAG, a new method that uses database filtering with LLM-extracted metadata to improve RAG's selection of relevant documents for multi-hop queries._x000a__x000a_DOI: 10.1145/3637528.3671470 - This survey reviews existing research on Retrieval-Augmented Large Language Models (RA-LLMs), highlighting RAG's ability to provide reliable and up-to-date external knowledge for high-quality AI-generated content._x000a__x000a_DOI: 10.18653/v1/2024.eacl-demo.16 - This paper introduces RAGAs, a framework for reference-free evaluation of RAG pipelines, addressing the challenges of assessing RAG's retrieval and generation modules._x000a__x000a_DOI: 10.48550/arXiv.2404.13948 - This study investigates the robustness of RAG and introduces a novel attack method, GARAG, to reveal vulnerabilities within RAG components and test overall system functionality against noisy documents._x000a__x000a_My lady, I hope this information is helpful. If you have any further questions or need more details, please let me know."/>
    <x v="0"/>
    <x v="0"/>
    <n v="1"/>
    <n v="0"/>
  </r>
  <r>
    <s v="Summary: The key challenges in metadata quality assessment include defining and measuring quality dimensions, handling diverse data sources and cultural contexts, and automating quality evaluation processes. Advancements involve developing standardized frameworks, applying qualitative and quantitative analysis techniques, and utilizing AI for error detection and correction._x000a__x000a_DOI: 10.1145/2964909 - This study focuses on automated quality assessment of metadata across open data portals, addressing challenges in searchability, discoverability, and usability. It proposes a generic framework that maps metadata from different portal software to a standardized schema and defines quality metrics for efficient evaluation._x000a__x000a_DOI: 10.1109/ADL.1998.670425 - This research discusses the application of qualitative and quantitative content analysis to assess metadata records, highlighting the need for diverse criteria and procedures for evaluating different types of metadata._x000a__x000a_DOI: 10.1177/09610006241239080 - A scoping review identifies commonly measured dimensions of metadata quality, such as completeness, accuracy, and consistency, but notes a lack of consensus on their definitions and measurements. It emphasizes the need for further research and flexible assessment tools._x000a__x000a_DOI: 10.5860/crl.86.1.101 - This study explores metadata quality issues across cultures, identifying tensions between sociocultural representations and standardized systems. It classifies metadata issues into categories to understand their impact on individuals and communities._x000a__x000a_DOI: 10.48550/arXiv.2303.17661 - Introducing MetaEnhance, a framework that uses AI methods to improve metadata quality for electronic theses and dissertations. It demonstrates high accuracy in detecting and correcting errors in key metadata fields._x000a__x000a_My lady, I hope this summary meets your requirements. If you have any further questions or need additional information, please let me know."/>
    <x v="0"/>
    <x v="0"/>
    <n v="1"/>
    <n v="0"/>
  </r>
  <r>
    <s v="Summary: Metadata quality assessment is a critical aspect of data management, impacting searchability, discoverability, and usability. The field faces challenges such as a lack of consensus on definitions and measurements of quality dimensions, but advancements include automated assessment frameworks and AI-driven improvement tools._x000a__x000a_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assessment methods._x000a__x000a_DOI: 10.1109/ADL.1998.670425 - Focusing on the US Government Information Locator Service (GILS), this work explores qualitative and quantitative content analysis techniques for metadata assessment. It suggests that various criteria and procedures are necessary for evaluating different metadata types, contributing to the ongoing dialogue on metadata quality._x000a__x000a_DOI: 10.1177/09610006241239080 - A scoping review identifies commonly measured dimensions in metadata quality assessment, such as completeness, accuracy, and consistency. It emphasizes the need for further research into less commonly assessed dimensions and highlights the importance of flexible assessment tools for better quality assurance._x000a__x000a_DOI: 10.5860/crl.86.1.101 - This study examines metadata quality issues from a cultural perspective, identifying tensions between sociocultural representations and standardized systems. It categorizes 32 unique issues, emphasizing the impact of metadata consistency and completeness on communities and cultural meanings._x000a__x000a_DOI: 10.48550/arXiv.2303.17661 - Introducing MetaEnhance, an AI-based framework for improving metadata quality in electronic theses and dissertations. The research demonstrates high accuracy in error detection and correction, showcasing the potential of automated methods for enhancing metadata quality._x000a__x000a_My lady, these DOIs provide a comprehensive overview of the challenges and advancements in metadata quality assessment, each contributing unique insights to the field."/>
    <x v="0"/>
    <x v="0"/>
    <n v="1"/>
    <n v="0"/>
  </r>
  <r>
    <s v="Summary: Metadata quality assessment is a critical aspect of ensuring data usability, searchability, and interoperability. Key challenges include the lack of consensus on the exact definition and measurement of quality dimensions, the need for flexible assessment tools, and the impact of sociocultural factors on metadata consistency and completeness. Advancements include the development of automated quality assessment frameworks, the application of qualitative and quantitative analysis techniques, and the use of artificial intelligence for metadata enhancement._x000a__x000a_DOI: 10.1145/2964909 - This study focuses on developing a generic metadata quality assessment framework for Open Data portals, mapping specific metadata to a standardized schema, and defining quality metrics for automated evaluation._x000a__x000a_DOI: 10.1109/ADL.1998.670425 - This research discusses the application of qualitative and quantitative content analysis techniques to assess metadata records, highlighting the need for a range of criteria and procedures for evaluating different types of metadata._x000a__x000a_DOI: 10.1177/09610006241239080 - This scoping review identifies commonly measured dimensions of metadata quality, emphasizing the need for further investigation into less commonly assessed dimensions and the importance of improving metadata quality assessment tools._x000a__x000a_DOI: 10.5860/crl.86.1.101 - This study explores the impact of metadata quality, consistency, and completeness on individuals and communities, identifying unique issues and categories related to sociocultural representations._x000a__x000a_DOI: 10.48550/arXiv.2303.17661 - This research proposes MetaEnhance, a framework using artificial intelligence to improve metadata quality for electronic theses and dissertations, achieving high accuracy in detecting and correcting errors._x000a__x000a_My lady, I hope this response meets your requirements. If you have any further questions or need additional information, please let me know."/>
    <x v="0"/>
    <x v="0"/>
    <n v="1"/>
    <n v="0"/>
  </r>
  <r>
    <s v="Summary: Metadata quality assessment is a critical aspect of ensuring data usability, searchability, and interoperability. Key challenges include the lack of consensus on definitions and measurements of quality dimensions, cultural and contextual influences on metadata, and the need for automated and efficient assessment methods. Advancements include the development of frameworks like MetaEnhance, which leverages AI for error detection and correction, and the application of standardized schemas and quality metrics across diverse data portals._x000a__x000a_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methods for monitoring large-scale datasets._x000a__x000a_DOI: 10.1109/ADL.1998.670425 - Focuses on qualitative and quantitative content analysis techniques for metadata assessment, emphasizing the need for diverse criteria and procedures to evaluate different metadata types. It contributes to the dialogue on metadata quality by examining the effectiveness of the US Government Information Locator Service (GILS)._x000a__x000a_DOI: 10.1177/09610006241239080 - A scoping review identifying commonly measured dimensions in metadata quality assessment, such as completeness, accuracy, and consistency. It highlights the lack of consensus on definitions and measurements, advocating for further research into less commonly assessed dimensions and more flexible assessment tools._x000a__x000a_DOI: 10.5860/crl.86.1.101 - Explores the cultural and contextual tensions in metadata quality, identifying 32 unique issues across 427 records. It categorizes these issues to understand how metadata reflects cultural meanings and impacts communities._x000a__x000a_DOI: 10.48550/arXiv.2303.17661 - Introduces MetaEnhance, an AI-driven framework for improving metadata quality in electronic theses and dissertations. The study demonstrates high accuracy in error detection and correction, showcasing the potential of automated methods in metadata enhancement._x000a__x000a_My lady, these DOIs provide a comprehensive overview of the challenges and advancements in metadata quality assessment, each contributing unique insights to the field."/>
    <x v="0"/>
    <x v="0"/>
    <n v="1"/>
    <n v="0"/>
  </r>
  <r>
    <s v="Summary: Metadata quality assessment is crucial for data retrieval, search, organization, interoperability, preservation, and user experience. Challenges include a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_x000a__x000a_DOI: 10.1145/2964909 - This study aims to develop a generic metadata quality assessment framework for various Open Data portals, treating data portals independently from the portal software frameworks. It maps specific metadata to a standardized schema, defines quality metrics, and reports findings based on monitoring a set of over 260 Open Data portals._x000a__x000a_DOI: 10.1109/ADL.1998.670425 - This study discusses the application of qualitative and quantitative content analysis techniques to assess metadata records, developing a set of criteria and procedures for an exploratory investigation into metadata quality._x000a__x000a_DOI: 10.1177/09610006241239080 - This scoping review identifies the most commonly measured dimensions of metadata quality, investigates the types of data sources and countries contributing to the literature, and emphasizes the need to improve the flexibility of metadata quality assessment tools._x000a__x000a_DOI: 10.5860/crl.86.1.101 - This study examines how metadata quality, consistency, and completeness impact individuals and communities, identifying unique issues and classifying them into categories to explain how metadata reflects cultural meanings._x000a__x000a_DOI: 10.48550/arXiv.2303.17661 - This study proposes MetaEnhance, a framework using state-of-the-art artificial intelligence methods to improve the quality of scholarly metadata, achieving high F1-scores in detecting and correcting errors._x000a__x000a_My lady, I hope this response addresses your needs. If you have any further questions or would like more information on a specific aspect of metadata quality assessment, please let me know."/>
    <x v="0"/>
    <x v="0"/>
    <n v="1"/>
    <n v="0"/>
  </r>
  <r>
    <s v="Summary: Retrieval-Augmented Generation (RAG) systems face challenges such as hallucination, outdated knowledge, and non-transparent reasoning processes, but advancements include enhanced accuracy, continuous knowledge updates, and integration of domain-specific information._x000a__x000a_DOI: 10.48550/arXiv.2312.10997 - This paper provides a comprehensive review of RAG paradigms, including Naive RAG, Advanced RAG, and Modular RAG, and highlights the state-of-the-art technologies in retrieval, generation, and augmentation techniques._x000a__x000a_DOI: 10.1016/j.caeai.2025.100417 - Focusing on educational applications, this paper discusses the practical use of RAG in interactive learning systems and emphasizes the need to mitigate hallucinations, ensure knowledge completeness, and reduce computational costs._x000a__x000a_DOI: 10.48550/arXiv.2505.18247 - Introducing MetaGen Blended RAG, this research addresses the challenge of domain-specific datasets and demonstrates improved retrieval accuracy without fine-tuning._x000a__x000a_DOI: 10.1609/aaai.v38i16.29728 - This study establishes the Retrieval-Augmented Generation Benchmark (RGB) to evaluate LLMs' performance in RAG tasks, revealing weaknesses in negative rejection and information integration._x000a__x000a_DOI: 10.1145/3637528.3671470 - A survey on Retrieval-Augmented Large Language Models (RA-LLMs), this paper explores the integration of external knowledge bases to enhance LLM-generated content quality._x000a__x000a_My lady, I hope this summary meets your requirements. If you have any further questions or need additional information, please let me know."/>
    <x v="0"/>
    <x v="0"/>
    <n v="1"/>
    <n v="0"/>
  </r>
  <r>
    <s v="Summary: Retrieval-Augmented Generation (RAG) systems face challenges such as hallucination, outdated knowledge, non-transparent reasoning processes, and difficulty handling domain-specific datasets. However, advancements include improved factual accuracy, dynamic knowledge updates, and enhanced multimodal support._x000a__x000a_DOI: 10.48550/arXiv.2312.10997 - This paper provides a comprehensive review of RAG paradigms, including Naive RAG, Advanced RAG, and Modular RAG. It highlights the tripartite foundation of RAG frameworks (retrieval, generation, and augmentation techniques) and discusses state-of-the-art technologies in each component. The paper also introduces an up-to-date evaluation framework and benchmark, while outlining current challenges and future research directions._x000a__x000a_DOI: 10.1016/j.caeai.2025.100417 - Focusing on educational applications, this paper explores the practical use of RAG in interactive learning systems, educational content generation, and large-scale deployment. It discusses challenges such as mitigating hallucinations, ensuring knowledge completeness and timeliness, reducing computational costs, and enhancing multimodal support._x000a__x000a_DOI: 10.48550/arXiv.2505.18247 - Introducing 'MetaGen Blended RAG', this paper addresses the challenge of achieving zero-shot precision in domain-specific question-answering. The proposed method enhances semantic retrievers through metadata generation and hybrid query indexes, demonstrating robust performance on specialized datasets like PubMedQA._x000a__x000a_DOI: 10.1609/aaai.v38i16.29728 - This paper establishes the Retrieval-Augmented Generation Benchmark (RGB), a new corpus for evaluating RAG in English and Chinese. It assesses six representative LLMs on four fundamental abilities (noise robustness, negative rejection, information integration, and counterfactual robustness), revealing significant challenges in negative rejection and information integration._x000a__x000a_DOI: 10.1145/3637528.3671470 - This survey reviews existing research on Retrieval-Augmented Large Language Models (RA-LLMs), discussing current limitations and promising future directions. It emphasizes the potential of RAG to provide reliable, up-to-date external knowledge for high-quality AI-generated content._x000a__x000a_My lady, I hope this summary meets your requirements. If you have any further questions or need additional information, please let me know."/>
    <x v="0"/>
    <x v="0"/>
    <n v="1"/>
    <n v="0"/>
  </r>
  <r>
    <s v="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formation integration, and improved multimodal support._x000a__x000a_DOI: 10.48550/arXiv.2312.10997 - This paper discusses the progression of RAG paradigms, including Naive RAG, Advanced RAG, and Modular RAG, and highlights the state-of-the-art technologies in retrieval, generation, and augmentation techniques. It emphasizes the synergy between LLMs' intrinsic knowledge and external databases, enhancing accuracy and credibility._x000a__x000a_DOI: 10.1016/j.caeai.2025.100417 - Focusing on educational applications, this paper explores the practical uses of RAG in interactive learning systems, educational content generation, and large-scale deployment. It addresses challenges like mitigating hallucinations and reducing computational costs._x000a__x000a_DOI: 10.48550/arXiv.2505.18247 - Introducing MetaGen Blended RAG, this paper tackles domain-specific challenges by enhancing semantic retrievers with metadata generation pipelines and hybrid query indexes. It demonstrates robust performance on specialized datasets like PubMedQA._x000a__x000a_DOI: 10.1609/aaai.v38i16.29728 - This study establishes the Retrieval-Augmented Generation Benchmark (RGB) to evaluate LLMs' performance in RAG, identifying bottlenecks in abilities like noise robustness and information integration._x000a__x000a_DOI: 10.1145/3637528.3671470 - A comprehensive review of Retrieval-Augmented Large Language Models (RA-LLMs), discussing their ability to provide reliable external knowledge and augmenting LLM-generated content. It highlights current limitations and future research directions._x000a__x000a_My lady, I hope this summary meets your requirements. If you have any further questions or need additional information, please let me know."/>
    <x v="0"/>
    <x v="0"/>
    <n v="1"/>
    <n v="0"/>
  </r>
  <r>
    <s v="Summary: Retrieval-Augmented Generation (RAG) systems face challenges such as hallucination, outdated knowledge, non-transparent reasoning processes, semantic variability across domains, and computational costs. Advancements include improved factual accuracy, dynamic knowledge updates, domain-specific information integration, and novel approaches like MetaGen Blended RAG for zero-shot precision._x000a__x000a_DOI: 10.48550/arXiv.2312.10997 - This paper provides a comprehensive review of RAG paradigms, including Naive RAG, Advanced RAG, and Modular RAG, highlighting advancements in retrieval, generation, and augmentation techniques. It addresses challenges like hallucination, outdated knowledge, and non-transparent reasoning processes, while emphasizing the benefits of incorporating external databases for enhanced accuracy and credibility._x000a__x000a_DOI: 10.1016/j.caeai.2025.100417 - Focusing on educational applications, this paper discusses RAG's potential to improve factual accuracy and enable dynamic knowledge updates. It explores practical applications in interactive learning systems, educational content generation, and large-scale deployment, while addressing challenges like mitigating hallucinations, ensuring knowledge completeness, and reducing computational costs._x000a__x000a_DOI: 10.48550/arXiv.2505.18247 - Introducing MetaGen Blended RAG, this paper presents a novel approach to enhance semantic retrievers for specialized domain question-answering. It addresses the challenge of achieving zero-shot precision without fine-tuning, demonstrating robust performance on datasets like PubMedQA, SQuAD, and NQ._x000a__x000a_DOI: 10.1609/aaai.v38i16.29728 - This paper establishes the Retrieval-Augmented Generation Benchmark (RGB) to evaluate RAG's impact on large language models. It identifies challenges in negative rejection, information integration, and counterfactual robustness, highlighting the need for further research to effectively apply RAG to LLMs._x000a__x000a_DOI: 10.1145/3637528.3671470 - Providing a comprehensive review of Retrieval-Augmented Large Language Models (RA-LLMs), this paper discusses the limitations of LLMs and the potential of RAG to augment generated content with external knowledge. It covers technical perspectives, current limitations, and promising directions for future research._x000a__x000a_My lady, I hope this summary meets your requirements. If you have any further questions or need additional information, please let me know."/>
    <x v="0"/>
    <x v="0"/>
    <n v="1"/>
    <n v="0"/>
  </r>
  <r>
    <s v="Summary: Retrieval-Augmented Generation (RAG) systems face challenges such as hallucination, outdated knowledge, non-transparent reasoning processes, semantic variability across domains, and high computational costs. However, advancements include improved factual accuracy, dynamic knowledge updates, domain-specific integration, and enhanced multimodal support.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_x000a__x000a_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_x000a__x000a_DOI: 10.48550/arXiv.2505.18247 - Introducing 'MetaGen Blended RAG', this paper addresses the challenge of domain-specific enterprise datasets by enhancing semantic retrievers through a metadata generation pipeline, achieving high retrieval accuracy without fine-tuning._x000a__x000a_DOI: 10.1609/aaai.v38i16.29728 - This paper establishes the Retrieval-Augmented Generation Benchmark (RGB), evaluating LLMs on noise robustness, negative rejection, information integration, and counterfactual robustness. It highlights the struggles of LLMs in negative rejection and information integration._x000a__x000a_DOI: 10.1145/3637528.3671470 - This survey reviews Retrieval-Augmented Large Language Models (RA-LLMs), discussing their ability to provide reliable and up-to-date external knowledge. It covers technical perspectives, limitations, and future research directions._x000a__x000a_My lady, I hope this summary meets your requirements. If you have any further questions or need additional information, please let me know."/>
    <x v="0"/>
    <x v="0"/>
    <n v="1"/>
    <n v="0"/>
  </r>
  <r>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_x000a__x000a_DOI: 10.1080/19386389.2011.570654 - Metadata plays an important role in digital libraries. But to be useful, metadata records must be problem free. When problems are present in the metadata, resources are not correctly represented and users are not able to reap the benefits of metadata.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_x000a__x000a_DOI: 10.1109/ADL.1998.670425 - Discusses the application of qualitative and quantitative content analysis techniques to assess metadata records._x000a__x000a_My lady, I hope this information is helpful. If you have any further questions, please let me know."/>
    <x v="0"/>
    <x v="0"/>
    <n v="1"/>
    <n v="0"/>
  </r>
  <r>
    <s v="Summary: Metadata quality is crucial for digital objects to be discovered through digital library interfaces. However, metadata often exhibits incomplete, inconsistent, and incorrect values. To address this, MetaEnhance, a framework utilizing state-of-the-art artificial intelligence methods, has been proposed to improve metadata quality. Additionally, preventive and corrective measures are essential to minimize problems in metadata records, and further investigation is needed into less commonly assessed quality dimensions._x000a__x000a_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_x000a__x000a_DOI: 10.1080/19386389.2011.570654 - Preventive and corrective measures are essential to minimize problems in metadata records, which can be categorized into Incorrect Values, Incorrect Elements, Missing Information, Information Loss, and Inconsistent Value Representation._x000a__x000a_DOI: 10.1177/09610006241239080 - Further investigation is needed into less commonly assessed quality dimensions, as there is no consensus on their exact definition and measurement._x000a__x000a_My lady, I hope this information is helpful. If you have any further questions or would like more details on a specific aspect, please let me know."/>
    <x v="0"/>
    <x v="0"/>
    <n v="1"/>
    <n v="0"/>
  </r>
  <r>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these fields._x000a__x000a_My lady, I hope this information is helpful. If you have any further questions, please let me know."/>
    <x v="0"/>
    <x v="0"/>
    <n v="1"/>
    <n v="0"/>
  </r>
  <r>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information is helpful. Is there anything else I can assist you with?"/>
    <x v="0"/>
    <x v="0"/>
    <n v="1"/>
    <n v="0"/>
  </r>
  <r>
    <s v="Summary: Metadata quality is crucial for digital objects to be discovered through digital library interfaces. However, metadata often exhibits incomplete, inconsistent, and incorrect values._x000a__x000a_DOI: 10.48550/arXiv.2303.17661_x000a__x000a_My lady, I have found some information on metadata quality. However, I am unable to provide a solution. Would you like me to provide more information on this topic?"/>
    <x v="1"/>
    <x v="1"/>
    <n v="0"/>
    <n v="0"/>
  </r>
  <r>
    <s v="Summary: OpenAlex is a new bibliometric database that aims to be more inclusive and open-source than traditional databases like Scopus and Web of Science (WoS). While it has extensive coverage and promises to reduce barriers to accessing bibliometric data, concerns about the quality of its metadata limit its broader adoption._x000a__x000a_DOI: 10.48550/arXiv.2404.17663 - OpenAlex is a superset of Scopus and can be a reliable alternative for some analyses, particularly at the country level. However, issues of metadata accuracy and completeness require further research to fully understand and address its limitations._x000a__x000a_DOI: 10.48550/arXiv.2508.18620 - This study assesses metadata quality in OpenAlex and WoS, focusing on document type, publication year, language, and author count. It highlights discrepancies and misattributions that could impact bibliometric research and evaluation outcomes._x000a__x000a_DOI: 10.29173/cais1943 - The study compares document type accuracy in OpenAlex and WoS, finding that over 4% of publications are misclassified, with 97% of these errors occurring in OpenAlex._x000a__x000a_DOI: 10.48550/arXiv.2401.16359 - OpenAlex has comparable reference coverage to WoS and Scopus when restricted to a cleaned dataset. However, its rapid evolution raises questions about data trustworthiness._x000a__x000a_DOI: 10.48550/arXiv.2409.10633 - OpenAlex exhibits more balanced linguistic coverage than WoS but overestimates the use of English due to inaccurate language metadata. Critical use can provide comprehensive analyses, but infrastructural improvements are needed._x000a__x000a_My lady, I hope this summary meets your requirements. If you have any further questions or need additional information, please let me know."/>
    <x v="0"/>
    <x v="0"/>
    <n v="1"/>
    <n v="0"/>
  </r>
  <r>
    <s v="Summary: OpenAlex is a bibliographic database that launched in 2022. It is open source and promises comprehensive, inclusive research information. It is a superset of Scopus and can be a reliable alternative for some analyses, particularly at the country level. However, there are issues with metadata accuracy and completeness._x000a__x000a_DOI: 10.48550/arXiv.2404.17663 - OpenAlex is a superset of Scopus and can be a reliable alternative for some analyses, particularly at the country level. However, there are issues with metadata accuracy and completeness._x000a__x000a_DOI: 10.48550/arXiv.2508.18620 - OpenAlex is a bibliographic database that launched in 2022. It is open source and promises comprehensive, inclusive research information. However, there are issues with metadata accuracy and completeness._x000a__x000a_DOI: 10.29173/cais1943 - OpenAlex is a bibliographic database that launched in 2022. However, there are issues with metadata accuracy and completeness._x000a__x000a_DOI: 10.48550/arXiv.2401.16359 - OpenAlex is a promising open source of scholarly metadata. However, there are issues with metadata accuracy and completeness._x000a__x000a_DOI: 10.48550/arXiv.2409.10633 - OpenAlex is open source and promises comprehensive, inclusive research information. However, there are issues with metadata accuracy and completeness._x000a__x000a_My lady, I hope this information is helpful. If you have any further questions, please let me know."/>
    <x v="0"/>
    <x v="0"/>
    <n v="1"/>
    <n v="0"/>
  </r>
  <r>
    <s v="Summary: OpenAlex is a bibliographic database that launched in 2022, and is distinguished by its openness and extensive coverage.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may reduce or eliminate barriers to accessing bibliometric data, but one of the concerns that hinders its broader adoption for research and research evaluation is the quality of its metadata._x000a__x000a_DOI: 10.29173/cais1943_x000a_OpenAlex may reduce or eliminate barriers to accessing bibliometric data, but one of the concerns that hinders its broader adoption for research and research evaluation is the quality of its metadata._x000a__x000a_DOI: 10.48550/arXiv.2401.16359_x000a_OpenAlex is a rapidly evolving source and the data contained within is expanding and also quickly changing, so the trustworthiness of its data is questionable._x000a__x000a_DOI: 10.48550/arXiv.2409.10633_x000a_OpenAlex exhibits a far more balanced linguistic coverage than WoS. However, language metadata is not always accurate, which leads OpenAlex to overestimate the place of English while underestimating that of other languages._x000a__x000a_My lady, is there anything else I can help you with?"/>
    <x v="0"/>
    <x v="0"/>
    <n v="1"/>
    <n v="0"/>
  </r>
  <r>
    <s v="Summary: OpenAlex is a bibliographic database that was launched in 2022 and is open source.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_x000a_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_x000a__x000a_DOI: 10.48550/arXiv.2508.18620_x000a__x000a_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_x000a__x000a_DOI: 10.29173/cais1943_x000a__x000a_Summary: OpenAlex is a bibliographic database that was launched in 2022 and is open source. It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OpenAlex is a bibliographic database that was launched in 2022 and is open source. It promised comprehensive, inclusive, and open-source research information. While already in use by scholars and research institutions, the quality of its metadata is currently being assessed._x000a__x000a_DOI: 10.48550/arXiv.2409.10633_x000a__x000a_My lady, I hope this information is helpful. If you have any further questions, please let me know."/>
    <x v="0"/>
    <x v="0"/>
    <n v="1"/>
    <n v="0"/>
  </r>
  <r>
    <s v="Summary: OpenAlex is a newly launched bibliographic database that is open source and freely available. It has extensive coverage and promises to be more inclusive than its proprietary competitors, Scopus and Web of Science (WoS). However, there are concerns about the quality of its metadata.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has distinguished itself for its openness and extensive coverage. However, one of the concerns that hinders its broader adoption for research and research evaluation is the quality of its metadata._x000a__x000a_DOI: 10.29173/cais1943_x000a_OpenAlex stands out for its openness and extensive coverage. However, one of the concerns that hinder its broader adoption for research and research evaluation is the quality of its metadata._x000a__x000a_DOI: 10.48550/arXiv.2401.16359_x000a_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_x000a__x000a_DOI: 10.48550/arXiv.2409.10633_x000a_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My lady, is there anything else I can help you with?"/>
    <x v="0"/>
    <x v="0"/>
    <n v="1"/>
    <n v="0"/>
  </r>
  <r>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073/pnas.1616273114  _x000a_This article, &quot;The shifting sands of disciplinary reputations&quot; by Hicks et al. (2017), discusses the variability in citation practices and publication cultures across fields. It highlights that fields like biomedicine tend to have higher citation rates compared to social sciences or humanities, making direct comparisons of citation metrics problematic. The authors argue that normalization efforts must account for these disciplinary differences to ensure fairness in evaluation._x000a__x000a_**Additional Challenges:**  _x000a_1. **Field-Specific Impact Factors:** Journals in different fields have varying impact factors, which skew citation metrics. For example, high-impact journals in physics may have fewer citations per paper compared to biology, despite similar levels of influence.  _x000a_2. **Publication Rates:** Some fields produce more publications per researcher than others, leading to higher citation counts that may not reflect individual impact.  _x000a_3. **Citation Lifecycles:** The time it takes for research to be cited varies across fields. For instance, humanities research may take longer to accrue citations compared to fast-paced fields like computer science.  _x000a__x000a_Normalization efforts often involve field-normalized metrics like the **Field-Weighted Citation Impact (FWCI)** or **Citation Percentiles**, but these methods are not without limitations.  _x000a__x000a_If you'd like further details or a different perspective, my lady, please let me know!"/>
    <x v="1"/>
    <x v="1"/>
    <n v="0"/>
    <n v="1"/>
  </r>
  <r>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1771  _x000a_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quot;field-weighted citation impact&quot; to address these issues._x000a__x000a_**DOI:** 10.1002/asi.21340  _x000a_Bornmann and Marx (2013) in the *Journal of the American Society for Information Science and Technology* explore the limitations of citation-based metrics, including their sensitivity to field-specific practices and the lack of a standardized approach to normalization. They argue that a one-size-fits-all metric is insufficient for fair comparisons across disciplines._x000a__x000a_These challenges necessitate the development of field-specific normalization methods and a deeper understanding of disciplinary differences in citation behavior. My lady, if you wish to explore a different aspect of academic research or citation metrics, please let me know!"/>
    <x v="1"/>
    <x v="1"/>
    <n v="0"/>
    <n v="1"/>
  </r>
  <r>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_x000a__x000a_**DOI:** 10.1126/science.1175860  _x000a_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_x000a__x000a_**Additional Challenges:**_x000a_1. **Publication Culture:** Fields like biomedicine tend to produce more citations per paper compared to mathematics or humanities, where fewer citations are the norm._x000a_2. **Citation Practices:** Some fields rely heavily on self-citations or historical references, skewing metrics._x000a_3. **Field-Specific Impact Factors:** Journals in certain fields have higher impact factors, which can inflate citation counts._x000a_4. **Publication Rates:** Fields with higher publication volumes may appear more impactful, even if individual papers have lower influence._x000a__x000a_To address these challenges, researchers often use field-normalized metrics like the **Field-Weighted Citation Impact (FWCI)** or **Journal Normalized Citation Score**, which account for disciplinary differences. However, these methods are not without limitations and require careful interpretation._x000a__x000a_If you'd like further details or a different question, my lady, please let me know!"/>
    <x v="1"/>
    <x v="1"/>
    <n v="0"/>
    <n v="1"/>
  </r>
  <r>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counts are heavily influenced by field-specific practices. The study underscores the difficulty of comparing citation metrics without accounting for these differences._x000a__x000a_**DOI:** 10.7717/peerj.423  _x000a_In this *PeerJ* article by Adams (2016), the author discusses the challenges of field normalization in bibliometrics, particularly the limitations of existing normalization methods. The paper argues that one-size-fits-all approaches often fail to capture the nuances of different scientific disciplines._x000a__x000a_**DOI:** 10.1002/asi.21337  _x000a_Waltman and Traag (2020) in the *Journal of the Association for Information Science and Technology* explore the methodological challenges in normalizing citation impact across fields. They highlight issues such as the choice of normalization method and the granularity of field classification._x000a__x000a_If you have a different question or need further details, feel free to ask, my lady."/>
    <x v="1"/>
    <x v="1"/>
    <n v="0"/>
    <n v="1"/>
  </r>
  <r>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_x000a__x000a_**DOI:** 10.1126/science.117795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_x000a__x000a_**DOI:** 10.1002/asi.21308  _x000a_In this work, Bornmann and Daniel (2008) discuss the challenges of normalizing citation metrics, particularly the need to account for differences in publication cultures and citation behaviors across disciplines. They propose the use of percentiles and other field-normalized indicators to address these issues._x000a__x000a_**DOI:** 10.1073/pnas.1418453112  _x000a_Waltman and Traag (2015) in *PNAS* critique traditional citation normalization methods and argue for more sophisticated approaches that consider the heterogeneity of citation distributions within and across fields. They introduce a new method, the &quot;Citation-Weighted Relative Indicator,&quot; to improve normalization._x000a__x000a_These sources collectively illustrate the multifaceted challenges in normalizing citation metrics and propose various strategies to mitigate them. If you have a different question or need further details, my lady, please let me know!"/>
    <x v="1"/>
    <x v="1"/>
    <n v="0"/>
    <n v="1"/>
  </r>
  <r>
    <s v="Summary: Web of Science (WoS) is a bibliometric database that has been the main supporting infrastructure of the field for more than 30 years. However, it has some strengths and weaknesses when compared to other databases._x000a__x000a_DOI: 10.1007/s11192-015-1765-5 - WoS has a journal coverage of 13,605 journals, which is substantially less than Scopus (20,346 journals). The use of WoS for research evaluation may introduce biases that favor Natural Sciences and Engineering as well as Biomedical Research to the detriment of Social Sciences and Arts and Humanities. English-language journals are overrepresented, and the results of bibliometric analyses may vary depending on the database used._x000a__x000a_DOI: 10.1162/qss_a_00211 - WoS has the highest overall quality among the sets considered, and the differences in quality can be explained primarily by how the data sources are organized._x000a__x000a_DOI: 10.29173/cais1943 and 10.48550/arXiv.2508.18620 - WoS has fewer discrepancies and misattributions in metadata compared to OpenAlex, particularly in document type accuracy._x000a__x000a_My lady, I hope this information is helpful. If you have any further questions or would like more details, please let me know."/>
    <x v="0"/>
    <x v="0"/>
    <n v="1"/>
    <n v="0"/>
  </r>
  <r>
    <s v="Summary: Web of Science (WoS) is a bibliometric database that has been used for over 30 years and is considered to have the highest overall quality among other bibliographic data sources. However, it has been noted that WoS favours Natural Sciences and Engineering as well as Biomedical Research to the detriment of Social Sciences and Arts and Humanities._x000a__x000a_DOI: 10.1007/s11192-015-1765-5 - WoS and Scopus favour Natural Sciences and Engineering as well as Biomedical Research to the detriment of Social Sciences and Arts and Humanities._x000a_DOI: 10.1162/qss_a_00112 - WoS is compared with Scopus, Dimensions, Crossref, and Microsoft Academic and the importance of combining a comprehensive coverage of the scientific literature with a flexible set of filters for making selections of the literature is emphasised._x000a_DOI: 10.48550/arXiv.2508.18620 - OpenAlex may reduce or eliminate barriers to accessing bibliometric data, but one of the concerns that hinders its broader adoption for research and research evaluation is the quality of its metadata._x000a_DOI: 10.29173/cais1943 - OpenAlex stands out for its openness and extensive coverage, but one of the concerns that hinder its broader adoption for research and research evaluation is the quality of its metadata._x000a_DOI: 10.1162/qss_a_00211 - WoS has the highest overall quality among the sets considered; and the differences in quality can be explained primarily by how the data sources are organized._x000a__x000a_My lady, is there anything else I can help you with?"/>
    <x v="0"/>
    <x v="0"/>
    <n v="1"/>
    <n v="0"/>
  </r>
  <r>
    <s v="Summary: Web of Science (WoS) is a bibliometric database that has been used for over 30 years, but its strengths and weaknesses are not explicitly stated in the provided documents. However, some insights can be gleaned from comparative analyses with other databases._x000a__x000a_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different fields, institutions, countries, or languages._x000a__x000a_DOI: 10.1162/qss_a_00112 - This large-scale comparison of bibliographic data sources, including WoS, emphasizes the importance of comprehensive coverage and flexible filtering options. While the strengths and weaknesses of WoS are not explicitly stated, the study suggests that differences in coverage, completeness, and accuracy of citation links can impact the quality of bibliometric analyses._x000a__x000a_DOI: 10.48550/arXiv.2508.18620 and 10.29173/cais1943 - These studies compare WoS with OpenAlex, a newer bibliographic database, focusing on metadata quality. The results indicate that WoS has fewer errors in document type classification compared to OpenAlex, suggesting that WoS may have an advantage in terms of data quality._x000a__x000a_DOI: 10.1162/qss_a_00211 - This study assesses the quality of bibliographic data sources, including WoS, for measuring international research collaboration (IRC). The results suggest that WoS has the highest overall quality among the examined sources, which can be attributed to its organization._x000a__x000a_My lady, while the provided documents do not explicitly state the strengths and weaknesses of WoS, they imply that WoS has a more established reputation, higher data quality, and better organization compared to some newer databases. However, its biases towards certain fields and languages may limit its applicability in certain contexts._x000a__x000a_Please provide a different question or additional context to further explore the strengths and weaknesses of WoS as a bibliometric database."/>
    <x v="0"/>
    <x v="0"/>
    <n v="1"/>
    <n v="0"/>
  </r>
  <r>
    <s v="Summary: Web of Science (WoS) is a multidisciplinary bibliographic data source that has been used for research and research evaluation for over 30 years._x000a__x000a_DOI: 10.1162/qss_a_00211 - WoS has the highest overall quality among the sets considered, including Microsoft Academic Graph, Dimensions, and the ACM Digital Library._x000a__x000a_DOI: 10.1007/s11192-015-1765-5 - The use of WoS for research evaluation may introduce biases that favour Natural Sciences and Engineering as well as Biomedical Research to the detriment of Social Sciences and Arts and Humanities._x000a__x000a_DOI: 10.29173/cais1943 - Over 4% of the publications indexed in both OpenAlex and WoS appear to be misclassified as research articles or reviews, and that the vast majority (about 97%) of these errors occur in OpenAlex._x000a__x000a_My lady, I hope this information is helpful. If you have any further questions, please let me know."/>
    <x v="1"/>
    <x v="1"/>
    <n v="0"/>
    <n v="0"/>
  </r>
  <r>
    <s v="Summary: Web of Science (WoS) is a bibliometric database that has been used for over 30 years, but its strengths and weaknesses are not explicitly stated in the provided documents. However, some insights can be gathered from the available information._x000a__x000a_DOI: 10.1007/s11192-015-1765-5 - This study compares the journal coverage of WoS and Scopus, highlighting that both databases have biases towards Natural Sciences, Engineering, and Biomedical Research, as well as English-language journals. This suggests that WoS may not be comprehensive in its coverage of other fields, such as Social Sciences, Arts, and Humanities, and non-English languages._x000a__x000a_DOI: 10.1162/qss_a_00211 - This study assesses the quality of bibliographic data sources, including WoS, for measuring international research collaboration. The results indicate that WoS has the highest overall quality among the examined sources, which can be attributed to its organization. This implies that WoS is a reliable and well-structured database._x000a__x000a_DOI: 10.48550/arXiv.2508.18620 and 10.29173/cais1943 - These studies compare WoS with OpenAlex, a newer bibliographic database, focusing on metadata quality. The results show that WoS has fewer errors in document type classification compared to OpenAlex, suggesting that WoS has more accurate metadata._x000a__x000a_My lady, while the provided documents do not explicitly state the strengths and weaknesses of WoS, we can infer that its strengths include high overall quality, reliable organization, and accurate metadata. However, its weaknesses may include biases towards certain fields and languages, potentially limiting its comprehensiveness._x000a__x000a_Please provide more context or ask a different question, my lady, if you would like me to elaborate on any of these points or explore other aspects of WoS."/>
    <x v="0"/>
    <x v="0"/>
    <n v="1"/>
    <n v="0"/>
  </r>
  <r>
    <s v="Summary: Crossref is a major source of scholarly data for publishers, authors, librarians, funders, and researchers._x000a__x000a_DOI: 10.1162/qss_a_00022 - Crossref is a sustainable source of community-owned scholarly metadata, with over 106 million records and expanding at an average rate of 11% a year._x000a__x000a_DOI: 10.31222/osf.io/smxe5 - Crossref is a source of open bibliographic metadata, with several initiatives taken to promote the open availability of bibliographic metadata of scholarly publications._x000a__x000a_DOI: 10.1162/qss_a_00210 - Crossref initiated FundRef in 2013, enabling publishers to register funding information using persistent identifiers._x000a__x000a_My lady, is there anything else I can help you with?"/>
    <x v="0"/>
    <x v="0"/>
    <n v="1"/>
    <n v="0"/>
  </r>
  <r>
    <s v="Summary: Crossref is a major source of scholarly data for publishers, authors, librarians, funders, and researchers._x000a__x000a_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My lady, I hope this information is helpful. If you have any further questions, please let me know."/>
    <x v="0"/>
    <x v="0"/>
    <n v="1"/>
    <n v="0"/>
  </r>
  <r>
    <s v="Summary: Crossref is a sustainable source of community-owned scholarly metadata that is available to publishers, authors, librarians, funders, and researchers._x000a__x000a_DOI: 10.1162/qss_a_00022 - Crossref is a major source of scholarly data that contains over 106 million records and expands at an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that promotes the open availability of bibliographic metadata of scholarly publications.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My lady, I hope this information is helpful. If you have any further questions, please let me know."/>
    <x v="0"/>
    <x v="0"/>
    <n v="1"/>
    <n v="0"/>
  </r>
  <r>
    <s v="Summary: Crossref is a sustainable source of community-owned scholarly metadata that is available to publishers, authors, librarians, funders and researchers._x000a__x000a_DOI: 10.1162/qss_a_00022 - Crossref is a sustainable source of community-owned scholarly metadata that is available to publishers, authors, librarians, funders and researchers._x000a__x000a_DOI: 10.31222/osf.io/smxe5 - Crossref is a source of open bibliographic metadata._x000a__x000a_DOI: 10.1162/qss_a_00210 - Crossref initiated FundRef in 2013, enabling publishers to register funding information using persistent identifiers._x000a__x000a_My lady, I hope this helps."/>
    <x v="0"/>
    <x v="0"/>
    <n v="1"/>
    <n v="0"/>
  </r>
  <r>
    <s v="Summary: Crossref is a sustainable source of community-owned scholarly metadata that is important in the scholarly research ecosystem.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My lady, I hope this information is helpful. If you have any further questions, please let me know."/>
    <x v="0"/>
    <x v="0"/>
    <n v="1"/>
    <n v="0"/>
  </r>
  <r>
    <s v="Summary: Bibliographic errors have been perpetuated for decades and their possible causes have increased, despite the encouraged use of technological facilities.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x v="1"/>
    <x v="1"/>
    <n v="0"/>
    <n v="0"/>
  </r>
  <r>
    <s v="Summary: Bibliographic errors have been perpetuated for decades and their possible causes have increased, despite the encouraged use of technological facilities.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x v="1"/>
    <x v="1"/>
    <n v="0"/>
    <n v="0"/>
  </r>
  <r>
    <s v="Summary: Bibliographic errors have been perpetuated for decades and their possible causes have increased, despite the encouraged use of technological facilities.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x v="1"/>
    <x v="1"/>
    <n v="0"/>
    <n v="0"/>
  </r>
  <r>
    <s v="Summary: Bibliographic errors have been perpetuated for decades and possible causes have increased, despite the encouraged use of technological facilities._x000a__x000a_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_x000a__x000a_My lady, I hope this information is helpful. Is there anything else I can assist you with?"/>
    <x v="1"/>
    <x v="1"/>
    <n v="0"/>
    <n v="0"/>
  </r>
  <r>
    <s v="Summary: Bibliographic errors have been perpetuated for decades and their possible causes have increased, despite the encouraged use of technological facilities.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x v="1"/>
    <x v="1"/>
    <n v="0"/>
    <n v="0"/>
  </r>
  <r>
    <s v="Summary: There are four papers that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_x000a__x000a_DOI: 10.1162/qss_a_00210 - This paper looks at 5,004 publications reported by researchers to be the result of funding by a specific funding agency._x000a__x000a_DOI: 10.1162/qss_a_00212 - This paper studies the open availability of funding data in Crossref, focusing on funding data for publications that report research related to COVID-19._x000a__x000a_My lady, is there anything else I can help you with?"/>
    <x v="0"/>
    <x v="0"/>
    <n v="1"/>
    <n v="0"/>
  </r>
  <r>
    <s v="Summary: Several papers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_x000a__x000a_DOI: 10.1162/qss_a_00210 - This paper looks at 5,004 publications reported by researchers to be the result of funding by a specific funding agency: the Dutch Research Council NWO._x000a__x000a_DOI: 10.1162/qss_a_00212 - This paper studies the open availability of funding data in Crossref, focusing on funding data for publications that report research related to COVID-19._x000a__x000a_DOI: 10.1162/qss_a_00286 - This paper compares the amount of metadata and the completeness degree of research publications in new academic databases._x000a__x000a_My lady, I hope this information is helpful. If you have any further questions, please let me know."/>
    <x v="0"/>
    <x v="0"/>
    <n v="1"/>
    <n v="0"/>
  </r>
  <r>
    <s v="Summary: Four papers address funding metadata, its availability, or its analysis in scholarly databases._x000a__x000a_DOI: 10.5281/zenodo.14006424_x000a_This paper analyses OpenAlex’s coverage and metadata availability of African-based publications. It compares OpenAlex with Scopus, WoS, and African Journals Online (AJOL). It finds that OpenAlex offers the most extensive publication coverage, but performs worse regarding funder information._x000a__x000a_DOI: 10.31222/osf.io/smxe5_x000a_This paper presents an up-to-date overview of the availability of six metadata elements in Crossref, including funding information. It finds that the availability of these metadata elements has improved over time, but that many publishers need to make additional efforts to realize full openness of bibliographic metadata._x000a__x000a_DOI: 10.1162/qss_a_00210_x000a_This paper looks at 5,004 publications reported by researchers to be the result of funding by the Dutch Research Council NWO. It finds that only 67% of these articles contain funding information in Crossref, and observes interesting differences between publishers in the coverage and completeness of funding metadata in Crossref compared to proprietary databases._x000a__x000a_DOI: 10.1162/qss_a_00212_x000a_This paper studies the open availability of funding data in Crossref, focusing on funding data for publications that report research related to COVID-19. It finds limited coverage of funding data in Crossref, and offers recommendations for improving the open availability of funding data in Crossref._x000a__x000a_My lady, I hope this information is helpful."/>
    <x v="0"/>
    <x v="0"/>
    <n v="1"/>
    <n v="0"/>
  </r>
  <r>
    <s v="Summary: Several papers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 including funding information._x000a__x000a_DOI: 10.1162/qss_a_00210 - This paper examines the availability and completeness of open funder metadata, specifically for publications funded by the Dutch Research Council._x000a__x000a_DOI: 10.1162/qss_a_00212 - This paper studies the open availability of funding data in Crossref, focusing on funding data for publications related to COVID-19 research._x000a__x000a_DOI: 10.1162/qss_a_00286 - While not directly focused on funding metadata, this paper compares the completeness degree of publication metadata in eight free-access scholarly databases, which may include funding information._x000a__x000a_My lady, I hope this information is helpful. If you have any further questions or need more details, please let me know."/>
    <x v="0"/>
    <x v="0"/>
    <n v="1"/>
    <n v="0"/>
  </r>
  <r>
    <s v="Summary: There are four papers that address funding metadata, its availability, or its analysis in scholarly databases._x000a__x000a_DOI: 10.5281/zenodo.14006424 - This paper analyses the coverage and metadata availability of African-based publications in OpenAlex._x000a__x000a_DOI: 10.31222/osf.io/smxe5 - This paper presents an up-to-date overview of the availability of six metadata elements in Crossref._x000a__x000a_DOI: 10.1162/qss_a_00210 - This paper looks at 5,004 publications reported by researchers to be the result of funding by a specific funding agency: the Dutch Research Council NWO._x000a__x000a_DOI: 10.1162/qss_a_00212 - This paper studies the open availability of funding data in Crossref, focusing on funding data for publications that report research related to COVID-19._x000a__x000a_My lady, is there anything else I can help you with?"/>
    <x v="0"/>
    <x v="0"/>
    <n v="1"/>
    <n v="0"/>
  </r>
  <r>
    <s v="Summary: Retrieval-Augmented Generation (RAG) is a technique that enhances the capabilities of Large Language Models (LLMs) by retrieving relevant information from external knowledge bases and incorporating it into the generation process._x000a__x000a_DOI: 10.1016/j.caeai.2025.100417 - This paper discusses the application of RAG in educational settings, addressing challenges such as hallucination and static internal knowledge in LLMs. It explores practical applications in interactive learning systems, educational content generation, and large-scale deployment in educational ecosystems._x000a__x000a_DOI: 10.3390/app14199103 - This study examines the use of RAG in automating systematic literature reviews (SLRs), highlighting its potential to mitigate limitations of LLMs in generating human-like text and interpreting complex linguistic nuances. It proposes a framework for RAG-based LLMs in SLR automation, covering literature search, screening, data extraction, and information synthesis._x000a__x000a_DOI: 10.48550/arXiv.2312.10997 - This comprehensive review paper provides a detailed examination of the progression of RAG paradigms, including Naive RAG, Advanced RAG, and Modular RAG. It discusses the tripartite foundation of RAG frameworks, comprising retrieval, generation, and augmentation techniques, and highlights state-of-the-art technologies in each component._x000a__x000a_DOI: 10.1145/3637528.3671470 - This survey reviews existing research on Retrieval-Augmented Large Language Models (RA-LLMs), focusing on their ability to harness external knowledge bases and improve the quality of generated content. It covers three primary technical perspectives and discusses current limitations and future research directions._x000a__x000a_DOI: 10.6109/jkiice.2023.27.12.1489 - This paper proposes a Metadata Retrieval-Augmented Generation (M-RAG) method for open-domain question answering, utilizing embeddings with metadata and generative models like GPT-3.5-turbo-16K and GPT-4. The method demonstrates significant performance improvements compared to conventional RAG and external inference ODQA systems._x000a__x000a_My lady, I hope this information is helpful. If you have any further questions or need additional details, please let me know."/>
    <x v="0"/>
    <x v="0"/>
    <n v="1"/>
    <n v="0"/>
  </r>
  <r>
    <s v="Summary: Retrieval-Augmented Generation (RAG) is a promising solution to enhance the accuracy and credibility of the generation, particularly for knowledge-intensive tasks._x000a__x000a_DOI: 10.1016/j.caeai.2025.100417 discusses the use of RAG in education._x000a__x000a_DOI: 10.3390/app14199103 discusses the use of RAG in systematic literature reviews._x000a__x000a_DOI: 10.48550/arXiv.2312.10997 discusses the use of RAG in knowledge-intensive tasks._x000a__x000a_DOI: 10.1145/3637528.3671470 discusses the use of RAG in AI-Generated Content._x000a__x000a_DOI: 10.6109/jkiice.2023.27.12.1489 discusses the use of RAG in open-domain question answering._x000a__x000a_My lady, I hope this information is helpful."/>
    <x v="0"/>
    <x v="0"/>
    <n v="1"/>
    <n v="0"/>
  </r>
  <r>
    <s v="Summary: Retrieval-Augmented Generation (RAG) is discussed in the following papers:_x000a__x000a_DOI: 10.1016/j.caeai.2025.100417_x000a_Title: Retrieval-augmented generation for educational application: A systematic survey_x000a_Abstract: This paper reviews existing research that integrates RAG into educational scenarios, covering interactive learning systems, generation and assessment of educational content, and large-scale deployment in educational ecosystems._x000a__x000a_DOI: 10.3390/app14199103_x000a_Title: Automating Systematic Literature Reviews with Retrieval-Augmented Generation: A Comprehensive Overview_x000a_Abstract: This study examines the application of RAG-based LLMs to SLR automation, highlighting future research topics, including integration of domain-specific LLMs, multimodal data processing and generation, and utilization of multiple retrieval sources._x000a__x000a_DOI: 10.48550/arXiv.2312.10997_x000a_Title: Retrieval-Augmented Generation for Large Language Models: A Survey_x000a_Abstract: This comprehensive review paper offers a detailed examination of the progression of RAG paradigms, encompassing the Naive RAG, the Advanced RAG, and the Modular RAG, and highlights the state-of-the-art technologies embedded in each of these critical components._x000a__x000a_DOI: 10.1145/3637528.3671470_x000a_Title: A Survey on RAG Meeting LLMs: Towards Retrieval-Augmented Large Language Models_x000a_Abstract: This survey comprehensively reviews existing research studies in RA-LLMs, covering three primary technical perspectives, and discusses current limitations and several promising directions for future research._x000a__x000a_DOI: 10.6109/jkiice.2023.27.12.1489_x000a_Title: M-RAG: Enhancing Open-domain Question Answering with Metadata Retrieval-Augmented Generation_x000a_Abstract: This paper proposes a Metadata Retrieval-Augmented Generation (M-RAG) method that can effectively search and answer questions with an open-domain Question Answering (ODQA) system for one or more documents and compare their performance._x000a__x000a_My lady, I hope this information is helpful. If you have any further questions or need more details, please let me know."/>
    <x v="0"/>
    <x v="0"/>
    <n v="1"/>
    <n v="0"/>
  </r>
  <r>
    <s v="Summary: I have found four papers that discuss the use of Retrieval-Augmented Generation (RAG) when used in applications._x000a__x000a_DOI: 10.1016/j.caeai.2025.100417_x000a_This paper discusses the use of RAG in education, including interactive learning systems, generation and assessment of educational content, and large-scale deployment in educational ecosystems._x000a__x000a_DOI: 10.3390/app14199103_x000a_This paper discusses the use of RAG in systematic literature reviews (SLRs), including data extraction, summarization, and trend identification._x000a__x000a_DOI: 10.48550/arXiv.2312.10997_x000a_This paper discusses the use of RAG in knowledge-intensive tasks, including continuous knowledge updates and integration of domain-specific information._x000a__x000a_DOI: 10.1145/3637528.3671470_x000a_This paper discusses the use of RAG in AI-Generated Content (AIGC), including providing additional knowledge to assist existing generative AI in producing high-quality outputs._x000a__x000a_My lady, I hope this information is helpful. If you have any further questions, please let me know."/>
    <x v="0"/>
    <x v="0"/>
    <n v="1"/>
    <n v="0"/>
  </r>
  <r>
    <s v="Summary: Retrieval-Augmented Generation (RAG) is discussed in several papers, including its application in educational settings, systematic literature reviews, large language models, and open-domain question answering._x000a__x000a_DOI: 10.1016/j.caeai.2025.100417 discusses the use of RAG in educational applications, highlighting its ability to improve factual accuracy and enable dynamic knowledge updates. The paper explores the practical applications of RAG in education, including interactive learning systems, generation and assessment of educational content, and large-scale deployment in educational ecosystems._x000a__x000a_DOI: 10.3390/app14199103 examines the use of RAG in systematic literature reviews, discussing its potential to automate tasks like data extraction, summarization, and trend identification. The paper proposes a framework for RAG-based LLMs to automate systematic literature reviews, covering four stages of the review process._x000a__x000a_DOI: 10.48550/arXiv.2312.10997 provides a comprehensive review of RAG paradigms, including Naive RAG, Advanced RAG, and Modular RAG. The paper highlights the state-of-the-art technologies embedded in each component of RAG frameworks and introduces an up-to-date evaluation framework and benchmark._x000a__x000a_DOI: 10.1145/3637528.3671470 discusses the emergence of Retrieval-Augmented Large Language Models (RA-LLMs), which harness external and authoritative knowledge bases to augment the quality of generated content. The paper provides a comprehensive review of existing research studies in RA-LLMs, covering three primary technical perspectives._x000a__x000a_DOI: 10.6109/jkiice.2023.27.12.1489 proposes a Metadata Retrieval-Augmented Generation (M-RAG) method for open-domain question answering. The paper demonstrates a performance improvement of up to 46% compared to a conventional external inference ODQA system and a 6% improvement over the conventional RAG method._x000a__x000a_My lady, I hope this information is helpful. If you have any further questions or would like more details on a specific paper, please let me know."/>
    <x v="0"/>
    <x v="0"/>
    <n v="1"/>
    <n v="0"/>
  </r>
  <r>
    <s v="Summary: Several papers evaluate the linguistic coverage or language-related metadata in scholarly databases._x000a__x000a_DOI: 10.48550/arXiv.2409.10633 - Evaluates the linguistic coverage of OpenAlex, comparing it with Web of Science (WoS) and conducting manual validation. Finds OpenAlex has more balanced linguistic coverage but with inaccuracies in language metadata._x000a__x000a_DOI: 10.1162/qss_a_00286 - Compares metadata completeness in eight free-access scholarly databases, including language-related metadata. Finds third-party databases like OpenAlex have higher metadata quality and completeness than academic search engines._x000a__x000a_DOI: 10.5281/zenodo.14006424 - Analyzes OpenAlex's coverage and metadata availability of African publications, comparing it with Scopus, WoS, and African Journals Online (AJOL). Finds OpenAlex offers extensive publication coverage but performs worse on affiliations, references, and funder information._x000a__x000a_DOI: 10.48550/arXiv.2508.18620 - Assesses metadata quality in OpenAlex and WoS, focusing on document type, publication year, language, and author count. Aims to enhance awareness of data quality issues impacting bibliometric research._x000a__x000a_DOI: 10.1007/s11192-022-04289-7 - Compares disciplinary coverage of 56 bibliographic databases, including language-focused databases. Provides insights into absolute and relative subject coverages, encouraging researchers to re-evaluate their database choices._x000a__x000a_My lady, these papers provide valuable insights into the linguistic coverage and language-related metadata in various scholarly databases. If you would like more information or have a specific question, please let me know."/>
    <x v="0"/>
    <x v="0"/>
    <n v="1"/>
    <n v="0"/>
  </r>
  <r>
    <s v="Summary: OpenAlex is a bibliographic database that promises comprehensive, inclusive, and open-source research information._x000a__x000a_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_x000a__x000a_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x v="0"/>
    <x v="0"/>
    <n v="1"/>
    <n v="0"/>
  </r>
  <r>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_x000a__x000a_DOI: 10.1162/qss_a_00286 - Completeness degree of publication metadata in eight free-access scholarly databases - This study compares the amount of metadata and the completeness degree of research publications in new academic databases, including an analysis of language-related metadata._x000a__x000a_DOI: 10.5281/zenodo.14006424 - Coverage and metadata availability of African publications in OpenAlex: A comparative analysis - This paper analyses OpenAlex’s coverage and metadata availability of African-based publications, including a comparison of metadata related to language._x000a__x000a_DOI: 10.48550/arXiv.2508.18620 - Investigating Document Type, Language, Publication Year, and Author Count Discrepancies Between OpenAlex and Web of Science - This study assesses metadata quality in OpenAlex and WoS, focusing on document type, publication year, language, and number of authors._x000a__x000a_DOI: 10.1007/s11192-022-04289-7 - Search where you will find most: Comparing the disciplinary coverage of 56 bibliographic databases - While this paper does not explicitly focus on linguistic coverage, it introduces a method to estimate subject coverages of bibliographic databases, which can be relevant for evaluating language-related metadata._x000a__x000a_My lady, I hope this information is helpful. If you have any further questions or need more details, please let me know."/>
    <x v="0"/>
    <x v="0"/>
    <n v="1"/>
    <n v="0"/>
  </r>
  <r>
    <s v="Summary: Several papers evaluate the linguistic coverage or language-related metadata in scholarly databases._x000a__x000a_DOI: 10.48550/arXiv.2409.10633 - Evaluates the linguistic coverage of OpenAlex, comparing it with Web of Science (WoS) and conducting manual validation. Finds OpenAlex has more balanced linguistic coverage but with inaccuracies in language metadata._x000a__x000a_DOI: 10.1162/qss_a_00286 - Compares metadata completeness in eight free-access scholarly databases, including language-related metadata. Highlights differences between academic search engines and third-party databases._x000a__x000a_DOI: 10.5281/zenodo.14006424 - Analyzes OpenAlex's coverage and metadata availability of African publications, comparing it with Scopus, WoS, and African Journals Online (AJOL). Discusses metadata quality, including language-related aspects._x000a__x000a_DOI: 10.48550/arXiv.2508.18620 - Investigates discrepancies in metadata, including language, between OpenAlex and WoS. Aims to improve metadata quality for bibliometric research._x000a__x000a_DOI: 10.1007/s11192-022-04289-7 - Compares disciplinary coverage of 56 bibliographic databases, including language-focused databases. Provides insights into subject coverage and database selection for researchers._x000a__x000a_My lady, these papers provide valuable insights into the linguistic coverage and language-related metadata in various scholarly databases. If you would like more information on any of these papers, please let me know."/>
    <x v="0"/>
    <x v="0"/>
    <n v="1"/>
    <n v="0"/>
  </r>
  <r>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48550/arXiv.2508.18620_x000a_Investigating Document Type, Language, Publication Year, and Author Count Discrepancies Between OpenAlex and Web of Science_x000a_This study aims to assess metadata quality in OpenAlex and WoS, focusing on document type, publication year, language, and number of authors._x000a__x000a_My lady, is there anything else I can help you with?"/>
    <x v="0"/>
    <x v="0"/>
    <n v="1"/>
    <n v="0"/>
  </r>
  <r>
    <s v="Summary: Three studies examined citations._x000a__x000a_DOI: 10.1108/JD-10-2022-0234_x000a_Title: An analysis of citing and referencing habits across all scholarly disciplines: approaches and trends in bibliographic referencing and citing practices_x000a_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_x000a__x000a_DOI: 10.1007/s11192-022-04367-w_x000a_Title: Identifying and correcting invalid citations due to DOI errors in Crossref data_x000a_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Title: Large-scale comparison of bibliographic data sources: Scopus, Web of Science, Dimensions, Crossref, and Microsoft Academic_x000a_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x v="0"/>
    <x v="0"/>
    <n v="1"/>
    <n v="0"/>
  </r>
  <r>
    <s v="Summary: Three studies examined citations._x000a__x000a_DOI: 10.1108/JD-10-2022-0234_x000a_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_x000a__x000a_DOI: 10.1007/s11192-022-04367-w_x000a_This study aimed to identify classes of DOI mistakes by analysing the open bibliographic metadata available in Crossref. The authors found that only a few publishers were responsible for and/or affected by the majority of invalid citations. They extended the taxonomy of DOI name errors proposed in past studies and defined more elaborated regular expressions that can clean a higher number of mistakes in invalid DOIs than prior approaches._x000a__x000a_DOI: 10.1162/qss_a_00112_x000a_This study presented a large-scale comparison of five multidisciplinary bibliographic data sources: Scopus, Web of Science, Dimensions, Crossref, and Microsoft Academic. The authors analysed differences between the data sources in the coverage of documents, focusing on differences over time, differences per document type, and differences per discipline. They then studied differences in the completeness and accuracy of citation links._x000a__x000a_Is there anything else I can help you with, my lady?"/>
    <x v="0"/>
    <x v="0"/>
    <n v="1"/>
    <n v="0"/>
  </r>
  <r>
    <s v="Summary: Three studies examined citations._x000a__x000a_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_x000a__x000a_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compared five multidisciplinary bibliographic data sources: Scopus, Web of Science, Dimensions, Crossref, and Microsoft Academic. The comparison considered scientific documents from the period 2008–2017 covered by these data sources._x000a__x000a_My lady, I hope this information is helpful."/>
    <x v="0"/>
    <x v="0"/>
    <n v="1"/>
    <n v="0"/>
  </r>
  <r>
    <s v="Summary: I found three studies that examined citations._x000a__x000a_DOI: 10.1108/JD-10-2022-0234_x000a_This study analysed bibliographic references, mentions, quotations and respective in-text reference pointers from 729 articles published in 147 journals across 27 subject areas._x000a__x000a_DOI: 10.1007/s11192-022-04367-w_x000a_This study analysed open bibliographic metadata available in Crossref, identifying patterns of factual errors in invalid DOIs and the regular expressions needed to catch and correct them._x000a__x000a_DOI: 10.1162/qss_a_00112_x000a_This study compared five multidisciplinary bibliographic data sources, studying differences in the completeness and accuracy of citation links._x000a__x000a_My lady, I hope this information is helpful."/>
    <x v="0"/>
    <x v="0"/>
    <n v="1"/>
    <n v="0"/>
  </r>
  <r>
    <s v="Summary: Three studies examined citations._x000a__x000a_DOI: 10.1108/JD-10-2022-0234_x000a_Title: An analysis of citing and referencing habits across all scholarly disciplines: approaches and trends in bibliographic referencing and citing practices_x000a_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_x000a__x000a_DOI: 10.1007/s11192-022-04367-w_x000a_Title: Identifying and correcting invalid citations due to DOI errors in Crossref data_x000a_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Title: Large-scale comparison of bibliographic data sources: Scopus, Web of Science, Dimensions, Crossref, and Microsoft Academic_x000a_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x v="0"/>
    <x v="0"/>
    <n v="1"/>
    <n v="0"/>
  </r>
  <r>
    <s v="Summary: Two studies examined the abstract in metadata._x000a__x000a_DOI: 10.1162/qss_a_00286_x000a_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DOI: 10.1177/09610006241239080_x000a_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is made on the title and abstract of selected articles using VOSviewer 1.6.18 version, visualization software._x000a__x000a_My lady, is there anything else I can help you with?"/>
    <x v="0"/>
    <x v="0"/>
    <n v="1"/>
    <n v="0"/>
  </r>
  <r>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_x000a__x000a_My lady, I hope this information is helpful. If you have any further questions, please let me know."/>
    <x v="0"/>
    <x v="0"/>
    <n v="1"/>
    <n v="0"/>
  </r>
  <r>
    <s v="Summary: Two studies examined the abstract in metadata._x000a__x000a_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_x000a__x000a_DOI: 10.1002/leap.1411 -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_x000a__x000a_My lady, I hope this information is helpful."/>
    <x v="0"/>
    <x v="0"/>
    <n v="1"/>
    <n v="0"/>
  </r>
  <r>
    <s v="Summary: Three studies examined the abstract in metadata._x000a__x000a_DOI: 10.1162/qss_a_00286 - This study compared the amount of metadata and the completeness degree of research publications in new academic databases._x000a__x000a_DOI: 10.1177/09610006241239080 - This study investigated the types of data sources and countries contributing most to the literature on metadata quality assessment and the types of documents used to communicate their findings._x000a__x000a_DOI: 10.1002/leap.1411 - This study investigated whether the COVID-19 crisis and the ensuing scientific and economic competition have changed the lexical content of abstracts._x000a__x000a_My lady, I hope this information is helpful."/>
    <x v="0"/>
    <x v="0"/>
    <n v="1"/>
    <n v="0"/>
  </r>
  <r>
    <s v="Summary: Two studies examined the abstract in metadata._x000a__x000a_DOI: 10.1162/qss_a_00286 - This study compared the amount of metadata and the completeness degree of research publications in new academic databases._x000a__x000a_DOI: 10.1177/09610006241239080 - This study investigated the types of data sources and countries contributing most to the literature on metadata quality assessment and the types of documents used to communicate their findings._x000a__x000a_Is there anything else I can help you with, my lady?"/>
    <x v="0"/>
    <x v="0"/>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DE294E-D971-1441-B9DE-F4EA3965A4E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5">
    <pivotField dataField="1" showAll="0"/>
    <pivotField axis="axisRow" showAll="0">
      <items count="3">
        <item x="1"/>
        <item x="0"/>
        <item t="default"/>
      </items>
    </pivotField>
    <pivotField axis="axisCol" showAll="0">
      <items count="3">
        <item x="1"/>
        <item x="0"/>
        <item t="default"/>
      </items>
    </pivotField>
    <pivotField showAll="0"/>
    <pivotField showAll="0"/>
  </pivotFields>
  <rowFields count="1">
    <field x="1"/>
  </rowFields>
  <rowItems count="3">
    <i>
      <x/>
    </i>
    <i>
      <x v="1"/>
    </i>
    <i t="grand">
      <x/>
    </i>
  </rowItems>
  <colFields count="1">
    <field x="2"/>
  </colFields>
  <colItems count="3">
    <i>
      <x/>
    </i>
    <i>
      <x v="1"/>
    </i>
    <i t="grand">
      <x/>
    </i>
  </colItems>
  <dataFields count="1">
    <dataField name="Count of Respons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C1" zoomScale="140" zoomScaleNormal="140" workbookViewId="0">
      <pane ySplit="1" topLeftCell="A79" activePane="bottomLeft" state="frozen"/>
      <selection pane="bottomLeft" activeCell="G1" sqref="G1:G1048576"/>
    </sheetView>
  </sheetViews>
  <sheetFormatPr baseColWidth="10" defaultColWidth="8.83203125" defaultRowHeight="15" x14ac:dyDescent="0.2"/>
  <cols>
    <col min="2" max="2" width="31.33203125" style="3" customWidth="1"/>
    <col min="3" max="3" width="131.5" style="3" customWidth="1"/>
    <col min="5" max="6" width="8.83203125" style="3"/>
  </cols>
  <sheetData>
    <row r="1" spans="1:7" ht="32" x14ac:dyDescent="0.2">
      <c r="B1" s="2" t="s">
        <v>0</v>
      </c>
      <c r="C1" s="2" t="s">
        <v>1</v>
      </c>
      <c r="D1" s="3" t="s">
        <v>94</v>
      </c>
      <c r="E1" s="3" t="s">
        <v>95</v>
      </c>
      <c r="F1" s="3" t="s">
        <v>96</v>
      </c>
      <c r="G1" s="3" t="s">
        <v>97</v>
      </c>
    </row>
    <row r="2" spans="1:7" ht="304" x14ac:dyDescent="0.2">
      <c r="A2" s="1">
        <v>9</v>
      </c>
      <c r="B2" s="3" t="s">
        <v>20</v>
      </c>
      <c r="C2" s="3" t="s">
        <v>21</v>
      </c>
      <c r="D2" s="3">
        <v>1</v>
      </c>
      <c r="E2" s="3">
        <v>1</v>
      </c>
      <c r="F2" s="3">
        <v>1</v>
      </c>
      <c r="G2">
        <v>0</v>
      </c>
    </row>
    <row r="3" spans="1:7" ht="288" x14ac:dyDescent="0.2">
      <c r="A3" s="1">
        <v>25</v>
      </c>
      <c r="B3" s="3" t="s">
        <v>20</v>
      </c>
      <c r="C3" s="3" t="s">
        <v>43</v>
      </c>
      <c r="D3" s="3">
        <v>1</v>
      </c>
      <c r="E3" s="3">
        <v>1</v>
      </c>
      <c r="F3" s="3">
        <v>1</v>
      </c>
      <c r="G3">
        <v>0</v>
      </c>
    </row>
    <row r="4" spans="1:7" ht="350" x14ac:dyDescent="0.2">
      <c r="A4" s="1">
        <v>41</v>
      </c>
      <c r="B4" s="3" t="s">
        <v>20</v>
      </c>
      <c r="C4" s="3" t="s">
        <v>58</v>
      </c>
      <c r="D4" s="3">
        <v>1</v>
      </c>
      <c r="E4" s="3">
        <v>1</v>
      </c>
      <c r="F4" s="3">
        <v>1</v>
      </c>
      <c r="G4">
        <v>0</v>
      </c>
    </row>
    <row r="5" spans="1:7" ht="335" x14ac:dyDescent="0.2">
      <c r="A5" s="1">
        <v>57</v>
      </c>
      <c r="B5" s="3" t="s">
        <v>20</v>
      </c>
      <c r="C5" s="3" t="s">
        <v>73</v>
      </c>
      <c r="D5" s="3">
        <v>1</v>
      </c>
      <c r="E5" s="3">
        <v>1</v>
      </c>
      <c r="F5" s="3">
        <v>1</v>
      </c>
      <c r="G5">
        <v>0</v>
      </c>
    </row>
    <row r="6" spans="1:7" ht="350" x14ac:dyDescent="0.2">
      <c r="A6" s="1">
        <v>73</v>
      </c>
      <c r="B6" s="3" t="s">
        <v>20</v>
      </c>
      <c r="C6" s="3" t="s">
        <v>88</v>
      </c>
      <c r="D6" s="3">
        <v>1</v>
      </c>
      <c r="E6" s="3">
        <v>1</v>
      </c>
      <c r="F6" s="3">
        <v>1</v>
      </c>
      <c r="G6">
        <v>0</v>
      </c>
    </row>
    <row r="7" spans="1:7" ht="80" x14ac:dyDescent="0.2">
      <c r="A7" s="1">
        <v>2</v>
      </c>
      <c r="B7" s="3" t="s">
        <v>6</v>
      </c>
      <c r="C7" s="3" t="s">
        <v>7</v>
      </c>
      <c r="D7" s="3">
        <v>0</v>
      </c>
      <c r="E7" s="3">
        <v>0</v>
      </c>
      <c r="F7" s="3">
        <v>0</v>
      </c>
      <c r="G7">
        <v>0</v>
      </c>
    </row>
    <row r="8" spans="1:7" ht="240" x14ac:dyDescent="0.2">
      <c r="A8" s="1">
        <v>18</v>
      </c>
      <c r="B8" s="3" t="s">
        <v>6</v>
      </c>
      <c r="C8" s="3" t="s">
        <v>36</v>
      </c>
      <c r="D8" s="3">
        <v>1</v>
      </c>
      <c r="E8" s="3">
        <v>1</v>
      </c>
      <c r="F8" s="3">
        <v>1</v>
      </c>
      <c r="G8">
        <v>0</v>
      </c>
    </row>
    <row r="9" spans="1:7" ht="272" x14ac:dyDescent="0.2">
      <c r="A9" s="1">
        <v>34</v>
      </c>
      <c r="B9" s="3" t="s">
        <v>6</v>
      </c>
      <c r="C9" s="3" t="s">
        <v>51</v>
      </c>
      <c r="D9" s="3">
        <v>1</v>
      </c>
      <c r="E9" s="3">
        <v>1</v>
      </c>
      <c r="F9" s="3">
        <v>1</v>
      </c>
      <c r="G9">
        <v>0</v>
      </c>
    </row>
    <row r="10" spans="1:7" ht="409.6" x14ac:dyDescent="0.2">
      <c r="A10" s="1">
        <v>50</v>
      </c>
      <c r="B10" s="3" t="s">
        <v>6</v>
      </c>
      <c r="C10" s="3" t="s">
        <v>66</v>
      </c>
      <c r="D10" s="3">
        <v>1</v>
      </c>
      <c r="E10" s="3">
        <v>1</v>
      </c>
      <c r="F10" s="3">
        <v>1</v>
      </c>
      <c r="G10">
        <v>0</v>
      </c>
    </row>
    <row r="11" spans="1:7" ht="224" x14ac:dyDescent="0.2">
      <c r="A11" s="1">
        <v>66</v>
      </c>
      <c r="B11" s="3" t="s">
        <v>6</v>
      </c>
      <c r="C11" s="4" t="s">
        <v>81</v>
      </c>
      <c r="D11" s="3">
        <v>0</v>
      </c>
      <c r="E11" s="3">
        <v>0</v>
      </c>
      <c r="F11" s="3">
        <v>0</v>
      </c>
      <c r="G11">
        <v>1</v>
      </c>
    </row>
    <row r="12" spans="1:7" ht="256" x14ac:dyDescent="0.2">
      <c r="A12" s="1">
        <v>12</v>
      </c>
      <c r="B12" s="3" t="s">
        <v>26</v>
      </c>
      <c r="C12" s="3" t="s">
        <v>27</v>
      </c>
      <c r="D12" s="3">
        <v>1</v>
      </c>
      <c r="E12" s="3">
        <v>1</v>
      </c>
      <c r="F12" s="3">
        <v>1</v>
      </c>
      <c r="G12">
        <v>0</v>
      </c>
    </row>
    <row r="13" spans="1:7" ht="288" x14ac:dyDescent="0.2">
      <c r="A13" s="1">
        <v>28</v>
      </c>
      <c r="B13" s="3" t="s">
        <v>26</v>
      </c>
      <c r="C13" s="3" t="s">
        <v>45</v>
      </c>
      <c r="D13" s="3">
        <v>1</v>
      </c>
      <c r="E13" s="3">
        <v>1</v>
      </c>
      <c r="F13" s="3">
        <v>1</v>
      </c>
      <c r="G13">
        <v>0</v>
      </c>
    </row>
    <row r="14" spans="1:7" ht="272" x14ac:dyDescent="0.2">
      <c r="A14" s="1">
        <v>44</v>
      </c>
      <c r="B14" s="3" t="s">
        <v>26</v>
      </c>
      <c r="C14" s="3" t="s">
        <v>60</v>
      </c>
      <c r="D14" s="3">
        <v>1</v>
      </c>
      <c r="E14" s="3">
        <v>1</v>
      </c>
      <c r="F14" s="3">
        <v>1</v>
      </c>
      <c r="G14">
        <v>0</v>
      </c>
    </row>
    <row r="15" spans="1:7" ht="272" x14ac:dyDescent="0.2">
      <c r="A15" s="1">
        <v>60</v>
      </c>
      <c r="B15" s="3" t="s">
        <v>26</v>
      </c>
      <c r="C15" s="3" t="s">
        <v>76</v>
      </c>
      <c r="D15" s="3">
        <v>1</v>
      </c>
      <c r="E15" s="3">
        <v>1</v>
      </c>
      <c r="F15" s="3">
        <v>1</v>
      </c>
      <c r="G15">
        <v>0</v>
      </c>
    </row>
    <row r="16" spans="1:7" ht="272" x14ac:dyDescent="0.2">
      <c r="A16" s="1">
        <v>76</v>
      </c>
      <c r="B16" s="3" t="s">
        <v>26</v>
      </c>
      <c r="C16" s="3" t="s">
        <v>90</v>
      </c>
      <c r="D16" s="3">
        <v>1</v>
      </c>
      <c r="E16" s="3">
        <v>1</v>
      </c>
      <c r="F16" s="3">
        <v>1</v>
      </c>
      <c r="G16">
        <v>0</v>
      </c>
    </row>
    <row r="17" spans="1:7" ht="335" x14ac:dyDescent="0.2">
      <c r="A17" s="1">
        <v>13</v>
      </c>
      <c r="B17" s="3" t="s">
        <v>28</v>
      </c>
      <c r="C17" s="3" t="s">
        <v>29</v>
      </c>
      <c r="D17" s="3">
        <v>1</v>
      </c>
      <c r="E17" s="3">
        <v>1</v>
      </c>
      <c r="F17" s="3">
        <v>1</v>
      </c>
      <c r="G17">
        <v>0</v>
      </c>
    </row>
    <row r="18" spans="1:7" ht="380" x14ac:dyDescent="0.2">
      <c r="A18" s="1">
        <v>29</v>
      </c>
      <c r="B18" s="3" t="s">
        <v>28</v>
      </c>
      <c r="C18" s="3" t="s">
        <v>46</v>
      </c>
      <c r="D18" s="3">
        <v>1</v>
      </c>
      <c r="E18" s="3">
        <v>1</v>
      </c>
      <c r="F18" s="3">
        <v>1</v>
      </c>
      <c r="G18">
        <v>0</v>
      </c>
    </row>
    <row r="19" spans="1:7" ht="335" x14ac:dyDescent="0.2">
      <c r="A19" s="1">
        <v>45</v>
      </c>
      <c r="B19" s="3" t="s">
        <v>28</v>
      </c>
      <c r="C19" s="3" t="s">
        <v>61</v>
      </c>
      <c r="D19" s="3">
        <v>1</v>
      </c>
      <c r="E19" s="3">
        <v>1</v>
      </c>
      <c r="F19" s="3">
        <v>1</v>
      </c>
      <c r="G19">
        <v>0</v>
      </c>
    </row>
    <row r="20" spans="1:7" ht="395" x14ac:dyDescent="0.2">
      <c r="A20" s="1">
        <v>61</v>
      </c>
      <c r="B20" s="3" t="s">
        <v>28</v>
      </c>
      <c r="C20" s="3" t="s">
        <v>77</v>
      </c>
      <c r="D20" s="3">
        <v>1</v>
      </c>
      <c r="E20" s="3">
        <v>1</v>
      </c>
      <c r="F20" s="3">
        <v>1</v>
      </c>
      <c r="G20">
        <v>0</v>
      </c>
    </row>
    <row r="21" spans="1:7" ht="365" x14ac:dyDescent="0.2">
      <c r="A21" s="1">
        <v>77</v>
      </c>
      <c r="B21" s="3" t="s">
        <v>28</v>
      </c>
      <c r="C21" s="3" t="s">
        <v>91</v>
      </c>
      <c r="D21" s="3">
        <v>1</v>
      </c>
      <c r="E21" s="3">
        <v>1</v>
      </c>
      <c r="F21" s="3">
        <v>1</v>
      </c>
      <c r="G21">
        <v>0</v>
      </c>
    </row>
    <row r="22" spans="1:7" ht="304" x14ac:dyDescent="0.2">
      <c r="A22" s="1">
        <v>15</v>
      </c>
      <c r="B22" s="3" t="s">
        <v>32</v>
      </c>
      <c r="C22" s="3" t="s">
        <v>33</v>
      </c>
      <c r="D22" s="3">
        <v>1</v>
      </c>
      <c r="E22" s="3">
        <v>1</v>
      </c>
      <c r="F22" s="3">
        <v>1</v>
      </c>
      <c r="G22">
        <v>0</v>
      </c>
    </row>
    <row r="23" spans="1:7" ht="365" x14ac:dyDescent="0.2">
      <c r="A23" s="1">
        <v>31</v>
      </c>
      <c r="B23" s="3" t="s">
        <v>32</v>
      </c>
      <c r="C23" s="3" t="s">
        <v>48</v>
      </c>
      <c r="D23" s="3">
        <v>1</v>
      </c>
      <c r="E23" s="3">
        <v>1</v>
      </c>
      <c r="F23" s="3">
        <v>1</v>
      </c>
      <c r="G23">
        <v>0</v>
      </c>
    </row>
    <row r="24" spans="1:7" ht="335" x14ac:dyDescent="0.2">
      <c r="A24" s="1">
        <v>47</v>
      </c>
      <c r="B24" s="3" t="s">
        <v>32</v>
      </c>
      <c r="C24" s="3" t="s">
        <v>63</v>
      </c>
      <c r="D24" s="3">
        <v>1</v>
      </c>
      <c r="E24" s="3">
        <v>1</v>
      </c>
      <c r="F24" s="3">
        <v>1</v>
      </c>
      <c r="G24">
        <v>0</v>
      </c>
    </row>
    <row r="25" spans="1:7" ht="395" x14ac:dyDescent="0.2">
      <c r="A25" s="1">
        <v>63</v>
      </c>
      <c r="B25" s="3" t="s">
        <v>32</v>
      </c>
      <c r="C25" s="3" t="s">
        <v>79</v>
      </c>
      <c r="D25" s="3">
        <v>1</v>
      </c>
      <c r="E25" s="3">
        <v>1</v>
      </c>
      <c r="F25" s="3">
        <v>1</v>
      </c>
      <c r="G25">
        <v>0</v>
      </c>
    </row>
    <row r="26" spans="1:7" ht="350" x14ac:dyDescent="0.2">
      <c r="A26" s="1">
        <v>79</v>
      </c>
      <c r="B26" s="3" t="s">
        <v>32</v>
      </c>
      <c r="C26" s="3" t="s">
        <v>93</v>
      </c>
      <c r="D26" s="3">
        <v>1</v>
      </c>
      <c r="E26" s="3">
        <v>1</v>
      </c>
      <c r="F26" s="3">
        <v>1</v>
      </c>
      <c r="G26">
        <v>0</v>
      </c>
    </row>
    <row r="27" spans="1:7" ht="240" x14ac:dyDescent="0.2">
      <c r="A27" s="1">
        <v>14</v>
      </c>
      <c r="B27" s="3" t="s">
        <v>30</v>
      </c>
      <c r="C27" s="3" t="s">
        <v>31</v>
      </c>
      <c r="D27" s="3">
        <v>1</v>
      </c>
      <c r="E27" s="3">
        <v>1</v>
      </c>
      <c r="F27" s="3">
        <v>1</v>
      </c>
      <c r="G27">
        <v>0</v>
      </c>
    </row>
    <row r="28" spans="1:7" ht="256" x14ac:dyDescent="0.2">
      <c r="A28" s="1">
        <v>30</v>
      </c>
      <c r="B28" s="3" t="s">
        <v>30</v>
      </c>
      <c r="C28" s="3" t="s">
        <v>47</v>
      </c>
      <c r="D28" s="3">
        <v>1</v>
      </c>
      <c r="E28" s="3">
        <v>1</v>
      </c>
      <c r="F28" s="3">
        <v>1</v>
      </c>
      <c r="G28">
        <v>0</v>
      </c>
    </row>
    <row r="29" spans="1:7" ht="128" x14ac:dyDescent="0.2">
      <c r="A29" s="1">
        <v>46</v>
      </c>
      <c r="B29" s="3" t="s">
        <v>30</v>
      </c>
      <c r="C29" s="3" t="s">
        <v>62</v>
      </c>
      <c r="D29" s="3">
        <v>1</v>
      </c>
      <c r="E29" s="3">
        <v>1</v>
      </c>
      <c r="F29" s="3">
        <v>1</v>
      </c>
      <c r="G29">
        <v>0</v>
      </c>
    </row>
    <row r="30" spans="1:7" ht="395" x14ac:dyDescent="0.2">
      <c r="A30" s="1">
        <v>62</v>
      </c>
      <c r="B30" s="3" t="s">
        <v>30</v>
      </c>
      <c r="C30" s="3" t="s">
        <v>78</v>
      </c>
      <c r="D30" s="3">
        <v>1</v>
      </c>
      <c r="E30" s="3">
        <v>1</v>
      </c>
      <c r="F30" s="3">
        <v>1</v>
      </c>
      <c r="G30">
        <v>0</v>
      </c>
    </row>
    <row r="31" spans="1:7" ht="96" x14ac:dyDescent="0.2">
      <c r="A31" s="1">
        <v>78</v>
      </c>
      <c r="B31" s="3" t="s">
        <v>30</v>
      </c>
      <c r="C31" s="3" t="s">
        <v>92</v>
      </c>
      <c r="D31" s="3">
        <v>0</v>
      </c>
      <c r="E31" s="3">
        <v>0</v>
      </c>
      <c r="F31" s="3">
        <v>0</v>
      </c>
      <c r="G31">
        <v>0</v>
      </c>
    </row>
    <row r="32" spans="1:7" ht="304" x14ac:dyDescent="0.2">
      <c r="A32" s="1">
        <v>7</v>
      </c>
      <c r="B32" s="3" t="s">
        <v>16</v>
      </c>
      <c r="C32" s="3" t="s">
        <v>17</v>
      </c>
      <c r="D32" s="3">
        <v>1</v>
      </c>
      <c r="E32" s="3">
        <v>1</v>
      </c>
      <c r="F32" s="3">
        <v>1</v>
      </c>
      <c r="G32">
        <v>0</v>
      </c>
    </row>
    <row r="33" spans="1:7" ht="272" x14ac:dyDescent="0.2">
      <c r="A33" s="1">
        <v>23</v>
      </c>
      <c r="B33" s="3" t="s">
        <v>16</v>
      </c>
      <c r="C33" s="3" t="s">
        <v>41</v>
      </c>
      <c r="D33" s="3">
        <v>1</v>
      </c>
      <c r="E33" s="3">
        <v>1</v>
      </c>
      <c r="F33" s="3">
        <v>1</v>
      </c>
      <c r="G33">
        <v>0</v>
      </c>
    </row>
    <row r="34" spans="1:7" ht="350" x14ac:dyDescent="0.2">
      <c r="A34" s="1">
        <v>39</v>
      </c>
      <c r="B34" s="3" t="s">
        <v>16</v>
      </c>
      <c r="C34" s="3" t="s">
        <v>56</v>
      </c>
      <c r="D34" s="3">
        <v>1</v>
      </c>
      <c r="E34" s="3">
        <v>1</v>
      </c>
      <c r="F34" s="3">
        <v>1</v>
      </c>
      <c r="G34">
        <v>0</v>
      </c>
    </row>
    <row r="35" spans="1:7" ht="409.6" x14ac:dyDescent="0.2">
      <c r="A35" s="1">
        <v>55</v>
      </c>
      <c r="B35" s="3" t="s">
        <v>16</v>
      </c>
      <c r="C35" s="3" t="s">
        <v>71</v>
      </c>
      <c r="D35" s="3">
        <v>1</v>
      </c>
      <c r="E35" s="3">
        <v>1</v>
      </c>
      <c r="F35" s="3">
        <v>1</v>
      </c>
      <c r="G35">
        <v>0</v>
      </c>
    </row>
    <row r="36" spans="1:7" ht="395" x14ac:dyDescent="0.2">
      <c r="A36" s="1">
        <v>71</v>
      </c>
      <c r="B36" s="3" t="s">
        <v>16</v>
      </c>
      <c r="C36" s="3" t="s">
        <v>86</v>
      </c>
      <c r="D36" s="3">
        <v>1</v>
      </c>
      <c r="E36" s="3">
        <v>1</v>
      </c>
      <c r="F36" s="3">
        <v>1</v>
      </c>
      <c r="G36">
        <v>0</v>
      </c>
    </row>
    <row r="37" spans="1:7" ht="335" x14ac:dyDescent="0.2">
      <c r="A37" s="1">
        <v>10</v>
      </c>
      <c r="B37" s="3" t="s">
        <v>22</v>
      </c>
      <c r="C37" s="4" t="s">
        <v>23</v>
      </c>
      <c r="D37" s="3">
        <v>0</v>
      </c>
      <c r="E37" s="3">
        <v>0</v>
      </c>
      <c r="F37" s="3">
        <v>0</v>
      </c>
      <c r="G37">
        <v>1</v>
      </c>
    </row>
    <row r="38" spans="1:7" ht="365" x14ac:dyDescent="0.2">
      <c r="A38" s="1">
        <v>26</v>
      </c>
      <c r="B38" s="3" t="s">
        <v>22</v>
      </c>
      <c r="C38" s="4" t="s">
        <v>44</v>
      </c>
      <c r="D38" s="3">
        <v>0</v>
      </c>
      <c r="E38" s="3">
        <v>0</v>
      </c>
      <c r="F38" s="3">
        <v>0</v>
      </c>
      <c r="G38">
        <v>1</v>
      </c>
    </row>
    <row r="39" spans="1:7" ht="335" x14ac:dyDescent="0.2">
      <c r="A39" s="1">
        <v>42</v>
      </c>
      <c r="B39" s="3" t="s">
        <v>22</v>
      </c>
      <c r="C39" s="4" t="s">
        <v>59</v>
      </c>
      <c r="D39" s="3">
        <v>0</v>
      </c>
      <c r="E39" s="3">
        <v>0</v>
      </c>
      <c r="F39" s="3">
        <v>0</v>
      </c>
      <c r="G39">
        <v>1</v>
      </c>
    </row>
    <row r="40" spans="1:7" ht="304" x14ac:dyDescent="0.2">
      <c r="A40" s="1">
        <v>58</v>
      </c>
      <c r="B40" s="3" t="s">
        <v>22</v>
      </c>
      <c r="C40" s="4" t="s">
        <v>74</v>
      </c>
      <c r="D40" s="3">
        <v>0</v>
      </c>
      <c r="E40" s="3">
        <v>0</v>
      </c>
      <c r="F40" s="3">
        <v>0</v>
      </c>
      <c r="G40">
        <v>1</v>
      </c>
    </row>
    <row r="41" spans="1:7" ht="335" x14ac:dyDescent="0.2">
      <c r="A41" s="1">
        <v>74</v>
      </c>
      <c r="B41" s="3" t="s">
        <v>22</v>
      </c>
      <c r="C41" s="4" t="s">
        <v>89</v>
      </c>
      <c r="D41" s="3">
        <v>0</v>
      </c>
      <c r="E41" s="3">
        <v>0</v>
      </c>
      <c r="F41" s="3">
        <v>0</v>
      </c>
      <c r="G41">
        <v>1</v>
      </c>
    </row>
    <row r="42" spans="1:7" ht="224" x14ac:dyDescent="0.2">
      <c r="A42" s="1">
        <v>8</v>
      </c>
      <c r="B42" s="3" t="s">
        <v>18</v>
      </c>
      <c r="C42" s="3" t="s">
        <v>19</v>
      </c>
      <c r="D42" s="3">
        <v>1</v>
      </c>
      <c r="E42" s="3">
        <v>1</v>
      </c>
      <c r="F42" s="3">
        <v>1</v>
      </c>
      <c r="G42">
        <v>0</v>
      </c>
    </row>
    <row r="43" spans="1:7" ht="256" x14ac:dyDescent="0.2">
      <c r="A43" s="1">
        <v>24</v>
      </c>
      <c r="B43" s="3" t="s">
        <v>18</v>
      </c>
      <c r="C43" s="3" t="s">
        <v>42</v>
      </c>
      <c r="D43" s="3">
        <v>1</v>
      </c>
      <c r="E43" s="3">
        <v>1</v>
      </c>
      <c r="F43" s="3">
        <v>1</v>
      </c>
      <c r="G43">
        <v>0</v>
      </c>
    </row>
    <row r="44" spans="1:7" ht="380" x14ac:dyDescent="0.2">
      <c r="A44" s="1">
        <v>40</v>
      </c>
      <c r="B44" s="3" t="s">
        <v>18</v>
      </c>
      <c r="C44" s="3" t="s">
        <v>57</v>
      </c>
      <c r="D44" s="3">
        <v>1</v>
      </c>
      <c r="E44" s="3">
        <v>1</v>
      </c>
      <c r="F44" s="3">
        <v>1</v>
      </c>
      <c r="G44">
        <v>0</v>
      </c>
    </row>
    <row r="45" spans="1:7" ht="192" x14ac:dyDescent="0.2">
      <c r="A45" s="1">
        <v>56</v>
      </c>
      <c r="B45" s="3" t="s">
        <v>18</v>
      </c>
      <c r="C45" s="3" t="s">
        <v>72</v>
      </c>
      <c r="D45" s="3">
        <v>0</v>
      </c>
      <c r="E45" s="3">
        <v>0</v>
      </c>
      <c r="F45" s="3">
        <v>0</v>
      </c>
      <c r="G45">
        <v>0</v>
      </c>
    </row>
    <row r="46" spans="1:7" ht="288" x14ac:dyDescent="0.2">
      <c r="A46" s="1">
        <v>72</v>
      </c>
      <c r="B46" s="3" t="s">
        <v>18</v>
      </c>
      <c r="C46" s="3" t="s">
        <v>87</v>
      </c>
      <c r="D46" s="3">
        <v>1</v>
      </c>
      <c r="E46" s="3">
        <v>1</v>
      </c>
      <c r="F46" s="3">
        <v>1</v>
      </c>
      <c r="G46">
        <v>0</v>
      </c>
    </row>
    <row r="47" spans="1:7" ht="176" x14ac:dyDescent="0.2">
      <c r="A47" s="1">
        <v>6</v>
      </c>
      <c r="B47" s="3" t="s">
        <v>14</v>
      </c>
      <c r="C47" s="3" t="s">
        <v>15</v>
      </c>
      <c r="D47" s="3">
        <v>1</v>
      </c>
      <c r="E47" s="3">
        <v>1</v>
      </c>
      <c r="F47" s="3">
        <v>1</v>
      </c>
      <c r="G47">
        <v>0</v>
      </c>
    </row>
    <row r="48" spans="1:7" ht="208" x14ac:dyDescent="0.2">
      <c r="A48" s="1">
        <v>22</v>
      </c>
      <c r="B48" s="3" t="s">
        <v>14</v>
      </c>
      <c r="C48" s="3" t="s">
        <v>40</v>
      </c>
      <c r="D48" s="3">
        <v>1</v>
      </c>
      <c r="E48" s="3">
        <v>1</v>
      </c>
      <c r="F48" s="3">
        <v>1</v>
      </c>
      <c r="G48">
        <v>0</v>
      </c>
    </row>
    <row r="49" spans="1:7" ht="240" x14ac:dyDescent="0.2">
      <c r="A49" s="1">
        <v>38</v>
      </c>
      <c r="B49" s="3" t="s">
        <v>14</v>
      </c>
      <c r="C49" s="3" t="s">
        <v>55</v>
      </c>
      <c r="D49" s="3">
        <v>1</v>
      </c>
      <c r="E49" s="3">
        <v>1</v>
      </c>
      <c r="F49" s="3">
        <v>1</v>
      </c>
      <c r="G49">
        <v>0</v>
      </c>
    </row>
    <row r="50" spans="1:7" ht="160" x14ac:dyDescent="0.2">
      <c r="A50" s="1">
        <v>54</v>
      </c>
      <c r="B50" s="3" t="s">
        <v>14</v>
      </c>
      <c r="C50" s="3" t="s">
        <v>70</v>
      </c>
      <c r="D50" s="3">
        <v>1</v>
      </c>
      <c r="E50" s="3">
        <v>1</v>
      </c>
      <c r="F50" s="3">
        <v>1</v>
      </c>
      <c r="G50">
        <v>0</v>
      </c>
    </row>
    <row r="51" spans="1:7" ht="256" x14ac:dyDescent="0.2">
      <c r="A51" s="1">
        <v>70</v>
      </c>
      <c r="B51" s="3" t="s">
        <v>14</v>
      </c>
      <c r="C51" s="3" t="s">
        <v>85</v>
      </c>
      <c r="D51" s="3">
        <v>1</v>
      </c>
      <c r="E51" s="3">
        <v>1</v>
      </c>
      <c r="F51" s="3">
        <v>1</v>
      </c>
      <c r="G51">
        <v>0</v>
      </c>
    </row>
    <row r="52" spans="1:7" ht="96" x14ac:dyDescent="0.2">
      <c r="A52" s="1">
        <v>11</v>
      </c>
      <c r="B52" s="3" t="s">
        <v>24</v>
      </c>
      <c r="C52" s="3" t="s">
        <v>25</v>
      </c>
      <c r="D52" s="3">
        <v>0</v>
      </c>
      <c r="E52" s="3">
        <v>0</v>
      </c>
      <c r="F52" s="3">
        <v>0</v>
      </c>
      <c r="G52">
        <v>0</v>
      </c>
    </row>
    <row r="53" spans="1:7" ht="96" x14ac:dyDescent="0.2">
      <c r="A53" s="1">
        <v>27</v>
      </c>
      <c r="B53" s="3" t="s">
        <v>24</v>
      </c>
      <c r="C53" s="3" t="s">
        <v>25</v>
      </c>
      <c r="D53" s="3">
        <v>0</v>
      </c>
      <c r="E53" s="3">
        <v>0</v>
      </c>
      <c r="F53" s="3">
        <v>0</v>
      </c>
      <c r="G53">
        <v>0</v>
      </c>
    </row>
    <row r="54" spans="1:7" ht="96" x14ac:dyDescent="0.2">
      <c r="A54" s="1">
        <v>43</v>
      </c>
      <c r="B54" s="3" t="s">
        <v>24</v>
      </c>
      <c r="C54" s="3" t="s">
        <v>25</v>
      </c>
      <c r="D54" s="3">
        <v>0</v>
      </c>
      <c r="E54" s="3">
        <v>0</v>
      </c>
      <c r="F54" s="3">
        <v>0</v>
      </c>
      <c r="G54">
        <v>0</v>
      </c>
    </row>
    <row r="55" spans="1:7" ht="160" x14ac:dyDescent="0.2">
      <c r="A55" s="1">
        <v>59</v>
      </c>
      <c r="B55" s="3" t="s">
        <v>24</v>
      </c>
      <c r="C55" s="3" t="s">
        <v>75</v>
      </c>
      <c r="D55" s="3">
        <v>0</v>
      </c>
      <c r="E55" s="3">
        <v>0</v>
      </c>
      <c r="F55" s="3">
        <v>0</v>
      </c>
      <c r="G55">
        <v>0</v>
      </c>
    </row>
    <row r="56" spans="1:7" ht="96" x14ac:dyDescent="0.2">
      <c r="A56" s="1">
        <v>75</v>
      </c>
      <c r="B56" s="3" t="s">
        <v>24</v>
      </c>
      <c r="C56" s="3" t="s">
        <v>25</v>
      </c>
      <c r="D56" s="3">
        <v>0</v>
      </c>
      <c r="E56" s="3">
        <v>0</v>
      </c>
      <c r="F56" s="3">
        <v>0</v>
      </c>
      <c r="G56">
        <v>0</v>
      </c>
    </row>
    <row r="57" spans="1:7" ht="192" x14ac:dyDescent="0.2">
      <c r="A57" s="1">
        <v>4</v>
      </c>
      <c r="B57" s="3" t="s">
        <v>10</v>
      </c>
      <c r="C57" s="3" t="s">
        <v>11</v>
      </c>
      <c r="D57" s="3">
        <v>1</v>
      </c>
      <c r="E57" s="3">
        <v>1</v>
      </c>
      <c r="F57" s="3">
        <v>1</v>
      </c>
      <c r="G57">
        <v>0</v>
      </c>
    </row>
    <row r="58" spans="1:7" ht="240" x14ac:dyDescent="0.2">
      <c r="A58" s="1">
        <v>20</v>
      </c>
      <c r="B58" s="3" t="s">
        <v>10</v>
      </c>
      <c r="C58" s="3" t="s">
        <v>38</v>
      </c>
      <c r="D58" s="3">
        <v>1</v>
      </c>
      <c r="E58" s="3">
        <v>1</v>
      </c>
      <c r="F58" s="3">
        <v>1</v>
      </c>
      <c r="G58">
        <v>0</v>
      </c>
    </row>
    <row r="59" spans="1:7" ht="320" x14ac:dyDescent="0.2">
      <c r="A59" s="1">
        <v>36</v>
      </c>
      <c r="B59" s="3" t="s">
        <v>10</v>
      </c>
      <c r="C59" s="3" t="s">
        <v>53</v>
      </c>
      <c r="D59" s="3">
        <v>1</v>
      </c>
      <c r="E59" s="3">
        <v>1</v>
      </c>
      <c r="F59" s="3">
        <v>1</v>
      </c>
      <c r="G59">
        <v>0</v>
      </c>
    </row>
    <row r="60" spans="1:7" ht="240" x14ac:dyDescent="0.2">
      <c r="A60" s="1">
        <v>52</v>
      </c>
      <c r="B60" s="3" t="s">
        <v>10</v>
      </c>
      <c r="C60" s="3" t="s">
        <v>68</v>
      </c>
      <c r="D60" s="3">
        <v>1</v>
      </c>
      <c r="E60" s="3">
        <v>1</v>
      </c>
      <c r="F60" s="3">
        <v>1</v>
      </c>
      <c r="G60">
        <v>0</v>
      </c>
    </row>
    <row r="61" spans="1:7" ht="208" x14ac:dyDescent="0.2">
      <c r="A61" s="1">
        <v>68</v>
      </c>
      <c r="B61" s="3" t="s">
        <v>10</v>
      </c>
      <c r="C61" s="3" t="s">
        <v>83</v>
      </c>
      <c r="D61" s="3">
        <v>1</v>
      </c>
      <c r="E61" s="3">
        <v>1</v>
      </c>
      <c r="F61" s="3">
        <v>1</v>
      </c>
      <c r="G61">
        <v>0</v>
      </c>
    </row>
    <row r="62" spans="1:7" ht="380" x14ac:dyDescent="0.2">
      <c r="A62" s="1">
        <v>5</v>
      </c>
      <c r="B62" s="3" t="s">
        <v>12</v>
      </c>
      <c r="C62" s="3" t="s">
        <v>13</v>
      </c>
      <c r="D62" s="3">
        <v>1</v>
      </c>
      <c r="E62" s="3">
        <v>1</v>
      </c>
      <c r="F62" s="3">
        <v>1</v>
      </c>
      <c r="G62">
        <v>0</v>
      </c>
    </row>
    <row r="63" spans="1:7" ht="224" x14ac:dyDescent="0.2">
      <c r="A63" s="1">
        <v>21</v>
      </c>
      <c r="B63" s="3" t="s">
        <v>12</v>
      </c>
      <c r="C63" s="3" t="s">
        <v>39</v>
      </c>
      <c r="D63" s="3">
        <v>1</v>
      </c>
      <c r="E63" s="3">
        <v>1</v>
      </c>
      <c r="F63" s="3">
        <v>1</v>
      </c>
      <c r="G63">
        <v>0</v>
      </c>
    </row>
    <row r="64" spans="1:7" ht="409.6" x14ac:dyDescent="0.2">
      <c r="A64" s="1">
        <v>37</v>
      </c>
      <c r="B64" s="3" t="s">
        <v>12</v>
      </c>
      <c r="C64" s="3" t="s">
        <v>54</v>
      </c>
      <c r="D64" s="3">
        <v>1</v>
      </c>
      <c r="E64" s="3">
        <v>1</v>
      </c>
      <c r="F64" s="3">
        <v>1</v>
      </c>
      <c r="G64">
        <v>0</v>
      </c>
    </row>
    <row r="65" spans="1:7" ht="272" x14ac:dyDescent="0.2">
      <c r="A65" s="1">
        <v>53</v>
      </c>
      <c r="B65" s="3" t="s">
        <v>12</v>
      </c>
      <c r="C65" s="3" t="s">
        <v>69</v>
      </c>
      <c r="D65" s="3">
        <v>1</v>
      </c>
      <c r="E65" s="3">
        <v>1</v>
      </c>
      <c r="F65" s="3">
        <v>1</v>
      </c>
      <c r="G65">
        <v>0</v>
      </c>
    </row>
    <row r="66" spans="1:7" ht="350" x14ac:dyDescent="0.2">
      <c r="A66" s="1">
        <v>69</v>
      </c>
      <c r="B66" s="3" t="s">
        <v>12</v>
      </c>
      <c r="C66" s="3" t="s">
        <v>84</v>
      </c>
      <c r="D66" s="3">
        <v>1</v>
      </c>
      <c r="E66" s="3">
        <v>1</v>
      </c>
      <c r="F66" s="3">
        <v>1</v>
      </c>
      <c r="G66">
        <v>0</v>
      </c>
    </row>
    <row r="67" spans="1:7" ht="304" x14ac:dyDescent="0.2">
      <c r="A67" s="1">
        <v>3</v>
      </c>
      <c r="B67" s="3" t="s">
        <v>8</v>
      </c>
      <c r="C67" s="3" t="s">
        <v>9</v>
      </c>
      <c r="D67" s="3">
        <v>1</v>
      </c>
      <c r="E67" s="3">
        <v>1</v>
      </c>
      <c r="F67" s="3">
        <v>1</v>
      </c>
      <c r="G67">
        <v>0</v>
      </c>
    </row>
    <row r="68" spans="1:7" ht="409.6" x14ac:dyDescent="0.2">
      <c r="A68" s="1">
        <v>19</v>
      </c>
      <c r="B68" s="3" t="s">
        <v>8</v>
      </c>
      <c r="C68" s="3" t="s">
        <v>37</v>
      </c>
      <c r="D68" s="3">
        <v>1</v>
      </c>
      <c r="E68" s="3">
        <v>1</v>
      </c>
      <c r="F68" s="3">
        <v>1</v>
      </c>
      <c r="G68">
        <v>0</v>
      </c>
    </row>
    <row r="69" spans="1:7" ht="320" x14ac:dyDescent="0.2">
      <c r="A69" s="1">
        <v>35</v>
      </c>
      <c r="B69" s="3" t="s">
        <v>8</v>
      </c>
      <c r="C69" s="3" t="s">
        <v>52</v>
      </c>
      <c r="D69" s="3">
        <v>1</v>
      </c>
      <c r="E69" s="3">
        <v>1</v>
      </c>
      <c r="F69" s="3">
        <v>1</v>
      </c>
      <c r="G69">
        <v>0</v>
      </c>
    </row>
    <row r="70" spans="1:7" ht="304" x14ac:dyDescent="0.2">
      <c r="A70" s="1">
        <v>51</v>
      </c>
      <c r="B70" s="3" t="s">
        <v>8</v>
      </c>
      <c r="C70" s="3" t="s">
        <v>67</v>
      </c>
      <c r="D70" s="3">
        <v>1</v>
      </c>
      <c r="E70" s="3">
        <v>1</v>
      </c>
      <c r="F70" s="3">
        <v>1</v>
      </c>
      <c r="G70">
        <v>0</v>
      </c>
    </row>
    <row r="71" spans="1:7" ht="192" x14ac:dyDescent="0.2">
      <c r="A71" s="1">
        <v>67</v>
      </c>
      <c r="B71" s="3" t="s">
        <v>8</v>
      </c>
      <c r="C71" s="3" t="s">
        <v>82</v>
      </c>
      <c r="D71" s="3">
        <v>1</v>
      </c>
      <c r="E71" s="3">
        <v>1</v>
      </c>
      <c r="F71" s="3">
        <v>1</v>
      </c>
      <c r="G71">
        <v>0</v>
      </c>
    </row>
    <row r="72" spans="1:7" ht="409.6" x14ac:dyDescent="0.2">
      <c r="A72" s="1">
        <v>1</v>
      </c>
      <c r="B72" s="3" t="s">
        <v>4</v>
      </c>
      <c r="C72" s="3" t="s">
        <v>5</v>
      </c>
      <c r="D72" s="3">
        <v>1</v>
      </c>
      <c r="E72" s="3">
        <v>1</v>
      </c>
      <c r="F72" s="3">
        <v>1</v>
      </c>
      <c r="G72">
        <v>0</v>
      </c>
    </row>
    <row r="73" spans="1:7" ht="272" x14ac:dyDescent="0.2">
      <c r="A73" s="1">
        <v>17</v>
      </c>
      <c r="B73" s="3" t="s">
        <v>4</v>
      </c>
      <c r="C73" s="3" t="s">
        <v>35</v>
      </c>
      <c r="D73" s="3">
        <v>1</v>
      </c>
      <c r="E73" s="3">
        <v>1</v>
      </c>
      <c r="F73" s="3">
        <v>1</v>
      </c>
      <c r="G73">
        <v>0</v>
      </c>
    </row>
    <row r="74" spans="1:7" ht="208" x14ac:dyDescent="0.2">
      <c r="A74" s="1">
        <v>33</v>
      </c>
      <c r="B74" s="3" t="s">
        <v>4</v>
      </c>
      <c r="C74" s="3" t="s">
        <v>50</v>
      </c>
      <c r="D74" s="3">
        <v>1</v>
      </c>
      <c r="E74" s="3">
        <v>1</v>
      </c>
      <c r="F74" s="3">
        <v>1</v>
      </c>
      <c r="G74">
        <v>0</v>
      </c>
    </row>
    <row r="75" spans="1:7" ht="224" x14ac:dyDescent="0.2">
      <c r="A75" s="1">
        <v>49</v>
      </c>
      <c r="B75" s="3" t="s">
        <v>4</v>
      </c>
      <c r="C75" s="3" t="s">
        <v>65</v>
      </c>
      <c r="D75" s="3">
        <v>1</v>
      </c>
      <c r="E75" s="3">
        <v>1</v>
      </c>
      <c r="F75" s="3">
        <v>1</v>
      </c>
      <c r="G75">
        <v>0</v>
      </c>
    </row>
    <row r="76" spans="1:7" ht="409.6" x14ac:dyDescent="0.2">
      <c r="A76" s="1">
        <v>65</v>
      </c>
      <c r="B76" s="3" t="s">
        <v>4</v>
      </c>
      <c r="C76" s="3" t="s">
        <v>5</v>
      </c>
      <c r="D76" s="3">
        <v>1</v>
      </c>
      <c r="E76" s="3">
        <v>1</v>
      </c>
      <c r="F76" s="3">
        <v>1</v>
      </c>
      <c r="G76">
        <v>0</v>
      </c>
    </row>
    <row r="77" spans="1:7" ht="208" x14ac:dyDescent="0.2">
      <c r="A77" s="1">
        <v>0</v>
      </c>
      <c r="B77" s="3" t="s">
        <v>2</v>
      </c>
      <c r="C77" s="3" t="s">
        <v>3</v>
      </c>
      <c r="D77" s="3">
        <v>1</v>
      </c>
      <c r="E77" s="3">
        <v>1</v>
      </c>
      <c r="F77" s="3">
        <v>1</v>
      </c>
      <c r="G77">
        <v>0</v>
      </c>
    </row>
    <row r="78" spans="1:7" ht="160" x14ac:dyDescent="0.2">
      <c r="A78" s="1">
        <v>16</v>
      </c>
      <c r="B78" s="3" t="s">
        <v>2</v>
      </c>
      <c r="C78" s="3" t="s">
        <v>34</v>
      </c>
      <c r="D78" s="3">
        <v>1</v>
      </c>
      <c r="E78" s="3">
        <v>1</v>
      </c>
      <c r="F78" s="3">
        <v>1</v>
      </c>
      <c r="G78">
        <v>0</v>
      </c>
    </row>
    <row r="79" spans="1:7" ht="176" x14ac:dyDescent="0.2">
      <c r="A79" s="1">
        <v>32</v>
      </c>
      <c r="B79" s="3" t="s">
        <v>2</v>
      </c>
      <c r="C79" s="3" t="s">
        <v>49</v>
      </c>
      <c r="D79" s="3">
        <v>1</v>
      </c>
      <c r="E79" s="3">
        <v>1</v>
      </c>
      <c r="F79" s="3">
        <v>1</v>
      </c>
      <c r="G79">
        <v>0</v>
      </c>
    </row>
    <row r="80" spans="1:7" ht="176" x14ac:dyDescent="0.2">
      <c r="A80" s="1">
        <v>48</v>
      </c>
      <c r="B80" s="3" t="s">
        <v>2</v>
      </c>
      <c r="C80" s="3" t="s">
        <v>64</v>
      </c>
      <c r="D80" s="3">
        <v>1</v>
      </c>
      <c r="E80" s="3">
        <v>1</v>
      </c>
      <c r="F80" s="3">
        <v>1</v>
      </c>
      <c r="G80">
        <v>0</v>
      </c>
    </row>
    <row r="81" spans="1:7" ht="128" x14ac:dyDescent="0.2">
      <c r="A81" s="1">
        <v>64</v>
      </c>
      <c r="B81" s="3" t="s">
        <v>2</v>
      </c>
      <c r="C81" s="3" t="s">
        <v>80</v>
      </c>
      <c r="D81" s="3">
        <v>1</v>
      </c>
      <c r="E81" s="3">
        <v>1</v>
      </c>
      <c r="F81" s="3">
        <v>1</v>
      </c>
      <c r="G81">
        <v>0</v>
      </c>
    </row>
  </sheetData>
  <sortState xmlns:xlrd2="http://schemas.microsoft.com/office/spreadsheetml/2017/richdata2" ref="A2:G81">
    <sortCondition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7194-09E3-DF48-9914-FF6C9560E955}">
  <sheetPr>
    <outlinePr summaryBelow="0" summaryRight="0"/>
  </sheetPr>
  <dimension ref="A1:W994"/>
  <sheetViews>
    <sheetView workbookViewId="0">
      <selection activeCell="E18" sqref="E18"/>
    </sheetView>
  </sheetViews>
  <sheetFormatPr baseColWidth="10" defaultColWidth="12.6640625" defaultRowHeight="15.75" customHeight="1" x14ac:dyDescent="0.2"/>
  <cols>
    <col min="1" max="1" width="15.33203125" style="5" bestFit="1" customWidth="1"/>
    <col min="2" max="2" width="14.83203125" style="5" bestFit="1" customWidth="1"/>
    <col min="3" max="3" width="14.6640625" style="5" customWidth="1"/>
    <col min="4" max="4" width="16" style="5" customWidth="1"/>
    <col min="5" max="5" width="17" style="5" customWidth="1"/>
    <col min="6" max="16384" width="12.6640625" style="5"/>
  </cols>
  <sheetData>
    <row r="1" spans="1:23" ht="16" x14ac:dyDescent="0.2">
      <c r="A1" s="9" t="s">
        <v>115</v>
      </c>
      <c r="B1" s="8"/>
      <c r="C1" s="8"/>
      <c r="D1" s="8"/>
      <c r="E1" s="8"/>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114</v>
      </c>
      <c r="C3" s="6" t="s">
        <v>112</v>
      </c>
      <c r="E3" s="6" t="s">
        <v>110</v>
      </c>
      <c r="F3" s="6"/>
      <c r="G3" s="6"/>
      <c r="H3" s="6"/>
      <c r="I3" s="6"/>
      <c r="J3" s="6"/>
      <c r="K3" s="6"/>
      <c r="L3" s="6"/>
      <c r="M3" s="6"/>
      <c r="N3" s="6"/>
      <c r="O3" s="6"/>
      <c r="P3" s="6"/>
      <c r="Q3" s="6"/>
      <c r="R3" s="6"/>
      <c r="S3" s="6"/>
      <c r="T3" s="6"/>
      <c r="U3" s="6"/>
      <c r="V3" s="6"/>
      <c r="W3" s="6"/>
    </row>
    <row r="4" spans="1:23" ht="16" x14ac:dyDescent="0.2">
      <c r="B4" t="s">
        <v>99</v>
      </c>
      <c r="C4">
        <v>0</v>
      </c>
      <c r="D4">
        <v>1</v>
      </c>
      <c r="E4" t="s">
        <v>98</v>
      </c>
      <c r="F4" s="6"/>
      <c r="G4" s="6"/>
      <c r="H4" s="6"/>
      <c r="I4" s="6"/>
      <c r="J4" s="6"/>
      <c r="K4" s="6"/>
      <c r="L4" s="6"/>
      <c r="M4" s="6"/>
      <c r="N4" s="6"/>
      <c r="O4" s="6"/>
      <c r="P4" s="6"/>
      <c r="Q4" s="6"/>
      <c r="R4" s="6"/>
      <c r="S4" s="6"/>
      <c r="T4" s="6"/>
      <c r="U4" s="6"/>
      <c r="V4" s="6"/>
      <c r="W4" s="6"/>
    </row>
    <row r="5" spans="1:23" ht="16" x14ac:dyDescent="0.2">
      <c r="A5" s="20" t="s">
        <v>111</v>
      </c>
      <c r="B5">
        <v>0</v>
      </c>
      <c r="C5">
        <v>14</v>
      </c>
      <c r="D5"/>
      <c r="E5">
        <v>14</v>
      </c>
      <c r="F5" s="6"/>
      <c r="G5" s="6"/>
      <c r="H5" s="6"/>
      <c r="I5" s="6"/>
      <c r="J5" s="6"/>
      <c r="K5" s="6"/>
      <c r="L5" s="6"/>
      <c r="M5" s="6"/>
      <c r="N5" s="6"/>
      <c r="O5" s="6"/>
      <c r="P5" s="6"/>
      <c r="Q5" s="6"/>
      <c r="R5" s="6"/>
      <c r="S5" s="6"/>
      <c r="T5" s="6"/>
      <c r="U5" s="6"/>
      <c r="V5" s="6"/>
      <c r="W5" s="6"/>
    </row>
    <row r="6" spans="1:23" ht="16" x14ac:dyDescent="0.2">
      <c r="B6">
        <v>1</v>
      </c>
      <c r="C6"/>
      <c r="D6">
        <v>66</v>
      </c>
      <c r="E6">
        <v>66</v>
      </c>
      <c r="F6" s="6"/>
      <c r="G6" s="6"/>
      <c r="H6" s="6"/>
      <c r="I6" s="6"/>
      <c r="J6" s="6"/>
      <c r="K6" s="6"/>
      <c r="L6" s="6"/>
      <c r="M6" s="6"/>
      <c r="N6" s="6"/>
      <c r="O6" s="6"/>
      <c r="P6" s="6"/>
      <c r="Q6" s="6"/>
      <c r="R6" s="6"/>
      <c r="S6" s="6"/>
      <c r="T6" s="6"/>
      <c r="U6" s="6"/>
      <c r="V6" s="6"/>
      <c r="W6" s="6"/>
    </row>
    <row r="7" spans="1:23" ht="16" x14ac:dyDescent="0.2">
      <c r="A7" s="17"/>
      <c r="B7" t="s">
        <v>98</v>
      </c>
      <c r="C7">
        <v>14</v>
      </c>
      <c r="D7">
        <v>66</v>
      </c>
      <c r="E7">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9" t="s">
        <v>113</v>
      </c>
      <c r="B9" s="8"/>
      <c r="C9" s="8"/>
      <c r="D9" s="8"/>
      <c r="E9" s="8"/>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112</v>
      </c>
      <c r="D11" s="22"/>
      <c r="E11" s="6" t="s">
        <v>110</v>
      </c>
      <c r="F11" s="6"/>
      <c r="G11" s="6"/>
      <c r="H11" s="6"/>
      <c r="I11" s="6"/>
      <c r="J11" s="6"/>
      <c r="K11" s="6"/>
      <c r="L11" s="6"/>
      <c r="M11" s="6"/>
      <c r="N11" s="6"/>
      <c r="O11" s="6"/>
      <c r="P11" s="6"/>
      <c r="Q11" s="6"/>
      <c r="R11" s="6"/>
      <c r="S11" s="6"/>
      <c r="T11" s="6"/>
      <c r="U11" s="6"/>
      <c r="V11" s="6"/>
      <c r="W11" s="6"/>
    </row>
    <row r="12" spans="1:23" ht="16" x14ac:dyDescent="0.2">
      <c r="C12" s="5">
        <v>0</v>
      </c>
      <c r="D12" s="5">
        <v>1</v>
      </c>
      <c r="E12" s="7" t="s">
        <v>98</v>
      </c>
      <c r="F12" s="6"/>
      <c r="G12" s="6"/>
      <c r="H12" s="6"/>
      <c r="I12" s="6"/>
      <c r="J12" s="6"/>
      <c r="K12" s="6"/>
      <c r="L12" s="6"/>
      <c r="M12" s="6"/>
      <c r="N12" s="6"/>
      <c r="O12" s="6"/>
      <c r="P12" s="6"/>
      <c r="Q12" s="6"/>
      <c r="R12" s="6"/>
      <c r="S12" s="6"/>
      <c r="T12" s="6"/>
      <c r="U12" s="6"/>
      <c r="V12" s="6"/>
      <c r="W12" s="6"/>
    </row>
    <row r="13" spans="1:23" ht="16" x14ac:dyDescent="0.2">
      <c r="A13" s="20" t="s">
        <v>111</v>
      </c>
      <c r="B13" s="5">
        <v>0</v>
      </c>
      <c r="C13" s="14">
        <f>C$15*$E13/$E$15</f>
        <v>2.4500000000000002</v>
      </c>
      <c r="D13" s="11">
        <f>D$15*$E13/$E$15</f>
        <v>11.55</v>
      </c>
      <c r="E13">
        <v>14</v>
      </c>
      <c r="F13" s="6"/>
      <c r="G13" s="6"/>
      <c r="H13" s="6"/>
      <c r="I13" s="6"/>
      <c r="J13" s="6"/>
      <c r="K13" s="6"/>
      <c r="L13" s="6"/>
      <c r="M13" s="6"/>
      <c r="N13" s="6"/>
      <c r="O13" s="6"/>
      <c r="P13" s="6"/>
      <c r="Q13" s="6"/>
      <c r="R13" s="6"/>
      <c r="S13" s="6"/>
      <c r="T13" s="6"/>
      <c r="U13" s="6"/>
      <c r="V13" s="6"/>
      <c r="W13" s="6"/>
    </row>
    <row r="14" spans="1:23" ht="16" x14ac:dyDescent="0.2">
      <c r="B14" s="5">
        <v>1</v>
      </c>
      <c r="C14" s="11">
        <f>C$15*$E14/$E$15</f>
        <v>11.55</v>
      </c>
      <c r="D14" s="14">
        <f>D$15*$E14/$E$15</f>
        <v>54.45</v>
      </c>
      <c r="E14">
        <v>66</v>
      </c>
      <c r="F14" s="6"/>
      <c r="G14" s="6"/>
      <c r="H14" s="6"/>
      <c r="I14" s="6"/>
      <c r="J14" s="6"/>
      <c r="K14" s="6"/>
      <c r="L14" s="6"/>
      <c r="M14" s="6"/>
      <c r="N14" s="6"/>
      <c r="O14" s="6"/>
      <c r="P14" s="6"/>
      <c r="Q14" s="6"/>
      <c r="R14" s="6"/>
      <c r="S14" s="6"/>
      <c r="T14" s="6"/>
      <c r="U14" s="6"/>
      <c r="V14" s="6"/>
      <c r="W14" s="6"/>
    </row>
    <row r="15" spans="1:23" ht="16" x14ac:dyDescent="0.2">
      <c r="A15" s="16" t="s">
        <v>110</v>
      </c>
      <c r="C15">
        <v>14</v>
      </c>
      <c r="D15">
        <v>66</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9" t="s">
        <v>109</v>
      </c>
      <c r="B17" s="8"/>
      <c r="C17" s="8"/>
      <c r="D17" s="8"/>
      <c r="E17" s="8"/>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108</v>
      </c>
      <c r="C19" s="7" t="s">
        <v>107</v>
      </c>
      <c r="D19" s="7"/>
      <c r="E19" s="7"/>
      <c r="F19" s="6"/>
      <c r="G19" s="6"/>
      <c r="H19" s="6"/>
      <c r="I19" s="6"/>
      <c r="J19" s="6"/>
      <c r="K19" s="6"/>
      <c r="L19" s="6"/>
      <c r="M19" s="6"/>
      <c r="N19" s="6"/>
      <c r="O19" s="6"/>
      <c r="P19" s="6"/>
      <c r="Q19" s="6"/>
      <c r="R19" s="6"/>
      <c r="S19" s="6"/>
      <c r="T19" s="6"/>
      <c r="U19" s="6"/>
      <c r="V19" s="6"/>
      <c r="W19" s="6"/>
    </row>
    <row r="20" spans="1:23" ht="16" x14ac:dyDescent="0.2">
      <c r="A20" s="6" t="s">
        <v>106</v>
      </c>
      <c r="B20" s="7">
        <f>SUM(C5,D6)</f>
        <v>80</v>
      </c>
      <c r="C20" s="15">
        <f>B20/B22</f>
        <v>1</v>
      </c>
      <c r="D20" s="7"/>
      <c r="E20" s="7"/>
      <c r="F20" s="6"/>
      <c r="G20" s="6"/>
      <c r="H20" s="6"/>
      <c r="I20" s="6"/>
      <c r="J20" s="6"/>
      <c r="K20" s="6"/>
      <c r="L20" s="6"/>
      <c r="M20" s="6"/>
      <c r="N20" s="6"/>
      <c r="O20" s="6"/>
      <c r="P20" s="6"/>
      <c r="Q20" s="6"/>
      <c r="R20" s="6"/>
      <c r="S20" s="6"/>
      <c r="T20" s="6"/>
      <c r="U20" s="6"/>
      <c r="V20" s="6"/>
      <c r="W20" s="6"/>
    </row>
    <row r="21" spans="1:23" ht="16" x14ac:dyDescent="0.2">
      <c r="A21" s="6" t="s">
        <v>105</v>
      </c>
      <c r="B21" s="7">
        <f>SUM(C13,D14)</f>
        <v>56.900000000000006</v>
      </c>
      <c r="C21" s="15">
        <f>B21/B22</f>
        <v>0.71125000000000005</v>
      </c>
      <c r="D21" s="7"/>
      <c r="E21" s="7"/>
      <c r="F21" s="6"/>
      <c r="G21" s="6"/>
      <c r="H21" s="6"/>
      <c r="I21" s="6"/>
      <c r="J21" s="6"/>
      <c r="K21" s="6"/>
      <c r="L21" s="6"/>
      <c r="M21" s="6"/>
      <c r="N21" s="6"/>
      <c r="O21" s="6"/>
      <c r="P21" s="6"/>
      <c r="Q21" s="6"/>
      <c r="R21" s="6"/>
      <c r="S21" s="6"/>
      <c r="T21" s="6"/>
      <c r="U21" s="6"/>
      <c r="V21" s="6"/>
      <c r="W21" s="6"/>
    </row>
    <row r="22" spans="1:23" ht="16" x14ac:dyDescent="0.2">
      <c r="A22" s="6" t="s">
        <v>104</v>
      </c>
      <c r="B22" s="7">
        <f>E15</f>
        <v>80</v>
      </c>
      <c r="C22" s="15">
        <v>1</v>
      </c>
      <c r="D22" s="7"/>
      <c r="E22" s="14" t="s">
        <v>103</v>
      </c>
      <c r="F22" s="6"/>
      <c r="G22" s="6"/>
      <c r="H22" s="6"/>
      <c r="I22" s="6"/>
      <c r="J22" s="6"/>
      <c r="K22" s="6"/>
      <c r="L22" s="6"/>
      <c r="M22" s="6"/>
      <c r="N22" s="6"/>
      <c r="O22" s="6"/>
      <c r="P22" s="6"/>
      <c r="Q22" s="6"/>
      <c r="R22" s="6"/>
      <c r="S22" s="6"/>
      <c r="T22" s="6"/>
      <c r="U22" s="6"/>
      <c r="V22" s="6"/>
      <c r="W22" s="6"/>
    </row>
    <row r="23" spans="1:23" ht="16" x14ac:dyDescent="0.2">
      <c r="A23" s="10" t="s">
        <v>102</v>
      </c>
      <c r="B23" s="13">
        <f>(B20-B21)/(B22-B21)</f>
        <v>1</v>
      </c>
      <c r="C23" s="13">
        <f>(C20-C21)/(C22-C21)</f>
        <v>1</v>
      </c>
      <c r="D23" s="12"/>
      <c r="E23" s="11" t="s">
        <v>101</v>
      </c>
      <c r="F23" s="10"/>
      <c r="G23" s="10"/>
      <c r="H23" s="10"/>
      <c r="I23" s="10"/>
      <c r="J23" s="10"/>
      <c r="K23" s="10"/>
      <c r="L23" s="10"/>
      <c r="M23" s="10"/>
      <c r="N23" s="10"/>
      <c r="O23" s="10"/>
      <c r="P23" s="10"/>
      <c r="Q23" s="10"/>
      <c r="R23" s="10"/>
      <c r="S23" s="10"/>
      <c r="T23" s="10"/>
      <c r="U23" s="10"/>
      <c r="V23" s="10"/>
      <c r="W23" s="10"/>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9"/>
      <c r="B25" s="8"/>
      <c r="C25" s="8"/>
      <c r="D25" s="8"/>
      <c r="E25" s="8"/>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6"/>
      <c r="B28" s="7"/>
      <c r="C28" s="7"/>
      <c r="D28" s="7"/>
      <c r="E28" s="7"/>
      <c r="F28" s="6"/>
      <c r="G28" s="6"/>
      <c r="H28" s="6"/>
      <c r="I28" s="6"/>
      <c r="J28" s="6"/>
      <c r="K28" s="6"/>
      <c r="L28" s="6"/>
      <c r="M28" s="6"/>
      <c r="N28" s="6"/>
      <c r="O28" s="6"/>
      <c r="P28" s="6"/>
      <c r="Q28" s="6"/>
      <c r="R28" s="6"/>
      <c r="S28" s="6"/>
      <c r="T28" s="6"/>
      <c r="U28" s="6"/>
      <c r="V28" s="6"/>
      <c r="W28" s="6"/>
    </row>
    <row r="29" spans="1:23" ht="16" x14ac:dyDescent="0.2">
      <c r="A29" s="18" t="s">
        <v>116</v>
      </c>
      <c r="B29" s="18" t="s">
        <v>100</v>
      </c>
      <c r="C29"/>
      <c r="D29"/>
      <c r="E29" s="7"/>
      <c r="F29" s="6"/>
      <c r="G29" s="6"/>
      <c r="H29" s="6"/>
      <c r="I29" s="6"/>
      <c r="J29" s="6"/>
      <c r="K29" s="6"/>
      <c r="L29" s="6"/>
      <c r="M29" s="6"/>
      <c r="N29" s="6"/>
      <c r="O29" s="6"/>
      <c r="P29" s="6"/>
      <c r="Q29" s="6"/>
      <c r="R29" s="6"/>
      <c r="S29" s="6"/>
      <c r="T29" s="6"/>
      <c r="U29" s="6"/>
      <c r="V29" s="6"/>
      <c r="W29" s="6"/>
    </row>
    <row r="30" spans="1:23" ht="16" x14ac:dyDescent="0.2">
      <c r="A30" s="18" t="s">
        <v>99</v>
      </c>
      <c r="B30">
        <v>0</v>
      </c>
      <c r="C30">
        <v>1</v>
      </c>
      <c r="D30" t="s">
        <v>98</v>
      </c>
      <c r="E30" s="7"/>
      <c r="F30" s="6"/>
      <c r="G30" s="6"/>
      <c r="H30" s="6"/>
      <c r="I30" s="6"/>
      <c r="J30" s="6"/>
      <c r="K30" s="6"/>
      <c r="L30" s="6"/>
      <c r="M30" s="6"/>
      <c r="N30" s="6"/>
      <c r="O30" s="6"/>
      <c r="P30" s="6"/>
      <c r="Q30" s="6"/>
      <c r="R30" s="6"/>
      <c r="S30" s="6"/>
      <c r="T30" s="6"/>
      <c r="U30" s="6"/>
      <c r="V30" s="6"/>
      <c r="W30" s="6"/>
    </row>
    <row r="31" spans="1:23" ht="16" x14ac:dyDescent="0.2">
      <c r="A31" s="19">
        <v>0</v>
      </c>
      <c r="B31">
        <v>14</v>
      </c>
      <c r="C31"/>
      <c r="D31">
        <v>14</v>
      </c>
      <c r="E31" s="7"/>
      <c r="F31" s="6"/>
      <c r="G31" s="6"/>
      <c r="H31" s="6"/>
      <c r="I31" s="6"/>
      <c r="J31" s="6"/>
      <c r="K31" s="6"/>
      <c r="L31" s="6"/>
      <c r="M31" s="6"/>
      <c r="N31" s="6"/>
      <c r="O31" s="6"/>
      <c r="P31" s="6"/>
      <c r="Q31" s="6"/>
      <c r="R31" s="6"/>
      <c r="S31" s="6"/>
      <c r="T31" s="6"/>
      <c r="U31" s="6"/>
      <c r="V31" s="6"/>
      <c r="W31" s="6"/>
    </row>
    <row r="32" spans="1:23" ht="16" x14ac:dyDescent="0.2">
      <c r="A32" s="19">
        <v>1</v>
      </c>
      <c r="B32"/>
      <c r="C32">
        <v>66</v>
      </c>
      <c r="D32">
        <v>66</v>
      </c>
      <c r="E32" s="7"/>
      <c r="F32" s="6"/>
      <c r="G32" s="6"/>
      <c r="H32" s="6"/>
      <c r="I32" s="6"/>
      <c r="J32" s="6"/>
      <c r="K32" s="6"/>
      <c r="L32" s="6"/>
      <c r="M32" s="6"/>
      <c r="N32" s="6"/>
      <c r="O32" s="6"/>
      <c r="P32" s="6"/>
      <c r="Q32" s="6"/>
      <c r="R32" s="6"/>
      <c r="S32" s="6"/>
      <c r="T32" s="6"/>
      <c r="U32" s="6"/>
      <c r="V32" s="6"/>
      <c r="W32" s="6"/>
    </row>
    <row r="33" spans="1:23" ht="16" x14ac:dyDescent="0.2">
      <c r="A33" s="19" t="s">
        <v>98</v>
      </c>
      <c r="B33">
        <v>14</v>
      </c>
      <c r="C33">
        <v>66</v>
      </c>
      <c r="D33">
        <v>80</v>
      </c>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t="s">
        <v>99</v>
      </c>
      <c r="B35">
        <v>0</v>
      </c>
      <c r="C35">
        <v>1</v>
      </c>
      <c r="D35" t="s">
        <v>98</v>
      </c>
      <c r="E35" s="7"/>
      <c r="F35" s="6"/>
      <c r="G35" s="6"/>
      <c r="H35" s="6"/>
      <c r="I35" s="6"/>
      <c r="J35" s="6"/>
      <c r="K35" s="6"/>
      <c r="L35" s="6"/>
      <c r="M35" s="6"/>
      <c r="N35" s="6"/>
      <c r="O35" s="6"/>
      <c r="P35" s="6"/>
      <c r="Q35" s="6"/>
      <c r="R35" s="6"/>
      <c r="S35" s="6"/>
      <c r="T35" s="6"/>
      <c r="U35" s="6"/>
      <c r="V35" s="6"/>
      <c r="W35" s="6"/>
    </row>
    <row r="36" spans="1:23" ht="16" x14ac:dyDescent="0.2">
      <c r="A36">
        <v>0</v>
      </c>
      <c r="B36">
        <v>14</v>
      </c>
      <c r="C36"/>
      <c r="D36">
        <v>14</v>
      </c>
      <c r="E36" s="7"/>
      <c r="F36" s="6"/>
      <c r="G36" s="6"/>
      <c r="H36" s="6"/>
      <c r="I36" s="6"/>
      <c r="J36" s="6"/>
      <c r="K36" s="6"/>
      <c r="L36" s="6"/>
      <c r="M36" s="6"/>
      <c r="N36" s="6"/>
      <c r="O36" s="6"/>
      <c r="P36" s="6"/>
      <c r="Q36" s="6"/>
      <c r="R36" s="6"/>
      <c r="S36" s="6"/>
      <c r="T36" s="6"/>
      <c r="U36" s="6"/>
      <c r="V36" s="6"/>
      <c r="W36" s="6"/>
    </row>
    <row r="37" spans="1:23" ht="16" x14ac:dyDescent="0.2">
      <c r="A37">
        <v>1</v>
      </c>
      <c r="B37"/>
      <c r="C37">
        <v>66</v>
      </c>
      <c r="D37">
        <v>66</v>
      </c>
      <c r="E37" s="7"/>
      <c r="F37" s="6"/>
      <c r="G37" s="6"/>
      <c r="H37" s="6"/>
      <c r="I37" s="6"/>
      <c r="J37" s="6"/>
      <c r="K37" s="6"/>
      <c r="L37" s="6"/>
      <c r="M37" s="6"/>
      <c r="N37" s="6"/>
      <c r="O37" s="6"/>
      <c r="P37" s="6"/>
      <c r="Q37" s="6"/>
      <c r="R37" s="6"/>
      <c r="S37" s="6"/>
      <c r="T37" s="6"/>
      <c r="U37" s="6"/>
      <c r="V37" s="6"/>
      <c r="W37" s="6"/>
    </row>
    <row r="38" spans="1:23" ht="16" x14ac:dyDescent="0.2">
      <c r="A38" t="s">
        <v>98</v>
      </c>
      <c r="B38">
        <v>14</v>
      </c>
      <c r="C38">
        <v>66</v>
      </c>
      <c r="D38">
        <v>80</v>
      </c>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2025-12-04T18:14:21Z</dcterms:created>
  <dcterms:modified xsi:type="dcterms:W3CDTF">2025-12-05T14:25:37Z</dcterms:modified>
</cp:coreProperties>
</file>